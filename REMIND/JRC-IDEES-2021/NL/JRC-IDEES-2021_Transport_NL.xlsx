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NL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N30" i="3"/>
  <c r="M30" i="3"/>
  <c r="K30" i="3"/>
  <c r="J30" i="3"/>
  <c r="I30" i="3"/>
  <c r="H30" i="3"/>
  <c r="G30" i="3"/>
  <c r="C30" i="3"/>
  <c r="C242" i="3" s="1"/>
  <c r="B30" i="3"/>
  <c r="B26" i="1"/>
  <c r="B25" i="1"/>
  <c r="B24" i="1"/>
  <c r="S242" i="3" l="1"/>
  <c r="P18" i="20"/>
  <c r="C18" i="20"/>
  <c r="Q14" i="18"/>
  <c r="O14" i="18"/>
  <c r="I15" i="18"/>
  <c r="E3" i="18"/>
  <c r="I7" i="18"/>
  <c r="I23" i="18" s="1"/>
  <c r="U3" i="18"/>
  <c r="U17" i="18" s="1"/>
  <c r="I23" i="13"/>
  <c r="C29" i="13"/>
  <c r="F3" i="18"/>
  <c r="F17" i="18" s="1"/>
  <c r="V3" i="18"/>
  <c r="V19" i="18" s="1"/>
  <c r="R7" i="18"/>
  <c r="R22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25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N3" i="18"/>
  <c r="N17" i="18" s="1"/>
  <c r="U14" i="18"/>
  <c r="E21" i="20"/>
  <c r="P14" i="18"/>
  <c r="J14" i="20"/>
  <c r="O3" i="20"/>
  <c r="O23" i="20" s="1"/>
  <c r="O3" i="18"/>
  <c r="O18" i="18" s="1"/>
  <c r="N3" i="20"/>
  <c r="N13" i="20" s="1"/>
  <c r="R21" i="18"/>
  <c r="R23" i="18"/>
  <c r="Q14" i="20"/>
  <c r="Q3" i="20"/>
  <c r="Q22" i="20" s="1"/>
  <c r="C19" i="20"/>
  <c r="E14" i="18"/>
  <c r="M14" i="18"/>
  <c r="E19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M22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U24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M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J11" i="20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E22" i="18" l="1"/>
  <c r="J21" i="19"/>
  <c r="E13" i="20"/>
  <c r="D23" i="20"/>
  <c r="L21" i="20"/>
  <c r="G25" i="19"/>
  <c r="Q25" i="19"/>
  <c r="P24" i="19"/>
  <c r="O21" i="19"/>
  <c r="H11" i="20"/>
  <c r="K23" i="18"/>
  <c r="U19" i="18"/>
  <c r="R212" i="3"/>
  <c r="M23" i="20"/>
  <c r="E13" i="18"/>
  <c r="W17" i="20"/>
  <c r="W23" i="20"/>
  <c r="F20" i="19"/>
  <c r="I21" i="18"/>
  <c r="M23" i="18"/>
  <c r="I22" i="18"/>
  <c r="H20" i="19"/>
  <c r="G23" i="20"/>
  <c r="T23" i="18"/>
  <c r="Q24" i="19"/>
  <c r="F18" i="18"/>
  <c r="T24" i="19"/>
  <c r="I213" i="3"/>
  <c r="W10" i="20"/>
  <c r="E18" i="18"/>
  <c r="T20" i="19"/>
  <c r="G18" i="18"/>
  <c r="L23" i="18"/>
  <c r="W24" i="19"/>
  <c r="E17" i="18"/>
  <c r="W3" i="19"/>
  <c r="W28" i="19" s="1"/>
  <c r="E17" i="20"/>
  <c r="T22" i="18"/>
  <c r="H3" i="19"/>
  <c r="H19" i="19" s="1"/>
  <c r="Q11" i="20"/>
  <c r="D22" i="20"/>
  <c r="P10" i="20"/>
  <c r="G24" i="19"/>
  <c r="N10" i="20"/>
  <c r="F19" i="18"/>
  <c r="M24" i="19"/>
  <c r="O11" i="20"/>
  <c r="Q21" i="19"/>
  <c r="F22" i="20"/>
  <c r="F89" i="3"/>
  <c r="F181" i="3" s="1"/>
  <c r="R21" i="19"/>
  <c r="R25" i="19"/>
  <c r="K20" i="19"/>
  <c r="N20" i="19"/>
  <c r="N24" i="19"/>
  <c r="Q10" i="20"/>
  <c r="F24" i="19"/>
  <c r="S22" i="18"/>
  <c r="N29" i="3"/>
  <c r="N241" i="3" s="1"/>
  <c r="R29" i="3"/>
  <c r="R123" i="3" s="1"/>
  <c r="S10" i="20"/>
  <c r="L10" i="20"/>
  <c r="U29" i="3"/>
  <c r="U123" i="3" s="1"/>
  <c r="S23" i="18"/>
  <c r="L20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9" i="19" s="1"/>
  <c r="G21" i="20"/>
  <c r="Q29" i="3"/>
  <c r="Q24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H23" i="19"/>
  <c r="W22" i="18"/>
  <c r="L3" i="19"/>
  <c r="L29" i="19" s="1"/>
  <c r="W27" i="19"/>
  <c r="F21" i="19"/>
  <c r="F11" i="20"/>
  <c r="F25" i="19"/>
  <c r="W23" i="18"/>
  <c r="K21" i="20"/>
  <c r="K17" i="20"/>
  <c r="K13" i="20"/>
  <c r="T25" i="19"/>
  <c r="T21" i="19"/>
  <c r="W29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N29" i="19" l="1"/>
  <c r="M19" i="19"/>
  <c r="W19" i="19"/>
  <c r="H9" i="20"/>
  <c r="M27" i="19"/>
  <c r="W23" i="19"/>
  <c r="N123" i="3"/>
  <c r="H28" i="19"/>
  <c r="H27" i="19"/>
  <c r="N9" i="20"/>
  <c r="E28" i="19"/>
  <c r="N121" i="3"/>
  <c r="U122" i="3"/>
  <c r="U121" i="3"/>
  <c r="P9" i="20"/>
  <c r="F152" i="3"/>
  <c r="F153" i="3"/>
  <c r="F183" i="3"/>
  <c r="Q23" i="19"/>
  <c r="F182" i="3"/>
  <c r="M9" i="20"/>
  <c r="M23" i="19"/>
  <c r="M28" i="19"/>
  <c r="K183" i="3"/>
  <c r="U182" i="3"/>
  <c r="M182" i="3"/>
  <c r="G28" i="19"/>
  <c r="Q122" i="3"/>
  <c r="L121" i="3"/>
  <c r="Q123" i="3"/>
  <c r="D123" i="3"/>
  <c r="R241" i="3"/>
  <c r="R121" i="3"/>
  <c r="Q121" i="3"/>
  <c r="N19" i="19"/>
  <c r="G27" i="19"/>
  <c r="P27" i="19"/>
  <c r="E23" i="19"/>
  <c r="R122" i="3"/>
  <c r="F241" i="3"/>
  <c r="N27" i="19"/>
  <c r="E27" i="19"/>
  <c r="T241" i="3"/>
  <c r="T123" i="3"/>
  <c r="P121" i="3"/>
  <c r="P122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U10" i="5" l="1"/>
  <c r="S10" i="5"/>
  <c r="Q10" i="5"/>
  <c r="P10" i="5"/>
  <c r="M10" i="5"/>
  <c r="K10" i="5"/>
  <c r="I10" i="5"/>
  <c r="H10" i="5"/>
  <c r="E10" i="5"/>
  <c r="C10" i="5"/>
  <c r="B10" i="5" l="1"/>
  <c r="J10" i="5"/>
  <c r="R10" i="5"/>
  <c r="L10" i="5"/>
  <c r="T10" i="5"/>
  <c r="F10" i="5"/>
  <c r="N10" i="5"/>
  <c r="V10" i="5"/>
  <c r="G10" i="5"/>
  <c r="O10" i="5"/>
  <c r="W10" i="5"/>
  <c r="D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I100" i="4" s="1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217" i="4" l="1"/>
  <c r="W10" i="9"/>
  <c r="W64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193" i="3"/>
  <c r="W57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W63" i="9" l="1"/>
  <c r="H60" i="7"/>
  <c r="W58" i="9"/>
  <c r="R60" i="7"/>
  <c r="W60" i="9"/>
  <c r="Q75" i="7"/>
  <c r="N84" i="4"/>
  <c r="F84" i="4"/>
  <c r="W45" i="9"/>
  <c r="W65" i="9"/>
  <c r="W59" i="9"/>
  <c r="W56" i="9"/>
  <c r="W62" i="9"/>
  <c r="W61" i="9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Q59" i="7" s="1"/>
  <c r="G60" i="7"/>
  <c r="I75" i="7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205" i="4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18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216" i="4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131" i="5" s="1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Q205" i="4" s="1"/>
  <c r="D15" i="4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K70" i="5" s="1"/>
  <c r="K125" i="7" s="1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206" i="4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M205" i="4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89" i="6" s="1"/>
  <c r="S175" i="4"/>
  <c r="S62" i="6"/>
  <c r="S204" i="7" s="1"/>
  <c r="G176" i="4"/>
  <c r="G63" i="6"/>
  <c r="O12" i="4"/>
  <c r="O203" i="4" s="1"/>
  <c r="O176" i="4"/>
  <c r="O63" i="6"/>
  <c r="C40" i="4"/>
  <c r="C177" i="4" s="1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H58" i="4" s="1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190" i="4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V201" i="4" s="1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3" i="5" s="1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Q117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05" i="6" s="1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127" i="4" s="1"/>
  <c r="R46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63" i="5" s="1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77" i="6" s="1"/>
  <c r="R219" i="7" s="1"/>
  <c r="R132" i="6"/>
  <c r="E133" i="6"/>
  <c r="E40" i="6"/>
  <c r="E33" i="6" s="1"/>
  <c r="N133" i="6"/>
  <c r="N40" i="6"/>
  <c r="N77" i="6" s="1"/>
  <c r="V133" i="6"/>
  <c r="J139" i="5"/>
  <c r="S139" i="5"/>
  <c r="F110" i="6"/>
  <c r="O110" i="6"/>
  <c r="C111" i="6"/>
  <c r="M17" i="4"/>
  <c r="M208" i="4" s="1"/>
  <c r="Q18" i="4"/>
  <c r="Q102" i="5" s="1"/>
  <c r="D21" i="4"/>
  <c r="D99" i="6" s="1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M71" i="6" s="1"/>
  <c r="M213" i="7" s="1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18" i="5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77" i="6" s="1"/>
  <c r="J219" i="7" s="1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0" i="4"/>
  <c r="I268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258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K112" i="4"/>
  <c r="N127" i="4"/>
  <c r="N46" i="7" s="1"/>
  <c r="N47" i="7"/>
  <c r="P106" i="5"/>
  <c r="G216" i="4"/>
  <c r="G103" i="6"/>
  <c r="G109" i="5"/>
  <c r="Q170" i="4"/>
  <c r="Q63" i="5"/>
  <c r="Q118" i="7" s="1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P64" i="6"/>
  <c r="Q184" i="4"/>
  <c r="R190" i="4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83" i="5"/>
  <c r="B138" i="7" s="1"/>
  <c r="U170" i="4"/>
  <c r="K177" i="4"/>
  <c r="K64" i="6"/>
  <c r="K206" i="7" s="1"/>
  <c r="H184" i="4"/>
  <c r="H71" i="6"/>
  <c r="H213" i="7" s="1"/>
  <c r="H77" i="5"/>
  <c r="H132" i="7" s="1"/>
  <c r="R184" i="4"/>
  <c r="R77" i="5"/>
  <c r="R132" i="7" s="1"/>
  <c r="G77" i="6"/>
  <c r="G83" i="5"/>
  <c r="V77" i="6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254" i="4"/>
  <c r="J251" i="4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6" i="4"/>
  <c r="S218" i="4"/>
  <c r="O112" i="5"/>
  <c r="F58" i="4"/>
  <c r="F13" i="7"/>
  <c r="O20" i="7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I202" i="4"/>
  <c r="C213" i="4"/>
  <c r="C100" i="6"/>
  <c r="C106" i="5"/>
  <c r="E215" i="4"/>
  <c r="E102" i="6"/>
  <c r="E108" i="5"/>
  <c r="H218" i="4"/>
  <c r="H105" i="6"/>
  <c r="H111" i="5"/>
  <c r="O92" i="5"/>
  <c r="S202" i="4"/>
  <c r="M177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M200" i="4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U263" i="4"/>
  <c r="U250" i="4"/>
  <c r="U256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72" i="4"/>
  <c r="R270" i="4"/>
  <c r="R268" i="4"/>
  <c r="R266" i="4"/>
  <c r="M184" i="4"/>
  <c r="M77" i="5"/>
  <c r="M132" i="7" s="1"/>
  <c r="S212" i="4"/>
  <c r="S99" i="6"/>
  <c r="S105" i="5"/>
  <c r="O213" i="4"/>
  <c r="O100" i="6"/>
  <c r="O106" i="5"/>
  <c r="S214" i="4"/>
  <c r="S101" i="6"/>
  <c r="S107" i="5"/>
  <c r="N271" i="4"/>
  <c r="N83" i="5"/>
  <c r="E190" i="4"/>
  <c r="U46" i="4"/>
  <c r="U265" i="4" s="1"/>
  <c r="U83" i="5"/>
  <c r="D73" i="4"/>
  <c r="D26" i="7"/>
  <c r="M73" i="4"/>
  <c r="M26" i="7"/>
  <c r="U73" i="4"/>
  <c r="S47" i="7"/>
  <c r="I199" i="4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64" i="6"/>
  <c r="E206" i="7" s="1"/>
  <c r="E258" i="4"/>
  <c r="Q177" i="4"/>
  <c r="Q64" i="6"/>
  <c r="Q206" i="7" s="1"/>
  <c r="V46" i="4"/>
  <c r="N71" i="6"/>
  <c r="N265" i="4"/>
  <c r="N77" i="5"/>
  <c r="T184" i="4"/>
  <c r="O77" i="6"/>
  <c r="O83" i="5"/>
  <c r="I58" i="4"/>
  <c r="I4" i="7" s="1"/>
  <c r="I13" i="7"/>
  <c r="R58" i="4"/>
  <c r="R13" i="7"/>
  <c r="R73" i="4"/>
  <c r="R19" i="7" s="1"/>
  <c r="R20" i="7"/>
  <c r="G112" i="4"/>
  <c r="M47" i="7"/>
  <c r="N250" i="4"/>
  <c r="E252" i="4"/>
  <c r="R253" i="4"/>
  <c r="O109" i="5"/>
  <c r="V83" i="6"/>
  <c r="Q215" i="4"/>
  <c r="Q102" i="6"/>
  <c r="Q108" i="5"/>
  <c r="M216" i="4"/>
  <c r="L4" i="6"/>
  <c r="T42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C100" i="4"/>
  <c r="B73" i="4"/>
  <c r="B19" i="7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K18" i="5" l="1"/>
  <c r="B132" i="7"/>
  <c r="B213" i="7"/>
  <c r="P70" i="5"/>
  <c r="J127" i="4"/>
  <c r="J46" i="7" s="1"/>
  <c r="E58" i="4"/>
  <c r="E168" i="4" s="1"/>
  <c r="Q70" i="5"/>
  <c r="Q125" i="7" s="1"/>
  <c r="B98" i="5"/>
  <c r="H86" i="6"/>
  <c r="O106" i="6"/>
  <c r="I99" i="5"/>
  <c r="P31" i="4"/>
  <c r="J47" i="7"/>
  <c r="B92" i="6"/>
  <c r="H199" i="4"/>
  <c r="S91" i="5"/>
  <c r="I93" i="6"/>
  <c r="I272" i="4"/>
  <c r="C118" i="6"/>
  <c r="S85" i="6"/>
  <c r="M98" i="5"/>
  <c r="N112" i="4"/>
  <c r="N31" i="7" s="1"/>
  <c r="Q100" i="6"/>
  <c r="D47" i="6"/>
  <c r="T47" i="6"/>
  <c r="F229" i="4"/>
  <c r="V94" i="5"/>
  <c r="C64" i="6"/>
  <c r="C206" i="7" s="1"/>
  <c r="M92" i="6"/>
  <c r="V73" i="4"/>
  <c r="V19" i="7" s="1"/>
  <c r="V219" i="7"/>
  <c r="H109" i="5"/>
  <c r="Q213" i="4"/>
  <c r="D71" i="6"/>
  <c r="D213" i="7" s="1"/>
  <c r="C58" i="4"/>
  <c r="C4" i="7" s="1"/>
  <c r="E184" i="4"/>
  <c r="F95" i="5"/>
  <c r="V88" i="6"/>
  <c r="G184" i="4"/>
  <c r="H103" i="6"/>
  <c r="Q98" i="5"/>
  <c r="G59" i="7"/>
  <c r="G77" i="5"/>
  <c r="G132" i="7" s="1"/>
  <c r="F89" i="6"/>
  <c r="S95" i="5"/>
  <c r="I95" i="5"/>
  <c r="G46" i="4"/>
  <c r="G271" i="4" s="1"/>
  <c r="Q92" i="6"/>
  <c r="I89" i="6"/>
  <c r="I266" i="4"/>
  <c r="U59" i="7"/>
  <c r="O271" i="4"/>
  <c r="D105" i="5"/>
  <c r="R177" i="4"/>
  <c r="R59" i="7"/>
  <c r="U125" i="7"/>
  <c r="S112" i="4"/>
  <c r="S111" i="5"/>
  <c r="U118" i="7"/>
  <c r="I59" i="7"/>
  <c r="T213" i="7"/>
  <c r="M13" i="4"/>
  <c r="K184" i="4"/>
  <c r="B57" i="6"/>
  <c r="B199" i="7" s="1"/>
  <c r="P71" i="6"/>
  <c r="P213" i="7" s="1"/>
  <c r="O6" i="4"/>
  <c r="O143" i="4" s="1"/>
  <c r="S42" i="5"/>
  <c r="W231" i="4"/>
  <c r="Q91" i="5"/>
  <c r="M196" i="4"/>
  <c r="U20" i="4"/>
  <c r="U104" i="5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204" i="4" s="1"/>
  <c r="K77" i="5"/>
  <c r="K132" i="7" s="1"/>
  <c r="J190" i="4"/>
  <c r="S206" i="7"/>
  <c r="M26" i="4"/>
  <c r="O20" i="4"/>
  <c r="O211" i="4" s="1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150" i="4" s="1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T270" i="4" s="1"/>
  <c r="S216" i="4"/>
  <c r="G190" i="4"/>
  <c r="Q57" i="6"/>
  <c r="Q199" i="7" s="1"/>
  <c r="N200" i="4"/>
  <c r="V206" i="7"/>
  <c r="G137" i="5"/>
  <c r="V6" i="4"/>
  <c r="U6" i="4"/>
  <c r="U90" i="5" s="1"/>
  <c r="G213" i="7"/>
  <c r="Q96" i="6"/>
  <c r="O73" i="4"/>
  <c r="O19" i="7" s="1"/>
  <c r="R30" i="4"/>
  <c r="Q20" i="4"/>
  <c r="Q98" i="6" s="1"/>
  <c r="K13" i="4"/>
  <c r="K150" i="4" s="1"/>
  <c r="H206" i="7"/>
  <c r="J18" i="5"/>
  <c r="J61" i="5" s="1"/>
  <c r="F77" i="5"/>
  <c r="F132" i="7" s="1"/>
  <c r="S6" i="4"/>
  <c r="S143" i="4" s="1"/>
  <c r="I20" i="4"/>
  <c r="I211" i="4" s="1"/>
  <c r="C70" i="5"/>
  <c r="C125" i="7" s="1"/>
  <c r="M83" i="5"/>
  <c r="M138" i="7" s="1"/>
  <c r="R47" i="6"/>
  <c r="S18" i="5"/>
  <c r="D57" i="6"/>
  <c r="D199" i="7" s="1"/>
  <c r="C31" i="4"/>
  <c r="C251" i="4" s="1"/>
  <c r="R13" i="4"/>
  <c r="R150" i="4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143" i="4" s="1"/>
  <c r="Q42" i="5"/>
  <c r="Q17" i="5" s="1"/>
  <c r="Q157" i="5" s="1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D150" i="4" s="1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B6" i="4"/>
  <c r="B143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31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Q168" i="4" s="1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25" i="6"/>
  <c r="C131" i="6"/>
  <c r="I112" i="4"/>
  <c r="B17" i="5"/>
  <c r="B144" i="5" s="1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76" i="5" s="1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N17" i="5" s="1"/>
  <c r="V111" i="6"/>
  <c r="C137" i="5"/>
  <c r="E131" i="5"/>
  <c r="E42" i="5"/>
  <c r="U33" i="6"/>
  <c r="U70" i="6" s="1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G70" i="6" s="1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M204" i="4"/>
  <c r="M91" i="6"/>
  <c r="M97" i="5"/>
  <c r="U211" i="4"/>
  <c r="U98" i="6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J57" i="4"/>
  <c r="J3" i="7" s="1"/>
  <c r="J4" i="7"/>
  <c r="G209" i="4"/>
  <c r="G96" i="6"/>
  <c r="G102" i="5"/>
  <c r="N150" i="4"/>
  <c r="N204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91" i="6"/>
  <c r="T31" i="7"/>
  <c r="P20" i="4"/>
  <c r="P157" i="4" s="1"/>
  <c r="P215" i="4"/>
  <c r="P102" i="6"/>
  <c r="P108" i="5"/>
  <c r="S84" i="6"/>
  <c r="S90" i="5"/>
  <c r="O4" i="7"/>
  <c r="F204" i="4"/>
  <c r="J163" i="4"/>
  <c r="J217" i="4"/>
  <c r="J104" i="6"/>
  <c r="J110" i="5"/>
  <c r="B177" i="4"/>
  <c r="B64" i="6"/>
  <c r="B206" i="7" s="1"/>
  <c r="B70" i="5"/>
  <c r="B125" i="7" s="1"/>
  <c r="I90" i="5"/>
  <c r="R97" i="5"/>
  <c r="S46" i="4"/>
  <c r="S156" i="4" s="1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70" i="6"/>
  <c r="E269" i="4"/>
  <c r="E264" i="4"/>
  <c r="F111" i="4"/>
  <c r="F30" i="7" s="1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J183" i="4"/>
  <c r="U150" i="4"/>
  <c r="U204" i="4"/>
  <c r="U91" i="6"/>
  <c r="U97" i="5"/>
  <c r="S4" i="7"/>
  <c r="O163" i="4"/>
  <c r="O217" i="4"/>
  <c r="O104" i="6"/>
  <c r="O110" i="5"/>
  <c r="U143" i="4"/>
  <c r="U84" i="6"/>
  <c r="K143" i="4"/>
  <c r="K197" i="4"/>
  <c r="K84" i="6"/>
  <c r="K90" i="5"/>
  <c r="B20" i="4"/>
  <c r="B213" i="4"/>
  <c r="B100" i="6"/>
  <c r="B106" i="5"/>
  <c r="H20" i="4"/>
  <c r="H212" i="4"/>
  <c r="H99" i="6"/>
  <c r="H105" i="5"/>
  <c r="F157" i="4"/>
  <c r="F211" i="4"/>
  <c r="F98" i="6"/>
  <c r="F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198" i="4"/>
  <c r="D85" i="6"/>
  <c r="D91" i="5"/>
  <c r="T190" i="4"/>
  <c r="T77" i="6"/>
  <c r="T219" i="7" s="1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204" i="4"/>
  <c r="G199" i="4"/>
  <c r="G86" i="6"/>
  <c r="G92" i="5"/>
  <c r="K163" i="4"/>
  <c r="K217" i="4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J168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272" i="4"/>
  <c r="G270" i="4"/>
  <c r="G268" i="4"/>
  <c r="G266" i="4"/>
  <c r="G264" i="4"/>
  <c r="G273" i="4"/>
  <c r="G269" i="4"/>
  <c r="G267" i="4"/>
  <c r="F168" i="4"/>
  <c r="I157" i="4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97" i="4"/>
  <c r="O84" i="6"/>
  <c r="H205" i="4"/>
  <c r="H92" i="6"/>
  <c r="H98" i="5"/>
  <c r="G13" i="4"/>
  <c r="G205" i="4"/>
  <c r="G92" i="6"/>
  <c r="G98" i="5"/>
  <c r="P205" i="4"/>
  <c r="P92" i="6"/>
  <c r="P98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Q183" i="4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S244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66" i="4"/>
  <c r="T264" i="4"/>
  <c r="H201" i="4"/>
  <c r="H88" i="6"/>
  <c r="H94" i="5"/>
  <c r="T265" i="4"/>
  <c r="E143" i="4"/>
  <c r="E197" i="4"/>
  <c r="E84" i="6"/>
  <c r="E90" i="5"/>
  <c r="F6" i="4"/>
  <c r="F4" i="4" s="1"/>
  <c r="F231" i="4" s="1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168" i="4"/>
  <c r="H259" i="4"/>
  <c r="H254" i="4"/>
  <c r="R168" i="4"/>
  <c r="C6" i="4"/>
  <c r="T20" i="4"/>
  <c r="R4" i="4"/>
  <c r="R143" i="4"/>
  <c r="P13" i="4"/>
  <c r="H19" i="4"/>
  <c r="H242" i="4" s="1"/>
  <c r="H157" i="4"/>
  <c r="M150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O19" i="4"/>
  <c r="O157" i="4"/>
  <c r="T6" i="4"/>
  <c r="K4" i="4"/>
  <c r="K223" i="4" s="1"/>
  <c r="C46" i="4"/>
  <c r="C271" i="4" s="1"/>
  <c r="R19" i="4"/>
  <c r="R244" i="4" s="1"/>
  <c r="E19" i="4"/>
  <c r="E238" i="4" s="1"/>
  <c r="K97" i="5" l="1"/>
  <c r="S97" i="5"/>
  <c r="K91" i="6"/>
  <c r="H57" i="4"/>
  <c r="H3" i="7" s="1"/>
  <c r="B90" i="5"/>
  <c r="S91" i="6"/>
  <c r="K204" i="4"/>
  <c r="B84" i="6"/>
  <c r="B197" i="4"/>
  <c r="S4" i="4"/>
  <c r="D97" i="5"/>
  <c r="D91" i="6"/>
  <c r="R91" i="6"/>
  <c r="S197" i="4"/>
  <c r="M76" i="5"/>
  <c r="D4" i="4"/>
  <c r="D225" i="4" s="1"/>
  <c r="R204" i="4"/>
  <c r="R17" i="6"/>
  <c r="R136" i="6" s="1"/>
  <c r="H261" i="4"/>
  <c r="B204" i="4"/>
  <c r="O90" i="5"/>
  <c r="Q150" i="4"/>
  <c r="N183" i="4"/>
  <c r="T271" i="4"/>
  <c r="U197" i="4"/>
  <c r="C258" i="4"/>
  <c r="E273" i="4"/>
  <c r="J97" i="5"/>
  <c r="G98" i="6"/>
  <c r="E30" i="4"/>
  <c r="H257" i="4"/>
  <c r="H253" i="4"/>
  <c r="T268" i="4"/>
  <c r="G183" i="4"/>
  <c r="Q90" i="5"/>
  <c r="O104" i="5"/>
  <c r="E268" i="4"/>
  <c r="J150" i="4"/>
  <c r="D204" i="4"/>
  <c r="H61" i="5"/>
  <c r="B4" i="4"/>
  <c r="B231" i="4" s="1"/>
  <c r="H263" i="4"/>
  <c r="H255" i="4"/>
  <c r="O183" i="4"/>
  <c r="C61" i="5"/>
  <c r="I104" i="5"/>
  <c r="Q84" i="6"/>
  <c r="O98" i="6"/>
  <c r="E270" i="4"/>
  <c r="Q4" i="4"/>
  <c r="Q141" i="4" s="1"/>
  <c r="H250" i="4"/>
  <c r="H260" i="4"/>
  <c r="C262" i="4"/>
  <c r="I98" i="6"/>
  <c r="C57" i="4"/>
  <c r="C3" i="7" s="1"/>
  <c r="Q197" i="4"/>
  <c r="E272" i="4"/>
  <c r="H251" i="4"/>
  <c r="H249" i="4"/>
  <c r="E266" i="4"/>
  <c r="I19" i="4"/>
  <c r="I244" i="4" s="1"/>
  <c r="H252" i="4"/>
  <c r="H262" i="4"/>
  <c r="E267" i="4"/>
  <c r="O57" i="4"/>
  <c r="O3" i="7" s="1"/>
  <c r="E76" i="5"/>
  <c r="N57" i="4"/>
  <c r="C111" i="4"/>
  <c r="C30" i="7" s="1"/>
  <c r="D57" i="4"/>
  <c r="D3" i="7" s="1"/>
  <c r="I84" i="6"/>
  <c r="B110" i="5"/>
  <c r="I197" i="4"/>
  <c r="B104" i="6"/>
  <c r="B164" i="5"/>
  <c r="B217" i="4"/>
  <c r="S17" i="5"/>
  <c r="S156" i="5" s="1"/>
  <c r="O111" i="4"/>
  <c r="O30" i="7" s="1"/>
  <c r="B19" i="4"/>
  <c r="B156" i="4" s="1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167" i="4" s="1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54" i="5"/>
  <c r="S162" i="5"/>
  <c r="S147" i="5"/>
  <c r="S146" i="5"/>
  <c r="S148" i="5"/>
  <c r="S152" i="5"/>
  <c r="S153" i="5"/>
  <c r="S163" i="5"/>
  <c r="S165" i="5"/>
  <c r="S161" i="5"/>
  <c r="S164" i="5"/>
  <c r="S158" i="5"/>
  <c r="S143" i="5"/>
  <c r="S149" i="5"/>
  <c r="S157" i="5"/>
  <c r="S144" i="5"/>
  <c r="S150" i="5"/>
  <c r="S159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88" i="5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H154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V147" i="5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9" i="6"/>
  <c r="H156" i="6"/>
  <c r="H142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8" i="5"/>
  <c r="K17" i="6"/>
  <c r="K151" i="6" s="1"/>
  <c r="H136" i="6"/>
  <c r="N17" i="6"/>
  <c r="N136" i="6" s="1"/>
  <c r="N55" i="6"/>
  <c r="T57" i="4"/>
  <c r="T3" i="7" s="1"/>
  <c r="F76" i="5"/>
  <c r="I70" i="6"/>
  <c r="H151" i="6"/>
  <c r="E17" i="6"/>
  <c r="E136" i="6" s="1"/>
  <c r="E55" i="6"/>
  <c r="R152" i="6"/>
  <c r="U17" i="5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U157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C265" i="4"/>
  <c r="N226" i="4"/>
  <c r="N225" i="4"/>
  <c r="B103" i="5"/>
  <c r="B237" i="4"/>
  <c r="B243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54" i="6"/>
  <c r="U60" i="5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237" i="4"/>
  <c r="G241" i="4"/>
  <c r="G239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226" i="4"/>
  <c r="Q235" i="4"/>
  <c r="Q234" i="4"/>
  <c r="Q225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S251" i="4"/>
  <c r="J222" i="4"/>
  <c r="J229" i="4"/>
  <c r="J228" i="4"/>
  <c r="J234" i="4"/>
  <c r="J227" i="4"/>
  <c r="J230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M224" i="4"/>
  <c r="D271" i="4"/>
  <c r="N3" i="7"/>
  <c r="N167" i="4"/>
  <c r="C156" i="4"/>
  <c r="C210" i="4"/>
  <c r="C97" i="6"/>
  <c r="C103" i="5"/>
  <c r="C237" i="4"/>
  <c r="C242" i="4"/>
  <c r="C245" i="4"/>
  <c r="C240" i="4"/>
  <c r="C246" i="4"/>
  <c r="D88" i="5"/>
  <c r="D228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103" i="5"/>
  <c r="D241" i="4"/>
  <c r="D239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H149" i="6" l="1"/>
  <c r="S141" i="5"/>
  <c r="S142" i="5"/>
  <c r="S160" i="5"/>
  <c r="H141" i="6"/>
  <c r="S155" i="5"/>
  <c r="S151" i="5"/>
  <c r="S145" i="5"/>
  <c r="D234" i="4"/>
  <c r="D82" i="6"/>
  <c r="J144" i="5"/>
  <c r="D232" i="4"/>
  <c r="D195" i="4"/>
  <c r="D223" i="4"/>
  <c r="D226" i="4"/>
  <c r="D141" i="4"/>
  <c r="D233" i="4"/>
  <c r="D224" i="4"/>
  <c r="D227" i="4"/>
  <c r="D235" i="4"/>
  <c r="D222" i="4"/>
  <c r="J233" i="4"/>
  <c r="B239" i="4"/>
  <c r="N236" i="4"/>
  <c r="H145" i="6"/>
  <c r="J236" i="4"/>
  <c r="B245" i="4"/>
  <c r="N235" i="4"/>
  <c r="H147" i="6"/>
  <c r="H146" i="6"/>
  <c r="J223" i="4"/>
  <c r="J88" i="5"/>
  <c r="B97" i="6"/>
  <c r="N82" i="6"/>
  <c r="H139" i="6"/>
  <c r="H135" i="6"/>
  <c r="J232" i="4"/>
  <c r="J82" i="6"/>
  <c r="B246" i="4"/>
  <c r="B210" i="4"/>
  <c r="N141" i="4"/>
  <c r="H140" i="6"/>
  <c r="H137" i="6"/>
  <c r="J235" i="4"/>
  <c r="J195" i="4"/>
  <c r="B241" i="4"/>
  <c r="H158" i="6"/>
  <c r="H152" i="6"/>
  <c r="H160" i="6"/>
  <c r="H148" i="6"/>
  <c r="H153" i="6"/>
  <c r="J226" i="4"/>
  <c r="J225" i="4"/>
  <c r="J141" i="4"/>
  <c r="N228" i="4"/>
  <c r="H155" i="6"/>
  <c r="S223" i="4"/>
  <c r="S231" i="4"/>
  <c r="S166" i="5"/>
  <c r="D242" i="4"/>
  <c r="D97" i="6"/>
  <c r="Q232" i="4"/>
  <c r="Q233" i="4"/>
  <c r="G243" i="4"/>
  <c r="N223" i="4"/>
  <c r="N195" i="4"/>
  <c r="J142" i="5"/>
  <c r="J146" i="5"/>
  <c r="J141" i="5"/>
  <c r="J153" i="5"/>
  <c r="Q229" i="4"/>
  <c r="D246" i="4"/>
  <c r="Q227" i="4"/>
  <c r="Q88" i="5"/>
  <c r="G103" i="5"/>
  <c r="N227" i="4"/>
  <c r="N230" i="4"/>
  <c r="J152" i="5"/>
  <c r="N224" i="4"/>
  <c r="Q222" i="4"/>
  <c r="D245" i="4"/>
  <c r="Q230" i="4"/>
  <c r="Q82" i="6"/>
  <c r="G97" i="6"/>
  <c r="G242" i="4"/>
  <c r="N229" i="4"/>
  <c r="N222" i="4"/>
  <c r="J161" i="5"/>
  <c r="D240" i="4"/>
  <c r="G238" i="4"/>
  <c r="Q228" i="4"/>
  <c r="Q195" i="4"/>
  <c r="G210" i="4"/>
  <c r="N232" i="4"/>
  <c r="N234" i="4"/>
  <c r="J155" i="5"/>
  <c r="Q231" i="4"/>
  <c r="N231" i="4"/>
  <c r="D237" i="4"/>
  <c r="Q223" i="4"/>
  <c r="Q236" i="4"/>
  <c r="G246" i="4"/>
  <c r="G156" i="4"/>
  <c r="N233" i="4"/>
  <c r="J159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11" i="6" l="1"/>
  <c r="L131" i="6"/>
  <c r="L18" i="5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17" i="5"/>
  <c r="L144" i="5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P76" i="8" s="1"/>
  <c r="O54" i="8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S80" i="8"/>
  <c r="O80" i="8"/>
  <c r="N80" i="8"/>
  <c r="K80" i="8"/>
  <c r="R79" i="8"/>
  <c r="O79" i="8"/>
  <c r="K79" i="8"/>
  <c r="V77" i="8"/>
  <c r="S77" i="8"/>
  <c r="O77" i="8"/>
  <c r="N77" i="8"/>
  <c r="S76" i="8"/>
  <c r="R76" i="8"/>
  <c r="O76" i="8"/>
  <c r="V75" i="8"/>
  <c r="S75" i="8"/>
  <c r="N75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V20" i="3"/>
  <c r="V232" i="3" s="1"/>
  <c r="U20" i="3"/>
  <c r="U232" i="3" s="1"/>
  <c r="T20" i="3"/>
  <c r="S20" i="3"/>
  <c r="R20" i="3"/>
  <c r="V19" i="3"/>
  <c r="U19" i="3"/>
  <c r="T19" i="3"/>
  <c r="S19" i="3"/>
  <c r="R19" i="3"/>
  <c r="V12" i="3"/>
  <c r="U12" i="3"/>
  <c r="T12" i="3"/>
  <c r="S12" i="3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21" i="1"/>
  <c r="B9" i="1"/>
  <c r="B11" i="1"/>
  <c r="B4" i="1"/>
  <c r="B8" i="1"/>
  <c r="B12" i="1"/>
  <c r="B22" i="1"/>
  <c r="B7" i="1"/>
  <c r="B18" i="1"/>
  <c r="B15" i="1"/>
  <c r="B6" i="1"/>
  <c r="B17" i="1"/>
  <c r="B16" i="1"/>
  <c r="B13" i="1"/>
  <c r="B20" i="1"/>
  <c r="F218" i="3" l="1"/>
  <c r="N218" i="3"/>
  <c r="G222" i="3"/>
  <c r="G218" i="3"/>
  <c r="O218" i="3"/>
  <c r="T224" i="3"/>
  <c r="S224" i="3"/>
  <c r="O222" i="3"/>
  <c r="T232" i="3"/>
  <c r="S233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I220" i="3" s="1"/>
  <c r="Q68" i="3"/>
  <c r="I79" i="3"/>
  <c r="Q79" i="3"/>
  <c r="I80" i="3"/>
  <c r="Q80" i="3"/>
  <c r="B67" i="3"/>
  <c r="J67" i="3"/>
  <c r="J219" i="3" s="1"/>
  <c r="B68" i="3"/>
  <c r="J68" i="3"/>
  <c r="B79" i="3"/>
  <c r="J79" i="3"/>
  <c r="B80" i="3"/>
  <c r="J80" i="3"/>
  <c r="B37" i="3"/>
  <c r="J37" i="3"/>
  <c r="J189" i="3" s="1"/>
  <c r="B38" i="3"/>
  <c r="J38" i="3"/>
  <c r="B49" i="3"/>
  <c r="J49" i="3"/>
  <c r="B50" i="3"/>
  <c r="J50" i="3"/>
  <c r="C37" i="3"/>
  <c r="K37" i="3"/>
  <c r="K189" i="3" s="1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B192" i="3"/>
  <c r="J192" i="3"/>
  <c r="F194" i="3"/>
  <c r="N194" i="3"/>
  <c r="U188" i="3"/>
  <c r="S190" i="3"/>
  <c r="S202" i="3"/>
  <c r="C219" i="3"/>
  <c r="K219" i="3"/>
  <c r="C188" i="3"/>
  <c r="K188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191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77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F216" i="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P234" i="3" l="1"/>
  <c r="V135" i="3"/>
  <c r="V131" i="3"/>
  <c r="V134" i="3"/>
  <c r="V186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1" i="3"/>
  <c r="I142" i="3"/>
  <c r="I143" i="3"/>
  <c r="I140" i="3"/>
  <c r="I150" i="3"/>
  <c r="I146" i="3"/>
  <c r="I144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C77" i="3"/>
  <c r="C234" i="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I199" i="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5" i="3" l="1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64" i="3" s="1"/>
  <c r="B168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R139" i="3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B53" i="12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225" i="3" l="1"/>
  <c r="S47" i="3"/>
  <c r="S147" i="3" s="1"/>
  <c r="R144" i="3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<sst xmlns="http://schemas.openxmlformats.org/spreadsheetml/2006/main" count="2655" uniqueCount="1167">
  <si>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</si>
  <si>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</si>
  <si>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</si>
  <si>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</si>
  <si>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</si>
  <si>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</si>
  <si>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</si>
  <si>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</si>
  <si>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</si>
  <si>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</si>
  <si>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</si>
  <si>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</si>
  <si>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</si>
  <si>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</si>
  <si>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</si>
  <si>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</si>
  <si>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</si>
  <si>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</si>
  <si>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</si>
  <si>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</si>
  <si>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</si>
  <si>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</si>
  <si>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</si>
  <si>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</si>
  <si>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</si>
  <si>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</si>
  <si>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</si>
  <si>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</si>
  <si>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</si>
  <si>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</si>
  <si>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</si>
  <si>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</si>
  <si>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</si>
  <si>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</si>
  <si>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</si>
  <si>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</si>
  <si>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</si>
  <si>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</si>
  <si>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</si>
  <si>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</si>
  <si>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</si>
  <si>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</si>
  <si>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</si>
  <si>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</si>
  <si>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</si>
  <si>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</si>
  <si>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</si>
  <si>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</si>
  <si>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</si>
  <si>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</si>
  <si>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</si>
  <si>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</si>
  <si>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</si>
  <si>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</si>
  <si>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</si>
  <si>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</si>
  <si>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</si>
  <si>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</si>
  <si>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</si>
  <si>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</si>
  <si>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</si>
  <si>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</si>
  <si>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</si>
  <si>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</si>
  <si>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</si>
  <si>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</si>
  <si>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</si>
  <si>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</si>
  <si>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</si>
  <si>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</si>
  <si>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</si>
  <si>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</si>
  <si>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</si>
  <si>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</si>
  <si>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</si>
  <si>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</si>
  <si>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</si>
  <si>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</si>
  <si>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</si>
  <si>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</si>
  <si>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</si>
  <si>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</si>
  <si>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</si>
  <si>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</si>
  <si>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</si>
  <si>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</si>
  <si>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</si>
  <si>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</si>
  <si>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</si>
  <si>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</si>
  <si>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</si>
  <si>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</si>
  <si>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</si>
  <si>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</si>
  <si>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</si>
  <si>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</si>
  <si>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</si>
  <si>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</si>
  <si>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</si>
  <si>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</si>
  <si>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</si>
  <si>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</si>
  <si>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</si>
  <si>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</si>
  <si>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</si>
  <si>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</si>
  <si>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</si>
  <si>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</si>
  <si>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</si>
  <si>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</si>
  <si>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</si>
  <si>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</si>
  <si>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</si>
  <si>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</si>
  <si>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</si>
  <si>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</si>
  <si>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</si>
  <si>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</si>
  <si>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</si>
  <si>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</si>
  <si>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</si>
  <si>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</si>
  <si>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</si>
  <si>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</si>
  <si>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</si>
  <si>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</si>
  <si>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</si>
  <si>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</si>
  <si>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</si>
  <si>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</si>
  <si>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</si>
  <si>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</si>
  <si>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</si>
  <si>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</si>
  <si>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</si>
  <si>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</si>
  <si>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</si>
  <si>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</si>
  <si>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</si>
  <si>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</si>
  <si>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</si>
  <si>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</si>
  <si>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</si>
  <si>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</si>
  <si>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</si>
  <si>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</si>
  <si>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</si>
  <si>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</si>
  <si>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</si>
  <si>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</si>
  <si>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</si>
  <si>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</si>
  <si>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</si>
  <si>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</si>
  <si>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</si>
  <si>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</si>
  <si>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</si>
  <si>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</si>
  <si>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</si>
  <si>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</si>
  <si>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</si>
  <si>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</si>
  <si>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</si>
  <si>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</si>
  <si>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</si>
  <si>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</si>
  <si>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</si>
  <si>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</si>
  <si>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</si>
  <si>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</si>
  <si>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</si>
  <si>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</si>
  <si>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</si>
  <si>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</si>
  <si>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</si>
  <si>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</si>
  <si>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</si>
  <si>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</si>
  <si>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</si>
  <si>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</si>
  <si>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</si>
  <si>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</si>
  <si>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</si>
  <si>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</si>
  <si>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</si>
  <si>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</si>
  <si>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NL</t>
  </si>
  <si>
    <t>Netherlands</t>
  </si>
  <si>
    <t>Aviation - NL - Netherlands</t>
  </si>
  <si>
    <t>Activity.Mpkm.NL.Tr.Avia.Passenger</t>
  </si>
  <si>
    <t>Activity.Mpkm.NL.Tr.Avia.Passenger.Domestic</t>
  </si>
  <si>
    <t>Activity.Mpkm.NL.Tr.Avia.Passenger.IntraEEAwUK</t>
  </si>
  <si>
    <t>Activity.Mpkm.NL.Tr.Avia.Passenger.ExtraEEAwUK</t>
  </si>
  <si>
    <t>Activity.Mtkm.NL.Tr.Avia.Freight</t>
  </si>
  <si>
    <t>Activity.Mtkm.NL.Tr.Avia.Freight.Domestic</t>
  </si>
  <si>
    <t>Activity.Mtkm.NL.Tr.Avia.Freight.IntraEEAwUK</t>
  </si>
  <si>
    <t>Activity.Mtkm.NL.Tr.Avia.Freight.ExtraEEAwUK</t>
  </si>
  <si>
    <t>VehicleKm.Mkm.NL.Tr.Avia</t>
  </si>
  <si>
    <t>VehicleKm.Mkm.NL.Tr.Avia.Passenger</t>
  </si>
  <si>
    <t>VehicleKm.Mkm.NL.Tr.Avia.Passenger.Domestic</t>
  </si>
  <si>
    <t>VehicleKm.Mkm.NL.Tr.Avia.Passenger.IntraEEAwUK</t>
  </si>
  <si>
    <t>VehicleKm.Mkm.NL.Tr.Avia.Passenger.ExtraEEAwUK</t>
  </si>
  <si>
    <t>VehicleKm.Mkm.NL.Tr.Avia.Freight</t>
  </si>
  <si>
    <t>VehicleKm.Mkm.NL.Tr.Avia.Freight.Domestic</t>
  </si>
  <si>
    <t>VehicleKm.Mkm.NL.Tr.Avia.Freight.IntraEEAwUK</t>
  </si>
  <si>
    <t>VehicleKm.Mkm.NL.Tr.Avia.Freight.ExtraEEAwUK</t>
  </si>
  <si>
    <t>Flights.number.NL.Tr.Avia</t>
  </si>
  <si>
    <t>Flights.number.NL.Tr.Avia.Passenger</t>
  </si>
  <si>
    <t>Flights.number.NL.Tr.Avia.Passenger.Domestic</t>
  </si>
  <si>
    <t>Flights.number.NL.Tr.Avia.Passenger.IntraEEAwUK</t>
  </si>
  <si>
    <t>Flights.number.NL.Tr.Avia.Passenger.ExtraEEAwUK</t>
  </si>
  <si>
    <t>Flights.number.NL.Tr.Avia.Freight</t>
  </si>
  <si>
    <t>Flights.number.NL.Tr.Avia.Freight.Domestic</t>
  </si>
  <si>
    <t>Flights.number.NL.Tr.Avia.Freight.IntraEEAwUK</t>
  </si>
  <si>
    <t>Flights.number.NL.Tr.Avia.Freight.ExtraEEAwUK</t>
  </si>
  <si>
    <t>VolCarried.passenger.NL.Tr.Avia.Passenger</t>
  </si>
  <si>
    <t>VolCarried.passenger.NL.Tr.Avia.Passenger.Domestic</t>
  </si>
  <si>
    <t>VolCarried.passenger.NL.Tr.Avia.Passenger.IntraEEAwUK</t>
  </si>
  <si>
    <t>VolCarried.passenger.NL.Tr.Avia.Passenger.ExtraEEAwUK</t>
  </si>
  <si>
    <t>VolCarried.t.NL.Tr.Avia.Freight</t>
  </si>
  <si>
    <t>VolCarried.t.NL.Tr.Avia.Freight.Domestic</t>
  </si>
  <si>
    <t>VolCarried.t.NL.Tr.Avia.Freight.IntraEEAwUK</t>
  </si>
  <si>
    <t>VolCarried.t.NL.Tr.Avia.Freight.ExtraEEAwUK</t>
  </si>
  <si>
    <t>Stock.number.NL.Tr.Avia</t>
  </si>
  <si>
    <t>Stock.number.NL.Tr.Avia.Passenger</t>
  </si>
  <si>
    <t>Stock.number.NL.Tr.Avia.Passenger.Domestic</t>
  </si>
  <si>
    <t>Stock.number.NL.Tr.Avia.Passenger.IntraEEAwUK</t>
  </si>
  <si>
    <t>Stock.number.NL.Tr.Avia.Passenger.ExtraEEAwUK</t>
  </si>
  <si>
    <t>Stock.number.NL.Tr.Avia.Freight</t>
  </si>
  <si>
    <t>Stock.number.NL.Tr.Avia.Freight.Domestic</t>
  </si>
  <si>
    <t>Stock.number.NL.Tr.Avia.Freight.IntraEEAwUK</t>
  </si>
  <si>
    <t>Stock.number.NL.Tr.Avia.Freight.ExtraEEAwUK</t>
  </si>
  <si>
    <t>StockNew.number.NL.Tr.Avia</t>
  </si>
  <si>
    <t>StockNew.number.NL.Tr.Avia.Passenger</t>
  </si>
  <si>
    <t>StockNew.number.NL.Tr.Avia.Passenger.Domestic</t>
  </si>
  <si>
    <t>StockNew.number.NL.Tr.Avia.Passenger.IntraEEAwUK</t>
  </si>
  <si>
    <t>StockNew.number.NL.Tr.Avia.Passenger.ExtraEEAwUK</t>
  </si>
  <si>
    <t>StockNew.number.NL.Tr.Avia.Freight</t>
  </si>
  <si>
    <t>StockNew.number.NL.Tr.Avia.Freight.Domestic</t>
  </si>
  <si>
    <t>StockNew.number.NL.Tr.Avia.Freight.IntraEEAwUK</t>
  </si>
  <si>
    <t>StockNew.number.NL.Tr.Avia.Freight.ExtraEEAwUK</t>
  </si>
  <si>
    <t>Load.passenger_per_movement.NL.Tr.Avia.Passenger</t>
  </si>
  <si>
    <t>Load.passenger_per_movement.NL.Tr.Avia.Passenger.Domestic</t>
  </si>
  <si>
    <t>Load.passenger_per_movement.NL.Tr.Avia.Passenger.IntraEEAwUK</t>
  </si>
  <si>
    <t>Load.passenger_per_movement.NL.Tr.Avia.Passenger.ExtraEEAwUK</t>
  </si>
  <si>
    <t>Load.t_per_movement.NL.Tr.Avia.Freight</t>
  </si>
  <si>
    <t>Load.t_per_movement.NL.Tr.Avia.Freight.Domestic</t>
  </si>
  <si>
    <t>Load.t_per_movement.NL.Tr.Avia.Freight.IntraEEAwUK</t>
  </si>
  <si>
    <t>Load.t_per_movement.NL.Tr.Avia.Freight.ExtraEEAwUK</t>
  </si>
  <si>
    <t>VehicleKm_per_flight.km.NL.Tr.Avia</t>
  </si>
  <si>
    <t>VehicleKm_per_flight.km.NL.Tr.Avia.Passenger</t>
  </si>
  <si>
    <t>VehicleKm_per_flight.km.NL.Tr.Avia.Passenger.Domestic</t>
  </si>
  <si>
    <t>VehicleKm_per_flight.km.NL.Tr.Avia.Passenger.IntraEEAwUK</t>
  </si>
  <si>
    <t>VehicleKm_per_flight.km.NL.Tr.Avia.Passenger.ExtraEEAwUK</t>
  </si>
  <si>
    <t>VehicleKm_per_flight.km.NL.Tr.Avia.Freight</t>
  </si>
  <si>
    <t>VehicleKm_per_flight.km.NL.Tr.Avia.Freight.Domestic</t>
  </si>
  <si>
    <t>VehicleKm_per_flight.km.NL.Tr.Avia.Freight.IntraEEAwUK</t>
  </si>
  <si>
    <t>VehicleKm_per_flight.km.NL.Tr.Avia.Freight.ExtraEEAwUK</t>
  </si>
  <si>
    <t>Activity_per_flight.pkm.NL.Tr.Avia.Passenger</t>
  </si>
  <si>
    <t>Activity_per_flight.pkm.NL.Tr.Avia.Passenger.Domestic</t>
  </si>
  <si>
    <t>Activity_per_flight.pkm.NL.Tr.Avia.Passenger.IntraEEAwUK</t>
  </si>
  <si>
    <t>Activity_per_flight.pkm.NL.Tr.Avia.Passenger.ExtraEEAwUK</t>
  </si>
  <si>
    <t>Activity_per_flight.tkm.NL.Tr.Avia.Freight</t>
  </si>
  <si>
    <t>Activity_per_flight.tkm.NL.Tr.Avia.Freight.Domestic</t>
  </si>
  <si>
    <t>Activity_per_flight.tkm.NL.Tr.Avia.Freight.IntraEEAwUK</t>
  </si>
  <si>
    <t>Activity_per_flight.tkm.NL.Tr.Avia.Freight.ExtraEEAwUK</t>
  </si>
  <si>
    <t>Flights_per_vehicle.number.NL.Tr.Avia</t>
  </si>
  <si>
    <t>Flights_per_vehicle.number.NL.Tr.Avia.Passenger</t>
  </si>
  <si>
    <t>Flights_per_vehicle.number.NL.Tr.Avia.Passenger.Domestic</t>
  </si>
  <si>
    <t>Flights_per_vehicle.number.NL.Tr.Avia.Passenger.IntraEEAwUK</t>
  </si>
  <si>
    <t>Flights_per_vehicle.number.NL.Tr.Avia.Passenger.ExtraEEAwUK</t>
  </si>
  <si>
    <t>Flights_per_vehicle.number.NL.Tr.Avia.Freight</t>
  </si>
  <si>
    <t>Flights_per_vehicle.number.NL.Tr.Avia.Freight.Domestic</t>
  </si>
  <si>
    <t>Flights_per_vehicle.number.NL.Tr.Avia.Freight.IntraEEAwUK</t>
  </si>
  <si>
    <t>Flights_per_vehicle.number.NL.Tr.Avia.Freight.ExtraEEAwUK</t>
  </si>
  <si>
    <t>Aviation / energy consumption - NL - Netherlands</t>
  </si>
  <si>
    <t>FEC.ktoe.NL.Tr.Avia</t>
  </si>
  <si>
    <t>FEC.ktoe.NL.Tr.Avia.Domestic</t>
  </si>
  <si>
    <t>FEC.ktoe.NL.Tr.Avia.International</t>
  </si>
  <si>
    <t>FEC.ktoe.NL.Tr.Avia.Passenger</t>
  </si>
  <si>
    <t>FEC.ktoe.NL.Tr.Avia.Passenger.Domestic</t>
  </si>
  <si>
    <t>FEC.ktoe.NL.Tr.Avia.Passenger.IntraEEAwUK</t>
  </si>
  <si>
    <t>FEC.ktoe.NL.Tr.Avia.Passenger.ExtraEEAwUK</t>
  </si>
  <si>
    <t>FEC.ktoe.NL.Tr.Avia.Freight</t>
  </si>
  <si>
    <t>FEC.ktoe.NL.Tr.Avia.Freight.Domestic</t>
  </si>
  <si>
    <t>FEC.ktoe.NL.Tr.Avia.Freight.IntraEEAwUK</t>
  </si>
  <si>
    <t>FEC.ktoe.NL.Tr.Avia.Freight.ExtraEEAwUK</t>
  </si>
  <si>
    <t>Eff.kgoe_per_100km.NL.Tr.Avia</t>
  </si>
  <si>
    <t>Eff.kgoe_per_100km.NL.Tr.Avia.Passenger</t>
  </si>
  <si>
    <t>Eff.kgoe_per_100km.NL.Tr.Avia.Passenger.Domestic</t>
  </si>
  <si>
    <t>Eff.kgoe_per_100km.NL.Tr.Avia.Passenger.IntraEEAwUK</t>
  </si>
  <si>
    <t>Eff.kgoe_per_100km.NL.Tr.Avia.Passenger.ExtraEEAwUK</t>
  </si>
  <si>
    <t>Eff.kgoe_per_100km.NL.Tr.Avia.Freight</t>
  </si>
  <si>
    <t>Eff.kgoe_per_100km.NL.Tr.Avia.Freight.Domestic</t>
  </si>
  <si>
    <t>Eff.kgoe_per_100km.NL.Tr.Avia.Freight.IntraEEAwUK</t>
  </si>
  <si>
    <t>Eff.kgoe_per_100km.NL.Tr.Avia.Freight.ExtraEEAwUK</t>
  </si>
  <si>
    <t>Eff.kgoe_per_kpkm.NL.Tr.Avia.Passenger</t>
  </si>
  <si>
    <t>Eff.kgoe_per_kpkm.NL.Tr.Avia.Passenger.Domestic</t>
  </si>
  <si>
    <t>Eff.kgoe_per_kpkm.NL.Tr.Avia.Passenger.IntraEEAwUK</t>
  </si>
  <si>
    <t>Eff.kgoe_per_kpkm.NL.Tr.Avia.Passenger.ExtraEEAwUK</t>
  </si>
  <si>
    <t>Eff.kgoe_per_ktkm.NL.Tr.Avia.Freight</t>
  </si>
  <si>
    <t>Eff.kgoe_per_ktkm.NL.Tr.Avia.Freight.Domestic</t>
  </si>
  <si>
    <t>Eff.kgoe_per_ktkm.NL.Tr.Avia.Freight.IntraEEAwUK</t>
  </si>
  <si>
    <t>Eff.kgoe_per_ktkm.NL.Tr.Avia.Freight.ExtraEEAwUK</t>
  </si>
  <si>
    <t>FEC_per_flight.kgoe.NL.Tr.Avia</t>
  </si>
  <si>
    <t>FEC_per_flight.kgoe.NL.Tr.Avia.Passenger</t>
  </si>
  <si>
    <t>FEC_per_flight.kgoe.NL.Tr.Avia.Passenger.Domestic</t>
  </si>
  <si>
    <t>FEC_per_flight.kgoe.NL.Tr.Avia.Passenger.IntraEEAwUK</t>
  </si>
  <si>
    <t>FEC_per_flight.kgoe.NL.Tr.Avia.Passenger.ExtraEEAwUK</t>
  </si>
  <si>
    <t>FEC_per_flight.kgoe.NL.Tr.Avia.Freight</t>
  </si>
  <si>
    <t>FEC_per_flight.kgoe.NL.Tr.Avia.Freight.Domestic</t>
  </si>
  <si>
    <t>FEC_per_flight.kgoe.NL.Tr.Avia.Freight.IntraEEAwUK</t>
  </si>
  <si>
    <t>FEC_per_flight.kgoe.NL.Tr.Avia.Freight.ExtraEEAwUK</t>
  </si>
  <si>
    <t>Eff_theor.kgoe_per_100km.NL.Tr.Avia</t>
  </si>
  <si>
    <t>Eff_theor.kgoe_per_100km.NL.Tr.Avia.Passenger</t>
  </si>
  <si>
    <t>Eff_theor.kgoe_per_100km.NL.Tr.Avia.Passenger.Domestic</t>
  </si>
  <si>
    <t>Eff_theor.kgoe_per_100km.NL.Tr.Avia.Passenger.IntraEEAwUK</t>
  </si>
  <si>
    <t>Eff_theor.kgoe_per_100km.NL.Tr.Avia.Passenger.ExtraEEAwUK</t>
  </si>
  <si>
    <t>Eff_theor.kgoe_per_100km.NL.Tr.Avia.Freight</t>
  </si>
  <si>
    <t>Eff_theor.kgoe_per_100km.NL.Tr.Avia.Freight.Domestic</t>
  </si>
  <si>
    <t>Eff_theor.kgoe_per_100km.NL.Tr.Avia.Freight.IntraEEAwUK</t>
  </si>
  <si>
    <t>Eff_theor.kgoe_per_100km.NL.Tr.Avia.Freight.ExtraEEAwUK</t>
  </si>
  <si>
    <t>Aviation / CO2 emissions - NL - Netherlands</t>
  </si>
  <si>
    <t>EMI.ktCO2.NL.Tr.Avia</t>
  </si>
  <si>
    <t>EMI.ktCO2.NL.Tr.Avia.Domestic</t>
  </si>
  <si>
    <t>EMI.ktCO2.NL.Tr.Avia.International</t>
  </si>
  <si>
    <t>EMI.ktCO2.NL.Tr.Avia.Passenger</t>
  </si>
  <si>
    <t>EMI.ktCO2.NL.Tr.Avia.Passenger.Domestic</t>
  </si>
  <si>
    <t>EMI.ktCO2.NL.Tr.Avia.Passenger.IntraEEAwUK</t>
  </si>
  <si>
    <t>EMI.ktCO2.NL.Tr.Avia.Passenger.ExtraEEAwUK</t>
  </si>
  <si>
    <t>EMI.ktCO2.NL.Tr.Avia.Freight</t>
  </si>
  <si>
    <t>EMI.ktCO2.NL.Tr.Avia.Freight.Domestic</t>
  </si>
  <si>
    <t>EMI.ktCO2.NL.Tr.Avia.Freight.IntraEEAwUK</t>
  </si>
  <si>
    <t>EMI.ktCO2.NL.Tr.Avia.Freight.ExtraEEAwUK</t>
  </si>
  <si>
    <t>EMIint.gCO2_per_km.NL.Tr.Avia</t>
  </si>
  <si>
    <t>EMIint.gCO2_per_km.NL.Tr.Avia.Passenger</t>
  </si>
  <si>
    <t>EMIint.gCO2_per_km.NL.Tr.Avia.Passenger.Domestic</t>
  </si>
  <si>
    <t>EMIint.gCO2_per_km.NL.Tr.Avia.Passenger.IntraEEAwUK</t>
  </si>
  <si>
    <t>EMIint.gCO2_per_km.NL.Tr.Avia.Passenger.ExtraEEAwUK</t>
  </si>
  <si>
    <t>EMIint.gCO2_per_km.NL.Tr.Avia.Freight</t>
  </si>
  <si>
    <t>EMIint.gCO2_per_km.NL.Tr.Avia.Freight.Domestic</t>
  </si>
  <si>
    <t>EMIint.gCO2_per_km.NL.Tr.Avia.Freight.IntraEEAwUK</t>
  </si>
  <si>
    <t>EMIint.gCO2_per_km.NL.Tr.Avia.Freight.ExtraEEAwUK</t>
  </si>
  <si>
    <t>EMIint.gCO2_per_pkm.NL.Tr.Avia.Passenger</t>
  </si>
  <si>
    <t>EMIint.gCO2_per_pkm.NL.Tr.Avia.Passenger.Domestic</t>
  </si>
  <si>
    <t>EMIint.gCO2_per_pkm.NL.Tr.Avia.Passenger.IntraEEAwUK</t>
  </si>
  <si>
    <t>EMIint.gCO2_per_pkm.NL.Tr.Avia.Passenger.ExtraEEAwUK</t>
  </si>
  <si>
    <t>EMIint.gCO2_per_tkm.NL.Tr.Avia.Freight</t>
  </si>
  <si>
    <t>EMIint.gCO2_per_tkm.NL.Tr.Avia.Freight.Domestic</t>
  </si>
  <si>
    <t>EMIint.gCO2_per_tkm.NL.Tr.Avia.Freight.IntraEEAwUK</t>
  </si>
  <si>
    <t>EMIint.gCO2_per_tkm.NL.Tr.Avia.Freight.ExtraEEAwUK</t>
  </si>
  <si>
    <t>EMI_per_flight.kgCO2.NL.Tr.Avia</t>
  </si>
  <si>
    <t>EMI_per_flight.kgCO2.NL.Tr.Avia.Passenger</t>
  </si>
  <si>
    <t>EMI_per_flight.kgCO2.NL.Tr.Avia.Passenger.Domestic</t>
  </si>
  <si>
    <t>EMI_per_flight.kgCO2.NL.Tr.Avia.Passenger.IntraEEAwUK</t>
  </si>
  <si>
    <t>EMI_per_flight.kgCO2.NL.Tr.Avia.Passenger.ExtraEEAwUK</t>
  </si>
  <si>
    <t>EMI_per_flight.kgCO2.NL.Tr.Avia.Freight</t>
  </si>
  <si>
    <t>EMI_per_flight.kgCO2.NL.Tr.Avia.Freight.Domestic</t>
  </si>
  <si>
    <t>EMI_per_flight.kgCO2.NL.Tr.Avia.Freight.IntraEEAwUK</t>
  </si>
  <si>
    <t>EMI_per_flight.kgCO2.NL.Tr.Avia.Freight.ExtraEEAwUK</t>
  </si>
  <si>
    <t>Aviation / passenger transport specific data - NL - Netherlands</t>
  </si>
  <si>
    <t>TrCap.seats.NL.Tr.Avia.Passenger</t>
  </si>
  <si>
    <t>TrCap.seats.NL.Tr.Avia.Passenger.Domestic</t>
  </si>
  <si>
    <t>TrCap.seats.NL.Tr.Avia.Passenger.IntraEEAwUK</t>
  </si>
  <si>
    <t>TrCap.seats.NL.Tr.Avia.Passenger.ExtraEEAwUK</t>
  </si>
  <si>
    <t>TrCap_per_flight.seats.NL.Tr.Avia.Passenger</t>
  </si>
  <si>
    <t>TrCap_per_flight.seats.NL.Tr.Avia.Passenger.Domestic</t>
  </si>
  <si>
    <t>TrCap_per_flight.seats.NL.Tr.Avia.Passenger.IntraEEAwUK</t>
  </si>
  <si>
    <t>TrCap_per_flight.seats.NL.Tr.Avia.Passenger.ExtraEEAwUK</t>
  </si>
  <si>
    <t>Transport overview - NL - Netherlands</t>
  </si>
  <si>
    <t>Activity.Mpkm.NL.Tr</t>
  </si>
  <si>
    <t>Activity.Mpkm.NL.Tr.Road.Passenger</t>
  </si>
  <si>
    <t>Activity.Mpkm.NL.Tr.Road.Passenger.P2W</t>
  </si>
  <si>
    <t>Activity.Mpkm.NL.Tr.Road.Passenger.Car</t>
  </si>
  <si>
    <t>Activity.Mpkm.NL.Tr.Road.Passenger.Bus</t>
  </si>
  <si>
    <t>Activity.Mpkm.NL.Tr.Rail.Passenger</t>
  </si>
  <si>
    <t>Activity.Mpkm.NL.Tr.Rail.Passenger.MTU</t>
  </si>
  <si>
    <t>Activity.Mpkm.NL.Tr.Rail.Passenger.CPT</t>
  </si>
  <si>
    <t>Activity.Mpkm.NL.Tr.Rail.Passenger.HST</t>
  </si>
  <si>
    <t>Activity.Mtkm.NL.Tr</t>
  </si>
  <si>
    <t>Activity.Mtkm.NL.Tr.Road.Freight</t>
  </si>
  <si>
    <t>Activity.Mtkm.NL.Tr.Road.Freight.LCV</t>
  </si>
  <si>
    <t>Activity.Mtkm.NL.Tr.Road.Freight.HGV</t>
  </si>
  <si>
    <t>Activity.Mtkm.NL.Tr.Rail.Freight</t>
  </si>
  <si>
    <t>Activity.Mtkm.NL.Tr.DNavi.Freight</t>
  </si>
  <si>
    <t>Activity.Mtkm.NL.Tr.DNavi.Freight.DCS</t>
  </si>
  <si>
    <t>Activity.Mtkm.NL.Tr.DNavi.Freight.IWW</t>
  </si>
  <si>
    <t>Activity.Mtkm.NL.MBunk.Freight</t>
  </si>
  <si>
    <t>Activity.Mtkm.NL.MBunk.Freight.IntraEEA</t>
  </si>
  <si>
    <t>Activity.Mtkm.NL.MBunk.Freight.ExtraEEA</t>
  </si>
  <si>
    <t>FEC.ktoe.NL.Tr.Road.Passenger</t>
  </si>
  <si>
    <t>FEC.ktoe.NL.Tr.Road.Passenger.P2W</t>
  </si>
  <si>
    <t>FEC.ktoe.NL.Tr.Road.Passenger.Car</t>
  </si>
  <si>
    <t>FEC.ktoe.NL.Tr.Road.Passenger.Bus</t>
  </si>
  <si>
    <t>FEC.ktoe.NL.Tr.Rail.Passenger</t>
  </si>
  <si>
    <t>FEC.ktoe.NL.Tr.Rail.Passenger.MTU</t>
  </si>
  <si>
    <t>FEC.ktoe.NL.Tr.Rail.Passenger.CPT</t>
  </si>
  <si>
    <t>FEC.ktoe.NL.Tr.Rail.Passenger.HST</t>
  </si>
  <si>
    <t>FEC.ktoe.NL.Tr.Road.Freight</t>
  </si>
  <si>
    <t>FEC.ktoe.NL.Tr.Road.Freight.LCV</t>
  </si>
  <si>
    <t>FEC.ktoe.NL.Tr.Road.Freight.HGV</t>
  </si>
  <si>
    <t>FEC.ktoe.NL.Tr.Rail.Freight</t>
  </si>
  <si>
    <t>EMI.ktCO2.NL.Tr.Road.Passenger</t>
  </si>
  <si>
    <t>EMI.ktCO2.NL.Tr.Road.Passenger.P2W</t>
  </si>
  <si>
    <t>EMI.ktCO2.NL.Tr.Road.Passenger.Car</t>
  </si>
  <si>
    <t>EMI.ktCO2.NL.Tr.Road.Passenger.Bus</t>
  </si>
  <si>
    <t>EMI.ktCO2.NL.Tr.Rail.Passenger</t>
  </si>
  <si>
    <t>EMI.ktCO2.NL.Tr.Rail.Passenger.MTU</t>
  </si>
  <si>
    <t>EMI.ktCO2.NL.Tr.Rail.Passenger.CPT</t>
  </si>
  <si>
    <t>EMI.ktCO2.NL.Tr.Rail.Passenger.HST</t>
  </si>
  <si>
    <t>EMI.ktCO2.NL.Tr.Road.Freight</t>
  </si>
  <si>
    <t>EMI.ktCO2.NL.Tr.Road.Freight.LCV</t>
  </si>
  <si>
    <t>EMI.ktCO2.NL.Tr.Road.Freight.HGV</t>
  </si>
  <si>
    <t>EMI.ktCO2.NL.Tr.Rail.Freight</t>
  </si>
  <si>
    <t>Eff.kgoe_per_kpkm.NL.Tr</t>
  </si>
  <si>
    <t>Eff.kgoe_per_kpkm.NL.Tr.Road.Passenger</t>
  </si>
  <si>
    <t>Eff.kgoe_per_kpkm.NL.Tr.Road.Passenger.P2W</t>
  </si>
  <si>
    <t>Eff.kgoe_per_kpkm.NL.Tr.Road.Passenger.Car</t>
  </si>
  <si>
    <t>Eff.kgoe_per_kpkm.NL.Tr.Road.Passenger.Bus</t>
  </si>
  <si>
    <t>Eff.kgoe_per_kpkm.NL.Tr.Rail.Passenger</t>
  </si>
  <si>
    <t>Eff.kgoe_per_kpkm.NL.Tr.Rail.Passenger.MTU</t>
  </si>
  <si>
    <t>Eff.kgoe_per_kpkm.NL.Tr.Rail.Passenger.CPT</t>
  </si>
  <si>
    <t>Eff.kgoe_per_kpkm.NL.Tr.Rail.Passenger.HST</t>
  </si>
  <si>
    <t>Eff.kgoe_per_ktkm.NL.Tr</t>
  </si>
  <si>
    <t>Eff.kgoe_per_ktkm.NL.Tr.Road.Freight</t>
  </si>
  <si>
    <t>Eff.kgoe_per_ktkm.NL.Tr.Road.Freight.LCV</t>
  </si>
  <si>
    <t>Eff.kgoe_per_ktkm.NL.Tr.Road.Freight.HGV</t>
  </si>
  <si>
    <t>Eff.kgoe_per_ktkm.NL.Tr.Rail.Freight</t>
  </si>
  <si>
    <t>Eff.kgoe_per_ktkm.NL.Tr.DNavi.Freight</t>
  </si>
  <si>
    <t>Eff.kgoe_per_ktkm.NL.Tr.DNavi.Freight.DCS</t>
  </si>
  <si>
    <t>Eff.kgoe_per_ktkm.NL.Tr.DNavi.Freight.IWW</t>
  </si>
  <si>
    <t>Eff.kgoe_per_ktkm.NL.MBunk.Freight</t>
  </si>
  <si>
    <t>Eff.kgoe_per_ktkm.NL.MBunk.Freight.IntraEEA</t>
  </si>
  <si>
    <t>Eff.kgoe_per_ktkm.NL.MBunk.Freight.ExtraEEA</t>
  </si>
  <si>
    <t>EMIint.gCO2_per_pkm.NL.Tr</t>
  </si>
  <si>
    <t>EMIint.gCO2_per_pkm.NL.Tr.Road.Passenger</t>
  </si>
  <si>
    <t>EMIint.gCO2_per_pkm.NL.Tr.Road.Passenger.P2W</t>
  </si>
  <si>
    <t>EMIint.gCO2_per_pkm.NL.Tr.Road.Passenger.Car</t>
  </si>
  <si>
    <t>EMIint.gCO2_per_pkm.NL.Tr.Road.Passenger.Bus</t>
  </si>
  <si>
    <t>EMIint.gCO2_per_pkm.NL.Tr.Rail.Passenger</t>
  </si>
  <si>
    <t>EMIint.gCO2_per_pkm.NL.Tr.Rail.Passenger.MTU</t>
  </si>
  <si>
    <t>EMIint.gCO2_per_pkm.NL.Tr.Rail.Passenger.CPT</t>
  </si>
  <si>
    <t>EMIint.gCO2_per_pkm.NL.Tr.Rail.Passenger.HST</t>
  </si>
  <si>
    <t>EMIint.gCO2_per_tkm.NL.Tr</t>
  </si>
  <si>
    <t>EMIint.gCO2_per_tkm.NL.Tr.Road.Freight</t>
  </si>
  <si>
    <t>EMIint.gCO2_per_tkm.NL.Tr.Road.Freight.LCV</t>
  </si>
  <si>
    <t>EMIint.gCO2_per_tkm.NL.Tr.Road.Freight.HGV</t>
  </si>
  <si>
    <t>EMIint.gCO2_per_tkm.NL.Tr.Rail.Freight</t>
  </si>
  <si>
    <t>EMIint.gCO2_per_tkm.NL.Tr.DNavi.Freight</t>
  </si>
  <si>
    <t>EMIint.gCO2_per_tkm.NL.Tr.DNavi.Freight.DCS</t>
  </si>
  <si>
    <t>EMIint.gCO2_per_tkm.NL.Tr.DNavi.Freight.IWW</t>
  </si>
  <si>
    <t>EMIint.gCO2_per_tkm.NL.MBunk.Freight</t>
  </si>
  <si>
    <t>EMIint.gCO2_per_tkm.NL.MBunk.Freight.IntraEEA</t>
  </si>
  <si>
    <t>EMIint.gCO2_per_tkm.NL.MBunk.Freight.ExtraEEA</t>
  </si>
  <si>
    <t>Road transport - NL - Netherlands</t>
  </si>
  <si>
    <t>Activity.Mpkm.NL.Tr.Road.Passenger.Car.ICE.Gasoline</t>
  </si>
  <si>
    <t>Activity.Mpkm.NL.Tr.Road.Passenger.Car.ICE.Diesel</t>
  </si>
  <si>
    <t>Activity.Mpkm.NL.Tr.Road.Passenger.Car.ICE.LPG</t>
  </si>
  <si>
    <t>Activity.Mpkm.NL.Tr.Road.Passenger.Car.ICE.NGas</t>
  </si>
  <si>
    <t>Activity.Mpkm.NL.Tr.Road.Passenger.Car.PHEV</t>
  </si>
  <si>
    <t>Activity.Mpkm.NL.Tr.Road.Passenger.Car.BEV</t>
  </si>
  <si>
    <t>Activity.Mpkm.NL.Tr.Road.Passenger.Bus.ICE.Gasoline</t>
  </si>
  <si>
    <t>Activity.Mpkm.NL.Tr.Road.Passenger.Bus.ICE.Diesel</t>
  </si>
  <si>
    <t>Activity.Mpkm.NL.Tr.Road.Passenger.Bus.ICE.LPG</t>
  </si>
  <si>
    <t>Activity.Mpkm.NL.Tr.Road.Passenger.Bus.ICE.NGas</t>
  </si>
  <si>
    <t>Activity.Mpkm.NL.Tr.Road.Passenger.Bus.ICE.BEV</t>
  </si>
  <si>
    <t>Activity.Mtkm.NL.Tr.Road.Freight.LCV.ICE.Gasoline</t>
  </si>
  <si>
    <t>Activity.Mtkm.NL.Tr.Road.Freight.LCV.ICE.Diesel</t>
  </si>
  <si>
    <t>Activity.Mtkm.NL.Tr.Road.Freight.LCV.ICE.LPG</t>
  </si>
  <si>
    <t>Activity.Mtkm.NL.Tr.Road.Freight.LCV.ICE.NGas</t>
  </si>
  <si>
    <t>Activity.Mtkm.NL.Tr.Road.Freight.LCV.ICE.BEV</t>
  </si>
  <si>
    <t>Activity.Mtkm.NL.Tr.Road.Freight.HGV.Domestic</t>
  </si>
  <si>
    <t>Activity.Mtkm.NL.Tr.Road.Freight.HGV.International</t>
  </si>
  <si>
    <t>VehicleKm.Mkm.NL.Tr.Road</t>
  </si>
  <si>
    <t>VehicleKm.Mkm.NL.Tr.Road.Passenger</t>
  </si>
  <si>
    <t>VehicleKm.Mkm.NL.Tr.Road.Passenger.P2W</t>
  </si>
  <si>
    <t>VehicleKm.Mkm.NL.Tr.Road.Passenger.Car</t>
  </si>
  <si>
    <t>VehicleKm.Mkm.NL.Tr.Road.Passenger.Car.ICE.Gasoline</t>
  </si>
  <si>
    <t>VehicleKm.Mkm.NL.Tr.Road.Passenger.Car.ICE.Diesel</t>
  </si>
  <si>
    <t>VehicleKm.Mkm.NL.Tr.Road.Passenger.Car.ICE.LPG</t>
  </si>
  <si>
    <t>VehicleKm.Mkm.NL.Tr.Road.Passenger.Car.ICE.NGas</t>
  </si>
  <si>
    <t>VehicleKm.Mkm.NL.Tr.Road.Passenger.Car.PHEV</t>
  </si>
  <si>
    <t>VehicleKm.Mkm.NL.Tr.Road.Passenger.Car.BEV</t>
  </si>
  <si>
    <t>VehicleKm.Mkm.NL.Tr.Road.Passenger.Bus</t>
  </si>
  <si>
    <t>VehicleKm.Mkm.NL.Tr.Road.Passenger.Bus.ICE.Gasoline</t>
  </si>
  <si>
    <t>VehicleKm.Mkm.NL.Tr.Road.Passenger.Bus.ICE.Diesel</t>
  </si>
  <si>
    <t>VehicleKm.Mkm.NL.Tr.Road.Passenger.Bus.ICE.LPG</t>
  </si>
  <si>
    <t>VehicleKm.Mkm.NL.Tr.Road.Passenger.Bus.ICE.NGas</t>
  </si>
  <si>
    <t>VehicleKm.Mkm.NL.Tr.Road.Passenger.Bus.ICE.BEV</t>
  </si>
  <si>
    <t>VehicleKm.Mkm.NL.Tr.Road.Freight</t>
  </si>
  <si>
    <t>VehicleKm.Mkm.NL.Tr.Road.Freight.LCV</t>
  </si>
  <si>
    <t>VehicleKm.Mkm.NL.Tr.Road.Freight.LCV.ICE.Gasoline</t>
  </si>
  <si>
    <t>VehicleKm.Mkm.NL.Tr.Road.Freight.LCV.ICE.Diesel</t>
  </si>
  <si>
    <t>VehicleKm.Mkm.NL.Tr.Road.Freight.LCV.ICE.LPG</t>
  </si>
  <si>
    <t>VehicleKm.Mkm.NL.Tr.Road.Freight.LCV.ICE.NGas</t>
  </si>
  <si>
    <t>VehicleKm.Mkm.NL.Tr.Road.Freight.LCV.ICE.BEV</t>
  </si>
  <si>
    <t>VehicleKm.Mkm.NL.Tr.Road.Freight.HGV</t>
  </si>
  <si>
    <t>VehicleKm.Mkm.NL.Tr.Road.Freight.HGV.Domestic</t>
  </si>
  <si>
    <t>VehicleKm.Mkm.NL.Tr.Road.Freight.HGV.International</t>
  </si>
  <si>
    <t>Stock.number.NL.Tr.Road</t>
  </si>
  <si>
    <t>Stock.number.NL.Tr.Road.Passenger</t>
  </si>
  <si>
    <t>Stock.number.NL.Tr.Road.Passenger.P2W</t>
  </si>
  <si>
    <t>Stock.number.NL.Tr.Road.Passenger.Car</t>
  </si>
  <si>
    <t>Stock.number.NL.Tr.Road.Passenger.Car.ICE.Gasoline</t>
  </si>
  <si>
    <t>Stock.number.NL.Tr.Road.Passenger.Car.ICE.Diesel</t>
  </si>
  <si>
    <t>Stock.number.NL.Tr.Road.Passenger.Car.ICE.LPG</t>
  </si>
  <si>
    <t>Stock.number.NL.Tr.Road.Passenger.Car.ICE.NGas</t>
  </si>
  <si>
    <t>Stock.number.NL.Tr.Road.Passenger.Car.PHEV</t>
  </si>
  <si>
    <t>Stock.number.NL.Tr.Road.Passenger.Car.BEV</t>
  </si>
  <si>
    <t>Stock.number.NL.Tr.Road.Passenger.Bus</t>
  </si>
  <si>
    <t>Stock.number.NL.Tr.Road.Passenger.Bus.ICE.Gasoline</t>
  </si>
  <si>
    <t>Stock.number.NL.Tr.Road.Passenger.Bus.ICE.Diesel</t>
  </si>
  <si>
    <t>Stock.number.NL.Tr.Road.Passenger.Bus.ICE.LPG</t>
  </si>
  <si>
    <t>Stock.number.NL.Tr.Road.Passenger.Bus.ICE.NGas</t>
  </si>
  <si>
    <t>Stock.number.NL.Tr.Road.Passenger.Bus.ICE.BEV</t>
  </si>
  <si>
    <t>Stock.number.NL.Tr.Road.Freight</t>
  </si>
  <si>
    <t>Stock.number.NL.Tr.Road.Freight.LCV</t>
  </si>
  <si>
    <t>Stock.number.NL.Tr.Road.Freight.LCV.ICE.Gasoline</t>
  </si>
  <si>
    <t>Stock.number.NL.Tr.Road.Freight.LCV.ICE.Diesel</t>
  </si>
  <si>
    <t>Stock.number.NL.Tr.Road.Freight.LCV.ICE.LPG</t>
  </si>
  <si>
    <t>Stock.number.NL.Tr.Road.Freight.LCV.ICE.NGas</t>
  </si>
  <si>
    <t>Stock.number.NL.Tr.Road.Freight.LCV.ICE.BEV</t>
  </si>
  <si>
    <t>Stock.number.NL.Tr.Road.Freight.HGV</t>
  </si>
  <si>
    <t>Stock.number.NL.Tr.Road.Freight.HGV.Domestic</t>
  </si>
  <si>
    <t>Stock.number.NL.Tr.Road.Freight.HGV.International</t>
  </si>
  <si>
    <t>StockNew.number.NL.Tr.Road</t>
  </si>
  <si>
    <t>StockNew.number.NL.Tr.Road.Passenger</t>
  </si>
  <si>
    <t>StockNew.number.NL.Tr.Road.Passenger.P2W</t>
  </si>
  <si>
    <t>StockNew.number.NL.Tr.Road.Passenger.Car</t>
  </si>
  <si>
    <t>StockNew.number.NL.Tr.Road.Passenger.Car.ICE.Gasoline</t>
  </si>
  <si>
    <t>StockNew.number.NL.Tr.Road.Passenger.Car.ICE.Diesel</t>
  </si>
  <si>
    <t>StockNew.number.NL.Tr.Road.Passenger.Car.ICE.LPG</t>
  </si>
  <si>
    <t>StockNew.number.NL.Tr.Road.Passenger.Car.ICE.NGas</t>
  </si>
  <si>
    <t>StockNew.number.NL.Tr.Road.Passenger.Car.PHEV</t>
  </si>
  <si>
    <t>StockNew.number.NL.Tr.Road.Passenger.Car.BEV</t>
  </si>
  <si>
    <t>StockNew.number.NL.Tr.Road.Passenger.Bus</t>
  </si>
  <si>
    <t>StockNew.number.NL.Tr.Road.Passenger.Bus.ICE.Gasoline</t>
  </si>
  <si>
    <t>StockNew.number.NL.Tr.Road.Passenger.Bus.ICE.Diesel</t>
  </si>
  <si>
    <t>StockNew.number.NL.Tr.Road.Passenger.Bus.ICE.LPG</t>
  </si>
  <si>
    <t>StockNew.number.NL.Tr.Road.Passenger.Bus.ICE.NGas</t>
  </si>
  <si>
    <t>StockNew.number.NL.Tr.Road.Passenger.Bus.ICE.BEV</t>
  </si>
  <si>
    <t>StockNew.number.NL.Tr.Road.Freight</t>
  </si>
  <si>
    <t>StockNew.number.NL.Tr.Road.Freight.LCV</t>
  </si>
  <si>
    <t>StockNew.number.NL.Tr.Road.Freight.LCV.ICE.Gasoline</t>
  </si>
  <si>
    <t>StockNew.number.NL.Tr.Road.Freight.LCV.ICE.Diesel</t>
  </si>
  <si>
    <t>StockNew.number.NL.Tr.Road.Freight.LCV.ICE.LPG</t>
  </si>
  <si>
    <t>StockNew.number.NL.Tr.Road.Freight.LCV.ICE.NGas</t>
  </si>
  <si>
    <t>StockNew.number.NL.Tr.Road.Freight.LCV.ICE.BEV</t>
  </si>
  <si>
    <t>StockNew.number.NL.Tr.Road.Freight.HGV</t>
  </si>
  <si>
    <t>StockNew.number.NL.Tr.Road.Freight.HGV.Domestic</t>
  </si>
  <si>
    <t>StockNew.number.NL.Tr.Road.Freight.HGV.International</t>
  </si>
  <si>
    <t>Load.passenger_per_movement.NL.Tr.Road.Passenger</t>
  </si>
  <si>
    <t>Load.passenger_per_movement.NL.Tr.Road.Passenger.P2W</t>
  </si>
  <si>
    <t>Load.passenger_per_movement.NL.Tr.Road.Passenger.Car</t>
  </si>
  <si>
    <t>Load.passenger_per_movement.NL.Tr.Road.Passenger.Car.ICE.Gasoline</t>
  </si>
  <si>
    <t>Load.passenger_per_movement.NL.Tr.Road.Passenger.Car.ICE.Diesel</t>
  </si>
  <si>
    <t>Load.passenger_per_movement.NL.Tr.Road.Passenger.Car.ICE.LPG</t>
  </si>
  <si>
    <t>Load.passenger_per_movement.NL.Tr.Road.Passenger.Car.ICE.NGas</t>
  </si>
  <si>
    <t>Load.passenger_per_movement.NL.Tr.Road.Passenger.Car.PHEV</t>
  </si>
  <si>
    <t>Load.passenger_per_movement.NL.Tr.Road.Passenger.Car.BEV</t>
  </si>
  <si>
    <t>Load.passenger_per_movement.NL.Tr.Road.Passenger.Bus</t>
  </si>
  <si>
    <t>Load.passenger_per_movement.NL.Tr.Road.Passenger.Bus.ICE.Gasoline</t>
  </si>
  <si>
    <t>Load.passenger_per_movement.NL.Tr.Road.Passenger.Bus.ICE.Diesel</t>
  </si>
  <si>
    <t>Load.passenger_per_movement.NL.Tr.Road.Passenger.Bus.ICE.LPG</t>
  </si>
  <si>
    <t>Load.passenger_per_movement.NL.Tr.Road.Passenger.Bus.ICE.NGas</t>
  </si>
  <si>
    <t>Load.passenger_per_movement.NL.Tr.Road.Passenger.Bus.ICE.BEV</t>
  </si>
  <si>
    <t>Load.t_per_movement.NL.Tr.Road.Freight</t>
  </si>
  <si>
    <t>Load.t_per_movement.NL.Tr.Road.Freight.LCV</t>
  </si>
  <si>
    <t>Load.t_per_movement.NL.Tr.Road.Freight.LCV.ICE.Gasoline</t>
  </si>
  <si>
    <t>Load.t_per_movement.NL.Tr.Road.Freight.LCV.ICE.Diesel</t>
  </si>
  <si>
    <t>Load.t_per_movement.NL.Tr.Road.Freight.LCV.ICE.LPG</t>
  </si>
  <si>
    <t>Load.t_per_movement.NL.Tr.Road.Freight.LCV.ICE.NGas</t>
  </si>
  <si>
    <t>Load.t_per_movement.NL.Tr.Road.Freight.LCV.ICE.BEV</t>
  </si>
  <si>
    <t>Load.t_per_movement.NL.Tr.Road.Freight.HGV</t>
  </si>
  <si>
    <t>Load.t_per_movement.NL.Tr.Road.Freight.HGV.Domestic</t>
  </si>
  <si>
    <t>Load.t_per_movement.NL.Tr.Road.Freight.HGV.International</t>
  </si>
  <si>
    <t>VehicleKm_per_vehicle.km.NL.Tr.Road</t>
  </si>
  <si>
    <t>VehicleKm_per_vehicle.km.NL.Tr.Road.Passenger</t>
  </si>
  <si>
    <t>VehicleKm_per_vehicle.km.NL.Tr.Road.Passenger.P2W</t>
  </si>
  <si>
    <t>VehicleKm_per_vehicle.km.NL.Tr.Road.Passenger.Car</t>
  </si>
  <si>
    <t>VehicleKm_per_vehicle.km.NL.Tr.Road.Passenger.Car.ICE.Gasoline</t>
  </si>
  <si>
    <t>VehicleKm_per_vehicle.km.NL.Tr.Road.Passenger.Car.ICE.Diesel</t>
  </si>
  <si>
    <t>VehicleKm_per_vehicle.km.NL.Tr.Road.Passenger.Car.ICE.LPG</t>
  </si>
  <si>
    <t>VehicleKm_per_vehicle.km.NL.Tr.Road.Passenger.Car.ICE.NGas</t>
  </si>
  <si>
    <t>VehicleKm_per_vehicle.km.NL.Tr.Road.Passenger.Car.PHEV</t>
  </si>
  <si>
    <t>VehicleKm_per_vehicle.km.NL.Tr.Road.Passenger.Car.BEV</t>
  </si>
  <si>
    <t>VehicleKm_per_vehicle.km.NL.Tr.Road.Passenger.Bus</t>
  </si>
  <si>
    <t>VehicleKm_per_vehicle.km.NL.Tr.Road.Passenger.Bus.ICE.Gasoline</t>
  </si>
  <si>
    <t>VehicleKm_per_vehicle.km.NL.Tr.Road.Passenger.Bus.ICE.Diesel</t>
  </si>
  <si>
    <t>VehicleKm_per_vehicle.km.NL.Tr.Road.Passenger.Bus.ICE.LPG</t>
  </si>
  <si>
    <t>VehicleKm_per_vehicle.km.NL.Tr.Road.Passenger.Bus.ICE.NGas</t>
  </si>
  <si>
    <t>VehicleKm_per_vehicle.km.NL.Tr.Road.Passenger.Bus.ICE.BEV</t>
  </si>
  <si>
    <t>VehicleKm_per_vehicle.km.NL.Tr.Road.Freight</t>
  </si>
  <si>
    <t>VehicleKm_per_vehicle.km.NL.Tr.Road.Freight.LCV</t>
  </si>
  <si>
    <t>VehicleKm_per_vehicle.km.NL.Tr.Road.Freight.LCV.ICE.Gasoline</t>
  </si>
  <si>
    <t>VehicleKm_per_vehicle.km.NL.Tr.Road.Freight.LCV.ICE.Diesel</t>
  </si>
  <si>
    <t>VehicleKm_per_vehicle.km.NL.Tr.Road.Freight.LCV.ICE.LPG</t>
  </si>
  <si>
    <t>VehicleKm_per_vehicle.km.NL.Tr.Road.Freight.LCV.ICE.NGas</t>
  </si>
  <si>
    <t>VehicleKm_per_vehicle.km.NL.Tr.Road.Freight.LCV.ICE.BEV</t>
  </si>
  <si>
    <t>VehicleKm_per_vehicle.km.NL.Tr.Road.Freight.HGV</t>
  </si>
  <si>
    <t>VehicleKm_per_vehicle.km.NL.Tr.Road.Freight.HGV.Domestic</t>
  </si>
  <si>
    <t>VehicleKm_per_vehicle.km.NL.Tr.Road.Freight.HGV.International</t>
  </si>
  <si>
    <t>Activity_per_vehicle.pkm.NL.Tr.Road.Passenger</t>
  </si>
  <si>
    <t>Activity_per_vehicle.pkm.NL.Tr.Road.Passenger.P2W</t>
  </si>
  <si>
    <t>Activity_per_vehicle.pkm.NL.Tr.Road.Passenger.Car</t>
  </si>
  <si>
    <t>Activity_per_vehicle.pkm.NL.Tr.Road.Passenger.Car.ICE.Gasoline</t>
  </si>
  <si>
    <t>Activity_per_vehicle.pkm.NL.Tr.Road.Passenger.Car.ICE.Diesel</t>
  </si>
  <si>
    <t>Activity_per_vehicle.pkm.NL.Tr.Road.Passenger.Car.ICE.LPG</t>
  </si>
  <si>
    <t>Activity_per_vehicle.pkm.NL.Tr.Road.Passenger.Car.ICE.NGas</t>
  </si>
  <si>
    <t>Activity_per_vehicle.pkm.NL.Tr.Road.Passenger.Car.PHEV</t>
  </si>
  <si>
    <t>Activity_per_vehicle.pkm.NL.Tr.Road.Passenger.Car.BEV</t>
  </si>
  <si>
    <t>Activity_per_vehicle.pkm.NL.Tr.Road.Passenger.Bus</t>
  </si>
  <si>
    <t>Activity_per_vehicle.pkm.NL.Tr.Road.Passenger.Bus.ICE.Gasoline</t>
  </si>
  <si>
    <t>Activity_per_vehicle.pkm.NL.Tr.Road.Passenger.Bus.ICE.Diesel</t>
  </si>
  <si>
    <t>Activity_per_vehicle.pkm.NL.Tr.Road.Passenger.Bus.ICE.LPG</t>
  </si>
  <si>
    <t>Activity_per_vehicle.pkm.NL.Tr.Road.Passenger.Bus.ICE.NGas</t>
  </si>
  <si>
    <t>Activity_per_vehicle.pkm.NL.Tr.Road.Passenger.Bus.ICE.BEV</t>
  </si>
  <si>
    <t>Activity_per_vehicle.tkm.NL.Tr.Road.Freight</t>
  </si>
  <si>
    <t>Activity_per_vehicle.tkm.NL.Tr.Road.Freight.LCV</t>
  </si>
  <si>
    <t>Activity_per_vehicle.tkm.NL.Tr.Road.Freight.LCV.ICE.Gasoline</t>
  </si>
  <si>
    <t>Activity_per_vehicle.tkm.NL.Tr.Road.Freight.LCV.ICE.Diesel</t>
  </si>
  <si>
    <t>Activity_per_vehicle.tkm.NL.Tr.Road.Freight.LCV.ICE.LPG</t>
  </si>
  <si>
    <t>Activity_per_vehicle.tkm.NL.Tr.Road.Freight.LCV.ICE.NGas</t>
  </si>
  <si>
    <t>Activity_per_vehicle.tkm.NL.Tr.Road.Freight.LCV.ICE.BEV</t>
  </si>
  <si>
    <t>Activity_per_vehicle.tkm.NL.Tr.Road.Freight.HGV</t>
  </si>
  <si>
    <t>Activity_per_vehicle.tkm.NL.Tr.Road.Freight.HGV.Domestic</t>
  </si>
  <si>
    <t>Activity_per_vehicle.tkm.NL.Tr.Road.Freight.HGV.International</t>
  </si>
  <si>
    <t>Road transport / energy consumption - NL - Netherlands</t>
  </si>
  <si>
    <t>FEC.ktoe.NL.ES.Tr.Road</t>
  </si>
  <si>
    <t>FEC.ktoe.NL.ES.Tr.Road.LPG</t>
  </si>
  <si>
    <t>FEC.ktoe.NL.ES.Tr.Road.Gasoline</t>
  </si>
  <si>
    <t>FEC.ktoe.NL.ES.Tr.Road.Diesel</t>
  </si>
  <si>
    <t>FEC.ktoe.NL.ES.Tr.Road.NG</t>
  </si>
  <si>
    <t>FEC.ktoe.NL.ES.Tr.Road.Biogas</t>
  </si>
  <si>
    <t>FEC.ktoe.NL.ES.Tr.Road.Biogasoline</t>
  </si>
  <si>
    <t>FEC.ktoe.NL.ES.Tr.Road.Biodiesel</t>
  </si>
  <si>
    <t>FEC.ktoe.NL.ES.Tr.Road.OthLiqBio</t>
  </si>
  <si>
    <t>FEC.ktoe.NL.ES.Tr.Road.Elec</t>
  </si>
  <si>
    <t>FEC.ktoe.NL.Tr.Road</t>
  </si>
  <si>
    <t>FEC.ktoe.NL.Tr.Road.Passenger.P2W.Biogasoline</t>
  </si>
  <si>
    <t>FEC.ktoe.NL.Tr.Road.Passenger.Car.ICE.Gasoline</t>
  </si>
  <si>
    <t>FEC.ktoe.NL.Tr.Road.Passenger.Car.ICE.Gasoline.Biogasoline</t>
  </si>
  <si>
    <t>FEC.ktoe.NL.Tr.Road.Passenger.Car.ICE.Diesel</t>
  </si>
  <si>
    <t>FEC.ktoe.NL.Tr.Road.Passenger.Car.ICE.Diesel.BioDiesel_OthLiqBio</t>
  </si>
  <si>
    <t>FEC.ktoe.NL.Tr.Road.Passenger.Car.ICE.LPG</t>
  </si>
  <si>
    <t>FEC.ktoe.NL.Tr.Road.Passenger.Car.ICE.NGas</t>
  </si>
  <si>
    <t>FEC.ktoe.NL.Tr.Road.Passenger.Car.ICE.NGas.Biogas</t>
  </si>
  <si>
    <t>FEC.ktoe.NL.Tr.Road.Passenger.Car.PHEV</t>
  </si>
  <si>
    <t>FEC.ktoe.NL.Tr.Road.Passenger.Car.PHEV.Biogasoline</t>
  </si>
  <si>
    <t>FEC.ktoe.NL.Tr.Road.Passenger.Car.PHEV.Elec</t>
  </si>
  <si>
    <t>FEC.ktoe.NL.Tr.Road.Passenger.Car.BEV</t>
  </si>
  <si>
    <t>FEC.ktoe.NL.Tr.Road.Passenger.Bus.ICE.Gasoline</t>
  </si>
  <si>
    <t>FEC.ktoe.NL.Tr.Road.Passenger.Bus.ICE.Gasoline.Biogasoline</t>
  </si>
  <si>
    <t>FEC.ktoe.NL.Tr.Road.Passenger.Bus.ICE.Diesel</t>
  </si>
  <si>
    <t>FEC.ktoe.NL.Tr.Road.Passenger.Bus.ICE.Diesel.BioDiesel_OthLiqBio</t>
  </si>
  <si>
    <t>FEC.ktoe.NL.Tr.Road.Passenger.Bus.ICE.LPG</t>
  </si>
  <si>
    <t>FEC.ktoe.NL.Tr.Road.Passenger.Bus.ICE.NGas</t>
  </si>
  <si>
    <t>FEC.ktoe.NL.Tr.Road.Passenger.Bus.ICE.NGas.Biogas</t>
  </si>
  <si>
    <t>FEC.ktoe.NL.Tr.Road.Passenger.Bus.ICE.BEV</t>
  </si>
  <si>
    <t>FEC.ktoe.NL.Tr.Road.Freight.LCV.ICE.Gasoline</t>
  </si>
  <si>
    <t>FEC.ktoe.NL.Tr.Road.Freight.LCV.ICE.Gasoline.Biogasoline</t>
  </si>
  <si>
    <t>FEC.ktoe.NL.Tr.Road.Freight.LCV.ICE.Diesel</t>
  </si>
  <si>
    <t>FEC.ktoe.NL.Tr.Road.Freight.LCV.ICE.Diesel.BioDiesel_OthLiqBio</t>
  </si>
  <si>
    <t>FEC.ktoe.NL.Tr.Road.Freight.LCV.ICE.LPG</t>
  </si>
  <si>
    <t>FEC.ktoe.NL.Tr.Road.Freight.LCV.ICE.NGas</t>
  </si>
  <si>
    <t>FEC.ktoe.NL.Tr.Road.Freight.LCV.ICE.NGas.Biogas</t>
  </si>
  <si>
    <t>FEC.ktoe.NL.Tr.Road.Freight.LCV.ICE.BEV</t>
  </si>
  <si>
    <t>FEC.ktoe.NL.Tr.Road.Freight.HGV.Domestic</t>
  </si>
  <si>
    <t>FEC.ktoe.NL.Tr.Road.Freight.HGV.Domestic.BioDiesel_OthLiqBio</t>
  </si>
  <si>
    <t>FEC.ktoe.NL.Tr.Road.Freight.HGV.International</t>
  </si>
  <si>
    <t>FEC.ktoe.NL.Tr.Road.Freight.HGV.International.BioDiesel_OthLiqBio</t>
  </si>
  <si>
    <t>Eff.kgoe_per_100km.NL.Tr.Road</t>
  </si>
  <si>
    <t>Eff.kgoe_per_100km.NL.Tr.Road.Passenger</t>
  </si>
  <si>
    <t>Eff.kgoe_per_100km.NL.Tr.Road.Passenger.P2W</t>
  </si>
  <si>
    <t>Eff.kgoe_per_100km.NL.Tr.Road.Passenger.Car</t>
  </si>
  <si>
    <t>Eff.kgoe_per_100km.NL.Tr.Road.Passenger.Car.ICE.Gasoline</t>
  </si>
  <si>
    <t>Eff.kgoe_per_100km.NL.Tr.Road.Passenger.Car.ICE.Diesel</t>
  </si>
  <si>
    <t>Eff.kgoe_per_100km.NL.Tr.Road.Passenger.Car.ICE.LPG</t>
  </si>
  <si>
    <t>Eff.kgoe_per_100km.NL.Tr.Road.Passenger.Car.ICE.NGas</t>
  </si>
  <si>
    <t>Eff.kgoe_per_100km.NL.Tr.Road.Passenger.Car.PHEV</t>
  </si>
  <si>
    <t>Eff.kgoe_per_100km.NL.Tr.Road.Passenger.Car.BEV</t>
  </si>
  <si>
    <t>Eff.kgoe_per_100km.NL.Tr.Road.Passenger.Bus</t>
  </si>
  <si>
    <t>Eff.kgoe_per_100km.NL.Tr.Road.Passenger.Bus.ICE.Gasoline</t>
  </si>
  <si>
    <t>Eff.kgoe_per_100km.NL.Tr.Road.Passenger.Bus.ICE.Diesel</t>
  </si>
  <si>
    <t>Eff.kgoe_per_100km.NL.Tr.Road.Passenger.Bus.ICE.LPG</t>
  </si>
  <si>
    <t>Eff.kgoe_per_100km.NL.Tr.Road.Passenger.Bus.ICE.NGas</t>
  </si>
  <si>
    <t>Eff.kgoe_per_100km.NL.Tr.Road.Passenger.Bus.ICE.BEV</t>
  </si>
  <si>
    <t>Eff.kgoe_per_100km.NL.Tr.Road.Freight</t>
  </si>
  <si>
    <t>Eff.kgoe_per_100km.NL.Tr.Road.Freight.LCV</t>
  </si>
  <si>
    <t>Eff.kgoe_per_100km.NL.Tr.Road.Freight.LCV.ICE.Gasoline</t>
  </si>
  <si>
    <t>Eff.kgoe_per_100km.NL.Tr.Road.Freight.LCV.ICE.Diesel</t>
  </si>
  <si>
    <t>Eff.kgoe_per_100km.NL.Tr.Road.Freight.LCV.ICE.LPG</t>
  </si>
  <si>
    <t>Eff.kgoe_per_100km.NL.Tr.Road.Freight.LCV.ICE.NGas</t>
  </si>
  <si>
    <t>Eff.kgoe_per_100km.NL.Tr.Road.Freight.LCV.ICE.BEV</t>
  </si>
  <si>
    <t>Eff.kgoe_per_100km.NL.Tr.Road.Freight.HGV</t>
  </si>
  <si>
    <t>Eff.kgoe_per_100km.NL.Tr.Road.Freight.HGV.Domestic</t>
  </si>
  <si>
    <t>Eff.kgoe_per_100km.NL.Tr.Road.Freight.HGV.International</t>
  </si>
  <si>
    <t>Eff.kgoe_per_kpkm.NL.Tr.Road.Passenger.Car.ICE.Gasoline</t>
  </si>
  <si>
    <t>Eff.kgoe_per_kpkm.NL.Tr.Road.Passenger.Car.ICE.Diesel</t>
  </si>
  <si>
    <t>Eff.kgoe_per_kpkm.NL.Tr.Road.Passenger.Car.ICE.LPG</t>
  </si>
  <si>
    <t>Eff.kgoe_per_kpkm.NL.Tr.Road.Passenger.Car.ICE.NGas</t>
  </si>
  <si>
    <t>Eff.kgoe_per_kpkm.NL.Tr.Road.Passenger.Car.PHEV</t>
  </si>
  <si>
    <t>Eff.kgoe_per_kpkm.NL.Tr.Road.Passenger.Car.BEV</t>
  </si>
  <si>
    <t>Eff.kgoe_per_kpkm.NL.Tr.Road.Passenger.Bus.ICE.Gasoline</t>
  </si>
  <si>
    <t>Eff.kgoe_per_kpkm.NL.Tr.Road.Passenger.Bus.ICE.Diesel</t>
  </si>
  <si>
    <t>Eff.kgoe_per_kpkm.NL.Tr.Road.Passenger.Bus.ICE.LPG</t>
  </si>
  <si>
    <t>Eff.kgoe_per_kpkm.NL.Tr.Road.Passenger.Bus.ICE.NGas</t>
  </si>
  <si>
    <t>Eff.kgoe_per_kpkm.NL.Tr.Road.Passenger.Bus.ICE.BEV</t>
  </si>
  <si>
    <t>Eff.kgoe_per_ktkm.NL.Tr.Road.Freight.LCV.ICE.Gasoline</t>
  </si>
  <si>
    <t>Eff.kgoe_per_ktkm.NL.Tr.Road.Freight.LCV.ICE.Diesel</t>
  </si>
  <si>
    <t>Eff.kgoe_per_ktkm.NL.Tr.Road.Freight.LCV.ICE.LPG</t>
  </si>
  <si>
    <t>Eff.kgoe_per_ktkm.NL.Tr.Road.Freight.LCV.ICE.NGas</t>
  </si>
  <si>
    <t>Eff.kgoe_per_ktkm.NL.Tr.Road.Freight.LCV.ICE.BEV</t>
  </si>
  <si>
    <t>Eff.kgoe_per_ktkm.NL.Tr.Road.Freight.HGV.Domestic</t>
  </si>
  <si>
    <t>Eff.kgoe_per_ktkm.NL.Tr.Road.Freight.HGV.International</t>
  </si>
  <si>
    <t>FEC_per_vehicle.kgoe.NL.Tr.Road.Passenger.P2W</t>
  </si>
  <si>
    <t>FEC_per_vehicle.kgoe.NL.Tr.Road.Passenger.Car</t>
  </si>
  <si>
    <t>FEC_per_vehicle.kgoe.NL.Tr.Road.Passenger.Car.ICE.Gasoline</t>
  </si>
  <si>
    <t>FEC_per_vehicle.kgoe.NL.Tr.Road.Passenger.Car.ICE.Diesel</t>
  </si>
  <si>
    <t>FEC_per_vehicle.kgoe.NL.Tr.Road.Passenger.Car.ICE.LPG</t>
  </si>
  <si>
    <t>FEC_per_vehicle.kgoe.NL.Tr.Road.Passenger.Car.ICE.NGas</t>
  </si>
  <si>
    <t>FEC_per_vehicle.kgoe.NL.Tr.Road.Passenger.Car.PHEV</t>
  </si>
  <si>
    <t>FEC_per_vehicle.kgoe.NL.Tr.Road.Passenger.Car.BEV</t>
  </si>
  <si>
    <t>FEC_per_vehicle.kgoe.NL.Tr.Road.Passenger.Bus</t>
  </si>
  <si>
    <t>FEC_per_vehicle.kgoe.NL.Tr.Road.Passenger.Bus.ICE.Gasoline</t>
  </si>
  <si>
    <t>FEC_per_vehicle.kgoe.NL.Tr.Road.Passenger.Bus.ICE.Diesel</t>
  </si>
  <si>
    <t>FEC_per_vehicle.kgoe.NL.Tr.Road.Passenger.Bus.ICE.LPG</t>
  </si>
  <si>
    <t>FEC_per_vehicle.kgoe.NL.Tr.Road.Passenger.Bus.ICE.NGas</t>
  </si>
  <si>
    <t>FEC_per_vehicle.kgoe.NL.Tr.Road.Passenger.Bus.ICE.BEV</t>
  </si>
  <si>
    <t>FEC_per_vehicle.kgoe.NL.Tr.Road.Freight.LCV</t>
  </si>
  <si>
    <t>FEC_per_vehicle.kgoe.NL.Tr.Road.Freight.LCV.ICE.Gasoline</t>
  </si>
  <si>
    <t>FEC_per_vehicle.kgoe.NL.Tr.Road.Freight.LCV.ICE.Diesel</t>
  </si>
  <si>
    <t>FEC_per_vehicle.kgoe.NL.Tr.Road.Freight.LCV.ICE.LPG</t>
  </si>
  <si>
    <t>FEC_per_vehicle.kgoe.NL.Tr.Road.Freight.LCV.ICE.NGas</t>
  </si>
  <si>
    <t>FEC_per_vehicle.kgoe.NL.Tr.Road.Freight.LCV.ICE.BEV</t>
  </si>
  <si>
    <t>FEC_per_vehicle.kgoe.NL.Tr.Road.Freight.HGV</t>
  </si>
  <si>
    <t>FEC_per_vehicle.kgoe.NL.Tr.Road.Freight.HGV.Domestic</t>
  </si>
  <si>
    <t>FEC_per_vehicle.kgoe.NL.Tr.Road.Freight.HGV.International</t>
  </si>
  <si>
    <t>Road transport / CO2 emissions - NL - Netherlands</t>
  </si>
  <si>
    <t>EMI.ktCO2.NL.ES.Tr.Road</t>
  </si>
  <si>
    <t>EMI.ktCO2.NL.ES.Tr.Road.LPG</t>
  </si>
  <si>
    <t>EMI.ktCO2.NL.ES.Tr.Road.Gasoline</t>
  </si>
  <si>
    <t>EMI.ktCO2.NL.ES.Tr.Road.Diesel</t>
  </si>
  <si>
    <t>EMI.ktCO2.NL.ES.Tr.Road.NG</t>
  </si>
  <si>
    <t>EMI.ktCO2.NL.ES.Tr.Road.Biogas</t>
  </si>
  <si>
    <t>EMI.ktCO2.NL.ES.Tr.Road.Biogasoline</t>
  </si>
  <si>
    <t>EMI.ktCO2.NL.ES.Tr.Road.Biodiesel</t>
  </si>
  <si>
    <t>EMI.ktCO2.NL.ES.Tr.Road.OthLiqBio</t>
  </si>
  <si>
    <t>EMI.ktCO2.NL.ES.Tr.Road.Elec</t>
  </si>
  <si>
    <t>EMI.ktCO2.NL.Tr.Road</t>
  </si>
  <si>
    <t>EMI.ktCO2.NL.Tr.Road.Passenger.Car.ICE.Gasoline</t>
  </si>
  <si>
    <t>EMI.ktCO2.NL.Tr.Road.Passenger.Car.ICE.Diesel</t>
  </si>
  <si>
    <t>EMI.ktCO2.NL.Tr.Road.Passenger.Car.ICE.LPG</t>
  </si>
  <si>
    <t>EMI.ktCO2.NL.Tr.Road.Passenger.Car.ICE.NGas</t>
  </si>
  <si>
    <t>EMI.ktCO2.NL.Tr.Road.Passenger.Car.PHEV</t>
  </si>
  <si>
    <t>EMI.ktCO2.NL.Tr.Road.Passenger.Car.BEV</t>
  </si>
  <si>
    <t>EMI.ktCO2.NL.Tr.Road.Passenger.Bus.ICE.Gasoline</t>
  </si>
  <si>
    <t>EMI.ktCO2.NL.Tr.Road.Passenger.Bus.ICE.Diesel</t>
  </si>
  <si>
    <t>EMI.ktCO2.NL.Tr.Road.Passenger.Bus.ICE.LPG</t>
  </si>
  <si>
    <t>EMI.ktCO2.NL.Tr.Road.Passenger.Bus.ICE.NGas</t>
  </si>
  <si>
    <t>EMI.ktCO2.NL.Tr.Road.Passenger.Bus.ICE.BEV</t>
  </si>
  <si>
    <t>EMI.ktCO2.NL.Tr.Road.Freight.LCV.ICE.Gasoline</t>
  </si>
  <si>
    <t>EMI.ktCO2.NL.Tr.Road.Freight.LCV.ICE.Diesel</t>
  </si>
  <si>
    <t>EMI.ktCO2.NL.Tr.Road.Freight.LCV.ICE.LPG</t>
  </si>
  <si>
    <t>EMI.ktCO2.NL.Tr.Road.Freight.LCV.ICE.NGas</t>
  </si>
  <si>
    <t>EMI.ktCO2.NL.Tr.Road.Freight.LCV.ICE.BEV</t>
  </si>
  <si>
    <t>EMI.ktCO2.NL.Tr.Road.Freight.HGV.Domestic</t>
  </si>
  <si>
    <t>EMI.ktCO2.NL.Tr.Road.Freight.HGV.International</t>
  </si>
  <si>
    <t>EMIint.gCO2_per_km.NL.Tr.Road</t>
  </si>
  <si>
    <t>EMIint.gCO2_per_km.NL.Tr.Road.Passenger</t>
  </si>
  <si>
    <t>EMIint.gCO2_per_km.NL.Tr.Road.Passenger.P2W</t>
  </si>
  <si>
    <t>EMIint.gCO2_per_km.NL.Tr.Road.Passenger.Car</t>
  </si>
  <si>
    <t>EMIint.gCO2_per_km.NL.Tr.Road.Passenger.Car.ICE.Gasoline</t>
  </si>
  <si>
    <t>EMIint.gCO2_per_km.NL.Tr.Road.Passenger.Car.ICE.Diesel</t>
  </si>
  <si>
    <t>EMIint.gCO2_per_km.NL.Tr.Road.Passenger.Car.ICE.LPG</t>
  </si>
  <si>
    <t>EMIint.gCO2_per_km.NL.Tr.Road.Passenger.Car.ICE.NGas</t>
  </si>
  <si>
    <t>EMIint.gCO2_per_km.NL.Tr.Road.Passenger.Car.PHEV</t>
  </si>
  <si>
    <t>EMIint.gCO2_per_km.NL.Tr.Road.Passenger.Car.BEV</t>
  </si>
  <si>
    <t>EMIint.gCO2_per_km.NL.Tr.Road.Passenger.Bus</t>
  </si>
  <si>
    <t>EMIint.gCO2_per_km.NL.Tr.Road.Passenger.Bus.ICE.Gasoline</t>
  </si>
  <si>
    <t>EMIint.gCO2_per_km.NL.Tr.Road.Passenger.Bus.ICE.Diesel</t>
  </si>
  <si>
    <t>EMIint.gCO2_per_km.NL.Tr.Road.Passenger.Bus.ICE.LPG</t>
  </si>
  <si>
    <t>EMIint.gCO2_per_km.NL.Tr.Road.Passenger.Bus.ICE.NGas</t>
  </si>
  <si>
    <t>EMIint.gCO2_per_km.NL.Tr.Road.Passenger.Bus.ICE.BEV</t>
  </si>
  <si>
    <t>EMIint.gCO2_per_km.NL.Tr.Road.Freight</t>
  </si>
  <si>
    <t>EMIint.gCO2_per_km.NL.Tr.Road.Freight.LCV</t>
  </si>
  <si>
    <t>EMIint.gCO2_per_km.NL.Tr.Road.Freight.LCV.ICE.Gasoline</t>
  </si>
  <si>
    <t>EMIint.gCO2_per_km.NL.Tr.Road.Freight.LCV.ICE.Diesel</t>
  </si>
  <si>
    <t>EMIint.gCO2_per_km.NL.Tr.Road.Freight.LCV.ICE.LPG</t>
  </si>
  <si>
    <t>EMIint.gCO2_per_km.NL.Tr.Road.Freight.LCV.ICE.NGas</t>
  </si>
  <si>
    <t>EMIint.gCO2_per_km.NL.Tr.Road.Freight.LCV.ICE.BEV</t>
  </si>
  <si>
    <t>EMIint.gCO2_per_km.NL.Tr.Road.Freight.HGV</t>
  </si>
  <si>
    <t>EMIint.gCO2_per_km.NL.Tr.Road.Freight.HGV.Domestic</t>
  </si>
  <si>
    <t>EMIint.gCO2_per_km.NL.Tr.Road.Freight.HGV.International</t>
  </si>
  <si>
    <t>EMIint.gCO2_per_pkm.NL.Tr.Road.Passenger.Car.ICE.Gasoline</t>
  </si>
  <si>
    <t>EMIint.gCO2_per_pkm.NL.Tr.Road.Passenger.Car.ICE.Diesel</t>
  </si>
  <si>
    <t>EMIint.gCO2_per_pkm.NL.Tr.Road.Passenger.Car.ICE.LPG</t>
  </si>
  <si>
    <t>EMIint.gCO2_per_pkm.NL.Tr.Road.Passenger.Car.ICE.NGas</t>
  </si>
  <si>
    <t>EMIint.gCO2_per_pkm.NL.Tr.Road.Passenger.Car.PHEV</t>
  </si>
  <si>
    <t>EMIint.gCO2_per_pkm.NL.Tr.Road.Passenger.Car.BEV</t>
  </si>
  <si>
    <t>EMIint.gCO2_per_pkm.NL.Tr.Road.Passenger.Bus.ICE.Gasoline</t>
  </si>
  <si>
    <t>EMIint.gCO2_per_pkm.NL.Tr.Road.Passenger.Bus.ICE.Diesel</t>
  </si>
  <si>
    <t>EMIint.gCO2_per_pkm.NL.Tr.Road.Passenger.Bus.ICE.LPG</t>
  </si>
  <si>
    <t>EMIint.gCO2_per_pkm.NL.Tr.Road.Passenger.Bus.ICE.NGas</t>
  </si>
  <si>
    <t>EMIint.gCO2_per_pkm.NL.Tr.Road.Passenger.Bus.ICE.BEV</t>
  </si>
  <si>
    <t>EMIint.gCO2_per_tkm.NL.Tr.Road.Freight.LCV.ICE.Gasoline</t>
  </si>
  <si>
    <t>EMIint.gCO2_per_tkm.NL.Tr.Road.Freight.LCV.ICE.Diesel</t>
  </si>
  <si>
    <t>EMIint.gCO2_per_tkm.NL.Tr.Road.Freight.LCV.ICE.LPG</t>
  </si>
  <si>
    <t>EMIint.gCO2_per_tkm.NL.Tr.Road.Freight.LCV.ICE.NGas</t>
  </si>
  <si>
    <t>EMIint.gCO2_per_tkm.NL.Tr.Road.Freight.LCV.ICE.BEV</t>
  </si>
  <si>
    <t>EMIint.gCO2_per_tkm.NL.Tr.Road.Freight.HGV.Domestic</t>
  </si>
  <si>
    <t>EMIint.gCO2_per_tkm.NL.Tr.Road.Freight.HGV.International</t>
  </si>
  <si>
    <t>EMI_per_vehicle.kgCO2.NL.Tr.Road.Passenger.P2W</t>
  </si>
  <si>
    <t>EMI_per_vehicle.kgCO2.NL.Tr.Road.Passenger.Car</t>
  </si>
  <si>
    <t>EMI_per_vehicle.kgCO2.NL.Tr.Road.Passenger.Car.ICE.Gasoline</t>
  </si>
  <si>
    <t>EMI_per_vehicle.kgCO2.NL.Tr.Road.Passenger.Car.ICE.Diesel</t>
  </si>
  <si>
    <t>EMI_per_vehicle.kgCO2.NL.Tr.Road.Passenger.Car.ICE.LPG</t>
  </si>
  <si>
    <t>EMI_per_vehicle.kgCO2.NL.Tr.Road.Passenger.Car.ICE.NGas</t>
  </si>
  <si>
    <t>EMI_per_vehicle.kgCO2.NL.Tr.Road.Passenger.Car.PHEV</t>
  </si>
  <si>
    <t>EMI_per_vehicle.kgCO2.NL.Tr.Road.Passenger.Car.BEV</t>
  </si>
  <si>
    <t>EMI_per_vehicle.kgCO2.NL.Tr.Road.Passenger.Bus</t>
  </si>
  <si>
    <t>EMI_per_vehicle.kgCO2.NL.Tr.Road.Passenger.Bus.ICE.Gasoline</t>
  </si>
  <si>
    <t>EMI_per_vehicle.kgCO2.NL.Tr.Road.Passenger.Bus.ICE.Diesel</t>
  </si>
  <si>
    <t>EMI_per_vehicle.kgCO2.NL.Tr.Road.Passenger.Bus.ICE.LPG</t>
  </si>
  <si>
    <t>EMI_per_vehicle.kgCO2.NL.Tr.Road.Passenger.Bus.ICE.NGas</t>
  </si>
  <si>
    <t>EMI_per_vehicle.kgCO2.NL.Tr.Road.Passenger.Bus.ICE.BEV</t>
  </si>
  <si>
    <t>EMI_per_vehicle.kgCO2.NL.Tr.Road.Freight.LCV</t>
  </si>
  <si>
    <t>EMI_per_vehicle.kgCO2.NL.Tr.Road.Freight.LCV.ICE.Gasoline</t>
  </si>
  <si>
    <t>EMI_per_vehicle.kgCO2.NL.Tr.Road.Freight.LCV.ICE.Diesel</t>
  </si>
  <si>
    <t>EMI_per_vehicle.kgCO2.NL.Tr.Road.Freight.LCV.ICE.LPG</t>
  </si>
  <si>
    <t>EMI_per_vehicle.kgCO2.NL.Tr.Road.Freight.LCV.ICE.NGas</t>
  </si>
  <si>
    <t>EMI_per_vehicle.kgCO2.NL.Tr.Road.Freight.LCV.ICE.BEV</t>
  </si>
  <si>
    <t>EMI_per_vehicle.kgCO2.NL.Tr.Road.Freight.HGV</t>
  </si>
  <si>
    <t>EMI_per_vehicle.kgCO2.NL.Tr.Road.Freight.HGV.Domestic</t>
  </si>
  <si>
    <t>EMI_per_vehicle.kgCO2.NL.Tr.Road.Freight.HGV.International</t>
  </si>
  <si>
    <t>Road transport / technologies - NL - Netherlands</t>
  </si>
  <si>
    <t>StockVin.number.NL.Tr.Road</t>
  </si>
  <si>
    <t>StockVin.number.NL.Tr.Road.Passenger</t>
  </si>
  <si>
    <t>StockVin.number.NL.Tr.Road.Passenger.P2W</t>
  </si>
  <si>
    <t>StockVin.number.NL.Tr.Road.Passenger.Car</t>
  </si>
  <si>
    <t>StockVin.number.NL.Tr.Road.Passenger.Car.ICE.Gasoline</t>
  </si>
  <si>
    <t>StockVin.number.NL.Tr.Road.Passenger.Car.ICE.Diesel</t>
  </si>
  <si>
    <t>StockVin.number.NL.Tr.Road.Passenger.Car.ICE.LPG</t>
  </si>
  <si>
    <t>StockVin.number.NL.Tr.Road.Passenger.Car.ICE.NGas</t>
  </si>
  <si>
    <t>StockVin.number.NL.Tr.Road.Passenger.Car.PHEV</t>
  </si>
  <si>
    <t>StockVin.number.NL.Tr.Road.Passenger.Car.BEV</t>
  </si>
  <si>
    <t>StockVin.number.NL.Tr.Road.Passenger.Bus</t>
  </si>
  <si>
    <t>StockVin.number.NL.Tr.Road.Passenger.Bus.ICE.Gasoline</t>
  </si>
  <si>
    <t>StockVin.number.NL.Tr.Road.Passenger.Bus.ICE.Diesel</t>
  </si>
  <si>
    <t>StockVin.number.NL.Tr.Road.Passenger.Bus.ICE.LPG</t>
  </si>
  <si>
    <t>StockVin.number.NL.Tr.Road.Passenger.Bus.ICE.NGas</t>
  </si>
  <si>
    <t>StockVin.number.NL.Tr.Road.Passenger.Bus.ICE.BEV</t>
  </si>
  <si>
    <t>StockVin.number.NL.Tr.Road.Freight</t>
  </si>
  <si>
    <t>StockVin.number.NL.Tr.Road.Freight.LCV</t>
  </si>
  <si>
    <t>StockVin.number.NL.Tr.Road.Freight.LCV.ICE.Gasoline</t>
  </si>
  <si>
    <t>StockVin.number.NL.Tr.Road.Freight.LCV.ICE.Diesel</t>
  </si>
  <si>
    <t>StockVin.number.NL.Tr.Road.Freight.LCV.ICE.LPG</t>
  </si>
  <si>
    <t>StockVin.number.NL.Tr.Road.Freight.LCV.ICE.NGas</t>
  </si>
  <si>
    <t>StockVin.number.NL.Tr.Road.Freight.LCV.ICE.BEV</t>
  </si>
  <si>
    <t>StockVin.number.NL.Tr.Road.Freight.HGV</t>
  </si>
  <si>
    <t>StockVin.number.NL.Tr.Road.Freight.HGV.Domestic</t>
  </si>
  <si>
    <t>StockVin.number.NL.Tr.Road.Freight.HGV.International</t>
  </si>
  <si>
    <t>Eff_test_stock.kgoe_per_100km.NL.Tr.Road.Passenger.P2W</t>
  </si>
  <si>
    <t>Eff_test_stock.kgoe_per_100km.NL.Tr.Road.Passenger.Car</t>
  </si>
  <si>
    <t>Eff_test_stock.kgoe_per_100km.NL.Tr.Road.Passenger.Car.ICE.Gasoline</t>
  </si>
  <si>
    <t>Eff_test_stock.kgoe_per_100km.NL.Tr.Road.Passenger.Car.ICE.Diesel</t>
  </si>
  <si>
    <t>Eff_test_stock.kgoe_per_100km.NL.Tr.Road.Passenger.Car.ICE.LPG</t>
  </si>
  <si>
    <t>Eff_test_stock.kgoe_per_100km.NL.Tr.Road.Passenger.Car.ICE.NGas</t>
  </si>
  <si>
    <t>Eff_test_stock.kgoe_per_100km.NL.Tr.Road.Passenger.Car.PHEV</t>
  </si>
  <si>
    <t>Eff_test_stock.kgoe_per_100km.NL.Tr.Road.Passenger.Car.BEV</t>
  </si>
  <si>
    <t>Eff_test_stock.kgoe_per_100km.NL.Tr.Road.Passenger.Bus</t>
  </si>
  <si>
    <t>Eff_test_stock.kgoe_per_100km.NL.Tr.Road.Passenger.Bus.ICE.Gasoline</t>
  </si>
  <si>
    <t>Eff_test_stock.kgoe_per_100km.NL.Tr.Road.Passenger.Bus.ICE.Diesel</t>
  </si>
  <si>
    <t>Eff_test_stock.kgoe_per_100km.NL.Tr.Road.Passenger.Bus.ICE.LPG</t>
  </si>
  <si>
    <t>Eff_test_stock.kgoe_per_100km.NL.Tr.Road.Passenger.Bus.ICE.NGas</t>
  </si>
  <si>
    <t>Eff_test_stock.kgoe_per_100km.NL.Tr.Road.Passenger.Bus.ICE.BEV</t>
  </si>
  <si>
    <t>Eff_test_stock.kgoe_per_100km.NL.Tr.Road.Freight.LCV</t>
  </si>
  <si>
    <t>Eff_test_stock.kgoe_per_100km.NL.Tr.Road.Freight.LCV.ICE.Gasoline</t>
  </si>
  <si>
    <t>Eff_test_stock.kgoe_per_100km.NL.Tr.Road.Freight.LCV.ICE.Diesel</t>
  </si>
  <si>
    <t>Eff_test_stock.kgoe_per_100km.NL.Tr.Road.Freight.LCV.ICE.LPG</t>
  </si>
  <si>
    <t>Eff_test_stock.kgoe_per_100km.NL.Tr.Road.Freight.LCV.ICE.NGas</t>
  </si>
  <si>
    <t>Eff_test_stock.kgoe_per_100km.NL.Tr.Road.Freight.LCV.ICE.BEV</t>
  </si>
  <si>
    <t>Eff_test_stock.kgoe_per_100km.NL.Tr.Road.Freight.HGV</t>
  </si>
  <si>
    <t>Eff_test_stock.kgoe_per_100km.NL.Tr.Road.Freight.HGV.Domestic</t>
  </si>
  <si>
    <t>Eff_test_stock.kgoe_per_100km.NL.Tr.Road.Freight.HGV.International</t>
  </si>
  <si>
    <t>Eff_test_new.kgoe_per_100km.NL.Tr.Road.Passenger.P2W</t>
  </si>
  <si>
    <t>Eff_test_new.kgoe_per_100km.NL.Tr.Road.Passenger.Car</t>
  </si>
  <si>
    <t>Eff_test_new.kgoe_per_100km.NL.Tr.Road.Passenger.Car.ICE.Gasoline</t>
  </si>
  <si>
    <t>Eff_test_new.kgoe_per_100km.NL.Tr.Road.Passenger.Car.ICE.Diesel</t>
  </si>
  <si>
    <t>Eff_test_new.kgoe_per_100km.NL.Tr.Road.Passenger.Car.ICE.LPG</t>
  </si>
  <si>
    <t>Eff_test_new.kgoe_per_100km.NL.Tr.Road.Passenger.Car.ICE.NGas</t>
  </si>
  <si>
    <t>Eff_test_new.kgoe_per_100km.NL.Tr.Road.Passenger.Car.PHEV</t>
  </si>
  <si>
    <t>Eff_test_new.kgoe_per_100km.NL.Tr.Road.Passenger.Car.BEV</t>
  </si>
  <si>
    <t>Eff_test_new.kgoe_per_100km.NL.Tr.Road.Passenger.Bus</t>
  </si>
  <si>
    <t>Eff_test_new.kgoe_per_100km.NL.Tr.Road.Passenger.Bus.ICE.Gasoline</t>
  </si>
  <si>
    <t>Eff_test_new.kgoe_per_100km.NL.Tr.Road.Passenger.Bus.ICE.Diesel</t>
  </si>
  <si>
    <t>Eff_test_new.kgoe_per_100km.NL.Tr.Road.Passenger.Bus.ICE.LPG</t>
  </si>
  <si>
    <t>Eff_test_new.kgoe_per_100km.NL.Tr.Road.Passenger.Bus.ICE.NGas</t>
  </si>
  <si>
    <t>Eff_test_new.kgoe_per_100km.NL.Tr.Road.Passenger.Bus.ICE.BEV</t>
  </si>
  <si>
    <t>Eff_test_new.kgoe_per_100km.NL.Tr.Road.Freight.LCV</t>
  </si>
  <si>
    <t>Eff_test_new.kgoe_per_100km.NL.Tr.Road.Freight.LCV.ICE.Gasoline</t>
  </si>
  <si>
    <t>Eff_test_new.kgoe_per_100km.NL.Tr.Road.Freight.LCV.ICE.Diesel</t>
  </si>
  <si>
    <t>Eff_test_new.kgoe_per_100km.NL.Tr.Road.Freight.LCV.ICE.LPG</t>
  </si>
  <si>
    <t>Eff_test_new.kgoe_per_100km.NL.Tr.Road.Freight.LCV.ICE.NGas</t>
  </si>
  <si>
    <t>Eff_test_new.kgoe_per_100km.NL.Tr.Road.Freight.LCV.ICE.BEV</t>
  </si>
  <si>
    <t>Eff_test_new.kgoe_per_100km.NL.Tr.Road.Freight.HGV</t>
  </si>
  <si>
    <t>Eff_test_new.kgoe_per_100km.NL.Tr.Road.Freight.HGV.Domestic</t>
  </si>
  <si>
    <t>Eff_test_new.kgoe_per_100km.NL.Tr.Road.Freight.HGV.International</t>
  </si>
  <si>
    <t>EMIint_test_stock.gCO2_per_km.NL.Tr.Road.Passenger.P2W</t>
  </si>
  <si>
    <t>EMIint_test_stock.gCO2_per_km.NL.Tr.Road.Passenger.Car</t>
  </si>
  <si>
    <t>EMIint_test_stock.gCO2_per_km.NL.Tr.Road.Passenger.Car.ICE.Gasoline</t>
  </si>
  <si>
    <t>EMIint_test_stock.gCO2_per_km.NL.Tr.Road.Passenger.Car.ICE.Diesel</t>
  </si>
  <si>
    <t>EMIint_test_stock.gCO2_per_km.NL.Tr.Road.Passenger.Car.ICE.LPG</t>
  </si>
  <si>
    <t>EMIint_test_stock.gCO2_per_km.NL.Tr.Road.Passenger.Car.ICE.NGas</t>
  </si>
  <si>
    <t>EMIint_test_stock.gCO2_per_km.NL.Tr.Road.Passenger.Car.PHEV</t>
  </si>
  <si>
    <t>EMIint_test_stock.gCO2_per_km.NL.Tr.Road.Passenger.Car.BEV</t>
  </si>
  <si>
    <t>EMIint_test_stock.gCO2_per_km.NL.Tr.Road.Passenger.Bus</t>
  </si>
  <si>
    <t>EMIint_test_stock.gCO2_per_km.NL.Tr.Road.Passenger.Bus.ICE.Gasoline</t>
  </si>
  <si>
    <t>EMIint_test_stock.gCO2_per_km.NL.Tr.Road.Passenger.Bus.ICE.Diesel</t>
  </si>
  <si>
    <t>EMIint_test_stock.gCO2_per_km.NL.Tr.Road.Passenger.Bus.ICE.LPG</t>
  </si>
  <si>
    <t>EMIint_test_stock.gCO2_per_km.NL.Tr.Road.Passenger.Bus.ICE.NGas</t>
  </si>
  <si>
    <t>EMIint_test_stock.gCO2_per_km.NL.Tr.Road.Passenger.Bus.ICE.BEV</t>
  </si>
  <si>
    <t>EMIint_test_stock.gCO2_per_km.NL.Tr.Road.Freight.LCV</t>
  </si>
  <si>
    <t>EMIint_test_stock.gCO2_per_km.NL.Tr.Road.Freight.LCV.ICE.Gasoline</t>
  </si>
  <si>
    <t>EMIint_test_stock.gCO2_per_km.NL.Tr.Road.Freight.LCV.ICE.Diesel</t>
  </si>
  <si>
    <t>EMIint_test_stock.gCO2_per_km.NL.Tr.Road.Freight.LCV.ICE.LPG</t>
  </si>
  <si>
    <t>EMIint_test_stock.gCO2_per_km.NL.Tr.Road.Freight.LCV.ICE.NGas</t>
  </si>
  <si>
    <t>EMIint_test_stock.gCO2_per_km.NL.Tr.Road.Freight.LCV.ICE.BEV</t>
  </si>
  <si>
    <t>EMIint_test_stock.gCO2_per_km.NL.Tr.Road.Freight.HGV</t>
  </si>
  <si>
    <t>EMIint_test_stock.gCO2_per_km.NL.Tr.Road.Freight.HGV.Domestic</t>
  </si>
  <si>
    <t>EMIint_test_stock.gCO2_per_km.NL.Tr.Road.Freight.HGV.International</t>
  </si>
  <si>
    <t>EMIint_test_new.gCO2_per_km.NL.Tr.Road.Passenger.P2W</t>
  </si>
  <si>
    <t>EMIint_test_new.gCO2_per_km.NL.Tr.Road.Passenger.Car</t>
  </si>
  <si>
    <t>EMIint_test_new.gCO2_per_km.NL.Tr.Road.Passenger.Car.ICE.Gasoline</t>
  </si>
  <si>
    <t>EMIint_test_new.gCO2_per_km.NL.Tr.Road.Passenger.Car.ICE.Diesel</t>
  </si>
  <si>
    <t>EMIint_test_new.gCO2_per_km.NL.Tr.Road.Passenger.Car.ICE.LPG</t>
  </si>
  <si>
    <t>EMIint_test_new.gCO2_per_km.NL.Tr.Road.Passenger.Car.ICE.NGas</t>
  </si>
  <si>
    <t>EMIint_test_new.gCO2_per_km.NL.Tr.Road.Passenger.Car.PHEV</t>
  </si>
  <si>
    <t>EMIint_test_new.gCO2_per_km.NL.Tr.Road.Passenger.Car.BEV</t>
  </si>
  <si>
    <t>EMIint_test_new.gCO2_per_km.NL.Tr.Road.Passenger.Bus</t>
  </si>
  <si>
    <t>EMIint_test_new.gCO2_per_km.NL.Tr.Road.Passenger.Bus.ICE.Gasoline</t>
  </si>
  <si>
    <t>EMIint_test_new.gCO2_per_km.NL.Tr.Road.Passenger.Bus.ICE.Diesel</t>
  </si>
  <si>
    <t>EMIint_test_new.gCO2_per_km.NL.Tr.Road.Passenger.Bus.ICE.LPG</t>
  </si>
  <si>
    <t>EMIint_test_new.gCO2_per_km.NL.Tr.Road.Passenger.Bus.ICE.NGas</t>
  </si>
  <si>
    <t>EMIint_test_new.gCO2_per_km.NL.Tr.Road.Passenger.Bus.ICE.BEV</t>
  </si>
  <si>
    <t>EMIint_test_new.gCO2_per_km.NL.Tr.Road.Freight.LCV</t>
  </si>
  <si>
    <t>EMIint_test_new.gCO2_per_km.NL.Tr.Road.Freight.LCV.ICE.Gasoline</t>
  </si>
  <si>
    <t>EMIint_test_new.gCO2_per_km.NL.Tr.Road.Freight.LCV.ICE.Diesel</t>
  </si>
  <si>
    <t>EMIint_test_new.gCO2_per_km.NL.Tr.Road.Freight.LCV.ICE.LPG</t>
  </si>
  <si>
    <t>EMIint_test_new.gCO2_per_km.NL.Tr.Road.Freight.LCV.ICE.NGas</t>
  </si>
  <si>
    <t>EMIint_test_new.gCO2_per_km.NL.Tr.Road.Freight.LCV.ICE.BEV</t>
  </si>
  <si>
    <t>EMIint_test_new.gCO2_per_km.NL.Tr.Road.Freight.HGV</t>
  </si>
  <si>
    <t>EMIint_test_new.gCO2_per_km.NL.Tr.Road.Freight.HGV.Domestic</t>
  </si>
  <si>
    <t>EMIint_test_new.gCO2_per_km.NL.Tr.Road.Freight.HGV.International</t>
  </si>
  <si>
    <t>FEC.ktoe.NL.MBunk</t>
  </si>
  <si>
    <t>FEC.ktoe.NL.MBunk.IntraEEA</t>
  </si>
  <si>
    <t>FEC.ktoe.NL.MBunk.ExtraEEA</t>
  </si>
  <si>
    <t>EMI.ktCO2.NL.MBunk</t>
  </si>
  <si>
    <t>EMI.ktCO2.NL.MBunk.IntraEEA</t>
  </si>
  <si>
    <t>EMI.ktCO2.NL.MBunk.ExtraEEA</t>
  </si>
  <si>
    <t>International maritime bunkers - NL - Netherlands</t>
  </si>
  <si>
    <t>VehicleKm.Mkm.NL.MBunk.Freight</t>
  </si>
  <si>
    <t>VehicleKm.Mkm.NL.MBunk.Freight.IntraEEA</t>
  </si>
  <si>
    <t>VehicleKm.Mkm.NL.MBunk.Freight.ExtraEEA</t>
  </si>
  <si>
    <t>Load.t_per_movement.NL.MBunk.Freight</t>
  </si>
  <si>
    <t>Load.t_per_movement.NL.MBunk.Freight.IntraEEA</t>
  </si>
  <si>
    <t>Load.t_per_movement.NL.MBunk.Freight.ExtraEEA</t>
  </si>
  <si>
    <t>International maritime bunkers / energy consumption - NL - Netherlands</t>
  </si>
  <si>
    <t>FEC.ktoe.NL.ES.MBunk</t>
  </si>
  <si>
    <t>FEC.ktoe.NL.ES.MBunk.IntraEEA</t>
  </si>
  <si>
    <t>FEC.ktoe.NL.ES.MBunk.IntraEEA.Diesel</t>
  </si>
  <si>
    <t>FEC.ktoe.NL.ES.MBunk.IntraEEA.RFO_Other</t>
  </si>
  <si>
    <t>FEC.ktoe.NL.ES.MBunk.IntraEEA.LiqBio</t>
  </si>
  <si>
    <t>FEC.ktoe.NL.ES.MBunk.IntraEEA.NG</t>
  </si>
  <si>
    <t>FEC.ktoe.NL.ES.MBunk.IntraEEA.Biogas</t>
  </si>
  <si>
    <t>FEC.ktoe.NL.ES.MBunk.ExtraEEA</t>
  </si>
  <si>
    <t>FEC.ktoe.NL.ES.MBunk.ExtraEEA.Diesel</t>
  </si>
  <si>
    <t>FEC.ktoe.NL.ES.MBunk.ExtraEEA.RFO_Other</t>
  </si>
  <si>
    <t>FEC.ktoe.NL.ES.MBunk.ExtraEEA.LiqBio</t>
  </si>
  <si>
    <t>FEC.ktoe.NL.ES.MBunk.ExtraEEA.NG</t>
  </si>
  <si>
    <t>FEC.ktoe.NL.ES.MBunk.ExtraEEA.Biogas</t>
  </si>
  <si>
    <t>Eff.kgoe_per_100km.NL.MBunk.Freight</t>
  </si>
  <si>
    <t>Eff.kgoe_per_100km.NL.MBunk.Freight.IntraEEA</t>
  </si>
  <si>
    <t>Eff.kgoe_per_100km.NL.MBunk.Freight.ExtraEEA</t>
  </si>
  <si>
    <t>International maritime bunkers / CO2 emissions - NL - Netherlands</t>
  </si>
  <si>
    <t>EMI.ktCO2.NL.ES.MBunk</t>
  </si>
  <si>
    <t>EMI.ktCO2.NL.ES.MBunk.IntraEEA</t>
  </si>
  <si>
    <t>EMI.ktCO2.NL.ES.MBunk.ExtraEEA</t>
  </si>
  <si>
    <t>EMIint.gCO2_per_km.NL.MBunk.Freight</t>
  </si>
  <si>
    <t>EMIint.gCO2_per_km.NL.MBunk.Freight.IntraEEA</t>
  </si>
  <si>
    <t>EMIint.gCO2_per_km.NL.MBunk.Freight.ExtraEEA</t>
  </si>
  <si>
    <t>FEC.ktoe.NL.Tr.DNavi</t>
  </si>
  <si>
    <t>FEC.ktoe.NL.Tr.Dnavi.DCS</t>
  </si>
  <si>
    <t>FEC.ktoe.NL.Tr.Dnavi.IWW</t>
  </si>
  <si>
    <t>EMI.ktCO2.NL.Tr.DNavi</t>
  </si>
  <si>
    <t>EMI.ktCO2.NL.Tr.Dnavi.DCS</t>
  </si>
  <si>
    <t>EMI.ktCO2.NL.Tr.Dnavi.IWW</t>
  </si>
  <si>
    <t>Domestic navigation - NL - Netherlands</t>
  </si>
  <si>
    <t>VehicleKm.Mkm.NL.Tr.DNavi.Freight</t>
  </si>
  <si>
    <t>VehicleKm.Mkm.NL.Tr.DNavi.Freight.DCS</t>
  </si>
  <si>
    <t>VehicleKm.Mkm.NL.Tr.DNavi.Freight.IWW</t>
  </si>
  <si>
    <t>Load.t_per_movement.NL.Tr.DNavi.Freight</t>
  </si>
  <si>
    <t>Load.t_per_movement.NL.Tr.DNavi.Freight.DCS</t>
  </si>
  <si>
    <t>Load.t_per_movement.NL.Tr.DNavi.Freight.IWW</t>
  </si>
  <si>
    <t>Domestic navigation / energy consumption - NL - Netherlands</t>
  </si>
  <si>
    <t>FEC.ktoe.NL.ES.Tr.DNavi</t>
  </si>
  <si>
    <t>FEC.ktoe.NL.ES.Tr.DNavi.DCS</t>
  </si>
  <si>
    <t>FEC.ktoe.NL.ES.Tr.DNavi.DCS.Diesel</t>
  </si>
  <si>
    <t>FEC.ktoe.NL.ES.Tr.DNavi.DCS.RFO_Other</t>
  </si>
  <si>
    <t>FEC.ktoe.NL.ES.Tr.DNavi.DCS.LiqBio</t>
  </si>
  <si>
    <t>FEC.ktoe.NL.ES.Tr.DNavi.DCS.NG</t>
  </si>
  <si>
    <t>FEC.ktoe.NL.ES.Tr.DNavi.DCS.Biogas</t>
  </si>
  <si>
    <t>FEC.ktoe.NL.ES.Tr.DNavi.IWW</t>
  </si>
  <si>
    <t>FEC.ktoe.NL.ES.Tr.DNavi.IWW.Diesel</t>
  </si>
  <si>
    <t>FEC.ktoe.NL.ES.Tr.DNavi.IWW.RFO_Other</t>
  </si>
  <si>
    <t>FEC.ktoe.NL.ES.Tr.DNavi.IWW.LiqBio</t>
  </si>
  <si>
    <t>FEC.ktoe.NL.ES.Tr.DNavi.IWW.NG</t>
  </si>
  <si>
    <t>FEC.ktoe.NL.ES.Tr.DNavi.IWW.Biogas</t>
  </si>
  <si>
    <t>Eff.kgoe_per_100km.NL.Tr.DNavi.Freight</t>
  </si>
  <si>
    <t>Eff.kgoe_per_100km.NL.Tr.DNavi.Freight.DCS</t>
  </si>
  <si>
    <t>Eff.kgoe_per_100km.NL.Tr.DNavi.Freight.IWW</t>
  </si>
  <si>
    <t>Domestic navigation / CO2 emissions - NL - Netherlands</t>
  </si>
  <si>
    <t>EMI.ktCO2.NL.ES.Tr.DNavi</t>
  </si>
  <si>
    <t>EMI.ktCO2.NL.ES.Tr.DNavi.DCS</t>
  </si>
  <si>
    <t>EMI.ktCO2.NL.ES.Tr.DNavi.IWW</t>
  </si>
  <si>
    <t>EMIint.gCO2_per_km.NL.Tr.DNavi.Freight</t>
  </si>
  <si>
    <t>EMIint.gCO2_per_km.NL.Tr.DNavi.Freight.DCS</t>
  </si>
  <si>
    <t>EMIint.gCO2_per_km.NL.Tr.DNavi.Freight.IWW</t>
  </si>
  <si>
    <t>Rail, metro and tram - NL - Netherlands</t>
  </si>
  <si>
    <t>Activity.Mpkm.NL.Tr.Rail.Passenger.CPT.Diesel</t>
  </si>
  <si>
    <t>Activity.Mpkm.NL.Tr.Rail.Passenger.CPT.Elc</t>
  </si>
  <si>
    <t>Activity.Mtkm.NL.Tr.Rail.Freight.Diesel</t>
  </si>
  <si>
    <t>Activity.Mtkm.NL.Tr.Rail.Freight.Elc</t>
  </si>
  <si>
    <t>VehicleKm.Mkm.NL.Tr.Rail</t>
  </si>
  <si>
    <t>VehicleKm.Mkm.NL.Tr.Rail.Passenger</t>
  </si>
  <si>
    <t>VehicleKm.Mkm.NL.Tr.Rail.Passenger.MTU</t>
  </si>
  <si>
    <t>VehicleKm.Mkm.NL.Tr.Rail.Passenger.CPT</t>
  </si>
  <si>
    <t>VehicleKm.Mkm.NL.Tr.Rail.Passenger.CPT.Diesel</t>
  </si>
  <si>
    <t>VehicleKm.Mkm.NL.Tr.Rail.Passenger.CPT.Elc</t>
  </si>
  <si>
    <t>VehicleKm.Mkm.NL.Tr.Rail.Passenger.HST</t>
  </si>
  <si>
    <t>VehicleKm.Mkm.NL.Tr.Rail.Freight</t>
  </si>
  <si>
    <t>VehicleKm.Mkm.NL.Tr.Rail.Freight.Diesel</t>
  </si>
  <si>
    <t>VehicleKm.Mkm.NL.Tr.Rail.Freight.Elc</t>
  </si>
  <si>
    <t>Stock.number.NL.Tr.Rail</t>
  </si>
  <si>
    <t>Stock.number.NL.Tr.Rail.Passenger</t>
  </si>
  <si>
    <t>Stock.number.NL.Tr.Rail.Passenger.MTU</t>
  </si>
  <si>
    <t>Stock.number.NL.Tr.Rail.Passenger.CPT</t>
  </si>
  <si>
    <t>Stock.number.NL.Tr.Rail.Passenger.CPT.Diesel</t>
  </si>
  <si>
    <t>Stock.number.NL.Tr.Rail.Passenger.CPT.Elc</t>
  </si>
  <si>
    <t>Stock.number.NL.Tr.Rail.Passenger.HST</t>
  </si>
  <si>
    <t>Stock.number.NL.Tr.Rail.Freight</t>
  </si>
  <si>
    <t>Stock.number.NL.Tr.Rail.Freight.Diesel</t>
  </si>
  <si>
    <t>Stock.number.NL.Tr.Rail.Freight.Elc</t>
  </si>
  <si>
    <t>StockNew.number.NL.Tr.Rail</t>
  </si>
  <si>
    <t>StockNew.number.NL.Tr.Rail.Passenger</t>
  </si>
  <si>
    <t>StockNew.number.NL.Tr.Rail.Passenger.MTU</t>
  </si>
  <si>
    <t>StockNew.number.NL.Tr.Rail.Passenger.CPT</t>
  </si>
  <si>
    <t>StockNew.number.NL.Tr.Rail.Passenger.CPT.Diesel</t>
  </si>
  <si>
    <t>StockNew.number.NL.Tr.Rail.Passenger.CPT.Elc</t>
  </si>
  <si>
    <t>StockNew.number.NL.Tr.Rail.Passenger.HST</t>
  </si>
  <si>
    <t>StockNew.number.NL.Tr.Rail.Freight</t>
  </si>
  <si>
    <t>StockNew.number.NL.Tr.Rail.Freight.Diesel</t>
  </si>
  <si>
    <t>StockNew.number.NL.Tr.Rail.Freight.Elc</t>
  </si>
  <si>
    <t>Load.passenger_per_movement.NL.Tr.Rail.Passenger</t>
  </si>
  <si>
    <t>Load.passenger_per_movement.NL.Tr.Rail.Passenger.MTU</t>
  </si>
  <si>
    <t>Load.passenger_per_movement.NL.Tr.Rail.Passenger.CPT</t>
  </si>
  <si>
    <t>Load.passenger_per_movement.NL.Tr.Rail.Passenger.CPT.Diesel</t>
  </si>
  <si>
    <t>Load.passenger_per_movement.NL.Tr.Rail.Passenger.CPT.Elc</t>
  </si>
  <si>
    <t>Load.passenger_per_movement.NL.Tr.Rail.Passenger.HST</t>
  </si>
  <si>
    <t>Load.t_per_movement.NL.Tr.Rail.Freight</t>
  </si>
  <si>
    <t>Load.t_per_movement.NL.Tr.Rail.Freight.Diesel</t>
  </si>
  <si>
    <t>Load.t_per_movement.NL.Tr.Rail.Freight.Elc</t>
  </si>
  <si>
    <t>TrCap.seats.NL.Tr.Rail.Passenger</t>
  </si>
  <si>
    <t>TrCap.seats.NL.Tr.Rail.Passenger.MTU</t>
  </si>
  <si>
    <t>TrCap.seats.NL.Tr.Rail.Passenger.CPT</t>
  </si>
  <si>
    <t>TrCap.seats.NL.Tr.Rail.Passenger.CPT.Diesel</t>
  </si>
  <si>
    <t>TrCap.seats.NL.Tr.Rail.Passenger.CPT.Elc</t>
  </si>
  <si>
    <t>TrCap.seats.NL.Tr.Rail.Passenger.HST</t>
  </si>
  <si>
    <t>TrCap.t.NL.Tr.Rail.Freight</t>
  </si>
  <si>
    <t>TrCap.t.NL.Tr.Rail.Freight.Diesel</t>
  </si>
  <si>
    <t>TrCap.t.NL.Tr.Rail.Freight.Elc</t>
  </si>
  <si>
    <t>VehicleKm_per_vehicle.km.NL.Tr.Rail</t>
  </si>
  <si>
    <t>VehicleKm_per_vehicle.km.NL.Tr.Rail.Passenger</t>
  </si>
  <si>
    <t>VehicleKm_per_vehicle.km.NL.Tr.Rail.Passenger.MTU</t>
  </si>
  <si>
    <t>VehicleKm_per_vehicle.km.NL.Tr.Rail.Passenger.CPT</t>
  </si>
  <si>
    <t>VehicleKm_per_vehicle.km.NL.Tr.Rail.Passenger.CPT.Diesel</t>
  </si>
  <si>
    <t>VehicleKm_per_vehicle.km.NL.Tr.Rail.Passenger.CPT.Elc</t>
  </si>
  <si>
    <t>VehicleKm_per_vehicle.km.NL.Tr.Rail.Passenger.HST</t>
  </si>
  <si>
    <t>VehicleKm_per_vehicle.km.NL.Tr.Rail.Freight</t>
  </si>
  <si>
    <t>VehicleKm_per_vehicle.km.NL.Tr.Rail.Freight.Diesel</t>
  </si>
  <si>
    <t>VehicleKm_per_vehicle.km.NL.Tr.Rail.Freight.Elc</t>
  </si>
  <si>
    <t>Activity_per_vehicle.pkm.NL.Tr.Rail.Passenger</t>
  </si>
  <si>
    <t>Activity_per_vehicle.pkm.NL.Tr.Rail.Passenger.MTU</t>
  </si>
  <si>
    <t>Activity_per_vehicle.pkm.NL.Tr.Rail.Passenger.CPT</t>
  </si>
  <si>
    <t>Activity_per_vehicle.pkm.NL.Tr.Rail.Passenger.CPT.Diesel</t>
  </si>
  <si>
    <t>Activity_per_vehicle.pkm.NL.Tr.Rail.Passenger.CPT.Elc</t>
  </si>
  <si>
    <t>Activity_per_vehicle.pkm.NL.Tr.Rail.Passenger.HST</t>
  </si>
  <si>
    <t>Activity_per_vehicle.tkm.NL.Tr.Rail.Freight</t>
  </si>
  <si>
    <t>Activity_per_vehicle.tkm.NL.Tr.Rail.Freight.Diesel</t>
  </si>
  <si>
    <t>Activity_per_vehicle.tkm.NL.Tr.Rail.Freight.Elc</t>
  </si>
  <si>
    <t>Rail, metro and tram / energy consumption - NL - Netherlands</t>
  </si>
  <si>
    <t>FEC.ktoe.NL.ES.Tr.Rail</t>
  </si>
  <si>
    <t>FEC.ktoe.NL.ES.Tr.Rail.Diesel</t>
  </si>
  <si>
    <t>FEC.ktoe.NL.ES.Tr.Rail.LiqBio</t>
  </si>
  <si>
    <t>FEC.ktoe.NL.ES.Tr.Rail.Elec</t>
  </si>
  <si>
    <t>FEC.ktoe.NL.Tr.Rail</t>
  </si>
  <si>
    <t>FEC.ktoe.NL.Tr.Rail.Passenger.CPT.Diesel</t>
  </si>
  <si>
    <t>FEC.ktoe.NL.Tr.Rail.Passenger.CPT.Elc</t>
  </si>
  <si>
    <t>FEC.ktoe.NL.Tr.Rail.Freight.Diesel</t>
  </si>
  <si>
    <t>FEC.ktoe.NL.Tr.Rail.Freight.Elc</t>
  </si>
  <si>
    <t>Eff.kgoe_per_100km.NL.Tr.Rail</t>
  </si>
  <si>
    <t>Eff.kgoe_per_100km.NL.Tr.Rail.Passenger</t>
  </si>
  <si>
    <t>Eff.kgoe_per_100km.NL.Tr.Rail.Passenger.MTU</t>
  </si>
  <si>
    <t>Eff.kgoe_per_100km.NL.Tr.Rail.Passenger.CPT</t>
  </si>
  <si>
    <t>Eff.kgoe_per_100km.NL.Tr.Rail.Passenger.CPT.Diesel</t>
  </si>
  <si>
    <t>Eff.kgoe_per_100km.NL.Tr.Rail.Passenger.CPT.Elc</t>
  </si>
  <si>
    <t>Eff.kgoe_per_100km.NL.Tr.Rail.Passenger.HST</t>
  </si>
  <si>
    <t>Eff.kgoe_per_100km.NL.Tr.Rail.Freight</t>
  </si>
  <si>
    <t>Eff.kgoe_per_100km.NL.Tr.Rail.Freight.Diesel</t>
  </si>
  <si>
    <t>Eff.kgoe_per_100km.NL.Tr.Rail.Freight.Elc</t>
  </si>
  <si>
    <t>Eff.kgoe_per_kpkm.NL.Tr.Rail.Passenger.CPT.Diesel</t>
  </si>
  <si>
    <t>Eff.kgoe_per_kpkm.NL.Tr.Rail.Passenger.CPT.Elc</t>
  </si>
  <si>
    <t>Eff.kgoe_per_ktkm.NL.Tr.Rail.Freight.Diesel</t>
  </si>
  <si>
    <t>Eff.kgoe_per_ktkm.NL.Tr.Rail.Freight.Elc</t>
  </si>
  <si>
    <t>FEC_per_vehicle.kgoe.NL.Tr.Rail</t>
  </si>
  <si>
    <t>FEC_per_vehicle.kgoe.NL.Tr.Rail.Passenger</t>
  </si>
  <si>
    <t>FEC_per_vehicle.kgoe.NL.Tr.Rail.Passenger.MTU</t>
  </si>
  <si>
    <t>FEC_per_vehicle.kgoe.NL.Tr.Rail.Passenger.CPT</t>
  </si>
  <si>
    <t>FEC_per_vehicle.kgoe.NL.Tr.Rail.Passenger.CPT.Diesel</t>
  </si>
  <si>
    <t>FEC_per_vehicle.kgoe.NL.Tr.Rail.Passenger.CPT.Elc</t>
  </si>
  <si>
    <t>FEC_per_vehicle.kgoe.NL.Tr.Rail.Passenger.HST</t>
  </si>
  <si>
    <t>FEC_per_vehicle.kgoe.NL.Tr.Rail.Freight</t>
  </si>
  <si>
    <t>FEC_per_vehicle.kgoe.NL.Tr.Rail.Freight.Diesel</t>
  </si>
  <si>
    <t>FEC_per_vehicle.kgoe.NL.Tr.Rail.Freight.Elc</t>
  </si>
  <si>
    <t>Rail, metro and tram / CO2 emissions - NL - Netherlands</t>
  </si>
  <si>
    <t>EMI.ktCO2.NL.ES.Tr.Rail</t>
  </si>
  <si>
    <t>EMI.ktCO2.NL.ES.Tr.Rail.Diesel</t>
  </si>
  <si>
    <t>EMI.ktCO2.NL.ES.Tr.Rail.Elec</t>
  </si>
  <si>
    <t>EMI.ktCO2.NL.Tr.Rail</t>
  </si>
  <si>
    <t>EMI.ktCO2.NL.Tr.Rail.Passenger.CPT.Diesel</t>
  </si>
  <si>
    <t>EMI.ktCO2.NL.Tr.Rail.Passenger.CPT.Elc</t>
  </si>
  <si>
    <t>EMI.ktCO2.NL.Tr.Rail.Freight.Diesel</t>
  </si>
  <si>
    <t>EMI.ktCO2.NL.Tr.Rail.Freight.Elc</t>
  </si>
  <si>
    <t>EMIint.gCO2_per_km.NL.Tr.Rail</t>
  </si>
  <si>
    <t>EMIint.gCO2_per_km.NL.Tr.Rail.Passenger</t>
  </si>
  <si>
    <t>EMIint.gCO2_per_km.NL.Tr.Rail.Passenger.MTU</t>
  </si>
  <si>
    <t>EMIint.gCO2_per_km.NL.Tr.Rail.Passenger.CPT</t>
  </si>
  <si>
    <t>EMIint.gCO2_per_km.NL.Tr.Rail.Passenger.CPT.Diesel</t>
  </si>
  <si>
    <t>EMIint.gCO2_per_km.NL.Tr.Rail.Passenger.CPT.Elc</t>
  </si>
  <si>
    <t>EMIint.gCO2_per_km.NL.Tr.Rail.Passenger.HST</t>
  </si>
  <si>
    <t>EMIint.gCO2_per_km.NL.Tr.Rail.Freight</t>
  </si>
  <si>
    <t>EMIint.gCO2_per_km.NL.Tr.Rail.Freight.Diesel</t>
  </si>
  <si>
    <t>EMIint.gCO2_per_km.NL.Tr.Rail.Freight.Elc</t>
  </si>
  <si>
    <t>EMIint.gCO2_per_pkm.NL.Tr.Rail.Passenger.CPT.Diesel</t>
  </si>
  <si>
    <t>EMIint.gCO2_per_pkm.NL.Tr.Rail.Passenger.CPT.Elc</t>
  </si>
  <si>
    <t>EMIint.gCO2_per_tkm.NL.Tr.Rail.Freight.Diesel</t>
  </si>
  <si>
    <t>EMIint.gCO2_per_tkm.NL.Tr.Rail.Freight.Elc</t>
  </si>
  <si>
    <t>EMI_per_vehicle.tCO2.NL.Tr.Rail</t>
  </si>
  <si>
    <t>EMI_per_vehicle.tCO2.NL.Tr.Rail.Passenger</t>
  </si>
  <si>
    <t>EMI_per_vehicle.tCO2.NL.Tr.Rail.Passenger.MTU</t>
  </si>
  <si>
    <t>EMI_per_vehicle.tCO2.NL.Tr.Rail.Passenger.CPT</t>
  </si>
  <si>
    <t>EMI_per_vehicle.tCO2.NL.Tr.Rail.Passenger.CPT.Diesel</t>
  </si>
  <si>
    <t>EMI_per_vehicle.tCO2.NL.Tr.Rail.Passenger.CPT.Elc</t>
  </si>
  <si>
    <t>EMI_per_vehicle.tCO2.NL.Tr.Rail.Passenger.HST</t>
  </si>
  <si>
    <t>EMI_per_vehicle.tCO2.NL.Tr.Rail.Freight</t>
  </si>
  <si>
    <t>EMI_per_vehicle.tCO2.NL.Tr.Rail.Freight.Diesel</t>
  </si>
  <si>
    <t>EMI_per_vehicle.tCO2.NL.Tr.Rail.Freight.Elc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</si>
</sst>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45432.787708333337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227012.97791257058</v>
      </c>
      <c r="C4" s="28">
        <f t="shared" si="0"/>
        <v>226338.14502846007</v>
      </c>
      <c r="D4" s="28">
        <f t="shared" si="0"/>
        <v>230054.08207079547</v>
      </c>
      <c r="E4" s="28">
        <f t="shared" si="0"/>
        <v>230792.90344490635</v>
      </c>
      <c r="F4" s="28">
        <f t="shared" si="0"/>
        <v>244387.51374756169</v>
      </c>
      <c r="G4" s="28">
        <f t="shared" si="0"/>
        <v>247736.87414092373</v>
      </c>
      <c r="H4" s="28">
        <f t="shared" si="0"/>
        <v>248405.6012301484</v>
      </c>
      <c r="I4" s="28">
        <f t="shared" si="0"/>
        <v>251587.38879579148</v>
      </c>
      <c r="J4" s="28">
        <f t="shared" si="0"/>
        <v>250863.94896442501</v>
      </c>
      <c r="K4" s="28">
        <f t="shared" si="0"/>
        <v>243226.76384286818</v>
      </c>
      <c r="L4" s="28">
        <f t="shared" si="0"/>
        <v>245940.11640989114</v>
      </c>
      <c r="M4" s="28">
        <f t="shared" si="0"/>
        <v>253771.09294017684</v>
      </c>
      <c r="N4" s="28">
        <f t="shared" si="0"/>
        <v>251462.05734775879</v>
      </c>
      <c r="O4" s="28">
        <f t="shared" si="0"/>
        <v>262173.61928822892</v>
      </c>
      <c r="P4" s="28">
        <f t="shared" si="0"/>
        <v>265366.18339536129</v>
      </c>
      <c r="Q4" s="28">
        <f t="shared" si="0"/>
        <v>262998.88896890415</v>
      </c>
      <c r="R4" s="28">
        <f t="shared" ref="R4:V4" si="1">R5+R9+R13</f>
        <v>271231.14134358987</v>
      </c>
      <c r="S4" s="28">
        <f t="shared" si="1"/>
        <v>276319.42130763276</v>
      </c>
      <c r="T4" s="28">
        <f t="shared" si="1"/>
        <v>291804.30616015382</v>
      </c>
      <c r="U4" s="28">
        <f t="shared" si="1"/>
        <v>294748.3496901117</v>
      </c>
      <c r="V4" s="28">
        <f t="shared" si="1"/>
        <v>157717.43652896484</v>
      </c>
      <c r="W4" s="28">
        <f t="shared" ref="W4" si="2">W5+W9+W13</f>
        <v>178940.27663487673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149141.95836574561</v>
      </c>
      <c r="C5" s="137">
        <f t="shared" si="3"/>
        <v>149831.75305556771</v>
      </c>
      <c r="D5" s="137">
        <f t="shared" si="3"/>
        <v>152300.45286370552</v>
      </c>
      <c r="E5" s="137">
        <f t="shared" si="3"/>
        <v>154420.09068319568</v>
      </c>
      <c r="F5" s="137">
        <f t="shared" si="3"/>
        <v>159856.73340969608</v>
      </c>
      <c r="G5" s="137">
        <f t="shared" si="3"/>
        <v>157276.63728102803</v>
      </c>
      <c r="H5" s="137">
        <f t="shared" si="3"/>
        <v>156831.98218596875</v>
      </c>
      <c r="I5" s="137">
        <f t="shared" si="3"/>
        <v>158149.09952893778</v>
      </c>
      <c r="J5" s="137">
        <f t="shared" si="3"/>
        <v>156843.981959406</v>
      </c>
      <c r="K5" s="137">
        <f t="shared" si="3"/>
        <v>156161.22026043464</v>
      </c>
      <c r="L5" s="137">
        <f t="shared" si="3"/>
        <v>154160.30022812411</v>
      </c>
      <c r="M5" s="137">
        <f t="shared" si="3"/>
        <v>154657.30373350286</v>
      </c>
      <c r="N5" s="137">
        <f t="shared" si="3"/>
        <v>149257.71193373966</v>
      </c>
      <c r="O5" s="137">
        <f t="shared" si="3"/>
        <v>155088.43107412575</v>
      </c>
      <c r="P5" s="137">
        <f t="shared" si="3"/>
        <v>154395.13180359712</v>
      </c>
      <c r="Q5" s="137">
        <f t="shared" si="3"/>
        <v>149424.00503180549</v>
      </c>
      <c r="R5" s="137">
        <f t="shared" ref="R5:V5" si="4">R6+R7+R8</f>
        <v>150940.72585555844</v>
      </c>
      <c r="S5" s="137">
        <f t="shared" si="4"/>
        <v>148196.13529794646</v>
      </c>
      <c r="T5" s="137">
        <f t="shared" si="4"/>
        <v>157609.84942889109</v>
      </c>
      <c r="U5" s="137">
        <f t="shared" si="4"/>
        <v>157897.98644913142</v>
      </c>
      <c r="V5" s="137">
        <f t="shared" si="4"/>
        <v>112065.75833211804</v>
      </c>
      <c r="W5" s="137">
        <f t="shared" ref="W5" si="5">W6+W7+W8</f>
        <v>123239.17390631225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3424.6809661735447</v>
      </c>
      <c r="C6" s="102">
        <f>TrRoad_act!C$5</f>
        <v>3559.5078684520281</v>
      </c>
      <c r="D6" s="102">
        <f>TrRoad_act!D$5</f>
        <v>3688.9643314199366</v>
      </c>
      <c r="E6" s="102">
        <f>TrRoad_act!E$5</f>
        <v>3720.2595184130337</v>
      </c>
      <c r="F6" s="102">
        <f>TrRoad_act!F$5</f>
        <v>3556.5427906556833</v>
      </c>
      <c r="G6" s="102">
        <f>TrRoad_act!G$5</f>
        <v>3701.6092342159986</v>
      </c>
      <c r="H6" s="102">
        <f>TrRoad_act!H$5</f>
        <v>3971.0703274702687</v>
      </c>
      <c r="I6" s="102">
        <f>TrRoad_act!I$5</f>
        <v>4387.6964951206091</v>
      </c>
      <c r="J6" s="102">
        <f>TrRoad_act!J$5</f>
        <v>4795.4387775680234</v>
      </c>
      <c r="K6" s="102">
        <f>TrRoad_act!K$5</f>
        <v>5007.2727542061939</v>
      </c>
      <c r="L6" s="102">
        <f>TrRoad_act!L$5</f>
        <v>5114.2252893539271</v>
      </c>
      <c r="M6" s="102">
        <f>TrRoad_act!M$5</f>
        <v>5247.2071925997761</v>
      </c>
      <c r="N6" s="102">
        <f>TrRoad_act!N$5</f>
        <v>5073.8424040169857</v>
      </c>
      <c r="O6" s="102">
        <f>TrRoad_act!O$5</f>
        <v>5041.9906395095004</v>
      </c>
      <c r="P6" s="102">
        <f>TrRoad_act!P$5</f>
        <v>4879.3743415028794</v>
      </c>
      <c r="Q6" s="102">
        <f>TrRoad_act!Q$5</f>
        <v>5040.4507206671587</v>
      </c>
      <c r="R6" s="102">
        <f>TrRoad_act!R$5</f>
        <v>5166.1525993615933</v>
      </c>
      <c r="S6" s="102">
        <f>TrRoad_act!S$5</f>
        <v>4877.7373000872894</v>
      </c>
      <c r="T6" s="102">
        <f>TrRoad_act!T$5</f>
        <v>4639.3435676844601</v>
      </c>
      <c r="U6" s="102">
        <f>TrRoad_act!U$5</f>
        <v>4927.4805879248415</v>
      </c>
      <c r="V6" s="102">
        <f>TrRoad_act!V$5</f>
        <v>4425.0711017335561</v>
      </c>
      <c r="W6" s="102">
        <f>TrRoad_act!W$5</f>
        <v>4493.516904124087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141100</v>
      </c>
      <c r="C7" s="102">
        <f>TrRoad_act!C$6</f>
        <v>141600</v>
      </c>
      <c r="D7" s="102">
        <f>TrRoad_act!D$6</f>
        <v>144200</v>
      </c>
      <c r="E7" s="102">
        <f>TrRoad_act!E$6</f>
        <v>146100.00000000003</v>
      </c>
      <c r="F7" s="102">
        <f>TrRoad_act!F$6</f>
        <v>151600</v>
      </c>
      <c r="G7" s="102">
        <f>TrRoad_act!G$6</f>
        <v>148800</v>
      </c>
      <c r="H7" s="102">
        <f>TrRoad_act!H$6</f>
        <v>148000</v>
      </c>
      <c r="I7" s="102">
        <f>TrRoad_act!I$6</f>
        <v>148799.99999999997</v>
      </c>
      <c r="J7" s="102">
        <f>TrRoad_act!J$6</f>
        <v>147000</v>
      </c>
      <c r="K7" s="102">
        <f>TrRoad_act!K$6</f>
        <v>146300.00000000003</v>
      </c>
      <c r="L7" s="102">
        <f>TrRoad_act!L$6</f>
        <v>144200</v>
      </c>
      <c r="M7" s="102">
        <f>TrRoad_act!M$6</f>
        <v>144400</v>
      </c>
      <c r="N7" s="102">
        <f>TrRoad_act!N$6</f>
        <v>139700.00000000003</v>
      </c>
      <c r="O7" s="102">
        <f>TrRoad_act!O$6</f>
        <v>145400.00000000003</v>
      </c>
      <c r="P7" s="102">
        <f>TrRoad_act!P$6</f>
        <v>144968.99999999994</v>
      </c>
      <c r="Q7" s="102">
        <f>TrRoad_act!Q$6</f>
        <v>139499.99999999997</v>
      </c>
      <c r="R7" s="102">
        <f>TrRoad_act!R$6</f>
        <v>140800</v>
      </c>
      <c r="S7" s="102">
        <f>TrRoad_act!S$6</f>
        <v>138700.00000000003</v>
      </c>
      <c r="T7" s="102">
        <f>TrRoad_act!T$6</f>
        <v>147500.00000000003</v>
      </c>
      <c r="U7" s="102">
        <f>TrRoad_act!U$6</f>
        <v>147500</v>
      </c>
      <c r="V7" s="102">
        <f>TrRoad_act!V$6</f>
        <v>105200</v>
      </c>
      <c r="W7" s="102">
        <f>TrRoad_act!W$6</f>
        <v>115800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4617.2773995720845</v>
      </c>
      <c r="C8" s="102">
        <f>TrRoad_act!C$13</f>
        <v>4672.2451871156682</v>
      </c>
      <c r="D8" s="102">
        <f>TrRoad_act!D$13</f>
        <v>4411.4885322855989</v>
      </c>
      <c r="E8" s="102">
        <f>TrRoad_act!E$13</f>
        <v>4599.8311647826149</v>
      </c>
      <c r="F8" s="102">
        <f>TrRoad_act!F$13</f>
        <v>4700.1906190403852</v>
      </c>
      <c r="G8" s="102">
        <f>TrRoad_act!G$13</f>
        <v>4775.0280468120172</v>
      </c>
      <c r="H8" s="102">
        <f>TrRoad_act!H$13</f>
        <v>4860.9118584984581</v>
      </c>
      <c r="I8" s="102">
        <f>TrRoad_act!I$13</f>
        <v>4961.4030338171933</v>
      </c>
      <c r="J8" s="102">
        <f>TrRoad_act!J$13</f>
        <v>5048.543181837983</v>
      </c>
      <c r="K8" s="102">
        <f>TrRoad_act!K$13</f>
        <v>4853.9475062283936</v>
      </c>
      <c r="L8" s="102">
        <f>TrRoad_act!L$13</f>
        <v>4846.0749387701871</v>
      </c>
      <c r="M8" s="102">
        <f>TrRoad_act!M$13</f>
        <v>5010.0965409031051</v>
      </c>
      <c r="N8" s="102">
        <f>TrRoad_act!N$13</f>
        <v>4483.8695297226495</v>
      </c>
      <c r="O8" s="102">
        <f>TrRoad_act!O$13</f>
        <v>4646.4404346162364</v>
      </c>
      <c r="P8" s="102">
        <f>TrRoad_act!P$13</f>
        <v>4546.7574620943142</v>
      </c>
      <c r="Q8" s="102">
        <f>TrRoad_act!Q$13</f>
        <v>4883.5543111383377</v>
      </c>
      <c r="R8" s="102">
        <f>TrRoad_act!R$13</f>
        <v>4974.5732561968516</v>
      </c>
      <c r="S8" s="102">
        <f>TrRoad_act!S$13</f>
        <v>4618.3979978591387</v>
      </c>
      <c r="T8" s="102">
        <f>TrRoad_act!T$13</f>
        <v>5470.5058612065932</v>
      </c>
      <c r="U8" s="102">
        <f>TrRoad_act!U$13</f>
        <v>5470.5058612065932</v>
      </c>
      <c r="V8" s="102">
        <f>TrRoad_act!V$13</f>
        <v>2440.6872303844798</v>
      </c>
      <c r="W8" s="102">
        <f>TrRoad_act!W$13</f>
        <v>2945.6570021881657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15335.202402571358</v>
      </c>
      <c r="C9" s="110">
        <f t="shared" si="6"/>
        <v>15076.721012389689</v>
      </c>
      <c r="D9" s="110">
        <f t="shared" si="6"/>
        <v>14951.532077772108</v>
      </c>
      <c r="E9" s="110">
        <f t="shared" si="6"/>
        <v>14534.64863736083</v>
      </c>
      <c r="F9" s="110">
        <f t="shared" si="6"/>
        <v>15236.261977826885</v>
      </c>
      <c r="G9" s="110">
        <f t="shared" si="6"/>
        <v>15899.40641320447</v>
      </c>
      <c r="H9" s="110">
        <f t="shared" si="6"/>
        <v>16666.999930454553</v>
      </c>
      <c r="I9" s="110">
        <f t="shared" si="6"/>
        <v>17119.986084072334</v>
      </c>
      <c r="J9" s="110">
        <f t="shared" si="6"/>
        <v>17168.323264988067</v>
      </c>
      <c r="K9" s="110">
        <f t="shared" si="6"/>
        <v>17279.895338335453</v>
      </c>
      <c r="L9" s="110">
        <f t="shared" si="6"/>
        <v>17753.925061229813</v>
      </c>
      <c r="M9" s="110">
        <f t="shared" si="6"/>
        <v>18368.903459096895</v>
      </c>
      <c r="N9" s="110">
        <f t="shared" si="6"/>
        <v>18587.130470277352</v>
      </c>
      <c r="O9" s="110">
        <f t="shared" si="6"/>
        <v>19897.559565383763</v>
      </c>
      <c r="P9" s="110">
        <f t="shared" si="6"/>
        <v>20858.242537905688</v>
      </c>
      <c r="Q9" s="110">
        <f t="shared" si="6"/>
        <v>18439.445688861662</v>
      </c>
      <c r="R9" s="110">
        <f t="shared" ref="R9:V9" si="7">R10+R11+R12</f>
        <v>18905.426743803149</v>
      </c>
      <c r="S9" s="110">
        <f t="shared" si="7"/>
        <v>19318.602002140862</v>
      </c>
      <c r="T9" s="110">
        <f t="shared" si="7"/>
        <v>19924.494138793405</v>
      </c>
      <c r="U9" s="110">
        <f t="shared" si="7"/>
        <v>20382.494138793405</v>
      </c>
      <c r="V9" s="110">
        <f t="shared" si="7"/>
        <v>9624.3127696155207</v>
      </c>
      <c r="W9" s="110">
        <f t="shared" ref="W9" si="8">W10+W11+W12</f>
        <v>11407.342997811835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669.20240257135822</v>
      </c>
      <c r="C10" s="102">
        <f>TrRail_act!C$5</f>
        <v>684.72101238968935</v>
      </c>
      <c r="D10" s="102">
        <f>TrRail_act!D$5</f>
        <v>663.53207777210855</v>
      </c>
      <c r="E10" s="102">
        <f>TrRail_act!E$5</f>
        <v>686.64863736082975</v>
      </c>
      <c r="F10" s="102">
        <f>TrRail_act!F$5</f>
        <v>727.26197782688473</v>
      </c>
      <c r="G10" s="102">
        <f>TrRail_act!G$5</f>
        <v>746.40641320447014</v>
      </c>
      <c r="H10" s="102">
        <f>TrRail_act!H$5</f>
        <v>777.99993045455176</v>
      </c>
      <c r="I10" s="102">
        <f>TrRail_act!I$5</f>
        <v>794.98608407233576</v>
      </c>
      <c r="J10" s="102">
        <f>TrRail_act!J$5</f>
        <v>825.32326498806594</v>
      </c>
      <c r="K10" s="102">
        <f>TrRail_act!K$5</f>
        <v>824.89533833545067</v>
      </c>
      <c r="L10" s="102">
        <f>TrRail_act!L$5</f>
        <v>853.92506122981331</v>
      </c>
      <c r="M10" s="102">
        <f>TrRail_act!M$5</f>
        <v>889.90345909689643</v>
      </c>
      <c r="N10" s="102">
        <f>TrRail_act!N$5</f>
        <v>816.13047027735092</v>
      </c>
      <c r="O10" s="102">
        <f>TrRail_act!O$5</f>
        <v>853.55956538376279</v>
      </c>
      <c r="P10" s="102">
        <f>TrRail_act!P$5</f>
        <v>853.24253790568616</v>
      </c>
      <c r="Q10" s="102">
        <f>TrRail_act!Q$5</f>
        <v>916.44568886166292</v>
      </c>
      <c r="R10" s="102">
        <f>TrRail_act!R$5</f>
        <v>925.42674380315032</v>
      </c>
      <c r="S10" s="102">
        <f>TrRail_act!S$5</f>
        <v>881.60200214086183</v>
      </c>
      <c r="T10" s="102">
        <f>TrRail_act!T$5</f>
        <v>1029.4941387934066</v>
      </c>
      <c r="U10" s="102">
        <f>TrRail_act!U$5</f>
        <v>1029.4941387934066</v>
      </c>
      <c r="V10" s="102">
        <f>TrRail_act!V$5</f>
        <v>459.31276961551993</v>
      </c>
      <c r="W10" s="102">
        <f>TrRail_act!W$5</f>
        <v>554.34299781183415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14553</v>
      </c>
      <c r="C11" s="102">
        <f>TrRail_act!C$6</f>
        <v>14201</v>
      </c>
      <c r="D11" s="102">
        <f>TrRail_act!D$6</f>
        <v>14087</v>
      </c>
      <c r="E11" s="102">
        <f>TrRail_act!E$6</f>
        <v>13184</v>
      </c>
      <c r="F11" s="102">
        <f>TrRail_act!F$6</f>
        <v>13852</v>
      </c>
      <c r="G11" s="102">
        <f>TrRail_act!G$6</f>
        <v>14466</v>
      </c>
      <c r="H11" s="102">
        <f>TrRail_act!H$6</f>
        <v>15156</v>
      </c>
      <c r="I11" s="102">
        <f>TrRail_act!I$6</f>
        <v>15525</v>
      </c>
      <c r="J11" s="102">
        <f>TrRail_act!J$6</f>
        <v>15476</v>
      </c>
      <c r="K11" s="102">
        <f>TrRail_act!K$6</f>
        <v>15540</v>
      </c>
      <c r="L11" s="102">
        <f>TrRail_act!L$6</f>
        <v>16615</v>
      </c>
      <c r="M11" s="102">
        <f>TrRail_act!M$6</f>
        <v>17174</v>
      </c>
      <c r="N11" s="102">
        <f>TrRail_act!N$6</f>
        <v>17447</v>
      </c>
      <c r="O11" s="102">
        <f>TrRail_act!O$6</f>
        <v>18681</v>
      </c>
      <c r="P11" s="102">
        <f>TrRail_act!P$6</f>
        <v>19763</v>
      </c>
      <c r="Q11" s="102">
        <f>TrRail_act!Q$6</f>
        <v>16527</v>
      </c>
      <c r="R11" s="102">
        <f>TrRail_act!R$6</f>
        <v>17615</v>
      </c>
      <c r="S11" s="102">
        <f>TrRail_act!S$6</f>
        <v>18024</v>
      </c>
      <c r="T11" s="102">
        <f>TrRail_act!T$6</f>
        <v>18500</v>
      </c>
      <c r="U11" s="102">
        <f>TrRail_act!U$6</f>
        <v>18901</v>
      </c>
      <c r="V11" s="102">
        <f>TrRail_act!V$6</f>
        <v>9024</v>
      </c>
      <c r="W11" s="102">
        <f>TrRail_act!W$6</f>
        <v>10710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113</v>
      </c>
      <c r="C12" s="102">
        <f>TrRail_act!C$9</f>
        <v>191</v>
      </c>
      <c r="D12" s="102">
        <f>TrRail_act!D$9</f>
        <v>201</v>
      </c>
      <c r="E12" s="102">
        <f>TrRail_act!E$9</f>
        <v>664</v>
      </c>
      <c r="F12" s="102">
        <f>TrRail_act!F$9</f>
        <v>657</v>
      </c>
      <c r="G12" s="102">
        <f>TrRail_act!G$9</f>
        <v>687</v>
      </c>
      <c r="H12" s="102">
        <f>TrRail_act!H$9</f>
        <v>733</v>
      </c>
      <c r="I12" s="102">
        <f>TrRail_act!I$9</f>
        <v>800</v>
      </c>
      <c r="J12" s="102">
        <f>TrRail_act!J$9</f>
        <v>867</v>
      </c>
      <c r="K12" s="102">
        <f>TrRail_act!K$9</f>
        <v>915</v>
      </c>
      <c r="L12" s="102">
        <f>TrRail_act!L$9</f>
        <v>285</v>
      </c>
      <c r="M12" s="102">
        <f>TrRail_act!M$9</f>
        <v>305</v>
      </c>
      <c r="N12" s="102">
        <f>TrRail_act!N$9</f>
        <v>324</v>
      </c>
      <c r="O12" s="102">
        <f>TrRail_act!O$9</f>
        <v>363</v>
      </c>
      <c r="P12" s="102">
        <f>TrRail_act!P$9</f>
        <v>242</v>
      </c>
      <c r="Q12" s="102">
        <f>TrRail_act!Q$9</f>
        <v>996</v>
      </c>
      <c r="R12" s="102">
        <f>TrRail_act!R$9</f>
        <v>365</v>
      </c>
      <c r="S12" s="102">
        <f>TrRail_act!S$9</f>
        <v>413</v>
      </c>
      <c r="T12" s="102">
        <f>TrRail_act!T$9</f>
        <v>395</v>
      </c>
      <c r="U12" s="102">
        <f>TrRail_act!U$9</f>
        <v>452</v>
      </c>
      <c r="V12" s="102">
        <f>TrRail_act!V$9</f>
        <v>141</v>
      </c>
      <c r="W12" s="102">
        <f>TrRail_act!W$9</f>
        <v>143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62535.817144253619</v>
      </c>
      <c r="C13" s="110">
        <f t="shared" ref="C13:V13" si="10">C14+C15+C16</f>
        <v>61429.670960502684</v>
      </c>
      <c r="D13" s="110">
        <f t="shared" si="10"/>
        <v>62802.09712931783</v>
      </c>
      <c r="E13" s="110">
        <f t="shared" si="10"/>
        <v>61838.164124349845</v>
      </c>
      <c r="F13" s="110">
        <f t="shared" si="10"/>
        <v>69294.518360038724</v>
      </c>
      <c r="G13" s="110">
        <f t="shared" si="10"/>
        <v>74560.830446691223</v>
      </c>
      <c r="H13" s="110">
        <f t="shared" si="10"/>
        <v>74906.619113725086</v>
      </c>
      <c r="I13" s="110">
        <f t="shared" si="10"/>
        <v>76318.303182781383</v>
      </c>
      <c r="J13" s="110">
        <f t="shared" si="10"/>
        <v>76851.643740030937</v>
      </c>
      <c r="K13" s="110">
        <f t="shared" si="10"/>
        <v>69785.648244098091</v>
      </c>
      <c r="L13" s="110">
        <f t="shared" si="10"/>
        <v>74025.891120537213</v>
      </c>
      <c r="M13" s="110">
        <f t="shared" si="10"/>
        <v>80744.885747577078</v>
      </c>
      <c r="N13" s="110">
        <f t="shared" si="10"/>
        <v>83617.214943741783</v>
      </c>
      <c r="O13" s="110">
        <f t="shared" si="10"/>
        <v>87187.628648719372</v>
      </c>
      <c r="P13" s="110">
        <f t="shared" si="10"/>
        <v>90112.809053858509</v>
      </c>
      <c r="Q13" s="110">
        <f t="shared" si="10"/>
        <v>95135.438248236984</v>
      </c>
      <c r="R13" s="110">
        <f t="shared" si="10"/>
        <v>101384.98874422826</v>
      </c>
      <c r="S13" s="110">
        <f t="shared" si="10"/>
        <v>108804.68400754542</v>
      </c>
      <c r="T13" s="110">
        <f t="shared" si="10"/>
        <v>114269.96259246931</v>
      </c>
      <c r="U13" s="110">
        <f t="shared" si="10"/>
        <v>116467.86910218686</v>
      </c>
      <c r="V13" s="110">
        <f t="shared" si="10"/>
        <v>36027.365427231278</v>
      </c>
      <c r="W13" s="110">
        <f t="shared" ref="W13" si="11">W14+W15+W16</f>
        <v>44293.759730752659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15531.378421343807</v>
      </c>
      <c r="C15" s="102">
        <f>TrAvia_act!C$6</f>
        <v>15340.660725864074</v>
      </c>
      <c r="D15" s="102">
        <f>TrAvia_act!D$6</f>
        <v>15699.68850265555</v>
      </c>
      <c r="E15" s="102">
        <f>TrAvia_act!E$6</f>
        <v>15594.280133508062</v>
      </c>
      <c r="F15" s="102">
        <f>TrAvia_act!F$6</f>
        <v>16372.186438124611</v>
      </c>
      <c r="G15" s="102">
        <f>TrAvia_act!G$6</f>
        <v>17127.227103009427</v>
      </c>
      <c r="H15" s="102">
        <f>TrAvia_act!H$6</f>
        <v>17896.26049564705</v>
      </c>
      <c r="I15" s="102">
        <f>TrAvia_act!I$6</f>
        <v>17791.989659955587</v>
      </c>
      <c r="J15" s="102">
        <f>TrAvia_act!J$6</f>
        <v>16784.046313370513</v>
      </c>
      <c r="K15" s="102">
        <f>TrAvia_act!K$6</f>
        <v>15368.013868688526</v>
      </c>
      <c r="L15" s="102">
        <f>TrAvia_act!L$6</f>
        <v>16082.256106782517</v>
      </c>
      <c r="M15" s="102">
        <f>TrAvia_act!M$6</f>
        <v>18540.013493716422</v>
      </c>
      <c r="N15" s="102">
        <f>TrAvia_act!N$6</f>
        <v>18984.578929916446</v>
      </c>
      <c r="O15" s="102">
        <f>TrAvia_act!O$6</f>
        <v>19784.877879982716</v>
      </c>
      <c r="P15" s="102">
        <f>TrAvia_act!P$6</f>
        <v>20884.053823219969</v>
      </c>
      <c r="Q15" s="102">
        <f>TrAvia_act!Q$6</f>
        <v>21902.154585546301</v>
      </c>
      <c r="R15" s="102">
        <f>TrAvia_act!R$6</f>
        <v>25218.238820541716</v>
      </c>
      <c r="S15" s="102">
        <f>TrAvia_act!S$6</f>
        <v>28022.220015068149</v>
      </c>
      <c r="T15" s="102">
        <f>TrAvia_act!T$6</f>
        <v>29225.700045088786</v>
      </c>
      <c r="U15" s="102">
        <f>TrAvia_act!U$6</f>
        <v>29366.124001745189</v>
      </c>
      <c r="V15" s="102">
        <f>TrAvia_act!V$6</f>
        <v>9261.7807760529668</v>
      </c>
      <c r="W15" s="102">
        <f>TrAvia_act!W$6</f>
        <v>13073.449716508669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47004.438722909814</v>
      </c>
      <c r="C16" s="102">
        <f>TrAvia_act!C$7</f>
        <v>46089.010234638612</v>
      </c>
      <c r="D16" s="102">
        <f>TrAvia_act!D$7</f>
        <v>47102.408626662283</v>
      </c>
      <c r="E16" s="102">
        <f>TrAvia_act!E$7</f>
        <v>46243.883990841787</v>
      </c>
      <c r="F16" s="102">
        <f>TrAvia_act!F$7</f>
        <v>52922.331921914112</v>
      </c>
      <c r="G16" s="102">
        <f>TrAvia_act!G$7</f>
        <v>57433.603343681803</v>
      </c>
      <c r="H16" s="102">
        <f>TrAvia_act!H$7</f>
        <v>57010.358618078033</v>
      </c>
      <c r="I16" s="102">
        <f>TrAvia_act!I$7</f>
        <v>58526.313522825803</v>
      </c>
      <c r="J16" s="102">
        <f>TrAvia_act!J$7</f>
        <v>60067.597426660424</v>
      </c>
      <c r="K16" s="102">
        <f>TrAvia_act!K$7</f>
        <v>54417.634375409558</v>
      </c>
      <c r="L16" s="102">
        <f>TrAvia_act!L$7</f>
        <v>57943.635013754698</v>
      </c>
      <c r="M16" s="102">
        <f>TrAvia_act!M$7</f>
        <v>62204.87225386066</v>
      </c>
      <c r="N16" s="102">
        <f>TrAvia_act!N$7</f>
        <v>64632.636013825337</v>
      </c>
      <c r="O16" s="102">
        <f>TrAvia_act!O$7</f>
        <v>67402.75076873666</v>
      </c>
      <c r="P16" s="102">
        <f>TrAvia_act!P$7</f>
        <v>69228.755230638548</v>
      </c>
      <c r="Q16" s="102">
        <f>TrAvia_act!Q$7</f>
        <v>73233.283662690679</v>
      </c>
      <c r="R16" s="102">
        <f>TrAvia_act!R$7</f>
        <v>76166.749923686555</v>
      </c>
      <c r="S16" s="102">
        <f>TrAvia_act!S$7</f>
        <v>80782.463992477278</v>
      </c>
      <c r="T16" s="102">
        <f>TrAvia_act!T$7</f>
        <v>85044.262547380524</v>
      </c>
      <c r="U16" s="102">
        <f>TrAvia_act!U$7</f>
        <v>87101.745100441665</v>
      </c>
      <c r="V16" s="102">
        <f>TrAvia_act!V$7</f>
        <v>26765.584651178309</v>
      </c>
      <c r="W16" s="102">
        <f>TrAvia_act!W$7</f>
        <v>31220.310014243991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98148.146123688683</v>
      </c>
      <c r="C17" s="28">
        <f t="shared" si="12"/>
        <v>99253.505801004227</v>
      </c>
      <c r="D17" s="28">
        <f t="shared" si="12"/>
        <v>98428.600825481873</v>
      </c>
      <c r="E17" s="28">
        <f t="shared" si="12"/>
        <v>99204.050046750286</v>
      </c>
      <c r="F17" s="28">
        <f t="shared" si="12"/>
        <v>109219.47582212211</v>
      </c>
      <c r="G17" s="28">
        <f t="shared" si="12"/>
        <v>107322.5452199323</v>
      </c>
      <c r="H17" s="28">
        <f t="shared" si="12"/>
        <v>108380.56384370578</v>
      </c>
      <c r="I17" s="28">
        <f t="shared" si="12"/>
        <v>113339.03639624928</v>
      </c>
      <c r="J17" s="28">
        <f t="shared" si="12"/>
        <v>114468.58693063153</v>
      </c>
      <c r="K17" s="28">
        <f t="shared" si="12"/>
        <v>101180.11030119708</v>
      </c>
      <c r="L17" s="28">
        <f t="shared" si="12"/>
        <v>111389.41008294934</v>
      </c>
      <c r="M17" s="28">
        <f t="shared" si="12"/>
        <v>111762.03562140666</v>
      </c>
      <c r="N17" s="28">
        <f t="shared" si="12"/>
        <v>109943.75250021215</v>
      </c>
      <c r="O17" s="28">
        <f t="shared" si="12"/>
        <v>114994.24923429823</v>
      </c>
      <c r="P17" s="28">
        <f t="shared" si="12"/>
        <v>116672.32222057556</v>
      </c>
      <c r="Q17" s="28">
        <f t="shared" si="12"/>
        <v>116690.24851078587</v>
      </c>
      <c r="R17" s="28">
        <f t="shared" ref="R17:V17" si="13">R18+R21+R22+R26</f>
        <v>120121.73377064453</v>
      </c>
      <c r="S17" s="28">
        <f t="shared" si="13"/>
        <v>120242.6441210075</v>
      </c>
      <c r="T17" s="28">
        <f t="shared" si="13"/>
        <v>119598.24701926703</v>
      </c>
      <c r="U17" s="28">
        <f t="shared" si="13"/>
        <v>121245.96966435395</v>
      </c>
      <c r="V17" s="28">
        <f t="shared" si="13"/>
        <v>118620.27953929349</v>
      </c>
      <c r="W17" s="28">
        <f t="shared" ref="W17" si="14">W18+W21+W22+W26</f>
        <v>123096.6580516636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47546.123873074554</v>
      </c>
      <c r="C18" s="137">
        <f t="shared" si="15"/>
        <v>48236.915899972941</v>
      </c>
      <c r="D18" s="137">
        <f t="shared" si="15"/>
        <v>48468.504916313956</v>
      </c>
      <c r="E18" s="137">
        <f t="shared" si="15"/>
        <v>50418.510940531298</v>
      </c>
      <c r="F18" s="137">
        <f t="shared" si="15"/>
        <v>55172.149198540137</v>
      </c>
      <c r="G18" s="137">
        <f t="shared" si="15"/>
        <v>53767.42460362053</v>
      </c>
      <c r="H18" s="137">
        <f t="shared" si="15"/>
        <v>54081.792285039366</v>
      </c>
      <c r="I18" s="137">
        <f t="shared" si="15"/>
        <v>54020.659435817841</v>
      </c>
      <c r="J18" s="137">
        <f t="shared" si="15"/>
        <v>55481.284913188108</v>
      </c>
      <c r="K18" s="137">
        <f t="shared" si="15"/>
        <v>52921.697208990518</v>
      </c>
      <c r="L18" s="137">
        <f t="shared" si="15"/>
        <v>53140.801206992946</v>
      </c>
      <c r="M18" s="137">
        <f t="shared" si="15"/>
        <v>53163.381794509034</v>
      </c>
      <c r="N18" s="137">
        <f t="shared" si="15"/>
        <v>50888.913816559907</v>
      </c>
      <c r="O18" s="137">
        <f t="shared" si="15"/>
        <v>54749.0707896815</v>
      </c>
      <c r="P18" s="137">
        <f t="shared" si="15"/>
        <v>55179.506589047705</v>
      </c>
      <c r="Q18" s="137">
        <f t="shared" si="15"/>
        <v>55492.680211833285</v>
      </c>
      <c r="R18" s="137">
        <f t="shared" ref="R18:V18" si="16">R19+R20</f>
        <v>58700.886505694318</v>
      </c>
      <c r="S18" s="137">
        <f t="shared" si="16"/>
        <v>58229.538168869192</v>
      </c>
      <c r="T18" s="137">
        <f t="shared" si="16"/>
        <v>59145.29886853123</v>
      </c>
      <c r="U18" s="137">
        <f t="shared" si="16"/>
        <v>61142.112177349831</v>
      </c>
      <c r="V18" s="137">
        <f t="shared" si="16"/>
        <v>60924.997608369282</v>
      </c>
      <c r="W18" s="137">
        <f t="shared" ref="W18" si="17">W19+W20</f>
        <v>62582.255867166779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3074.5023836058954</v>
      </c>
      <c r="C19" s="102">
        <f>TrRoad_act!C$20</f>
        <v>3382.7343305923623</v>
      </c>
      <c r="D19" s="102">
        <f>TrRoad_act!D$20</f>
        <v>3540.8283433057627</v>
      </c>
      <c r="E19" s="102">
        <f>TrRoad_act!E$20</f>
        <v>3725.492675104364</v>
      </c>
      <c r="F19" s="102">
        <f>TrRoad_act!F$20</f>
        <v>3930.5992231597374</v>
      </c>
      <c r="G19" s="102">
        <f>TrRoad_act!G$20</f>
        <v>4021.1339866510702</v>
      </c>
      <c r="H19" s="102">
        <f>TrRoad_act!H$20</f>
        <v>3998.5577623247773</v>
      </c>
      <c r="I19" s="102">
        <f>TrRoad_act!I$20</f>
        <v>4035.6065148862413</v>
      </c>
      <c r="J19" s="102">
        <f>TrRoad_act!J$20</f>
        <v>4111.6384770579043</v>
      </c>
      <c r="K19" s="102">
        <f>TrRoad_act!K$20</f>
        <v>3940.5856815477732</v>
      </c>
      <c r="L19" s="102">
        <f>TrRoad_act!L$20</f>
        <v>3970.0811840445517</v>
      </c>
      <c r="M19" s="102">
        <f>TrRoad_act!M$20</f>
        <v>4022.6649877182022</v>
      </c>
      <c r="N19" s="102">
        <f>TrRoad_act!N$20</f>
        <v>3871.3205407909236</v>
      </c>
      <c r="O19" s="102">
        <f>TrRoad_act!O$20</f>
        <v>3751.782584704496</v>
      </c>
      <c r="P19" s="102">
        <f>TrRoad_act!P$20</f>
        <v>3636.7845804831709</v>
      </c>
      <c r="Q19" s="102">
        <f>TrRoad_act!Q$20</f>
        <v>3784.1069228035121</v>
      </c>
      <c r="R19" s="102">
        <f>TrRoad_act!R$20</f>
        <v>3889.6463275295373</v>
      </c>
      <c r="S19" s="102">
        <f>TrRoad_act!S$20</f>
        <v>3977.6461164732091</v>
      </c>
      <c r="T19" s="102">
        <f>TrRoad_act!T$20</f>
        <v>4010.2988685312303</v>
      </c>
      <c r="U19" s="102">
        <f>TrRoad_act!U$20</f>
        <v>4070.1121773498335</v>
      </c>
      <c r="V19" s="102">
        <f>TrRoad_act!V$20</f>
        <v>3981.9976083692832</v>
      </c>
      <c r="W19" s="102">
        <f>TrRoad_act!W$20</f>
        <v>4095.2558671667803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44471.621489468656</v>
      </c>
      <c r="C20" s="102">
        <f>TrRoad_act!C$26</f>
        <v>44854.181569380577</v>
      </c>
      <c r="D20" s="102">
        <f>TrRoad_act!D$26</f>
        <v>44927.67657300819</v>
      </c>
      <c r="E20" s="102">
        <f>TrRoad_act!E$26</f>
        <v>46693.01826542693</v>
      </c>
      <c r="F20" s="102">
        <f>TrRoad_act!F$26</f>
        <v>51241.549975380403</v>
      </c>
      <c r="G20" s="102">
        <f>TrRoad_act!G$26</f>
        <v>49746.290616969462</v>
      </c>
      <c r="H20" s="102">
        <f>TrRoad_act!H$26</f>
        <v>50083.234522714592</v>
      </c>
      <c r="I20" s="102">
        <f>TrRoad_act!I$26</f>
        <v>49985.052920931601</v>
      </c>
      <c r="J20" s="102">
        <f>TrRoad_act!J$26</f>
        <v>51369.646436130206</v>
      </c>
      <c r="K20" s="102">
        <f>TrRoad_act!K$26</f>
        <v>48981.111527442743</v>
      </c>
      <c r="L20" s="102">
        <f>TrRoad_act!L$26</f>
        <v>49170.720022948393</v>
      </c>
      <c r="M20" s="102">
        <f>TrRoad_act!M$26</f>
        <v>49140.716806790835</v>
      </c>
      <c r="N20" s="102">
        <f>TrRoad_act!N$26</f>
        <v>47017.593275768981</v>
      </c>
      <c r="O20" s="102">
        <f>TrRoad_act!O$26</f>
        <v>50997.288204977005</v>
      </c>
      <c r="P20" s="102">
        <f>TrRoad_act!P$26</f>
        <v>51542.722008564531</v>
      </c>
      <c r="Q20" s="102">
        <f>TrRoad_act!Q$26</f>
        <v>51708.573289029773</v>
      </c>
      <c r="R20" s="102">
        <f>TrRoad_act!R$26</f>
        <v>54811.240178164779</v>
      </c>
      <c r="S20" s="102">
        <f>TrRoad_act!S$26</f>
        <v>54251.892052395982</v>
      </c>
      <c r="T20" s="102">
        <f>TrRoad_act!T$26</f>
        <v>55135</v>
      </c>
      <c r="U20" s="102">
        <f>TrRoad_act!U$26</f>
        <v>57072</v>
      </c>
      <c r="V20" s="102">
        <f>TrRoad_act!V$26</f>
        <v>56943</v>
      </c>
      <c r="W20" s="102">
        <f>TrRoad_act!W$26</f>
        <v>58487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4522</v>
      </c>
      <c r="C21" s="110">
        <f>TrRail_act!C$10</f>
        <v>4293</v>
      </c>
      <c r="D21" s="110">
        <f>TrRail_act!D$10</f>
        <v>4024</v>
      </c>
      <c r="E21" s="110">
        <f>TrRail_act!E$10</f>
        <v>4705</v>
      </c>
      <c r="F21" s="110">
        <f>TrRail_act!F$10</f>
        <v>5831</v>
      </c>
      <c r="G21" s="110">
        <f>TrRail_act!G$10</f>
        <v>5865</v>
      </c>
      <c r="H21" s="110">
        <f>TrRail_act!H$10</f>
        <v>6289</v>
      </c>
      <c r="I21" s="110">
        <f>TrRail_act!I$10</f>
        <v>7216</v>
      </c>
      <c r="J21" s="110">
        <f>TrRail_act!J$10</f>
        <v>6984</v>
      </c>
      <c r="K21" s="110">
        <f>TrRail_act!K$10</f>
        <v>5578</v>
      </c>
      <c r="L21" s="110">
        <f>TrRail_act!L$10</f>
        <v>5925</v>
      </c>
      <c r="M21" s="110">
        <f>TrRail_act!M$10</f>
        <v>6378</v>
      </c>
      <c r="N21" s="110">
        <f>TrRail_act!N$10</f>
        <v>6142</v>
      </c>
      <c r="O21" s="110">
        <f>TrRail_act!O$10</f>
        <v>6078</v>
      </c>
      <c r="P21" s="110">
        <f>TrRail_act!P$10</f>
        <v>6169</v>
      </c>
      <c r="Q21" s="110">
        <f>TrRail_act!Q$10</f>
        <v>6545</v>
      </c>
      <c r="R21" s="110">
        <f>TrRail_act!R$10</f>
        <v>6641</v>
      </c>
      <c r="S21" s="110">
        <f>TrRail_act!S$10</f>
        <v>6467</v>
      </c>
      <c r="T21" s="110">
        <f>TrRail_act!T$10</f>
        <v>7023</v>
      </c>
      <c r="U21" s="110">
        <f>TrRail_act!U$10</f>
        <v>7080</v>
      </c>
      <c r="V21" s="110">
        <f>TrRail_act!V$10</f>
        <v>6665</v>
      </c>
      <c r="W21" s="110">
        <f>TrRail_act!W$10</f>
        <v>7188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4794.6132506141266</v>
      </c>
      <c r="C22" s="110">
        <f t="shared" ref="C22:V22" si="19">C23+C24+C25</f>
        <v>4916.8489010312842</v>
      </c>
      <c r="D22" s="110">
        <f t="shared" si="19"/>
        <v>4939.2469091679222</v>
      </c>
      <c r="E22" s="110">
        <f t="shared" si="19"/>
        <v>5034.9711062189817</v>
      </c>
      <c r="F22" s="110">
        <f t="shared" si="19"/>
        <v>5150.4246235819783</v>
      </c>
      <c r="G22" s="110">
        <f t="shared" si="19"/>
        <v>5438.1786163117658</v>
      </c>
      <c r="H22" s="110">
        <f t="shared" si="19"/>
        <v>5773.9185586664034</v>
      </c>
      <c r="I22" s="110">
        <f t="shared" si="19"/>
        <v>5592.1519604314408</v>
      </c>
      <c r="J22" s="110">
        <f t="shared" si="19"/>
        <v>5743.549017443429</v>
      </c>
      <c r="K22" s="110">
        <f t="shared" si="19"/>
        <v>4793.0820922065668</v>
      </c>
      <c r="L22" s="110">
        <f t="shared" si="19"/>
        <v>5732.1788759563906</v>
      </c>
      <c r="M22" s="110">
        <f t="shared" si="19"/>
        <v>5728.4848268976257</v>
      </c>
      <c r="N22" s="110">
        <f t="shared" si="19"/>
        <v>5348.2246836522445</v>
      </c>
      <c r="O22" s="110">
        <f t="shared" si="19"/>
        <v>5515.0654446167273</v>
      </c>
      <c r="P22" s="110">
        <f t="shared" si="19"/>
        <v>5998.4616315278627</v>
      </c>
      <c r="Q22" s="110">
        <f t="shared" si="19"/>
        <v>6083.0282989525758</v>
      </c>
      <c r="R22" s="110">
        <f t="shared" si="19"/>
        <v>5960.7712649502091</v>
      </c>
      <c r="S22" s="110">
        <f t="shared" si="19"/>
        <v>6489.3799521383107</v>
      </c>
      <c r="T22" s="110">
        <f t="shared" si="19"/>
        <v>6499.5751507358127</v>
      </c>
      <c r="U22" s="110">
        <f t="shared" si="19"/>
        <v>5975.1864870041118</v>
      </c>
      <c r="V22" s="110">
        <f t="shared" si="19"/>
        <v>5825.5569309242101</v>
      </c>
      <c r="W22" s="110">
        <f t="shared" ref="W22" si="20">W23+W24+W25</f>
        <v>5898.0101844968203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60.437128158298485</v>
      </c>
      <c r="C24" s="102">
        <f>TrAvia_act!C$10</f>
        <v>84.126733011733819</v>
      </c>
      <c r="D24" s="102">
        <f>TrAvia_act!D$10</f>
        <v>62.840377273238289</v>
      </c>
      <c r="E24" s="102">
        <f>TrAvia_act!E$10</f>
        <v>68.451741480162823</v>
      </c>
      <c r="F24" s="102">
        <f>TrAvia_act!F$10</f>
        <v>65.353494945079575</v>
      </c>
      <c r="G24" s="102">
        <f>TrAvia_act!G$10</f>
        <v>64.420070321135029</v>
      </c>
      <c r="H24" s="102">
        <f>TrAvia_act!H$10</f>
        <v>60.827256812865251</v>
      </c>
      <c r="I24" s="102">
        <f>TrAvia_act!I$10</f>
        <v>62.426869886836613</v>
      </c>
      <c r="J24" s="102">
        <f>TrAvia_act!J$10</f>
        <v>76.983544053431743</v>
      </c>
      <c r="K24" s="102">
        <f>TrAvia_act!K$10</f>
        <v>75.824756680064667</v>
      </c>
      <c r="L24" s="102">
        <f>TrAvia_act!L$10</f>
        <v>86.903551146329235</v>
      </c>
      <c r="M24" s="102">
        <f>TrAvia_act!M$10</f>
        <v>75.03357323080003</v>
      </c>
      <c r="N24" s="102">
        <f>TrAvia_act!N$10</f>
        <v>60.93597988108818</v>
      </c>
      <c r="O24" s="102">
        <f>TrAvia_act!O$10</f>
        <v>64.88593370860265</v>
      </c>
      <c r="P24" s="102">
        <f>TrAvia_act!P$10</f>
        <v>76.890519923564383</v>
      </c>
      <c r="Q24" s="102">
        <f>TrAvia_act!Q$10</f>
        <v>73.535087180938206</v>
      </c>
      <c r="R24" s="102">
        <f>TrAvia_act!R$10</f>
        <v>86.120706600120513</v>
      </c>
      <c r="S24" s="102">
        <f>TrAvia_act!S$10</f>
        <v>73.271290511301146</v>
      </c>
      <c r="T24" s="102">
        <f>TrAvia_act!T$10</f>
        <v>62.997563135128026</v>
      </c>
      <c r="U24" s="102">
        <f>TrAvia_act!U$10</f>
        <v>63.186411764508634</v>
      </c>
      <c r="V24" s="102">
        <f>TrAvia_act!V$10</f>
        <v>50.922584764559048</v>
      </c>
      <c r="W24" s="102">
        <f>TrAvia_act!W$10</f>
        <v>58.585734269942193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4734.1761224558286</v>
      </c>
      <c r="C25" s="102">
        <f>TrAvia_act!C$11</f>
        <v>4832.7221680195507</v>
      </c>
      <c r="D25" s="102">
        <f>TrAvia_act!D$11</f>
        <v>4876.4065318946841</v>
      </c>
      <c r="E25" s="102">
        <f>TrAvia_act!E$11</f>
        <v>4966.5193647388187</v>
      </c>
      <c r="F25" s="102">
        <f>TrAvia_act!F$11</f>
        <v>5085.0711286368987</v>
      </c>
      <c r="G25" s="102">
        <f>TrAvia_act!G$11</f>
        <v>5373.7585459906304</v>
      </c>
      <c r="H25" s="102">
        <f>TrAvia_act!H$11</f>
        <v>5713.0913018535384</v>
      </c>
      <c r="I25" s="102">
        <f>TrAvia_act!I$11</f>
        <v>5529.7250905446044</v>
      </c>
      <c r="J25" s="102">
        <f>TrAvia_act!J$11</f>
        <v>5666.5654733899974</v>
      </c>
      <c r="K25" s="102">
        <f>TrAvia_act!K$11</f>
        <v>4717.2573355265022</v>
      </c>
      <c r="L25" s="102">
        <f>TrAvia_act!L$11</f>
        <v>5645.2753248100616</v>
      </c>
      <c r="M25" s="102">
        <f>TrAvia_act!M$11</f>
        <v>5653.4512536668253</v>
      </c>
      <c r="N25" s="102">
        <f>TrAvia_act!N$11</f>
        <v>5287.2887037711562</v>
      </c>
      <c r="O25" s="102">
        <f>TrAvia_act!O$11</f>
        <v>5450.1795109081249</v>
      </c>
      <c r="P25" s="102">
        <f>TrAvia_act!P$11</f>
        <v>5921.5711116042985</v>
      </c>
      <c r="Q25" s="102">
        <f>TrAvia_act!Q$11</f>
        <v>6009.493211771638</v>
      </c>
      <c r="R25" s="102">
        <f>TrAvia_act!R$11</f>
        <v>5874.6505583500884</v>
      </c>
      <c r="S25" s="102">
        <f>TrAvia_act!S$11</f>
        <v>6416.1086616270095</v>
      </c>
      <c r="T25" s="102">
        <f>TrAvia_act!T$11</f>
        <v>6436.5775876006846</v>
      </c>
      <c r="U25" s="102">
        <f>TrAvia_act!U$11</f>
        <v>5912.0000752396036</v>
      </c>
      <c r="V25" s="102">
        <f>TrAvia_act!V$11</f>
        <v>5774.6343461596507</v>
      </c>
      <c r="W25" s="102">
        <f>TrAvia_act!W$11</f>
        <v>5839.4244502268784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41285.409</v>
      </c>
      <c r="C26" s="110">
        <f t="shared" si="21"/>
        <v>41806.741000000002</v>
      </c>
      <c r="D26" s="110">
        <f t="shared" si="21"/>
        <v>40996.849000000002</v>
      </c>
      <c r="E26" s="110">
        <f t="shared" si="21"/>
        <v>39045.567999999999</v>
      </c>
      <c r="F26" s="110">
        <f t="shared" si="21"/>
        <v>43065.902000000002</v>
      </c>
      <c r="G26" s="110">
        <f t="shared" si="21"/>
        <v>42251.942000000003</v>
      </c>
      <c r="H26" s="110">
        <f t="shared" si="21"/>
        <v>42235.853000000003</v>
      </c>
      <c r="I26" s="110">
        <f t="shared" si="21"/>
        <v>46510.224999999999</v>
      </c>
      <c r="J26" s="110">
        <f t="shared" si="21"/>
        <v>46259.752999999997</v>
      </c>
      <c r="K26" s="110">
        <f t="shared" si="21"/>
        <v>37887.330999999998</v>
      </c>
      <c r="L26" s="110">
        <f t="shared" si="21"/>
        <v>46591.43</v>
      </c>
      <c r="M26" s="110">
        <f t="shared" si="21"/>
        <v>46492.169000000002</v>
      </c>
      <c r="N26" s="110">
        <f t="shared" si="21"/>
        <v>47564.614000000001</v>
      </c>
      <c r="O26" s="110">
        <f t="shared" si="21"/>
        <v>48652.112999999998</v>
      </c>
      <c r="P26" s="110">
        <f t="shared" si="21"/>
        <v>49325.353999999999</v>
      </c>
      <c r="Q26" s="110">
        <f t="shared" si="21"/>
        <v>48569.54</v>
      </c>
      <c r="R26" s="110">
        <f t="shared" ref="R26:V26" si="22">R27+R28</f>
        <v>48819.076000000001</v>
      </c>
      <c r="S26" s="110">
        <f t="shared" si="22"/>
        <v>49056.726000000002</v>
      </c>
      <c r="T26" s="110">
        <f t="shared" si="22"/>
        <v>46930.373</v>
      </c>
      <c r="U26" s="110">
        <f t="shared" si="22"/>
        <v>47048.671000000002</v>
      </c>
      <c r="V26" s="110">
        <f t="shared" si="22"/>
        <v>45204.724999999999</v>
      </c>
      <c r="W26" s="110">
        <f t="shared" ref="W26" si="23">W27+W28</f>
        <v>47428.392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14.409000000000001</v>
      </c>
      <c r="C27" s="102">
        <f>TrNavi_act!C4</f>
        <v>13.741</v>
      </c>
      <c r="D27" s="102">
        <f>TrNavi_act!D4</f>
        <v>13.849</v>
      </c>
      <c r="E27" s="102">
        <f>TrNavi_act!E4</f>
        <v>14.568</v>
      </c>
      <c r="F27" s="102">
        <f>TrNavi_act!F4</f>
        <v>16.902000000000001</v>
      </c>
      <c r="G27" s="102">
        <f>TrNavi_act!G4</f>
        <v>18.942</v>
      </c>
      <c r="H27" s="102">
        <f>TrNavi_act!H4</f>
        <v>20.853000000000002</v>
      </c>
      <c r="I27" s="102">
        <f>TrNavi_act!I4</f>
        <v>24.225000000000001</v>
      </c>
      <c r="J27" s="102">
        <f>TrNavi_act!J4</f>
        <v>25.753</v>
      </c>
      <c r="K27" s="102">
        <f>TrNavi_act!K4</f>
        <v>24.331</v>
      </c>
      <c r="L27" s="102">
        <f>TrNavi_act!L4</f>
        <v>29.43</v>
      </c>
      <c r="M27" s="102">
        <f>TrNavi_act!M4</f>
        <v>30.169</v>
      </c>
      <c r="N27" s="102">
        <f>TrNavi_act!N4</f>
        <v>31.614000000000001</v>
      </c>
      <c r="O27" s="102">
        <f>TrNavi_act!O4</f>
        <v>25.113</v>
      </c>
      <c r="P27" s="102">
        <f>TrNavi_act!P4</f>
        <v>30.353999999999999</v>
      </c>
      <c r="Q27" s="102">
        <f>TrNavi_act!Q4</f>
        <v>34.54</v>
      </c>
      <c r="R27" s="102">
        <f>TrNavi_act!R4</f>
        <v>21.076000000000001</v>
      </c>
      <c r="S27" s="102">
        <f>TrNavi_act!S4</f>
        <v>41.725999999999999</v>
      </c>
      <c r="T27" s="102">
        <f>TrNavi_act!T4</f>
        <v>38.372999999999998</v>
      </c>
      <c r="U27" s="102">
        <f>TrNavi_act!U4</f>
        <v>55.670999999999999</v>
      </c>
      <c r="V27" s="102">
        <f>TrNavi_act!V4</f>
        <v>38.725000000000001</v>
      </c>
      <c r="W27" s="102">
        <f>TrNavi_act!W4</f>
        <v>34.392000000000003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41271</v>
      </c>
      <c r="C28" s="169">
        <f>TrNavi_act!C5</f>
        <v>41793</v>
      </c>
      <c r="D28" s="169">
        <f>TrNavi_act!D5</f>
        <v>40983</v>
      </c>
      <c r="E28" s="169">
        <f>TrNavi_act!E5</f>
        <v>39031</v>
      </c>
      <c r="F28" s="169">
        <f>TrNavi_act!F5</f>
        <v>43049</v>
      </c>
      <c r="G28" s="169">
        <f>TrNavi_act!G5</f>
        <v>42233</v>
      </c>
      <c r="H28" s="169">
        <f>TrNavi_act!H5</f>
        <v>42215</v>
      </c>
      <c r="I28" s="169">
        <f>TrNavi_act!I5</f>
        <v>46486</v>
      </c>
      <c r="J28" s="169">
        <f>TrNavi_act!J5</f>
        <v>46234</v>
      </c>
      <c r="K28" s="169">
        <f>TrNavi_act!K5</f>
        <v>37863</v>
      </c>
      <c r="L28" s="169">
        <f>TrNavi_act!L5</f>
        <v>46562</v>
      </c>
      <c r="M28" s="169">
        <f>TrNavi_act!M5</f>
        <v>46462</v>
      </c>
      <c r="N28" s="169">
        <f>TrNavi_act!N5</f>
        <v>47533</v>
      </c>
      <c r="O28" s="169">
        <f>TrNavi_act!O5</f>
        <v>48627</v>
      </c>
      <c r="P28" s="169">
        <f>TrNavi_act!P5</f>
        <v>49295</v>
      </c>
      <c r="Q28" s="169">
        <f>TrNavi_act!Q5</f>
        <v>48535</v>
      </c>
      <c r="R28" s="169">
        <f>TrNavi_act!R5</f>
        <v>48798</v>
      </c>
      <c r="S28" s="169">
        <f>TrNavi_act!S5</f>
        <v>49015</v>
      </c>
      <c r="T28" s="169">
        <f>TrNavi_act!T5</f>
        <v>46892</v>
      </c>
      <c r="U28" s="169">
        <f>TrNavi_act!U5</f>
        <v>46993</v>
      </c>
      <c r="V28" s="169">
        <f>TrNavi_act!V5</f>
        <v>45166</v>
      </c>
      <c r="W28" s="169">
        <f>TrNavi_act!W5</f>
        <v>47394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1425829.755079</v>
      </c>
      <c r="C29" s="28">
        <f t="shared" si="24"/>
        <v>1405452.462202</v>
      </c>
      <c r="D29" s="28">
        <f t="shared" si="24"/>
        <v>1418649.3495829999</v>
      </c>
      <c r="E29" s="28">
        <f t="shared" si="24"/>
        <v>1431216.3752230001</v>
      </c>
      <c r="F29" s="28">
        <f t="shared" si="24"/>
        <v>1521083.40711</v>
      </c>
      <c r="G29" s="28">
        <f t="shared" si="24"/>
        <v>1625727.0990980002</v>
      </c>
      <c r="H29" s="28">
        <f t="shared" si="24"/>
        <v>1699342.068885</v>
      </c>
      <c r="I29" s="28">
        <f t="shared" si="24"/>
        <v>1803464.1262359999</v>
      </c>
      <c r="J29" s="28">
        <f t="shared" si="24"/>
        <v>1909604.3617489999</v>
      </c>
      <c r="K29" s="28">
        <f t="shared" si="24"/>
        <v>1660241.7556649998</v>
      </c>
      <c r="L29" s="28">
        <f t="shared" si="24"/>
        <v>1788410.1642399998</v>
      </c>
      <c r="M29" s="28">
        <f t="shared" si="24"/>
        <v>1937410.9227120001</v>
      </c>
      <c r="N29" s="28">
        <f t="shared" si="24"/>
        <v>1958327.812832</v>
      </c>
      <c r="O29" s="28">
        <f t="shared" si="24"/>
        <v>1927767.1762099999</v>
      </c>
      <c r="P29" s="28">
        <f t="shared" si="24"/>
        <v>2007574.2927380002</v>
      </c>
      <c r="Q29" s="28">
        <f t="shared" si="24"/>
        <v>2104049.0564859998</v>
      </c>
      <c r="R29" s="28">
        <f t="shared" si="24"/>
        <v>2114921.9767519999</v>
      </c>
      <c r="S29" s="28">
        <f t="shared" si="24"/>
        <v>2132013.3135879999</v>
      </c>
      <c r="T29" s="28">
        <f t="shared" si="24"/>
        <v>2096649.2812340001</v>
      </c>
      <c r="U29" s="28">
        <f t="shared" si="24"/>
        <v>2066155.7260350001</v>
      </c>
      <c r="V29" s="28">
        <f t="shared" si="24"/>
        <v>1887579.855827</v>
      </c>
      <c r="W29" s="28">
        <f t="shared" si="24"/>
        <v>2031079.475135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94601.033876000001</v>
      </c>
      <c r="C30" s="102">
        <f>MBunk_act!C$4</f>
        <v>92289.525219000003</v>
      </c>
      <c r="D30" s="102">
        <f>MBunk_act!D$4</f>
        <v>94843.520669000005</v>
      </c>
      <c r="E30" s="102">
        <f>MBunk_act!E$4</f>
        <v>92337.272712999998</v>
      </c>
      <c r="F30" s="102">
        <f>MBunk_act!F$4</f>
        <v>97763.616949999996</v>
      </c>
      <c r="G30" s="102">
        <f>MBunk_act!G$4</f>
        <v>91424.384980999996</v>
      </c>
      <c r="H30" s="102">
        <f>MBunk_act!H$4</f>
        <v>89925.031071000005</v>
      </c>
      <c r="I30" s="102">
        <f>MBunk_act!I$4</f>
        <v>93735.807945000008</v>
      </c>
      <c r="J30" s="102">
        <f>MBunk_act!J$4</f>
        <v>91687.35349400001</v>
      </c>
      <c r="K30" s="102">
        <f>MBunk_act!K$4</f>
        <v>98345.730855000002</v>
      </c>
      <c r="L30" s="102">
        <f>MBunk_act!L$4</f>
        <v>112488.31358799999</v>
      </c>
      <c r="M30" s="102">
        <f>MBunk_act!M$4</f>
        <v>107291.387323</v>
      </c>
      <c r="N30" s="102">
        <f>MBunk_act!N$4</f>
        <v>107789.28956599999</v>
      </c>
      <c r="O30" s="102">
        <f>MBunk_act!O$4</f>
        <v>107857.71390300001</v>
      </c>
      <c r="P30" s="102">
        <f>MBunk_act!P$4</f>
        <v>114307.331582</v>
      </c>
      <c r="Q30" s="102">
        <f>MBunk_act!Q$4</f>
        <v>113170.423711</v>
      </c>
      <c r="R30" s="102">
        <f>MBunk_act!R$4</f>
        <v>110628.708033</v>
      </c>
      <c r="S30" s="102">
        <f>MBunk_act!S$4</f>
        <v>109779.36668399999</v>
      </c>
      <c r="T30" s="102">
        <f>MBunk_act!T$4</f>
        <v>114695.40207000001</v>
      </c>
      <c r="U30" s="102">
        <f>MBunk_act!U$4</f>
        <v>116240.583388</v>
      </c>
      <c r="V30" s="102">
        <f>MBunk_act!V$4</f>
        <v>111879.74024299999</v>
      </c>
      <c r="W30" s="102">
        <f>MBunk_act!W$4</f>
        <v>113799.67384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1331228.7212030001</v>
      </c>
      <c r="C31" s="86">
        <f>MBunk_act!C$5</f>
        <v>1313162.936983</v>
      </c>
      <c r="D31" s="86">
        <f>MBunk_act!D$5</f>
        <v>1323805.828914</v>
      </c>
      <c r="E31" s="86">
        <f>MBunk_act!E$5</f>
        <v>1338879.1025100001</v>
      </c>
      <c r="F31" s="86">
        <f>MBunk_act!F$5</f>
        <v>1423319.7901600001</v>
      </c>
      <c r="G31" s="86">
        <f>MBunk_act!G$5</f>
        <v>1534302.7141170001</v>
      </c>
      <c r="H31" s="86">
        <f>MBunk_act!H$5</f>
        <v>1609417.0378139999</v>
      </c>
      <c r="I31" s="86">
        <f>MBunk_act!I$5</f>
        <v>1709728.3182909999</v>
      </c>
      <c r="J31" s="86">
        <f>MBunk_act!J$5</f>
        <v>1817917.008255</v>
      </c>
      <c r="K31" s="86">
        <f>MBunk_act!K$5</f>
        <v>1561896.0248099999</v>
      </c>
      <c r="L31" s="86">
        <f>MBunk_act!L$5</f>
        <v>1675921.8506519999</v>
      </c>
      <c r="M31" s="86">
        <f>MBunk_act!M$5</f>
        <v>1830119.5353890001</v>
      </c>
      <c r="N31" s="86">
        <f>MBunk_act!N$5</f>
        <v>1850538.523266</v>
      </c>
      <c r="O31" s="86">
        <f>MBunk_act!O$5</f>
        <v>1819909.4623069998</v>
      </c>
      <c r="P31" s="86">
        <f>MBunk_act!P$5</f>
        <v>1893266.9611560002</v>
      </c>
      <c r="Q31" s="86">
        <f>MBunk_act!Q$5</f>
        <v>1990878.6327750001</v>
      </c>
      <c r="R31" s="86">
        <f>MBunk_act!R$5</f>
        <v>2004293.268719</v>
      </c>
      <c r="S31" s="86">
        <f>MBunk_act!S$5</f>
        <v>2022233.9469039999</v>
      </c>
      <c r="T31" s="86">
        <f>MBunk_act!T$5</f>
        <v>1981953.879164</v>
      </c>
      <c r="U31" s="86">
        <f>MBunk_act!U$5</f>
        <v>1949915.142647</v>
      </c>
      <c r="V31" s="86">
        <f>MBunk_act!V$5</f>
        <v>1775700.115584</v>
      </c>
      <c r="W31" s="86">
        <f>MBunk_act!W$5</f>
        <v>1917279.8012949999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9240.3630365514655</v>
      </c>
      <c r="C34" s="28">
        <f t="shared" si="25"/>
        <v>9204.1632771058848</v>
      </c>
      <c r="D34" s="28">
        <f t="shared" si="25"/>
        <v>9417.5758975488006</v>
      </c>
      <c r="E34" s="28">
        <f t="shared" si="25"/>
        <v>9338.489009334231</v>
      </c>
      <c r="F34" s="28">
        <f t="shared" si="25"/>
        <v>9570.7864069515163</v>
      </c>
      <c r="G34" s="28">
        <f t="shared" si="25"/>
        <v>9625.0350586391141</v>
      </c>
      <c r="H34" s="28">
        <f t="shared" si="25"/>
        <v>9757.4934377768041</v>
      </c>
      <c r="I34" s="28">
        <f t="shared" si="25"/>
        <v>9851.9807354469995</v>
      </c>
      <c r="J34" s="28">
        <f t="shared" si="25"/>
        <v>9929.3406088972206</v>
      </c>
      <c r="K34" s="28">
        <f t="shared" si="25"/>
        <v>9810.4961625326378</v>
      </c>
      <c r="L34" s="28">
        <f t="shared" si="25"/>
        <v>9616.0113182510649</v>
      </c>
      <c r="M34" s="28">
        <f t="shared" si="25"/>
        <v>9803.6978863896256</v>
      </c>
      <c r="N34" s="28">
        <f t="shared" si="25"/>
        <v>9486.0225695749868</v>
      </c>
      <c r="O34" s="28">
        <f t="shared" si="25"/>
        <v>9387.8189828738286</v>
      </c>
      <c r="P34" s="28">
        <f t="shared" si="25"/>
        <v>9324.5791763177076</v>
      </c>
      <c r="Q34" s="28">
        <f t="shared" si="25"/>
        <v>9527.4058483368135</v>
      </c>
      <c r="R34" s="28">
        <f t="shared" ref="R34:V34" si="26">R35+R39+R43</f>
        <v>9711.8563126485406</v>
      </c>
      <c r="S34" s="28">
        <f t="shared" si="26"/>
        <v>9867.2273732934445</v>
      </c>
      <c r="T34" s="28">
        <f t="shared" si="26"/>
        <v>9903.8943932859147</v>
      </c>
      <c r="U34" s="28">
        <f t="shared" si="26"/>
        <v>9843.5012898434979</v>
      </c>
      <c r="V34" s="28">
        <f t="shared" si="26"/>
        <v>6671.5086377736725</v>
      </c>
      <c r="W34" s="28">
        <f t="shared" ref="W34" si="27">W35+W39+W43</f>
        <v>7222.161140098533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6296.6066703294955</v>
      </c>
      <c r="C35" s="137">
        <f t="shared" si="28"/>
        <v>6343.792861726648</v>
      </c>
      <c r="D35" s="137">
        <f t="shared" si="28"/>
        <v>6457.004523026314</v>
      </c>
      <c r="E35" s="137">
        <f t="shared" si="28"/>
        <v>6479.6563557220097</v>
      </c>
      <c r="F35" s="137">
        <f t="shared" si="28"/>
        <v>6503.1835549714006</v>
      </c>
      <c r="G35" s="137">
        <f t="shared" si="28"/>
        <v>6525.7800230519078</v>
      </c>
      <c r="H35" s="137">
        <f t="shared" si="28"/>
        <v>6687.3950806968905</v>
      </c>
      <c r="I35" s="137">
        <f t="shared" si="28"/>
        <v>6752.8747199074687</v>
      </c>
      <c r="J35" s="137">
        <f t="shared" si="28"/>
        <v>6800.5581018387074</v>
      </c>
      <c r="K35" s="137">
        <f t="shared" si="28"/>
        <v>6790.2824504752016</v>
      </c>
      <c r="L35" s="137">
        <f t="shared" si="28"/>
        <v>6735.3763082451069</v>
      </c>
      <c r="M35" s="137">
        <f t="shared" si="28"/>
        <v>6739.7678483928748</v>
      </c>
      <c r="N35" s="137">
        <f t="shared" si="28"/>
        <v>6449.2435817916603</v>
      </c>
      <c r="O35" s="137">
        <f t="shared" si="28"/>
        <v>6283.7716652571844</v>
      </c>
      <c r="P35" s="137">
        <f t="shared" si="28"/>
        <v>6075.0043330543767</v>
      </c>
      <c r="Q35" s="137">
        <f t="shared" si="28"/>
        <v>6098.2085944636765</v>
      </c>
      <c r="R35" s="137">
        <f t="shared" ref="R35:V35" si="29">R36+R37+R38</f>
        <v>6132.876537473503</v>
      </c>
      <c r="S35" s="137">
        <f t="shared" si="29"/>
        <v>6217.1966138184525</v>
      </c>
      <c r="T35" s="137">
        <f t="shared" si="29"/>
        <v>6197.0588254120375</v>
      </c>
      <c r="U35" s="137">
        <f t="shared" si="29"/>
        <v>6155.285522701899</v>
      </c>
      <c r="V35" s="137">
        <f t="shared" si="29"/>
        <v>4977.2216823118006</v>
      </c>
      <c r="W35" s="137">
        <f t="shared" ref="W35" si="30">W36+W37+W38</f>
        <v>5273.49431103194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131.47833115500677</v>
      </c>
      <c r="C36" s="102">
        <f>TrRoad_ene!C$19</f>
        <v>136.49706665548501</v>
      </c>
      <c r="D36" s="102">
        <f>TrRoad_ene!D$19</f>
        <v>140.13506198623094</v>
      </c>
      <c r="E36" s="102">
        <f>TrRoad_ene!E$19</f>
        <v>141.91399834743933</v>
      </c>
      <c r="F36" s="102">
        <f>TrRoad_ene!F$19</f>
        <v>134.67333157720162</v>
      </c>
      <c r="G36" s="102">
        <f>TrRoad_ene!G$19</f>
        <v>138.35014180143204</v>
      </c>
      <c r="H36" s="102">
        <f>TrRoad_ene!H$19</f>
        <v>144.46129116232635</v>
      </c>
      <c r="I36" s="102">
        <f>TrRoad_ene!I$19</f>
        <v>150.8396279602778</v>
      </c>
      <c r="J36" s="102">
        <f>TrRoad_ene!J$19</f>
        <v>160.25784936048382</v>
      </c>
      <c r="K36" s="102">
        <f>TrRoad_ene!K$19</f>
        <v>163.87683578522282</v>
      </c>
      <c r="L36" s="102">
        <f>TrRoad_ene!L$19</f>
        <v>164.51935773336461</v>
      </c>
      <c r="M36" s="102">
        <f>TrRoad_ene!M$19</f>
        <v>166.60225858033417</v>
      </c>
      <c r="N36" s="102">
        <f>TrRoad_ene!N$19</f>
        <v>160.74117367566163</v>
      </c>
      <c r="O36" s="102">
        <f>TrRoad_ene!O$19</f>
        <v>157.70573579876569</v>
      </c>
      <c r="P36" s="102">
        <f>TrRoad_ene!P$19</f>
        <v>150.20576569846256</v>
      </c>
      <c r="Q36" s="102">
        <f>TrRoad_ene!Q$19</f>
        <v>153.17494626930156</v>
      </c>
      <c r="R36" s="102">
        <f>TrRoad_ene!R$19</f>
        <v>154.03849818181141</v>
      </c>
      <c r="S36" s="102">
        <f>TrRoad_ene!S$19</f>
        <v>143.67298302726994</v>
      </c>
      <c r="T36" s="102">
        <f>TrRoad_ene!T$19</f>
        <v>142.37914125759343</v>
      </c>
      <c r="U36" s="102">
        <f>TrRoad_ene!U$19</f>
        <v>143.54096182857836</v>
      </c>
      <c r="V36" s="102">
        <f>TrRoad_ene!V$19</f>
        <v>131.57610130773597</v>
      </c>
      <c r="W36" s="102">
        <f>TrRoad_ene!W$19</f>
        <v>127.08293656080899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5801.7341275319577</v>
      </c>
      <c r="C37" s="102">
        <f>TrRoad_ene!C$21</f>
        <v>5854.9585515161452</v>
      </c>
      <c r="D37" s="102">
        <f>TrRoad_ene!D$21</f>
        <v>5968.3780242503599</v>
      </c>
      <c r="E37" s="102">
        <f>TrRoad_ene!E$21</f>
        <v>5997.9175388255535</v>
      </c>
      <c r="F37" s="102">
        <f>TrRoad_ene!F$21</f>
        <v>6035.9619209090197</v>
      </c>
      <c r="G37" s="102">
        <f>TrRoad_ene!G$21</f>
        <v>6055.4602796887366</v>
      </c>
      <c r="H37" s="102">
        <f>TrRoad_ene!H$21</f>
        <v>6214.2475380254609</v>
      </c>
      <c r="I37" s="102">
        <f>TrRoad_ene!I$21</f>
        <v>6274.3279484734976</v>
      </c>
      <c r="J37" s="102">
        <f>TrRoad_ene!J$21</f>
        <v>6300.4493754861069</v>
      </c>
      <c r="K37" s="102">
        <f>TrRoad_ene!K$21</f>
        <v>6274.4186467343243</v>
      </c>
      <c r="L37" s="102">
        <f>TrRoad_ene!L$21</f>
        <v>6202.8463645425836</v>
      </c>
      <c r="M37" s="102">
        <f>TrRoad_ene!M$21</f>
        <v>6211.1909009504852</v>
      </c>
      <c r="N37" s="102">
        <f>TrRoad_ene!N$21</f>
        <v>5936.5069403024609</v>
      </c>
      <c r="O37" s="102">
        <f>TrRoad_ene!O$21</f>
        <v>5787.0653744383308</v>
      </c>
      <c r="P37" s="102">
        <f>TrRoad_ene!P$21</f>
        <v>5599.0713160828727</v>
      </c>
      <c r="Q37" s="102">
        <f>TrRoad_ene!Q$21</f>
        <v>5624.6017792687235</v>
      </c>
      <c r="R37" s="102">
        <f>TrRoad_ene!R$21</f>
        <v>5653.8159976576599</v>
      </c>
      <c r="S37" s="102">
        <f>TrRoad_ene!S$21</f>
        <v>5722.5575615442658</v>
      </c>
      <c r="T37" s="102">
        <f>TrRoad_ene!T$21</f>
        <v>5728.7693135551644</v>
      </c>
      <c r="U37" s="102">
        <f>TrRoad_ene!U$21</f>
        <v>5702.377951104635</v>
      </c>
      <c r="V37" s="102">
        <f>TrRoad_ene!V$21</f>
        <v>4596.6587416362781</v>
      </c>
      <c r="W37" s="102">
        <f>TrRoad_ene!W$21</f>
        <v>4917.6137793653288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363.39421164253116</v>
      </c>
      <c r="C38" s="102">
        <f>TrRoad_ene!C$33</f>
        <v>352.33724355501698</v>
      </c>
      <c r="D38" s="102">
        <f>TrRoad_ene!D$33</f>
        <v>348.4914367897232</v>
      </c>
      <c r="E38" s="102">
        <f>TrRoad_ene!E$33</f>
        <v>339.82481854901675</v>
      </c>
      <c r="F38" s="102">
        <f>TrRoad_ene!F$33</f>
        <v>332.54830248517953</v>
      </c>
      <c r="G38" s="102">
        <f>TrRoad_ene!G$33</f>
        <v>331.96960156173884</v>
      </c>
      <c r="H38" s="102">
        <f>TrRoad_ene!H$33</f>
        <v>328.68625150910367</v>
      </c>
      <c r="I38" s="102">
        <f>TrRoad_ene!I$33</f>
        <v>327.70714347369318</v>
      </c>
      <c r="J38" s="102">
        <f>TrRoad_ene!J$33</f>
        <v>339.85087699211675</v>
      </c>
      <c r="K38" s="102">
        <f>TrRoad_ene!K$33</f>
        <v>351.98696795565451</v>
      </c>
      <c r="L38" s="102">
        <f>TrRoad_ene!L$33</f>
        <v>368.01058596915811</v>
      </c>
      <c r="M38" s="102">
        <f>TrRoad_ene!M$33</f>
        <v>361.97468886205598</v>
      </c>
      <c r="N38" s="102">
        <f>TrRoad_ene!N$33</f>
        <v>351.99546781353803</v>
      </c>
      <c r="O38" s="102">
        <f>TrRoad_ene!O$33</f>
        <v>339.00055502008792</v>
      </c>
      <c r="P38" s="102">
        <f>TrRoad_ene!P$33</f>
        <v>325.7272512730413</v>
      </c>
      <c r="Q38" s="102">
        <f>TrRoad_ene!Q$33</f>
        <v>320.43186892565154</v>
      </c>
      <c r="R38" s="102">
        <f>TrRoad_ene!R$33</f>
        <v>325.02204163403167</v>
      </c>
      <c r="S38" s="102">
        <f>TrRoad_ene!S$33</f>
        <v>350.96606924691667</v>
      </c>
      <c r="T38" s="102">
        <f>TrRoad_ene!T$33</f>
        <v>325.91037059927936</v>
      </c>
      <c r="U38" s="102">
        <f>TrRoad_ene!U$33</f>
        <v>309.36660976868535</v>
      </c>
      <c r="V38" s="102">
        <f>TrRoad_ene!V$33</f>
        <v>248.98683936778599</v>
      </c>
      <c r="W38" s="102">
        <f>TrRoad_ene!W$33</f>
        <v>228.79759510580277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159.79817323549352</v>
      </c>
      <c r="C39" s="110">
        <f t="shared" si="31"/>
        <v>153.41050765287929</v>
      </c>
      <c r="D39" s="110">
        <f t="shared" si="31"/>
        <v>152.92686792657474</v>
      </c>
      <c r="E39" s="110">
        <f t="shared" si="31"/>
        <v>154.72194313897035</v>
      </c>
      <c r="F39" s="110">
        <f t="shared" si="31"/>
        <v>157.64320691623035</v>
      </c>
      <c r="G39" s="110">
        <f t="shared" si="31"/>
        <v>152.17254497279686</v>
      </c>
      <c r="H39" s="110">
        <f t="shared" si="31"/>
        <v>151.71123035849911</v>
      </c>
      <c r="I39" s="110">
        <f t="shared" si="31"/>
        <v>146.80974237913642</v>
      </c>
      <c r="J39" s="110">
        <f t="shared" si="31"/>
        <v>150.38797282758983</v>
      </c>
      <c r="K39" s="110">
        <f t="shared" si="31"/>
        <v>156.57842952873813</v>
      </c>
      <c r="L39" s="110">
        <f t="shared" si="31"/>
        <v>163.23140107512535</v>
      </c>
      <c r="M39" s="110">
        <f t="shared" si="31"/>
        <v>159.44945481611259</v>
      </c>
      <c r="N39" s="110">
        <f t="shared" si="31"/>
        <v>156.93230619129639</v>
      </c>
      <c r="O39" s="110">
        <f t="shared" si="31"/>
        <v>155.35157334972223</v>
      </c>
      <c r="P39" s="110">
        <f t="shared" si="31"/>
        <v>151.02273964594252</v>
      </c>
      <c r="Q39" s="110">
        <f t="shared" si="31"/>
        <v>150.65438420864649</v>
      </c>
      <c r="R39" s="110">
        <f t="shared" ref="R39:V39" si="32">R40+R41+R42</f>
        <v>156.54014257436828</v>
      </c>
      <c r="S39" s="110">
        <f t="shared" si="32"/>
        <v>156.19302508188238</v>
      </c>
      <c r="T39" s="110">
        <f t="shared" si="32"/>
        <v>156.56408120473117</v>
      </c>
      <c r="U39" s="110">
        <f t="shared" si="32"/>
        <v>156.90533388778601</v>
      </c>
      <c r="V39" s="110">
        <f t="shared" si="32"/>
        <v>139.72000366445502</v>
      </c>
      <c r="W39" s="110">
        <f t="shared" ref="W39" si="33">W40+W41+W42</f>
        <v>137.84577726323741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2.8761168700280959</v>
      </c>
      <c r="C40" s="102">
        <f>TrRail_ene!C$12</f>
        <v>2.919439873185075</v>
      </c>
      <c r="D40" s="102">
        <f>TrRail_ene!D$12</f>
        <v>2.8055777413836815</v>
      </c>
      <c r="E40" s="102">
        <f>TrRail_ene!E$12</f>
        <v>2.8555526635910704</v>
      </c>
      <c r="F40" s="102">
        <f>TrRail_ene!F$12</f>
        <v>2.9906315094960845</v>
      </c>
      <c r="G40" s="102">
        <f>TrRail_ene!G$12</f>
        <v>2.9942707451046395</v>
      </c>
      <c r="H40" s="102">
        <f>TrRail_ene!H$12</f>
        <v>3.0652487360044502</v>
      </c>
      <c r="I40" s="102">
        <f>TrRail_ene!I$12</f>
        <v>3.167916481601635</v>
      </c>
      <c r="J40" s="102">
        <f>TrRail_ene!J$12</f>
        <v>3.2494318725002431</v>
      </c>
      <c r="K40" s="102">
        <f>TrRail_ene!K$12</f>
        <v>3.203082469442339</v>
      </c>
      <c r="L40" s="102">
        <f>TrRail_ene!L$12</f>
        <v>3.2572063108311213</v>
      </c>
      <c r="M40" s="102">
        <f>TrRail_ene!M$12</f>
        <v>3.3289586793424539</v>
      </c>
      <c r="N40" s="102">
        <f>TrRail_ene!N$12</f>
        <v>3.0315924183822687</v>
      </c>
      <c r="O40" s="102">
        <f>TrRail_ene!O$12</f>
        <v>3.1014082212970395</v>
      </c>
      <c r="P40" s="102">
        <f>TrRail_ene!P$12</f>
        <v>3.0481598238442698</v>
      </c>
      <c r="Q40" s="102">
        <f>TrRail_ene!Q$12</f>
        <v>3.377257203245319</v>
      </c>
      <c r="R40" s="102">
        <f>TrRail_ene!R$12</f>
        <v>3.3857087433450936</v>
      </c>
      <c r="S40" s="102">
        <f>TrRail_ene!S$12</f>
        <v>3.2069604954205699</v>
      </c>
      <c r="T40" s="102">
        <f>TrRail_ene!T$12</f>
        <v>3.7278948938783856</v>
      </c>
      <c r="U40" s="102">
        <f>TrRail_ene!U$12</f>
        <v>3.7143264713197457</v>
      </c>
      <c r="V40" s="102">
        <f>TrRail_ene!V$12</f>
        <v>2.4192348567230475</v>
      </c>
      <c r="W40" s="102">
        <f>TrRail_ene!W$12</f>
        <v>2.5006697930424804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156.22089458225926</v>
      </c>
      <c r="C41" s="102">
        <f>TrRail_ene!C$13</f>
        <v>149.31861431758077</v>
      </c>
      <c r="D41" s="102">
        <f>TrRail_ene!D$13</f>
        <v>148.89997227130354</v>
      </c>
      <c r="E41" s="102">
        <f>TrRail_ene!E$13</f>
        <v>147.84790890619647</v>
      </c>
      <c r="F41" s="102">
        <f>TrRail_ene!F$13</f>
        <v>150.71135271437834</v>
      </c>
      <c r="G41" s="102">
        <f>TrRail_ene!G$13</f>
        <v>145.08001976722329</v>
      </c>
      <c r="H41" s="102">
        <f>TrRail_ene!H$13</f>
        <v>144.65057315760961</v>
      </c>
      <c r="I41" s="102">
        <f>TrRail_ene!I$13</f>
        <v>139.13069377439456</v>
      </c>
      <c r="J41" s="102">
        <f>TrRail_ene!J$13</f>
        <v>142.16008342209005</v>
      </c>
      <c r="K41" s="102">
        <f>TrRail_ene!K$13</f>
        <v>148.34733553067991</v>
      </c>
      <c r="L41" s="102">
        <f>TrRail_ene!L$13</f>
        <v>157.98351802967247</v>
      </c>
      <c r="M41" s="102">
        <f>TrRail_ene!M$13</f>
        <v>154.02652659217671</v>
      </c>
      <c r="N41" s="102">
        <f>TrRail_ene!N$13</f>
        <v>151.7325160860899</v>
      </c>
      <c r="O41" s="102">
        <f>TrRail_ene!O$13</f>
        <v>149.88964576044299</v>
      </c>
      <c r="P41" s="102">
        <f>TrRail_ene!P$13</f>
        <v>146.38633837212925</v>
      </c>
      <c r="Q41" s="102">
        <f>TrRail_ene!Q$13</f>
        <v>141.86704920206236</v>
      </c>
      <c r="R41" s="102">
        <f>TrRail_ene!R$13</f>
        <v>151.37747374591379</v>
      </c>
      <c r="S41" s="102">
        <f>TrRail_ene!S$13</f>
        <v>151.0923940957174</v>
      </c>
      <c r="T41" s="102">
        <f>TrRail_ene!T$13</f>
        <v>151.19578822250645</v>
      </c>
      <c r="U41" s="102">
        <f>TrRail_ene!U$13</f>
        <v>151.32115169823189</v>
      </c>
      <c r="V41" s="102">
        <f>TrRail_ene!V$13</f>
        <v>136.48514072039796</v>
      </c>
      <c r="W41" s="102">
        <f>TrRail_ene!W$13</f>
        <v>134.56556620518009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0.70116178320616895</v>
      </c>
      <c r="C42" s="102">
        <f>TrRail_ene!C$16</f>
        <v>1.1724534621134626</v>
      </c>
      <c r="D42" s="102">
        <f>TrRail_ene!D$16</f>
        <v>1.2213179138875283</v>
      </c>
      <c r="E42" s="102">
        <f>TrRail_ene!E$16</f>
        <v>4.0184815691827822</v>
      </c>
      <c r="F42" s="102">
        <f>TrRail_ene!F$16</f>
        <v>3.9412226923559355</v>
      </c>
      <c r="G42" s="102">
        <f>TrRail_ene!G$16</f>
        <v>4.098254460468933</v>
      </c>
      <c r="H42" s="102">
        <f>TrRail_ene!H$16</f>
        <v>3.9954084648850348</v>
      </c>
      <c r="I42" s="102">
        <f>TrRail_ene!I$16</f>
        <v>4.5111321231402393</v>
      </c>
      <c r="J42" s="102">
        <f>TrRail_ene!J$16</f>
        <v>4.9784575329995233</v>
      </c>
      <c r="K42" s="102">
        <f>TrRail_ene!K$16</f>
        <v>5.028011528615882</v>
      </c>
      <c r="L42" s="102">
        <f>TrRail_ene!L$16</f>
        <v>1.990676734621768</v>
      </c>
      <c r="M42" s="102">
        <f>TrRail_ene!M$16</f>
        <v>2.0939695445934268</v>
      </c>
      <c r="N42" s="102">
        <f>TrRail_ene!N$16</f>
        <v>2.1681976868242021</v>
      </c>
      <c r="O42" s="102">
        <f>TrRail_ene!O$16</f>
        <v>2.3605193679821923</v>
      </c>
      <c r="P42" s="102">
        <f>TrRail_ene!P$16</f>
        <v>1.5882414499690278</v>
      </c>
      <c r="Q42" s="102">
        <f>TrRail_ene!Q$16</f>
        <v>5.4100778033388366</v>
      </c>
      <c r="R42" s="102">
        <f>TrRail_ene!R$16</f>
        <v>1.7769600851093896</v>
      </c>
      <c r="S42" s="102">
        <f>TrRail_ene!S$16</f>
        <v>1.8936704907444235</v>
      </c>
      <c r="T42" s="102">
        <f>TrRail_ene!T$16</f>
        <v>1.6403980883463265</v>
      </c>
      <c r="U42" s="102">
        <f>TrRail_ene!U$16</f>
        <v>1.8698557182343949</v>
      </c>
      <c r="V42" s="102">
        <f>TrRail_ene!V$16</f>
        <v>0.81562808733399506</v>
      </c>
      <c r="W42" s="102">
        <f>TrRail_ene!W$16</f>
        <v>0.77954126501484666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2783.9581929864771</v>
      </c>
      <c r="C43" s="110">
        <f t="shared" si="34"/>
        <v>2706.9599077263574</v>
      </c>
      <c r="D43" s="110">
        <f t="shared" si="34"/>
        <v>2807.6445065959119</v>
      </c>
      <c r="E43" s="110">
        <f t="shared" si="34"/>
        <v>2704.1107104732509</v>
      </c>
      <c r="F43" s="110">
        <f t="shared" si="34"/>
        <v>2909.9596450638865</v>
      </c>
      <c r="G43" s="110">
        <f t="shared" si="34"/>
        <v>2947.0824906144098</v>
      </c>
      <c r="H43" s="110">
        <f t="shared" si="34"/>
        <v>2918.3871267214145</v>
      </c>
      <c r="I43" s="110">
        <f t="shared" si="34"/>
        <v>2952.2962731603943</v>
      </c>
      <c r="J43" s="110">
        <f t="shared" si="34"/>
        <v>2978.3945342309239</v>
      </c>
      <c r="K43" s="110">
        <f t="shared" si="34"/>
        <v>2863.6352825286972</v>
      </c>
      <c r="L43" s="110">
        <f t="shared" si="34"/>
        <v>2717.4036089308329</v>
      </c>
      <c r="M43" s="110">
        <f t="shared" si="34"/>
        <v>2904.480583180637</v>
      </c>
      <c r="N43" s="110">
        <f t="shared" si="34"/>
        <v>2879.8466815920292</v>
      </c>
      <c r="O43" s="110">
        <f t="shared" si="34"/>
        <v>2948.6957442669222</v>
      </c>
      <c r="P43" s="110">
        <f t="shared" si="34"/>
        <v>3098.5521036173877</v>
      </c>
      <c r="Q43" s="110">
        <f t="shared" si="34"/>
        <v>3278.5428696644899</v>
      </c>
      <c r="R43" s="110">
        <f t="shared" ref="R43:V43" si="35">R44+R45+R46</f>
        <v>3422.439632600669</v>
      </c>
      <c r="S43" s="110">
        <f t="shared" si="35"/>
        <v>3493.8377343931097</v>
      </c>
      <c r="T43" s="110">
        <f t="shared" si="35"/>
        <v>3550.2714866691458</v>
      </c>
      <c r="U43" s="110">
        <f t="shared" si="35"/>
        <v>3531.3104332538123</v>
      </c>
      <c r="V43" s="110">
        <f t="shared" si="35"/>
        <v>1554.5669517974166</v>
      </c>
      <c r="W43" s="110">
        <f t="shared" ref="W43" si="36">W44+W45+W46</f>
        <v>1810.8210518033557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593.96733429025426</v>
      </c>
      <c r="C45" s="102">
        <f>TrAvia_ene!C$8</f>
        <v>577.53272010887383</v>
      </c>
      <c r="D45" s="102">
        <f>TrAvia_ene!D$8</f>
        <v>603.46294065344409</v>
      </c>
      <c r="E45" s="102">
        <f>TrAvia_ene!E$8</f>
        <v>596.28530756112536</v>
      </c>
      <c r="F45" s="102">
        <f>TrAvia_ene!F$8</f>
        <v>608.34566432695067</v>
      </c>
      <c r="G45" s="102">
        <f>TrAvia_ene!G$8</f>
        <v>617.66867436655434</v>
      </c>
      <c r="H45" s="102">
        <f>TrAvia_ene!H$8</f>
        <v>628.86456964245122</v>
      </c>
      <c r="I45" s="102">
        <f>TrAvia_ene!I$8</f>
        <v>650.45640889523656</v>
      </c>
      <c r="J45" s="102">
        <f>TrAvia_ene!J$8</f>
        <v>633.35074654378332</v>
      </c>
      <c r="K45" s="102">
        <f>TrAvia_ene!K$8</f>
        <v>583.88715545457399</v>
      </c>
      <c r="L45" s="102">
        <f>TrAvia_ene!L$8</f>
        <v>547.4750008375654</v>
      </c>
      <c r="M45" s="102">
        <f>TrAvia_ene!M$8</f>
        <v>592.89377234369147</v>
      </c>
      <c r="N45" s="102">
        <f>TrAvia_ene!N$8</f>
        <v>579.92813651540712</v>
      </c>
      <c r="O45" s="102">
        <f>TrAvia_ene!O$8</f>
        <v>594.38221133631259</v>
      </c>
      <c r="P45" s="102">
        <f>TrAvia_ene!P$8</f>
        <v>632.41330151122088</v>
      </c>
      <c r="Q45" s="102">
        <f>TrAvia_ene!Q$8</f>
        <v>677.22929312301551</v>
      </c>
      <c r="R45" s="102">
        <f>TrAvia_ene!R$8</f>
        <v>743.35902123802066</v>
      </c>
      <c r="S45" s="102">
        <f>TrAvia_ene!S$8</f>
        <v>777.53004362277522</v>
      </c>
      <c r="T45" s="102">
        <f>TrAvia_ene!T$8</f>
        <v>777.62199588169324</v>
      </c>
      <c r="U45" s="102">
        <f>TrAvia_ene!U$8</f>
        <v>747.29729154030122</v>
      </c>
      <c r="V45" s="102">
        <f>TrAvia_ene!V$8</f>
        <v>261.13522771229782</v>
      </c>
      <c r="W45" s="102">
        <f>TrAvia_ene!W$8</f>
        <v>339.42183982137027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2189.9908586962229</v>
      </c>
      <c r="C46" s="102">
        <f>TrAvia_ene!C$9</f>
        <v>2129.4271876174835</v>
      </c>
      <c r="D46" s="102">
        <f>TrAvia_ene!D$9</f>
        <v>2204.1815659424678</v>
      </c>
      <c r="E46" s="102">
        <f>TrAvia_ene!E$9</f>
        <v>2107.8254029121254</v>
      </c>
      <c r="F46" s="102">
        <f>TrAvia_ene!F$9</f>
        <v>2301.6139807369359</v>
      </c>
      <c r="G46" s="102">
        <f>TrAvia_ene!G$9</f>
        <v>2329.4138162478557</v>
      </c>
      <c r="H46" s="102">
        <f>TrAvia_ene!H$9</f>
        <v>2289.522557078963</v>
      </c>
      <c r="I46" s="102">
        <f>TrAvia_ene!I$9</f>
        <v>2301.8398642651578</v>
      </c>
      <c r="J46" s="102">
        <f>TrAvia_ene!J$9</f>
        <v>2345.0437876871406</v>
      </c>
      <c r="K46" s="102">
        <f>TrAvia_ene!K$9</f>
        <v>2279.7481270741232</v>
      </c>
      <c r="L46" s="102">
        <f>TrAvia_ene!L$9</f>
        <v>2169.9286080932675</v>
      </c>
      <c r="M46" s="102">
        <f>TrAvia_ene!M$9</f>
        <v>2311.5868108369455</v>
      </c>
      <c r="N46" s="102">
        <f>TrAvia_ene!N$9</f>
        <v>2299.9185450766222</v>
      </c>
      <c r="O46" s="102">
        <f>TrAvia_ene!O$9</f>
        <v>2354.3135329306097</v>
      </c>
      <c r="P46" s="102">
        <f>TrAvia_ene!P$9</f>
        <v>2466.1388021061666</v>
      </c>
      <c r="Q46" s="102">
        <f>TrAvia_ene!Q$9</f>
        <v>2601.3135765414745</v>
      </c>
      <c r="R46" s="102">
        <f>TrAvia_ene!R$9</f>
        <v>2679.0806113626486</v>
      </c>
      <c r="S46" s="102">
        <f>TrAvia_ene!S$9</f>
        <v>2716.3076907703344</v>
      </c>
      <c r="T46" s="102">
        <f>TrAvia_ene!T$9</f>
        <v>2772.6494907874526</v>
      </c>
      <c r="U46" s="102">
        <f>TrAvia_ene!U$9</f>
        <v>2784.0131417135112</v>
      </c>
      <c r="V46" s="102">
        <f>TrAvia_ene!V$9</f>
        <v>1293.4317240851187</v>
      </c>
      <c r="W46" s="102">
        <f>TrAvia_ene!W$9</f>
        <v>1471.3992119819854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4685.2924343886625</v>
      </c>
      <c r="C47" s="28">
        <f t="shared" si="37"/>
        <v>4713.993394647051</v>
      </c>
      <c r="D47" s="28">
        <f t="shared" si="37"/>
        <v>4886.6003012834508</v>
      </c>
      <c r="E47" s="28">
        <f t="shared" si="37"/>
        <v>5078.9502669472949</v>
      </c>
      <c r="F47" s="28">
        <f t="shared" si="37"/>
        <v>5264.9622430285172</v>
      </c>
      <c r="G47" s="28">
        <f t="shared" si="37"/>
        <v>5386.1575318753958</v>
      </c>
      <c r="H47" s="28">
        <f t="shared" si="37"/>
        <v>5652.1797360981518</v>
      </c>
      <c r="I47" s="28">
        <f t="shared" si="37"/>
        <v>5702.8532115754188</v>
      </c>
      <c r="J47" s="28">
        <f t="shared" si="37"/>
        <v>5788.8875329520915</v>
      </c>
      <c r="K47" s="28">
        <f t="shared" si="37"/>
        <v>5267.9154239402287</v>
      </c>
      <c r="L47" s="28">
        <f t="shared" si="37"/>
        <v>5437.4529684864237</v>
      </c>
      <c r="M47" s="28">
        <f t="shared" si="37"/>
        <v>5517.5468627262035</v>
      </c>
      <c r="N47" s="28">
        <f t="shared" si="37"/>
        <v>5189.5194308851396</v>
      </c>
      <c r="O47" s="28">
        <f t="shared" si="37"/>
        <v>4848.6762071520407</v>
      </c>
      <c r="P47" s="28">
        <f t="shared" si="37"/>
        <v>4203.8930568211254</v>
      </c>
      <c r="Q47" s="28">
        <f t="shared" si="37"/>
        <v>4301.3477637642563</v>
      </c>
      <c r="R47" s="28">
        <f t="shared" ref="R47:V47" si="38">R48+R51+R52+R56</f>
        <v>4208.0407499121357</v>
      </c>
      <c r="S47" s="28">
        <f t="shared" si="38"/>
        <v>4516.5569525538167</v>
      </c>
      <c r="T47" s="28">
        <f t="shared" si="38"/>
        <v>4771.1241949567211</v>
      </c>
      <c r="U47" s="28">
        <f t="shared" si="38"/>
        <v>4739.1929752837768</v>
      </c>
      <c r="V47" s="28">
        <f t="shared" si="38"/>
        <v>4599.1019574983111</v>
      </c>
      <c r="W47" s="28">
        <f t="shared" ref="W47" si="39">W48+W51+W52+W56</f>
        <v>4444.4986074732606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3905.6156105848386</v>
      </c>
      <c r="C48" s="137">
        <f t="shared" si="40"/>
        <v>3935.5680232679051</v>
      </c>
      <c r="D48" s="137">
        <f t="shared" si="40"/>
        <v>4060.5350463992299</v>
      </c>
      <c r="E48" s="137">
        <f t="shared" si="40"/>
        <v>4214.0870478166098</v>
      </c>
      <c r="F48" s="137">
        <f t="shared" si="40"/>
        <v>4363.5720597549807</v>
      </c>
      <c r="G48" s="137">
        <f t="shared" si="40"/>
        <v>4394.2474771788548</v>
      </c>
      <c r="H48" s="137">
        <f t="shared" si="40"/>
        <v>4568.2033726277641</v>
      </c>
      <c r="I48" s="137">
        <f t="shared" si="40"/>
        <v>4603.4138272869195</v>
      </c>
      <c r="J48" s="137">
        <f t="shared" si="40"/>
        <v>4657.35903399169</v>
      </c>
      <c r="K48" s="137">
        <f t="shared" si="40"/>
        <v>4297.5659373734161</v>
      </c>
      <c r="L48" s="137">
        <f t="shared" si="40"/>
        <v>4362.8429226024437</v>
      </c>
      <c r="M48" s="137">
        <f t="shared" si="40"/>
        <v>4485.4608216171928</v>
      </c>
      <c r="N48" s="137">
        <f t="shared" si="40"/>
        <v>4301.3748589092229</v>
      </c>
      <c r="O48" s="137">
        <f t="shared" si="40"/>
        <v>3935.7176778211351</v>
      </c>
      <c r="P48" s="137">
        <f t="shared" si="40"/>
        <v>3355.9304108325214</v>
      </c>
      <c r="Q48" s="137">
        <f t="shared" si="40"/>
        <v>3418.8966083510659</v>
      </c>
      <c r="R48" s="137">
        <f t="shared" ref="R48:V48" si="41">R49+R50</f>
        <v>3396.0969653279294</v>
      </c>
      <c r="S48" s="137">
        <f t="shared" si="41"/>
        <v>3673.4264050640636</v>
      </c>
      <c r="T48" s="137">
        <f t="shared" si="41"/>
        <v>3933.8601927532118</v>
      </c>
      <c r="U48" s="137">
        <f t="shared" si="41"/>
        <v>3997.9106340848775</v>
      </c>
      <c r="V48" s="137">
        <f t="shared" si="41"/>
        <v>3705.2123867349028</v>
      </c>
      <c r="W48" s="137">
        <f t="shared" ref="W48" si="42">W49+W50</f>
        <v>3560.1738630230866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1779.1506139426808</v>
      </c>
      <c r="C49" s="102">
        <f>TrRoad_ene!C$43</f>
        <v>1844.777653626348</v>
      </c>
      <c r="D49" s="102">
        <f>TrRoad_ene!D$43</f>
        <v>1890.4237274093794</v>
      </c>
      <c r="E49" s="102">
        <f>TrRoad_ene!E$43</f>
        <v>1961.9869770890562</v>
      </c>
      <c r="F49" s="102">
        <f>TrRoad_ene!F$43</f>
        <v>2055.3060940336923</v>
      </c>
      <c r="G49" s="102">
        <f>TrRoad_ene!G$43</f>
        <v>2073.0697616512657</v>
      </c>
      <c r="H49" s="102">
        <f>TrRoad_ene!H$43</f>
        <v>2056.274479302785</v>
      </c>
      <c r="I49" s="102">
        <f>TrRoad_ene!I$43</f>
        <v>2075.4353399718111</v>
      </c>
      <c r="J49" s="102">
        <f>TrRoad_ene!J$43</f>
        <v>2105.2153137350192</v>
      </c>
      <c r="K49" s="102">
        <f>TrRoad_ene!K$43</f>
        <v>1977.4743294916414</v>
      </c>
      <c r="L49" s="102">
        <f>TrRoad_ene!L$43</f>
        <v>2000.2982073542769</v>
      </c>
      <c r="M49" s="102">
        <f>TrRoad_ene!M$43</f>
        <v>2034.6336264632716</v>
      </c>
      <c r="N49" s="102">
        <f>TrRoad_ene!N$43</f>
        <v>1929.3157521784988</v>
      </c>
      <c r="O49" s="102">
        <f>TrRoad_ene!O$43</f>
        <v>1857.6399020990827</v>
      </c>
      <c r="P49" s="102">
        <f>TrRoad_ene!P$43</f>
        <v>1768.701914241625</v>
      </c>
      <c r="Q49" s="102">
        <f>TrRoad_ene!Q$43</f>
        <v>1827.3912147834496</v>
      </c>
      <c r="R49" s="102">
        <f>TrRoad_ene!R$43</f>
        <v>1839.4488760215145</v>
      </c>
      <c r="S49" s="102">
        <f>TrRoad_ene!S$43</f>
        <v>1840.2835456496464</v>
      </c>
      <c r="T49" s="102">
        <f>TrRoad_ene!T$43</f>
        <v>1815.9337016900668</v>
      </c>
      <c r="U49" s="102">
        <f>TrRoad_ene!U$43</f>
        <v>1807.391669583476</v>
      </c>
      <c r="V49" s="102">
        <f>TrRoad_ene!V$43</f>
        <v>1736.3905153474664</v>
      </c>
      <c r="W49" s="102">
        <f>TrRoad_ene!W$43</f>
        <v>1777.1890950016689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2126.4649966421575</v>
      </c>
      <c r="C50" s="102">
        <f>TrRoad_ene!C$52</f>
        <v>2090.7903696415569</v>
      </c>
      <c r="D50" s="102">
        <f>TrRoad_ene!D$52</f>
        <v>2170.1113189898506</v>
      </c>
      <c r="E50" s="102">
        <f>TrRoad_ene!E$52</f>
        <v>2252.1000707275539</v>
      </c>
      <c r="F50" s="102">
        <f>TrRoad_ene!F$52</f>
        <v>2308.2659657212889</v>
      </c>
      <c r="G50" s="102">
        <f>TrRoad_ene!G$52</f>
        <v>2321.1777155275895</v>
      </c>
      <c r="H50" s="102">
        <f>TrRoad_ene!H$52</f>
        <v>2511.9288933249795</v>
      </c>
      <c r="I50" s="102">
        <f>TrRoad_ene!I$52</f>
        <v>2527.9784873151084</v>
      </c>
      <c r="J50" s="102">
        <f>TrRoad_ene!J$52</f>
        <v>2552.1437202566703</v>
      </c>
      <c r="K50" s="102">
        <f>TrRoad_ene!K$52</f>
        <v>2320.0916078817745</v>
      </c>
      <c r="L50" s="102">
        <f>TrRoad_ene!L$52</f>
        <v>2362.544715248167</v>
      </c>
      <c r="M50" s="102">
        <f>TrRoad_ene!M$52</f>
        <v>2450.8271951539209</v>
      </c>
      <c r="N50" s="102">
        <f>TrRoad_ene!N$52</f>
        <v>2372.0591067307241</v>
      </c>
      <c r="O50" s="102">
        <f>TrRoad_ene!O$52</f>
        <v>2078.0777757220526</v>
      </c>
      <c r="P50" s="102">
        <f>TrRoad_ene!P$52</f>
        <v>1587.2284965908964</v>
      </c>
      <c r="Q50" s="102">
        <f>TrRoad_ene!Q$52</f>
        <v>1591.5053935676165</v>
      </c>
      <c r="R50" s="102">
        <f>TrRoad_ene!R$52</f>
        <v>1556.6480893064149</v>
      </c>
      <c r="S50" s="102">
        <f>TrRoad_ene!S$52</f>
        <v>1833.1428594144172</v>
      </c>
      <c r="T50" s="102">
        <f>TrRoad_ene!T$52</f>
        <v>2117.926491063145</v>
      </c>
      <c r="U50" s="102">
        <f>TrRoad_ene!U$52</f>
        <v>2190.5189645014016</v>
      </c>
      <c r="V50" s="102">
        <f>TrRoad_ene!V$52</f>
        <v>1968.8218713874367</v>
      </c>
      <c r="W50" s="102">
        <f>TrRoad_ene!W$52</f>
        <v>1782.9847680214179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17.759866317386944</v>
      </c>
      <c r="C51" s="110">
        <f>TrRail_ene!C$17</f>
        <v>17.531538778763004</v>
      </c>
      <c r="D51" s="110">
        <f>TrRail_ene!D$17</f>
        <v>15.265995358034012</v>
      </c>
      <c r="E51" s="110">
        <f>TrRail_ene!E$17</f>
        <v>15.878486783643634</v>
      </c>
      <c r="F51" s="110">
        <f>TrRail_ene!F$17</f>
        <v>19.317756110424867</v>
      </c>
      <c r="G51" s="110">
        <f>TrRail_ene!G$17</f>
        <v>20.405528973892679</v>
      </c>
      <c r="H51" s="110">
        <f>TrRail_ene!H$17</f>
        <v>20.52290549704697</v>
      </c>
      <c r="I51" s="110">
        <f>TrRail_ene!I$17</f>
        <v>23.360764929548036</v>
      </c>
      <c r="J51" s="110">
        <f>TrRail_ene!J$17</f>
        <v>22.698871540423898</v>
      </c>
      <c r="K51" s="110">
        <f>TrRail_ene!K$17</f>
        <v>17.970151726635851</v>
      </c>
      <c r="L51" s="110">
        <f>TrRail_ene!L$17</f>
        <v>20.947446732269281</v>
      </c>
      <c r="M51" s="110">
        <f>TrRail_ene!M$17</f>
        <v>22.149857307705165</v>
      </c>
      <c r="N51" s="110">
        <f>TrRail_ene!N$17</f>
        <v>20.649637058918511</v>
      </c>
      <c r="O51" s="110">
        <f>TrRail_ene!O$17</f>
        <v>19.908787785273496</v>
      </c>
      <c r="P51" s="110">
        <f>TrRail_ene!P$17</f>
        <v>19.250519167471033</v>
      </c>
      <c r="Q51" s="110">
        <f>TrRail_ene!Q$17</f>
        <v>20.1495710794016</v>
      </c>
      <c r="R51" s="110">
        <f>TrRail_ene!R$17</f>
        <v>19.883159231306692</v>
      </c>
      <c r="S51" s="110">
        <f>TrRail_ene!S$17</f>
        <v>19.076192458960236</v>
      </c>
      <c r="T51" s="110">
        <f>TrRail_ene!T$17</f>
        <v>20.287853447031502</v>
      </c>
      <c r="U51" s="110">
        <f>TrRail_ene!U$17</f>
        <v>20.269558631560461</v>
      </c>
      <c r="V51" s="110">
        <f>TrRail_ene!V$17</f>
        <v>21.303470110265501</v>
      </c>
      <c r="W51" s="110">
        <f>TrRail_ene!W$17</f>
        <v>21.723440277605206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517.94301079684089</v>
      </c>
      <c r="C52" s="110">
        <f t="shared" si="43"/>
        <v>507.65505358060608</v>
      </c>
      <c r="D52" s="110">
        <f t="shared" si="43"/>
        <v>548.29564817622941</v>
      </c>
      <c r="E52" s="110">
        <f t="shared" si="43"/>
        <v>601.92256553706716</v>
      </c>
      <c r="F52" s="110">
        <f t="shared" si="43"/>
        <v>631.92195424823626</v>
      </c>
      <c r="G52" s="110">
        <f t="shared" si="43"/>
        <v>699.73608204251093</v>
      </c>
      <c r="H52" s="110">
        <f t="shared" si="43"/>
        <v>778.30246915132909</v>
      </c>
      <c r="I52" s="110">
        <f t="shared" si="43"/>
        <v>767.25084635809174</v>
      </c>
      <c r="J52" s="110">
        <f t="shared" si="43"/>
        <v>792.06264547672697</v>
      </c>
      <c r="K52" s="110">
        <f t="shared" si="43"/>
        <v>630.4532815297722</v>
      </c>
      <c r="L52" s="110">
        <f t="shared" si="43"/>
        <v>692.52760345093725</v>
      </c>
      <c r="M52" s="110">
        <f t="shared" si="43"/>
        <v>644.67393100680863</v>
      </c>
      <c r="N52" s="110">
        <f t="shared" si="43"/>
        <v>531.12348177856381</v>
      </c>
      <c r="O52" s="110">
        <f t="shared" si="43"/>
        <v>536.04200293858116</v>
      </c>
      <c r="P52" s="110">
        <f t="shared" si="43"/>
        <v>518.1360305184669</v>
      </c>
      <c r="Q52" s="110">
        <f t="shared" si="43"/>
        <v>522.81147255390931</v>
      </c>
      <c r="R52" s="110">
        <f t="shared" si="43"/>
        <v>477.76217307430932</v>
      </c>
      <c r="S52" s="110">
        <f t="shared" si="43"/>
        <v>519.51626388719933</v>
      </c>
      <c r="T52" s="110">
        <f t="shared" si="43"/>
        <v>511.19867670144731</v>
      </c>
      <c r="U52" s="110">
        <f t="shared" si="43"/>
        <v>440.46669486312555</v>
      </c>
      <c r="V52" s="110">
        <f t="shared" si="43"/>
        <v>660.65712386896371</v>
      </c>
      <c r="W52" s="110">
        <f t="shared" ref="W52" si="44">W53+W54+W55</f>
        <v>625.22151053542325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11.663570445896717</v>
      </c>
      <c r="C54" s="102">
        <f>TrAvia_ene!C$12</f>
        <v>15.420533840261411</v>
      </c>
      <c r="D54" s="102">
        <f>TrAvia_ene!D$12</f>
        <v>12.464654490654141</v>
      </c>
      <c r="E54" s="102">
        <f>TrAvia_ene!E$12</f>
        <v>13.099135983460329</v>
      </c>
      <c r="F54" s="102">
        <f>TrAvia_ene!F$12</f>
        <v>13.959032160795584</v>
      </c>
      <c r="G54" s="102">
        <f>TrAvia_ene!G$12</f>
        <v>13.896094004565862</v>
      </c>
      <c r="H54" s="102">
        <f>TrAvia_ene!H$12</f>
        <v>14.251919994511024</v>
      </c>
      <c r="I54" s="102">
        <f>TrAvia_ene!I$12</f>
        <v>14.868990995121131</v>
      </c>
      <c r="J54" s="102">
        <f>TrAvia_ene!J$12</f>
        <v>18.754529409535166</v>
      </c>
      <c r="K54" s="102">
        <f>TrAvia_ene!K$12</f>
        <v>18.202836927522618</v>
      </c>
      <c r="L54" s="102">
        <f>TrAvia_ene!L$12</f>
        <v>19.516790958001533</v>
      </c>
      <c r="M54" s="102">
        <f>TrAvia_ene!M$12</f>
        <v>15.155249022082186</v>
      </c>
      <c r="N54" s="102">
        <f>TrAvia_ene!N$12</f>
        <v>11.552027463651473</v>
      </c>
      <c r="O54" s="102">
        <f>TrAvia_ene!O$12</f>
        <v>12.154850480561224</v>
      </c>
      <c r="P54" s="102">
        <f>TrAvia_ene!P$12</f>
        <v>12.607109938264408</v>
      </c>
      <c r="Q54" s="102">
        <f>TrAvia_ene!Q$12</f>
        <v>12.657753558485886</v>
      </c>
      <c r="R54" s="102">
        <f>TrAvia_ene!R$12</f>
        <v>13.14095046860157</v>
      </c>
      <c r="S54" s="102">
        <f>TrAvia_ene!S$12</f>
        <v>12.123468349404662</v>
      </c>
      <c r="T54" s="102">
        <f>TrAvia_ene!T$12</f>
        <v>9.9489165361241358</v>
      </c>
      <c r="U54" s="102">
        <f>TrAvia_ene!U$12</f>
        <v>9.0682205615921294</v>
      </c>
      <c r="V54" s="102">
        <f>TrAvia_ene!V$12</f>
        <v>7.7140635297067393</v>
      </c>
      <c r="W54" s="102">
        <f>TrAvia_ene!W$12</f>
        <v>9.041813578416674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506.27944035094413</v>
      </c>
      <c r="C55" s="102">
        <f>TrAvia_ene!C$13</f>
        <v>492.23451974034469</v>
      </c>
      <c r="D55" s="102">
        <f>TrAvia_ene!D$13</f>
        <v>535.83099368557521</v>
      </c>
      <c r="E55" s="102">
        <f>TrAvia_ene!E$13</f>
        <v>588.82342955360684</v>
      </c>
      <c r="F55" s="102">
        <f>TrAvia_ene!F$13</f>
        <v>617.96292208744069</v>
      </c>
      <c r="G55" s="102">
        <f>TrAvia_ene!G$13</f>
        <v>685.83998803794509</v>
      </c>
      <c r="H55" s="102">
        <f>TrAvia_ene!H$13</f>
        <v>764.05054915681808</v>
      </c>
      <c r="I55" s="102">
        <f>TrAvia_ene!I$13</f>
        <v>752.38185536297055</v>
      </c>
      <c r="J55" s="102">
        <f>TrAvia_ene!J$13</f>
        <v>773.3081160671918</v>
      </c>
      <c r="K55" s="102">
        <f>TrAvia_ene!K$13</f>
        <v>612.25044460224956</v>
      </c>
      <c r="L55" s="102">
        <f>TrAvia_ene!L$13</f>
        <v>673.01081249293577</v>
      </c>
      <c r="M55" s="102">
        <f>TrAvia_ene!M$13</f>
        <v>629.51868198472641</v>
      </c>
      <c r="N55" s="102">
        <f>TrAvia_ene!N$13</f>
        <v>519.57145431491233</v>
      </c>
      <c r="O55" s="102">
        <f>TrAvia_ene!O$13</f>
        <v>523.88715245801995</v>
      </c>
      <c r="P55" s="102">
        <f>TrAvia_ene!P$13</f>
        <v>505.52892058020251</v>
      </c>
      <c r="Q55" s="102">
        <f>TrAvia_ene!Q$13</f>
        <v>510.15371899542345</v>
      </c>
      <c r="R55" s="102">
        <f>TrAvia_ene!R$13</f>
        <v>464.62122260570777</v>
      </c>
      <c r="S55" s="102">
        <f>TrAvia_ene!S$13</f>
        <v>507.39279553779471</v>
      </c>
      <c r="T55" s="102">
        <f>TrAvia_ene!T$13</f>
        <v>501.24976016532315</v>
      </c>
      <c r="U55" s="102">
        <f>TrAvia_ene!U$13</f>
        <v>431.39847430153344</v>
      </c>
      <c r="V55" s="102">
        <f>TrAvia_ene!V$13</f>
        <v>652.94306033925693</v>
      </c>
      <c r="W55" s="102">
        <f>TrAvia_ene!W$13</f>
        <v>616.17969695700663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243.97394668959589</v>
      </c>
      <c r="C56" s="110">
        <f t="shared" si="45"/>
        <v>253.23877901977642</v>
      </c>
      <c r="D56" s="110">
        <f t="shared" si="45"/>
        <v>262.50361134995705</v>
      </c>
      <c r="E56" s="110">
        <f t="shared" si="45"/>
        <v>247.0621668099742</v>
      </c>
      <c r="F56" s="110">
        <f t="shared" si="45"/>
        <v>250.15047291487531</v>
      </c>
      <c r="G56" s="110">
        <f t="shared" si="45"/>
        <v>271.76844368013752</v>
      </c>
      <c r="H56" s="110">
        <f t="shared" si="45"/>
        <v>285.15098882201198</v>
      </c>
      <c r="I56" s="110">
        <f t="shared" si="45"/>
        <v>308.82777300085979</v>
      </c>
      <c r="J56" s="110">
        <f t="shared" si="45"/>
        <v>316.76698194325019</v>
      </c>
      <c r="K56" s="110">
        <f t="shared" si="45"/>
        <v>321.92605331040409</v>
      </c>
      <c r="L56" s="110">
        <f t="shared" si="45"/>
        <v>361.13499570077391</v>
      </c>
      <c r="M56" s="110">
        <f t="shared" si="45"/>
        <v>365.26225279449699</v>
      </c>
      <c r="N56" s="110">
        <f t="shared" si="45"/>
        <v>336.37145313843507</v>
      </c>
      <c r="O56" s="110">
        <f t="shared" si="45"/>
        <v>357.00773860705067</v>
      </c>
      <c r="P56" s="110">
        <f t="shared" si="45"/>
        <v>310.57609630266552</v>
      </c>
      <c r="Q56" s="110">
        <f t="shared" si="45"/>
        <v>339.49011177987956</v>
      </c>
      <c r="R56" s="110">
        <f t="shared" ref="R56:V56" si="46">R57+R58</f>
        <v>314.29845227858982</v>
      </c>
      <c r="S56" s="110">
        <f t="shared" si="46"/>
        <v>304.5380911435941</v>
      </c>
      <c r="T56" s="110">
        <f t="shared" si="46"/>
        <v>305.7774720550301</v>
      </c>
      <c r="U56" s="110">
        <f t="shared" si="46"/>
        <v>280.54608770421328</v>
      </c>
      <c r="V56" s="110">
        <f t="shared" si="46"/>
        <v>211.92897678417884</v>
      </c>
      <c r="W56" s="110">
        <f t="shared" ref="W56" si="47">W57+W58</f>
        <v>237.37979363714533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0.28288372402280343</v>
      </c>
      <c r="C57" s="102">
        <f>TrNavi_ene!C4</f>
        <v>0.24352752332015293</v>
      </c>
      <c r="D57" s="102">
        <f>TrNavi_ene!D4</f>
        <v>0.26538927181296607</v>
      </c>
      <c r="E57" s="102">
        <f>TrNavi_ene!E4</f>
        <v>0.25930176608648303</v>
      </c>
      <c r="F57" s="102">
        <f>TrNavi_ene!F4</f>
        <v>0.29367614268320891</v>
      </c>
      <c r="G57" s="102">
        <f>TrNavi_ene!G4</f>
        <v>0.37206647254624958</v>
      </c>
      <c r="H57" s="102">
        <f>TrNavi_ene!H4</f>
        <v>0.38627118285864825</v>
      </c>
      <c r="I57" s="102">
        <f>TrNavi_ene!I4</f>
        <v>0.43703710361843984</v>
      </c>
      <c r="J57" s="102">
        <f>TrNavi_ene!J4</f>
        <v>0.54044272264223758</v>
      </c>
      <c r="K57" s="102">
        <f>TrNavi_ene!K4</f>
        <v>0.54397426054004516</v>
      </c>
      <c r="L57" s="102">
        <f>TrNavi_ene!L4</f>
        <v>0.75955060925916085</v>
      </c>
      <c r="M57" s="102">
        <f>TrNavi_ene!M4</f>
        <v>0.75233566970031684</v>
      </c>
      <c r="N57" s="102">
        <f>TrNavi_ene!N4</f>
        <v>0.69319290320889004</v>
      </c>
      <c r="O57" s="102">
        <f>TrNavi_ene!O4</f>
        <v>0.55915194711339022</v>
      </c>
      <c r="P57" s="102">
        <f>TrNavi_ene!P4</f>
        <v>0.6386138863818297</v>
      </c>
      <c r="Q57" s="102">
        <f>TrNavi_ene!Q4</f>
        <v>0.67471337885924632</v>
      </c>
      <c r="R57" s="102">
        <f>TrNavi_ene!R4</f>
        <v>0.42450630078255935</v>
      </c>
      <c r="S57" s="102">
        <f>TrNavi_ene!S4</f>
        <v>0.83591080415185826</v>
      </c>
      <c r="T57" s="102">
        <f>TrNavi_ene!T4</f>
        <v>0.77334297676520691</v>
      </c>
      <c r="U57" s="102">
        <f>TrNavi_ene!U4</f>
        <v>1.0747280529116692</v>
      </c>
      <c r="V57" s="102">
        <f>TrNavi_ene!V4</f>
        <v>0.58950727835940908</v>
      </c>
      <c r="W57" s="102">
        <f>TrNavi_ene!W4</f>
        <v>0.56620376487856028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243.69106296557308</v>
      </c>
      <c r="C58" s="169">
        <f>TrNavi_ene!C10</f>
        <v>252.99525149645626</v>
      </c>
      <c r="D58" s="169">
        <f>TrNavi_ene!D10</f>
        <v>262.23822207814408</v>
      </c>
      <c r="E58" s="169">
        <f>TrNavi_ene!E10</f>
        <v>246.80286504388772</v>
      </c>
      <c r="F58" s="169">
        <f>TrNavi_ene!F10</f>
        <v>249.8567967721921</v>
      </c>
      <c r="G58" s="169">
        <f>TrNavi_ene!G10</f>
        <v>271.39637720759129</v>
      </c>
      <c r="H58" s="169">
        <f>TrNavi_ene!H10</f>
        <v>284.76471763915333</v>
      </c>
      <c r="I58" s="169">
        <f>TrNavi_ene!I10</f>
        <v>308.39073589724137</v>
      </c>
      <c r="J58" s="169">
        <f>TrNavi_ene!J10</f>
        <v>316.22653922060795</v>
      </c>
      <c r="K58" s="169">
        <f>TrNavi_ene!K10</f>
        <v>321.38207904986405</v>
      </c>
      <c r="L58" s="169">
        <f>TrNavi_ene!L10</f>
        <v>360.37544509151473</v>
      </c>
      <c r="M58" s="169">
        <f>TrNavi_ene!M10</f>
        <v>364.50991712479669</v>
      </c>
      <c r="N58" s="169">
        <f>TrNavi_ene!N10</f>
        <v>335.67826023522616</v>
      </c>
      <c r="O58" s="169">
        <f>TrNavi_ene!O10</f>
        <v>356.44858665993729</v>
      </c>
      <c r="P58" s="169">
        <f>TrNavi_ene!P10</f>
        <v>309.93748241628367</v>
      </c>
      <c r="Q58" s="169">
        <f>TrNavi_ene!Q10</f>
        <v>338.81539840102033</v>
      </c>
      <c r="R58" s="169">
        <f>TrNavi_ene!R10</f>
        <v>313.87394597780724</v>
      </c>
      <c r="S58" s="169">
        <f>TrNavi_ene!S10</f>
        <v>303.70218033944224</v>
      </c>
      <c r="T58" s="169">
        <f>TrNavi_ene!T10</f>
        <v>305.0041290782649</v>
      </c>
      <c r="U58" s="169">
        <f>TrNavi_ene!U10</f>
        <v>279.47135965130161</v>
      </c>
      <c r="V58" s="169">
        <f>TrNavi_ene!V10</f>
        <v>211.33946950581944</v>
      </c>
      <c r="W58" s="169">
        <f>TrNavi_ene!W10</f>
        <v>236.81358987226676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13160.27274290628</v>
      </c>
      <c r="C59" s="28">
        <f t="shared" ref="C59:W59" si="48">C60+C61</f>
        <v>14389.196990541701</v>
      </c>
      <c r="D59" s="28">
        <f t="shared" si="48"/>
        <v>14266.351418744627</v>
      </c>
      <c r="E59" s="28">
        <f t="shared" si="48"/>
        <v>13387.759157351677</v>
      </c>
      <c r="F59" s="28">
        <f t="shared" si="48"/>
        <v>14583.703525365429</v>
      </c>
      <c r="G59" s="28">
        <f t="shared" si="48"/>
        <v>15618.524935511612</v>
      </c>
      <c r="H59" s="28">
        <f t="shared" si="48"/>
        <v>16655.612897678413</v>
      </c>
      <c r="I59" s="28">
        <f t="shared" si="48"/>
        <v>17072.327343078243</v>
      </c>
      <c r="J59" s="28">
        <f t="shared" si="48"/>
        <v>16397.043078245923</v>
      </c>
      <c r="K59" s="28">
        <f t="shared" si="48"/>
        <v>14637.900085984518</v>
      </c>
      <c r="L59" s="28">
        <f t="shared" si="48"/>
        <v>13859.893035253657</v>
      </c>
      <c r="M59" s="28">
        <f t="shared" si="48"/>
        <v>14919.198452278586</v>
      </c>
      <c r="N59" s="28">
        <f t="shared" si="48"/>
        <v>13829.793637145311</v>
      </c>
      <c r="O59" s="28">
        <f t="shared" si="48"/>
        <v>13135.267239896824</v>
      </c>
      <c r="P59" s="28">
        <f t="shared" si="48"/>
        <v>12937.835597592428</v>
      </c>
      <c r="Q59" s="28">
        <f t="shared" si="48"/>
        <v>11949.157093723128</v>
      </c>
      <c r="R59" s="28">
        <f t="shared" si="48"/>
        <v>11869.820206362854</v>
      </c>
      <c r="S59" s="28">
        <f t="shared" si="48"/>
        <v>11656.368013757521</v>
      </c>
      <c r="T59" s="28">
        <f t="shared" si="48"/>
        <v>11215.607308684437</v>
      </c>
      <c r="U59" s="28">
        <f t="shared" si="48"/>
        <v>11425.70834049871</v>
      </c>
      <c r="V59" s="28">
        <f t="shared" si="48"/>
        <v>11880.701805674977</v>
      </c>
      <c r="W59" s="28">
        <f t="shared" si="48"/>
        <v>11424.664058469472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2625.1041922412469</v>
      </c>
      <c r="C60" s="102">
        <f>MBunk_ene!C$4</f>
        <v>2853.1417812739364</v>
      </c>
      <c r="D60" s="102">
        <f>MBunk_ene!D$4</f>
        <v>2862.5182767525175</v>
      </c>
      <c r="E60" s="102">
        <f>MBunk_ene!E$4</f>
        <v>2610.628736785995</v>
      </c>
      <c r="F60" s="102">
        <f>MBunk_ene!F$4</f>
        <v>2836.4654064880397</v>
      </c>
      <c r="G60" s="102">
        <f>MBunk_ene!G$4</f>
        <v>2752.5455808295396</v>
      </c>
      <c r="H60" s="102">
        <f>MBunk_ene!H$4</f>
        <v>2799.261875288963</v>
      </c>
      <c r="I60" s="102">
        <f>MBunk_ene!I$4</f>
        <v>2826.7574658944473</v>
      </c>
      <c r="J60" s="102">
        <f>MBunk_ene!J$4</f>
        <v>2554.1657490782327</v>
      </c>
      <c r="K60" s="102">
        <f>MBunk_ene!K$4</f>
        <v>2671.6214179352887</v>
      </c>
      <c r="L60" s="102">
        <f>MBunk_ene!L$4</f>
        <v>2661.9365950388656</v>
      </c>
      <c r="M60" s="102">
        <f>MBunk_ene!M$4</f>
        <v>2609.7491781395338</v>
      </c>
      <c r="N60" s="102">
        <f>MBunk_ene!N$4</f>
        <v>2416.9325280748485</v>
      </c>
      <c r="O60" s="102">
        <f>MBunk_ene!O$4</f>
        <v>2327.9278379476864</v>
      </c>
      <c r="P60" s="102">
        <f>MBunk_ene!P$4</f>
        <v>2332.7764172465513</v>
      </c>
      <c r="Q60" s="102">
        <f>MBunk_ene!Q$4</f>
        <v>2062.6228754647959</v>
      </c>
      <c r="R60" s="102">
        <f>MBunk_ene!R$4</f>
        <v>1998.8930853099987</v>
      </c>
      <c r="S60" s="102">
        <f>MBunk_ene!S$4</f>
        <v>1941.3165142550276</v>
      </c>
      <c r="T60" s="102">
        <f>MBunk_ene!T$4</f>
        <v>1956.4021177649922</v>
      </c>
      <c r="U60" s="102">
        <f>MBunk_ene!U$4</f>
        <v>2047.8182797663605</v>
      </c>
      <c r="V60" s="102">
        <f>MBunk_ene!V$4</f>
        <v>1897.0034559588594</v>
      </c>
      <c r="W60" s="102">
        <f>MBunk_ene!W$4</f>
        <v>1840.8605699921814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10535.168550665032</v>
      </c>
      <c r="C61" s="86">
        <f>MBunk_ene!C$10</f>
        <v>11536.055209267764</v>
      </c>
      <c r="D61" s="86">
        <f>MBunk_ene!D$10</f>
        <v>11403.833141992109</v>
      </c>
      <c r="E61" s="86">
        <f>MBunk_ene!E$10</f>
        <v>10777.130420565682</v>
      </c>
      <c r="F61" s="86">
        <f>MBunk_ene!F$10</f>
        <v>11747.238118877389</v>
      </c>
      <c r="G61" s="86">
        <f>MBunk_ene!G$10</f>
        <v>12865.979354682073</v>
      </c>
      <c r="H61" s="86">
        <f>MBunk_ene!H$10</f>
        <v>13856.35102238945</v>
      </c>
      <c r="I61" s="86">
        <f>MBunk_ene!I$10</f>
        <v>14245.569877183794</v>
      </c>
      <c r="J61" s="86">
        <f>MBunk_ene!J$10</f>
        <v>13842.87732916769</v>
      </c>
      <c r="K61" s="86">
        <f>MBunk_ene!K$10</f>
        <v>11966.27866804923</v>
      </c>
      <c r="L61" s="86">
        <f>MBunk_ene!L$10</f>
        <v>11197.956440214792</v>
      </c>
      <c r="M61" s="86">
        <f>MBunk_ene!M$10</f>
        <v>12309.449274139053</v>
      </c>
      <c r="N61" s="86">
        <f>MBunk_ene!N$10</f>
        <v>11412.861109070462</v>
      </c>
      <c r="O61" s="86">
        <f>MBunk_ene!O$10</f>
        <v>10807.339401949137</v>
      </c>
      <c r="P61" s="86">
        <f>MBunk_ene!P$10</f>
        <v>10605.059180345876</v>
      </c>
      <c r="Q61" s="86">
        <f>MBunk_ene!Q$10</f>
        <v>9886.5342182583317</v>
      </c>
      <c r="R61" s="86">
        <f>MBunk_ene!R$10</f>
        <v>9870.927121052855</v>
      </c>
      <c r="S61" s="86">
        <f>MBunk_ene!S$10</f>
        <v>9715.0514995024932</v>
      </c>
      <c r="T61" s="86">
        <f>MBunk_ene!T$10</f>
        <v>9259.2051909194452</v>
      </c>
      <c r="U61" s="86">
        <f>MBunk_ene!U$10</f>
        <v>9377.8900607323485</v>
      </c>
      <c r="V61" s="86">
        <f>MBunk_ene!V$10</f>
        <v>9983.6983497161164</v>
      </c>
      <c r="W61" s="86">
        <f>MBunk_ene!W$10</f>
        <v>9583.8034884772915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26974.33186121349</v>
      </c>
      <c r="C64" s="28">
        <f t="shared" si="49"/>
        <v>26884.385482327318</v>
      </c>
      <c r="D64" s="28">
        <f t="shared" si="49"/>
        <v>27533.701544901691</v>
      </c>
      <c r="E64" s="28">
        <f t="shared" si="49"/>
        <v>27317.133364665129</v>
      </c>
      <c r="F64" s="28">
        <f t="shared" si="49"/>
        <v>28018.961326115048</v>
      </c>
      <c r="G64" s="28">
        <f t="shared" si="49"/>
        <v>28212.207370471275</v>
      </c>
      <c r="H64" s="28">
        <f t="shared" si="49"/>
        <v>28539.464534005827</v>
      </c>
      <c r="I64" s="28">
        <f t="shared" si="49"/>
        <v>28432.334600221569</v>
      </c>
      <c r="J64" s="28">
        <f t="shared" si="49"/>
        <v>28666.748135571615</v>
      </c>
      <c r="K64" s="28">
        <f t="shared" si="49"/>
        <v>28120.802229377183</v>
      </c>
      <c r="L64" s="28">
        <f t="shared" si="49"/>
        <v>27692.995928632085</v>
      </c>
      <c r="M64" s="28">
        <f t="shared" si="49"/>
        <v>28141.319159922637</v>
      </c>
      <c r="N64" s="28">
        <f t="shared" si="49"/>
        <v>27239.753988205237</v>
      </c>
      <c r="O64" s="28">
        <f t="shared" si="49"/>
        <v>26956.176399573807</v>
      </c>
      <c r="P64" s="28">
        <f t="shared" si="49"/>
        <v>26722.570098303597</v>
      </c>
      <c r="Q64" s="28">
        <f t="shared" si="49"/>
        <v>27355.025220417265</v>
      </c>
      <c r="R64" s="28">
        <f t="shared" ref="R64:V64" si="50">R65+R69+R73</f>
        <v>27968.112330674172</v>
      </c>
      <c r="S64" s="28">
        <f t="shared" si="50"/>
        <v>28323.710498278888</v>
      </c>
      <c r="T64" s="28">
        <f t="shared" si="50"/>
        <v>28132.529387577812</v>
      </c>
      <c r="U64" s="28">
        <f t="shared" si="50"/>
        <v>27716.680940824117</v>
      </c>
      <c r="V64" s="28">
        <f t="shared" si="50"/>
        <v>18288.872426977432</v>
      </c>
      <c r="W64" s="28">
        <f t="shared" ref="W64" si="51">W65+W69+W73</f>
        <v>19735.952641913293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18492.722803185632</v>
      </c>
      <c r="C65" s="137">
        <f t="shared" si="52"/>
        <v>18639.577353012297</v>
      </c>
      <c r="D65" s="137">
        <f t="shared" si="52"/>
        <v>18987.514633340219</v>
      </c>
      <c r="E65" s="137">
        <f t="shared" si="52"/>
        <v>19083.983467245413</v>
      </c>
      <c r="F65" s="137">
        <f t="shared" si="52"/>
        <v>19165.397913286055</v>
      </c>
      <c r="G65" s="137">
        <f t="shared" si="52"/>
        <v>19249.47854887191</v>
      </c>
      <c r="H65" s="137">
        <f t="shared" si="52"/>
        <v>19664.306422328762</v>
      </c>
      <c r="I65" s="137">
        <f t="shared" si="52"/>
        <v>19457.392374106457</v>
      </c>
      <c r="J65" s="137">
        <f t="shared" si="52"/>
        <v>19610.971198997035</v>
      </c>
      <c r="K65" s="137">
        <f t="shared" si="52"/>
        <v>19415.673759739842</v>
      </c>
      <c r="L65" s="137">
        <f t="shared" si="52"/>
        <v>19420.041064147699</v>
      </c>
      <c r="M65" s="137">
        <f t="shared" si="52"/>
        <v>19307.971313132039</v>
      </c>
      <c r="N65" s="137">
        <f t="shared" si="52"/>
        <v>18497.051832006004</v>
      </c>
      <c r="O65" s="137">
        <f t="shared" si="52"/>
        <v>18005.892712302593</v>
      </c>
      <c r="P65" s="137">
        <f t="shared" si="52"/>
        <v>17318.433697546719</v>
      </c>
      <c r="Q65" s="137">
        <f t="shared" si="52"/>
        <v>17406.605529042379</v>
      </c>
      <c r="R65" s="137">
        <f t="shared" ref="R65:V65" si="53">R66+R67+R68</f>
        <v>17586.837496950469</v>
      </c>
      <c r="S65" s="137">
        <f t="shared" si="53"/>
        <v>17732.592062926578</v>
      </c>
      <c r="T65" s="137">
        <f t="shared" si="53"/>
        <v>17383.603380654069</v>
      </c>
      <c r="U65" s="137">
        <f t="shared" si="53"/>
        <v>17033.279373235528</v>
      </c>
      <c r="V65" s="137">
        <f t="shared" si="53"/>
        <v>13558.665591390405</v>
      </c>
      <c r="W65" s="137">
        <f t="shared" ref="W65" si="54">W66+W67+W68</f>
        <v>14238.428075877006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381.47811947768918</v>
      </c>
      <c r="C66" s="102">
        <f>TrRoad_emi!C$19</f>
        <v>396.03974164051698</v>
      </c>
      <c r="D66" s="102">
        <f>TrRoad_emi!D$19</f>
        <v>406.59521192409852</v>
      </c>
      <c r="E66" s="102">
        <f>TrRoad_emi!E$19</f>
        <v>411.75671109877391</v>
      </c>
      <c r="F66" s="102">
        <f>TrRoad_emi!F$19</f>
        <v>390.74826112066745</v>
      </c>
      <c r="G66" s="102">
        <f>TrRoad_emi!G$19</f>
        <v>401.41635097010533</v>
      </c>
      <c r="H66" s="102">
        <f>TrRoad_emi!H$19</f>
        <v>417.24039796098361</v>
      </c>
      <c r="I66" s="102">
        <f>TrRoad_emi!I$19</f>
        <v>428.39436342550039</v>
      </c>
      <c r="J66" s="102">
        <f>TrRoad_emi!J$19</f>
        <v>452.95500454277419</v>
      </c>
      <c r="K66" s="102">
        <f>TrRoad_emi!K$19</f>
        <v>459.7570477290044</v>
      </c>
      <c r="L66" s="102">
        <f>TrRoad_emi!L$19</f>
        <v>462.03549790086419</v>
      </c>
      <c r="M66" s="102">
        <f>TrRoad_emi!M$19</f>
        <v>466.45173321735501</v>
      </c>
      <c r="N66" s="102">
        <f>TrRoad_emi!N$19</f>
        <v>452.03920283328682</v>
      </c>
      <c r="O66" s="102">
        <f>TrRoad_emi!O$19</f>
        <v>443.07697735468128</v>
      </c>
      <c r="P66" s="102">
        <f>TrRoad_emi!P$19</f>
        <v>421.22910750263662</v>
      </c>
      <c r="Q66" s="102">
        <f>TrRoad_emi!Q$19</f>
        <v>428.34850908567398</v>
      </c>
      <c r="R66" s="102">
        <f>TrRoad_emi!R$19</f>
        <v>433.55856412751041</v>
      </c>
      <c r="S66" s="102">
        <f>TrRoad_emi!S$19</f>
        <v>403.95426245060048</v>
      </c>
      <c r="T66" s="102">
        <f>TrRoad_emi!T$19</f>
        <v>396.58737004449944</v>
      </c>
      <c r="U66" s="102">
        <f>TrRoad_emi!U$19</f>
        <v>397.56782922324436</v>
      </c>
      <c r="V66" s="102">
        <f>TrRoad_emi!V$19</f>
        <v>358.46690131785698</v>
      </c>
      <c r="W66" s="102">
        <f>TrRoad_emi!W$19</f>
        <v>346.22379046832856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16987.981867621729</v>
      </c>
      <c r="C67" s="102">
        <f>TrRoad_emi!C$20</f>
        <v>17154.239373915731</v>
      </c>
      <c r="D67" s="102">
        <f>TrRoad_emi!D$20</f>
        <v>17503.783085516039</v>
      </c>
      <c r="E67" s="102">
        <f>TrRoad_emi!E$20</f>
        <v>17621.514374429207</v>
      </c>
      <c r="F67" s="102">
        <f>TrRoad_emi!F$20</f>
        <v>17746.761227233645</v>
      </c>
      <c r="G67" s="102">
        <f>TrRoad_emi!G$20</f>
        <v>17822.305093032381</v>
      </c>
      <c r="H67" s="102">
        <f>TrRoad_emi!H$20</f>
        <v>18235.160961998688</v>
      </c>
      <c r="I67" s="102">
        <f>TrRoad_emi!I$20</f>
        <v>18052.653218586027</v>
      </c>
      <c r="J67" s="102">
        <f>TrRoad_emi!J$20</f>
        <v>18135.497791463866</v>
      </c>
      <c r="K67" s="102">
        <f>TrRoad_emi!K$20</f>
        <v>17909.70063033839</v>
      </c>
      <c r="L67" s="102">
        <f>TrRoad_emi!L$20</f>
        <v>17842.819243813334</v>
      </c>
      <c r="M67" s="102">
        <f>TrRoad_emi!M$20</f>
        <v>17761.678322337775</v>
      </c>
      <c r="N67" s="102">
        <f>TrRoad_emi!N$20</f>
        <v>16998.648022599977</v>
      </c>
      <c r="O67" s="102">
        <f>TrRoad_emi!O$20</f>
        <v>16555.402896676729</v>
      </c>
      <c r="P67" s="102">
        <f>TrRoad_emi!P$20</f>
        <v>15942.317370989458</v>
      </c>
      <c r="Q67" s="102">
        <f>TrRoad_emi!Q$20</f>
        <v>16030.901828795206</v>
      </c>
      <c r="R67" s="102">
        <f>TrRoad_emi!R$20</f>
        <v>16201.803989075308</v>
      </c>
      <c r="S67" s="102">
        <f>TrRoad_emi!S$20</f>
        <v>16321.092568825388</v>
      </c>
      <c r="T67" s="102">
        <f>TrRoad_emi!T$20</f>
        <v>16075.531031403698</v>
      </c>
      <c r="U67" s="102">
        <f>TrRoad_emi!U$20</f>
        <v>15804.975837435701</v>
      </c>
      <c r="V67" s="102">
        <f>TrRoad_emi!V$20</f>
        <v>12548.658571642438</v>
      </c>
      <c r="W67" s="102">
        <f>TrRoad_emi!W$20</f>
        <v>13320.195421211285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1123.2628160862159</v>
      </c>
      <c r="C68" s="102">
        <f>TrRoad_emi!C$27</f>
        <v>1089.2982374560488</v>
      </c>
      <c r="D68" s="102">
        <f>TrRoad_emi!D$27</f>
        <v>1077.1363359000811</v>
      </c>
      <c r="E68" s="102">
        <f>TrRoad_emi!E$27</f>
        <v>1050.712381717432</v>
      </c>
      <c r="F68" s="102">
        <f>TrRoad_emi!F$27</f>
        <v>1027.8884249317398</v>
      </c>
      <c r="G68" s="102">
        <f>TrRoad_emi!G$27</f>
        <v>1025.7571048694228</v>
      </c>
      <c r="H68" s="102">
        <f>TrRoad_emi!H$27</f>
        <v>1011.9050623690908</v>
      </c>
      <c r="I68" s="102">
        <f>TrRoad_emi!I$27</f>
        <v>976.34479209493043</v>
      </c>
      <c r="J68" s="102">
        <f>TrRoad_emi!J$27</f>
        <v>1022.5184029903926</v>
      </c>
      <c r="K68" s="102">
        <f>TrRoad_emi!K$27</f>
        <v>1046.2160816724493</v>
      </c>
      <c r="L68" s="102">
        <f>TrRoad_emi!L$27</f>
        <v>1115.1863224335045</v>
      </c>
      <c r="M68" s="102">
        <f>TrRoad_emi!M$27</f>
        <v>1079.8412575769078</v>
      </c>
      <c r="N68" s="102">
        <f>TrRoad_emi!N$27</f>
        <v>1046.3646065727414</v>
      </c>
      <c r="O68" s="102">
        <f>TrRoad_emi!O$27</f>
        <v>1007.4128382711812</v>
      </c>
      <c r="P68" s="102">
        <f>TrRoad_emi!P$27</f>
        <v>954.88721905462342</v>
      </c>
      <c r="Q68" s="102">
        <f>TrRoad_emi!Q$27</f>
        <v>947.35519116150067</v>
      </c>
      <c r="R68" s="102">
        <f>TrRoad_emi!R$27</f>
        <v>951.47494374764779</v>
      </c>
      <c r="S68" s="102">
        <f>TrRoad_emi!S$27</f>
        <v>1007.5452316505924</v>
      </c>
      <c r="T68" s="102">
        <f>TrRoad_emi!T$27</f>
        <v>911.48497920586897</v>
      </c>
      <c r="U68" s="102">
        <f>TrRoad_emi!U$27</f>
        <v>830.73570657658354</v>
      </c>
      <c r="V68" s="102">
        <f>TrRoad_emi!V$27</f>
        <v>651.5401184301104</v>
      </c>
      <c r="W68" s="102">
        <f>TrRoad_emi!W$27</f>
        <v>572.00886419739288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101.17506736642353</v>
      </c>
      <c r="C69" s="110">
        <f t="shared" si="55"/>
        <v>96.092211583701513</v>
      </c>
      <c r="D69" s="110">
        <f t="shared" si="55"/>
        <v>94.518649069476425</v>
      </c>
      <c r="E69" s="110">
        <f t="shared" si="55"/>
        <v>92.940547863553547</v>
      </c>
      <c r="F69" s="110">
        <f t="shared" si="55"/>
        <v>93.685121664439777</v>
      </c>
      <c r="G69" s="110">
        <f t="shared" si="55"/>
        <v>91.099286943889538</v>
      </c>
      <c r="H69" s="110">
        <f t="shared" si="55"/>
        <v>89.910494946026532</v>
      </c>
      <c r="I69" s="110">
        <f t="shared" si="55"/>
        <v>87.617593894663528</v>
      </c>
      <c r="J69" s="110">
        <f t="shared" si="55"/>
        <v>89.888468949511221</v>
      </c>
      <c r="K69" s="110">
        <f t="shared" si="55"/>
        <v>84.700833196601508</v>
      </c>
      <c r="L69" s="110">
        <f t="shared" si="55"/>
        <v>92.729780406695781</v>
      </c>
      <c r="M69" s="110">
        <f t="shared" si="55"/>
        <v>89.963226020560512</v>
      </c>
      <c r="N69" s="110">
        <f t="shared" si="55"/>
        <v>73.473196013273338</v>
      </c>
      <c r="O69" s="110">
        <f t="shared" si="55"/>
        <v>73.797760303652652</v>
      </c>
      <c r="P69" s="110">
        <f t="shared" si="55"/>
        <v>76.536496558100751</v>
      </c>
      <c r="Q69" s="110">
        <f t="shared" si="55"/>
        <v>78.991928229469664</v>
      </c>
      <c r="R69" s="110">
        <f t="shared" ref="R69:V69" si="56">R70+R71+R72</f>
        <v>78.673321261287981</v>
      </c>
      <c r="S69" s="110">
        <f t="shared" si="56"/>
        <v>73.586560201573121</v>
      </c>
      <c r="T69" s="110">
        <f t="shared" si="56"/>
        <v>61.511088105934924</v>
      </c>
      <c r="U69" s="110">
        <f t="shared" si="56"/>
        <v>53.065282308651611</v>
      </c>
      <c r="V69" s="110">
        <f t="shared" si="56"/>
        <v>50.47963857530759</v>
      </c>
      <c r="W69" s="110">
        <f t="shared" ref="W69" si="57">W70+W71+W72</f>
        <v>46.393294238968195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101.17506736642353</v>
      </c>
      <c r="C71" s="102">
        <f>TrRail_emi!C$11</f>
        <v>96.092211583701513</v>
      </c>
      <c r="D71" s="102">
        <f>TrRail_emi!D$11</f>
        <v>94.518649069476425</v>
      </c>
      <c r="E71" s="102">
        <f>TrRail_emi!E$11</f>
        <v>92.940547863553547</v>
      </c>
      <c r="F71" s="102">
        <f>TrRail_emi!F$11</f>
        <v>93.685121664439777</v>
      </c>
      <c r="G71" s="102">
        <f>TrRail_emi!G$11</f>
        <v>91.099286943889538</v>
      </c>
      <c r="H71" s="102">
        <f>TrRail_emi!H$11</f>
        <v>89.910494946026532</v>
      </c>
      <c r="I71" s="102">
        <f>TrRail_emi!I$11</f>
        <v>87.617593894663528</v>
      </c>
      <c r="J71" s="102">
        <f>TrRail_emi!J$11</f>
        <v>89.888468949511221</v>
      </c>
      <c r="K71" s="102">
        <f>TrRail_emi!K$11</f>
        <v>84.700833196601508</v>
      </c>
      <c r="L71" s="102">
        <f>TrRail_emi!L$11</f>
        <v>92.729780406695781</v>
      </c>
      <c r="M71" s="102">
        <f>TrRail_emi!M$11</f>
        <v>89.963226020560512</v>
      </c>
      <c r="N71" s="102">
        <f>TrRail_emi!N$11</f>
        <v>73.473196013273338</v>
      </c>
      <c r="O71" s="102">
        <f>TrRail_emi!O$11</f>
        <v>73.797760303652652</v>
      </c>
      <c r="P71" s="102">
        <f>TrRail_emi!P$11</f>
        <v>76.536496558100751</v>
      </c>
      <c r="Q71" s="102">
        <f>TrRail_emi!Q$11</f>
        <v>78.991928229469664</v>
      </c>
      <c r="R71" s="102">
        <f>TrRail_emi!R$11</f>
        <v>78.673321261287981</v>
      </c>
      <c r="S71" s="102">
        <f>TrRail_emi!S$11</f>
        <v>73.586560201573121</v>
      </c>
      <c r="T71" s="102">
        <f>TrRail_emi!T$11</f>
        <v>61.511088105934924</v>
      </c>
      <c r="U71" s="102">
        <f>TrRail_emi!U$11</f>
        <v>53.065282308651611</v>
      </c>
      <c r="V71" s="102">
        <f>TrRail_emi!V$11</f>
        <v>50.47963857530759</v>
      </c>
      <c r="W71" s="102">
        <f>TrRail_emi!W$11</f>
        <v>46.393294238968195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8380.433990661435</v>
      </c>
      <c r="C73" s="110">
        <f t="shared" si="58"/>
        <v>8148.7159177313179</v>
      </c>
      <c r="D73" s="110">
        <f t="shared" si="58"/>
        <v>8451.6682624919958</v>
      </c>
      <c r="E73" s="110">
        <f t="shared" si="58"/>
        <v>8140.2093495561639</v>
      </c>
      <c r="F73" s="110">
        <f t="shared" si="58"/>
        <v>8759.878291164554</v>
      </c>
      <c r="G73" s="110">
        <f t="shared" si="58"/>
        <v>8871.6295346554743</v>
      </c>
      <c r="H73" s="110">
        <f t="shared" si="58"/>
        <v>8785.2476167310379</v>
      </c>
      <c r="I73" s="110">
        <f t="shared" si="58"/>
        <v>8887.3246322204486</v>
      </c>
      <c r="J73" s="110">
        <f t="shared" si="58"/>
        <v>8965.8884676250691</v>
      </c>
      <c r="K73" s="110">
        <f t="shared" si="58"/>
        <v>8620.4276364407378</v>
      </c>
      <c r="L73" s="110">
        <f t="shared" si="58"/>
        <v>8180.2250840776906</v>
      </c>
      <c r="M73" s="110">
        <f t="shared" si="58"/>
        <v>8743.3846207700371</v>
      </c>
      <c r="N73" s="110">
        <f t="shared" si="58"/>
        <v>8669.2289601859593</v>
      </c>
      <c r="O73" s="110">
        <f t="shared" si="58"/>
        <v>8876.4859269675617</v>
      </c>
      <c r="P73" s="110">
        <f t="shared" si="58"/>
        <v>9327.5999041987779</v>
      </c>
      <c r="Q73" s="110">
        <f t="shared" si="58"/>
        <v>9869.4277631454188</v>
      </c>
      <c r="R73" s="110">
        <f t="shared" ref="R73:V73" si="59">R74+R75+R76</f>
        <v>10302.601512462415</v>
      </c>
      <c r="S73" s="110">
        <f t="shared" si="59"/>
        <v>10517.531875150735</v>
      </c>
      <c r="T73" s="110">
        <f t="shared" si="59"/>
        <v>10687.414918817809</v>
      </c>
      <c r="U73" s="110">
        <f t="shared" si="59"/>
        <v>10630.336285279938</v>
      </c>
      <c r="V73" s="110">
        <f t="shared" si="59"/>
        <v>4679.7271970117208</v>
      </c>
      <c r="W73" s="110">
        <f t="shared" ref="W73" si="60">W74+W75+W76</f>
        <v>5451.1312717973196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1787.9952544433877</v>
      </c>
      <c r="C75" s="102">
        <f>TrAvia_emi!C$8</f>
        <v>1738.5370414719803</v>
      </c>
      <c r="D75" s="102">
        <f>TrAvia_emi!D$8</f>
        <v>1816.5649430078849</v>
      </c>
      <c r="E75" s="102">
        <f>TrAvia_emi!E$8</f>
        <v>1795.0031471760858</v>
      </c>
      <c r="F75" s="102">
        <f>TrAvia_emi!F$8</f>
        <v>1831.3085501035321</v>
      </c>
      <c r="G75" s="102">
        <f>TrAvia_emi!G$8</f>
        <v>1859.3736929974432</v>
      </c>
      <c r="H75" s="102">
        <f>TrAvia_emi!H$8</f>
        <v>1893.0767995487113</v>
      </c>
      <c r="I75" s="102">
        <f>TrAvia_emi!I$8</f>
        <v>1958.0749118962929</v>
      </c>
      <c r="J75" s="102">
        <f>TrAvia_emi!J$8</f>
        <v>1906.5815791476202</v>
      </c>
      <c r="K75" s="102">
        <f>TrAvia_emi!K$8</f>
        <v>1757.6808758267343</v>
      </c>
      <c r="L75" s="102">
        <f>TrAvia_emi!L$8</f>
        <v>1648.0690317913316</v>
      </c>
      <c r="M75" s="102">
        <f>TrAvia_emi!M$8</f>
        <v>1784.7935775089204</v>
      </c>
      <c r="N75" s="102">
        <f>TrAvia_emi!N$8</f>
        <v>1745.7630046911866</v>
      </c>
      <c r="O75" s="102">
        <f>TrAvia_emi!O$8</f>
        <v>1789.2742391020456</v>
      </c>
      <c r="P75" s="102">
        <f>TrAvia_emi!P$8</f>
        <v>1903.7595797416027</v>
      </c>
      <c r="Q75" s="102">
        <f>TrAvia_emi!Q$8</f>
        <v>2038.6695715977112</v>
      </c>
      <c r="R75" s="102">
        <f>TrAvia_emi!R$8</f>
        <v>2237.7405005358091</v>
      </c>
      <c r="S75" s="102">
        <f>TrAvia_emi!S$8</f>
        <v>2340.6058435940413</v>
      </c>
      <c r="T75" s="102">
        <f>TrAvia_emi!T$8</f>
        <v>2340.8826483250241</v>
      </c>
      <c r="U75" s="102">
        <f>TrAvia_emi!U$8</f>
        <v>2249.5959118588507</v>
      </c>
      <c r="V75" s="102">
        <f>TrAvia_emi!V$8</f>
        <v>786.09777842642518</v>
      </c>
      <c r="W75" s="102">
        <f>TrAvia_emi!W$8</f>
        <v>1021.7646870951976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6592.4387362180478</v>
      </c>
      <c r="C76" s="102">
        <f>TrAvia_emi!C$9</f>
        <v>6410.1788762593378</v>
      </c>
      <c r="D76" s="102">
        <f>TrAvia_emi!D$9</f>
        <v>6635.1033194841111</v>
      </c>
      <c r="E76" s="102">
        <f>TrAvia_emi!E$9</f>
        <v>6345.2062023800781</v>
      </c>
      <c r="F76" s="102">
        <f>TrAvia_emi!F$9</f>
        <v>6928.5697410610219</v>
      </c>
      <c r="G76" s="102">
        <f>TrAvia_emi!G$9</f>
        <v>7012.2558416580314</v>
      </c>
      <c r="H76" s="102">
        <f>TrAvia_emi!H$9</f>
        <v>6892.1708171823275</v>
      </c>
      <c r="I76" s="102">
        <f>TrAvia_emi!I$9</f>
        <v>6929.2497203241564</v>
      </c>
      <c r="J76" s="102">
        <f>TrAvia_emi!J$9</f>
        <v>7059.3068884774493</v>
      </c>
      <c r="K76" s="102">
        <f>TrAvia_emi!K$9</f>
        <v>6862.7467606140035</v>
      </c>
      <c r="L76" s="102">
        <f>TrAvia_emi!L$9</f>
        <v>6532.1560522863592</v>
      </c>
      <c r="M76" s="102">
        <f>TrAvia_emi!M$9</f>
        <v>6958.5910432611172</v>
      </c>
      <c r="N76" s="102">
        <f>TrAvia_emi!N$9</f>
        <v>6923.4659554947721</v>
      </c>
      <c r="O76" s="102">
        <f>TrAvia_emi!O$9</f>
        <v>7087.211687865517</v>
      </c>
      <c r="P76" s="102">
        <f>TrAvia_emi!P$9</f>
        <v>7423.8403244571755</v>
      </c>
      <c r="Q76" s="102">
        <f>TrAvia_emi!Q$9</f>
        <v>7830.7581915477076</v>
      </c>
      <c r="R76" s="102">
        <f>TrAvia_emi!R$9</f>
        <v>8064.8610119266059</v>
      </c>
      <c r="S76" s="102">
        <f>TrAvia_emi!S$9</f>
        <v>8176.9260315566935</v>
      </c>
      <c r="T76" s="102">
        <f>TrAvia_emi!T$9</f>
        <v>8346.5322704927858</v>
      </c>
      <c r="U76" s="102">
        <f>TrAvia_emi!U$9</f>
        <v>8380.7403734210875</v>
      </c>
      <c r="V76" s="102">
        <f>TrAvia_emi!V$9</f>
        <v>3893.6294185852953</v>
      </c>
      <c r="W76" s="102">
        <f>TrAvia_emi!W$9</f>
        <v>4429.3665847021221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14411.775828786507</v>
      </c>
      <c r="C77" s="28">
        <f t="shared" si="61"/>
        <v>14502.484655272681</v>
      </c>
      <c r="D77" s="28">
        <f t="shared" si="61"/>
        <v>15041.902849418304</v>
      </c>
      <c r="E77" s="28">
        <f t="shared" si="61"/>
        <v>15635.275748654873</v>
      </c>
      <c r="F77" s="28">
        <f t="shared" si="61"/>
        <v>16202.579477004958</v>
      </c>
      <c r="G77" s="28">
        <f t="shared" si="61"/>
        <v>16571.494214008726</v>
      </c>
      <c r="H77" s="28">
        <f t="shared" si="61"/>
        <v>17346.092342674168</v>
      </c>
      <c r="I77" s="28">
        <f t="shared" si="61"/>
        <v>17042.664609058433</v>
      </c>
      <c r="J77" s="28">
        <f t="shared" si="61"/>
        <v>17437.396686428387</v>
      </c>
      <c r="K77" s="28">
        <f t="shared" si="61"/>
        <v>15743.064063942818</v>
      </c>
      <c r="L77" s="28">
        <f t="shared" si="61"/>
        <v>16536.773902447909</v>
      </c>
      <c r="M77" s="28">
        <f t="shared" si="61"/>
        <v>16621.843063397362</v>
      </c>
      <c r="N77" s="28">
        <f t="shared" si="61"/>
        <v>15586.483347874764</v>
      </c>
      <c r="O77" s="28">
        <f t="shared" si="61"/>
        <v>14567.683652066191</v>
      </c>
      <c r="P77" s="28">
        <f t="shared" si="61"/>
        <v>12498.859626416401</v>
      </c>
      <c r="Q77" s="28">
        <f t="shared" si="61"/>
        <v>12924.671604902731</v>
      </c>
      <c r="R77" s="28">
        <f t="shared" ref="R77:V77" si="62">R78+R81+R82+R86+R92</f>
        <v>12711.561813165828</v>
      </c>
      <c r="S77" s="28">
        <f t="shared" si="62"/>
        <v>13536.247397641107</v>
      </c>
      <c r="T77" s="28">
        <f t="shared" si="62"/>
        <v>13984.792902182193</v>
      </c>
      <c r="U77" s="28">
        <f t="shared" si="62"/>
        <v>13667.993286775878</v>
      </c>
      <c r="V77" s="28">
        <f t="shared" si="62"/>
        <v>13418.271290782566</v>
      </c>
      <c r="W77" s="28">
        <f t="shared" ref="W77" si="63">W78+W81+W82+W86+W92</f>
        <v>12813.637555086707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12081.925593614367</v>
      </c>
      <c r="C78" s="137">
        <f t="shared" si="64"/>
        <v>12176.152383107701</v>
      </c>
      <c r="D78" s="137">
        <f t="shared" si="64"/>
        <v>12566.134560699777</v>
      </c>
      <c r="E78" s="137">
        <f t="shared" si="64"/>
        <v>13044.360607634588</v>
      </c>
      <c r="F78" s="137">
        <f t="shared" si="64"/>
        <v>13509.326337553954</v>
      </c>
      <c r="G78" s="137">
        <f t="shared" si="64"/>
        <v>13607.639665608087</v>
      </c>
      <c r="H78" s="137">
        <f t="shared" si="64"/>
        <v>14103.021624711237</v>
      </c>
      <c r="I78" s="137">
        <f t="shared" si="64"/>
        <v>13757.114491453547</v>
      </c>
      <c r="J78" s="137">
        <f t="shared" si="64"/>
        <v>14054.550886722969</v>
      </c>
      <c r="K78" s="137">
        <f t="shared" si="64"/>
        <v>12835.122543580157</v>
      </c>
      <c r="L78" s="137">
        <f t="shared" si="64"/>
        <v>13318.752506932295</v>
      </c>
      <c r="M78" s="137">
        <f t="shared" si="64"/>
        <v>13535.506103907963</v>
      </c>
      <c r="N78" s="137">
        <f t="shared" si="64"/>
        <v>12934.316400353995</v>
      </c>
      <c r="O78" s="137">
        <f t="shared" si="64"/>
        <v>11837.012599337406</v>
      </c>
      <c r="P78" s="137">
        <f t="shared" si="64"/>
        <v>9965.6791034532798</v>
      </c>
      <c r="Q78" s="137">
        <f t="shared" si="64"/>
        <v>10287.176888837621</v>
      </c>
      <c r="R78" s="137">
        <f t="shared" ref="R78:V78" si="65">R79+R80</f>
        <v>10287.246994769532</v>
      </c>
      <c r="S78" s="137">
        <f t="shared" si="65"/>
        <v>11017.949702113416</v>
      </c>
      <c r="T78" s="137">
        <f t="shared" si="65"/>
        <v>11492.951231345935</v>
      </c>
      <c r="U78" s="137">
        <f t="shared" si="65"/>
        <v>11472.718898644471</v>
      </c>
      <c r="V78" s="137">
        <f t="shared" si="65"/>
        <v>10765.651587809592</v>
      </c>
      <c r="W78" s="137">
        <f t="shared" ref="W78" si="66">W79+W80</f>
        <v>10187.618941922992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5484.7406104897991</v>
      </c>
      <c r="C79" s="102">
        <f>TrRoad_emi!C$34</f>
        <v>5689.6450334727861</v>
      </c>
      <c r="D79" s="102">
        <f>TrRoad_emi!D$34</f>
        <v>5833.5404065728671</v>
      </c>
      <c r="E79" s="102">
        <f>TrRoad_emi!E$34</f>
        <v>6057.4030087280944</v>
      </c>
      <c r="F79" s="102">
        <f>TrRoad_emi!F$34</f>
        <v>6348.1186101000703</v>
      </c>
      <c r="G79" s="102">
        <f>TrRoad_emi!G$34</f>
        <v>6406.3742828142431</v>
      </c>
      <c r="H79" s="102">
        <f>TrRoad_emi!H$34</f>
        <v>6335.6362262277044</v>
      </c>
      <c r="I79" s="102">
        <f>TrRoad_emi!I$34</f>
        <v>6192.8013854596929</v>
      </c>
      <c r="J79" s="102">
        <f>TrRoad_emi!J$34</f>
        <v>6342.1126630791059</v>
      </c>
      <c r="K79" s="102">
        <f>TrRoad_emi!K$34</f>
        <v>5896.376469722778</v>
      </c>
      <c r="L79" s="102">
        <f>TrRoad_emi!L$34</f>
        <v>6094.7701431105361</v>
      </c>
      <c r="M79" s="102">
        <f>TrRoad_emi!M$34</f>
        <v>6129.2010511805347</v>
      </c>
      <c r="N79" s="102">
        <f>TrRoad_emi!N$34</f>
        <v>5791.5332967229951</v>
      </c>
      <c r="O79" s="102">
        <f>TrRoad_emi!O$34</f>
        <v>5577.517952059553</v>
      </c>
      <c r="P79" s="102">
        <f>TrRoad_emi!P$34</f>
        <v>5244.4299789304814</v>
      </c>
      <c r="Q79" s="102">
        <f>TrRoad_emi!Q$34</f>
        <v>5489.4697670936148</v>
      </c>
      <c r="R79" s="102">
        <f>TrRoad_emi!R$34</f>
        <v>5563.259763403853</v>
      </c>
      <c r="S79" s="102">
        <f>TrRoad_emi!S$34</f>
        <v>5510.5446771668257</v>
      </c>
      <c r="T79" s="102">
        <f>TrRoad_emi!T$34</f>
        <v>5296.4618195325093</v>
      </c>
      <c r="U79" s="102">
        <f>TrRoad_emi!U$34</f>
        <v>5177.9906843567123</v>
      </c>
      <c r="V79" s="102">
        <f>TrRoad_emi!V$34</f>
        <v>5034.3120621598046</v>
      </c>
      <c r="W79" s="102">
        <f>TrRoad_emi!W$34</f>
        <v>5075.2377574593738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6597.1849831245672</v>
      </c>
      <c r="C80" s="102">
        <f>TrRoad_emi!C$40</f>
        <v>6486.507349634915</v>
      </c>
      <c r="D80" s="102">
        <f>TrRoad_emi!D$40</f>
        <v>6732.5941541269094</v>
      </c>
      <c r="E80" s="102">
        <f>TrRoad_emi!E$40</f>
        <v>6986.9575989064933</v>
      </c>
      <c r="F80" s="102">
        <f>TrRoad_emi!F$40</f>
        <v>7161.2077274538824</v>
      </c>
      <c r="G80" s="102">
        <f>TrRoad_emi!G$40</f>
        <v>7201.2653827938448</v>
      </c>
      <c r="H80" s="102">
        <f>TrRoad_emi!H$40</f>
        <v>7767.3853984835332</v>
      </c>
      <c r="I80" s="102">
        <f>TrRoad_emi!I$40</f>
        <v>7564.3131059938532</v>
      </c>
      <c r="J80" s="102">
        <f>TrRoad_emi!J$40</f>
        <v>7712.4382236438632</v>
      </c>
      <c r="K80" s="102">
        <f>TrRoad_emi!K$40</f>
        <v>6938.7460738573791</v>
      </c>
      <c r="L80" s="102">
        <f>TrRoad_emi!L$40</f>
        <v>7223.9823638217576</v>
      </c>
      <c r="M80" s="102">
        <f>TrRoad_emi!M$40</f>
        <v>7406.3050527274272</v>
      </c>
      <c r="N80" s="102">
        <f>TrRoad_emi!N$40</f>
        <v>7142.7831036309999</v>
      </c>
      <c r="O80" s="102">
        <f>TrRoad_emi!O$40</f>
        <v>6259.4946472778538</v>
      </c>
      <c r="P80" s="102">
        <f>TrRoad_emi!P$40</f>
        <v>4721.2491245227993</v>
      </c>
      <c r="Q80" s="102">
        <f>TrRoad_emi!Q$40</f>
        <v>4797.7071217440061</v>
      </c>
      <c r="R80" s="102">
        <f>TrRoad_emi!R$40</f>
        <v>4723.9872313656797</v>
      </c>
      <c r="S80" s="102">
        <f>TrRoad_emi!S$40</f>
        <v>5507.4050249465899</v>
      </c>
      <c r="T80" s="102">
        <f>TrRoad_emi!T$40</f>
        <v>6196.4894118134243</v>
      </c>
      <c r="U80" s="102">
        <f>TrRoad_emi!U$40</f>
        <v>6294.7282142877593</v>
      </c>
      <c r="V80" s="102">
        <f>TrRoad_emi!V$40</f>
        <v>5731.339525649787</v>
      </c>
      <c r="W80" s="102">
        <f>TrRoad_emi!W$40</f>
        <v>5112.3811844636193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13.798492633576467</v>
      </c>
      <c r="C81" s="110">
        <f>TrRail_emi!C$15</f>
        <v>12.494046976298465</v>
      </c>
      <c r="D81" s="110">
        <f>TrRail_emi!D$15</f>
        <v>10.873692010523627</v>
      </c>
      <c r="E81" s="110">
        <f>TrRail_emi!E$15</f>
        <v>12.451793216446504</v>
      </c>
      <c r="F81" s="110">
        <f>TrRail_emi!F$15</f>
        <v>14.901136895560203</v>
      </c>
      <c r="G81" s="110">
        <f>TrRail_emi!G$15</f>
        <v>14.293054136110522</v>
      </c>
      <c r="H81" s="110">
        <f>TrRail_emi!H$15</f>
        <v>15.481846133973491</v>
      </c>
      <c r="I81" s="110">
        <f>TrRail_emi!I$15</f>
        <v>17.774747185336519</v>
      </c>
      <c r="J81" s="110">
        <f>TrRail_emi!J$15</f>
        <v>15.748491050488788</v>
      </c>
      <c r="K81" s="110">
        <f>TrRail_emi!K$15</f>
        <v>11.332766803398474</v>
      </c>
      <c r="L81" s="110">
        <f>TrRail_emi!L$15</f>
        <v>12.907179593304237</v>
      </c>
      <c r="M81" s="110">
        <f>TrRail_emi!M$15</f>
        <v>12.472613979439492</v>
      </c>
      <c r="N81" s="110">
        <f>TrRail_emi!N$15</f>
        <v>9.7559239867266587</v>
      </c>
      <c r="O81" s="110">
        <f>TrRail_emi!O$15</f>
        <v>9.4313596963473501</v>
      </c>
      <c r="P81" s="110">
        <f>TrRail_emi!P$15</f>
        <v>9.8937434418992662</v>
      </c>
      <c r="Q81" s="110">
        <f>TrRail_emi!Q$15</f>
        <v>10.430025170530307</v>
      </c>
      <c r="R81" s="110">
        <f>TrRail_emi!R$15</f>
        <v>11.017526218712023</v>
      </c>
      <c r="S81" s="110">
        <f>TrRail_emi!S$15</f>
        <v>9.5884075184268944</v>
      </c>
      <c r="T81" s="110">
        <f>TrRail_emi!T$15</f>
        <v>8.698810094065049</v>
      </c>
      <c r="U81" s="110">
        <f>TrRail_emi!U$15</f>
        <v>7.6746358913483981</v>
      </c>
      <c r="V81" s="110">
        <f>TrRail_emi!V$15</f>
        <v>10.994669904692426</v>
      </c>
      <c r="W81" s="110">
        <f>TrRail_emi!W$15</f>
        <v>10.400176521031828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1559.1423836185645</v>
      </c>
      <c r="C82" s="110">
        <f t="shared" si="67"/>
        <v>1528.1854762686817</v>
      </c>
      <c r="D82" s="110">
        <f t="shared" si="67"/>
        <v>1650.4984577880043</v>
      </c>
      <c r="E82" s="110">
        <f t="shared" si="67"/>
        <v>1811.9730367238365</v>
      </c>
      <c r="F82" s="110">
        <f t="shared" si="67"/>
        <v>1902.2804725554449</v>
      </c>
      <c r="G82" s="110">
        <f t="shared" si="67"/>
        <v>2106.4219653445261</v>
      </c>
      <c r="H82" s="110">
        <f t="shared" si="67"/>
        <v>2342.9310832689621</v>
      </c>
      <c r="I82" s="110">
        <f t="shared" si="67"/>
        <v>2309.6622814995499</v>
      </c>
      <c r="J82" s="110">
        <f t="shared" si="67"/>
        <v>2384.3534686549306</v>
      </c>
      <c r="K82" s="110">
        <f t="shared" si="67"/>
        <v>1897.8593135592635</v>
      </c>
      <c r="L82" s="110">
        <f t="shared" si="67"/>
        <v>2084.7222159223088</v>
      </c>
      <c r="M82" s="110">
        <f t="shared" si="67"/>
        <v>1940.6678655099613</v>
      </c>
      <c r="N82" s="110">
        <f t="shared" si="67"/>
        <v>1598.8459035340431</v>
      </c>
      <c r="O82" s="110">
        <f t="shared" si="67"/>
        <v>1613.652173032438</v>
      </c>
      <c r="P82" s="110">
        <f t="shared" si="67"/>
        <v>1559.7496595212222</v>
      </c>
      <c r="Q82" s="110">
        <f t="shared" si="67"/>
        <v>1573.824185694581</v>
      </c>
      <c r="R82" s="110">
        <f t="shared" si="67"/>
        <v>1438.2118650175858</v>
      </c>
      <c r="S82" s="110">
        <f t="shared" si="67"/>
        <v>1563.9045887292641</v>
      </c>
      <c r="T82" s="110">
        <f t="shared" si="67"/>
        <v>1538.8660795021926</v>
      </c>
      <c r="U82" s="110">
        <f t="shared" si="67"/>
        <v>1325.9409438400598</v>
      </c>
      <c r="V82" s="110">
        <f t="shared" si="67"/>
        <v>1988.7822180282812</v>
      </c>
      <c r="W82" s="110">
        <f t="shared" ref="W82" si="68">W83+W84+W85</f>
        <v>1882.1100652026826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35.110362814899418</v>
      </c>
      <c r="C84" s="102">
        <f>TrAvia_emi!C$12</f>
        <v>46.420173865668929</v>
      </c>
      <c r="D84" s="102">
        <f>TrAvia_emi!D$12</f>
        <v>37.521532556597251</v>
      </c>
      <c r="E84" s="102">
        <f>TrAvia_emi!E$12</f>
        <v>39.432449563061681</v>
      </c>
      <c r="F84" s="102">
        <f>TrAvia_emi!F$12</f>
        <v>42.021002936738832</v>
      </c>
      <c r="G84" s="102">
        <f>TrAvia_emi!G$12</f>
        <v>41.831539626009466</v>
      </c>
      <c r="H84" s="102">
        <f>TrAvia_emi!H$12</f>
        <v>42.902685877140478</v>
      </c>
      <c r="I84" s="102">
        <f>TrAvia_emi!I$12</f>
        <v>44.760260387330305</v>
      </c>
      <c r="J84" s="102">
        <f>TrAvia_emi!J$12</f>
        <v>56.456932423194303</v>
      </c>
      <c r="K84" s="102">
        <f>TrAvia_emi!K$12</f>
        <v>54.796167469021071</v>
      </c>
      <c r="L84" s="102">
        <f>TrAvia_emi!L$12</f>
        <v>58.751575375348843</v>
      </c>
      <c r="M84" s="102">
        <f>TrAvia_emi!M$12</f>
        <v>45.621985559465003</v>
      </c>
      <c r="N84" s="102">
        <f>TrAvia_emi!N$12</f>
        <v>34.77517455248271</v>
      </c>
      <c r="O84" s="102">
        <f>TrAvia_emi!O$12</f>
        <v>36.589858226257874</v>
      </c>
      <c r="P84" s="102">
        <f>TrAvia_emi!P$12</f>
        <v>37.951299032568791</v>
      </c>
      <c r="Q84" s="102">
        <f>TrAvia_emi!Q$12</f>
        <v>38.103751988442816</v>
      </c>
      <c r="R84" s="102">
        <f>TrAvia_emi!R$12</f>
        <v>39.558324092375621</v>
      </c>
      <c r="S84" s="102">
        <f>TrAvia_emi!S$12</f>
        <v>36.495388308121676</v>
      </c>
      <c r="T84" s="102">
        <f>TrAvia_emi!T$12</f>
        <v>29.949314978726623</v>
      </c>
      <c r="U84" s="102">
        <f>TrAvia_emi!U$12</f>
        <v>27.298147784189954</v>
      </c>
      <c r="V84" s="102">
        <f>TrAvia_emi!V$12</f>
        <v>23.221716412860669</v>
      </c>
      <c r="W84" s="102">
        <f>TrAvia_emi!W$12</f>
        <v>27.218654599792643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1524.0320208036651</v>
      </c>
      <c r="C85" s="102">
        <f>TrAvia_emi!C$13</f>
        <v>1481.7653024030128</v>
      </c>
      <c r="D85" s="102">
        <f>TrAvia_emi!D$13</f>
        <v>1612.976925231407</v>
      </c>
      <c r="E85" s="102">
        <f>TrAvia_emi!E$13</f>
        <v>1772.5405871607747</v>
      </c>
      <c r="F85" s="102">
        <f>TrAvia_emi!F$13</f>
        <v>1860.2594696187061</v>
      </c>
      <c r="G85" s="102">
        <f>TrAvia_emi!G$13</f>
        <v>2064.5904257185166</v>
      </c>
      <c r="H85" s="102">
        <f>TrAvia_emi!H$13</f>
        <v>2300.0283973918217</v>
      </c>
      <c r="I85" s="102">
        <f>TrAvia_emi!I$13</f>
        <v>2264.9020211122197</v>
      </c>
      <c r="J85" s="102">
        <f>TrAvia_emi!J$13</f>
        <v>2327.8965362317363</v>
      </c>
      <c r="K85" s="102">
        <f>TrAvia_emi!K$13</f>
        <v>1843.0631460902423</v>
      </c>
      <c r="L85" s="102">
        <f>TrAvia_emi!L$13</f>
        <v>2025.9706405469601</v>
      </c>
      <c r="M85" s="102">
        <f>TrAvia_emi!M$13</f>
        <v>1895.0458799504963</v>
      </c>
      <c r="N85" s="102">
        <f>TrAvia_emi!N$13</f>
        <v>1564.0707289815605</v>
      </c>
      <c r="O85" s="102">
        <f>TrAvia_emi!O$13</f>
        <v>1577.0623148061802</v>
      </c>
      <c r="P85" s="102">
        <f>TrAvia_emi!P$13</f>
        <v>1521.7983604886533</v>
      </c>
      <c r="Q85" s="102">
        <f>TrAvia_emi!Q$13</f>
        <v>1535.7204337061382</v>
      </c>
      <c r="R85" s="102">
        <f>TrAvia_emi!R$13</f>
        <v>1398.6535409252101</v>
      </c>
      <c r="S85" s="102">
        <f>TrAvia_emi!S$13</f>
        <v>1527.4092004211425</v>
      </c>
      <c r="T85" s="102">
        <f>TrAvia_emi!T$13</f>
        <v>1508.9167645234661</v>
      </c>
      <c r="U85" s="102">
        <f>TrAvia_emi!U$13</f>
        <v>1298.6427960558699</v>
      </c>
      <c r="V85" s="102">
        <f>TrAvia_emi!V$13</f>
        <v>1965.5605016154207</v>
      </c>
      <c r="W85" s="102">
        <f>TrAvia_emi!W$13</f>
        <v>1854.8914106028899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756.90935892000005</v>
      </c>
      <c r="C86" s="110">
        <f t="shared" si="69"/>
        <v>785.65274892000002</v>
      </c>
      <c r="D86" s="110">
        <f t="shared" si="69"/>
        <v>814.39613892000023</v>
      </c>
      <c r="E86" s="110">
        <f t="shared" si="69"/>
        <v>766.49031107999997</v>
      </c>
      <c r="F86" s="110">
        <f t="shared" si="69"/>
        <v>776.07153000000005</v>
      </c>
      <c r="G86" s="110">
        <f t="shared" si="69"/>
        <v>843.13952891999998</v>
      </c>
      <c r="H86" s="110">
        <f t="shared" si="69"/>
        <v>884.65778855999986</v>
      </c>
      <c r="I86" s="110">
        <f t="shared" si="69"/>
        <v>958.11308892</v>
      </c>
      <c r="J86" s="110">
        <f t="shared" si="69"/>
        <v>982.74383999999998</v>
      </c>
      <c r="K86" s="110">
        <f t="shared" si="69"/>
        <v>998.74943999999994</v>
      </c>
      <c r="L86" s="110">
        <f t="shared" si="69"/>
        <v>1120.3920000000003</v>
      </c>
      <c r="M86" s="110">
        <f t="shared" si="69"/>
        <v>1133.1964800000001</v>
      </c>
      <c r="N86" s="110">
        <f t="shared" si="69"/>
        <v>1043.56512</v>
      </c>
      <c r="O86" s="110">
        <f t="shared" si="69"/>
        <v>1107.5875199999998</v>
      </c>
      <c r="P86" s="110">
        <f t="shared" si="69"/>
        <v>963.53711999999996</v>
      </c>
      <c r="Q86" s="110">
        <f t="shared" si="69"/>
        <v>1053.2405051999997</v>
      </c>
      <c r="R86" s="110">
        <f t="shared" ref="R86:V86" si="70">R87+R88</f>
        <v>975.08542715999977</v>
      </c>
      <c r="S86" s="110">
        <f t="shared" si="70"/>
        <v>944.80469927999991</v>
      </c>
      <c r="T86" s="110">
        <f t="shared" si="70"/>
        <v>944.27678123999988</v>
      </c>
      <c r="U86" s="110">
        <f t="shared" si="70"/>
        <v>861.6588084</v>
      </c>
      <c r="V86" s="110">
        <f t="shared" si="70"/>
        <v>652.84281504</v>
      </c>
      <c r="W86" s="110">
        <f t="shared" ref="W86" si="71">W87+W88</f>
        <v>733.50837144000002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0.87762378362235705</v>
      </c>
      <c r="C87" s="102">
        <f>TrNavi_emi!C$4</f>
        <v>0.75552436666588085</v>
      </c>
      <c r="D87" s="102">
        <f>TrNavi_emi!D$4</f>
        <v>0.823348666190856</v>
      </c>
      <c r="E87" s="102">
        <f>TrNavi_emi!E$4</f>
        <v>0.80446267397990745</v>
      </c>
      <c r="F87" s="102">
        <f>TrNavi_emi!F$4</f>
        <v>0.91110638617186979</v>
      </c>
      <c r="G87" s="102">
        <f>TrNavi_emi!G$4</f>
        <v>1.1543060192771686</v>
      </c>
      <c r="H87" s="102">
        <f>TrNavi_emi!H$4</f>
        <v>1.198374979598908</v>
      </c>
      <c r="I87" s="102">
        <f>TrNavi_emi!I$4</f>
        <v>1.3558721265633957</v>
      </c>
      <c r="J87" s="102">
        <f>TrNavi_emi!J$4</f>
        <v>1.6766796630484637</v>
      </c>
      <c r="K87" s="102">
        <f>TrNavi_emi!K$4</f>
        <v>1.6876359726155343</v>
      </c>
      <c r="L87" s="102">
        <f>TrNavi_emi!L$4</f>
        <v>2.3564440897170749</v>
      </c>
      <c r="M87" s="102">
        <f>TrNavi_emi!M$4</f>
        <v>2.3340603255888532</v>
      </c>
      <c r="N87" s="102">
        <f>TrNavi_emi!N$4</f>
        <v>2.1505746949418407</v>
      </c>
      <c r="O87" s="102">
        <f>TrNavi_emi!O$4</f>
        <v>1.7347235127811877</v>
      </c>
      <c r="P87" s="102">
        <f>TrNavi_emi!P$4</f>
        <v>1.9812477270520525</v>
      </c>
      <c r="Q87" s="102">
        <f>TrNavi_emi!Q$4</f>
        <v>2.0932434711844481</v>
      </c>
      <c r="R87" s="102">
        <f>TrNavi_emi!R$4</f>
        <v>1.3169963282662669</v>
      </c>
      <c r="S87" s="102">
        <f>TrNavi_emi!S$4</f>
        <v>2.5933453939238431</v>
      </c>
      <c r="T87" s="102">
        <f>TrNavi_emi!T$4</f>
        <v>2.3881740272971719</v>
      </c>
      <c r="U87" s="102">
        <f>TrNavi_emi!U$4</f>
        <v>3.3008797271209049</v>
      </c>
      <c r="V87" s="102">
        <f>TrNavi_emi!V$4</f>
        <v>1.8159649375490978</v>
      </c>
      <c r="W87" s="102">
        <f>TrNavi_emi!W$4</f>
        <v>1.7495811042540255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756.03173513637773</v>
      </c>
      <c r="C88" s="169">
        <f>TrNavi_emi!C$5</f>
        <v>784.89722455333413</v>
      </c>
      <c r="D88" s="169">
        <f>TrNavi_emi!D$5</f>
        <v>813.57279025380933</v>
      </c>
      <c r="E88" s="169">
        <f>TrNavi_emi!E$5</f>
        <v>765.68584840602011</v>
      </c>
      <c r="F88" s="169">
        <f>TrNavi_emi!F$5</f>
        <v>775.16042361382813</v>
      </c>
      <c r="G88" s="169">
        <f>TrNavi_emi!G$5</f>
        <v>841.98522290072276</v>
      </c>
      <c r="H88" s="169">
        <f>TrNavi_emi!H$5</f>
        <v>883.45941358040091</v>
      </c>
      <c r="I88" s="169">
        <f>TrNavi_emi!I$5</f>
        <v>956.75721679343656</v>
      </c>
      <c r="J88" s="169">
        <f>TrNavi_emi!J$5</f>
        <v>981.06716033695147</v>
      </c>
      <c r="K88" s="169">
        <f>TrNavi_emi!K$5</f>
        <v>997.06180402738437</v>
      </c>
      <c r="L88" s="169">
        <f>TrNavi_emi!L$5</f>
        <v>1118.0355559102832</v>
      </c>
      <c r="M88" s="169">
        <f>TrNavi_emi!M$5</f>
        <v>1130.8624196744113</v>
      </c>
      <c r="N88" s="169">
        <f>TrNavi_emi!N$5</f>
        <v>1041.414545305058</v>
      </c>
      <c r="O88" s="169">
        <f>TrNavi_emi!O$5</f>
        <v>1105.8527964872187</v>
      </c>
      <c r="P88" s="169">
        <f>TrNavi_emi!P$5</f>
        <v>961.55587227294791</v>
      </c>
      <c r="Q88" s="169">
        <f>TrNavi_emi!Q$5</f>
        <v>1051.1472617288152</v>
      </c>
      <c r="R88" s="169">
        <f>TrNavi_emi!R$5</f>
        <v>973.76843083173355</v>
      </c>
      <c r="S88" s="169">
        <f>TrNavi_emi!S$5</f>
        <v>942.21135388607604</v>
      </c>
      <c r="T88" s="169">
        <f>TrNavi_emi!T$5</f>
        <v>941.88860721270271</v>
      </c>
      <c r="U88" s="169">
        <f>TrNavi_emi!U$5</f>
        <v>858.3579286728791</v>
      </c>
      <c r="V88" s="169">
        <f>TrNavi_emi!V$5</f>
        <v>651.02685010245091</v>
      </c>
      <c r="W88" s="169">
        <f>TrNavi_emi!W$5</f>
        <v>731.75879033574597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42379.803333360025</v>
      </c>
      <c r="C89" s="28">
        <f t="shared" si="72"/>
        <v>46355.416924320009</v>
      </c>
      <c r="D89" s="28">
        <f t="shared" si="72"/>
        <v>45974.598690240011</v>
      </c>
      <c r="E89" s="28">
        <f t="shared" si="72"/>
        <v>43142.152084919995</v>
      </c>
      <c r="F89" s="28">
        <f t="shared" si="72"/>
        <v>47023.958070719993</v>
      </c>
      <c r="G89" s="28">
        <f t="shared" si="72"/>
        <v>50372.932830840022</v>
      </c>
      <c r="H89" s="28">
        <f t="shared" si="72"/>
        <v>53738.354703239995</v>
      </c>
      <c r="I89" s="28">
        <f t="shared" si="72"/>
        <v>55083.563188920001</v>
      </c>
      <c r="J89" s="28">
        <f t="shared" si="72"/>
        <v>52909.295909040018</v>
      </c>
      <c r="K89" s="28">
        <f t="shared" si="72"/>
        <v>47220.085861920001</v>
      </c>
      <c r="L89" s="28">
        <f t="shared" si="72"/>
        <v>44683.499463840017</v>
      </c>
      <c r="M89" s="28">
        <f t="shared" si="72"/>
        <v>48127.251121919995</v>
      </c>
      <c r="N89" s="28">
        <f t="shared" si="72"/>
        <v>44598.173399999992</v>
      </c>
      <c r="O89" s="28">
        <f t="shared" si="72"/>
        <v>42369.244789680015</v>
      </c>
      <c r="P89" s="28">
        <f t="shared" si="72"/>
        <v>41730.955840799979</v>
      </c>
      <c r="Q89" s="28">
        <f t="shared" si="72"/>
        <v>38424.201957360005</v>
      </c>
      <c r="R89" s="28">
        <f t="shared" si="72"/>
        <v>38161.584009000006</v>
      </c>
      <c r="S89" s="28">
        <f t="shared" si="72"/>
        <v>37452.774648959996</v>
      </c>
      <c r="T89" s="28">
        <f t="shared" si="72"/>
        <v>35976.81771612</v>
      </c>
      <c r="U89" s="28">
        <f t="shared" si="72"/>
        <v>36523.851495119998</v>
      </c>
      <c r="V89" s="28">
        <f t="shared" si="72"/>
        <v>37354.414506839996</v>
      </c>
      <c r="W89" s="28">
        <f t="shared" si="72"/>
        <v>36084.675244679995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8365.4912444010752</v>
      </c>
      <c r="C90" s="102">
        <f>MBunk_emi!C$4</f>
        <v>9101.7304953914063</v>
      </c>
      <c r="D90" s="102">
        <f>MBunk_emi!D$4</f>
        <v>9137.0880983678871</v>
      </c>
      <c r="E90" s="102">
        <f>MBunk_emi!E$4</f>
        <v>8331.2983777599384</v>
      </c>
      <c r="F90" s="102">
        <f>MBunk_emi!F$4</f>
        <v>9066.2419148813824</v>
      </c>
      <c r="G90" s="102">
        <f>MBunk_emi!G$4</f>
        <v>8800.1103209545527</v>
      </c>
      <c r="H90" s="102">
        <f>MBunk_emi!H$4</f>
        <v>8956.3437995738823</v>
      </c>
      <c r="I90" s="102">
        <f>MBunk_emi!I$4</f>
        <v>9043.2142488872196</v>
      </c>
      <c r="J90" s="102">
        <f>MBunk_emi!J$4</f>
        <v>8171.1414935331431</v>
      </c>
      <c r="K90" s="102">
        <f>MBunk_emi!K$4</f>
        <v>8545.9388144360655</v>
      </c>
      <c r="L90" s="102">
        <f>MBunk_emi!L$4</f>
        <v>8502.8863033840262</v>
      </c>
      <c r="M90" s="102">
        <f>MBunk_emi!M$4</f>
        <v>8345.3051925483469</v>
      </c>
      <c r="N90" s="102">
        <f>MBunk_emi!N$4</f>
        <v>7720.0518316525076</v>
      </c>
      <c r="O90" s="102">
        <f>MBunk_emi!O$4</f>
        <v>7441.2320180527749</v>
      </c>
      <c r="P90" s="102">
        <f>MBunk_emi!P$4</f>
        <v>7454.9002031337868</v>
      </c>
      <c r="Q90" s="102">
        <f>MBunk_emi!Q$4</f>
        <v>6531.9751664171763</v>
      </c>
      <c r="R90" s="102">
        <f>MBunk_emi!R$4</f>
        <v>6325.9637258278535</v>
      </c>
      <c r="S90" s="102">
        <f>MBunk_emi!S$4</f>
        <v>6135.2747577073396</v>
      </c>
      <c r="T90" s="102">
        <f>MBunk_emi!T$4</f>
        <v>6175.976103405148</v>
      </c>
      <c r="U90" s="102">
        <f>MBunk_emi!U$4</f>
        <v>6446.6281235709293</v>
      </c>
      <c r="V90" s="102">
        <f>MBunk_emi!V$4</f>
        <v>5876.951419067901</v>
      </c>
      <c r="W90" s="102">
        <f>MBunk_emi!W$4</f>
        <v>5721.4543625291935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34014.312088958948</v>
      </c>
      <c r="C91" s="86">
        <f>MBunk_emi!C$5</f>
        <v>37253.686428928602</v>
      </c>
      <c r="D91" s="86">
        <f>MBunk_emi!D$5</f>
        <v>36837.510591872124</v>
      </c>
      <c r="E91" s="86">
        <f>MBunk_emi!E$5</f>
        <v>34810.853707160059</v>
      </c>
      <c r="F91" s="86">
        <f>MBunk_emi!F$5</f>
        <v>37957.716155838607</v>
      </c>
      <c r="G91" s="86">
        <f>MBunk_emi!G$5</f>
        <v>41572.822509885467</v>
      </c>
      <c r="H91" s="86">
        <f>MBunk_emi!H$5</f>
        <v>44782.010903666116</v>
      </c>
      <c r="I91" s="86">
        <f>MBunk_emi!I$5</f>
        <v>46040.348940032782</v>
      </c>
      <c r="J91" s="86">
        <f>MBunk_emi!J$5</f>
        <v>44738.154415506877</v>
      </c>
      <c r="K91" s="86">
        <f>MBunk_emi!K$5</f>
        <v>38674.147047483937</v>
      </c>
      <c r="L91" s="86">
        <f>MBunk_emi!L$5</f>
        <v>36180.613160455992</v>
      </c>
      <c r="M91" s="86">
        <f>MBunk_emi!M$5</f>
        <v>39781.94592937165</v>
      </c>
      <c r="N91" s="86">
        <f>MBunk_emi!N$5</f>
        <v>36878.121568347487</v>
      </c>
      <c r="O91" s="86">
        <f>MBunk_emi!O$5</f>
        <v>34928.01277162724</v>
      </c>
      <c r="P91" s="86">
        <f>MBunk_emi!P$5</f>
        <v>34276.055637666192</v>
      </c>
      <c r="Q91" s="86">
        <f>MBunk_emi!Q$5</f>
        <v>31892.226790942826</v>
      </c>
      <c r="R91" s="86">
        <f>MBunk_emi!R$5</f>
        <v>31835.620283172153</v>
      </c>
      <c r="S91" s="86">
        <f>MBunk_emi!S$5</f>
        <v>31317.499891252653</v>
      </c>
      <c r="T91" s="86">
        <f>MBunk_emi!T$5</f>
        <v>29800.841612714848</v>
      </c>
      <c r="U91" s="86">
        <f>MBunk_emi!U$5</f>
        <v>30077.223371549069</v>
      </c>
      <c r="V91" s="86">
        <f>MBunk_emi!V$5</f>
        <v>31477.463087772092</v>
      </c>
      <c r="W91" s="86">
        <f>MBunk_emi!W$5</f>
        <v>30363.220882150799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0.65697547222689878</v>
      </c>
      <c r="C97" s="139">
        <f t="shared" si="76"/>
        <v>0.66198189013490261</v>
      </c>
      <c r="D97" s="139">
        <f t="shared" si="76"/>
        <v>0.66202021495466223</v>
      </c>
      <c r="E97" s="139">
        <f t="shared" si="76"/>
        <v>0.66908509047834752</v>
      </c>
      <c r="F97" s="139">
        <f t="shared" si="76"/>
        <v>0.65411170545651909</v>
      </c>
      <c r="G97" s="139">
        <f t="shared" si="76"/>
        <v>0.63485356318640762</v>
      </c>
      <c r="H97" s="139">
        <f t="shared" si="76"/>
        <v>0.63135445178896565</v>
      </c>
      <c r="I97" s="139">
        <f t="shared" si="76"/>
        <v>0.62860503575282256</v>
      </c>
      <c r="J97" s="139">
        <f t="shared" si="76"/>
        <v>0.6252153113544745</v>
      </c>
      <c r="K97" s="139">
        <f t="shared" si="76"/>
        <v>0.64203962505260936</v>
      </c>
      <c r="L97" s="139">
        <f t="shared" si="76"/>
        <v>0.62682047353021475</v>
      </c>
      <c r="M97" s="139">
        <f t="shared" si="76"/>
        <v>0.60943625194521767</v>
      </c>
      <c r="N97" s="139">
        <f t="shared" si="76"/>
        <v>0.5935595751820486</v>
      </c>
      <c r="O97" s="139">
        <f t="shared" si="76"/>
        <v>0.59154857569259989</v>
      </c>
      <c r="P97" s="139">
        <f t="shared" si="76"/>
        <v>0.58181916711508164</v>
      </c>
      <c r="Q97" s="139">
        <f t="shared" si="76"/>
        <v>0.56815451052902632</v>
      </c>
      <c r="R97" s="139">
        <f t="shared" ref="R97:V97" si="77">IF(R5=0,0,R5/R$4)</f>
        <v>0.55650219627380437</v>
      </c>
      <c r="S97" s="139">
        <f t="shared" si="77"/>
        <v>0.53632182130606121</v>
      </c>
      <c r="T97" s="139">
        <f t="shared" si="77"/>
        <v>0.54012173947285247</v>
      </c>
      <c r="U97" s="139">
        <f t="shared" si="77"/>
        <v>0.53570439534314596</v>
      </c>
      <c r="V97" s="139">
        <f t="shared" si="77"/>
        <v>0.71054767816706899</v>
      </c>
      <c r="W97" s="139">
        <f t="shared" ref="W97" si="78">IF(W5=0,0,W5/W$4)</f>
        <v>0.68871679548019693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1.5085837812728445E-2</v>
      </c>
      <c r="C98" s="140">
        <f t="shared" si="79"/>
        <v>1.5726504553637881E-2</v>
      </c>
      <c r="D98" s="140">
        <f t="shared" si="79"/>
        <v>1.6035204844940403E-2</v>
      </c>
      <c r="E98" s="140">
        <f t="shared" si="79"/>
        <v>1.6119471018748693E-2</v>
      </c>
      <c r="F98" s="140">
        <f t="shared" si="79"/>
        <v>1.455288257619163E-2</v>
      </c>
      <c r="G98" s="140">
        <f t="shared" si="79"/>
        <v>1.4941696697562911E-2</v>
      </c>
      <c r="H98" s="140">
        <f t="shared" si="79"/>
        <v>1.5986235043834871E-2</v>
      </c>
      <c r="I98" s="140">
        <f t="shared" si="79"/>
        <v>1.744004942426592E-2</v>
      </c>
      <c r="J98" s="140">
        <f t="shared" si="79"/>
        <v>1.9115695170086253E-2</v>
      </c>
      <c r="K98" s="140">
        <f t="shared" si="79"/>
        <v>2.0586849387352137E-2</v>
      </c>
      <c r="L98" s="140">
        <f t="shared" si="79"/>
        <v>2.0794595708942442E-2</v>
      </c>
      <c r="M98" s="140">
        <f t="shared" si="79"/>
        <v>2.0676930267375788E-2</v>
      </c>
      <c r="N98" s="140">
        <f t="shared" si="79"/>
        <v>2.0177367741011237E-2</v>
      </c>
      <c r="O98" s="140">
        <f t="shared" si="79"/>
        <v>1.9231494965809004E-2</v>
      </c>
      <c r="P98" s="140">
        <f t="shared" si="79"/>
        <v>1.8387325314293129E-2</v>
      </c>
      <c r="Q98" s="140">
        <f t="shared" si="79"/>
        <v>1.9165292828530238E-2</v>
      </c>
      <c r="R98" s="140">
        <f t="shared" ref="R98:V98" si="80">IF(R6=0,0,R6/R$4)</f>
        <v>1.9047048114645585E-2</v>
      </c>
      <c r="S98" s="140">
        <f t="shared" si="80"/>
        <v>1.7652531541229571E-2</v>
      </c>
      <c r="T98" s="140">
        <f t="shared" si="80"/>
        <v>1.589881804258983E-2</v>
      </c>
      <c r="U98" s="140">
        <f t="shared" si="80"/>
        <v>1.6717584994472151E-2</v>
      </c>
      <c r="V98" s="140">
        <f t="shared" si="80"/>
        <v>2.8056955521978007E-2</v>
      </c>
      <c r="W98" s="140">
        <f t="shared" ref="W98" si="81">IF(W6=0,0,W6/W$4)</f>
        <v>2.5111824954272305E-2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0.62155036816591946</v>
      </c>
      <c r="C99" s="140">
        <f t="shared" si="82"/>
        <v>0.62561262036584697</v>
      </c>
      <c r="D99" s="140">
        <f t="shared" si="82"/>
        <v>0.62680913419143225</v>
      </c>
      <c r="E99" s="140">
        <f t="shared" si="82"/>
        <v>0.63303506225388007</v>
      </c>
      <c r="F99" s="140">
        <f t="shared" si="82"/>
        <v>0.62032629112383419</v>
      </c>
      <c r="G99" s="140">
        <f t="shared" si="82"/>
        <v>0.60063727095933228</v>
      </c>
      <c r="H99" s="140">
        <f t="shared" si="82"/>
        <v>0.59579976967941894</v>
      </c>
      <c r="I99" s="140">
        <f t="shared" si="82"/>
        <v>0.5914445899384011</v>
      </c>
      <c r="J99" s="140">
        <f t="shared" si="82"/>
        <v>0.58597499005664644</v>
      </c>
      <c r="K99" s="140">
        <f t="shared" si="82"/>
        <v>0.6014963061158608</v>
      </c>
      <c r="L99" s="140">
        <f t="shared" si="82"/>
        <v>0.58632158960058378</v>
      </c>
      <c r="M99" s="140">
        <f t="shared" si="82"/>
        <v>0.56901673995643143</v>
      </c>
      <c r="N99" s="140">
        <f t="shared" si="82"/>
        <v>0.55555101025361564</v>
      </c>
      <c r="O99" s="140">
        <f t="shared" si="82"/>
        <v>0.55459431957625727</v>
      </c>
      <c r="P99" s="140">
        <f t="shared" si="82"/>
        <v>0.54629794250767394</v>
      </c>
      <c r="Q99" s="140">
        <f t="shared" si="82"/>
        <v>0.53042049168692051</v>
      </c>
      <c r="R99" s="140">
        <f t="shared" ref="R99:V99" si="83">IF(R7=0,0,R7/R$4)</f>
        <v>0.51911443244504707</v>
      </c>
      <c r="S99" s="140">
        <f t="shared" si="83"/>
        <v>0.50195530717177539</v>
      </c>
      <c r="T99" s="140">
        <f t="shared" si="83"/>
        <v>0.50547574825385255</v>
      </c>
      <c r="U99" s="140">
        <f t="shared" si="83"/>
        <v>0.50042689010838037</v>
      </c>
      <c r="V99" s="140">
        <f t="shared" si="83"/>
        <v>0.6670156598739797</v>
      </c>
      <c r="W99" s="140">
        <f t="shared" ref="W99" si="84">IF(W7=0,0,W7/W$4)</f>
        <v>0.64714329371629997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2.0339266248250946E-2</v>
      </c>
      <c r="C100" s="140">
        <f t="shared" si="85"/>
        <v>2.0642765215417726E-2</v>
      </c>
      <c r="D100" s="140">
        <f t="shared" si="85"/>
        <v>1.9175875918289655E-2</v>
      </c>
      <c r="E100" s="140">
        <f t="shared" si="85"/>
        <v>1.9930557205718687E-2</v>
      </c>
      <c r="F100" s="140">
        <f t="shared" si="85"/>
        <v>1.9232531756493143E-2</v>
      </c>
      <c r="G100" s="140">
        <f t="shared" si="85"/>
        <v>1.927459552951237E-2</v>
      </c>
      <c r="H100" s="140">
        <f t="shared" si="85"/>
        <v>1.9568447065711741E-2</v>
      </c>
      <c r="I100" s="140">
        <f t="shared" si="85"/>
        <v>1.9720396390155576E-2</v>
      </c>
      <c r="J100" s="140">
        <f t="shared" si="85"/>
        <v>2.0124626127741917E-2</v>
      </c>
      <c r="K100" s="140">
        <f t="shared" si="85"/>
        <v>1.9956469549396259E-2</v>
      </c>
      <c r="L100" s="140">
        <f t="shared" si="85"/>
        <v>1.9704288220688544E-2</v>
      </c>
      <c r="M100" s="140">
        <f t="shared" si="85"/>
        <v>1.9742581721410517E-2</v>
      </c>
      <c r="N100" s="140">
        <f t="shared" si="85"/>
        <v>1.7831197187421776E-2</v>
      </c>
      <c r="O100" s="140">
        <f t="shared" si="85"/>
        <v>1.77227611505337E-2</v>
      </c>
      <c r="P100" s="140">
        <f t="shared" si="85"/>
        <v>1.7133899293114652E-2</v>
      </c>
      <c r="Q100" s="140">
        <f t="shared" si="85"/>
        <v>1.8568726013575471E-2</v>
      </c>
      <c r="R100" s="140">
        <f t="shared" ref="R100:V100" si="86">IF(R8=0,0,R8/R$4)</f>
        <v>1.8340715714111777E-2</v>
      </c>
      <c r="S100" s="140">
        <f t="shared" si="86"/>
        <v>1.6713982593056207E-2</v>
      </c>
      <c r="T100" s="140">
        <f t="shared" si="86"/>
        <v>1.874717317641009E-2</v>
      </c>
      <c r="U100" s="140">
        <f t="shared" si="86"/>
        <v>1.8559920240293442E-2</v>
      </c>
      <c r="V100" s="140">
        <f t="shared" si="86"/>
        <v>1.5475062771111214E-2</v>
      </c>
      <c r="W100" s="140">
        <f t="shared" ref="W100" si="87">IF(W8=0,0,W8/W$4)</f>
        <v>1.6461676809624626E-2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6.7552095671276555E-2</v>
      </c>
      <c r="C101" s="124">
        <f t="shared" si="88"/>
        <v>6.6611489682810304E-2</v>
      </c>
      <c r="D101" s="124">
        <f t="shared" si="88"/>
        <v>6.4991379171315949E-2</v>
      </c>
      <c r="E101" s="124">
        <f t="shared" si="88"/>
        <v>6.2977017145722E-2</v>
      </c>
      <c r="F101" s="124">
        <f t="shared" si="88"/>
        <v>6.234468260749635E-2</v>
      </c>
      <c r="G101" s="124">
        <f t="shared" si="88"/>
        <v>6.4178602674062085E-2</v>
      </c>
      <c r="H101" s="124">
        <f t="shared" si="88"/>
        <v>6.7095910268998069E-2</v>
      </c>
      <c r="I101" s="124">
        <f t="shared" si="88"/>
        <v>6.8047870626648493E-2</v>
      </c>
      <c r="J101" s="124">
        <f t="shared" si="88"/>
        <v>6.8436789486331112E-2</v>
      </c>
      <c r="K101" s="124">
        <f t="shared" si="88"/>
        <v>7.1044382885013371E-2</v>
      </c>
      <c r="L101" s="124">
        <f t="shared" si="88"/>
        <v>7.2187999747225423E-2</v>
      </c>
      <c r="M101" s="124">
        <f t="shared" si="88"/>
        <v>7.238375043538596E-2</v>
      </c>
      <c r="N101" s="124">
        <f t="shared" si="88"/>
        <v>7.3916242737854992E-2</v>
      </c>
      <c r="O101" s="124">
        <f t="shared" si="88"/>
        <v>7.5894590841761034E-2</v>
      </c>
      <c r="P101" s="124">
        <f t="shared" si="88"/>
        <v>7.8601735424704069E-2</v>
      </c>
      <c r="Q101" s="124">
        <f t="shared" si="88"/>
        <v>7.0112256980073645E-2</v>
      </c>
      <c r="R101" s="124">
        <f t="shared" ref="R101:V101" si="89">IF(R9=0,0,R9/R$4)</f>
        <v>6.9702271834096496E-2</v>
      </c>
      <c r="S101" s="124">
        <f t="shared" si="89"/>
        <v>6.9914021644656738E-2</v>
      </c>
      <c r="T101" s="124">
        <f t="shared" si="89"/>
        <v>6.8280329378888768E-2</v>
      </c>
      <c r="U101" s="124">
        <f t="shared" si="89"/>
        <v>6.9152190878160505E-2</v>
      </c>
      <c r="V101" s="124">
        <f t="shared" si="89"/>
        <v>6.1022503164055761E-2</v>
      </c>
      <c r="W101" s="124">
        <f t="shared" ref="W101" si="90">IF(W9=0,0,W9/W$4)</f>
        <v>6.3749443179235935E-2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2.9478596718337745E-3</v>
      </c>
      <c r="C102" s="140">
        <f t="shared" si="91"/>
        <v>3.0252126185075501E-3</v>
      </c>
      <c r="D102" s="140">
        <f t="shared" si="91"/>
        <v>2.8842438777848642E-3</v>
      </c>
      <c r="E102" s="140">
        <f t="shared" si="91"/>
        <v>2.9751722306519831E-3</v>
      </c>
      <c r="F102" s="140">
        <f t="shared" si="91"/>
        <v>2.9758557083161977E-3</v>
      </c>
      <c r="G102" s="140">
        <f t="shared" si="91"/>
        <v>3.0128999398768594E-3</v>
      </c>
      <c r="H102" s="140">
        <f t="shared" si="91"/>
        <v>3.1319741849690939E-3</v>
      </c>
      <c r="I102" s="140">
        <f t="shared" si="91"/>
        <v>3.1598805006780775E-3</v>
      </c>
      <c r="J102" s="140">
        <f t="shared" si="91"/>
        <v>3.289923755067353E-3</v>
      </c>
      <c r="K102" s="140">
        <f t="shared" si="91"/>
        <v>3.3914661581747555E-3</v>
      </c>
      <c r="L102" s="140">
        <f t="shared" si="91"/>
        <v>3.4720852933428571E-3</v>
      </c>
      <c r="M102" s="140">
        <f t="shared" si="91"/>
        <v>3.5067172103273375E-3</v>
      </c>
      <c r="N102" s="140">
        <f t="shared" si="91"/>
        <v>3.2455412116058745E-3</v>
      </c>
      <c r="O102" s="140">
        <f t="shared" si="91"/>
        <v>3.2557034826809746E-3</v>
      </c>
      <c r="P102" s="140">
        <f t="shared" si="91"/>
        <v>3.2153401273231001E-3</v>
      </c>
      <c r="Q102" s="140">
        <f t="shared" si="91"/>
        <v>3.4845990888197989E-3</v>
      </c>
      <c r="R102" s="140">
        <f t="shared" ref="R102:V102" si="92">IF(R10=0,0,R10/R$4)</f>
        <v>3.4119487136281277E-3</v>
      </c>
      <c r="S102" s="140">
        <f t="shared" si="92"/>
        <v>3.1905176913328654E-3</v>
      </c>
      <c r="T102" s="140">
        <f t="shared" si="92"/>
        <v>3.5280292890139163E-3</v>
      </c>
      <c r="U102" s="140">
        <f t="shared" si="92"/>
        <v>3.4927901712623033E-3</v>
      </c>
      <c r="V102" s="140">
        <f t="shared" si="92"/>
        <v>2.9122510467076163E-3</v>
      </c>
      <c r="W102" s="140">
        <f t="shared" ref="W102" si="93">IF(W10=0,0,W10/W$4)</f>
        <v>3.0979218778283074E-3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6.4106467100769851E-2</v>
      </c>
      <c r="C103" s="140">
        <f t="shared" si="94"/>
        <v>6.2742406933724529E-2</v>
      </c>
      <c r="D103" s="140">
        <f t="shared" si="94"/>
        <v>6.1233427693167169E-2</v>
      </c>
      <c r="E103" s="140">
        <f t="shared" si="94"/>
        <v>5.7124806712903174E-2</v>
      </c>
      <c r="F103" s="140">
        <f t="shared" si="94"/>
        <v>5.6680473513504963E-2</v>
      </c>
      <c r="G103" s="140">
        <f t="shared" si="94"/>
        <v>5.8392599204957665E-2</v>
      </c>
      <c r="H103" s="140">
        <f t="shared" si="94"/>
        <v>6.1013116954468059E-2</v>
      </c>
      <c r="I103" s="140">
        <f t="shared" si="94"/>
        <v>6.1708180502645683E-2</v>
      </c>
      <c r="J103" s="140">
        <f t="shared" si="94"/>
        <v>6.1690809157256186E-2</v>
      </c>
      <c r="K103" s="140">
        <f t="shared" si="94"/>
        <v>6.3890995195081859E-2</v>
      </c>
      <c r="L103" s="140">
        <f t="shared" si="94"/>
        <v>6.7557095778181003E-2</v>
      </c>
      <c r="M103" s="140">
        <f t="shared" si="94"/>
        <v>6.7675162687062002E-2</v>
      </c>
      <c r="N103" s="140">
        <f t="shared" si="94"/>
        <v>6.9382236763742527E-2</v>
      </c>
      <c r="O103" s="140">
        <f t="shared" si="94"/>
        <v>7.1254308693287888E-2</v>
      </c>
      <c r="P103" s="140">
        <f t="shared" si="94"/>
        <v>7.4474447901131724E-2</v>
      </c>
      <c r="Q103" s="140">
        <f t="shared" si="94"/>
        <v>6.2840569649532177E-2</v>
      </c>
      <c r="R103" s="140">
        <f t="shared" ref="R103:V103" si="95">IF(R11=0,0,R11/R$4)</f>
        <v>6.4944607439769209E-2</v>
      </c>
      <c r="S103" s="140">
        <f t="shared" si="95"/>
        <v>6.5228856931968837E-2</v>
      </c>
      <c r="T103" s="140">
        <f t="shared" si="95"/>
        <v>6.3398653170822175E-2</v>
      </c>
      <c r="U103" s="140">
        <f t="shared" si="95"/>
        <v>6.4125889152125401E-2</v>
      </c>
      <c r="V103" s="140">
        <f t="shared" si="95"/>
        <v>5.7216248238619705E-2</v>
      </c>
      <c r="W103" s="140">
        <f t="shared" ref="W103" si="96">IF(W11=0,0,W11/W$4)</f>
        <v>5.9852371983605983E-2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4.9776889867291928E-4</v>
      </c>
      <c r="C104" s="140">
        <f t="shared" si="97"/>
        <v>8.4387013057822579E-4</v>
      </c>
      <c r="D104" s="140">
        <f t="shared" si="97"/>
        <v>8.737076003639242E-4</v>
      </c>
      <c r="E104" s="140">
        <f t="shared" si="97"/>
        <v>2.8770382021668468E-3</v>
      </c>
      <c r="F104" s="140">
        <f t="shared" si="97"/>
        <v>2.688353385675192E-3</v>
      </c>
      <c r="G104" s="140">
        <f t="shared" si="97"/>
        <v>2.7731035292275622E-3</v>
      </c>
      <c r="H104" s="140">
        <f t="shared" si="97"/>
        <v>2.9508191295609058E-3</v>
      </c>
      <c r="I104" s="140">
        <f t="shared" si="97"/>
        <v>3.1798096233247373E-3</v>
      </c>
      <c r="J104" s="140">
        <f t="shared" si="97"/>
        <v>3.4560565740075675E-3</v>
      </c>
      <c r="K104" s="140">
        <f t="shared" si="97"/>
        <v>3.7619215317567503E-3</v>
      </c>
      <c r="L104" s="140">
        <f t="shared" si="97"/>
        <v>1.15881867570157E-3</v>
      </c>
      <c r="M104" s="140">
        <f t="shared" si="97"/>
        <v>1.2018705379966176E-3</v>
      </c>
      <c r="N104" s="140">
        <f t="shared" si="97"/>
        <v>1.2884647625065959E-3</v>
      </c>
      <c r="O104" s="140">
        <f t="shared" si="97"/>
        <v>1.3845786657921688E-3</v>
      </c>
      <c r="P104" s="140">
        <f t="shared" si="97"/>
        <v>9.1194739624924736E-4</v>
      </c>
      <c r="Q104" s="140">
        <f t="shared" si="97"/>
        <v>3.7870882417216701E-3</v>
      </c>
      <c r="R104" s="140">
        <f t="shared" ref="R104:V104" si="98">IF(R12=0,0,R12/R$4)</f>
        <v>1.3457156806991632E-3</v>
      </c>
      <c r="S104" s="140">
        <f t="shared" si="98"/>
        <v>1.4946470213550341E-3</v>
      </c>
      <c r="T104" s="140">
        <f t="shared" si="98"/>
        <v>1.3536469190526897E-3</v>
      </c>
      <c r="U104" s="140">
        <f t="shared" si="98"/>
        <v>1.5335115547727995E-3</v>
      </c>
      <c r="V104" s="140">
        <f t="shared" si="98"/>
        <v>8.9400387872843289E-4</v>
      </c>
      <c r="W104" s="140">
        <f t="shared" ref="W104" si="99">IF(W12=0,0,W12/W$4)</f>
        <v>7.9914931780164847E-4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0.27547243210182465</v>
      </c>
      <c r="C105" s="124">
        <f t="shared" si="100"/>
        <v>0.27140662018228712</v>
      </c>
      <c r="D105" s="124">
        <f t="shared" si="100"/>
        <v>0.27298840587402179</v>
      </c>
      <c r="E105" s="124">
        <f t="shared" si="100"/>
        <v>0.26793789237593052</v>
      </c>
      <c r="F105" s="124">
        <f t="shared" si="100"/>
        <v>0.28354361193598454</v>
      </c>
      <c r="G105" s="124">
        <f t="shared" si="100"/>
        <v>0.30096783413953027</v>
      </c>
      <c r="H105" s="124">
        <f t="shared" si="100"/>
        <v>0.30154963794203626</v>
      </c>
      <c r="I105" s="124">
        <f t="shared" si="100"/>
        <v>0.30334709362052897</v>
      </c>
      <c r="J105" s="124">
        <f t="shared" si="100"/>
        <v>0.3063478991591943</v>
      </c>
      <c r="K105" s="124">
        <f t="shared" si="100"/>
        <v>0.28691599206237733</v>
      </c>
      <c r="L105" s="124">
        <f t="shared" si="100"/>
        <v>0.3009915267225598</v>
      </c>
      <c r="M105" s="124">
        <f t="shared" si="100"/>
        <v>0.31817999761939636</v>
      </c>
      <c r="N105" s="124">
        <f t="shared" si="100"/>
        <v>0.33252418208009638</v>
      </c>
      <c r="O105" s="124">
        <f t="shared" si="100"/>
        <v>0.33255683346563897</v>
      </c>
      <c r="P105" s="124">
        <f t="shared" si="100"/>
        <v>0.33957909746021436</v>
      </c>
      <c r="Q105" s="124">
        <f t="shared" si="100"/>
        <v>0.36173323249089995</v>
      </c>
      <c r="R105" s="124">
        <f t="shared" ref="R105:V105" si="101">IF(R13=0,0,R13/R$4)</f>
        <v>0.37379553189209902</v>
      </c>
      <c r="S105" s="124">
        <f t="shared" si="101"/>
        <v>0.39376415704928197</v>
      </c>
      <c r="T105" s="124">
        <f t="shared" si="101"/>
        <v>0.39159793114825869</v>
      </c>
      <c r="U105" s="124">
        <f t="shared" si="101"/>
        <v>0.3951434137786935</v>
      </c>
      <c r="V105" s="124">
        <f t="shared" si="101"/>
        <v>0.22842981866887524</v>
      </c>
      <c r="W105" s="124">
        <f t="shared" ref="W105" si="102">IF(W13=0,0,W13/W$4)</f>
        <v>0.24753376134056726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6.8416257802342034E-2</v>
      </c>
      <c r="C107" s="140">
        <f t="shared" si="106"/>
        <v>6.7777619737650133E-2</v>
      </c>
      <c r="D107" s="140">
        <f t="shared" si="106"/>
        <v>6.8243468498090903E-2</v>
      </c>
      <c r="E107" s="140">
        <f t="shared" si="106"/>
        <v>6.7568282649690073E-2</v>
      </c>
      <c r="F107" s="140">
        <f t="shared" si="106"/>
        <v>6.6992728830803289E-2</v>
      </c>
      <c r="G107" s="140">
        <f t="shared" si="106"/>
        <v>6.9134750982878315E-2</v>
      </c>
      <c r="H107" s="140">
        <f t="shared" si="106"/>
        <v>7.2044512712360786E-2</v>
      </c>
      <c r="I107" s="140">
        <f t="shared" si="106"/>
        <v>7.0718924923526244E-2</v>
      </c>
      <c r="J107" s="140">
        <f t="shared" si="106"/>
        <v>6.6904975316922299E-2</v>
      </c>
      <c r="K107" s="140">
        <f t="shared" si="106"/>
        <v>6.3183893194487126E-2</v>
      </c>
      <c r="L107" s="140">
        <f t="shared" si="106"/>
        <v>6.5390942891070891E-2</v>
      </c>
      <c r="M107" s="140">
        <f t="shared" si="106"/>
        <v>7.305801964641806E-2</v>
      </c>
      <c r="N107" s="140">
        <f t="shared" si="106"/>
        <v>7.5496793155007763E-2</v>
      </c>
      <c r="O107" s="140">
        <f t="shared" si="106"/>
        <v>7.5464792886852511E-2</v>
      </c>
      <c r="P107" s="140">
        <f t="shared" si="106"/>
        <v>7.8699002095928061E-2</v>
      </c>
      <c r="Q107" s="140">
        <f t="shared" si="106"/>
        <v>8.3278506123787913E-2</v>
      </c>
      <c r="R107" s="140">
        <f t="shared" ref="R107:V107" si="107">IF(R15=0,0,R15/R$4)</f>
        <v>9.2976929918957146E-2</v>
      </c>
      <c r="S107" s="140">
        <f t="shared" si="107"/>
        <v>0.10141241568347947</v>
      </c>
      <c r="T107" s="140">
        <f t="shared" si="107"/>
        <v>0.10015513626124681</v>
      </c>
      <c r="U107" s="140">
        <f t="shared" si="107"/>
        <v>9.963117361851126E-2</v>
      </c>
      <c r="V107" s="140">
        <f t="shared" si="107"/>
        <v>5.8723886083147429E-2</v>
      </c>
      <c r="W107" s="140">
        <f t="shared" ref="W107" si="108">IF(W15=0,0,W15/W$4)</f>
        <v>7.3060408547287112E-2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0.20705617429948261</v>
      </c>
      <c r="C108" s="140">
        <f t="shared" si="109"/>
        <v>0.203629000444637</v>
      </c>
      <c r="D108" s="140">
        <f t="shared" si="109"/>
        <v>0.20474493737593089</v>
      </c>
      <c r="E108" s="140">
        <f t="shared" si="109"/>
        <v>0.20036960972624049</v>
      </c>
      <c r="F108" s="140">
        <f t="shared" si="109"/>
        <v>0.21655088310518128</v>
      </c>
      <c r="G108" s="140">
        <f t="shared" si="109"/>
        <v>0.23183308315665202</v>
      </c>
      <c r="H108" s="140">
        <f t="shared" si="109"/>
        <v>0.22950512522967545</v>
      </c>
      <c r="I108" s="140">
        <f t="shared" si="109"/>
        <v>0.23262816869700276</v>
      </c>
      <c r="J108" s="140">
        <f t="shared" si="109"/>
        <v>0.23944292384227198</v>
      </c>
      <c r="K108" s="140">
        <f t="shared" si="109"/>
        <v>0.22373209886789017</v>
      </c>
      <c r="L108" s="140">
        <f t="shared" si="109"/>
        <v>0.23560058383148891</v>
      </c>
      <c r="M108" s="140">
        <f t="shared" si="109"/>
        <v>0.24512197797297833</v>
      </c>
      <c r="N108" s="140">
        <f t="shared" si="109"/>
        <v>0.25702738892508864</v>
      </c>
      <c r="O108" s="140">
        <f t="shared" si="109"/>
        <v>0.25709204057878643</v>
      </c>
      <c r="P108" s="140">
        <f t="shared" si="109"/>
        <v>0.2608800953642863</v>
      </c>
      <c r="Q108" s="140">
        <f t="shared" si="109"/>
        <v>0.27845472636711199</v>
      </c>
      <c r="R108" s="140">
        <f t="shared" ref="R108:V108" si="110">IF(R16=0,0,R16/R$4)</f>
        <v>0.2808186019731419</v>
      </c>
      <c r="S108" s="140">
        <f t="shared" si="110"/>
        <v>0.29235174136580255</v>
      </c>
      <c r="T108" s="140">
        <f t="shared" si="110"/>
        <v>0.29144279488701186</v>
      </c>
      <c r="U108" s="140">
        <f t="shared" si="110"/>
        <v>0.29551224016018224</v>
      </c>
      <c r="V108" s="140">
        <f t="shared" si="110"/>
        <v>0.1697059325857278</v>
      </c>
      <c r="W108" s="140">
        <f t="shared" ref="W108" si="111">IF(W16=0,0,W16/W$4)</f>
        <v>0.17447335279328013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0.48443221549142429</v>
      </c>
      <c r="C110" s="139">
        <f t="shared" si="115"/>
        <v>0.48599709915218825</v>
      </c>
      <c r="D110" s="139">
        <f t="shared" si="115"/>
        <v>0.4924229798028999</v>
      </c>
      <c r="E110" s="139">
        <f t="shared" si="115"/>
        <v>0.50823036878808259</v>
      </c>
      <c r="F110" s="139">
        <f t="shared" si="115"/>
        <v>0.50514936812547095</v>
      </c>
      <c r="G110" s="139">
        <f t="shared" si="115"/>
        <v>0.50098909314382023</v>
      </c>
      <c r="H110" s="139">
        <f t="shared" si="115"/>
        <v>0.49899899361134553</v>
      </c>
      <c r="I110" s="139">
        <f t="shared" si="115"/>
        <v>0.47662889286400834</v>
      </c>
      <c r="J110" s="139">
        <f t="shared" si="115"/>
        <v>0.48468568015791103</v>
      </c>
      <c r="K110" s="139">
        <f t="shared" si="115"/>
        <v>0.52304447041469959</v>
      </c>
      <c r="L110" s="139">
        <f t="shared" si="115"/>
        <v>0.47707229230696269</v>
      </c>
      <c r="M110" s="139">
        <f t="shared" si="115"/>
        <v>0.47568372836908346</v>
      </c>
      <c r="N110" s="139">
        <f t="shared" si="115"/>
        <v>0.46286317011475214</v>
      </c>
      <c r="O110" s="139">
        <f t="shared" si="115"/>
        <v>0.47610268473627304</v>
      </c>
      <c r="P110" s="139">
        <f t="shared" si="115"/>
        <v>0.47294427280471679</v>
      </c>
      <c r="Q110" s="139">
        <f t="shared" si="115"/>
        <v>0.47555542061172323</v>
      </c>
      <c r="R110" s="139">
        <f t="shared" ref="R110:V110" si="116">IF(R18=0,0,R18/R$17)</f>
        <v>0.48867831543103901</v>
      </c>
      <c r="S110" s="139">
        <f t="shared" si="116"/>
        <v>0.48426694700982509</v>
      </c>
      <c r="T110" s="139">
        <f t="shared" si="116"/>
        <v>0.49453315865911518</v>
      </c>
      <c r="U110" s="139">
        <f t="shared" si="116"/>
        <v>0.50428160496064289</v>
      </c>
      <c r="V110" s="139">
        <f t="shared" si="116"/>
        <v>0.51361367419630477</v>
      </c>
      <c r="W110" s="139">
        <f t="shared" ref="W110" si="117">IF(W18=0,0,W18/W$17)</f>
        <v>0.50839930878465478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3.1325119271548262E-2</v>
      </c>
      <c r="C111" s="140">
        <f t="shared" si="118"/>
        <v>3.4081761679778735E-2</v>
      </c>
      <c r="D111" s="140">
        <f t="shared" si="118"/>
        <v>3.5973571844059866E-2</v>
      </c>
      <c r="E111" s="140">
        <f t="shared" si="118"/>
        <v>3.7553836495069624E-2</v>
      </c>
      <c r="F111" s="140">
        <f t="shared" si="118"/>
        <v>3.5988079905833102E-2</v>
      </c>
      <c r="G111" s="140">
        <f t="shared" si="118"/>
        <v>3.7467747139342457E-2</v>
      </c>
      <c r="H111" s="140">
        <f t="shared" si="118"/>
        <v>3.689367927713539E-2</v>
      </c>
      <c r="I111" s="140">
        <f t="shared" si="118"/>
        <v>3.5606501018565134E-2</v>
      </c>
      <c r="J111" s="140">
        <f t="shared" si="118"/>
        <v>3.5919360824726312E-2</v>
      </c>
      <c r="K111" s="140">
        <f t="shared" si="118"/>
        <v>3.8946248129373223E-2</v>
      </c>
      <c r="L111" s="140">
        <f t="shared" si="118"/>
        <v>3.5641459821792003E-2</v>
      </c>
      <c r="M111" s="140">
        <f t="shared" si="118"/>
        <v>3.5993125620447361E-2</v>
      </c>
      <c r="N111" s="140">
        <f t="shared" si="118"/>
        <v>3.521182834634877E-2</v>
      </c>
      <c r="O111" s="140">
        <f t="shared" si="118"/>
        <v>3.262582789736139E-2</v>
      </c>
      <c r="P111" s="140">
        <f t="shared" si="118"/>
        <v>3.1170928213870863E-2</v>
      </c>
      <c r="Q111" s="140">
        <f t="shared" si="118"/>
        <v>3.2428647389963705E-2</v>
      </c>
      <c r="R111" s="140">
        <f t="shared" ref="R111:V111" si="119">IF(R19=0,0,R19/R$17)</f>
        <v>3.2380870683703808E-2</v>
      </c>
      <c r="S111" s="140">
        <f t="shared" si="119"/>
        <v>3.3080161747526621E-2</v>
      </c>
      <c r="T111" s="140">
        <f t="shared" si="119"/>
        <v>3.353141846539924E-2</v>
      </c>
      <c r="U111" s="140">
        <f t="shared" si="119"/>
        <v>3.3569051314589288E-2</v>
      </c>
      <c r="V111" s="140">
        <f t="shared" si="119"/>
        <v>3.3569281946011845E-2</v>
      </c>
      <c r="W111" s="140">
        <f t="shared" ref="W111" si="120">IF(W19=0,0,W19/W$17)</f>
        <v>3.3268619408400216E-2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0.45310709621987599</v>
      </c>
      <c r="C112" s="140">
        <f t="shared" si="121"/>
        <v>0.45191533747240947</v>
      </c>
      <c r="D112" s="140">
        <f t="shared" si="121"/>
        <v>0.45644940795883998</v>
      </c>
      <c r="E112" s="140">
        <f t="shared" si="121"/>
        <v>0.47067653229301293</v>
      </c>
      <c r="F112" s="140">
        <f t="shared" si="121"/>
        <v>0.46916128821963787</v>
      </c>
      <c r="G112" s="140">
        <f t="shared" si="121"/>
        <v>0.46352134600447786</v>
      </c>
      <c r="H112" s="140">
        <f t="shared" si="121"/>
        <v>0.46210531433421015</v>
      </c>
      <c r="I112" s="140">
        <f t="shared" si="121"/>
        <v>0.44102239184544323</v>
      </c>
      <c r="J112" s="140">
        <f t="shared" si="121"/>
        <v>0.44876631933318473</v>
      </c>
      <c r="K112" s="140">
        <f t="shared" si="121"/>
        <v>0.48409822228532634</v>
      </c>
      <c r="L112" s="140">
        <f t="shared" si="121"/>
        <v>0.44143083248517068</v>
      </c>
      <c r="M112" s="140">
        <f t="shared" si="121"/>
        <v>0.43969060274863614</v>
      </c>
      <c r="N112" s="140">
        <f t="shared" si="121"/>
        <v>0.42765134176840336</v>
      </c>
      <c r="O112" s="140">
        <f t="shared" si="121"/>
        <v>0.44347685683891169</v>
      </c>
      <c r="P112" s="140">
        <f t="shared" si="121"/>
        <v>0.44177334459084588</v>
      </c>
      <c r="Q112" s="140">
        <f t="shared" si="121"/>
        <v>0.44312677322175953</v>
      </c>
      <c r="R112" s="140">
        <f t="shared" ref="R112:V112" si="122">IF(R20=0,0,R20/R$17)</f>
        <v>0.45629744474733519</v>
      </c>
      <c r="S112" s="140">
        <f t="shared" si="122"/>
        <v>0.45118678526229844</v>
      </c>
      <c r="T112" s="140">
        <f t="shared" si="122"/>
        <v>0.46100174019371593</v>
      </c>
      <c r="U112" s="140">
        <f t="shared" si="122"/>
        <v>0.47071255364605363</v>
      </c>
      <c r="V112" s="140">
        <f t="shared" si="122"/>
        <v>0.48004439225029288</v>
      </c>
      <c r="W112" s="140">
        <f t="shared" ref="W112" si="123">IF(W20=0,0,W20/W$17)</f>
        <v>0.47513068937625452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4.6073208497501988E-2</v>
      </c>
      <c r="C113" s="124">
        <f t="shared" si="124"/>
        <v>4.3252880241904407E-2</v>
      </c>
      <c r="D113" s="124">
        <f t="shared" si="124"/>
        <v>4.0882426106358297E-2</v>
      </c>
      <c r="E113" s="124">
        <f t="shared" si="124"/>
        <v>4.7427499157370601E-2</v>
      </c>
      <c r="F113" s="124">
        <f t="shared" si="124"/>
        <v>5.3387914161907621E-2</v>
      </c>
      <c r="G113" s="124">
        <f t="shared" si="124"/>
        <v>5.4648349868902775E-2</v>
      </c>
      <c r="H113" s="124">
        <f t="shared" si="124"/>
        <v>5.8027009428270611E-2</v>
      </c>
      <c r="I113" s="124">
        <f t="shared" si="124"/>
        <v>6.3667384419714354E-2</v>
      </c>
      <c r="J113" s="124">
        <f t="shared" si="124"/>
        <v>6.1012371929010836E-2</v>
      </c>
      <c r="K113" s="124">
        <f t="shared" si="124"/>
        <v>5.5129412128482387E-2</v>
      </c>
      <c r="L113" s="124">
        <f t="shared" si="124"/>
        <v>5.3191771063225646E-2</v>
      </c>
      <c r="M113" s="124">
        <f t="shared" si="124"/>
        <v>5.7067679239535721E-2</v>
      </c>
      <c r="N113" s="124">
        <f t="shared" si="124"/>
        <v>5.5864929660174624E-2</v>
      </c>
      <c r="O113" s="124">
        <f t="shared" si="124"/>
        <v>5.2854817005815742E-2</v>
      </c>
      <c r="P113" s="124">
        <f t="shared" si="124"/>
        <v>5.2874579699692274E-2</v>
      </c>
      <c r="Q113" s="124">
        <f t="shared" si="124"/>
        <v>5.6088662793404159E-2</v>
      </c>
      <c r="R113" s="124">
        <f t="shared" ref="R113:V113" si="125">IF(R21=0,0,R21/R$17)</f>
        <v>5.5285582313355973E-2</v>
      </c>
      <c r="S113" s="124">
        <f t="shared" si="125"/>
        <v>5.3782915763993543E-2</v>
      </c>
      <c r="T113" s="124">
        <f t="shared" si="125"/>
        <v>5.8721596470127271E-2</v>
      </c>
      <c r="U113" s="124">
        <f t="shared" si="125"/>
        <v>5.8393693576781251E-2</v>
      </c>
      <c r="V113" s="124">
        <f t="shared" si="125"/>
        <v>5.6187694261774092E-2</v>
      </c>
      <c r="W113" s="124">
        <f t="shared" ref="W113" si="126">IF(W21=0,0,W21/W$17)</f>
        <v>5.8393136854968074E-2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4.8850777523314994E-2</v>
      </c>
      <c r="C114" s="124">
        <f t="shared" si="127"/>
        <v>4.9538289467469236E-2</v>
      </c>
      <c r="D114" s="124">
        <f t="shared" si="127"/>
        <v>5.0181013117573607E-2</v>
      </c>
      <c r="E114" s="124">
        <f t="shared" si="127"/>
        <v>5.0753684994173445E-2</v>
      </c>
      <c r="F114" s="124">
        <f t="shared" si="127"/>
        <v>4.7156650266021269E-2</v>
      </c>
      <c r="G114" s="124">
        <f t="shared" si="127"/>
        <v>5.0671353397065813E-2</v>
      </c>
      <c r="H114" s="124">
        <f t="shared" si="127"/>
        <v>5.3274483485737323E-2</v>
      </c>
      <c r="I114" s="124">
        <f t="shared" si="127"/>
        <v>4.9340034450976691E-2</v>
      </c>
      <c r="J114" s="124">
        <f t="shared" si="127"/>
        <v>5.0175765871243304E-2</v>
      </c>
      <c r="K114" s="124">
        <f t="shared" si="127"/>
        <v>4.7371781646988964E-2</v>
      </c>
      <c r="L114" s="124">
        <f t="shared" si="127"/>
        <v>5.1460716702671806E-2</v>
      </c>
      <c r="M114" s="124">
        <f t="shared" si="127"/>
        <v>5.1256088841320317E-2</v>
      </c>
      <c r="N114" s="124">
        <f t="shared" si="127"/>
        <v>4.8645098625698845E-2</v>
      </c>
      <c r="O114" s="124">
        <f t="shared" si="127"/>
        <v>4.7959489116537503E-2</v>
      </c>
      <c r="P114" s="124">
        <f t="shared" si="127"/>
        <v>5.1412893112622163E-2</v>
      </c>
      <c r="Q114" s="124">
        <f t="shared" si="127"/>
        <v>5.2129705580242311E-2</v>
      </c>
      <c r="R114" s="124">
        <f t="shared" ref="R114:V114" si="128">IF(R22=0,0,R22/R$17)</f>
        <v>4.962275416646466E-2</v>
      </c>
      <c r="S114" s="124">
        <f t="shared" si="128"/>
        <v>5.3969039017535678E-2</v>
      </c>
      <c r="T114" s="124">
        <f t="shared" si="128"/>
        <v>5.4345070372885523E-2</v>
      </c>
      <c r="U114" s="124">
        <f t="shared" si="128"/>
        <v>4.928152666472347E-2</v>
      </c>
      <c r="V114" s="124">
        <f t="shared" si="128"/>
        <v>4.91109695032751E-2</v>
      </c>
      <c r="W114" s="124">
        <f t="shared" ref="W114" si="129">IF(W22=0,0,W22/W$17)</f>
        <v>4.7913649954830037E-2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6.1577452601228096E-4</v>
      </c>
      <c r="C116" s="140">
        <f t="shared" si="133"/>
        <v>8.4759457444658483E-4</v>
      </c>
      <c r="D116" s="140">
        <f t="shared" si="133"/>
        <v>6.3843615317317134E-4</v>
      </c>
      <c r="E116" s="140">
        <f t="shared" si="133"/>
        <v>6.9000954545610465E-4</v>
      </c>
      <c r="F116" s="140">
        <f t="shared" si="133"/>
        <v>5.9836850939951503E-4</v>
      </c>
      <c r="G116" s="140">
        <f t="shared" si="133"/>
        <v>6.0024732165195349E-4</v>
      </c>
      <c r="H116" s="140">
        <f t="shared" si="133"/>
        <v>5.6123768557417232E-4</v>
      </c>
      <c r="I116" s="140">
        <f t="shared" si="133"/>
        <v>5.507976057656204E-4</v>
      </c>
      <c r="J116" s="140">
        <f t="shared" si="133"/>
        <v>6.7252987144922219E-4</v>
      </c>
      <c r="K116" s="140">
        <f t="shared" si="133"/>
        <v>7.4940377564668029E-4</v>
      </c>
      <c r="L116" s="140">
        <f t="shared" si="133"/>
        <v>7.8017785606023047E-4</v>
      </c>
      <c r="M116" s="140">
        <f t="shared" si="133"/>
        <v>6.7136906386508466E-4</v>
      </c>
      <c r="N116" s="140">
        <f t="shared" si="133"/>
        <v>5.5424686255793024E-4</v>
      </c>
      <c r="O116" s="140">
        <f t="shared" si="133"/>
        <v>5.6425372695289308E-4</v>
      </c>
      <c r="P116" s="140">
        <f t="shared" si="133"/>
        <v>6.590296521071943E-4</v>
      </c>
      <c r="Q116" s="140">
        <f t="shared" si="133"/>
        <v>6.3017337026359348E-4</v>
      </c>
      <c r="R116" s="140">
        <f t="shared" si="131"/>
        <v>7.1694525126115671E-4</v>
      </c>
      <c r="S116" s="140">
        <f t="shared" si="131"/>
        <v>6.0936193683136064E-4</v>
      </c>
      <c r="T116" s="140">
        <f t="shared" si="131"/>
        <v>5.2674319820907782E-4</v>
      </c>
      <c r="U116" s="140">
        <f t="shared" si="131"/>
        <v>5.2114236819110786E-4</v>
      </c>
      <c r="V116" s="140">
        <f t="shared" si="131"/>
        <v>4.2929071624460906E-4</v>
      </c>
      <c r="W116" s="140">
        <f t="shared" ref="W116" si="134">IF(W24=0,0,W24/W$17)</f>
        <v>4.7593277670750244E-4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4.8235002997302719E-2</v>
      </c>
      <c r="C117" s="140">
        <f t="shared" si="135"/>
        <v>4.8690694893022655E-2</v>
      </c>
      <c r="D117" s="140">
        <f t="shared" si="135"/>
        <v>4.9542576964400439E-2</v>
      </c>
      <c r="E117" s="140">
        <f t="shared" si="135"/>
        <v>5.0063675448717343E-2</v>
      </c>
      <c r="F117" s="140">
        <f t="shared" si="135"/>
        <v>4.6558281756621751E-2</v>
      </c>
      <c r="G117" s="140">
        <f t="shared" si="135"/>
        <v>5.0071106075413853E-2</v>
      </c>
      <c r="H117" s="140">
        <f t="shared" si="135"/>
        <v>5.2713245800163157E-2</v>
      </c>
      <c r="I117" s="140">
        <f t="shared" si="135"/>
        <v>4.8789236845211074E-2</v>
      </c>
      <c r="J117" s="140">
        <f t="shared" si="135"/>
        <v>4.9503235999794087E-2</v>
      </c>
      <c r="K117" s="140">
        <f t="shared" si="135"/>
        <v>4.6622377871342283E-2</v>
      </c>
      <c r="L117" s="140">
        <f t="shared" si="135"/>
        <v>5.0680538846611577E-2</v>
      </c>
      <c r="M117" s="140">
        <f t="shared" si="135"/>
        <v>5.0584719777455232E-2</v>
      </c>
      <c r="N117" s="140">
        <f t="shared" si="135"/>
        <v>4.8090851763140915E-2</v>
      </c>
      <c r="O117" s="140">
        <f t="shared" si="135"/>
        <v>4.7395235389584615E-2</v>
      </c>
      <c r="P117" s="140">
        <f t="shared" si="135"/>
        <v>5.075386346051497E-2</v>
      </c>
      <c r="Q117" s="140">
        <f t="shared" si="135"/>
        <v>5.1499532209978723E-2</v>
      </c>
      <c r="R117" s="140">
        <f t="shared" ref="R117:V117" si="136">IF(R25=0,0,R25/R$17)</f>
        <v>4.8905808915203498E-2</v>
      </c>
      <c r="S117" s="140">
        <f t="shared" si="136"/>
        <v>5.3359677080704319E-2</v>
      </c>
      <c r="T117" s="140">
        <f t="shared" si="136"/>
        <v>5.3818327174676439E-2</v>
      </c>
      <c r="U117" s="140">
        <f t="shared" si="136"/>
        <v>4.8760384296532365E-2</v>
      </c>
      <c r="V117" s="140">
        <f t="shared" si="136"/>
        <v>4.8681678787030488E-2</v>
      </c>
      <c r="W117" s="140">
        <f t="shared" ref="W117" si="137">IF(W25=0,0,W25/W$17)</f>
        <v>4.7437717178122535E-2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0.42064379848775874</v>
      </c>
      <c r="C118" s="124">
        <f t="shared" si="138"/>
        <v>0.42121173113843813</v>
      </c>
      <c r="D118" s="124">
        <f t="shared" si="138"/>
        <v>0.41651358097316826</v>
      </c>
      <c r="E118" s="124">
        <f t="shared" si="138"/>
        <v>0.39358844706037333</v>
      </c>
      <c r="F118" s="124">
        <f t="shared" si="138"/>
        <v>0.39430606744660018</v>
      </c>
      <c r="G118" s="124">
        <f t="shared" si="138"/>
        <v>0.39369120359021109</v>
      </c>
      <c r="H118" s="124">
        <f t="shared" si="138"/>
        <v>0.38969951347464649</v>
      </c>
      <c r="I118" s="124">
        <f t="shared" si="138"/>
        <v>0.41036368826530056</v>
      </c>
      <c r="J118" s="124">
        <f t="shared" si="138"/>
        <v>0.40412618204183487</v>
      </c>
      <c r="K118" s="124">
        <f t="shared" si="138"/>
        <v>0.37445433580982906</v>
      </c>
      <c r="L118" s="124">
        <f t="shared" si="138"/>
        <v>0.41827521992713984</v>
      </c>
      <c r="M118" s="124">
        <f t="shared" si="138"/>
        <v>0.41599250355006057</v>
      </c>
      <c r="N118" s="124">
        <f t="shared" si="138"/>
        <v>0.43262680159937433</v>
      </c>
      <c r="O118" s="124">
        <f t="shared" si="138"/>
        <v>0.42308300914137364</v>
      </c>
      <c r="P118" s="124">
        <f t="shared" si="138"/>
        <v>0.42276825438296889</v>
      </c>
      <c r="Q118" s="124">
        <f t="shared" si="138"/>
        <v>0.41622621101463025</v>
      </c>
      <c r="R118" s="124">
        <f t="shared" ref="R118:V118" si="139">IF(R26=0,0,R26/R$17)</f>
        <v>0.40641334808914037</v>
      </c>
      <c r="S118" s="124">
        <f t="shared" si="139"/>
        <v>0.40798109820864575</v>
      </c>
      <c r="T118" s="124">
        <f t="shared" si="139"/>
        <v>0.39240017449787212</v>
      </c>
      <c r="U118" s="124">
        <f t="shared" si="139"/>
        <v>0.38804317479785233</v>
      </c>
      <c r="V118" s="124">
        <f t="shared" si="139"/>
        <v>0.38108766203864602</v>
      </c>
      <c r="W118" s="124">
        <f t="shared" ref="W118" si="140">IF(W26=0,0,W26/W$17)</f>
        <v>0.38529390440554712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1.4680868227344231E-4</v>
      </c>
      <c r="C119" s="140">
        <f t="shared" si="141"/>
        <v>1.3844347249103388E-4</v>
      </c>
      <c r="D119" s="140">
        <f t="shared" si="141"/>
        <v>1.4070097394308054E-4</v>
      </c>
      <c r="E119" s="140">
        <f t="shared" si="141"/>
        <v>1.4684884329959084E-4</v>
      </c>
      <c r="F119" s="140">
        <f t="shared" si="141"/>
        <v>1.5475261964749832E-4</v>
      </c>
      <c r="G119" s="140">
        <f t="shared" si="141"/>
        <v>1.7649600054846657E-4</v>
      </c>
      <c r="H119" s="140">
        <f t="shared" si="141"/>
        <v>1.9240534705163413E-4</v>
      </c>
      <c r="I119" s="140">
        <f t="shared" si="141"/>
        <v>2.1373924439683763E-4</v>
      </c>
      <c r="J119" s="140">
        <f t="shared" si="141"/>
        <v>2.2497875347763689E-4</v>
      </c>
      <c r="K119" s="140">
        <f t="shared" si="141"/>
        <v>2.4047216323020882E-4</v>
      </c>
      <c r="L119" s="140">
        <f t="shared" si="141"/>
        <v>2.6420824006594611E-4</v>
      </c>
      <c r="M119" s="140">
        <f t="shared" si="141"/>
        <v>2.6993960724013059E-4</v>
      </c>
      <c r="N119" s="140">
        <f t="shared" si="141"/>
        <v>2.8754703456150451E-4</v>
      </c>
      <c r="O119" s="140">
        <f t="shared" si="141"/>
        <v>2.1838483373923178E-4</v>
      </c>
      <c r="P119" s="140">
        <f t="shared" si="141"/>
        <v>2.6016453107545131E-4</v>
      </c>
      <c r="Q119" s="140">
        <f t="shared" si="141"/>
        <v>2.9599731289292277E-4</v>
      </c>
      <c r="R119" s="140">
        <f t="shared" ref="R119:V119" si="142">IF(R27=0,0,R27/R$17)</f>
        <v>1.7545534299597809E-4</v>
      </c>
      <c r="S119" s="140">
        <f t="shared" si="142"/>
        <v>3.4701499043890438E-4</v>
      </c>
      <c r="T119" s="140">
        <f t="shared" si="142"/>
        <v>3.2084918430132328E-4</v>
      </c>
      <c r="U119" s="140">
        <f t="shared" si="142"/>
        <v>4.5915753038319057E-4</v>
      </c>
      <c r="V119" s="140">
        <f t="shared" si="142"/>
        <v>3.2646188451420884E-4</v>
      </c>
      <c r="W119" s="140">
        <f t="shared" ref="W119" si="143">IF(W27=0,0,W27/W$17)</f>
        <v>2.7939020071175041E-4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0.42049698980548528</v>
      </c>
      <c r="C120" s="127">
        <f t="shared" si="144"/>
        <v>0.42107328766594709</v>
      </c>
      <c r="D120" s="127">
        <f t="shared" si="144"/>
        <v>0.41637287999922518</v>
      </c>
      <c r="E120" s="127">
        <f t="shared" si="144"/>
        <v>0.39344159821707375</v>
      </c>
      <c r="F120" s="127">
        <f t="shared" si="144"/>
        <v>0.3941513148269527</v>
      </c>
      <c r="G120" s="127">
        <f t="shared" si="144"/>
        <v>0.39351470758966256</v>
      </c>
      <c r="H120" s="127">
        <f t="shared" si="144"/>
        <v>0.38950710812759481</v>
      </c>
      <c r="I120" s="127">
        <f t="shared" si="144"/>
        <v>0.41014994902090374</v>
      </c>
      <c r="J120" s="127">
        <f t="shared" si="144"/>
        <v>0.40390120328835727</v>
      </c>
      <c r="K120" s="127">
        <f t="shared" si="144"/>
        <v>0.37421386364659887</v>
      </c>
      <c r="L120" s="127">
        <f t="shared" si="144"/>
        <v>0.41801101168707389</v>
      </c>
      <c r="M120" s="127">
        <f t="shared" si="144"/>
        <v>0.41572256394282042</v>
      </c>
      <c r="N120" s="127">
        <f t="shared" si="144"/>
        <v>0.43233925456481281</v>
      </c>
      <c r="O120" s="127">
        <f t="shared" si="144"/>
        <v>0.42286462430763444</v>
      </c>
      <c r="P120" s="127">
        <f t="shared" si="144"/>
        <v>0.42250808985189342</v>
      </c>
      <c r="Q120" s="127">
        <f t="shared" si="144"/>
        <v>0.41593021370173733</v>
      </c>
      <c r="R120" s="127">
        <f t="shared" ref="R120:V120" si="145">IF(R28=0,0,R28/R$17)</f>
        <v>0.40623789274614436</v>
      </c>
      <c r="S120" s="127">
        <f t="shared" si="145"/>
        <v>0.40763408321820682</v>
      </c>
      <c r="T120" s="127">
        <f t="shared" si="145"/>
        <v>0.39207932531357081</v>
      </c>
      <c r="U120" s="127">
        <f t="shared" si="145"/>
        <v>0.38758401726746911</v>
      </c>
      <c r="V120" s="127">
        <f t="shared" si="145"/>
        <v>0.38076120015413184</v>
      </c>
      <c r="W120" s="127">
        <f t="shared" ref="W120" si="146">IF(W28=0,0,W28/W$17)</f>
        <v>0.3850145142048354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6.6348057009624192E-2</v>
      </c>
      <c r="C122" s="140">
        <f>IF(C30=0,0,C30/C$29)</f>
        <v>6.566534813593404E-2</v>
      </c>
      <c r="D122" s="140">
        <f t="shared" ref="D122:W122" si="150">IF(D30=0,0,D30/D$29)</f>
        <v>6.685480150318926E-2</v>
      </c>
      <c r="E122" s="140">
        <f t="shared" si="150"/>
        <v>6.4516640748057949E-2</v>
      </c>
      <c r="F122" s="140">
        <f t="shared" si="150"/>
        <v>6.4272357776715944E-2</v>
      </c>
      <c r="G122" s="140">
        <f t="shared" si="150"/>
        <v>5.6235997438761308E-2</v>
      </c>
      <c r="H122" s="140">
        <f t="shared" si="150"/>
        <v>5.2917557163757546E-2</v>
      </c>
      <c r="I122" s="140">
        <f t="shared" si="150"/>
        <v>5.197542140227402E-2</v>
      </c>
      <c r="J122" s="140">
        <f t="shared" si="150"/>
        <v>4.8013795595870906E-2</v>
      </c>
      <c r="K122" s="140">
        <f t="shared" si="150"/>
        <v>5.9235789317687783E-2</v>
      </c>
      <c r="L122" s="140">
        <f t="shared" si="150"/>
        <v>6.2898498251268253E-2</v>
      </c>
      <c r="M122" s="140">
        <f t="shared" si="150"/>
        <v>5.5378745967227666E-2</v>
      </c>
      <c r="N122" s="140">
        <f t="shared" si="150"/>
        <v>5.5041494513690475E-2</v>
      </c>
      <c r="O122" s="140">
        <f t="shared" si="150"/>
        <v>5.5949554092444308E-2</v>
      </c>
      <c r="P122" s="140">
        <f t="shared" si="150"/>
        <v>5.6938033125590412E-2</v>
      </c>
      <c r="Q122" s="140">
        <f t="shared" si="150"/>
        <v>5.3786970109911514E-2</v>
      </c>
      <c r="R122" s="140">
        <f t="shared" si="150"/>
        <v>5.2308647434312683E-2</v>
      </c>
      <c r="S122" s="140">
        <f t="shared" si="150"/>
        <v>5.1490938627981882E-2</v>
      </c>
      <c r="T122" s="140">
        <f t="shared" si="150"/>
        <v>5.4704142984989407E-2</v>
      </c>
      <c r="U122" s="140">
        <f t="shared" si="150"/>
        <v>5.625935253731737E-2</v>
      </c>
      <c r="V122" s="140">
        <f t="shared" si="150"/>
        <v>5.9271526922490089E-2</v>
      </c>
      <c r="W122" s="140">
        <f t="shared" si="150"/>
        <v>5.6029158500770171E-2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0.93365194299037579</v>
      </c>
      <c r="C123" s="127">
        <f>IF(C31=0,0,C31/C$29)</f>
        <v>0.93433465186406606</v>
      </c>
      <c r="D123" s="127">
        <f t="shared" ref="D123:W123" si="152">IF(D31=0,0,D31/D$29)</f>
        <v>0.93314519849681077</v>
      </c>
      <c r="E123" s="127">
        <f t="shared" si="152"/>
        <v>0.93548335925194204</v>
      </c>
      <c r="F123" s="127">
        <f t="shared" si="152"/>
        <v>0.93572764222328408</v>
      </c>
      <c r="G123" s="127">
        <f t="shared" si="152"/>
        <v>0.9437640025612386</v>
      </c>
      <c r="H123" s="127">
        <f t="shared" si="152"/>
        <v>0.94708244283624243</v>
      </c>
      <c r="I123" s="127">
        <f t="shared" si="152"/>
        <v>0.94802457859772593</v>
      </c>
      <c r="J123" s="127">
        <f t="shared" si="152"/>
        <v>0.95198620440412918</v>
      </c>
      <c r="K123" s="127">
        <f t="shared" si="152"/>
        <v>0.9407642106823122</v>
      </c>
      <c r="L123" s="127">
        <f t="shared" si="152"/>
        <v>0.93710150174873175</v>
      </c>
      <c r="M123" s="127">
        <f t="shared" si="152"/>
        <v>0.94462125403277231</v>
      </c>
      <c r="N123" s="127">
        <f t="shared" si="152"/>
        <v>0.94495850548630955</v>
      </c>
      <c r="O123" s="127">
        <f t="shared" si="152"/>
        <v>0.9440504459075556</v>
      </c>
      <c r="P123" s="127">
        <f t="shared" si="152"/>
        <v>0.94306196687440957</v>
      </c>
      <c r="Q123" s="127">
        <f t="shared" si="152"/>
        <v>0.9462130298900886</v>
      </c>
      <c r="R123" s="127">
        <f t="shared" si="152"/>
        <v>0.94769135256568737</v>
      </c>
      <c r="S123" s="127">
        <f t="shared" si="152"/>
        <v>0.94850906137201807</v>
      </c>
      <c r="T123" s="127">
        <f t="shared" si="152"/>
        <v>0.94529585701501051</v>
      </c>
      <c r="U123" s="127">
        <f t="shared" si="152"/>
        <v>0.9437406474626826</v>
      </c>
      <c r="V123" s="127">
        <f t="shared" si="152"/>
        <v>0.94072847307750995</v>
      </c>
      <c r="W123" s="127">
        <f t="shared" si="152"/>
        <v>0.94397084149922983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0.68142416541670969</v>
      </c>
      <c r="C127" s="139">
        <f t="shared" ref="C127:W127" si="155">IF(C35=0,0,C35/C$34)</f>
        <v>0.68923080466270925</v>
      </c>
      <c r="D127" s="139">
        <f t="shared" si="155"/>
        <v>0.68563339369602938</v>
      </c>
      <c r="E127" s="139">
        <f t="shared" si="155"/>
        <v>0.69386560815623466</v>
      </c>
      <c r="F127" s="139">
        <f t="shared" si="155"/>
        <v>0.67948267555610331</v>
      </c>
      <c r="G127" s="139">
        <f t="shared" si="155"/>
        <v>0.67800064969057783</v>
      </c>
      <c r="H127" s="139">
        <f t="shared" si="155"/>
        <v>0.68535993627279135</v>
      </c>
      <c r="I127" s="139">
        <f t="shared" si="155"/>
        <v>0.6854332038643679</v>
      </c>
      <c r="J127" s="139">
        <f t="shared" si="155"/>
        <v>0.68489523823415255</v>
      </c>
      <c r="K127" s="139">
        <f t="shared" si="155"/>
        <v>0.69214465180752383</v>
      </c>
      <c r="L127" s="139">
        <f t="shared" si="155"/>
        <v>0.70043348383559512</v>
      </c>
      <c r="M127" s="139">
        <f t="shared" si="155"/>
        <v>0.68747200561429234</v>
      </c>
      <c r="N127" s="139">
        <f t="shared" si="155"/>
        <v>0.67986804105618037</v>
      </c>
      <c r="O127" s="139">
        <f t="shared" si="155"/>
        <v>0.6693537313321285</v>
      </c>
      <c r="P127" s="139">
        <f t="shared" si="155"/>
        <v>0.65150439694731688</v>
      </c>
      <c r="Q127" s="139">
        <f t="shared" si="155"/>
        <v>0.64007020290084871</v>
      </c>
      <c r="R127" s="139">
        <f t="shared" si="155"/>
        <v>0.63148345074732615</v>
      </c>
      <c r="S127" s="139">
        <f t="shared" si="155"/>
        <v>0.63008547169449702</v>
      </c>
      <c r="T127" s="139">
        <f t="shared" si="155"/>
        <v>0.62571939676711119</v>
      </c>
      <c r="U127" s="139">
        <f t="shared" si="155"/>
        <v>0.62531464582149321</v>
      </c>
      <c r="V127" s="139">
        <f t="shared" si="155"/>
        <v>0.74604140570711053</v>
      </c>
      <c r="W127" s="139">
        <f t="shared" si="155"/>
        <v>0.73018231090866981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1.4228697577673845E-2</v>
      </c>
      <c r="C128" s="140">
        <f t="shared" ref="C128:W128" si="156">IF(C36=0,0,C36/C$34)</f>
        <v>1.4829926691435718E-2</v>
      </c>
      <c r="D128" s="140">
        <f t="shared" si="156"/>
        <v>1.4880162741529398E-2</v>
      </c>
      <c r="E128" s="140">
        <f t="shared" si="156"/>
        <v>1.519667670065147E-2</v>
      </c>
      <c r="F128" s="140">
        <f t="shared" si="156"/>
        <v>1.4071292143703553E-2</v>
      </c>
      <c r="G128" s="140">
        <f t="shared" si="156"/>
        <v>1.437398835002201E-2</v>
      </c>
      <c r="H128" s="140">
        <f t="shared" si="156"/>
        <v>1.480516406017088E-2</v>
      </c>
      <c r="I128" s="140">
        <f t="shared" si="156"/>
        <v>1.5310589008519206E-2</v>
      </c>
      <c r="J128" s="140">
        <f t="shared" si="156"/>
        <v>1.6139827977789806E-2</v>
      </c>
      <c r="K128" s="140">
        <f t="shared" si="156"/>
        <v>1.6704235246641903E-2</v>
      </c>
      <c r="L128" s="140">
        <f t="shared" si="156"/>
        <v>1.7108898095940153E-2</v>
      </c>
      <c r="M128" s="140">
        <f t="shared" si="156"/>
        <v>1.6993818099150768E-2</v>
      </c>
      <c r="N128" s="140">
        <f t="shared" si="156"/>
        <v>1.6945054947604187E-2</v>
      </c>
      <c r="O128" s="140">
        <f t="shared" si="156"/>
        <v>1.6798974936187819E-2</v>
      </c>
      <c r="P128" s="140">
        <f t="shared" si="156"/>
        <v>1.6108583868315554E-2</v>
      </c>
      <c r="Q128" s="140">
        <f t="shared" si="156"/>
        <v>1.607729834412807E-2</v>
      </c>
      <c r="R128" s="140">
        <f t="shared" si="156"/>
        <v>1.5860870797809738E-2</v>
      </c>
      <c r="S128" s="140">
        <f t="shared" si="156"/>
        <v>1.4560623525929283E-2</v>
      </c>
      <c r="T128" s="140">
        <f t="shared" si="156"/>
        <v>1.4376076279056007E-2</v>
      </c>
      <c r="U128" s="140">
        <f t="shared" si="156"/>
        <v>1.4582307412981558E-2</v>
      </c>
      <c r="V128" s="140">
        <f t="shared" si="156"/>
        <v>1.9722091126849504E-2</v>
      </c>
      <c r="W128" s="140">
        <f t="shared" si="156"/>
        <v>1.7596247729121588E-2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0.62786863509392854</v>
      </c>
      <c r="C129" s="140">
        <f t="shared" ref="C129:W129" si="157">IF(C37=0,0,C37/C$34)</f>
        <v>0.63612067444300613</v>
      </c>
      <c r="D129" s="140">
        <f t="shared" si="157"/>
        <v>0.63374886373932005</v>
      </c>
      <c r="E129" s="140">
        <f t="shared" si="157"/>
        <v>0.64227923091523376</v>
      </c>
      <c r="F129" s="140">
        <f t="shared" si="157"/>
        <v>0.63066519972955826</v>
      </c>
      <c r="G129" s="140">
        <f t="shared" si="157"/>
        <v>0.62913643875546776</v>
      </c>
      <c r="H129" s="140">
        <f t="shared" si="157"/>
        <v>0.63686925106878123</v>
      </c>
      <c r="I129" s="140">
        <f t="shared" si="157"/>
        <v>0.63685954296466885</v>
      </c>
      <c r="J129" s="140">
        <f t="shared" si="157"/>
        <v>0.63452847713176108</v>
      </c>
      <c r="K129" s="140">
        <f t="shared" si="157"/>
        <v>0.63956180633320237</v>
      </c>
      <c r="L129" s="140">
        <f t="shared" si="157"/>
        <v>0.64505397916594187</v>
      </c>
      <c r="M129" s="140">
        <f t="shared" si="157"/>
        <v>0.63355592684811501</v>
      </c>
      <c r="N129" s="140">
        <f t="shared" si="157"/>
        <v>0.62581623612650128</v>
      </c>
      <c r="O129" s="140">
        <f t="shared" si="157"/>
        <v>0.61644407343128982</v>
      </c>
      <c r="P129" s="140">
        <f t="shared" si="157"/>
        <v>0.60046370031402918</v>
      </c>
      <c r="Q129" s="140">
        <f t="shared" si="157"/>
        <v>0.59036025848007756</v>
      </c>
      <c r="R129" s="140">
        <f t="shared" si="157"/>
        <v>0.58215605911449031</v>
      </c>
      <c r="S129" s="140">
        <f t="shared" si="157"/>
        <v>0.57995598409264315</v>
      </c>
      <c r="T129" s="140">
        <f t="shared" si="157"/>
        <v>0.57843602587673326</v>
      </c>
      <c r="U129" s="140">
        <f t="shared" si="157"/>
        <v>0.57930382525457025</v>
      </c>
      <c r="V129" s="140">
        <f t="shared" si="157"/>
        <v>0.68899839469745694</v>
      </c>
      <c r="W129" s="140">
        <f t="shared" si="157"/>
        <v>0.68090612823106256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3.9326832745107287E-2</v>
      </c>
      <c r="C130" s="140">
        <f t="shared" ref="C130:W130" si="158">IF(C38=0,0,C38/C$34)</f>
        <v>3.8280203528267297E-2</v>
      </c>
      <c r="D130" s="140">
        <f t="shared" si="158"/>
        <v>3.7004367215179891E-2</v>
      </c>
      <c r="E130" s="140">
        <f t="shared" si="158"/>
        <v>3.6389700540349394E-2</v>
      </c>
      <c r="F130" s="140">
        <f t="shared" si="158"/>
        <v>3.474618368284145E-2</v>
      </c>
      <c r="G130" s="140">
        <f t="shared" si="158"/>
        <v>3.4490222585088028E-2</v>
      </c>
      <c r="H130" s="140">
        <f t="shared" si="158"/>
        <v>3.3685521143839291E-2</v>
      </c>
      <c r="I130" s="140">
        <f t="shared" si="158"/>
        <v>3.326307189117992E-2</v>
      </c>
      <c r="J130" s="140">
        <f t="shared" si="158"/>
        <v>3.4226933124601663E-2</v>
      </c>
      <c r="K130" s="140">
        <f t="shared" si="158"/>
        <v>3.5878610227679554E-2</v>
      </c>
      <c r="L130" s="140">
        <f t="shared" si="158"/>
        <v>3.8270606573713034E-2</v>
      </c>
      <c r="M130" s="140">
        <f t="shared" si="158"/>
        <v>3.6922260667026648E-2</v>
      </c>
      <c r="N130" s="140">
        <f t="shared" si="158"/>
        <v>3.7106749982074826E-2</v>
      </c>
      <c r="O130" s="140">
        <f t="shared" si="158"/>
        <v>3.6110682964650857E-2</v>
      </c>
      <c r="P130" s="140">
        <f t="shared" si="158"/>
        <v>3.4932112764972149E-2</v>
      </c>
      <c r="Q130" s="140">
        <f t="shared" si="158"/>
        <v>3.363264607664309E-2</v>
      </c>
      <c r="R130" s="140">
        <f t="shared" si="158"/>
        <v>3.3466520835026055E-2</v>
      </c>
      <c r="S130" s="140">
        <f t="shared" si="158"/>
        <v>3.5568864075924564E-2</v>
      </c>
      <c r="T130" s="140">
        <f t="shared" si="158"/>
        <v>3.2907294611321962E-2</v>
      </c>
      <c r="U130" s="140">
        <f t="shared" si="158"/>
        <v>3.1428513153941386E-2</v>
      </c>
      <c r="V130" s="140">
        <f t="shared" si="158"/>
        <v>3.7320919882803984E-2</v>
      </c>
      <c r="W130" s="140">
        <f t="shared" si="158"/>
        <v>3.1679934948485693E-2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1.7293495136867558E-2</v>
      </c>
      <c r="C131" s="124">
        <f t="shared" ref="C131:W131" si="159">IF(C39=0,0,C39/C$34)</f>
        <v>1.6667512628167652E-2</v>
      </c>
      <c r="D131" s="124">
        <f t="shared" si="159"/>
        <v>1.6238453460871861E-2</v>
      </c>
      <c r="E131" s="124">
        <f t="shared" si="159"/>
        <v>1.6568198879317517E-2</v>
      </c>
      <c r="F131" s="124">
        <f t="shared" si="159"/>
        <v>1.647129088595373E-2</v>
      </c>
      <c r="G131" s="124">
        <f t="shared" si="159"/>
        <v>1.5810076955118393E-2</v>
      </c>
      <c r="H131" s="124">
        <f t="shared" si="159"/>
        <v>1.5548176519508452E-2</v>
      </c>
      <c r="I131" s="124">
        <f t="shared" si="159"/>
        <v>1.4901545823259818E-2</v>
      </c>
      <c r="J131" s="124">
        <f t="shared" si="159"/>
        <v>1.5145816701346126E-2</v>
      </c>
      <c r="K131" s="124">
        <f t="shared" si="159"/>
        <v>1.5960296700051557E-2</v>
      </c>
      <c r="L131" s="124">
        <f t="shared" si="159"/>
        <v>1.6974959333223148E-2</v>
      </c>
      <c r="M131" s="124">
        <f t="shared" si="159"/>
        <v>1.6264215468886966E-2</v>
      </c>
      <c r="N131" s="124">
        <f t="shared" si="159"/>
        <v>1.6543530762264211E-2</v>
      </c>
      <c r="O131" s="124">
        <f t="shared" si="159"/>
        <v>1.654820716431896E-2</v>
      </c>
      <c r="P131" s="124">
        <f t="shared" si="159"/>
        <v>1.6196198969440426E-2</v>
      </c>
      <c r="Q131" s="124">
        <f t="shared" si="159"/>
        <v>1.5812739229004925E-2</v>
      </c>
      <c r="R131" s="124">
        <f t="shared" si="159"/>
        <v>1.6118457433363518E-2</v>
      </c>
      <c r="S131" s="124">
        <f t="shared" si="159"/>
        <v>1.582947460039617E-2</v>
      </c>
      <c r="T131" s="124">
        <f t="shared" si="159"/>
        <v>1.5808335083910999E-2</v>
      </c>
      <c r="U131" s="124">
        <f t="shared" si="159"/>
        <v>1.5939992210869173E-2</v>
      </c>
      <c r="V131" s="124">
        <f t="shared" si="159"/>
        <v>2.0942789892134581E-2</v>
      </c>
      <c r="W131" s="124">
        <f t="shared" si="159"/>
        <v>1.9086499814840292E-2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3.1125583038796626E-4</v>
      </c>
      <c r="C132" s="140">
        <f t="shared" ref="C132:W132" si="160">IF(C40=0,0,C40/C$34)</f>
        <v>3.1718688437946209E-4</v>
      </c>
      <c r="D132" s="140">
        <f t="shared" si="160"/>
        <v>2.9790869454143873E-4</v>
      </c>
      <c r="E132" s="140">
        <f t="shared" si="160"/>
        <v>3.0578315836071767E-4</v>
      </c>
      <c r="F132" s="140">
        <f t="shared" si="160"/>
        <v>3.1247500281940356E-4</v>
      </c>
      <c r="G132" s="140">
        <f t="shared" si="160"/>
        <v>3.1109193128778072E-4</v>
      </c>
      <c r="H132" s="140">
        <f t="shared" si="160"/>
        <v>3.1414304867858072E-4</v>
      </c>
      <c r="I132" s="140">
        <f t="shared" si="160"/>
        <v>3.2155122575540661E-4</v>
      </c>
      <c r="J132" s="140">
        <f t="shared" si="160"/>
        <v>3.2725555507568933E-4</v>
      </c>
      <c r="K132" s="140">
        <f t="shared" si="160"/>
        <v>3.264954612260349E-4</v>
      </c>
      <c r="L132" s="140">
        <f t="shared" si="160"/>
        <v>3.3872737905881888E-4</v>
      </c>
      <c r="M132" s="140">
        <f t="shared" si="160"/>
        <v>3.3956153258904616E-4</v>
      </c>
      <c r="N132" s="140">
        <f t="shared" si="160"/>
        <v>3.1958519981869457E-4</v>
      </c>
      <c r="O132" s="140">
        <f t="shared" si="160"/>
        <v>3.3036514945110568E-4</v>
      </c>
      <c r="P132" s="140">
        <f t="shared" si="160"/>
        <v>3.268951623667797E-4</v>
      </c>
      <c r="Q132" s="140">
        <f t="shared" si="160"/>
        <v>3.5447815040175727E-4</v>
      </c>
      <c r="R132" s="140">
        <f t="shared" si="160"/>
        <v>3.4861602502660687E-4</v>
      </c>
      <c r="S132" s="140">
        <f t="shared" si="160"/>
        <v>3.2501131007688165E-4</v>
      </c>
      <c r="T132" s="140">
        <f t="shared" si="160"/>
        <v>3.7640697142384862E-4</v>
      </c>
      <c r="U132" s="140">
        <f t="shared" si="160"/>
        <v>3.7733793717812373E-4</v>
      </c>
      <c r="V132" s="140">
        <f t="shared" si="160"/>
        <v>3.6262185782470372E-4</v>
      </c>
      <c r="W132" s="140">
        <f t="shared" si="160"/>
        <v>3.4624951514282653E-4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1.6906358977921872E-2</v>
      </c>
      <c r="C133" s="140">
        <f t="shared" ref="C133:W133" si="161">IF(C41=0,0,C41/C$34)</f>
        <v>1.6222942794701468E-2</v>
      </c>
      <c r="D133" s="140">
        <f t="shared" si="161"/>
        <v>1.5810859810544146E-2</v>
      </c>
      <c r="E133" s="140">
        <f t="shared" si="161"/>
        <v>1.583210182701034E-2</v>
      </c>
      <c r="F133" s="140">
        <f t="shared" si="161"/>
        <v>1.5747018719894604E-2</v>
      </c>
      <c r="G133" s="140">
        <f t="shared" si="161"/>
        <v>1.5073193903538486E-2</v>
      </c>
      <c r="H133" s="140">
        <f t="shared" si="161"/>
        <v>1.4824562689182553E-2</v>
      </c>
      <c r="I133" s="140">
        <f t="shared" si="161"/>
        <v>1.4122103718068425E-2</v>
      </c>
      <c r="J133" s="140">
        <f t="shared" si="161"/>
        <v>1.4317172612117566E-2</v>
      </c>
      <c r="K133" s="140">
        <f t="shared" si="161"/>
        <v>1.5121287758842888E-2</v>
      </c>
      <c r="L133" s="140">
        <f t="shared" si="161"/>
        <v>1.6429215066523662E-2</v>
      </c>
      <c r="M133" s="140">
        <f t="shared" si="161"/>
        <v>1.5711064169573217E-2</v>
      </c>
      <c r="N133" s="140">
        <f t="shared" si="161"/>
        <v>1.5995377933502867E-2</v>
      </c>
      <c r="O133" s="140">
        <f t="shared" si="161"/>
        <v>1.5966397097545899E-2</v>
      </c>
      <c r="P133" s="140">
        <f t="shared" si="161"/>
        <v>1.5698975321472627E-2</v>
      </c>
      <c r="Q133" s="140">
        <f t="shared" si="161"/>
        <v>1.4890417335042771E-2</v>
      </c>
      <c r="R133" s="140">
        <f t="shared" si="161"/>
        <v>1.5586873288967691E-2</v>
      </c>
      <c r="S133" s="140">
        <f t="shared" si="161"/>
        <v>1.5312548133294548E-2</v>
      </c>
      <c r="T133" s="140">
        <f t="shared" si="161"/>
        <v>1.5266296490904191E-2</v>
      </c>
      <c r="U133" s="140">
        <f t="shared" si="161"/>
        <v>1.5372695877468387E-2</v>
      </c>
      <c r="V133" s="140">
        <f t="shared" si="161"/>
        <v>2.0457912614791126E-2</v>
      </c>
      <c r="W133" s="140">
        <f t="shared" si="161"/>
        <v>1.8632312903966056E-2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7.5880328557723521E-5</v>
      </c>
      <c r="C134" s="140">
        <f t="shared" ref="C134:W134" si="162">IF(C42=0,0,C42/C$34)</f>
        <v>1.2738294908672281E-4</v>
      </c>
      <c r="D134" s="140">
        <f t="shared" si="162"/>
        <v>1.2968495578627744E-4</v>
      </c>
      <c r="E134" s="140">
        <f t="shared" si="162"/>
        <v>4.3031389394645461E-4</v>
      </c>
      <c r="F134" s="140">
        <f t="shared" si="162"/>
        <v>4.11797163239723E-4</v>
      </c>
      <c r="G134" s="140">
        <f t="shared" si="162"/>
        <v>4.2579112029212556E-4</v>
      </c>
      <c r="H134" s="140">
        <f t="shared" si="162"/>
        <v>4.0947078164731707E-4</v>
      </c>
      <c r="I134" s="140">
        <f t="shared" si="162"/>
        <v>4.5789087943598808E-4</v>
      </c>
      <c r="J134" s="140">
        <f t="shared" si="162"/>
        <v>5.0138853415286806E-4</v>
      </c>
      <c r="K134" s="140">
        <f t="shared" si="162"/>
        <v>5.1251347998263429E-4</v>
      </c>
      <c r="L134" s="140">
        <f t="shared" si="162"/>
        <v>2.0701688764066754E-4</v>
      </c>
      <c r="M134" s="140">
        <f t="shared" si="162"/>
        <v>2.1358976672470329E-4</v>
      </c>
      <c r="N134" s="140">
        <f t="shared" si="162"/>
        <v>2.2856762894264823E-4</v>
      </c>
      <c r="O134" s="140">
        <f t="shared" si="162"/>
        <v>2.5144491732195529E-4</v>
      </c>
      <c r="P134" s="140">
        <f t="shared" si="162"/>
        <v>1.7032848560102283E-4</v>
      </c>
      <c r="Q134" s="140">
        <f t="shared" si="162"/>
        <v>5.6784374356040124E-4</v>
      </c>
      <c r="R134" s="140">
        <f t="shared" si="162"/>
        <v>1.8296811936921987E-4</v>
      </c>
      <c r="S134" s="140">
        <f t="shared" si="162"/>
        <v>1.9191515702473994E-4</v>
      </c>
      <c r="T134" s="140">
        <f t="shared" si="162"/>
        <v>1.6563162158295946E-4</v>
      </c>
      <c r="U134" s="140">
        <f t="shared" si="162"/>
        <v>1.8995839622266394E-4</v>
      </c>
      <c r="V134" s="140">
        <f t="shared" si="162"/>
        <v>1.2225541951875157E-4</v>
      </c>
      <c r="W134" s="140">
        <f t="shared" si="162"/>
        <v>1.0793739573141279E-4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0.30128233944642285</v>
      </c>
      <c r="C135" s="124">
        <f t="shared" ref="C135:W135" si="163">IF(C43=0,0,C43/C$34)</f>
        <v>0.29410168270912307</v>
      </c>
      <c r="D135" s="124">
        <f t="shared" si="163"/>
        <v>0.29812815284309879</v>
      </c>
      <c r="E135" s="124">
        <f t="shared" si="163"/>
        <v>0.2895661929644478</v>
      </c>
      <c r="F135" s="124">
        <f t="shared" si="163"/>
        <v>0.30404603355794313</v>
      </c>
      <c r="G135" s="124">
        <f t="shared" si="163"/>
        <v>0.30618927335430385</v>
      </c>
      <c r="H135" s="124">
        <f t="shared" si="163"/>
        <v>0.29909188720770019</v>
      </c>
      <c r="I135" s="124">
        <f t="shared" si="163"/>
        <v>0.29966525031237223</v>
      </c>
      <c r="J135" s="124">
        <f t="shared" si="163"/>
        <v>0.29995894506450138</v>
      </c>
      <c r="K135" s="124">
        <f t="shared" si="163"/>
        <v>0.29189505149242451</v>
      </c>
      <c r="L135" s="124">
        <f t="shared" si="163"/>
        <v>0.28259155683118176</v>
      </c>
      <c r="M135" s="124">
        <f t="shared" si="163"/>
        <v>0.29626377891682054</v>
      </c>
      <c r="N135" s="124">
        <f t="shared" si="163"/>
        <v>0.30358842818155535</v>
      </c>
      <c r="O135" s="124">
        <f t="shared" si="163"/>
        <v>0.31409806150355257</v>
      </c>
      <c r="P135" s="124">
        <f t="shared" si="163"/>
        <v>0.33229940408324266</v>
      </c>
      <c r="Q135" s="124">
        <f t="shared" si="163"/>
        <v>0.34411705787014635</v>
      </c>
      <c r="R135" s="124">
        <f t="shared" si="163"/>
        <v>0.35239809181931031</v>
      </c>
      <c r="S135" s="124">
        <f t="shared" si="163"/>
        <v>0.35408505370510684</v>
      </c>
      <c r="T135" s="124">
        <f t="shared" si="163"/>
        <v>0.35847226814897776</v>
      </c>
      <c r="U135" s="124">
        <f t="shared" si="163"/>
        <v>0.35874536196763751</v>
      </c>
      <c r="V135" s="124">
        <f t="shared" si="163"/>
        <v>0.23301580440075487</v>
      </c>
      <c r="W135" s="124">
        <f t="shared" si="163"/>
        <v>0.25073118927648996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6.4279653509363072E-2</v>
      </c>
      <c r="C137" s="140">
        <f t="shared" ref="C137:W137" si="165">IF(C45=0,0,C45/C$34)</f>
        <v>6.2746900801445862E-2</v>
      </c>
      <c r="D137" s="140">
        <f t="shared" si="165"/>
        <v>6.407837295057138E-2</v>
      </c>
      <c r="E137" s="140">
        <f t="shared" si="165"/>
        <v>6.3852439828875091E-2</v>
      </c>
      <c r="F137" s="140">
        <f t="shared" si="165"/>
        <v>6.3562766784252239E-2</v>
      </c>
      <c r="G137" s="140">
        <f t="shared" si="165"/>
        <v>6.4173135017534855E-2</v>
      </c>
      <c r="H137" s="140">
        <f t="shared" si="165"/>
        <v>6.4449397137973874E-2</v>
      </c>
      <c r="I137" s="140">
        <f t="shared" si="165"/>
        <v>6.6022907104854825E-2</v>
      </c>
      <c r="J137" s="140">
        <f t="shared" si="165"/>
        <v>6.3785781099730543E-2</v>
      </c>
      <c r="K137" s="140">
        <f t="shared" si="165"/>
        <v>5.9516577528922865E-2</v>
      </c>
      <c r="L137" s="140">
        <f t="shared" si="165"/>
        <v>5.693368931445255E-2</v>
      </c>
      <c r="M137" s="140">
        <f t="shared" si="165"/>
        <v>6.0476544586997104E-2</v>
      </c>
      <c r="N137" s="140">
        <f t="shared" si="165"/>
        <v>6.1135015467435293E-2</v>
      </c>
      <c r="O137" s="140">
        <f t="shared" si="165"/>
        <v>6.3314196025790692E-2</v>
      </c>
      <c r="P137" s="140">
        <f t="shared" si="165"/>
        <v>6.782218152186488E-2</v>
      </c>
      <c r="Q137" s="140">
        <f t="shared" si="165"/>
        <v>7.1082234125802307E-2</v>
      </c>
      <c r="R137" s="140">
        <f t="shared" si="165"/>
        <v>7.6541394076216282E-2</v>
      </c>
      <c r="S137" s="140">
        <f t="shared" si="165"/>
        <v>7.8799242604587344E-2</v>
      </c>
      <c r="T137" s="140">
        <f t="shared" si="165"/>
        <v>7.8516789961821654E-2</v>
      </c>
      <c r="U137" s="140">
        <f t="shared" si="165"/>
        <v>7.5917833455394657E-2</v>
      </c>
      <c r="V137" s="140">
        <f t="shared" si="165"/>
        <v>3.9141855596763551E-2</v>
      </c>
      <c r="W137" s="140">
        <f t="shared" si="165"/>
        <v>4.6997267609670018E-2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0.23700268593705975</v>
      </c>
      <c r="C138" s="140">
        <f t="shared" ref="C138:W138" si="166">IF(C46=0,0,C46/C$34)</f>
        <v>0.23135478190767719</v>
      </c>
      <c r="D138" s="140">
        <f t="shared" si="166"/>
        <v>0.2340497798925274</v>
      </c>
      <c r="E138" s="140">
        <f t="shared" si="166"/>
        <v>0.22571375313557268</v>
      </c>
      <c r="F138" s="140">
        <f t="shared" si="166"/>
        <v>0.24048326677369089</v>
      </c>
      <c r="G138" s="140">
        <f t="shared" si="166"/>
        <v>0.24201613833676905</v>
      </c>
      <c r="H138" s="140">
        <f t="shared" si="166"/>
        <v>0.23464249006972626</v>
      </c>
      <c r="I138" s="140">
        <f t="shared" si="166"/>
        <v>0.23364234320751742</v>
      </c>
      <c r="J138" s="140">
        <f t="shared" si="166"/>
        <v>0.23617316396477081</v>
      </c>
      <c r="K138" s="140">
        <f t="shared" si="166"/>
        <v>0.23237847396350164</v>
      </c>
      <c r="L138" s="140">
        <f t="shared" si="166"/>
        <v>0.22565786751672923</v>
      </c>
      <c r="M138" s="140">
        <f t="shared" si="166"/>
        <v>0.23578723432982343</v>
      </c>
      <c r="N138" s="140">
        <f t="shared" si="166"/>
        <v>0.24245341271412008</v>
      </c>
      <c r="O138" s="140">
        <f t="shared" si="166"/>
        <v>0.25078386547776188</v>
      </c>
      <c r="P138" s="140">
        <f t="shared" si="166"/>
        <v>0.26447722256137773</v>
      </c>
      <c r="Q138" s="140">
        <f t="shared" si="166"/>
        <v>0.27303482374434407</v>
      </c>
      <c r="R138" s="140">
        <f t="shared" si="166"/>
        <v>0.27585669774309407</v>
      </c>
      <c r="S138" s="140">
        <f t="shared" si="166"/>
        <v>0.27528581110051947</v>
      </c>
      <c r="T138" s="140">
        <f t="shared" si="166"/>
        <v>0.2799554781871561</v>
      </c>
      <c r="U138" s="140">
        <f t="shared" si="166"/>
        <v>0.28282752851224285</v>
      </c>
      <c r="V138" s="140">
        <f t="shared" si="166"/>
        <v>0.19387394880399131</v>
      </c>
      <c r="W138" s="140">
        <f t="shared" si="166"/>
        <v>0.20373392166681992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0.833590574180338</v>
      </c>
      <c r="C140" s="139">
        <f t="shared" ref="C140:W140" si="169">IF(C48=0,0,C48/C$47)</f>
        <v>0.83486922738095426</v>
      </c>
      <c r="D140" s="139">
        <f t="shared" si="169"/>
        <v>0.83095297262858647</v>
      </c>
      <c r="E140" s="139">
        <f t="shared" si="169"/>
        <v>0.82971614729936871</v>
      </c>
      <c r="F140" s="139">
        <f t="shared" si="169"/>
        <v>0.82879455888461651</v>
      </c>
      <c r="G140" s="139">
        <f t="shared" si="169"/>
        <v>0.81584087564717589</v>
      </c>
      <c r="H140" s="139">
        <f t="shared" si="169"/>
        <v>0.80821976404121132</v>
      </c>
      <c r="I140" s="139">
        <f t="shared" si="169"/>
        <v>0.8072123999164309</v>
      </c>
      <c r="J140" s="139">
        <f t="shared" si="169"/>
        <v>0.80453437857975296</v>
      </c>
      <c r="K140" s="139">
        <f t="shared" si="169"/>
        <v>0.81580010146764603</v>
      </c>
      <c r="L140" s="139">
        <f t="shared" si="169"/>
        <v>0.80236885686882364</v>
      </c>
      <c r="M140" s="139">
        <f t="shared" si="169"/>
        <v>0.81294476208597888</v>
      </c>
      <c r="N140" s="139">
        <f t="shared" si="169"/>
        <v>0.82885803130629532</v>
      </c>
      <c r="O140" s="139">
        <f t="shared" si="169"/>
        <v>0.8117097347139316</v>
      </c>
      <c r="P140" s="139">
        <f t="shared" si="169"/>
        <v>0.79829109957668354</v>
      </c>
      <c r="Q140" s="139">
        <f t="shared" si="169"/>
        <v>0.79484310409699876</v>
      </c>
      <c r="R140" s="139">
        <f t="shared" si="169"/>
        <v>0.80704944822571889</v>
      </c>
      <c r="S140" s="139">
        <f t="shared" si="169"/>
        <v>0.81332449555119235</v>
      </c>
      <c r="T140" s="139">
        <f t="shared" si="169"/>
        <v>0.82451431402927378</v>
      </c>
      <c r="U140" s="139">
        <f t="shared" si="169"/>
        <v>0.84358468940494824</v>
      </c>
      <c r="V140" s="139">
        <f t="shared" si="169"/>
        <v>0.80563823567641868</v>
      </c>
      <c r="W140" s="139">
        <f t="shared" si="169"/>
        <v>0.80102935729055813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0.37973096425833336</v>
      </c>
      <c r="C141" s="140">
        <f t="shared" ref="C141:W141" si="170">IF(C49=0,0,C49/C$47)</f>
        <v>0.39134073792321705</v>
      </c>
      <c r="D141" s="140">
        <f t="shared" si="170"/>
        <v>0.38685867696460979</v>
      </c>
      <c r="E141" s="140">
        <f t="shared" si="170"/>
        <v>0.38629773358035047</v>
      </c>
      <c r="F141" s="140">
        <f t="shared" si="170"/>
        <v>0.39037432732878191</v>
      </c>
      <c r="G141" s="140">
        <f t="shared" si="170"/>
        <v>0.38488843844295201</v>
      </c>
      <c r="H141" s="140">
        <f t="shared" si="170"/>
        <v>0.36380203307587761</v>
      </c>
      <c r="I141" s="140">
        <f t="shared" si="170"/>
        <v>0.36392929345598046</v>
      </c>
      <c r="J141" s="140">
        <f t="shared" si="170"/>
        <v>0.36366491864827216</v>
      </c>
      <c r="K141" s="140">
        <f t="shared" si="170"/>
        <v>0.37538080442691601</v>
      </c>
      <c r="L141" s="140">
        <f t="shared" si="170"/>
        <v>0.367874116603363</v>
      </c>
      <c r="M141" s="140">
        <f t="shared" si="170"/>
        <v>0.3687569271424303</v>
      </c>
      <c r="N141" s="140">
        <f t="shared" si="170"/>
        <v>0.37177156341226553</v>
      </c>
      <c r="O141" s="140">
        <f t="shared" si="170"/>
        <v>0.38312310881039463</v>
      </c>
      <c r="P141" s="140">
        <f t="shared" si="170"/>
        <v>0.42072952150192694</v>
      </c>
      <c r="Q141" s="140">
        <f t="shared" si="170"/>
        <v>0.42484154156934223</v>
      </c>
      <c r="R141" s="140">
        <f t="shared" si="170"/>
        <v>0.43712715378526751</v>
      </c>
      <c r="S141" s="140">
        <f t="shared" si="170"/>
        <v>0.40745274884867483</v>
      </c>
      <c r="T141" s="140">
        <f t="shared" si="170"/>
        <v>0.38060918716171444</v>
      </c>
      <c r="U141" s="140">
        <f t="shared" si="170"/>
        <v>0.38137119104656247</v>
      </c>
      <c r="V141" s="140">
        <f t="shared" si="170"/>
        <v>0.37754990678484085</v>
      </c>
      <c r="W141" s="140">
        <f t="shared" si="170"/>
        <v>0.39986267337633785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0.45385960992200458</v>
      </c>
      <c r="C142" s="140">
        <f t="shared" ref="C142:W142" si="171">IF(C50=0,0,C50/C$47)</f>
        <v>0.4435284894577371</v>
      </c>
      <c r="D142" s="140">
        <f t="shared" si="171"/>
        <v>0.44409429566397673</v>
      </c>
      <c r="E142" s="140">
        <f t="shared" si="171"/>
        <v>0.44341841371901825</v>
      </c>
      <c r="F142" s="140">
        <f t="shared" si="171"/>
        <v>0.43842023155583459</v>
      </c>
      <c r="G142" s="140">
        <f t="shared" si="171"/>
        <v>0.43095243720422399</v>
      </c>
      <c r="H142" s="140">
        <f t="shared" si="171"/>
        <v>0.44441773096533377</v>
      </c>
      <c r="I142" s="140">
        <f t="shared" si="171"/>
        <v>0.44328310646045049</v>
      </c>
      <c r="J142" s="140">
        <f t="shared" si="171"/>
        <v>0.44086945993148069</v>
      </c>
      <c r="K142" s="140">
        <f t="shared" si="171"/>
        <v>0.44041929704072996</v>
      </c>
      <c r="L142" s="140">
        <f t="shared" si="171"/>
        <v>0.4344947402654607</v>
      </c>
      <c r="M142" s="140">
        <f t="shared" si="171"/>
        <v>0.44418783494354852</v>
      </c>
      <c r="N142" s="140">
        <f t="shared" si="171"/>
        <v>0.45708646789402979</v>
      </c>
      <c r="O142" s="140">
        <f t="shared" si="171"/>
        <v>0.42858662590353708</v>
      </c>
      <c r="P142" s="140">
        <f t="shared" si="171"/>
        <v>0.3775615780747566</v>
      </c>
      <c r="Q142" s="140">
        <f t="shared" si="171"/>
        <v>0.37000156252765665</v>
      </c>
      <c r="R142" s="140">
        <f t="shared" si="171"/>
        <v>0.36992229444045138</v>
      </c>
      <c r="S142" s="140">
        <f t="shared" si="171"/>
        <v>0.40587174670251752</v>
      </c>
      <c r="T142" s="140">
        <f t="shared" si="171"/>
        <v>0.44390512686755929</v>
      </c>
      <c r="U142" s="140">
        <f t="shared" si="171"/>
        <v>0.46221349835838582</v>
      </c>
      <c r="V142" s="140">
        <f t="shared" si="171"/>
        <v>0.42808832889157789</v>
      </c>
      <c r="W142" s="140">
        <f t="shared" si="171"/>
        <v>0.40116668391422033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3.7905566335699288E-3</v>
      </c>
      <c r="C143" s="124">
        <f t="shared" ref="C143:W143" si="172">IF(C51=0,0,C51/C$47)</f>
        <v>3.7190418634593008E-3</v>
      </c>
      <c r="D143" s="124">
        <f t="shared" si="172"/>
        <v>3.1240523916033084E-3</v>
      </c>
      <c r="E143" s="124">
        <f t="shared" si="172"/>
        <v>3.1263324012005744E-3</v>
      </c>
      <c r="F143" s="124">
        <f t="shared" si="172"/>
        <v>3.6691157920465708E-3</v>
      </c>
      <c r="G143" s="124">
        <f t="shared" si="172"/>
        <v>3.7885132124584773E-3</v>
      </c>
      <c r="H143" s="124">
        <f t="shared" si="172"/>
        <v>3.6309718471929683E-3</v>
      </c>
      <c r="I143" s="124">
        <f t="shared" si="172"/>
        <v>4.0963293395192618E-3</v>
      </c>
      <c r="J143" s="124">
        <f t="shared" si="172"/>
        <v>3.9211111653517337E-3</v>
      </c>
      <c r="K143" s="124">
        <f t="shared" si="172"/>
        <v>3.4112452992259251E-3</v>
      </c>
      <c r="L143" s="124">
        <f t="shared" si="172"/>
        <v>3.852437318294679E-3</v>
      </c>
      <c r="M143" s="124">
        <f t="shared" si="172"/>
        <v>4.0144393620539162E-3</v>
      </c>
      <c r="N143" s="124">
        <f t="shared" si="172"/>
        <v>3.9791039100891172E-3</v>
      </c>
      <c r="O143" s="124">
        <f t="shared" si="172"/>
        <v>4.1060254252298879E-3</v>
      </c>
      <c r="P143" s="124">
        <f t="shared" si="172"/>
        <v>4.5792123889154728E-3</v>
      </c>
      <c r="Q143" s="124">
        <f t="shared" si="172"/>
        <v>4.6844784904738843E-3</v>
      </c>
      <c r="R143" s="124">
        <f t="shared" si="172"/>
        <v>4.7250396117770139E-3</v>
      </c>
      <c r="S143" s="124">
        <f t="shared" si="172"/>
        <v>4.223613841108303E-3</v>
      </c>
      <c r="T143" s="124">
        <f t="shared" si="172"/>
        <v>4.2522165883832194E-3</v>
      </c>
      <c r="U143" s="124">
        <f t="shared" si="172"/>
        <v>4.2770063884867964E-3</v>
      </c>
      <c r="V143" s="124">
        <f t="shared" si="172"/>
        <v>4.6320934624057685E-3</v>
      </c>
      <c r="W143" s="124">
        <f t="shared" si="172"/>
        <v>4.887714497441408E-3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0.11054657058229539</v>
      </c>
      <c r="C144" s="124">
        <f t="shared" ref="C144:W144" si="173">IF(C52=0,0,C52/C$47)</f>
        <v>0.10769108292707219</v>
      </c>
      <c r="D144" s="124">
        <f t="shared" si="173"/>
        <v>0.11220390749622415</v>
      </c>
      <c r="E144" s="124">
        <f t="shared" si="173"/>
        <v>0.11851318361084345</v>
      </c>
      <c r="F144" s="124">
        <f t="shared" si="173"/>
        <v>0.12002402393008263</v>
      </c>
      <c r="G144" s="124">
        <f t="shared" si="173"/>
        <v>0.12991377951748678</v>
      </c>
      <c r="H144" s="124">
        <f t="shared" si="173"/>
        <v>0.13769952575652022</v>
      </c>
      <c r="I144" s="124">
        <f t="shared" si="173"/>
        <v>0.13453806680500863</v>
      </c>
      <c r="J144" s="124">
        <f t="shared" si="173"/>
        <v>0.13682467330174716</v>
      </c>
      <c r="K144" s="124">
        <f t="shared" si="173"/>
        <v>0.1196779429420326</v>
      </c>
      <c r="L144" s="124">
        <f t="shared" si="173"/>
        <v>0.12736249995440607</v>
      </c>
      <c r="M144" s="124">
        <f t="shared" si="173"/>
        <v>0.11684068065862828</v>
      </c>
      <c r="N144" s="124">
        <f t="shared" si="173"/>
        <v>0.10234540767255088</v>
      </c>
      <c r="O144" s="124">
        <f t="shared" si="173"/>
        <v>0.11055429977936912</v>
      </c>
      <c r="P144" s="124">
        <f t="shared" si="173"/>
        <v>0.12325147750315701</v>
      </c>
      <c r="Q144" s="124">
        <f t="shared" si="173"/>
        <v>0.12154596681491736</v>
      </c>
      <c r="R144" s="124">
        <f t="shared" si="173"/>
        <v>0.11353553861955473</v>
      </c>
      <c r="S144" s="124">
        <f t="shared" si="173"/>
        <v>0.11502484510760945</v>
      </c>
      <c r="T144" s="124">
        <f t="shared" si="173"/>
        <v>0.10714428210479321</v>
      </c>
      <c r="U144" s="124">
        <f t="shared" si="173"/>
        <v>9.2941287084168794E-2</v>
      </c>
      <c r="V144" s="124">
        <f t="shared" si="173"/>
        <v>0.14364915802569622</v>
      </c>
      <c r="W144" s="124">
        <f t="shared" si="173"/>
        <v>0.14067312553189606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2.4894007384234024E-3</v>
      </c>
      <c r="C146" s="140">
        <f t="shared" ref="C146:W146" si="175">IF(C54=0,0,C54/C$47)</f>
        <v>3.2712251692529125E-3</v>
      </c>
      <c r="D146" s="140">
        <f t="shared" si="175"/>
        <v>2.5507824913325399E-3</v>
      </c>
      <c r="E146" s="140">
        <f t="shared" si="175"/>
        <v>2.5791030222734527E-3</v>
      </c>
      <c r="F146" s="140">
        <f t="shared" si="175"/>
        <v>2.6513071730531641E-3</v>
      </c>
      <c r="G146" s="140">
        <f t="shared" si="175"/>
        <v>2.5799642736641995E-3</v>
      </c>
      <c r="H146" s="140">
        <f t="shared" si="175"/>
        <v>2.5214909397678672E-3</v>
      </c>
      <c r="I146" s="140">
        <f t="shared" si="175"/>
        <v>2.6072897974895549E-3</v>
      </c>
      <c r="J146" s="140">
        <f t="shared" si="175"/>
        <v>3.2397467221083041E-3</v>
      </c>
      <c r="K146" s="140">
        <f t="shared" si="175"/>
        <v>3.4554155605458622E-3</v>
      </c>
      <c r="L146" s="140">
        <f t="shared" si="175"/>
        <v>3.5893259346083599E-3</v>
      </c>
      <c r="M146" s="140">
        <f t="shared" si="175"/>
        <v>2.7467368015419128E-3</v>
      </c>
      <c r="N146" s="140">
        <f t="shared" si="175"/>
        <v>2.2260302938457493E-3</v>
      </c>
      <c r="O146" s="140">
        <f t="shared" si="175"/>
        <v>2.5068389723842993E-3</v>
      </c>
      <c r="P146" s="140">
        <f t="shared" si="175"/>
        <v>2.9989130950437586E-3</v>
      </c>
      <c r="Q146" s="140">
        <f t="shared" si="175"/>
        <v>2.9427412647538764E-3</v>
      </c>
      <c r="R146" s="140">
        <f t="shared" si="175"/>
        <v>3.1228192048463302E-3</v>
      </c>
      <c r="S146" s="140">
        <f t="shared" si="175"/>
        <v>2.6842279366254057E-3</v>
      </c>
      <c r="T146" s="140">
        <f t="shared" si="175"/>
        <v>2.0852352882870999E-3</v>
      </c>
      <c r="U146" s="140">
        <f t="shared" si="175"/>
        <v>1.9134524820756294E-3</v>
      </c>
      <c r="V146" s="140">
        <f t="shared" si="175"/>
        <v>1.6772977857405049E-3</v>
      </c>
      <c r="W146" s="140">
        <f t="shared" si="175"/>
        <v>2.0343832627629128E-3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0.10805716984387198</v>
      </c>
      <c r="C147" s="140">
        <f t="shared" ref="C147:W147" si="176">IF(C55=0,0,C55/C$47)</f>
        <v>0.10441985775781927</v>
      </c>
      <c r="D147" s="140">
        <f t="shared" si="176"/>
        <v>0.10965312500489161</v>
      </c>
      <c r="E147" s="140">
        <f t="shared" si="176"/>
        <v>0.11593408058857001</v>
      </c>
      <c r="F147" s="140">
        <f t="shared" si="176"/>
        <v>0.11737271675702947</v>
      </c>
      <c r="G147" s="140">
        <f t="shared" si="176"/>
        <v>0.12733381524382259</v>
      </c>
      <c r="H147" s="140">
        <f t="shared" si="176"/>
        <v>0.13517803481675236</v>
      </c>
      <c r="I147" s="140">
        <f t="shared" si="176"/>
        <v>0.13193077700751907</v>
      </c>
      <c r="J147" s="140">
        <f t="shared" si="176"/>
        <v>0.13358492657963886</v>
      </c>
      <c r="K147" s="140">
        <f t="shared" si="176"/>
        <v>0.11622252738148674</v>
      </c>
      <c r="L147" s="140">
        <f t="shared" si="176"/>
        <v>0.12377317401979772</v>
      </c>
      <c r="M147" s="140">
        <f t="shared" si="176"/>
        <v>0.11409394385708635</v>
      </c>
      <c r="N147" s="140">
        <f t="shared" si="176"/>
        <v>0.10011937737870512</v>
      </c>
      <c r="O147" s="140">
        <f t="shared" si="176"/>
        <v>0.10804746080698482</v>
      </c>
      <c r="P147" s="140">
        <f t="shared" si="176"/>
        <v>0.12025256440811326</v>
      </c>
      <c r="Q147" s="140">
        <f t="shared" si="176"/>
        <v>0.11860322555016349</v>
      </c>
      <c r="R147" s="140">
        <f t="shared" si="176"/>
        <v>0.1104127194147084</v>
      </c>
      <c r="S147" s="140">
        <f t="shared" si="176"/>
        <v>0.11234061717098405</v>
      </c>
      <c r="T147" s="140">
        <f t="shared" si="176"/>
        <v>0.1050590468165061</v>
      </c>
      <c r="U147" s="140">
        <f t="shared" si="176"/>
        <v>9.1027834602093169E-2</v>
      </c>
      <c r="V147" s="140">
        <f t="shared" si="176"/>
        <v>0.1419718602399557</v>
      </c>
      <c r="W147" s="140">
        <f t="shared" si="176"/>
        <v>0.13863874226913317</v>
      </c>
      <c r="DA147" s="175"/>
    </row>
    <row r="148" spans="1:105" ht="11.45" customHeight="1" x14ac:dyDescent="0.25">
      <c r="A148" s="109" t="s">
        <v>142</v>
      </c>
      <c r="B148" s="124">
        <f t="shared" si="167"/>
        <v>5.2072298603796675E-2</v>
      </c>
      <c r="C148" s="124">
        <f t="shared" ref="C148:W148" si="177">IF(C56=0,0,C56/C$47)</f>
        <v>5.3720647828514205E-2</v>
      </c>
      <c r="D148" s="124">
        <f t="shared" si="177"/>
        <v>5.3719067483585937E-2</v>
      </c>
      <c r="E148" s="124">
        <f t="shared" si="177"/>
        <v>4.8644336688587232E-2</v>
      </c>
      <c r="F148" s="124">
        <f t="shared" si="177"/>
        <v>4.7512301393254339E-2</v>
      </c>
      <c r="G148" s="124">
        <f t="shared" si="177"/>
        <v>5.0456831622878839E-2</v>
      </c>
      <c r="H148" s="124">
        <f t="shared" si="177"/>
        <v>5.0449738355075595E-2</v>
      </c>
      <c r="I148" s="124">
        <f t="shared" si="177"/>
        <v>5.415320393904121E-2</v>
      </c>
      <c r="J148" s="124">
        <f t="shared" si="177"/>
        <v>5.4719836953148096E-2</v>
      </c>
      <c r="K148" s="124">
        <f t="shared" si="177"/>
        <v>6.1110710291095355E-2</v>
      </c>
      <c r="L148" s="124">
        <f t="shared" si="177"/>
        <v>6.6416205858475671E-2</v>
      </c>
      <c r="M148" s="124">
        <f t="shared" si="177"/>
        <v>6.6200117893338919E-2</v>
      </c>
      <c r="N148" s="124">
        <f t="shared" si="177"/>
        <v>6.4817457111064819E-2</v>
      </c>
      <c r="O148" s="124">
        <f t="shared" si="177"/>
        <v>7.3629940081469322E-2</v>
      </c>
      <c r="P148" s="124">
        <f t="shared" si="177"/>
        <v>7.3878210531243882E-2</v>
      </c>
      <c r="Q148" s="124">
        <f t="shared" si="177"/>
        <v>7.8926450597609943E-2</v>
      </c>
      <c r="R148" s="124">
        <f t="shared" si="177"/>
        <v>7.4689973542949276E-2</v>
      </c>
      <c r="S148" s="124">
        <f t="shared" si="177"/>
        <v>6.7427045500090016E-2</v>
      </c>
      <c r="T148" s="124">
        <f t="shared" si="177"/>
        <v>6.4089187277549753E-2</v>
      </c>
      <c r="U148" s="124">
        <f t="shared" si="177"/>
        <v>5.9197017122396146E-2</v>
      </c>
      <c r="V148" s="124">
        <f t="shared" si="177"/>
        <v>4.6080512835479287E-2</v>
      </c>
      <c r="W148" s="124">
        <f t="shared" si="177"/>
        <v>5.3409802680104333E-2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6.0376962160679762E-5</v>
      </c>
      <c r="C149" s="140">
        <f t="shared" ref="C149:W149" si="178">IF(C57=0,0,C57/C$47)</f>
        <v>5.1660556757820081E-5</v>
      </c>
      <c r="D149" s="140">
        <f t="shared" si="178"/>
        <v>5.4309592651410916E-5</v>
      </c>
      <c r="E149" s="140">
        <f t="shared" si="178"/>
        <v>5.1054204600892153E-5</v>
      </c>
      <c r="F149" s="140">
        <f t="shared" si="178"/>
        <v>5.5779344490470684E-5</v>
      </c>
      <c r="G149" s="140">
        <f t="shared" si="178"/>
        <v>6.9078275253620452E-5</v>
      </c>
      <c r="H149" s="140">
        <f t="shared" si="178"/>
        <v>6.8340215791740094E-5</v>
      </c>
      <c r="I149" s="140">
        <f t="shared" si="178"/>
        <v>7.6634815486984606E-5</v>
      </c>
      <c r="J149" s="140">
        <f t="shared" si="178"/>
        <v>9.3358649579193721E-5</v>
      </c>
      <c r="K149" s="140">
        <f t="shared" si="178"/>
        <v>1.0326176803597393E-4</v>
      </c>
      <c r="L149" s="140">
        <f t="shared" si="178"/>
        <v>1.3968867660304386E-4</v>
      </c>
      <c r="M149" s="140">
        <f t="shared" si="178"/>
        <v>1.3635329040569128E-4</v>
      </c>
      <c r="N149" s="140">
        <f t="shared" si="178"/>
        <v>1.3357554826433265E-4</v>
      </c>
      <c r="O149" s="140">
        <f t="shared" si="178"/>
        <v>1.1532053765285729E-4</v>
      </c>
      <c r="P149" s="140">
        <f t="shared" si="178"/>
        <v>1.5191011706295235E-4</v>
      </c>
      <c r="Q149" s="140">
        <f t="shared" si="178"/>
        <v>1.5686092264922602E-4</v>
      </c>
      <c r="R149" s="140">
        <f t="shared" si="178"/>
        <v>1.0087979798946175E-4</v>
      </c>
      <c r="S149" s="140">
        <f t="shared" si="178"/>
        <v>1.8507699845990108E-4</v>
      </c>
      <c r="T149" s="140">
        <f t="shared" si="178"/>
        <v>1.6208820922806053E-4</v>
      </c>
      <c r="U149" s="140">
        <f t="shared" si="178"/>
        <v>2.2677448639814372E-4</v>
      </c>
      <c r="V149" s="140">
        <f t="shared" si="178"/>
        <v>1.2817878007646355E-4</v>
      </c>
      <c r="W149" s="140">
        <f t="shared" si="178"/>
        <v>1.2739429458398513E-4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5.2011921641635997E-2</v>
      </c>
      <c r="C150" s="127">
        <f t="shared" ref="C150:W150" si="179">IF(C58=0,0,C58/C$47)</f>
        <v>5.366898727175639E-2</v>
      </c>
      <c r="D150" s="127">
        <f t="shared" si="179"/>
        <v>5.3664757890934521E-2</v>
      </c>
      <c r="E150" s="127">
        <f t="shared" si="179"/>
        <v>4.8593282483986339E-2</v>
      </c>
      <c r="F150" s="127">
        <f t="shared" si="179"/>
        <v>4.7456522048763869E-2</v>
      </c>
      <c r="G150" s="127">
        <f t="shared" si="179"/>
        <v>5.0387753347625221E-2</v>
      </c>
      <c r="H150" s="127">
        <f t="shared" si="179"/>
        <v>5.0381398139283856E-2</v>
      </c>
      <c r="I150" s="127">
        <f t="shared" si="179"/>
        <v>5.4076569123554227E-2</v>
      </c>
      <c r="J150" s="127">
        <f t="shared" si="179"/>
        <v>5.4626478303568905E-2</v>
      </c>
      <c r="K150" s="127">
        <f t="shared" si="179"/>
        <v>6.1007448523059379E-2</v>
      </c>
      <c r="L150" s="127">
        <f t="shared" si="179"/>
        <v>6.6276517181872621E-2</v>
      </c>
      <c r="M150" s="127">
        <f t="shared" si="179"/>
        <v>6.6063764602933242E-2</v>
      </c>
      <c r="N150" s="127">
        <f t="shared" si="179"/>
        <v>6.4683881562800485E-2</v>
      </c>
      <c r="O150" s="127">
        <f t="shared" si="179"/>
        <v>7.3514619543816467E-2</v>
      </c>
      <c r="P150" s="127">
        <f t="shared" si="179"/>
        <v>7.3726300414180934E-2</v>
      </c>
      <c r="Q150" s="127">
        <f t="shared" si="179"/>
        <v>7.8769589674960713E-2</v>
      </c>
      <c r="R150" s="127">
        <f t="shared" si="179"/>
        <v>7.4589093744959797E-2</v>
      </c>
      <c r="S150" s="127">
        <f t="shared" si="179"/>
        <v>6.7241968501630112E-2</v>
      </c>
      <c r="T150" s="127">
        <f t="shared" si="179"/>
        <v>6.3927099068321697E-2</v>
      </c>
      <c r="U150" s="127">
        <f t="shared" si="179"/>
        <v>5.8970242635998003E-2</v>
      </c>
      <c r="V150" s="127">
        <f t="shared" si="179"/>
        <v>4.5952334055402826E-2</v>
      </c>
      <c r="W150" s="127">
        <f t="shared" si="179"/>
        <v>5.3282408385520348E-2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0.19947186836657657</v>
      </c>
      <c r="C152" s="140">
        <f t="shared" ref="C152:W152" si="181">IF(C60=0,0,C60/C$59)</f>
        <v>0.19828360006116824</v>
      </c>
      <c r="D152" s="140">
        <f t="shared" si="181"/>
        <v>0.20064823813266236</v>
      </c>
      <c r="E152" s="140">
        <f t="shared" si="181"/>
        <v>0.19500117279540463</v>
      </c>
      <c r="F152" s="140">
        <f t="shared" si="181"/>
        <v>0.19449554782532275</v>
      </c>
      <c r="G152" s="140">
        <f t="shared" si="181"/>
        <v>0.17623595007817397</v>
      </c>
      <c r="H152" s="140">
        <f t="shared" si="181"/>
        <v>0.1680671790636504</v>
      </c>
      <c r="I152" s="140">
        <f t="shared" si="181"/>
        <v>0.16557540217505962</v>
      </c>
      <c r="J152" s="140">
        <f t="shared" si="181"/>
        <v>0.15576989929768881</v>
      </c>
      <c r="K152" s="140">
        <f t="shared" si="181"/>
        <v>0.18251398098374166</v>
      </c>
      <c r="L152" s="140">
        <f t="shared" si="181"/>
        <v>0.19206039961982635</v>
      </c>
      <c r="M152" s="140">
        <f t="shared" si="181"/>
        <v>0.17492556228722533</v>
      </c>
      <c r="N152" s="140">
        <f t="shared" si="181"/>
        <v>0.1747627326544651</v>
      </c>
      <c r="O152" s="140">
        <f t="shared" si="181"/>
        <v>0.17722729164404666</v>
      </c>
      <c r="P152" s="140">
        <f t="shared" si="181"/>
        <v>0.1803065435211321</v>
      </c>
      <c r="Q152" s="140">
        <f t="shared" si="181"/>
        <v>0.17261660042517044</v>
      </c>
      <c r="R152" s="140">
        <f t="shared" si="181"/>
        <v>0.16840129425368092</v>
      </c>
      <c r="S152" s="140">
        <f t="shared" si="181"/>
        <v>0.16654557508511858</v>
      </c>
      <c r="T152" s="140">
        <f t="shared" si="181"/>
        <v>0.17443568269817333</v>
      </c>
      <c r="U152" s="140">
        <f t="shared" si="181"/>
        <v>0.17922899996561414</v>
      </c>
      <c r="V152" s="140">
        <f t="shared" si="181"/>
        <v>0.15967099309341559</v>
      </c>
      <c r="W152" s="140">
        <f t="shared" si="181"/>
        <v>0.16113038953014044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0.8005281316334234</v>
      </c>
      <c r="C153" s="127">
        <f t="shared" ref="C153:W153" si="182">IF(C61=0,0,C61/C$59)</f>
        <v>0.8017163999388317</v>
      </c>
      <c r="D153" s="127">
        <f t="shared" si="182"/>
        <v>0.79935176186733758</v>
      </c>
      <c r="E153" s="127">
        <f t="shared" si="182"/>
        <v>0.80499882720459537</v>
      </c>
      <c r="F153" s="127">
        <f t="shared" si="182"/>
        <v>0.80550445217467725</v>
      </c>
      <c r="G153" s="127">
        <f t="shared" si="182"/>
        <v>0.82376404992182606</v>
      </c>
      <c r="H153" s="127">
        <f t="shared" si="182"/>
        <v>0.83193282093634957</v>
      </c>
      <c r="I153" s="127">
        <f t="shared" si="182"/>
        <v>0.83442459782494027</v>
      </c>
      <c r="J153" s="127">
        <f t="shared" si="182"/>
        <v>0.84423010070231119</v>
      </c>
      <c r="K153" s="127">
        <f t="shared" si="182"/>
        <v>0.81748601901625839</v>
      </c>
      <c r="L153" s="127">
        <f t="shared" si="182"/>
        <v>0.80793960038017365</v>
      </c>
      <c r="M153" s="127">
        <f t="shared" si="182"/>
        <v>0.82507443771277467</v>
      </c>
      <c r="N153" s="127">
        <f t="shared" si="182"/>
        <v>0.82523726734553482</v>
      </c>
      <c r="O153" s="127">
        <f t="shared" si="182"/>
        <v>0.82277270835595329</v>
      </c>
      <c r="P153" s="127">
        <f t="shared" si="182"/>
        <v>0.81969345647886782</v>
      </c>
      <c r="Q153" s="127">
        <f t="shared" si="182"/>
        <v>0.82738339957482954</v>
      </c>
      <c r="R153" s="127">
        <f t="shared" si="182"/>
        <v>0.831598705746319</v>
      </c>
      <c r="S153" s="127">
        <f t="shared" si="182"/>
        <v>0.83345442491488142</v>
      </c>
      <c r="T153" s="127">
        <f t="shared" si="182"/>
        <v>0.82556431730182667</v>
      </c>
      <c r="U153" s="127">
        <f t="shared" si="182"/>
        <v>0.82077100003438574</v>
      </c>
      <c r="V153" s="127">
        <f t="shared" si="182"/>
        <v>0.8403290069065843</v>
      </c>
      <c r="W153" s="127">
        <f t="shared" si="182"/>
        <v>0.83886961046985964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0.68556740898470225</v>
      </c>
      <c r="C157" s="139">
        <f t="shared" ref="C157:W157" si="185">IF(C65=0,0,C65/C$64)</f>
        <v>0.69332354147596875</v>
      </c>
      <c r="D157" s="139">
        <f t="shared" si="185"/>
        <v>0.68960995318321316</v>
      </c>
      <c r="E157" s="139">
        <f t="shared" si="185"/>
        <v>0.69860856966531693</v>
      </c>
      <c r="F157" s="139">
        <f t="shared" si="185"/>
        <v>0.68401528844050918</v>
      </c>
      <c r="G157" s="139">
        <f t="shared" si="185"/>
        <v>0.68231026009753715</v>
      </c>
      <c r="H157" s="139">
        <f t="shared" si="185"/>
        <v>0.68902156166588246</v>
      </c>
      <c r="I157" s="139">
        <f t="shared" si="185"/>
        <v>0.68434029944044161</v>
      </c>
      <c r="J157" s="139">
        <f t="shared" si="185"/>
        <v>0.68410170230164447</v>
      </c>
      <c r="K157" s="139">
        <f t="shared" si="185"/>
        <v>0.69043811770976848</v>
      </c>
      <c r="L157" s="139">
        <f t="shared" si="185"/>
        <v>0.7012618322046229</v>
      </c>
      <c r="M157" s="139">
        <f t="shared" si="185"/>
        <v>0.68610754184648948</v>
      </c>
      <c r="N157" s="139">
        <f t="shared" si="185"/>
        <v>0.67904621458825187</v>
      </c>
      <c r="O157" s="139">
        <f t="shared" si="185"/>
        <v>0.66796909344261735</v>
      </c>
      <c r="P157" s="139">
        <f t="shared" si="185"/>
        <v>0.64808263703071467</v>
      </c>
      <c r="Q157" s="139">
        <f t="shared" si="185"/>
        <v>0.63632204279784121</v>
      </c>
      <c r="R157" s="139">
        <f t="shared" si="185"/>
        <v>0.6288174650121815</v>
      </c>
      <c r="S157" s="139">
        <f t="shared" si="185"/>
        <v>0.62606882187996216</v>
      </c>
      <c r="T157" s="139">
        <f t="shared" si="185"/>
        <v>0.61791825189845762</v>
      </c>
      <c r="U157" s="139">
        <f t="shared" si="185"/>
        <v>0.61454975109040122</v>
      </c>
      <c r="V157" s="139">
        <f t="shared" si="185"/>
        <v>0.7413614833569715</v>
      </c>
      <c r="W157" s="139">
        <f t="shared" si="185"/>
        <v>0.72144620197551645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1.4142263891481896E-2</v>
      </c>
      <c r="C158" s="140">
        <f t="shared" ref="C158:W158" si="186">IF(C66=0,0,C66/C$64)</f>
        <v>1.4731217936926886E-2</v>
      </c>
      <c r="D158" s="140">
        <f t="shared" si="186"/>
        <v>1.4767183092365079E-2</v>
      </c>
      <c r="E158" s="140">
        <f t="shared" si="186"/>
        <v>1.5073203531355292E-2</v>
      </c>
      <c r="F158" s="140">
        <f t="shared" si="186"/>
        <v>1.3945851046108225E-2</v>
      </c>
      <c r="G158" s="140">
        <f t="shared" si="186"/>
        <v>1.422846307978913E-2</v>
      </c>
      <c r="H158" s="140">
        <f t="shared" si="186"/>
        <v>1.4619769668902731E-2</v>
      </c>
      <c r="I158" s="140">
        <f t="shared" si="186"/>
        <v>1.5067153979756625E-2</v>
      </c>
      <c r="J158" s="140">
        <f t="shared" si="186"/>
        <v>1.580071106777254E-2</v>
      </c>
      <c r="K158" s="140">
        <f t="shared" si="186"/>
        <v>1.6349357460673945E-2</v>
      </c>
      <c r="L158" s="140">
        <f t="shared" si="186"/>
        <v>1.6684200549900084E-2</v>
      </c>
      <c r="M158" s="140">
        <f t="shared" si="186"/>
        <v>1.6575332896321741E-2</v>
      </c>
      <c r="N158" s="140">
        <f t="shared" si="186"/>
        <v>1.6594834264252862E-2</v>
      </c>
      <c r="O158" s="140">
        <f t="shared" si="186"/>
        <v>1.6436937152618077E-2</v>
      </c>
      <c r="P158" s="140">
        <f t="shared" si="186"/>
        <v>1.576304621722658E-2</v>
      </c>
      <c r="Q158" s="140">
        <f t="shared" si="186"/>
        <v>1.5658859958424125E-2</v>
      </c>
      <c r="R158" s="140">
        <f t="shared" si="186"/>
        <v>1.5501888686709929E-2</v>
      </c>
      <c r="S158" s="140">
        <f t="shared" si="186"/>
        <v>1.4262053076525658E-2</v>
      </c>
      <c r="T158" s="140">
        <f t="shared" si="186"/>
        <v>1.4097110308880239E-2</v>
      </c>
      <c r="U158" s="140">
        <f t="shared" si="186"/>
        <v>1.4343991261870883E-2</v>
      </c>
      <c r="V158" s="140">
        <f t="shared" si="186"/>
        <v>1.9600273485919882E-2</v>
      </c>
      <c r="W158" s="140">
        <f t="shared" si="186"/>
        <v>1.7542795969881494E-2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0.62978323077758314</v>
      </c>
      <c r="C159" s="140">
        <f t="shared" ref="C159:W159" si="187">IF(C67=0,0,C67/C$64)</f>
        <v>0.63807444604572483</v>
      </c>
      <c r="D159" s="140">
        <f t="shared" si="187"/>
        <v>0.63572211883574903</v>
      </c>
      <c r="E159" s="140">
        <f t="shared" si="187"/>
        <v>0.64507187263004462</v>
      </c>
      <c r="F159" s="140">
        <f t="shared" si="187"/>
        <v>0.63338397953719972</v>
      </c>
      <c r="G159" s="140">
        <f t="shared" si="187"/>
        <v>0.63172317071816086</v>
      </c>
      <c r="H159" s="140">
        <f t="shared" si="187"/>
        <v>0.63894544833771572</v>
      </c>
      <c r="I159" s="140">
        <f t="shared" si="187"/>
        <v>0.63493390438804642</v>
      </c>
      <c r="J159" s="140">
        <f t="shared" si="187"/>
        <v>0.63263184598744671</v>
      </c>
      <c r="K159" s="140">
        <f t="shared" si="187"/>
        <v>0.63688441333400225</v>
      </c>
      <c r="L159" s="140">
        <f t="shared" si="187"/>
        <v>0.64430801527564063</v>
      </c>
      <c r="M159" s="140">
        <f t="shared" si="187"/>
        <v>0.63116011802435357</v>
      </c>
      <c r="N159" s="140">
        <f t="shared" si="187"/>
        <v>0.62403823580640116</v>
      </c>
      <c r="O159" s="140">
        <f t="shared" si="187"/>
        <v>0.614159910933751</v>
      </c>
      <c r="P159" s="140">
        <f t="shared" si="187"/>
        <v>0.59658623075336259</v>
      </c>
      <c r="Q159" s="140">
        <f t="shared" si="187"/>
        <v>0.58603133061014501</v>
      </c>
      <c r="R159" s="140">
        <f t="shared" si="187"/>
        <v>0.57929558482593391</v>
      </c>
      <c r="S159" s="140">
        <f t="shared" si="187"/>
        <v>0.57623426739293748</v>
      </c>
      <c r="T159" s="140">
        <f t="shared" si="187"/>
        <v>0.57142146054247089</v>
      </c>
      <c r="U159" s="140">
        <f t="shared" si="187"/>
        <v>0.5702333504931475</v>
      </c>
      <c r="V159" s="140">
        <f t="shared" si="187"/>
        <v>0.68613626245936532</v>
      </c>
      <c r="W159" s="140">
        <f t="shared" si="187"/>
        <v>0.67492031739694958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4.1641914315637248E-2</v>
      </c>
      <c r="C160" s="140">
        <f t="shared" ref="C160:W160" si="188">IF(C68=0,0,C68/C$64)</f>
        <v>4.051787749331702E-2</v>
      </c>
      <c r="D160" s="140">
        <f t="shared" si="188"/>
        <v>3.9120651255099052E-2</v>
      </c>
      <c r="E160" s="140">
        <f t="shared" si="188"/>
        <v>3.8463493503917014E-2</v>
      </c>
      <c r="F160" s="140">
        <f t="shared" si="188"/>
        <v>3.6685457857201058E-2</v>
      </c>
      <c r="G160" s="140">
        <f t="shared" si="188"/>
        <v>3.6358626299587131E-2</v>
      </c>
      <c r="H160" s="140">
        <f t="shared" si="188"/>
        <v>3.5456343659264124E-2</v>
      </c>
      <c r="I160" s="140">
        <f t="shared" si="188"/>
        <v>3.4339241072638541E-2</v>
      </c>
      <c r="J160" s="140">
        <f t="shared" si="188"/>
        <v>3.5669145246425192E-2</v>
      </c>
      <c r="K160" s="140">
        <f t="shared" si="188"/>
        <v>3.7204346915092286E-2</v>
      </c>
      <c r="L160" s="140">
        <f t="shared" si="188"/>
        <v>4.0269616379082392E-2</v>
      </c>
      <c r="M160" s="140">
        <f t="shared" si="188"/>
        <v>3.8372090925814166E-2</v>
      </c>
      <c r="N160" s="140">
        <f t="shared" si="188"/>
        <v>3.8413144517597898E-2</v>
      </c>
      <c r="O160" s="140">
        <f t="shared" si="188"/>
        <v>3.7372245356248258E-2</v>
      </c>
      <c r="P160" s="140">
        <f t="shared" si="188"/>
        <v>3.5733360060125417E-2</v>
      </c>
      <c r="Q160" s="140">
        <f t="shared" si="188"/>
        <v>3.4631852229272043E-2</v>
      </c>
      <c r="R160" s="140">
        <f t="shared" si="188"/>
        <v>3.4019991499537591E-2</v>
      </c>
      <c r="S160" s="140">
        <f t="shared" si="188"/>
        <v>3.5572501410499051E-2</v>
      </c>
      <c r="T160" s="140">
        <f t="shared" si="188"/>
        <v>3.2399681047106409E-2</v>
      </c>
      <c r="U160" s="140">
        <f t="shared" si="188"/>
        <v>2.997240933538281E-2</v>
      </c>
      <c r="V160" s="140">
        <f t="shared" si="188"/>
        <v>3.5624947411686286E-2</v>
      </c>
      <c r="W160" s="140">
        <f t="shared" si="188"/>
        <v>2.898308860868546E-2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3.7507904880455484E-3</v>
      </c>
      <c r="C161" s="124">
        <f t="shared" ref="C161:W161" si="189">IF(C69=0,0,C69/C$64)</f>
        <v>3.5742759174044931E-3</v>
      </c>
      <c r="D161" s="124">
        <f t="shared" si="189"/>
        <v>3.4328348084741288E-3</v>
      </c>
      <c r="E161" s="124">
        <f t="shared" si="189"/>
        <v>3.4022804158423403E-3</v>
      </c>
      <c r="F161" s="124">
        <f t="shared" si="189"/>
        <v>3.3436329267894967E-3</v>
      </c>
      <c r="G161" s="124">
        <f t="shared" si="189"/>
        <v>3.2290733492636933E-3</v>
      </c>
      <c r="H161" s="124">
        <f t="shared" si="189"/>
        <v>3.1503917965557782E-3</v>
      </c>
      <c r="I161" s="124">
        <f t="shared" si="189"/>
        <v>3.0816179932681553E-3</v>
      </c>
      <c r="J161" s="124">
        <f t="shared" si="189"/>
        <v>3.1356353543976483E-3</v>
      </c>
      <c r="K161" s="124">
        <f t="shared" si="189"/>
        <v>3.0120347387570762E-3</v>
      </c>
      <c r="L161" s="124">
        <f t="shared" si="189"/>
        <v>3.3484921835712786E-3</v>
      </c>
      <c r="M161" s="124">
        <f t="shared" si="189"/>
        <v>3.1968375579450922E-3</v>
      </c>
      <c r="N161" s="124">
        <f t="shared" si="189"/>
        <v>2.6972782516716961E-3</v>
      </c>
      <c r="O161" s="124">
        <f t="shared" si="189"/>
        <v>2.7376939225260241E-3</v>
      </c>
      <c r="P161" s="124">
        <f t="shared" si="189"/>
        <v>2.8641143526445252E-3</v>
      </c>
      <c r="Q161" s="124">
        <f t="shared" si="189"/>
        <v>2.8876569329759423E-3</v>
      </c>
      <c r="R161" s="124">
        <f t="shared" si="189"/>
        <v>2.8129650056862294E-3</v>
      </c>
      <c r="S161" s="124">
        <f t="shared" si="189"/>
        <v>2.5980550890761529E-3</v>
      </c>
      <c r="T161" s="124">
        <f t="shared" si="189"/>
        <v>2.1864755656523277E-3</v>
      </c>
      <c r="U161" s="124">
        <f t="shared" si="189"/>
        <v>1.914561213947206E-3</v>
      </c>
      <c r="V161" s="124">
        <f t="shared" si="189"/>
        <v>2.7601285304416257E-3</v>
      </c>
      <c r="W161" s="124">
        <f t="shared" si="189"/>
        <v>2.3506995117348753E-3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3.7507904880455484E-3</v>
      </c>
      <c r="C163" s="140">
        <f t="shared" ref="C163:W163" si="191">IF(C71=0,0,C71/C$64)</f>
        <v>3.5742759174044931E-3</v>
      </c>
      <c r="D163" s="140">
        <f t="shared" si="191"/>
        <v>3.4328348084741288E-3</v>
      </c>
      <c r="E163" s="140">
        <f t="shared" si="191"/>
        <v>3.4022804158423403E-3</v>
      </c>
      <c r="F163" s="140">
        <f t="shared" si="191"/>
        <v>3.3436329267894967E-3</v>
      </c>
      <c r="G163" s="140">
        <f t="shared" si="191"/>
        <v>3.2290733492636933E-3</v>
      </c>
      <c r="H163" s="140">
        <f t="shared" si="191"/>
        <v>3.1503917965557782E-3</v>
      </c>
      <c r="I163" s="140">
        <f t="shared" si="191"/>
        <v>3.0816179932681553E-3</v>
      </c>
      <c r="J163" s="140">
        <f t="shared" si="191"/>
        <v>3.1356353543976483E-3</v>
      </c>
      <c r="K163" s="140">
        <f t="shared" si="191"/>
        <v>3.0120347387570762E-3</v>
      </c>
      <c r="L163" s="140">
        <f t="shared" si="191"/>
        <v>3.3484921835712786E-3</v>
      </c>
      <c r="M163" s="140">
        <f t="shared" si="191"/>
        <v>3.1968375579450922E-3</v>
      </c>
      <c r="N163" s="140">
        <f t="shared" si="191"/>
        <v>2.6972782516716961E-3</v>
      </c>
      <c r="O163" s="140">
        <f t="shared" si="191"/>
        <v>2.7376939225260241E-3</v>
      </c>
      <c r="P163" s="140">
        <f t="shared" si="191"/>
        <v>2.8641143526445252E-3</v>
      </c>
      <c r="Q163" s="140">
        <f t="shared" si="191"/>
        <v>2.8876569329759423E-3</v>
      </c>
      <c r="R163" s="140">
        <f t="shared" si="191"/>
        <v>2.8129650056862294E-3</v>
      </c>
      <c r="S163" s="140">
        <f t="shared" si="191"/>
        <v>2.5980550890761529E-3</v>
      </c>
      <c r="T163" s="140">
        <f t="shared" si="191"/>
        <v>2.1864755656523277E-3</v>
      </c>
      <c r="U163" s="140">
        <f t="shared" si="191"/>
        <v>1.914561213947206E-3</v>
      </c>
      <c r="V163" s="140">
        <f t="shared" si="191"/>
        <v>2.7601285304416257E-3</v>
      </c>
      <c r="W163" s="140">
        <f t="shared" si="191"/>
        <v>2.3506995117348753E-3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0.31068180052725225</v>
      </c>
      <c r="C165" s="124">
        <f t="shared" ref="C165:W165" si="193">IF(C73=0,0,C73/C$64)</f>
        <v>0.30310218260662669</v>
      </c>
      <c r="D165" s="124">
        <f t="shared" si="193"/>
        <v>0.30695721200831272</v>
      </c>
      <c r="E165" s="124">
        <f t="shared" si="193"/>
        <v>0.29798914991884073</v>
      </c>
      <c r="F165" s="124">
        <f t="shared" si="193"/>
        <v>0.31264107863270141</v>
      </c>
      <c r="G165" s="124">
        <f t="shared" si="193"/>
        <v>0.31446066655319915</v>
      </c>
      <c r="H165" s="124">
        <f t="shared" si="193"/>
        <v>0.30782804653756174</v>
      </c>
      <c r="I165" s="124">
        <f t="shared" si="193"/>
        <v>0.31257808256629022</v>
      </c>
      <c r="J165" s="124">
        <f t="shared" si="193"/>
        <v>0.31276266234395789</v>
      </c>
      <c r="K165" s="124">
        <f t="shared" si="193"/>
        <v>0.30654984755147446</v>
      </c>
      <c r="L165" s="124">
        <f t="shared" si="193"/>
        <v>0.29538967561180579</v>
      </c>
      <c r="M165" s="124">
        <f t="shared" si="193"/>
        <v>0.31069562059556532</v>
      </c>
      <c r="N165" s="124">
        <f t="shared" si="193"/>
        <v>0.31825650716007636</v>
      </c>
      <c r="O165" s="124">
        <f t="shared" si="193"/>
        <v>0.32929321263485661</v>
      </c>
      <c r="P165" s="124">
        <f t="shared" si="193"/>
        <v>0.34905324861664083</v>
      </c>
      <c r="Q165" s="124">
        <f t="shared" si="193"/>
        <v>0.36079030026918302</v>
      </c>
      <c r="R165" s="124">
        <f t="shared" si="193"/>
        <v>0.36836956998213227</v>
      </c>
      <c r="S165" s="124">
        <f t="shared" si="193"/>
        <v>0.37133312303096166</v>
      </c>
      <c r="T165" s="124">
        <f t="shared" si="193"/>
        <v>0.37989527253589006</v>
      </c>
      <c r="U165" s="124">
        <f t="shared" si="193"/>
        <v>0.38353568769565161</v>
      </c>
      <c r="V165" s="124">
        <f t="shared" si="193"/>
        <v>0.2558783881125869</v>
      </c>
      <c r="W165" s="124">
        <f t="shared" si="193"/>
        <v>0.27620309851274866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6.6285061800338926E-2</v>
      </c>
      <c r="C167" s="140">
        <f t="shared" ref="C167:W167" si="195">IF(C75=0,0,C75/C$64)</f>
        <v>6.4667166843550228E-2</v>
      </c>
      <c r="D167" s="140">
        <f t="shared" si="195"/>
        <v>6.5976052658428389E-2</v>
      </c>
      <c r="E167" s="140">
        <f t="shared" si="195"/>
        <v>6.5709791844335064E-2</v>
      </c>
      <c r="F167" s="140">
        <f t="shared" si="195"/>
        <v>6.5359615896848494E-2</v>
      </c>
      <c r="G167" s="140">
        <f t="shared" si="195"/>
        <v>6.590670728386834E-2</v>
      </c>
      <c r="H167" s="140">
        <f t="shared" si="195"/>
        <v>6.633189621665958E-2</v>
      </c>
      <c r="I167" s="140">
        <f t="shared" si="195"/>
        <v>6.8867890710635982E-2</v>
      </c>
      <c r="J167" s="140">
        <f t="shared" si="195"/>
        <v>6.6508470724721186E-2</v>
      </c>
      <c r="K167" s="140">
        <f t="shared" si="195"/>
        <v>6.2504649102454263E-2</v>
      </c>
      <c r="L167" s="140">
        <f t="shared" si="195"/>
        <v>5.9512124872245234E-2</v>
      </c>
      <c r="M167" s="140">
        <f t="shared" si="195"/>
        <v>6.3422527116309746E-2</v>
      </c>
      <c r="N167" s="140">
        <f t="shared" si="195"/>
        <v>6.4088794834457702E-2</v>
      </c>
      <c r="O167" s="140">
        <f t="shared" si="195"/>
        <v>6.6377152774914142E-2</v>
      </c>
      <c r="P167" s="140">
        <f t="shared" si="195"/>
        <v>7.1241634795541506E-2</v>
      </c>
      <c r="Q167" s="140">
        <f t="shared" si="195"/>
        <v>7.452632761881306E-2</v>
      </c>
      <c r="R167" s="140">
        <f t="shared" si="195"/>
        <v>8.0010423087494384E-2</v>
      </c>
      <c r="S167" s="140">
        <f t="shared" si="195"/>
        <v>8.2637684202296516E-2</v>
      </c>
      <c r="T167" s="140">
        <f t="shared" si="195"/>
        <v>8.3209107011851677E-2</v>
      </c>
      <c r="U167" s="140">
        <f t="shared" si="195"/>
        <v>8.1163971857301398E-2</v>
      </c>
      <c r="V167" s="140">
        <f t="shared" si="195"/>
        <v>4.2982298748329234E-2</v>
      </c>
      <c r="W167" s="140">
        <f t="shared" si="195"/>
        <v>5.1771743965643359E-2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0.24439673872691337</v>
      </c>
      <c r="C168" s="140">
        <f t="shared" ref="C168:W168" si="196">IF(C76=0,0,C76/C$64)</f>
        <v>0.23843501576307646</v>
      </c>
      <c r="D168" s="140">
        <f t="shared" si="196"/>
        <v>0.24098115934988434</v>
      </c>
      <c r="E168" s="140">
        <f t="shared" si="196"/>
        <v>0.2322793580745057</v>
      </c>
      <c r="F168" s="140">
        <f t="shared" si="196"/>
        <v>0.24728146273585291</v>
      </c>
      <c r="G168" s="140">
        <f t="shared" si="196"/>
        <v>0.2485539592693308</v>
      </c>
      <c r="H168" s="140">
        <f t="shared" si="196"/>
        <v>0.24149615032090219</v>
      </c>
      <c r="I168" s="140">
        <f t="shared" si="196"/>
        <v>0.24371019185565429</v>
      </c>
      <c r="J168" s="140">
        <f t="shared" si="196"/>
        <v>0.2462541916192367</v>
      </c>
      <c r="K168" s="140">
        <f t="shared" si="196"/>
        <v>0.24404519844902017</v>
      </c>
      <c r="L168" s="140">
        <f t="shared" si="196"/>
        <v>0.2358775507395606</v>
      </c>
      <c r="M168" s="140">
        <f t="shared" si="196"/>
        <v>0.24727309347925561</v>
      </c>
      <c r="N168" s="140">
        <f t="shared" si="196"/>
        <v>0.25416771232561863</v>
      </c>
      <c r="O168" s="140">
        <f t="shared" si="196"/>
        <v>0.26291605985994254</v>
      </c>
      <c r="P168" s="140">
        <f t="shared" si="196"/>
        <v>0.27781161382109937</v>
      </c>
      <c r="Q168" s="140">
        <f t="shared" si="196"/>
        <v>0.28626397265036996</v>
      </c>
      <c r="R168" s="140">
        <f t="shared" si="196"/>
        <v>0.28835914689463787</v>
      </c>
      <c r="S168" s="140">
        <f t="shared" si="196"/>
        <v>0.28869543882866516</v>
      </c>
      <c r="T168" s="140">
        <f t="shared" si="196"/>
        <v>0.29668616552403843</v>
      </c>
      <c r="U168" s="140">
        <f t="shared" si="196"/>
        <v>0.30237171583835021</v>
      </c>
      <c r="V168" s="140">
        <f t="shared" si="196"/>
        <v>0.21289608936425766</v>
      </c>
      <c r="W168" s="140">
        <f t="shared" si="196"/>
        <v>0.22443135454710531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0.8383370472278352</v>
      </c>
      <c r="C170" s="139">
        <f t="shared" ref="C170:W170" si="199">IF(C78=0,0,C78/C$77)</f>
        <v>0.83959077858295172</v>
      </c>
      <c r="D170" s="139">
        <f t="shared" si="199"/>
        <v>0.83540857074380925</v>
      </c>
      <c r="E170" s="139">
        <f t="shared" si="199"/>
        <v>0.83429040954118217</v>
      </c>
      <c r="F170" s="139">
        <f t="shared" si="199"/>
        <v>0.8337762735079729</v>
      </c>
      <c r="G170" s="139">
        <f t="shared" si="199"/>
        <v>0.82114741675526504</v>
      </c>
      <c r="H170" s="139">
        <f t="shared" si="199"/>
        <v>0.81303738883111687</v>
      </c>
      <c r="I170" s="139">
        <f t="shared" si="199"/>
        <v>0.80721617229628717</v>
      </c>
      <c r="J170" s="139">
        <f t="shared" si="199"/>
        <v>0.80600052516220477</v>
      </c>
      <c r="K170" s="139">
        <f t="shared" si="199"/>
        <v>0.81528744921880392</v>
      </c>
      <c r="L170" s="139">
        <f t="shared" si="199"/>
        <v>0.80540210475761198</v>
      </c>
      <c r="M170" s="139">
        <f t="shared" si="199"/>
        <v>0.81432041274136668</v>
      </c>
      <c r="N170" s="139">
        <f t="shared" si="199"/>
        <v>0.82984186436882212</v>
      </c>
      <c r="O170" s="139">
        <f t="shared" si="199"/>
        <v>0.81255283146257207</v>
      </c>
      <c r="P170" s="139">
        <f t="shared" si="199"/>
        <v>0.79732706833435973</v>
      </c>
      <c r="Q170" s="139">
        <f t="shared" si="199"/>
        <v>0.79593332838997422</v>
      </c>
      <c r="R170" s="139">
        <f t="shared" si="199"/>
        <v>0.80928269444551293</v>
      </c>
      <c r="S170" s="139">
        <f t="shared" si="199"/>
        <v>0.81395894877286723</v>
      </c>
      <c r="T170" s="139">
        <f t="shared" si="199"/>
        <v>0.82181776389070227</v>
      </c>
      <c r="U170" s="139">
        <f t="shared" si="199"/>
        <v>0.83938575750872002</v>
      </c>
      <c r="V170" s="139">
        <f t="shared" si="199"/>
        <v>0.80231285793162177</v>
      </c>
      <c r="W170" s="139">
        <f t="shared" si="199"/>
        <v>0.79506064520131148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0.38057354455475334</v>
      </c>
      <c r="C171" s="140">
        <f t="shared" ref="C171:W171" si="200">IF(C79=0,0,C79/C$77)</f>
        <v>0.39232208609193026</v>
      </c>
      <c r="D171" s="140">
        <f t="shared" si="200"/>
        <v>0.38781931149079718</v>
      </c>
      <c r="E171" s="140">
        <f t="shared" si="200"/>
        <v>0.38741900725666589</v>
      </c>
      <c r="F171" s="140">
        <f t="shared" si="200"/>
        <v>0.39179678884522395</v>
      </c>
      <c r="G171" s="140">
        <f t="shared" si="200"/>
        <v>0.38659002019254302</v>
      </c>
      <c r="H171" s="140">
        <f t="shared" si="200"/>
        <v>0.36524861629157962</v>
      </c>
      <c r="I171" s="140">
        <f t="shared" si="200"/>
        <v>0.36337048973950503</v>
      </c>
      <c r="J171" s="140">
        <f t="shared" si="200"/>
        <v>0.36370754058805144</v>
      </c>
      <c r="K171" s="140">
        <f t="shared" si="200"/>
        <v>0.37453804709005561</v>
      </c>
      <c r="L171" s="140">
        <f t="shared" si="200"/>
        <v>0.36855859426174642</v>
      </c>
      <c r="M171" s="140">
        <f t="shared" si="200"/>
        <v>0.3687437685341603</v>
      </c>
      <c r="N171" s="140">
        <f t="shared" si="200"/>
        <v>0.3715740855369199</v>
      </c>
      <c r="O171" s="140">
        <f t="shared" si="200"/>
        <v>0.38286923887645458</v>
      </c>
      <c r="P171" s="140">
        <f t="shared" si="200"/>
        <v>0.4195926777068808</v>
      </c>
      <c r="Q171" s="140">
        <f t="shared" si="200"/>
        <v>0.42472798806054674</v>
      </c>
      <c r="R171" s="140">
        <f t="shared" si="200"/>
        <v>0.4376535193056908</v>
      </c>
      <c r="S171" s="140">
        <f t="shared" si="200"/>
        <v>0.40709544641797252</v>
      </c>
      <c r="T171" s="140">
        <f t="shared" si="200"/>
        <v>0.37873008607128156</v>
      </c>
      <c r="U171" s="140">
        <f t="shared" si="200"/>
        <v>0.37884059318104485</v>
      </c>
      <c r="V171" s="140">
        <f t="shared" si="200"/>
        <v>0.37518335656382445</v>
      </c>
      <c r="W171" s="140">
        <f t="shared" si="200"/>
        <v>0.39608095169233393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0.45776350267308175</v>
      </c>
      <c r="C172" s="140">
        <f t="shared" ref="C172:W172" si="201">IF(C80=0,0,C80/C$77)</f>
        <v>0.44726869249102152</v>
      </c>
      <c r="D172" s="140">
        <f t="shared" si="201"/>
        <v>0.44758925925301202</v>
      </c>
      <c r="E172" s="140">
        <f t="shared" si="201"/>
        <v>0.44687140228451627</v>
      </c>
      <c r="F172" s="140">
        <f t="shared" si="201"/>
        <v>0.44197948466274889</v>
      </c>
      <c r="G172" s="140">
        <f t="shared" si="201"/>
        <v>0.43455739656272208</v>
      </c>
      <c r="H172" s="140">
        <f t="shared" si="201"/>
        <v>0.44778877253953731</v>
      </c>
      <c r="I172" s="140">
        <f t="shared" si="201"/>
        <v>0.44384568255678203</v>
      </c>
      <c r="J172" s="140">
        <f t="shared" si="201"/>
        <v>0.44229298457415334</v>
      </c>
      <c r="K172" s="140">
        <f t="shared" si="201"/>
        <v>0.44074940212874825</v>
      </c>
      <c r="L172" s="140">
        <f t="shared" si="201"/>
        <v>0.43684351049586551</v>
      </c>
      <c r="M172" s="140">
        <f t="shared" si="201"/>
        <v>0.44557664420720633</v>
      </c>
      <c r="N172" s="140">
        <f t="shared" si="201"/>
        <v>0.45826777883190228</v>
      </c>
      <c r="O172" s="140">
        <f t="shared" si="201"/>
        <v>0.42968359258611755</v>
      </c>
      <c r="P172" s="140">
        <f t="shared" si="201"/>
        <v>0.37773439062747904</v>
      </c>
      <c r="Q172" s="140">
        <f t="shared" si="201"/>
        <v>0.37120534032942748</v>
      </c>
      <c r="R172" s="140">
        <f t="shared" si="201"/>
        <v>0.37162917513982224</v>
      </c>
      <c r="S172" s="140">
        <f t="shared" si="201"/>
        <v>0.40686350235489471</v>
      </c>
      <c r="T172" s="140">
        <f t="shared" si="201"/>
        <v>0.44308767781942066</v>
      </c>
      <c r="U172" s="140">
        <f t="shared" si="201"/>
        <v>0.46054516432767528</v>
      </c>
      <c r="V172" s="140">
        <f t="shared" si="201"/>
        <v>0.42712950136779726</v>
      </c>
      <c r="W172" s="140">
        <f t="shared" si="201"/>
        <v>0.39897969350897761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9.574456886857031E-4</v>
      </c>
      <c r="C173" s="124">
        <f t="shared" ref="C173:W173" si="202">IF(C81=0,0,C81/C$77)</f>
        <v>8.6151078751570977E-4</v>
      </c>
      <c r="D173" s="124">
        <f t="shared" si="202"/>
        <v>7.2289338120170947E-4</v>
      </c>
      <c r="E173" s="124">
        <f t="shared" si="202"/>
        <v>7.9639102095898447E-4</v>
      </c>
      <c r="F173" s="124">
        <f t="shared" si="202"/>
        <v>9.1967682779820403E-4</v>
      </c>
      <c r="G173" s="124">
        <f t="shared" si="202"/>
        <v>8.6250847096382393E-4</v>
      </c>
      <c r="H173" s="124">
        <f t="shared" si="202"/>
        <v>8.9252644504178428E-4</v>
      </c>
      <c r="I173" s="124">
        <f t="shared" si="202"/>
        <v>1.0429558753323688E-3</v>
      </c>
      <c r="J173" s="124">
        <f t="shared" si="202"/>
        <v>9.0314462265722942E-4</v>
      </c>
      <c r="K173" s="124">
        <f t="shared" si="202"/>
        <v>7.198577581447132E-4</v>
      </c>
      <c r="L173" s="124">
        <f t="shared" si="202"/>
        <v>7.8051376099383027E-4</v>
      </c>
      <c r="M173" s="124">
        <f t="shared" si="202"/>
        <v>7.5037490920036381E-4</v>
      </c>
      <c r="N173" s="124">
        <f t="shared" si="202"/>
        <v>6.2592207420905438E-4</v>
      </c>
      <c r="O173" s="124">
        <f t="shared" si="202"/>
        <v>6.4741656406093527E-4</v>
      </c>
      <c r="P173" s="124">
        <f t="shared" si="202"/>
        <v>7.9157169034755714E-4</v>
      </c>
      <c r="Q173" s="124">
        <f t="shared" si="202"/>
        <v>8.0698570063272423E-4</v>
      </c>
      <c r="R173" s="124">
        <f t="shared" si="202"/>
        <v>8.6673269427056307E-4</v>
      </c>
      <c r="S173" s="124">
        <f t="shared" si="202"/>
        <v>7.0835049306928425E-4</v>
      </c>
      <c r="T173" s="124">
        <f t="shared" si="202"/>
        <v>6.22019228665709E-4</v>
      </c>
      <c r="U173" s="124">
        <f t="shared" si="202"/>
        <v>5.6150421867515827E-4</v>
      </c>
      <c r="V173" s="124">
        <f t="shared" si="202"/>
        <v>8.1938050486764355E-4</v>
      </c>
      <c r="W173" s="124">
        <f t="shared" si="202"/>
        <v>8.1164903223778222E-4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0.10818530638703715</v>
      </c>
      <c r="C174" s="124">
        <f t="shared" ref="C174:W174" si="203">IF(C82=0,0,C82/C$77)</f>
        <v>0.10537404538560073</v>
      </c>
      <c r="D174" s="124">
        <f t="shared" si="203"/>
        <v>0.10972670640881263</v>
      </c>
      <c r="E174" s="124">
        <f t="shared" si="203"/>
        <v>0.11589005949445588</v>
      </c>
      <c r="F174" s="124">
        <f t="shared" si="203"/>
        <v>0.11740602632162375</v>
      </c>
      <c r="G174" s="124">
        <f t="shared" si="203"/>
        <v>0.12711116681100854</v>
      </c>
      <c r="H174" s="124">
        <f t="shared" si="203"/>
        <v>0.13506967661557848</v>
      </c>
      <c r="I174" s="124">
        <f t="shared" si="203"/>
        <v>0.13552236897696909</v>
      </c>
      <c r="J174" s="124">
        <f t="shared" si="203"/>
        <v>0.13673792662586409</v>
      </c>
      <c r="K174" s="124">
        <f t="shared" si="203"/>
        <v>0.1205520923913428</v>
      </c>
      <c r="L174" s="124">
        <f t="shared" si="203"/>
        <v>0.12606583534492849</v>
      </c>
      <c r="M174" s="124">
        <f t="shared" si="203"/>
        <v>0.11675407222340273</v>
      </c>
      <c r="N174" s="124">
        <f t="shared" si="203"/>
        <v>0.10257900180877219</v>
      </c>
      <c r="O174" s="124">
        <f t="shared" si="203"/>
        <v>0.11076930358819038</v>
      </c>
      <c r="P174" s="124">
        <f t="shared" si="203"/>
        <v>0.12479135746309876</v>
      </c>
      <c r="Q174" s="124">
        <f t="shared" si="203"/>
        <v>0.12176898831979456</v>
      </c>
      <c r="R174" s="124">
        <f t="shared" si="203"/>
        <v>0.11314202661768731</v>
      </c>
      <c r="S174" s="124">
        <f t="shared" si="203"/>
        <v>0.11553457489272823</v>
      </c>
      <c r="T174" s="124">
        <f t="shared" si="203"/>
        <v>0.11003853187286508</v>
      </c>
      <c r="U174" s="124">
        <f t="shared" si="203"/>
        <v>9.7010652260338795E-2</v>
      </c>
      <c r="V174" s="124">
        <f t="shared" si="203"/>
        <v>0.14821448865730108</v>
      </c>
      <c r="W174" s="124">
        <f t="shared" si="203"/>
        <v>0.14688335432552718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2.4362273762799543E-3</v>
      </c>
      <c r="C176" s="140">
        <f t="shared" ref="C176:W176" si="205">IF(C84=0,0,C84/C$77)</f>
        <v>3.2008428189435737E-3</v>
      </c>
      <c r="D176" s="140">
        <f t="shared" si="205"/>
        <v>2.4944671516774404E-3</v>
      </c>
      <c r="E176" s="140">
        <f t="shared" si="205"/>
        <v>2.5220181720462535E-3</v>
      </c>
      <c r="F176" s="140">
        <f t="shared" si="205"/>
        <v>2.5934761188103365E-3</v>
      </c>
      <c r="G176" s="140">
        <f t="shared" si="205"/>
        <v>2.5243070471368321E-3</v>
      </c>
      <c r="H176" s="140">
        <f t="shared" si="205"/>
        <v>2.4733343412217976E-3</v>
      </c>
      <c r="I176" s="140">
        <f t="shared" si="205"/>
        <v>2.6263651497043222E-3</v>
      </c>
      <c r="J176" s="140">
        <f t="shared" si="205"/>
        <v>3.2376927266404977E-3</v>
      </c>
      <c r="K176" s="140">
        <f t="shared" si="205"/>
        <v>3.4806545438968049E-3</v>
      </c>
      <c r="L176" s="140">
        <f t="shared" si="205"/>
        <v>3.5527833737057958E-3</v>
      </c>
      <c r="M176" s="140">
        <f t="shared" si="205"/>
        <v>2.7447007762892608E-3</v>
      </c>
      <c r="N176" s="140">
        <f t="shared" si="205"/>
        <v>2.2311110066546439E-3</v>
      </c>
      <c r="O176" s="140">
        <f t="shared" si="205"/>
        <v>2.5117142230822809E-3</v>
      </c>
      <c r="P176" s="140">
        <f t="shared" si="205"/>
        <v>3.0363809312938068E-3</v>
      </c>
      <c r="Q176" s="140">
        <f t="shared" si="205"/>
        <v>2.9481408234766195E-3</v>
      </c>
      <c r="R176" s="140">
        <f t="shared" si="205"/>
        <v>3.1119955733058405E-3</v>
      </c>
      <c r="S176" s="140">
        <f t="shared" si="205"/>
        <v>2.6961230270127552E-3</v>
      </c>
      <c r="T176" s="140">
        <f t="shared" si="205"/>
        <v>2.1415629954772745E-3</v>
      </c>
      <c r="U176" s="140">
        <f t="shared" si="205"/>
        <v>1.9972315768256622E-3</v>
      </c>
      <c r="V176" s="140">
        <f t="shared" si="205"/>
        <v>1.7306041821357717E-3</v>
      </c>
      <c r="W176" s="140">
        <f t="shared" si="205"/>
        <v>2.124194201902292E-3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0.1057490790107572</v>
      </c>
      <c r="C177" s="140">
        <f t="shared" ref="C177:W177" si="206">IF(C85=0,0,C85/C$77)</f>
        <v>0.10217320256665716</v>
      </c>
      <c r="D177" s="140">
        <f t="shared" si="206"/>
        <v>0.10723223925713518</v>
      </c>
      <c r="E177" s="140">
        <f t="shared" si="206"/>
        <v>0.11336804132240963</v>
      </c>
      <c r="F177" s="140">
        <f t="shared" si="206"/>
        <v>0.11481255020281342</v>
      </c>
      <c r="G177" s="140">
        <f t="shared" si="206"/>
        <v>0.12458685976387171</v>
      </c>
      <c r="H177" s="140">
        <f t="shared" si="206"/>
        <v>0.13259634227435668</v>
      </c>
      <c r="I177" s="140">
        <f t="shared" si="206"/>
        <v>0.1328960038272648</v>
      </c>
      <c r="J177" s="140">
        <f t="shared" si="206"/>
        <v>0.13350023389922361</v>
      </c>
      <c r="K177" s="140">
        <f t="shared" si="206"/>
        <v>0.117071437847446</v>
      </c>
      <c r="L177" s="140">
        <f t="shared" si="206"/>
        <v>0.12251305197122271</v>
      </c>
      <c r="M177" s="140">
        <f t="shared" si="206"/>
        <v>0.11400937144711347</v>
      </c>
      <c r="N177" s="140">
        <f t="shared" si="206"/>
        <v>0.10034789080211755</v>
      </c>
      <c r="O177" s="140">
        <f t="shared" si="206"/>
        <v>0.10825758936510811</v>
      </c>
      <c r="P177" s="140">
        <f t="shared" si="206"/>
        <v>0.12175497653180495</v>
      </c>
      <c r="Q177" s="140">
        <f t="shared" si="206"/>
        <v>0.11882084749631794</v>
      </c>
      <c r="R177" s="140">
        <f t="shared" si="206"/>
        <v>0.11003003104438147</v>
      </c>
      <c r="S177" s="140">
        <f t="shared" si="206"/>
        <v>0.11283845186571548</v>
      </c>
      <c r="T177" s="140">
        <f t="shared" si="206"/>
        <v>0.10789696887738781</v>
      </c>
      <c r="U177" s="140">
        <f t="shared" si="206"/>
        <v>9.5013420683513136E-2</v>
      </c>
      <c r="V177" s="140">
        <f t="shared" si="206"/>
        <v>0.1464838844751653</v>
      </c>
      <c r="W177" s="140">
        <f t="shared" si="206"/>
        <v>0.14475916012362489</v>
      </c>
      <c r="DA177" s="175"/>
    </row>
    <row r="178" spans="1:105" ht="11.45" customHeight="1" x14ac:dyDescent="0.25">
      <c r="A178" s="109" t="s">
        <v>142</v>
      </c>
      <c r="B178" s="124">
        <f t="shared" si="197"/>
        <v>5.2520200696442067E-2</v>
      </c>
      <c r="C178" s="124">
        <f t="shared" ref="C178:W178" si="207">IF(C86=0,0,C86/C$77)</f>
        <v>5.4173665243931808E-2</v>
      </c>
      <c r="D178" s="124">
        <f t="shared" si="207"/>
        <v>5.4141829466176503E-2</v>
      </c>
      <c r="E178" s="124">
        <f t="shared" si="207"/>
        <v>4.9023139943402808E-2</v>
      </c>
      <c r="F178" s="124">
        <f t="shared" si="207"/>
        <v>4.7898023342605241E-2</v>
      </c>
      <c r="G178" s="124">
        <f t="shared" si="207"/>
        <v>5.0878907962762419E-2</v>
      </c>
      <c r="H178" s="124">
        <f t="shared" si="207"/>
        <v>5.1000408108263083E-2</v>
      </c>
      <c r="I178" s="124">
        <f t="shared" si="207"/>
        <v>5.6218502851411417E-2</v>
      </c>
      <c r="J178" s="124">
        <f t="shared" si="207"/>
        <v>5.6358403589273992E-2</v>
      </c>
      <c r="K178" s="124">
        <f t="shared" si="207"/>
        <v>6.3440600631708616E-2</v>
      </c>
      <c r="L178" s="124">
        <f t="shared" si="207"/>
        <v>6.7751546136465626E-2</v>
      </c>
      <c r="M178" s="124">
        <f t="shared" si="207"/>
        <v>6.8175140126030306E-2</v>
      </c>
      <c r="N178" s="124">
        <f t="shared" si="207"/>
        <v>6.6953211748196642E-2</v>
      </c>
      <c r="O178" s="124">
        <f t="shared" si="207"/>
        <v>7.6030448385176627E-2</v>
      </c>
      <c r="P178" s="124">
        <f t="shared" si="207"/>
        <v>7.7090002512193959E-2</v>
      </c>
      <c r="Q178" s="124">
        <f t="shared" si="207"/>
        <v>8.1490697589598537E-2</v>
      </c>
      <c r="R178" s="124">
        <f t="shared" si="207"/>
        <v>7.6708546242529235E-2</v>
      </c>
      <c r="S178" s="124">
        <f t="shared" si="207"/>
        <v>6.9798125841335185E-2</v>
      </c>
      <c r="T178" s="124">
        <f t="shared" si="207"/>
        <v>6.7521685007766868E-2</v>
      </c>
      <c r="U178" s="124">
        <f t="shared" si="207"/>
        <v>6.304208601226606E-2</v>
      </c>
      <c r="V178" s="124">
        <f t="shared" si="207"/>
        <v>4.8653272906209487E-2</v>
      </c>
      <c r="W178" s="124">
        <f t="shared" si="207"/>
        <v>5.724435144092356E-2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6.0896297170357408E-5</v>
      </c>
      <c r="C179" s="140">
        <f t="shared" ref="C179:W179" si="208">IF(C87=0,0,C87/C$77)</f>
        <v>5.2096201762998877E-5</v>
      </c>
      <c r="D179" s="140">
        <f t="shared" si="208"/>
        <v>5.4737001989259378E-5</v>
      </c>
      <c r="E179" s="140">
        <f t="shared" si="208"/>
        <v>5.1451773982887166E-5</v>
      </c>
      <c r="F179" s="140">
        <f t="shared" si="208"/>
        <v>5.6232181268725216E-5</v>
      </c>
      <c r="G179" s="140">
        <f t="shared" si="208"/>
        <v>6.9656121793855802E-5</v>
      </c>
      <c r="H179" s="140">
        <f t="shared" si="208"/>
        <v>6.9086163956980299E-5</v>
      </c>
      <c r="I179" s="140">
        <f t="shared" si="208"/>
        <v>7.9557519769691965E-5</v>
      </c>
      <c r="J179" s="140">
        <f t="shared" si="208"/>
        <v>9.6154242126832609E-5</v>
      </c>
      <c r="K179" s="140">
        <f t="shared" si="208"/>
        <v>1.0719869815437119E-4</v>
      </c>
      <c r="L179" s="140">
        <f t="shared" si="208"/>
        <v>1.4249720674769912E-4</v>
      </c>
      <c r="M179" s="140">
        <f t="shared" si="208"/>
        <v>1.4042127077523926E-4</v>
      </c>
      <c r="N179" s="140">
        <f t="shared" si="208"/>
        <v>1.3797690261126632E-4</v>
      </c>
      <c r="O179" s="140">
        <f t="shared" si="208"/>
        <v>1.1908025697243537E-4</v>
      </c>
      <c r="P179" s="140">
        <f t="shared" si="208"/>
        <v>1.5851427940391264E-4</v>
      </c>
      <c r="Q179" s="140">
        <f t="shared" si="208"/>
        <v>1.619571881726121E-4</v>
      </c>
      <c r="R179" s="140">
        <f t="shared" si="208"/>
        <v>1.0360617740160031E-4</v>
      </c>
      <c r="S179" s="140">
        <f t="shared" si="208"/>
        <v>1.9158525385519861E-4</v>
      </c>
      <c r="T179" s="140">
        <f t="shared" si="208"/>
        <v>1.7076935239595292E-4</v>
      </c>
      <c r="U179" s="140">
        <f t="shared" si="208"/>
        <v>2.4150434214176763E-4</v>
      </c>
      <c r="V179" s="140">
        <f t="shared" si="208"/>
        <v>1.3533523791522543E-4</v>
      </c>
      <c r="W179" s="140">
        <f t="shared" si="208"/>
        <v>1.3654054882795429E-4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5.2459304399271711E-2</v>
      </c>
      <c r="C180" s="127">
        <f t="shared" ref="C180:W180" si="209">IF(C88=0,0,C88/C$77)</f>
        <v>5.4121569042168811E-2</v>
      </c>
      <c r="D180" s="127">
        <f t="shared" si="209"/>
        <v>5.4087092464187241E-2</v>
      </c>
      <c r="E180" s="127">
        <f t="shared" si="209"/>
        <v>4.8971688169419929E-2</v>
      </c>
      <c r="F180" s="127">
        <f t="shared" si="209"/>
        <v>4.7841791161336508E-2</v>
      </c>
      <c r="G180" s="127">
        <f t="shared" si="209"/>
        <v>5.0809251840968565E-2</v>
      </c>
      <c r="H180" s="127">
        <f t="shared" si="209"/>
        <v>5.09313219443061E-2</v>
      </c>
      <c r="I180" s="127">
        <f t="shared" si="209"/>
        <v>5.6138945331641724E-2</v>
      </c>
      <c r="J180" s="127">
        <f t="shared" si="209"/>
        <v>5.6262249347147159E-2</v>
      </c>
      <c r="K180" s="127">
        <f t="shared" si="209"/>
        <v>6.3333401933554245E-2</v>
      </c>
      <c r="L180" s="127">
        <f t="shared" si="209"/>
        <v>6.7609048929717933E-2</v>
      </c>
      <c r="M180" s="127">
        <f t="shared" si="209"/>
        <v>6.8034718855255069E-2</v>
      </c>
      <c r="N180" s="127">
        <f t="shared" si="209"/>
        <v>6.6815234845585367E-2</v>
      </c>
      <c r="O180" s="127">
        <f t="shared" si="209"/>
        <v>7.591136812820419E-2</v>
      </c>
      <c r="P180" s="127">
        <f t="shared" si="209"/>
        <v>7.6931488232790043E-2</v>
      </c>
      <c r="Q180" s="127">
        <f t="shared" si="209"/>
        <v>8.1328740401425931E-2</v>
      </c>
      <c r="R180" s="127">
        <f t="shared" si="209"/>
        <v>7.660494006512765E-2</v>
      </c>
      <c r="S180" s="127">
        <f t="shared" si="209"/>
        <v>6.960654058747999E-2</v>
      </c>
      <c r="T180" s="127">
        <f t="shared" si="209"/>
        <v>6.7350915655370922E-2</v>
      </c>
      <c r="U180" s="127">
        <f t="shared" si="209"/>
        <v>6.2800581670124297E-2</v>
      </c>
      <c r="V180" s="127">
        <f t="shared" si="209"/>
        <v>4.8517937668294257E-2</v>
      </c>
      <c r="W180" s="127">
        <f t="shared" si="209"/>
        <v>5.7107810892095608E-2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0.19739334745369214</v>
      </c>
      <c r="C182" s="140">
        <f t="shared" ref="C182:W182" si="211">IF(C90=0,0,C90/C$89)</f>
        <v>0.19634664294468365</v>
      </c>
      <c r="D182" s="140">
        <f t="shared" si="211"/>
        <v>0.1987420958240492</v>
      </c>
      <c r="E182" s="140">
        <f t="shared" si="211"/>
        <v>0.19311272097323304</v>
      </c>
      <c r="F182" s="140">
        <f t="shared" si="211"/>
        <v>0.19280048483469922</v>
      </c>
      <c r="G182" s="140">
        <f t="shared" si="211"/>
        <v>0.17469918518555716</v>
      </c>
      <c r="H182" s="140">
        <f t="shared" si="211"/>
        <v>0.16666576133626745</v>
      </c>
      <c r="I182" s="140">
        <f t="shared" si="211"/>
        <v>0.16417264471203002</v>
      </c>
      <c r="J182" s="140">
        <f t="shared" si="211"/>
        <v>0.15443678380412981</v>
      </c>
      <c r="K182" s="140">
        <f t="shared" si="211"/>
        <v>0.18098100963699904</v>
      </c>
      <c r="L182" s="140">
        <f t="shared" si="211"/>
        <v>0.19029141417773154</v>
      </c>
      <c r="M182" s="140">
        <f t="shared" si="211"/>
        <v>0.17340082797181411</v>
      </c>
      <c r="N182" s="140">
        <f t="shared" si="211"/>
        <v>0.17310242198512346</v>
      </c>
      <c r="O182" s="140">
        <f t="shared" si="211"/>
        <v>0.1756281485542375</v>
      </c>
      <c r="P182" s="140">
        <f t="shared" si="211"/>
        <v>0.17864197100046289</v>
      </c>
      <c r="Q182" s="140">
        <f t="shared" si="211"/>
        <v>0.16999637815941684</v>
      </c>
      <c r="R182" s="140">
        <f t="shared" si="211"/>
        <v>0.16576784979197776</v>
      </c>
      <c r="S182" s="140">
        <f t="shared" si="211"/>
        <v>0.16381362436328081</v>
      </c>
      <c r="T182" s="140">
        <f t="shared" si="211"/>
        <v>0.17166543611882329</v>
      </c>
      <c r="U182" s="140">
        <f t="shared" si="211"/>
        <v>0.17650460889734676</v>
      </c>
      <c r="V182" s="140">
        <f t="shared" si="211"/>
        <v>0.15732950165747525</v>
      </c>
      <c r="W182" s="140">
        <f t="shared" si="211"/>
        <v>0.15855634902444396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0.80260665254630781</v>
      </c>
      <c r="C183" s="127">
        <f t="shared" ref="C183:W183" si="212">IF(C91=0,0,C91/C$89)</f>
        <v>0.80365335705531638</v>
      </c>
      <c r="D183" s="127">
        <f t="shared" si="212"/>
        <v>0.80125790417595077</v>
      </c>
      <c r="E183" s="127">
        <f t="shared" si="212"/>
        <v>0.80688727902676705</v>
      </c>
      <c r="F183" s="127">
        <f t="shared" si="212"/>
        <v>0.80719951516530064</v>
      </c>
      <c r="G183" s="127">
        <f t="shared" si="212"/>
        <v>0.82530081481444284</v>
      </c>
      <c r="H183" s="127">
        <f t="shared" si="212"/>
        <v>0.83333423866373257</v>
      </c>
      <c r="I183" s="127">
        <f t="shared" si="212"/>
        <v>0.83582735528796992</v>
      </c>
      <c r="J183" s="127">
        <f t="shared" si="212"/>
        <v>0.84556321619587027</v>
      </c>
      <c r="K183" s="127">
        <f t="shared" si="212"/>
        <v>0.81901899036300096</v>
      </c>
      <c r="L183" s="127">
        <f t="shared" si="212"/>
        <v>0.80970858582226846</v>
      </c>
      <c r="M183" s="127">
        <f t="shared" si="212"/>
        <v>0.82659917202818589</v>
      </c>
      <c r="N183" s="127">
        <f t="shared" si="212"/>
        <v>0.82689757801487662</v>
      </c>
      <c r="O183" s="127">
        <f t="shared" si="212"/>
        <v>0.82437185144576253</v>
      </c>
      <c r="P183" s="127">
        <f t="shared" si="212"/>
        <v>0.82135802899953714</v>
      </c>
      <c r="Q183" s="127">
        <f t="shared" si="212"/>
        <v>0.83000362184058307</v>
      </c>
      <c r="R183" s="127">
        <f t="shared" si="212"/>
        <v>0.83423215020802222</v>
      </c>
      <c r="S183" s="127">
        <f t="shared" si="212"/>
        <v>0.83618637563671905</v>
      </c>
      <c r="T183" s="127">
        <f t="shared" si="212"/>
        <v>0.82833456388117666</v>
      </c>
      <c r="U183" s="127">
        <f t="shared" si="212"/>
        <v>0.82349539110265324</v>
      </c>
      <c r="V183" s="127">
        <f t="shared" si="212"/>
        <v>0.84267049834252472</v>
      </c>
      <c r="W183" s="127">
        <f t="shared" si="212"/>
        <v>0.84144365097555596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40.704117982674113</v>
      </c>
      <c r="C186" s="32">
        <f t="shared" si="213"/>
        <v>40.665541709500808</v>
      </c>
      <c r="D186" s="32">
        <f t="shared" si="213"/>
        <v>40.936356411405434</v>
      </c>
      <c r="E186" s="32">
        <f t="shared" si="213"/>
        <v>40.462634985496706</v>
      </c>
      <c r="F186" s="32">
        <f t="shared" si="213"/>
        <v>39.162337961494998</v>
      </c>
      <c r="G186" s="32">
        <f t="shared" si="213"/>
        <v>38.851846710409234</v>
      </c>
      <c r="H186" s="32">
        <f t="shared" si="213"/>
        <v>39.280488803215285</v>
      </c>
      <c r="I186" s="32">
        <f t="shared" si="213"/>
        <v>39.159278939230369</v>
      </c>
      <c r="J186" s="32">
        <f t="shared" si="213"/>
        <v>39.580580031072138</v>
      </c>
      <c r="K186" s="32">
        <f t="shared" si="213"/>
        <v>40.334772405517484</v>
      </c>
      <c r="L186" s="32">
        <f t="shared" si="213"/>
        <v>39.098994741568447</v>
      </c>
      <c r="M186" s="32">
        <f t="shared" si="213"/>
        <v>38.632051321545582</v>
      </c>
      <c r="N186" s="32">
        <f t="shared" si="213"/>
        <v>37.723474744566794</v>
      </c>
      <c r="O186" s="32">
        <f t="shared" si="213"/>
        <v>35.807641548225462</v>
      </c>
      <c r="P186" s="32">
        <f t="shared" si="213"/>
        <v>35.13853595439209</v>
      </c>
      <c r="Q186" s="32">
        <f t="shared" si="213"/>
        <v>36.226030785488575</v>
      </c>
      <c r="R186" s="32">
        <f t="shared" si="213"/>
        <v>35.806568023639173</v>
      </c>
      <c r="S186" s="32">
        <f t="shared" si="213"/>
        <v>35.709496374154732</v>
      </c>
      <c r="T186" s="32">
        <f t="shared" si="213"/>
        <v>33.940192739480217</v>
      </c>
      <c r="U186" s="32">
        <f t="shared" si="213"/>
        <v>33.396289750876015</v>
      </c>
      <c r="V186" s="32">
        <f t="shared" si="213"/>
        <v>42.300387227942608</v>
      </c>
      <c r="W186" s="32">
        <f t="shared" ref="W186" si="214">IF(W34=0,0,W34/W4*1000)</f>
        <v>40.360735301841387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42.218881522851703</v>
      </c>
      <c r="C187" s="141">
        <f t="shared" si="215"/>
        <v>42.339442290139544</v>
      </c>
      <c r="D187" s="141">
        <f t="shared" si="215"/>
        <v>42.396489318417999</v>
      </c>
      <c r="E187" s="141">
        <f t="shared" si="215"/>
        <v>41.961226204791629</v>
      </c>
      <c r="F187" s="141">
        <f t="shared" si="215"/>
        <v>40.681323934628523</v>
      </c>
      <c r="G187" s="141">
        <f t="shared" si="215"/>
        <v>41.49236743529422</v>
      </c>
      <c r="H187" s="141">
        <f t="shared" si="215"/>
        <v>42.640506021068383</v>
      </c>
      <c r="I187" s="141">
        <f t="shared" si="215"/>
        <v>42.699419345551455</v>
      </c>
      <c r="J187" s="141">
        <f t="shared" si="215"/>
        <v>43.3587442557969</v>
      </c>
      <c r="K187" s="141">
        <f t="shared" si="215"/>
        <v>43.482514027175561</v>
      </c>
      <c r="L187" s="141">
        <f t="shared" si="215"/>
        <v>43.690731649316966</v>
      </c>
      <c r="M187" s="141">
        <f t="shared" si="215"/>
        <v>43.578723317241327</v>
      </c>
      <c r="N187" s="141">
        <f t="shared" si="215"/>
        <v>43.208779621750388</v>
      </c>
      <c r="O187" s="141">
        <f t="shared" si="215"/>
        <v>40.517346276162954</v>
      </c>
      <c r="P187" s="141">
        <f t="shared" si="215"/>
        <v>39.347123591838795</v>
      </c>
      <c r="Q187" s="141">
        <f t="shared" si="215"/>
        <v>40.811438517965364</v>
      </c>
      <c r="R187" s="141">
        <f t="shared" si="215"/>
        <v>40.631025872648259</v>
      </c>
      <c r="S187" s="141">
        <f t="shared" si="215"/>
        <v>41.952488176016587</v>
      </c>
      <c r="T187" s="141">
        <f t="shared" si="215"/>
        <v>39.318981953649839</v>
      </c>
      <c r="U187" s="141">
        <f t="shared" si="215"/>
        <v>38.982672680787431</v>
      </c>
      <c r="V187" s="141">
        <f t="shared" si="215"/>
        <v>44.413402955444319</v>
      </c>
      <c r="W187" s="141">
        <f t="shared" ref="W187" si="216">IF(W35=0,0,W35/W5*1000)</f>
        <v>42.79073077072804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38.391410018524958</v>
      </c>
      <c r="C188" s="97">
        <f t="shared" si="217"/>
        <v>38.347173738611616</v>
      </c>
      <c r="D188" s="97">
        <f t="shared" si="217"/>
        <v>37.987643521695666</v>
      </c>
      <c r="E188" s="97">
        <f t="shared" si="217"/>
        <v>38.146263088650379</v>
      </c>
      <c r="F188" s="97">
        <f t="shared" si="217"/>
        <v>37.866360537271447</v>
      </c>
      <c r="G188" s="97">
        <f t="shared" si="217"/>
        <v>37.375674483029172</v>
      </c>
      <c r="H188" s="97">
        <f t="shared" si="217"/>
        <v>36.378426784084176</v>
      </c>
      <c r="I188" s="97">
        <f t="shared" si="217"/>
        <v>34.37786276421371</v>
      </c>
      <c r="J188" s="97">
        <f t="shared" si="217"/>
        <v>33.418808328892396</v>
      </c>
      <c r="K188" s="97">
        <f t="shared" si="217"/>
        <v>32.727762961896474</v>
      </c>
      <c r="L188" s="97">
        <f t="shared" si="217"/>
        <v>32.168969575086535</v>
      </c>
      <c r="M188" s="97">
        <f t="shared" si="217"/>
        <v>31.750653722097372</v>
      </c>
      <c r="N188" s="97">
        <f t="shared" si="217"/>
        <v>31.680363889190183</v>
      </c>
      <c r="O188" s="97">
        <f t="shared" si="217"/>
        <v>31.278466596698749</v>
      </c>
      <c r="P188" s="97">
        <f t="shared" si="217"/>
        <v>30.783816773565729</v>
      </c>
      <c r="Q188" s="97">
        <f t="shared" si="217"/>
        <v>30.389136757402358</v>
      </c>
      <c r="R188" s="97">
        <f t="shared" si="217"/>
        <v>29.816869559920995</v>
      </c>
      <c r="S188" s="97">
        <f t="shared" si="217"/>
        <v>29.454842314837013</v>
      </c>
      <c r="T188" s="97">
        <f t="shared" si="217"/>
        <v>30.689501473730303</v>
      </c>
      <c r="U188" s="97">
        <f t="shared" si="217"/>
        <v>29.130700622207662</v>
      </c>
      <c r="V188" s="97">
        <f t="shared" si="217"/>
        <v>29.734234384661075</v>
      </c>
      <c r="W188" s="97">
        <f t="shared" ref="W188" si="218">IF(W36=0,0,W36/W6*1000)</f>
        <v>28.281397237912703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41.117888926519903</v>
      </c>
      <c r="C189" s="97">
        <f t="shared" si="219"/>
        <v>41.348577341215716</v>
      </c>
      <c r="D189" s="97">
        <f t="shared" si="219"/>
        <v>41.389584079406099</v>
      </c>
      <c r="E189" s="97">
        <f t="shared" si="219"/>
        <v>41.053508137067439</v>
      </c>
      <c r="F189" s="97">
        <f t="shared" si="219"/>
        <v>39.81505224874023</v>
      </c>
      <c r="G189" s="97">
        <f t="shared" si="219"/>
        <v>40.695297578553337</v>
      </c>
      <c r="H189" s="97">
        <f t="shared" si="219"/>
        <v>41.988159040712574</v>
      </c>
      <c r="I189" s="97">
        <f t="shared" si="219"/>
        <v>42.16618244941867</v>
      </c>
      <c r="J189" s="97">
        <f t="shared" si="219"/>
        <v>42.860199833238816</v>
      </c>
      <c r="K189" s="97">
        <f t="shared" si="219"/>
        <v>42.887345500576373</v>
      </c>
      <c r="L189" s="97">
        <f t="shared" si="219"/>
        <v>43.015578117493646</v>
      </c>
      <c r="M189" s="97">
        <f t="shared" si="219"/>
        <v>43.013787402704196</v>
      </c>
      <c r="N189" s="97">
        <f t="shared" si="219"/>
        <v>42.494681032945309</v>
      </c>
      <c r="O189" s="97">
        <f t="shared" si="219"/>
        <v>39.800999824197589</v>
      </c>
      <c r="P189" s="97">
        <f t="shared" si="219"/>
        <v>38.622542171656526</v>
      </c>
      <c r="Q189" s="97">
        <f t="shared" si="219"/>
        <v>40.31972601626326</v>
      </c>
      <c r="R189" s="97">
        <f t="shared" si="219"/>
        <v>40.154943165182239</v>
      </c>
      <c r="S189" s="97">
        <f t="shared" si="219"/>
        <v>41.258526038531109</v>
      </c>
      <c r="T189" s="97">
        <f t="shared" si="219"/>
        <v>38.839113990204496</v>
      </c>
      <c r="U189" s="97">
        <f t="shared" si="219"/>
        <v>38.660189499014471</v>
      </c>
      <c r="V189" s="97">
        <f t="shared" si="219"/>
        <v>43.694474730382872</v>
      </c>
      <c r="W189" s="97">
        <f t="shared" ref="W189" si="220">IF(W37=0,0,W37/W7*1000)</f>
        <v>42.466440236315449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78.703136111382307</v>
      </c>
      <c r="C190" s="97">
        <f t="shared" si="221"/>
        <v>75.410692171428281</v>
      </c>
      <c r="D190" s="97">
        <f t="shared" si="221"/>
        <v>78.996337458270403</v>
      </c>
      <c r="E190" s="97">
        <f t="shared" si="221"/>
        <v>73.877672109097219</v>
      </c>
      <c r="F190" s="97">
        <f t="shared" si="221"/>
        <v>70.75208846595126</v>
      </c>
      <c r="G190" s="97">
        <f t="shared" si="221"/>
        <v>69.522021296476751</v>
      </c>
      <c r="H190" s="97">
        <f t="shared" si="221"/>
        <v>67.618229064255303</v>
      </c>
      <c r="I190" s="97">
        <f t="shared" si="221"/>
        <v>66.051304689424228</v>
      </c>
      <c r="J190" s="97">
        <f t="shared" si="221"/>
        <v>67.316622786296534</v>
      </c>
      <c r="K190" s="97">
        <f t="shared" si="221"/>
        <v>72.515610748570879</v>
      </c>
      <c r="L190" s="97">
        <f t="shared" si="221"/>
        <v>75.939928832910283</v>
      </c>
      <c r="M190" s="97">
        <f t="shared" si="221"/>
        <v>72.249044685435848</v>
      </c>
      <c r="N190" s="97">
        <f t="shared" si="221"/>
        <v>78.502611523424662</v>
      </c>
      <c r="O190" s="97">
        <f t="shared" si="221"/>
        <v>72.959195278715967</v>
      </c>
      <c r="P190" s="97">
        <f t="shared" si="221"/>
        <v>71.639460426157356</v>
      </c>
      <c r="Q190" s="97">
        <f t="shared" si="221"/>
        <v>65.614478412744447</v>
      </c>
      <c r="R190" s="97">
        <f t="shared" si="221"/>
        <v>65.336668070803867</v>
      </c>
      <c r="S190" s="97">
        <f t="shared" si="221"/>
        <v>75.993032521148507</v>
      </c>
      <c r="T190" s="97">
        <f t="shared" si="221"/>
        <v>59.575911052473579</v>
      </c>
      <c r="U190" s="97">
        <f t="shared" si="221"/>
        <v>56.551737191713826</v>
      </c>
      <c r="V190" s="97">
        <f t="shared" si="221"/>
        <v>102.01505390289736</v>
      </c>
      <c r="W190" s="97">
        <f t="shared" ref="W190" si="222">IF(W38=0,0,W38/W8*1000)</f>
        <v>77.672857001287554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10.42034979653735</v>
      </c>
      <c r="C191" s="130">
        <f t="shared" si="223"/>
        <v>10.175323104195549</v>
      </c>
      <c r="D191" s="130">
        <f t="shared" si="223"/>
        <v>10.228173750429596</v>
      </c>
      <c r="E191" s="130">
        <f t="shared" si="223"/>
        <v>10.645041858202388</v>
      </c>
      <c r="F191" s="130">
        <f t="shared" si="223"/>
        <v>10.346580227200494</v>
      </c>
      <c r="G191" s="130">
        <f t="shared" si="223"/>
        <v>9.5709576205572962</v>
      </c>
      <c r="H191" s="130">
        <f t="shared" si="223"/>
        <v>9.1024918096559642</v>
      </c>
      <c r="I191" s="130">
        <f t="shared" si="223"/>
        <v>8.5753423897769174</v>
      </c>
      <c r="J191" s="130">
        <f t="shared" si="223"/>
        <v>8.7596191256650577</v>
      </c>
      <c r="K191" s="130">
        <f t="shared" si="223"/>
        <v>9.0613065914449624</v>
      </c>
      <c r="L191" s="130">
        <f t="shared" si="223"/>
        <v>9.1941021780914465</v>
      </c>
      <c r="M191" s="130">
        <f t="shared" si="223"/>
        <v>8.6804013735043011</v>
      </c>
      <c r="N191" s="130">
        <f t="shared" si="223"/>
        <v>8.4430626041091479</v>
      </c>
      <c r="O191" s="130">
        <f t="shared" si="223"/>
        <v>7.8075692066272735</v>
      </c>
      <c r="P191" s="130">
        <f t="shared" si="223"/>
        <v>7.2404345366820273</v>
      </c>
      <c r="Q191" s="130">
        <f t="shared" si="223"/>
        <v>8.1702230506662801</v>
      </c>
      <c r="R191" s="130">
        <f t="shared" si="223"/>
        <v>8.280169746799249</v>
      </c>
      <c r="S191" s="130">
        <f t="shared" si="223"/>
        <v>8.0851101474409628</v>
      </c>
      <c r="T191" s="130">
        <f t="shared" si="223"/>
        <v>7.8578698216431819</v>
      </c>
      <c r="U191" s="130">
        <f t="shared" si="223"/>
        <v>7.6980438615288342</v>
      </c>
      <c r="V191" s="130">
        <f t="shared" si="223"/>
        <v>14.517400567608181</v>
      </c>
      <c r="W191" s="130">
        <f t="shared" ref="W191" si="224">IF(W39=0,0,W39/W9*1000)</f>
        <v>12.083951301339768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4.2978280696196558</v>
      </c>
      <c r="C192" s="97">
        <f t="shared" si="225"/>
        <v>4.2636925409900517</v>
      </c>
      <c r="D192" s="97">
        <f t="shared" si="225"/>
        <v>4.2282473377982832</v>
      </c>
      <c r="E192" s="97">
        <f t="shared" si="225"/>
        <v>4.1586810316358269</v>
      </c>
      <c r="F192" s="97">
        <f t="shared" si="225"/>
        <v>4.1121791055711769</v>
      </c>
      <c r="G192" s="97">
        <f t="shared" si="225"/>
        <v>4.0115822856473651</v>
      </c>
      <c r="H192" s="97">
        <f t="shared" si="225"/>
        <v>3.9399087532225838</v>
      </c>
      <c r="I192" s="97">
        <f t="shared" si="225"/>
        <v>3.9848703582003657</v>
      </c>
      <c r="J192" s="97">
        <f t="shared" si="225"/>
        <v>3.9371625765901914</v>
      </c>
      <c r="K192" s="97">
        <f t="shared" si="225"/>
        <v>3.8830168150856714</v>
      </c>
      <c r="L192" s="97">
        <f t="shared" si="225"/>
        <v>3.8143936262277269</v>
      </c>
      <c r="M192" s="97">
        <f t="shared" si="225"/>
        <v>3.740808786967512</v>
      </c>
      <c r="N192" s="97">
        <f t="shared" si="225"/>
        <v>3.7145928608106287</v>
      </c>
      <c r="O192" s="97">
        <f t="shared" si="225"/>
        <v>3.6334994616370304</v>
      </c>
      <c r="P192" s="97">
        <f t="shared" si="225"/>
        <v>3.5724424046251668</v>
      </c>
      <c r="Q192" s="97">
        <f t="shared" si="225"/>
        <v>3.6851689568645183</v>
      </c>
      <c r="R192" s="97">
        <f t="shared" si="225"/>
        <v>3.6585378216228377</v>
      </c>
      <c r="S192" s="97">
        <f t="shared" si="225"/>
        <v>3.637651102915898</v>
      </c>
      <c r="T192" s="97">
        <f t="shared" si="225"/>
        <v>3.6210938493030893</v>
      </c>
      <c r="U192" s="97">
        <f t="shared" si="225"/>
        <v>3.6079141506070456</v>
      </c>
      <c r="V192" s="97">
        <f t="shared" si="225"/>
        <v>5.2670751103831339</v>
      </c>
      <c r="W192" s="97">
        <f t="shared" ref="W192" si="226">IF(W40=0,0,W40/W10*1000)</f>
        <v>4.5110514661742078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10.734617919484592</v>
      </c>
      <c r="C193" s="97">
        <f t="shared" si="227"/>
        <v>10.51465490582218</v>
      </c>
      <c r="D193" s="97">
        <f t="shared" si="227"/>
        <v>10.570027136459398</v>
      </c>
      <c r="E193" s="97">
        <f t="shared" si="227"/>
        <v>11.214192119705436</v>
      </c>
      <c r="F193" s="97">
        <f t="shared" si="227"/>
        <v>10.880114980824308</v>
      </c>
      <c r="G193" s="97">
        <f t="shared" si="227"/>
        <v>10.029034962479145</v>
      </c>
      <c r="H193" s="97">
        <f t="shared" si="227"/>
        <v>9.5441127710220126</v>
      </c>
      <c r="I193" s="97">
        <f t="shared" si="227"/>
        <v>8.9617194057581049</v>
      </c>
      <c r="J193" s="97">
        <f t="shared" si="227"/>
        <v>9.185841523784573</v>
      </c>
      <c r="K193" s="97">
        <f t="shared" si="227"/>
        <v>9.5461605875598412</v>
      </c>
      <c r="L193" s="97">
        <f t="shared" si="227"/>
        <v>9.5084873926977114</v>
      </c>
      <c r="M193" s="97">
        <f t="shared" si="227"/>
        <v>8.968587783403791</v>
      </c>
      <c r="N193" s="97">
        <f t="shared" si="227"/>
        <v>8.6967682745509212</v>
      </c>
      <c r="O193" s="97">
        <f t="shared" si="227"/>
        <v>8.0236414410600592</v>
      </c>
      <c r="P193" s="97">
        <f t="shared" si="227"/>
        <v>7.4070909463203591</v>
      </c>
      <c r="Q193" s="97">
        <f t="shared" si="227"/>
        <v>8.5839565076579145</v>
      </c>
      <c r="R193" s="97">
        <f t="shared" si="227"/>
        <v>8.5936686770317223</v>
      </c>
      <c r="S193" s="97">
        <f t="shared" si="227"/>
        <v>8.382844767849388</v>
      </c>
      <c r="T193" s="97">
        <f t="shared" si="227"/>
        <v>8.1727453093246734</v>
      </c>
      <c r="U193" s="97">
        <f t="shared" si="227"/>
        <v>8.0059865455918686</v>
      </c>
      <c r="V193" s="97">
        <f t="shared" si="227"/>
        <v>15.124683147207222</v>
      </c>
      <c r="W193" s="97">
        <f t="shared" ref="W193" si="228">IF(W41=0,0,W41/W11*1000)</f>
        <v>12.564478637271717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6.2049715327979555</v>
      </c>
      <c r="C194" s="97">
        <f t="shared" si="229"/>
        <v>6.1384998016411654</v>
      </c>
      <c r="D194" s="97">
        <f t="shared" si="229"/>
        <v>6.0762085268036241</v>
      </c>
      <c r="E194" s="97">
        <f t="shared" si="229"/>
        <v>6.0519300740704551</v>
      </c>
      <c r="F194" s="97">
        <f t="shared" si="229"/>
        <v>5.9988168833423678</v>
      </c>
      <c r="G194" s="97">
        <f t="shared" si="229"/>
        <v>5.9654358958790876</v>
      </c>
      <c r="H194" s="97">
        <f t="shared" si="229"/>
        <v>5.4507618893383825</v>
      </c>
      <c r="I194" s="97">
        <f t="shared" si="229"/>
        <v>5.6389151539252991</v>
      </c>
      <c r="J194" s="97">
        <f t="shared" si="229"/>
        <v>5.7421655513258631</v>
      </c>
      <c r="K194" s="97">
        <f t="shared" si="229"/>
        <v>5.4950945667933135</v>
      </c>
      <c r="L194" s="97">
        <f t="shared" si="229"/>
        <v>6.9848306477956772</v>
      </c>
      <c r="M194" s="97">
        <f t="shared" si="229"/>
        <v>6.8654739166997603</v>
      </c>
      <c r="N194" s="97">
        <f t="shared" si="229"/>
        <v>6.6919681692105</v>
      </c>
      <c r="O194" s="97">
        <f t="shared" si="229"/>
        <v>6.5028081762594834</v>
      </c>
      <c r="P194" s="97">
        <f t="shared" si="229"/>
        <v>6.5629811982191235</v>
      </c>
      <c r="Q194" s="97">
        <f t="shared" si="229"/>
        <v>5.4318050234325668</v>
      </c>
      <c r="R194" s="97">
        <f t="shared" si="229"/>
        <v>4.8683837948202457</v>
      </c>
      <c r="S194" s="97">
        <f t="shared" si="229"/>
        <v>4.58515857323105</v>
      </c>
      <c r="T194" s="97">
        <f t="shared" si="229"/>
        <v>4.1529065527755096</v>
      </c>
      <c r="U194" s="97">
        <f t="shared" si="229"/>
        <v>4.136848934146891</v>
      </c>
      <c r="V194" s="97">
        <f t="shared" si="229"/>
        <v>5.7845963640708868</v>
      </c>
      <c r="W194" s="97">
        <f t="shared" ref="W194" si="230">IF(W42=0,0,W42/W12*1000)</f>
        <v>5.4513375175863406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44.517819069424178</v>
      </c>
      <c r="C195" s="130">
        <f t="shared" si="231"/>
        <v>44.066000442470973</v>
      </c>
      <c r="D195" s="130">
        <f t="shared" si="231"/>
        <v>44.706222163482856</v>
      </c>
      <c r="E195" s="130">
        <f t="shared" si="231"/>
        <v>43.728832328132796</v>
      </c>
      <c r="F195" s="130">
        <f t="shared" si="231"/>
        <v>41.994081406907121</v>
      </c>
      <c r="G195" s="130">
        <f t="shared" si="231"/>
        <v>39.525880719924196</v>
      </c>
      <c r="H195" s="130">
        <f t="shared" si="231"/>
        <v>38.960337033642467</v>
      </c>
      <c r="I195" s="130">
        <f t="shared" si="231"/>
        <v>38.683987327255977</v>
      </c>
      <c r="J195" s="130">
        <f t="shared" si="231"/>
        <v>38.755118163848984</v>
      </c>
      <c r="K195" s="130">
        <f t="shared" si="231"/>
        <v>41.034730701536198</v>
      </c>
      <c r="L195" s="130">
        <f t="shared" si="231"/>
        <v>36.708826706402675</v>
      </c>
      <c r="M195" s="130">
        <f t="shared" si="231"/>
        <v>35.971077998185066</v>
      </c>
      <c r="N195" s="130">
        <f t="shared" si="231"/>
        <v>34.44083474353468</v>
      </c>
      <c r="O195" s="130">
        <f t="shared" si="231"/>
        <v>33.820116339524198</v>
      </c>
      <c r="P195" s="130">
        <f t="shared" si="231"/>
        <v>34.385257058909893</v>
      </c>
      <c r="Q195" s="130">
        <f t="shared" si="231"/>
        <v>34.461846500457433</v>
      </c>
      <c r="R195" s="130">
        <f t="shared" si="231"/>
        <v>33.756867510581095</v>
      </c>
      <c r="S195" s="130">
        <f t="shared" si="231"/>
        <v>32.11109674424327</v>
      </c>
      <c r="T195" s="130">
        <f t="shared" si="231"/>
        <v>31.069157686966093</v>
      </c>
      <c r="U195" s="130">
        <f t="shared" si="231"/>
        <v>30.320039857134354</v>
      </c>
      <c r="V195" s="130">
        <f t="shared" si="231"/>
        <v>43.149615115136825</v>
      </c>
      <c r="W195" s="130">
        <f t="shared" ref="W195" si="232">IF(W43=0,0,W43/W13*1000)</f>
        <v>40.882080519033536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38.243053396600132</v>
      </c>
      <c r="C197" s="97">
        <f t="shared" si="235"/>
        <v>37.647186808268579</v>
      </c>
      <c r="D197" s="97">
        <f t="shared" si="235"/>
        <v>38.437892608593494</v>
      </c>
      <c r="E197" s="97">
        <f t="shared" si="235"/>
        <v>38.237437217756714</v>
      </c>
      <c r="F197" s="97">
        <f t="shared" si="235"/>
        <v>37.157264646726986</v>
      </c>
      <c r="G197" s="97">
        <f t="shared" si="235"/>
        <v>36.063553700296517</v>
      </c>
      <c r="H197" s="97">
        <f t="shared" si="235"/>
        <v>35.139439873230025</v>
      </c>
      <c r="I197" s="97">
        <f t="shared" si="235"/>
        <v>36.558947106360911</v>
      </c>
      <c r="J197" s="97">
        <f t="shared" si="235"/>
        <v>37.735283537631993</v>
      </c>
      <c r="K197" s="97">
        <f t="shared" si="235"/>
        <v>37.993664011730985</v>
      </c>
      <c r="L197" s="97">
        <f t="shared" si="235"/>
        <v>34.042176495788659</v>
      </c>
      <c r="M197" s="97">
        <f t="shared" si="235"/>
        <v>31.97914459688149</v>
      </c>
      <c r="N197" s="97">
        <f t="shared" si="235"/>
        <v>30.547326788562039</v>
      </c>
      <c r="O197" s="97">
        <f t="shared" si="235"/>
        <v>30.042248172665083</v>
      </c>
      <c r="P197" s="97">
        <f t="shared" si="235"/>
        <v>30.282114136675471</v>
      </c>
      <c r="Q197" s="97">
        <f t="shared" si="235"/>
        <v>30.920669949518736</v>
      </c>
      <c r="R197" s="97">
        <f t="shared" si="235"/>
        <v>29.477039476385311</v>
      </c>
      <c r="S197" s="97">
        <f t="shared" si="235"/>
        <v>27.74691095868495</v>
      </c>
      <c r="T197" s="97">
        <f t="shared" si="235"/>
        <v>26.607472008608678</v>
      </c>
      <c r="U197" s="97">
        <f t="shared" si="235"/>
        <v>25.447597084854998</v>
      </c>
      <c r="V197" s="97">
        <f t="shared" si="235"/>
        <v>28.19492644303163</v>
      </c>
      <c r="W197" s="97">
        <f t="shared" ref="W197" si="236">IF(W45=0,0,W45/W15*1000)</f>
        <v>25.96268369723111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46.591150074276456</v>
      </c>
      <c r="C198" s="97">
        <f t="shared" si="237"/>
        <v>46.20249332273778</v>
      </c>
      <c r="D198" s="97">
        <f t="shared" si="237"/>
        <v>46.795517049096141</v>
      </c>
      <c r="E198" s="97">
        <f t="shared" si="237"/>
        <v>45.580630799297964</v>
      </c>
      <c r="F198" s="97">
        <f t="shared" si="237"/>
        <v>43.490411271614477</v>
      </c>
      <c r="G198" s="97">
        <f t="shared" si="237"/>
        <v>40.558378381880011</v>
      </c>
      <c r="H198" s="97">
        <f t="shared" si="237"/>
        <v>40.159764165260896</v>
      </c>
      <c r="I198" s="97">
        <f t="shared" si="237"/>
        <v>39.329999203989139</v>
      </c>
      <c r="J198" s="97">
        <f t="shared" si="237"/>
        <v>39.040079646107429</v>
      </c>
      <c r="K198" s="97">
        <f t="shared" si="237"/>
        <v>41.893554419269357</v>
      </c>
      <c r="L198" s="97">
        <f t="shared" si="237"/>
        <v>37.448955481963957</v>
      </c>
      <c r="M198" s="97">
        <f t="shared" si="237"/>
        <v>37.160864206958962</v>
      </c>
      <c r="N198" s="97">
        <f t="shared" si="237"/>
        <v>35.584476928724591</v>
      </c>
      <c r="O198" s="97">
        <f t="shared" si="237"/>
        <v>34.929042302864119</v>
      </c>
      <c r="P198" s="97">
        <f t="shared" si="237"/>
        <v>35.623041233229173</v>
      </c>
      <c r="Q198" s="97">
        <f t="shared" si="237"/>
        <v>35.520919538757973</v>
      </c>
      <c r="R198" s="97">
        <f t="shared" si="237"/>
        <v>35.173886427435711</v>
      </c>
      <c r="S198" s="97">
        <f t="shared" si="237"/>
        <v>33.624967059970906</v>
      </c>
      <c r="T198" s="97">
        <f t="shared" si="237"/>
        <v>32.602428520592234</v>
      </c>
      <c r="U198" s="97">
        <f t="shared" si="237"/>
        <v>31.962771107549194</v>
      </c>
      <c r="V198" s="97">
        <f t="shared" si="237"/>
        <v>48.324433818342825</v>
      </c>
      <c r="W198" s="97">
        <f t="shared" ref="W198" si="238">IF(W46=0,0,W46/W16*1000)</f>
        <v>47.129551606331667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47.736942768986623</v>
      </c>
      <c r="C199" s="32">
        <f t="shared" si="239"/>
        <v>47.494477465594528</v>
      </c>
      <c r="D199" s="32">
        <f t="shared" si="239"/>
        <v>49.646142079654297</v>
      </c>
      <c r="E199" s="32">
        <f t="shared" si="239"/>
        <v>51.19700520849522</v>
      </c>
      <c r="F199" s="32">
        <f t="shared" si="239"/>
        <v>48.205342530696463</v>
      </c>
      <c r="G199" s="32">
        <f t="shared" si="239"/>
        <v>50.186636189420717</v>
      </c>
      <c r="H199" s="32">
        <f t="shared" si="239"/>
        <v>52.15123021733941</v>
      </c>
      <c r="I199" s="32">
        <f t="shared" si="239"/>
        <v>50.316761046365684</v>
      </c>
      <c r="J199" s="32">
        <f t="shared" si="239"/>
        <v>50.571844103047965</v>
      </c>
      <c r="K199" s="32">
        <f t="shared" si="239"/>
        <v>52.064732962421992</v>
      </c>
      <c r="L199" s="32">
        <f t="shared" si="239"/>
        <v>48.81481071169393</v>
      </c>
      <c r="M199" s="32">
        <f t="shared" si="239"/>
        <v>49.368704068856317</v>
      </c>
      <c r="N199" s="32">
        <f t="shared" si="239"/>
        <v>47.201585473218465</v>
      </c>
      <c r="O199" s="32">
        <f t="shared" si="239"/>
        <v>42.164510307580429</v>
      </c>
      <c r="P199" s="32">
        <f t="shared" si="239"/>
        <v>36.031622383185535</v>
      </c>
      <c r="Q199" s="32">
        <f t="shared" si="239"/>
        <v>36.861244351250789</v>
      </c>
      <c r="R199" s="32">
        <f t="shared" si="239"/>
        <v>35.031468642858542</v>
      </c>
      <c r="S199" s="32">
        <f t="shared" si="239"/>
        <v>37.562022904357704</v>
      </c>
      <c r="T199" s="32">
        <f t="shared" si="239"/>
        <v>39.89292747901316</v>
      </c>
      <c r="U199" s="32">
        <f t="shared" si="239"/>
        <v>39.087426892649027</v>
      </c>
      <c r="V199" s="32">
        <f t="shared" si="239"/>
        <v>38.771633108273349</v>
      </c>
      <c r="W199" s="32">
        <f t="shared" ref="W199" si="240">IF(W47=0,0,W47/W17*1000)</f>
        <v>36.105761747064712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82.143722609459559</v>
      </c>
      <c r="C200" s="141">
        <f t="shared" si="241"/>
        <v>81.588301197135877</v>
      </c>
      <c r="D200" s="141">
        <f t="shared" si="241"/>
        <v>83.776775318532657</v>
      </c>
      <c r="E200" s="141">
        <f t="shared" si="241"/>
        <v>83.582140154577971</v>
      </c>
      <c r="F200" s="141">
        <f t="shared" si="241"/>
        <v>79.090122881608565</v>
      </c>
      <c r="G200" s="141">
        <f t="shared" si="241"/>
        <v>81.72694730264169</v>
      </c>
      <c r="H200" s="141">
        <f t="shared" si="241"/>
        <v>84.468416811168908</v>
      </c>
      <c r="I200" s="141">
        <f t="shared" si="241"/>
        <v>85.215802164656168</v>
      </c>
      <c r="J200" s="141">
        <f t="shared" si="241"/>
        <v>83.944685875229595</v>
      </c>
      <c r="K200" s="141">
        <f t="shared" si="241"/>
        <v>81.206124595779812</v>
      </c>
      <c r="L200" s="141">
        <f t="shared" si="241"/>
        <v>82.099682795680636</v>
      </c>
      <c r="M200" s="141">
        <f t="shared" si="241"/>
        <v>84.371247091743001</v>
      </c>
      <c r="N200" s="141">
        <f t="shared" si="241"/>
        <v>84.524792067963148</v>
      </c>
      <c r="O200" s="141">
        <f t="shared" si="241"/>
        <v>71.886474437898514</v>
      </c>
      <c r="P200" s="141">
        <f t="shared" si="241"/>
        <v>60.818420067181655</v>
      </c>
      <c r="Q200" s="141">
        <f t="shared" si="241"/>
        <v>61.609866297681883</v>
      </c>
      <c r="R200" s="141">
        <f t="shared" si="241"/>
        <v>57.854270480199453</v>
      </c>
      <c r="S200" s="141">
        <f t="shared" si="241"/>
        <v>63.085274597420025</v>
      </c>
      <c r="T200" s="141">
        <f t="shared" si="241"/>
        <v>66.511798367904703</v>
      </c>
      <c r="U200" s="141">
        <f t="shared" si="241"/>
        <v>65.387185553689591</v>
      </c>
      <c r="V200" s="141">
        <f t="shared" si="241"/>
        <v>60.815962776926177</v>
      </c>
      <c r="W200" s="141">
        <f t="shared" ref="W200" si="242">IF(W48=0,0,W48/W18*1000)</f>
        <v>56.887911975875255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578.67921112359784</v>
      </c>
      <c r="C201" s="97">
        <f t="shared" si="243"/>
        <v>545.35103065670035</v>
      </c>
      <c r="D201" s="97">
        <f t="shared" si="243"/>
        <v>533.89307363159423</v>
      </c>
      <c r="E201" s="97">
        <f t="shared" si="243"/>
        <v>526.63825920261525</v>
      </c>
      <c r="F201" s="97">
        <f t="shared" si="243"/>
        <v>522.89892134601007</v>
      </c>
      <c r="G201" s="97">
        <f t="shared" si="243"/>
        <v>515.54356769339699</v>
      </c>
      <c r="H201" s="97">
        <f t="shared" si="243"/>
        <v>514.25403896310331</v>
      </c>
      <c r="I201" s="97">
        <f t="shared" si="243"/>
        <v>514.28089738583321</v>
      </c>
      <c r="J201" s="97">
        <f t="shared" si="243"/>
        <v>512.01372043813842</v>
      </c>
      <c r="K201" s="97">
        <f t="shared" si="243"/>
        <v>501.82244196627488</v>
      </c>
      <c r="L201" s="97">
        <f t="shared" si="243"/>
        <v>503.84314945329589</v>
      </c>
      <c r="M201" s="97">
        <f t="shared" si="243"/>
        <v>505.79246163309955</v>
      </c>
      <c r="N201" s="97">
        <f t="shared" si="243"/>
        <v>498.36114882502943</v>
      </c>
      <c r="O201" s="97">
        <f t="shared" si="243"/>
        <v>495.13527507495411</v>
      </c>
      <c r="P201" s="97">
        <f t="shared" si="243"/>
        <v>486.33672825533188</v>
      </c>
      <c r="Q201" s="97">
        <f t="shared" si="243"/>
        <v>482.91215128498527</v>
      </c>
      <c r="R201" s="97">
        <f t="shared" si="243"/>
        <v>472.90903108659205</v>
      </c>
      <c r="S201" s="97">
        <f t="shared" si="243"/>
        <v>462.6564283907033</v>
      </c>
      <c r="T201" s="97">
        <f t="shared" si="243"/>
        <v>452.81754832281399</v>
      </c>
      <c r="U201" s="97">
        <f t="shared" si="243"/>
        <v>444.06433799088074</v>
      </c>
      <c r="V201" s="97">
        <f t="shared" si="243"/>
        <v>436.06016028185337</v>
      </c>
      <c r="W201" s="97">
        <f t="shared" ref="W201" si="244">IF(W49=0,0,W49/W19*1000)</f>
        <v>433.96289576191515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47.816223592065938</v>
      </c>
      <c r="C202" s="97">
        <f t="shared" si="245"/>
        <v>46.613053599194906</v>
      </c>
      <c r="D202" s="97">
        <f t="shared" si="245"/>
        <v>48.302326862226792</v>
      </c>
      <c r="E202" s="97">
        <f t="shared" si="245"/>
        <v>48.23205169401276</v>
      </c>
      <c r="F202" s="97">
        <f t="shared" si="245"/>
        <v>45.046763160566421</v>
      </c>
      <c r="G202" s="97">
        <f t="shared" si="245"/>
        <v>46.660317517941508</v>
      </c>
      <c r="H202" s="97">
        <f t="shared" si="245"/>
        <v>50.155085174974616</v>
      </c>
      <c r="I202" s="97">
        <f t="shared" si="245"/>
        <v>50.574688623696531</v>
      </c>
      <c r="J202" s="97">
        <f t="shared" si="245"/>
        <v>49.681940548877357</v>
      </c>
      <c r="K202" s="97">
        <f t="shared" si="245"/>
        <v>47.367067335372582</v>
      </c>
      <c r="L202" s="97">
        <f t="shared" si="245"/>
        <v>48.047795805014594</v>
      </c>
      <c r="M202" s="97">
        <f t="shared" si="245"/>
        <v>49.873655787113741</v>
      </c>
      <c r="N202" s="97">
        <f t="shared" si="245"/>
        <v>50.450457827946508</v>
      </c>
      <c r="O202" s="97">
        <f t="shared" si="245"/>
        <v>40.748789766418319</v>
      </c>
      <c r="P202" s="97">
        <f t="shared" si="245"/>
        <v>30.794425182417733</v>
      </c>
      <c r="Q202" s="97">
        <f t="shared" si="245"/>
        <v>30.778365991104653</v>
      </c>
      <c r="R202" s="97">
        <f t="shared" si="245"/>
        <v>28.400161796129886</v>
      </c>
      <c r="S202" s="97">
        <f t="shared" si="245"/>
        <v>33.78947332645992</v>
      </c>
      <c r="T202" s="97">
        <f t="shared" si="245"/>
        <v>38.41346678268151</v>
      </c>
      <c r="U202" s="97">
        <f t="shared" si="245"/>
        <v>38.381675155967933</v>
      </c>
      <c r="V202" s="97">
        <f t="shared" si="245"/>
        <v>34.575309895640146</v>
      </c>
      <c r="W202" s="97">
        <f t="shared" ref="W202" si="246">IF(W50=0,0,W50/W20*1000)</f>
        <v>30.485146579947987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3.9274361604128578</v>
      </c>
      <c r="C203" s="130">
        <f t="shared" si="247"/>
        <v>4.0837500066999777</v>
      </c>
      <c r="D203" s="130">
        <f t="shared" si="247"/>
        <v>3.793736420982607</v>
      </c>
      <c r="E203" s="130">
        <f t="shared" si="247"/>
        <v>3.374811218627765</v>
      </c>
      <c r="F203" s="130">
        <f t="shared" si="247"/>
        <v>3.3129405094194593</v>
      </c>
      <c r="G203" s="130">
        <f t="shared" si="247"/>
        <v>3.4792035761112841</v>
      </c>
      <c r="H203" s="130">
        <f t="shared" si="247"/>
        <v>3.2633018758223833</v>
      </c>
      <c r="I203" s="130">
        <f t="shared" si="247"/>
        <v>3.2373565589728432</v>
      </c>
      <c r="J203" s="130">
        <f t="shared" si="247"/>
        <v>3.2501247910114399</v>
      </c>
      <c r="K203" s="130">
        <f t="shared" si="247"/>
        <v>3.2216119983212357</v>
      </c>
      <c r="L203" s="130">
        <f t="shared" si="247"/>
        <v>3.5354340476403854</v>
      </c>
      <c r="M203" s="130">
        <f t="shared" si="247"/>
        <v>3.4728531369873261</v>
      </c>
      <c r="N203" s="130">
        <f t="shared" si="247"/>
        <v>3.3620379451186113</v>
      </c>
      <c r="O203" s="130">
        <f t="shared" si="247"/>
        <v>3.2755491584852741</v>
      </c>
      <c r="P203" s="130">
        <f t="shared" si="247"/>
        <v>3.12052507172492</v>
      </c>
      <c r="Q203" s="130">
        <f t="shared" si="247"/>
        <v>3.0786204857756458</v>
      </c>
      <c r="R203" s="130">
        <f t="shared" si="247"/>
        <v>2.9940007877287593</v>
      </c>
      <c r="S203" s="130">
        <f t="shared" si="247"/>
        <v>2.9497746186733007</v>
      </c>
      <c r="T203" s="130">
        <f t="shared" si="247"/>
        <v>2.8887730951205328</v>
      </c>
      <c r="U203" s="130">
        <f t="shared" si="247"/>
        <v>2.8629320101074094</v>
      </c>
      <c r="V203" s="130">
        <f t="shared" si="247"/>
        <v>3.1963195964389346</v>
      </c>
      <c r="W203" s="130">
        <f t="shared" ref="W203" si="248">IF(W51=0,0,W51/W21*1000)</f>
        <v>3.0221814520875356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108.02602498345392</v>
      </c>
      <c r="C204" s="130">
        <f t="shared" si="249"/>
        <v>103.24804845520634</v>
      </c>
      <c r="D204" s="130">
        <f t="shared" si="249"/>
        <v>111.00794478577639</v>
      </c>
      <c r="E204" s="130">
        <f t="shared" si="249"/>
        <v>119.5483653905378</v>
      </c>
      <c r="F204" s="130">
        <f t="shared" si="249"/>
        <v>122.69317588978751</v>
      </c>
      <c r="G204" s="130">
        <f t="shared" si="249"/>
        <v>128.67103701663257</v>
      </c>
      <c r="H204" s="130">
        <f t="shared" si="249"/>
        <v>134.79623261799054</v>
      </c>
      <c r="I204" s="130">
        <f t="shared" si="249"/>
        <v>137.20135858019449</v>
      </c>
      <c r="J204" s="130">
        <f t="shared" si="249"/>
        <v>137.90474201076643</v>
      </c>
      <c r="K204" s="130">
        <f t="shared" si="249"/>
        <v>131.53400450930596</v>
      </c>
      <c r="L204" s="130">
        <f t="shared" si="249"/>
        <v>120.8140252488879</v>
      </c>
      <c r="M204" s="130">
        <f t="shared" si="249"/>
        <v>112.53829773272604</v>
      </c>
      <c r="N204" s="130">
        <f t="shared" si="249"/>
        <v>99.308371131458401</v>
      </c>
      <c r="O204" s="130">
        <f t="shared" si="249"/>
        <v>97.19594596321852</v>
      </c>
      <c r="P204" s="130">
        <f t="shared" si="249"/>
        <v>86.378151990695144</v>
      </c>
      <c r="Q204" s="130">
        <f t="shared" si="249"/>
        <v>85.945921481892682</v>
      </c>
      <c r="R204" s="130">
        <f t="shared" si="249"/>
        <v>80.151066336597665</v>
      </c>
      <c r="S204" s="130">
        <f t="shared" si="249"/>
        <v>80.056379456717423</v>
      </c>
      <c r="T204" s="130">
        <f t="shared" si="249"/>
        <v>78.6510910091677</v>
      </c>
      <c r="U204" s="130">
        <f t="shared" si="249"/>
        <v>73.715974525837836</v>
      </c>
      <c r="V204" s="130">
        <f t="shared" si="249"/>
        <v>113.40668912906017</v>
      </c>
      <c r="W204" s="130">
        <f t="shared" ref="W204" si="250">IF(W52=0,0,W52/W22*1000)</f>
        <v>106.00549863051195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192.98684105815209</v>
      </c>
      <c r="C206" s="97">
        <f t="shared" si="253"/>
        <v>183.30123241693681</v>
      </c>
      <c r="D206" s="97">
        <f t="shared" si="253"/>
        <v>198.35422751292805</v>
      </c>
      <c r="E206" s="97">
        <f t="shared" si="253"/>
        <v>191.36307857494657</v>
      </c>
      <c r="F206" s="97">
        <f t="shared" si="253"/>
        <v>213.59274163571797</v>
      </c>
      <c r="G206" s="97">
        <f t="shared" si="253"/>
        <v>215.71063079089518</v>
      </c>
      <c r="H206" s="97">
        <f t="shared" si="253"/>
        <v>234.3015408101829</v>
      </c>
      <c r="I206" s="97">
        <f t="shared" si="253"/>
        <v>238.18254899011714</v>
      </c>
      <c r="J206" s="97">
        <f t="shared" si="253"/>
        <v>243.61738135254288</v>
      </c>
      <c r="K206" s="97">
        <f t="shared" si="253"/>
        <v>240.06456102889658</v>
      </c>
      <c r="L206" s="97">
        <f t="shared" si="253"/>
        <v>224.57990151793601</v>
      </c>
      <c r="M206" s="97">
        <f t="shared" si="253"/>
        <v>201.97957220383594</v>
      </c>
      <c r="N206" s="97">
        <f t="shared" si="253"/>
        <v>189.57646182426797</v>
      </c>
      <c r="O206" s="97">
        <f t="shared" si="253"/>
        <v>187.32643249225094</v>
      </c>
      <c r="P206" s="97">
        <f t="shared" si="253"/>
        <v>163.96182456298814</v>
      </c>
      <c r="Q206" s="97">
        <f t="shared" si="253"/>
        <v>172.13216226072598</v>
      </c>
      <c r="R206" s="97">
        <f t="shared" si="253"/>
        <v>152.58758302597556</v>
      </c>
      <c r="S206" s="97">
        <f t="shared" si="253"/>
        <v>165.46000848087664</v>
      </c>
      <c r="T206" s="97">
        <f t="shared" si="253"/>
        <v>157.92541871475228</v>
      </c>
      <c r="U206" s="97">
        <f t="shared" si="253"/>
        <v>143.5153588937564</v>
      </c>
      <c r="V206" s="97">
        <f t="shared" si="253"/>
        <v>151.48609532239516</v>
      </c>
      <c r="W206" s="97">
        <f t="shared" ref="W206" si="254">IF(W54=0,0,W54/W24*1000)</f>
        <v>154.33473167299087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106.94140379558046</v>
      </c>
      <c r="C207" s="97">
        <f t="shared" si="255"/>
        <v>101.85450407178328</v>
      </c>
      <c r="D207" s="97">
        <f t="shared" si="255"/>
        <v>109.88234680207904</v>
      </c>
      <c r="E207" s="97">
        <f t="shared" si="255"/>
        <v>118.55856915290053</v>
      </c>
      <c r="F207" s="97">
        <f t="shared" si="255"/>
        <v>121.52493179639977</v>
      </c>
      <c r="G207" s="97">
        <f t="shared" si="255"/>
        <v>127.62761522838636</v>
      </c>
      <c r="H207" s="97">
        <f t="shared" si="255"/>
        <v>133.73680005935344</v>
      </c>
      <c r="I207" s="97">
        <f t="shared" si="255"/>
        <v>136.06134898993162</v>
      </c>
      <c r="J207" s="97">
        <f t="shared" si="255"/>
        <v>136.46857513578922</v>
      </c>
      <c r="K207" s="97">
        <f t="shared" si="255"/>
        <v>129.78949441474876</v>
      </c>
      <c r="L207" s="97">
        <f t="shared" si="255"/>
        <v>119.21664998962289</v>
      </c>
      <c r="M207" s="97">
        <f t="shared" si="255"/>
        <v>111.35121782051644</v>
      </c>
      <c r="N207" s="97">
        <f t="shared" si="255"/>
        <v>98.268031769161439</v>
      </c>
      <c r="O207" s="97">
        <f t="shared" si="255"/>
        <v>96.12291694420324</v>
      </c>
      <c r="P207" s="97">
        <f t="shared" si="255"/>
        <v>85.370742164952631</v>
      </c>
      <c r="Q207" s="97">
        <f t="shared" si="255"/>
        <v>84.891304643811523</v>
      </c>
      <c r="R207" s="97">
        <f t="shared" si="255"/>
        <v>79.089167600838181</v>
      </c>
      <c r="S207" s="97">
        <f t="shared" si="255"/>
        <v>79.081078936890862</v>
      </c>
      <c r="T207" s="97">
        <f t="shared" si="255"/>
        <v>77.875198945930876</v>
      </c>
      <c r="U207" s="97">
        <f t="shared" si="255"/>
        <v>72.969971043860241</v>
      </c>
      <c r="V207" s="97">
        <f t="shared" si="255"/>
        <v>113.07089266586873</v>
      </c>
      <c r="W207" s="97">
        <f t="shared" ref="W207" si="256">IF(W55=0,0,W55/W25*1000)</f>
        <v>105.52062146005953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5.9094472502281832</v>
      </c>
      <c r="C208" s="130">
        <f t="shared" si="257"/>
        <v>6.0573671365528448</v>
      </c>
      <c r="D208" s="130">
        <f t="shared" si="257"/>
        <v>6.4030192015478322</v>
      </c>
      <c r="E208" s="130">
        <f t="shared" si="257"/>
        <v>6.3275341982468847</v>
      </c>
      <c r="F208" s="130">
        <f t="shared" si="257"/>
        <v>5.8085506467477517</v>
      </c>
      <c r="G208" s="130">
        <f t="shared" si="257"/>
        <v>6.4320935515848605</v>
      </c>
      <c r="H208" s="130">
        <f t="shared" si="257"/>
        <v>6.7513964692985358</v>
      </c>
      <c r="I208" s="130">
        <f t="shared" si="257"/>
        <v>6.6399973984400162</v>
      </c>
      <c r="J208" s="130">
        <f t="shared" si="257"/>
        <v>6.8475718394616205</v>
      </c>
      <c r="K208" s="130">
        <f t="shared" si="257"/>
        <v>8.4969314230765978</v>
      </c>
      <c r="L208" s="130">
        <f t="shared" si="257"/>
        <v>7.7511034905083172</v>
      </c>
      <c r="M208" s="130">
        <f t="shared" si="257"/>
        <v>7.8564253002370563</v>
      </c>
      <c r="N208" s="130">
        <f t="shared" si="257"/>
        <v>7.0718844294297236</v>
      </c>
      <c r="O208" s="130">
        <f t="shared" si="257"/>
        <v>7.337969855637116</v>
      </c>
      <c r="P208" s="130">
        <f t="shared" si="257"/>
        <v>6.2964798246083653</v>
      </c>
      <c r="Q208" s="130">
        <f t="shared" si="257"/>
        <v>6.9897740802132278</v>
      </c>
      <c r="R208" s="130">
        <f t="shared" si="257"/>
        <v>6.4380254201982403</v>
      </c>
      <c r="S208" s="130">
        <f t="shared" si="257"/>
        <v>6.2078763907643175</v>
      </c>
      <c r="T208" s="130">
        <f t="shared" si="257"/>
        <v>6.5155559717164424</v>
      </c>
      <c r="U208" s="130">
        <f t="shared" si="257"/>
        <v>5.9628908052304661</v>
      </c>
      <c r="V208" s="130">
        <f t="shared" si="257"/>
        <v>4.6882040933592419</v>
      </c>
      <c r="W208" s="130">
        <f t="shared" ref="W208" si="258">IF(W56=0,0,W56/W26*1000)</f>
        <v>5.0050145836094408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19.63243278664747</v>
      </c>
      <c r="C209" s="97">
        <f t="shared" si="259"/>
        <v>17.722692913190667</v>
      </c>
      <c r="D209" s="97">
        <f t="shared" si="259"/>
        <v>19.163063890025711</v>
      </c>
      <c r="E209" s="97">
        <f t="shared" si="259"/>
        <v>17.799407337073244</v>
      </c>
      <c r="F209" s="97">
        <f t="shared" si="259"/>
        <v>17.375230309029043</v>
      </c>
      <c r="G209" s="97">
        <f t="shared" si="259"/>
        <v>19.642406955244937</v>
      </c>
      <c r="H209" s="97">
        <f t="shared" si="259"/>
        <v>18.523530564362357</v>
      </c>
      <c r="I209" s="97">
        <f t="shared" si="259"/>
        <v>18.040747311390703</v>
      </c>
      <c r="J209" s="97">
        <f t="shared" si="259"/>
        <v>20.985621971895998</v>
      </c>
      <c r="K209" s="97">
        <f t="shared" si="259"/>
        <v>22.357250443469038</v>
      </c>
      <c r="L209" s="97">
        <f t="shared" si="259"/>
        <v>25.80871930883999</v>
      </c>
      <c r="M209" s="97">
        <f t="shared" si="259"/>
        <v>24.93737511022297</v>
      </c>
      <c r="N209" s="97">
        <f t="shared" si="259"/>
        <v>21.926769887040233</v>
      </c>
      <c r="O209" s="97">
        <f t="shared" si="259"/>
        <v>22.265438104304152</v>
      </c>
      <c r="P209" s="97">
        <f t="shared" si="259"/>
        <v>21.038870869797382</v>
      </c>
      <c r="Q209" s="97">
        <f t="shared" si="259"/>
        <v>19.534261113469782</v>
      </c>
      <c r="R209" s="97">
        <f t="shared" si="259"/>
        <v>20.141692009041535</v>
      </c>
      <c r="S209" s="97">
        <f t="shared" si="259"/>
        <v>20.033331835111401</v>
      </c>
      <c r="T209" s="97">
        <f t="shared" si="259"/>
        <v>20.153310316243374</v>
      </c>
      <c r="U209" s="97">
        <f t="shared" si="259"/>
        <v>19.304989184883855</v>
      </c>
      <c r="V209" s="97">
        <f t="shared" si="259"/>
        <v>15.222912288170667</v>
      </c>
      <c r="W209" s="97">
        <f t="shared" ref="W209" si="260">IF(W57=0,0,W57/W27*1000)</f>
        <v>16.463240430290771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5.9046561257438173</v>
      </c>
      <c r="C210" s="98">
        <f t="shared" si="261"/>
        <v>6.0535317277165142</v>
      </c>
      <c r="D210" s="98">
        <f t="shared" si="261"/>
        <v>6.3987073195750455</v>
      </c>
      <c r="E210" s="98">
        <f t="shared" si="261"/>
        <v>6.3232524158716847</v>
      </c>
      <c r="F210" s="98">
        <f t="shared" si="261"/>
        <v>5.8040093096748375</v>
      </c>
      <c r="G210" s="98">
        <f t="shared" si="261"/>
        <v>6.4261685697817175</v>
      </c>
      <c r="H210" s="98">
        <f t="shared" si="261"/>
        <v>6.7455813724778713</v>
      </c>
      <c r="I210" s="98">
        <f t="shared" si="261"/>
        <v>6.6340561867495884</v>
      </c>
      <c r="J210" s="98">
        <f t="shared" si="261"/>
        <v>6.8396967431026505</v>
      </c>
      <c r="K210" s="98">
        <f t="shared" si="261"/>
        <v>8.4880246956095409</v>
      </c>
      <c r="L210" s="98">
        <f t="shared" si="261"/>
        <v>7.7396899852135803</v>
      </c>
      <c r="M210" s="98">
        <f t="shared" si="261"/>
        <v>7.8453341897636069</v>
      </c>
      <c r="N210" s="98">
        <f t="shared" si="261"/>
        <v>7.0620045070840503</v>
      </c>
      <c r="O210" s="98">
        <f t="shared" si="261"/>
        <v>7.3302606917954494</v>
      </c>
      <c r="P210" s="98">
        <f t="shared" si="261"/>
        <v>6.2874020167620177</v>
      </c>
      <c r="Q210" s="98">
        <f t="shared" si="261"/>
        <v>6.9808467786343948</v>
      </c>
      <c r="R210" s="98">
        <f t="shared" si="261"/>
        <v>6.432106766215977</v>
      </c>
      <c r="S210" s="98">
        <f t="shared" si="261"/>
        <v>6.1961069129744413</v>
      </c>
      <c r="T210" s="98">
        <f t="shared" si="261"/>
        <v>6.5043958261167125</v>
      </c>
      <c r="U210" s="98">
        <f t="shared" si="261"/>
        <v>5.9470848775626504</v>
      </c>
      <c r="V210" s="98">
        <f t="shared" si="261"/>
        <v>4.6791717111504108</v>
      </c>
      <c r="W210" s="98">
        <f t="shared" ref="W210:W213" si="262">IF(W58=0,0,W58/W28*1000)</f>
        <v>4.9966997905276358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9.229904689551887</v>
      </c>
      <c r="C211" s="32">
        <f t="shared" si="263"/>
        <v>10.238124289168308</v>
      </c>
      <c r="D211" s="32">
        <f t="shared" si="263"/>
        <v>10.056291516249665</v>
      </c>
      <c r="E211" s="32">
        <f t="shared" si="263"/>
        <v>9.3541126199493831</v>
      </c>
      <c r="F211" s="32">
        <f t="shared" si="263"/>
        <v>9.587707983136772</v>
      </c>
      <c r="G211" s="32">
        <f t="shared" si="263"/>
        <v>9.6071013051189311</v>
      </c>
      <c r="H211" s="32">
        <f t="shared" si="263"/>
        <v>9.8012126002428488</v>
      </c>
      <c r="I211" s="32">
        <f t="shared" si="263"/>
        <v>9.4664080614177788</v>
      </c>
      <c r="J211" s="32">
        <f t="shared" si="263"/>
        <v>8.5866179438488128</v>
      </c>
      <c r="K211" s="32">
        <f t="shared" si="263"/>
        <v>8.8167280674864106</v>
      </c>
      <c r="L211" s="32">
        <f t="shared" si="263"/>
        <v>7.7498402281467333</v>
      </c>
      <c r="M211" s="32">
        <f t="shared" si="263"/>
        <v>7.7005854965422609</v>
      </c>
      <c r="N211" s="32">
        <f t="shared" si="263"/>
        <v>7.062042190549092</v>
      </c>
      <c r="O211" s="32">
        <f t="shared" si="263"/>
        <v>6.8137207656584478</v>
      </c>
      <c r="P211" s="32">
        <f t="shared" si="263"/>
        <v>6.4445114905049694</v>
      </c>
      <c r="Q211" s="32">
        <f t="shared" si="263"/>
        <v>5.6791247603701658</v>
      </c>
      <c r="R211" s="32">
        <f t="shared" si="263"/>
        <v>5.612415179775085</v>
      </c>
      <c r="S211" s="32">
        <f t="shared" si="263"/>
        <v>5.4673054523007778</v>
      </c>
      <c r="T211" s="32">
        <f t="shared" si="263"/>
        <v>5.3493006241288956</v>
      </c>
      <c r="U211" s="32">
        <f t="shared" si="263"/>
        <v>5.5299357141994827</v>
      </c>
      <c r="V211" s="32">
        <f t="shared" si="263"/>
        <v>6.2941452617217708</v>
      </c>
      <c r="W211" s="32">
        <f t="shared" si="262"/>
        <v>5.6249222141886435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27.749212505247556</v>
      </c>
      <c r="C212" s="97">
        <f t="shared" si="264"/>
        <v>30.915120372583186</v>
      </c>
      <c r="D212" s="97">
        <f t="shared" si="264"/>
        <v>30.181484792646923</v>
      </c>
      <c r="E212" s="97">
        <f t="shared" si="264"/>
        <v>28.272751187922506</v>
      </c>
      <c r="F212" s="97">
        <f t="shared" si="264"/>
        <v>29.013507222617545</v>
      </c>
      <c r="G212" s="97">
        <f t="shared" si="264"/>
        <v>30.10734588372215</v>
      </c>
      <c r="H212" s="97">
        <f t="shared" si="264"/>
        <v>31.128839678451879</v>
      </c>
      <c r="I212" s="97">
        <f t="shared" si="264"/>
        <v>30.156644806999076</v>
      </c>
      <c r="J212" s="97">
        <f t="shared" si="264"/>
        <v>27.857339662938102</v>
      </c>
      <c r="K212" s="97">
        <f t="shared" si="264"/>
        <v>27.165606424485286</v>
      </c>
      <c r="L212" s="97">
        <f t="shared" si="264"/>
        <v>23.66411683251366</v>
      </c>
      <c r="M212" s="97">
        <f t="shared" si="264"/>
        <v>24.323939164687111</v>
      </c>
      <c r="N212" s="97">
        <f t="shared" si="264"/>
        <v>22.422752184436163</v>
      </c>
      <c r="O212" s="97">
        <f t="shared" si="264"/>
        <v>21.583322635980107</v>
      </c>
      <c r="P212" s="97">
        <f t="shared" si="264"/>
        <v>20.407933462895166</v>
      </c>
      <c r="Q212" s="97">
        <f t="shared" si="264"/>
        <v>18.225812079064539</v>
      </c>
      <c r="R212" s="97">
        <f t="shared" si="264"/>
        <v>18.068484400213176</v>
      </c>
      <c r="S212" s="97">
        <f t="shared" si="264"/>
        <v>17.683801363539551</v>
      </c>
      <c r="T212" s="97">
        <f t="shared" si="264"/>
        <v>17.057371807903653</v>
      </c>
      <c r="U212" s="97">
        <f t="shared" si="264"/>
        <v>17.617068153649384</v>
      </c>
      <c r="V212" s="97">
        <f t="shared" si="264"/>
        <v>16.955737042637171</v>
      </c>
      <c r="W212" s="97">
        <f t="shared" si="262"/>
        <v>16.17632553657749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7.9138681301471978</v>
      </c>
      <c r="C213" s="98">
        <f t="shared" si="265"/>
        <v>8.7849381705608618</v>
      </c>
      <c r="D213" s="98">
        <f t="shared" si="265"/>
        <v>8.6144303740884567</v>
      </c>
      <c r="E213" s="98">
        <f t="shared" si="265"/>
        <v>8.0493678632833738</v>
      </c>
      <c r="F213" s="98">
        <f t="shared" si="265"/>
        <v>8.2534074212210893</v>
      </c>
      <c r="G213" s="98">
        <f t="shared" si="265"/>
        <v>8.3855547124457228</v>
      </c>
      <c r="H213" s="98">
        <f t="shared" si="265"/>
        <v>8.6095466226764437</v>
      </c>
      <c r="I213" s="98">
        <f t="shared" si="265"/>
        <v>8.3320664018850064</v>
      </c>
      <c r="J213" s="98">
        <f t="shared" si="265"/>
        <v>7.6146915762977132</v>
      </c>
      <c r="K213" s="98">
        <f t="shared" si="265"/>
        <v>7.6613798088799756</v>
      </c>
      <c r="L213" s="98">
        <f t="shared" si="265"/>
        <v>6.681669814053885</v>
      </c>
      <c r="M213" s="98">
        <f t="shared" si="265"/>
        <v>6.7260356693163352</v>
      </c>
      <c r="N213" s="98">
        <f t="shared" si="265"/>
        <v>6.1673188456125727</v>
      </c>
      <c r="O213" s="98">
        <f t="shared" si="265"/>
        <v>5.9383939837585453</v>
      </c>
      <c r="P213" s="98">
        <f t="shared" si="265"/>
        <v>5.6014600148468165</v>
      </c>
      <c r="Q213" s="98">
        <f t="shared" si="265"/>
        <v>4.9659150766402655</v>
      </c>
      <c r="R213" s="98">
        <f t="shared" si="265"/>
        <v>4.9248916189603529</v>
      </c>
      <c r="S213" s="98">
        <f t="shared" si="265"/>
        <v>4.8041184920152507</v>
      </c>
      <c r="T213" s="98">
        <f t="shared" si="265"/>
        <v>4.6717561333087296</v>
      </c>
      <c r="U213" s="98">
        <f t="shared" si="265"/>
        <v>4.8093836781029919</v>
      </c>
      <c r="V213" s="98">
        <f t="shared" si="265"/>
        <v>5.6224011374987342</v>
      </c>
      <c r="W213" s="98">
        <f t="shared" si="262"/>
        <v>4.9986462497565798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118.82286250437234</v>
      </c>
      <c r="C216" s="32">
        <f t="shared" si="266"/>
        <v>118.77973763082151</v>
      </c>
      <c r="D216" s="32">
        <f t="shared" si="266"/>
        <v>119.68360351210214</v>
      </c>
      <c r="E216" s="32">
        <f t="shared" si="266"/>
        <v>118.3621028069701</v>
      </c>
      <c r="F216" s="32">
        <f t="shared" si="266"/>
        <v>114.64972533358244</v>
      </c>
      <c r="G216" s="32">
        <f t="shared" si="266"/>
        <v>113.87972609367355</v>
      </c>
      <c r="H216" s="32">
        <f t="shared" si="266"/>
        <v>114.89058375766632</v>
      </c>
      <c r="I216" s="32">
        <f t="shared" si="266"/>
        <v>113.0117639692168</v>
      </c>
      <c r="J216" s="32">
        <f t="shared" si="266"/>
        <v>114.27209152175486</v>
      </c>
      <c r="K216" s="32">
        <f t="shared" si="266"/>
        <v>115.61557529723196</v>
      </c>
      <c r="L216" s="32">
        <f t="shared" si="266"/>
        <v>112.60056444991719</v>
      </c>
      <c r="M216" s="32">
        <f t="shared" si="266"/>
        <v>110.89253245465818</v>
      </c>
      <c r="N216" s="32">
        <f t="shared" si="266"/>
        <v>108.32550355910789</v>
      </c>
      <c r="O216" s="32">
        <f t="shared" si="266"/>
        <v>102.81803513548277</v>
      </c>
      <c r="P216" s="32">
        <f t="shared" si="266"/>
        <v>100.7007364555205</v>
      </c>
      <c r="Q216" s="32">
        <f t="shared" si="266"/>
        <v>104.01194213277306</v>
      </c>
      <c r="R216" s="32">
        <f t="shared" si="266"/>
        <v>103.11541732313384</v>
      </c>
      <c r="S216" s="32">
        <f t="shared" si="266"/>
        <v>102.50350975780833</v>
      </c>
      <c r="T216" s="32">
        <f t="shared" si="266"/>
        <v>96.408890457351774</v>
      </c>
      <c r="U216" s="32">
        <f t="shared" si="266"/>
        <v>94.035067439612419</v>
      </c>
      <c r="V216" s="32">
        <f t="shared" si="266"/>
        <v>115.95973678927173</v>
      </c>
      <c r="W216" s="32">
        <f t="shared" ref="W216" si="267">IF(W4=0,0,W64/W4*1000)</f>
        <v>110.29351811154301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123.99409935221136</v>
      </c>
      <c r="C217" s="141">
        <f t="shared" si="268"/>
        <v>124.4033856167957</v>
      </c>
      <c r="D217" s="141">
        <f t="shared" si="268"/>
        <v>124.67142596307475</v>
      </c>
      <c r="E217" s="141">
        <f t="shared" si="268"/>
        <v>123.58484820733349</v>
      </c>
      <c r="F217" s="141">
        <f t="shared" si="268"/>
        <v>119.89108938043383</v>
      </c>
      <c r="G217" s="141">
        <f t="shared" si="268"/>
        <v>122.39248550613523</v>
      </c>
      <c r="H217" s="141">
        <f t="shared" si="268"/>
        <v>125.38454305201063</v>
      </c>
      <c r="I217" s="141">
        <f t="shared" si="268"/>
        <v>123.03195169660884</v>
      </c>
      <c r="J217" s="141">
        <f t="shared" si="268"/>
        <v>125.03489744396251</v>
      </c>
      <c r="K217" s="141">
        <f t="shared" si="268"/>
        <v>124.33095570948892</v>
      </c>
      <c r="L217" s="141">
        <f t="shared" si="268"/>
        <v>125.97303608912419</v>
      </c>
      <c r="M217" s="141">
        <f t="shared" si="268"/>
        <v>124.84357897770218</v>
      </c>
      <c r="N217" s="141">
        <f t="shared" si="268"/>
        <v>123.92694214833901</v>
      </c>
      <c r="O217" s="141">
        <f t="shared" si="268"/>
        <v>116.10081156663796</v>
      </c>
      <c r="P217" s="141">
        <f t="shared" si="268"/>
        <v>112.16955803747196</v>
      </c>
      <c r="Q217" s="141">
        <f t="shared" si="268"/>
        <v>116.4913597740692</v>
      </c>
      <c r="R217" s="141">
        <f t="shared" si="268"/>
        <v>116.51485970578979</v>
      </c>
      <c r="S217" s="141">
        <f t="shared" si="268"/>
        <v>119.65623818242915</v>
      </c>
      <c r="T217" s="141">
        <f t="shared" si="268"/>
        <v>110.29515885996095</v>
      </c>
      <c r="U217" s="141">
        <f t="shared" si="268"/>
        <v>107.8752158674486</v>
      </c>
      <c r="V217" s="141">
        <f t="shared" si="268"/>
        <v>120.98847848963774</v>
      </c>
      <c r="W217" s="141">
        <f t="shared" ref="W217" si="269">IF(W5=0,0,W65/W5*1000)</f>
        <v>115.53491981941725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111.39084873763331</v>
      </c>
      <c r="C218" s="97">
        <f t="shared" si="270"/>
        <v>111.26249927711164</v>
      </c>
      <c r="D218" s="97">
        <f t="shared" si="270"/>
        <v>110.21933946636834</v>
      </c>
      <c r="E218" s="97">
        <f t="shared" si="270"/>
        <v>110.67956658959606</v>
      </c>
      <c r="F218" s="97">
        <f t="shared" si="270"/>
        <v>109.86744266013153</v>
      </c>
      <c r="G218" s="97">
        <f t="shared" si="270"/>
        <v>108.44374043040374</v>
      </c>
      <c r="H218" s="97">
        <f t="shared" si="270"/>
        <v>105.07000973381967</v>
      </c>
      <c r="I218" s="97">
        <f t="shared" si="270"/>
        <v>97.635368330945752</v>
      </c>
      <c r="J218" s="97">
        <f t="shared" si="270"/>
        <v>94.455382615162364</v>
      </c>
      <c r="K218" s="97">
        <f t="shared" si="270"/>
        <v>91.817855806396935</v>
      </c>
      <c r="L218" s="97">
        <f t="shared" si="270"/>
        <v>90.343203859764358</v>
      </c>
      <c r="M218" s="97">
        <f t="shared" si="270"/>
        <v>88.895238189793545</v>
      </c>
      <c r="N218" s="97">
        <f t="shared" si="270"/>
        <v>89.092085807672149</v>
      </c>
      <c r="O218" s="97">
        <f t="shared" si="270"/>
        <v>87.87738991078038</v>
      </c>
      <c r="P218" s="97">
        <f t="shared" si="270"/>
        <v>86.328508128543234</v>
      </c>
      <c r="Q218" s="97">
        <f t="shared" si="270"/>
        <v>84.982183702210136</v>
      </c>
      <c r="R218" s="97">
        <f t="shared" si="270"/>
        <v>83.922910868155029</v>
      </c>
      <c r="S218" s="97">
        <f t="shared" si="270"/>
        <v>82.815911886720826</v>
      </c>
      <c r="T218" s="97">
        <f t="shared" si="270"/>
        <v>85.483509522111106</v>
      </c>
      <c r="U218" s="97">
        <f t="shared" si="270"/>
        <v>80.683794107178002</v>
      </c>
      <c r="V218" s="97">
        <f t="shared" si="270"/>
        <v>81.008167569878097</v>
      </c>
      <c r="W218" s="97">
        <f t="shared" ref="W218" si="271">IF(W6=0,0,W66/W6*1000)</f>
        <v>77.049624571473004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120.39675313693641</v>
      </c>
      <c r="C219" s="97">
        <f t="shared" si="272"/>
        <v>121.14575829036534</v>
      </c>
      <c r="D219" s="97">
        <f t="shared" si="272"/>
        <v>121.38545829067988</v>
      </c>
      <c r="E219" s="97">
        <f t="shared" si="272"/>
        <v>120.61269250122658</v>
      </c>
      <c r="F219" s="97">
        <f t="shared" si="272"/>
        <v>117.06306878122456</v>
      </c>
      <c r="G219" s="97">
        <f t="shared" si="272"/>
        <v>119.7735557327445</v>
      </c>
      <c r="H219" s="97">
        <f t="shared" si="272"/>
        <v>123.21054704053168</v>
      </c>
      <c r="I219" s="97">
        <f t="shared" si="272"/>
        <v>121.32159421092763</v>
      </c>
      <c r="J219" s="97">
        <f t="shared" si="272"/>
        <v>123.37073327526439</v>
      </c>
      <c r="K219" s="97">
        <f t="shared" si="272"/>
        <v>122.41763930511542</v>
      </c>
      <c r="L219" s="97">
        <f t="shared" si="272"/>
        <v>123.73661056736016</v>
      </c>
      <c r="M219" s="97">
        <f t="shared" si="272"/>
        <v>123.00331248156354</v>
      </c>
      <c r="N219" s="97">
        <f t="shared" si="272"/>
        <v>121.67965656836058</v>
      </c>
      <c r="O219" s="97">
        <f t="shared" si="272"/>
        <v>113.86109282446166</v>
      </c>
      <c r="P219" s="97">
        <f t="shared" si="272"/>
        <v>109.97052729196908</v>
      </c>
      <c r="Q219" s="97">
        <f t="shared" si="272"/>
        <v>114.91685898777928</v>
      </c>
      <c r="R219" s="97">
        <f t="shared" si="272"/>
        <v>115.06963060422804</v>
      </c>
      <c r="S219" s="97">
        <f t="shared" si="272"/>
        <v>117.67190027992346</v>
      </c>
      <c r="T219" s="97">
        <f t="shared" si="272"/>
        <v>108.98665106036404</v>
      </c>
      <c r="U219" s="97">
        <f t="shared" si="272"/>
        <v>107.15237855888611</v>
      </c>
      <c r="V219" s="97">
        <f t="shared" si="272"/>
        <v>119.28382672663915</v>
      </c>
      <c r="W219" s="97">
        <f t="shared" ref="W219" si="273">IF(W7=0,0,W67/W7*1000)</f>
        <v>115.02759431097829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243.2738427607396</v>
      </c>
      <c r="C220" s="97">
        <f t="shared" si="274"/>
        <v>233.14235315816308</v>
      </c>
      <c r="D220" s="97">
        <f t="shared" si="274"/>
        <v>244.1661874483022</v>
      </c>
      <c r="E220" s="97">
        <f t="shared" si="274"/>
        <v>228.42411907678965</v>
      </c>
      <c r="F220" s="97">
        <f t="shared" si="274"/>
        <v>218.69079538344315</v>
      </c>
      <c r="G220" s="97">
        <f t="shared" si="274"/>
        <v>214.81698009172024</v>
      </c>
      <c r="H220" s="97">
        <f t="shared" si="274"/>
        <v>208.17185989496005</v>
      </c>
      <c r="I220" s="97">
        <f t="shared" si="274"/>
        <v>196.78804270487825</v>
      </c>
      <c r="J220" s="97">
        <f t="shared" si="274"/>
        <v>202.53731941302965</v>
      </c>
      <c r="K220" s="97">
        <f t="shared" si="274"/>
        <v>215.53922458575954</v>
      </c>
      <c r="L220" s="97">
        <f t="shared" si="274"/>
        <v>230.1215595144121</v>
      </c>
      <c r="M220" s="97">
        <f t="shared" si="274"/>
        <v>215.53302391699199</v>
      </c>
      <c r="N220" s="97">
        <f t="shared" si="274"/>
        <v>233.36196551585755</v>
      </c>
      <c r="O220" s="97">
        <f t="shared" si="274"/>
        <v>216.81389279541824</v>
      </c>
      <c r="P220" s="97">
        <f t="shared" si="274"/>
        <v>210.0149891467459</v>
      </c>
      <c r="Q220" s="97">
        <f t="shared" si="274"/>
        <v>193.98887179380543</v>
      </c>
      <c r="R220" s="97">
        <f t="shared" si="274"/>
        <v>191.2676514638498</v>
      </c>
      <c r="S220" s="97">
        <f t="shared" si="274"/>
        <v>218.15903092752956</v>
      </c>
      <c r="T220" s="97">
        <f t="shared" si="274"/>
        <v>166.61804270598637</v>
      </c>
      <c r="U220" s="97">
        <f t="shared" si="274"/>
        <v>151.85720071477149</v>
      </c>
      <c r="V220" s="97">
        <f t="shared" si="274"/>
        <v>266.94945190804873</v>
      </c>
      <c r="W220" s="97">
        <f t="shared" ref="W220" si="275">IF(W8=0,0,W68/W8*1000)</f>
        <v>194.18719279688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6.5975697425068756</v>
      </c>
      <c r="C221" s="130">
        <f t="shared" si="276"/>
        <v>6.3735484330269978</v>
      </c>
      <c r="D221" s="130">
        <f t="shared" si="276"/>
        <v>6.321669818037833</v>
      </c>
      <c r="E221" s="130">
        <f t="shared" si="276"/>
        <v>6.394413114648879</v>
      </c>
      <c r="F221" s="130">
        <f t="shared" si="276"/>
        <v>6.1488258603572445</v>
      </c>
      <c r="G221" s="130">
        <f t="shared" si="276"/>
        <v>5.7297288072485211</v>
      </c>
      <c r="H221" s="130">
        <f t="shared" si="276"/>
        <v>5.3945218288348808</v>
      </c>
      <c r="I221" s="130">
        <f t="shared" si="276"/>
        <v>5.11785427069821</v>
      </c>
      <c r="J221" s="130">
        <f t="shared" si="276"/>
        <v>5.2357162410160214</v>
      </c>
      <c r="K221" s="130">
        <f t="shared" si="276"/>
        <v>4.9016982764179531</v>
      </c>
      <c r="L221" s="130">
        <f t="shared" si="276"/>
        <v>5.2230580047448054</v>
      </c>
      <c r="M221" s="130">
        <f t="shared" si="276"/>
        <v>4.897582820928144</v>
      </c>
      <c r="N221" s="130">
        <f t="shared" si="276"/>
        <v>3.9529068852647375</v>
      </c>
      <c r="O221" s="130">
        <f t="shared" si="276"/>
        <v>3.7088850047741682</v>
      </c>
      <c r="P221" s="130">
        <f t="shared" si="276"/>
        <v>3.6693645890352919</v>
      </c>
      <c r="Q221" s="130">
        <f t="shared" si="276"/>
        <v>4.2838559012207567</v>
      </c>
      <c r="R221" s="130">
        <f t="shared" si="276"/>
        <v>4.1614147264396264</v>
      </c>
      <c r="S221" s="130">
        <f t="shared" si="276"/>
        <v>3.8091037950581703</v>
      </c>
      <c r="T221" s="130">
        <f t="shared" si="276"/>
        <v>3.0872095259960228</v>
      </c>
      <c r="U221" s="130">
        <f t="shared" si="276"/>
        <v>2.6034734487009619</v>
      </c>
      <c r="V221" s="130">
        <f t="shared" si="276"/>
        <v>5.24501227086827</v>
      </c>
      <c r="W221" s="130">
        <f t="shared" ref="W221" si="277">IF(W9=0,0,W69/W9*1000)</f>
        <v>4.0669675881462837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6.9521794383579696</v>
      </c>
      <c r="C223" s="97">
        <f t="shared" si="280"/>
        <v>6.7665806340188377</v>
      </c>
      <c r="D223" s="97">
        <f t="shared" si="280"/>
        <v>6.7096364782761713</v>
      </c>
      <c r="E223" s="97">
        <f t="shared" si="280"/>
        <v>7.0494954386797293</v>
      </c>
      <c r="F223" s="97">
        <f t="shared" si="280"/>
        <v>6.7632920635604803</v>
      </c>
      <c r="G223" s="97">
        <f t="shared" si="280"/>
        <v>6.2974759397130891</v>
      </c>
      <c r="H223" s="97">
        <f t="shared" si="280"/>
        <v>5.9323366947760974</v>
      </c>
      <c r="I223" s="97">
        <f t="shared" si="280"/>
        <v>5.6436453394308232</v>
      </c>
      <c r="J223" s="97">
        <f t="shared" si="280"/>
        <v>5.8082494798081683</v>
      </c>
      <c r="K223" s="97">
        <f t="shared" si="280"/>
        <v>5.4505040667053741</v>
      </c>
      <c r="L223" s="97">
        <f t="shared" si="280"/>
        <v>5.5810881978149736</v>
      </c>
      <c r="M223" s="97">
        <f t="shared" si="280"/>
        <v>5.2383385361919483</v>
      </c>
      <c r="N223" s="97">
        <f t="shared" si="280"/>
        <v>4.2112223312473969</v>
      </c>
      <c r="O223" s="97">
        <f t="shared" si="280"/>
        <v>3.9504180880923214</v>
      </c>
      <c r="P223" s="97">
        <f t="shared" si="280"/>
        <v>3.8727165186510528</v>
      </c>
      <c r="Q223" s="97">
        <f t="shared" si="280"/>
        <v>4.7795684776105567</v>
      </c>
      <c r="R223" s="97">
        <f t="shared" si="280"/>
        <v>4.466268592749814</v>
      </c>
      <c r="S223" s="97">
        <f t="shared" si="280"/>
        <v>4.0826986352404084</v>
      </c>
      <c r="T223" s="97">
        <f t="shared" si="280"/>
        <v>3.3249236814018874</v>
      </c>
      <c r="U223" s="97">
        <f t="shared" si="280"/>
        <v>2.807538347635131</v>
      </c>
      <c r="V223" s="97">
        <f t="shared" si="280"/>
        <v>5.593931579710504</v>
      </c>
      <c r="W223" s="97">
        <f t="shared" ref="W223" si="281">IF(W11=0,0,W71/W11*1000)</f>
        <v>4.331773505039048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134.01014607884611</v>
      </c>
      <c r="C225" s="130">
        <f t="shared" si="284"/>
        <v>132.65114056968793</v>
      </c>
      <c r="D225" s="130">
        <f t="shared" si="284"/>
        <v>134.57621080851635</v>
      </c>
      <c r="E225" s="130">
        <f t="shared" si="284"/>
        <v>131.63730626263555</v>
      </c>
      <c r="F225" s="130">
        <f t="shared" si="284"/>
        <v>126.41516960476149</v>
      </c>
      <c r="G225" s="130">
        <f t="shared" si="284"/>
        <v>118.98512236929047</v>
      </c>
      <c r="H225" s="130">
        <f t="shared" si="284"/>
        <v>117.28266100747462</v>
      </c>
      <c r="I225" s="130">
        <f t="shared" si="284"/>
        <v>116.45076294392207</v>
      </c>
      <c r="J225" s="130">
        <f t="shared" si="284"/>
        <v>116.66488875572176</v>
      </c>
      <c r="K225" s="130">
        <f t="shared" si="284"/>
        <v>123.52722735035687</v>
      </c>
      <c r="L225" s="130">
        <f t="shared" si="284"/>
        <v>110.5049187554897</v>
      </c>
      <c r="M225" s="130">
        <f t="shared" si="284"/>
        <v>108.28406703185411</v>
      </c>
      <c r="N225" s="130">
        <f t="shared" si="284"/>
        <v>103.67756168414212</v>
      </c>
      <c r="O225" s="130">
        <f t="shared" si="284"/>
        <v>101.80900736194</v>
      </c>
      <c r="P225" s="130">
        <f t="shared" si="284"/>
        <v>103.51025566880142</v>
      </c>
      <c r="Q225" s="130">
        <f t="shared" si="284"/>
        <v>103.74081356931487</v>
      </c>
      <c r="R225" s="130">
        <f t="shared" si="284"/>
        <v>101.61860883028338</v>
      </c>
      <c r="S225" s="130">
        <f t="shared" si="284"/>
        <v>96.664329951285566</v>
      </c>
      <c r="T225" s="130">
        <f t="shared" si="284"/>
        <v>93.52777122132477</v>
      </c>
      <c r="U225" s="130">
        <f t="shared" si="284"/>
        <v>91.272694926298243</v>
      </c>
      <c r="V225" s="130">
        <f t="shared" si="284"/>
        <v>129.89368335755546</v>
      </c>
      <c r="W225" s="130">
        <f t="shared" ref="W225" si="285">IF(W13=0,0,W73/W13*1000)</f>
        <v>123.06770310158747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115.12147897872717</v>
      </c>
      <c r="C227" s="97">
        <f t="shared" si="288"/>
        <v>113.32869375963961</v>
      </c>
      <c r="D227" s="97">
        <f t="shared" si="288"/>
        <v>115.7070691371118</v>
      </c>
      <c r="E227" s="97">
        <f t="shared" si="288"/>
        <v>115.10650904103549</v>
      </c>
      <c r="F227" s="97">
        <f t="shared" si="288"/>
        <v>111.85485561287705</v>
      </c>
      <c r="G227" s="97">
        <f t="shared" si="288"/>
        <v>108.56244748869666</v>
      </c>
      <c r="H227" s="97">
        <f t="shared" si="288"/>
        <v>105.78057913323114</v>
      </c>
      <c r="I227" s="97">
        <f t="shared" si="288"/>
        <v>110.05373481659166</v>
      </c>
      <c r="J227" s="97">
        <f t="shared" si="288"/>
        <v>113.59487119794221</v>
      </c>
      <c r="K227" s="97">
        <f t="shared" si="288"/>
        <v>114.37267631622271</v>
      </c>
      <c r="L227" s="97">
        <f t="shared" si="288"/>
        <v>102.4774770932964</v>
      </c>
      <c r="M227" s="97">
        <f t="shared" si="288"/>
        <v>96.267113188122678</v>
      </c>
      <c r="N227" s="97">
        <f t="shared" si="288"/>
        <v>91.956898867014786</v>
      </c>
      <c r="O227" s="97">
        <f t="shared" si="288"/>
        <v>90.436456062856877</v>
      </c>
      <c r="P227" s="97">
        <f t="shared" si="288"/>
        <v>91.158526781084262</v>
      </c>
      <c r="Q227" s="97">
        <f t="shared" si="288"/>
        <v>93.080777219199831</v>
      </c>
      <c r="R227" s="97">
        <f t="shared" si="288"/>
        <v>88.735003124525889</v>
      </c>
      <c r="S227" s="97">
        <f t="shared" si="288"/>
        <v>83.526781330510119</v>
      </c>
      <c r="T227" s="97">
        <f t="shared" si="288"/>
        <v>80.096717776257208</v>
      </c>
      <c r="U227" s="97">
        <f t="shared" si="288"/>
        <v>76.605135622432172</v>
      </c>
      <c r="V227" s="97">
        <f t="shared" si="288"/>
        <v>84.875446464781405</v>
      </c>
      <c r="W227" s="97">
        <f t="shared" ref="W227" si="289">IF(W15=0,0,W75/W15*1000)</f>
        <v>78.155705590464848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140.25140849102223</v>
      </c>
      <c r="C228" s="97">
        <f t="shared" si="290"/>
        <v>139.08258918178527</v>
      </c>
      <c r="D228" s="97">
        <f t="shared" si="290"/>
        <v>140.86547828317035</v>
      </c>
      <c r="E228" s="97">
        <f t="shared" si="290"/>
        <v>137.21179223693002</v>
      </c>
      <c r="F228" s="97">
        <f t="shared" si="290"/>
        <v>130.91958516272476</v>
      </c>
      <c r="G228" s="97">
        <f t="shared" si="290"/>
        <v>122.09325958005455</v>
      </c>
      <c r="H228" s="97">
        <f t="shared" si="290"/>
        <v>120.8933075365152</v>
      </c>
      <c r="I228" s="97">
        <f t="shared" si="290"/>
        <v>118.39545843976121</v>
      </c>
      <c r="J228" s="97">
        <f t="shared" si="290"/>
        <v>117.52271092740999</v>
      </c>
      <c r="K228" s="97">
        <f t="shared" si="290"/>
        <v>126.11255228902724</v>
      </c>
      <c r="L228" s="97">
        <f t="shared" si="290"/>
        <v>112.73293521774654</v>
      </c>
      <c r="M228" s="97">
        <f t="shared" si="290"/>
        <v>111.86569140215929</v>
      </c>
      <c r="N228" s="97">
        <f t="shared" si="290"/>
        <v>107.12027827572743</v>
      </c>
      <c r="O228" s="97">
        <f t="shared" si="290"/>
        <v>105.14721739150103</v>
      </c>
      <c r="P228" s="97">
        <f t="shared" si="290"/>
        <v>107.23636875636916</v>
      </c>
      <c r="Q228" s="97">
        <f t="shared" si="290"/>
        <v>106.92895087998293</v>
      </c>
      <c r="R228" s="97">
        <f t="shared" si="290"/>
        <v>105.88427391226486</v>
      </c>
      <c r="S228" s="97">
        <f t="shared" si="290"/>
        <v>101.22154769032738</v>
      </c>
      <c r="T228" s="97">
        <f t="shared" si="290"/>
        <v>98.143390517881201</v>
      </c>
      <c r="U228" s="97">
        <f t="shared" si="290"/>
        <v>96.217823922549528</v>
      </c>
      <c r="V228" s="97">
        <f t="shared" si="290"/>
        <v>145.47148770814857</v>
      </c>
      <c r="W228" s="97">
        <f t="shared" ref="W228" si="291">IF(W16=0,0,W76/W16*1000)</f>
        <v>141.87452279241504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146.83696430317121</v>
      </c>
      <c r="C229" s="32">
        <f t="shared" si="292"/>
        <v>146.11559096309472</v>
      </c>
      <c r="D229" s="32">
        <f t="shared" si="292"/>
        <v>152.82044774859943</v>
      </c>
      <c r="E229" s="32">
        <f t="shared" si="292"/>
        <v>157.60723217738277</v>
      </c>
      <c r="F229" s="32">
        <f t="shared" si="292"/>
        <v>148.34881192245356</v>
      </c>
      <c r="G229" s="32">
        <f t="shared" si="292"/>
        <v>154.40832287427912</v>
      </c>
      <c r="H229" s="32">
        <f t="shared" si="292"/>
        <v>160.04799871394604</v>
      </c>
      <c r="I229" s="32">
        <f t="shared" si="292"/>
        <v>150.36888569861199</v>
      </c>
      <c r="J229" s="32">
        <f t="shared" si="292"/>
        <v>152.33346679640175</v>
      </c>
      <c r="K229" s="32">
        <f t="shared" si="292"/>
        <v>155.59445445432132</v>
      </c>
      <c r="L229" s="32">
        <f t="shared" si="292"/>
        <v>148.45912093558374</v>
      </c>
      <c r="M229" s="32">
        <f t="shared" si="292"/>
        <v>148.72530704168429</v>
      </c>
      <c r="N229" s="32">
        <f t="shared" si="292"/>
        <v>141.76779483531536</v>
      </c>
      <c r="O229" s="32">
        <f t="shared" si="292"/>
        <v>126.68184495369728</v>
      </c>
      <c r="P229" s="32">
        <f t="shared" si="292"/>
        <v>107.12788936168261</v>
      </c>
      <c r="Q229" s="32">
        <f t="shared" si="292"/>
        <v>110.760511438178</v>
      </c>
      <c r="R229" s="32">
        <f t="shared" si="292"/>
        <v>105.82233051544826</v>
      </c>
      <c r="S229" s="32">
        <f t="shared" si="292"/>
        <v>112.57443227894055</v>
      </c>
      <c r="T229" s="32">
        <f t="shared" si="292"/>
        <v>116.93142040726794</v>
      </c>
      <c r="U229" s="32">
        <f t="shared" si="292"/>
        <v>112.72946494314886</v>
      </c>
      <c r="V229" s="32">
        <f t="shared" si="292"/>
        <v>113.11953860585622</v>
      </c>
      <c r="W229" s="32">
        <f t="shared" ref="W229" si="293">IF(W17=0,0,W77/W17*1000)</f>
        <v>104.0941139905588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254.1095805384123</v>
      </c>
      <c r="C230" s="141">
        <f t="shared" si="294"/>
        <v>252.42394037705324</v>
      </c>
      <c r="D230" s="141">
        <f t="shared" si="294"/>
        <v>259.26391957821988</v>
      </c>
      <c r="E230" s="141">
        <f t="shared" si="294"/>
        <v>258.72165528689311</v>
      </c>
      <c r="F230" s="141">
        <f t="shared" si="294"/>
        <v>244.85771415102701</v>
      </c>
      <c r="G230" s="141">
        <f t="shared" si="294"/>
        <v>253.08334490493323</v>
      </c>
      <c r="H230" s="141">
        <f t="shared" si="294"/>
        <v>260.77208296612889</v>
      </c>
      <c r="I230" s="141">
        <f t="shared" si="294"/>
        <v>254.66394959133049</v>
      </c>
      <c r="J230" s="141">
        <f t="shared" si="294"/>
        <v>253.3205730313241</v>
      </c>
      <c r="K230" s="141">
        <f t="shared" si="294"/>
        <v>242.53044064126655</v>
      </c>
      <c r="L230" s="141">
        <f t="shared" si="294"/>
        <v>250.63138312599702</v>
      </c>
      <c r="M230" s="141">
        <f t="shared" si="294"/>
        <v>254.60205214608777</v>
      </c>
      <c r="N230" s="141">
        <f t="shared" si="294"/>
        <v>254.16766502383081</v>
      </c>
      <c r="O230" s="141">
        <f t="shared" si="294"/>
        <v>216.2048127685907</v>
      </c>
      <c r="P230" s="141">
        <f t="shared" si="294"/>
        <v>180.60471576292267</v>
      </c>
      <c r="Q230" s="141">
        <f t="shared" si="294"/>
        <v>185.3789878154773</v>
      </c>
      <c r="R230" s="141">
        <f t="shared" si="294"/>
        <v>175.24857982803397</v>
      </c>
      <c r="S230" s="141">
        <f t="shared" si="294"/>
        <v>189.21581809837977</v>
      </c>
      <c r="T230" s="141">
        <f t="shared" si="294"/>
        <v>194.31723993639093</v>
      </c>
      <c r="U230" s="141">
        <f t="shared" si="294"/>
        <v>187.64021212362618</v>
      </c>
      <c r="V230" s="141">
        <f t="shared" si="294"/>
        <v>176.70335675697609</v>
      </c>
      <c r="W230" s="141">
        <f t="shared" ref="W230" si="295">IF(W18=0,0,W78/W18*1000)</f>
        <v>162.78765922958422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1783.9441724735575</v>
      </c>
      <c r="C231" s="97">
        <f t="shared" si="296"/>
        <v>1681.9662667616149</v>
      </c>
      <c r="D231" s="97">
        <f t="shared" si="296"/>
        <v>1647.5072612886395</v>
      </c>
      <c r="E231" s="97">
        <f t="shared" si="296"/>
        <v>1625.933409883407</v>
      </c>
      <c r="F231" s="97">
        <f t="shared" si="296"/>
        <v>1615.0511028180922</v>
      </c>
      <c r="G231" s="97">
        <f t="shared" si="296"/>
        <v>1593.1760304634063</v>
      </c>
      <c r="H231" s="97">
        <f t="shared" si="296"/>
        <v>1584.4803558731487</v>
      </c>
      <c r="I231" s="97">
        <f t="shared" si="296"/>
        <v>1534.5404371353238</v>
      </c>
      <c r="J231" s="97">
        <f t="shared" si="296"/>
        <v>1542.4781868510056</v>
      </c>
      <c r="K231" s="97">
        <f t="shared" si="296"/>
        <v>1496.319823048947</v>
      </c>
      <c r="L231" s="97">
        <f t="shared" si="296"/>
        <v>1535.1751917832171</v>
      </c>
      <c r="M231" s="97">
        <f t="shared" si="296"/>
        <v>1523.6667905216821</v>
      </c>
      <c r="N231" s="97">
        <f t="shared" si="296"/>
        <v>1496.0097557666372</v>
      </c>
      <c r="O231" s="97">
        <f t="shared" si="296"/>
        <v>1486.6314414908611</v>
      </c>
      <c r="P231" s="97">
        <f t="shared" si="296"/>
        <v>1442.0513128753214</v>
      </c>
      <c r="Q231" s="97">
        <f t="shared" si="296"/>
        <v>1450.6645502042684</v>
      </c>
      <c r="R231" s="97">
        <f t="shared" si="296"/>
        <v>1430.2739362263023</v>
      </c>
      <c r="S231" s="97">
        <f t="shared" si="296"/>
        <v>1385.3783156689578</v>
      </c>
      <c r="T231" s="97">
        <f t="shared" si="296"/>
        <v>1320.7149873775707</v>
      </c>
      <c r="U231" s="97">
        <f t="shared" si="296"/>
        <v>1272.198519041372</v>
      </c>
      <c r="V231" s="97">
        <f t="shared" si="296"/>
        <v>1264.2679773535745</v>
      </c>
      <c r="W231" s="97">
        <f t="shared" ref="W231" si="297">IF(W19=0,0,W79/W19*1000)</f>
        <v>1239.296864977224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148.34595101702891</v>
      </c>
      <c r="C232" s="97">
        <f t="shared" si="298"/>
        <v>144.61321381154994</v>
      </c>
      <c r="D232" s="97">
        <f t="shared" si="298"/>
        <v>149.85404694111739</v>
      </c>
      <c r="E232" s="97">
        <f t="shared" si="298"/>
        <v>149.63602393807707</v>
      </c>
      <c r="F232" s="97">
        <f t="shared" si="298"/>
        <v>139.75392490848867</v>
      </c>
      <c r="G232" s="97">
        <f t="shared" si="298"/>
        <v>144.75984628163104</v>
      </c>
      <c r="H232" s="97">
        <f t="shared" si="298"/>
        <v>155.0895319063456</v>
      </c>
      <c r="I232" s="97">
        <f t="shared" si="298"/>
        <v>151.33150139821583</v>
      </c>
      <c r="J232" s="97">
        <f t="shared" si="298"/>
        <v>150.1360970672248</v>
      </c>
      <c r="K232" s="97">
        <f t="shared" si="298"/>
        <v>141.66167033530456</v>
      </c>
      <c r="L232" s="97">
        <f t="shared" si="298"/>
        <v>146.91634290590548</v>
      </c>
      <c r="M232" s="97">
        <f t="shared" si="298"/>
        <v>150.71626003843593</v>
      </c>
      <c r="N232" s="97">
        <f t="shared" si="298"/>
        <v>151.91724216373512</v>
      </c>
      <c r="O232" s="97">
        <f t="shared" si="298"/>
        <v>122.74171564022433</v>
      </c>
      <c r="P232" s="97">
        <f t="shared" si="298"/>
        <v>91.598754208951149</v>
      </c>
      <c r="Q232" s="97">
        <f t="shared" si="298"/>
        <v>92.783591125726588</v>
      </c>
      <c r="R232" s="97">
        <f t="shared" si="298"/>
        <v>86.186468615019237</v>
      </c>
      <c r="S232" s="97">
        <f t="shared" si="298"/>
        <v>101.51544612725374</v>
      </c>
      <c r="T232" s="97">
        <f t="shared" si="298"/>
        <v>112.38758341912441</v>
      </c>
      <c r="U232" s="97">
        <f t="shared" si="298"/>
        <v>110.29450894112277</v>
      </c>
      <c r="V232" s="97">
        <f t="shared" si="298"/>
        <v>100.65046670617613</v>
      </c>
      <c r="W232" s="97">
        <f t="shared" ref="W232" si="299">IF(W20=0,0,W80/W20*1000)</f>
        <v>87.410555926336087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3.0514136739443756</v>
      </c>
      <c r="C233" s="130">
        <f t="shared" si="300"/>
        <v>2.9103300666896033</v>
      </c>
      <c r="D233" s="130">
        <f t="shared" si="300"/>
        <v>2.7022097441659114</v>
      </c>
      <c r="E233" s="130">
        <f t="shared" si="300"/>
        <v>2.6465022776719453</v>
      </c>
      <c r="F233" s="130">
        <f t="shared" si="300"/>
        <v>2.5555028117921803</v>
      </c>
      <c r="G233" s="130">
        <f t="shared" si="300"/>
        <v>2.4370083778534566</v>
      </c>
      <c r="H233" s="130">
        <f t="shared" si="300"/>
        <v>2.4617341602756384</v>
      </c>
      <c r="I233" s="130">
        <f t="shared" si="300"/>
        <v>2.4632410179235751</v>
      </c>
      <c r="J233" s="130">
        <f t="shared" si="300"/>
        <v>2.2549385811123694</v>
      </c>
      <c r="K233" s="130">
        <f t="shared" si="300"/>
        <v>2.0316899970237494</v>
      </c>
      <c r="L233" s="130">
        <f t="shared" si="300"/>
        <v>2.178426935578774</v>
      </c>
      <c r="M233" s="130">
        <f t="shared" si="300"/>
        <v>1.955568199974834</v>
      </c>
      <c r="N233" s="130">
        <f t="shared" si="300"/>
        <v>1.5883953088125462</v>
      </c>
      <c r="O233" s="130">
        <f t="shared" si="300"/>
        <v>1.5517209108830783</v>
      </c>
      <c r="P233" s="130">
        <f t="shared" si="300"/>
        <v>1.6037839912302263</v>
      </c>
      <c r="Q233" s="130">
        <f t="shared" si="300"/>
        <v>1.5935867334652876</v>
      </c>
      <c r="R233" s="130">
        <f t="shared" si="300"/>
        <v>1.6590161449649186</v>
      </c>
      <c r="S233" s="130">
        <f t="shared" si="300"/>
        <v>1.4826670045503161</v>
      </c>
      <c r="T233" s="130">
        <f t="shared" si="300"/>
        <v>1.238617413365378</v>
      </c>
      <c r="U233" s="130">
        <f t="shared" si="300"/>
        <v>1.0839881202469488</v>
      </c>
      <c r="V233" s="130">
        <f t="shared" si="300"/>
        <v>1.6496128889260955</v>
      </c>
      <c r="W233" s="130">
        <f t="shared" ref="W233" si="301">IF(W21=0,0,W81/W21*1000)</f>
        <v>1.4468804286354795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325.18626677946526</v>
      </c>
      <c r="C234" s="130">
        <f t="shared" si="302"/>
        <v>310.80586510359359</v>
      </c>
      <c r="D234" s="130">
        <f t="shared" si="302"/>
        <v>334.15994141221245</v>
      </c>
      <c r="E234" s="130">
        <f t="shared" si="302"/>
        <v>359.87754418009757</v>
      </c>
      <c r="F234" s="130">
        <f t="shared" si="302"/>
        <v>369.34439615824556</v>
      </c>
      <c r="G234" s="130">
        <f t="shared" si="302"/>
        <v>387.33960650470971</v>
      </c>
      <c r="H234" s="130">
        <f t="shared" si="302"/>
        <v>405.77833917527693</v>
      </c>
      <c r="I234" s="130">
        <f t="shared" si="302"/>
        <v>413.01851198645841</v>
      </c>
      <c r="J234" s="130">
        <f t="shared" si="302"/>
        <v>415.13591359863676</v>
      </c>
      <c r="K234" s="130">
        <f t="shared" si="302"/>
        <v>395.95802388720523</v>
      </c>
      <c r="L234" s="130">
        <f t="shared" si="302"/>
        <v>363.68757169575969</v>
      </c>
      <c r="M234" s="130">
        <f t="shared" si="302"/>
        <v>338.77507301716435</v>
      </c>
      <c r="N234" s="130">
        <f t="shared" si="302"/>
        <v>298.94890325404367</v>
      </c>
      <c r="O234" s="130">
        <f t="shared" si="302"/>
        <v>292.5898503357796</v>
      </c>
      <c r="P234" s="130">
        <f t="shared" si="302"/>
        <v>260.02494561658801</v>
      </c>
      <c r="Q234" s="130">
        <f t="shared" si="302"/>
        <v>258.72379813941927</v>
      </c>
      <c r="R234" s="130">
        <f t="shared" si="302"/>
        <v>241.27949238287025</v>
      </c>
      <c r="S234" s="130">
        <f t="shared" si="302"/>
        <v>240.99445559724748</v>
      </c>
      <c r="T234" s="130">
        <f t="shared" si="302"/>
        <v>236.76410285493486</v>
      </c>
      <c r="U234" s="130">
        <f t="shared" si="302"/>
        <v>221.9078763020953</v>
      </c>
      <c r="V234" s="130">
        <f t="shared" si="302"/>
        <v>341.38919962674987</v>
      </c>
      <c r="W234" s="130">
        <f t="shared" ref="W234" si="303">IF(W22=0,0,W82/W22*1000)</f>
        <v>319.1093277780177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580.94029092410631</v>
      </c>
      <c r="C236" s="97">
        <f t="shared" si="306"/>
        <v>551.78861942962101</v>
      </c>
      <c r="D236" s="97">
        <f t="shared" si="306"/>
        <v>597.09273216881968</v>
      </c>
      <c r="E236" s="97">
        <f t="shared" si="306"/>
        <v>576.06203597448473</v>
      </c>
      <c r="F236" s="97">
        <f t="shared" si="306"/>
        <v>642.98019519922502</v>
      </c>
      <c r="G236" s="97">
        <f t="shared" si="306"/>
        <v>649.35569640763515</v>
      </c>
      <c r="H236" s="97">
        <f t="shared" si="306"/>
        <v>705.32008387506892</v>
      </c>
      <c r="I236" s="97">
        <f t="shared" si="306"/>
        <v>717.00311850440062</v>
      </c>
      <c r="J236" s="97">
        <f t="shared" si="306"/>
        <v>733.36364436546864</v>
      </c>
      <c r="K236" s="97">
        <f t="shared" si="306"/>
        <v>722.66855665924891</v>
      </c>
      <c r="L236" s="97">
        <f t="shared" si="306"/>
        <v>676.05494367453684</v>
      </c>
      <c r="M236" s="97">
        <f t="shared" si="306"/>
        <v>608.02096441727144</v>
      </c>
      <c r="N236" s="97">
        <f t="shared" si="306"/>
        <v>570.68376713304281</v>
      </c>
      <c r="O236" s="97">
        <f t="shared" si="306"/>
        <v>563.91048313460192</v>
      </c>
      <c r="P236" s="97">
        <f t="shared" si="306"/>
        <v>493.57578893074935</v>
      </c>
      <c r="Q236" s="97">
        <f t="shared" si="306"/>
        <v>518.17103166935635</v>
      </c>
      <c r="R236" s="97">
        <f t="shared" si="306"/>
        <v>459.33580498885811</v>
      </c>
      <c r="S236" s="97">
        <f t="shared" si="306"/>
        <v>498.08578576206105</v>
      </c>
      <c r="T236" s="97">
        <f t="shared" si="306"/>
        <v>475.40434087087101</v>
      </c>
      <c r="U236" s="97">
        <f t="shared" si="306"/>
        <v>432.02560521917678</v>
      </c>
      <c r="V236" s="97">
        <f t="shared" si="306"/>
        <v>456.0199864210831</v>
      </c>
      <c r="W236" s="97">
        <f t="shared" ref="W236" si="307">IF(W24=0,0,W84/W24*1000)</f>
        <v>464.59526263473595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321.92127656059438</v>
      </c>
      <c r="C237" s="97">
        <f t="shared" si="308"/>
        <v>306.61090186573671</v>
      </c>
      <c r="D237" s="97">
        <f t="shared" si="308"/>
        <v>330.77162756664165</v>
      </c>
      <c r="E237" s="97">
        <f t="shared" si="308"/>
        <v>356.8979514598127</v>
      </c>
      <c r="F237" s="97">
        <f t="shared" si="308"/>
        <v>365.82762021607476</v>
      </c>
      <c r="G237" s="97">
        <f t="shared" si="308"/>
        <v>384.1985842960716</v>
      </c>
      <c r="H237" s="97">
        <f t="shared" si="308"/>
        <v>402.5891195972323</v>
      </c>
      <c r="I237" s="97">
        <f t="shared" si="308"/>
        <v>409.58673062880183</v>
      </c>
      <c r="J237" s="97">
        <f t="shared" si="308"/>
        <v>410.8126072421577</v>
      </c>
      <c r="K237" s="97">
        <f t="shared" si="308"/>
        <v>390.7065091000668</v>
      </c>
      <c r="L237" s="97">
        <f t="shared" si="308"/>
        <v>358.87897825694182</v>
      </c>
      <c r="M237" s="97">
        <f t="shared" si="308"/>
        <v>335.20159543630461</v>
      </c>
      <c r="N237" s="97">
        <f t="shared" si="308"/>
        <v>295.81716010059893</v>
      </c>
      <c r="O237" s="97">
        <f t="shared" si="308"/>
        <v>289.35970120797094</v>
      </c>
      <c r="P237" s="97">
        <f t="shared" si="308"/>
        <v>256.9923305499849</v>
      </c>
      <c r="Q237" s="97">
        <f t="shared" si="308"/>
        <v>255.54907536926856</v>
      </c>
      <c r="R237" s="97">
        <f t="shared" si="308"/>
        <v>238.08284884914514</v>
      </c>
      <c r="S237" s="97">
        <f t="shared" si="308"/>
        <v>238.05849946964881</v>
      </c>
      <c r="T237" s="97">
        <f t="shared" si="308"/>
        <v>234.42842783876608</v>
      </c>
      <c r="U237" s="97">
        <f t="shared" si="308"/>
        <v>219.66217515706612</v>
      </c>
      <c r="V237" s="97">
        <f t="shared" si="308"/>
        <v>340.37834844427721</v>
      </c>
      <c r="W237" s="97">
        <f t="shared" ref="W237" si="309">IF(W25=0,0,W85/W25*1000)</f>
        <v>317.64969757093473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18.33358024671622</v>
      </c>
      <c r="C238" s="130">
        <f t="shared" si="310"/>
        <v>18.792489682943714</v>
      </c>
      <c r="D238" s="130">
        <f t="shared" si="310"/>
        <v>19.864847147642987</v>
      </c>
      <c r="E238" s="130">
        <f t="shared" si="310"/>
        <v>19.630661054284062</v>
      </c>
      <c r="F238" s="130">
        <f t="shared" si="310"/>
        <v>18.020556727222388</v>
      </c>
      <c r="G238" s="130">
        <f t="shared" si="310"/>
        <v>19.955047957795642</v>
      </c>
      <c r="H238" s="130">
        <f t="shared" si="310"/>
        <v>20.945659332605398</v>
      </c>
      <c r="I238" s="130">
        <f t="shared" si="310"/>
        <v>20.600052760871399</v>
      </c>
      <c r="J238" s="130">
        <f t="shared" si="310"/>
        <v>21.244035609096311</v>
      </c>
      <c r="K238" s="130">
        <f t="shared" si="310"/>
        <v>26.361039789263593</v>
      </c>
      <c r="L238" s="130">
        <f t="shared" si="310"/>
        <v>24.047169189698625</v>
      </c>
      <c r="M238" s="130">
        <f t="shared" si="310"/>
        <v>24.37392155225109</v>
      </c>
      <c r="N238" s="130">
        <f t="shared" si="310"/>
        <v>21.93994720529005</v>
      </c>
      <c r="O238" s="130">
        <f t="shared" si="310"/>
        <v>22.765455633961878</v>
      </c>
      <c r="P238" s="130">
        <f t="shared" si="310"/>
        <v>19.534317381685693</v>
      </c>
      <c r="Q238" s="130">
        <f t="shared" si="310"/>
        <v>21.685206514206222</v>
      </c>
      <c r="R238" s="130">
        <f t="shared" si="310"/>
        <v>19.973451098500917</v>
      </c>
      <c r="S238" s="130">
        <f t="shared" si="310"/>
        <v>19.259432422783366</v>
      </c>
      <c r="T238" s="130">
        <f t="shared" si="310"/>
        <v>20.12080281654697</v>
      </c>
      <c r="U238" s="130">
        <f t="shared" si="310"/>
        <v>18.314200807074869</v>
      </c>
      <c r="V238" s="130">
        <f t="shared" si="310"/>
        <v>14.441915420124777</v>
      </c>
      <c r="W238" s="130">
        <f t="shared" ref="W238" si="311">IF(W26=0,0,W86/W26*1000)</f>
        <v>15.465596460449261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60.908028567031508</v>
      </c>
      <c r="C239" s="97">
        <f t="shared" si="312"/>
        <v>54.983215680509488</v>
      </c>
      <c r="D239" s="97">
        <f t="shared" si="312"/>
        <v>59.451849678016892</v>
      </c>
      <c r="E239" s="97">
        <f t="shared" si="312"/>
        <v>55.221215951393972</v>
      </c>
      <c r="F239" s="97">
        <f t="shared" si="312"/>
        <v>53.905241165061511</v>
      </c>
      <c r="G239" s="97">
        <f t="shared" si="312"/>
        <v>60.938972615202644</v>
      </c>
      <c r="H239" s="97">
        <f t="shared" si="312"/>
        <v>57.467749465252382</v>
      </c>
      <c r="I239" s="97">
        <f t="shared" si="312"/>
        <v>55.969953624907973</v>
      </c>
      <c r="J239" s="97">
        <f t="shared" si="312"/>
        <v>65.106188135303228</v>
      </c>
      <c r="K239" s="97">
        <f t="shared" si="312"/>
        <v>69.361554092126681</v>
      </c>
      <c r="L239" s="97">
        <f t="shared" si="312"/>
        <v>80.069455987668192</v>
      </c>
      <c r="M239" s="97">
        <f t="shared" si="312"/>
        <v>77.366181364607826</v>
      </c>
      <c r="N239" s="97">
        <f t="shared" si="312"/>
        <v>68.026023120827503</v>
      </c>
      <c r="O239" s="97">
        <f t="shared" si="312"/>
        <v>69.076713765029581</v>
      </c>
      <c r="P239" s="97">
        <f t="shared" si="312"/>
        <v>65.271388517231756</v>
      </c>
      <c r="Q239" s="97">
        <f t="shared" si="312"/>
        <v>60.603458922537584</v>
      </c>
      <c r="R239" s="97">
        <f t="shared" si="312"/>
        <v>62.487963952660223</v>
      </c>
      <c r="S239" s="97">
        <f t="shared" si="312"/>
        <v>62.151785311888105</v>
      </c>
      <c r="T239" s="97">
        <f t="shared" si="312"/>
        <v>62.235791501763529</v>
      </c>
      <c r="U239" s="97">
        <f t="shared" si="312"/>
        <v>59.29262501339845</v>
      </c>
      <c r="V239" s="97">
        <f t="shared" si="312"/>
        <v>46.893865398298203</v>
      </c>
      <c r="W239" s="97">
        <f t="shared" ref="W239" si="313">IF(W27=0,0,W87/W27*1000)</f>
        <v>50.871746460049586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18.318716172042784</v>
      </c>
      <c r="C240" s="98">
        <f t="shared" si="314"/>
        <v>18.780590638464194</v>
      </c>
      <c r="D240" s="98">
        <f t="shared" si="314"/>
        <v>19.851469883947232</v>
      </c>
      <c r="E240" s="98">
        <f t="shared" si="314"/>
        <v>19.617377172145734</v>
      </c>
      <c r="F240" s="98">
        <f t="shared" si="314"/>
        <v>18.006467597710241</v>
      </c>
      <c r="G240" s="98">
        <f t="shared" si="314"/>
        <v>19.936666182859913</v>
      </c>
      <c r="H240" s="98">
        <f t="shared" si="314"/>
        <v>20.927618466905148</v>
      </c>
      <c r="I240" s="98">
        <f t="shared" si="314"/>
        <v>20.581620634028233</v>
      </c>
      <c r="J240" s="98">
        <f t="shared" si="314"/>
        <v>21.219603762100434</v>
      </c>
      <c r="K240" s="98">
        <f t="shared" si="314"/>
        <v>26.33340739052332</v>
      </c>
      <c r="L240" s="98">
        <f t="shared" si="314"/>
        <v>24.011759716298336</v>
      </c>
      <c r="M240" s="98">
        <f t="shared" si="314"/>
        <v>24.339512282605384</v>
      </c>
      <c r="N240" s="98">
        <f t="shared" si="314"/>
        <v>21.909295548462289</v>
      </c>
      <c r="O240" s="98">
        <f t="shared" si="314"/>
        <v>22.741538579127205</v>
      </c>
      <c r="P240" s="98">
        <f t="shared" si="314"/>
        <v>19.506154219960397</v>
      </c>
      <c r="Q240" s="98">
        <f t="shared" si="314"/>
        <v>21.657510285954778</v>
      </c>
      <c r="R240" s="98">
        <f t="shared" si="314"/>
        <v>19.955088955115652</v>
      </c>
      <c r="S240" s="98">
        <f t="shared" si="314"/>
        <v>19.222918573621872</v>
      </c>
      <c r="T240" s="98">
        <f t="shared" si="314"/>
        <v>20.086338974936083</v>
      </c>
      <c r="U240" s="98">
        <f t="shared" si="314"/>
        <v>18.2656550693269</v>
      </c>
      <c r="V240" s="98">
        <f t="shared" si="314"/>
        <v>14.414091354170193</v>
      </c>
      <c r="W240" s="98">
        <f t="shared" ref="W240:W243" si="315">IF(W28=0,0,W88/W28*1000)</f>
        <v>15.43990358137625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29.722905685196558</v>
      </c>
      <c r="C241" s="32">
        <f t="shared" si="316"/>
        <v>32.982557696538819</v>
      </c>
      <c r="D241" s="32">
        <f t="shared" si="316"/>
        <v>32.407302554189208</v>
      </c>
      <c r="E241" s="32">
        <f t="shared" si="316"/>
        <v>30.143696531000035</v>
      </c>
      <c r="F241" s="32">
        <f t="shared" si="316"/>
        <v>30.914779459769207</v>
      </c>
      <c r="G241" s="32">
        <f t="shared" si="316"/>
        <v>30.984863854941192</v>
      </c>
      <c r="H241" s="32">
        <f t="shared" si="316"/>
        <v>31.623035577821998</v>
      </c>
      <c r="I241" s="32">
        <f t="shared" si="316"/>
        <v>30.543198718282579</v>
      </c>
      <c r="J241" s="32">
        <f t="shared" si="316"/>
        <v>27.706941274778288</v>
      </c>
      <c r="K241" s="32">
        <f t="shared" si="316"/>
        <v>28.441692723844476</v>
      </c>
      <c r="L241" s="32">
        <f t="shared" si="316"/>
        <v>24.985039985404384</v>
      </c>
      <c r="M241" s="32">
        <f t="shared" si="316"/>
        <v>24.84101362170043</v>
      </c>
      <c r="N241" s="32">
        <f t="shared" si="316"/>
        <v>22.773599551499579</v>
      </c>
      <c r="O241" s="32">
        <f t="shared" si="316"/>
        <v>21.978403467257994</v>
      </c>
      <c r="P241" s="32">
        <f t="shared" si="316"/>
        <v>20.786755435030919</v>
      </c>
      <c r="Q241" s="32">
        <f t="shared" si="316"/>
        <v>18.262027607632291</v>
      </c>
      <c r="R241" s="32">
        <f t="shared" si="316"/>
        <v>18.043967781547583</v>
      </c>
      <c r="S241" s="32">
        <f t="shared" si="316"/>
        <v>17.566857772539006</v>
      </c>
      <c r="T241" s="32">
        <f t="shared" si="316"/>
        <v>17.159196837606313</v>
      </c>
      <c r="U241" s="32">
        <f t="shared" si="316"/>
        <v>17.677201691476615</v>
      </c>
      <c r="V241" s="32">
        <f t="shared" si="316"/>
        <v>19.789581029658748</v>
      </c>
      <c r="W241" s="32">
        <f t="shared" si="315"/>
        <v>17.766254686947466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88.429173568719051</v>
      </c>
      <c r="C242" s="97">
        <f t="shared" si="317"/>
        <v>98.621490074776091</v>
      </c>
      <c r="D242" s="97">
        <f t="shared" si="317"/>
        <v>96.338558859027913</v>
      </c>
      <c r="E242" s="97">
        <f t="shared" si="317"/>
        <v>90.226818845462716</v>
      </c>
      <c r="F242" s="97">
        <f t="shared" si="317"/>
        <v>92.736359370973361</v>
      </c>
      <c r="G242" s="97">
        <f t="shared" si="317"/>
        <v>96.255614109774001</v>
      </c>
      <c r="H242" s="97">
        <f t="shared" si="317"/>
        <v>99.597894967669589</v>
      </c>
      <c r="I242" s="97">
        <f t="shared" si="317"/>
        <v>96.475556643128044</v>
      </c>
      <c r="J242" s="97">
        <f t="shared" si="317"/>
        <v>89.119613361594745</v>
      </c>
      <c r="K242" s="97">
        <f t="shared" si="317"/>
        <v>86.896896694337599</v>
      </c>
      <c r="L242" s="97">
        <f t="shared" si="317"/>
        <v>75.58906371844742</v>
      </c>
      <c r="M242" s="97">
        <f t="shared" si="317"/>
        <v>77.781687801508824</v>
      </c>
      <c r="N242" s="97">
        <f t="shared" si="317"/>
        <v>71.621696949078384</v>
      </c>
      <c r="O242" s="97">
        <f t="shared" si="317"/>
        <v>68.99118986283095</v>
      </c>
      <c r="P242" s="97">
        <f t="shared" si="317"/>
        <v>65.218040697467487</v>
      </c>
      <c r="Q242" s="97">
        <f t="shared" si="317"/>
        <v>57.718041094355982</v>
      </c>
      <c r="R242" s="97">
        <f t="shared" si="317"/>
        <v>57.181936210814726</v>
      </c>
      <c r="S242" s="97">
        <f t="shared" si="317"/>
        <v>55.887321479706955</v>
      </c>
      <c r="T242" s="97">
        <f t="shared" si="317"/>
        <v>53.846762746739174</v>
      </c>
      <c r="U242" s="97">
        <f t="shared" si="317"/>
        <v>55.459357959798766</v>
      </c>
      <c r="V242" s="97">
        <f t="shared" si="317"/>
        <v>52.529183624339048</v>
      </c>
      <c r="W242" s="97">
        <f t="shared" si="315"/>
        <v>50.276544470359738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25.551065378322829</v>
      </c>
      <c r="C243" s="98">
        <f t="shared" si="318"/>
        <v>28.369431834955058</v>
      </c>
      <c r="D243" s="98">
        <f t="shared" si="318"/>
        <v>27.826974158356908</v>
      </c>
      <c r="E243" s="98">
        <f t="shared" si="318"/>
        <v>25.9999977906146</v>
      </c>
      <c r="F243" s="98">
        <f t="shared" si="318"/>
        <v>26.668438405940844</v>
      </c>
      <c r="G243" s="98">
        <f t="shared" si="318"/>
        <v>27.095580374965877</v>
      </c>
      <c r="H243" s="98">
        <f t="shared" si="318"/>
        <v>27.824988708017869</v>
      </c>
      <c r="I243" s="98">
        <f t="shared" si="318"/>
        <v>26.928459011577655</v>
      </c>
      <c r="J243" s="98">
        <f t="shared" si="318"/>
        <v>24.609569200549245</v>
      </c>
      <c r="K243" s="98">
        <f t="shared" si="318"/>
        <v>24.761025339179373</v>
      </c>
      <c r="L243" s="98">
        <f t="shared" si="318"/>
        <v>21.588484657790161</v>
      </c>
      <c r="M243" s="98">
        <f t="shared" si="318"/>
        <v>21.737348386325934</v>
      </c>
      <c r="N243" s="98">
        <f t="shared" si="318"/>
        <v>19.928318759482835</v>
      </c>
      <c r="O243" s="98">
        <f t="shared" si="318"/>
        <v>19.192170542017461</v>
      </c>
      <c r="P243" s="98">
        <f t="shared" si="318"/>
        <v>18.104185168233087</v>
      </c>
      <c r="Q243" s="98">
        <f t="shared" si="318"/>
        <v>16.019171769647063</v>
      </c>
      <c r="R243" s="98">
        <f t="shared" si="318"/>
        <v>15.883713616181124</v>
      </c>
      <c r="S243" s="98">
        <f t="shared" si="318"/>
        <v>15.486585980419886</v>
      </c>
      <c r="T243" s="98">
        <f t="shared" si="318"/>
        <v>15.036092376319584</v>
      </c>
      <c r="U243" s="98">
        <f t="shared" si="318"/>
        <v>15.4248883521769</v>
      </c>
      <c r="V243" s="98">
        <f t="shared" si="318"/>
        <v>17.726790020182911</v>
      </c>
      <c r="W243" s="98">
        <f t="shared" si="315"/>
        <v>15.836614385465484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149141.95836574561</v>
      </c>
      <c r="C4" s="29">
        <f t="shared" si="0"/>
        <v>149831.75305556771</v>
      </c>
      <c r="D4" s="29">
        <f t="shared" si="0"/>
        <v>152300.45286370552</v>
      </c>
      <c r="E4" s="29">
        <f t="shared" si="0"/>
        <v>154420.09068319568</v>
      </c>
      <c r="F4" s="29">
        <f t="shared" si="0"/>
        <v>159856.73340969608</v>
      </c>
      <c r="G4" s="29">
        <f t="shared" si="0"/>
        <v>157276.63728102803</v>
      </c>
      <c r="H4" s="29">
        <f t="shared" si="0"/>
        <v>156831.98218596875</v>
      </c>
      <c r="I4" s="29">
        <f t="shared" si="0"/>
        <v>158149.09952893778</v>
      </c>
      <c r="J4" s="29">
        <f t="shared" si="0"/>
        <v>156843.981959406</v>
      </c>
      <c r="K4" s="29">
        <f t="shared" si="0"/>
        <v>156161.22026043464</v>
      </c>
      <c r="L4" s="29">
        <f t="shared" ref="L4" si="1">L5+L6+L13</f>
        <v>154160.30022812411</v>
      </c>
      <c r="M4" s="29">
        <f t="shared" ref="M4:V4" si="2">M5+M6+M13</f>
        <v>154657.30373350286</v>
      </c>
      <c r="N4" s="29">
        <f t="shared" si="2"/>
        <v>149257.71193373966</v>
      </c>
      <c r="O4" s="29">
        <f t="shared" si="2"/>
        <v>155088.43107412575</v>
      </c>
      <c r="P4" s="29">
        <f t="shared" si="2"/>
        <v>154395.13180359712</v>
      </c>
      <c r="Q4" s="29">
        <f t="shared" si="2"/>
        <v>149424.00503180549</v>
      </c>
      <c r="R4" s="29">
        <f t="shared" si="2"/>
        <v>150940.72585555844</v>
      </c>
      <c r="S4" s="29">
        <f t="shared" si="2"/>
        <v>148196.13529794646</v>
      </c>
      <c r="T4" s="29">
        <f t="shared" si="2"/>
        <v>157609.84942889109</v>
      </c>
      <c r="U4" s="29">
        <f t="shared" si="2"/>
        <v>157897.98644913142</v>
      </c>
      <c r="V4" s="29">
        <f t="shared" si="2"/>
        <v>112065.75833211804</v>
      </c>
      <c r="W4" s="29">
        <f t="shared" ref="W4" si="3">W5+W6+W13</f>
        <v>123239.17390631225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3424.6809661735447</v>
      </c>
      <c r="C5" s="152">
        <f t="shared" si="4"/>
        <v>3559.5078684520281</v>
      </c>
      <c r="D5" s="152">
        <f t="shared" si="4"/>
        <v>3688.9643314199366</v>
      </c>
      <c r="E5" s="152">
        <f t="shared" si="4"/>
        <v>3720.2595184130337</v>
      </c>
      <c r="F5" s="152">
        <f t="shared" si="4"/>
        <v>3556.5427906556833</v>
      </c>
      <c r="G5" s="152">
        <f t="shared" si="4"/>
        <v>3701.6092342159986</v>
      </c>
      <c r="H5" s="152">
        <f t="shared" si="4"/>
        <v>3971.0703274702687</v>
      </c>
      <c r="I5" s="152">
        <f t="shared" si="4"/>
        <v>4387.6964951206091</v>
      </c>
      <c r="J5" s="152">
        <f t="shared" si="4"/>
        <v>4795.4387775680234</v>
      </c>
      <c r="K5" s="152">
        <f t="shared" si="4"/>
        <v>5007.2727542061939</v>
      </c>
      <c r="L5" s="152">
        <f t="shared" ref="L5:L7" si="5">IF(L32=0,0,L32*L142)</f>
        <v>5114.2252893539271</v>
      </c>
      <c r="M5" s="152">
        <f t="shared" ref="M5:V5" si="6">IF(M32=0,0,M32*M142)</f>
        <v>5247.2071925997761</v>
      </c>
      <c r="N5" s="152">
        <f t="shared" si="6"/>
        <v>5073.8424040169857</v>
      </c>
      <c r="O5" s="152">
        <f t="shared" si="6"/>
        <v>5041.9906395095004</v>
      </c>
      <c r="P5" s="152">
        <f t="shared" si="6"/>
        <v>4879.3743415028794</v>
      </c>
      <c r="Q5" s="152">
        <f t="shared" si="6"/>
        <v>5040.4507206671587</v>
      </c>
      <c r="R5" s="152">
        <f t="shared" si="6"/>
        <v>5166.1525993615933</v>
      </c>
      <c r="S5" s="152">
        <f t="shared" si="6"/>
        <v>4877.7373000872894</v>
      </c>
      <c r="T5" s="152">
        <f t="shared" si="6"/>
        <v>4639.3435676844601</v>
      </c>
      <c r="U5" s="152">
        <f t="shared" si="6"/>
        <v>4927.4805879248415</v>
      </c>
      <c r="V5" s="152">
        <f t="shared" si="6"/>
        <v>4425.0711017335561</v>
      </c>
      <c r="W5" s="152">
        <f t="shared" ref="W5" si="7">IF(W32=0,0,W32*W142)</f>
        <v>4493.516904124087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141100</v>
      </c>
      <c r="C6" s="116">
        <f t="shared" si="8"/>
        <v>141600</v>
      </c>
      <c r="D6" s="116">
        <f t="shared" si="8"/>
        <v>144200</v>
      </c>
      <c r="E6" s="116">
        <f t="shared" si="8"/>
        <v>146100.00000000003</v>
      </c>
      <c r="F6" s="116">
        <f t="shared" si="8"/>
        <v>151600</v>
      </c>
      <c r="G6" s="116">
        <f t="shared" si="8"/>
        <v>148800</v>
      </c>
      <c r="H6" s="116">
        <f t="shared" si="8"/>
        <v>148000</v>
      </c>
      <c r="I6" s="116">
        <f t="shared" si="8"/>
        <v>148799.99999999997</v>
      </c>
      <c r="J6" s="116">
        <f t="shared" si="8"/>
        <v>147000</v>
      </c>
      <c r="K6" s="116">
        <f t="shared" si="8"/>
        <v>146300.00000000003</v>
      </c>
      <c r="L6" s="116">
        <f t="shared" ref="L6" si="9">SUM(L7:L12)</f>
        <v>144200</v>
      </c>
      <c r="M6" s="116">
        <f t="shared" ref="M6:V6" si="10">SUM(M7:M12)</f>
        <v>144400</v>
      </c>
      <c r="N6" s="116">
        <f t="shared" si="10"/>
        <v>139700.00000000003</v>
      </c>
      <c r="O6" s="116">
        <f t="shared" si="10"/>
        <v>145400.00000000003</v>
      </c>
      <c r="P6" s="116">
        <f t="shared" si="10"/>
        <v>144968.99999999994</v>
      </c>
      <c r="Q6" s="116">
        <f t="shared" si="10"/>
        <v>139499.99999999997</v>
      </c>
      <c r="R6" s="116">
        <f t="shared" si="10"/>
        <v>140800</v>
      </c>
      <c r="S6" s="116">
        <f t="shared" si="10"/>
        <v>138700.00000000003</v>
      </c>
      <c r="T6" s="116">
        <f t="shared" si="10"/>
        <v>147500.00000000003</v>
      </c>
      <c r="U6" s="116">
        <f t="shared" si="10"/>
        <v>147500</v>
      </c>
      <c r="V6" s="116">
        <f t="shared" si="10"/>
        <v>105200</v>
      </c>
      <c r="W6" s="116">
        <f t="shared" ref="W6" si="11">SUM(W7:W12)</f>
        <v>115800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94106.413445658327</v>
      </c>
      <c r="C7" s="87">
        <f t="shared" si="12"/>
        <v>93035.409239444634</v>
      </c>
      <c r="D7" s="87">
        <f t="shared" si="12"/>
        <v>93540.75033147198</v>
      </c>
      <c r="E7" s="87">
        <f t="shared" si="12"/>
        <v>93714.866192233341</v>
      </c>
      <c r="F7" s="87">
        <f t="shared" si="12"/>
        <v>96559.706049266752</v>
      </c>
      <c r="G7" s="87">
        <f t="shared" si="12"/>
        <v>94115.9520696502</v>
      </c>
      <c r="H7" s="87">
        <f t="shared" si="12"/>
        <v>92282.600332243426</v>
      </c>
      <c r="I7" s="87">
        <f t="shared" si="12"/>
        <v>92470.197886379159</v>
      </c>
      <c r="J7" s="87">
        <f t="shared" si="12"/>
        <v>92187.672198237458</v>
      </c>
      <c r="K7" s="87">
        <f t="shared" si="12"/>
        <v>93109.211819687785</v>
      </c>
      <c r="L7" s="87">
        <f t="shared" si="5"/>
        <v>92854.89297534895</v>
      </c>
      <c r="M7" s="87">
        <f t="shared" ref="M7:V7" si="13">IF(M34=0,0,M34*M144)</f>
        <v>94082.958022982755</v>
      </c>
      <c r="N7" s="87">
        <f t="shared" si="13"/>
        <v>90011.210928568864</v>
      </c>
      <c r="O7" s="87">
        <f t="shared" si="13"/>
        <v>93532.608460005547</v>
      </c>
      <c r="P7" s="87">
        <f t="shared" si="13"/>
        <v>92776.845585753952</v>
      </c>
      <c r="Q7" s="87">
        <f t="shared" si="13"/>
        <v>89238.495709542345</v>
      </c>
      <c r="R7" s="87">
        <f t="shared" si="13"/>
        <v>92389.092764071276</v>
      </c>
      <c r="S7" s="87">
        <f t="shared" si="13"/>
        <v>92744.197817285996</v>
      </c>
      <c r="T7" s="87">
        <f t="shared" si="13"/>
        <v>100577.8015074674</v>
      </c>
      <c r="U7" s="87">
        <f t="shared" si="13"/>
        <v>103054.1897677339</v>
      </c>
      <c r="V7" s="87">
        <f t="shared" si="13"/>
        <v>77211.635207917294</v>
      </c>
      <c r="W7" s="87">
        <f t="shared" ref="W7" si="14">IF(W34=0,0,W34*W144)</f>
        <v>79038.675045747092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35085.802548227031</v>
      </c>
      <c r="C8" s="87">
        <f t="shared" si="15"/>
        <v>36901.374560197699</v>
      </c>
      <c r="D8" s="87">
        <f t="shared" si="15"/>
        <v>39449.705165861946</v>
      </c>
      <c r="E8" s="87">
        <f t="shared" si="15"/>
        <v>41852.401713636165</v>
      </c>
      <c r="F8" s="87">
        <f t="shared" si="15"/>
        <v>44619.473173002407</v>
      </c>
      <c r="G8" s="87">
        <f t="shared" si="15"/>
        <v>45299.363911017717</v>
      </c>
      <c r="H8" s="87">
        <f t="shared" si="15"/>
        <v>47171.303350972041</v>
      </c>
      <c r="I8" s="87">
        <f t="shared" si="15"/>
        <v>48552.279057902808</v>
      </c>
      <c r="J8" s="87">
        <f t="shared" si="15"/>
        <v>47997.379501951116</v>
      </c>
      <c r="K8" s="87">
        <f t="shared" si="15"/>
        <v>47136.287334663444</v>
      </c>
      <c r="L8" s="87">
        <f t="shared" ref="L8" si="16">IF(L35=0,0,L35*L145)</f>
        <v>45942.72004790249</v>
      </c>
      <c r="M8" s="87">
        <f t="shared" ref="M8:V8" si="17">IF(M35=0,0,M35*M145)</f>
        <v>45686.478674554557</v>
      </c>
      <c r="N8" s="87">
        <f t="shared" si="17"/>
        <v>45588.28457982729</v>
      </c>
      <c r="O8" s="87">
        <f t="shared" si="17"/>
        <v>47335.90298898668</v>
      </c>
      <c r="P8" s="87">
        <f t="shared" si="17"/>
        <v>47710.680454512622</v>
      </c>
      <c r="Q8" s="87">
        <f t="shared" si="17"/>
        <v>45587.046154231954</v>
      </c>
      <c r="R8" s="87">
        <f t="shared" si="17"/>
        <v>44096.423534132817</v>
      </c>
      <c r="S8" s="87">
        <f t="shared" si="17"/>
        <v>41817.668110305269</v>
      </c>
      <c r="T8" s="87">
        <f t="shared" si="17"/>
        <v>42154.370780678175</v>
      </c>
      <c r="U8" s="87">
        <f t="shared" si="17"/>
        <v>38272.389255381408</v>
      </c>
      <c r="V8" s="87">
        <f t="shared" si="17"/>
        <v>22510.630692922117</v>
      </c>
      <c r="W8" s="87">
        <f t="shared" ref="W8" si="18">IF(W35=0,0,W35*W145)</f>
        <v>28776.826838070308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11907.784006114642</v>
      </c>
      <c r="C9" s="87">
        <f t="shared" si="19"/>
        <v>11663.216200357672</v>
      </c>
      <c r="D9" s="87">
        <f t="shared" si="19"/>
        <v>11209.544502666075</v>
      </c>
      <c r="E9" s="87">
        <f t="shared" si="19"/>
        <v>10532.732094130497</v>
      </c>
      <c r="F9" s="87">
        <f t="shared" si="19"/>
        <v>10420.82077773084</v>
      </c>
      <c r="G9" s="87">
        <f t="shared" si="19"/>
        <v>9384.6840193320822</v>
      </c>
      <c r="H9" s="87">
        <f t="shared" si="19"/>
        <v>8546.0963167845366</v>
      </c>
      <c r="I9" s="87">
        <f t="shared" si="19"/>
        <v>7777.5230557180312</v>
      </c>
      <c r="J9" s="87">
        <f t="shared" si="19"/>
        <v>6814.9482998114208</v>
      </c>
      <c r="K9" s="87">
        <f t="shared" si="19"/>
        <v>6053.9034920458516</v>
      </c>
      <c r="L9" s="87">
        <f t="shared" ref="L9" si="20">IF(L36=0,0,L36*L146)</f>
        <v>5396.8405516348948</v>
      </c>
      <c r="M9" s="87">
        <f t="shared" ref="M9:V9" si="21">IF(M36=0,0,M36*M146)</f>
        <v>4595.3921512107572</v>
      </c>
      <c r="N9" s="87">
        <f t="shared" si="21"/>
        <v>3847.4136196669183</v>
      </c>
      <c r="O9" s="87">
        <f t="shared" si="21"/>
        <v>3896.1710834693135</v>
      </c>
      <c r="P9" s="87">
        <f t="shared" si="21"/>
        <v>3536.5308105304848</v>
      </c>
      <c r="Q9" s="87">
        <f t="shared" si="21"/>
        <v>3095.6499352470396</v>
      </c>
      <c r="R9" s="87">
        <f t="shared" si="21"/>
        <v>2655.6772052956699</v>
      </c>
      <c r="S9" s="87">
        <f t="shared" si="21"/>
        <v>2407.2191731059866</v>
      </c>
      <c r="T9" s="87">
        <f t="shared" si="21"/>
        <v>2294.6119904357038</v>
      </c>
      <c r="U9" s="87">
        <f t="shared" si="21"/>
        <v>2463.8473580012892</v>
      </c>
      <c r="V9" s="87">
        <f t="shared" si="21"/>
        <v>1658.6660926984277</v>
      </c>
      <c r="W9" s="87">
        <f t="shared" ref="W9" si="22">IF(W36=0,0,W36*W146)</f>
        <v>1608.9703626918397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3.7266963724739126</v>
      </c>
      <c r="M10" s="87">
        <f t="shared" ref="M10:V10" si="25">IF(M37=0,0,M37*M147)</f>
        <v>17.241986735654987</v>
      </c>
      <c r="N10" s="87">
        <f t="shared" si="25"/>
        <v>143.53980769908731</v>
      </c>
      <c r="O10" s="87">
        <f t="shared" si="25"/>
        <v>168.43893887043797</v>
      </c>
      <c r="P10" s="87">
        <f t="shared" si="25"/>
        <v>248.71605040401624</v>
      </c>
      <c r="Q10" s="87">
        <f t="shared" si="25"/>
        <v>250.57719990298133</v>
      </c>
      <c r="R10" s="87">
        <f t="shared" si="25"/>
        <v>76.844487374445706</v>
      </c>
      <c r="S10" s="87">
        <f t="shared" si="25"/>
        <v>86.86101816755172</v>
      </c>
      <c r="T10" s="87">
        <f t="shared" si="25"/>
        <v>259.48090234275588</v>
      </c>
      <c r="U10" s="87">
        <f t="shared" si="25"/>
        <v>254.49400557721751</v>
      </c>
      <c r="V10" s="87">
        <f t="shared" si="25"/>
        <v>174.60842020764812</v>
      </c>
      <c r="W10" s="87">
        <f t="shared" ref="W10" si="26">IF(W37=0,0,W37*W147)</f>
        <v>165.6066871871493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0.22608933996831593</v>
      </c>
      <c r="N11" s="87">
        <f t="shared" si="29"/>
        <v>65.077128800741221</v>
      </c>
      <c r="O11" s="87">
        <f t="shared" si="29"/>
        <v>375.91483874005434</v>
      </c>
      <c r="P11" s="87">
        <f t="shared" si="29"/>
        <v>547.47555567056429</v>
      </c>
      <c r="Q11" s="87">
        <f t="shared" si="29"/>
        <v>1131.7891583502283</v>
      </c>
      <c r="R11" s="87">
        <f t="shared" si="29"/>
        <v>1316.7433999245127</v>
      </c>
      <c r="S11" s="87">
        <f t="shared" si="29"/>
        <v>1222.9613392201586</v>
      </c>
      <c r="T11" s="87">
        <f t="shared" si="29"/>
        <v>1294.5006559367662</v>
      </c>
      <c r="U11" s="87">
        <f t="shared" si="29"/>
        <v>1256.784886057173</v>
      </c>
      <c r="V11" s="87">
        <f t="shared" si="29"/>
        <v>999.91511440374143</v>
      </c>
      <c r="W11" s="87">
        <f t="shared" ref="W11" si="30">IF(W38=0,0,W38*W148)</f>
        <v>1527.6390022107707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0.59735360292443396</v>
      </c>
      <c r="L12" s="87">
        <f t="shared" ref="L12" si="32">IF(L39=0,0,L39*L149)</f>
        <v>1.8197287411958589</v>
      </c>
      <c r="M12" s="87">
        <f t="shared" ref="M12:V12" si="33">IF(M39=0,0,M39*M149)</f>
        <v>17.703075176310389</v>
      </c>
      <c r="N12" s="87">
        <f t="shared" si="33"/>
        <v>44.473935437119074</v>
      </c>
      <c r="O12" s="87">
        <f t="shared" si="33"/>
        <v>90.963689927977839</v>
      </c>
      <c r="P12" s="87">
        <f t="shared" si="33"/>
        <v>148.75154312834945</v>
      </c>
      <c r="Q12" s="87">
        <f t="shared" si="33"/>
        <v>196.44184272544058</v>
      </c>
      <c r="R12" s="87">
        <f t="shared" si="33"/>
        <v>265.21860920128734</v>
      </c>
      <c r="S12" s="87">
        <f t="shared" si="33"/>
        <v>421.09254191503919</v>
      </c>
      <c r="T12" s="87">
        <f t="shared" si="33"/>
        <v>919.23416313921075</v>
      </c>
      <c r="U12" s="87">
        <f t="shared" si="33"/>
        <v>2198.2947272490069</v>
      </c>
      <c r="V12" s="87">
        <f t="shared" si="33"/>
        <v>2644.5444718507692</v>
      </c>
      <c r="W12" s="87">
        <f t="shared" ref="W12" si="34">IF(W39=0,0,W39*W149)</f>
        <v>4682.2820640928567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4617.2773995720845</v>
      </c>
      <c r="C13" s="116">
        <f t="shared" si="35"/>
        <v>4672.2451871156682</v>
      </c>
      <c r="D13" s="116">
        <f t="shared" si="35"/>
        <v>4411.4885322855989</v>
      </c>
      <c r="E13" s="116">
        <f t="shared" si="35"/>
        <v>4599.8311647826149</v>
      </c>
      <c r="F13" s="116">
        <f t="shared" si="35"/>
        <v>4700.1906190403852</v>
      </c>
      <c r="G13" s="116">
        <f t="shared" si="35"/>
        <v>4775.0280468120172</v>
      </c>
      <c r="H13" s="116">
        <f t="shared" si="35"/>
        <v>4860.9118584984581</v>
      </c>
      <c r="I13" s="116">
        <f t="shared" si="35"/>
        <v>4961.4030338171933</v>
      </c>
      <c r="J13" s="116">
        <f t="shared" si="35"/>
        <v>5048.543181837983</v>
      </c>
      <c r="K13" s="116">
        <f t="shared" si="35"/>
        <v>4853.9475062283936</v>
      </c>
      <c r="L13" s="116">
        <f t="shared" ref="L13" si="36">SUM(L14:L18)</f>
        <v>4846.0749387701871</v>
      </c>
      <c r="M13" s="116">
        <f t="shared" ref="M13:V13" si="37">SUM(M14:M18)</f>
        <v>5010.0965409031051</v>
      </c>
      <c r="N13" s="116">
        <f t="shared" si="37"/>
        <v>4483.8695297226495</v>
      </c>
      <c r="O13" s="116">
        <f t="shared" si="37"/>
        <v>4646.4404346162364</v>
      </c>
      <c r="P13" s="116">
        <f t="shared" si="37"/>
        <v>4546.7574620943142</v>
      </c>
      <c r="Q13" s="116">
        <f t="shared" si="37"/>
        <v>4883.5543111383377</v>
      </c>
      <c r="R13" s="116">
        <f t="shared" si="37"/>
        <v>4974.5732561968516</v>
      </c>
      <c r="S13" s="116">
        <f t="shared" si="37"/>
        <v>4618.3979978591387</v>
      </c>
      <c r="T13" s="116">
        <f t="shared" si="37"/>
        <v>5470.5058612065932</v>
      </c>
      <c r="U13" s="116">
        <f t="shared" si="37"/>
        <v>5470.5058612065932</v>
      </c>
      <c r="V13" s="116">
        <f t="shared" si="37"/>
        <v>2440.6872303844798</v>
      </c>
      <c r="W13" s="116">
        <f t="shared" ref="W13" si="38">SUM(W14:W18)</f>
        <v>2945.6570021881657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4.6900727981114647</v>
      </c>
      <c r="C14" s="101">
        <f t="shared" si="39"/>
        <v>5.7991598871564172</v>
      </c>
      <c r="D14" s="101">
        <f t="shared" si="39"/>
        <v>6.9528725791371579</v>
      </c>
      <c r="E14" s="101">
        <f t="shared" si="39"/>
        <v>7.9131003265660391</v>
      </c>
      <c r="F14" s="101">
        <f t="shared" si="39"/>
        <v>7.4143794108260952</v>
      </c>
      <c r="G14" s="101">
        <f t="shared" si="39"/>
        <v>8.017055153251059</v>
      </c>
      <c r="H14" s="101">
        <f t="shared" si="39"/>
        <v>8.3248004226008305</v>
      </c>
      <c r="I14" s="101">
        <f t="shared" si="39"/>
        <v>8.9323000929591725</v>
      </c>
      <c r="J14" s="101">
        <f t="shared" si="39"/>
        <v>8.9339324057222846</v>
      </c>
      <c r="K14" s="101">
        <f t="shared" si="39"/>
        <v>9.2184165426458069</v>
      </c>
      <c r="L14" s="101">
        <f t="shared" ref="L14" si="40">IF(L41=0,0,L41*L151)</f>
        <v>10.115967480289193</v>
      </c>
      <c r="M14" s="101">
        <f t="shared" ref="M14:V14" si="41">IF(M41=0,0,M41*M151)</f>
        <v>8.3462838265155295</v>
      </c>
      <c r="N14" s="101">
        <f t="shared" si="41"/>
        <v>5.0443712088109729</v>
      </c>
      <c r="O14" s="101">
        <f t="shared" si="41"/>
        <v>4.4586934579077147</v>
      </c>
      <c r="P14" s="101">
        <f t="shared" si="41"/>
        <v>4.1583197193855446</v>
      </c>
      <c r="Q14" s="101">
        <f t="shared" si="41"/>
        <v>6.8571728419683122</v>
      </c>
      <c r="R14" s="101">
        <f t="shared" si="41"/>
        <v>8.5265987047285901</v>
      </c>
      <c r="S14" s="101">
        <f t="shared" si="41"/>
        <v>7.9502069557171691</v>
      </c>
      <c r="T14" s="101">
        <f t="shared" si="41"/>
        <v>7.1912733280781378</v>
      </c>
      <c r="U14" s="101">
        <f t="shared" si="41"/>
        <v>33.647404081935818</v>
      </c>
      <c r="V14" s="101">
        <f t="shared" si="41"/>
        <v>21.198567530510147</v>
      </c>
      <c r="W14" s="101">
        <f t="shared" ref="W14" si="42">IF(W41=0,0,W41*W151)</f>
        <v>30.624707361344253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4546.6470174939668</v>
      </c>
      <c r="C15" s="101">
        <f t="shared" si="43"/>
        <v>4603.5847414894906</v>
      </c>
      <c r="D15" s="101">
        <f t="shared" si="43"/>
        <v>4344.2300434384761</v>
      </c>
      <c r="E15" s="101">
        <f t="shared" si="43"/>
        <v>4535.232960870404</v>
      </c>
      <c r="F15" s="101">
        <f t="shared" si="43"/>
        <v>4634.5568318292708</v>
      </c>
      <c r="G15" s="101">
        <f t="shared" si="43"/>
        <v>4698.8476635335664</v>
      </c>
      <c r="H15" s="101">
        <f t="shared" si="43"/>
        <v>4776.6778698933813</v>
      </c>
      <c r="I15" s="101">
        <f t="shared" si="43"/>
        <v>4870.5595008899345</v>
      </c>
      <c r="J15" s="101">
        <f t="shared" si="43"/>
        <v>4943.9369073054759</v>
      </c>
      <c r="K15" s="101">
        <f t="shared" si="43"/>
        <v>4701.3202488435163</v>
      </c>
      <c r="L15" s="101">
        <f t="shared" ref="L15" si="44">IF(L42=0,0,L42*L152)</f>
        <v>4650.3799697689046</v>
      </c>
      <c r="M15" s="101">
        <f t="shared" ref="M15:V15" si="45">IF(M42=0,0,M42*M152)</f>
        <v>4703.2466087798666</v>
      </c>
      <c r="N15" s="101">
        <f t="shared" si="45"/>
        <v>4132.2405516112976</v>
      </c>
      <c r="O15" s="101">
        <f t="shared" si="45"/>
        <v>4241.6792991998091</v>
      </c>
      <c r="P15" s="101">
        <f t="shared" si="45"/>
        <v>4111.345851803695</v>
      </c>
      <c r="Q15" s="101">
        <f t="shared" si="45"/>
        <v>4329.4510353747828</v>
      </c>
      <c r="R15" s="101">
        <f t="shared" si="45"/>
        <v>4269.2720504199551</v>
      </c>
      <c r="S15" s="101">
        <f t="shared" si="45"/>
        <v>3862.4285128722127</v>
      </c>
      <c r="T15" s="101">
        <f t="shared" si="45"/>
        <v>4458.9148249578775</v>
      </c>
      <c r="U15" s="101">
        <f t="shared" si="45"/>
        <v>4165.4209601644116</v>
      </c>
      <c r="V15" s="101">
        <f t="shared" si="45"/>
        <v>1654.1216212470661</v>
      </c>
      <c r="W15" s="101">
        <f t="shared" ref="W15" si="46">IF(W42=0,0,W42*W152)</f>
        <v>1787.0447038474081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42.379946210998575</v>
      </c>
      <c r="C16" s="101">
        <f t="shared" si="47"/>
        <v>40.416117443981335</v>
      </c>
      <c r="D16" s="101">
        <f t="shared" si="47"/>
        <v>33.360313379823914</v>
      </c>
      <c r="E16" s="101">
        <f t="shared" si="47"/>
        <v>32.13008300042457</v>
      </c>
      <c r="F16" s="101">
        <f t="shared" si="47"/>
        <v>28.414296796466878</v>
      </c>
      <c r="G16" s="101">
        <f t="shared" si="47"/>
        <v>35.657182570963187</v>
      </c>
      <c r="H16" s="101">
        <f t="shared" si="47"/>
        <v>29.961016319413979</v>
      </c>
      <c r="I16" s="101">
        <f t="shared" si="47"/>
        <v>27.206232079321921</v>
      </c>
      <c r="J16" s="101">
        <f t="shared" si="47"/>
        <v>26.467762009278371</v>
      </c>
      <c r="K16" s="101">
        <f t="shared" si="47"/>
        <v>23.025749242884793</v>
      </c>
      <c r="L16" s="101">
        <f t="shared" ref="L16" si="48">IF(L43=0,0,L43*L153)</f>
        <v>22.082803449482558</v>
      </c>
      <c r="M16" s="101">
        <f t="shared" ref="M16:V16" si="49">IF(M43=0,0,M43*M153)</f>
        <v>22.342162372858855</v>
      </c>
      <c r="N16" s="101">
        <f t="shared" si="49"/>
        <v>19.634964076354365</v>
      </c>
      <c r="O16" s="101">
        <f t="shared" si="49"/>
        <v>20.851055350117019</v>
      </c>
      <c r="P16" s="101">
        <f t="shared" si="49"/>
        <v>20.781538886662428</v>
      </c>
      <c r="Q16" s="101">
        <f t="shared" si="49"/>
        <v>23.455385562573227</v>
      </c>
      <c r="R16" s="101">
        <f t="shared" si="49"/>
        <v>24.473430859318857</v>
      </c>
      <c r="S16" s="101">
        <f t="shared" si="49"/>
        <v>21.416498221559827</v>
      </c>
      <c r="T16" s="101">
        <f t="shared" si="49"/>
        <v>24.899827113904578</v>
      </c>
      <c r="U16" s="101">
        <f t="shared" si="49"/>
        <v>23.29472472740192</v>
      </c>
      <c r="V16" s="101">
        <f t="shared" si="49"/>
        <v>10.242040447567756</v>
      </c>
      <c r="W16" s="101">
        <f t="shared" ref="W16" si="50">IF(W43=0,0,W43*W153)</f>
        <v>12.685584801924202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2.3029032770703286</v>
      </c>
      <c r="C17" s="101">
        <f t="shared" si="51"/>
        <v>3.4082599769571962</v>
      </c>
      <c r="D17" s="101">
        <f t="shared" si="51"/>
        <v>6.5025374941400642</v>
      </c>
      <c r="E17" s="101">
        <f t="shared" si="51"/>
        <v>5.9328026305271724</v>
      </c>
      <c r="F17" s="101">
        <f t="shared" si="51"/>
        <v>5.6440198799486883</v>
      </c>
      <c r="G17" s="101">
        <f t="shared" si="51"/>
        <v>7.2708296941043109</v>
      </c>
      <c r="H17" s="101">
        <f t="shared" si="51"/>
        <v>19.71889333218499</v>
      </c>
      <c r="I17" s="101">
        <f t="shared" si="51"/>
        <v>28.060113831597068</v>
      </c>
      <c r="J17" s="101">
        <f t="shared" si="51"/>
        <v>47.754955764597149</v>
      </c>
      <c r="K17" s="101">
        <f t="shared" si="51"/>
        <v>96.397673851296929</v>
      </c>
      <c r="L17" s="101">
        <f t="shared" ref="L17" si="52">IF(L44=0,0,L44*L154)</f>
        <v>127.41538047831025</v>
      </c>
      <c r="M17" s="101">
        <f t="shared" ref="M17:V17" si="53">IF(M44=0,0,M44*M154)</f>
        <v>240.03380156841018</v>
      </c>
      <c r="N17" s="101">
        <f t="shared" si="53"/>
        <v>293.97949078804425</v>
      </c>
      <c r="O17" s="101">
        <f t="shared" si="53"/>
        <v>349.85586218016221</v>
      </c>
      <c r="P17" s="101">
        <f t="shared" si="53"/>
        <v>377.55340594599238</v>
      </c>
      <c r="Q17" s="101">
        <f t="shared" si="53"/>
        <v>481.57965975536257</v>
      </c>
      <c r="R17" s="101">
        <f t="shared" si="53"/>
        <v>599.95056951553079</v>
      </c>
      <c r="S17" s="101">
        <f t="shared" si="53"/>
        <v>607.8285500785297</v>
      </c>
      <c r="T17" s="101">
        <f t="shared" si="53"/>
        <v>782.27780476804367</v>
      </c>
      <c r="U17" s="101">
        <f t="shared" si="53"/>
        <v>855.71208195817178</v>
      </c>
      <c r="V17" s="101">
        <f t="shared" si="53"/>
        <v>467.53205272300642</v>
      </c>
      <c r="W17" s="101">
        <f t="shared" ref="W17" si="54">IF(W44=0,0,W44*W154)</f>
        <v>660.10523934231003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21.257459791938782</v>
      </c>
      <c r="C18" s="101">
        <f t="shared" si="55"/>
        <v>19.036908318082535</v>
      </c>
      <c r="D18" s="101">
        <f t="shared" si="55"/>
        <v>20.442765394022182</v>
      </c>
      <c r="E18" s="101">
        <f t="shared" si="55"/>
        <v>18.622217954693383</v>
      </c>
      <c r="F18" s="101">
        <f t="shared" si="55"/>
        <v>24.161091123873209</v>
      </c>
      <c r="G18" s="101">
        <f t="shared" si="55"/>
        <v>25.235315860131962</v>
      </c>
      <c r="H18" s="101">
        <f t="shared" si="55"/>
        <v>26.229278530877128</v>
      </c>
      <c r="I18" s="101">
        <f t="shared" si="55"/>
        <v>26.644886923381016</v>
      </c>
      <c r="J18" s="101">
        <f t="shared" si="55"/>
        <v>21.449624352910245</v>
      </c>
      <c r="K18" s="101">
        <f t="shared" si="55"/>
        <v>23.985417748050324</v>
      </c>
      <c r="L18" s="101">
        <f t="shared" ref="L18" si="56">IF(L45=0,0,L45*L155)</f>
        <v>36.080817593200571</v>
      </c>
      <c r="M18" s="101">
        <f t="shared" ref="M18:V18" si="57">IF(M45=0,0,M45*M155)</f>
        <v>36.127684355453269</v>
      </c>
      <c r="N18" s="101">
        <f t="shared" si="57"/>
        <v>32.970152038142622</v>
      </c>
      <c r="O18" s="101">
        <f t="shared" si="57"/>
        <v>29.595524428240093</v>
      </c>
      <c r="P18" s="101">
        <f t="shared" si="57"/>
        <v>32.918345738578431</v>
      </c>
      <c r="Q18" s="101">
        <f t="shared" si="57"/>
        <v>42.211057603650183</v>
      </c>
      <c r="R18" s="101">
        <f t="shared" si="57"/>
        <v>72.350606697317744</v>
      </c>
      <c r="S18" s="101">
        <f t="shared" si="57"/>
        <v>118.7742297311195</v>
      </c>
      <c r="T18" s="101">
        <f t="shared" si="57"/>
        <v>197.22213103868964</v>
      </c>
      <c r="U18" s="101">
        <f t="shared" si="57"/>
        <v>392.43069027467232</v>
      </c>
      <c r="V18" s="101">
        <f t="shared" si="57"/>
        <v>287.59294843632949</v>
      </c>
      <c r="W18" s="101">
        <f t="shared" ref="W18" si="58">IF(W45=0,0,W45*W155)</f>
        <v>455.19676683517918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47546.123873074554</v>
      </c>
      <c r="C19" s="29">
        <f t="shared" si="59"/>
        <v>48236.915899972941</v>
      </c>
      <c r="D19" s="29">
        <f t="shared" si="59"/>
        <v>48468.504916313956</v>
      </c>
      <c r="E19" s="29">
        <f t="shared" si="59"/>
        <v>50418.510940531298</v>
      </c>
      <c r="F19" s="29">
        <f t="shared" si="59"/>
        <v>55172.149198540137</v>
      </c>
      <c r="G19" s="29">
        <f t="shared" si="59"/>
        <v>53767.42460362053</v>
      </c>
      <c r="H19" s="29">
        <f t="shared" si="59"/>
        <v>54081.792285039366</v>
      </c>
      <c r="I19" s="29">
        <f t="shared" si="59"/>
        <v>54020.659435817841</v>
      </c>
      <c r="J19" s="29">
        <f t="shared" si="59"/>
        <v>55481.284913188108</v>
      </c>
      <c r="K19" s="29">
        <f t="shared" si="59"/>
        <v>52921.697208990518</v>
      </c>
      <c r="L19" s="29">
        <f t="shared" ref="L19" si="60">L20+L26</f>
        <v>53140.801206992946</v>
      </c>
      <c r="M19" s="29">
        <f t="shared" ref="M19:V19" si="61">M20+M26</f>
        <v>53163.381794509034</v>
      </c>
      <c r="N19" s="29">
        <f t="shared" si="61"/>
        <v>50888.913816559907</v>
      </c>
      <c r="O19" s="29">
        <f t="shared" si="61"/>
        <v>54749.0707896815</v>
      </c>
      <c r="P19" s="29">
        <f t="shared" si="61"/>
        <v>55179.506589047705</v>
      </c>
      <c r="Q19" s="29">
        <f t="shared" si="61"/>
        <v>55492.680211833285</v>
      </c>
      <c r="R19" s="29">
        <f t="shared" si="61"/>
        <v>58700.886505694318</v>
      </c>
      <c r="S19" s="29">
        <f t="shared" si="61"/>
        <v>58229.538168869192</v>
      </c>
      <c r="T19" s="29">
        <f t="shared" si="61"/>
        <v>59145.29886853123</v>
      </c>
      <c r="U19" s="29">
        <f t="shared" si="61"/>
        <v>61142.112177349831</v>
      </c>
      <c r="V19" s="29">
        <f t="shared" si="61"/>
        <v>60924.997608369282</v>
      </c>
      <c r="W19" s="29">
        <f t="shared" ref="W19" si="62">W20+W26</f>
        <v>62582.255867166779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3074.5023836058954</v>
      </c>
      <c r="C20" s="152">
        <f t="shared" si="63"/>
        <v>3382.7343305923623</v>
      </c>
      <c r="D20" s="152">
        <f t="shared" si="63"/>
        <v>3540.8283433057627</v>
      </c>
      <c r="E20" s="152">
        <f t="shared" si="63"/>
        <v>3725.492675104364</v>
      </c>
      <c r="F20" s="152">
        <f t="shared" si="63"/>
        <v>3930.5992231597374</v>
      </c>
      <c r="G20" s="152">
        <f t="shared" si="63"/>
        <v>4021.1339866510702</v>
      </c>
      <c r="H20" s="152">
        <f t="shared" si="63"/>
        <v>3998.5577623247773</v>
      </c>
      <c r="I20" s="152">
        <f t="shared" si="63"/>
        <v>4035.6065148862413</v>
      </c>
      <c r="J20" s="152">
        <f t="shared" si="63"/>
        <v>4111.6384770579043</v>
      </c>
      <c r="K20" s="152">
        <f t="shared" si="63"/>
        <v>3940.5856815477732</v>
      </c>
      <c r="L20" s="152">
        <f t="shared" ref="L20" si="64">SUM(L21:L25)</f>
        <v>3970.0811840445517</v>
      </c>
      <c r="M20" s="152">
        <f t="shared" ref="M20:V20" si="65">SUM(M21:M25)</f>
        <v>4022.6649877182022</v>
      </c>
      <c r="N20" s="152">
        <f t="shared" si="65"/>
        <v>3871.3205407909236</v>
      </c>
      <c r="O20" s="152">
        <f t="shared" si="65"/>
        <v>3751.782584704496</v>
      </c>
      <c r="P20" s="152">
        <f t="shared" si="65"/>
        <v>3636.7845804831709</v>
      </c>
      <c r="Q20" s="152">
        <f t="shared" si="65"/>
        <v>3784.1069228035121</v>
      </c>
      <c r="R20" s="152">
        <f t="shared" si="65"/>
        <v>3889.6463275295373</v>
      </c>
      <c r="S20" s="152">
        <f t="shared" si="65"/>
        <v>3977.6461164732091</v>
      </c>
      <c r="T20" s="152">
        <f t="shared" si="65"/>
        <v>4010.2988685312303</v>
      </c>
      <c r="U20" s="152">
        <f t="shared" si="65"/>
        <v>4070.1121773498335</v>
      </c>
      <c r="V20" s="152">
        <f t="shared" si="65"/>
        <v>3981.9976083692832</v>
      </c>
      <c r="W20" s="152">
        <f t="shared" ref="W20" si="66">SUM(W21:W25)</f>
        <v>4095.2558671667803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97.926048872018001</v>
      </c>
      <c r="C21" s="87">
        <f t="shared" si="67"/>
        <v>89.570319671276437</v>
      </c>
      <c r="D21" s="87">
        <f t="shared" si="67"/>
        <v>79.686301308038651</v>
      </c>
      <c r="E21" s="87">
        <f t="shared" si="67"/>
        <v>71.926852127785054</v>
      </c>
      <c r="F21" s="87">
        <f t="shared" si="67"/>
        <v>66.253355885367341</v>
      </c>
      <c r="G21" s="87">
        <f t="shared" si="67"/>
        <v>62.982046618532273</v>
      </c>
      <c r="H21" s="87">
        <f t="shared" si="67"/>
        <v>56.175762846480374</v>
      </c>
      <c r="I21" s="87">
        <f t="shared" si="67"/>
        <v>51.835493350319304</v>
      </c>
      <c r="J21" s="87">
        <f t="shared" si="67"/>
        <v>48.890885944543378</v>
      </c>
      <c r="K21" s="87">
        <f t="shared" si="67"/>
        <v>45.375365553216113</v>
      </c>
      <c r="L21" s="87">
        <f t="shared" ref="L21" si="68">IF(L48=0,0,L48*L158)</f>
        <v>43.104315644481559</v>
      </c>
      <c r="M21" s="87">
        <f t="shared" ref="M21:V21" si="69">IF(M48=0,0,M48*M158)</f>
        <v>41.078619062834527</v>
      </c>
      <c r="N21" s="87">
        <f t="shared" si="69"/>
        <v>39.038712485118324</v>
      </c>
      <c r="O21" s="87">
        <f t="shared" si="69"/>
        <v>35.373710878426451</v>
      </c>
      <c r="P21" s="87">
        <f t="shared" si="69"/>
        <v>35.812442672966306</v>
      </c>
      <c r="Q21" s="87">
        <f t="shared" si="69"/>
        <v>36.544002717939257</v>
      </c>
      <c r="R21" s="87">
        <f t="shared" si="69"/>
        <v>37.421740166628013</v>
      </c>
      <c r="S21" s="87">
        <f t="shared" si="69"/>
        <v>38.208966089103583</v>
      </c>
      <c r="T21" s="87">
        <f t="shared" si="69"/>
        <v>36.705835422035285</v>
      </c>
      <c r="U21" s="87">
        <f t="shared" si="69"/>
        <v>40.963264939917124</v>
      </c>
      <c r="V21" s="87">
        <f t="shared" si="69"/>
        <v>42.191141213866501</v>
      </c>
      <c r="W21" s="87">
        <f t="shared" ref="W21" si="70">IF(W48=0,0,W48*W158)</f>
        <v>43.934835297848487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2943.0261683199483</v>
      </c>
      <c r="C22" s="87">
        <f t="shared" si="71"/>
        <v>3259.6200880703068</v>
      </c>
      <c r="D22" s="87">
        <f t="shared" si="71"/>
        <v>3428.6204072500677</v>
      </c>
      <c r="E22" s="87">
        <f t="shared" si="71"/>
        <v>3622.0524115122917</v>
      </c>
      <c r="F22" s="87">
        <f t="shared" si="71"/>
        <v>3833.5439513885981</v>
      </c>
      <c r="G22" s="87">
        <f t="shared" si="71"/>
        <v>3931.6621767423903</v>
      </c>
      <c r="H22" s="87">
        <f t="shared" si="71"/>
        <v>3917.9070535775172</v>
      </c>
      <c r="I22" s="87">
        <f t="shared" si="71"/>
        <v>3958.7457397254493</v>
      </c>
      <c r="J22" s="87">
        <f t="shared" si="71"/>
        <v>4037.5169158048298</v>
      </c>
      <c r="K22" s="87">
        <f t="shared" si="71"/>
        <v>3869.8771118645095</v>
      </c>
      <c r="L22" s="87">
        <f t="shared" ref="L22" si="72">IF(L49=0,0,L49*L159)</f>
        <v>3901.0051470912363</v>
      </c>
      <c r="M22" s="87">
        <f t="shared" ref="M22:V22" si="73">IF(M49=0,0,M49*M159)</f>
        <v>3954.7415135408578</v>
      </c>
      <c r="N22" s="87">
        <f t="shared" si="73"/>
        <v>3804.1913010909016</v>
      </c>
      <c r="O22" s="87">
        <f t="shared" si="73"/>
        <v>3686.8829493106032</v>
      </c>
      <c r="P22" s="87">
        <f t="shared" si="73"/>
        <v>3568.890108798721</v>
      </c>
      <c r="Q22" s="87">
        <f t="shared" si="73"/>
        <v>3714.2822059641007</v>
      </c>
      <c r="R22" s="87">
        <f t="shared" si="73"/>
        <v>3820.8354137614974</v>
      </c>
      <c r="S22" s="87">
        <f t="shared" si="73"/>
        <v>3904.4286756860629</v>
      </c>
      <c r="T22" s="87">
        <f t="shared" si="73"/>
        <v>3930.0732809161359</v>
      </c>
      <c r="U22" s="87">
        <f t="shared" si="73"/>
        <v>3975.2177595112889</v>
      </c>
      <c r="V22" s="87">
        <f t="shared" si="73"/>
        <v>3881.8663651721381</v>
      </c>
      <c r="W22" s="87">
        <f t="shared" ref="W22" si="74">IF(W49=0,0,W49*W159)</f>
        <v>3988.1116294481003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33.550166413929283</v>
      </c>
      <c r="C23" s="87">
        <f t="shared" si="75"/>
        <v>33.543922850779154</v>
      </c>
      <c r="D23" s="87">
        <f t="shared" si="75"/>
        <v>32.521634747656002</v>
      </c>
      <c r="E23" s="87">
        <f t="shared" si="75"/>
        <v>31.313447025935456</v>
      </c>
      <c r="F23" s="87">
        <f t="shared" si="75"/>
        <v>30.242461992381546</v>
      </c>
      <c r="G23" s="87">
        <f t="shared" si="75"/>
        <v>25.973981016633175</v>
      </c>
      <c r="H23" s="87">
        <f t="shared" si="75"/>
        <v>23.971231783516608</v>
      </c>
      <c r="I23" s="87">
        <f t="shared" si="75"/>
        <v>23.856658797286745</v>
      </c>
      <c r="J23" s="87">
        <f t="shared" si="75"/>
        <v>24.051308883419107</v>
      </c>
      <c r="K23" s="87">
        <f t="shared" si="75"/>
        <v>23.428307371486405</v>
      </c>
      <c r="L23" s="87">
        <f t="shared" ref="L23" si="76">IF(L50=0,0,L50*L160)</f>
        <v>23.274456638145338</v>
      </c>
      <c r="M23" s="87">
        <f t="shared" ref="M23:V23" si="77">IF(M50=0,0,M50*M160)</f>
        <v>23.326423544468351</v>
      </c>
      <c r="N23" s="87">
        <f t="shared" si="77"/>
        <v>23.02121048913909</v>
      </c>
      <c r="O23" s="87">
        <f t="shared" si="77"/>
        <v>22.923379272282656</v>
      </c>
      <c r="P23" s="87">
        <f t="shared" si="77"/>
        <v>23.06770038961313</v>
      </c>
      <c r="Q23" s="87">
        <f t="shared" si="77"/>
        <v>23.247964830577267</v>
      </c>
      <c r="R23" s="87">
        <f t="shared" si="77"/>
        <v>23.571220494689914</v>
      </c>
      <c r="S23" s="87">
        <f t="shared" si="77"/>
        <v>24.146629702054778</v>
      </c>
      <c r="T23" s="87">
        <f t="shared" si="77"/>
        <v>25.702979014096716</v>
      </c>
      <c r="U23" s="87">
        <f t="shared" si="77"/>
        <v>32.309318308502959</v>
      </c>
      <c r="V23" s="87">
        <f t="shared" si="77"/>
        <v>32.279714783925094</v>
      </c>
      <c r="W23" s="87">
        <f t="shared" ref="W23" si="78">IF(W50=0,0,W50*W160)</f>
        <v>29.361216210798592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0.19996443835189298</v>
      </c>
      <c r="F24" s="87">
        <f t="shared" si="79"/>
        <v>0.55945389339063367</v>
      </c>
      <c r="G24" s="87">
        <f t="shared" si="79"/>
        <v>0.5157822735140557</v>
      </c>
      <c r="H24" s="87">
        <f t="shared" si="79"/>
        <v>0.50371411726333071</v>
      </c>
      <c r="I24" s="87">
        <f t="shared" si="79"/>
        <v>1.1686230131856887</v>
      </c>
      <c r="J24" s="87">
        <f t="shared" si="79"/>
        <v>1.1793664251116567</v>
      </c>
      <c r="K24" s="87">
        <f t="shared" si="79"/>
        <v>1.9048967585613483</v>
      </c>
      <c r="L24" s="87">
        <f t="shared" ref="L24" si="80">IF(L51=0,0,L51*L161)</f>
        <v>2.6972646706887482</v>
      </c>
      <c r="M24" s="87">
        <f t="shared" ref="M24:V24" si="81">IF(M51=0,0,M51*M161)</f>
        <v>3.4744981146400922</v>
      </c>
      <c r="N24" s="87">
        <f t="shared" si="81"/>
        <v>3.9842486433877968</v>
      </c>
      <c r="O24" s="87">
        <f t="shared" si="81"/>
        <v>4.7647790024729106</v>
      </c>
      <c r="P24" s="87">
        <f t="shared" si="81"/>
        <v>5.5558284245274585</v>
      </c>
      <c r="Q24" s="87">
        <f t="shared" si="81"/>
        <v>6.0172728122866026</v>
      </c>
      <c r="R24" s="87">
        <f t="shared" si="81"/>
        <v>3.5671002449884357</v>
      </c>
      <c r="S24" s="87">
        <f t="shared" si="81"/>
        <v>4.935000926404892</v>
      </c>
      <c r="T24" s="87">
        <f t="shared" si="81"/>
        <v>9.2610387245034307</v>
      </c>
      <c r="U24" s="87">
        <f t="shared" si="81"/>
        <v>9.6921091203745355</v>
      </c>
      <c r="V24" s="87">
        <f t="shared" si="81"/>
        <v>9.7315452057428189</v>
      </c>
      <c r="W24" s="87">
        <f t="shared" ref="W24" si="82">IF(W51=0,0,W51*W161)</f>
        <v>9.2018968799538357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4.3933455401241168E-2</v>
      </c>
      <c r="N25" s="87">
        <f t="shared" si="85"/>
        <v>1.0850680823773244</v>
      </c>
      <c r="O25" s="87">
        <f t="shared" si="85"/>
        <v>1.8377662407104507</v>
      </c>
      <c r="P25" s="87">
        <f t="shared" si="85"/>
        <v>3.4585001973428633</v>
      </c>
      <c r="Q25" s="87">
        <f t="shared" si="85"/>
        <v>4.0154764786083632</v>
      </c>
      <c r="R25" s="87">
        <f t="shared" si="85"/>
        <v>4.2508528617334864</v>
      </c>
      <c r="S25" s="87">
        <f t="shared" si="85"/>
        <v>5.926844069582657</v>
      </c>
      <c r="T25" s="87">
        <f t="shared" si="85"/>
        <v>8.5557344544587064</v>
      </c>
      <c r="U25" s="87">
        <f t="shared" si="85"/>
        <v>11.929725469749989</v>
      </c>
      <c r="V25" s="87">
        <f t="shared" si="85"/>
        <v>15.928841993610396</v>
      </c>
      <c r="W25" s="87">
        <f t="shared" ref="W25" si="86">IF(W52=0,0,W52*W162)</f>
        <v>24.646289330079107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44471.621489468656</v>
      </c>
      <c r="C26" s="116">
        <f t="shared" si="87"/>
        <v>44854.181569380577</v>
      </c>
      <c r="D26" s="116">
        <f t="shared" si="87"/>
        <v>44927.67657300819</v>
      </c>
      <c r="E26" s="116">
        <f t="shared" si="87"/>
        <v>46693.01826542693</v>
      </c>
      <c r="F26" s="116">
        <f t="shared" si="87"/>
        <v>51241.549975380403</v>
      </c>
      <c r="G26" s="116">
        <f t="shared" si="87"/>
        <v>49746.290616969462</v>
      </c>
      <c r="H26" s="116">
        <f t="shared" si="87"/>
        <v>50083.234522714592</v>
      </c>
      <c r="I26" s="116">
        <f t="shared" si="87"/>
        <v>49985.052920931601</v>
      </c>
      <c r="J26" s="116">
        <f t="shared" si="87"/>
        <v>51369.646436130206</v>
      </c>
      <c r="K26" s="116">
        <f t="shared" si="87"/>
        <v>48981.111527442743</v>
      </c>
      <c r="L26" s="116">
        <f t="shared" ref="L26" si="88">SUM(L27:L28)</f>
        <v>49170.720022948393</v>
      </c>
      <c r="M26" s="116">
        <f t="shared" ref="M26:V26" si="89">SUM(M27:M28)</f>
        <v>49140.716806790835</v>
      </c>
      <c r="N26" s="116">
        <f t="shared" si="89"/>
        <v>47017.593275768981</v>
      </c>
      <c r="O26" s="116">
        <f t="shared" si="89"/>
        <v>50997.288204977005</v>
      </c>
      <c r="P26" s="116">
        <f t="shared" si="89"/>
        <v>51542.722008564531</v>
      </c>
      <c r="Q26" s="116">
        <f t="shared" si="89"/>
        <v>51708.573289029773</v>
      </c>
      <c r="R26" s="116">
        <f t="shared" si="89"/>
        <v>54811.240178164779</v>
      </c>
      <c r="S26" s="116">
        <f t="shared" si="89"/>
        <v>54251.892052395982</v>
      </c>
      <c r="T26" s="116">
        <f t="shared" si="89"/>
        <v>55135</v>
      </c>
      <c r="U26" s="116">
        <f t="shared" si="89"/>
        <v>57072</v>
      </c>
      <c r="V26" s="116">
        <f t="shared" si="89"/>
        <v>56943</v>
      </c>
      <c r="W26" s="116">
        <f t="shared" ref="W26" si="90">SUM(W27:W28)</f>
        <v>58487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31537</v>
      </c>
      <c r="C27" s="101">
        <f t="shared" si="91"/>
        <v>30999</v>
      </c>
      <c r="D27" s="101">
        <f t="shared" si="91"/>
        <v>30256</v>
      </c>
      <c r="E27" s="101">
        <f t="shared" si="91"/>
        <v>31785</v>
      </c>
      <c r="F27" s="101">
        <f t="shared" si="91"/>
        <v>33938</v>
      </c>
      <c r="G27" s="101">
        <f t="shared" si="91"/>
        <v>31827</v>
      </c>
      <c r="H27" s="101">
        <f t="shared" si="91"/>
        <v>31009</v>
      </c>
      <c r="I27" s="101">
        <f t="shared" si="91"/>
        <v>30686</v>
      </c>
      <c r="J27" s="101">
        <f t="shared" si="91"/>
        <v>32009</v>
      </c>
      <c r="K27" s="101">
        <f t="shared" si="91"/>
        <v>31337</v>
      </c>
      <c r="L27" s="101">
        <f t="shared" ref="L27:V27" si="92">IF(L54=0,0,L54*L164)</f>
        <v>30064</v>
      </c>
      <c r="M27" s="101">
        <f t="shared" si="92"/>
        <v>30325</v>
      </c>
      <c r="N27" s="101">
        <f t="shared" si="92"/>
        <v>28695</v>
      </c>
      <c r="O27" s="101">
        <f t="shared" si="92"/>
        <v>32299</v>
      </c>
      <c r="P27" s="101">
        <f t="shared" si="92"/>
        <v>32253</v>
      </c>
      <c r="Q27" s="101">
        <f t="shared" si="92"/>
        <v>32170</v>
      </c>
      <c r="R27" s="101">
        <f t="shared" si="92"/>
        <v>34053</v>
      </c>
      <c r="S27" s="101">
        <f t="shared" si="92"/>
        <v>33162</v>
      </c>
      <c r="T27" s="101">
        <f t="shared" si="92"/>
        <v>34295</v>
      </c>
      <c r="U27" s="101">
        <f t="shared" si="92"/>
        <v>35406</v>
      </c>
      <c r="V27" s="101">
        <f t="shared" si="92"/>
        <v>34761</v>
      </c>
      <c r="W27" s="101">
        <f t="shared" ref="W27" si="93">IF(W54=0,0,W54*W164)</f>
        <v>36446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12934.621489468656</v>
      </c>
      <c r="C28" s="88">
        <f t="shared" si="94"/>
        <v>13855.181569380577</v>
      </c>
      <c r="D28" s="88">
        <f t="shared" si="94"/>
        <v>14671.67657300819</v>
      </c>
      <c r="E28" s="88">
        <f t="shared" si="94"/>
        <v>14908.01826542693</v>
      </c>
      <c r="F28" s="88">
        <f t="shared" si="94"/>
        <v>17303.549975380403</v>
      </c>
      <c r="G28" s="88">
        <f t="shared" si="94"/>
        <v>17919.290616969462</v>
      </c>
      <c r="H28" s="88">
        <f t="shared" si="94"/>
        <v>19074.234522714592</v>
      </c>
      <c r="I28" s="88">
        <f t="shared" si="94"/>
        <v>19299.052920931601</v>
      </c>
      <c r="J28" s="88">
        <f t="shared" si="94"/>
        <v>19360.646436130206</v>
      </c>
      <c r="K28" s="88">
        <f t="shared" si="94"/>
        <v>17644.111527442743</v>
      </c>
      <c r="L28" s="88">
        <f t="shared" ref="L28:V28" si="95">IF(L55=0,0,L55*L165)</f>
        <v>19106.720022948393</v>
      </c>
      <c r="M28" s="88">
        <f t="shared" si="95"/>
        <v>18815.716806790835</v>
      </c>
      <c r="N28" s="88">
        <f t="shared" si="95"/>
        <v>18322.593275768981</v>
      </c>
      <c r="O28" s="88">
        <f t="shared" si="95"/>
        <v>18698.288204977005</v>
      </c>
      <c r="P28" s="88">
        <f t="shared" si="95"/>
        <v>19289.722008564531</v>
      </c>
      <c r="Q28" s="88">
        <f t="shared" si="95"/>
        <v>19538.573289029773</v>
      </c>
      <c r="R28" s="88">
        <f t="shared" si="95"/>
        <v>20758.240178164779</v>
      </c>
      <c r="S28" s="88">
        <f t="shared" si="95"/>
        <v>21089.892052395982</v>
      </c>
      <c r="T28" s="88">
        <f t="shared" si="95"/>
        <v>20840</v>
      </c>
      <c r="U28" s="88">
        <f t="shared" si="95"/>
        <v>21666</v>
      </c>
      <c r="V28" s="88">
        <f t="shared" si="95"/>
        <v>22182</v>
      </c>
      <c r="W28" s="88">
        <f t="shared" ref="W28" si="96">IF(W55=0,0,W55*W165)</f>
        <v>22041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113915.69121207585</v>
      </c>
      <c r="C30" s="62">
        <f t="shared" ref="C30:V30" si="98">C31+C46</f>
        <v>116588.05790188974</v>
      </c>
      <c r="D30" s="62">
        <f t="shared" si="98"/>
        <v>119403.9804426167</v>
      </c>
      <c r="E30" s="62">
        <f t="shared" si="98"/>
        <v>121519.98212336241</v>
      </c>
      <c r="F30" s="62">
        <f t="shared" si="98"/>
        <v>124899.22206755675</v>
      </c>
      <c r="G30" s="62">
        <f t="shared" si="98"/>
        <v>126992.80684439445</v>
      </c>
      <c r="H30" s="62">
        <f t="shared" si="98"/>
        <v>128243.16890488812</v>
      </c>
      <c r="I30" s="62">
        <f t="shared" si="98"/>
        <v>130351.53802740782</v>
      </c>
      <c r="J30" s="62">
        <f t="shared" si="98"/>
        <v>133216.76592008921</v>
      </c>
      <c r="K30" s="62">
        <f t="shared" si="98"/>
        <v>132139.94788794199</v>
      </c>
      <c r="L30" s="62">
        <f t="shared" si="98"/>
        <v>131408.52887406736</v>
      </c>
      <c r="M30" s="62">
        <f t="shared" si="98"/>
        <v>134164.06844715742</v>
      </c>
      <c r="N30" s="62">
        <f t="shared" si="98"/>
        <v>127860.01845548005</v>
      </c>
      <c r="O30" s="62">
        <f t="shared" si="98"/>
        <v>127485.0516960887</v>
      </c>
      <c r="P30" s="62">
        <f t="shared" si="98"/>
        <v>126957.29821349421</v>
      </c>
      <c r="Q30" s="62">
        <f t="shared" si="98"/>
        <v>129289.39157842076</v>
      </c>
      <c r="R30" s="62">
        <f t="shared" si="98"/>
        <v>132358.9682235161</v>
      </c>
      <c r="S30" s="62">
        <f t="shared" si="98"/>
        <v>133438.84799842158</v>
      </c>
      <c r="T30" s="62">
        <f t="shared" si="98"/>
        <v>133659.10549606878</v>
      </c>
      <c r="U30" s="62">
        <f t="shared" si="98"/>
        <v>135014.12559881833</v>
      </c>
      <c r="V30" s="62">
        <f t="shared" si="98"/>
        <v>116275.50556513153</v>
      </c>
      <c r="W30" s="62">
        <f t="shared" ref="W30" si="99">W31+W46</f>
        <v>120410.25697767595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92707.477806336086</v>
      </c>
      <c r="C31" s="29">
        <f t="shared" ref="C31:V31" si="101">C32+C33+C40</f>
        <v>93869.42481514145</v>
      </c>
      <c r="D31" s="29">
        <f t="shared" si="101"/>
        <v>95715.951684750398</v>
      </c>
      <c r="E31" s="29">
        <f t="shared" si="101"/>
        <v>96745.720104010106</v>
      </c>
      <c r="F31" s="29">
        <f t="shared" si="101"/>
        <v>99002.827692074308</v>
      </c>
      <c r="G31" s="29">
        <f t="shared" si="101"/>
        <v>100718.70302227003</v>
      </c>
      <c r="H31" s="29">
        <f t="shared" si="101"/>
        <v>101922.96248711841</v>
      </c>
      <c r="I31" s="29">
        <f t="shared" si="101"/>
        <v>103979.0667308836</v>
      </c>
      <c r="J31" s="29">
        <f t="shared" si="101"/>
        <v>106438.71752014867</v>
      </c>
      <c r="K31" s="29">
        <f t="shared" si="101"/>
        <v>106639.34524148966</v>
      </c>
      <c r="L31" s="29">
        <f t="shared" si="101"/>
        <v>106387.48652824627</v>
      </c>
      <c r="M31" s="29">
        <f t="shared" si="101"/>
        <v>108653.23464179377</v>
      </c>
      <c r="N31" s="29">
        <f t="shared" si="101"/>
        <v>103473.22131088107</v>
      </c>
      <c r="O31" s="29">
        <f t="shared" si="101"/>
        <v>103512.81601331074</v>
      </c>
      <c r="P31" s="29">
        <f t="shared" si="101"/>
        <v>103564.11023876762</v>
      </c>
      <c r="Q31" s="29">
        <f t="shared" si="101"/>
        <v>104949.31</v>
      </c>
      <c r="R31" s="29">
        <f t="shared" si="101"/>
        <v>107273.00240134067</v>
      </c>
      <c r="S31" s="29">
        <f t="shared" si="101"/>
        <v>108192.20200046283</v>
      </c>
      <c r="T31" s="29">
        <f t="shared" si="101"/>
        <v>108237.13053474245</v>
      </c>
      <c r="U31" s="29">
        <f t="shared" si="101"/>
        <v>109234.70720349767</v>
      </c>
      <c r="V31" s="29">
        <f t="shared" si="101"/>
        <v>90944.332751650538</v>
      </c>
      <c r="W31" s="29">
        <f t="shared" ref="W31" si="102">W32+W33+W40</f>
        <v>94317.58710995318</v>
      </c>
      <c r="DA31" s="173" t="s">
        <v>474</v>
      </c>
    </row>
    <row r="32" spans="1:105" ht="11.45" customHeight="1" x14ac:dyDescent="0.25">
      <c r="A32" s="136" t="s">
        <v>180</v>
      </c>
      <c r="B32" s="152">
        <v>2965.227122787609</v>
      </c>
      <c r="C32" s="152">
        <v>3082.0248151414576</v>
      </c>
      <c r="D32" s="152">
        <v>3194.6707162137318</v>
      </c>
      <c r="E32" s="152">
        <v>3220.420104010097</v>
      </c>
      <c r="F32" s="152">
        <v>3078.2874721706335</v>
      </c>
      <c r="G32" s="152">
        <v>3206.7503429018043</v>
      </c>
      <c r="H32" s="152">
        <v>3439.2285006186348</v>
      </c>
      <c r="I32" s="152">
        <v>3793.9667308835924</v>
      </c>
      <c r="J32" s="152">
        <v>4144.353492645706</v>
      </c>
      <c r="K32" s="152">
        <v>4325.3506961639196</v>
      </c>
      <c r="L32" s="152">
        <v>4425.3404560156914</v>
      </c>
      <c r="M32" s="152">
        <v>4544.3906272467075</v>
      </c>
      <c r="N32" s="152">
        <v>4421.5353252442401</v>
      </c>
      <c r="O32" s="152">
        <v>4396.04</v>
      </c>
      <c r="P32" s="152">
        <v>4245.04</v>
      </c>
      <c r="Q32" s="152">
        <v>4377.6099999999997</v>
      </c>
      <c r="R32" s="152">
        <v>4482.2024013406653</v>
      </c>
      <c r="S32" s="152">
        <v>4237.4867357755247</v>
      </c>
      <c r="T32" s="152">
        <v>4034.9813900804352</v>
      </c>
      <c r="U32" s="152">
        <v>4281.8537303454377</v>
      </c>
      <c r="V32" s="152">
        <v>3849.7342677592037</v>
      </c>
      <c r="W32" s="152">
        <v>3910.0671655438478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89148</v>
      </c>
      <c r="C33" s="116">
        <f t="shared" ref="C33:V33" si="104">SUM(C34:C39)</f>
        <v>90195.9</v>
      </c>
      <c r="D33" s="116">
        <f t="shared" si="104"/>
        <v>91930.199999999983</v>
      </c>
      <c r="E33" s="116">
        <f t="shared" si="104"/>
        <v>92942.8</v>
      </c>
      <c r="F33" s="116">
        <f t="shared" si="104"/>
        <v>95348.2</v>
      </c>
      <c r="G33" s="116">
        <f t="shared" si="104"/>
        <v>96930</v>
      </c>
      <c r="H33" s="116">
        <f t="shared" si="104"/>
        <v>97903</v>
      </c>
      <c r="I33" s="116">
        <f t="shared" si="104"/>
        <v>99601</v>
      </c>
      <c r="J33" s="116">
        <f t="shared" si="104"/>
        <v>101685</v>
      </c>
      <c r="K33" s="116">
        <f t="shared" si="104"/>
        <v>101678</v>
      </c>
      <c r="L33" s="116">
        <f t="shared" si="104"/>
        <v>101295</v>
      </c>
      <c r="M33" s="116">
        <f t="shared" si="104"/>
        <v>103450</v>
      </c>
      <c r="N33" s="116">
        <f t="shared" si="104"/>
        <v>98397.6</v>
      </c>
      <c r="O33" s="116">
        <f t="shared" si="104"/>
        <v>98482.6</v>
      </c>
      <c r="P33" s="116">
        <f t="shared" si="104"/>
        <v>98707.1</v>
      </c>
      <c r="Q33" s="116">
        <f t="shared" si="104"/>
        <v>99968.7</v>
      </c>
      <c r="R33" s="116">
        <f t="shared" si="104"/>
        <v>102199.8</v>
      </c>
      <c r="S33" s="116">
        <f t="shared" si="104"/>
        <v>103319.7152646873</v>
      </c>
      <c r="T33" s="116">
        <f t="shared" si="104"/>
        <v>103589.14914466202</v>
      </c>
      <c r="U33" s="116">
        <f t="shared" si="104"/>
        <v>104357.85347315224</v>
      </c>
      <c r="V33" s="116">
        <f t="shared" si="104"/>
        <v>86597.598483891328</v>
      </c>
      <c r="W33" s="116">
        <f t="shared" ref="W33" si="105">SUM(W34:W39)</f>
        <v>89931.51994440933</v>
      </c>
      <c r="DA33" s="176" t="s">
        <v>476</v>
      </c>
    </row>
    <row r="34" spans="1:105" ht="11.45" customHeight="1" x14ac:dyDescent="0.25">
      <c r="A34" s="111" t="s">
        <v>110</v>
      </c>
      <c r="B34" s="87">
        <v>60493.415491604443</v>
      </c>
      <c r="C34" s="87">
        <v>60358.198437836742</v>
      </c>
      <c r="D34" s="87">
        <v>60806.767099180237</v>
      </c>
      <c r="E34" s="87">
        <v>60857.972528119666</v>
      </c>
      <c r="F34" s="87">
        <v>62033.604755807566</v>
      </c>
      <c r="G34" s="87">
        <v>62687.631521324904</v>
      </c>
      <c r="H34" s="87">
        <v>62497.449752899673</v>
      </c>
      <c r="I34" s="87">
        <v>63411.297937890893</v>
      </c>
      <c r="J34" s="87">
        <v>65340.127978161479</v>
      </c>
      <c r="K34" s="87">
        <v>66283.515401825716</v>
      </c>
      <c r="L34" s="87">
        <v>66796.066782629045</v>
      </c>
      <c r="M34" s="87">
        <v>69014.859047558624</v>
      </c>
      <c r="N34" s="87">
        <v>64963.790200953525</v>
      </c>
      <c r="O34" s="87">
        <v>64904.074942093757</v>
      </c>
      <c r="P34" s="87">
        <v>64735.079271803348</v>
      </c>
      <c r="Q34" s="87">
        <v>65528.138811724639</v>
      </c>
      <c r="R34" s="87">
        <v>68642.308540635524</v>
      </c>
      <c r="S34" s="87">
        <v>70651.089175395085</v>
      </c>
      <c r="T34" s="87">
        <v>72119.070284744826</v>
      </c>
      <c r="U34" s="87">
        <v>74242.770787505273</v>
      </c>
      <c r="V34" s="87">
        <v>64518.017857188075</v>
      </c>
      <c r="W34" s="87">
        <v>62395.241748059918</v>
      </c>
      <c r="DA34" s="171" t="s">
        <v>477</v>
      </c>
    </row>
    <row r="35" spans="1:105" ht="11.45" customHeight="1" x14ac:dyDescent="0.25">
      <c r="A35" s="111" t="s">
        <v>111</v>
      </c>
      <c r="B35" s="87">
        <v>20885.232633704436</v>
      </c>
      <c r="C35" s="87">
        <v>22169.176365752021</v>
      </c>
      <c r="D35" s="87">
        <v>23747.278468520293</v>
      </c>
      <c r="E35" s="87">
        <v>25167.981961928526</v>
      </c>
      <c r="F35" s="87">
        <v>26544.499452500822</v>
      </c>
      <c r="G35" s="87">
        <v>27940.21500930663</v>
      </c>
      <c r="H35" s="87">
        <v>29582.80610297354</v>
      </c>
      <c r="I35" s="87">
        <v>30831.417676130179</v>
      </c>
      <c r="J35" s="87">
        <v>31502.402588317083</v>
      </c>
      <c r="K35" s="87">
        <v>31073.292575018568</v>
      </c>
      <c r="L35" s="87">
        <v>30604.255501407577</v>
      </c>
      <c r="M35" s="87">
        <v>31034.04218121001</v>
      </c>
      <c r="N35" s="87">
        <v>30468.215585379163</v>
      </c>
      <c r="O35" s="87">
        <v>30417.15584131857</v>
      </c>
      <c r="P35" s="87">
        <v>30827.24476893837</v>
      </c>
      <c r="Q35" s="87">
        <v>30998.170540240419</v>
      </c>
      <c r="R35" s="87">
        <v>30338.46225386209</v>
      </c>
      <c r="S35" s="87">
        <v>29499.247807724925</v>
      </c>
      <c r="T35" s="87">
        <v>27990.432604523827</v>
      </c>
      <c r="U35" s="87">
        <v>25532.486563116006</v>
      </c>
      <c r="V35" s="87">
        <v>17418.267171458632</v>
      </c>
      <c r="W35" s="87">
        <v>21036.512475901007</v>
      </c>
      <c r="DA35" s="171" t="s">
        <v>478</v>
      </c>
    </row>
    <row r="36" spans="1:105" ht="11.45" customHeight="1" x14ac:dyDescent="0.25">
      <c r="A36" s="111" t="s">
        <v>112</v>
      </c>
      <c r="B36" s="87">
        <v>7769.3518746911177</v>
      </c>
      <c r="C36" s="87">
        <v>7668.5251964112331</v>
      </c>
      <c r="D36" s="87">
        <v>7376.154432299465</v>
      </c>
      <c r="E36" s="87">
        <v>6916.8455099518078</v>
      </c>
      <c r="F36" s="87">
        <v>6770.0957916916122</v>
      </c>
      <c r="G36" s="87">
        <v>6302.1534693684725</v>
      </c>
      <c r="H36" s="87">
        <v>5822.7441441267856</v>
      </c>
      <c r="I36" s="87">
        <v>5358.2843859789336</v>
      </c>
      <c r="J36" s="87">
        <v>4842.4694335214408</v>
      </c>
      <c r="K36" s="87">
        <v>4320.7371025815264</v>
      </c>
      <c r="L36" s="87">
        <v>3890.5936902254484</v>
      </c>
      <c r="M36" s="87">
        <v>3374.4671332236503</v>
      </c>
      <c r="N36" s="87">
        <v>2780.597995992191</v>
      </c>
      <c r="O36" s="87">
        <v>2714.2572473942246</v>
      </c>
      <c r="P36" s="87">
        <v>2475.8926254927592</v>
      </c>
      <c r="Q36" s="87">
        <v>2273.8039362121654</v>
      </c>
      <c r="R36" s="87">
        <v>1974.1536865833034</v>
      </c>
      <c r="S36" s="87">
        <v>1833.3791951401759</v>
      </c>
      <c r="T36" s="87">
        <v>1653.8315585689995</v>
      </c>
      <c r="U36" s="87">
        <v>1788.1627397527056</v>
      </c>
      <c r="V36" s="87">
        <v>1386.4426852734878</v>
      </c>
      <c r="W36" s="87">
        <v>1274.0107473046141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2.6865832431793435</v>
      </c>
      <c r="M37" s="87">
        <v>12.661056039715007</v>
      </c>
      <c r="N37" s="87">
        <v>103.73891166599866</v>
      </c>
      <c r="O37" s="87">
        <v>117.34253983666983</v>
      </c>
      <c r="P37" s="87">
        <v>174.12381455956245</v>
      </c>
      <c r="Q37" s="87">
        <v>184.05292438822002</v>
      </c>
      <c r="R37" s="87">
        <v>57.123971144292838</v>
      </c>
      <c r="S37" s="87">
        <v>66.1548334926255</v>
      </c>
      <c r="T37" s="87">
        <v>187.0197257441007</v>
      </c>
      <c r="U37" s="87">
        <v>184.70166050901904</v>
      </c>
      <c r="V37" s="87">
        <v>145.95135696673825</v>
      </c>
      <c r="W37" s="87">
        <v>131.13025832804024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0.16602087956613221</v>
      </c>
      <c r="N38" s="87">
        <v>47.032461756459753</v>
      </c>
      <c r="O38" s="87">
        <v>261.88007497470556</v>
      </c>
      <c r="P38" s="87">
        <v>383.28259063547506</v>
      </c>
      <c r="Q38" s="87">
        <v>831.31707300542507</v>
      </c>
      <c r="R38" s="87">
        <v>978.82899023332152</v>
      </c>
      <c r="S38" s="87">
        <v>931.42822258847434</v>
      </c>
      <c r="T38" s="87">
        <v>933.00568736676917</v>
      </c>
      <c r="U38" s="87">
        <v>912.12464840145765</v>
      </c>
      <c r="V38" s="87">
        <v>835.80715995954608</v>
      </c>
      <c r="W38" s="87">
        <v>1209.611159998087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0.45492057419326543</v>
      </c>
      <c r="L39" s="87">
        <v>1.3974424947522226</v>
      </c>
      <c r="M39" s="87">
        <v>13.804561088442199</v>
      </c>
      <c r="N39" s="87">
        <v>34.224844252655387</v>
      </c>
      <c r="O39" s="87">
        <v>67.889354382092705</v>
      </c>
      <c r="P39" s="87">
        <v>111.47692857050066</v>
      </c>
      <c r="Q39" s="87">
        <v>153.21671442912589</v>
      </c>
      <c r="R39" s="87">
        <v>208.92255754147868</v>
      </c>
      <c r="S39" s="87">
        <v>338.41603034602258</v>
      </c>
      <c r="T39" s="87">
        <v>705.78928371350264</v>
      </c>
      <c r="U39" s="87">
        <v>1697.6070738677845</v>
      </c>
      <c r="V39" s="87">
        <v>2293.1122530448611</v>
      </c>
      <c r="W39" s="87">
        <v>3885.0135548176791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594.25068354848747</v>
      </c>
      <c r="C40" s="116">
        <f t="shared" ref="C40:V40" si="107">SUM(C41:C45)</f>
        <v>591.49999999999989</v>
      </c>
      <c r="D40" s="116">
        <f t="shared" si="107"/>
        <v>591.0809685366894</v>
      </c>
      <c r="E40" s="116">
        <f t="shared" si="107"/>
        <v>582.5</v>
      </c>
      <c r="F40" s="116">
        <f t="shared" si="107"/>
        <v>576.34021990367444</v>
      </c>
      <c r="G40" s="116">
        <f t="shared" si="107"/>
        <v>581.95267936821756</v>
      </c>
      <c r="H40" s="116">
        <f t="shared" si="107"/>
        <v>580.73398649977912</v>
      </c>
      <c r="I40" s="116">
        <f t="shared" si="107"/>
        <v>584.09999999999991</v>
      </c>
      <c r="J40" s="116">
        <f t="shared" si="107"/>
        <v>609.3640275029652</v>
      </c>
      <c r="K40" s="116">
        <f t="shared" si="107"/>
        <v>635.99454532573941</v>
      </c>
      <c r="L40" s="116">
        <f t="shared" si="107"/>
        <v>667.14607223057828</v>
      </c>
      <c r="M40" s="116">
        <f t="shared" si="107"/>
        <v>658.84401454705585</v>
      </c>
      <c r="N40" s="116">
        <f t="shared" si="107"/>
        <v>654.08598563681551</v>
      </c>
      <c r="O40" s="116">
        <f t="shared" si="107"/>
        <v>634.17601331074059</v>
      </c>
      <c r="P40" s="116">
        <f t="shared" si="107"/>
        <v>611.97023876761921</v>
      </c>
      <c r="Q40" s="116">
        <f t="shared" si="107"/>
        <v>602.99999999999989</v>
      </c>
      <c r="R40" s="116">
        <f t="shared" si="107"/>
        <v>591</v>
      </c>
      <c r="S40" s="116">
        <f t="shared" si="107"/>
        <v>635</v>
      </c>
      <c r="T40" s="116">
        <f t="shared" si="107"/>
        <v>613</v>
      </c>
      <c r="U40" s="116">
        <f t="shared" si="107"/>
        <v>595</v>
      </c>
      <c r="V40" s="116">
        <f t="shared" si="107"/>
        <v>497.00000000000006</v>
      </c>
      <c r="W40" s="116">
        <f t="shared" ref="W40" si="108">SUM(W41:W45)</f>
        <v>476</v>
      </c>
      <c r="DA40" s="176" t="s">
        <v>483</v>
      </c>
    </row>
    <row r="41" spans="1:105" ht="11.45" customHeight="1" x14ac:dyDescent="0.25">
      <c r="A41" s="111" t="s">
        <v>110</v>
      </c>
      <c r="B41" s="101">
        <v>0.7445927576256236</v>
      </c>
      <c r="C41" s="101">
        <v>0.91994568466723281</v>
      </c>
      <c r="D41" s="101">
        <v>1.1059029685402224</v>
      </c>
      <c r="E41" s="101">
        <v>1.2553065506001573</v>
      </c>
      <c r="F41" s="101">
        <v>1.1743388097501684</v>
      </c>
      <c r="G41" s="101">
        <v>1.2694083742016182</v>
      </c>
      <c r="H41" s="101">
        <v>1.3168122477368454</v>
      </c>
      <c r="I41" s="101">
        <v>1.411842760883639</v>
      </c>
      <c r="J41" s="101">
        <v>1.4138985922217355</v>
      </c>
      <c r="K41" s="101">
        <v>1.4647424989069298</v>
      </c>
      <c r="L41" s="101">
        <v>1.6109818054911469</v>
      </c>
      <c r="M41" s="101">
        <v>1.3263910596479178</v>
      </c>
      <c r="N41" s="101">
        <v>0.80533920279635118</v>
      </c>
      <c r="O41" s="101">
        <v>0.70977987139411547</v>
      </c>
      <c r="P41" s="101">
        <v>0.6615462816634291</v>
      </c>
      <c r="Q41" s="101">
        <v>1.086458485314342</v>
      </c>
      <c r="R41" s="101">
        <v>1.3483476664423608</v>
      </c>
      <c r="S41" s="101">
        <v>1.2660102718948341</v>
      </c>
      <c r="T41" s="101">
        <v>1.1336914757203065</v>
      </c>
      <c r="U41" s="101">
        <v>5.2957845377514596</v>
      </c>
      <c r="V41" s="101">
        <v>4.3913692818284504</v>
      </c>
      <c r="W41" s="101">
        <v>4.909368438727344</v>
      </c>
      <c r="DA41" s="175" t="s">
        <v>484</v>
      </c>
    </row>
    <row r="42" spans="1:105" ht="11.45" customHeight="1" x14ac:dyDescent="0.25">
      <c r="A42" s="111" t="s">
        <v>111</v>
      </c>
      <c r="B42" s="101">
        <v>585.02148715872011</v>
      </c>
      <c r="C42" s="101">
        <v>582.62440212746594</v>
      </c>
      <c r="D42" s="101">
        <v>581.8972992243971</v>
      </c>
      <c r="E42" s="101">
        <v>574.0694966810122</v>
      </c>
      <c r="F42" s="101">
        <v>568.03027196314179</v>
      </c>
      <c r="G42" s="101">
        <v>572.380100641181</v>
      </c>
      <c r="H42" s="101">
        <v>570.35333123592193</v>
      </c>
      <c r="I42" s="101">
        <v>573.0508049187099</v>
      </c>
      <c r="J42" s="101">
        <v>596.40875539339697</v>
      </c>
      <c r="K42" s="101">
        <v>615.74708416110241</v>
      </c>
      <c r="L42" s="101">
        <v>639.99530849320536</v>
      </c>
      <c r="M42" s="101">
        <v>618.27707780988374</v>
      </c>
      <c r="N42" s="101">
        <v>602.72787689556662</v>
      </c>
      <c r="O42" s="101">
        <v>578.83911634069989</v>
      </c>
      <c r="P42" s="101">
        <v>553.27388093277568</v>
      </c>
      <c r="Q42" s="101">
        <v>534.36888361437707</v>
      </c>
      <c r="R42" s="101">
        <v>506.91898252580916</v>
      </c>
      <c r="S42" s="101">
        <v>530.91420671363028</v>
      </c>
      <c r="T42" s="101">
        <v>499.37811745718716</v>
      </c>
      <c r="U42" s="101">
        <v>451.79883176190629</v>
      </c>
      <c r="V42" s="101">
        <v>336.77966728832706</v>
      </c>
      <c r="W42" s="101">
        <v>288.79955109166872</v>
      </c>
      <c r="DA42" s="175" t="s">
        <v>485</v>
      </c>
    </row>
    <row r="43" spans="1:105" ht="11.45" customHeight="1" x14ac:dyDescent="0.25">
      <c r="A43" s="111" t="s">
        <v>112</v>
      </c>
      <c r="B43" s="101">
        <v>5.4530688357088524</v>
      </c>
      <c r="C43" s="101">
        <v>5.1150174449692667</v>
      </c>
      <c r="D43" s="101">
        <v>4.4685194068668963</v>
      </c>
      <c r="E43" s="101">
        <v>4.0670238410052759</v>
      </c>
      <c r="F43" s="101">
        <v>3.4825726218504345</v>
      </c>
      <c r="G43" s="101">
        <v>4.3435036013065416</v>
      </c>
      <c r="H43" s="101">
        <v>3.577458210589572</v>
      </c>
      <c r="I43" s="101">
        <v>3.2009778730784411</v>
      </c>
      <c r="J43" s="101">
        <v>3.1929220161925063</v>
      </c>
      <c r="K43" s="101">
        <v>3.0157566824805637</v>
      </c>
      <c r="L43" s="101">
        <v>3.0390829777182113</v>
      </c>
      <c r="M43" s="101">
        <v>2.9370449846406625</v>
      </c>
      <c r="N43" s="101">
        <v>2.8639523916503622</v>
      </c>
      <c r="O43" s="101">
        <v>2.8454311611699747</v>
      </c>
      <c r="P43" s="101">
        <v>2.7966225868677195</v>
      </c>
      <c r="Q43" s="101">
        <v>2.895015579436397</v>
      </c>
      <c r="R43" s="101">
        <v>2.9058927432139892</v>
      </c>
      <c r="S43" s="101">
        <v>2.9438274717550721</v>
      </c>
      <c r="T43" s="101">
        <v>2.7886670361030186</v>
      </c>
      <c r="U43" s="101">
        <v>2.5266424495160669</v>
      </c>
      <c r="V43" s="101">
        <v>2.0852825632524961</v>
      </c>
      <c r="W43" s="101">
        <v>2.0500836874665174</v>
      </c>
      <c r="DA43" s="175" t="s">
        <v>486</v>
      </c>
    </row>
    <row r="44" spans="1:105" ht="11.45" customHeight="1" x14ac:dyDescent="0.25">
      <c r="A44" s="111" t="s">
        <v>113</v>
      </c>
      <c r="B44" s="101">
        <v>0.29631680109553643</v>
      </c>
      <c r="C44" s="101">
        <v>0.43134547160028436</v>
      </c>
      <c r="D44" s="101">
        <v>0.87099646384070883</v>
      </c>
      <c r="E44" s="101">
        <v>0.75097377563618439</v>
      </c>
      <c r="F44" s="101">
        <v>0.69175419866568477</v>
      </c>
      <c r="G44" s="101">
        <v>0.88568060300271612</v>
      </c>
      <c r="H44" s="101">
        <v>2.3545101442121226</v>
      </c>
      <c r="I44" s="101">
        <v>3.3014422294541848</v>
      </c>
      <c r="J44" s="101">
        <v>5.7608894015908794</v>
      </c>
      <c r="K44" s="101">
        <v>12.625514419795211</v>
      </c>
      <c r="L44" s="101">
        <v>17.535179117857677</v>
      </c>
      <c r="M44" s="101">
        <v>31.55424534453968</v>
      </c>
      <c r="N44" s="101">
        <v>42.879796594713149</v>
      </c>
      <c r="O44" s="101">
        <v>47.742944203533312</v>
      </c>
      <c r="P44" s="101">
        <v>50.808286555480187</v>
      </c>
      <c r="Q44" s="101">
        <v>59.439680239411167</v>
      </c>
      <c r="R44" s="101">
        <v>71.236109733198347</v>
      </c>
      <c r="S44" s="101">
        <v>83.549717854290108</v>
      </c>
      <c r="T44" s="101">
        <v>87.611545142555414</v>
      </c>
      <c r="U44" s="101">
        <v>92.814081133828751</v>
      </c>
      <c r="V44" s="101">
        <v>95.189668728212894</v>
      </c>
      <c r="W44" s="101">
        <v>106.6778555594521</v>
      </c>
      <c r="DA44" s="175" t="s">
        <v>487</v>
      </c>
    </row>
    <row r="45" spans="1:105" ht="11.45" customHeight="1" x14ac:dyDescent="0.25">
      <c r="A45" s="111" t="s">
        <v>115</v>
      </c>
      <c r="B45" s="101">
        <v>2.7352179953374232</v>
      </c>
      <c r="C45" s="101">
        <v>2.4092892712972214</v>
      </c>
      <c r="D45" s="101">
        <v>2.7382504730444857</v>
      </c>
      <c r="E45" s="101">
        <v>2.3571991517461592</v>
      </c>
      <c r="F45" s="101">
        <v>2.9612823102663217</v>
      </c>
      <c r="G45" s="101">
        <v>3.0739861485256554</v>
      </c>
      <c r="H45" s="101">
        <v>3.131874661318649</v>
      </c>
      <c r="I45" s="101">
        <v>3.1349322178738639</v>
      </c>
      <c r="J45" s="101">
        <v>2.5875620995631481</v>
      </c>
      <c r="K45" s="101">
        <v>3.141447563454324</v>
      </c>
      <c r="L45" s="101">
        <v>4.9655198363059743</v>
      </c>
      <c r="M45" s="101">
        <v>4.7492553483437749</v>
      </c>
      <c r="N45" s="101">
        <v>4.8090205520888611</v>
      </c>
      <c r="O45" s="101">
        <v>4.0387417339434073</v>
      </c>
      <c r="P45" s="101">
        <v>4.4299024108322085</v>
      </c>
      <c r="Q45" s="101">
        <v>5.2099620814610068</v>
      </c>
      <c r="R45" s="101">
        <v>8.5906673313361743</v>
      </c>
      <c r="S45" s="101">
        <v>16.3262376884297</v>
      </c>
      <c r="T45" s="101">
        <v>22.087978888434119</v>
      </c>
      <c r="U45" s="101">
        <v>42.564660116997459</v>
      </c>
      <c r="V45" s="101">
        <v>58.5540121383791</v>
      </c>
      <c r="W45" s="101">
        <v>73.563141222685317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21208.213405739756</v>
      </c>
      <c r="C46" s="29">
        <f t="shared" ref="C46:V46" si="110">C47+C53</f>
        <v>22718.63308674829</v>
      </c>
      <c r="D46" s="29">
        <f t="shared" si="110"/>
        <v>23688.028757866297</v>
      </c>
      <c r="E46" s="29">
        <f t="shared" si="110"/>
        <v>24774.262019352303</v>
      </c>
      <c r="F46" s="29">
        <f t="shared" si="110"/>
        <v>25896.394375482436</v>
      </c>
      <c r="G46" s="29">
        <f t="shared" si="110"/>
        <v>26274.103822124431</v>
      </c>
      <c r="H46" s="29">
        <f t="shared" si="110"/>
        <v>26320.206417769714</v>
      </c>
      <c r="I46" s="29">
        <f t="shared" si="110"/>
        <v>26372.471296524222</v>
      </c>
      <c r="J46" s="29">
        <f t="shared" si="110"/>
        <v>26778.048399940548</v>
      </c>
      <c r="K46" s="29">
        <f t="shared" si="110"/>
        <v>25500.602646452327</v>
      </c>
      <c r="L46" s="29">
        <f t="shared" si="110"/>
        <v>25021.042345821097</v>
      </c>
      <c r="M46" s="29">
        <f t="shared" si="110"/>
        <v>25510.833805363662</v>
      </c>
      <c r="N46" s="29">
        <f t="shared" si="110"/>
        <v>24386.797144598982</v>
      </c>
      <c r="O46" s="29">
        <f t="shared" si="110"/>
        <v>23972.235682777959</v>
      </c>
      <c r="P46" s="29">
        <f t="shared" si="110"/>
        <v>23393.187974726592</v>
      </c>
      <c r="Q46" s="29">
        <f t="shared" si="110"/>
        <v>24340.081578420773</v>
      </c>
      <c r="R46" s="29">
        <f t="shared" si="110"/>
        <v>25085.965822175447</v>
      </c>
      <c r="S46" s="29">
        <f t="shared" si="110"/>
        <v>25246.645997958745</v>
      </c>
      <c r="T46" s="29">
        <f t="shared" si="110"/>
        <v>25421.974961326319</v>
      </c>
      <c r="U46" s="29">
        <f t="shared" si="110"/>
        <v>25779.418395320659</v>
      </c>
      <c r="V46" s="29">
        <f t="shared" si="110"/>
        <v>25331.172813480996</v>
      </c>
      <c r="W46" s="29">
        <f t="shared" ref="W46" si="111">W47+W53</f>
        <v>26092.669867722761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15378.993186346808</v>
      </c>
      <c r="C47" s="152">
        <f t="shared" ref="C47:V47" si="113">SUM(C48:C52)</f>
        <v>16892.002354589058</v>
      </c>
      <c r="D47" s="152">
        <f t="shared" si="113"/>
        <v>17579.799656165058</v>
      </c>
      <c r="E47" s="152">
        <f t="shared" si="113"/>
        <v>18457.390069302008</v>
      </c>
      <c r="F47" s="152">
        <f t="shared" si="113"/>
        <v>19505.820413807283</v>
      </c>
      <c r="G47" s="152">
        <f t="shared" si="113"/>
        <v>19876.099974630637</v>
      </c>
      <c r="H47" s="152">
        <f t="shared" si="113"/>
        <v>19878.353136852998</v>
      </c>
      <c r="I47" s="152">
        <f t="shared" si="113"/>
        <v>20165.224070860793</v>
      </c>
      <c r="J47" s="152">
        <f t="shared" si="113"/>
        <v>20543.742391108648</v>
      </c>
      <c r="K47" s="152">
        <f t="shared" si="113"/>
        <v>19394.693928851029</v>
      </c>
      <c r="L47" s="152">
        <f t="shared" si="113"/>
        <v>19588.477352082991</v>
      </c>
      <c r="M47" s="152">
        <f t="shared" si="113"/>
        <v>19970.520874090897</v>
      </c>
      <c r="N47" s="152">
        <f t="shared" si="113"/>
        <v>19099.070257546129</v>
      </c>
      <c r="O47" s="152">
        <f t="shared" si="113"/>
        <v>18551.601666994338</v>
      </c>
      <c r="P47" s="152">
        <f t="shared" si="113"/>
        <v>17849.820076366323</v>
      </c>
      <c r="Q47" s="152">
        <f t="shared" si="113"/>
        <v>18678.022871307316</v>
      </c>
      <c r="R47" s="152">
        <f t="shared" si="113"/>
        <v>19183.895238897396</v>
      </c>
      <c r="S47" s="152">
        <f t="shared" si="113"/>
        <v>19558.549850428197</v>
      </c>
      <c r="T47" s="152">
        <f t="shared" si="113"/>
        <v>19661.804726125934</v>
      </c>
      <c r="U47" s="152">
        <f t="shared" si="113"/>
        <v>19871.044085776946</v>
      </c>
      <c r="V47" s="152">
        <f t="shared" si="113"/>
        <v>19245.827444785398</v>
      </c>
      <c r="W47" s="152">
        <f t="shared" ref="W47" si="114">SUM(W48:W52)</f>
        <v>19848.884688448685</v>
      </c>
      <c r="DA47" s="174" t="s">
        <v>490</v>
      </c>
    </row>
    <row r="48" spans="1:105" ht="11.45" customHeight="1" x14ac:dyDescent="0.25">
      <c r="A48" s="111" t="s">
        <v>110</v>
      </c>
      <c r="B48" s="87">
        <v>597.28041422645208</v>
      </c>
      <c r="C48" s="87">
        <v>545.43515768698728</v>
      </c>
      <c r="D48" s="87">
        <v>482.07139850203771</v>
      </c>
      <c r="E48" s="87">
        <v>433.89539578322911</v>
      </c>
      <c r="F48" s="87">
        <v>400.85177300675218</v>
      </c>
      <c r="G48" s="87">
        <v>380.23951333873055</v>
      </c>
      <c r="H48" s="87">
        <v>339.64612500239048</v>
      </c>
      <c r="I48" s="87">
        <v>316.28449670541477</v>
      </c>
      <c r="J48" s="87">
        <v>299.00066676847882</v>
      </c>
      <c r="K48" s="87">
        <v>275.64041841769358</v>
      </c>
      <c r="L48" s="87">
        <v>262.23170616031064</v>
      </c>
      <c r="M48" s="87">
        <v>250.37675975778333</v>
      </c>
      <c r="N48" s="87">
        <v>237.89095513759636</v>
      </c>
      <c r="O48" s="87">
        <v>216.0023042065927</v>
      </c>
      <c r="P48" s="87">
        <v>220.03181475694004</v>
      </c>
      <c r="Q48" s="87">
        <v>225.46036876753826</v>
      </c>
      <c r="R48" s="87">
        <v>230.73993475861047</v>
      </c>
      <c r="S48" s="87">
        <v>234.8599485853637</v>
      </c>
      <c r="T48" s="87">
        <v>224.90486050506863</v>
      </c>
      <c r="U48" s="87">
        <v>249.76878619583852</v>
      </c>
      <c r="V48" s="87">
        <v>254.61741062938157</v>
      </c>
      <c r="W48" s="87">
        <v>265.94762434910359</v>
      </c>
      <c r="DA48" s="171" t="s">
        <v>491</v>
      </c>
    </row>
    <row r="49" spans="1:105" ht="11.45" customHeight="1" x14ac:dyDescent="0.25">
      <c r="A49" s="111" t="s">
        <v>111</v>
      </c>
      <c r="B49" s="87">
        <v>14577.080220068068</v>
      </c>
      <c r="C49" s="87">
        <v>16142.302716026021</v>
      </c>
      <c r="D49" s="87">
        <v>16900.984906710259</v>
      </c>
      <c r="E49" s="87">
        <v>17833.341359178481</v>
      </c>
      <c r="F49" s="87">
        <v>18918.481657952922</v>
      </c>
      <c r="G49" s="87">
        <v>19335.831108276321</v>
      </c>
      <c r="H49" s="87">
        <v>19390.639529275333</v>
      </c>
      <c r="I49" s="87">
        <v>19696.064476321095</v>
      </c>
      <c r="J49" s="87">
        <v>20090.25871433302</v>
      </c>
      <c r="K49" s="87">
        <v>18964.920470302757</v>
      </c>
      <c r="L49" s="87">
        <v>19167.91120201394</v>
      </c>
      <c r="M49" s="87">
        <v>19556.235690285197</v>
      </c>
      <c r="N49" s="87">
        <v>18691.047631228597</v>
      </c>
      <c r="O49" s="87">
        <v>18157.359598050938</v>
      </c>
      <c r="P49" s="87">
        <v>17436.972081968994</v>
      </c>
      <c r="Q49" s="87">
        <v>18252.482458749811</v>
      </c>
      <c r="R49" s="87">
        <v>18765.064454607611</v>
      </c>
      <c r="S49" s="87">
        <v>19115.871947545103</v>
      </c>
      <c r="T49" s="87">
        <v>19180.384990551258</v>
      </c>
      <c r="U49" s="87">
        <v>19306.229584747387</v>
      </c>
      <c r="V49" s="87">
        <v>18659.51488457141</v>
      </c>
      <c r="W49" s="87">
        <v>19228.586577513692</v>
      </c>
      <c r="DA49" s="171" t="s">
        <v>492</v>
      </c>
    </row>
    <row r="50" spans="1:105" ht="11.45" customHeight="1" x14ac:dyDescent="0.25">
      <c r="A50" s="111" t="s">
        <v>112</v>
      </c>
      <c r="B50" s="87">
        <v>204.63255205228756</v>
      </c>
      <c r="C50" s="87">
        <v>204.264480876047</v>
      </c>
      <c r="D50" s="87">
        <v>196.74335095276209</v>
      </c>
      <c r="E50" s="87">
        <v>188.8969152510281</v>
      </c>
      <c r="F50" s="87">
        <v>182.97555418491453</v>
      </c>
      <c r="G50" s="87">
        <v>156.81189214210045</v>
      </c>
      <c r="H50" s="87">
        <v>144.93325189113418</v>
      </c>
      <c r="I50" s="87">
        <v>145.56611373944151</v>
      </c>
      <c r="J50" s="87">
        <v>147.0899382137207</v>
      </c>
      <c r="K50" s="87">
        <v>142.31925997645504</v>
      </c>
      <c r="L50" s="87">
        <v>141.59372171719878</v>
      </c>
      <c r="M50" s="87">
        <v>142.17601460429063</v>
      </c>
      <c r="N50" s="87">
        <v>140.28479432493126</v>
      </c>
      <c r="O50" s="87">
        <v>139.97690997227261</v>
      </c>
      <c r="P50" s="87">
        <v>141.72805874611237</v>
      </c>
      <c r="Q50" s="87">
        <v>143.4296829565331</v>
      </c>
      <c r="R50" s="87">
        <v>145.33856135252122</v>
      </c>
      <c r="S50" s="87">
        <v>148.4226554863958</v>
      </c>
      <c r="T50" s="87">
        <v>157.48789921996536</v>
      </c>
      <c r="U50" s="87">
        <v>197.00234413849174</v>
      </c>
      <c r="V50" s="87">
        <v>194.80339136777684</v>
      </c>
      <c r="W50" s="87">
        <v>177.73016892690305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1.2563990892663985</v>
      </c>
      <c r="F51" s="87">
        <v>3.5114286626942444</v>
      </c>
      <c r="G51" s="87">
        <v>3.2174608734867367</v>
      </c>
      <c r="H51" s="87">
        <v>3.1342306841441281</v>
      </c>
      <c r="I51" s="87">
        <v>7.308984094840878</v>
      </c>
      <c r="J51" s="87">
        <v>7.3930717934261141</v>
      </c>
      <c r="K51" s="87">
        <v>11.813780154124203</v>
      </c>
      <c r="L51" s="87">
        <v>16.740722191543171</v>
      </c>
      <c r="M51" s="87">
        <v>21.518857167125027</v>
      </c>
      <c r="N51" s="87">
        <v>24.572004431564018</v>
      </c>
      <c r="O51" s="87">
        <v>29.328847410548789</v>
      </c>
      <c r="P51" s="87">
        <v>34.271853901736741</v>
      </c>
      <c r="Q51" s="87">
        <v>37.123917642635355</v>
      </c>
      <c r="R51" s="87">
        <v>22.08265750323757</v>
      </c>
      <c r="S51" s="87">
        <v>30.577740140881076</v>
      </c>
      <c r="T51" s="87">
        <v>57.429513318599547</v>
      </c>
      <c r="U51" s="87">
        <v>60.049699344838963</v>
      </c>
      <c r="V51" s="87">
        <v>59.91489577388797</v>
      </c>
      <c r="W51" s="87">
        <v>56.826466709276879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0.21355227650214342</v>
      </c>
      <c r="N52" s="87">
        <v>5.2748724234411624</v>
      </c>
      <c r="O52" s="87">
        <v>8.9340073539864093</v>
      </c>
      <c r="P52" s="87">
        <v>16.816266992538281</v>
      </c>
      <c r="Q52" s="87">
        <v>19.526443190801544</v>
      </c>
      <c r="R52" s="87">
        <v>20.669630675417359</v>
      </c>
      <c r="S52" s="87">
        <v>28.817558670454268</v>
      </c>
      <c r="T52" s="87">
        <v>41.597462531042503</v>
      </c>
      <c r="U52" s="87">
        <v>57.993671350387245</v>
      </c>
      <c r="V52" s="87">
        <v>76.976862442944707</v>
      </c>
      <c r="W52" s="87">
        <v>119.79385094970762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5829.2202193929479</v>
      </c>
      <c r="C53" s="116">
        <f t="shared" ref="C53:V53" si="116">SUM(C54:C55)</f>
        <v>5826.6307321592321</v>
      </c>
      <c r="D53" s="116">
        <f t="shared" si="116"/>
        <v>6108.2291017012385</v>
      </c>
      <c r="E53" s="116">
        <f t="shared" si="116"/>
        <v>6316.8719500502948</v>
      </c>
      <c r="F53" s="116">
        <f t="shared" si="116"/>
        <v>6390.5739616751525</v>
      </c>
      <c r="G53" s="116">
        <f t="shared" si="116"/>
        <v>6398.0038474937937</v>
      </c>
      <c r="H53" s="116">
        <f t="shared" si="116"/>
        <v>6441.8532809167154</v>
      </c>
      <c r="I53" s="116">
        <f t="shared" si="116"/>
        <v>6207.2472256634273</v>
      </c>
      <c r="J53" s="116">
        <f t="shared" si="116"/>
        <v>6234.3060088319016</v>
      </c>
      <c r="K53" s="116">
        <f t="shared" si="116"/>
        <v>6105.908717601299</v>
      </c>
      <c r="L53" s="116">
        <f t="shared" si="116"/>
        <v>5432.5649937381058</v>
      </c>
      <c r="M53" s="116">
        <f t="shared" si="116"/>
        <v>5540.3129312727633</v>
      </c>
      <c r="N53" s="116">
        <f t="shared" si="116"/>
        <v>5287.7268870528533</v>
      </c>
      <c r="O53" s="116">
        <f t="shared" si="116"/>
        <v>5420.6340157836203</v>
      </c>
      <c r="P53" s="116">
        <f t="shared" si="116"/>
        <v>5543.3678983602686</v>
      </c>
      <c r="Q53" s="116">
        <f t="shared" si="116"/>
        <v>5662.0587071134578</v>
      </c>
      <c r="R53" s="116">
        <f t="shared" si="116"/>
        <v>5902.0705832780504</v>
      </c>
      <c r="S53" s="116">
        <f t="shared" si="116"/>
        <v>5688.0961475305467</v>
      </c>
      <c r="T53" s="116">
        <f t="shared" si="116"/>
        <v>5760.170235200384</v>
      </c>
      <c r="U53" s="116">
        <f t="shared" si="116"/>
        <v>5908.3743095437112</v>
      </c>
      <c r="V53" s="116">
        <f t="shared" si="116"/>
        <v>6085.3453686955972</v>
      </c>
      <c r="W53" s="116">
        <f t="shared" ref="W53" si="117">SUM(W54:W55)</f>
        <v>6243.7851792740757</v>
      </c>
      <c r="DA53" s="176" t="s">
        <v>496</v>
      </c>
    </row>
    <row r="54" spans="1:105" ht="11.45" customHeight="1" x14ac:dyDescent="0.25">
      <c r="A54" s="128" t="s">
        <v>27</v>
      </c>
      <c r="B54" s="101">
        <v>4922</v>
      </c>
      <c r="C54" s="101">
        <v>4854</v>
      </c>
      <c r="D54" s="101">
        <v>5085</v>
      </c>
      <c r="E54" s="101">
        <v>5271</v>
      </c>
      <c r="F54" s="101">
        <v>5154</v>
      </c>
      <c r="G54" s="101">
        <v>5118</v>
      </c>
      <c r="H54" s="101">
        <v>5088</v>
      </c>
      <c r="I54" s="101">
        <v>4840</v>
      </c>
      <c r="J54" s="101">
        <v>4843</v>
      </c>
      <c r="K54" s="101">
        <v>4821</v>
      </c>
      <c r="L54" s="101">
        <v>4085</v>
      </c>
      <c r="M54" s="101">
        <v>4209</v>
      </c>
      <c r="N54" s="101">
        <v>3987</v>
      </c>
      <c r="O54" s="101">
        <v>4095</v>
      </c>
      <c r="P54" s="101">
        <v>4179</v>
      </c>
      <c r="Q54" s="101">
        <v>4267</v>
      </c>
      <c r="R54" s="101">
        <v>4412</v>
      </c>
      <c r="S54" s="101">
        <v>4187</v>
      </c>
      <c r="T54" s="101">
        <v>4288</v>
      </c>
      <c r="U54" s="101">
        <v>4372</v>
      </c>
      <c r="V54" s="101">
        <v>4488</v>
      </c>
      <c r="W54" s="101">
        <v>4674</v>
      </c>
      <c r="DA54" s="175" t="s">
        <v>497</v>
      </c>
    </row>
    <row r="55" spans="1:105" ht="11.45" customHeight="1" x14ac:dyDescent="0.25">
      <c r="A55" s="138" t="s">
        <v>116</v>
      </c>
      <c r="B55" s="88">
        <v>907.22021939294802</v>
      </c>
      <c r="C55" s="88">
        <v>972.63073215923259</v>
      </c>
      <c r="D55" s="88">
        <v>1023.2291017012388</v>
      </c>
      <c r="E55" s="88">
        <v>1045.8719500502946</v>
      </c>
      <c r="F55" s="88">
        <v>1236.5739616751525</v>
      </c>
      <c r="G55" s="88">
        <v>1280.003847493794</v>
      </c>
      <c r="H55" s="88">
        <v>1353.8532809167157</v>
      </c>
      <c r="I55" s="88">
        <v>1367.2472256634273</v>
      </c>
      <c r="J55" s="88">
        <v>1391.3060088319021</v>
      </c>
      <c r="K55" s="88">
        <v>1284.9087176012993</v>
      </c>
      <c r="L55" s="88">
        <v>1347.5649937381058</v>
      </c>
      <c r="M55" s="88">
        <v>1331.3129312727633</v>
      </c>
      <c r="N55" s="88">
        <v>1300.726887052853</v>
      </c>
      <c r="O55" s="88">
        <v>1325.6340157836203</v>
      </c>
      <c r="P55" s="88">
        <v>1364.3678983602686</v>
      </c>
      <c r="Q55" s="88">
        <v>1395.058707113458</v>
      </c>
      <c r="R55" s="88">
        <v>1490.0705832780502</v>
      </c>
      <c r="S55" s="88">
        <v>1501.0961475305469</v>
      </c>
      <c r="T55" s="88">
        <v>1472.170235200384</v>
      </c>
      <c r="U55" s="88">
        <v>1536.3743095437114</v>
      </c>
      <c r="V55" s="88">
        <v>1597.3453686955972</v>
      </c>
      <c r="W55" s="88">
        <v>1569.7851792740757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8134947</v>
      </c>
      <c r="C57" s="54">
        <f t="shared" si="118"/>
        <v>8388448</v>
      </c>
      <c r="D57" s="54">
        <f t="shared" si="118"/>
        <v>8639793</v>
      </c>
      <c r="E57" s="54">
        <f t="shared" si="118"/>
        <v>8833702</v>
      </c>
      <c r="F57" s="54">
        <f t="shared" si="118"/>
        <v>8926982</v>
      </c>
      <c r="G57" s="54">
        <f t="shared" si="118"/>
        <v>9112900</v>
      </c>
      <c r="H57" s="54">
        <f t="shared" si="118"/>
        <v>9348354</v>
      </c>
      <c r="I57" s="54">
        <f t="shared" si="118"/>
        <v>9573112</v>
      </c>
      <c r="J57" s="54">
        <f t="shared" si="118"/>
        <v>9855793</v>
      </c>
      <c r="K57" s="54">
        <f t="shared" si="118"/>
        <v>10124735</v>
      </c>
      <c r="L57" s="54">
        <f t="shared" ref="L57" si="119">L58+L73</f>
        <v>10286701</v>
      </c>
      <c r="M57" s="54">
        <f t="shared" ref="M57:V57" si="120">M58+M73</f>
        <v>10430594</v>
      </c>
      <c r="N57" s="54">
        <f t="shared" si="120"/>
        <v>10572681</v>
      </c>
      <c r="O57" s="54">
        <f t="shared" si="120"/>
        <v>10609470</v>
      </c>
      <c r="P57" s="54">
        <f t="shared" si="120"/>
        <v>10644810</v>
      </c>
      <c r="Q57" s="54">
        <f t="shared" si="120"/>
        <v>10853946</v>
      </c>
      <c r="R57" s="54">
        <f t="shared" si="120"/>
        <v>11036122</v>
      </c>
      <c r="S57" s="54">
        <f t="shared" si="120"/>
        <v>11258139</v>
      </c>
      <c r="T57" s="54">
        <f t="shared" si="120"/>
        <v>11372607</v>
      </c>
      <c r="U57" s="54">
        <f t="shared" si="120"/>
        <v>11685676</v>
      </c>
      <c r="V57" s="54">
        <f t="shared" si="120"/>
        <v>11886303</v>
      </c>
      <c r="W57" s="54">
        <f t="shared" ref="W57" si="121">W58+W73</f>
        <v>11826406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7325168</v>
      </c>
      <c r="C58" s="28">
        <f t="shared" si="122"/>
        <v>7515231</v>
      </c>
      <c r="D58" s="28">
        <f t="shared" si="122"/>
        <v>7724371</v>
      </c>
      <c r="E58" s="28">
        <f t="shared" si="122"/>
        <v>7881896</v>
      </c>
      <c r="F58" s="28">
        <f t="shared" si="122"/>
        <v>7959168</v>
      </c>
      <c r="G58" s="28">
        <f t="shared" si="122"/>
        <v>8116154</v>
      </c>
      <c r="H58" s="28">
        <f t="shared" si="122"/>
        <v>8382991</v>
      </c>
      <c r="I58" s="28">
        <f t="shared" si="122"/>
        <v>8612635</v>
      </c>
      <c r="J58" s="28">
        <f t="shared" si="122"/>
        <v>8882470</v>
      </c>
      <c r="K58" s="28">
        <f t="shared" si="122"/>
        <v>9132806</v>
      </c>
      <c r="L58" s="28">
        <f t="shared" ref="L58" si="123">L59+L60+L67</f>
        <v>9298282</v>
      </c>
      <c r="M58" s="28">
        <f t="shared" ref="M58:V58" si="124">M59+M60+M67</f>
        <v>9455495</v>
      </c>
      <c r="N58" s="28">
        <f t="shared" si="124"/>
        <v>9608186</v>
      </c>
      <c r="O58" s="28">
        <f t="shared" si="124"/>
        <v>9682046</v>
      </c>
      <c r="P58" s="28">
        <f t="shared" si="124"/>
        <v>9719343</v>
      </c>
      <c r="Q58" s="28">
        <f t="shared" si="124"/>
        <v>9913838</v>
      </c>
      <c r="R58" s="28">
        <f t="shared" si="124"/>
        <v>10066703</v>
      </c>
      <c r="S58" s="28">
        <f t="shared" si="124"/>
        <v>10256227</v>
      </c>
      <c r="T58" s="28">
        <f t="shared" si="124"/>
        <v>10348814</v>
      </c>
      <c r="U58" s="28">
        <f t="shared" si="124"/>
        <v>10617901</v>
      </c>
      <c r="V58" s="28">
        <f t="shared" si="124"/>
        <v>10797225</v>
      </c>
      <c r="W58" s="28">
        <f t="shared" ref="W58" si="125">W59+W60+W67</f>
        <v>10725212</v>
      </c>
      <c r="DA58" s="173" t="s">
        <v>500</v>
      </c>
    </row>
    <row r="59" spans="1:105" ht="11.45" customHeight="1" x14ac:dyDescent="0.25">
      <c r="A59" s="136" t="s">
        <v>180</v>
      </c>
      <c r="B59" s="137">
        <v>970798</v>
      </c>
      <c r="C59" s="137">
        <v>964822</v>
      </c>
      <c r="D59" s="137">
        <v>1002450</v>
      </c>
      <c r="E59" s="137">
        <v>1015567</v>
      </c>
      <c r="F59" s="137">
        <v>1038934</v>
      </c>
      <c r="G59" s="137">
        <v>1112949</v>
      </c>
      <c r="H59" s="137">
        <v>1279703</v>
      </c>
      <c r="I59" s="137">
        <v>1371612</v>
      </c>
      <c r="J59" s="137">
        <v>1479476</v>
      </c>
      <c r="K59" s="137">
        <v>1579143</v>
      </c>
      <c r="L59" s="137">
        <v>1664295</v>
      </c>
      <c r="M59" s="137">
        <v>1708671</v>
      </c>
      <c r="N59" s="137">
        <v>1738488</v>
      </c>
      <c r="O59" s="137">
        <v>1755969</v>
      </c>
      <c r="P59" s="137">
        <v>1777131</v>
      </c>
      <c r="Q59" s="137">
        <v>1803377</v>
      </c>
      <c r="R59" s="137">
        <v>1834291</v>
      </c>
      <c r="S59" s="137">
        <v>1873161</v>
      </c>
      <c r="T59" s="137">
        <v>1895918</v>
      </c>
      <c r="U59" s="137">
        <v>1929268</v>
      </c>
      <c r="V59" s="137">
        <v>1993077</v>
      </c>
      <c r="W59" s="137">
        <v>1887312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6343164</v>
      </c>
      <c r="C60" s="110">
        <f t="shared" si="126"/>
        <v>6539040</v>
      </c>
      <c r="D60" s="110">
        <f t="shared" si="126"/>
        <v>6710595</v>
      </c>
      <c r="E60" s="110">
        <f t="shared" si="126"/>
        <v>6854947</v>
      </c>
      <c r="F60" s="110">
        <f t="shared" si="126"/>
        <v>6908890</v>
      </c>
      <c r="G60" s="110">
        <f t="shared" si="126"/>
        <v>6991974</v>
      </c>
      <c r="H60" s="110">
        <f t="shared" si="126"/>
        <v>7092293</v>
      </c>
      <c r="I60" s="110">
        <f t="shared" si="126"/>
        <v>7230178</v>
      </c>
      <c r="J60" s="110">
        <f t="shared" si="126"/>
        <v>7391903</v>
      </c>
      <c r="K60" s="110">
        <f t="shared" si="126"/>
        <v>7542331</v>
      </c>
      <c r="L60" s="110">
        <f t="shared" ref="L60" si="127">SUM(L61:L66)</f>
        <v>7622353</v>
      </c>
      <c r="M60" s="110">
        <f t="shared" ref="M60:V60" si="128">SUM(M61:M66)</f>
        <v>7735547</v>
      </c>
      <c r="N60" s="110">
        <f t="shared" si="128"/>
        <v>7858712</v>
      </c>
      <c r="O60" s="110">
        <f t="shared" si="128"/>
        <v>7915613</v>
      </c>
      <c r="P60" s="110">
        <f t="shared" si="128"/>
        <v>7932290</v>
      </c>
      <c r="Q60" s="110">
        <f t="shared" si="128"/>
        <v>8100864</v>
      </c>
      <c r="R60" s="110">
        <f t="shared" si="128"/>
        <v>8223001</v>
      </c>
      <c r="S60" s="110">
        <f t="shared" si="128"/>
        <v>8373244</v>
      </c>
      <c r="T60" s="110">
        <f t="shared" si="128"/>
        <v>8442982</v>
      </c>
      <c r="U60" s="110">
        <f t="shared" si="128"/>
        <v>8677911</v>
      </c>
      <c r="V60" s="110">
        <f t="shared" si="128"/>
        <v>8793592</v>
      </c>
      <c r="W60" s="110">
        <f t="shared" ref="W60" si="129">SUM(W61:W66)</f>
        <v>8827709</v>
      </c>
      <c r="DA60" s="176" t="s">
        <v>502</v>
      </c>
    </row>
    <row r="61" spans="1:105" ht="11.45" customHeight="1" x14ac:dyDescent="0.25">
      <c r="A61" s="111" t="s">
        <v>110</v>
      </c>
      <c r="B61" s="84">
        <v>5048616</v>
      </c>
      <c r="C61" s="84">
        <v>5178493</v>
      </c>
      <c r="D61" s="84">
        <v>5310422</v>
      </c>
      <c r="E61" s="84">
        <v>5420603</v>
      </c>
      <c r="F61" s="84">
        <v>5455377</v>
      </c>
      <c r="G61" s="84">
        <v>5515708</v>
      </c>
      <c r="H61" s="84">
        <v>5578392</v>
      </c>
      <c r="I61" s="84">
        <v>5677085</v>
      </c>
      <c r="J61" s="84">
        <v>5832044</v>
      </c>
      <c r="K61" s="84">
        <v>5980613</v>
      </c>
      <c r="L61" s="84">
        <v>6082240</v>
      </c>
      <c r="M61" s="84">
        <v>6193380</v>
      </c>
      <c r="N61" s="84">
        <v>6314739</v>
      </c>
      <c r="O61" s="84">
        <v>6362086</v>
      </c>
      <c r="P61" s="84">
        <v>6383710</v>
      </c>
      <c r="Q61" s="84">
        <v>6495615</v>
      </c>
      <c r="R61" s="84">
        <v>6630603</v>
      </c>
      <c r="S61" s="84">
        <v>6787939</v>
      </c>
      <c r="T61" s="84">
        <v>6890413</v>
      </c>
      <c r="U61" s="84">
        <v>7122038</v>
      </c>
      <c r="V61" s="84">
        <v>7272082</v>
      </c>
      <c r="W61" s="84">
        <v>7318356</v>
      </c>
      <c r="DA61" s="171" t="s">
        <v>503</v>
      </c>
    </row>
    <row r="62" spans="1:105" ht="11.45" customHeight="1" x14ac:dyDescent="0.25">
      <c r="A62" s="111" t="s">
        <v>111</v>
      </c>
      <c r="B62" s="84">
        <v>822548</v>
      </c>
      <c r="C62" s="84">
        <v>880670</v>
      </c>
      <c r="D62" s="84">
        <v>930610</v>
      </c>
      <c r="E62" s="84">
        <v>984768</v>
      </c>
      <c r="F62" s="84">
        <v>1025903</v>
      </c>
      <c r="G62" s="84">
        <v>1072336</v>
      </c>
      <c r="H62" s="84">
        <v>1135051</v>
      </c>
      <c r="I62" s="84">
        <v>1200360</v>
      </c>
      <c r="J62" s="84">
        <v>1233887</v>
      </c>
      <c r="K62" s="84">
        <v>1262700</v>
      </c>
      <c r="L62" s="84">
        <v>1266982</v>
      </c>
      <c r="M62" s="84">
        <v>1299185</v>
      </c>
      <c r="N62" s="84">
        <v>1328046</v>
      </c>
      <c r="O62" s="84">
        <v>1316034</v>
      </c>
      <c r="P62" s="84">
        <v>1308715</v>
      </c>
      <c r="Q62" s="84">
        <v>1339163</v>
      </c>
      <c r="R62" s="84">
        <v>1336750</v>
      </c>
      <c r="S62" s="84">
        <v>1330834</v>
      </c>
      <c r="T62" s="84">
        <v>1284620</v>
      </c>
      <c r="U62" s="84">
        <v>1218151</v>
      </c>
      <c r="V62" s="84">
        <v>1115052</v>
      </c>
      <c r="W62" s="84">
        <v>1010944</v>
      </c>
      <c r="DA62" s="171" t="s">
        <v>504</v>
      </c>
    </row>
    <row r="63" spans="1:105" ht="11.45" customHeight="1" x14ac:dyDescent="0.25">
      <c r="A63" s="111" t="s">
        <v>112</v>
      </c>
      <c r="B63" s="84">
        <v>472000</v>
      </c>
      <c r="C63" s="84">
        <v>479877</v>
      </c>
      <c r="D63" s="84">
        <v>469563</v>
      </c>
      <c r="E63" s="84">
        <v>449576</v>
      </c>
      <c r="F63" s="84">
        <v>427610</v>
      </c>
      <c r="G63" s="84">
        <v>403930</v>
      </c>
      <c r="H63" s="84">
        <v>378850</v>
      </c>
      <c r="I63" s="84">
        <v>352733</v>
      </c>
      <c r="J63" s="84">
        <v>325972</v>
      </c>
      <c r="K63" s="84">
        <v>298990</v>
      </c>
      <c r="L63" s="84">
        <v>272905</v>
      </c>
      <c r="M63" s="84">
        <v>241445</v>
      </c>
      <c r="N63" s="84">
        <v>203851</v>
      </c>
      <c r="O63" s="84">
        <v>202322</v>
      </c>
      <c r="P63" s="84">
        <v>186366</v>
      </c>
      <c r="Q63" s="84">
        <v>168234</v>
      </c>
      <c r="R63" s="84">
        <v>143542</v>
      </c>
      <c r="S63" s="84">
        <v>132989</v>
      </c>
      <c r="T63" s="84">
        <v>119489</v>
      </c>
      <c r="U63" s="84">
        <v>130637</v>
      </c>
      <c r="V63" s="84">
        <v>123694</v>
      </c>
      <c r="W63" s="84">
        <v>108602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140</v>
      </c>
      <c r="M64" s="84">
        <v>673</v>
      </c>
      <c r="N64" s="84">
        <v>5650</v>
      </c>
      <c r="O64" s="84">
        <v>6498</v>
      </c>
      <c r="P64" s="84">
        <v>9737</v>
      </c>
      <c r="Q64" s="84">
        <v>10321</v>
      </c>
      <c r="R64" s="84">
        <v>3148</v>
      </c>
      <c r="S64" s="84">
        <v>3637</v>
      </c>
      <c r="T64" s="84">
        <v>10241</v>
      </c>
      <c r="U64" s="84">
        <v>10227</v>
      </c>
      <c r="V64" s="84">
        <v>9869</v>
      </c>
      <c r="W64" s="84">
        <v>8472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15</v>
      </c>
      <c r="N65" s="84">
        <v>4326</v>
      </c>
      <c r="O65" s="84">
        <v>24512</v>
      </c>
      <c r="P65" s="84">
        <v>36937</v>
      </c>
      <c r="Q65" s="84">
        <v>78163</v>
      </c>
      <c r="R65" s="84">
        <v>96156</v>
      </c>
      <c r="S65" s="84">
        <v>97047</v>
      </c>
      <c r="T65" s="84">
        <v>94719</v>
      </c>
      <c r="U65" s="84">
        <v>91850</v>
      </c>
      <c r="V65" s="84">
        <v>100371</v>
      </c>
      <c r="W65" s="84">
        <v>137673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28</v>
      </c>
      <c r="L66" s="84">
        <v>86</v>
      </c>
      <c r="M66" s="84">
        <v>849</v>
      </c>
      <c r="N66" s="84">
        <v>2100</v>
      </c>
      <c r="O66" s="84">
        <v>4161</v>
      </c>
      <c r="P66" s="84">
        <v>6825</v>
      </c>
      <c r="Q66" s="84">
        <v>9368</v>
      </c>
      <c r="R66" s="84">
        <v>12802</v>
      </c>
      <c r="S66" s="84">
        <v>20798</v>
      </c>
      <c r="T66" s="84">
        <v>43500</v>
      </c>
      <c r="U66" s="84">
        <v>105008</v>
      </c>
      <c r="V66" s="84">
        <v>172524</v>
      </c>
      <c r="W66" s="84">
        <v>243662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11206</v>
      </c>
      <c r="C67" s="110">
        <f t="shared" si="130"/>
        <v>11369</v>
      </c>
      <c r="D67" s="110">
        <f t="shared" si="130"/>
        <v>11326</v>
      </c>
      <c r="E67" s="110">
        <f t="shared" si="130"/>
        <v>11382</v>
      </c>
      <c r="F67" s="110">
        <f t="shared" si="130"/>
        <v>11344</v>
      </c>
      <c r="G67" s="110">
        <f t="shared" si="130"/>
        <v>11231</v>
      </c>
      <c r="H67" s="110">
        <f t="shared" si="130"/>
        <v>10995</v>
      </c>
      <c r="I67" s="110">
        <f t="shared" si="130"/>
        <v>10845</v>
      </c>
      <c r="J67" s="110">
        <f t="shared" si="130"/>
        <v>11091</v>
      </c>
      <c r="K67" s="110">
        <f t="shared" si="130"/>
        <v>11332</v>
      </c>
      <c r="L67" s="110">
        <f t="shared" ref="L67" si="131">SUM(L68:L72)</f>
        <v>11634</v>
      </c>
      <c r="M67" s="110">
        <f t="shared" ref="M67:V67" si="132">SUM(M68:M72)</f>
        <v>11277</v>
      </c>
      <c r="N67" s="110">
        <f t="shared" si="132"/>
        <v>10986</v>
      </c>
      <c r="O67" s="110">
        <f t="shared" si="132"/>
        <v>10464</v>
      </c>
      <c r="P67" s="110">
        <f t="shared" si="132"/>
        <v>9922</v>
      </c>
      <c r="Q67" s="110">
        <f t="shared" si="132"/>
        <v>9597</v>
      </c>
      <c r="R67" s="110">
        <f t="shared" si="132"/>
        <v>9411</v>
      </c>
      <c r="S67" s="110">
        <f t="shared" si="132"/>
        <v>9822</v>
      </c>
      <c r="T67" s="110">
        <f t="shared" si="132"/>
        <v>9914</v>
      </c>
      <c r="U67" s="110">
        <f t="shared" si="132"/>
        <v>10722</v>
      </c>
      <c r="V67" s="110">
        <f t="shared" si="132"/>
        <v>10556</v>
      </c>
      <c r="W67" s="110">
        <f t="shared" ref="W67" si="133">SUM(W68:W72)</f>
        <v>10191</v>
      </c>
      <c r="DA67" s="176" t="s">
        <v>509</v>
      </c>
    </row>
    <row r="68" spans="1:105" ht="11.45" customHeight="1" x14ac:dyDescent="0.25">
      <c r="A68" s="111" t="s">
        <v>110</v>
      </c>
      <c r="B68" s="102">
        <v>14</v>
      </c>
      <c r="C68" s="102">
        <v>18</v>
      </c>
      <c r="D68" s="102">
        <v>22</v>
      </c>
      <c r="E68" s="102">
        <v>26</v>
      </c>
      <c r="F68" s="102">
        <v>25</v>
      </c>
      <c r="G68" s="102">
        <v>27</v>
      </c>
      <c r="H68" s="102">
        <v>28</v>
      </c>
      <c r="I68" s="102">
        <v>30</v>
      </c>
      <c r="J68" s="102">
        <v>30</v>
      </c>
      <c r="K68" s="102">
        <v>31</v>
      </c>
      <c r="L68" s="102">
        <v>34</v>
      </c>
      <c r="M68" s="102">
        <v>28</v>
      </c>
      <c r="N68" s="102">
        <v>17</v>
      </c>
      <c r="O68" s="102">
        <v>15</v>
      </c>
      <c r="P68" s="102">
        <v>14</v>
      </c>
      <c r="Q68" s="102">
        <v>23</v>
      </c>
      <c r="R68" s="102">
        <v>28</v>
      </c>
      <c r="S68" s="102">
        <v>25</v>
      </c>
      <c r="T68" s="102">
        <v>23</v>
      </c>
      <c r="U68" s="102">
        <v>118</v>
      </c>
      <c r="V68" s="102">
        <v>114</v>
      </c>
      <c r="W68" s="102">
        <v>126</v>
      </c>
      <c r="DA68" s="175" t="s">
        <v>510</v>
      </c>
    </row>
    <row r="69" spans="1:105" ht="11.45" customHeight="1" x14ac:dyDescent="0.25">
      <c r="A69" s="111" t="s">
        <v>111</v>
      </c>
      <c r="B69" s="102">
        <v>10950</v>
      </c>
      <c r="C69" s="102">
        <v>11120</v>
      </c>
      <c r="D69" s="102">
        <v>11081</v>
      </c>
      <c r="E69" s="102">
        <v>11153</v>
      </c>
      <c r="F69" s="102">
        <v>11125</v>
      </c>
      <c r="G69" s="102">
        <v>10974</v>
      </c>
      <c r="H69" s="102">
        <v>10733</v>
      </c>
      <c r="I69" s="102">
        <v>10577</v>
      </c>
      <c r="J69" s="102">
        <v>10787</v>
      </c>
      <c r="K69" s="102">
        <v>10895</v>
      </c>
      <c r="L69" s="102">
        <v>11077</v>
      </c>
      <c r="M69" s="102">
        <v>10489</v>
      </c>
      <c r="N69" s="102">
        <v>10013</v>
      </c>
      <c r="O69" s="102">
        <v>9428</v>
      </c>
      <c r="P69" s="102">
        <v>8835</v>
      </c>
      <c r="Q69" s="102">
        <v>8365</v>
      </c>
      <c r="R69" s="102">
        <v>7923</v>
      </c>
      <c r="S69" s="102">
        <v>8047</v>
      </c>
      <c r="T69" s="102">
        <v>7888</v>
      </c>
      <c r="U69" s="102">
        <v>7961</v>
      </c>
      <c r="V69" s="102">
        <v>6988</v>
      </c>
      <c r="W69" s="102">
        <v>6162</v>
      </c>
      <c r="DA69" s="175" t="s">
        <v>511</v>
      </c>
    </row>
    <row r="70" spans="1:105" ht="11.45" customHeight="1" x14ac:dyDescent="0.25">
      <c r="A70" s="111" t="s">
        <v>112</v>
      </c>
      <c r="B70" s="102">
        <v>186</v>
      </c>
      <c r="C70" s="102">
        <v>178</v>
      </c>
      <c r="D70" s="102">
        <v>155</v>
      </c>
      <c r="E70" s="102">
        <v>144</v>
      </c>
      <c r="F70" s="102">
        <v>125</v>
      </c>
      <c r="G70" s="102">
        <v>155</v>
      </c>
      <c r="H70" s="102">
        <v>127</v>
      </c>
      <c r="I70" s="102">
        <v>113</v>
      </c>
      <c r="J70" s="102">
        <v>112</v>
      </c>
      <c r="K70" s="102">
        <v>105</v>
      </c>
      <c r="L70" s="102">
        <v>105</v>
      </c>
      <c r="M70" s="102">
        <v>101</v>
      </c>
      <c r="N70" s="102">
        <v>98</v>
      </c>
      <c r="O70" s="102">
        <v>97</v>
      </c>
      <c r="P70" s="102">
        <v>95</v>
      </c>
      <c r="Q70" s="102">
        <v>95</v>
      </c>
      <c r="R70" s="102">
        <v>94</v>
      </c>
      <c r="S70" s="102">
        <v>91</v>
      </c>
      <c r="T70" s="102">
        <v>89</v>
      </c>
      <c r="U70" s="102">
        <v>89</v>
      </c>
      <c r="V70" s="102">
        <v>86</v>
      </c>
      <c r="W70" s="102">
        <v>84</v>
      </c>
      <c r="DA70" s="175" t="s">
        <v>512</v>
      </c>
    </row>
    <row r="71" spans="1:105" ht="11.45" customHeight="1" x14ac:dyDescent="0.25">
      <c r="A71" s="111" t="s">
        <v>113</v>
      </c>
      <c r="B71" s="102">
        <v>6</v>
      </c>
      <c r="C71" s="102">
        <v>9</v>
      </c>
      <c r="D71" s="102">
        <v>18</v>
      </c>
      <c r="E71" s="102">
        <v>16</v>
      </c>
      <c r="F71" s="102">
        <v>15</v>
      </c>
      <c r="G71" s="102">
        <v>19</v>
      </c>
      <c r="H71" s="102">
        <v>50</v>
      </c>
      <c r="I71" s="102">
        <v>68</v>
      </c>
      <c r="J71" s="102">
        <v>115</v>
      </c>
      <c r="K71" s="102">
        <v>244</v>
      </c>
      <c r="L71" s="102">
        <v>328</v>
      </c>
      <c r="M71" s="102">
        <v>573</v>
      </c>
      <c r="N71" s="102">
        <v>771</v>
      </c>
      <c r="O71" s="102">
        <v>851</v>
      </c>
      <c r="P71" s="102">
        <v>898</v>
      </c>
      <c r="Q71" s="102">
        <v>1020</v>
      </c>
      <c r="R71" s="102">
        <v>1211</v>
      </c>
      <c r="S71" s="102">
        <v>1364</v>
      </c>
      <c r="T71" s="102">
        <v>1514</v>
      </c>
      <c r="U71" s="102">
        <v>1779</v>
      </c>
      <c r="V71" s="102">
        <v>2162</v>
      </c>
      <c r="W71" s="102">
        <v>2468</v>
      </c>
      <c r="DA71" s="175" t="s">
        <v>513</v>
      </c>
    </row>
    <row r="72" spans="1:105" ht="11.45" customHeight="1" x14ac:dyDescent="0.25">
      <c r="A72" s="111" t="s">
        <v>115</v>
      </c>
      <c r="B72" s="102">
        <v>50</v>
      </c>
      <c r="C72" s="102">
        <v>44</v>
      </c>
      <c r="D72" s="102">
        <v>50</v>
      </c>
      <c r="E72" s="102">
        <v>43</v>
      </c>
      <c r="F72" s="102">
        <v>54</v>
      </c>
      <c r="G72" s="102">
        <v>56</v>
      </c>
      <c r="H72" s="102">
        <v>57</v>
      </c>
      <c r="I72" s="102">
        <v>57</v>
      </c>
      <c r="J72" s="102">
        <v>47</v>
      </c>
      <c r="K72" s="102">
        <v>57</v>
      </c>
      <c r="L72" s="102">
        <v>90</v>
      </c>
      <c r="M72" s="102">
        <v>86</v>
      </c>
      <c r="N72" s="102">
        <v>87</v>
      </c>
      <c r="O72" s="102">
        <v>73</v>
      </c>
      <c r="P72" s="102">
        <v>80</v>
      </c>
      <c r="Q72" s="102">
        <v>94</v>
      </c>
      <c r="R72" s="102">
        <v>155</v>
      </c>
      <c r="S72" s="102">
        <v>295</v>
      </c>
      <c r="T72" s="102">
        <v>400</v>
      </c>
      <c r="U72" s="102">
        <v>775</v>
      </c>
      <c r="V72" s="102">
        <v>1206</v>
      </c>
      <c r="W72" s="102">
        <v>1351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809779</v>
      </c>
      <c r="C73" s="28">
        <f t="shared" si="134"/>
        <v>873217</v>
      </c>
      <c r="D73" s="28">
        <f t="shared" si="134"/>
        <v>915422</v>
      </c>
      <c r="E73" s="28">
        <f t="shared" si="134"/>
        <v>951806</v>
      </c>
      <c r="F73" s="28">
        <f t="shared" si="134"/>
        <v>967814</v>
      </c>
      <c r="G73" s="28">
        <f t="shared" si="134"/>
        <v>996746</v>
      </c>
      <c r="H73" s="28">
        <f t="shared" si="134"/>
        <v>965363</v>
      </c>
      <c r="I73" s="28">
        <f t="shared" si="134"/>
        <v>960477</v>
      </c>
      <c r="J73" s="28">
        <f t="shared" si="134"/>
        <v>973323</v>
      </c>
      <c r="K73" s="28">
        <f t="shared" si="134"/>
        <v>991929</v>
      </c>
      <c r="L73" s="28">
        <f t="shared" ref="L73" si="135">L74+L80</f>
        <v>988419</v>
      </c>
      <c r="M73" s="28">
        <f t="shared" ref="M73:V73" si="136">M74+M80</f>
        <v>975099</v>
      </c>
      <c r="N73" s="28">
        <f t="shared" si="136"/>
        <v>964495</v>
      </c>
      <c r="O73" s="28">
        <f t="shared" si="136"/>
        <v>927424</v>
      </c>
      <c r="P73" s="28">
        <f t="shared" si="136"/>
        <v>925467</v>
      </c>
      <c r="Q73" s="28">
        <f t="shared" si="136"/>
        <v>940108</v>
      </c>
      <c r="R73" s="28">
        <f t="shared" si="136"/>
        <v>969419</v>
      </c>
      <c r="S73" s="28">
        <f t="shared" si="136"/>
        <v>1001912</v>
      </c>
      <c r="T73" s="28">
        <f t="shared" si="136"/>
        <v>1023793</v>
      </c>
      <c r="U73" s="28">
        <f t="shared" si="136"/>
        <v>1067775</v>
      </c>
      <c r="V73" s="28">
        <f t="shared" si="136"/>
        <v>1089078</v>
      </c>
      <c r="W73" s="28">
        <f t="shared" ref="W73" si="137">W74+W80</f>
        <v>1101194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696135</v>
      </c>
      <c r="C74" s="137">
        <f t="shared" si="138"/>
        <v>755776</v>
      </c>
      <c r="D74" s="137">
        <f t="shared" si="138"/>
        <v>797594</v>
      </c>
      <c r="E74" s="137">
        <f t="shared" si="138"/>
        <v>835710</v>
      </c>
      <c r="F74" s="137">
        <f t="shared" si="138"/>
        <v>866753</v>
      </c>
      <c r="G74" s="137">
        <f t="shared" si="138"/>
        <v>893455</v>
      </c>
      <c r="H74" s="137">
        <f t="shared" si="138"/>
        <v>862974</v>
      </c>
      <c r="I74" s="137">
        <f t="shared" si="138"/>
        <v>849348</v>
      </c>
      <c r="J74" s="137">
        <f t="shared" si="138"/>
        <v>862303</v>
      </c>
      <c r="K74" s="137">
        <f t="shared" si="138"/>
        <v>876170</v>
      </c>
      <c r="L74" s="137">
        <f t="shared" ref="L74" si="139">SUM(L75:L79)</f>
        <v>872355</v>
      </c>
      <c r="M74" s="137">
        <f t="shared" ref="M74:V74" si="140">SUM(M75:M79)</f>
        <v>861250</v>
      </c>
      <c r="N74" s="137">
        <f t="shared" si="140"/>
        <v>849666</v>
      </c>
      <c r="O74" s="137">
        <f t="shared" si="140"/>
        <v>815169</v>
      </c>
      <c r="P74" s="137">
        <f t="shared" si="140"/>
        <v>814954</v>
      </c>
      <c r="Q74" s="137">
        <f t="shared" si="140"/>
        <v>828383</v>
      </c>
      <c r="R74" s="137">
        <f t="shared" si="140"/>
        <v>852632</v>
      </c>
      <c r="S74" s="137">
        <f t="shared" si="140"/>
        <v>883350</v>
      </c>
      <c r="T74" s="137">
        <f t="shared" si="140"/>
        <v>903005</v>
      </c>
      <c r="U74" s="137">
        <f t="shared" si="140"/>
        <v>939801</v>
      </c>
      <c r="V74" s="137">
        <f t="shared" si="140"/>
        <v>960130</v>
      </c>
      <c r="W74" s="137">
        <f t="shared" ref="W74" si="141">SUM(W75:W79)</f>
        <v>974792</v>
      </c>
      <c r="DA74" s="174" t="s">
        <v>516</v>
      </c>
    </row>
    <row r="75" spans="1:105" ht="11.45" customHeight="1" x14ac:dyDescent="0.25">
      <c r="A75" s="111" t="s">
        <v>110</v>
      </c>
      <c r="B75" s="84">
        <v>71434</v>
      </c>
      <c r="C75" s="84">
        <v>65762</v>
      </c>
      <c r="D75" s="84">
        <v>60062</v>
      </c>
      <c r="E75" s="84">
        <v>54833</v>
      </c>
      <c r="F75" s="84">
        <v>49915</v>
      </c>
      <c r="G75" s="84">
        <v>47861</v>
      </c>
      <c r="H75" s="84">
        <v>42439</v>
      </c>
      <c r="I75" s="84">
        <v>37753</v>
      </c>
      <c r="J75" s="84">
        <v>35284</v>
      </c>
      <c r="K75" s="84">
        <v>33640</v>
      </c>
      <c r="L75" s="84">
        <v>31768</v>
      </c>
      <c r="M75" s="84">
        <v>30049</v>
      </c>
      <c r="N75" s="84">
        <v>28582</v>
      </c>
      <c r="O75" s="84">
        <v>25686</v>
      </c>
      <c r="P75" s="84">
        <v>25372</v>
      </c>
      <c r="Q75" s="84">
        <v>25464</v>
      </c>
      <c r="R75" s="84">
        <v>26137</v>
      </c>
      <c r="S75" s="84">
        <v>27022</v>
      </c>
      <c r="T75" s="84">
        <v>26291</v>
      </c>
      <c r="U75" s="84">
        <v>29919</v>
      </c>
      <c r="V75" s="84">
        <v>32113</v>
      </c>
      <c r="W75" s="84">
        <v>33036</v>
      </c>
      <c r="DA75" s="171" t="s">
        <v>517</v>
      </c>
    </row>
    <row r="76" spans="1:105" ht="11.45" customHeight="1" x14ac:dyDescent="0.25">
      <c r="A76" s="111" t="s">
        <v>111</v>
      </c>
      <c r="B76" s="84">
        <v>601332</v>
      </c>
      <c r="C76" s="84">
        <v>666498</v>
      </c>
      <c r="D76" s="84">
        <v>714126</v>
      </c>
      <c r="E76" s="84">
        <v>757999</v>
      </c>
      <c r="F76" s="84">
        <v>794846</v>
      </c>
      <c r="G76" s="84">
        <v>826524</v>
      </c>
      <c r="H76" s="84">
        <v>803023</v>
      </c>
      <c r="I76" s="84">
        <v>794504</v>
      </c>
      <c r="J76" s="84">
        <v>809945</v>
      </c>
      <c r="K76" s="84">
        <v>825102</v>
      </c>
      <c r="L76" s="84">
        <v>823018</v>
      </c>
      <c r="M76" s="84">
        <v>813346</v>
      </c>
      <c r="N76" s="84">
        <v>802792</v>
      </c>
      <c r="O76" s="84">
        <v>770747</v>
      </c>
      <c r="P76" s="84">
        <v>770207</v>
      </c>
      <c r="Q76" s="84">
        <v>783272</v>
      </c>
      <c r="R76" s="84">
        <v>807639</v>
      </c>
      <c r="S76" s="84">
        <v>835674</v>
      </c>
      <c r="T76" s="84">
        <v>851922</v>
      </c>
      <c r="U76" s="84">
        <v>878700</v>
      </c>
      <c r="V76" s="84">
        <v>894185</v>
      </c>
      <c r="W76" s="84">
        <v>907555</v>
      </c>
      <c r="DA76" s="171" t="s">
        <v>518</v>
      </c>
    </row>
    <row r="77" spans="1:105" ht="11.45" customHeight="1" x14ac:dyDescent="0.25">
      <c r="A77" s="111" t="s">
        <v>112</v>
      </c>
      <c r="B77" s="84">
        <v>23369</v>
      </c>
      <c r="C77" s="84">
        <v>23516</v>
      </c>
      <c r="D77" s="84">
        <v>23406</v>
      </c>
      <c r="E77" s="84">
        <v>22794</v>
      </c>
      <c r="F77" s="84">
        <v>21756</v>
      </c>
      <c r="G77" s="84">
        <v>18847</v>
      </c>
      <c r="H77" s="84">
        <v>17292</v>
      </c>
      <c r="I77" s="84">
        <v>16591</v>
      </c>
      <c r="J77" s="84">
        <v>16574</v>
      </c>
      <c r="K77" s="84">
        <v>16585</v>
      </c>
      <c r="L77" s="84">
        <v>16379</v>
      </c>
      <c r="M77" s="84">
        <v>16293</v>
      </c>
      <c r="N77" s="84">
        <v>16094</v>
      </c>
      <c r="O77" s="84">
        <v>15894</v>
      </c>
      <c r="P77" s="84">
        <v>15605</v>
      </c>
      <c r="Q77" s="84">
        <v>15468</v>
      </c>
      <c r="R77" s="84">
        <v>15720</v>
      </c>
      <c r="S77" s="84">
        <v>16306</v>
      </c>
      <c r="T77" s="84">
        <v>17579</v>
      </c>
      <c r="U77" s="84">
        <v>22533</v>
      </c>
      <c r="V77" s="84">
        <v>23460</v>
      </c>
      <c r="W77" s="84">
        <v>21081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84</v>
      </c>
      <c r="F78" s="84">
        <v>236</v>
      </c>
      <c r="G78" s="84">
        <v>223</v>
      </c>
      <c r="H78" s="84">
        <v>220</v>
      </c>
      <c r="I78" s="84">
        <v>500</v>
      </c>
      <c r="J78" s="84">
        <v>500</v>
      </c>
      <c r="K78" s="84">
        <v>843</v>
      </c>
      <c r="L78" s="84">
        <v>1190</v>
      </c>
      <c r="M78" s="84">
        <v>1546</v>
      </c>
      <c r="N78" s="84">
        <v>1803</v>
      </c>
      <c r="O78" s="84">
        <v>2173</v>
      </c>
      <c r="P78" s="84">
        <v>2512</v>
      </c>
      <c r="Q78" s="84">
        <v>2719</v>
      </c>
      <c r="R78" s="84">
        <v>1590</v>
      </c>
      <c r="S78" s="84">
        <v>2192</v>
      </c>
      <c r="T78" s="84">
        <v>4100</v>
      </c>
      <c r="U78" s="84">
        <v>4306</v>
      </c>
      <c r="V78" s="84">
        <v>4434</v>
      </c>
      <c r="W78" s="84">
        <v>4142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16</v>
      </c>
      <c r="N79" s="84">
        <v>395</v>
      </c>
      <c r="O79" s="84">
        <v>669</v>
      </c>
      <c r="P79" s="84">
        <v>1258</v>
      </c>
      <c r="Q79" s="84">
        <v>1460</v>
      </c>
      <c r="R79" s="84">
        <v>1546</v>
      </c>
      <c r="S79" s="84">
        <v>2156</v>
      </c>
      <c r="T79" s="84">
        <v>3113</v>
      </c>
      <c r="U79" s="84">
        <v>4343</v>
      </c>
      <c r="V79" s="84">
        <v>5938</v>
      </c>
      <c r="W79" s="84">
        <v>8978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113644</v>
      </c>
      <c r="C80" s="110">
        <f t="shared" si="142"/>
        <v>117441</v>
      </c>
      <c r="D80" s="110">
        <f t="shared" si="142"/>
        <v>117828</v>
      </c>
      <c r="E80" s="110">
        <f t="shared" si="142"/>
        <v>116096</v>
      </c>
      <c r="F80" s="110">
        <f t="shared" si="142"/>
        <v>101061</v>
      </c>
      <c r="G80" s="110">
        <f t="shared" si="142"/>
        <v>103291</v>
      </c>
      <c r="H80" s="110">
        <f t="shared" si="142"/>
        <v>102389</v>
      </c>
      <c r="I80" s="110">
        <f t="shared" si="142"/>
        <v>111129</v>
      </c>
      <c r="J80" s="110">
        <f t="shared" si="142"/>
        <v>111020</v>
      </c>
      <c r="K80" s="110">
        <f t="shared" si="142"/>
        <v>115759</v>
      </c>
      <c r="L80" s="110">
        <f t="shared" ref="L80" si="143">SUM(L81:L82)</f>
        <v>116064</v>
      </c>
      <c r="M80" s="110">
        <f t="shared" ref="M80:V80" si="144">SUM(M81:M82)</f>
        <v>113849</v>
      </c>
      <c r="N80" s="110">
        <f t="shared" si="144"/>
        <v>114829</v>
      </c>
      <c r="O80" s="110">
        <f t="shared" si="144"/>
        <v>112255</v>
      </c>
      <c r="P80" s="110">
        <f t="shared" si="144"/>
        <v>110513</v>
      </c>
      <c r="Q80" s="110">
        <f t="shared" si="144"/>
        <v>111725</v>
      </c>
      <c r="R80" s="110">
        <f t="shared" si="144"/>
        <v>116787</v>
      </c>
      <c r="S80" s="110">
        <f t="shared" si="144"/>
        <v>118562</v>
      </c>
      <c r="T80" s="110">
        <f t="shared" si="144"/>
        <v>120788</v>
      </c>
      <c r="U80" s="110">
        <f t="shared" si="144"/>
        <v>127974</v>
      </c>
      <c r="V80" s="110">
        <f t="shared" si="144"/>
        <v>128948</v>
      </c>
      <c r="W80" s="110">
        <f t="shared" ref="W80" si="145">SUM(W81:W82)</f>
        <v>126402</v>
      </c>
      <c r="DA80" s="176" t="s">
        <v>522</v>
      </c>
    </row>
    <row r="81" spans="1:105" ht="11.45" customHeight="1" x14ac:dyDescent="0.25">
      <c r="A81" s="128" t="s">
        <v>27</v>
      </c>
      <c r="B81" s="102">
        <v>102971</v>
      </c>
      <c r="C81" s="102">
        <v>105998</v>
      </c>
      <c r="D81" s="102">
        <v>105790</v>
      </c>
      <c r="E81" s="102">
        <v>103792</v>
      </c>
      <c r="F81" s="102">
        <v>86513</v>
      </c>
      <c r="G81" s="102">
        <v>88232</v>
      </c>
      <c r="H81" s="102">
        <v>86461</v>
      </c>
      <c r="I81" s="102">
        <v>95044</v>
      </c>
      <c r="J81" s="102">
        <v>94652</v>
      </c>
      <c r="K81" s="102">
        <v>100642</v>
      </c>
      <c r="L81" s="102">
        <v>100210</v>
      </c>
      <c r="M81" s="102">
        <v>98186</v>
      </c>
      <c r="N81" s="102">
        <v>99526</v>
      </c>
      <c r="O81" s="102">
        <v>96659</v>
      </c>
      <c r="P81" s="102">
        <v>94462</v>
      </c>
      <c r="Q81" s="102">
        <v>95313</v>
      </c>
      <c r="R81" s="102">
        <v>99257</v>
      </c>
      <c r="S81" s="102">
        <v>100902</v>
      </c>
      <c r="T81" s="102">
        <v>103468</v>
      </c>
      <c r="U81" s="102">
        <v>109899</v>
      </c>
      <c r="V81" s="102">
        <v>110156</v>
      </c>
      <c r="W81" s="102">
        <v>107934</v>
      </c>
      <c r="DA81" s="175" t="s">
        <v>523</v>
      </c>
    </row>
    <row r="82" spans="1:105" ht="11.45" customHeight="1" x14ac:dyDescent="0.25">
      <c r="A82" s="138" t="s">
        <v>116</v>
      </c>
      <c r="B82" s="86">
        <v>10673</v>
      </c>
      <c r="C82" s="86">
        <v>11443</v>
      </c>
      <c r="D82" s="86">
        <v>12038</v>
      </c>
      <c r="E82" s="86">
        <v>12304</v>
      </c>
      <c r="F82" s="86">
        <v>14548</v>
      </c>
      <c r="G82" s="86">
        <v>15059</v>
      </c>
      <c r="H82" s="86">
        <v>15928</v>
      </c>
      <c r="I82" s="86">
        <v>16085</v>
      </c>
      <c r="J82" s="86">
        <v>16368</v>
      </c>
      <c r="K82" s="86">
        <v>15117</v>
      </c>
      <c r="L82" s="86">
        <v>15854</v>
      </c>
      <c r="M82" s="86">
        <v>15663</v>
      </c>
      <c r="N82" s="86">
        <v>15303</v>
      </c>
      <c r="O82" s="86">
        <v>15596</v>
      </c>
      <c r="P82" s="86">
        <v>16051</v>
      </c>
      <c r="Q82" s="86">
        <v>16412</v>
      </c>
      <c r="R82" s="86">
        <v>17530</v>
      </c>
      <c r="S82" s="86">
        <v>17660</v>
      </c>
      <c r="T82" s="86">
        <v>17320</v>
      </c>
      <c r="U82" s="86">
        <v>18075</v>
      </c>
      <c r="V82" s="86">
        <v>18792</v>
      </c>
      <c r="W82" s="86">
        <v>18468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8134947</v>
      </c>
      <c r="C84" s="54">
        <f t="shared" si="146"/>
        <v>8388448</v>
      </c>
      <c r="D84" s="54">
        <f t="shared" ref="D84:V84" si="147">D85+D100</f>
        <v>8639793</v>
      </c>
      <c r="E84" s="54">
        <f t="shared" si="147"/>
        <v>8833702</v>
      </c>
      <c r="F84" s="54">
        <f t="shared" si="147"/>
        <v>8926982</v>
      </c>
      <c r="G84" s="54">
        <f t="shared" si="147"/>
        <v>9112900</v>
      </c>
      <c r="H84" s="54">
        <f t="shared" si="147"/>
        <v>9348354</v>
      </c>
      <c r="I84" s="54">
        <f t="shared" si="147"/>
        <v>9573112</v>
      </c>
      <c r="J84" s="54">
        <f t="shared" si="147"/>
        <v>9855793</v>
      </c>
      <c r="K84" s="54">
        <f t="shared" si="147"/>
        <v>10124735</v>
      </c>
      <c r="L84" s="54">
        <f t="shared" si="147"/>
        <v>10286701</v>
      </c>
      <c r="M84" s="54">
        <f t="shared" si="147"/>
        <v>10430594</v>
      </c>
      <c r="N84" s="54">
        <f t="shared" si="147"/>
        <v>10572681</v>
      </c>
      <c r="O84" s="54">
        <f t="shared" si="147"/>
        <v>10609470</v>
      </c>
      <c r="P84" s="54">
        <f t="shared" si="147"/>
        <v>10644810</v>
      </c>
      <c r="Q84" s="54">
        <f t="shared" si="147"/>
        <v>10853946</v>
      </c>
      <c r="R84" s="54">
        <f t="shared" si="147"/>
        <v>11036122</v>
      </c>
      <c r="S84" s="54">
        <f t="shared" si="147"/>
        <v>11258139</v>
      </c>
      <c r="T84" s="54">
        <f t="shared" si="147"/>
        <v>11372607</v>
      </c>
      <c r="U84" s="54">
        <f t="shared" si="147"/>
        <v>11685676</v>
      </c>
      <c r="V84" s="54">
        <f t="shared" si="147"/>
        <v>11886303</v>
      </c>
      <c r="W84" s="54">
        <f t="shared" ref="W84" si="148">W85+W100</f>
        <v>11826406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7325168</v>
      </c>
      <c r="C85" s="28">
        <f t="shared" si="149"/>
        <v>7515231</v>
      </c>
      <c r="D85" s="28">
        <f t="shared" ref="D85:V85" si="150">D86+D87+D94</f>
        <v>7724371</v>
      </c>
      <c r="E85" s="28">
        <f t="shared" si="150"/>
        <v>7881896</v>
      </c>
      <c r="F85" s="28">
        <f t="shared" si="150"/>
        <v>7959168</v>
      </c>
      <c r="G85" s="28">
        <f t="shared" si="150"/>
        <v>8116154</v>
      </c>
      <c r="H85" s="28">
        <f t="shared" si="150"/>
        <v>8382991</v>
      </c>
      <c r="I85" s="28">
        <f t="shared" si="150"/>
        <v>8612635</v>
      </c>
      <c r="J85" s="28">
        <f t="shared" si="150"/>
        <v>8882470</v>
      </c>
      <c r="K85" s="28">
        <f t="shared" si="150"/>
        <v>9132806</v>
      </c>
      <c r="L85" s="28">
        <f t="shared" si="150"/>
        <v>9298282</v>
      </c>
      <c r="M85" s="28">
        <f t="shared" si="150"/>
        <v>9455495</v>
      </c>
      <c r="N85" s="28">
        <f t="shared" si="150"/>
        <v>9608186</v>
      </c>
      <c r="O85" s="28">
        <f t="shared" si="150"/>
        <v>9682046</v>
      </c>
      <c r="P85" s="28">
        <f t="shared" si="150"/>
        <v>9719343</v>
      </c>
      <c r="Q85" s="28">
        <f t="shared" si="150"/>
        <v>9913838</v>
      </c>
      <c r="R85" s="28">
        <f t="shared" si="150"/>
        <v>10066703</v>
      </c>
      <c r="S85" s="28">
        <f t="shared" si="150"/>
        <v>10256227</v>
      </c>
      <c r="T85" s="28">
        <f t="shared" si="150"/>
        <v>10348814</v>
      </c>
      <c r="U85" s="28">
        <f t="shared" si="150"/>
        <v>10617901</v>
      </c>
      <c r="V85" s="28">
        <f t="shared" si="150"/>
        <v>10797225</v>
      </c>
      <c r="W85" s="28">
        <f t="shared" ref="W85" si="151">W86+W87+W94</f>
        <v>10725212</v>
      </c>
      <c r="DA85" s="173"/>
    </row>
    <row r="86" spans="1:105" ht="11.45" hidden="1" customHeight="1" x14ac:dyDescent="0.25">
      <c r="A86" s="136" t="s">
        <v>180</v>
      </c>
      <c r="B86" s="137">
        <v>970798</v>
      </c>
      <c r="C86" s="137">
        <v>964822</v>
      </c>
      <c r="D86" s="137">
        <v>1002450</v>
      </c>
      <c r="E86" s="137">
        <v>1015567</v>
      </c>
      <c r="F86" s="137">
        <v>1038934</v>
      </c>
      <c r="G86" s="137">
        <v>1112949</v>
      </c>
      <c r="H86" s="137">
        <v>1279703</v>
      </c>
      <c r="I86" s="137">
        <v>1371612</v>
      </c>
      <c r="J86" s="137">
        <v>1479476</v>
      </c>
      <c r="K86" s="137">
        <v>1579143</v>
      </c>
      <c r="L86" s="137">
        <v>1664295</v>
      </c>
      <c r="M86" s="137">
        <v>1708671</v>
      </c>
      <c r="N86" s="137">
        <v>1738488</v>
      </c>
      <c r="O86" s="137">
        <v>1755969</v>
      </c>
      <c r="P86" s="137">
        <v>1777131</v>
      </c>
      <c r="Q86" s="137">
        <v>1803377</v>
      </c>
      <c r="R86" s="137">
        <v>1834291</v>
      </c>
      <c r="S86" s="137">
        <v>1873161</v>
      </c>
      <c r="T86" s="137">
        <v>1895918</v>
      </c>
      <c r="U86" s="137">
        <v>1929268</v>
      </c>
      <c r="V86" s="137">
        <v>1993077</v>
      </c>
      <c r="W86" s="137">
        <v>1887312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6343164</v>
      </c>
      <c r="C87" s="110">
        <f t="shared" si="152"/>
        <v>6539040</v>
      </c>
      <c r="D87" s="110">
        <f t="shared" ref="D87:V87" si="153">SUM(D88:D93)</f>
        <v>6710595</v>
      </c>
      <c r="E87" s="110">
        <f t="shared" si="153"/>
        <v>6854947</v>
      </c>
      <c r="F87" s="110">
        <f t="shared" si="153"/>
        <v>6908890</v>
      </c>
      <c r="G87" s="110">
        <f t="shared" si="153"/>
        <v>6991974</v>
      </c>
      <c r="H87" s="110">
        <f t="shared" si="153"/>
        <v>7092293</v>
      </c>
      <c r="I87" s="110">
        <f t="shared" si="153"/>
        <v>7230178</v>
      </c>
      <c r="J87" s="110">
        <f t="shared" si="153"/>
        <v>7391903</v>
      </c>
      <c r="K87" s="110">
        <f t="shared" si="153"/>
        <v>7542331</v>
      </c>
      <c r="L87" s="110">
        <f t="shared" si="153"/>
        <v>7622353</v>
      </c>
      <c r="M87" s="110">
        <f t="shared" si="153"/>
        <v>7735547</v>
      </c>
      <c r="N87" s="110">
        <f t="shared" si="153"/>
        <v>7858712</v>
      </c>
      <c r="O87" s="110">
        <f t="shared" si="153"/>
        <v>7915613</v>
      </c>
      <c r="P87" s="110">
        <f t="shared" si="153"/>
        <v>7932290</v>
      </c>
      <c r="Q87" s="110">
        <f t="shared" si="153"/>
        <v>8100864</v>
      </c>
      <c r="R87" s="110">
        <f t="shared" si="153"/>
        <v>8223001</v>
      </c>
      <c r="S87" s="110">
        <f t="shared" si="153"/>
        <v>8373244</v>
      </c>
      <c r="T87" s="110">
        <f t="shared" si="153"/>
        <v>8442982</v>
      </c>
      <c r="U87" s="110">
        <f t="shared" si="153"/>
        <v>8677911</v>
      </c>
      <c r="V87" s="110">
        <f t="shared" si="153"/>
        <v>8793592</v>
      </c>
      <c r="W87" s="110">
        <f t="shared" ref="W87" si="154">SUM(W88:W93)</f>
        <v>8827709</v>
      </c>
      <c r="DA87" s="176"/>
    </row>
    <row r="88" spans="1:105" ht="11.45" hidden="1" customHeight="1" x14ac:dyDescent="0.25">
      <c r="A88" s="111" t="s">
        <v>110</v>
      </c>
      <c r="B88" s="84">
        <v>5048616</v>
      </c>
      <c r="C88" s="84">
        <v>5178493</v>
      </c>
      <c r="D88" s="84">
        <v>5310422</v>
      </c>
      <c r="E88" s="84">
        <v>5420603</v>
      </c>
      <c r="F88" s="84">
        <v>5455377</v>
      </c>
      <c r="G88" s="84">
        <v>5515708</v>
      </c>
      <c r="H88" s="84">
        <v>5578392</v>
      </c>
      <c r="I88" s="84">
        <v>5677085</v>
      </c>
      <c r="J88" s="84">
        <v>5832044</v>
      </c>
      <c r="K88" s="84">
        <v>5980613</v>
      </c>
      <c r="L88" s="84">
        <v>6082240</v>
      </c>
      <c r="M88" s="84">
        <v>6193380</v>
      </c>
      <c r="N88" s="84">
        <v>6314739</v>
      </c>
      <c r="O88" s="84">
        <v>6362086</v>
      </c>
      <c r="P88" s="84">
        <v>6383710</v>
      </c>
      <c r="Q88" s="84">
        <v>6495615</v>
      </c>
      <c r="R88" s="84">
        <v>6630603</v>
      </c>
      <c r="S88" s="84">
        <v>6787939</v>
      </c>
      <c r="T88" s="84">
        <v>6890413</v>
      </c>
      <c r="U88" s="84">
        <v>7122038</v>
      </c>
      <c r="V88" s="84">
        <v>7272082</v>
      </c>
      <c r="W88" s="84">
        <v>7318356</v>
      </c>
      <c r="DA88" s="171"/>
    </row>
    <row r="89" spans="1:105" ht="11.45" hidden="1" customHeight="1" x14ac:dyDescent="0.25">
      <c r="A89" s="111" t="s">
        <v>111</v>
      </c>
      <c r="B89" s="84">
        <v>822548</v>
      </c>
      <c r="C89" s="84">
        <v>880670</v>
      </c>
      <c r="D89" s="84">
        <v>930610</v>
      </c>
      <c r="E89" s="84">
        <v>984768</v>
      </c>
      <c r="F89" s="84">
        <v>1025903</v>
      </c>
      <c r="G89" s="84">
        <v>1072336</v>
      </c>
      <c r="H89" s="84">
        <v>1135051</v>
      </c>
      <c r="I89" s="84">
        <v>1200360</v>
      </c>
      <c r="J89" s="84">
        <v>1233887</v>
      </c>
      <c r="K89" s="84">
        <v>1262700</v>
      </c>
      <c r="L89" s="84">
        <v>1266982</v>
      </c>
      <c r="M89" s="84">
        <v>1299185</v>
      </c>
      <c r="N89" s="84">
        <v>1328046</v>
      </c>
      <c r="O89" s="84">
        <v>1316034</v>
      </c>
      <c r="P89" s="84">
        <v>1308715</v>
      </c>
      <c r="Q89" s="84">
        <v>1339163</v>
      </c>
      <c r="R89" s="84">
        <v>1336750</v>
      </c>
      <c r="S89" s="84">
        <v>1330834</v>
      </c>
      <c r="T89" s="84">
        <v>1284620</v>
      </c>
      <c r="U89" s="84">
        <v>1218151</v>
      </c>
      <c r="V89" s="84">
        <v>1115052</v>
      </c>
      <c r="W89" s="84">
        <v>1010944</v>
      </c>
      <c r="DA89" s="171"/>
    </row>
    <row r="90" spans="1:105" ht="11.45" hidden="1" customHeight="1" x14ac:dyDescent="0.25">
      <c r="A90" s="111" t="s">
        <v>112</v>
      </c>
      <c r="B90" s="84">
        <v>472000</v>
      </c>
      <c r="C90" s="84">
        <v>479877</v>
      </c>
      <c r="D90" s="84">
        <v>469563</v>
      </c>
      <c r="E90" s="84">
        <v>449576</v>
      </c>
      <c r="F90" s="84">
        <v>427610</v>
      </c>
      <c r="G90" s="84">
        <v>403930</v>
      </c>
      <c r="H90" s="84">
        <v>378850</v>
      </c>
      <c r="I90" s="84">
        <v>352733</v>
      </c>
      <c r="J90" s="84">
        <v>325972</v>
      </c>
      <c r="K90" s="84">
        <v>298990</v>
      </c>
      <c r="L90" s="84">
        <v>272905</v>
      </c>
      <c r="M90" s="84">
        <v>241445</v>
      </c>
      <c r="N90" s="84">
        <v>203851</v>
      </c>
      <c r="O90" s="84">
        <v>202322</v>
      </c>
      <c r="P90" s="84">
        <v>186366</v>
      </c>
      <c r="Q90" s="84">
        <v>168234</v>
      </c>
      <c r="R90" s="84">
        <v>143542</v>
      </c>
      <c r="S90" s="84">
        <v>132989</v>
      </c>
      <c r="T90" s="84">
        <v>119489</v>
      </c>
      <c r="U90" s="84">
        <v>130637</v>
      </c>
      <c r="V90" s="84">
        <v>123694</v>
      </c>
      <c r="W90" s="84">
        <v>108602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140</v>
      </c>
      <c r="M91" s="84">
        <v>673</v>
      </c>
      <c r="N91" s="84">
        <v>5650</v>
      </c>
      <c r="O91" s="84">
        <v>6498</v>
      </c>
      <c r="P91" s="84">
        <v>9737</v>
      </c>
      <c r="Q91" s="84">
        <v>10321</v>
      </c>
      <c r="R91" s="84">
        <v>3148</v>
      </c>
      <c r="S91" s="84">
        <v>3637</v>
      </c>
      <c r="T91" s="84">
        <v>10241</v>
      </c>
      <c r="U91" s="84">
        <v>10227</v>
      </c>
      <c r="V91" s="84">
        <v>9869</v>
      </c>
      <c r="W91" s="84">
        <v>8472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15</v>
      </c>
      <c r="N92" s="84">
        <v>4326</v>
      </c>
      <c r="O92" s="84">
        <v>24512</v>
      </c>
      <c r="P92" s="84">
        <v>36937</v>
      </c>
      <c r="Q92" s="84">
        <v>78163</v>
      </c>
      <c r="R92" s="84">
        <v>96156</v>
      </c>
      <c r="S92" s="84">
        <v>97047</v>
      </c>
      <c r="T92" s="84">
        <v>94719</v>
      </c>
      <c r="U92" s="84">
        <v>91850</v>
      </c>
      <c r="V92" s="84">
        <v>100371</v>
      </c>
      <c r="W92" s="84">
        <v>137673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28</v>
      </c>
      <c r="L93" s="84">
        <v>86</v>
      </c>
      <c r="M93" s="84">
        <v>849</v>
      </c>
      <c r="N93" s="84">
        <v>2100</v>
      </c>
      <c r="O93" s="84">
        <v>4161</v>
      </c>
      <c r="P93" s="84">
        <v>6825</v>
      </c>
      <c r="Q93" s="84">
        <v>9368</v>
      </c>
      <c r="R93" s="84">
        <v>12802</v>
      </c>
      <c r="S93" s="84">
        <v>20798</v>
      </c>
      <c r="T93" s="84">
        <v>43500</v>
      </c>
      <c r="U93" s="84">
        <v>105008</v>
      </c>
      <c r="V93" s="84">
        <v>172524</v>
      </c>
      <c r="W93" s="84">
        <v>243662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11206</v>
      </c>
      <c r="C94" s="110">
        <f t="shared" si="155"/>
        <v>11369</v>
      </c>
      <c r="D94" s="110">
        <f t="shared" ref="D94:V94" si="156">SUM(D95:D99)</f>
        <v>11326</v>
      </c>
      <c r="E94" s="110">
        <f t="shared" si="156"/>
        <v>11382</v>
      </c>
      <c r="F94" s="110">
        <f t="shared" si="156"/>
        <v>11344</v>
      </c>
      <c r="G94" s="110">
        <f t="shared" si="156"/>
        <v>11231</v>
      </c>
      <c r="H94" s="110">
        <f t="shared" si="156"/>
        <v>10995</v>
      </c>
      <c r="I94" s="110">
        <f t="shared" si="156"/>
        <v>10845</v>
      </c>
      <c r="J94" s="110">
        <f t="shared" si="156"/>
        <v>11091</v>
      </c>
      <c r="K94" s="110">
        <f t="shared" si="156"/>
        <v>11332</v>
      </c>
      <c r="L94" s="110">
        <f t="shared" si="156"/>
        <v>11634</v>
      </c>
      <c r="M94" s="110">
        <f t="shared" si="156"/>
        <v>11277</v>
      </c>
      <c r="N94" s="110">
        <f t="shared" si="156"/>
        <v>10986</v>
      </c>
      <c r="O94" s="110">
        <f t="shared" si="156"/>
        <v>10464</v>
      </c>
      <c r="P94" s="110">
        <f t="shared" si="156"/>
        <v>9922</v>
      </c>
      <c r="Q94" s="110">
        <f t="shared" si="156"/>
        <v>9597</v>
      </c>
      <c r="R94" s="110">
        <f t="shared" si="156"/>
        <v>9411</v>
      </c>
      <c r="S94" s="110">
        <f t="shared" si="156"/>
        <v>9822</v>
      </c>
      <c r="T94" s="110">
        <f t="shared" si="156"/>
        <v>9914</v>
      </c>
      <c r="U94" s="110">
        <f t="shared" si="156"/>
        <v>10722</v>
      </c>
      <c r="V94" s="110">
        <f t="shared" si="156"/>
        <v>10556</v>
      </c>
      <c r="W94" s="110">
        <f t="shared" ref="W94" si="157">SUM(W95:W99)</f>
        <v>10191</v>
      </c>
      <c r="DA94" s="176"/>
    </row>
    <row r="95" spans="1:105" ht="11.45" hidden="1" customHeight="1" x14ac:dyDescent="0.25">
      <c r="A95" s="111" t="s">
        <v>110</v>
      </c>
      <c r="B95" s="102">
        <v>14</v>
      </c>
      <c r="C95" s="102">
        <v>18</v>
      </c>
      <c r="D95" s="102">
        <v>22</v>
      </c>
      <c r="E95" s="102">
        <v>26</v>
      </c>
      <c r="F95" s="102">
        <v>25</v>
      </c>
      <c r="G95" s="102">
        <v>27</v>
      </c>
      <c r="H95" s="102">
        <v>28</v>
      </c>
      <c r="I95" s="102">
        <v>30</v>
      </c>
      <c r="J95" s="102">
        <v>30</v>
      </c>
      <c r="K95" s="102">
        <v>31</v>
      </c>
      <c r="L95" s="102">
        <v>34</v>
      </c>
      <c r="M95" s="102">
        <v>28</v>
      </c>
      <c r="N95" s="102">
        <v>17</v>
      </c>
      <c r="O95" s="102">
        <v>15</v>
      </c>
      <c r="P95" s="102">
        <v>14</v>
      </c>
      <c r="Q95" s="102">
        <v>23</v>
      </c>
      <c r="R95" s="102">
        <v>28</v>
      </c>
      <c r="S95" s="102">
        <v>25</v>
      </c>
      <c r="T95" s="102">
        <v>23</v>
      </c>
      <c r="U95" s="102">
        <v>118</v>
      </c>
      <c r="V95" s="102">
        <v>114</v>
      </c>
      <c r="W95" s="102">
        <v>126</v>
      </c>
      <c r="DA95" s="175"/>
    </row>
    <row r="96" spans="1:105" ht="11.45" hidden="1" customHeight="1" x14ac:dyDescent="0.25">
      <c r="A96" s="111" t="s">
        <v>111</v>
      </c>
      <c r="B96" s="102">
        <v>10950</v>
      </c>
      <c r="C96" s="102">
        <v>11120</v>
      </c>
      <c r="D96" s="102">
        <v>11081</v>
      </c>
      <c r="E96" s="102">
        <v>11153</v>
      </c>
      <c r="F96" s="102">
        <v>11125</v>
      </c>
      <c r="G96" s="102">
        <v>10974</v>
      </c>
      <c r="H96" s="102">
        <v>10733</v>
      </c>
      <c r="I96" s="102">
        <v>10577</v>
      </c>
      <c r="J96" s="102">
        <v>10787</v>
      </c>
      <c r="K96" s="102">
        <v>10895</v>
      </c>
      <c r="L96" s="102">
        <v>11077</v>
      </c>
      <c r="M96" s="102">
        <v>10489</v>
      </c>
      <c r="N96" s="102">
        <v>10013</v>
      </c>
      <c r="O96" s="102">
        <v>9428</v>
      </c>
      <c r="P96" s="102">
        <v>8835</v>
      </c>
      <c r="Q96" s="102">
        <v>8365</v>
      </c>
      <c r="R96" s="102">
        <v>7923</v>
      </c>
      <c r="S96" s="102">
        <v>8047</v>
      </c>
      <c r="T96" s="102">
        <v>7888</v>
      </c>
      <c r="U96" s="102">
        <v>7961</v>
      </c>
      <c r="V96" s="102">
        <v>6988</v>
      </c>
      <c r="W96" s="102">
        <v>6162</v>
      </c>
      <c r="DA96" s="175"/>
    </row>
    <row r="97" spans="1:105" ht="11.45" hidden="1" customHeight="1" x14ac:dyDescent="0.25">
      <c r="A97" s="111" t="s">
        <v>112</v>
      </c>
      <c r="B97" s="102">
        <v>186</v>
      </c>
      <c r="C97" s="102">
        <v>178</v>
      </c>
      <c r="D97" s="102">
        <v>155</v>
      </c>
      <c r="E97" s="102">
        <v>144</v>
      </c>
      <c r="F97" s="102">
        <v>125</v>
      </c>
      <c r="G97" s="102">
        <v>155</v>
      </c>
      <c r="H97" s="102">
        <v>127</v>
      </c>
      <c r="I97" s="102">
        <v>113</v>
      </c>
      <c r="J97" s="102">
        <v>112</v>
      </c>
      <c r="K97" s="102">
        <v>105</v>
      </c>
      <c r="L97" s="102">
        <v>105</v>
      </c>
      <c r="M97" s="102">
        <v>101</v>
      </c>
      <c r="N97" s="102">
        <v>98</v>
      </c>
      <c r="O97" s="102">
        <v>97</v>
      </c>
      <c r="P97" s="102">
        <v>95</v>
      </c>
      <c r="Q97" s="102">
        <v>95</v>
      </c>
      <c r="R97" s="102">
        <v>94</v>
      </c>
      <c r="S97" s="102">
        <v>91</v>
      </c>
      <c r="T97" s="102">
        <v>89</v>
      </c>
      <c r="U97" s="102">
        <v>89</v>
      </c>
      <c r="V97" s="102">
        <v>86</v>
      </c>
      <c r="W97" s="102">
        <v>84</v>
      </c>
      <c r="DA97" s="175"/>
    </row>
    <row r="98" spans="1:105" ht="11.45" hidden="1" customHeight="1" x14ac:dyDescent="0.25">
      <c r="A98" s="111" t="s">
        <v>113</v>
      </c>
      <c r="B98" s="102">
        <v>6</v>
      </c>
      <c r="C98" s="102">
        <v>9</v>
      </c>
      <c r="D98" s="102">
        <v>18</v>
      </c>
      <c r="E98" s="102">
        <v>16</v>
      </c>
      <c r="F98" s="102">
        <v>15</v>
      </c>
      <c r="G98" s="102">
        <v>19</v>
      </c>
      <c r="H98" s="102">
        <v>50</v>
      </c>
      <c r="I98" s="102">
        <v>68</v>
      </c>
      <c r="J98" s="102">
        <v>115</v>
      </c>
      <c r="K98" s="102">
        <v>244</v>
      </c>
      <c r="L98" s="102">
        <v>328</v>
      </c>
      <c r="M98" s="102">
        <v>573</v>
      </c>
      <c r="N98" s="102">
        <v>771</v>
      </c>
      <c r="O98" s="102">
        <v>851</v>
      </c>
      <c r="P98" s="102">
        <v>898</v>
      </c>
      <c r="Q98" s="102">
        <v>1020</v>
      </c>
      <c r="R98" s="102">
        <v>1211</v>
      </c>
      <c r="S98" s="102">
        <v>1364</v>
      </c>
      <c r="T98" s="102">
        <v>1514</v>
      </c>
      <c r="U98" s="102">
        <v>1779</v>
      </c>
      <c r="V98" s="102">
        <v>2162</v>
      </c>
      <c r="W98" s="102">
        <v>2468</v>
      </c>
      <c r="DA98" s="175"/>
    </row>
    <row r="99" spans="1:105" ht="11.45" hidden="1" customHeight="1" x14ac:dyDescent="0.25">
      <c r="A99" s="111" t="s">
        <v>115</v>
      </c>
      <c r="B99" s="102">
        <v>50</v>
      </c>
      <c r="C99" s="102">
        <v>44</v>
      </c>
      <c r="D99" s="102">
        <v>50</v>
      </c>
      <c r="E99" s="102">
        <v>43</v>
      </c>
      <c r="F99" s="102">
        <v>54</v>
      </c>
      <c r="G99" s="102">
        <v>56</v>
      </c>
      <c r="H99" s="102">
        <v>57</v>
      </c>
      <c r="I99" s="102">
        <v>57</v>
      </c>
      <c r="J99" s="102">
        <v>47</v>
      </c>
      <c r="K99" s="102">
        <v>57</v>
      </c>
      <c r="L99" s="102">
        <v>90</v>
      </c>
      <c r="M99" s="102">
        <v>86</v>
      </c>
      <c r="N99" s="102">
        <v>87</v>
      </c>
      <c r="O99" s="102">
        <v>73</v>
      </c>
      <c r="P99" s="102">
        <v>80</v>
      </c>
      <c r="Q99" s="102">
        <v>94</v>
      </c>
      <c r="R99" s="102">
        <v>155</v>
      </c>
      <c r="S99" s="102">
        <v>295</v>
      </c>
      <c r="T99" s="102">
        <v>400</v>
      </c>
      <c r="U99" s="102">
        <v>775</v>
      </c>
      <c r="V99" s="102">
        <v>1206</v>
      </c>
      <c r="W99" s="102">
        <v>1351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809779</v>
      </c>
      <c r="C100" s="28">
        <f t="shared" si="158"/>
        <v>873217</v>
      </c>
      <c r="D100" s="28">
        <f t="shared" ref="D100:V100" si="159">D101+D107</f>
        <v>915422</v>
      </c>
      <c r="E100" s="28">
        <f t="shared" si="159"/>
        <v>951806</v>
      </c>
      <c r="F100" s="28">
        <f t="shared" si="159"/>
        <v>967814</v>
      </c>
      <c r="G100" s="28">
        <f t="shared" si="159"/>
        <v>996746</v>
      </c>
      <c r="H100" s="28">
        <f t="shared" si="159"/>
        <v>965363</v>
      </c>
      <c r="I100" s="28">
        <f t="shared" si="159"/>
        <v>960477</v>
      </c>
      <c r="J100" s="28">
        <f t="shared" si="159"/>
        <v>973323</v>
      </c>
      <c r="K100" s="28">
        <f t="shared" si="159"/>
        <v>991929</v>
      </c>
      <c r="L100" s="28">
        <f t="shared" si="159"/>
        <v>988419</v>
      </c>
      <c r="M100" s="28">
        <f t="shared" si="159"/>
        <v>975099</v>
      </c>
      <c r="N100" s="28">
        <f t="shared" si="159"/>
        <v>964495</v>
      </c>
      <c r="O100" s="28">
        <f t="shared" si="159"/>
        <v>927424</v>
      </c>
      <c r="P100" s="28">
        <f t="shared" si="159"/>
        <v>925467</v>
      </c>
      <c r="Q100" s="28">
        <f t="shared" si="159"/>
        <v>940108</v>
      </c>
      <c r="R100" s="28">
        <f t="shared" si="159"/>
        <v>969419</v>
      </c>
      <c r="S100" s="28">
        <f t="shared" si="159"/>
        <v>1001912</v>
      </c>
      <c r="T100" s="28">
        <f t="shared" si="159"/>
        <v>1023793</v>
      </c>
      <c r="U100" s="28">
        <f t="shared" si="159"/>
        <v>1067775</v>
      </c>
      <c r="V100" s="28">
        <f t="shared" si="159"/>
        <v>1089078</v>
      </c>
      <c r="W100" s="28">
        <f t="shared" ref="W100" si="160">W101+W107</f>
        <v>1101194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696135</v>
      </c>
      <c r="C101" s="137">
        <f t="shared" si="161"/>
        <v>755776</v>
      </c>
      <c r="D101" s="137">
        <f t="shared" ref="D101:V101" si="162">SUM(D102:D106)</f>
        <v>797594</v>
      </c>
      <c r="E101" s="137">
        <f t="shared" si="162"/>
        <v>835710</v>
      </c>
      <c r="F101" s="137">
        <f t="shared" si="162"/>
        <v>866753</v>
      </c>
      <c r="G101" s="137">
        <f t="shared" si="162"/>
        <v>893455</v>
      </c>
      <c r="H101" s="137">
        <f t="shared" si="162"/>
        <v>862974</v>
      </c>
      <c r="I101" s="137">
        <f t="shared" si="162"/>
        <v>849348</v>
      </c>
      <c r="J101" s="137">
        <f t="shared" si="162"/>
        <v>862303</v>
      </c>
      <c r="K101" s="137">
        <f t="shared" si="162"/>
        <v>876170</v>
      </c>
      <c r="L101" s="137">
        <f t="shared" si="162"/>
        <v>872355</v>
      </c>
      <c r="M101" s="137">
        <f t="shared" si="162"/>
        <v>861250</v>
      </c>
      <c r="N101" s="137">
        <f t="shared" si="162"/>
        <v>849666</v>
      </c>
      <c r="O101" s="137">
        <f t="shared" si="162"/>
        <v>815169</v>
      </c>
      <c r="P101" s="137">
        <f t="shared" si="162"/>
        <v>814954</v>
      </c>
      <c r="Q101" s="137">
        <f t="shared" si="162"/>
        <v>828383</v>
      </c>
      <c r="R101" s="137">
        <f t="shared" si="162"/>
        <v>852632</v>
      </c>
      <c r="S101" s="137">
        <f t="shared" si="162"/>
        <v>883350</v>
      </c>
      <c r="T101" s="137">
        <f t="shared" si="162"/>
        <v>903005</v>
      </c>
      <c r="U101" s="137">
        <f t="shared" si="162"/>
        <v>939801</v>
      </c>
      <c r="V101" s="137">
        <f t="shared" si="162"/>
        <v>960130</v>
      </c>
      <c r="W101" s="137">
        <f t="shared" ref="W101" si="163">SUM(W102:W106)</f>
        <v>974792</v>
      </c>
      <c r="DA101" s="174"/>
    </row>
    <row r="102" spans="1:105" ht="11.45" hidden="1" customHeight="1" x14ac:dyDescent="0.25">
      <c r="A102" s="111" t="s">
        <v>110</v>
      </c>
      <c r="B102" s="84">
        <v>71434</v>
      </c>
      <c r="C102" s="84">
        <v>65762</v>
      </c>
      <c r="D102" s="84">
        <v>60062</v>
      </c>
      <c r="E102" s="84">
        <v>54833</v>
      </c>
      <c r="F102" s="84">
        <v>49915</v>
      </c>
      <c r="G102" s="84">
        <v>47861</v>
      </c>
      <c r="H102" s="84">
        <v>42439</v>
      </c>
      <c r="I102" s="84">
        <v>37753</v>
      </c>
      <c r="J102" s="84">
        <v>35284</v>
      </c>
      <c r="K102" s="84">
        <v>33640</v>
      </c>
      <c r="L102" s="84">
        <v>31768</v>
      </c>
      <c r="M102" s="84">
        <v>30049</v>
      </c>
      <c r="N102" s="84">
        <v>28582</v>
      </c>
      <c r="O102" s="84">
        <v>25686</v>
      </c>
      <c r="P102" s="84">
        <v>25372</v>
      </c>
      <c r="Q102" s="84">
        <v>25464</v>
      </c>
      <c r="R102" s="84">
        <v>26137</v>
      </c>
      <c r="S102" s="84">
        <v>27022</v>
      </c>
      <c r="T102" s="84">
        <v>26291</v>
      </c>
      <c r="U102" s="84">
        <v>29919</v>
      </c>
      <c r="V102" s="84">
        <v>32113</v>
      </c>
      <c r="W102" s="84">
        <v>33036</v>
      </c>
      <c r="DA102" s="171"/>
    </row>
    <row r="103" spans="1:105" ht="11.45" hidden="1" customHeight="1" x14ac:dyDescent="0.25">
      <c r="A103" s="111" t="s">
        <v>111</v>
      </c>
      <c r="B103" s="84">
        <v>601332</v>
      </c>
      <c r="C103" s="84">
        <v>666498</v>
      </c>
      <c r="D103" s="84">
        <v>714126</v>
      </c>
      <c r="E103" s="84">
        <v>757999</v>
      </c>
      <c r="F103" s="84">
        <v>794846</v>
      </c>
      <c r="G103" s="84">
        <v>826524</v>
      </c>
      <c r="H103" s="84">
        <v>803023</v>
      </c>
      <c r="I103" s="84">
        <v>794504</v>
      </c>
      <c r="J103" s="84">
        <v>809945</v>
      </c>
      <c r="K103" s="84">
        <v>825102</v>
      </c>
      <c r="L103" s="84">
        <v>823018</v>
      </c>
      <c r="M103" s="84">
        <v>813346</v>
      </c>
      <c r="N103" s="84">
        <v>802792</v>
      </c>
      <c r="O103" s="84">
        <v>770747</v>
      </c>
      <c r="P103" s="84">
        <v>770207</v>
      </c>
      <c r="Q103" s="84">
        <v>783272</v>
      </c>
      <c r="R103" s="84">
        <v>807639</v>
      </c>
      <c r="S103" s="84">
        <v>835674</v>
      </c>
      <c r="T103" s="84">
        <v>851922</v>
      </c>
      <c r="U103" s="84">
        <v>878700</v>
      </c>
      <c r="V103" s="84">
        <v>894185</v>
      </c>
      <c r="W103" s="84">
        <v>907555</v>
      </c>
      <c r="DA103" s="171"/>
    </row>
    <row r="104" spans="1:105" ht="11.45" hidden="1" customHeight="1" x14ac:dyDescent="0.25">
      <c r="A104" s="111" t="s">
        <v>112</v>
      </c>
      <c r="B104" s="84">
        <v>23369</v>
      </c>
      <c r="C104" s="84">
        <v>23516</v>
      </c>
      <c r="D104" s="84">
        <v>23406</v>
      </c>
      <c r="E104" s="84">
        <v>22794</v>
      </c>
      <c r="F104" s="84">
        <v>21756</v>
      </c>
      <c r="G104" s="84">
        <v>18847</v>
      </c>
      <c r="H104" s="84">
        <v>17292</v>
      </c>
      <c r="I104" s="84">
        <v>16591</v>
      </c>
      <c r="J104" s="84">
        <v>16574</v>
      </c>
      <c r="K104" s="84">
        <v>16585</v>
      </c>
      <c r="L104" s="84">
        <v>16379</v>
      </c>
      <c r="M104" s="84">
        <v>16293</v>
      </c>
      <c r="N104" s="84">
        <v>16094</v>
      </c>
      <c r="O104" s="84">
        <v>15894</v>
      </c>
      <c r="P104" s="84">
        <v>15605</v>
      </c>
      <c r="Q104" s="84">
        <v>15468</v>
      </c>
      <c r="R104" s="84">
        <v>15720</v>
      </c>
      <c r="S104" s="84">
        <v>16306</v>
      </c>
      <c r="T104" s="84">
        <v>17579</v>
      </c>
      <c r="U104" s="84">
        <v>22533</v>
      </c>
      <c r="V104" s="84">
        <v>23460</v>
      </c>
      <c r="W104" s="84">
        <v>21081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84</v>
      </c>
      <c r="F105" s="84">
        <v>236</v>
      </c>
      <c r="G105" s="84">
        <v>223</v>
      </c>
      <c r="H105" s="84">
        <v>220</v>
      </c>
      <c r="I105" s="84">
        <v>500</v>
      </c>
      <c r="J105" s="84">
        <v>500</v>
      </c>
      <c r="K105" s="84">
        <v>843</v>
      </c>
      <c r="L105" s="84">
        <v>1190</v>
      </c>
      <c r="M105" s="84">
        <v>1546</v>
      </c>
      <c r="N105" s="84">
        <v>1803</v>
      </c>
      <c r="O105" s="84">
        <v>2173</v>
      </c>
      <c r="P105" s="84">
        <v>2512</v>
      </c>
      <c r="Q105" s="84">
        <v>2719</v>
      </c>
      <c r="R105" s="84">
        <v>1590</v>
      </c>
      <c r="S105" s="84">
        <v>2192</v>
      </c>
      <c r="T105" s="84">
        <v>4100</v>
      </c>
      <c r="U105" s="84">
        <v>4306</v>
      </c>
      <c r="V105" s="84">
        <v>4434</v>
      </c>
      <c r="W105" s="84">
        <v>4142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16</v>
      </c>
      <c r="N106" s="84">
        <v>395</v>
      </c>
      <c r="O106" s="84">
        <v>669</v>
      </c>
      <c r="P106" s="84">
        <v>1258</v>
      </c>
      <c r="Q106" s="84">
        <v>1460</v>
      </c>
      <c r="R106" s="84">
        <v>1546</v>
      </c>
      <c r="S106" s="84">
        <v>2156</v>
      </c>
      <c r="T106" s="84">
        <v>3113</v>
      </c>
      <c r="U106" s="84">
        <v>4343</v>
      </c>
      <c r="V106" s="84">
        <v>5938</v>
      </c>
      <c r="W106" s="84">
        <v>8978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113644</v>
      </c>
      <c r="C107" s="110">
        <f t="shared" si="164"/>
        <v>117441</v>
      </c>
      <c r="D107" s="110">
        <f t="shared" ref="D107:V107" si="165">SUM(D108:D109)</f>
        <v>117828</v>
      </c>
      <c r="E107" s="110">
        <f t="shared" si="165"/>
        <v>116096</v>
      </c>
      <c r="F107" s="110">
        <f t="shared" si="165"/>
        <v>101061</v>
      </c>
      <c r="G107" s="110">
        <f t="shared" si="165"/>
        <v>103291</v>
      </c>
      <c r="H107" s="110">
        <f t="shared" si="165"/>
        <v>102389</v>
      </c>
      <c r="I107" s="110">
        <f t="shared" si="165"/>
        <v>111129</v>
      </c>
      <c r="J107" s="110">
        <f t="shared" si="165"/>
        <v>111020</v>
      </c>
      <c r="K107" s="110">
        <f t="shared" si="165"/>
        <v>115759</v>
      </c>
      <c r="L107" s="110">
        <f t="shared" si="165"/>
        <v>116064</v>
      </c>
      <c r="M107" s="110">
        <f t="shared" si="165"/>
        <v>113849</v>
      </c>
      <c r="N107" s="110">
        <f t="shared" si="165"/>
        <v>114829</v>
      </c>
      <c r="O107" s="110">
        <f t="shared" si="165"/>
        <v>112255</v>
      </c>
      <c r="P107" s="110">
        <f t="shared" si="165"/>
        <v>110513</v>
      </c>
      <c r="Q107" s="110">
        <f t="shared" si="165"/>
        <v>111725</v>
      </c>
      <c r="R107" s="110">
        <f t="shared" si="165"/>
        <v>116787</v>
      </c>
      <c r="S107" s="110">
        <f t="shared" si="165"/>
        <v>118562</v>
      </c>
      <c r="T107" s="110">
        <f t="shared" si="165"/>
        <v>120788</v>
      </c>
      <c r="U107" s="110">
        <f t="shared" si="165"/>
        <v>127974</v>
      </c>
      <c r="V107" s="110">
        <f t="shared" si="165"/>
        <v>128948</v>
      </c>
      <c r="W107" s="110">
        <f t="shared" ref="W107" si="166">SUM(W108:W109)</f>
        <v>126402</v>
      </c>
      <c r="DA107" s="176"/>
    </row>
    <row r="108" spans="1:105" ht="11.45" hidden="1" customHeight="1" x14ac:dyDescent="0.25">
      <c r="A108" s="128" t="s">
        <v>27</v>
      </c>
      <c r="B108" s="102">
        <v>102971</v>
      </c>
      <c r="C108" s="102">
        <v>105998</v>
      </c>
      <c r="D108" s="102">
        <v>105790</v>
      </c>
      <c r="E108" s="102">
        <v>103792</v>
      </c>
      <c r="F108" s="102">
        <v>86513</v>
      </c>
      <c r="G108" s="102">
        <v>88232</v>
      </c>
      <c r="H108" s="102">
        <v>86461</v>
      </c>
      <c r="I108" s="102">
        <v>95044</v>
      </c>
      <c r="J108" s="102">
        <v>94652</v>
      </c>
      <c r="K108" s="102">
        <v>100642</v>
      </c>
      <c r="L108" s="102">
        <v>100210</v>
      </c>
      <c r="M108" s="102">
        <v>98186</v>
      </c>
      <c r="N108" s="102">
        <v>99526</v>
      </c>
      <c r="O108" s="102">
        <v>96659</v>
      </c>
      <c r="P108" s="102">
        <v>94462</v>
      </c>
      <c r="Q108" s="102">
        <v>95313</v>
      </c>
      <c r="R108" s="102">
        <v>99257</v>
      </c>
      <c r="S108" s="102">
        <v>100902</v>
      </c>
      <c r="T108" s="102">
        <v>103468</v>
      </c>
      <c r="U108" s="102">
        <v>109899</v>
      </c>
      <c r="V108" s="102">
        <v>110156</v>
      </c>
      <c r="W108" s="102">
        <v>107934</v>
      </c>
      <c r="DA108" s="175"/>
    </row>
    <row r="109" spans="1:105" ht="11.45" hidden="1" customHeight="1" x14ac:dyDescent="0.25">
      <c r="A109" s="138" t="s">
        <v>116</v>
      </c>
      <c r="B109" s="86">
        <v>10673</v>
      </c>
      <c r="C109" s="86">
        <v>11443</v>
      </c>
      <c r="D109" s="86">
        <v>12038</v>
      </c>
      <c r="E109" s="86">
        <v>12304</v>
      </c>
      <c r="F109" s="86">
        <v>14548</v>
      </c>
      <c r="G109" s="86">
        <v>15059</v>
      </c>
      <c r="H109" s="86">
        <v>15928</v>
      </c>
      <c r="I109" s="86">
        <v>16085</v>
      </c>
      <c r="J109" s="86">
        <v>16368</v>
      </c>
      <c r="K109" s="86">
        <v>15117</v>
      </c>
      <c r="L109" s="86">
        <v>15854</v>
      </c>
      <c r="M109" s="86">
        <v>15663</v>
      </c>
      <c r="N109" s="86">
        <v>15303</v>
      </c>
      <c r="O109" s="86">
        <v>15596</v>
      </c>
      <c r="P109" s="86">
        <v>16051</v>
      </c>
      <c r="Q109" s="86">
        <v>16412</v>
      </c>
      <c r="R109" s="86">
        <v>17530</v>
      </c>
      <c r="S109" s="86">
        <v>17660</v>
      </c>
      <c r="T109" s="86">
        <v>17320</v>
      </c>
      <c r="U109" s="86">
        <v>18075</v>
      </c>
      <c r="V109" s="86">
        <v>18792</v>
      </c>
      <c r="W109" s="86">
        <v>18468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742663</v>
      </c>
      <c r="C111" s="54">
        <f t="shared" si="167"/>
        <v>719440</v>
      </c>
      <c r="D111" s="54">
        <f t="shared" si="167"/>
        <v>692746</v>
      </c>
      <c r="E111" s="54">
        <f t="shared" si="167"/>
        <v>634194</v>
      </c>
      <c r="F111" s="54">
        <f t="shared" si="167"/>
        <v>629314</v>
      </c>
      <c r="G111" s="54">
        <f t="shared" si="167"/>
        <v>707354</v>
      </c>
      <c r="H111" s="54">
        <f t="shared" si="167"/>
        <v>835368</v>
      </c>
      <c r="I111" s="54">
        <f t="shared" si="167"/>
        <v>748793</v>
      </c>
      <c r="J111" s="54">
        <f t="shared" si="167"/>
        <v>785629</v>
      </c>
      <c r="K111" s="54">
        <f t="shared" si="167"/>
        <v>774161</v>
      </c>
      <c r="L111" s="54">
        <f t="shared" ref="L111" si="168">L112+L127</f>
        <v>746566</v>
      </c>
      <c r="M111" s="54">
        <f t="shared" ref="M111:V111" si="169">M112+M127</f>
        <v>767987</v>
      </c>
      <c r="N111" s="54">
        <f t="shared" si="169"/>
        <v>731052</v>
      </c>
      <c r="O111" s="54">
        <f t="shared" si="169"/>
        <v>643864</v>
      </c>
      <c r="P111" s="54">
        <f t="shared" si="169"/>
        <v>571851</v>
      </c>
      <c r="Q111" s="54">
        <f t="shared" si="169"/>
        <v>677055</v>
      </c>
      <c r="R111" s="54">
        <f t="shared" si="169"/>
        <v>612891</v>
      </c>
      <c r="S111" s="54">
        <f t="shared" si="169"/>
        <v>647021</v>
      </c>
      <c r="T111" s="54">
        <f t="shared" si="169"/>
        <v>636022</v>
      </c>
      <c r="U111" s="54">
        <f t="shared" si="169"/>
        <v>756864</v>
      </c>
      <c r="V111" s="54">
        <f t="shared" si="169"/>
        <v>761171</v>
      </c>
      <c r="W111" s="54">
        <f t="shared" ref="W111" si="170">W112+W127</f>
        <v>735865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631783</v>
      </c>
      <c r="C112" s="28">
        <f t="shared" si="171"/>
        <v>611398</v>
      </c>
      <c r="D112" s="28">
        <f t="shared" si="171"/>
        <v>597807</v>
      </c>
      <c r="E112" s="28">
        <f t="shared" si="171"/>
        <v>544806</v>
      </c>
      <c r="F112" s="28">
        <f t="shared" si="171"/>
        <v>544510</v>
      </c>
      <c r="G112" s="28">
        <f t="shared" si="171"/>
        <v>612200</v>
      </c>
      <c r="H112" s="28">
        <f t="shared" si="171"/>
        <v>760961</v>
      </c>
      <c r="I112" s="28">
        <f t="shared" si="171"/>
        <v>671929</v>
      </c>
      <c r="J112" s="28">
        <f t="shared" si="171"/>
        <v>695192</v>
      </c>
      <c r="K112" s="28">
        <f t="shared" si="171"/>
        <v>679326</v>
      </c>
      <c r="L112" s="28">
        <f t="shared" ref="L112" si="172">L113+L114+L121</f>
        <v>684665</v>
      </c>
      <c r="M112" s="28">
        <f t="shared" ref="M112:V112" si="173">M113+M114+M121</f>
        <v>702279</v>
      </c>
      <c r="N112" s="28">
        <f t="shared" si="173"/>
        <v>663408</v>
      </c>
      <c r="O112" s="28">
        <f t="shared" si="173"/>
        <v>579959</v>
      </c>
      <c r="P112" s="28">
        <f t="shared" si="173"/>
        <v>507697</v>
      </c>
      <c r="Q112" s="28">
        <f t="shared" si="173"/>
        <v>608680</v>
      </c>
      <c r="R112" s="28">
        <f t="shared" si="173"/>
        <v>528294</v>
      </c>
      <c r="S112" s="28">
        <f t="shared" si="173"/>
        <v>559590</v>
      </c>
      <c r="T112" s="28">
        <f t="shared" si="173"/>
        <v>543792</v>
      </c>
      <c r="U112" s="28">
        <f t="shared" si="173"/>
        <v>656623</v>
      </c>
      <c r="V112" s="28">
        <f t="shared" si="173"/>
        <v>686628</v>
      </c>
      <c r="W112" s="28">
        <f t="shared" ref="W112" si="174">W113+W114+W121</f>
        <v>660224</v>
      </c>
      <c r="DA112" s="173" t="s">
        <v>526</v>
      </c>
    </row>
    <row r="113" spans="1:105" ht="11.45" customHeight="1" x14ac:dyDescent="0.25">
      <c r="A113" s="136" t="s">
        <v>180</v>
      </c>
      <c r="B113" s="137">
        <v>30420</v>
      </c>
      <c r="C113" s="137">
        <v>27221</v>
      </c>
      <c r="D113" s="137">
        <v>80755</v>
      </c>
      <c r="E113" s="137">
        <v>43639</v>
      </c>
      <c r="F113" s="137">
        <v>59832</v>
      </c>
      <c r="G113" s="137">
        <v>138878</v>
      </c>
      <c r="H113" s="137">
        <v>284344</v>
      </c>
      <c r="I113" s="137">
        <v>172213</v>
      </c>
      <c r="J113" s="137">
        <v>199079</v>
      </c>
      <c r="K113" s="137">
        <v>188881</v>
      </c>
      <c r="L113" s="137">
        <v>168700</v>
      </c>
      <c r="M113" s="137">
        <v>107477</v>
      </c>
      <c r="N113" s="137">
        <v>85943</v>
      </c>
      <c r="O113" s="137">
        <v>67515</v>
      </c>
      <c r="P113" s="137">
        <v>73628</v>
      </c>
      <c r="Q113" s="137">
        <v>82000</v>
      </c>
      <c r="R113" s="137">
        <v>89846</v>
      </c>
      <c r="S113" s="137">
        <v>102895</v>
      </c>
      <c r="T113" s="137">
        <v>78824</v>
      </c>
      <c r="U113" s="137">
        <v>95773</v>
      </c>
      <c r="V113" s="137">
        <v>143759</v>
      </c>
      <c r="W113" s="137">
        <v>25023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600451</v>
      </c>
      <c r="C114" s="110">
        <f t="shared" si="175"/>
        <v>583333</v>
      </c>
      <c r="D114" s="110">
        <f t="shared" si="175"/>
        <v>516357</v>
      </c>
      <c r="E114" s="110">
        <f t="shared" si="175"/>
        <v>500289</v>
      </c>
      <c r="F114" s="110">
        <f t="shared" si="175"/>
        <v>483745</v>
      </c>
      <c r="G114" s="110">
        <f t="shared" si="175"/>
        <v>472187</v>
      </c>
      <c r="H114" s="110">
        <f t="shared" si="175"/>
        <v>475825</v>
      </c>
      <c r="I114" s="110">
        <f t="shared" si="175"/>
        <v>498567</v>
      </c>
      <c r="J114" s="110">
        <f t="shared" si="175"/>
        <v>494904</v>
      </c>
      <c r="K114" s="110">
        <f t="shared" si="175"/>
        <v>489283</v>
      </c>
      <c r="L114" s="110">
        <f t="shared" ref="L114" si="176">SUM(L115:L120)</f>
        <v>515393</v>
      </c>
      <c r="M114" s="110">
        <f t="shared" ref="M114:V114" si="177">SUM(M115:M120)</f>
        <v>594557</v>
      </c>
      <c r="N114" s="110">
        <f t="shared" si="177"/>
        <v>576681</v>
      </c>
      <c r="O114" s="110">
        <f t="shared" si="177"/>
        <v>511783</v>
      </c>
      <c r="P114" s="110">
        <f t="shared" si="177"/>
        <v>433400</v>
      </c>
      <c r="Q114" s="110">
        <f t="shared" si="177"/>
        <v>525935</v>
      </c>
      <c r="R114" s="110">
        <f t="shared" si="177"/>
        <v>437565</v>
      </c>
      <c r="S114" s="110">
        <f t="shared" si="177"/>
        <v>455808</v>
      </c>
      <c r="T114" s="110">
        <f t="shared" si="177"/>
        <v>464113</v>
      </c>
      <c r="U114" s="110">
        <f t="shared" si="177"/>
        <v>559387</v>
      </c>
      <c r="V114" s="110">
        <f t="shared" si="177"/>
        <v>541400</v>
      </c>
      <c r="W114" s="110">
        <f t="shared" ref="W114" si="178">SUM(W115:W120)</f>
        <v>634112</v>
      </c>
      <c r="DA114" s="176" t="s">
        <v>528</v>
      </c>
    </row>
    <row r="115" spans="1:105" ht="11.45" customHeight="1" x14ac:dyDescent="0.25">
      <c r="A115" s="111" t="s">
        <v>110</v>
      </c>
      <c r="B115" s="84">
        <v>465217</v>
      </c>
      <c r="C115" s="84">
        <v>442153</v>
      </c>
      <c r="D115" s="84">
        <v>391072</v>
      </c>
      <c r="E115" s="84">
        <v>373513</v>
      </c>
      <c r="F115" s="84">
        <v>356206</v>
      </c>
      <c r="G115" s="84">
        <v>343127</v>
      </c>
      <c r="H115" s="84">
        <v>345785</v>
      </c>
      <c r="I115" s="84">
        <v>355210</v>
      </c>
      <c r="J115" s="84">
        <v>364582</v>
      </c>
      <c r="K115" s="84">
        <v>384638</v>
      </c>
      <c r="L115" s="84">
        <v>413886</v>
      </c>
      <c r="M115" s="84">
        <v>423429</v>
      </c>
      <c r="N115" s="84">
        <v>389475</v>
      </c>
      <c r="O115" s="84">
        <v>336303</v>
      </c>
      <c r="P115" s="84">
        <v>275422</v>
      </c>
      <c r="Q115" s="84">
        <v>323552</v>
      </c>
      <c r="R115" s="84">
        <v>321820</v>
      </c>
      <c r="S115" s="84">
        <v>354781</v>
      </c>
      <c r="T115" s="84">
        <v>355874</v>
      </c>
      <c r="U115" s="84">
        <v>433431</v>
      </c>
      <c r="V115" s="84">
        <v>419506</v>
      </c>
      <c r="W115" s="84">
        <v>503188</v>
      </c>
      <c r="DA115" s="171" t="s">
        <v>529</v>
      </c>
    </row>
    <row r="116" spans="1:105" ht="11.45" customHeight="1" x14ac:dyDescent="0.25">
      <c r="A116" s="111" t="s">
        <v>111</v>
      </c>
      <c r="B116" s="84">
        <v>135234</v>
      </c>
      <c r="C116" s="84">
        <v>133303</v>
      </c>
      <c r="D116" s="84">
        <v>125285</v>
      </c>
      <c r="E116" s="84">
        <v>126776</v>
      </c>
      <c r="F116" s="84">
        <v>127539</v>
      </c>
      <c r="G116" s="84">
        <v>129060</v>
      </c>
      <c r="H116" s="84">
        <v>130040</v>
      </c>
      <c r="I116" s="84">
        <v>143357</v>
      </c>
      <c r="J116" s="84">
        <v>130322</v>
      </c>
      <c r="K116" s="84">
        <v>104617</v>
      </c>
      <c r="L116" s="84">
        <v>100591</v>
      </c>
      <c r="M116" s="84">
        <v>161679</v>
      </c>
      <c r="N116" s="84">
        <v>167732</v>
      </c>
      <c r="O116" s="84">
        <v>146699</v>
      </c>
      <c r="P116" s="84">
        <v>128687</v>
      </c>
      <c r="Q116" s="84">
        <v>156039</v>
      </c>
      <c r="R116" s="84">
        <v>91260</v>
      </c>
      <c r="S116" s="84">
        <v>88719</v>
      </c>
      <c r="T116" s="84">
        <v>72759</v>
      </c>
      <c r="U116" s="84">
        <v>47631</v>
      </c>
      <c r="V116" s="84">
        <v>26629</v>
      </c>
      <c r="W116" s="84">
        <v>19254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7877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  <c r="L117" s="84">
        <v>690</v>
      </c>
      <c r="M117" s="84">
        <v>7912</v>
      </c>
      <c r="N117" s="84">
        <v>8918</v>
      </c>
      <c r="O117" s="84">
        <v>4623</v>
      </c>
      <c r="P117" s="84">
        <v>1206</v>
      </c>
      <c r="Q117" s="84">
        <v>518</v>
      </c>
      <c r="R117" s="84">
        <v>982</v>
      </c>
      <c r="S117" s="84">
        <v>1286</v>
      </c>
      <c r="T117" s="84">
        <v>1015</v>
      </c>
      <c r="U117" s="84">
        <v>11403</v>
      </c>
      <c r="V117" s="84">
        <v>2062</v>
      </c>
      <c r="W117" s="84">
        <v>2229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140</v>
      </c>
      <c r="M118" s="84">
        <v>673</v>
      </c>
      <c r="N118" s="84">
        <v>4978</v>
      </c>
      <c r="O118" s="84">
        <v>852</v>
      </c>
      <c r="P118" s="84">
        <v>3248</v>
      </c>
      <c r="Q118" s="84">
        <v>755</v>
      </c>
      <c r="R118" s="84">
        <v>659</v>
      </c>
      <c r="S118" s="84">
        <v>1268</v>
      </c>
      <c r="T118" s="84">
        <v>6654</v>
      </c>
      <c r="U118" s="84">
        <v>295</v>
      </c>
      <c r="V118" s="84">
        <v>60</v>
      </c>
      <c r="W118" s="84">
        <v>39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15</v>
      </c>
      <c r="N119" s="84">
        <v>4326</v>
      </c>
      <c r="O119" s="84">
        <v>20188</v>
      </c>
      <c r="P119" s="84">
        <v>21279</v>
      </c>
      <c r="Q119" s="84">
        <v>41274</v>
      </c>
      <c r="R119" s="84">
        <v>18775</v>
      </c>
      <c r="S119" s="84">
        <v>1165</v>
      </c>
      <c r="T119" s="84">
        <v>3584</v>
      </c>
      <c r="U119" s="84">
        <v>4931</v>
      </c>
      <c r="V119" s="84">
        <v>20014</v>
      </c>
      <c r="W119" s="84">
        <v>37957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28</v>
      </c>
      <c r="L120" s="84">
        <v>86</v>
      </c>
      <c r="M120" s="84">
        <v>849</v>
      </c>
      <c r="N120" s="84">
        <v>1252</v>
      </c>
      <c r="O120" s="84">
        <v>3118</v>
      </c>
      <c r="P120" s="84">
        <v>3558</v>
      </c>
      <c r="Q120" s="84">
        <v>3797</v>
      </c>
      <c r="R120" s="84">
        <v>4069</v>
      </c>
      <c r="S120" s="84">
        <v>8589</v>
      </c>
      <c r="T120" s="84">
        <v>24227</v>
      </c>
      <c r="U120" s="84">
        <v>61696</v>
      </c>
      <c r="V120" s="84">
        <v>73129</v>
      </c>
      <c r="W120" s="84">
        <v>71445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912</v>
      </c>
      <c r="C121" s="110">
        <f t="shared" si="179"/>
        <v>844</v>
      </c>
      <c r="D121" s="110">
        <f t="shared" si="179"/>
        <v>695</v>
      </c>
      <c r="E121" s="110">
        <f t="shared" si="179"/>
        <v>878</v>
      </c>
      <c r="F121" s="110">
        <f t="shared" si="179"/>
        <v>933</v>
      </c>
      <c r="G121" s="110">
        <f t="shared" si="179"/>
        <v>1135</v>
      </c>
      <c r="H121" s="110">
        <f t="shared" si="179"/>
        <v>792</v>
      </c>
      <c r="I121" s="110">
        <f t="shared" si="179"/>
        <v>1149</v>
      </c>
      <c r="J121" s="110">
        <f t="shared" si="179"/>
        <v>1209</v>
      </c>
      <c r="K121" s="110">
        <f t="shared" si="179"/>
        <v>1162</v>
      </c>
      <c r="L121" s="110">
        <f t="shared" ref="L121" si="180">SUM(L122:L126)</f>
        <v>572</v>
      </c>
      <c r="M121" s="110">
        <f t="shared" ref="M121:V121" si="181">SUM(M122:M126)</f>
        <v>245</v>
      </c>
      <c r="N121" s="110">
        <f t="shared" si="181"/>
        <v>784</v>
      </c>
      <c r="O121" s="110">
        <f t="shared" si="181"/>
        <v>661</v>
      </c>
      <c r="P121" s="110">
        <f t="shared" si="181"/>
        <v>669</v>
      </c>
      <c r="Q121" s="110">
        <f t="shared" si="181"/>
        <v>745</v>
      </c>
      <c r="R121" s="110">
        <f t="shared" si="181"/>
        <v>883</v>
      </c>
      <c r="S121" s="110">
        <f t="shared" si="181"/>
        <v>887</v>
      </c>
      <c r="T121" s="110">
        <f t="shared" si="181"/>
        <v>855</v>
      </c>
      <c r="U121" s="110">
        <f t="shared" si="181"/>
        <v>1463</v>
      </c>
      <c r="V121" s="110">
        <f t="shared" si="181"/>
        <v>1469</v>
      </c>
      <c r="W121" s="110">
        <f t="shared" ref="W121" si="182">SUM(W122:W126)</f>
        <v>1089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4</v>
      </c>
      <c r="D122" s="102">
        <v>4</v>
      </c>
      <c r="E122" s="102">
        <v>4</v>
      </c>
      <c r="F122" s="102">
        <v>0</v>
      </c>
      <c r="G122" s="102">
        <v>2</v>
      </c>
      <c r="H122" s="102">
        <v>1</v>
      </c>
      <c r="I122" s="102">
        <v>2</v>
      </c>
      <c r="J122" s="102">
        <v>0</v>
      </c>
      <c r="K122" s="102">
        <v>1</v>
      </c>
      <c r="L122" s="102">
        <v>3</v>
      </c>
      <c r="M122" s="102">
        <v>0</v>
      </c>
      <c r="N122" s="102">
        <v>0</v>
      </c>
      <c r="O122" s="102">
        <v>0</v>
      </c>
      <c r="P122" s="102">
        <v>0</v>
      </c>
      <c r="Q122" s="102">
        <v>9</v>
      </c>
      <c r="R122" s="102">
        <v>5</v>
      </c>
      <c r="S122" s="102">
        <v>0</v>
      </c>
      <c r="T122" s="102">
        <v>0</v>
      </c>
      <c r="U122" s="102">
        <v>95</v>
      </c>
      <c r="V122" s="102">
        <v>0</v>
      </c>
      <c r="W122" s="102">
        <v>12</v>
      </c>
      <c r="DA122" s="175" t="s">
        <v>536</v>
      </c>
    </row>
    <row r="123" spans="1:105" ht="11.45" customHeight="1" x14ac:dyDescent="0.25">
      <c r="A123" s="111" t="s">
        <v>111</v>
      </c>
      <c r="B123" s="102">
        <v>912</v>
      </c>
      <c r="C123" s="102">
        <v>837</v>
      </c>
      <c r="D123" s="102">
        <v>676</v>
      </c>
      <c r="E123" s="102">
        <v>874</v>
      </c>
      <c r="F123" s="102">
        <v>922</v>
      </c>
      <c r="G123" s="102">
        <v>1097</v>
      </c>
      <c r="H123" s="102">
        <v>759</v>
      </c>
      <c r="I123" s="102">
        <v>1129</v>
      </c>
      <c r="J123" s="102">
        <v>1162</v>
      </c>
      <c r="K123" s="102">
        <v>1021</v>
      </c>
      <c r="L123" s="102">
        <v>451</v>
      </c>
      <c r="M123" s="102">
        <v>0</v>
      </c>
      <c r="N123" s="102">
        <v>584</v>
      </c>
      <c r="O123" s="102">
        <v>562</v>
      </c>
      <c r="P123" s="102">
        <v>614</v>
      </c>
      <c r="Q123" s="102">
        <v>599</v>
      </c>
      <c r="R123" s="102">
        <v>563</v>
      </c>
      <c r="S123" s="102">
        <v>593</v>
      </c>
      <c r="T123" s="102">
        <v>561</v>
      </c>
      <c r="U123" s="102">
        <v>692</v>
      </c>
      <c r="V123" s="102">
        <v>640</v>
      </c>
      <c r="W123" s="102">
        <v>603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30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3</v>
      </c>
      <c r="D125" s="102">
        <v>9</v>
      </c>
      <c r="E125" s="102">
        <v>0</v>
      </c>
      <c r="F125" s="102">
        <v>0</v>
      </c>
      <c r="G125" s="102">
        <v>4</v>
      </c>
      <c r="H125" s="102">
        <v>31</v>
      </c>
      <c r="I125" s="102">
        <v>18</v>
      </c>
      <c r="J125" s="102">
        <v>47</v>
      </c>
      <c r="K125" s="102">
        <v>129</v>
      </c>
      <c r="L125" s="102">
        <v>84</v>
      </c>
      <c r="M125" s="102">
        <v>245</v>
      </c>
      <c r="N125" s="102">
        <v>198</v>
      </c>
      <c r="O125" s="102">
        <v>80</v>
      </c>
      <c r="P125" s="102">
        <v>47</v>
      </c>
      <c r="Q125" s="102">
        <v>122</v>
      </c>
      <c r="R125" s="102">
        <v>191</v>
      </c>
      <c r="S125" s="102">
        <v>153</v>
      </c>
      <c r="T125" s="102">
        <v>150</v>
      </c>
      <c r="U125" s="102">
        <v>265</v>
      </c>
      <c r="V125" s="102">
        <v>383</v>
      </c>
      <c r="W125" s="102">
        <v>306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6</v>
      </c>
      <c r="E126" s="102">
        <v>0</v>
      </c>
      <c r="F126" s="102">
        <v>11</v>
      </c>
      <c r="G126" s="102">
        <v>2</v>
      </c>
      <c r="H126" s="102">
        <v>1</v>
      </c>
      <c r="I126" s="102">
        <v>0</v>
      </c>
      <c r="J126" s="102">
        <v>0</v>
      </c>
      <c r="K126" s="102">
        <v>11</v>
      </c>
      <c r="L126" s="102">
        <v>34</v>
      </c>
      <c r="M126" s="102">
        <v>0</v>
      </c>
      <c r="N126" s="102">
        <v>2</v>
      </c>
      <c r="O126" s="102">
        <v>19</v>
      </c>
      <c r="P126" s="102">
        <v>8</v>
      </c>
      <c r="Q126" s="102">
        <v>15</v>
      </c>
      <c r="R126" s="102">
        <v>124</v>
      </c>
      <c r="S126" s="102">
        <v>141</v>
      </c>
      <c r="T126" s="102">
        <v>144</v>
      </c>
      <c r="U126" s="102">
        <v>411</v>
      </c>
      <c r="V126" s="102">
        <v>446</v>
      </c>
      <c r="W126" s="102">
        <v>168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110880</v>
      </c>
      <c r="C127" s="28">
        <f t="shared" si="183"/>
        <v>108042</v>
      </c>
      <c r="D127" s="28">
        <f t="shared" si="183"/>
        <v>94939</v>
      </c>
      <c r="E127" s="28">
        <f t="shared" si="183"/>
        <v>89388</v>
      </c>
      <c r="F127" s="28">
        <f t="shared" si="183"/>
        <v>84804</v>
      </c>
      <c r="G127" s="28">
        <f t="shared" si="183"/>
        <v>95154</v>
      </c>
      <c r="H127" s="28">
        <f t="shared" si="183"/>
        <v>74407</v>
      </c>
      <c r="I127" s="28">
        <f t="shared" si="183"/>
        <v>76864</v>
      </c>
      <c r="J127" s="28">
        <f t="shared" si="183"/>
        <v>90437</v>
      </c>
      <c r="K127" s="28">
        <f t="shared" si="183"/>
        <v>94835</v>
      </c>
      <c r="L127" s="28">
        <f t="shared" ref="L127" si="184">L128+L134</f>
        <v>61901</v>
      </c>
      <c r="M127" s="28">
        <f t="shared" ref="M127:V127" si="185">M128+M134</f>
        <v>65708</v>
      </c>
      <c r="N127" s="28">
        <f t="shared" si="185"/>
        <v>67644</v>
      </c>
      <c r="O127" s="28">
        <f t="shared" si="185"/>
        <v>63905</v>
      </c>
      <c r="P127" s="28">
        <f t="shared" si="185"/>
        <v>64154</v>
      </c>
      <c r="Q127" s="28">
        <f t="shared" si="185"/>
        <v>68375</v>
      </c>
      <c r="R127" s="28">
        <f t="shared" si="185"/>
        <v>84597</v>
      </c>
      <c r="S127" s="28">
        <f t="shared" si="185"/>
        <v>87431</v>
      </c>
      <c r="T127" s="28">
        <f t="shared" si="185"/>
        <v>92230</v>
      </c>
      <c r="U127" s="28">
        <f t="shared" si="185"/>
        <v>100241</v>
      </c>
      <c r="V127" s="28">
        <f t="shared" si="185"/>
        <v>74543</v>
      </c>
      <c r="W127" s="28">
        <f t="shared" ref="W127" si="186">W128+W134</f>
        <v>75641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98472</v>
      </c>
      <c r="C128" s="137">
        <f t="shared" si="187"/>
        <v>95049</v>
      </c>
      <c r="D128" s="137">
        <f t="shared" si="187"/>
        <v>82359</v>
      </c>
      <c r="E128" s="137">
        <f t="shared" si="187"/>
        <v>79201</v>
      </c>
      <c r="F128" s="137">
        <f t="shared" si="187"/>
        <v>74435</v>
      </c>
      <c r="G128" s="137">
        <f t="shared" si="187"/>
        <v>85626</v>
      </c>
      <c r="H128" s="137">
        <f t="shared" si="187"/>
        <v>64408</v>
      </c>
      <c r="I128" s="137">
        <f t="shared" si="187"/>
        <v>63733</v>
      </c>
      <c r="J128" s="137">
        <f t="shared" si="187"/>
        <v>79533</v>
      </c>
      <c r="K128" s="137">
        <f t="shared" si="187"/>
        <v>83074</v>
      </c>
      <c r="L128" s="137">
        <f t="shared" ref="L128" si="188">SUM(L129:L133)</f>
        <v>52137</v>
      </c>
      <c r="M128" s="137">
        <f t="shared" ref="M128:V128" si="189">SUM(M129:M133)</f>
        <v>58293</v>
      </c>
      <c r="N128" s="137">
        <f t="shared" si="189"/>
        <v>58883</v>
      </c>
      <c r="O128" s="137">
        <f t="shared" si="189"/>
        <v>54785</v>
      </c>
      <c r="P128" s="137">
        <f t="shared" si="189"/>
        <v>54525</v>
      </c>
      <c r="Q128" s="137">
        <f t="shared" si="189"/>
        <v>60224</v>
      </c>
      <c r="R128" s="137">
        <f t="shared" si="189"/>
        <v>73275</v>
      </c>
      <c r="S128" s="137">
        <f t="shared" si="189"/>
        <v>76074</v>
      </c>
      <c r="T128" s="137">
        <f t="shared" si="189"/>
        <v>81688</v>
      </c>
      <c r="U128" s="137">
        <f t="shared" si="189"/>
        <v>84302</v>
      </c>
      <c r="V128" s="137">
        <f t="shared" si="189"/>
        <v>62717</v>
      </c>
      <c r="W128" s="137">
        <f t="shared" ref="W128" si="190">SUM(W129:W133)</f>
        <v>65004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0</v>
      </c>
      <c r="D129" s="84">
        <v>0</v>
      </c>
      <c r="E129" s="84">
        <v>0</v>
      </c>
      <c r="F129" s="84">
        <v>0</v>
      </c>
      <c r="G129" s="84">
        <v>0</v>
      </c>
      <c r="H129" s="84">
        <v>0</v>
      </c>
      <c r="I129" s="84">
        <v>0</v>
      </c>
      <c r="J129" s="84">
        <v>0</v>
      </c>
      <c r="K129" s="84">
        <v>1267</v>
      </c>
      <c r="L129" s="84">
        <v>2787</v>
      </c>
      <c r="M129" s="84">
        <v>2694</v>
      </c>
      <c r="N129" s="84">
        <v>2645</v>
      </c>
      <c r="O129" s="84">
        <v>872</v>
      </c>
      <c r="P129" s="84">
        <v>3084</v>
      </c>
      <c r="Q129" s="84">
        <v>3113</v>
      </c>
      <c r="R129" s="84">
        <v>3334</v>
      </c>
      <c r="S129" s="84">
        <v>3224</v>
      </c>
      <c r="T129" s="84">
        <v>1525</v>
      </c>
      <c r="U129" s="84">
        <v>5293</v>
      </c>
      <c r="V129" s="84">
        <v>3034</v>
      </c>
      <c r="W129" s="84">
        <v>4529</v>
      </c>
      <c r="DA129" s="171" t="s">
        <v>543</v>
      </c>
    </row>
    <row r="130" spans="1:105" ht="11.45" customHeight="1" x14ac:dyDescent="0.25">
      <c r="A130" s="111" t="s">
        <v>111</v>
      </c>
      <c r="B130" s="84">
        <v>98472</v>
      </c>
      <c r="C130" s="84">
        <v>94902</v>
      </c>
      <c r="D130" s="84">
        <v>82359</v>
      </c>
      <c r="E130" s="84">
        <v>79117</v>
      </c>
      <c r="F130" s="84">
        <v>74283</v>
      </c>
      <c r="G130" s="84">
        <v>85626</v>
      </c>
      <c r="H130" s="84">
        <v>64408</v>
      </c>
      <c r="I130" s="84">
        <v>63453</v>
      </c>
      <c r="J130" s="84">
        <v>79533</v>
      </c>
      <c r="K130" s="84">
        <v>81453</v>
      </c>
      <c r="L130" s="84">
        <v>48615</v>
      </c>
      <c r="M130" s="84">
        <v>54716</v>
      </c>
      <c r="N130" s="84">
        <v>54848</v>
      </c>
      <c r="O130" s="84">
        <v>52758</v>
      </c>
      <c r="P130" s="84">
        <v>49679</v>
      </c>
      <c r="Q130" s="84">
        <v>55959</v>
      </c>
      <c r="R130" s="84">
        <v>68347</v>
      </c>
      <c r="S130" s="84">
        <v>70654</v>
      </c>
      <c r="T130" s="84">
        <v>75831</v>
      </c>
      <c r="U130" s="84">
        <v>72219</v>
      </c>
      <c r="V130" s="84">
        <v>56772</v>
      </c>
      <c r="W130" s="84">
        <v>56572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147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11</v>
      </c>
      <c r="L131" s="84">
        <v>388</v>
      </c>
      <c r="M131" s="84">
        <v>511</v>
      </c>
      <c r="N131" s="84">
        <v>597</v>
      </c>
      <c r="O131" s="84">
        <v>501</v>
      </c>
      <c r="P131" s="84">
        <v>781</v>
      </c>
      <c r="Q131" s="84">
        <v>654</v>
      </c>
      <c r="R131" s="84">
        <v>693</v>
      </c>
      <c r="S131" s="84">
        <v>952</v>
      </c>
      <c r="T131" s="84">
        <v>1426</v>
      </c>
      <c r="U131" s="84">
        <v>5086</v>
      </c>
      <c r="V131" s="84">
        <v>984</v>
      </c>
      <c r="W131" s="84">
        <v>722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84</v>
      </c>
      <c r="F132" s="84">
        <v>152</v>
      </c>
      <c r="G132" s="84">
        <v>0</v>
      </c>
      <c r="H132" s="84">
        <v>0</v>
      </c>
      <c r="I132" s="84">
        <v>280</v>
      </c>
      <c r="J132" s="84">
        <v>0</v>
      </c>
      <c r="K132" s="84">
        <v>343</v>
      </c>
      <c r="L132" s="84">
        <v>347</v>
      </c>
      <c r="M132" s="84">
        <v>356</v>
      </c>
      <c r="N132" s="84">
        <v>398</v>
      </c>
      <c r="O132" s="84">
        <v>380</v>
      </c>
      <c r="P132" s="84">
        <v>391</v>
      </c>
      <c r="Q132" s="84">
        <v>226</v>
      </c>
      <c r="R132" s="84">
        <v>604</v>
      </c>
      <c r="S132" s="84">
        <v>627</v>
      </c>
      <c r="T132" s="84">
        <v>1938</v>
      </c>
      <c r="U132" s="84">
        <v>459</v>
      </c>
      <c r="V132" s="84">
        <v>311</v>
      </c>
      <c r="W132" s="84">
        <v>112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16</v>
      </c>
      <c r="N133" s="84">
        <v>395</v>
      </c>
      <c r="O133" s="84">
        <v>274</v>
      </c>
      <c r="P133" s="84">
        <v>590</v>
      </c>
      <c r="Q133" s="84">
        <v>272</v>
      </c>
      <c r="R133" s="84">
        <v>297</v>
      </c>
      <c r="S133" s="84">
        <v>617</v>
      </c>
      <c r="T133" s="84">
        <v>968</v>
      </c>
      <c r="U133" s="84">
        <v>1245</v>
      </c>
      <c r="V133" s="84">
        <v>1616</v>
      </c>
      <c r="W133" s="84">
        <v>3069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12408</v>
      </c>
      <c r="C134" s="110">
        <f t="shared" si="191"/>
        <v>12993</v>
      </c>
      <c r="D134" s="110">
        <f t="shared" si="191"/>
        <v>12580</v>
      </c>
      <c r="E134" s="110">
        <f t="shared" si="191"/>
        <v>10187</v>
      </c>
      <c r="F134" s="110">
        <f t="shared" si="191"/>
        <v>10369</v>
      </c>
      <c r="G134" s="110">
        <f t="shared" si="191"/>
        <v>9528</v>
      </c>
      <c r="H134" s="110">
        <f t="shared" si="191"/>
        <v>9999</v>
      </c>
      <c r="I134" s="110">
        <f t="shared" si="191"/>
        <v>13131</v>
      </c>
      <c r="J134" s="110">
        <f t="shared" si="191"/>
        <v>10904</v>
      </c>
      <c r="K134" s="110">
        <f t="shared" si="191"/>
        <v>11761</v>
      </c>
      <c r="L134" s="110">
        <f t="shared" ref="L134" si="192">SUM(L135:L136)</f>
        <v>9764</v>
      </c>
      <c r="M134" s="110">
        <f t="shared" ref="M134:V134" si="193">SUM(M135:M136)</f>
        <v>7415</v>
      </c>
      <c r="N134" s="110">
        <f t="shared" si="193"/>
        <v>8761</v>
      </c>
      <c r="O134" s="110">
        <f t="shared" si="193"/>
        <v>9120</v>
      </c>
      <c r="P134" s="110">
        <f t="shared" si="193"/>
        <v>9629</v>
      </c>
      <c r="Q134" s="110">
        <f t="shared" si="193"/>
        <v>8151</v>
      </c>
      <c r="R134" s="110">
        <f t="shared" si="193"/>
        <v>11322</v>
      </c>
      <c r="S134" s="110">
        <f t="shared" si="193"/>
        <v>11357</v>
      </c>
      <c r="T134" s="110">
        <f t="shared" si="193"/>
        <v>10542</v>
      </c>
      <c r="U134" s="110">
        <f t="shared" si="193"/>
        <v>15939</v>
      </c>
      <c r="V134" s="110">
        <f t="shared" si="193"/>
        <v>11826</v>
      </c>
      <c r="W134" s="110">
        <f t="shared" ref="W134" si="194">SUM(W135:W136)</f>
        <v>10637</v>
      </c>
      <c r="DA134" s="176" t="s">
        <v>548</v>
      </c>
    </row>
    <row r="135" spans="1:105" ht="11.45" customHeight="1" x14ac:dyDescent="0.25">
      <c r="A135" s="128" t="s">
        <v>27</v>
      </c>
      <c r="B135" s="102">
        <v>11341</v>
      </c>
      <c r="C135" s="102">
        <v>11526</v>
      </c>
      <c r="D135" s="102">
        <v>11149</v>
      </c>
      <c r="E135" s="102">
        <v>8951</v>
      </c>
      <c r="F135" s="102">
        <v>7033</v>
      </c>
      <c r="G135" s="102">
        <v>7790</v>
      </c>
      <c r="H135" s="102">
        <v>7787</v>
      </c>
      <c r="I135" s="102">
        <v>11530</v>
      </c>
      <c r="J135" s="102">
        <v>9104</v>
      </c>
      <c r="K135" s="102">
        <v>11451</v>
      </c>
      <c r="L135" s="102">
        <v>7464</v>
      </c>
      <c r="M135" s="102">
        <v>6071</v>
      </c>
      <c r="N135" s="102">
        <v>7622</v>
      </c>
      <c r="O135" s="102">
        <v>7290</v>
      </c>
      <c r="P135" s="102">
        <v>7604</v>
      </c>
      <c r="Q135" s="102">
        <v>6186</v>
      </c>
      <c r="R135" s="102">
        <v>8558</v>
      </c>
      <c r="S135" s="102">
        <v>9539</v>
      </c>
      <c r="T135" s="102">
        <v>9177</v>
      </c>
      <c r="U135" s="102">
        <v>13466</v>
      </c>
      <c r="V135" s="102">
        <v>9381</v>
      </c>
      <c r="W135" s="102">
        <v>9217</v>
      </c>
      <c r="DA135" s="175" t="s">
        <v>549</v>
      </c>
    </row>
    <row r="136" spans="1:105" ht="11.45" customHeight="1" x14ac:dyDescent="0.25">
      <c r="A136" s="138" t="s">
        <v>116</v>
      </c>
      <c r="B136" s="86">
        <v>1067</v>
      </c>
      <c r="C136" s="86">
        <v>1467</v>
      </c>
      <c r="D136" s="86">
        <v>1431</v>
      </c>
      <c r="E136" s="86">
        <v>1236</v>
      </c>
      <c r="F136" s="86">
        <v>3336</v>
      </c>
      <c r="G136" s="86">
        <v>1738</v>
      </c>
      <c r="H136" s="86">
        <v>2212</v>
      </c>
      <c r="I136" s="86">
        <v>1601</v>
      </c>
      <c r="J136" s="86">
        <v>1800</v>
      </c>
      <c r="K136" s="86">
        <v>310</v>
      </c>
      <c r="L136" s="86">
        <v>2300</v>
      </c>
      <c r="M136" s="86">
        <v>1344</v>
      </c>
      <c r="N136" s="86">
        <v>1139</v>
      </c>
      <c r="O136" s="86">
        <v>1830</v>
      </c>
      <c r="P136" s="86">
        <v>2025</v>
      </c>
      <c r="Q136" s="86">
        <v>1965</v>
      </c>
      <c r="R136" s="86">
        <v>2764</v>
      </c>
      <c r="S136" s="86">
        <v>1818</v>
      </c>
      <c r="T136" s="86">
        <v>1365</v>
      </c>
      <c r="U136" s="86">
        <v>2473</v>
      </c>
      <c r="V136" s="86">
        <v>2445</v>
      </c>
      <c r="W136" s="86">
        <v>1420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1.6087370932180889</v>
      </c>
      <c r="C141" s="32">
        <f t="shared" si="195"/>
        <v>1.5961720586935924</v>
      </c>
      <c r="D141" s="32">
        <f t="shared" si="195"/>
        <v>1.5911710658775202</v>
      </c>
      <c r="E141" s="32">
        <f t="shared" si="195"/>
        <v>1.5961438967758015</v>
      </c>
      <c r="F141" s="32">
        <f t="shared" si="195"/>
        <v>1.6146683598461851</v>
      </c>
      <c r="G141" s="32">
        <f t="shared" si="195"/>
        <v>1.5615435123926529</v>
      </c>
      <c r="H141" s="32">
        <f t="shared" si="195"/>
        <v>1.5387306094619262</v>
      </c>
      <c r="I141" s="32">
        <f t="shared" si="195"/>
        <v>1.5209705616829192</v>
      </c>
      <c r="J141" s="32">
        <f t="shared" si="195"/>
        <v>1.4735613657663218</v>
      </c>
      <c r="K141" s="32">
        <f t="shared" si="195"/>
        <v>1.4643865255061388</v>
      </c>
      <c r="L141" s="32">
        <f t="shared" ref="L141" si="196">IF(L4=0,0,L4/L31)</f>
        <v>1.4490454212130859</v>
      </c>
      <c r="M141" s="32">
        <f t="shared" ref="M141:V141" si="197">IF(M4=0,0,M4/M31)</f>
        <v>1.423402664848171</v>
      </c>
      <c r="N141" s="32">
        <f t="shared" si="197"/>
        <v>1.442476710812945</v>
      </c>
      <c r="O141" s="32">
        <f t="shared" si="197"/>
        <v>1.4982534245245813</v>
      </c>
      <c r="P141" s="32">
        <f t="shared" si="197"/>
        <v>1.4908169581879118</v>
      </c>
      <c r="Q141" s="32">
        <f t="shared" si="197"/>
        <v>1.4237731056240912</v>
      </c>
      <c r="R141" s="32">
        <f t="shared" si="197"/>
        <v>1.4070709542634376</v>
      </c>
      <c r="S141" s="32">
        <f t="shared" si="197"/>
        <v>1.3697487670813142</v>
      </c>
      <c r="T141" s="32">
        <f t="shared" si="197"/>
        <v>1.4561532502776462</v>
      </c>
      <c r="U141" s="32">
        <f t="shared" si="197"/>
        <v>1.4454928336556714</v>
      </c>
      <c r="V141" s="32">
        <f t="shared" si="197"/>
        <v>1.232245648974583</v>
      </c>
      <c r="W141" s="32">
        <f t="shared" ref="W141" si="198">IF(W4=0,0,W4/W31)</f>
        <v>1.3066404440843358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1.1549472685768514</v>
      </c>
      <c r="C142" s="141">
        <v>1.1549251164250134</v>
      </c>
      <c r="D142" s="141">
        <v>1.154724433005738</v>
      </c>
      <c r="E142" s="141">
        <v>1.1552093820866824</v>
      </c>
      <c r="F142" s="141">
        <v>1.1553640856511076</v>
      </c>
      <c r="G142" s="141">
        <v>1.1543178727366703</v>
      </c>
      <c r="H142" s="141">
        <v>1.1546398637822315</v>
      </c>
      <c r="I142" s="141">
        <v>1.156493139331968</v>
      </c>
      <c r="J142" s="141">
        <v>1.157101773793594</v>
      </c>
      <c r="K142" s="141">
        <v>1.1576570562583652</v>
      </c>
      <c r="L142" s="141">
        <v>1.1556682113354202</v>
      </c>
      <c r="M142" s="141">
        <v>1.1546558434345864</v>
      </c>
      <c r="N142" s="141">
        <v>1.1475295413899498</v>
      </c>
      <c r="O142" s="141">
        <v>1.1469392088128181</v>
      </c>
      <c r="P142" s="141">
        <v>1.1494295322312345</v>
      </c>
      <c r="Q142" s="141">
        <v>1.1514161199072459</v>
      </c>
      <c r="R142" s="141">
        <v>1.1525924393365976</v>
      </c>
      <c r="S142" s="141">
        <v>1.1510920515470566</v>
      </c>
      <c r="T142" s="141">
        <v>1.1497806604733751</v>
      </c>
      <c r="U142" s="141">
        <v>1.1507820907108188</v>
      </c>
      <c r="V142" s="141">
        <v>1.1494484538303564</v>
      </c>
      <c r="W142" s="141">
        <v>1.1492173187513743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1.5827612509534705</v>
      </c>
      <c r="C143" s="130">
        <f t="shared" si="199"/>
        <v>1.5699161491819473</v>
      </c>
      <c r="D143" s="130">
        <f t="shared" si="199"/>
        <v>1.5685813802210811</v>
      </c>
      <c r="E143" s="130">
        <f t="shared" si="199"/>
        <v>1.571934566206312</v>
      </c>
      <c r="F143" s="130">
        <f t="shared" si="199"/>
        <v>1.5899618451108675</v>
      </c>
      <c r="G143" s="130">
        <f t="shared" si="199"/>
        <v>1.5351284432064376</v>
      </c>
      <c r="H143" s="130">
        <f t="shared" si="199"/>
        <v>1.5117003564752867</v>
      </c>
      <c r="I143" s="130">
        <f t="shared" si="199"/>
        <v>1.4939609040069877</v>
      </c>
      <c r="J143" s="130">
        <f t="shared" si="199"/>
        <v>1.4456409499926244</v>
      </c>
      <c r="K143" s="130">
        <f t="shared" si="199"/>
        <v>1.4388559963807317</v>
      </c>
      <c r="L143" s="130">
        <f t="shared" ref="L143" si="200">IF(L6=0,0,L6/L33)</f>
        <v>1.4235648353818056</v>
      </c>
      <c r="M143" s="130">
        <f t="shared" ref="M143:V143" si="201">IF(M6=0,0,M6/M33)</f>
        <v>1.3958434026099564</v>
      </c>
      <c r="N143" s="130">
        <f t="shared" si="201"/>
        <v>1.4197500752050864</v>
      </c>
      <c r="O143" s="130">
        <f t="shared" si="201"/>
        <v>1.4764029381840043</v>
      </c>
      <c r="P143" s="130">
        <f t="shared" si="201"/>
        <v>1.4686785449071034</v>
      </c>
      <c r="Q143" s="130">
        <f t="shared" si="201"/>
        <v>1.3954367717095448</v>
      </c>
      <c r="R143" s="130">
        <f t="shared" si="201"/>
        <v>1.3776934984217191</v>
      </c>
      <c r="S143" s="130">
        <f t="shared" si="201"/>
        <v>1.3424349810166873</v>
      </c>
      <c r="T143" s="130">
        <f t="shared" si="201"/>
        <v>1.4238943095672754</v>
      </c>
      <c r="U143" s="130">
        <f t="shared" si="201"/>
        <v>1.4134058443234154</v>
      </c>
      <c r="V143" s="130">
        <f t="shared" si="201"/>
        <v>1.2148142886383742</v>
      </c>
      <c r="W143" s="130">
        <f t="shared" ref="W143" si="202">IF(W6=0,0,W6/W33)</f>
        <v>1.2876464233183329</v>
      </c>
      <c r="DA143" s="176" t="s">
        <v>553</v>
      </c>
    </row>
    <row r="144" spans="1:105" ht="11.45" customHeight="1" x14ac:dyDescent="0.25">
      <c r="A144" s="111" t="s">
        <v>110</v>
      </c>
      <c r="B144" s="96">
        <v>1.5556472168234385</v>
      </c>
      <c r="C144" s="96">
        <v>1.5413881071228848</v>
      </c>
      <c r="D144" s="96">
        <v>1.5383279656834945</v>
      </c>
      <c r="E144" s="96">
        <v>1.539894648132289</v>
      </c>
      <c r="F144" s="96">
        <v>1.556570933276723</v>
      </c>
      <c r="G144" s="96">
        <v>1.5013480296768607</v>
      </c>
      <c r="H144" s="96">
        <v>1.4765818556934289</v>
      </c>
      <c r="I144" s="96">
        <v>1.4582606080220977</v>
      </c>
      <c r="J144" s="96">
        <v>1.4108890669612584</v>
      </c>
      <c r="K144" s="96">
        <v>1.404711431722331</v>
      </c>
      <c r="L144" s="96">
        <v>1.3901251592780424</v>
      </c>
      <c r="M144" s="96">
        <v>1.3632275617363723</v>
      </c>
      <c r="N144" s="96">
        <v>1.3855597195012137</v>
      </c>
      <c r="O144" s="96">
        <v>1.4410899245302187</v>
      </c>
      <c r="P144" s="96">
        <v>1.4331772916537502</v>
      </c>
      <c r="Q144" s="96">
        <v>1.361834737378125</v>
      </c>
      <c r="R144" s="96">
        <v>1.345949673434685</v>
      </c>
      <c r="S144" s="96">
        <v>1.3127072618377276</v>
      </c>
      <c r="T144" s="96">
        <v>1.3946075720382989</v>
      </c>
      <c r="U144" s="96">
        <v>1.3880703626039435</v>
      </c>
      <c r="V144" s="96">
        <v>1.196745308865917</v>
      </c>
      <c r="W144" s="96">
        <v>1.2667420276195127</v>
      </c>
      <c r="DA144" s="171" t="s">
        <v>554</v>
      </c>
    </row>
    <row r="145" spans="1:105" ht="11.45" customHeight="1" x14ac:dyDescent="0.25">
      <c r="A145" s="111" t="s">
        <v>111</v>
      </c>
      <c r="B145" s="96">
        <v>1.6799335283249763</v>
      </c>
      <c r="C145" s="96">
        <v>1.6645352065133401</v>
      </c>
      <c r="D145" s="96">
        <v>1.6612305792496178</v>
      </c>
      <c r="E145" s="96">
        <v>1.6629224296547127</v>
      </c>
      <c r="F145" s="96">
        <v>1.6809310438437632</v>
      </c>
      <c r="G145" s="96">
        <v>1.6212961817197511</v>
      </c>
      <c r="H145" s="96">
        <v>1.5945513480626363</v>
      </c>
      <c r="I145" s="96">
        <v>1.5747663493103725</v>
      </c>
      <c r="J145" s="96">
        <v>1.5236101236212163</v>
      </c>
      <c r="K145" s="96">
        <v>1.5169389346450768</v>
      </c>
      <c r="L145" s="96">
        <v>1.5011873118687515</v>
      </c>
      <c r="M145" s="96">
        <v>1.4721407674768214</v>
      </c>
      <c r="N145" s="96">
        <v>1.4962571225111005</v>
      </c>
      <c r="O145" s="96">
        <v>1.5562238374925816</v>
      </c>
      <c r="P145" s="96">
        <v>1.5476790356102812</v>
      </c>
      <c r="Q145" s="96">
        <v>1.470636665317165</v>
      </c>
      <c r="R145" s="96">
        <v>1.4534824858672373</v>
      </c>
      <c r="S145" s="96">
        <v>1.4175842171594131</v>
      </c>
      <c r="T145" s="96">
        <v>1.5060278408796428</v>
      </c>
      <c r="U145" s="96">
        <v>1.4989683500184172</v>
      </c>
      <c r="V145" s="96">
        <v>1.2923576422003547</v>
      </c>
      <c r="W145" s="96">
        <v>1.3679466532789808</v>
      </c>
      <c r="DA145" s="171" t="s">
        <v>555</v>
      </c>
    </row>
    <row r="146" spans="1:105" ht="11.45" customHeight="1" x14ac:dyDescent="0.25">
      <c r="A146" s="111" t="s">
        <v>112</v>
      </c>
      <c r="B146" s="96">
        <v>1.5326611792297093</v>
      </c>
      <c r="C146" s="96">
        <v>1.5209203727746634</v>
      </c>
      <c r="D146" s="96">
        <v>1.519700354100582</v>
      </c>
      <c r="E146" s="96">
        <v>1.522765266186187</v>
      </c>
      <c r="F146" s="96">
        <v>1.5392427372326793</v>
      </c>
      <c r="G146" s="96">
        <v>1.4891233710740632</v>
      </c>
      <c r="H146" s="96">
        <v>1.4677094004559188</v>
      </c>
      <c r="I146" s="96">
        <v>1.4514950113639991</v>
      </c>
      <c r="J146" s="96">
        <v>1.4073291310081837</v>
      </c>
      <c r="K146" s="96">
        <v>1.4011274808709848</v>
      </c>
      <c r="L146" s="96">
        <v>1.3871509032653995</v>
      </c>
      <c r="M146" s="96">
        <v>1.3618126862064734</v>
      </c>
      <c r="N146" s="96">
        <v>1.3836640985904398</v>
      </c>
      <c r="O146" s="96">
        <v>1.435446506483409</v>
      </c>
      <c r="P146" s="96">
        <v>1.4283861804494185</v>
      </c>
      <c r="Q146" s="96">
        <v>1.3614410134252617</v>
      </c>
      <c r="R146" s="96">
        <v>1.3452231319902399</v>
      </c>
      <c r="S146" s="96">
        <v>1.3129957945889836</v>
      </c>
      <c r="T146" s="96">
        <v>1.3874520525059688</v>
      </c>
      <c r="U146" s="96">
        <v>1.3778652821845665</v>
      </c>
      <c r="V146" s="96">
        <v>1.1963466721822991</v>
      </c>
      <c r="W146" s="96">
        <v>1.2629174173733537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1.3871509032653995</v>
      </c>
      <c r="M147" s="96">
        <v>1.3618126862064734</v>
      </c>
      <c r="N147" s="96">
        <v>1.38366409859044</v>
      </c>
      <c r="O147" s="96">
        <v>1.435446506483409</v>
      </c>
      <c r="P147" s="96">
        <v>1.4283861804494185</v>
      </c>
      <c r="Q147" s="96">
        <v>1.3614410134252617</v>
      </c>
      <c r="R147" s="96">
        <v>1.3452231319902399</v>
      </c>
      <c r="S147" s="96">
        <v>1.3129957945889836</v>
      </c>
      <c r="T147" s="96">
        <v>1.3874520525059688</v>
      </c>
      <c r="U147" s="96">
        <v>1.3778652821845665</v>
      </c>
      <c r="V147" s="96">
        <v>1.1963466721822991</v>
      </c>
      <c r="W147" s="96">
        <v>1.2629174173733537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1.3618126862064734</v>
      </c>
      <c r="N148" s="96">
        <v>1.3836640985904398</v>
      </c>
      <c r="O148" s="96">
        <v>1.435446506483409</v>
      </c>
      <c r="P148" s="96">
        <v>1.4283861804494185</v>
      </c>
      <c r="Q148" s="96">
        <v>1.3614410134252617</v>
      </c>
      <c r="R148" s="96">
        <v>1.3452231319902399</v>
      </c>
      <c r="S148" s="96">
        <v>1.3129957945889836</v>
      </c>
      <c r="T148" s="96">
        <v>1.3874520525059688</v>
      </c>
      <c r="U148" s="96">
        <v>1.3778652821845665</v>
      </c>
      <c r="V148" s="96">
        <v>1.1963466721822991</v>
      </c>
      <c r="W148" s="96">
        <v>1.2629174173733537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1.3130942780149095</v>
      </c>
      <c r="L149" s="96">
        <v>1.302185061660452</v>
      </c>
      <c r="M149" s="96">
        <v>1.2824076812650134</v>
      </c>
      <c r="N149" s="96">
        <v>1.2994634864895986</v>
      </c>
      <c r="O149" s="96">
        <v>1.3398814991820205</v>
      </c>
      <c r="P149" s="96">
        <v>1.3343706633814856</v>
      </c>
      <c r="Q149" s="96">
        <v>1.2821175774286004</v>
      </c>
      <c r="R149" s="96">
        <v>1.2694589436501218</v>
      </c>
      <c r="S149" s="96">
        <v>1.2443043595910093</v>
      </c>
      <c r="T149" s="96">
        <v>1.3024201193629212</v>
      </c>
      <c r="U149" s="96">
        <v>1.2949373038605856</v>
      </c>
      <c r="V149" s="96">
        <v>1.1532555671181235</v>
      </c>
      <c r="W149" s="96">
        <v>1.2052164035017356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7.769915167788513</v>
      </c>
      <c r="C150" s="130">
        <f t="shared" si="203"/>
        <v>7.8989774930104293</v>
      </c>
      <c r="D150" s="130">
        <f t="shared" si="203"/>
        <v>7.4634250925163572</v>
      </c>
      <c r="E150" s="130">
        <f t="shared" si="203"/>
        <v>7.8967058622877513</v>
      </c>
      <c r="F150" s="130">
        <f t="shared" si="203"/>
        <v>8.1552361898774706</v>
      </c>
      <c r="G150" s="130">
        <f t="shared" si="203"/>
        <v>8.2051826825437217</v>
      </c>
      <c r="H150" s="130">
        <f t="shared" si="203"/>
        <v>8.3702899632176209</v>
      </c>
      <c r="I150" s="130">
        <f t="shared" si="203"/>
        <v>8.4940986711473965</v>
      </c>
      <c r="J150" s="130">
        <f t="shared" si="203"/>
        <v>8.2849379910490644</v>
      </c>
      <c r="K150" s="130">
        <f t="shared" si="203"/>
        <v>7.6320583909132926</v>
      </c>
      <c r="L150" s="130">
        <f t="shared" ref="L150" si="204">IF(L13=0,0,L13/L40)</f>
        <v>7.2638888850345991</v>
      </c>
      <c r="M150" s="130">
        <f t="shared" ref="M150:V150" si="205">IF(M13=0,0,M13/M40)</f>
        <v>7.6043743743311714</v>
      </c>
      <c r="N150" s="130">
        <f t="shared" si="205"/>
        <v>6.8551683237138494</v>
      </c>
      <c r="O150" s="130">
        <f t="shared" si="205"/>
        <v>7.3267363272844603</v>
      </c>
      <c r="P150" s="130">
        <f t="shared" si="205"/>
        <v>7.4297035608308963</v>
      </c>
      <c r="Q150" s="130">
        <f t="shared" si="205"/>
        <v>8.0987633683886209</v>
      </c>
      <c r="R150" s="130">
        <f t="shared" si="205"/>
        <v>8.4172136314667547</v>
      </c>
      <c r="S150" s="130">
        <f t="shared" si="205"/>
        <v>7.2730677131639982</v>
      </c>
      <c r="T150" s="130">
        <f t="shared" si="205"/>
        <v>8.9241531177921587</v>
      </c>
      <c r="U150" s="130">
        <f t="shared" si="205"/>
        <v>9.1941274978262069</v>
      </c>
      <c r="V150" s="130">
        <f t="shared" si="205"/>
        <v>4.9108394977554921</v>
      </c>
      <c r="W150" s="130">
        <f t="shared" ref="W150" si="206">IF(W13=0,0,W13/W40)</f>
        <v>6.1883550466137933</v>
      </c>
      <c r="DA150" s="176" t="s">
        <v>560</v>
      </c>
    </row>
    <row r="151" spans="1:105" ht="11.45" customHeight="1" x14ac:dyDescent="0.25">
      <c r="A151" s="111" t="s">
        <v>110</v>
      </c>
      <c r="B151" s="97">
        <v>6.2988428910687881</v>
      </c>
      <c r="C151" s="97">
        <v>6.3038068266542471</v>
      </c>
      <c r="D151" s="97">
        <v>6.2870548112506288</v>
      </c>
      <c r="E151" s="97">
        <v>6.3037194562418364</v>
      </c>
      <c r="F151" s="97">
        <v>6.3136629303799028</v>
      </c>
      <c r="G151" s="97">
        <v>6.3155839493286043</v>
      </c>
      <c r="H151" s="97">
        <v>6.3219342293545226</v>
      </c>
      <c r="I151" s="97">
        <v>6.3266961027364381</v>
      </c>
      <c r="J151" s="97">
        <v>6.3186514611941949</v>
      </c>
      <c r="K151" s="97">
        <v>6.2935407073428191</v>
      </c>
      <c r="L151" s="97">
        <v>6.2793803417320992</v>
      </c>
      <c r="M151" s="97">
        <v>6.2924759374742756</v>
      </c>
      <c r="N151" s="97">
        <v>6.26366032014284</v>
      </c>
      <c r="O151" s="97">
        <v>6.2817975510494026</v>
      </c>
      <c r="P151" s="97">
        <v>6.2857578292627272</v>
      </c>
      <c r="Q151" s="97">
        <v>6.3114908987841778</v>
      </c>
      <c r="R151" s="97">
        <v>6.3237389858256448</v>
      </c>
      <c r="S151" s="97">
        <v>6.2797333735832304</v>
      </c>
      <c r="T151" s="97">
        <v>6.3432366583766218</v>
      </c>
      <c r="U151" s="97">
        <v>6.3536202883779316</v>
      </c>
      <c r="V151" s="97">
        <v>4.8273251849326648</v>
      </c>
      <c r="W151" s="97">
        <v>6.2380136556389925</v>
      </c>
      <c r="DA151" s="175" t="s">
        <v>561</v>
      </c>
    </row>
    <row r="152" spans="1:105" ht="11.45" customHeight="1" x14ac:dyDescent="0.25">
      <c r="A152" s="111" t="s">
        <v>111</v>
      </c>
      <c r="B152" s="97">
        <v>7.7717607255345689</v>
      </c>
      <c r="C152" s="97">
        <v>7.9014622880184877</v>
      </c>
      <c r="D152" s="97">
        <v>7.4656301880569655</v>
      </c>
      <c r="E152" s="97">
        <v>7.900146214162036</v>
      </c>
      <c r="F152" s="97">
        <v>8.1589962024594289</v>
      </c>
      <c r="G152" s="97">
        <v>8.2093134584341954</v>
      </c>
      <c r="H152" s="97">
        <v>8.3749451581927339</v>
      </c>
      <c r="I152" s="97">
        <v>8.4993502479781835</v>
      </c>
      <c r="J152" s="97">
        <v>8.2895109479813183</v>
      </c>
      <c r="K152" s="97">
        <v>7.635148212270666</v>
      </c>
      <c r="L152" s="97">
        <v>7.2662719680206473</v>
      </c>
      <c r="M152" s="97">
        <v>7.607020828655215</v>
      </c>
      <c r="N152" s="97">
        <v>6.8558975119833097</v>
      </c>
      <c r="O152" s="97">
        <v>7.3279071497704242</v>
      </c>
      <c r="P152" s="97">
        <v>7.4309415164733483</v>
      </c>
      <c r="Q152" s="97">
        <v>8.10198940868551</v>
      </c>
      <c r="R152" s="97">
        <v>8.4220007488131312</v>
      </c>
      <c r="S152" s="97">
        <v>7.2750520969870509</v>
      </c>
      <c r="T152" s="97">
        <v>8.9289351477042853</v>
      </c>
      <c r="U152" s="97">
        <v>9.2196364118965874</v>
      </c>
      <c r="V152" s="97">
        <v>4.9115839877320253</v>
      </c>
      <c r="W152" s="97">
        <v>6.1878375402327999</v>
      </c>
      <c r="DA152" s="175" t="s">
        <v>562</v>
      </c>
    </row>
    <row r="153" spans="1:105" ht="11.45" customHeight="1" x14ac:dyDescent="0.25">
      <c r="A153" s="111" t="s">
        <v>112</v>
      </c>
      <c r="B153" s="97">
        <v>7.7717607255345689</v>
      </c>
      <c r="C153" s="97">
        <v>7.9014622880184868</v>
      </c>
      <c r="D153" s="97">
        <v>7.4656301880569673</v>
      </c>
      <c r="E153" s="97">
        <v>7.9001462141620351</v>
      </c>
      <c r="F153" s="97">
        <v>8.1589962024594307</v>
      </c>
      <c r="G153" s="97">
        <v>8.2093134584341954</v>
      </c>
      <c r="H153" s="97">
        <v>8.3749451581927339</v>
      </c>
      <c r="I153" s="97">
        <v>8.4993502479781817</v>
      </c>
      <c r="J153" s="97">
        <v>8.28951094798132</v>
      </c>
      <c r="K153" s="97">
        <v>7.6351482122706669</v>
      </c>
      <c r="L153" s="97">
        <v>7.2662719680206482</v>
      </c>
      <c r="M153" s="97">
        <v>7.607020828655215</v>
      </c>
      <c r="N153" s="97">
        <v>6.8558975119833088</v>
      </c>
      <c r="O153" s="97">
        <v>7.3279071497704242</v>
      </c>
      <c r="P153" s="97">
        <v>7.4309415164733474</v>
      </c>
      <c r="Q153" s="97">
        <v>8.1019894086855082</v>
      </c>
      <c r="R153" s="97">
        <v>8.4220007488131294</v>
      </c>
      <c r="S153" s="97">
        <v>7.2750520969870518</v>
      </c>
      <c r="T153" s="97">
        <v>8.9289351477042853</v>
      </c>
      <c r="U153" s="97">
        <v>9.2196364118965892</v>
      </c>
      <c r="V153" s="97">
        <v>4.9115839877320262</v>
      </c>
      <c r="W153" s="97">
        <v>6.1878375402327999</v>
      </c>
      <c r="DA153" s="175" t="s">
        <v>563</v>
      </c>
    </row>
    <row r="154" spans="1:105" ht="11.45" customHeight="1" x14ac:dyDescent="0.25">
      <c r="A154" s="111" t="s">
        <v>113</v>
      </c>
      <c r="B154" s="97">
        <v>7.771760725534568</v>
      </c>
      <c r="C154" s="97">
        <v>7.9014622880184868</v>
      </c>
      <c r="D154" s="97">
        <v>7.4656301880569664</v>
      </c>
      <c r="E154" s="97">
        <v>7.900146214162036</v>
      </c>
      <c r="F154" s="97">
        <v>8.1589962024594307</v>
      </c>
      <c r="G154" s="97">
        <v>8.2093134584341954</v>
      </c>
      <c r="H154" s="97">
        <v>8.3749451581927339</v>
      </c>
      <c r="I154" s="97">
        <v>8.4993502479781817</v>
      </c>
      <c r="J154" s="97">
        <v>8.28951094798132</v>
      </c>
      <c r="K154" s="97">
        <v>7.6351482122706669</v>
      </c>
      <c r="L154" s="97">
        <v>7.2662719680206473</v>
      </c>
      <c r="M154" s="97">
        <v>7.6070208286552141</v>
      </c>
      <c r="N154" s="97">
        <v>6.8558975119833088</v>
      </c>
      <c r="O154" s="97">
        <v>7.3279071497704242</v>
      </c>
      <c r="P154" s="97">
        <v>7.4309415164733483</v>
      </c>
      <c r="Q154" s="97">
        <v>8.1019894086855082</v>
      </c>
      <c r="R154" s="97">
        <v>8.4220007488131294</v>
      </c>
      <c r="S154" s="97">
        <v>7.2750520969870509</v>
      </c>
      <c r="T154" s="97">
        <v>8.9289351477042853</v>
      </c>
      <c r="U154" s="97">
        <v>9.2196364118965892</v>
      </c>
      <c r="V154" s="97">
        <v>4.9115839877320262</v>
      </c>
      <c r="W154" s="97">
        <v>6.1878375402327999</v>
      </c>
      <c r="DA154" s="175" t="s">
        <v>564</v>
      </c>
    </row>
    <row r="155" spans="1:105" ht="11.45" customHeight="1" x14ac:dyDescent="0.25">
      <c r="A155" s="111" t="s">
        <v>115</v>
      </c>
      <c r="B155" s="97">
        <v>7.7717607255345689</v>
      </c>
      <c r="C155" s="97">
        <v>7.9014622880184868</v>
      </c>
      <c r="D155" s="97">
        <v>7.4656301880569664</v>
      </c>
      <c r="E155" s="97">
        <v>7.900146214162036</v>
      </c>
      <c r="F155" s="97">
        <v>8.1589962024594307</v>
      </c>
      <c r="G155" s="97">
        <v>8.2093134584341954</v>
      </c>
      <c r="H155" s="97">
        <v>8.3749451581927339</v>
      </c>
      <c r="I155" s="97">
        <v>8.4993502479781817</v>
      </c>
      <c r="J155" s="97">
        <v>8.28951094798132</v>
      </c>
      <c r="K155" s="97">
        <v>7.6351482122706669</v>
      </c>
      <c r="L155" s="97">
        <v>7.2662719680206465</v>
      </c>
      <c r="M155" s="97">
        <v>7.6070208286552141</v>
      </c>
      <c r="N155" s="97">
        <v>6.8558975119833088</v>
      </c>
      <c r="O155" s="97">
        <v>7.3279071497704242</v>
      </c>
      <c r="P155" s="97">
        <v>7.4309415164733474</v>
      </c>
      <c r="Q155" s="97">
        <v>8.1019894086855082</v>
      </c>
      <c r="R155" s="97">
        <v>8.4220007488131294</v>
      </c>
      <c r="S155" s="97">
        <v>7.2750520969870509</v>
      </c>
      <c r="T155" s="97">
        <v>8.9289351477042853</v>
      </c>
      <c r="U155" s="97">
        <v>9.2196364118965892</v>
      </c>
      <c r="V155" s="97">
        <v>4.9115839877320262</v>
      </c>
      <c r="W155" s="97">
        <v>6.1878375402327999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2.2418731348773937</v>
      </c>
      <c r="C156" s="32">
        <f t="shared" si="207"/>
        <v>2.1232314336776446</v>
      </c>
      <c r="D156" s="32">
        <f t="shared" si="207"/>
        <v>2.0461181220163196</v>
      </c>
      <c r="E156" s="32">
        <f t="shared" si="207"/>
        <v>2.0351165617424689</v>
      </c>
      <c r="F156" s="32">
        <f t="shared" si="207"/>
        <v>2.1304954040541912</v>
      </c>
      <c r="G156" s="32">
        <f t="shared" si="207"/>
        <v>2.046403750538011</v>
      </c>
      <c r="H156" s="32">
        <f t="shared" si="207"/>
        <v>2.0547632274086882</v>
      </c>
      <c r="I156" s="32">
        <f t="shared" si="207"/>
        <v>2.0483730488669649</v>
      </c>
      <c r="J156" s="32">
        <f t="shared" si="207"/>
        <v>2.0718942652038557</v>
      </c>
      <c r="K156" s="32">
        <f t="shared" si="207"/>
        <v>2.0753116286196098</v>
      </c>
      <c r="L156" s="32">
        <f t="shared" ref="L156" si="208">IF(L19=0,0,L19/L46)</f>
        <v>2.1238444215281977</v>
      </c>
      <c r="M156" s="32">
        <f t="shared" ref="M156:V156" si="209">IF(M19=0,0,M19/M46)</f>
        <v>2.0839531236070932</v>
      </c>
      <c r="N156" s="32">
        <f t="shared" si="209"/>
        <v>2.0867403585152808</v>
      </c>
      <c r="O156" s="32">
        <f t="shared" si="209"/>
        <v>2.2838533507750434</v>
      </c>
      <c r="P156" s="32">
        <f t="shared" si="209"/>
        <v>2.3587852433222118</v>
      </c>
      <c r="Q156" s="32">
        <f t="shared" si="209"/>
        <v>2.2798888341044643</v>
      </c>
      <c r="R156" s="32">
        <f t="shared" si="209"/>
        <v>2.3399890967643753</v>
      </c>
      <c r="S156" s="32">
        <f t="shared" si="209"/>
        <v>2.3064266902453974</v>
      </c>
      <c r="T156" s="32">
        <f t="shared" si="209"/>
        <v>2.3265422516742773</v>
      </c>
      <c r="U156" s="32">
        <f t="shared" si="209"/>
        <v>2.3717413341042644</v>
      </c>
      <c r="V156" s="32">
        <f t="shared" si="209"/>
        <v>2.4051392352408416</v>
      </c>
      <c r="W156" s="32">
        <f t="shared" ref="W156" si="210">IF(W19=0,0,W19/W46)</f>
        <v>2.3984611840960928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0.19991571270968395</v>
      </c>
      <c r="C157" s="141">
        <f t="shared" si="211"/>
        <v>0.20025656281496867</v>
      </c>
      <c r="D157" s="141">
        <f t="shared" si="211"/>
        <v>0.20141460156310884</v>
      </c>
      <c r="E157" s="141">
        <f t="shared" si="211"/>
        <v>0.20184287491981517</v>
      </c>
      <c r="F157" s="141">
        <f t="shared" si="211"/>
        <v>0.20150904395579511</v>
      </c>
      <c r="G157" s="141">
        <f t="shared" si="211"/>
        <v>0.2023100101017577</v>
      </c>
      <c r="H157" s="141">
        <f t="shared" si="211"/>
        <v>0.20115135971257833</v>
      </c>
      <c r="I157" s="141">
        <f t="shared" si="211"/>
        <v>0.20012703556901132</v>
      </c>
      <c r="J157" s="141">
        <f t="shared" si="211"/>
        <v>0.20014067538334326</v>
      </c>
      <c r="K157" s="141">
        <f t="shared" si="211"/>
        <v>0.20317854440001568</v>
      </c>
      <c r="L157" s="141">
        <f t="shared" ref="L157" si="212">IF(L20=0,0,L20/L47)</f>
        <v>0.20267431269344591</v>
      </c>
      <c r="M157" s="141">
        <f t="shared" ref="M157:V157" si="213">IF(M20=0,0,M20/M47)</f>
        <v>0.20143014862156533</v>
      </c>
      <c r="N157" s="141">
        <f t="shared" si="213"/>
        <v>0.20269680610559287</v>
      </c>
      <c r="O157" s="141">
        <f t="shared" si="213"/>
        <v>0.20223496882101533</v>
      </c>
      <c r="P157" s="141">
        <f t="shared" si="213"/>
        <v>0.2037434867647982</v>
      </c>
      <c r="Q157" s="141">
        <f t="shared" si="213"/>
        <v>0.2025967603143134</v>
      </c>
      <c r="R157" s="141">
        <f t="shared" si="213"/>
        <v>0.20275581570331264</v>
      </c>
      <c r="S157" s="141">
        <f t="shared" si="213"/>
        <v>0.20337121856639725</v>
      </c>
      <c r="T157" s="141">
        <f t="shared" si="213"/>
        <v>0.20396392520379791</v>
      </c>
      <c r="U157" s="141">
        <f t="shared" si="213"/>
        <v>0.20482628692183763</v>
      </c>
      <c r="V157" s="141">
        <f t="shared" si="213"/>
        <v>0.20690186586122564</v>
      </c>
      <c r="W157" s="141">
        <f t="shared" ref="W157" si="214">IF(W20=0,0,W20/W47)</f>
        <v>0.2063217118466141</v>
      </c>
      <c r="DA157" s="174" t="s">
        <v>567</v>
      </c>
    </row>
    <row r="158" spans="1:105" ht="11.45" customHeight="1" x14ac:dyDescent="0.25">
      <c r="A158" s="111" t="s">
        <v>110</v>
      </c>
      <c r="B158" s="96">
        <v>0.16395322287412301</v>
      </c>
      <c r="C158" s="96">
        <v>0.1642180897379534</v>
      </c>
      <c r="D158" s="96">
        <v>0.16529979076886017</v>
      </c>
      <c r="E158" s="96">
        <v>0.16577002850640796</v>
      </c>
      <c r="F158" s="96">
        <v>0.16528143405330861</v>
      </c>
      <c r="G158" s="96">
        <v>0.16563782670957103</v>
      </c>
      <c r="H158" s="96">
        <v>0.16539497645110776</v>
      </c>
      <c r="I158" s="96">
        <v>0.16388882126776683</v>
      </c>
      <c r="J158" s="96">
        <v>0.16351430407478121</v>
      </c>
      <c r="K158" s="96">
        <v>0.16461796790794392</v>
      </c>
      <c r="L158" s="96">
        <v>0.16437491970605</v>
      </c>
      <c r="M158" s="96">
        <v>0.16406722054624537</v>
      </c>
      <c r="N158" s="96">
        <v>0.16410339124721365</v>
      </c>
      <c r="O158" s="96">
        <v>0.1637654330047966</v>
      </c>
      <c r="P158" s="96">
        <v>0.16276029315363696</v>
      </c>
      <c r="Q158" s="96">
        <v>0.16208614807872548</v>
      </c>
      <c r="R158" s="96">
        <v>0.16218146289144494</v>
      </c>
      <c r="S158" s="96">
        <v>0.16268830134404935</v>
      </c>
      <c r="T158" s="96">
        <v>0.1632060567281873</v>
      </c>
      <c r="U158" s="96">
        <v>0.16400474039938154</v>
      </c>
      <c r="V158" s="96">
        <v>0.16570406992033818</v>
      </c>
      <c r="W158" s="96">
        <v>0.16520108200017683</v>
      </c>
      <c r="DA158" s="171" t="s">
        <v>568</v>
      </c>
    </row>
    <row r="159" spans="1:105" ht="11.45" customHeight="1" x14ac:dyDescent="0.25">
      <c r="A159" s="111" t="s">
        <v>111</v>
      </c>
      <c r="B159" s="96">
        <v>0.20189407781870639</v>
      </c>
      <c r="C159" s="96">
        <v>0.20193030358885339</v>
      </c>
      <c r="D159" s="96">
        <v>0.2028651244986788</v>
      </c>
      <c r="E159" s="96">
        <v>0.20310565129445526</v>
      </c>
      <c r="F159" s="96">
        <v>0.20263486365868366</v>
      </c>
      <c r="G159" s="96">
        <v>0.20333556673752284</v>
      </c>
      <c r="H159" s="96">
        <v>0.2020514613590951</v>
      </c>
      <c r="I159" s="96">
        <v>0.20099171306454205</v>
      </c>
      <c r="J159" s="96">
        <v>0.20096888612610742</v>
      </c>
      <c r="K159" s="96">
        <v>0.20405448669950213</v>
      </c>
      <c r="L159" s="96">
        <v>0.20351748847215884</v>
      </c>
      <c r="M159" s="96">
        <v>0.20222406684868421</v>
      </c>
      <c r="N159" s="96">
        <v>0.20353012715750299</v>
      </c>
      <c r="O159" s="96">
        <v>0.20305171186378682</v>
      </c>
      <c r="P159" s="96">
        <v>0.20467372959145783</v>
      </c>
      <c r="Q159" s="96">
        <v>0.2034946322703387</v>
      </c>
      <c r="R159" s="96">
        <v>0.20361429735581441</v>
      </c>
      <c r="S159" s="96">
        <v>0.20425061887838589</v>
      </c>
      <c r="T159" s="96">
        <v>0.2049006463036164</v>
      </c>
      <c r="U159" s="96">
        <v>0.20590337134765316</v>
      </c>
      <c r="V159" s="96">
        <v>0.20803683210338192</v>
      </c>
      <c r="W159" s="96">
        <v>0.2074053448167574</v>
      </c>
      <c r="DA159" s="171" t="s">
        <v>569</v>
      </c>
    </row>
    <row r="160" spans="1:105" ht="11.45" customHeight="1" x14ac:dyDescent="0.25">
      <c r="A160" s="111" t="s">
        <v>112</v>
      </c>
      <c r="B160" s="96">
        <v>0.16395322287412301</v>
      </c>
      <c r="C160" s="96">
        <v>0.1642180897379534</v>
      </c>
      <c r="D160" s="96">
        <v>0.16529979076886017</v>
      </c>
      <c r="E160" s="96">
        <v>0.16577002850640796</v>
      </c>
      <c r="F160" s="96">
        <v>0.16528143405330861</v>
      </c>
      <c r="G160" s="96">
        <v>0.16563782670957103</v>
      </c>
      <c r="H160" s="96">
        <v>0.16539497645110776</v>
      </c>
      <c r="I160" s="96">
        <v>0.16388882126776683</v>
      </c>
      <c r="J160" s="96">
        <v>0.16351430407478121</v>
      </c>
      <c r="K160" s="96">
        <v>0.16461796790794392</v>
      </c>
      <c r="L160" s="96">
        <v>0.16437491970605</v>
      </c>
      <c r="M160" s="96">
        <v>0.16406722054624537</v>
      </c>
      <c r="N160" s="96">
        <v>0.16410339124721365</v>
      </c>
      <c r="O160" s="96">
        <v>0.1637654330047966</v>
      </c>
      <c r="P160" s="96">
        <v>0.16276029315363696</v>
      </c>
      <c r="Q160" s="96">
        <v>0.16208614807872546</v>
      </c>
      <c r="R160" s="96">
        <v>0.16218146289144494</v>
      </c>
      <c r="S160" s="96">
        <v>0.16268830134404935</v>
      </c>
      <c r="T160" s="96">
        <v>0.16320605672818733</v>
      </c>
      <c r="U160" s="96">
        <v>0.16400474039938154</v>
      </c>
      <c r="V160" s="96">
        <v>0.16570406992033818</v>
      </c>
      <c r="W160" s="96">
        <v>0.16520108200017683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0.15915678390745303</v>
      </c>
      <c r="F161" s="96">
        <v>0.15932372465211259</v>
      </c>
      <c r="G161" s="96">
        <v>0.16030724033486274</v>
      </c>
      <c r="H161" s="96">
        <v>0.16071379806585012</v>
      </c>
      <c r="I161" s="96">
        <v>0.15988856974125493</v>
      </c>
      <c r="J161" s="96">
        <v>0.15952319388543526</v>
      </c>
      <c r="K161" s="96">
        <v>0.16124362682475912</v>
      </c>
      <c r="L161" s="96">
        <v>0.16111997080097967</v>
      </c>
      <c r="M161" s="96">
        <v>0.16146294794633342</v>
      </c>
      <c r="N161" s="96">
        <v>0.16214585401383952</v>
      </c>
      <c r="O161" s="96">
        <v>0.1624604927624653</v>
      </c>
      <c r="P161" s="96">
        <v>0.1621105307129567</v>
      </c>
      <c r="Q161" s="96">
        <v>0.16208614807872546</v>
      </c>
      <c r="R161" s="96">
        <v>0.16153401122421329</v>
      </c>
      <c r="S161" s="96">
        <v>0.16139194406348609</v>
      </c>
      <c r="T161" s="96">
        <v>0.16125922351328864</v>
      </c>
      <c r="U161" s="96">
        <v>0.16140145955963947</v>
      </c>
      <c r="V161" s="96">
        <v>0.16242280120904437</v>
      </c>
      <c r="W161" s="96">
        <v>0.16192977344571791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0.20572693544102869</v>
      </c>
      <c r="N162" s="96">
        <v>0.20570508540744192</v>
      </c>
      <c r="O162" s="96">
        <v>0.20570458114637974</v>
      </c>
      <c r="P162" s="96">
        <v>0.20566396804222184</v>
      </c>
      <c r="Q162" s="96">
        <v>0.20564300622347656</v>
      </c>
      <c r="R162" s="96">
        <v>0.20565693352175263</v>
      </c>
      <c r="S162" s="96">
        <v>0.20566780612332936</v>
      </c>
      <c r="T162" s="96">
        <v>0.20567923940249741</v>
      </c>
      <c r="U162" s="96">
        <v>0.2057073675793476</v>
      </c>
      <c r="V162" s="96">
        <v>0.20693025784750402</v>
      </c>
      <c r="W162" s="96">
        <v>0.20573918556492704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7.6290858495134897</v>
      </c>
      <c r="C163" s="130">
        <f t="shared" si="215"/>
        <v>7.6981335580122678</v>
      </c>
      <c r="D163" s="130">
        <f t="shared" si="215"/>
        <v>7.3552703778735351</v>
      </c>
      <c r="E163" s="130">
        <f t="shared" si="215"/>
        <v>7.3917943302705638</v>
      </c>
      <c r="F163" s="130">
        <f t="shared" si="215"/>
        <v>8.0183016866216708</v>
      </c>
      <c r="G163" s="130">
        <f t="shared" si="215"/>
        <v>7.775283010568355</v>
      </c>
      <c r="H163" s="130">
        <f t="shared" si="215"/>
        <v>7.7746624051622986</v>
      </c>
      <c r="I163" s="130">
        <f t="shared" si="215"/>
        <v>8.0526924583045307</v>
      </c>
      <c r="J163" s="130">
        <f t="shared" si="215"/>
        <v>8.2398339708312047</v>
      </c>
      <c r="K163" s="130">
        <f t="shared" si="215"/>
        <v>8.0219200438169889</v>
      </c>
      <c r="L163" s="130">
        <f t="shared" ref="L163" si="216">IF(L26=0,0,L26/L53)</f>
        <v>9.0511057078241048</v>
      </c>
      <c r="M163" s="130">
        <f t="shared" ref="M163:V163" si="217">IF(M26=0,0,M26/M53)</f>
        <v>8.8696644785914387</v>
      </c>
      <c r="N163" s="130">
        <f t="shared" si="217"/>
        <v>8.8918346730223288</v>
      </c>
      <c r="O163" s="130">
        <f t="shared" si="217"/>
        <v>9.4079932451600339</v>
      </c>
      <c r="P163" s="130">
        <f t="shared" si="217"/>
        <v>9.2980879049739595</v>
      </c>
      <c r="Q163" s="130">
        <f t="shared" si="217"/>
        <v>9.1324685885129284</v>
      </c>
      <c r="R163" s="130">
        <f t="shared" si="217"/>
        <v>9.2867815463708396</v>
      </c>
      <c r="S163" s="130">
        <f t="shared" si="217"/>
        <v>9.5377944825966274</v>
      </c>
      <c r="T163" s="130">
        <f t="shared" si="217"/>
        <v>9.5717657202334347</v>
      </c>
      <c r="U163" s="130">
        <f t="shared" si="217"/>
        <v>9.6595098769914465</v>
      </c>
      <c r="V163" s="130">
        <f t="shared" si="217"/>
        <v>9.3573982329627103</v>
      </c>
      <c r="W163" s="130">
        <f t="shared" ref="W163" si="218">IF(W26=0,0,W26/W53)</f>
        <v>9.3672345093076856</v>
      </c>
      <c r="DA163" s="176" t="s">
        <v>573</v>
      </c>
    </row>
    <row r="164" spans="1:105" ht="11.45" customHeight="1" x14ac:dyDescent="0.25">
      <c r="A164" s="128" t="s">
        <v>27</v>
      </c>
      <c r="B164" s="97">
        <v>6.4073547338480292</v>
      </c>
      <c r="C164" s="97">
        <v>6.3862793572311496</v>
      </c>
      <c r="D164" s="97">
        <v>5.9500491642084565</v>
      </c>
      <c r="E164" s="97">
        <v>6.0301650540694363</v>
      </c>
      <c r="F164" s="97">
        <v>6.5847885137757078</v>
      </c>
      <c r="G164" s="97">
        <v>6.2186400937866351</v>
      </c>
      <c r="H164" s="97">
        <v>6.0945361635220126</v>
      </c>
      <c r="I164" s="97">
        <v>6.3400826446280991</v>
      </c>
      <c r="J164" s="97">
        <v>6.6093330580218872</v>
      </c>
      <c r="K164" s="97">
        <v>6.5001037129226305</v>
      </c>
      <c r="L164" s="97">
        <v>7.3596083231334148</v>
      </c>
      <c r="M164" s="97">
        <v>7.2047992397243998</v>
      </c>
      <c r="N164" s="97">
        <v>7.197140707298721</v>
      </c>
      <c r="O164" s="97">
        <v>7.8874236874236878</v>
      </c>
      <c r="P164" s="97">
        <v>7.7178750897343864</v>
      </c>
      <c r="Q164" s="97">
        <v>7.5392547457229906</v>
      </c>
      <c r="R164" s="97">
        <v>7.7182683590208523</v>
      </c>
      <c r="S164" s="97">
        <v>7.9202292811081918</v>
      </c>
      <c r="T164" s="97">
        <v>7.997901119402985</v>
      </c>
      <c r="U164" s="97">
        <v>8.0983531564501376</v>
      </c>
      <c r="V164" s="97">
        <v>7.7453208556149731</v>
      </c>
      <c r="W164" s="97">
        <v>7.7976037655113393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13.993137904941621</v>
      </c>
      <c r="G165" s="98">
        <v>13.999403714336369</v>
      </c>
      <c r="H165" s="98">
        <v>14.088849058887034</v>
      </c>
      <c r="I165" s="98">
        <v>14.115262081857324</v>
      </c>
      <c r="J165" s="98">
        <v>13.915448013039786</v>
      </c>
      <c r="K165" s="98">
        <v>13.731801555818864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14.005556317739057</v>
      </c>
      <c r="R165" s="98">
        <v>13.931044885469865</v>
      </c>
      <c r="S165" s="98">
        <v>14.049661034098955</v>
      </c>
      <c r="T165" s="98">
        <v>14.155971572922997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14003.249340416827</v>
      </c>
      <c r="C167" s="54">
        <f t="shared" si="219"/>
        <v>13898.6446481983</v>
      </c>
      <c r="D167" s="54">
        <f t="shared" si="219"/>
        <v>13820.236253648287</v>
      </c>
      <c r="E167" s="54">
        <f t="shared" si="219"/>
        <v>13756.404973063662</v>
      </c>
      <c r="F167" s="54">
        <f t="shared" si="219"/>
        <v>13991.203529653891</v>
      </c>
      <c r="G167" s="54">
        <f t="shared" si="219"/>
        <v>13935.498781331349</v>
      </c>
      <c r="H167" s="54">
        <f t="shared" si="219"/>
        <v>13718.261942678691</v>
      </c>
      <c r="I167" s="54">
        <f t="shared" si="219"/>
        <v>13616.422541322803</v>
      </c>
      <c r="J167" s="54">
        <f t="shared" si="219"/>
        <v>13516.595358698098</v>
      </c>
      <c r="K167" s="54">
        <f t="shared" si="219"/>
        <v>13051.200637640588</v>
      </c>
      <c r="L167" s="54">
        <f t="shared" si="219"/>
        <v>12774.603721257899</v>
      </c>
      <c r="M167" s="54">
        <f>IF(M30=0,0,M30*1000000/M57)</f>
        <v>12862.5530288263</v>
      </c>
      <c r="N167" s="54">
        <f t="shared" ref="N167:V167" si="220">IF(N30=0,0,N30*1000000/N57)</f>
        <v>12093.43386559001</v>
      </c>
      <c r="O167" s="54">
        <f t="shared" si="220"/>
        <v>12016.15648058656</v>
      </c>
      <c r="P167" s="54">
        <f t="shared" si="220"/>
        <v>11926.68523097117</v>
      </c>
      <c r="Q167" s="54">
        <f t="shared" si="220"/>
        <v>11911.740815591009</v>
      </c>
      <c r="R167" s="54">
        <f t="shared" si="220"/>
        <v>11993.249823037122</v>
      </c>
      <c r="S167" s="54">
        <f t="shared" si="220"/>
        <v>11852.655931714966</v>
      </c>
      <c r="T167" s="54">
        <f t="shared" si="220"/>
        <v>11752.723495682983</v>
      </c>
      <c r="U167" s="54">
        <f t="shared" si="220"/>
        <v>11553.813882809889</v>
      </c>
      <c r="V167" s="54">
        <f t="shared" si="220"/>
        <v>9782.3104093115853</v>
      </c>
      <c r="W167" s="54">
        <f t="shared" ref="W167:W191" si="221">IF(W30=0,0,W30*1000000/W57)</f>
        <v>10181.474995672899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12656.020695543923</v>
      </c>
      <c r="C168" s="28">
        <f t="shared" si="219"/>
        <v>12490.55748454591</v>
      </c>
      <c r="D168" s="28">
        <f t="shared" si="219"/>
        <v>12391.423416191479</v>
      </c>
      <c r="E168" s="28">
        <f t="shared" si="219"/>
        <v>12274.422309557256</v>
      </c>
      <c r="F168" s="28">
        <f t="shared" si="219"/>
        <v>12438.841307542989</v>
      </c>
      <c r="G168" s="28">
        <f t="shared" si="219"/>
        <v>12409.658937258955</v>
      </c>
      <c r="H168" s="28">
        <f t="shared" si="219"/>
        <v>12158.305130843921</v>
      </c>
      <c r="I168" s="28">
        <f t="shared" si="219"/>
        <v>12072.851889216667</v>
      </c>
      <c r="J168" s="28">
        <f t="shared" si="219"/>
        <v>11983.008951355723</v>
      </c>
      <c r="K168" s="28">
        <f t="shared" si="219"/>
        <v>11676.514889453434</v>
      </c>
      <c r="L168" s="28">
        <f t="shared" si="219"/>
        <v>11441.628305986662</v>
      </c>
      <c r="M168" s="28">
        <f t="shared" ref="M168:M192" si="222">IF(M31=0,0,M31*1000000/M58)</f>
        <v>11491.014975079968</v>
      </c>
      <c r="N168" s="28">
        <f t="shared" si="219"/>
        <v>10769.277500548082</v>
      </c>
      <c r="O168" s="28">
        <f t="shared" si="219"/>
        <v>10691.212994992045</v>
      </c>
      <c r="P168" s="28">
        <f t="shared" si="219"/>
        <v>10655.464082167655</v>
      </c>
      <c r="Q168" s="28">
        <f t="shared" si="219"/>
        <v>10586.143328143953</v>
      </c>
      <c r="R168" s="28">
        <f t="shared" si="219"/>
        <v>10656.220055497879</v>
      </c>
      <c r="S168" s="28">
        <f t="shared" si="219"/>
        <v>10548.928178019347</v>
      </c>
      <c r="T168" s="28">
        <f t="shared" si="219"/>
        <v>10458.892249367169</v>
      </c>
      <c r="U168" s="28">
        <f t="shared" si="219"/>
        <v>10287.787313471625</v>
      </c>
      <c r="V168" s="28">
        <f t="shared" si="219"/>
        <v>8422.9357776327288</v>
      </c>
      <c r="W168" s="28">
        <f t="shared" si="221"/>
        <v>8794.006786061962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3054.4223646810242</v>
      </c>
      <c r="C169" s="137">
        <f t="shared" si="219"/>
        <v>3194.3973242126085</v>
      </c>
      <c r="D169" s="137">
        <f t="shared" si="219"/>
        <v>3186.8629021035781</v>
      </c>
      <c r="E169" s="137">
        <f t="shared" si="219"/>
        <v>3171.0562710388353</v>
      </c>
      <c r="F169" s="137">
        <f t="shared" si="219"/>
        <v>2962.9288021863113</v>
      </c>
      <c r="G169" s="137">
        <f t="shared" si="219"/>
        <v>2881.3093348408638</v>
      </c>
      <c r="H169" s="137">
        <f t="shared" si="219"/>
        <v>2687.5208549316794</v>
      </c>
      <c r="I169" s="137">
        <f t="shared" si="219"/>
        <v>2766.0641135274354</v>
      </c>
      <c r="J169" s="137">
        <f t="shared" si="219"/>
        <v>2801.2306334443451</v>
      </c>
      <c r="K169" s="137">
        <f t="shared" si="219"/>
        <v>2739.0494060157434</v>
      </c>
      <c r="L169" s="137">
        <f t="shared" si="219"/>
        <v>2658.9880135527005</v>
      </c>
      <c r="M169" s="137">
        <f t="shared" si="222"/>
        <v>2659.6054051638425</v>
      </c>
      <c r="N169" s="137">
        <f t="shared" si="219"/>
        <v>2543.3223152787018</v>
      </c>
      <c r="O169" s="137">
        <f t="shared" si="219"/>
        <v>2503.483831434382</v>
      </c>
      <c r="P169" s="137">
        <f t="shared" si="219"/>
        <v>2388.704040388694</v>
      </c>
      <c r="Q169" s="137">
        <f t="shared" si="219"/>
        <v>2427.4513870366541</v>
      </c>
      <c r="R169" s="137">
        <f t="shared" si="219"/>
        <v>2443.5612459204485</v>
      </c>
      <c r="S169" s="137">
        <f t="shared" si="219"/>
        <v>2262.2117029852343</v>
      </c>
      <c r="T169" s="137">
        <f t="shared" si="219"/>
        <v>2128.2467860321149</v>
      </c>
      <c r="U169" s="137">
        <f t="shared" si="219"/>
        <v>2219.4188315700244</v>
      </c>
      <c r="V169" s="137">
        <f t="shared" si="219"/>
        <v>1931.5532052997471</v>
      </c>
      <c r="W169" s="137">
        <f t="shared" si="221"/>
        <v>2071.765116495761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14054.184946187739</v>
      </c>
      <c r="C170" s="110">
        <f t="shared" si="219"/>
        <v>13793.446744476254</v>
      </c>
      <c r="D170" s="110">
        <f t="shared" si="219"/>
        <v>13699.262136964007</v>
      </c>
      <c r="E170" s="110">
        <f t="shared" si="219"/>
        <v>13558.500160540993</v>
      </c>
      <c r="F170" s="110">
        <f t="shared" si="219"/>
        <v>13800.798681119542</v>
      </c>
      <c r="G170" s="110">
        <f t="shared" si="219"/>
        <v>13863.037820220727</v>
      </c>
      <c r="H170" s="110">
        <f t="shared" si="219"/>
        <v>13804.139225494491</v>
      </c>
      <c r="I170" s="110">
        <f t="shared" si="219"/>
        <v>13775.732768958109</v>
      </c>
      <c r="J170" s="110">
        <f t="shared" si="219"/>
        <v>13756.268176138134</v>
      </c>
      <c r="K170" s="110">
        <f t="shared" si="219"/>
        <v>13480.978228083599</v>
      </c>
      <c r="L170" s="110">
        <f t="shared" si="219"/>
        <v>13289.203478243529</v>
      </c>
      <c r="M170" s="110">
        <f t="shared" si="222"/>
        <v>13373.327057543571</v>
      </c>
      <c r="N170" s="110">
        <f t="shared" si="219"/>
        <v>12520.830385437206</v>
      </c>
      <c r="O170" s="110">
        <f t="shared" si="219"/>
        <v>12441.563275011045</v>
      </c>
      <c r="P170" s="110">
        <f t="shared" si="219"/>
        <v>12443.707933018082</v>
      </c>
      <c r="Q170" s="110">
        <f t="shared" si="219"/>
        <v>12340.498494975351</v>
      </c>
      <c r="R170" s="110">
        <f t="shared" si="219"/>
        <v>12428.528222239058</v>
      </c>
      <c r="S170" s="110">
        <f t="shared" si="219"/>
        <v>12339.269614582747</v>
      </c>
      <c r="T170" s="110">
        <f t="shared" si="219"/>
        <v>12269.260925187573</v>
      </c>
      <c r="U170" s="110">
        <f t="shared" si="219"/>
        <v>12025.688379743955</v>
      </c>
      <c r="V170" s="110">
        <f t="shared" si="219"/>
        <v>9847.8071854927239</v>
      </c>
      <c r="W170" s="110">
        <f t="shared" si="221"/>
        <v>10187.413285192039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11982.17798533389</v>
      </c>
      <c r="C171" s="84">
        <f t="shared" si="219"/>
        <v>11655.55277140217</v>
      </c>
      <c r="D171" s="84">
        <f t="shared" si="219"/>
        <v>11450.458569804854</v>
      </c>
      <c r="E171" s="84">
        <f t="shared" si="219"/>
        <v>11227.159142279867</v>
      </c>
      <c r="F171" s="84">
        <f t="shared" si="219"/>
        <v>11371.094015282089</v>
      </c>
      <c r="G171" s="84">
        <f t="shared" si="219"/>
        <v>11365.29191199478</v>
      </c>
      <c r="H171" s="84">
        <f t="shared" si="219"/>
        <v>11203.488344472686</v>
      </c>
      <c r="I171" s="84">
        <f t="shared" si="219"/>
        <v>11169.693238324051</v>
      </c>
      <c r="J171" s="84">
        <f t="shared" si="219"/>
        <v>11203.641121048036</v>
      </c>
      <c r="K171" s="84">
        <f t="shared" si="219"/>
        <v>11083.063793264288</v>
      </c>
      <c r="L171" s="84">
        <f t="shared" si="219"/>
        <v>10982.149139565201</v>
      </c>
      <c r="M171" s="84">
        <f t="shared" si="222"/>
        <v>11143.327076258622</v>
      </c>
      <c r="N171" s="84">
        <f t="shared" si="219"/>
        <v>10287.644540962583</v>
      </c>
      <c r="O171" s="84">
        <f t="shared" si="219"/>
        <v>10201.697201530089</v>
      </c>
      <c r="P171" s="84">
        <f t="shared" si="219"/>
        <v>10140.667303465123</v>
      </c>
      <c r="Q171" s="84">
        <f t="shared" si="219"/>
        <v>10088.05768379509</v>
      </c>
      <c r="R171" s="84">
        <f t="shared" si="219"/>
        <v>10352.347824268098</v>
      </c>
      <c r="S171" s="84">
        <f t="shared" si="219"/>
        <v>10408.327060009686</v>
      </c>
      <c r="T171" s="84">
        <f t="shared" si="219"/>
        <v>10466.581652615718</v>
      </c>
      <c r="U171" s="84">
        <f t="shared" si="219"/>
        <v>10424.371617717468</v>
      </c>
      <c r="V171" s="84">
        <f t="shared" si="219"/>
        <v>8872.0146248609508</v>
      </c>
      <c r="W171" s="84">
        <f t="shared" si="221"/>
        <v>8525.8549526778861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25390.898322899622</v>
      </c>
      <c r="C172" s="84">
        <f t="shared" si="219"/>
        <v>25173.080002443618</v>
      </c>
      <c r="D172" s="84">
        <f t="shared" si="219"/>
        <v>25517.970437154439</v>
      </c>
      <c r="E172" s="84">
        <f t="shared" si="219"/>
        <v>25557.270303186666</v>
      </c>
      <c r="F172" s="84">
        <f t="shared" si="219"/>
        <v>25874.278028722816</v>
      </c>
      <c r="G172" s="84">
        <f t="shared" si="219"/>
        <v>26055.46676536704</v>
      </c>
      <c r="H172" s="84">
        <f t="shared" si="219"/>
        <v>26062.975234569672</v>
      </c>
      <c r="I172" s="84">
        <f t="shared" si="219"/>
        <v>25685.142520685611</v>
      </c>
      <c r="J172" s="84">
        <f t="shared" si="219"/>
        <v>25531.02722398168</v>
      </c>
      <c r="K172" s="84">
        <f t="shared" si="219"/>
        <v>24608.610576557032</v>
      </c>
      <c r="L172" s="84">
        <f t="shared" si="219"/>
        <v>24155.240959546052</v>
      </c>
      <c r="M172" s="84">
        <f t="shared" si="222"/>
        <v>23887.315648818305</v>
      </c>
      <c r="N172" s="84">
        <f t="shared" si="219"/>
        <v>22942.138740208669</v>
      </c>
      <c r="O172" s="84">
        <f t="shared" si="219"/>
        <v>23112.743167211916</v>
      </c>
      <c r="P172" s="84">
        <f t="shared" si="219"/>
        <v>23555.353739307924</v>
      </c>
      <c r="Q172" s="84">
        <f t="shared" si="219"/>
        <v>23147.421591128503</v>
      </c>
      <c r="R172" s="84">
        <f t="shared" si="219"/>
        <v>22695.68898736644</v>
      </c>
      <c r="S172" s="84">
        <f t="shared" si="219"/>
        <v>22165.985996544216</v>
      </c>
      <c r="T172" s="84">
        <f t="shared" si="219"/>
        <v>21788.881229097966</v>
      </c>
      <c r="U172" s="84">
        <f t="shared" si="219"/>
        <v>20960.034152675657</v>
      </c>
      <c r="V172" s="84">
        <f t="shared" si="219"/>
        <v>15621.035764662665</v>
      </c>
      <c r="W172" s="84">
        <f t="shared" si="221"/>
        <v>20808.78117472482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16460.491259938808</v>
      </c>
      <c r="C173" s="84">
        <f t="shared" si="219"/>
        <v>15980.189082642495</v>
      </c>
      <c r="D173" s="84">
        <f t="shared" si="219"/>
        <v>15708.551211018468</v>
      </c>
      <c r="E173" s="84">
        <f t="shared" si="219"/>
        <v>15385.264137658167</v>
      </c>
      <c r="F173" s="84">
        <f t="shared" si="219"/>
        <v>15832.407548213589</v>
      </c>
      <c r="G173" s="84">
        <f t="shared" si="219"/>
        <v>15602.093108628902</v>
      </c>
      <c r="H173" s="84">
        <f t="shared" si="219"/>
        <v>15369.523938568787</v>
      </c>
      <c r="I173" s="84">
        <f t="shared" si="219"/>
        <v>15190.765780289719</v>
      </c>
      <c r="J173" s="84">
        <f t="shared" si="219"/>
        <v>14855.476646832982</v>
      </c>
      <c r="K173" s="84">
        <f t="shared" si="219"/>
        <v>14451.10907582704</v>
      </c>
      <c r="L173" s="84">
        <f t="shared" si="219"/>
        <v>14256.219894195594</v>
      </c>
      <c r="M173" s="84">
        <f t="shared" si="222"/>
        <v>13976.13176178281</v>
      </c>
      <c r="N173" s="84">
        <f t="shared" si="219"/>
        <v>13640.345134398118</v>
      </c>
      <c r="O173" s="84">
        <f t="shared" si="219"/>
        <v>13415.531911478854</v>
      </c>
      <c r="P173" s="84">
        <f t="shared" si="219"/>
        <v>13285.1090085786</v>
      </c>
      <c r="Q173" s="84">
        <f t="shared" si="219"/>
        <v>13515.72176975026</v>
      </c>
      <c r="R173" s="84">
        <f t="shared" si="219"/>
        <v>13753.143237403014</v>
      </c>
      <c r="S173" s="84">
        <f t="shared" si="219"/>
        <v>13785.94616953414</v>
      </c>
      <c r="T173" s="84">
        <f t="shared" si="219"/>
        <v>13840.868687234804</v>
      </c>
      <c r="U173" s="84">
        <f t="shared" si="219"/>
        <v>13688.026667427341</v>
      </c>
      <c r="V173" s="84">
        <f t="shared" si="219"/>
        <v>11208.649451658834</v>
      </c>
      <c r="W173" s="84">
        <f t="shared" si="221"/>
        <v>11731.006310239352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19189.880308423883</v>
      </c>
      <c r="M174" s="84">
        <f t="shared" si="222"/>
        <v>18812.861871790501</v>
      </c>
      <c r="N174" s="84">
        <f t="shared" si="219"/>
        <v>18360.869321415692</v>
      </c>
      <c r="O174" s="84">
        <f t="shared" si="219"/>
        <v>18058.254822509978</v>
      </c>
      <c r="P174" s="84">
        <f t="shared" si="219"/>
        <v>17882.696370500405</v>
      </c>
      <c r="Q174" s="84">
        <f t="shared" si="219"/>
        <v>17832.857706445113</v>
      </c>
      <c r="R174" s="84">
        <f t="shared" si="219"/>
        <v>18146.115357145121</v>
      </c>
      <c r="S174" s="84">
        <f t="shared" si="219"/>
        <v>18189.396066160432</v>
      </c>
      <c r="T174" s="84">
        <f t="shared" si="219"/>
        <v>18261.861707264983</v>
      </c>
      <c r="U174" s="84">
        <f t="shared" si="219"/>
        <v>18060.199521757997</v>
      </c>
      <c r="V174" s="84">
        <f t="shared" si="219"/>
        <v>14788.869892262464</v>
      </c>
      <c r="W174" s="84">
        <f t="shared" si="221"/>
        <v>15478.075817757346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11068.058637742148</v>
      </c>
      <c r="N175" s="84">
        <f t="shared" si="219"/>
        <v>10872.043864183946</v>
      </c>
      <c r="O175" s="84">
        <f t="shared" si="219"/>
        <v>10683.749794986357</v>
      </c>
      <c r="P175" s="84">
        <f t="shared" si="219"/>
        <v>10376.657298521131</v>
      </c>
      <c r="Q175" s="84">
        <f t="shared" si="219"/>
        <v>10635.685337121466</v>
      </c>
      <c r="R175" s="84">
        <f t="shared" si="219"/>
        <v>10179.593475532693</v>
      </c>
      <c r="S175" s="84">
        <f t="shared" si="219"/>
        <v>9597.7023770799133</v>
      </c>
      <c r="T175" s="84">
        <f t="shared" si="219"/>
        <v>9850.2484967827913</v>
      </c>
      <c r="U175" s="84">
        <f t="shared" si="219"/>
        <v>9930.5895307725386</v>
      </c>
      <c r="V175" s="84">
        <f t="shared" si="219"/>
        <v>8327.177770068507</v>
      </c>
      <c r="W175" s="84">
        <f t="shared" si="221"/>
        <v>8786.1175393729118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16247.163364045193</v>
      </c>
      <c r="L176" s="84">
        <f t="shared" si="219"/>
        <v>16249.33133432817</v>
      </c>
      <c r="M176" s="84">
        <f t="shared" si="222"/>
        <v>16259.789267894228</v>
      </c>
      <c r="N176" s="84">
        <f t="shared" si="219"/>
        <v>16297.544882216851</v>
      </c>
      <c r="O176" s="84">
        <f t="shared" si="219"/>
        <v>16315.63431436979</v>
      </c>
      <c r="P176" s="84">
        <f t="shared" si="219"/>
        <v>16333.615907765665</v>
      </c>
      <c r="Q176" s="84">
        <f t="shared" si="219"/>
        <v>16355.328184150925</v>
      </c>
      <c r="R176" s="84">
        <f t="shared" si="219"/>
        <v>16319.524882165184</v>
      </c>
      <c r="S176" s="84">
        <f t="shared" si="219"/>
        <v>16271.566032600374</v>
      </c>
      <c r="T176" s="84">
        <f t="shared" si="219"/>
        <v>16225.041004908107</v>
      </c>
      <c r="U176" s="84">
        <f t="shared" si="219"/>
        <v>16166.454687907441</v>
      </c>
      <c r="V176" s="84">
        <f t="shared" si="219"/>
        <v>13291.555105636669</v>
      </c>
      <c r="W176" s="84">
        <f t="shared" si="221"/>
        <v>15944.273439509152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53029.687983980672</v>
      </c>
      <c r="C177" s="110">
        <f t="shared" si="219"/>
        <v>52027.443046881861</v>
      </c>
      <c r="D177" s="110">
        <f t="shared" si="219"/>
        <v>52187.971793809767</v>
      </c>
      <c r="E177" s="110">
        <f t="shared" si="219"/>
        <v>51177.297487260585</v>
      </c>
      <c r="F177" s="110">
        <f t="shared" si="219"/>
        <v>50805.731655824617</v>
      </c>
      <c r="G177" s="110">
        <f t="shared" si="219"/>
        <v>51816.639601835777</v>
      </c>
      <c r="H177" s="110">
        <f t="shared" si="219"/>
        <v>52818.006957687961</v>
      </c>
      <c r="I177" s="110">
        <f t="shared" si="219"/>
        <v>53858.921161825718</v>
      </c>
      <c r="J177" s="110">
        <f t="shared" si="219"/>
        <v>54942.207871514307</v>
      </c>
      <c r="K177" s="110">
        <f t="shared" si="219"/>
        <v>56123.768560337041</v>
      </c>
      <c r="L177" s="110">
        <f t="shared" si="219"/>
        <v>57344.513686657927</v>
      </c>
      <c r="M177" s="110">
        <f t="shared" si="222"/>
        <v>58423.695534898987</v>
      </c>
      <c r="N177" s="110">
        <f t="shared" si="219"/>
        <v>59538.138142801341</v>
      </c>
      <c r="O177" s="110">
        <f t="shared" si="219"/>
        <v>60605.50585920686</v>
      </c>
      <c r="P177" s="110">
        <f t="shared" si="219"/>
        <v>61678.113159405286</v>
      </c>
      <c r="Q177" s="110">
        <f t="shared" si="219"/>
        <v>62832.135042200673</v>
      </c>
      <c r="R177" s="110">
        <f t="shared" si="219"/>
        <v>62798.852406758051</v>
      </c>
      <c r="S177" s="110">
        <f t="shared" si="219"/>
        <v>64650.783954388105</v>
      </c>
      <c r="T177" s="110">
        <f t="shared" si="219"/>
        <v>61831.753076457535</v>
      </c>
      <c r="U177" s="110">
        <f t="shared" si="219"/>
        <v>55493.378101100541</v>
      </c>
      <c r="V177" s="110">
        <f t="shared" si="219"/>
        <v>47082.228116710881</v>
      </c>
      <c r="W177" s="110">
        <f t="shared" si="221"/>
        <v>46707.879501520947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53185.196973258826</v>
      </c>
      <c r="C178" s="102">
        <f t="shared" si="219"/>
        <v>51108.093592624042</v>
      </c>
      <c r="D178" s="102">
        <f t="shared" si="219"/>
        <v>50268.316751828293</v>
      </c>
      <c r="E178" s="102">
        <f t="shared" si="219"/>
        <v>48281.021176929127</v>
      </c>
      <c r="F178" s="102">
        <f t="shared" si="219"/>
        <v>46973.552390006735</v>
      </c>
      <c r="G178" s="102">
        <f t="shared" si="219"/>
        <v>47015.124970430305</v>
      </c>
      <c r="H178" s="102">
        <f t="shared" si="219"/>
        <v>47029.008847744481</v>
      </c>
      <c r="I178" s="102">
        <f t="shared" si="219"/>
        <v>47061.425362787973</v>
      </c>
      <c r="J178" s="102">
        <f t="shared" si="219"/>
        <v>47129.953074057848</v>
      </c>
      <c r="K178" s="102">
        <f t="shared" si="219"/>
        <v>47249.758029255798</v>
      </c>
      <c r="L178" s="102">
        <f t="shared" si="219"/>
        <v>47381.817808563144</v>
      </c>
      <c r="M178" s="102">
        <f t="shared" si="222"/>
        <v>47371.109273139919</v>
      </c>
      <c r="N178" s="102">
        <f t="shared" si="219"/>
        <v>47372.894282138303</v>
      </c>
      <c r="O178" s="102">
        <f t="shared" si="219"/>
        <v>47318.658092941034</v>
      </c>
      <c r="P178" s="102">
        <f t="shared" si="219"/>
        <v>47253.30583310208</v>
      </c>
      <c r="Q178" s="102">
        <f t="shared" si="219"/>
        <v>47237.32544844965</v>
      </c>
      <c r="R178" s="102">
        <f t="shared" si="219"/>
        <v>48155.273801512885</v>
      </c>
      <c r="S178" s="102">
        <f t="shared" si="219"/>
        <v>50640.410875793357</v>
      </c>
      <c r="T178" s="102">
        <f t="shared" si="219"/>
        <v>49290.933726969844</v>
      </c>
      <c r="U178" s="102">
        <f t="shared" si="219"/>
        <v>44879.529980944571</v>
      </c>
      <c r="V178" s="102">
        <f t="shared" si="219"/>
        <v>38520.783173933771</v>
      </c>
      <c r="W178" s="102">
        <f t="shared" si="221"/>
        <v>38963.241577201145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53426.61983184659</v>
      </c>
      <c r="C179" s="102">
        <f t="shared" si="219"/>
        <v>52394.28076685845</v>
      </c>
      <c r="D179" s="102">
        <f t="shared" si="219"/>
        <v>52513.067342694434</v>
      </c>
      <c r="E179" s="102">
        <f t="shared" si="219"/>
        <v>51472.204490362426</v>
      </c>
      <c r="F179" s="102">
        <f t="shared" si="219"/>
        <v>51058.900850619488</v>
      </c>
      <c r="G179" s="102">
        <f t="shared" si="219"/>
        <v>52157.836763366227</v>
      </c>
      <c r="H179" s="102">
        <f t="shared" si="219"/>
        <v>53140.159436869653</v>
      </c>
      <c r="I179" s="102">
        <f t="shared" si="219"/>
        <v>54178.954799915846</v>
      </c>
      <c r="J179" s="102">
        <f t="shared" si="219"/>
        <v>55289.585185259755</v>
      </c>
      <c r="K179" s="102">
        <f t="shared" si="219"/>
        <v>56516.483172198481</v>
      </c>
      <c r="L179" s="102">
        <f t="shared" si="219"/>
        <v>57776.953010129575</v>
      </c>
      <c r="M179" s="102">
        <f t="shared" si="222"/>
        <v>58945.28342166877</v>
      </c>
      <c r="N179" s="102">
        <f t="shared" si="219"/>
        <v>60194.534794324034</v>
      </c>
      <c r="O179" s="102">
        <f t="shared" si="219"/>
        <v>61395.74844513151</v>
      </c>
      <c r="P179" s="102">
        <f t="shared" si="219"/>
        <v>62622.963320065166</v>
      </c>
      <c r="Q179" s="102">
        <f t="shared" si="219"/>
        <v>63881.516271892062</v>
      </c>
      <c r="R179" s="102">
        <f t="shared" si="219"/>
        <v>63980.686927402392</v>
      </c>
      <c r="S179" s="102">
        <f t="shared" si="219"/>
        <v>65976.662944405398</v>
      </c>
      <c r="T179" s="102">
        <f t="shared" si="219"/>
        <v>63308.584870333063</v>
      </c>
      <c r="U179" s="102">
        <f t="shared" si="219"/>
        <v>56751.517618629099</v>
      </c>
      <c r="V179" s="102">
        <f t="shared" si="219"/>
        <v>48193.999325748002</v>
      </c>
      <c r="W179" s="102">
        <f t="shared" si="221"/>
        <v>46867.827181380839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29317.574385531461</v>
      </c>
      <c r="C180" s="102">
        <f t="shared" si="219"/>
        <v>28736.053061625094</v>
      </c>
      <c r="D180" s="102">
        <f t="shared" si="219"/>
        <v>28829.157463657393</v>
      </c>
      <c r="E180" s="102">
        <f t="shared" si="219"/>
        <v>28243.221118092195</v>
      </c>
      <c r="F180" s="102">
        <f t="shared" ref="B180:V192" si="223">IF(F43=0,0,F43*1000000/F70)</f>
        <v>27860.580974803477</v>
      </c>
      <c r="G180" s="102">
        <f t="shared" si="223"/>
        <v>28022.603879397044</v>
      </c>
      <c r="H180" s="102">
        <f t="shared" si="223"/>
        <v>28168.962288106864</v>
      </c>
      <c r="I180" s="102">
        <f t="shared" si="223"/>
        <v>28327.237814853463</v>
      </c>
      <c r="J180" s="102">
        <f t="shared" si="223"/>
        <v>28508.232287433089</v>
      </c>
      <c r="K180" s="102">
        <f t="shared" si="223"/>
        <v>28721.49221410061</v>
      </c>
      <c r="L180" s="102">
        <f t="shared" si="223"/>
        <v>28943.647406840108</v>
      </c>
      <c r="M180" s="102">
        <f t="shared" si="222"/>
        <v>29079.653313273888</v>
      </c>
      <c r="N180" s="102">
        <f t="shared" si="223"/>
        <v>29224.003996432268</v>
      </c>
      <c r="O180" s="102">
        <f t="shared" si="223"/>
        <v>29334.341867731699</v>
      </c>
      <c r="P180" s="102">
        <f t="shared" si="223"/>
        <v>29438.132493344416</v>
      </c>
      <c r="Q180" s="102">
        <f t="shared" si="223"/>
        <v>30473.848204593654</v>
      </c>
      <c r="R180" s="102">
        <f t="shared" si="223"/>
        <v>30913.752587382864</v>
      </c>
      <c r="S180" s="102">
        <f t="shared" si="223"/>
        <v>32349.752436868923</v>
      </c>
      <c r="T180" s="102">
        <f t="shared" si="223"/>
        <v>31333.337484303578</v>
      </c>
      <c r="U180" s="102">
        <f t="shared" si="223"/>
        <v>28389.241005798503</v>
      </c>
      <c r="V180" s="102">
        <f t="shared" si="223"/>
        <v>24247.471665726698</v>
      </c>
      <c r="W180" s="102">
        <f t="shared" si="221"/>
        <v>24405.758184125207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49386.133515922738</v>
      </c>
      <c r="C181" s="102">
        <f t="shared" si="223"/>
        <v>47927.274622253812</v>
      </c>
      <c r="D181" s="102">
        <f t="shared" si="223"/>
        <v>48388.692435594938</v>
      </c>
      <c r="E181" s="102">
        <f t="shared" si="223"/>
        <v>46935.860977261524</v>
      </c>
      <c r="F181" s="102">
        <f t="shared" si="223"/>
        <v>46116.946577712319</v>
      </c>
      <c r="G181" s="102">
        <f t="shared" si="223"/>
        <v>46614.76857909032</v>
      </c>
      <c r="H181" s="102">
        <f t="shared" si="223"/>
        <v>47090.202884242448</v>
      </c>
      <c r="I181" s="102">
        <f t="shared" si="223"/>
        <v>48550.621021385072</v>
      </c>
      <c r="J181" s="102">
        <f t="shared" si="223"/>
        <v>50094.69044861634</v>
      </c>
      <c r="K181" s="102">
        <f t="shared" si="223"/>
        <v>51743.911556537751</v>
      </c>
      <c r="L181" s="102">
        <f t="shared" si="223"/>
        <v>53460.911944688036</v>
      </c>
      <c r="M181" s="102">
        <f t="shared" si="222"/>
        <v>55068.491002687049</v>
      </c>
      <c r="N181" s="102">
        <f t="shared" si="223"/>
        <v>55615.819188992413</v>
      </c>
      <c r="O181" s="102">
        <f t="shared" si="223"/>
        <v>56102.167101684274</v>
      </c>
      <c r="P181" s="102">
        <f t="shared" si="223"/>
        <v>56579.383692071482</v>
      </c>
      <c r="Q181" s="102">
        <f t="shared" si="223"/>
        <v>58274.196313148204</v>
      </c>
      <c r="R181" s="102">
        <f t="shared" si="223"/>
        <v>58824.202917587405</v>
      </c>
      <c r="S181" s="102">
        <f t="shared" si="223"/>
        <v>61253.458837456092</v>
      </c>
      <c r="T181" s="102">
        <f t="shared" si="223"/>
        <v>57867.59916945536</v>
      </c>
      <c r="U181" s="102">
        <f t="shared" si="223"/>
        <v>52172.052351786813</v>
      </c>
      <c r="V181" s="102">
        <f t="shared" si="223"/>
        <v>44028.523926092923</v>
      </c>
      <c r="W181" s="102">
        <f t="shared" si="221"/>
        <v>43224.414732354984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54704.359906748461</v>
      </c>
      <c r="C182" s="102">
        <f t="shared" si="223"/>
        <v>54756.574347664129</v>
      </c>
      <c r="D182" s="102">
        <f t="shared" si="223"/>
        <v>54765.009460889712</v>
      </c>
      <c r="E182" s="102">
        <f t="shared" si="223"/>
        <v>54818.584924329291</v>
      </c>
      <c r="F182" s="102">
        <f t="shared" si="223"/>
        <v>54838.561301228176</v>
      </c>
      <c r="G182" s="102">
        <f t="shared" si="223"/>
        <v>54892.609795100987</v>
      </c>
      <c r="H182" s="102">
        <f t="shared" si="223"/>
        <v>54945.169496818402</v>
      </c>
      <c r="I182" s="102">
        <f t="shared" si="223"/>
        <v>54998.81083989235</v>
      </c>
      <c r="J182" s="102">
        <f t="shared" si="223"/>
        <v>55054.51275666272</v>
      </c>
      <c r="K182" s="102">
        <f t="shared" si="223"/>
        <v>55113.115148321471</v>
      </c>
      <c r="L182" s="102">
        <f t="shared" si="223"/>
        <v>55172.44262562193</v>
      </c>
      <c r="M182" s="102">
        <f t="shared" si="222"/>
        <v>55223.899399346214</v>
      </c>
      <c r="N182" s="102">
        <f t="shared" si="223"/>
        <v>55276.09829987197</v>
      </c>
      <c r="O182" s="102">
        <f t="shared" si="223"/>
        <v>55325.229232101468</v>
      </c>
      <c r="P182" s="102">
        <f t="shared" si="223"/>
        <v>55373.780135402609</v>
      </c>
      <c r="Q182" s="102">
        <f t="shared" si="223"/>
        <v>55425.128526180924</v>
      </c>
      <c r="R182" s="102">
        <f t="shared" si="223"/>
        <v>55423.660202168867</v>
      </c>
      <c r="S182" s="102">
        <f t="shared" si="223"/>
        <v>55343.178604846442</v>
      </c>
      <c r="T182" s="102">
        <f t="shared" si="223"/>
        <v>55219.947221085298</v>
      </c>
      <c r="U182" s="102">
        <f t="shared" si="223"/>
        <v>54922.14208644833</v>
      </c>
      <c r="V182" s="102">
        <f t="shared" si="223"/>
        <v>48552.248870961106</v>
      </c>
      <c r="W182" s="102">
        <f t="shared" si="221"/>
        <v>54450.88173403799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26190.125214088977</v>
      </c>
      <c r="C183" s="28">
        <f t="shared" si="223"/>
        <v>26017.167653341941</v>
      </c>
      <c r="D183" s="28">
        <f t="shared" si="223"/>
        <v>25876.621665053164</v>
      </c>
      <c r="E183" s="28">
        <f t="shared" si="223"/>
        <v>26028.688639651675</v>
      </c>
      <c r="F183" s="28">
        <f t="shared" si="223"/>
        <v>26757.614970937015</v>
      </c>
      <c r="G183" s="28">
        <f t="shared" si="223"/>
        <v>26359.878867960775</v>
      </c>
      <c r="H183" s="28">
        <f t="shared" si="223"/>
        <v>27264.569304779357</v>
      </c>
      <c r="I183" s="28">
        <f t="shared" si="223"/>
        <v>27457.681231850656</v>
      </c>
      <c r="J183" s="28">
        <f t="shared" si="223"/>
        <v>27511.985640882365</v>
      </c>
      <c r="K183" s="28">
        <f t="shared" si="223"/>
        <v>25708.092662329993</v>
      </c>
      <c r="L183" s="28">
        <f t="shared" si="223"/>
        <v>25314.206167446293</v>
      </c>
      <c r="M183" s="28">
        <f t="shared" si="222"/>
        <v>26162.301269269748</v>
      </c>
      <c r="N183" s="28">
        <f t="shared" si="223"/>
        <v>25284.524175448274</v>
      </c>
      <c r="O183" s="28">
        <f t="shared" si="223"/>
        <v>25848.194226996453</v>
      </c>
      <c r="P183" s="28">
        <f t="shared" si="223"/>
        <v>25277.171389932428</v>
      </c>
      <c r="Q183" s="28">
        <f t="shared" si="223"/>
        <v>25890.729127313854</v>
      </c>
      <c r="R183" s="28">
        <f t="shared" si="223"/>
        <v>25877.320149672581</v>
      </c>
      <c r="S183" s="28">
        <f t="shared" si="223"/>
        <v>25198.466529953472</v>
      </c>
      <c r="T183" s="28">
        <f t="shared" si="223"/>
        <v>24831.167004781553</v>
      </c>
      <c r="U183" s="28">
        <f t="shared" si="223"/>
        <v>24143.118536508777</v>
      </c>
      <c r="V183" s="28">
        <f t="shared" si="223"/>
        <v>23259.282451285395</v>
      </c>
      <c r="W183" s="28">
        <f t="shared" si="221"/>
        <v>23694.889245421571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22091.969497793973</v>
      </c>
      <c r="C184" s="137">
        <f t="shared" si="223"/>
        <v>22350.54084092252</v>
      </c>
      <c r="D184" s="137">
        <f t="shared" si="223"/>
        <v>22041.037991967165</v>
      </c>
      <c r="E184" s="137">
        <f t="shared" si="223"/>
        <v>22085.879155810042</v>
      </c>
      <c r="F184" s="137">
        <f t="shared" si="223"/>
        <v>22504.474070245251</v>
      </c>
      <c r="G184" s="137">
        <f t="shared" si="223"/>
        <v>22246.335825117814</v>
      </c>
      <c r="H184" s="137">
        <f t="shared" si="223"/>
        <v>23034.706882076396</v>
      </c>
      <c r="I184" s="137">
        <f t="shared" si="223"/>
        <v>23742.004538611727</v>
      </c>
      <c r="J184" s="137">
        <f t="shared" si="223"/>
        <v>23824.27335995427</v>
      </c>
      <c r="K184" s="137">
        <f t="shared" si="223"/>
        <v>22135.765808976601</v>
      </c>
      <c r="L184" s="137">
        <f t="shared" si="223"/>
        <v>22454.70863591427</v>
      </c>
      <c r="M184" s="137">
        <f t="shared" si="222"/>
        <v>23187.83265496766</v>
      </c>
      <c r="N184" s="137">
        <f t="shared" si="223"/>
        <v>22478.327080930776</v>
      </c>
      <c r="O184" s="137">
        <f t="shared" si="223"/>
        <v>22757.982292008575</v>
      </c>
      <c r="P184" s="137">
        <f t="shared" si="223"/>
        <v>21902.855960417794</v>
      </c>
      <c r="Q184" s="137">
        <f t="shared" si="223"/>
        <v>22547.569024602526</v>
      </c>
      <c r="R184" s="137">
        <f t="shared" si="223"/>
        <v>22499.619107536892</v>
      </c>
      <c r="S184" s="137">
        <f t="shared" si="223"/>
        <v>22141.336786583117</v>
      </c>
      <c r="T184" s="137">
        <f t="shared" si="223"/>
        <v>21773.749565202779</v>
      </c>
      <c r="U184" s="137">
        <f t="shared" si="223"/>
        <v>21143.884807291062</v>
      </c>
      <c r="V184" s="137">
        <f t="shared" si="223"/>
        <v>20045.022491522395</v>
      </c>
      <c r="W184" s="137">
        <f t="shared" si="221"/>
        <v>20362.174380225406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8361.2903411044063</v>
      </c>
      <c r="C185" s="84">
        <f t="shared" si="223"/>
        <v>8294.0780038166013</v>
      </c>
      <c r="D185" s="84">
        <f t="shared" si="223"/>
        <v>8026.2295378448553</v>
      </c>
      <c r="E185" s="84">
        <f t="shared" si="223"/>
        <v>7913.0340448859106</v>
      </c>
      <c r="F185" s="84">
        <f t="shared" si="223"/>
        <v>8030.6876291045219</v>
      </c>
      <c r="G185" s="84">
        <f t="shared" si="223"/>
        <v>7944.6629476761991</v>
      </c>
      <c r="H185" s="84">
        <f t="shared" si="223"/>
        <v>8003.1604185393271</v>
      </c>
      <c r="I185" s="84">
        <f t="shared" si="223"/>
        <v>8377.7314837341346</v>
      </c>
      <c r="J185" s="84">
        <f t="shared" si="223"/>
        <v>8474.1148046842427</v>
      </c>
      <c r="K185" s="84">
        <f t="shared" si="223"/>
        <v>8193.8293227614013</v>
      </c>
      <c r="L185" s="84">
        <f t="shared" si="223"/>
        <v>8254.5865701432449</v>
      </c>
      <c r="M185" s="84">
        <f t="shared" si="222"/>
        <v>8332.2825970176491</v>
      </c>
      <c r="N185" s="84">
        <f t="shared" si="223"/>
        <v>8323.1038813797622</v>
      </c>
      <c r="O185" s="84">
        <f t="shared" si="223"/>
        <v>8409.3398819042559</v>
      </c>
      <c r="P185" s="84">
        <f t="shared" si="223"/>
        <v>8672.2298106944672</v>
      </c>
      <c r="Q185" s="84">
        <f t="shared" si="223"/>
        <v>8854.0829707641478</v>
      </c>
      <c r="R185" s="84">
        <f t="shared" si="223"/>
        <v>8828.0956023495619</v>
      </c>
      <c r="S185" s="84">
        <f t="shared" si="223"/>
        <v>8691.4347045134964</v>
      </c>
      <c r="T185" s="84">
        <f t="shared" si="223"/>
        <v>8554.4429844839924</v>
      </c>
      <c r="U185" s="84">
        <f t="shared" si="223"/>
        <v>8348.1662554175782</v>
      </c>
      <c r="V185" s="84">
        <f t="shared" si="223"/>
        <v>7928.7955229776589</v>
      </c>
      <c r="W185" s="84">
        <f t="shared" si="221"/>
        <v>8050.236843113682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24241.317974210699</v>
      </c>
      <c r="C186" s="84">
        <f t="shared" si="223"/>
        <v>24219.581628190961</v>
      </c>
      <c r="D186" s="84">
        <f t="shared" si="223"/>
        <v>23666.670736971148</v>
      </c>
      <c r="E186" s="84">
        <f t="shared" si="223"/>
        <v>23526.866604281116</v>
      </c>
      <c r="F186" s="84">
        <f t="shared" si="223"/>
        <v>23801.442868119011</v>
      </c>
      <c r="G186" s="84">
        <f t="shared" si="223"/>
        <v>23394.155654616588</v>
      </c>
      <c r="H186" s="84">
        <f t="shared" si="223"/>
        <v>24147.053732303226</v>
      </c>
      <c r="I186" s="84">
        <f t="shared" si="223"/>
        <v>24790.390578676877</v>
      </c>
      <c r="J186" s="84">
        <f t="shared" si="223"/>
        <v>24804.472790538886</v>
      </c>
      <c r="K186" s="84">
        <f t="shared" si="223"/>
        <v>22984.940613769882</v>
      </c>
      <c r="L186" s="84">
        <f t="shared" si="223"/>
        <v>23289.783700980948</v>
      </c>
      <c r="M186" s="84">
        <f t="shared" si="222"/>
        <v>24044.177619715592</v>
      </c>
      <c r="N186" s="84">
        <f t="shared" si="223"/>
        <v>23282.553427573512</v>
      </c>
      <c r="O186" s="84">
        <f t="shared" si="223"/>
        <v>23558.132043395482</v>
      </c>
      <c r="P186" s="84">
        <f t="shared" si="223"/>
        <v>22639.332130153314</v>
      </c>
      <c r="Q186" s="84">
        <f t="shared" si="223"/>
        <v>23302.866001529244</v>
      </c>
      <c r="R186" s="84">
        <f t="shared" si="223"/>
        <v>23234.470418847544</v>
      </c>
      <c r="S186" s="84">
        <f t="shared" si="223"/>
        <v>22874.795611141551</v>
      </c>
      <c r="T186" s="84">
        <f t="shared" si="223"/>
        <v>22514.250119789438</v>
      </c>
      <c r="U186" s="84">
        <f t="shared" si="223"/>
        <v>21971.354938827117</v>
      </c>
      <c r="V186" s="84">
        <f t="shared" si="223"/>
        <v>20867.622342771811</v>
      </c>
      <c r="W186" s="84">
        <f t="shared" si="221"/>
        <v>21187.241079068146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8756.5814563005515</v>
      </c>
      <c r="C187" s="84">
        <f t="shared" si="223"/>
        <v>8686.1915664248609</v>
      </c>
      <c r="D187" s="84">
        <f t="shared" si="223"/>
        <v>8405.6802081843161</v>
      </c>
      <c r="E187" s="84">
        <f t="shared" si="223"/>
        <v>8287.1332478296081</v>
      </c>
      <c r="F187" s="84">
        <f t="shared" si="223"/>
        <v>8410.3490616342406</v>
      </c>
      <c r="G187" s="84">
        <f t="shared" si="223"/>
        <v>8320.2574490423121</v>
      </c>
      <c r="H187" s="84">
        <f t="shared" si="223"/>
        <v>8381.5204655987836</v>
      </c>
      <c r="I187" s="84">
        <f t="shared" si="223"/>
        <v>8773.7998758026351</v>
      </c>
      <c r="J187" s="84">
        <f t="shared" si="223"/>
        <v>8874.7398463690552</v>
      </c>
      <c r="K187" s="84">
        <f t="shared" si="223"/>
        <v>8581.2034957163123</v>
      </c>
      <c r="L187" s="84">
        <f t="shared" si="223"/>
        <v>8644.8331227302515</v>
      </c>
      <c r="M187" s="84">
        <f t="shared" si="222"/>
        <v>8726.2023325532828</v>
      </c>
      <c r="N187" s="84">
        <f t="shared" si="223"/>
        <v>8716.5896809327241</v>
      </c>
      <c r="O187" s="84">
        <f t="shared" si="223"/>
        <v>8806.9026030119931</v>
      </c>
      <c r="P187" s="84">
        <f t="shared" si="223"/>
        <v>9082.2210026345638</v>
      </c>
      <c r="Q187" s="84">
        <f t="shared" si="223"/>
        <v>9272.6715125764877</v>
      </c>
      <c r="R187" s="84">
        <f t="shared" si="223"/>
        <v>9245.4555567761581</v>
      </c>
      <c r="S187" s="84">
        <f t="shared" si="223"/>
        <v>9102.3338333371648</v>
      </c>
      <c r="T187" s="84">
        <f t="shared" si="223"/>
        <v>8958.8656476457909</v>
      </c>
      <c r="U187" s="84">
        <f t="shared" si="223"/>
        <v>8742.836912017563</v>
      </c>
      <c r="V187" s="84">
        <f t="shared" si="223"/>
        <v>8303.6398707492262</v>
      </c>
      <c r="W187" s="84">
        <f t="shared" si="221"/>
        <v>8430.8224907216463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14957.132015076171</v>
      </c>
      <c r="F188" s="84">
        <f t="shared" si="223"/>
        <v>14878.935011416288</v>
      </c>
      <c r="G188" s="84">
        <f t="shared" si="223"/>
        <v>14428.075665859806</v>
      </c>
      <c r="H188" s="84">
        <f t="shared" si="223"/>
        <v>14246.503109746036</v>
      </c>
      <c r="I188" s="84">
        <f t="shared" si="223"/>
        <v>14617.968189681755</v>
      </c>
      <c r="J188" s="84">
        <f t="shared" si="223"/>
        <v>14786.143586852228</v>
      </c>
      <c r="K188" s="84">
        <f t="shared" si="223"/>
        <v>14013.974085556587</v>
      </c>
      <c r="L188" s="84">
        <f t="shared" si="223"/>
        <v>14067.833774406026</v>
      </c>
      <c r="M188" s="84">
        <f t="shared" si="222"/>
        <v>13919.053795035594</v>
      </c>
      <c r="N188" s="84">
        <f t="shared" si="223"/>
        <v>13628.399573801453</v>
      </c>
      <c r="O188" s="84">
        <f t="shared" si="223"/>
        <v>13496.938523032115</v>
      </c>
      <c r="P188" s="84">
        <f t="shared" si="223"/>
        <v>13643.253941774181</v>
      </c>
      <c r="Q188" s="84">
        <f t="shared" si="223"/>
        <v>13653.518809354671</v>
      </c>
      <c r="R188" s="84">
        <f t="shared" si="223"/>
        <v>13888.463838514195</v>
      </c>
      <c r="S188" s="84">
        <f t="shared" si="223"/>
        <v>13949.698969380053</v>
      </c>
      <c r="T188" s="84">
        <f t="shared" si="223"/>
        <v>14007.198370390133</v>
      </c>
      <c r="U188" s="84">
        <f t="shared" si="223"/>
        <v>13945.587400101942</v>
      </c>
      <c r="V188" s="84">
        <f t="shared" si="223"/>
        <v>13512.60617363283</v>
      </c>
      <c r="W188" s="84">
        <f t="shared" si="221"/>
        <v>13719.571875730777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13347.017281383964</v>
      </c>
      <c r="N189" s="84">
        <f t="shared" si="223"/>
        <v>13354.107401116868</v>
      </c>
      <c r="O189" s="84">
        <f t="shared" si="223"/>
        <v>13354.271082191941</v>
      </c>
      <c r="P189" s="84">
        <f t="shared" si="223"/>
        <v>13367.461838265725</v>
      </c>
      <c r="Q189" s="84">
        <f t="shared" si="223"/>
        <v>13374.276158083248</v>
      </c>
      <c r="R189" s="84">
        <f t="shared" si="223"/>
        <v>13369.748172973712</v>
      </c>
      <c r="S189" s="84">
        <f t="shared" si="223"/>
        <v>13366.214596685653</v>
      </c>
      <c r="T189" s="84">
        <f t="shared" si="223"/>
        <v>13362.500009971893</v>
      </c>
      <c r="U189" s="84">
        <f t="shared" si="223"/>
        <v>13353.366647567867</v>
      </c>
      <c r="V189" s="84">
        <f t="shared" si="223"/>
        <v>12963.432543439661</v>
      </c>
      <c r="W189" s="84">
        <f t="shared" si="221"/>
        <v>13343.044213600759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51293.690994623103</v>
      </c>
      <c r="C190" s="110">
        <f t="shared" si="223"/>
        <v>49613.258846222634</v>
      </c>
      <c r="D190" s="110">
        <f t="shared" si="223"/>
        <v>51840.217110544509</v>
      </c>
      <c r="E190" s="110">
        <f t="shared" si="223"/>
        <v>54410.763075819108</v>
      </c>
      <c r="F190" s="110">
        <f t="shared" si="223"/>
        <v>63234.818195695203</v>
      </c>
      <c r="G190" s="110">
        <f t="shared" si="223"/>
        <v>61941.542317276369</v>
      </c>
      <c r="H190" s="110">
        <f t="shared" si="223"/>
        <v>62915.481945489417</v>
      </c>
      <c r="I190" s="110">
        <f t="shared" si="223"/>
        <v>55856.232177590253</v>
      </c>
      <c r="J190" s="110">
        <f t="shared" si="223"/>
        <v>56154.801016320496</v>
      </c>
      <c r="K190" s="110">
        <f t="shared" si="223"/>
        <v>52746.729995951064</v>
      </c>
      <c r="L190" s="110">
        <f t="shared" si="223"/>
        <v>46806.632493607889</v>
      </c>
      <c r="M190" s="110">
        <f t="shared" si="222"/>
        <v>48663.694290444037</v>
      </c>
      <c r="N190" s="110">
        <f t="shared" si="223"/>
        <v>46048.706224497764</v>
      </c>
      <c r="O190" s="110">
        <f t="shared" si="223"/>
        <v>48288.575259753416</v>
      </c>
      <c r="P190" s="110">
        <f t="shared" si="223"/>
        <v>50160.32410992615</v>
      </c>
      <c r="Q190" s="110">
        <f t="shared" si="223"/>
        <v>50678.529488596621</v>
      </c>
      <c r="R190" s="110">
        <f t="shared" si="223"/>
        <v>50537.051069708534</v>
      </c>
      <c r="S190" s="110">
        <f t="shared" si="223"/>
        <v>47975.710156125453</v>
      </c>
      <c r="T190" s="110">
        <f t="shared" si="223"/>
        <v>47688.265682024576</v>
      </c>
      <c r="U190" s="110">
        <f t="shared" si="223"/>
        <v>46168.552280492222</v>
      </c>
      <c r="V190" s="110">
        <f t="shared" si="223"/>
        <v>47192.243142162712</v>
      </c>
      <c r="W190" s="110">
        <f t="shared" si="221"/>
        <v>49396.253059873066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47799.865981684161</v>
      </c>
      <c r="C191" s="102">
        <f t="shared" si="223"/>
        <v>45793.316855035002</v>
      </c>
      <c r="D191" s="102">
        <f t="shared" si="223"/>
        <v>48066.925040173926</v>
      </c>
      <c r="E191" s="102">
        <f t="shared" si="223"/>
        <v>50784.260829351013</v>
      </c>
      <c r="F191" s="102">
        <f t="shared" si="223"/>
        <v>59574.861581496421</v>
      </c>
      <c r="G191" s="102">
        <f t="shared" si="223"/>
        <v>58006.165563514369</v>
      </c>
      <c r="H191" s="102">
        <f t="shared" si="223"/>
        <v>58847.34157597067</v>
      </c>
      <c r="I191" s="102">
        <f t="shared" si="223"/>
        <v>50923.782669079585</v>
      </c>
      <c r="J191" s="102">
        <f t="shared" si="223"/>
        <v>51166.377889532181</v>
      </c>
      <c r="K191" s="102">
        <f t="shared" si="223"/>
        <v>47902.466167206534</v>
      </c>
      <c r="L191" s="102">
        <f t="shared" si="223"/>
        <v>40764.394770980944</v>
      </c>
      <c r="M191" s="102">
        <f t="shared" si="222"/>
        <v>42867.618601429938</v>
      </c>
      <c r="N191" s="102">
        <f t="shared" si="223"/>
        <v>40059.883849446378</v>
      </c>
      <c r="O191" s="102">
        <f t="shared" si="223"/>
        <v>42365.428982298596</v>
      </c>
      <c r="P191" s="102">
        <f t="shared" si="223"/>
        <v>44240.011856619596</v>
      </c>
      <c r="Q191" s="102">
        <f t="shared" si="223"/>
        <v>44768.289740119399</v>
      </c>
      <c r="R191" s="102">
        <f t="shared" si="223"/>
        <v>44450.265472460378</v>
      </c>
      <c r="S191" s="102">
        <f t="shared" si="223"/>
        <v>41495.708707458725</v>
      </c>
      <c r="T191" s="102">
        <f t="shared" si="223"/>
        <v>41442.764912823288</v>
      </c>
      <c r="U191" s="102">
        <f t="shared" si="223"/>
        <v>39781.981637685509</v>
      </c>
      <c r="V191" s="102">
        <f t="shared" si="223"/>
        <v>40742.220124187515</v>
      </c>
      <c r="W191" s="102">
        <f t="shared" si="221"/>
        <v>43304.241480904995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85001.425971418343</v>
      </c>
      <c r="C192" s="86">
        <f t="shared" si="223"/>
        <v>84997.879241390605</v>
      </c>
      <c r="D192" s="86">
        <f t="shared" si="223"/>
        <v>84999.925378072672</v>
      </c>
      <c r="E192" s="86">
        <f t="shared" si="223"/>
        <v>85002.596720602611</v>
      </c>
      <c r="F192" s="86">
        <f t="shared" si="223"/>
        <v>84999.584937802618</v>
      </c>
      <c r="G192" s="86">
        <f t="shared" si="223"/>
        <v>84999.259412563508</v>
      </c>
      <c r="H192" s="86">
        <f t="shared" si="223"/>
        <v>84998.322508583355</v>
      </c>
      <c r="I192" s="86">
        <f t="shared" si="223"/>
        <v>85001.381763346435</v>
      </c>
      <c r="J192" s="86">
        <f t="shared" si="223"/>
        <v>85001.589004881593</v>
      </c>
      <c r="K192" s="86">
        <f t="shared" si="223"/>
        <v>84997.59989424485</v>
      </c>
      <c r="L192" s="86">
        <f t="shared" si="223"/>
        <v>84998.422715914334</v>
      </c>
      <c r="M192" s="86">
        <f t="shared" si="222"/>
        <v>84997.314133484208</v>
      </c>
      <c r="N192" s="86">
        <f t="shared" si="223"/>
        <v>84998.162912687258</v>
      </c>
      <c r="O192" s="86">
        <f t="shared" si="223"/>
        <v>84998.333917903336</v>
      </c>
      <c r="P192" s="86">
        <f t="shared" si="223"/>
        <v>85002.049614370975</v>
      </c>
      <c r="Q192" s="86">
        <f t="shared" si="223"/>
        <v>85002.358464139528</v>
      </c>
      <c r="R192" s="86">
        <f t="shared" si="223"/>
        <v>85001.174174446671</v>
      </c>
      <c r="S192" s="86">
        <f t="shared" si="223"/>
        <v>84999.781853371853</v>
      </c>
      <c r="T192" s="86">
        <f t="shared" si="223"/>
        <v>84998.281478082208</v>
      </c>
      <c r="U192" s="86">
        <f t="shared" si="223"/>
        <v>84999.961800481964</v>
      </c>
      <c r="V192" s="86">
        <f t="shared" ref="V192:W192" si="224">IF(V55=0,0,V55*1000000/V82)</f>
        <v>85001.349973158634</v>
      </c>
      <c r="W192" s="86">
        <f t="shared" si="224"/>
        <v>85000.280445856391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20360.209945457307</v>
      </c>
      <c r="C195" s="28">
        <f t="shared" si="225"/>
        <v>19937.078854338306</v>
      </c>
      <c r="D195" s="28">
        <f t="shared" si="225"/>
        <v>19716.874404881059</v>
      </c>
      <c r="E195" s="28">
        <f t="shared" si="225"/>
        <v>19591.744255848553</v>
      </c>
      <c r="F195" s="28">
        <f t="shared" si="225"/>
        <v>20084.603492437411</v>
      </c>
      <c r="G195" s="28">
        <f t="shared" si="225"/>
        <v>19378.222404482225</v>
      </c>
      <c r="H195" s="28">
        <f t="shared" si="225"/>
        <v>18708.356264007529</v>
      </c>
      <c r="I195" s="28">
        <f t="shared" si="225"/>
        <v>18362.452319056571</v>
      </c>
      <c r="J195" s="28">
        <f t="shared" si="225"/>
        <v>17657.699036349801</v>
      </c>
      <c r="K195" s="28">
        <f t="shared" si="225"/>
        <v>17098.931068987411</v>
      </c>
      <c r="L195" s="28">
        <f t="shared" si="225"/>
        <v>16579.439108012008</v>
      </c>
      <c r="M195" s="28">
        <f>IF(M4=0,0,M4*1000000/M58)</f>
        <v>16356.341337339069</v>
      </c>
      <c r="N195" s="28">
        <f t="shared" ref="N195:V195" si="226">IF(N4=0,0,N4*1000000/N58)</f>
        <v>15534.43198682245</v>
      </c>
      <c r="O195" s="28">
        <f t="shared" si="226"/>
        <v>16018.146482068538</v>
      </c>
      <c r="P195" s="28">
        <f t="shared" si="226"/>
        <v>15885.346551057732</v>
      </c>
      <c r="Q195" s="28">
        <f t="shared" si="226"/>
        <v>15072.266162893269</v>
      </c>
      <c r="R195" s="28">
        <f t="shared" si="226"/>
        <v>14994.057722330583</v>
      </c>
      <c r="S195" s="28">
        <f t="shared" si="226"/>
        <v>14449.381365871335</v>
      </c>
      <c r="T195" s="28">
        <f t="shared" si="226"/>
        <v>15229.749943219686</v>
      </c>
      <c r="U195" s="28">
        <f t="shared" si="226"/>
        <v>14870.922835796962</v>
      </c>
      <c r="V195" s="28">
        <f t="shared" si="226"/>
        <v>10379.125963580276</v>
      </c>
      <c r="W195" s="28">
        <f t="shared" ref="W195" si="227">IF(W4=0,0,W4*1000000/W58)</f>
        <v>11490.604932220664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3527.6967671683965</v>
      </c>
      <c r="C196" s="137">
        <f t="shared" si="228"/>
        <v>3689.2897015739982</v>
      </c>
      <c r="D196" s="137">
        <f t="shared" si="228"/>
        <v>3679.9484576985751</v>
      </c>
      <c r="E196" s="137">
        <f t="shared" si="228"/>
        <v>3663.2339554288724</v>
      </c>
      <c r="F196" s="137">
        <f t="shared" si="228"/>
        <v>3423.2615263873195</v>
      </c>
      <c r="G196" s="137">
        <f t="shared" si="228"/>
        <v>3325.946862089816</v>
      </c>
      <c r="H196" s="137">
        <f t="shared" si="228"/>
        <v>3103.1187138502205</v>
      </c>
      <c r="I196" s="137">
        <f t="shared" si="228"/>
        <v>3198.9341702468405</v>
      </c>
      <c r="J196" s="137">
        <f t="shared" si="228"/>
        <v>3241.3089347634054</v>
      </c>
      <c r="K196" s="137">
        <f t="shared" si="228"/>
        <v>3170.8798723144096</v>
      </c>
      <c r="L196" s="137">
        <f t="shared" si="228"/>
        <v>3072.907921584771</v>
      </c>
      <c r="M196" s="137">
        <f>IF(M5=0,0,M5*1000000/M59)</f>
        <v>3070.9289223026412</v>
      </c>
      <c r="N196" s="137">
        <f t="shared" ref="N196:V196" si="229">IF(N5=0,0,N5*1000000/N59)</f>
        <v>2918.5374900585944</v>
      </c>
      <c r="O196" s="137">
        <f t="shared" si="229"/>
        <v>2871.343764901032</v>
      </c>
      <c r="P196" s="137">
        <f t="shared" si="229"/>
        <v>2745.6469677828359</v>
      </c>
      <c r="Q196" s="137">
        <f t="shared" si="229"/>
        <v>2795.0066573252066</v>
      </c>
      <c r="R196" s="137">
        <f t="shared" si="229"/>
        <v>2816.4302171038257</v>
      </c>
      <c r="S196" s="137">
        <f t="shared" si="229"/>
        <v>2604.0139102230346</v>
      </c>
      <c r="T196" s="137">
        <f t="shared" si="229"/>
        <v>2447.0169952943429</v>
      </c>
      <c r="U196" s="137">
        <f t="shared" si="229"/>
        <v>2554.0674431571156</v>
      </c>
      <c r="V196" s="137">
        <f t="shared" si="229"/>
        <v>2220.2208453228632</v>
      </c>
      <c r="W196" s="137">
        <f t="shared" ref="W196" si="230">IF(W5=0,0,W5*1000000/W59)</f>
        <v>2380.9083522618876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22244.419346559542</v>
      </c>
      <c r="C197" s="110">
        <f t="shared" si="231"/>
        <v>21654.554797034427</v>
      </c>
      <c r="D197" s="110">
        <f t="shared" si="231"/>
        <v>21488.4075108094</v>
      </c>
      <c r="E197" s="110">
        <f t="shared" si="231"/>
        <v>21313.075068268219</v>
      </c>
      <c r="F197" s="110">
        <f t="shared" si="231"/>
        <v>21942.743335036452</v>
      </c>
      <c r="G197" s="110">
        <f t="shared" si="231"/>
        <v>21281.543667067413</v>
      </c>
      <c r="H197" s="110">
        <f t="shared" si="231"/>
        <v>20867.722188014512</v>
      </c>
      <c r="I197" s="110">
        <f t="shared" si="231"/>
        <v>20580.406180871338</v>
      </c>
      <c r="J197" s="110">
        <f t="shared" si="231"/>
        <v>19886.624594505636</v>
      </c>
      <c r="K197" s="110">
        <f t="shared" si="231"/>
        <v>19397.186360556178</v>
      </c>
      <c r="L197" s="110">
        <f t="shared" si="231"/>
        <v>18918.04276186107</v>
      </c>
      <c r="M197" s="110">
        <f>IF(M6=0,0,M6*1000000/M60)</f>
        <v>18667.070344217416</v>
      </c>
      <c r="N197" s="110">
        <f t="shared" ref="N197:V197" si="232">IF(N6=0,0,N6*1000000/N60)</f>
        <v>17776.449881354609</v>
      </c>
      <c r="O197" s="110">
        <f t="shared" si="232"/>
        <v>18368.76057482851</v>
      </c>
      <c r="P197" s="110">
        <f t="shared" si="232"/>
        <v>18275.806860313976</v>
      </c>
      <c r="Q197" s="110">
        <f t="shared" si="232"/>
        <v>17220.385381114898</v>
      </c>
      <c r="R197" s="110">
        <f t="shared" si="232"/>
        <v>17122.702526729598</v>
      </c>
      <c r="S197" s="110">
        <f t="shared" si="232"/>
        <v>16564.667170812176</v>
      </c>
      <c r="T197" s="110">
        <f t="shared" si="232"/>
        <v>17470.130813970707</v>
      </c>
      <c r="U197" s="110">
        <f t="shared" si="232"/>
        <v>16997.178237942288</v>
      </c>
      <c r="V197" s="110">
        <f t="shared" si="232"/>
        <v>11963.256880692214</v>
      </c>
      <c r="W197" s="110">
        <f t="shared" ref="W197:W209" si="233">IF(W6=0,0,W6*1000000/W60)</f>
        <v>13117.786279543197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18640.041834367741</v>
      </c>
      <c r="C198" s="84">
        <f t="shared" si="231"/>
        <v>17965.730423782486</v>
      </c>
      <c r="D198" s="84">
        <f t="shared" si="231"/>
        <v>17614.56063783104</v>
      </c>
      <c r="E198" s="84">
        <f t="shared" si="231"/>
        <v>17288.642276926264</v>
      </c>
      <c r="F198" s="84">
        <f t="shared" si="231"/>
        <v>17699.914423745005</v>
      </c>
      <c r="G198" s="84">
        <f t="shared" si="231"/>
        <v>17063.258618775722</v>
      </c>
      <c r="H198" s="84">
        <f t="shared" si="231"/>
        <v>16542.867609921177</v>
      </c>
      <c r="I198" s="84">
        <f t="shared" si="231"/>
        <v>16288.323653138745</v>
      </c>
      <c r="J198" s="84">
        <f t="shared" si="231"/>
        <v>15807.094767844252</v>
      </c>
      <c r="K198" s="84">
        <f t="shared" si="231"/>
        <v>15568.506408906209</v>
      </c>
      <c r="L198" s="84">
        <f t="shared" si="231"/>
        <v>15266.561821853289</v>
      </c>
      <c r="M198" s="84">
        <f t="shared" ref="M198:M219" si="234">IF(M7=0,0,M7*1000000/M61)</f>
        <v>15190.89059979894</v>
      </c>
      <c r="N198" s="84">
        <f t="shared" si="231"/>
        <v>14254.145884504311</v>
      </c>
      <c r="O198" s="84">
        <f t="shared" si="231"/>
        <v>14701.563050233139</v>
      </c>
      <c r="P198" s="84">
        <f t="shared" si="231"/>
        <v>14533.374101541885</v>
      </c>
      <c r="Q198" s="84">
        <f t="shared" si="231"/>
        <v>13738.267386466461</v>
      </c>
      <c r="R198" s="84">
        <f t="shared" si="231"/>
        <v>13933.739173355918</v>
      </c>
      <c r="S198" s="84">
        <f t="shared" si="231"/>
        <v>13663.086515256839</v>
      </c>
      <c r="T198" s="84">
        <f t="shared" si="231"/>
        <v>14596.774026095012</v>
      </c>
      <c r="U198" s="84">
        <f t="shared" si="231"/>
        <v>14469.761291323341</v>
      </c>
      <c r="V198" s="84">
        <f t="shared" si="231"/>
        <v>10617.541882492153</v>
      </c>
      <c r="W198" s="84">
        <f t="shared" si="233"/>
        <v>10800.058789945049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42655.021406929474</v>
      </c>
      <c r="C199" s="84">
        <f t="shared" si="231"/>
        <v>41901.477920444318</v>
      </c>
      <c r="D199" s="84">
        <f t="shared" si="231"/>
        <v>42391.232810588699</v>
      </c>
      <c r="E199" s="84">
        <f t="shared" si="231"/>
        <v>42499.7580279174</v>
      </c>
      <c r="F199" s="84">
        <f t="shared" si="231"/>
        <v>43492.877175524787</v>
      </c>
      <c r="G199" s="84">
        <f t="shared" si="231"/>
        <v>42243.62877961545</v>
      </c>
      <c r="H199" s="84">
        <f t="shared" si="231"/>
        <v>41558.752294806167</v>
      </c>
      <c r="I199" s="84">
        <f t="shared" si="231"/>
        <v>40448.098118816699</v>
      </c>
      <c r="J199" s="84">
        <f t="shared" si="231"/>
        <v>38899.331544907371</v>
      </c>
      <c r="K199" s="84">
        <f t="shared" si="231"/>
        <v>37329.759511097996</v>
      </c>
      <c r="L199" s="84">
        <f t="shared" si="231"/>
        <v>36261.5412436029</v>
      </c>
      <c r="M199" s="84">
        <f t="shared" si="234"/>
        <v>35165.491192212467</v>
      </c>
      <c r="N199" s="84">
        <f t="shared" si="231"/>
        <v>34327.338495675067</v>
      </c>
      <c r="O199" s="84">
        <f t="shared" si="231"/>
        <v>35968.601866658973</v>
      </c>
      <c r="P199" s="84">
        <f t="shared" si="231"/>
        <v>36456.127158711119</v>
      </c>
      <c r="Q199" s="84">
        <f t="shared" si="231"/>
        <v>34041.446899467766</v>
      </c>
      <c r="R199" s="84">
        <f t="shared" si="231"/>
        <v>32987.786447827057</v>
      </c>
      <c r="S199" s="84">
        <f t="shared" si="231"/>
        <v>31422.151906477644</v>
      </c>
      <c r="T199" s="84">
        <f t="shared" si="231"/>
        <v>32814.661752641383</v>
      </c>
      <c r="U199" s="84">
        <f t="shared" si="231"/>
        <v>31418.427810165907</v>
      </c>
      <c r="V199" s="84">
        <f t="shared" si="231"/>
        <v>20187.964949546855</v>
      </c>
      <c r="W199" s="84">
        <f t="shared" si="233"/>
        <v>28465.302566779475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25228.355945158139</v>
      </c>
      <c r="C200" s="84">
        <f t="shared" si="231"/>
        <v>24304.595136582233</v>
      </c>
      <c r="D200" s="84">
        <f t="shared" si="231"/>
        <v>23872.290837791894</v>
      </c>
      <c r="E200" s="84">
        <f t="shared" si="231"/>
        <v>23428.145839925834</v>
      </c>
      <c r="F200" s="84">
        <f t="shared" si="231"/>
        <v>24369.918331495617</v>
      </c>
      <c r="G200" s="84">
        <f t="shared" si="231"/>
        <v>23233.441485732881</v>
      </c>
      <c r="H200" s="84">
        <f t="shared" si="231"/>
        <v>22557.994765169689</v>
      </c>
      <c r="I200" s="84">
        <f t="shared" si="231"/>
        <v>22049.320748889473</v>
      </c>
      <c r="J200" s="84">
        <f t="shared" si="231"/>
        <v>20906.545040099827</v>
      </c>
      <c r="K200" s="84">
        <f t="shared" si="231"/>
        <v>20247.846055205362</v>
      </c>
      <c r="L200" s="84">
        <f t="shared" si="231"/>
        <v>19775.528303383573</v>
      </c>
      <c r="M200" s="84">
        <f t="shared" si="234"/>
        <v>19032.873537289062</v>
      </c>
      <c r="N200" s="84">
        <f t="shared" si="231"/>
        <v>18873.655854849465</v>
      </c>
      <c r="O200" s="84">
        <f t="shared" si="231"/>
        <v>19257.278414949011</v>
      </c>
      <c r="P200" s="84">
        <f t="shared" si="231"/>
        <v>18976.266113617745</v>
      </c>
      <c r="Q200" s="84">
        <f t="shared" si="231"/>
        <v>18400.857943382667</v>
      </c>
      <c r="R200" s="84">
        <f t="shared" si="231"/>
        <v>18501.04642052967</v>
      </c>
      <c r="S200" s="84">
        <f t="shared" si="231"/>
        <v>18100.889345028434</v>
      </c>
      <c r="T200" s="84">
        <f t="shared" si="231"/>
        <v>19203.541668569524</v>
      </c>
      <c r="U200" s="84">
        <f t="shared" si="231"/>
        <v>18860.256726664647</v>
      </c>
      <c r="V200" s="84">
        <f t="shared" si="231"/>
        <v>13409.430471149997</v>
      </c>
      <c r="W200" s="84">
        <f t="shared" si="233"/>
        <v>14815.292192517998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26619.259803385092</v>
      </c>
      <c r="M201" s="84">
        <f t="shared" si="234"/>
        <v>25619.593960854363</v>
      </c>
      <c r="N201" s="84">
        <f t="shared" si="231"/>
        <v>25405.275698953505</v>
      </c>
      <c r="O201" s="84">
        <f t="shared" si="231"/>
        <v>25921.658798159122</v>
      </c>
      <c r="P201" s="84">
        <f t="shared" si="231"/>
        <v>25543.396364795753</v>
      </c>
      <c r="Q201" s="84">
        <f t="shared" si="231"/>
        <v>24278.383868131124</v>
      </c>
      <c r="R201" s="84">
        <f t="shared" si="231"/>
        <v>24410.574134194951</v>
      </c>
      <c r="S201" s="84">
        <f t="shared" si="231"/>
        <v>23882.600540982054</v>
      </c>
      <c r="T201" s="84">
        <f t="shared" si="231"/>
        <v>25337.457508324958</v>
      </c>
      <c r="U201" s="84">
        <f t="shared" si="231"/>
        <v>24884.521910356656</v>
      </c>
      <c r="V201" s="84">
        <f t="shared" si="231"/>
        <v>17692.615280945196</v>
      </c>
      <c r="W201" s="84">
        <f t="shared" si="233"/>
        <v>19547.531537671071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15072.622664554396</v>
      </c>
      <c r="N202" s="84">
        <f t="shared" si="231"/>
        <v>15043.256773171803</v>
      </c>
      <c r="O202" s="84">
        <f t="shared" si="231"/>
        <v>15335.951319356001</v>
      </c>
      <c r="P202" s="84">
        <f t="shared" si="231"/>
        <v>14821.873884467183</v>
      </c>
      <c r="Q202" s="84">
        <f t="shared" si="231"/>
        <v>14479.858223842844</v>
      </c>
      <c r="R202" s="84">
        <f t="shared" si="231"/>
        <v>13693.824617543498</v>
      </c>
      <c r="S202" s="84">
        <f t="shared" si="231"/>
        <v>12601.742858822618</v>
      </c>
      <c r="T202" s="84">
        <f t="shared" si="231"/>
        <v>13666.747494555117</v>
      </c>
      <c r="U202" s="84">
        <f t="shared" si="231"/>
        <v>13683.014546077005</v>
      </c>
      <c r="V202" s="84">
        <f t="shared" si="231"/>
        <v>9962.1914138918764</v>
      </c>
      <c r="W202" s="84">
        <f t="shared" si="233"/>
        <v>11096.140871563566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21334.057247301214</v>
      </c>
      <c r="L203" s="84">
        <f t="shared" si="231"/>
        <v>21159.636525533242</v>
      </c>
      <c r="M203" s="84">
        <f t="shared" si="234"/>
        <v>20851.678652897986</v>
      </c>
      <c r="N203" s="84">
        <f t="shared" si="231"/>
        <v>21178.064493866226</v>
      </c>
      <c r="O203" s="84">
        <f t="shared" si="231"/>
        <v>21861.016565243415</v>
      </c>
      <c r="P203" s="84">
        <f t="shared" si="231"/>
        <v>21795.097894263658</v>
      </c>
      <c r="Q203" s="84">
        <f t="shared" si="231"/>
        <v>20969.453749513301</v>
      </c>
      <c r="R203" s="84">
        <f t="shared" si="231"/>
        <v>20716.966817785295</v>
      </c>
      <c r="S203" s="84">
        <f t="shared" si="231"/>
        <v>20246.780551737629</v>
      </c>
      <c r="T203" s="84">
        <f t="shared" si="231"/>
        <v>21131.819842280707</v>
      </c>
      <c r="U203" s="84">
        <f t="shared" si="231"/>
        <v>20934.545246543184</v>
      </c>
      <c r="V203" s="84">
        <f t="shared" si="231"/>
        <v>15328.559921232809</v>
      </c>
      <c r="W203" s="84">
        <f t="shared" si="233"/>
        <v>19216.299891213468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412036.17700982373</v>
      </c>
      <c r="C204" s="110">
        <f t="shared" si="231"/>
        <v>410963.6016462018</v>
      </c>
      <c r="D204" s="110">
        <f t="shared" si="231"/>
        <v>389501.01821345568</v>
      </c>
      <c r="E204" s="110">
        <f t="shared" si="231"/>
        <v>404132.06508369482</v>
      </c>
      <c r="F204" s="110">
        <f t="shared" si="231"/>
        <v>414332.74145278434</v>
      </c>
      <c r="G204" s="110">
        <f t="shared" si="231"/>
        <v>425164.99392859207</v>
      </c>
      <c r="H204" s="110">
        <f t="shared" si="231"/>
        <v>442102.03351509396</v>
      </c>
      <c r="I204" s="110">
        <f t="shared" si="231"/>
        <v>457482.99067009619</v>
      </c>
      <c r="J204" s="110">
        <f t="shared" si="231"/>
        <v>455192.78530682385</v>
      </c>
      <c r="K204" s="110">
        <f t="shared" si="231"/>
        <v>428339.878770596</v>
      </c>
      <c r="L204" s="110">
        <f t="shared" si="231"/>
        <v>416544.17558622896</v>
      </c>
      <c r="M204" s="110">
        <f t="shared" si="234"/>
        <v>444275.6531793123</v>
      </c>
      <c r="N204" s="110">
        <f t="shared" si="231"/>
        <v>408143.95864943106</v>
      </c>
      <c r="O204" s="110">
        <f t="shared" si="231"/>
        <v>444040.56141210214</v>
      </c>
      <c r="P204" s="110">
        <f t="shared" si="231"/>
        <v>458250.09696576442</v>
      </c>
      <c r="Q204" s="110">
        <f t="shared" si="231"/>
        <v>508862.5936374219</v>
      </c>
      <c r="R204" s="110">
        <f t="shared" si="231"/>
        <v>528591.35651863262</v>
      </c>
      <c r="S204" s="110">
        <f t="shared" si="231"/>
        <v>470209.52940940118</v>
      </c>
      <c r="T204" s="110">
        <f t="shared" si="231"/>
        <v>551796.03199582349</v>
      </c>
      <c r="U204" s="110">
        <f t="shared" si="231"/>
        <v>510213.19354659517</v>
      </c>
      <c r="V204" s="110">
        <f t="shared" si="231"/>
        <v>231213.26547787798</v>
      </c>
      <c r="W204" s="110">
        <f t="shared" si="233"/>
        <v>289044.94182986615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335005.19986510463</v>
      </c>
      <c r="C205" s="102">
        <f t="shared" si="231"/>
        <v>322175.54928646766</v>
      </c>
      <c r="D205" s="102">
        <f t="shared" si="231"/>
        <v>316039.66268805263</v>
      </c>
      <c r="E205" s="102">
        <f t="shared" si="231"/>
        <v>304350.01256023231</v>
      </c>
      <c r="F205" s="102">
        <f t="shared" si="231"/>
        <v>296575.17643304379</v>
      </c>
      <c r="G205" s="102">
        <f t="shared" si="231"/>
        <v>296927.96863892814</v>
      </c>
      <c r="H205" s="102">
        <f t="shared" si="231"/>
        <v>297314.30080717255</v>
      </c>
      <c r="I205" s="102">
        <f t="shared" si="231"/>
        <v>297743.33643197245</v>
      </c>
      <c r="J205" s="102">
        <f t="shared" si="231"/>
        <v>297797.74685740948</v>
      </c>
      <c r="K205" s="102">
        <f t="shared" si="231"/>
        <v>297368.27556921955</v>
      </c>
      <c r="L205" s="102">
        <f t="shared" si="231"/>
        <v>297528.45530262333</v>
      </c>
      <c r="M205" s="102">
        <f t="shared" si="234"/>
        <v>298081.56523269747</v>
      </c>
      <c r="N205" s="102">
        <f t="shared" si="231"/>
        <v>296727.71816535137</v>
      </c>
      <c r="O205" s="102">
        <f t="shared" si="231"/>
        <v>297246.230527181</v>
      </c>
      <c r="P205" s="102">
        <f t="shared" si="231"/>
        <v>297022.83709896746</v>
      </c>
      <c r="Q205" s="102">
        <f t="shared" si="231"/>
        <v>298137.94965079619</v>
      </c>
      <c r="R205" s="102">
        <f t="shared" si="231"/>
        <v>304521.38231173536</v>
      </c>
      <c r="S205" s="102">
        <f t="shared" si="231"/>
        <v>318008.27822868677</v>
      </c>
      <c r="T205" s="102">
        <f t="shared" si="231"/>
        <v>312664.05774252774</v>
      </c>
      <c r="U205" s="102">
        <f t="shared" si="231"/>
        <v>285147.49221979507</v>
      </c>
      <c r="V205" s="102">
        <f t="shared" si="231"/>
        <v>185952.34675886092</v>
      </c>
      <c r="W205" s="102">
        <f t="shared" si="233"/>
        <v>243053.23302654168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415218.90570721158</v>
      </c>
      <c r="C206" s="102">
        <f t="shared" si="231"/>
        <v>413991.43358718441</v>
      </c>
      <c r="D206" s="102">
        <f t="shared" si="231"/>
        <v>392043.14082108793</v>
      </c>
      <c r="E206" s="102">
        <f t="shared" si="231"/>
        <v>406637.94143911096</v>
      </c>
      <c r="F206" s="102">
        <f t="shared" si="231"/>
        <v>416589.37814195687</v>
      </c>
      <c r="G206" s="102">
        <f t="shared" si="231"/>
        <v>428180.03130431625</v>
      </c>
      <c r="H206" s="102">
        <f t="shared" si="231"/>
        <v>445045.9209814014</v>
      </c>
      <c r="I206" s="102">
        <f t="shared" si="231"/>
        <v>460485.91291386355</v>
      </c>
      <c r="J206" s="102">
        <f t="shared" si="231"/>
        <v>458323.62170255644</v>
      </c>
      <c r="K206" s="102">
        <f t="shared" si="231"/>
        <v>431511.72545603639</v>
      </c>
      <c r="L206" s="102">
        <f t="shared" si="231"/>
        <v>419823.05405515071</v>
      </c>
      <c r="M206" s="102">
        <f t="shared" si="234"/>
        <v>448397.99873961922</v>
      </c>
      <c r="N206" s="102">
        <f t="shared" si="231"/>
        <v>412687.56133139896</v>
      </c>
      <c r="O206" s="102">
        <f t="shared" si="231"/>
        <v>449902.34399658558</v>
      </c>
      <c r="P206" s="102">
        <f t="shared" si="231"/>
        <v>465347.57801965991</v>
      </c>
      <c r="Q206" s="102">
        <f t="shared" si="231"/>
        <v>517567.36824564048</v>
      </c>
      <c r="R206" s="102">
        <f t="shared" si="231"/>
        <v>538845.39321216149</v>
      </c>
      <c r="S206" s="102">
        <f t="shared" si="231"/>
        <v>479983.66010590445</v>
      </c>
      <c r="T206" s="102">
        <f t="shared" si="231"/>
        <v>565278.24860013661</v>
      </c>
      <c r="U206" s="102">
        <f t="shared" si="231"/>
        <v>523228.35826710355</v>
      </c>
      <c r="V206" s="102">
        <f t="shared" si="231"/>
        <v>236708.8753931119</v>
      </c>
      <c r="W206" s="102">
        <f t="shared" si="233"/>
        <v>290010.50046209153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227849.17317741169</v>
      </c>
      <c r="C207" s="102">
        <f t="shared" si="231"/>
        <v>227056.83957292885</v>
      </c>
      <c r="D207" s="102">
        <f t="shared" si="231"/>
        <v>215227.82825692848</v>
      </c>
      <c r="E207" s="102">
        <f t="shared" si="231"/>
        <v>223125.5763918373</v>
      </c>
      <c r="F207" s="102">
        <f t="shared" si="231"/>
        <v>227314.37437173503</v>
      </c>
      <c r="G207" s="102">
        <f t="shared" si="231"/>
        <v>230046.33916750445</v>
      </c>
      <c r="H207" s="102">
        <f t="shared" si="231"/>
        <v>235913.51432609433</v>
      </c>
      <c r="I207" s="102">
        <f t="shared" si="231"/>
        <v>240763.1157462117</v>
      </c>
      <c r="J207" s="102">
        <f t="shared" si="231"/>
        <v>236319.30365427118</v>
      </c>
      <c r="K207" s="102">
        <f t="shared" si="231"/>
        <v>219292.84993223613</v>
      </c>
      <c r="L207" s="102">
        <f t="shared" si="231"/>
        <v>210312.41380459577</v>
      </c>
      <c r="M207" s="102">
        <f t="shared" si="234"/>
        <v>221209.52844414709</v>
      </c>
      <c r="N207" s="102">
        <f t="shared" si="231"/>
        <v>200356.77628933027</v>
      </c>
      <c r="O207" s="102">
        <f t="shared" si="231"/>
        <v>214959.33350636103</v>
      </c>
      <c r="P207" s="102">
        <f t="shared" si="231"/>
        <v>218753.04091223609</v>
      </c>
      <c r="Q207" s="102">
        <f t="shared" si="231"/>
        <v>246898.79539550765</v>
      </c>
      <c r="R207" s="102">
        <f t="shared" si="231"/>
        <v>260355.64743956231</v>
      </c>
      <c r="S207" s="102">
        <f t="shared" si="231"/>
        <v>235346.13430285524</v>
      </c>
      <c r="T207" s="102">
        <f t="shared" si="231"/>
        <v>279773.33835847839</v>
      </c>
      <c r="U207" s="102">
        <f t="shared" si="231"/>
        <v>261738.48008316764</v>
      </c>
      <c r="V207" s="102">
        <f t="shared" si="231"/>
        <v>119093.49357636926</v>
      </c>
      <c r="W207" s="102">
        <f t="shared" si="233"/>
        <v>151018.86668957383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383817.21284505475</v>
      </c>
      <c r="C208" s="102">
        <f t="shared" si="231"/>
        <v>378695.55299524404</v>
      </c>
      <c r="D208" s="102">
        <f t="shared" si="231"/>
        <v>361252.08300778136</v>
      </c>
      <c r="E208" s="102">
        <f t="shared" si="231"/>
        <v>370800.16440794826</v>
      </c>
      <c r="F208" s="102">
        <f t="shared" si="231"/>
        <v>376267.99199657922</v>
      </c>
      <c r="G208" s="102">
        <f t="shared" si="231"/>
        <v>382675.24705812166</v>
      </c>
      <c r="H208" s="102">
        <f t="shared" si="231"/>
        <v>394377.86664369976</v>
      </c>
      <c r="I208" s="102">
        <f t="shared" si="231"/>
        <v>412648.73281760392</v>
      </c>
      <c r="J208" s="102">
        <f t="shared" si="231"/>
        <v>415260.48490954039</v>
      </c>
      <c r="K208" s="102">
        <f t="shared" si="231"/>
        <v>395072.4338167907</v>
      </c>
      <c r="L208" s="102">
        <f t="shared" si="231"/>
        <v>388461.52584850689</v>
      </c>
      <c r="M208" s="102">
        <f t="shared" si="234"/>
        <v>418907.15806005266</v>
      </c>
      <c r="N208" s="102">
        <f t="shared" si="231"/>
        <v>381296.35640472668</v>
      </c>
      <c r="O208" s="102">
        <f t="shared" si="231"/>
        <v>411111.47142204724</v>
      </c>
      <c r="P208" s="102">
        <f t="shared" si="231"/>
        <v>420438.09125388908</v>
      </c>
      <c r="Q208" s="102">
        <f t="shared" si="231"/>
        <v>472136.92132878682</v>
      </c>
      <c r="R208" s="102">
        <f t="shared" si="231"/>
        <v>495417.48102025664</v>
      </c>
      <c r="S208" s="102">
        <f t="shared" si="231"/>
        <v>445622.10416314495</v>
      </c>
      <c r="T208" s="102">
        <f t="shared" si="231"/>
        <v>516696.04013741325</v>
      </c>
      <c r="U208" s="102">
        <f t="shared" si="231"/>
        <v>481007.35354590876</v>
      </c>
      <c r="V208" s="102">
        <f t="shared" si="231"/>
        <v>216249.7931188744</v>
      </c>
      <c r="W208" s="102">
        <f t="shared" si="233"/>
        <v>267465.65613545792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425149.19583877566</v>
      </c>
      <c r="C209" s="102">
        <f t="shared" si="231"/>
        <v>432657.00722914847</v>
      </c>
      <c r="D209" s="102">
        <f t="shared" si="231"/>
        <v>408855.30788044364</v>
      </c>
      <c r="E209" s="102">
        <f t="shared" si="231"/>
        <v>433074.8361556601</v>
      </c>
      <c r="F209" s="102">
        <f t="shared" si="231"/>
        <v>447427.61340505938</v>
      </c>
      <c r="G209" s="102">
        <f t="shared" si="231"/>
        <v>450630.64035949932</v>
      </c>
      <c r="H209" s="102">
        <f t="shared" si="231"/>
        <v>460162.78124345839</v>
      </c>
      <c r="I209" s="102">
        <f t="shared" si="231"/>
        <v>467454.15655054414</v>
      </c>
      <c r="J209" s="102">
        <f t="shared" si="231"/>
        <v>456374.98623213288</v>
      </c>
      <c r="K209" s="102">
        <f t="shared" si="231"/>
        <v>420796.80259737413</v>
      </c>
      <c r="L209" s="102">
        <f t="shared" si="231"/>
        <v>400897.97325778415</v>
      </c>
      <c r="M209" s="102">
        <f t="shared" si="234"/>
        <v>420089.35297038686</v>
      </c>
      <c r="N209" s="102">
        <f t="shared" si="231"/>
        <v>378967.26480623701</v>
      </c>
      <c r="O209" s="102">
        <f t="shared" si="231"/>
        <v>405418.14285260404</v>
      </c>
      <c r="P209" s="102">
        <f t="shared" si="231"/>
        <v>411479.32173223037</v>
      </c>
      <c r="Q209" s="102">
        <f t="shared" si="231"/>
        <v>449053.8042941509</v>
      </c>
      <c r="R209" s="102">
        <f t="shared" si="231"/>
        <v>466778.10772463062</v>
      </c>
      <c r="S209" s="102">
        <f t="shared" si="231"/>
        <v>402624.50756311696</v>
      </c>
      <c r="T209" s="102">
        <f t="shared" si="231"/>
        <v>493055.32759672409</v>
      </c>
      <c r="U209" s="102">
        <f t="shared" si="231"/>
        <v>506362.18099957722</v>
      </c>
      <c r="V209" s="102">
        <f t="shared" si="231"/>
        <v>238468.44812299294</v>
      </c>
      <c r="W209" s="102">
        <f t="shared" si="233"/>
        <v>336933.21009265666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58714.938116541125</v>
      </c>
      <c r="C210" s="28">
        <f t="shared" si="231"/>
        <v>55240.468176836846</v>
      </c>
      <c r="D210" s="28">
        <f t="shared" si="231"/>
        <v>52946.624525425388</v>
      </c>
      <c r="E210" s="28">
        <f t="shared" si="231"/>
        <v>52971.415330993179</v>
      </c>
      <c r="F210" s="28">
        <f t="shared" ref="B210:V219" si="235">IF(F19=0,0,F19*1000000/F73)</f>
        <v>57006.975719032933</v>
      </c>
      <c r="G210" s="28">
        <f t="shared" si="235"/>
        <v>53942.954979122595</v>
      </c>
      <c r="H210" s="28">
        <f t="shared" si="235"/>
        <v>56022.234418596287</v>
      </c>
      <c r="I210" s="28">
        <f t="shared" si="235"/>
        <v>56243.574219703172</v>
      </c>
      <c r="J210" s="28">
        <f t="shared" si="235"/>
        <v>57001.925273715009</v>
      </c>
      <c r="K210" s="28">
        <f t="shared" si="235"/>
        <v>53352.303651763905</v>
      </c>
      <c r="L210" s="28">
        <f t="shared" si="235"/>
        <v>53763.435554145501</v>
      </c>
      <c r="M210" s="28">
        <f t="shared" si="234"/>
        <v>54521.009450844511</v>
      </c>
      <c r="N210" s="28">
        <f t="shared" si="235"/>
        <v>52762.237042763212</v>
      </c>
      <c r="O210" s="28">
        <f t="shared" si="235"/>
        <v>59033.484996809988</v>
      </c>
      <c r="P210" s="28">
        <f t="shared" si="235"/>
        <v>59623.418867499007</v>
      </c>
      <c r="Q210" s="28">
        <f t="shared" si="235"/>
        <v>59027.984244186075</v>
      </c>
      <c r="R210" s="28">
        <f t="shared" si="235"/>
        <v>60552.647003714927</v>
      </c>
      <c r="S210" s="28">
        <f t="shared" si="235"/>
        <v>58118.415757940013</v>
      </c>
      <c r="T210" s="28">
        <f t="shared" si="235"/>
        <v>57770.759195004488</v>
      </c>
      <c r="U210" s="28">
        <f t="shared" si="235"/>
        <v>57261.232167216716</v>
      </c>
      <c r="V210" s="28">
        <f t="shared" si="235"/>
        <v>55941.812807135291</v>
      </c>
      <c r="W210" s="28">
        <f t="shared" ref="W210" si="236">IF(W19=0,0,W19*1000000/W73)</f>
        <v>56831.272116599597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4416.5318273120811</v>
      </c>
      <c r="C211" s="137">
        <f t="shared" si="235"/>
        <v>4475.8424858587232</v>
      </c>
      <c r="D211" s="137">
        <f t="shared" si="235"/>
        <v>4439.3868851894103</v>
      </c>
      <c r="E211" s="137">
        <f t="shared" si="235"/>
        <v>4457.8773439403185</v>
      </c>
      <c r="F211" s="137">
        <f t="shared" si="235"/>
        <v>4534.8550546231018</v>
      </c>
      <c r="G211" s="137">
        <f t="shared" si="235"/>
        <v>4500.6564255066796</v>
      </c>
      <c r="H211" s="137">
        <f t="shared" si="235"/>
        <v>4633.4626099103534</v>
      </c>
      <c r="I211" s="137">
        <f t="shared" si="235"/>
        <v>4751.4169867783776</v>
      </c>
      <c r="J211" s="137">
        <f t="shared" si="235"/>
        <v>4768.2061607786409</v>
      </c>
      <c r="K211" s="137">
        <f t="shared" si="235"/>
        <v>4497.5126762475011</v>
      </c>
      <c r="L211" s="137">
        <f t="shared" si="235"/>
        <v>4550.9926395155089</v>
      </c>
      <c r="M211" s="137">
        <f t="shared" si="234"/>
        <v>4670.7285779021213</v>
      </c>
      <c r="N211" s="137">
        <f t="shared" si="235"/>
        <v>4556.2851059015229</v>
      </c>
      <c r="O211" s="137">
        <f t="shared" si="235"/>
        <v>4602.4598392535727</v>
      </c>
      <c r="P211" s="137">
        <f t="shared" si="235"/>
        <v>4462.5642434826641</v>
      </c>
      <c r="Q211" s="137">
        <f t="shared" si="235"/>
        <v>4568.0644373478353</v>
      </c>
      <c r="R211" s="137">
        <f t="shared" si="235"/>
        <v>4561.9286251624817</v>
      </c>
      <c r="S211" s="137">
        <f t="shared" si="235"/>
        <v>4502.910642976407</v>
      </c>
      <c r="T211" s="137">
        <f t="shared" si="235"/>
        <v>4441.0594277232467</v>
      </c>
      <c r="U211" s="137">
        <f t="shared" si="235"/>
        <v>4330.8234161804821</v>
      </c>
      <c r="V211" s="137">
        <f t="shared" si="235"/>
        <v>4147.3525547262179</v>
      </c>
      <c r="W211" s="137">
        <f t="shared" ref="W211" si="237">IF(W20=0,0,W20*1000000/W74)</f>
        <v>4201.1586750473743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1370.8604988103423</v>
      </c>
      <c r="C212" s="84">
        <f t="shared" si="235"/>
        <v>1362.0376459243398</v>
      </c>
      <c r="D212" s="84">
        <f t="shared" si="235"/>
        <v>1326.7340632686</v>
      </c>
      <c r="E212" s="84">
        <f t="shared" si="235"/>
        <v>1311.7438791929142</v>
      </c>
      <c r="F212" s="84">
        <f t="shared" si="235"/>
        <v>1327.3235677725602</v>
      </c>
      <c r="G212" s="84">
        <f t="shared" si="235"/>
        <v>1315.9367045931399</v>
      </c>
      <c r="H212" s="84">
        <f t="shared" si="235"/>
        <v>1323.6825289587496</v>
      </c>
      <c r="I212" s="84">
        <f t="shared" si="235"/>
        <v>1373.0165377670464</v>
      </c>
      <c r="J212" s="84">
        <f t="shared" si="235"/>
        <v>1385.6389849377445</v>
      </c>
      <c r="K212" s="84">
        <f t="shared" si="235"/>
        <v>1348.8515324975065</v>
      </c>
      <c r="L212" s="84">
        <f t="shared" si="235"/>
        <v>1356.8470046739349</v>
      </c>
      <c r="M212" s="84">
        <f t="shared" si="234"/>
        <v>1367.0544464985364</v>
      </c>
      <c r="N212" s="84">
        <f t="shared" si="235"/>
        <v>1365.8495726372655</v>
      </c>
      <c r="O212" s="84">
        <f t="shared" si="235"/>
        <v>1377.1591870445552</v>
      </c>
      <c r="P212" s="84">
        <f t="shared" si="235"/>
        <v>1411.4946662843413</v>
      </c>
      <c r="Q212" s="84">
        <f t="shared" si="235"/>
        <v>1435.1242035005992</v>
      </c>
      <c r="R212" s="84">
        <f t="shared" si="235"/>
        <v>1431.7534593345836</v>
      </c>
      <c r="S212" s="84">
        <f t="shared" si="235"/>
        <v>1413.9947483200203</v>
      </c>
      <c r="T212" s="84">
        <f t="shared" si="235"/>
        <v>1396.1369070037383</v>
      </c>
      <c r="U212" s="84">
        <f t="shared" si="235"/>
        <v>1369.1388395306369</v>
      </c>
      <c r="V212" s="84">
        <f t="shared" si="235"/>
        <v>1313.8336877235545</v>
      </c>
      <c r="W212" s="84">
        <f t="shared" ref="W212" si="238">IF(W21=0,0,W21*1000000/W75)</f>
        <v>1329.9078368400681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4894.1785375133004</v>
      </c>
      <c r="C213" s="84">
        <f t="shared" si="235"/>
        <v>4890.6674709756171</v>
      </c>
      <c r="D213" s="84">
        <f t="shared" si="235"/>
        <v>4801.1421055248902</v>
      </c>
      <c r="E213" s="84">
        <f t="shared" si="235"/>
        <v>4778.4395645802852</v>
      </c>
      <c r="F213" s="84">
        <f t="shared" si="235"/>
        <v>4823.0021304612437</v>
      </c>
      <c r="G213" s="84">
        <f t="shared" si="235"/>
        <v>4756.8638983772889</v>
      </c>
      <c r="H213" s="84">
        <f t="shared" si="235"/>
        <v>4878.9474941284579</v>
      </c>
      <c r="I213" s="84">
        <f t="shared" si="235"/>
        <v>4982.6630699473499</v>
      </c>
      <c r="J213" s="84">
        <f t="shared" si="235"/>
        <v>4984.9272676599394</v>
      </c>
      <c r="K213" s="84">
        <f t="shared" si="235"/>
        <v>4690.1802587613529</v>
      </c>
      <c r="L213" s="84">
        <f t="shared" si="235"/>
        <v>4739.8782858834629</v>
      </c>
      <c r="M213" s="84">
        <f t="shared" si="234"/>
        <v>4862.3113822910027</v>
      </c>
      <c r="N213" s="84">
        <f t="shared" si="235"/>
        <v>4738.7010596653945</v>
      </c>
      <c r="O213" s="84">
        <f t="shared" si="235"/>
        <v>4783.5190397245833</v>
      </c>
      <c r="P213" s="84">
        <f t="shared" si="235"/>
        <v>4633.6765425382018</v>
      </c>
      <c r="Q213" s="84">
        <f t="shared" si="235"/>
        <v>4742.0081478261709</v>
      </c>
      <c r="R213" s="84">
        <f t="shared" si="235"/>
        <v>4730.8703687680973</v>
      </c>
      <c r="S213" s="84">
        <f t="shared" si="235"/>
        <v>4672.1911602922464</v>
      </c>
      <c r="T213" s="84">
        <f t="shared" si="235"/>
        <v>4613.1844005861285</v>
      </c>
      <c r="U213" s="84">
        <f t="shared" si="235"/>
        <v>4523.9760549804132</v>
      </c>
      <c r="V213" s="84">
        <f t="shared" si="235"/>
        <v>4341.2340457199998</v>
      </c>
      <c r="W213" s="84">
        <f t="shared" ref="W213" si="239">IF(W22=0,0,W22*1000000/W76)</f>
        <v>4394.347041719896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1435.6697511202569</v>
      </c>
      <c r="C214" s="84">
        <f t="shared" si="235"/>
        <v>1426.4297861362118</v>
      </c>
      <c r="D214" s="84">
        <f t="shared" si="235"/>
        <v>1389.4571796828166</v>
      </c>
      <c r="E214" s="84">
        <f t="shared" si="235"/>
        <v>1373.7583147291155</v>
      </c>
      <c r="F214" s="84">
        <f t="shared" si="235"/>
        <v>1390.0745537958055</v>
      </c>
      <c r="G214" s="84">
        <f t="shared" si="235"/>
        <v>1378.1493615234879</v>
      </c>
      <c r="H214" s="84">
        <f t="shared" si="235"/>
        <v>1386.2613800321888</v>
      </c>
      <c r="I214" s="84">
        <f t="shared" si="235"/>
        <v>1437.9277196845726</v>
      </c>
      <c r="J214" s="84">
        <f t="shared" si="235"/>
        <v>1451.1469098237667</v>
      </c>
      <c r="K214" s="84">
        <f t="shared" si="235"/>
        <v>1412.620281669364</v>
      </c>
      <c r="L214" s="84">
        <f t="shared" si="235"/>
        <v>1420.9937504209865</v>
      </c>
      <c r="M214" s="84">
        <f t="shared" si="234"/>
        <v>1431.6837626261799</v>
      </c>
      <c r="N214" s="84">
        <f t="shared" si="235"/>
        <v>1430.421926751528</v>
      </c>
      <c r="O214" s="84">
        <f t="shared" si="235"/>
        <v>1442.2662182133292</v>
      </c>
      <c r="P214" s="84">
        <f t="shared" si="235"/>
        <v>1478.2249528749201</v>
      </c>
      <c r="Q214" s="84">
        <f t="shared" si="235"/>
        <v>1502.9716078728513</v>
      </c>
      <c r="R214" s="84">
        <f t="shared" si="235"/>
        <v>1499.4415072957961</v>
      </c>
      <c r="S214" s="84">
        <f t="shared" si="235"/>
        <v>1480.8432296120923</v>
      </c>
      <c r="T214" s="84">
        <f t="shared" si="235"/>
        <v>1462.1411351098877</v>
      </c>
      <c r="U214" s="84">
        <f t="shared" si="235"/>
        <v>1433.866698109571</v>
      </c>
      <c r="V214" s="84">
        <f t="shared" si="235"/>
        <v>1375.9469217359374</v>
      </c>
      <c r="W214" s="84">
        <f t="shared" ref="W214" si="240">IF(W23=0,0,W23*1000000/W77)</f>
        <v>1392.780997618642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2380.5290279987262</v>
      </c>
      <c r="F215" s="84">
        <f t="shared" si="235"/>
        <v>2370.5673448755661</v>
      </c>
      <c r="G215" s="84">
        <f t="shared" si="235"/>
        <v>2312.9249933365727</v>
      </c>
      <c r="H215" s="84">
        <f t="shared" si="235"/>
        <v>2289.6096239242306</v>
      </c>
      <c r="I215" s="84">
        <f t="shared" si="235"/>
        <v>2337.2460263713774</v>
      </c>
      <c r="J215" s="84">
        <f t="shared" si="235"/>
        <v>2358.7328502233136</v>
      </c>
      <c r="K215" s="84">
        <f t="shared" si="235"/>
        <v>2259.6640077833313</v>
      </c>
      <c r="L215" s="84">
        <f t="shared" si="235"/>
        <v>2266.6089669653347</v>
      </c>
      <c r="M215" s="84">
        <f t="shared" si="234"/>
        <v>2247.4114583700466</v>
      </c>
      <c r="N215" s="84">
        <f t="shared" si="235"/>
        <v>2209.7884877358829</v>
      </c>
      <c r="O215" s="84">
        <f t="shared" si="235"/>
        <v>2192.7192832364985</v>
      </c>
      <c r="P215" s="84">
        <f t="shared" si="235"/>
        <v>2211.7151371526506</v>
      </c>
      <c r="Q215" s="84">
        <f t="shared" si="235"/>
        <v>2213.0462715287244</v>
      </c>
      <c r="R215" s="84">
        <f t="shared" si="235"/>
        <v>2243.4592735776328</v>
      </c>
      <c r="S215" s="84">
        <f t="shared" si="235"/>
        <v>2251.3690357686551</v>
      </c>
      <c r="T215" s="84">
        <f t="shared" si="235"/>
        <v>2258.7899328057151</v>
      </c>
      <c r="U215" s="84">
        <f t="shared" si="235"/>
        <v>2250.8381607929718</v>
      </c>
      <c r="V215" s="84">
        <f t="shared" si="235"/>
        <v>2194.7553463560712</v>
      </c>
      <c r="W215" s="84">
        <f t="shared" ref="W215" si="241">IF(W24=0,0,W24*1000000/W78)</f>
        <v>2221.6071656093277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2745.840962577573</v>
      </c>
      <c r="N216" s="84">
        <f t="shared" si="235"/>
        <v>2747.007803486897</v>
      </c>
      <c r="O216" s="84">
        <f t="shared" si="235"/>
        <v>2747.0347394775049</v>
      </c>
      <c r="P216" s="84">
        <f t="shared" si="235"/>
        <v>2749.2052443107023</v>
      </c>
      <c r="Q216" s="84">
        <f t="shared" si="235"/>
        <v>2750.3263552112076</v>
      </c>
      <c r="R216" s="84">
        <f t="shared" si="235"/>
        <v>2749.5814112118287</v>
      </c>
      <c r="S216" s="84">
        <f t="shared" si="235"/>
        <v>2749.0000322739597</v>
      </c>
      <c r="T216" s="84">
        <f t="shared" si="235"/>
        <v>2748.3888385668829</v>
      </c>
      <c r="U216" s="84">
        <f t="shared" si="235"/>
        <v>2746.8859013930437</v>
      </c>
      <c r="V216" s="84">
        <f t="shared" si="235"/>
        <v>2682.5264388026935</v>
      </c>
      <c r="W216" s="84">
        <f t="shared" ref="W216" si="242">IF(W25=0,0,W25*1000000/W79)</f>
        <v>2745.1870494630325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391323.97213639662</v>
      </c>
      <c r="C217" s="110">
        <f t="shared" si="235"/>
        <v>381929.49284645548</v>
      </c>
      <c r="D217" s="110">
        <f t="shared" si="235"/>
        <v>381298.81329572079</v>
      </c>
      <c r="E217" s="110">
        <f t="shared" si="235"/>
        <v>402193.17000953463</v>
      </c>
      <c r="F217" s="110">
        <f t="shared" si="235"/>
        <v>507035.84939175745</v>
      </c>
      <c r="G217" s="110">
        <f t="shared" si="235"/>
        <v>481613.02162791975</v>
      </c>
      <c r="H217" s="110">
        <f t="shared" si="235"/>
        <v>489146.63218426384</v>
      </c>
      <c r="I217" s="110">
        <f t="shared" si="235"/>
        <v>449793.05960578792</v>
      </c>
      <c r="J217" s="110">
        <f t="shared" si="235"/>
        <v>462706.23703954427</v>
      </c>
      <c r="K217" s="110">
        <f t="shared" si="235"/>
        <v>423130.0506003226</v>
      </c>
      <c r="L217" s="110">
        <f t="shared" si="235"/>
        <v>423651.7785269196</v>
      </c>
      <c r="M217" s="110">
        <f t="shared" si="234"/>
        <v>431630.64064498444</v>
      </c>
      <c r="N217" s="110">
        <f t="shared" si="235"/>
        <v>409457.48265480832</v>
      </c>
      <c r="O217" s="110">
        <f t="shared" si="235"/>
        <v>454298.58986216207</v>
      </c>
      <c r="P217" s="110">
        <f t="shared" si="235"/>
        <v>466395.102916078</v>
      </c>
      <c r="Q217" s="110">
        <f t="shared" si="235"/>
        <v>462820.0786666348</v>
      </c>
      <c r="R217" s="110">
        <f t="shared" si="235"/>
        <v>469326.55328216992</v>
      </c>
      <c r="S217" s="110">
        <f t="shared" si="235"/>
        <v>457582.46362574841</v>
      </c>
      <c r="T217" s="110">
        <f t="shared" si="235"/>
        <v>456460.90671258734</v>
      </c>
      <c r="U217" s="110">
        <f t="shared" si="235"/>
        <v>445965.58675981057</v>
      </c>
      <c r="V217" s="110">
        <f t="shared" si="235"/>
        <v>441596.61258801998</v>
      </c>
      <c r="W217" s="110">
        <f t="shared" ref="W217" si="243">IF(W26=0,0,W26*1000000/W80)</f>
        <v>462706.2862929384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306270.6975750454</v>
      </c>
      <c r="C218" s="163">
        <f t="shared" si="235"/>
        <v>292448.91413045529</v>
      </c>
      <c r="D218" s="163">
        <f t="shared" si="235"/>
        <v>286000.56716135738</v>
      </c>
      <c r="E218" s="163">
        <f t="shared" si="235"/>
        <v>306237.47494989983</v>
      </c>
      <c r="F218" s="163">
        <f t="shared" si="235"/>
        <v>392287.86425161536</v>
      </c>
      <c r="G218" s="163">
        <f t="shared" si="235"/>
        <v>360719.46686009609</v>
      </c>
      <c r="H218" s="163">
        <f t="shared" si="235"/>
        <v>358647.25136188569</v>
      </c>
      <c r="I218" s="163">
        <f t="shared" si="235"/>
        <v>322860.99069904466</v>
      </c>
      <c r="J218" s="163">
        <f t="shared" si="235"/>
        <v>338175.63284452521</v>
      </c>
      <c r="K218" s="163">
        <f t="shared" si="235"/>
        <v>311370.99819160986</v>
      </c>
      <c r="L218" s="163">
        <f t="shared" si="235"/>
        <v>300009.9790440076</v>
      </c>
      <c r="M218" s="163">
        <f t="shared" si="234"/>
        <v>308852.58590837795</v>
      </c>
      <c r="N218" s="163">
        <f t="shared" si="235"/>
        <v>288316.6207825091</v>
      </c>
      <c r="O218" s="163">
        <f t="shared" si="235"/>
        <v>334154.08808284794</v>
      </c>
      <c r="P218" s="163">
        <f t="shared" si="235"/>
        <v>341438.88547775825</v>
      </c>
      <c r="Q218" s="163">
        <f t="shared" si="235"/>
        <v>337519.54088109703</v>
      </c>
      <c r="R218" s="163">
        <f t="shared" si="235"/>
        <v>343079.077546168</v>
      </c>
      <c r="S218" s="163">
        <f t="shared" si="235"/>
        <v>328655.52714515076</v>
      </c>
      <c r="T218" s="163">
        <f t="shared" si="235"/>
        <v>331455.13588742411</v>
      </c>
      <c r="U218" s="163">
        <f t="shared" si="235"/>
        <v>322168.53656539187</v>
      </c>
      <c r="V218" s="163">
        <f t="shared" si="235"/>
        <v>315561.56723192561</v>
      </c>
      <c r="W218" s="163">
        <f t="shared" ref="W218" si="244">IF(W27=0,0,W27*1000000/W81)</f>
        <v>337669.31643411715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1211901.1983011952</v>
      </c>
      <c r="C219" s="86">
        <f t="shared" si="235"/>
        <v>1210799.7526331013</v>
      </c>
      <c r="D219" s="86">
        <f t="shared" si="235"/>
        <v>1218780.2436458042</v>
      </c>
      <c r="E219" s="86">
        <f t="shared" si="235"/>
        <v>1211639.9760587555</v>
      </c>
      <c r="F219" s="86">
        <f t="shared" si="235"/>
        <v>1189410.9138974706</v>
      </c>
      <c r="G219" s="86">
        <f t="shared" si="235"/>
        <v>1189938.9479360823</v>
      </c>
      <c r="H219" s="86">
        <f t="shared" si="235"/>
        <v>1197528.5360820312</v>
      </c>
      <c r="I219" s="86">
        <f t="shared" si="235"/>
        <v>1199816.7809096426</v>
      </c>
      <c r="J219" s="86">
        <f t="shared" si="235"/>
        <v>1182835.1928232042</v>
      </c>
      <c r="K219" s="86">
        <f t="shared" si="235"/>
        <v>1167170.1744686605</v>
      </c>
      <c r="L219" s="86">
        <f t="shared" si="235"/>
        <v>1205167.1516934778</v>
      </c>
      <c r="M219" s="86">
        <f t="shared" si="234"/>
        <v>1201284.3520903299</v>
      </c>
      <c r="N219" s="86">
        <f t="shared" si="235"/>
        <v>1197320.3473677698</v>
      </c>
      <c r="O219" s="86">
        <f t="shared" si="235"/>
        <v>1198915.6325325086</v>
      </c>
      <c r="P219" s="86">
        <f t="shared" si="235"/>
        <v>1201776.9614705956</v>
      </c>
      <c r="Q219" s="86">
        <f t="shared" si="235"/>
        <v>1190505.3186101494</v>
      </c>
      <c r="R219" s="86">
        <f t="shared" si="235"/>
        <v>1184155.1727418585</v>
      </c>
      <c r="S219" s="86">
        <f t="shared" si="235"/>
        <v>1194218.12301223</v>
      </c>
      <c r="T219" s="86">
        <f t="shared" si="235"/>
        <v>1203233.2563510393</v>
      </c>
      <c r="U219" s="86">
        <f t="shared" si="235"/>
        <v>1198672.1991701245</v>
      </c>
      <c r="V219" s="86">
        <f t="shared" si="235"/>
        <v>1180395.9131545338</v>
      </c>
      <c r="W219" s="86">
        <f t="shared" ref="W219" si="245">IF(W28=0,0,W28*1000000/W82)</f>
        <v>1193469.7855750488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2.2962558650162616E-2</v>
      </c>
      <c r="C223" s="154">
        <f t="shared" si="250"/>
        <v>2.3756699069868874E-2</v>
      </c>
      <c r="D223" s="154">
        <f t="shared" si="250"/>
        <v>2.4221624178105434E-2</v>
      </c>
      <c r="E223" s="154">
        <f t="shared" si="250"/>
        <v>2.4091810216880543E-2</v>
      </c>
      <c r="F223" s="154">
        <f t="shared" si="250"/>
        <v>2.2248313942088611E-2</v>
      </c>
      <c r="G223" s="154">
        <f t="shared" si="250"/>
        <v>2.3535658558122775E-2</v>
      </c>
      <c r="H223" s="154">
        <f t="shared" si="250"/>
        <v>2.5320539038787636E-2</v>
      </c>
      <c r="I223" s="154">
        <f t="shared" si="250"/>
        <v>2.7744049812422473E-2</v>
      </c>
      <c r="J223" s="154">
        <f t="shared" si="250"/>
        <v>3.0574579385578008E-2</v>
      </c>
      <c r="K223" s="154">
        <f t="shared" si="250"/>
        <v>3.2064764516154642E-2</v>
      </c>
      <c r="L223" s="154">
        <f t="shared" ref="L223" si="251">IF(L5=0,0,L5/L$4)</f>
        <v>3.3174723205559233E-2</v>
      </c>
      <c r="M223" s="154">
        <f t="shared" ref="M223:V223" si="252">IF(M5=0,0,M5/M$4)</f>
        <v>3.3927962442960216E-2</v>
      </c>
      <c r="N223" s="154">
        <f t="shared" si="252"/>
        <v>3.3993837492761705E-2</v>
      </c>
      <c r="O223" s="154">
        <f t="shared" si="252"/>
        <v>3.2510423921302295E-2</v>
      </c>
      <c r="P223" s="154">
        <f t="shared" si="252"/>
        <v>3.1603161864648892E-2</v>
      </c>
      <c r="Q223" s="154">
        <f t="shared" si="252"/>
        <v>3.3732536613473044E-2</v>
      </c>
      <c r="R223" s="154">
        <f t="shared" si="252"/>
        <v>3.4226366476502193E-2</v>
      </c>
      <c r="S223" s="154">
        <f t="shared" si="252"/>
        <v>3.2914065473304416E-2</v>
      </c>
      <c r="T223" s="154">
        <f t="shared" si="252"/>
        <v>2.9435619566260642E-2</v>
      </c>
      <c r="U223" s="154">
        <f t="shared" si="252"/>
        <v>3.1206734795901175E-2</v>
      </c>
      <c r="V223" s="154">
        <f t="shared" si="252"/>
        <v>3.9486379850475081E-2</v>
      </c>
      <c r="W223" s="154">
        <f t="shared" ref="W223" si="253">IF(W5=0,0,W5/W$4)</f>
        <v>3.6461757748718009E-2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0.94607849827193458</v>
      </c>
      <c r="C224" s="156">
        <f t="shared" si="254"/>
        <v>0.9450600230745827</v>
      </c>
      <c r="D224" s="156">
        <f t="shared" si="254"/>
        <v>0.94681268038674415</v>
      </c>
      <c r="E224" s="156">
        <f t="shared" si="254"/>
        <v>0.94612041317690365</v>
      </c>
      <c r="F224" s="156">
        <f t="shared" si="254"/>
        <v>0.94834916719751217</v>
      </c>
      <c r="G224" s="156">
        <f t="shared" si="254"/>
        <v>0.94610364624033993</v>
      </c>
      <c r="H224" s="156">
        <f t="shared" si="254"/>
        <v>0.94368506944268593</v>
      </c>
      <c r="I224" s="156">
        <f t="shared" si="254"/>
        <v>0.9408842696114933</v>
      </c>
      <c r="J224" s="156">
        <f t="shared" si="254"/>
        <v>0.9372371076248639</v>
      </c>
      <c r="K224" s="156">
        <f t="shared" si="254"/>
        <v>0.93685231042643768</v>
      </c>
      <c r="L224" s="156">
        <f t="shared" ref="L224" si="255">IF(L6=0,0,L6/L$4)</f>
        <v>0.93538997904528598</v>
      </c>
      <c r="M224" s="156">
        <f t="shared" ref="M224:V224" si="256">IF(M6=0,0,M6/M$4)</f>
        <v>0.93367721093096456</v>
      </c>
      <c r="N224" s="156">
        <f t="shared" si="256"/>
        <v>0.93596503785357099</v>
      </c>
      <c r="O224" s="156">
        <f t="shared" si="256"/>
        <v>0.93752963385453902</v>
      </c>
      <c r="P224" s="156">
        <f t="shared" si="256"/>
        <v>0.93894799859630307</v>
      </c>
      <c r="Q224" s="156">
        <f t="shared" si="256"/>
        <v>0.93358493483230387</v>
      </c>
      <c r="R224" s="156">
        <f t="shared" si="256"/>
        <v>0.93281650264977178</v>
      </c>
      <c r="S224" s="156">
        <f t="shared" si="256"/>
        <v>0.93592184250382393</v>
      </c>
      <c r="T224" s="156">
        <f t="shared" si="256"/>
        <v>0.93585521802397054</v>
      </c>
      <c r="U224" s="156">
        <f t="shared" si="256"/>
        <v>0.93414744112344172</v>
      </c>
      <c r="V224" s="156">
        <f t="shared" si="256"/>
        <v>0.93873455697528341</v>
      </c>
      <c r="W224" s="156">
        <f t="shared" ref="W224" si="257">IF(W6=0,0,W6/W$4)</f>
        <v>0.93963628876669048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0.63098550184568547</v>
      </c>
      <c r="C225" s="103">
        <f t="shared" si="258"/>
        <v>0.62093252826682765</v>
      </c>
      <c r="D225" s="103">
        <f t="shared" si="258"/>
        <v>0.61418563485941891</v>
      </c>
      <c r="E225" s="103">
        <f t="shared" si="258"/>
        <v>0.60688260042856967</v>
      </c>
      <c r="F225" s="103">
        <f t="shared" si="258"/>
        <v>0.60403902913363261</v>
      </c>
      <c r="G225" s="103">
        <f t="shared" si="258"/>
        <v>0.59841025149514193</v>
      </c>
      <c r="H225" s="103">
        <f t="shared" si="258"/>
        <v>0.58841697366814028</v>
      </c>
      <c r="I225" s="103">
        <f t="shared" si="258"/>
        <v>0.5847026518760492</v>
      </c>
      <c r="J225" s="103">
        <f t="shared" si="258"/>
        <v>0.5877667159846609</v>
      </c>
      <c r="K225" s="103">
        <f t="shared" si="258"/>
        <v>0.59623773216171616</v>
      </c>
      <c r="L225" s="103">
        <f t="shared" ref="L225" si="259">IF(L7=0,0,L7/L$4)</f>
        <v>0.60232688206979146</v>
      </c>
      <c r="M225" s="103">
        <f t="shared" ref="M225:V225" si="260">IF(M7=0,0,M7/M$4)</f>
        <v>0.60833181331740682</v>
      </c>
      <c r="N225" s="103">
        <f t="shared" si="260"/>
        <v>0.60305902966359126</v>
      </c>
      <c r="O225" s="103">
        <f t="shared" si="260"/>
        <v>0.60309210566003402</v>
      </c>
      <c r="P225" s="103">
        <f t="shared" si="260"/>
        <v>0.6009052520112711</v>
      </c>
      <c r="Q225" s="103">
        <f t="shared" si="260"/>
        <v>0.59721659642670921</v>
      </c>
      <c r="R225" s="103">
        <f t="shared" si="260"/>
        <v>0.61208856814748791</v>
      </c>
      <c r="S225" s="103">
        <f t="shared" si="260"/>
        <v>0.62582062366758051</v>
      </c>
      <c r="T225" s="103">
        <f t="shared" si="260"/>
        <v>0.63814413802130521</v>
      </c>
      <c r="U225" s="103">
        <f t="shared" si="260"/>
        <v>0.65266310283781825</v>
      </c>
      <c r="V225" s="103">
        <f t="shared" si="260"/>
        <v>0.68898507766389194</v>
      </c>
      <c r="W225" s="103">
        <f t="shared" ref="W225" si="261">IF(W7=0,0,W7/W$4)</f>
        <v>0.64134375897255802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0.23525105163353824</v>
      </c>
      <c r="C226" s="103">
        <f t="shared" si="262"/>
        <v>0.24628540885130126</v>
      </c>
      <c r="D226" s="103">
        <f t="shared" si="262"/>
        <v>0.25902552765989273</v>
      </c>
      <c r="E226" s="103">
        <f t="shared" si="262"/>
        <v>0.27102951130562075</v>
      </c>
      <c r="F226" s="103">
        <f t="shared" si="262"/>
        <v>0.27912163736417261</v>
      </c>
      <c r="G226" s="103">
        <f t="shared" si="262"/>
        <v>0.28802347693939467</v>
      </c>
      <c r="H226" s="103">
        <f t="shared" si="262"/>
        <v>0.30077604512475714</v>
      </c>
      <c r="I226" s="103">
        <f t="shared" si="262"/>
        <v>0.30700319636672241</v>
      </c>
      <c r="J226" s="103">
        <f t="shared" si="262"/>
        <v>0.30601989889783399</v>
      </c>
      <c r="K226" s="103">
        <f t="shared" si="262"/>
        <v>0.3018437436391242</v>
      </c>
      <c r="L226" s="103">
        <f t="shared" ref="L226" si="263">IF(L8=0,0,L8/L$4)</f>
        <v>0.29801913968717719</v>
      </c>
      <c r="M226" s="103">
        <f t="shared" ref="M226:V226" si="264">IF(M8=0,0,M8/M$4)</f>
        <v>0.29540459824179421</v>
      </c>
      <c r="N226" s="103">
        <f t="shared" si="264"/>
        <v>0.30543336079053263</v>
      </c>
      <c r="O226" s="103">
        <f t="shared" si="264"/>
        <v>0.30521878815294812</v>
      </c>
      <c r="P226" s="103">
        <f t="shared" si="264"/>
        <v>0.30901674098898663</v>
      </c>
      <c r="Q226" s="103">
        <f t="shared" si="264"/>
        <v>0.30508515779997042</v>
      </c>
      <c r="R226" s="103">
        <f t="shared" si="264"/>
        <v>0.2921439742931311</v>
      </c>
      <c r="S226" s="103">
        <f t="shared" si="264"/>
        <v>0.28217785859416222</v>
      </c>
      <c r="T226" s="103">
        <f t="shared" si="264"/>
        <v>0.26746025666179563</v>
      </c>
      <c r="U226" s="103">
        <f t="shared" si="264"/>
        <v>0.24238681009216848</v>
      </c>
      <c r="V226" s="103">
        <f t="shared" si="264"/>
        <v>0.20086983774481426</v>
      </c>
      <c r="W226" s="103">
        <f t="shared" ref="W226" si="265">IF(W8=0,0,W8/W$4)</f>
        <v>0.23350389268226321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7.9841944792710853E-2</v>
      </c>
      <c r="C227" s="103">
        <f t="shared" si="266"/>
        <v>7.784208595645388E-2</v>
      </c>
      <c r="D227" s="103">
        <f t="shared" si="266"/>
        <v>7.3601517867432451E-2</v>
      </c>
      <c r="E227" s="103">
        <f t="shared" si="266"/>
        <v>6.820830144271306E-2</v>
      </c>
      <c r="F227" s="103">
        <f t="shared" si="266"/>
        <v>6.5188500699706942E-2</v>
      </c>
      <c r="G227" s="103">
        <f t="shared" si="266"/>
        <v>5.9669917805803302E-2</v>
      </c>
      <c r="H227" s="103">
        <f t="shared" si="266"/>
        <v>5.4492050649788501E-2</v>
      </c>
      <c r="I227" s="103">
        <f t="shared" si="266"/>
        <v>4.9178421368721845E-2</v>
      </c>
      <c r="J227" s="103">
        <f t="shared" si="266"/>
        <v>4.3450492742368979E-2</v>
      </c>
      <c r="K227" s="103">
        <f t="shared" si="266"/>
        <v>3.876700938907611E-2</v>
      </c>
      <c r="L227" s="103">
        <f t="shared" ref="L227" si="267">IF(L9=0,0,L9/L$4)</f>
        <v>3.5007978991016049E-2</v>
      </c>
      <c r="M227" s="103">
        <f t="shared" ref="M227:V227" si="268">IF(M9=0,0,M9/M$4)</f>
        <v>2.9713385920197403E-2</v>
      </c>
      <c r="N227" s="103">
        <f t="shared" si="268"/>
        <v>2.5776983780743671E-2</v>
      </c>
      <c r="O227" s="103">
        <f t="shared" si="268"/>
        <v>2.5122254809626047E-2</v>
      </c>
      <c r="P227" s="103">
        <f t="shared" si="268"/>
        <v>2.2905714508079395E-2</v>
      </c>
      <c r="Q227" s="103">
        <f t="shared" si="268"/>
        <v>2.0717219663521389E-2</v>
      </c>
      <c r="R227" s="103">
        <f t="shared" si="268"/>
        <v>1.7594172747234564E-2</v>
      </c>
      <c r="S227" s="103">
        <f t="shared" si="268"/>
        <v>1.6243467943791536E-2</v>
      </c>
      <c r="T227" s="103">
        <f t="shared" si="268"/>
        <v>1.4558810878573709E-2</v>
      </c>
      <c r="U227" s="103">
        <f t="shared" si="268"/>
        <v>1.5604045456241741E-2</v>
      </c>
      <c r="V227" s="103">
        <f t="shared" si="268"/>
        <v>1.4800828704364857E-2</v>
      </c>
      <c r="W227" s="103">
        <f t="shared" ref="W227" si="269">IF(W9=0,0,W9/W$4)</f>
        <v>1.3055673059890813E-2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2.4174163951154759E-5</v>
      </c>
      <c r="M228" s="103">
        <f t="shared" ref="M228:V228" si="272">IF(M10=0,0,M10/M$4)</f>
        <v>1.1148511140065813E-4</v>
      </c>
      <c r="N228" s="103">
        <f t="shared" si="272"/>
        <v>9.6169106332548687E-4</v>
      </c>
      <c r="O228" s="103">
        <f t="shared" si="272"/>
        <v>1.0860831959150533E-3</v>
      </c>
      <c r="P228" s="103">
        <f t="shared" si="272"/>
        <v>1.610906040226727E-3</v>
      </c>
      <c r="Q228" s="103">
        <f t="shared" si="272"/>
        <v>1.6769541135619073E-3</v>
      </c>
      <c r="R228" s="103">
        <f t="shared" si="272"/>
        <v>5.0910373551523423E-4</v>
      </c>
      <c r="S228" s="103">
        <f t="shared" si="272"/>
        <v>5.8612201993607147E-4</v>
      </c>
      <c r="T228" s="103">
        <f t="shared" si="272"/>
        <v>1.6463495351527889E-3</v>
      </c>
      <c r="U228" s="103">
        <f t="shared" si="272"/>
        <v>1.6117621972285604E-3</v>
      </c>
      <c r="V228" s="103">
        <f t="shared" si="272"/>
        <v>1.5580889542564703E-3</v>
      </c>
      <c r="W228" s="103">
        <f t="shared" ref="W228" si="273">IF(W10=0,0,W10/W$4)</f>
        <v>1.3437828406172641E-3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1.4618730219033232E-6</v>
      </c>
      <c r="N229" s="103">
        <f t="shared" si="276"/>
        <v>4.3600513472718297E-4</v>
      </c>
      <c r="O229" s="103">
        <f t="shared" si="276"/>
        <v>2.4238741480361154E-3</v>
      </c>
      <c r="P229" s="103">
        <f t="shared" si="276"/>
        <v>3.5459379403684614E-3</v>
      </c>
      <c r="Q229" s="103">
        <f t="shared" si="276"/>
        <v>7.5743462913426965E-3</v>
      </c>
      <c r="R229" s="103">
        <f t="shared" si="276"/>
        <v>8.723579355147398E-3</v>
      </c>
      <c r="S229" s="103">
        <f t="shared" si="276"/>
        <v>8.2523160051468977E-3</v>
      </c>
      <c r="T229" s="103">
        <f t="shared" si="276"/>
        <v>8.2133233463991522E-3</v>
      </c>
      <c r="U229" s="103">
        <f t="shared" si="276"/>
        <v>7.9594737990028776E-3</v>
      </c>
      <c r="V229" s="103">
        <f t="shared" si="276"/>
        <v>8.9225748282574721E-3</v>
      </c>
      <c r="W229" s="103">
        <f t="shared" ref="W229" si="277">IF(W11=0,0,W11/W$4)</f>
        <v>1.2395725756585308E-2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3.8252365211299569E-6</v>
      </c>
      <c r="L230" s="103">
        <f t="shared" ref="L230" si="279">IF(L12=0,0,L12/L$4)</f>
        <v>1.1804133350175445E-5</v>
      </c>
      <c r="M230" s="103">
        <f t="shared" ref="M230:V230" si="280">IF(M12=0,0,M12/M$4)</f>
        <v>1.1446646714348114E-4</v>
      </c>
      <c r="N230" s="103">
        <f t="shared" si="280"/>
        <v>2.9796742065068302E-4</v>
      </c>
      <c r="O230" s="103">
        <f t="shared" si="280"/>
        <v>5.8652788797960704E-4</v>
      </c>
      <c r="P230" s="103">
        <f t="shared" si="280"/>
        <v>9.6344710737106167E-4</v>
      </c>
      <c r="Q230" s="103">
        <f t="shared" si="280"/>
        <v>1.3146605371983382E-3</v>
      </c>
      <c r="R230" s="103">
        <f t="shared" si="280"/>
        <v>1.75710437125555E-3</v>
      </c>
      <c r="S230" s="103">
        <f t="shared" si="280"/>
        <v>2.8414542732065041E-3</v>
      </c>
      <c r="T230" s="103">
        <f t="shared" si="280"/>
        <v>5.832339580743918E-3</v>
      </c>
      <c r="U230" s="103">
        <f t="shared" si="280"/>
        <v>1.3922246740981791E-2</v>
      </c>
      <c r="V230" s="103">
        <f t="shared" si="280"/>
        <v>2.3598149079698351E-2</v>
      </c>
      <c r="W230" s="103">
        <f t="shared" ref="W230" si="281">IF(W12=0,0,W12/W$4)</f>
        <v>3.7993455454775914E-2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3.0958943077902912E-2</v>
      </c>
      <c r="C231" s="156">
        <f t="shared" si="282"/>
        <v>3.1183277855548315E-2</v>
      </c>
      <c r="D231" s="156">
        <f t="shared" si="282"/>
        <v>2.8965695435150565E-2</v>
      </c>
      <c r="E231" s="156">
        <f t="shared" si="282"/>
        <v>2.9787776606215774E-2</v>
      </c>
      <c r="F231" s="156">
        <f t="shared" si="282"/>
        <v>2.9402518860399133E-2</v>
      </c>
      <c r="G231" s="156">
        <f t="shared" si="282"/>
        <v>3.0360695201537218E-2</v>
      </c>
      <c r="H231" s="156">
        <f t="shared" si="282"/>
        <v>3.0994391518526301E-2</v>
      </c>
      <c r="I231" s="156">
        <f t="shared" si="282"/>
        <v>3.1371680576084256E-2</v>
      </c>
      <c r="J231" s="156">
        <f t="shared" si="282"/>
        <v>3.2188312989558217E-2</v>
      </c>
      <c r="K231" s="156">
        <f t="shared" si="282"/>
        <v>3.1082925057407489E-2</v>
      </c>
      <c r="L231" s="156">
        <f t="shared" ref="L231" si="283">IF(L13=0,0,L13/L$4)</f>
        <v>3.1435297749154857E-2</v>
      </c>
      <c r="M231" s="156">
        <f t="shared" ref="M231:V231" si="284">IF(M13=0,0,M13/M$4)</f>
        <v>3.2394826626075374E-2</v>
      </c>
      <c r="N231" s="156">
        <f t="shared" si="284"/>
        <v>3.0041124653667376E-2</v>
      </c>
      <c r="O231" s="156">
        <f t="shared" si="284"/>
        <v>2.9959942224158764E-2</v>
      </c>
      <c r="P231" s="156">
        <f t="shared" si="284"/>
        <v>2.9448839539048102E-2</v>
      </c>
      <c r="Q231" s="156">
        <f t="shared" si="284"/>
        <v>3.2682528554222955E-2</v>
      </c>
      <c r="R231" s="156">
        <f t="shared" si="284"/>
        <v>3.2957130873726093E-2</v>
      </c>
      <c r="S231" s="156">
        <f t="shared" si="284"/>
        <v>3.1164092022871636E-2</v>
      </c>
      <c r="T231" s="156">
        <f t="shared" si="284"/>
        <v>3.4709162409768839E-2</v>
      </c>
      <c r="U231" s="156">
        <f t="shared" si="284"/>
        <v>3.4645824080657146E-2</v>
      </c>
      <c r="V231" s="156">
        <f t="shared" si="284"/>
        <v>2.1779063174241501E-2</v>
      </c>
      <c r="W231" s="156">
        <f t="shared" ref="W231" si="285">IF(W13=0,0,W13/W$4)</f>
        <v>2.3901953484591561E-2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3.1447037771958506E-5</v>
      </c>
      <c r="C232" s="103">
        <f t="shared" si="286"/>
        <v>3.8704478649500271E-5</v>
      </c>
      <c r="D232" s="103">
        <f t="shared" si="286"/>
        <v>4.5652343433012114E-5</v>
      </c>
      <c r="E232" s="103">
        <f t="shared" si="286"/>
        <v>5.124398186503046E-5</v>
      </c>
      <c r="F232" s="103">
        <f t="shared" si="286"/>
        <v>4.6381401975879343E-5</v>
      </c>
      <c r="G232" s="103">
        <f t="shared" si="286"/>
        <v>5.0974227907262998E-5</v>
      </c>
      <c r="H232" s="103">
        <f t="shared" si="286"/>
        <v>5.3081012600665983E-5</v>
      </c>
      <c r="I232" s="103">
        <f t="shared" si="286"/>
        <v>5.6480246296468858E-5</v>
      </c>
      <c r="J232" s="103">
        <f t="shared" si="286"/>
        <v>5.6960632433028544E-5</v>
      </c>
      <c r="K232" s="103">
        <f t="shared" si="286"/>
        <v>5.9031406947717133E-5</v>
      </c>
      <c r="L232" s="103">
        <f t="shared" ref="L232" si="287">IF(L14=0,0,L14/L$4)</f>
        <v>6.5619796181764923E-5</v>
      </c>
      <c r="M232" s="103">
        <f t="shared" ref="M232:V232" si="288">IF(M14=0,0,M14/M$4)</f>
        <v>5.3966308897363144E-5</v>
      </c>
      <c r="N232" s="103">
        <f t="shared" si="288"/>
        <v>3.3796385750910699E-5</v>
      </c>
      <c r="O232" s="103">
        <f t="shared" si="288"/>
        <v>2.8749362070576668E-5</v>
      </c>
      <c r="P232" s="103">
        <f t="shared" si="288"/>
        <v>2.6932971725269537E-5</v>
      </c>
      <c r="Q232" s="103">
        <f t="shared" si="288"/>
        <v>4.5890704378514923E-5</v>
      </c>
      <c r="R232" s="103">
        <f t="shared" si="288"/>
        <v>5.6489715790078103E-5</v>
      </c>
      <c r="S232" s="103">
        <f t="shared" si="288"/>
        <v>5.3646520131806258E-5</v>
      </c>
      <c r="T232" s="103">
        <f t="shared" si="288"/>
        <v>4.5627055378430698E-5</v>
      </c>
      <c r="U232" s="103">
        <f t="shared" si="288"/>
        <v>2.1309584015991045E-4</v>
      </c>
      <c r="V232" s="103">
        <f t="shared" si="288"/>
        <v>1.8916186216030485E-4</v>
      </c>
      <c r="W232" s="103">
        <f t="shared" ref="W232" si="289">IF(W14=0,0,W14/W$4)</f>
        <v>2.4849815517771556E-4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3.0485364865225108E-2</v>
      </c>
      <c r="C233" s="103">
        <f t="shared" si="290"/>
        <v>3.072502755662327E-2</v>
      </c>
      <c r="D233" s="103">
        <f t="shared" si="290"/>
        <v>2.852407830544109E-2</v>
      </c>
      <c r="E233" s="103">
        <f t="shared" si="290"/>
        <v>2.936944888974824E-2</v>
      </c>
      <c r="F233" s="103">
        <f t="shared" si="290"/>
        <v>2.899194005141708E-2</v>
      </c>
      <c r="G233" s="103">
        <f t="shared" si="290"/>
        <v>2.9876323303743339E-2</v>
      </c>
      <c r="H233" s="103">
        <f t="shared" si="290"/>
        <v>3.0457294509159977E-2</v>
      </c>
      <c r="I233" s="103">
        <f t="shared" si="290"/>
        <v>3.0797263565820875E-2</v>
      </c>
      <c r="J233" s="103">
        <f t="shared" si="290"/>
        <v>3.1521368212808154E-2</v>
      </c>
      <c r="K233" s="103">
        <f t="shared" si="290"/>
        <v>3.010555527808368E-2</v>
      </c>
      <c r="L233" s="103">
        <f t="shared" ref="L233" si="291">IF(L15=0,0,L15/L$4)</f>
        <v>3.0165872555303421E-2</v>
      </c>
      <c r="M233" s="103">
        <f t="shared" ref="M233:V233" si="292">IF(M15=0,0,M15/M$4)</f>
        <v>3.0410762991732017E-2</v>
      </c>
      <c r="N233" s="103">
        <f t="shared" si="292"/>
        <v>2.7685273330772572E-2</v>
      </c>
      <c r="O233" s="103">
        <f t="shared" si="292"/>
        <v>2.7350069053006697E-2</v>
      </c>
      <c r="P233" s="103">
        <f t="shared" si="292"/>
        <v>2.6628727238846194E-2</v>
      </c>
      <c r="Q233" s="103">
        <f t="shared" si="292"/>
        <v>2.8974267116272531E-2</v>
      </c>
      <c r="R233" s="103">
        <f t="shared" si="292"/>
        <v>2.8284427719695755E-2</v>
      </c>
      <c r="S233" s="103">
        <f t="shared" si="292"/>
        <v>2.6062950326652238E-2</v>
      </c>
      <c r="T233" s="103">
        <f t="shared" si="292"/>
        <v>2.8290838682449273E-2</v>
      </c>
      <c r="U233" s="103">
        <f t="shared" si="292"/>
        <v>2.6380456482301931E-2</v>
      </c>
      <c r="V233" s="103">
        <f t="shared" si="292"/>
        <v>1.476027687551903E-2</v>
      </c>
      <c r="W233" s="103">
        <f t="shared" ref="W233" si="293">IF(W15=0,0,W15/W$4)</f>
        <v>1.4500622222654127E-2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2.8415843988764634E-4</v>
      </c>
      <c r="C234" s="103">
        <f t="shared" si="294"/>
        <v>2.6974333957764158E-4</v>
      </c>
      <c r="D234" s="103">
        <f t="shared" si="294"/>
        <v>2.1904277205057451E-4</v>
      </c>
      <c r="E234" s="103">
        <f t="shared" si="294"/>
        <v>2.0806931830095755E-4</v>
      </c>
      <c r="F234" s="103">
        <f t="shared" si="294"/>
        <v>1.7774851387488324E-4</v>
      </c>
      <c r="G234" s="103">
        <f t="shared" si="294"/>
        <v>2.2671633363606028E-4</v>
      </c>
      <c r="H234" s="103">
        <f t="shared" si="294"/>
        <v>1.9103894436459207E-4</v>
      </c>
      <c r="I234" s="103">
        <f t="shared" si="294"/>
        <v>1.7202900402441928E-4</v>
      </c>
      <c r="J234" s="103">
        <f t="shared" si="294"/>
        <v>1.6875216810121983E-4</v>
      </c>
      <c r="K234" s="103">
        <f t="shared" si="294"/>
        <v>1.4744857400886133E-4</v>
      </c>
      <c r="L234" s="103">
        <f t="shared" ref="L234" si="295">IF(L16=0,0,L16/L$4)</f>
        <v>1.4324572160799348E-4</v>
      </c>
      <c r="M234" s="103">
        <f t="shared" ref="M234:V234" si="296">IF(M16=0,0,M16/M$4)</f>
        <v>1.4446238123585594E-4</v>
      </c>
      <c r="N234" s="103">
        <f t="shared" si="296"/>
        <v>1.3155075085882976E-4</v>
      </c>
      <c r="O234" s="103">
        <f t="shared" si="296"/>
        <v>1.34446233066547E-4</v>
      </c>
      <c r="P234" s="103">
        <f t="shared" si="296"/>
        <v>1.3459970300811166E-4</v>
      </c>
      <c r="Q234" s="103">
        <f t="shared" si="296"/>
        <v>1.5697200431470602E-4</v>
      </c>
      <c r="R234" s="103">
        <f t="shared" si="296"/>
        <v>1.6213934788374156E-4</v>
      </c>
      <c r="S234" s="103">
        <f t="shared" si="296"/>
        <v>1.445145528154444E-4</v>
      </c>
      <c r="T234" s="103">
        <f t="shared" si="296"/>
        <v>1.5798395344028703E-4</v>
      </c>
      <c r="U234" s="103">
        <f t="shared" si="296"/>
        <v>1.4753022031035573E-4</v>
      </c>
      <c r="V234" s="103">
        <f t="shared" si="296"/>
        <v>9.1393130247817967E-5</v>
      </c>
      <c r="W234" s="103">
        <f t="shared" ref="W234" si="297">IF(W16=0,0,W16/W$4)</f>
        <v>1.0293467896472529E-4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1.5441015407769055E-5</v>
      </c>
      <c r="C235" s="103">
        <f t="shared" si="298"/>
        <v>2.2747247545673339E-5</v>
      </c>
      <c r="D235" s="103">
        <f t="shared" si="298"/>
        <v>4.269545737962591E-5</v>
      </c>
      <c r="E235" s="103">
        <f t="shared" si="298"/>
        <v>3.8419888268934894E-5</v>
      </c>
      <c r="F235" s="103">
        <f t="shared" si="298"/>
        <v>3.5306738474904623E-5</v>
      </c>
      <c r="G235" s="103">
        <f t="shared" si="298"/>
        <v>4.6229559709574086E-5</v>
      </c>
      <c r="H235" s="103">
        <f t="shared" si="298"/>
        <v>1.2573260286159399E-4</v>
      </c>
      <c r="I235" s="103">
        <f t="shared" si="298"/>
        <v>1.7742822384178477E-4</v>
      </c>
      <c r="J235" s="103">
        <f t="shared" si="298"/>
        <v>3.0447426269091394E-4</v>
      </c>
      <c r="K235" s="103">
        <f t="shared" si="298"/>
        <v>6.1729585418538423E-4</v>
      </c>
      <c r="L235" s="103">
        <f t="shared" ref="L235" si="299">IF(L17=0,0,L17/L$4)</f>
        <v>8.2651227514322998E-4</v>
      </c>
      <c r="M235" s="103">
        <f t="shared" ref="M235:V235" si="300">IF(M17=0,0,M17/M$4)</f>
        <v>1.5520366369636412E-3</v>
      </c>
      <c r="N235" s="103">
        <f t="shared" si="300"/>
        <v>1.9696100588661794E-3</v>
      </c>
      <c r="O235" s="103">
        <f t="shared" si="300"/>
        <v>2.2558475816480844E-3</v>
      </c>
      <c r="P235" s="103">
        <f t="shared" si="300"/>
        <v>2.4453711819506741E-3</v>
      </c>
      <c r="Q235" s="103">
        <f t="shared" si="300"/>
        <v>3.2229069194929989E-3</v>
      </c>
      <c r="R235" s="103">
        <f t="shared" si="300"/>
        <v>3.974742841038467E-3</v>
      </c>
      <c r="S235" s="103">
        <f t="shared" si="300"/>
        <v>4.1015141781970098E-3</v>
      </c>
      <c r="T235" s="103">
        <f t="shared" si="300"/>
        <v>4.9633814612644774E-3</v>
      </c>
      <c r="U235" s="103">
        <f t="shared" si="300"/>
        <v>5.4193983166077224E-3</v>
      </c>
      <c r="V235" s="103">
        <f t="shared" si="300"/>
        <v>4.1719438629722076E-3</v>
      </c>
      <c r="W235" s="103">
        <f t="shared" ref="W235" si="301">IF(W17=0,0,W17/W$4)</f>
        <v>5.3562939317016939E-3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1.4253171961044276E-4</v>
      </c>
      <c r="C236" s="103">
        <f t="shared" si="302"/>
        <v>1.2705523315223021E-4</v>
      </c>
      <c r="D236" s="103">
        <f t="shared" si="302"/>
        <v>1.3422655684626572E-4</v>
      </c>
      <c r="E236" s="103">
        <f t="shared" si="302"/>
        <v>1.2059452803261365E-4</v>
      </c>
      <c r="F236" s="103">
        <f t="shared" si="302"/>
        <v>1.511421546563876E-4</v>
      </c>
      <c r="G236" s="103">
        <f t="shared" si="302"/>
        <v>1.6045177654097802E-4</v>
      </c>
      <c r="H236" s="103">
        <f t="shared" si="302"/>
        <v>1.6724444953947521E-4</v>
      </c>
      <c r="I236" s="103">
        <f t="shared" si="302"/>
        <v>1.6847953610071357E-4</v>
      </c>
      <c r="J236" s="103">
        <f t="shared" si="302"/>
        <v>1.3675771352490774E-4</v>
      </c>
      <c r="K236" s="103">
        <f t="shared" si="302"/>
        <v>1.5359394418184706E-4</v>
      </c>
      <c r="L236" s="103">
        <f t="shared" ref="L236" si="303">IF(L18=0,0,L18/L$4)</f>
        <v>2.3404740091845122E-4</v>
      </c>
      <c r="M236" s="103">
        <f t="shared" ref="M236:V236" si="304">IF(M18=0,0,M18/M$4)</f>
        <v>2.335983072464948E-4</v>
      </c>
      <c r="N236" s="103">
        <f t="shared" si="304"/>
        <v>2.2089412741888435E-4</v>
      </c>
      <c r="O236" s="103">
        <f t="shared" si="304"/>
        <v>1.9082999436685692E-4</v>
      </c>
      <c r="P236" s="103">
        <f t="shared" si="304"/>
        <v>2.1320844351785121E-4</v>
      </c>
      <c r="Q236" s="103">
        <f t="shared" si="304"/>
        <v>2.824918097642035E-4</v>
      </c>
      <c r="R236" s="103">
        <f t="shared" si="304"/>
        <v>4.7933124931804754E-4</v>
      </c>
      <c r="S236" s="103">
        <f t="shared" si="304"/>
        <v>8.0146644507513921E-4</v>
      </c>
      <c r="T236" s="103">
        <f t="shared" si="304"/>
        <v>1.2513312572363725E-3</v>
      </c>
      <c r="U236" s="103">
        <f t="shared" si="304"/>
        <v>2.4853432212772275E-3</v>
      </c>
      <c r="V236" s="103">
        <f t="shared" si="304"/>
        <v>2.5662874433421412E-3</v>
      </c>
      <c r="W236" s="103">
        <f t="shared" ref="W236" si="305">IF(W18=0,0,W18/W$4)</f>
        <v>3.6936044960933011E-3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6.4663575769359216E-2</v>
      </c>
      <c r="C238" s="154">
        <f t="shared" si="310"/>
        <v>7.0127500224247546E-2</v>
      </c>
      <c r="D238" s="154">
        <f t="shared" si="310"/>
        <v>7.3054210139540735E-2</v>
      </c>
      <c r="E238" s="154">
        <f t="shared" si="310"/>
        <v>7.3891366595467051E-2</v>
      </c>
      <c r="F238" s="154">
        <f t="shared" si="310"/>
        <v>7.1242452582647289E-2</v>
      </c>
      <c r="G238" s="154">
        <f t="shared" si="310"/>
        <v>7.478755057165784E-2</v>
      </c>
      <c r="H238" s="154">
        <f t="shared" si="310"/>
        <v>7.3935378125974158E-2</v>
      </c>
      <c r="I238" s="154">
        <f t="shared" si="310"/>
        <v>7.4704873228749857E-2</v>
      </c>
      <c r="J238" s="154">
        <f t="shared" si="310"/>
        <v>7.4108566221770256E-2</v>
      </c>
      <c r="K238" s="154">
        <f t="shared" si="310"/>
        <v>7.4460682279069712E-2</v>
      </c>
      <c r="L238" s="154">
        <f t="shared" ref="L238" si="311">IF(L20=0,0,L20/L$19)</f>
        <v>7.4708718985631653E-2</v>
      </c>
      <c r="M238" s="154">
        <f t="shared" ref="M238:V238" si="312">IF(M20=0,0,M20/M$19)</f>
        <v>7.5666085413206019E-2</v>
      </c>
      <c r="N238" s="154">
        <f t="shared" si="312"/>
        <v>7.607394716157502E-2</v>
      </c>
      <c r="O238" s="154">
        <f t="shared" si="312"/>
        <v>6.8526872339385717E-2</v>
      </c>
      <c r="P238" s="154">
        <f t="shared" si="312"/>
        <v>6.5908247559520905E-2</v>
      </c>
      <c r="Q238" s="154">
        <f t="shared" si="312"/>
        <v>6.8191100310137615E-2</v>
      </c>
      <c r="R238" s="154">
        <f t="shared" si="312"/>
        <v>6.6262139450861943E-2</v>
      </c>
      <c r="S238" s="154">
        <f t="shared" si="312"/>
        <v>6.8309765826027921E-2</v>
      </c>
      <c r="T238" s="154">
        <f t="shared" si="312"/>
        <v>6.7804186389274379E-2</v>
      </c>
      <c r="U238" s="154">
        <f t="shared" si="312"/>
        <v>6.6568066303368756E-2</v>
      </c>
      <c r="V238" s="154">
        <f t="shared" si="312"/>
        <v>6.5359011320211768E-2</v>
      </c>
      <c r="W238" s="154">
        <f t="shared" ref="W238" si="313">IF(W20=0,0,W20/W$19)</f>
        <v>6.5437971361389027E-2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2.0596010966831657E-3</v>
      </c>
      <c r="C239" s="103">
        <f t="shared" si="314"/>
        <v>1.856883219006269E-3</v>
      </c>
      <c r="D239" s="103">
        <f t="shared" si="314"/>
        <v>1.6440841623983563E-3</v>
      </c>
      <c r="E239" s="103">
        <f t="shared" si="314"/>
        <v>1.426596120869632E-3</v>
      </c>
      <c r="F239" s="103">
        <f t="shared" si="314"/>
        <v>1.2008478344200594E-3</v>
      </c>
      <c r="G239" s="103">
        <f t="shared" si="314"/>
        <v>1.1713792706800254E-3</v>
      </c>
      <c r="H239" s="103">
        <f t="shared" si="314"/>
        <v>1.0387185866623037E-3</v>
      </c>
      <c r="I239" s="103">
        <f t="shared" si="314"/>
        <v>9.5954943704279027E-4</v>
      </c>
      <c r="J239" s="103">
        <f t="shared" si="314"/>
        <v>8.8121401696163366E-4</v>
      </c>
      <c r="K239" s="103">
        <f t="shared" si="314"/>
        <v>8.5740571346429892E-4</v>
      </c>
      <c r="L239" s="103">
        <f t="shared" ref="L239" si="315">IF(L21=0,0,L21/L$19)</f>
        <v>8.1113409405670278E-4</v>
      </c>
      <c r="M239" s="103">
        <f t="shared" ref="M239:V239" si="316">IF(M21=0,0,M21/M$19)</f>
        <v>7.7268634304744925E-4</v>
      </c>
      <c r="N239" s="103">
        <f t="shared" si="316"/>
        <v>7.6713589576389476E-4</v>
      </c>
      <c r="O239" s="103">
        <f t="shared" si="316"/>
        <v>6.4610614149625527E-4</v>
      </c>
      <c r="P239" s="103">
        <f t="shared" si="316"/>
        <v>6.4901708780546678E-4</v>
      </c>
      <c r="Q239" s="103">
        <f t="shared" si="316"/>
        <v>6.5853735264613511E-4</v>
      </c>
      <c r="R239" s="103">
        <f t="shared" si="316"/>
        <v>6.3749872266405882E-4</v>
      </c>
      <c r="S239" s="103">
        <f t="shared" si="316"/>
        <v>6.5617841546837042E-4</v>
      </c>
      <c r="T239" s="103">
        <f t="shared" si="316"/>
        <v>6.2060444573330147E-4</v>
      </c>
      <c r="U239" s="103">
        <f t="shared" si="316"/>
        <v>6.699681035077492E-4</v>
      </c>
      <c r="V239" s="103">
        <f t="shared" si="316"/>
        <v>6.925095259760945E-4</v>
      </c>
      <c r="W239" s="103">
        <f t="shared" ref="W239" si="317">IF(W21=0,0,W21/W$19)</f>
        <v>7.0203342287791359E-4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6.1898340570861736E-2</v>
      </c>
      <c r="C240" s="103">
        <f t="shared" si="318"/>
        <v>6.7575217595371495E-2</v>
      </c>
      <c r="D240" s="103">
        <f t="shared" si="318"/>
        <v>7.0739141080789408E-2</v>
      </c>
      <c r="E240" s="103">
        <f t="shared" si="318"/>
        <v>7.1839733937888561E-2</v>
      </c>
      <c r="F240" s="103">
        <f t="shared" si="318"/>
        <v>6.9483317345376022E-2</v>
      </c>
      <c r="G240" s="103">
        <f t="shared" si="318"/>
        <v>7.3123498209688192E-2</v>
      </c>
      <c r="H240" s="103">
        <f t="shared" si="318"/>
        <v>7.2444105271661396E-2</v>
      </c>
      <c r="I240" s="103">
        <f t="shared" si="318"/>
        <v>7.3282069879743894E-2</v>
      </c>
      <c r="J240" s="103">
        <f t="shared" si="318"/>
        <v>7.2772592093394303E-2</v>
      </c>
      <c r="K240" s="103">
        <f t="shared" si="318"/>
        <v>7.3124584356812378E-2</v>
      </c>
      <c r="L240" s="103">
        <f t="shared" ref="L240" si="319">IF(L22=0,0,L22/L$19)</f>
        <v>7.3408850798017178E-2</v>
      </c>
      <c r="M240" s="103">
        <f t="shared" ref="M240:V240" si="320">IF(M22=0,0,M22/M$19)</f>
        <v>7.4388448967129525E-2</v>
      </c>
      <c r="N240" s="103">
        <f t="shared" si="320"/>
        <v>7.4754814276522613E-2</v>
      </c>
      <c r="O240" s="103">
        <f t="shared" si="320"/>
        <v>6.7341470752513052E-2</v>
      </c>
      <c r="P240" s="103">
        <f t="shared" si="320"/>
        <v>6.4677818440426055E-2</v>
      </c>
      <c r="Q240" s="103">
        <f t="shared" si="320"/>
        <v>6.6932831353351457E-2</v>
      </c>
      <c r="R240" s="103">
        <f t="shared" si="320"/>
        <v>6.5089909900949358E-2</v>
      </c>
      <c r="S240" s="103">
        <f t="shared" si="320"/>
        <v>6.7052372360621906E-2</v>
      </c>
      <c r="T240" s="103">
        <f t="shared" si="320"/>
        <v>6.6447771100995576E-2</v>
      </c>
      <c r="U240" s="103">
        <f t="shared" si="320"/>
        <v>6.5016035886701226E-2</v>
      </c>
      <c r="V240" s="103">
        <f t="shared" si="320"/>
        <v>6.3715494748560891E-2</v>
      </c>
      <c r="W240" s="103">
        <f t="shared" ref="W240" si="321">IF(W22=0,0,W22/W$19)</f>
        <v>6.3725916782434611E-2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7.0563410181431838E-4</v>
      </c>
      <c r="C241" s="103">
        <f t="shared" si="322"/>
        <v>6.9539940986977514E-4</v>
      </c>
      <c r="D241" s="103">
        <f t="shared" si="322"/>
        <v>6.7098489635296311E-4</v>
      </c>
      <c r="E241" s="103">
        <f t="shared" si="322"/>
        <v>6.2107044499726911E-4</v>
      </c>
      <c r="F241" s="103">
        <f t="shared" si="322"/>
        <v>5.481472524036052E-4</v>
      </c>
      <c r="G241" s="103">
        <f t="shared" si="322"/>
        <v>4.8308025180890233E-4</v>
      </c>
      <c r="H241" s="103">
        <f t="shared" si="322"/>
        <v>4.4324033599285438E-4</v>
      </c>
      <c r="I241" s="103">
        <f t="shared" si="322"/>
        <v>4.416210214099836E-4</v>
      </c>
      <c r="J241" s="103">
        <f t="shared" si="322"/>
        <v>4.3350309786538524E-4</v>
      </c>
      <c r="K241" s="103">
        <f t="shared" si="322"/>
        <v>4.4269758165477586E-4</v>
      </c>
      <c r="L241" s="103">
        <f t="shared" ref="L241" si="323">IF(L23=0,0,L23/L$19)</f>
        <v>4.3797714956323591E-4</v>
      </c>
      <c r="M241" s="103">
        <f t="shared" ref="M241:V241" si="324">IF(M23=0,0,M23/M$19)</f>
        <v>4.3876861774202661E-4</v>
      </c>
      <c r="N241" s="103">
        <f t="shared" si="324"/>
        <v>4.5238164391018485E-4</v>
      </c>
      <c r="O241" s="103">
        <f t="shared" si="324"/>
        <v>4.1869896496221447E-4</v>
      </c>
      <c r="P241" s="103">
        <f t="shared" si="324"/>
        <v>4.180483265537521E-4</v>
      </c>
      <c r="Q241" s="103">
        <f t="shared" si="324"/>
        <v>4.1893750206031425E-4</v>
      </c>
      <c r="R241" s="103">
        <f t="shared" si="324"/>
        <v>4.0154794753233193E-4</v>
      </c>
      <c r="S241" s="103">
        <f t="shared" si="324"/>
        <v>4.1468008267604814E-4</v>
      </c>
      <c r="T241" s="103">
        <f t="shared" si="324"/>
        <v>4.3457349114474098E-4</v>
      </c>
      <c r="U241" s="103">
        <f t="shared" si="324"/>
        <v>5.2842986867686239E-4</v>
      </c>
      <c r="V241" s="103">
        <f t="shared" si="324"/>
        <v>5.298270997304204E-4</v>
      </c>
      <c r="W241" s="103">
        <f t="shared" ref="W241" si="325">IF(W23=0,0,W23/W$19)</f>
        <v>4.6916199814079712E-4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3.9660917115888507E-6</v>
      </c>
      <c r="F242" s="103">
        <f t="shared" si="326"/>
        <v>1.0140150447600053E-5</v>
      </c>
      <c r="G242" s="103">
        <f t="shared" si="326"/>
        <v>9.5928394807164433E-6</v>
      </c>
      <c r="H242" s="103">
        <f t="shared" si="326"/>
        <v>9.3139316575991706E-6</v>
      </c>
      <c r="I242" s="103">
        <f t="shared" si="326"/>
        <v>2.1632890553180572E-5</v>
      </c>
      <c r="J242" s="103">
        <f t="shared" si="326"/>
        <v>2.1257013548929485E-5</v>
      </c>
      <c r="K242" s="103">
        <f t="shared" si="326"/>
        <v>3.599462713825697E-5</v>
      </c>
      <c r="L242" s="103">
        <f t="shared" ref="L242" si="327">IF(L24=0,0,L24/L$19)</f>
        <v>5.075694399454797E-5</v>
      </c>
      <c r="M242" s="103">
        <f t="shared" ref="M242:V242" si="328">IF(M24=0,0,M24/M$19)</f>
        <v>6.5355099644901719E-5</v>
      </c>
      <c r="N242" s="103">
        <f t="shared" si="328"/>
        <v>7.8293057260956329E-5</v>
      </c>
      <c r="O242" s="103">
        <f t="shared" si="328"/>
        <v>8.7029404038231159E-5</v>
      </c>
      <c r="P242" s="103">
        <f t="shared" si="328"/>
        <v>1.0068644625449055E-4</v>
      </c>
      <c r="Q242" s="103">
        <f t="shared" si="328"/>
        <v>1.0843363105398317E-4</v>
      </c>
      <c r="R242" s="103">
        <f t="shared" si="328"/>
        <v>6.0767399903618266E-5</v>
      </c>
      <c r="S242" s="103">
        <f t="shared" si="328"/>
        <v>8.4750816880825841E-5</v>
      </c>
      <c r="T242" s="103">
        <f t="shared" si="328"/>
        <v>1.5658114679729596E-4</v>
      </c>
      <c r="U242" s="103">
        <f t="shared" si="328"/>
        <v>1.5851773475311816E-4</v>
      </c>
      <c r="V242" s="103">
        <f t="shared" si="328"/>
        <v>1.5972992347571292E-4</v>
      </c>
      <c r="W242" s="103">
        <f t="shared" ref="W242" si="329">IF(W24=0,0,W24/W$19)</f>
        <v>1.4703683580031393E-4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8.2638564211464109E-7</v>
      </c>
      <c r="N243" s="103">
        <f t="shared" si="332"/>
        <v>2.1322288117382244E-5</v>
      </c>
      <c r="O243" s="103">
        <f t="shared" si="332"/>
        <v>3.3567076375966775E-5</v>
      </c>
      <c r="P243" s="103">
        <f t="shared" si="332"/>
        <v>6.2677258481128262E-5</v>
      </c>
      <c r="Q243" s="103">
        <f t="shared" si="332"/>
        <v>7.2360471025728206E-5</v>
      </c>
      <c r="R243" s="103">
        <f t="shared" si="332"/>
        <v>7.2415479812577098E-5</v>
      </c>
      <c r="S243" s="103">
        <f t="shared" si="332"/>
        <v>1.0178415038076464E-4</v>
      </c>
      <c r="T243" s="103">
        <f t="shared" si="332"/>
        <v>1.4465620460345427E-4</v>
      </c>
      <c r="U243" s="103">
        <f t="shared" si="332"/>
        <v>1.9511470972979195E-4</v>
      </c>
      <c r="V243" s="103">
        <f t="shared" si="332"/>
        <v>2.6145002246864672E-4</v>
      </c>
      <c r="W243" s="103">
        <f t="shared" ref="W243" si="333">IF(W25=0,0,W25/W$19)</f>
        <v>3.9382232213539561E-4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0.93533642423064078</v>
      </c>
      <c r="C244" s="156">
        <f t="shared" si="334"/>
        <v>0.92987249977575237</v>
      </c>
      <c r="D244" s="156">
        <f t="shared" si="334"/>
        <v>0.92694578986045917</v>
      </c>
      <c r="E244" s="156">
        <f t="shared" si="334"/>
        <v>0.92610863340453287</v>
      </c>
      <c r="F244" s="156">
        <f t="shared" si="334"/>
        <v>0.92875754741735272</v>
      </c>
      <c r="G244" s="156">
        <f t="shared" si="334"/>
        <v>0.92521244942834224</v>
      </c>
      <c r="H244" s="156">
        <f t="shared" si="334"/>
        <v>0.92606462187402594</v>
      </c>
      <c r="I244" s="156">
        <f t="shared" si="334"/>
        <v>0.92529512677125014</v>
      </c>
      <c r="J244" s="156">
        <f t="shared" si="334"/>
        <v>0.9258914337782298</v>
      </c>
      <c r="K244" s="156">
        <f t="shared" si="334"/>
        <v>0.92553931772093023</v>
      </c>
      <c r="L244" s="156">
        <f t="shared" ref="L244" si="335">IF(L26=0,0,L26/L$19)</f>
        <v>0.92529128101436831</v>
      </c>
      <c r="M244" s="156">
        <f t="shared" ref="M244:V244" si="336">IF(M26=0,0,M26/M$19)</f>
        <v>0.92433391458679404</v>
      </c>
      <c r="N244" s="156">
        <f t="shared" si="336"/>
        <v>0.92392605283842488</v>
      </c>
      <c r="O244" s="156">
        <f t="shared" si="336"/>
        <v>0.9314731276606143</v>
      </c>
      <c r="P244" s="156">
        <f t="shared" si="336"/>
        <v>0.93409175244047904</v>
      </c>
      <c r="Q244" s="156">
        <f t="shared" si="336"/>
        <v>0.93180889968986236</v>
      </c>
      <c r="R244" s="156">
        <f t="shared" si="336"/>
        <v>0.93373786054913799</v>
      </c>
      <c r="S244" s="156">
        <f t="shared" si="336"/>
        <v>0.93169023417397212</v>
      </c>
      <c r="T244" s="156">
        <f t="shared" si="336"/>
        <v>0.93219581361072568</v>
      </c>
      <c r="U244" s="156">
        <f t="shared" si="336"/>
        <v>0.93343193369663124</v>
      </c>
      <c r="V244" s="156">
        <f t="shared" si="336"/>
        <v>0.93464098867978829</v>
      </c>
      <c r="W244" s="156">
        <f t="shared" ref="W244" si="337">IF(W26=0,0,W26/W$19)</f>
        <v>0.93456202863861093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0.66329276565611806</v>
      </c>
      <c r="C245" s="103">
        <f t="shared" si="338"/>
        <v>0.64264058805669599</v>
      </c>
      <c r="D245" s="103">
        <f t="shared" si="338"/>
        <v>0.62424042277021363</v>
      </c>
      <c r="E245" s="103">
        <f t="shared" si="338"/>
        <v>0.63042321970774684</v>
      </c>
      <c r="F245" s="103">
        <f t="shared" si="338"/>
        <v>0.61512920002213733</v>
      </c>
      <c r="G245" s="103">
        <f t="shared" si="338"/>
        <v>0.59193833877356417</v>
      </c>
      <c r="H245" s="103">
        <f t="shared" si="338"/>
        <v>0.57337226984945933</v>
      </c>
      <c r="I245" s="103">
        <f t="shared" si="338"/>
        <v>0.56804193655684931</v>
      </c>
      <c r="J245" s="103">
        <f t="shared" si="338"/>
        <v>0.57693328570318203</v>
      </c>
      <c r="K245" s="103">
        <f t="shared" si="338"/>
        <v>0.59213898368090057</v>
      </c>
      <c r="L245" s="103">
        <f t="shared" ref="L245" si="339">IF(L27=0,0,L27/L$19)</f>
        <v>0.56574231696084765</v>
      </c>
      <c r="M245" s="103">
        <f t="shared" ref="M245:V245" si="340">IF(M27=0,0,M27/M$19)</f>
        <v>0.57041141809252083</v>
      </c>
      <c r="N245" s="103">
        <f t="shared" si="340"/>
        <v>0.563875269640011</v>
      </c>
      <c r="O245" s="103">
        <f t="shared" si="340"/>
        <v>0.58994608555232975</v>
      </c>
      <c r="P245" s="103">
        <f t="shared" si="340"/>
        <v>0.58451048212891654</v>
      </c>
      <c r="Q245" s="103">
        <f t="shared" si="340"/>
        <v>0.57971609727980045</v>
      </c>
      <c r="R245" s="103">
        <f t="shared" si="340"/>
        <v>0.58011048941648724</v>
      </c>
      <c r="S245" s="103">
        <f t="shared" si="340"/>
        <v>0.56950477442957192</v>
      </c>
      <c r="T245" s="103">
        <f t="shared" si="340"/>
        <v>0.57984321080583723</v>
      </c>
      <c r="U245" s="103">
        <f t="shared" si="340"/>
        <v>0.57907714894279028</v>
      </c>
      <c r="V245" s="103">
        <f t="shared" si="340"/>
        <v>0.57055398218390529</v>
      </c>
      <c r="W245" s="103">
        <f t="shared" ref="W245" si="341">IF(W27=0,0,W27/W$19)</f>
        <v>0.58236954700639143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0.27204365857452267</v>
      </c>
      <c r="C246" s="105">
        <f t="shared" si="342"/>
        <v>0.28723191171905643</v>
      </c>
      <c r="D246" s="105">
        <f t="shared" si="342"/>
        <v>0.30270536709024559</v>
      </c>
      <c r="E246" s="105">
        <f t="shared" si="342"/>
        <v>0.29568541369678603</v>
      </c>
      <c r="F246" s="105">
        <f t="shared" si="342"/>
        <v>0.31362834739521545</v>
      </c>
      <c r="G246" s="105">
        <f t="shared" si="342"/>
        <v>0.33327411065477802</v>
      </c>
      <c r="H246" s="105">
        <f t="shared" si="342"/>
        <v>0.35269235202456656</v>
      </c>
      <c r="I246" s="105">
        <f t="shared" si="342"/>
        <v>0.35725319021440088</v>
      </c>
      <c r="J246" s="105">
        <f t="shared" si="342"/>
        <v>0.34895814807504771</v>
      </c>
      <c r="K246" s="105">
        <f t="shared" si="342"/>
        <v>0.33340033404002967</v>
      </c>
      <c r="L246" s="105">
        <f t="shared" ref="L246" si="343">IF(L28=0,0,L28/L$19)</f>
        <v>0.35954896405352066</v>
      </c>
      <c r="M246" s="105">
        <f t="shared" ref="M246:V246" si="344">IF(M28=0,0,M28/M$19)</f>
        <v>0.35392249649427326</v>
      </c>
      <c r="N246" s="105">
        <f t="shared" si="344"/>
        <v>0.36005078319841388</v>
      </c>
      <c r="O246" s="105">
        <f t="shared" si="344"/>
        <v>0.34152704210828455</v>
      </c>
      <c r="P246" s="105">
        <f t="shared" si="344"/>
        <v>0.3495812703115625</v>
      </c>
      <c r="Q246" s="105">
        <f t="shared" si="344"/>
        <v>0.35209280241006197</v>
      </c>
      <c r="R246" s="105">
        <f t="shared" si="344"/>
        <v>0.3536273711326508</v>
      </c>
      <c r="S246" s="105">
        <f t="shared" si="344"/>
        <v>0.36218545974440008</v>
      </c>
      <c r="T246" s="105">
        <f t="shared" si="344"/>
        <v>0.35235260280488839</v>
      </c>
      <c r="U246" s="105">
        <f t="shared" si="344"/>
        <v>0.35435478475384102</v>
      </c>
      <c r="V246" s="105">
        <f t="shared" si="344"/>
        <v>0.36408700649588294</v>
      </c>
      <c r="W246" s="105">
        <f t="shared" ref="W246" si="345">IF(W28=0,0,W28/W$19)</f>
        <v>0.35219248163221956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3.1984767496122633E-2</v>
      </c>
      <c r="C250" s="154">
        <f t="shared" si="350"/>
        <v>3.2833106426410283E-2</v>
      </c>
      <c r="D250" s="154">
        <f t="shared" si="350"/>
        <v>3.3376575795178678E-2</v>
      </c>
      <c r="E250" s="154">
        <f t="shared" si="350"/>
        <v>3.3287468433206804E-2</v>
      </c>
      <c r="F250" s="154">
        <f t="shared" si="350"/>
        <v>3.1092924757108391E-2</v>
      </c>
      <c r="G250" s="154">
        <f t="shared" si="350"/>
        <v>3.1838677888780559E-2</v>
      </c>
      <c r="H250" s="154">
        <f t="shared" si="350"/>
        <v>3.374341185435327E-2</v>
      </c>
      <c r="I250" s="154">
        <f t="shared" si="350"/>
        <v>3.6487793650841822E-2</v>
      </c>
      <c r="J250" s="154">
        <f t="shared" si="350"/>
        <v>3.8936522246814813E-2</v>
      </c>
      <c r="K250" s="154">
        <f t="shared" si="350"/>
        <v>4.0560551889820454E-2</v>
      </c>
      <c r="L250" s="154">
        <f t="shared" ref="L250" si="351">IF(L32=0,0,L32/L$31)</f>
        <v>4.1596437705488487E-2</v>
      </c>
      <c r="M250" s="154">
        <f t="shared" ref="M250:V250" si="352">IF(M32=0,0,M32/M$31)</f>
        <v>4.182471550183095E-2</v>
      </c>
      <c r="N250" s="154">
        <f t="shared" si="352"/>
        <v>4.2731203969768351E-2</v>
      </c>
      <c r="O250" s="154">
        <f t="shared" si="352"/>
        <v>4.2468557704339834E-2</v>
      </c>
      <c r="P250" s="154">
        <f t="shared" si="352"/>
        <v>4.098948941108109E-2</v>
      </c>
      <c r="Q250" s="154">
        <f t="shared" si="352"/>
        <v>4.1711660610250792E-2</v>
      </c>
      <c r="R250" s="154">
        <f t="shared" si="352"/>
        <v>4.178313556072006E-2</v>
      </c>
      <c r="S250" s="154">
        <f t="shared" si="352"/>
        <v>3.9166286085547987E-2</v>
      </c>
      <c r="T250" s="154">
        <f t="shared" si="352"/>
        <v>3.7279086854443803E-2</v>
      </c>
      <c r="U250" s="154">
        <f t="shared" si="352"/>
        <v>3.9198656177734811E-2</v>
      </c>
      <c r="V250" s="154">
        <f t="shared" si="352"/>
        <v>4.2330667027620096E-2</v>
      </c>
      <c r="W250" s="154">
        <f t="shared" ref="W250" si="353">IF(W32=0,0,W32/W$31)</f>
        <v>4.1456395200033962E-2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0.96160527833826137</v>
      </c>
      <c r="C251" s="156">
        <f t="shared" si="354"/>
        <v>0.96086558725191096</v>
      </c>
      <c r="D251" s="156">
        <f t="shared" si="354"/>
        <v>0.96044805888553297</v>
      </c>
      <c r="E251" s="156">
        <f t="shared" si="354"/>
        <v>0.9606915933860265</v>
      </c>
      <c r="F251" s="156">
        <f t="shared" si="354"/>
        <v>0.96308562313552093</v>
      </c>
      <c r="G251" s="156">
        <f t="shared" si="354"/>
        <v>0.96238332197911347</v>
      </c>
      <c r="H251" s="156">
        <f t="shared" si="354"/>
        <v>0.96055881433365453</v>
      </c>
      <c r="I251" s="156">
        <f t="shared" si="354"/>
        <v>0.95789472950151766</v>
      </c>
      <c r="J251" s="156">
        <f t="shared" si="354"/>
        <v>0.955338455489669</v>
      </c>
      <c r="K251" s="156">
        <f t="shared" si="354"/>
        <v>0.95347547164459356</v>
      </c>
      <c r="L251" s="156">
        <f t="shared" ref="L251" si="355">IF(L33=0,0,L33/L$31)</f>
        <v>0.95213265493499377</v>
      </c>
      <c r="M251" s="156">
        <f t="shared" ref="M251:V251" si="356">IF(M33=0,0,M33/M$31)</f>
        <v>0.95211155324599672</v>
      </c>
      <c r="N251" s="156">
        <f t="shared" si="356"/>
        <v>0.95094748915150162</v>
      </c>
      <c r="O251" s="156">
        <f t="shared" si="356"/>
        <v>0.95140489644621495</v>
      </c>
      <c r="P251" s="156">
        <f t="shared" si="356"/>
        <v>0.95310141488620181</v>
      </c>
      <c r="Q251" s="156">
        <f t="shared" si="356"/>
        <v>0.95254270847516764</v>
      </c>
      <c r="R251" s="156">
        <f t="shared" si="356"/>
        <v>0.9527075565354246</v>
      </c>
      <c r="S251" s="156">
        <f t="shared" si="356"/>
        <v>0.95496452936825627</v>
      </c>
      <c r="T251" s="156">
        <f t="shared" si="356"/>
        <v>0.95705742228090107</v>
      </c>
      <c r="U251" s="156">
        <f t="shared" si="356"/>
        <v>0.9553543570976929</v>
      </c>
      <c r="V251" s="156">
        <f t="shared" si="356"/>
        <v>0.95220445148980082</v>
      </c>
      <c r="W251" s="156">
        <f t="shared" ref="W251" si="357">IF(W33=0,0,W33/W$31)</f>
        <v>0.95349682599035668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0.65251926730197407</v>
      </c>
      <c r="C252" s="103">
        <f t="shared" si="358"/>
        <v>0.64300168619016362</v>
      </c>
      <c r="D252" s="103">
        <f t="shared" si="358"/>
        <v>0.63528352410320399</v>
      </c>
      <c r="E252" s="103">
        <f t="shared" si="358"/>
        <v>0.62905079896756178</v>
      </c>
      <c r="F252" s="103">
        <f t="shared" si="358"/>
        <v>0.62658417140113343</v>
      </c>
      <c r="G252" s="103">
        <f t="shared" si="358"/>
        <v>0.62240308542757916</v>
      </c>
      <c r="H252" s="103">
        <f t="shared" si="358"/>
        <v>0.61318321433993295</v>
      </c>
      <c r="I252" s="103">
        <f t="shared" si="358"/>
        <v>0.60984676946572969</v>
      </c>
      <c r="J252" s="103">
        <f t="shared" si="358"/>
        <v>0.61387556615188177</v>
      </c>
      <c r="K252" s="103">
        <f t="shared" si="358"/>
        <v>0.62156716408679813</v>
      </c>
      <c r="L252" s="103">
        <f t="shared" ref="L252" si="359">IF(L34=0,0,L34/L$31)</f>
        <v>0.62785642336699476</v>
      </c>
      <c r="M252" s="103">
        <f t="shared" ref="M252:V252" si="360">IF(M34=0,0,M34/M$31)</f>
        <v>0.63518457849032939</v>
      </c>
      <c r="N252" s="103">
        <f t="shared" si="360"/>
        <v>0.62783191030433338</v>
      </c>
      <c r="O252" s="103">
        <f t="shared" si="360"/>
        <v>0.6270148706392813</v>
      </c>
      <c r="P252" s="103">
        <f t="shared" si="360"/>
        <v>0.62507251906626982</v>
      </c>
      <c r="Q252" s="103">
        <f t="shared" si="360"/>
        <v>0.6243789388584321</v>
      </c>
      <c r="R252" s="103">
        <f t="shared" si="360"/>
        <v>0.63988428592521296</v>
      </c>
      <c r="S252" s="103">
        <f t="shared" si="360"/>
        <v>0.65301461537027272</v>
      </c>
      <c r="T252" s="103">
        <f t="shared" si="360"/>
        <v>0.6663061920474298</v>
      </c>
      <c r="U252" s="103">
        <f t="shared" si="360"/>
        <v>0.67966283508404945</v>
      </c>
      <c r="V252" s="103">
        <f t="shared" si="360"/>
        <v>0.7094231812483901</v>
      </c>
      <c r="W252" s="103">
        <f t="shared" ref="W252" si="361">IF(W34=0,0,W34/W$31)</f>
        <v>0.66154408377009311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0.22528099272998489</v>
      </c>
      <c r="C253" s="103">
        <f t="shared" si="362"/>
        <v>0.23617036547747183</v>
      </c>
      <c r="D253" s="103">
        <f t="shared" si="362"/>
        <v>0.24810157607515848</v>
      </c>
      <c r="E253" s="103">
        <f t="shared" si="362"/>
        <v>0.26014568845909408</v>
      </c>
      <c r="F253" s="103">
        <f t="shared" si="362"/>
        <v>0.26811859894609708</v>
      </c>
      <c r="G253" s="103">
        <f t="shared" si="362"/>
        <v>0.27740840748444445</v>
      </c>
      <c r="H253" s="103">
        <f t="shared" si="362"/>
        <v>0.29024672538057733</v>
      </c>
      <c r="I253" s="103">
        <f t="shared" si="362"/>
        <v>0.29651562228316009</v>
      </c>
      <c r="J253" s="103">
        <f t="shared" si="362"/>
        <v>0.29596751372313118</v>
      </c>
      <c r="K253" s="103">
        <f t="shared" si="362"/>
        <v>0.291386753216195</v>
      </c>
      <c r="L253" s="103">
        <f t="shared" ref="L253" si="363">IF(L35=0,0,L35/L$31)</f>
        <v>0.28766781225987548</v>
      </c>
      <c r="M253" s="103">
        <f t="shared" ref="M253:V253" si="364">IF(M35=0,0,M35/M$31)</f>
        <v>0.28562465060080855</v>
      </c>
      <c r="N253" s="103">
        <f t="shared" si="364"/>
        <v>0.29445507928895587</v>
      </c>
      <c r="O253" s="103">
        <f t="shared" si="364"/>
        <v>0.29384917745264721</v>
      </c>
      <c r="P253" s="103">
        <f t="shared" si="364"/>
        <v>0.29766339611150994</v>
      </c>
      <c r="Q253" s="103">
        <f t="shared" si="364"/>
        <v>0.2953632619427457</v>
      </c>
      <c r="R253" s="103">
        <f t="shared" si="364"/>
        <v>0.28281544819969473</v>
      </c>
      <c r="S253" s="103">
        <f t="shared" si="364"/>
        <v>0.27265595174408902</v>
      </c>
      <c r="T253" s="103">
        <f t="shared" si="364"/>
        <v>0.25860287007090721</v>
      </c>
      <c r="U253" s="103">
        <f t="shared" si="364"/>
        <v>0.2337396896716217</v>
      </c>
      <c r="V253" s="103">
        <f t="shared" si="364"/>
        <v>0.19152669159742128</v>
      </c>
      <c r="W253" s="103">
        <f t="shared" ref="W253" si="365">IF(W35=0,0,W35/W$31)</f>
        <v>0.22303912897365732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8.3805018306302381E-2</v>
      </c>
      <c r="C254" s="103">
        <f t="shared" si="366"/>
        <v>8.1693535584275515E-2</v>
      </c>
      <c r="D254" s="103">
        <f t="shared" si="366"/>
        <v>7.7062958707170698E-2</v>
      </c>
      <c r="E254" s="103">
        <f t="shared" si="366"/>
        <v>7.1495105959370545E-2</v>
      </c>
      <c r="F254" s="103">
        <f t="shared" si="366"/>
        <v>6.8382852788290552E-2</v>
      </c>
      <c r="G254" s="103">
        <f t="shared" si="366"/>
        <v>6.2571829067089912E-2</v>
      </c>
      <c r="H254" s="103">
        <f t="shared" si="366"/>
        <v>5.7128874613144184E-2</v>
      </c>
      <c r="I254" s="103">
        <f t="shared" si="366"/>
        <v>5.1532337752627951E-2</v>
      </c>
      <c r="J254" s="103">
        <f t="shared" si="366"/>
        <v>4.5495375614656101E-2</v>
      </c>
      <c r="K254" s="103">
        <f t="shared" si="366"/>
        <v>4.0517288368538087E-2</v>
      </c>
      <c r="L254" s="103">
        <f t="shared" ref="L254" si="367">IF(L36=0,0,L36/L$31)</f>
        <v>3.6570031092824827E-2</v>
      </c>
      <c r="M254" s="103">
        <f t="shared" ref="M254:V254" si="368">IF(M36=0,0,M36/M$31)</f>
        <v>3.1057217434423735E-2</v>
      </c>
      <c r="N254" s="103">
        <f t="shared" si="368"/>
        <v>2.6872633912092075E-2</v>
      </c>
      <c r="O254" s="103">
        <f t="shared" si="368"/>
        <v>2.6221460800034631E-2</v>
      </c>
      <c r="P254" s="103">
        <f t="shared" si="368"/>
        <v>2.3906859430207775E-2</v>
      </c>
      <c r="Q254" s="103">
        <f t="shared" si="368"/>
        <v>2.166573497445734E-2</v>
      </c>
      <c r="R254" s="103">
        <f t="shared" si="368"/>
        <v>1.8403080387341064E-2</v>
      </c>
      <c r="S254" s="103">
        <f t="shared" si="368"/>
        <v>1.6945576125092017E-2</v>
      </c>
      <c r="T254" s="103">
        <f t="shared" si="368"/>
        <v>1.5279706237575701E-2</v>
      </c>
      <c r="U254" s="103">
        <f t="shared" si="368"/>
        <v>1.6369913789593141E-2</v>
      </c>
      <c r="V254" s="103">
        <f t="shared" si="368"/>
        <v>1.5244959672853562E-2</v>
      </c>
      <c r="W254" s="103">
        <f t="shared" ref="W254" si="369">IF(W36=0,0,W36/W$31)</f>
        <v>1.3507668997293188E-2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2.525281243923406E-5</v>
      </c>
      <c r="M255" s="103">
        <f t="shared" ref="M255:V255" si="372">IF(M37=0,0,M37/M$31)</f>
        <v>1.1652718928668597E-4</v>
      </c>
      <c r="N255" s="103">
        <f t="shared" si="372"/>
        <v>1.0025677209209456E-3</v>
      </c>
      <c r="O255" s="103">
        <f t="shared" si="372"/>
        <v>1.1336039763576785E-3</v>
      </c>
      <c r="P255" s="103">
        <f t="shared" si="372"/>
        <v>1.6813142521875488E-3</v>
      </c>
      <c r="Q255" s="103">
        <f t="shared" si="372"/>
        <v>1.753731628995179E-3</v>
      </c>
      <c r="R255" s="103">
        <f t="shared" si="372"/>
        <v>5.3251022965288908E-4</v>
      </c>
      <c r="S255" s="103">
        <f t="shared" si="372"/>
        <v>6.1145657699380681E-4</v>
      </c>
      <c r="T255" s="103">
        <f t="shared" si="372"/>
        <v>1.7278703234290774E-3</v>
      </c>
      <c r="U255" s="103">
        <f t="shared" si="372"/>
        <v>1.6908697357968011E-3</v>
      </c>
      <c r="V255" s="103">
        <f t="shared" si="372"/>
        <v>1.6048427928466976E-3</v>
      </c>
      <c r="W255" s="103">
        <f t="shared" ref="W255" si="373">IF(W37=0,0,W37/W$31)</f>
        <v>1.3903054811524359E-3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1.5279883761718384E-6</v>
      </c>
      <c r="N256" s="103">
        <f t="shared" si="376"/>
        <v>4.5453752343471211E-4</v>
      </c>
      <c r="O256" s="103">
        <f t="shared" si="376"/>
        <v>2.5299289987534522E-3</v>
      </c>
      <c r="P256" s="103">
        <f t="shared" si="376"/>
        <v>3.7009210019939816E-3</v>
      </c>
      <c r="Q256" s="103">
        <f t="shared" si="376"/>
        <v>7.9211294767485858E-3</v>
      </c>
      <c r="R256" s="103">
        <f t="shared" si="376"/>
        <v>9.1246536250680008E-3</v>
      </c>
      <c r="S256" s="103">
        <f t="shared" si="376"/>
        <v>8.6090143778059895E-3</v>
      </c>
      <c r="T256" s="103">
        <f t="shared" si="376"/>
        <v>8.6200149870684969E-3</v>
      </c>
      <c r="U256" s="103">
        <f t="shared" si="376"/>
        <v>8.3501358840301961E-3</v>
      </c>
      <c r="V256" s="103">
        <f t="shared" si="376"/>
        <v>9.1903160391748236E-3</v>
      </c>
      <c r="W256" s="103">
        <f t="shared" ref="W256" si="377">IF(W38=0,0,W38/W$31)</f>
        <v>1.2824873886860055E-2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4.265973062410286E-6</v>
      </c>
      <c r="L257" s="103">
        <f t="shared" ref="L257" si="379">IF(L39=0,0,L39/L$31)</f>
        <v>1.3135402859444343E-5</v>
      </c>
      <c r="M257" s="103">
        <f t="shared" ref="M257:V257" si="380">IF(M39=0,0,M39/M$31)</f>
        <v>1.2705154277231463E-4</v>
      </c>
      <c r="N257" s="103">
        <f t="shared" si="380"/>
        <v>3.3076040176451297E-4</v>
      </c>
      <c r="O257" s="103">
        <f t="shared" si="380"/>
        <v>6.5585457914083597E-4</v>
      </c>
      <c r="P257" s="103">
        <f t="shared" si="380"/>
        <v>1.0764050240328429E-3</v>
      </c>
      <c r="Q257" s="103">
        <f t="shared" si="380"/>
        <v>1.4599115937887147E-3</v>
      </c>
      <c r="R257" s="103">
        <f t="shared" si="380"/>
        <v>1.9475781684550634E-3</v>
      </c>
      <c r="S257" s="103">
        <f t="shared" si="380"/>
        <v>3.1279151740027889E-3</v>
      </c>
      <c r="T257" s="103">
        <f t="shared" si="380"/>
        <v>6.5207686144908945E-3</v>
      </c>
      <c r="U257" s="103">
        <f t="shared" si="380"/>
        <v>1.5540912932601585E-2</v>
      </c>
      <c r="V257" s="103">
        <f t="shared" si="380"/>
        <v>2.5214460139114537E-2</v>
      </c>
      <c r="W257" s="103">
        <f t="shared" ref="W257" si="381">IF(W39=0,0,W39/W$31)</f>
        <v>4.1190764881300704E-2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6.4099541656161144E-3</v>
      </c>
      <c r="C258" s="156">
        <f t="shared" si="382"/>
        <v>6.3013063216787596E-3</v>
      </c>
      <c r="D258" s="156">
        <f t="shared" si="382"/>
        <v>6.1753653192883756E-3</v>
      </c>
      <c r="E258" s="156">
        <f t="shared" si="382"/>
        <v>6.020938180766669E-3</v>
      </c>
      <c r="F258" s="156">
        <f t="shared" si="382"/>
        <v>5.8214521073706007E-3</v>
      </c>
      <c r="G258" s="156">
        <f t="shared" si="382"/>
        <v>5.7780001321059635E-3</v>
      </c>
      <c r="H258" s="156">
        <f t="shared" si="382"/>
        <v>5.6977738119923221E-3</v>
      </c>
      <c r="I258" s="156">
        <f t="shared" si="382"/>
        <v>5.6174768476404489E-3</v>
      </c>
      <c r="J258" s="156">
        <f t="shared" si="382"/>
        <v>5.7250222635162216E-3</v>
      </c>
      <c r="K258" s="156">
        <f t="shared" si="382"/>
        <v>5.9639764655859502E-3</v>
      </c>
      <c r="L258" s="156">
        <f t="shared" ref="L258" si="383">IF(L40=0,0,L40/L$31)</f>
        <v>6.270907359517781E-3</v>
      </c>
      <c r="M258" s="156">
        <f t="shared" ref="M258:V258" si="384">IF(M40=0,0,M40/M$31)</f>
        <v>6.0637312521723092E-3</v>
      </c>
      <c r="N258" s="156">
        <f t="shared" si="384"/>
        <v>6.3213068787299166E-3</v>
      </c>
      <c r="O258" s="156">
        <f t="shared" si="384"/>
        <v>6.1265458494452673E-3</v>
      </c>
      <c r="P258" s="156">
        <f t="shared" si="384"/>
        <v>5.9090957027170751E-3</v>
      </c>
      <c r="Q258" s="156">
        <f t="shared" si="384"/>
        <v>5.7456309145815241E-3</v>
      </c>
      <c r="R258" s="156">
        <f t="shared" si="384"/>
        <v>5.5093079038553497E-3</v>
      </c>
      <c r="S258" s="156">
        <f t="shared" si="384"/>
        <v>5.869184546195701E-3</v>
      </c>
      <c r="T258" s="156">
        <f t="shared" si="384"/>
        <v>5.6634908646551419E-3</v>
      </c>
      <c r="U258" s="156">
        <f t="shared" si="384"/>
        <v>5.4469867245723544E-3</v>
      </c>
      <c r="V258" s="156">
        <f t="shared" si="384"/>
        <v>5.464881482579024E-3</v>
      </c>
      <c r="W258" s="156">
        <f t="shared" ref="W258" si="385">IF(W40=0,0,W40/W$31)</f>
        <v>5.046778809609396E-3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8.0316364466420041E-6</v>
      </c>
      <c r="C259" s="103">
        <f t="shared" si="386"/>
        <v>9.8002697521466277E-6</v>
      </c>
      <c r="D259" s="103">
        <f t="shared" si="386"/>
        <v>1.1554009013906263E-5</v>
      </c>
      <c r="E259" s="103">
        <f t="shared" si="386"/>
        <v>1.2975318693690976E-5</v>
      </c>
      <c r="F259" s="103">
        <f t="shared" si="386"/>
        <v>1.1861669379814898E-5</v>
      </c>
      <c r="G259" s="103">
        <f t="shared" si="386"/>
        <v>1.2603501992285762E-5</v>
      </c>
      <c r="H259" s="103">
        <f t="shared" si="386"/>
        <v>1.2919681842090014E-5</v>
      </c>
      <c r="I259" s="103">
        <f t="shared" si="386"/>
        <v>1.3578144190673883E-5</v>
      </c>
      <c r="J259" s="103">
        <f t="shared" si="386"/>
        <v>1.3283686849703792E-5</v>
      </c>
      <c r="K259" s="103">
        <f t="shared" si="386"/>
        <v>1.3735479110359816E-5</v>
      </c>
      <c r="L259" s="103">
        <f t="shared" ref="L259" si="387">IF(L41=0,0,L41/L$31)</f>
        <v>1.5142587329229037E-5</v>
      </c>
      <c r="M259" s="103">
        <f t="shared" ref="M259:V259" si="388">IF(M41=0,0,M41/M$31)</f>
        <v>1.2207561643431441E-5</v>
      </c>
      <c r="N259" s="103">
        <f t="shared" si="388"/>
        <v>7.7830688229637937E-6</v>
      </c>
      <c r="O259" s="103">
        <f t="shared" si="388"/>
        <v>6.8569274678301153E-6</v>
      </c>
      <c r="P259" s="103">
        <f t="shared" si="388"/>
        <v>6.3877947692326088E-6</v>
      </c>
      <c r="Q259" s="103">
        <f t="shared" si="388"/>
        <v>1.03522213277471E-5</v>
      </c>
      <c r="R259" s="103">
        <f t="shared" si="388"/>
        <v>1.2569310416033528E-5</v>
      </c>
      <c r="S259" s="103">
        <f t="shared" si="388"/>
        <v>1.1701492792330988E-5</v>
      </c>
      <c r="T259" s="103">
        <f t="shared" si="388"/>
        <v>1.0474145703228977E-5</v>
      </c>
      <c r="U259" s="103">
        <f t="shared" si="388"/>
        <v>4.8480786677861759E-5</v>
      </c>
      <c r="V259" s="103">
        <f t="shared" si="388"/>
        <v>4.8286343403280968E-5</v>
      </c>
      <c r="W259" s="103">
        <f t="shared" ref="W259" si="389">IF(W41=0,0,W41/W$31)</f>
        <v>5.2051463456164545E-5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6.3104023645300473E-3</v>
      </c>
      <c r="C260" s="103">
        <f t="shared" si="390"/>
        <v>6.2067537249198817E-3</v>
      </c>
      <c r="D260" s="103">
        <f t="shared" si="390"/>
        <v>6.0794182054515981E-3</v>
      </c>
      <c r="E260" s="103">
        <f t="shared" si="390"/>
        <v>5.93379734073856E-3</v>
      </c>
      <c r="F260" s="103">
        <f t="shared" si="390"/>
        <v>5.7375156367237331E-3</v>
      </c>
      <c r="G260" s="103">
        <f t="shared" si="390"/>
        <v>5.6829574196822349E-3</v>
      </c>
      <c r="H260" s="103">
        <f t="shared" si="390"/>
        <v>5.5959257592027543E-3</v>
      </c>
      <c r="I260" s="103">
        <f t="shared" si="390"/>
        <v>5.5112131983437373E-3</v>
      </c>
      <c r="J260" s="103">
        <f t="shared" si="390"/>
        <v>5.6033064780257038E-3</v>
      </c>
      <c r="K260" s="103">
        <f t="shared" si="390"/>
        <v>5.7741078845403174E-3</v>
      </c>
      <c r="L260" s="103">
        <f t="shared" ref="L260" si="391">IF(L42=0,0,L42/L$31)</f>
        <v>6.0157009943390682E-3</v>
      </c>
      <c r="M260" s="103">
        <f t="shared" ref="M260:V260" si="392">IF(M42=0,0,M42/M$31)</f>
        <v>5.6903697331074374E-3</v>
      </c>
      <c r="N260" s="103">
        <f t="shared" si="392"/>
        <v>5.8249648484866952E-3</v>
      </c>
      <c r="O260" s="103">
        <f t="shared" si="392"/>
        <v>5.5919560363063333E-3</v>
      </c>
      <c r="P260" s="103">
        <f t="shared" si="392"/>
        <v>5.3423322003848606E-3</v>
      </c>
      <c r="Q260" s="103">
        <f t="shared" si="392"/>
        <v>5.0916855348012964E-3</v>
      </c>
      <c r="R260" s="103">
        <f t="shared" si="392"/>
        <v>4.7255038190249614E-3</v>
      </c>
      <c r="S260" s="103">
        <f t="shared" si="392"/>
        <v>4.907139302991163E-3</v>
      </c>
      <c r="T260" s="103">
        <f t="shared" si="392"/>
        <v>4.6137412825896611E-3</v>
      </c>
      <c r="U260" s="103">
        <f t="shared" si="392"/>
        <v>4.1360373761082387E-3</v>
      </c>
      <c r="V260" s="103">
        <f t="shared" si="392"/>
        <v>3.7031407796239498E-3</v>
      </c>
      <c r="W260" s="103">
        <f t="shared" ref="W260" si="393">IF(W42=0,0,W42/W$31)</f>
        <v>3.0619904509960917E-3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5.8820161703678262E-5</v>
      </c>
      <c r="C261" s="103">
        <f t="shared" si="394"/>
        <v>5.449077220876075E-5</v>
      </c>
      <c r="D261" s="103">
        <f t="shared" si="394"/>
        <v>4.6685211066849028E-5</v>
      </c>
      <c r="E261" s="103">
        <f t="shared" si="394"/>
        <v>4.2038281762054897E-5</v>
      </c>
      <c r="F261" s="103">
        <f t="shared" si="394"/>
        <v>3.5176496500505839E-5</v>
      </c>
      <c r="G261" s="103">
        <f t="shared" si="394"/>
        <v>4.3125094654427238E-5</v>
      </c>
      <c r="H261" s="103">
        <f t="shared" si="394"/>
        <v>3.5099629399427153E-5</v>
      </c>
      <c r="I261" s="103">
        <f t="shared" si="394"/>
        <v>3.0784829809668748E-5</v>
      </c>
      <c r="J261" s="103">
        <f t="shared" si="394"/>
        <v>2.9997749790512946E-5</v>
      </c>
      <c r="K261" s="103">
        <f t="shared" si="394"/>
        <v>2.8279962481495411E-5</v>
      </c>
      <c r="L261" s="103">
        <f t="shared" ref="L261" si="395">IF(L43=0,0,L43/L$31)</f>
        <v>2.8566169545807661E-5</v>
      </c>
      <c r="M261" s="103">
        <f t="shared" ref="M261:V261" si="396">IF(M43=0,0,M43/M$31)</f>
        <v>2.7031362612659117E-5</v>
      </c>
      <c r="N261" s="103">
        <f t="shared" si="396"/>
        <v>2.7678198816732827E-5</v>
      </c>
      <c r="O261" s="103">
        <f t="shared" si="396"/>
        <v>2.7488684693923115E-5</v>
      </c>
      <c r="P261" s="103">
        <f t="shared" si="396"/>
        <v>2.7003781333321849E-5</v>
      </c>
      <c r="Q261" s="103">
        <f t="shared" si="396"/>
        <v>2.7584893882926881E-5</v>
      </c>
      <c r="R261" s="103">
        <f t="shared" si="396"/>
        <v>2.7088761180955556E-5</v>
      </c>
      <c r="S261" s="103">
        <f t="shared" si="396"/>
        <v>2.7209238903765717E-5</v>
      </c>
      <c r="T261" s="103">
        <f t="shared" si="396"/>
        <v>2.5764421343449228E-5</v>
      </c>
      <c r="U261" s="103">
        <f t="shared" si="396"/>
        <v>2.3130399798747887E-5</v>
      </c>
      <c r="V261" s="103">
        <f t="shared" si="396"/>
        <v>2.2929219448417476E-5</v>
      </c>
      <c r="W261" s="103">
        <f t="shared" ref="W261" si="397">IF(W43=0,0,W43/W$31)</f>
        <v>2.173596410048721E-5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3.1962556646674805E-6</v>
      </c>
      <c r="C262" s="103">
        <f t="shared" si="398"/>
        <v>4.5951647455999636E-6</v>
      </c>
      <c r="D262" s="103">
        <f t="shared" si="398"/>
        <v>9.099804666931784E-6</v>
      </c>
      <c r="E262" s="103">
        <f t="shared" si="398"/>
        <v>7.762346229154343E-6</v>
      </c>
      <c r="F262" s="103">
        <f t="shared" si="398"/>
        <v>6.9872165754419491E-6</v>
      </c>
      <c r="G262" s="103">
        <f t="shared" si="398"/>
        <v>8.7936061170970632E-6</v>
      </c>
      <c r="H262" s="103">
        <f t="shared" si="398"/>
        <v>2.3100880182026682E-5</v>
      </c>
      <c r="I262" s="103">
        <f t="shared" si="398"/>
        <v>3.1751027714058128E-5</v>
      </c>
      <c r="J262" s="103">
        <f t="shared" si="398"/>
        <v>5.4124002391332391E-5</v>
      </c>
      <c r="K262" s="103">
        <f t="shared" si="398"/>
        <v>1.1839452306467334E-4</v>
      </c>
      <c r="L262" s="103">
        <f t="shared" ref="L262" si="399">IF(L44=0,0,L44/L$31)</f>
        <v>1.6482369957299462E-4</v>
      </c>
      <c r="M262" s="103">
        <f t="shared" ref="M262:V262" si="400">IF(M44=0,0,M44/M$31)</f>
        <v>2.9041238807631645E-4</v>
      </c>
      <c r="N262" s="103">
        <f t="shared" si="400"/>
        <v>4.1440477112317351E-4</v>
      </c>
      <c r="O262" s="103">
        <f t="shared" si="400"/>
        <v>4.6122737301817807E-4</v>
      </c>
      <c r="P262" s="103">
        <f t="shared" si="400"/>
        <v>4.9059743224116349E-4</v>
      </c>
      <c r="Q262" s="103">
        <f t="shared" si="400"/>
        <v>5.6636561249817814E-4</v>
      </c>
      <c r="R262" s="103">
        <f t="shared" si="400"/>
        <v>6.6406372655332759E-4</v>
      </c>
      <c r="S262" s="103">
        <f t="shared" si="400"/>
        <v>7.7223419349513463E-4</v>
      </c>
      <c r="T262" s="103">
        <f t="shared" si="400"/>
        <v>8.0944075946685836E-4</v>
      </c>
      <c r="U262" s="103">
        <f t="shared" si="400"/>
        <v>8.4967574418377584E-4</v>
      </c>
      <c r="V262" s="103">
        <f t="shared" si="400"/>
        <v>1.046680599528455E-3</v>
      </c>
      <c r="W262" s="103">
        <f t="shared" ref="W262" si="401">IF(W44=0,0,W44/W$31)</f>
        <v>1.131049455655493E-3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2.9503747271080273E-5</v>
      </c>
      <c r="C263" s="103">
        <f t="shared" si="402"/>
        <v>2.566639005237193E-5</v>
      </c>
      <c r="D263" s="103">
        <f t="shared" si="402"/>
        <v>2.8608089089091171E-5</v>
      </c>
      <c r="E263" s="103">
        <f t="shared" si="402"/>
        <v>2.4364893343209024E-5</v>
      </c>
      <c r="F263" s="103">
        <f t="shared" si="402"/>
        <v>2.9911088191104141E-5</v>
      </c>
      <c r="G263" s="103">
        <f t="shared" si="402"/>
        <v>3.0520509659918502E-5</v>
      </c>
      <c r="H263" s="103">
        <f t="shared" si="402"/>
        <v>3.07278613660241E-5</v>
      </c>
      <c r="I263" s="103">
        <f t="shared" si="402"/>
        <v>3.0149647582312202E-5</v>
      </c>
      <c r="J263" s="103">
        <f t="shared" si="402"/>
        <v>2.4310346458969003E-5</v>
      </c>
      <c r="K263" s="103">
        <f t="shared" si="402"/>
        <v>2.9458616389104534E-5</v>
      </c>
      <c r="L263" s="103">
        <f t="shared" ref="L263" si="403">IF(L45=0,0,L45/L$31)</f>
        <v>4.6673908730681502E-5</v>
      </c>
      <c r="M263" s="103">
        <f t="shared" ref="M263:V263" si="404">IF(M45=0,0,M45/M$31)</f>
        <v>4.371020673246446E-5</v>
      </c>
      <c r="N263" s="103">
        <f t="shared" si="404"/>
        <v>4.6475991480349832E-5</v>
      </c>
      <c r="O263" s="103">
        <f t="shared" si="404"/>
        <v>3.9016827959004268E-5</v>
      </c>
      <c r="P263" s="103">
        <f t="shared" si="404"/>
        <v>4.277449398849702E-5</v>
      </c>
      <c r="Q263" s="103">
        <f t="shared" si="404"/>
        <v>4.9642652071376241E-5</v>
      </c>
      <c r="R263" s="103">
        <f t="shared" si="404"/>
        <v>8.0082286680071619E-5</v>
      </c>
      <c r="S263" s="103">
        <f t="shared" si="404"/>
        <v>1.5090031801330615E-4</v>
      </c>
      <c r="T263" s="103">
        <f t="shared" si="404"/>
        <v>2.0407025555194499E-4</v>
      </c>
      <c r="U263" s="103">
        <f t="shared" si="404"/>
        <v>3.8966241780373029E-4</v>
      </c>
      <c r="V263" s="103">
        <f t="shared" si="404"/>
        <v>6.4384454057492008E-4</v>
      </c>
      <c r="W263" s="103">
        <f t="shared" ref="W263" si="405">IF(W45=0,0,W45/W$31)</f>
        <v>7.7995147540115895E-4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0.7251432684181055</v>
      </c>
      <c r="C265" s="154">
        <f t="shared" si="410"/>
        <v>0.74353075249241607</v>
      </c>
      <c r="D265" s="154">
        <f t="shared" si="410"/>
        <v>0.7421385644141949</v>
      </c>
      <c r="E265" s="154">
        <f t="shared" si="410"/>
        <v>0.74502280047268821</v>
      </c>
      <c r="F265" s="154">
        <f t="shared" si="410"/>
        <v>0.75322533828394789</v>
      </c>
      <c r="G265" s="154">
        <f t="shared" si="410"/>
        <v>0.7564901208121787</v>
      </c>
      <c r="H265" s="154">
        <f t="shared" si="410"/>
        <v>0.7552506550036937</v>
      </c>
      <c r="I265" s="154">
        <f t="shared" si="410"/>
        <v>0.76463156767255569</v>
      </c>
      <c r="J265" s="154">
        <f t="shared" si="410"/>
        <v>0.76718594590165345</v>
      </c>
      <c r="K265" s="154">
        <f t="shared" si="410"/>
        <v>0.76055825808294142</v>
      </c>
      <c r="L265" s="154">
        <f t="shared" ref="L265" si="411">IF(L47=0,0,L47/L$46)</f>
        <v>0.78288014869031108</v>
      </c>
      <c r="M265" s="154">
        <f t="shared" ref="M265:V265" si="412">IF(M47=0,0,M47/M$46)</f>
        <v>0.7828250940936351</v>
      </c>
      <c r="N265" s="154">
        <f t="shared" si="412"/>
        <v>0.78317255621146864</v>
      </c>
      <c r="O265" s="154">
        <f t="shared" si="412"/>
        <v>0.77387866165199226</v>
      </c>
      <c r="P265" s="154">
        <f t="shared" si="412"/>
        <v>0.76303495255331666</v>
      </c>
      <c r="Q265" s="154">
        <f t="shared" si="412"/>
        <v>0.76737716803162737</v>
      </c>
      <c r="R265" s="154">
        <f t="shared" si="412"/>
        <v>0.76472619690565191</v>
      </c>
      <c r="S265" s="154">
        <f t="shared" si="412"/>
        <v>0.77469893830687664</v>
      </c>
      <c r="T265" s="154">
        <f t="shared" si="412"/>
        <v>0.77341767333328126</v>
      </c>
      <c r="U265" s="154">
        <f t="shared" si="412"/>
        <v>0.77081041088901492</v>
      </c>
      <c r="V265" s="154">
        <f t="shared" si="412"/>
        <v>0.75976851077905727</v>
      </c>
      <c r="W265" s="154">
        <f t="shared" ref="W265" si="413">IF(W47=0,0,W47/W$46)</f>
        <v>0.76070730933526343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2.816269351876689E-2</v>
      </c>
      <c r="C266" s="103">
        <f t="shared" si="414"/>
        <v>2.400827354376078E-2</v>
      </c>
      <c r="D266" s="103">
        <f t="shared" si="414"/>
        <v>2.0350844868927808E-2</v>
      </c>
      <c r="E266" s="103">
        <f t="shared" si="414"/>
        <v>1.7513958455928725E-2</v>
      </c>
      <c r="F266" s="103">
        <f t="shared" si="414"/>
        <v>1.5479057323372437E-2</v>
      </c>
      <c r="G266" s="103">
        <f t="shared" si="414"/>
        <v>1.447202598851517E-2</v>
      </c>
      <c r="H266" s="103">
        <f t="shared" si="414"/>
        <v>1.2904386827797947E-2</v>
      </c>
      <c r="I266" s="103">
        <f t="shared" si="414"/>
        <v>1.1992979086002446E-2</v>
      </c>
      <c r="J266" s="103">
        <f t="shared" si="414"/>
        <v>1.1165887158869377E-2</v>
      </c>
      <c r="K266" s="103">
        <f t="shared" si="414"/>
        <v>1.0809172717964804E-2</v>
      </c>
      <c r="L266" s="103">
        <f t="shared" ref="L266" si="415">IF(L48=0,0,L48/L$46)</f>
        <v>1.048044691887536E-2</v>
      </c>
      <c r="M266" s="103">
        <f t="shared" ref="M266:V266" si="416">IF(M48=0,0,M48/M$46)</f>
        <v>9.8145267092423112E-3</v>
      </c>
      <c r="N266" s="103">
        <f t="shared" si="416"/>
        <v>9.7549076956291812E-3</v>
      </c>
      <c r="O266" s="103">
        <f t="shared" si="416"/>
        <v>9.0105197973575843E-3</v>
      </c>
      <c r="P266" s="103">
        <f t="shared" si="416"/>
        <v>9.4058071518365455E-3</v>
      </c>
      <c r="Q266" s="103">
        <f t="shared" si="416"/>
        <v>9.2629257646952602E-3</v>
      </c>
      <c r="R266" s="103">
        <f t="shared" si="416"/>
        <v>9.1979689518129452E-3</v>
      </c>
      <c r="S266" s="103">
        <f t="shared" si="416"/>
        <v>9.3026197857867029E-3</v>
      </c>
      <c r="T266" s="103">
        <f t="shared" si="416"/>
        <v>8.8468681464445465E-3</v>
      </c>
      <c r="U266" s="103">
        <f t="shared" si="416"/>
        <v>9.6886897278169477E-3</v>
      </c>
      <c r="V266" s="103">
        <f t="shared" si="416"/>
        <v>1.0051544494374013E-2</v>
      </c>
      <c r="W266" s="103">
        <f t="shared" ref="W266" si="417">IF(W48=0,0,W48/W$46)</f>
        <v>1.0192426673748974E-2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0.68733183419037791</v>
      </c>
      <c r="C267" s="103">
        <f t="shared" si="418"/>
        <v>0.71053142389282997</v>
      </c>
      <c r="D267" s="103">
        <f t="shared" si="418"/>
        <v>0.71348211704183262</v>
      </c>
      <c r="E267" s="103">
        <f t="shared" si="418"/>
        <v>0.71983340392735196</v>
      </c>
      <c r="F267" s="103">
        <f t="shared" si="418"/>
        <v>0.73054500883969031</v>
      </c>
      <c r="G267" s="103">
        <f t="shared" si="418"/>
        <v>0.73592733130613375</v>
      </c>
      <c r="H267" s="103">
        <f t="shared" si="418"/>
        <v>0.73672064806391557</v>
      </c>
      <c r="I267" s="103">
        <f t="shared" si="418"/>
        <v>0.7468418205811812</v>
      </c>
      <c r="J267" s="103">
        <f t="shared" si="418"/>
        <v>0.75025104198323966</v>
      </c>
      <c r="K267" s="103">
        <f t="shared" si="418"/>
        <v>0.74370479526456124</v>
      </c>
      <c r="L267" s="103">
        <f t="shared" ref="L267" si="419">IF(L49=0,0,L49/L$46)</f>
        <v>0.7660716502969861</v>
      </c>
      <c r="M267" s="103">
        <f t="shared" ref="M267:V267" si="420">IF(M49=0,0,M49/M$46)</f>
        <v>0.76658551576520761</v>
      </c>
      <c r="N267" s="103">
        <f t="shared" si="420"/>
        <v>0.76644126411524938</v>
      </c>
      <c r="O267" s="103">
        <f t="shared" si="420"/>
        <v>0.75743288353766181</v>
      </c>
      <c r="P267" s="103">
        <f t="shared" si="420"/>
        <v>0.74538673825933677</v>
      </c>
      <c r="Q267" s="103">
        <f t="shared" si="420"/>
        <v>0.74989405437868151</v>
      </c>
      <c r="R267" s="103">
        <f t="shared" si="420"/>
        <v>0.74803037633176173</v>
      </c>
      <c r="S267" s="103">
        <f t="shared" si="420"/>
        <v>0.75716481108384337</v>
      </c>
      <c r="T267" s="103">
        <f t="shared" si="420"/>
        <v>0.75448052402418764</v>
      </c>
      <c r="U267" s="103">
        <f t="shared" si="420"/>
        <v>0.74890089794468562</v>
      </c>
      <c r="V267" s="103">
        <f t="shared" si="420"/>
        <v>0.73662261996179679</v>
      </c>
      <c r="W267" s="103">
        <f t="shared" ref="W267" si="421">IF(W49=0,0,W49/W$46)</f>
        <v>0.73693442162083611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9.6487407089607159E-3</v>
      </c>
      <c r="C268" s="103">
        <f t="shared" si="422"/>
        <v>8.9910550558252485E-3</v>
      </c>
      <c r="D268" s="103">
        <f t="shared" si="422"/>
        <v>8.3056025034344717E-3</v>
      </c>
      <c r="E268" s="103">
        <f t="shared" si="422"/>
        <v>7.6247242038318692E-3</v>
      </c>
      <c r="F268" s="103">
        <f t="shared" si="422"/>
        <v>7.065676847976478E-3</v>
      </c>
      <c r="G268" s="103">
        <f t="shared" si="422"/>
        <v>5.9683060249634502E-3</v>
      </c>
      <c r="H268" s="103">
        <f t="shared" si="422"/>
        <v>5.5065393329622424E-3</v>
      </c>
      <c r="I268" s="103">
        <f t="shared" si="422"/>
        <v>5.5196235537708785E-3</v>
      </c>
      <c r="J268" s="103">
        <f t="shared" si="422"/>
        <v>5.4929297317293391E-3</v>
      </c>
      <c r="K268" s="103">
        <f t="shared" si="422"/>
        <v>5.5810155528326173E-3</v>
      </c>
      <c r="L268" s="103">
        <f t="shared" ref="L268" si="423">IF(L50=0,0,L50/L$46)</f>
        <v>5.6589857352944018E-3</v>
      </c>
      <c r="M268" s="103">
        <f t="shared" ref="M268:V268" si="424">IF(M50=0,0,M50/M$46)</f>
        <v>5.5731621980304727E-3</v>
      </c>
      <c r="N268" s="103">
        <f t="shared" si="424"/>
        <v>5.7524894922907311E-3</v>
      </c>
      <c r="O268" s="103">
        <f t="shared" si="424"/>
        <v>5.8391262218748449E-3</v>
      </c>
      <c r="P268" s="103">
        <f t="shared" si="424"/>
        <v>6.0585183558235743E-3</v>
      </c>
      <c r="Q268" s="103">
        <f t="shared" si="424"/>
        <v>5.892736328529556E-3</v>
      </c>
      <c r="R268" s="103">
        <f t="shared" si="424"/>
        <v>5.7936203207310877E-3</v>
      </c>
      <c r="S268" s="103">
        <f t="shared" si="424"/>
        <v>5.8789058751961007E-3</v>
      </c>
      <c r="T268" s="103">
        <f t="shared" si="424"/>
        <v>6.1949513938058288E-3</v>
      </c>
      <c r="U268" s="103">
        <f t="shared" si="424"/>
        <v>7.6418459531364192E-3</v>
      </c>
      <c r="V268" s="103">
        <f t="shared" si="424"/>
        <v>7.690263407942345E-3</v>
      </c>
      <c r="W268" s="103">
        <f t="shared" ref="W268" si="425">IF(W50=0,0,W50/W$46)</f>
        <v>6.8114980118136317E-3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5.071388557548023E-5</v>
      </c>
      <c r="F269" s="103">
        <f t="shared" si="426"/>
        <v>1.3559527290867604E-4</v>
      </c>
      <c r="G269" s="103">
        <f t="shared" si="426"/>
        <v>1.2245749256640427E-4</v>
      </c>
      <c r="H269" s="103">
        <f t="shared" si="426"/>
        <v>1.1908077901805879E-4</v>
      </c>
      <c r="I269" s="103">
        <f t="shared" si="426"/>
        <v>2.7714445160109701E-4</v>
      </c>
      <c r="J269" s="103">
        <f t="shared" si="426"/>
        <v>2.7608702781501163E-4</v>
      </c>
      <c r="K269" s="103">
        <f t="shared" si="426"/>
        <v>4.6327454758280973E-4</v>
      </c>
      <c r="L269" s="103">
        <f t="shared" ref="L269" si="427">IF(L51=0,0,L51/L$46)</f>
        <v>6.6906573915531263E-4</v>
      </c>
      <c r="M269" s="103">
        <f t="shared" ref="M269:V269" si="428">IF(M51=0,0,M51/M$46)</f>
        <v>8.4351837855651277E-4</v>
      </c>
      <c r="N269" s="103">
        <f t="shared" si="428"/>
        <v>1.0075945720082414E-3</v>
      </c>
      <c r="O269" s="103">
        <f t="shared" si="428"/>
        <v>1.2234506534415188E-3</v>
      </c>
      <c r="P269" s="103">
        <f t="shared" si="428"/>
        <v>1.4650356308324964E-3</v>
      </c>
      <c r="Q269" s="103">
        <f t="shared" si="428"/>
        <v>1.5252174699179467E-3</v>
      </c>
      <c r="R269" s="103">
        <f t="shared" si="428"/>
        <v>8.8027934263216535E-4</v>
      </c>
      <c r="S269" s="103">
        <f t="shared" si="428"/>
        <v>1.2111604901242471E-3</v>
      </c>
      <c r="T269" s="103">
        <f t="shared" si="428"/>
        <v>2.2590500307692585E-3</v>
      </c>
      <c r="U269" s="103">
        <f t="shared" si="428"/>
        <v>2.3293659470509567E-3</v>
      </c>
      <c r="V269" s="103">
        <f t="shared" si="428"/>
        <v>2.3652633936476035E-3</v>
      </c>
      <c r="W269" s="103">
        <f t="shared" ref="W269" si="429">IF(W51=0,0,W51/W$46)</f>
        <v>2.1778709115379772E-3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8.3710425982722674E-6</v>
      </c>
      <c r="N270" s="103">
        <f t="shared" si="432"/>
        <v>2.1630033629116419E-4</v>
      </c>
      <c r="O270" s="103">
        <f t="shared" si="432"/>
        <v>3.7268144165647195E-4</v>
      </c>
      <c r="P270" s="103">
        <f t="shared" si="432"/>
        <v>7.1885315548723635E-4</v>
      </c>
      <c r="Q270" s="103">
        <f t="shared" si="432"/>
        <v>8.0223408980326246E-4</v>
      </c>
      <c r="R270" s="103">
        <f t="shared" si="432"/>
        <v>8.2395195871413712E-4</v>
      </c>
      <c r="S270" s="103">
        <f t="shared" si="432"/>
        <v>1.141441071926316E-3</v>
      </c>
      <c r="T270" s="103">
        <f t="shared" si="432"/>
        <v>1.6362797380739876E-3</v>
      </c>
      <c r="U270" s="103">
        <f t="shared" si="432"/>
        <v>2.2496113163248841E-3</v>
      </c>
      <c r="V270" s="103">
        <f t="shared" si="432"/>
        <v>3.0388195212966368E-3</v>
      </c>
      <c r="W270" s="103">
        <f t="shared" ref="W270" si="433">IF(W52=0,0,W52/W$46)</f>
        <v>4.5910921173266134E-3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0.27485673158189444</v>
      </c>
      <c r="C271" s="156">
        <f t="shared" si="434"/>
        <v>0.25646924750758393</v>
      </c>
      <c r="D271" s="156">
        <f t="shared" si="434"/>
        <v>0.2578614355858051</v>
      </c>
      <c r="E271" s="156">
        <f t="shared" si="434"/>
        <v>0.25497719952731179</v>
      </c>
      <c r="F271" s="156">
        <f t="shared" si="434"/>
        <v>0.24677466171605211</v>
      </c>
      <c r="G271" s="156">
        <f t="shared" si="434"/>
        <v>0.2435098791878213</v>
      </c>
      <c r="H271" s="156">
        <f t="shared" si="434"/>
        <v>0.24474934499630632</v>
      </c>
      <c r="I271" s="156">
        <f t="shared" si="434"/>
        <v>0.23536843232744425</v>
      </c>
      <c r="J271" s="156">
        <f t="shared" si="434"/>
        <v>0.23281405409834657</v>
      </c>
      <c r="K271" s="156">
        <f t="shared" si="434"/>
        <v>0.23944174191705858</v>
      </c>
      <c r="L271" s="156">
        <f t="shared" ref="L271" si="435">IF(L53=0,0,L53/L$46)</f>
        <v>0.21711985130968889</v>
      </c>
      <c r="M271" s="156">
        <f t="shared" ref="M271:V271" si="436">IF(M53=0,0,M53/M$46)</f>
        <v>0.21717490590636479</v>
      </c>
      <c r="N271" s="156">
        <f t="shared" si="436"/>
        <v>0.21682744378853136</v>
      </c>
      <c r="O271" s="156">
        <f t="shared" si="436"/>
        <v>0.22612133834800779</v>
      </c>
      <c r="P271" s="156">
        <f t="shared" si="436"/>
        <v>0.23696504744668331</v>
      </c>
      <c r="Q271" s="156">
        <f t="shared" si="436"/>
        <v>0.23262283196837263</v>
      </c>
      <c r="R271" s="156">
        <f t="shared" si="436"/>
        <v>0.23527380309434803</v>
      </c>
      <c r="S271" s="156">
        <f t="shared" si="436"/>
        <v>0.22530106169312325</v>
      </c>
      <c r="T271" s="156">
        <f t="shared" si="436"/>
        <v>0.22658232666671871</v>
      </c>
      <c r="U271" s="156">
        <f t="shared" si="436"/>
        <v>0.22918958911098503</v>
      </c>
      <c r="V271" s="156">
        <f t="shared" si="436"/>
        <v>0.24023148922094273</v>
      </c>
      <c r="W271" s="156">
        <f t="shared" ref="W271" si="437">IF(W53=0,0,W53/W$46)</f>
        <v>0.23929269066473657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0.23207989781298211</v>
      </c>
      <c r="C272" s="104">
        <f t="shared" si="438"/>
        <v>0.21365722054956393</v>
      </c>
      <c r="D272" s="104">
        <f t="shared" si="438"/>
        <v>0.21466539288590564</v>
      </c>
      <c r="E272" s="104">
        <f t="shared" si="438"/>
        <v>0.21276113072036543</v>
      </c>
      <c r="F272" s="104">
        <f t="shared" si="438"/>
        <v>0.19902384576285184</v>
      </c>
      <c r="G272" s="104">
        <f t="shared" si="438"/>
        <v>0.19479256208504153</v>
      </c>
      <c r="H272" s="104">
        <f t="shared" si="438"/>
        <v>0.19331155383967311</v>
      </c>
      <c r="I272" s="104">
        <f t="shared" si="438"/>
        <v>0.18352470443821817</v>
      </c>
      <c r="J272" s="104">
        <f t="shared" si="438"/>
        <v>0.18085709337991757</v>
      </c>
      <c r="K272" s="104">
        <f t="shared" si="438"/>
        <v>0.1890543555711105</v>
      </c>
      <c r="L272" s="104">
        <f t="shared" ref="L272" si="439">IF(L54=0,0,L54/L$46)</f>
        <v>0.16326258289084661</v>
      </c>
      <c r="M272" s="104">
        <f t="shared" ref="M272:V272" si="440">IF(M54=0,0,M54/M$46)</f>
        <v>0.16498872722517821</v>
      </c>
      <c r="N272" s="104">
        <f t="shared" si="440"/>
        <v>0.16349010394269889</v>
      </c>
      <c r="O272" s="104">
        <f t="shared" si="440"/>
        <v>0.17082261555362208</v>
      </c>
      <c r="P272" s="104">
        <f t="shared" si="440"/>
        <v>0.17864174838054933</v>
      </c>
      <c r="Q272" s="104">
        <f t="shared" si="440"/>
        <v>0.17530754719339156</v>
      </c>
      <c r="R272" s="104">
        <f t="shared" si="440"/>
        <v>0.1758752296513092</v>
      </c>
      <c r="S272" s="104">
        <f t="shared" si="440"/>
        <v>0.16584381150425009</v>
      </c>
      <c r="T272" s="104">
        <f t="shared" si="440"/>
        <v>0.1686729692135723</v>
      </c>
      <c r="U272" s="104">
        <f t="shared" si="440"/>
        <v>0.16959265461138495</v>
      </c>
      <c r="V272" s="104">
        <f t="shared" si="440"/>
        <v>0.17717300470239306</v>
      </c>
      <c r="W272" s="104">
        <f t="shared" ref="W272" si="441">IF(W54=0,0,W54/W$46)</f>
        <v>0.17913076828453828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4.2776833768912351E-2</v>
      </c>
      <c r="C273" s="105">
        <f t="shared" si="442"/>
        <v>4.2812026958019986E-2</v>
      </c>
      <c r="D273" s="105">
        <f t="shared" si="442"/>
        <v>4.3196042699899455E-2</v>
      </c>
      <c r="E273" s="105">
        <f t="shared" si="442"/>
        <v>4.2216068806946352E-2</v>
      </c>
      <c r="F273" s="105">
        <f t="shared" si="442"/>
        <v>4.7750815953200271E-2</v>
      </c>
      <c r="G273" s="105">
        <f t="shared" si="442"/>
        <v>4.8717317102779774E-2</v>
      </c>
      <c r="H273" s="105">
        <f t="shared" si="442"/>
        <v>5.143779115663321E-2</v>
      </c>
      <c r="I273" s="105">
        <f t="shared" si="442"/>
        <v>5.1843727889226088E-2</v>
      </c>
      <c r="J273" s="105">
        <f t="shared" si="442"/>
        <v>5.1956960718429021E-2</v>
      </c>
      <c r="K273" s="105">
        <f t="shared" si="442"/>
        <v>5.0387386345948068E-2</v>
      </c>
      <c r="L273" s="105">
        <f t="shared" ref="L273" si="443">IF(L55=0,0,L55/L$46)</f>
        <v>5.3857268418842273E-2</v>
      </c>
      <c r="M273" s="105">
        <f t="shared" ref="M273:V273" si="444">IF(M55=0,0,M55/M$46)</f>
        <v>5.2186178681186593E-2</v>
      </c>
      <c r="N273" s="105">
        <f t="shared" si="444"/>
        <v>5.3337339845832478E-2</v>
      </c>
      <c r="O273" s="105">
        <f t="shared" si="444"/>
        <v>5.5298722794385725E-2</v>
      </c>
      <c r="P273" s="105">
        <f t="shared" si="444"/>
        <v>5.8323299066133996E-2</v>
      </c>
      <c r="Q273" s="105">
        <f t="shared" si="444"/>
        <v>5.7315284774981094E-2</v>
      </c>
      <c r="R273" s="105">
        <f t="shared" si="444"/>
        <v>5.9398573443038831E-2</v>
      </c>
      <c r="S273" s="105">
        <f t="shared" si="444"/>
        <v>5.9457250188873177E-2</v>
      </c>
      <c r="T273" s="105">
        <f t="shared" si="444"/>
        <v>5.7909357453146425E-2</v>
      </c>
      <c r="U273" s="105">
        <f t="shared" si="444"/>
        <v>5.9596934499600109E-2</v>
      </c>
      <c r="V273" s="105">
        <f t="shared" si="444"/>
        <v>6.3058484518549646E-2</v>
      </c>
      <c r="W273" s="105">
        <f t="shared" ref="W273" si="445">IF(W55=0,0,W55/W$46)</f>
        <v>6.0161922380198296E-2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10202.222280914333</v>
      </c>
      <c r="C4" s="145">
        <f t="shared" si="0"/>
        <v>10279.360884994552</v>
      </c>
      <c r="D4" s="145">
        <f t="shared" si="0"/>
        <v>10517.539569425546</v>
      </c>
      <c r="E4" s="145">
        <f t="shared" si="0"/>
        <v>10693.743403538621</v>
      </c>
      <c r="F4" s="145">
        <f t="shared" si="0"/>
        <v>10866.755614726382</v>
      </c>
      <c r="G4" s="145">
        <f t="shared" si="0"/>
        <v>10920.027500230763</v>
      </c>
      <c r="H4" s="145">
        <f t="shared" si="0"/>
        <v>11255.598453324656</v>
      </c>
      <c r="I4" s="145">
        <f t="shared" si="0"/>
        <v>11356.288547194385</v>
      </c>
      <c r="J4" s="145">
        <f t="shared" si="0"/>
        <v>11457.917135830396</v>
      </c>
      <c r="K4" s="145">
        <f t="shared" si="0"/>
        <v>11087.84838784862</v>
      </c>
      <c r="L4" s="145">
        <f t="shared" ref="L4" si="1">L5+L9+L10+L15</f>
        <v>11098.21923084755</v>
      </c>
      <c r="M4" s="145">
        <f t="shared" ref="M4:V4" si="2">M5+M9+M10+M15</f>
        <v>11225.228670010067</v>
      </c>
      <c r="N4" s="145">
        <f t="shared" si="2"/>
        <v>10750.618440700886</v>
      </c>
      <c r="O4" s="145">
        <f t="shared" si="2"/>
        <v>10219.48934307832</v>
      </c>
      <c r="P4" s="145">
        <f t="shared" si="2"/>
        <v>9430.9347438868954</v>
      </c>
      <c r="Q4" s="145">
        <f t="shared" si="2"/>
        <v>9517.1052028147424</v>
      </c>
      <c r="R4" s="145">
        <f t="shared" si="2"/>
        <v>9528.9735028014347</v>
      </c>
      <c r="S4" s="145">
        <f t="shared" si="2"/>
        <v>9890.6230188825157</v>
      </c>
      <c r="T4" s="145">
        <f t="shared" si="2"/>
        <v>10130.91901816525</v>
      </c>
      <c r="U4" s="145">
        <f t="shared" si="2"/>
        <v>10153.196156786777</v>
      </c>
      <c r="V4" s="145">
        <f t="shared" si="2"/>
        <v>8682.4340690467016</v>
      </c>
      <c r="W4" s="145">
        <f t="shared" ref="W4" si="3">W5+W9+W10+W15</f>
        <v>8833.6681740550248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10201.164746345657</v>
      </c>
      <c r="C5" s="97">
        <f t="shared" si="4"/>
        <v>10278.325451418743</v>
      </c>
      <c r="D5" s="97">
        <f t="shared" si="4"/>
        <v>10516.272484952708</v>
      </c>
      <c r="E5" s="97">
        <f t="shared" si="4"/>
        <v>10692.451246775581</v>
      </c>
      <c r="F5" s="97">
        <f t="shared" si="4"/>
        <v>10865.182373172829</v>
      </c>
      <c r="G5" s="97">
        <f t="shared" si="4"/>
        <v>10918.360963026655</v>
      </c>
      <c r="H5" s="97">
        <f t="shared" si="4"/>
        <v>11212.496474634565</v>
      </c>
      <c r="I5" s="97">
        <f t="shared" si="4"/>
        <v>11022.811092003438</v>
      </c>
      <c r="J5" s="97">
        <f t="shared" si="4"/>
        <v>11166.787016337059</v>
      </c>
      <c r="K5" s="97">
        <f t="shared" si="4"/>
        <v>10707.199742046432</v>
      </c>
      <c r="L5" s="97">
        <f t="shared" ref="L5" si="5">SUM(L6:L8)</f>
        <v>10858.840326741185</v>
      </c>
      <c r="M5" s="97">
        <f t="shared" ref="M5:V5" si="6">SUM(M6:M8)</f>
        <v>10885.07815993121</v>
      </c>
      <c r="N5" s="97">
        <f t="shared" si="6"/>
        <v>10412.569733447979</v>
      </c>
      <c r="O5" s="97">
        <f t="shared" si="6"/>
        <v>9889.5418744625968</v>
      </c>
      <c r="P5" s="97">
        <f t="shared" si="6"/>
        <v>9044.169389509887</v>
      </c>
      <c r="Q5" s="97">
        <f t="shared" si="6"/>
        <v>9172.9138435081695</v>
      </c>
      <c r="R5" s="97">
        <f t="shared" si="6"/>
        <v>9230.9379191745484</v>
      </c>
      <c r="S5" s="97">
        <f t="shared" si="6"/>
        <v>9509.5623387790183</v>
      </c>
      <c r="T5" s="97">
        <f t="shared" si="6"/>
        <v>9549.8615649183157</v>
      </c>
      <c r="U5" s="97">
        <f t="shared" si="6"/>
        <v>9431.0926053310395</v>
      </c>
      <c r="V5" s="97">
        <f t="shared" si="6"/>
        <v>8037.7273430782443</v>
      </c>
      <c r="W5" s="97">
        <f t="shared" ref="W5" si="7">SUM(W6:W8)</f>
        <v>8076.2637145313838</v>
      </c>
      <c r="DA5" s="175"/>
    </row>
    <row r="6" spans="1:105" ht="11.45" customHeight="1" x14ac:dyDescent="0.25">
      <c r="A6" s="128" t="s">
        <v>52</v>
      </c>
      <c r="B6" s="97">
        <v>602.35425623387789</v>
      </c>
      <c r="C6" s="97">
        <v>559.17472055030089</v>
      </c>
      <c r="D6" s="97">
        <v>540.82347377472047</v>
      </c>
      <c r="E6" s="97">
        <v>472.81573516766969</v>
      </c>
      <c r="F6" s="97">
        <v>469.57721410146172</v>
      </c>
      <c r="G6" s="97">
        <v>447.98744625967322</v>
      </c>
      <c r="H6" s="97">
        <v>430.71564918314698</v>
      </c>
      <c r="I6" s="97">
        <v>362.70791057609631</v>
      </c>
      <c r="J6" s="97">
        <v>368.10541702493549</v>
      </c>
      <c r="K6" s="97">
        <v>367.02588134135863</v>
      </c>
      <c r="L6" s="97">
        <v>343.27712811693891</v>
      </c>
      <c r="M6" s="97">
        <v>309.81306964746352</v>
      </c>
      <c r="N6" s="97">
        <v>304.41556319862423</v>
      </c>
      <c r="O6" s="97">
        <v>286.06431642304381</v>
      </c>
      <c r="P6" s="97">
        <v>220.21556319862421</v>
      </c>
      <c r="Q6" s="97">
        <v>191.86010318142729</v>
      </c>
      <c r="R6" s="97">
        <v>181.35898538263109</v>
      </c>
      <c r="S6" s="97">
        <v>162.63628546861571</v>
      </c>
      <c r="T6" s="97">
        <v>147.6896818572657</v>
      </c>
      <c r="U6" s="97">
        <v>137.46044711951851</v>
      </c>
      <c r="V6" s="97">
        <v>116.5312123817713</v>
      </c>
      <c r="W6" s="97">
        <v>116.8410146173689</v>
      </c>
      <c r="DA6" s="175" t="s">
        <v>629</v>
      </c>
    </row>
    <row r="7" spans="1:105" ht="11.45" customHeight="1" x14ac:dyDescent="0.25">
      <c r="A7" s="128" t="s">
        <v>53</v>
      </c>
      <c r="B7" s="97">
        <v>3963.7336199484089</v>
      </c>
      <c r="C7" s="97">
        <v>4055.2498710232148</v>
      </c>
      <c r="D7" s="97">
        <v>4100.5159071367152</v>
      </c>
      <c r="E7" s="97">
        <v>4118.22871883061</v>
      </c>
      <c r="F7" s="97">
        <v>4074.9306964746352</v>
      </c>
      <c r="G7" s="97">
        <v>4038.5210662080822</v>
      </c>
      <c r="H7" s="97">
        <v>4096.6895958727428</v>
      </c>
      <c r="I7" s="97">
        <v>4084.1310404127262</v>
      </c>
      <c r="J7" s="97">
        <v>4061.9662080825451</v>
      </c>
      <c r="K7" s="97">
        <v>4046.1067927773001</v>
      </c>
      <c r="L7" s="97">
        <v>4048.1513327601028</v>
      </c>
      <c r="M7" s="97">
        <v>4102.69415305245</v>
      </c>
      <c r="N7" s="97">
        <v>3922.427601031814</v>
      </c>
      <c r="O7" s="97">
        <v>3823.25399828031</v>
      </c>
      <c r="P7" s="97">
        <v>3706.1550300945828</v>
      </c>
      <c r="Q7" s="97">
        <v>3785.6932932072218</v>
      </c>
      <c r="R7" s="97">
        <v>3908.4081685296642</v>
      </c>
      <c r="S7" s="97">
        <v>4035.8295786758381</v>
      </c>
      <c r="T7" s="97">
        <v>4097.4459157351675</v>
      </c>
      <c r="U7" s="97">
        <v>4178.5006018916592</v>
      </c>
      <c r="V7" s="97">
        <v>3484.661306964746</v>
      </c>
      <c r="W7" s="97">
        <v>3588.9625967325878</v>
      </c>
      <c r="DA7" s="175" t="s">
        <v>630</v>
      </c>
    </row>
    <row r="8" spans="1:105" ht="11.45" customHeight="1" x14ac:dyDescent="0.25">
      <c r="A8" s="128" t="s">
        <v>54</v>
      </c>
      <c r="B8" s="97">
        <v>5635.0768701633706</v>
      </c>
      <c r="C8" s="97">
        <v>5663.9008598452274</v>
      </c>
      <c r="D8" s="97">
        <v>5874.9331040412717</v>
      </c>
      <c r="E8" s="97">
        <v>6101.4067927773003</v>
      </c>
      <c r="F8" s="97">
        <v>6320.6744625967322</v>
      </c>
      <c r="G8" s="97">
        <v>6431.8524505588994</v>
      </c>
      <c r="H8" s="97">
        <v>6685.0912295786757</v>
      </c>
      <c r="I8" s="97">
        <v>6575.9721410146167</v>
      </c>
      <c r="J8" s="97">
        <v>6736.715391229578</v>
      </c>
      <c r="K8" s="97">
        <v>6294.0670679277728</v>
      </c>
      <c r="L8" s="97">
        <v>6467.4118658641437</v>
      </c>
      <c r="M8" s="97">
        <v>6472.5709372312976</v>
      </c>
      <c r="N8" s="97">
        <v>6185.7265692175406</v>
      </c>
      <c r="O8" s="97">
        <v>5780.2235597592426</v>
      </c>
      <c r="P8" s="97">
        <v>5117.7987962166808</v>
      </c>
      <c r="Q8" s="97">
        <v>5195.3604471195194</v>
      </c>
      <c r="R8" s="97">
        <v>5141.1707652622526</v>
      </c>
      <c r="S8" s="97">
        <v>5311.0964746345653</v>
      </c>
      <c r="T8" s="97">
        <v>5304.7259673258814</v>
      </c>
      <c r="U8" s="97">
        <v>5115.1315563198623</v>
      </c>
      <c r="V8" s="97">
        <v>4436.5348237317276</v>
      </c>
      <c r="W8" s="97">
        <v>4370.4601031814273</v>
      </c>
      <c r="DA8" s="175" t="s">
        <v>631</v>
      </c>
    </row>
    <row r="9" spans="1:105" ht="11.45" customHeight="1" x14ac:dyDescent="0.25">
      <c r="A9" s="92" t="s">
        <v>55</v>
      </c>
      <c r="B9" s="97">
        <v>0.15047291487532241</v>
      </c>
      <c r="C9" s="97">
        <v>0.23645743766122099</v>
      </c>
      <c r="D9" s="97">
        <v>0.3869303525365434</v>
      </c>
      <c r="E9" s="97">
        <v>0.53740326741186584</v>
      </c>
      <c r="F9" s="97">
        <v>0.66638005159071367</v>
      </c>
      <c r="G9" s="97">
        <v>0.73086844368013748</v>
      </c>
      <c r="H9" s="97">
        <v>1.3327601031814269</v>
      </c>
      <c r="I9" s="97">
        <v>2.1066208082545139</v>
      </c>
      <c r="J9" s="97">
        <v>3.1169389509888221</v>
      </c>
      <c r="K9" s="97">
        <v>6.2768701633705932</v>
      </c>
      <c r="L9" s="97">
        <v>9.2648323301805675</v>
      </c>
      <c r="M9" s="97">
        <v>17.282803095442819</v>
      </c>
      <c r="N9" s="97">
        <v>23.710146173688742</v>
      </c>
      <c r="O9" s="97">
        <v>26.182201203783318</v>
      </c>
      <c r="P9" s="97">
        <v>30.459931212381768</v>
      </c>
      <c r="Q9" s="97">
        <v>36.069561478933792</v>
      </c>
      <c r="R9" s="97">
        <v>44.632416165090277</v>
      </c>
      <c r="S9" s="97">
        <v>56.99294926913155</v>
      </c>
      <c r="T9" s="97">
        <v>59.754772141014612</v>
      </c>
      <c r="U9" s="97">
        <v>63.796388650042992</v>
      </c>
      <c r="V9" s="97">
        <v>60.409200343938096</v>
      </c>
      <c r="W9" s="97">
        <v>61.804643164230427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40.818744625967319</v>
      </c>
      <c r="I10" s="97">
        <f t="shared" si="8"/>
        <v>330.41943250214956</v>
      </c>
      <c r="J10" s="97">
        <f t="shared" si="8"/>
        <v>287.23843508168534</v>
      </c>
      <c r="K10" s="97">
        <f t="shared" si="8"/>
        <v>373.44987102321591</v>
      </c>
      <c r="L10" s="97">
        <f t="shared" si="8"/>
        <v>228.6949269131556</v>
      </c>
      <c r="M10" s="97">
        <f t="shared" si="8"/>
        <v>321.29552880481509</v>
      </c>
      <c r="N10" s="97">
        <f t="shared" si="8"/>
        <v>311.8133276010318</v>
      </c>
      <c r="O10" s="97">
        <f t="shared" si="8"/>
        <v>298.31848667239899</v>
      </c>
      <c r="P10" s="97">
        <f t="shared" si="8"/>
        <v>348.38065348237308</v>
      </c>
      <c r="Q10" s="97">
        <f t="shared" si="8"/>
        <v>293.52175408426478</v>
      </c>
      <c r="R10" s="97">
        <f t="shared" si="8"/>
        <v>235.2821152192605</v>
      </c>
      <c r="S10" s="97">
        <f t="shared" si="8"/>
        <v>302.30593293207221</v>
      </c>
      <c r="T10" s="97">
        <f t="shared" si="8"/>
        <v>491.02166809974199</v>
      </c>
      <c r="U10" s="97">
        <f t="shared" si="8"/>
        <v>606.00206362854681</v>
      </c>
      <c r="V10" s="97">
        <f t="shared" si="8"/>
        <v>518.10171969045564</v>
      </c>
      <c r="W10" s="97">
        <f t="shared" si="8"/>
        <v>591.60017196904562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18.72553740326741</v>
      </c>
      <c r="I12" s="97">
        <v>88.277472055030088</v>
      </c>
      <c r="J12" s="97">
        <v>107.84127257093721</v>
      </c>
      <c r="K12" s="97">
        <v>138.37773000859849</v>
      </c>
      <c r="L12" s="97">
        <v>134.13585554600169</v>
      </c>
      <c r="M12" s="97">
        <v>148.9681857265692</v>
      </c>
      <c r="N12" s="97">
        <v>124.4625967325881</v>
      </c>
      <c r="O12" s="97">
        <v>125.1074806534824</v>
      </c>
      <c r="P12" s="97">
        <v>128.33190025795349</v>
      </c>
      <c r="Q12" s="97">
        <v>142.12467755803951</v>
      </c>
      <c r="R12" s="97">
        <v>120.5881341358555</v>
      </c>
      <c r="S12" s="97">
        <v>128.9419604471195</v>
      </c>
      <c r="T12" s="97">
        <v>170.66964746345661</v>
      </c>
      <c r="U12" s="97">
        <v>198.74118658641439</v>
      </c>
      <c r="V12" s="97">
        <v>226.44995700773859</v>
      </c>
      <c r="W12" s="97">
        <v>233.2489251934652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22.09320722269991</v>
      </c>
      <c r="I13" s="97">
        <v>242.14196044711949</v>
      </c>
      <c r="J13" s="97">
        <v>179.3971625107481</v>
      </c>
      <c r="K13" s="97">
        <v>235.07214101461739</v>
      </c>
      <c r="L13" s="97">
        <v>94.559071367153905</v>
      </c>
      <c r="M13" s="97">
        <v>172.32734307824589</v>
      </c>
      <c r="N13" s="97">
        <v>187.35073086844369</v>
      </c>
      <c r="O13" s="97">
        <v>173.21100601891661</v>
      </c>
      <c r="P13" s="97">
        <v>220.04875322441961</v>
      </c>
      <c r="Q13" s="97">
        <v>151.39707652622531</v>
      </c>
      <c r="R13" s="97">
        <v>114.69398108340501</v>
      </c>
      <c r="S13" s="97">
        <v>173.36397248495271</v>
      </c>
      <c r="T13" s="97">
        <v>320.35202063628537</v>
      </c>
      <c r="U13" s="97">
        <v>407.26087704213239</v>
      </c>
      <c r="V13" s="97">
        <v>291.65176268271711</v>
      </c>
      <c r="W13" s="97">
        <v>358.35124677558042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0.90706165380145176</v>
      </c>
      <c r="C15" s="98">
        <v>0.79897613814849122</v>
      </c>
      <c r="D15" s="98">
        <v>0.88015412030028273</v>
      </c>
      <c r="E15" s="98">
        <v>0.7547534956275882</v>
      </c>
      <c r="F15" s="98">
        <v>0.90686150196218662</v>
      </c>
      <c r="G15" s="98">
        <v>0.9356687604279692</v>
      </c>
      <c r="H15" s="98">
        <v>0.95047396094197978</v>
      </c>
      <c r="I15" s="98">
        <v>0.95140188054416963</v>
      </c>
      <c r="J15" s="98">
        <v>0.77474546066356131</v>
      </c>
      <c r="K15" s="98">
        <v>0.92190461560041537</v>
      </c>
      <c r="L15" s="98">
        <v>1.4191448630276393</v>
      </c>
      <c r="M15" s="98">
        <v>1.5721781785992546</v>
      </c>
      <c r="N15" s="98">
        <v>2.5252334781844432</v>
      </c>
      <c r="O15" s="98">
        <v>5.4467807395404568</v>
      </c>
      <c r="P15" s="98">
        <v>7.9247696822548148</v>
      </c>
      <c r="Q15" s="98">
        <v>14.600043743376496</v>
      </c>
      <c r="R15" s="98">
        <v>18.121052242534486</v>
      </c>
      <c r="S15" s="98">
        <v>21.761797902293203</v>
      </c>
      <c r="T15" s="98">
        <v>30.281013006178561</v>
      </c>
      <c r="U15" s="98">
        <v>52.305099177147682</v>
      </c>
      <c r="V15" s="98">
        <v>66.195805934063742</v>
      </c>
      <c r="W15" s="98">
        <v>103.99964439036603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10202.222280914335</v>
      </c>
      <c r="C17" s="79">
        <f t="shared" si="9"/>
        <v>10279.360884994552</v>
      </c>
      <c r="D17" s="79">
        <f t="shared" si="9"/>
        <v>10517.539569425544</v>
      </c>
      <c r="E17" s="79">
        <f t="shared" si="9"/>
        <v>10693.74340353862</v>
      </c>
      <c r="F17" s="79">
        <f t="shared" si="9"/>
        <v>10866.755614726382</v>
      </c>
      <c r="G17" s="79">
        <f t="shared" si="9"/>
        <v>10920.027500230763</v>
      </c>
      <c r="H17" s="79">
        <f t="shared" si="9"/>
        <v>11255.598453324656</v>
      </c>
      <c r="I17" s="79">
        <f t="shared" si="9"/>
        <v>11356.288547194388</v>
      </c>
      <c r="J17" s="79">
        <f t="shared" si="9"/>
        <v>11457.917135830397</v>
      </c>
      <c r="K17" s="79">
        <f t="shared" si="9"/>
        <v>11087.848387848619</v>
      </c>
      <c r="L17" s="79">
        <f t="shared" ref="L17" si="10">L18+L42</f>
        <v>11098.21923084755</v>
      </c>
      <c r="M17" s="79">
        <f t="shared" ref="M17:V17" si="11">M18+M42</f>
        <v>11225.228670010067</v>
      </c>
      <c r="N17" s="79">
        <f t="shared" si="11"/>
        <v>10750.618440700884</v>
      </c>
      <c r="O17" s="79">
        <f t="shared" si="11"/>
        <v>10219.48934307832</v>
      </c>
      <c r="P17" s="79">
        <f t="shared" si="11"/>
        <v>9430.9347438868972</v>
      </c>
      <c r="Q17" s="79">
        <f t="shared" si="11"/>
        <v>9517.1052028147424</v>
      </c>
      <c r="R17" s="79">
        <f t="shared" si="11"/>
        <v>9528.9735028014329</v>
      </c>
      <c r="S17" s="79">
        <f t="shared" si="11"/>
        <v>9890.6230188825157</v>
      </c>
      <c r="T17" s="79">
        <f t="shared" si="11"/>
        <v>10130.919018165248</v>
      </c>
      <c r="U17" s="79">
        <f t="shared" si="11"/>
        <v>10153.196156786777</v>
      </c>
      <c r="V17" s="79">
        <f t="shared" si="11"/>
        <v>8682.4340690467034</v>
      </c>
      <c r="W17" s="79">
        <f t="shared" ref="W17" si="12">W18+W42</f>
        <v>8833.6681740550266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6296.6066703294955</v>
      </c>
      <c r="C18" s="32">
        <f t="shared" si="13"/>
        <v>6343.792861726648</v>
      </c>
      <c r="D18" s="32">
        <f t="shared" si="13"/>
        <v>6457.004523026314</v>
      </c>
      <c r="E18" s="32">
        <f t="shared" si="13"/>
        <v>6479.6563557220097</v>
      </c>
      <c r="F18" s="32">
        <f t="shared" si="13"/>
        <v>6503.1835549714006</v>
      </c>
      <c r="G18" s="32">
        <f t="shared" si="13"/>
        <v>6525.7800230519078</v>
      </c>
      <c r="H18" s="32">
        <f t="shared" si="13"/>
        <v>6687.3950806968905</v>
      </c>
      <c r="I18" s="32">
        <f t="shared" si="13"/>
        <v>6752.8747199074687</v>
      </c>
      <c r="J18" s="32">
        <f t="shared" si="13"/>
        <v>6800.5581018387074</v>
      </c>
      <c r="K18" s="32">
        <f t="shared" si="13"/>
        <v>6790.2824504752016</v>
      </c>
      <c r="L18" s="32">
        <f t="shared" ref="L18" si="14">L19+L21+L33</f>
        <v>6735.3763082451069</v>
      </c>
      <c r="M18" s="32">
        <f t="shared" ref="M18:V18" si="15">M19+M21+M33</f>
        <v>6739.7678483928748</v>
      </c>
      <c r="N18" s="32">
        <f t="shared" si="15"/>
        <v>6449.2435817916603</v>
      </c>
      <c r="O18" s="32">
        <f t="shared" si="15"/>
        <v>6283.7716652571844</v>
      </c>
      <c r="P18" s="32">
        <f t="shared" si="15"/>
        <v>6075.0043330543767</v>
      </c>
      <c r="Q18" s="32">
        <f t="shared" si="15"/>
        <v>6098.2085944636765</v>
      </c>
      <c r="R18" s="32">
        <f t="shared" si="15"/>
        <v>6132.876537473503</v>
      </c>
      <c r="S18" s="32">
        <f t="shared" si="15"/>
        <v>6217.1966138184525</v>
      </c>
      <c r="T18" s="32">
        <f t="shared" si="15"/>
        <v>6197.0588254120375</v>
      </c>
      <c r="U18" s="32">
        <f t="shared" si="15"/>
        <v>6155.285522701899</v>
      </c>
      <c r="V18" s="32">
        <f t="shared" si="15"/>
        <v>4977.2216823118006</v>
      </c>
      <c r="W18" s="32">
        <f t="shared" ref="W18" si="16">W19+W21+W33</f>
        <v>5273.49431103194</v>
      </c>
      <c r="DA18" s="173" t="s">
        <v>390</v>
      </c>
    </row>
    <row r="19" spans="1:105" ht="11.45" customHeight="1" x14ac:dyDescent="0.25">
      <c r="A19" s="107" t="s">
        <v>181</v>
      </c>
      <c r="B19" s="129">
        <v>131.47833115500677</v>
      </c>
      <c r="C19" s="129">
        <v>136.49706665548501</v>
      </c>
      <c r="D19" s="129">
        <v>140.13506198623094</v>
      </c>
      <c r="E19" s="129">
        <v>141.91399834743933</v>
      </c>
      <c r="F19" s="129">
        <v>134.67333157720162</v>
      </c>
      <c r="G19" s="129">
        <v>138.35014180143204</v>
      </c>
      <c r="H19" s="129">
        <v>144.46129116232635</v>
      </c>
      <c r="I19" s="129">
        <v>150.8396279602778</v>
      </c>
      <c r="J19" s="129">
        <v>160.25784936048382</v>
      </c>
      <c r="K19" s="129">
        <v>163.87683578522282</v>
      </c>
      <c r="L19" s="129">
        <v>164.51935773336461</v>
      </c>
      <c r="M19" s="129">
        <v>166.60225858033417</v>
      </c>
      <c r="N19" s="129">
        <v>160.74117367566163</v>
      </c>
      <c r="O19" s="129">
        <v>157.70573579876569</v>
      </c>
      <c r="P19" s="129">
        <v>150.20576569846256</v>
      </c>
      <c r="Q19" s="129">
        <v>153.17494626930156</v>
      </c>
      <c r="R19" s="129">
        <v>154.03849818181141</v>
      </c>
      <c r="S19" s="129">
        <v>143.67298302726994</v>
      </c>
      <c r="T19" s="129">
        <v>142.37914125759343</v>
      </c>
      <c r="U19" s="129">
        <v>143.54096182857836</v>
      </c>
      <c r="V19" s="129">
        <v>131.57610130773597</v>
      </c>
      <c r="W19" s="129">
        <v>127.08293656080899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0.65731286477315409</v>
      </c>
      <c r="I20" s="97">
        <v>3.1913799912604941</v>
      </c>
      <c r="J20" s="97">
        <v>4.1446542783331743</v>
      </c>
      <c r="K20" s="97">
        <v>5.4192826890547137</v>
      </c>
      <c r="L20" s="97">
        <v>5.2765254536194242</v>
      </c>
      <c r="M20" s="97">
        <v>5.8373488346650824</v>
      </c>
      <c r="N20" s="97">
        <v>4.9436142074150453</v>
      </c>
      <c r="O20" s="97">
        <v>4.9970519152454047</v>
      </c>
      <c r="P20" s="97">
        <v>5.0270588195778281</v>
      </c>
      <c r="Q20" s="97">
        <v>5.5425022265614441</v>
      </c>
      <c r="R20" s="97">
        <v>4.6103827567538209</v>
      </c>
      <c r="S20" s="97">
        <v>4.4481374118118175</v>
      </c>
      <c r="T20" s="97">
        <v>5.6933317490523461</v>
      </c>
      <c r="U20" s="97">
        <v>6.5172321877804302</v>
      </c>
      <c r="V20" s="97">
        <v>8.0287009375431051</v>
      </c>
      <c r="W20" s="97">
        <v>7.7551852358765121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5801.7341275319577</v>
      </c>
      <c r="C21" s="130">
        <f t="shared" si="17"/>
        <v>5854.9585515161452</v>
      </c>
      <c r="D21" s="130">
        <f t="shared" si="17"/>
        <v>5968.3780242503599</v>
      </c>
      <c r="E21" s="130">
        <f t="shared" si="17"/>
        <v>5997.9175388255535</v>
      </c>
      <c r="F21" s="130">
        <f t="shared" si="17"/>
        <v>6035.9619209090197</v>
      </c>
      <c r="G21" s="130">
        <f t="shared" si="17"/>
        <v>6055.4602796887366</v>
      </c>
      <c r="H21" s="130">
        <f t="shared" si="17"/>
        <v>6214.2475380254609</v>
      </c>
      <c r="I21" s="130">
        <f t="shared" si="17"/>
        <v>6274.3279484734976</v>
      </c>
      <c r="J21" s="130">
        <f t="shared" si="17"/>
        <v>6300.4493754861069</v>
      </c>
      <c r="K21" s="130">
        <f t="shared" si="17"/>
        <v>6274.4186467343243</v>
      </c>
      <c r="L21" s="130">
        <f t="shared" ref="L21" si="18">L22+L24+L26+L27+L29+L32</f>
        <v>6202.8463645425836</v>
      </c>
      <c r="M21" s="130">
        <f t="shared" ref="M21:V21" si="19">M22+M24+M26+M27+M29+M32</f>
        <v>6211.1909009504852</v>
      </c>
      <c r="N21" s="130">
        <f t="shared" si="19"/>
        <v>5936.5069403024609</v>
      </c>
      <c r="O21" s="130">
        <f t="shared" si="19"/>
        <v>5787.0653744383308</v>
      </c>
      <c r="P21" s="130">
        <f t="shared" si="19"/>
        <v>5599.0713160828727</v>
      </c>
      <c r="Q21" s="130">
        <f t="shared" si="19"/>
        <v>5624.6017792687235</v>
      </c>
      <c r="R21" s="130">
        <f t="shared" si="19"/>
        <v>5653.8159976576599</v>
      </c>
      <c r="S21" s="130">
        <f t="shared" si="19"/>
        <v>5722.5575615442658</v>
      </c>
      <c r="T21" s="130">
        <f t="shared" si="19"/>
        <v>5728.7693135551644</v>
      </c>
      <c r="U21" s="130">
        <f t="shared" si="19"/>
        <v>5702.377951104635</v>
      </c>
      <c r="V21" s="130">
        <f t="shared" si="19"/>
        <v>4596.6587416362781</v>
      </c>
      <c r="W21" s="130">
        <f t="shared" ref="W21" si="20">W22+W24+W26+W27+W29+W32</f>
        <v>4917.6137793653288</v>
      </c>
      <c r="DA21" s="176" t="s">
        <v>392</v>
      </c>
    </row>
    <row r="22" spans="1:105" ht="11.45" customHeight="1" x14ac:dyDescent="0.25">
      <c r="A22" s="111" t="s">
        <v>110</v>
      </c>
      <c r="B22" s="96">
        <v>3760.4341873505928</v>
      </c>
      <c r="C22" s="96">
        <v>3853.1285781767106</v>
      </c>
      <c r="D22" s="96">
        <v>3902.3334002030774</v>
      </c>
      <c r="E22" s="96">
        <v>3924.0268616574458</v>
      </c>
      <c r="F22" s="96">
        <v>3891.9495033611984</v>
      </c>
      <c r="G22" s="96">
        <v>3854.3218074618735</v>
      </c>
      <c r="H22" s="96">
        <v>3929.9692236080787</v>
      </c>
      <c r="I22" s="96">
        <v>3983.3734155457059</v>
      </c>
      <c r="J22" s="96">
        <v>3973.4281353143488</v>
      </c>
      <c r="K22" s="96">
        <v>3987.5167642530855</v>
      </c>
      <c r="L22" s="96">
        <v>3986.8060607681341</v>
      </c>
      <c r="M22" s="96">
        <v>4056.0627672039186</v>
      </c>
      <c r="N22" s="96">
        <v>3858.8049689373015</v>
      </c>
      <c r="O22" s="96">
        <v>3763.4515840609361</v>
      </c>
      <c r="P22" s="96">
        <v>3653.7459403186749</v>
      </c>
      <c r="Q22" s="96">
        <v>3737.2918423664</v>
      </c>
      <c r="R22" s="96">
        <v>3835.6838625432979</v>
      </c>
      <c r="S22" s="96">
        <v>3982.5728340278856</v>
      </c>
      <c r="T22" s="96">
        <v>4088.1270715310352</v>
      </c>
      <c r="U22" s="96">
        <v>4194.1199801406283</v>
      </c>
      <c r="V22" s="96">
        <v>3540.9615341117665</v>
      </c>
      <c r="W22" s="96">
        <v>3649.4640500509959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17.881740555243109</v>
      </c>
      <c r="I23" s="96">
        <v>84.277973818917431</v>
      </c>
      <c r="J23" s="96">
        <v>102.76242933745995</v>
      </c>
      <c r="K23" s="96">
        <v>131.86415559764424</v>
      </c>
      <c r="L23" s="96">
        <v>127.86631280424112</v>
      </c>
      <c r="M23" s="96">
        <v>142.11483967397447</v>
      </c>
      <c r="N23" s="96">
        <v>118.67801280693674</v>
      </c>
      <c r="O23" s="96">
        <v>119.24843982885903</v>
      </c>
      <c r="P23" s="96">
        <v>122.28289419094969</v>
      </c>
      <c r="Q23" s="96">
        <v>135.23065528750283</v>
      </c>
      <c r="R23" s="96">
        <v>114.80227961815199</v>
      </c>
      <c r="S23" s="96">
        <v>123.30106081908551</v>
      </c>
      <c r="T23" s="96">
        <v>163.47242612173514</v>
      </c>
      <c r="U23" s="96">
        <v>190.42685367141959</v>
      </c>
      <c r="V23" s="96">
        <v>216.06751458789211</v>
      </c>
      <c r="W23" s="96">
        <v>222.7070800042064</v>
      </c>
      <c r="DA23" s="171" t="s">
        <v>641</v>
      </c>
    </row>
    <row r="24" spans="1:105" ht="11.45" customHeight="1" x14ac:dyDescent="0.25">
      <c r="A24" s="111" t="s">
        <v>111</v>
      </c>
      <c r="B24" s="96">
        <v>1486.0782452304763</v>
      </c>
      <c r="C24" s="96">
        <v>1489.516967017752</v>
      </c>
      <c r="D24" s="96">
        <v>1570.1414665337099</v>
      </c>
      <c r="E24" s="96">
        <v>1644.0978933924189</v>
      </c>
      <c r="F24" s="96">
        <v>1715.8932386428514</v>
      </c>
      <c r="G24" s="96">
        <v>1789.2822851625231</v>
      </c>
      <c r="H24" s="96">
        <v>1886.7486556500598</v>
      </c>
      <c r="I24" s="96">
        <v>1961.3926524103779</v>
      </c>
      <c r="J24" s="96">
        <v>1992.3894174385171</v>
      </c>
      <c r="K24" s="96">
        <v>1952.2139632015458</v>
      </c>
      <c r="L24" s="96">
        <v>1904.3859939630765</v>
      </c>
      <c r="M24" s="96">
        <v>1875.6110170160814</v>
      </c>
      <c r="N24" s="96">
        <v>1794.7046108246179</v>
      </c>
      <c r="O24" s="96">
        <v>1752.1668593615927</v>
      </c>
      <c r="P24" s="96">
        <v>1730.8486877372734</v>
      </c>
      <c r="Q24" s="96">
        <v>1687.2474313355549</v>
      </c>
      <c r="R24" s="96">
        <v>1632.3125998424221</v>
      </c>
      <c r="S24" s="96">
        <v>1570.8215826793632</v>
      </c>
      <c r="T24" s="96">
        <v>1469.4236993397176</v>
      </c>
      <c r="U24" s="96">
        <v>1333.0521636853885</v>
      </c>
      <c r="V24" s="96">
        <v>895.30759177706307</v>
      </c>
      <c r="W24" s="96">
        <v>1065.6648380651072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6.2148774078302083</v>
      </c>
      <c r="I25" s="96">
        <v>69.657892929571688</v>
      </c>
      <c r="J25" s="96">
        <v>51.680623374414289</v>
      </c>
      <c r="K25" s="96">
        <v>70.286618398316349</v>
      </c>
      <c r="L25" s="96">
        <v>27.442512750558301</v>
      </c>
      <c r="M25" s="96">
        <v>48.641687137400581</v>
      </c>
      <c r="N25" s="96">
        <v>52.759319352116044</v>
      </c>
      <c r="O25" s="96">
        <v>50.978066705828994</v>
      </c>
      <c r="P25" s="96">
        <v>71.352936221752699</v>
      </c>
      <c r="Q25" s="96">
        <v>47.775558803797892</v>
      </c>
      <c r="R25" s="96">
        <v>35.620481021453195</v>
      </c>
      <c r="S25" s="96">
        <v>49.653721138862743</v>
      </c>
      <c r="T25" s="96">
        <v>83.684679974518787</v>
      </c>
      <c r="U25" s="96">
        <v>98.308839850939364</v>
      </c>
      <c r="V25" s="96">
        <v>55.225831830594963</v>
      </c>
      <c r="W25" s="96">
        <v>80.75651471463334</v>
      </c>
      <c r="DA25" s="171" t="s">
        <v>643</v>
      </c>
    </row>
    <row r="26" spans="1:105" ht="11.45" customHeight="1" x14ac:dyDescent="0.25">
      <c r="A26" s="111" t="s">
        <v>112</v>
      </c>
      <c r="B26" s="96">
        <v>555.22169495088838</v>
      </c>
      <c r="C26" s="96">
        <v>512.31300632168359</v>
      </c>
      <c r="D26" s="96">
        <v>495.90315751357213</v>
      </c>
      <c r="E26" s="96">
        <v>429.79278377568892</v>
      </c>
      <c r="F26" s="96">
        <v>428.11917890497006</v>
      </c>
      <c r="G26" s="96">
        <v>411.85618706433945</v>
      </c>
      <c r="H26" s="96">
        <v>397.52965876732293</v>
      </c>
      <c r="I26" s="96">
        <v>329.56188051741333</v>
      </c>
      <c r="J26" s="96">
        <v>334.63182273324088</v>
      </c>
      <c r="K26" s="96">
        <v>334.68000805988504</v>
      </c>
      <c r="L26" s="96">
        <v>311.41753060097</v>
      </c>
      <c r="M26" s="96">
        <v>278.27577004134622</v>
      </c>
      <c r="N26" s="96">
        <v>273.75989008557127</v>
      </c>
      <c r="O26" s="96">
        <v>255.71938402948214</v>
      </c>
      <c r="P26" s="96">
        <v>189.97791873109432</v>
      </c>
      <c r="Q26" s="96">
        <v>161.63138398359493</v>
      </c>
      <c r="R26" s="96">
        <v>151.23775515728457</v>
      </c>
      <c r="S26" s="96">
        <v>132.42151079491651</v>
      </c>
      <c r="T26" s="96">
        <v>117.95050031473892</v>
      </c>
      <c r="U26" s="96">
        <v>106.31306628506168</v>
      </c>
      <c r="V26" s="96">
        <v>86.327185753283942</v>
      </c>
      <c r="W26" s="96">
        <v>89.962327774773172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0.21271644254718095</v>
      </c>
      <c r="M27" s="96">
        <v>0.99770370705179756</v>
      </c>
      <c r="N27" s="96">
        <v>7.6150904566583009</v>
      </c>
      <c r="O27" s="96">
        <v>8.3061312759688271</v>
      </c>
      <c r="P27" s="96">
        <v>11.116758227883027</v>
      </c>
      <c r="Q27" s="96">
        <v>11.656051553620518</v>
      </c>
      <c r="R27" s="96">
        <v>3.1361966213505355</v>
      </c>
      <c r="S27" s="96">
        <v>4.3502110702782746</v>
      </c>
      <c r="T27" s="96">
        <v>13.812178558339285</v>
      </c>
      <c r="U27" s="96">
        <v>13.707333482871375</v>
      </c>
      <c r="V27" s="96">
        <v>10.923135720375521</v>
      </c>
      <c r="W27" s="96">
        <v>10.089468187836987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4.8559560725214505E-3</v>
      </c>
      <c r="N29" s="96">
        <v>1.0621581858779852</v>
      </c>
      <c r="O29" s="96">
        <v>6.3816140035422748</v>
      </c>
      <c r="P29" s="96">
        <v>11.697256111947945</v>
      </c>
      <c r="Q29" s="96">
        <v>24.354931653058593</v>
      </c>
      <c r="R29" s="96">
        <v>28.144311003410465</v>
      </c>
      <c r="S29" s="96">
        <v>27.197510363194656</v>
      </c>
      <c r="T29" s="96">
        <v>27.771921710979534</v>
      </c>
      <c r="U29" s="96">
        <v>27.568414977947626</v>
      </c>
      <c r="V29" s="96">
        <v>26.290211872617526</v>
      </c>
      <c r="W29" s="96">
        <v>39.51402820359597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1.0869971837053142E-4</v>
      </c>
      <c r="N30" s="96">
        <v>1.6178257564405545E-2</v>
      </c>
      <c r="O30" s="96">
        <v>0.10188463177288704</v>
      </c>
      <c r="P30" s="96">
        <v>0.23255727487483568</v>
      </c>
      <c r="Q30" s="96">
        <v>0.50433887232148245</v>
      </c>
      <c r="R30" s="96">
        <v>0.4819102800263696</v>
      </c>
      <c r="S30" s="96">
        <v>0.48716113220592389</v>
      </c>
      <c r="T30" s="96">
        <v>0.64798739160661034</v>
      </c>
      <c r="U30" s="96">
        <v>0.73273660513347261</v>
      </c>
      <c r="V30" s="96">
        <v>0.93239894096961984</v>
      </c>
      <c r="W30" s="96">
        <v>1.3587026801347299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1.753585612830427E-3</v>
      </c>
      <c r="N31" s="96">
        <v>0.53612358855258557</v>
      </c>
      <c r="O31" s="96">
        <v>3.1661599532634388</v>
      </c>
      <c r="P31" s="96">
        <v>4.7485720413971153</v>
      </c>
      <c r="Q31" s="96">
        <v>10.416808308850168</v>
      </c>
      <c r="R31" s="96">
        <v>12.043102121155842</v>
      </c>
      <c r="S31" s="96">
        <v>11.462408993999732</v>
      </c>
      <c r="T31" s="96">
        <v>11.567018777288078</v>
      </c>
      <c r="U31" s="96">
        <v>11.430012349747544</v>
      </c>
      <c r="V31" s="96">
        <v>11.009854754995626</v>
      </c>
      <c r="W31" s="96">
        <v>17.249192322464676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7.9112198084787758E-3</v>
      </c>
      <c r="L32" s="96">
        <v>2.4062767854913063E-2</v>
      </c>
      <c r="M32" s="96">
        <v>0.23878702601479621</v>
      </c>
      <c r="N32" s="96">
        <v>0.56022181243422342</v>
      </c>
      <c r="O32" s="96">
        <v>1.039801706808384</v>
      </c>
      <c r="P32" s="96">
        <v>1.6847549559985933</v>
      </c>
      <c r="Q32" s="96">
        <v>2.4201383764947959</v>
      </c>
      <c r="R32" s="96">
        <v>3.30127248989483</v>
      </c>
      <c r="S32" s="96">
        <v>5.1939126086273211</v>
      </c>
      <c r="T32" s="96">
        <v>11.683942100353908</v>
      </c>
      <c r="U32" s="96">
        <v>27.616992532738987</v>
      </c>
      <c r="V32" s="96">
        <v>36.849082401171238</v>
      </c>
      <c r="W32" s="96">
        <v>62.919067083018291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363.39421164253116</v>
      </c>
      <c r="C33" s="130">
        <f t="shared" si="21"/>
        <v>352.33724355501698</v>
      </c>
      <c r="D33" s="130">
        <f t="shared" si="21"/>
        <v>348.4914367897232</v>
      </c>
      <c r="E33" s="130">
        <f t="shared" si="21"/>
        <v>339.82481854901675</v>
      </c>
      <c r="F33" s="130">
        <f t="shared" si="21"/>
        <v>332.54830248517953</v>
      </c>
      <c r="G33" s="130">
        <f t="shared" si="21"/>
        <v>331.96960156173884</v>
      </c>
      <c r="H33" s="130">
        <f t="shared" si="21"/>
        <v>328.68625150910367</v>
      </c>
      <c r="I33" s="130">
        <f t="shared" si="21"/>
        <v>327.70714347369318</v>
      </c>
      <c r="J33" s="130">
        <f t="shared" si="21"/>
        <v>339.85087699211675</v>
      </c>
      <c r="K33" s="130">
        <f t="shared" si="21"/>
        <v>351.98696795565451</v>
      </c>
      <c r="L33" s="130">
        <f t="shared" ref="L33" si="22">L34+L36+L38+L39+L41</f>
        <v>368.01058596915811</v>
      </c>
      <c r="M33" s="130">
        <f t="shared" ref="M33:V33" si="23">M34+M36+M38+M39+M41</f>
        <v>361.97468886205598</v>
      </c>
      <c r="N33" s="130">
        <f t="shared" si="23"/>
        <v>351.99546781353803</v>
      </c>
      <c r="O33" s="130">
        <f t="shared" si="23"/>
        <v>339.00055502008792</v>
      </c>
      <c r="P33" s="130">
        <f t="shared" si="23"/>
        <v>325.7272512730413</v>
      </c>
      <c r="Q33" s="130">
        <f t="shared" si="23"/>
        <v>320.43186892565154</v>
      </c>
      <c r="R33" s="130">
        <f t="shared" si="23"/>
        <v>325.02204163403167</v>
      </c>
      <c r="S33" s="130">
        <f t="shared" si="23"/>
        <v>350.96606924691667</v>
      </c>
      <c r="T33" s="130">
        <f t="shared" si="23"/>
        <v>325.91037059927936</v>
      </c>
      <c r="U33" s="130">
        <f t="shared" si="23"/>
        <v>309.36660976868535</v>
      </c>
      <c r="V33" s="130">
        <f t="shared" si="23"/>
        <v>248.98683936778599</v>
      </c>
      <c r="W33" s="130">
        <f t="shared" ref="W33" si="24">W34+W36+W38+W39+W41</f>
        <v>228.79759510580277</v>
      </c>
      <c r="DA33" s="176" t="s">
        <v>393</v>
      </c>
    </row>
    <row r="34" spans="1:105" ht="11.45" customHeight="1" x14ac:dyDescent="0.25">
      <c r="A34" s="111" t="s">
        <v>110</v>
      </c>
      <c r="B34" s="97">
        <v>0.13853855370996498</v>
      </c>
      <c r="C34" s="97">
        <v>0.16386777049414333</v>
      </c>
      <c r="D34" s="97">
        <v>0.19168320287907062</v>
      </c>
      <c r="E34" s="97">
        <v>0.21393633522490771</v>
      </c>
      <c r="F34" s="97">
        <v>0.19966688703126423</v>
      </c>
      <c r="G34" s="97">
        <v>0.21470105132305542</v>
      </c>
      <c r="H34" s="97">
        <v>0.22201498535636138</v>
      </c>
      <c r="I34" s="97">
        <v>0.23660946142206249</v>
      </c>
      <c r="J34" s="97">
        <v>0.23695399635127598</v>
      </c>
      <c r="K34" s="97">
        <v>0.244004310653092</v>
      </c>
      <c r="L34" s="97">
        <v>0.26347812795805797</v>
      </c>
      <c r="M34" s="97">
        <v>0.2133907988073187</v>
      </c>
      <c r="N34" s="97">
        <v>0.12413386235552069</v>
      </c>
      <c r="O34" s="97">
        <v>0.10913584863337487</v>
      </c>
      <c r="P34" s="97">
        <v>0.10157116750890648</v>
      </c>
      <c r="Q34" s="97">
        <v>0.15713258442972333</v>
      </c>
      <c r="R34" s="97">
        <v>0.19188184105043982</v>
      </c>
      <c r="S34" s="97">
        <v>0.17846654244098492</v>
      </c>
      <c r="T34" s="97">
        <v>0.15861117133040561</v>
      </c>
      <c r="U34" s="97">
        <v>0.69890675171282457</v>
      </c>
      <c r="V34" s="97">
        <v>0.57689446685459889</v>
      </c>
      <c r="W34" s="97">
        <v>0.64333134846508744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1.0101896838453377E-3</v>
      </c>
      <c r="I35" s="97">
        <v>5.0060498765227886E-3</v>
      </c>
      <c r="J35" s="97">
        <v>6.1282015119043685E-3</v>
      </c>
      <c r="K35" s="97">
        <v>8.0690375210202073E-3</v>
      </c>
      <c r="L35" s="97">
        <v>8.4503675907600818E-3</v>
      </c>
      <c r="M35" s="97">
        <v>7.4767085474145463E-3</v>
      </c>
      <c r="N35" s="97">
        <v>3.8177519270843397E-3</v>
      </c>
      <c r="O35" s="97">
        <v>3.4580701752739093E-3</v>
      </c>
      <c r="P35" s="97">
        <v>3.3993650714147757E-3</v>
      </c>
      <c r="Q35" s="97">
        <v>5.6857059217499317E-3</v>
      </c>
      <c r="R35" s="97">
        <v>5.7430365899112804E-3</v>
      </c>
      <c r="S35" s="97">
        <v>5.525351304481306E-3</v>
      </c>
      <c r="T35" s="97">
        <v>6.3424038768151994E-3</v>
      </c>
      <c r="U35" s="97">
        <v>3.1732667250478311E-2</v>
      </c>
      <c r="V35" s="97">
        <v>3.5201781333116827E-2</v>
      </c>
      <c r="W35" s="97">
        <v>3.9259037526298203E-2</v>
      </c>
      <c r="DA35" s="175" t="s">
        <v>652</v>
      </c>
    </row>
    <row r="36" spans="1:105" ht="11.45" customHeight="1" x14ac:dyDescent="0.25">
      <c r="A36" s="111" t="s">
        <v>111</v>
      </c>
      <c r="B36" s="97">
        <v>359.62969570237465</v>
      </c>
      <c r="C36" s="97">
        <v>348.72872453420513</v>
      </c>
      <c r="D36" s="97">
        <v>344.92795763457849</v>
      </c>
      <c r="E36" s="97">
        <v>336.54279204018479</v>
      </c>
      <c r="F36" s="97">
        <v>329.5272529276665</v>
      </c>
      <c r="G36" s="97">
        <v>328.43775369527663</v>
      </c>
      <c r="H36" s="97">
        <v>324.87990511169136</v>
      </c>
      <c r="I36" s="97">
        <v>323.74925592954759</v>
      </c>
      <c r="J36" s="97">
        <v>335.07226939821447</v>
      </c>
      <c r="K36" s="97">
        <v>344.43183635232396</v>
      </c>
      <c r="L36" s="97">
        <v>357.65925709987357</v>
      </c>
      <c r="M36" s="97">
        <v>345.0329863273796</v>
      </c>
      <c r="N36" s="97">
        <v>335.5997686005399</v>
      </c>
      <c r="O36" s="97">
        <v>321.55025909679478</v>
      </c>
      <c r="P36" s="97">
        <v>307.19511257396027</v>
      </c>
      <c r="Q36" s="97">
        <v>296.8026080974177</v>
      </c>
      <c r="R36" s="97">
        <v>281.723193131313</v>
      </c>
      <c r="S36" s="97">
        <v>295.17466076602278</v>
      </c>
      <c r="T36" s="97">
        <v>277.6330345925478</v>
      </c>
      <c r="U36" s="97">
        <v>250.96557982753745</v>
      </c>
      <c r="V36" s="97">
        <v>186.93602595318779</v>
      </c>
      <c r="W36" s="97">
        <v>159.96207545507795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1.0701418954190356</v>
      </c>
      <c r="I37" s="97">
        <v>11.497795190501453</v>
      </c>
      <c r="J37" s="97">
        <v>8.6914453602360506</v>
      </c>
      <c r="K37" s="97">
        <v>12.400766259363044</v>
      </c>
      <c r="L37" s="97">
        <v>5.1539282238119597</v>
      </c>
      <c r="M37" s="97">
        <v>8.9480102328037852</v>
      </c>
      <c r="N37" s="97">
        <v>9.8656989341308368</v>
      </c>
      <c r="O37" s="97">
        <v>9.3552794186995847</v>
      </c>
      <c r="P37" s="97">
        <v>12.663887623694505</v>
      </c>
      <c r="Q37" s="97">
        <v>8.4041677544914304</v>
      </c>
      <c r="R37" s="97">
        <v>6.147790352905373</v>
      </c>
      <c r="S37" s="97">
        <v>9.3304805934323571</v>
      </c>
      <c r="T37" s="97">
        <v>15.811390316266069</v>
      </c>
      <c r="U37" s="97">
        <v>18.508004163283694</v>
      </c>
      <c r="V37" s="97">
        <v>11.530894663675703</v>
      </c>
      <c r="W37" s="97">
        <v>12.121991116574742</v>
      </c>
      <c r="DA37" s="175" t="s">
        <v>654</v>
      </c>
    </row>
    <row r="38" spans="1:105" ht="11.45" customHeight="1" x14ac:dyDescent="0.25">
      <c r="A38" s="111" t="s">
        <v>112</v>
      </c>
      <c r="B38" s="97">
        <v>2.5684428177697747</v>
      </c>
      <c r="C38" s="97">
        <v>2.4092176745079796</v>
      </c>
      <c r="D38" s="97">
        <v>2.1047114794288495</v>
      </c>
      <c r="E38" s="97">
        <v>1.9156035782501843</v>
      </c>
      <c r="F38" s="97">
        <v>1.6403219741844057</v>
      </c>
      <c r="G38" s="97">
        <v>2.0100418443116586</v>
      </c>
      <c r="H38" s="97">
        <v>1.6512432387698335</v>
      </c>
      <c r="I38" s="97">
        <v>1.474473774898633</v>
      </c>
      <c r="J38" s="97">
        <v>1.4705203942285141</v>
      </c>
      <c r="K38" s="97">
        <v>1.3871413406331399</v>
      </c>
      <c r="L38" s="97">
        <v>1.397870610880944</v>
      </c>
      <c r="M38" s="97">
        <v>1.3498584519187</v>
      </c>
      <c r="N38" s="97">
        <v>1.3154187458682116</v>
      </c>
      <c r="O38" s="97">
        <v>1.306636468543305</v>
      </c>
      <c r="P38" s="97">
        <v>1.2836234427255013</v>
      </c>
      <c r="Q38" s="97">
        <v>1.3287849001399352</v>
      </c>
      <c r="R38" s="97">
        <v>1.3344937438992419</v>
      </c>
      <c r="S38" s="97">
        <v>1.3509552067076214</v>
      </c>
      <c r="T38" s="97">
        <v>1.279099637691393</v>
      </c>
      <c r="U38" s="97">
        <v>1.1589147789647789</v>
      </c>
      <c r="V38" s="97">
        <v>0.9564697027164627</v>
      </c>
      <c r="W38" s="97">
        <v>0.93980937727074865</v>
      </c>
      <c r="DA38" s="175" t="s">
        <v>655</v>
      </c>
    </row>
    <row r="39" spans="1:105" ht="11.45" customHeight="1" x14ac:dyDescent="0.25">
      <c r="A39" s="111" t="s">
        <v>113</v>
      </c>
      <c r="B39" s="97">
        <v>0.15047291487532241</v>
      </c>
      <c r="C39" s="97">
        <v>0.23645743766122099</v>
      </c>
      <c r="D39" s="97">
        <v>0.3869303525365434</v>
      </c>
      <c r="E39" s="97">
        <v>0.39773309972928028</v>
      </c>
      <c r="F39" s="97">
        <v>0.27419919433518558</v>
      </c>
      <c r="G39" s="97">
        <v>0.37143621039948943</v>
      </c>
      <c r="H39" s="97">
        <v>0.98261421234419377</v>
      </c>
      <c r="I39" s="97">
        <v>1.2954024272807456</v>
      </c>
      <c r="J39" s="97">
        <v>2.2963877426588861</v>
      </c>
      <c r="K39" s="97">
        <v>5.0099925562523717</v>
      </c>
      <c r="L39" s="97">
        <v>7.2948980352728308</v>
      </c>
      <c r="M39" s="97">
        <v>14.050315414488029</v>
      </c>
      <c r="N39" s="97">
        <v>13.614151051986756</v>
      </c>
      <c r="O39" s="97">
        <v>14.941569300071336</v>
      </c>
      <c r="P39" s="97">
        <v>15.945199418256257</v>
      </c>
      <c r="Q39" s="97">
        <v>20.722352593188479</v>
      </c>
      <c r="R39" s="97">
        <v>39.364443592355734</v>
      </c>
      <c r="S39" s="97">
        <v>49.670598498331955</v>
      </c>
      <c r="T39" s="97">
        <v>40.609580365359847</v>
      </c>
      <c r="U39" s="97">
        <v>44.51537302047992</v>
      </c>
      <c r="V39" s="97">
        <v>43.963558068120555</v>
      </c>
      <c r="W39" s="97">
        <v>46.454234803444884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0.90706165380145176</v>
      </c>
      <c r="C41" s="97">
        <v>0.79897613814849122</v>
      </c>
      <c r="D41" s="97">
        <v>0.88015412030028273</v>
      </c>
      <c r="E41" s="97">
        <v>0.7547534956275882</v>
      </c>
      <c r="F41" s="97">
        <v>0.90686150196218662</v>
      </c>
      <c r="G41" s="97">
        <v>0.9356687604279692</v>
      </c>
      <c r="H41" s="97">
        <v>0.95047396094197978</v>
      </c>
      <c r="I41" s="97">
        <v>0.95140188054416963</v>
      </c>
      <c r="J41" s="97">
        <v>0.77474546066356131</v>
      </c>
      <c r="K41" s="97">
        <v>0.91399339579193661</v>
      </c>
      <c r="L41" s="97">
        <v>1.3950820951727263</v>
      </c>
      <c r="M41" s="97">
        <v>1.3281378694623578</v>
      </c>
      <c r="N41" s="97">
        <v>1.3419955527876315</v>
      </c>
      <c r="O41" s="97">
        <v>1.0929543060450768</v>
      </c>
      <c r="P41" s="97">
        <v>1.201744670590345</v>
      </c>
      <c r="Q41" s="97">
        <v>1.42099075047573</v>
      </c>
      <c r="R41" s="97">
        <v>2.4080293254132528</v>
      </c>
      <c r="S41" s="97">
        <v>4.5913882334133476</v>
      </c>
      <c r="T41" s="97">
        <v>6.2300448323499662</v>
      </c>
      <c r="U41" s="97">
        <v>12.027835389990377</v>
      </c>
      <c r="V41" s="97">
        <v>16.553891176906532</v>
      </c>
      <c r="W41" s="97">
        <v>20.798144121544098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3905.6156105848386</v>
      </c>
      <c r="C42" s="32">
        <f t="shared" si="25"/>
        <v>3935.5680232679051</v>
      </c>
      <c r="D42" s="32">
        <f t="shared" si="25"/>
        <v>4060.5350463992299</v>
      </c>
      <c r="E42" s="32">
        <f t="shared" si="25"/>
        <v>4214.0870478166098</v>
      </c>
      <c r="F42" s="32">
        <f t="shared" si="25"/>
        <v>4363.5720597549807</v>
      </c>
      <c r="G42" s="32">
        <f t="shared" si="25"/>
        <v>4394.2474771788548</v>
      </c>
      <c r="H42" s="32">
        <f t="shared" si="25"/>
        <v>4568.2033726277641</v>
      </c>
      <c r="I42" s="32">
        <f t="shared" si="25"/>
        <v>4603.4138272869195</v>
      </c>
      <c r="J42" s="32">
        <f t="shared" si="25"/>
        <v>4657.35903399169</v>
      </c>
      <c r="K42" s="32">
        <f t="shared" si="25"/>
        <v>4297.5659373734161</v>
      </c>
      <c r="L42" s="32">
        <f t="shared" ref="L42" si="26">L43+L52</f>
        <v>4362.8429226024437</v>
      </c>
      <c r="M42" s="32">
        <f t="shared" ref="M42:V42" si="27">M43+M52</f>
        <v>4485.4608216171928</v>
      </c>
      <c r="N42" s="32">
        <f t="shared" si="27"/>
        <v>4301.3748589092229</v>
      </c>
      <c r="O42" s="32">
        <f t="shared" si="27"/>
        <v>3935.7176778211351</v>
      </c>
      <c r="P42" s="32">
        <f t="shared" si="27"/>
        <v>3355.9304108325214</v>
      </c>
      <c r="Q42" s="32">
        <f t="shared" si="27"/>
        <v>3418.8966083510659</v>
      </c>
      <c r="R42" s="32">
        <f t="shared" si="27"/>
        <v>3396.0969653279294</v>
      </c>
      <c r="S42" s="32">
        <f t="shared" si="27"/>
        <v>3673.4264050640636</v>
      </c>
      <c r="T42" s="32">
        <f t="shared" si="27"/>
        <v>3933.8601927532118</v>
      </c>
      <c r="U42" s="32">
        <f t="shared" si="27"/>
        <v>3997.9106340848775</v>
      </c>
      <c r="V42" s="32">
        <f t="shared" si="27"/>
        <v>3705.2123867349028</v>
      </c>
      <c r="W42" s="32">
        <f t="shared" ref="W42" si="28">W43+W52</f>
        <v>3560.1738630230866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1779.1506139426808</v>
      </c>
      <c r="C43" s="141">
        <f t="shared" si="29"/>
        <v>1844.777653626348</v>
      </c>
      <c r="D43" s="141">
        <f t="shared" si="29"/>
        <v>1890.4237274093794</v>
      </c>
      <c r="E43" s="141">
        <f t="shared" si="29"/>
        <v>1961.9869770890562</v>
      </c>
      <c r="F43" s="141">
        <f t="shared" si="29"/>
        <v>2055.3060940336923</v>
      </c>
      <c r="G43" s="141">
        <f t="shared" si="29"/>
        <v>2073.0697616512657</v>
      </c>
      <c r="H43" s="141">
        <f t="shared" si="29"/>
        <v>2056.274479302785</v>
      </c>
      <c r="I43" s="141">
        <f t="shared" si="29"/>
        <v>2075.4353399718111</v>
      </c>
      <c r="J43" s="141">
        <f t="shared" si="29"/>
        <v>2105.2153137350192</v>
      </c>
      <c r="K43" s="141">
        <f t="shared" si="29"/>
        <v>1977.4743294916414</v>
      </c>
      <c r="L43" s="141">
        <f t="shared" ref="L43" si="30">L44+L46+L48+L49+L51</f>
        <v>2000.2982073542769</v>
      </c>
      <c r="M43" s="141">
        <f t="shared" ref="M43:V43" si="31">M44+M46+M48+M49+M51</f>
        <v>2034.6336264632716</v>
      </c>
      <c r="N43" s="141">
        <f t="shared" si="31"/>
        <v>1929.3157521784988</v>
      </c>
      <c r="O43" s="141">
        <f t="shared" si="31"/>
        <v>1857.6399020990827</v>
      </c>
      <c r="P43" s="141">
        <f t="shared" si="31"/>
        <v>1768.701914241625</v>
      </c>
      <c r="Q43" s="141">
        <f t="shared" si="31"/>
        <v>1827.3912147834496</v>
      </c>
      <c r="R43" s="141">
        <f t="shared" si="31"/>
        <v>1839.4488760215145</v>
      </c>
      <c r="S43" s="141">
        <f t="shared" si="31"/>
        <v>1840.2835456496464</v>
      </c>
      <c r="T43" s="141">
        <f t="shared" si="31"/>
        <v>1815.9337016900668</v>
      </c>
      <c r="U43" s="141">
        <f t="shared" si="31"/>
        <v>1807.391669583476</v>
      </c>
      <c r="V43" s="141">
        <f t="shared" si="31"/>
        <v>1736.3905153474664</v>
      </c>
      <c r="W43" s="141">
        <f t="shared" ref="W43" si="32">W44+W46+W48+W49+W51</f>
        <v>1777.1890950016689</v>
      </c>
      <c r="DA43" s="174" t="s">
        <v>399</v>
      </c>
    </row>
    <row r="44" spans="1:105" ht="11.45" customHeight="1" x14ac:dyDescent="0.25">
      <c r="A44" s="111" t="s">
        <v>110</v>
      </c>
      <c r="B44" s="96">
        <v>71.682562889099231</v>
      </c>
      <c r="C44" s="96">
        <v>65.46035842052504</v>
      </c>
      <c r="D44" s="96">
        <v>57.855761744527541</v>
      </c>
      <c r="E44" s="96">
        <v>52.073922490499861</v>
      </c>
      <c r="F44" s="96">
        <v>48.108194649204151</v>
      </c>
      <c r="G44" s="96">
        <v>45.634415893453408</v>
      </c>
      <c r="H44" s="96">
        <v>40.762603520248589</v>
      </c>
      <c r="I44" s="96">
        <v>37.958859500350407</v>
      </c>
      <c r="J44" s="96">
        <v>35.884541982299048</v>
      </c>
      <c r="K44" s="96">
        <v>32.846918436936924</v>
      </c>
      <c r="L44" s="96">
        <v>30.698291676647919</v>
      </c>
      <c r="M44" s="96">
        <v>28.780819825499346</v>
      </c>
      <c r="N44" s="96">
        <v>26.693886691757971</v>
      </c>
      <c r="O44" s="96">
        <v>23.87956917517873</v>
      </c>
      <c r="P44" s="96">
        <v>23.484969097339114</v>
      </c>
      <c r="Q44" s="96">
        <v>23.255926200921426</v>
      </c>
      <c r="R44" s="96">
        <v>22.98085121710584</v>
      </c>
      <c r="S44" s="96">
        <v>22.612154156166589</v>
      </c>
      <c r="T44" s="96">
        <v>21.245836304973505</v>
      </c>
      <c r="U44" s="96">
        <v>22.743537128954181</v>
      </c>
      <c r="V44" s="96">
        <v>22.716376968505809</v>
      </c>
      <c r="W44" s="96">
        <v>22.756368084652131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0.1854737935672994</v>
      </c>
      <c r="I45" s="96">
        <v>0.80311219497563335</v>
      </c>
      <c r="J45" s="96">
        <v>0.92806075363217488</v>
      </c>
      <c r="K45" s="96">
        <v>1.0862226843785305</v>
      </c>
      <c r="L45" s="96">
        <v>0.98456692055038542</v>
      </c>
      <c r="M45" s="96">
        <v>1.0084118096638792</v>
      </c>
      <c r="N45" s="96">
        <v>0.82097370874481335</v>
      </c>
      <c r="O45" s="96">
        <v>0.75664620742979938</v>
      </c>
      <c r="P45" s="96">
        <v>0.78599060747972183</v>
      </c>
      <c r="Q45" s="96">
        <v>0.84149546573197143</v>
      </c>
      <c r="R45" s="96">
        <v>0.68781844433341965</v>
      </c>
      <c r="S45" s="96">
        <v>0.70007573271176293</v>
      </c>
      <c r="T45" s="96">
        <v>0.84955979718569596</v>
      </c>
      <c r="U45" s="96">
        <v>1.0326314548303981</v>
      </c>
      <c r="V45" s="96">
        <v>1.3861407600006315</v>
      </c>
      <c r="W45" s="96">
        <v>1.3886982357212081</v>
      </c>
      <c r="DA45" s="171" t="s">
        <v>660</v>
      </c>
    </row>
    <row r="46" spans="1:105" ht="11.45" customHeight="1" x14ac:dyDescent="0.25">
      <c r="A46" s="111" t="s">
        <v>111</v>
      </c>
      <c r="B46" s="96">
        <v>1662.9039325883618</v>
      </c>
      <c r="C46" s="96">
        <v>1734.8647986517137</v>
      </c>
      <c r="D46" s="96">
        <v>1789.7523608831323</v>
      </c>
      <c r="E46" s="96">
        <v>1868.6660366171429</v>
      </c>
      <c r="F46" s="96">
        <v>1966.9880053049253</v>
      </c>
      <c r="G46" s="96">
        <v>1992.9546961735095</v>
      </c>
      <c r="H46" s="96">
        <v>1983.626982714645</v>
      </c>
      <c r="I46" s="96">
        <v>2004.9937058067026</v>
      </c>
      <c r="J46" s="96">
        <v>2036.5071466469242</v>
      </c>
      <c r="K46" s="96">
        <v>1912.4018015067459</v>
      </c>
      <c r="L46" s="96">
        <v>1937.3809709201805</v>
      </c>
      <c r="M46" s="96">
        <v>1973.4270818121615</v>
      </c>
      <c r="N46" s="96">
        <v>1870.7138139301023</v>
      </c>
      <c r="O46" s="96">
        <v>1801.6396715977189</v>
      </c>
      <c r="P46" s="96">
        <v>1712.5752525389703</v>
      </c>
      <c r="Q46" s="96">
        <v>1771.2020906451553</v>
      </c>
      <c r="R46" s="96">
        <v>1785.180864065507</v>
      </c>
      <c r="S46" s="96">
        <v>1785.3213442597144</v>
      </c>
      <c r="T46" s="96">
        <v>1760.094762966756</v>
      </c>
      <c r="U46" s="96">
        <v>1747.8557253476672</v>
      </c>
      <c r="V46" s="96">
        <v>1677.1210972967574</v>
      </c>
      <c r="W46" s="96">
        <v>1720.1996684154042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6.5339908861300682</v>
      </c>
      <c r="I47" s="96">
        <v>71.206362842194892</v>
      </c>
      <c r="J47" s="96">
        <v>52.82499391131735</v>
      </c>
      <c r="K47" s="96">
        <v>68.853239542616819</v>
      </c>
      <c r="L47" s="96">
        <v>27.917975749509157</v>
      </c>
      <c r="M47" s="96">
        <v>51.178427632981617</v>
      </c>
      <c r="N47" s="96">
        <v>54.993778324447732</v>
      </c>
      <c r="O47" s="96">
        <v>52.417443503091945</v>
      </c>
      <c r="P47" s="96">
        <v>70.599627590273556</v>
      </c>
      <c r="Q47" s="96">
        <v>50.152792094070975</v>
      </c>
      <c r="R47" s="96">
        <v>38.956386843087209</v>
      </c>
      <c r="S47" s="96">
        <v>56.434065554360451</v>
      </c>
      <c r="T47" s="96">
        <v>100.23859491982147</v>
      </c>
      <c r="U47" s="96">
        <v>128.89943339554452</v>
      </c>
      <c r="V47" s="96">
        <v>103.45093521994468</v>
      </c>
      <c r="W47" s="96">
        <v>130.35743028429428</v>
      </c>
      <c r="DA47" s="171" t="s">
        <v>662</v>
      </c>
    </row>
    <row r="48" spans="1:105" ht="11.45" customHeight="1" x14ac:dyDescent="0.25">
      <c r="A48" s="111" t="s">
        <v>112</v>
      </c>
      <c r="B48" s="96">
        <v>44.564118465219728</v>
      </c>
      <c r="C48" s="96">
        <v>44.452496554109359</v>
      </c>
      <c r="D48" s="96">
        <v>42.815604781719522</v>
      </c>
      <c r="E48" s="96">
        <v>41.107347813730605</v>
      </c>
      <c r="F48" s="96">
        <v>39.817713222307255</v>
      </c>
      <c r="G48" s="96">
        <v>34.121217351022075</v>
      </c>
      <c r="H48" s="96">
        <v>31.534747177054236</v>
      </c>
      <c r="I48" s="96">
        <v>31.67155628378438</v>
      </c>
      <c r="J48" s="96">
        <v>32.003073897466102</v>
      </c>
      <c r="K48" s="96">
        <v>30.95873194084044</v>
      </c>
      <c r="L48" s="96">
        <v>30.461726905087954</v>
      </c>
      <c r="M48" s="96">
        <v>30.187441154198599</v>
      </c>
      <c r="N48" s="96">
        <v>29.340254367184738</v>
      </c>
      <c r="O48" s="96">
        <v>29.038295925018364</v>
      </c>
      <c r="P48" s="96">
        <v>28.954021024804366</v>
      </c>
      <c r="Q48" s="96">
        <v>28.899934297692422</v>
      </c>
      <c r="R48" s="96">
        <v>28.786736481447281</v>
      </c>
      <c r="S48" s="96">
        <v>28.863819466991586</v>
      </c>
      <c r="T48" s="96">
        <v>28.460081904835384</v>
      </c>
      <c r="U48" s="96">
        <v>29.98846605549204</v>
      </c>
      <c r="V48" s="96">
        <v>29.247556925770894</v>
      </c>
      <c r="W48" s="96">
        <v>25.938877465324982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0.13967016768258556</v>
      </c>
      <c r="F49" s="96">
        <v>0.39218085725552809</v>
      </c>
      <c r="G49" s="96">
        <v>0.35943223328064805</v>
      </c>
      <c r="H49" s="96">
        <v>0.35014589083723313</v>
      </c>
      <c r="I49" s="96">
        <v>0.81121838097376819</v>
      </c>
      <c r="J49" s="96">
        <v>0.820551208329936</v>
      </c>
      <c r="K49" s="96">
        <v>1.2668776071182217</v>
      </c>
      <c r="L49" s="96">
        <v>1.7572178523605566</v>
      </c>
      <c r="M49" s="96">
        <v>2.2347839739029931</v>
      </c>
      <c r="N49" s="96">
        <v>2.4809046650436839</v>
      </c>
      <c r="O49" s="96">
        <v>2.9345006277431538</v>
      </c>
      <c r="P49" s="96">
        <v>3.3979735662424826</v>
      </c>
      <c r="Q49" s="96">
        <v>3.6911573321247975</v>
      </c>
      <c r="R49" s="96">
        <v>2.1317759513840069</v>
      </c>
      <c r="S49" s="96">
        <v>2.9721397005213195</v>
      </c>
      <c r="T49" s="96">
        <v>5.3330132173154787</v>
      </c>
      <c r="U49" s="96">
        <v>5.5736821466916968</v>
      </c>
      <c r="V49" s="96">
        <v>5.5225065554420238</v>
      </c>
      <c r="W49" s="96">
        <v>5.2609401729485583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3.4996975092701742E-3</v>
      </c>
      <c r="N51" s="96">
        <v>8.6892524410002919E-2</v>
      </c>
      <c r="O51" s="96">
        <v>0.14786477342355731</v>
      </c>
      <c r="P51" s="96">
        <v>0.28969801426876113</v>
      </c>
      <c r="Q51" s="96">
        <v>0.34210630755580185</v>
      </c>
      <c r="R51" s="96">
        <v>0.36864830607055871</v>
      </c>
      <c r="S51" s="96">
        <v>0.51408806625280334</v>
      </c>
      <c r="T51" s="96">
        <v>0.80000729618661082</v>
      </c>
      <c r="U51" s="96">
        <v>1.2302589046707759</v>
      </c>
      <c r="V51" s="96">
        <v>1.7829776009903398</v>
      </c>
      <c r="W51" s="96">
        <v>3.033240863338964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2126.4649966421575</v>
      </c>
      <c r="C52" s="130">
        <f t="shared" si="33"/>
        <v>2090.7903696415569</v>
      </c>
      <c r="D52" s="130">
        <f t="shared" si="33"/>
        <v>2170.1113189898506</v>
      </c>
      <c r="E52" s="130">
        <f t="shared" si="33"/>
        <v>2252.1000707275539</v>
      </c>
      <c r="F52" s="130">
        <f t="shared" si="33"/>
        <v>2308.2659657212889</v>
      </c>
      <c r="G52" s="130">
        <f t="shared" si="33"/>
        <v>2321.1777155275895</v>
      </c>
      <c r="H52" s="130">
        <f t="shared" si="33"/>
        <v>2511.9288933249795</v>
      </c>
      <c r="I52" s="130">
        <f t="shared" si="33"/>
        <v>2527.9784873151084</v>
      </c>
      <c r="J52" s="130">
        <f t="shared" si="33"/>
        <v>2552.1437202566703</v>
      </c>
      <c r="K52" s="130">
        <f t="shared" si="33"/>
        <v>2320.0916078817745</v>
      </c>
      <c r="L52" s="130">
        <f t="shared" ref="L52" si="34">L53+L55</f>
        <v>2362.544715248167</v>
      </c>
      <c r="M52" s="130">
        <f t="shared" ref="M52:V52" si="35">M53+M55</f>
        <v>2450.8271951539209</v>
      </c>
      <c r="N52" s="130">
        <f t="shared" si="35"/>
        <v>2372.0591067307241</v>
      </c>
      <c r="O52" s="130">
        <f t="shared" si="35"/>
        <v>2078.0777757220526</v>
      </c>
      <c r="P52" s="130">
        <f t="shared" si="35"/>
        <v>1587.2284965908964</v>
      </c>
      <c r="Q52" s="130">
        <f t="shared" si="35"/>
        <v>1591.5053935676165</v>
      </c>
      <c r="R52" s="130">
        <f t="shared" si="35"/>
        <v>1556.6480893064149</v>
      </c>
      <c r="S52" s="130">
        <f t="shared" si="35"/>
        <v>1833.1428594144172</v>
      </c>
      <c r="T52" s="130">
        <f t="shared" si="35"/>
        <v>2117.926491063145</v>
      </c>
      <c r="U52" s="130">
        <f t="shared" si="35"/>
        <v>2190.5189645014016</v>
      </c>
      <c r="V52" s="130">
        <f t="shared" si="35"/>
        <v>1968.8218713874367</v>
      </c>
      <c r="W52" s="130">
        <f t="shared" ref="W52" si="36">W53+W55</f>
        <v>1782.9847680214179</v>
      </c>
      <c r="DA52" s="176" t="s">
        <v>400</v>
      </c>
    </row>
    <row r="53" spans="1:105" ht="11.45" customHeight="1" x14ac:dyDescent="0.25">
      <c r="A53" s="128" t="s">
        <v>27</v>
      </c>
      <c r="B53" s="97">
        <v>1741.3447948300523</v>
      </c>
      <c r="C53" s="97">
        <v>1687.5620342032839</v>
      </c>
      <c r="D53" s="97">
        <v>1751.627825058009</v>
      </c>
      <c r="E53" s="97">
        <v>1823.7406809415338</v>
      </c>
      <c r="F53" s="97">
        <v>1800.28229955802</v>
      </c>
      <c r="G53" s="97">
        <v>1794.7239522754112</v>
      </c>
      <c r="H53" s="97">
        <v>1915.1274931859141</v>
      </c>
      <c r="I53" s="97">
        <v>1901.0332671326596</v>
      </c>
      <c r="J53" s="97">
        <v>1910.6894146753209</v>
      </c>
      <c r="K53" s="97">
        <v>1768.3800353413546</v>
      </c>
      <c r="L53" s="97">
        <v>1704.6551925225565</v>
      </c>
      <c r="M53" s="97">
        <v>1790.1452586915113</v>
      </c>
      <c r="N53" s="97">
        <v>1716.2173954133282</v>
      </c>
      <c r="O53" s="97">
        <v>1504.6862195076403</v>
      </c>
      <c r="P53" s="97">
        <v>1144.6844808094693</v>
      </c>
      <c r="Q53" s="97">
        <v>1145.9204344984691</v>
      </c>
      <c r="R53" s="97">
        <v>1109.4397534823818</v>
      </c>
      <c r="S53" s="97">
        <v>1280.6996324570423</v>
      </c>
      <c r="T53" s="97">
        <v>1495.6062882882802</v>
      </c>
      <c r="U53" s="97">
        <v>1532.5391914247891</v>
      </c>
      <c r="V53" s="97">
        <v>1369.5345224486821</v>
      </c>
      <c r="W53" s="97">
        <v>1258.5231316674488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6.3083562057262084</v>
      </c>
      <c r="I54" s="97">
        <v>67.514259123355941</v>
      </c>
      <c r="J54" s="97">
        <v>49.561405597238128</v>
      </c>
      <c r="K54" s="97">
        <v>63.667945763180121</v>
      </c>
      <c r="L54" s="97">
        <v>24.564359328622892</v>
      </c>
      <c r="M54" s="97">
        <v>46.425236796861341</v>
      </c>
      <c r="N54" s="97">
        <v>50.452013716432702</v>
      </c>
      <c r="O54" s="97">
        <v>43.777790944722135</v>
      </c>
      <c r="P54" s="97">
        <v>47.188757360415735</v>
      </c>
      <c r="Q54" s="97">
        <v>32.44751663928735</v>
      </c>
      <c r="R54" s="97">
        <v>24.210299967775729</v>
      </c>
      <c r="S54" s="97">
        <v>40.48295688947529</v>
      </c>
      <c r="T54" s="97">
        <v>85.175796238704152</v>
      </c>
      <c r="U54" s="97">
        <v>113.02044589053693</v>
      </c>
      <c r="V54" s="97">
        <v>84.477875444820668</v>
      </c>
      <c r="W54" s="97">
        <v>95.3713946176006</v>
      </c>
      <c r="DA54" s="175" t="s">
        <v>668</v>
      </c>
    </row>
    <row r="55" spans="1:105" ht="11.45" customHeight="1" x14ac:dyDescent="0.25">
      <c r="A55" s="128" t="s">
        <v>116</v>
      </c>
      <c r="B55" s="97">
        <v>385.12020181210528</v>
      </c>
      <c r="C55" s="97">
        <v>403.22833543827289</v>
      </c>
      <c r="D55" s="97">
        <v>418.48349393184151</v>
      </c>
      <c r="E55" s="97">
        <v>428.35938978602007</v>
      </c>
      <c r="F55" s="97">
        <v>507.98366616326882</v>
      </c>
      <c r="G55" s="97">
        <v>526.45376325217819</v>
      </c>
      <c r="H55" s="97">
        <v>596.80140013906544</v>
      </c>
      <c r="I55" s="97">
        <v>626.94522018244879</v>
      </c>
      <c r="J55" s="97">
        <v>641.45430558134933</v>
      </c>
      <c r="K55" s="97">
        <v>551.71157254042009</v>
      </c>
      <c r="L55" s="97">
        <v>657.88952272561039</v>
      </c>
      <c r="M55" s="97">
        <v>660.68193646240945</v>
      </c>
      <c r="N55" s="97">
        <v>655.84171131739572</v>
      </c>
      <c r="O55" s="97">
        <v>573.39155621441216</v>
      </c>
      <c r="P55" s="97">
        <v>442.54401578142711</v>
      </c>
      <c r="Q55" s="97">
        <v>445.58495906914743</v>
      </c>
      <c r="R55" s="97">
        <v>447.20833582403327</v>
      </c>
      <c r="S55" s="97">
        <v>552.44322695737492</v>
      </c>
      <c r="T55" s="97">
        <v>622.3202027748647</v>
      </c>
      <c r="U55" s="97">
        <v>657.97977307661222</v>
      </c>
      <c r="V55" s="97">
        <v>599.28734893875446</v>
      </c>
      <c r="W55" s="97">
        <v>524.46163635396908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1.9658408275943886</v>
      </c>
      <c r="I56" s="98">
        <v>22.265650361495521</v>
      </c>
      <c r="J56" s="98">
        <v>16.638694267542284</v>
      </c>
      <c r="K56" s="98">
        <v>19.863571051141044</v>
      </c>
      <c r="L56" s="98">
        <v>9.4802953146516007</v>
      </c>
      <c r="M56" s="98">
        <v>17.133981278198561</v>
      </c>
      <c r="N56" s="98">
        <v>19.27992054131639</v>
      </c>
      <c r="O56" s="98">
        <v>16.682425446573951</v>
      </c>
      <c r="P56" s="98">
        <v>18.243544428283126</v>
      </c>
      <c r="Q56" s="98">
        <v>12.617041234577663</v>
      </c>
      <c r="R56" s="98">
        <v>9.7590228981835061</v>
      </c>
      <c r="S56" s="98">
        <v>17.462748308821876</v>
      </c>
      <c r="T56" s="98">
        <v>35.441559186974892</v>
      </c>
      <c r="U56" s="98">
        <v>48.52415374182786</v>
      </c>
      <c r="V56" s="98">
        <v>36.966225523681103</v>
      </c>
      <c r="W56" s="98">
        <v>39.743916042477458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8.9559411634705768</v>
      </c>
      <c r="C60" s="79">
        <f>IF(C17=0,0,C17/TrRoad_act!C30*100)</f>
        <v>8.8168214395034852</v>
      </c>
      <c r="D60" s="79">
        <f>IF(D17=0,0,D17/TrRoad_act!D30*100)</f>
        <v>8.8083659610326599</v>
      </c>
      <c r="E60" s="79">
        <f>IF(E17=0,0,E17/TrRoad_act!E30*100)</f>
        <v>8.7999876371630332</v>
      </c>
      <c r="F60" s="79">
        <f>IF(F17=0,0,F17/TrRoad_act!F30*100)</f>
        <v>8.7004189736655544</v>
      </c>
      <c r="G60" s="79">
        <f>IF(G17=0,0,G17/TrRoad_act!G30*100)</f>
        <v>8.5989338857681776</v>
      </c>
      <c r="H60" s="79">
        <f>IF(H17=0,0,H17/TrRoad_act!H30*100)</f>
        <v>8.776762574911416</v>
      </c>
      <c r="I60" s="79">
        <f>IF(I17=0,0,I17/TrRoad_act!I30*100)</f>
        <v>8.7120479888826505</v>
      </c>
      <c r="J60" s="79">
        <f>IF(J17=0,0,J17/TrRoad_act!J30*100)</f>
        <v>8.6009572869405115</v>
      </c>
      <c r="K60" s="79">
        <f>IF(K17=0,0,K17/TrRoad_act!K30*100)</f>
        <v>8.390988921269587</v>
      </c>
      <c r="L60" s="79">
        <f>IF(L17=0,0,L17/TrRoad_act!L30*100)</f>
        <v>8.4455851731536367</v>
      </c>
      <c r="M60" s="79">
        <f>IF(M17=0,0,M17/TrRoad_act!M30*100)</f>
        <v>8.3667920926468433</v>
      </c>
      <c r="N60" s="79">
        <f>IF(N17=0,0,N17/TrRoad_act!N30*100)</f>
        <v>8.4081158211659215</v>
      </c>
      <c r="O60" s="79">
        <f>IF(O17=0,0,O17/TrRoad_act!O30*100)</f>
        <v>8.0162255943861833</v>
      </c>
      <c r="P60" s="79">
        <f>IF(P17=0,0,P17/TrRoad_act!P30*100)</f>
        <v>7.4284305641315926</v>
      </c>
      <c r="Q60" s="79">
        <f>IF(Q17=0,0,Q17/TrRoad_act!Q30*100)</f>
        <v>7.3610874694557769</v>
      </c>
      <c r="R60" s="79">
        <f>IF(R17=0,0,R17/TrRoad_act!R30*100)</f>
        <v>7.1993410274321175</v>
      </c>
      <c r="S60" s="79">
        <f>IF(S17=0,0,S17/TrRoad_act!S30*100)</f>
        <v>7.4121016235088533</v>
      </c>
      <c r="T60" s="79">
        <f>IF(T17=0,0,T17/TrRoad_act!T30*100)</f>
        <v>7.5796699226475237</v>
      </c>
      <c r="U60" s="79">
        <f>IF(U17=0,0,U17/TrRoad_act!U30*100)</f>
        <v>7.5200991835150912</v>
      </c>
      <c r="V60" s="79">
        <f>IF(V17=0,0,V17/TrRoad_act!V30*100)</f>
        <v>7.4671221826537248</v>
      </c>
      <c r="W60" s="79">
        <f>IF(W17=0,0,W17/TrRoad_act!W30*100)</f>
        <v>7.3363087130465869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6.7919080739991342</v>
      </c>
      <c r="C61" s="32">
        <f>IF(C18=0,0,C18/TrRoad_act!C31*100)</f>
        <v>6.7581034764190573</v>
      </c>
      <c r="D61" s="32">
        <f>IF(D18=0,0,D18/TrRoad_act!D31*100)</f>
        <v>6.7460067098252061</v>
      </c>
      <c r="E61" s="32">
        <f>IF(E18=0,0,E18/TrRoad_act!E31*100)</f>
        <v>6.6976155108006976</v>
      </c>
      <c r="F61" s="32">
        <f>IF(F18=0,0,F18/TrRoad_act!F31*100)</f>
        <v>6.568684659389799</v>
      </c>
      <c r="G61" s="32">
        <f>IF(G18=0,0,G18/TrRoad_act!G31*100)</f>
        <v>6.4792137182395866</v>
      </c>
      <c r="H61" s="32">
        <f>IF(H18=0,0,H18/TrRoad_act!H31*100)</f>
        <v>6.5612251817563498</v>
      </c>
      <c r="I61" s="32">
        <f>IF(I18=0,0,I18/TrRoad_act!I31*100)</f>
        <v>6.4944559825537915</v>
      </c>
      <c r="J61" s="32">
        <f>IF(J18=0,0,J18/TrRoad_act!J31*100)</f>
        <v>6.3891770403484749</v>
      </c>
      <c r="K61" s="32">
        <f>IF(K18=0,0,K18/TrRoad_act!K31*100)</f>
        <v>6.367520763652756</v>
      </c>
      <c r="L61" s="32">
        <f>IF(L18=0,0,L18/TrRoad_act!L31*100)</f>
        <v>6.3309854645892392</v>
      </c>
      <c r="M61" s="32">
        <f>IF(M18=0,0,M18/TrRoad_act!M31*100)</f>
        <v>6.2030070900442427</v>
      </c>
      <c r="N61" s="32">
        <f>IF(N18=0,0,N18/TrRoad_act!N31*100)</f>
        <v>6.232765830702391</v>
      </c>
      <c r="O61" s="32">
        <f>IF(O18=0,0,O18/TrRoad_act!O31*100)</f>
        <v>6.0705252810909442</v>
      </c>
      <c r="P61" s="32">
        <f>IF(P18=0,0,P18/TrRoad_act!P31*100)</f>
        <v>5.8659359106628939</v>
      </c>
      <c r="Q61" s="32">
        <f>IF(Q18=0,0,Q18/TrRoad_act!Q31*100)</f>
        <v>5.8106228563710198</v>
      </c>
      <c r="R61" s="32">
        <f>IF(R18=0,0,R18/TrRoad_act!R31*100)</f>
        <v>5.7170736347329605</v>
      </c>
      <c r="S61" s="32">
        <f>IF(S18=0,0,S18/TrRoad_act!S31*100)</f>
        <v>5.7464368955092127</v>
      </c>
      <c r="T61" s="32">
        <f>IF(T18=0,0,T18/TrRoad_act!T31*100)</f>
        <v>5.725446336941534</v>
      </c>
      <c r="U61" s="32">
        <f>IF(U18=0,0,U18/TrRoad_act!U31*100)</f>
        <v>5.634917399682295</v>
      </c>
      <c r="V61" s="32">
        <f>IF(V18=0,0,V18/TrRoad_act!V31*100)</f>
        <v>5.4728222548001151</v>
      </c>
      <c r="W61" s="32">
        <f>IF(W18=0,0,W18/TrRoad_act!W31*100)</f>
        <v>5.5912099456957343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4.4340054137709366</v>
      </c>
      <c r="C62" s="141">
        <f>IF(C19=0,0,C19/TrRoad_act!C32*100)</f>
        <v>4.4288114094636235</v>
      </c>
      <c r="D62" s="141">
        <f>IF(D19=0,0,D19/TrRoad_act!D32*100)</f>
        <v>4.3865260126814123</v>
      </c>
      <c r="E62" s="141">
        <f>IF(E19=0,0,E19/TrRoad_act!E32*100)</f>
        <v>4.4066921011555822</v>
      </c>
      <c r="F62" s="141">
        <f>IF(F19=0,0,F19/TrRoad_act!F32*100)</f>
        <v>4.3749433019079804</v>
      </c>
      <c r="G62" s="141">
        <f>IF(G19=0,0,G19/TrRoad_act!G32*100)</f>
        <v>4.3143409061348477</v>
      </c>
      <c r="H62" s="141">
        <f>IF(H19=0,0,H19/TrRoad_act!H32*100)</f>
        <v>4.2003981746586838</v>
      </c>
      <c r="I62" s="141">
        <f>IF(I19=0,0,I19/TrRoad_act!I32*100)</f>
        <v>3.9757762431709081</v>
      </c>
      <c r="J62" s="141">
        <f>IF(J19=0,0,J19/TrRoad_act!J32*100)</f>
        <v>3.8668962395429523</v>
      </c>
      <c r="K62" s="141">
        <f>IF(K19=0,0,K19/TrRoad_act!K32*100)</f>
        <v>3.788752572839063</v>
      </c>
      <c r="L62" s="141">
        <f>IF(L19=0,0,L19/TrRoad_act!L32*100)</f>
        <v>3.7176655529343807</v>
      </c>
      <c r="M62" s="141">
        <f>IF(M19=0,0,M19/TrRoad_act!M32*100)</f>
        <v>3.6661077853087831</v>
      </c>
      <c r="N62" s="141">
        <f>IF(N19=0,0,N19/TrRoad_act!N32*100)</f>
        <v>3.6354153444829138</v>
      </c>
      <c r="O62" s="141">
        <f>IF(O19=0,0,O19/TrRoad_act!O32*100)</f>
        <v>3.5874499731295821</v>
      </c>
      <c r="P62" s="141">
        <f>IF(P19=0,0,P19/TrRoad_act!P32*100)</f>
        <v>3.5383828114331681</v>
      </c>
      <c r="Q62" s="141">
        <f>IF(Q19=0,0,Q19/TrRoad_act!Q32*100)</f>
        <v>3.4990541932538886</v>
      </c>
      <c r="R62" s="141">
        <f>IF(R19=0,0,R19/TrRoad_act!R32*100)</f>
        <v>3.4366698419450481</v>
      </c>
      <c r="S62" s="141">
        <f>IF(S19=0,0,S19/TrRoad_act!S32*100)</f>
        <v>3.3905234868180796</v>
      </c>
      <c r="T62" s="141">
        <f>IF(T19=0,0,T19/TrRoad_act!T32*100)</f>
        <v>3.5286195274064243</v>
      </c>
      <c r="U62" s="141">
        <f>IF(U19=0,0,U19/TrRoad_act!U32*100)</f>
        <v>3.3523088565895085</v>
      </c>
      <c r="V62" s="141">
        <f>IF(V19=0,0,V19/TrRoad_act!V32*100)</f>
        <v>3.4177969739278091</v>
      </c>
      <c r="W62" s="141">
        <f>IF(W19=0,0,W19/TrRoad_act!W32*100)</f>
        <v>3.250147150429656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6.5079801313904495</v>
      </c>
      <c r="C63" s="130">
        <f>IF(C21=0,0,C21/TrRoad_act!C33*100)</f>
        <v>6.4913799313673302</v>
      </c>
      <c r="D63" s="130">
        <f>IF(D21=0,0,D21/TrRoad_act!D33*100)</f>
        <v>6.4922930922051298</v>
      </c>
      <c r="E63" s="130">
        <f>IF(E21=0,0,E21/TrRoad_act!E33*100)</f>
        <v>6.4533428504688404</v>
      </c>
      <c r="F63" s="130">
        <f>IF(F21=0,0,F21/TrRoad_act!F33*100)</f>
        <v>6.3304413936592612</v>
      </c>
      <c r="G63" s="130">
        <f>IF(G21=0,0,G21/TrRoad_act!G33*100)</f>
        <v>6.2472508817587293</v>
      </c>
      <c r="H63" s="130">
        <f>IF(H21=0,0,H21/TrRoad_act!H33*100)</f>
        <v>6.3473514989586226</v>
      </c>
      <c r="I63" s="130">
        <f>IF(I21=0,0,I21/TrRoad_act!I33*100)</f>
        <v>6.2994628050657102</v>
      </c>
      <c r="J63" s="130">
        <f>IF(J21=0,0,J21/TrRoad_act!J33*100)</f>
        <v>6.1960460003797087</v>
      </c>
      <c r="K63" s="130">
        <f>IF(K21=0,0,K21/TrRoad_act!K33*100)</f>
        <v>6.1708714242356502</v>
      </c>
      <c r="L63" s="130">
        <f>IF(L21=0,0,L21/TrRoad_act!L33*100)</f>
        <v>6.1235464381683045</v>
      </c>
      <c r="M63" s="130">
        <f>IF(M21=0,0,M21/TrRoad_act!M33*100)</f>
        <v>6.0040511367331897</v>
      </c>
      <c r="N63" s="130">
        <f>IF(N21=0,0,N21/TrRoad_act!N33*100)</f>
        <v>6.0331826592340265</v>
      </c>
      <c r="O63" s="130">
        <f>IF(O21=0,0,O21/TrRoad_act!O33*100)</f>
        <v>5.8762313083106354</v>
      </c>
      <c r="P63" s="130">
        <f>IF(P21=0,0,P21/TrRoad_act!P33*100)</f>
        <v>5.6724099037281741</v>
      </c>
      <c r="Q63" s="130">
        <f>IF(Q21=0,0,Q21/TrRoad_act!Q33*100)</f>
        <v>5.6263628308347746</v>
      </c>
      <c r="R63" s="130">
        <f>IF(R21=0,0,R21/TrRoad_act!R33*100)</f>
        <v>5.5321204128165222</v>
      </c>
      <c r="S63" s="130">
        <f>IF(S21=0,0,S21/TrRoad_act!S33*100)</f>
        <v>5.5386888619312007</v>
      </c>
      <c r="T63" s="130">
        <f>IF(T21=0,0,T21/TrRoad_act!T33*100)</f>
        <v>5.5302793399286934</v>
      </c>
      <c r="U63" s="130">
        <f>IF(U21=0,0,U21/TrRoad_act!U33*100)</f>
        <v>5.4642537780557792</v>
      </c>
      <c r="V63" s="130">
        <f>IF(V21=0,0,V21/TrRoad_act!V33*100)</f>
        <v>5.308067223701749</v>
      </c>
      <c r="W63" s="130">
        <f>IF(W21=0,0,W21/TrRoad_act!W33*100)</f>
        <v>5.4681759881353331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6.216270244936795</v>
      </c>
      <c r="C64" s="96">
        <f>IF(C22=0,0,C22/TrRoad_act!C34*100)</f>
        <v>6.3837700227999186</v>
      </c>
      <c r="D64" s="96">
        <f>IF(D22=0,0,D22/TrRoad_act!D34*100)</f>
        <v>6.417597228673726</v>
      </c>
      <c r="E64" s="96">
        <f>IF(E22=0,0,E22/TrRoad_act!E34*100)</f>
        <v>6.4478435587783238</v>
      </c>
      <c r="F64" s="96">
        <f>IF(F22=0,0,F22/TrRoad_act!F34*100)</f>
        <v>6.2739373581169087</v>
      </c>
      <c r="G64" s="96">
        <f>IF(G22=0,0,G22/TrRoad_act!G34*100)</f>
        <v>6.14845658373729</v>
      </c>
      <c r="H64" s="96">
        <f>IF(H22=0,0,H22/TrRoad_act!H34*100)</f>
        <v>6.2882073414935489</v>
      </c>
      <c r="I64" s="96">
        <f>IF(I22=0,0,I22/TrRoad_act!I34*100)</f>
        <v>6.2818039451696421</v>
      </c>
      <c r="J64" s="96">
        <f>IF(J22=0,0,J22/TrRoad_act!J34*100)</f>
        <v>6.08114532105352</v>
      </c>
      <c r="K64" s="96">
        <f>IF(K22=0,0,K22/TrRoad_act!K34*100)</f>
        <v>6.0158498535870555</v>
      </c>
      <c r="L64" s="96">
        <f>IF(L22=0,0,L22/TrRoad_act!L34*100)</f>
        <v>5.9686239816218363</v>
      </c>
      <c r="M64" s="96">
        <f>IF(M22=0,0,M22/TrRoad_act!M34*100)</f>
        <v>5.8770862147365355</v>
      </c>
      <c r="N64" s="96">
        <f>IF(N22=0,0,N22/TrRoad_act!N34*100)</f>
        <v>5.9399320098177748</v>
      </c>
      <c r="O64" s="96">
        <f>IF(O22=0,0,O22/TrRoad_act!O34*100)</f>
        <v>5.798482741520651</v>
      </c>
      <c r="P64" s="96">
        <f>IF(P22=0,0,P22/TrRoad_act!P34*100)</f>
        <v>5.6441514885270809</v>
      </c>
      <c r="Q64" s="96">
        <f>IF(Q22=0,0,Q22/TrRoad_act!Q34*100)</f>
        <v>5.7033389168955058</v>
      </c>
      <c r="R64" s="96">
        <f>IF(R22=0,0,R22/TrRoad_act!R34*100)</f>
        <v>5.5879295788436565</v>
      </c>
      <c r="S64" s="96">
        <f>IF(S22=0,0,S22/TrRoad_act!S34*100)</f>
        <v>5.6369588643438133</v>
      </c>
      <c r="T64" s="96">
        <f>IF(T22=0,0,T22/TrRoad_act!T34*100)</f>
        <v>5.6685798297039156</v>
      </c>
      <c r="U64" s="96">
        <f>IF(U22=0,0,U22/TrRoad_act!U34*100)</f>
        <v>5.6491964613563157</v>
      </c>
      <c r="V64" s="96">
        <f>IF(V22=0,0,V22/TrRoad_act!V34*100)</f>
        <v>5.4883296972169164</v>
      </c>
      <c r="W64" s="96">
        <f>IF(W22=0,0,W22/TrRoad_act!W34*100)</f>
        <v>5.8489460859641111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7.1154498074982131</v>
      </c>
      <c r="C65" s="96">
        <f>IF(C24=0,0,C24/TrRoad_act!C35*100)</f>
        <v>6.718864708563677</v>
      </c>
      <c r="D65" s="96">
        <f>IF(D24=0,0,D24/TrRoad_act!D35*100)</f>
        <v>6.6118796249225369</v>
      </c>
      <c r="E65" s="96">
        <f>IF(E24=0,0,E24/TrRoad_act!E35*100)</f>
        <v>6.5324979010213742</v>
      </c>
      <c r="F65" s="96">
        <f>IF(F24=0,0,F24/TrRoad_act!F35*100)</f>
        <v>6.464213957823163</v>
      </c>
      <c r="G65" s="96">
        <f>IF(G24=0,0,G24/TrRoad_act!G35*100)</f>
        <v>6.4039674876035475</v>
      </c>
      <c r="H65" s="96">
        <f>IF(H24=0,0,H24/TrRoad_act!H35*100)</f>
        <v>6.3778555999135316</v>
      </c>
      <c r="I65" s="96">
        <f>IF(I24=0,0,I24/TrRoad_act!I35*100)</f>
        <v>6.3616687140821844</v>
      </c>
      <c r="J65" s="96">
        <f>IF(J24=0,0,J24/TrRoad_act!J35*100)</f>
        <v>6.3245633784688238</v>
      </c>
      <c r="K65" s="96">
        <f>IF(K24=0,0,K24/TrRoad_act!K35*100)</f>
        <v>6.2826105681862368</v>
      </c>
      <c r="L65" s="96">
        <f>IF(L24=0,0,L24/TrRoad_act!L35*100)</f>
        <v>6.2226182691341352</v>
      </c>
      <c r="M65" s="96">
        <f>IF(M24=0,0,M24/TrRoad_act!M35*100)</f>
        <v>6.0437212982577435</v>
      </c>
      <c r="N65" s="96">
        <f>IF(N24=0,0,N24/TrRoad_act!N35*100)</f>
        <v>5.8904158853524917</v>
      </c>
      <c r="O65" s="96">
        <f>IF(O24=0,0,O24/TrRoad_act!O35*100)</f>
        <v>5.7604559364536474</v>
      </c>
      <c r="P65" s="96">
        <f>IF(P24=0,0,P24/TrRoad_act!P35*100)</f>
        <v>5.6146720237589385</v>
      </c>
      <c r="Q65" s="96">
        <f>IF(Q24=0,0,Q24/TrRoad_act!Q35*100)</f>
        <v>5.4430548704325847</v>
      </c>
      <c r="R65" s="96">
        <f>IF(R24=0,0,R24/TrRoad_act!R35*100)</f>
        <v>5.3803405926898238</v>
      </c>
      <c r="S65" s="96">
        <f>IF(S24=0,0,S24/TrRoad_act!S35*100)</f>
        <v>5.324954700261932</v>
      </c>
      <c r="T65" s="96">
        <f>IF(T24=0,0,T24/TrRoad_act!T35*100)</f>
        <v>5.2497355796574174</v>
      </c>
      <c r="U65" s="96">
        <f>IF(U24=0,0,U24/TrRoad_act!U35*100)</f>
        <v>5.2210040741237602</v>
      </c>
      <c r="V65" s="96">
        <f>IF(V24=0,0,V24/TrRoad_act!V35*100)</f>
        <v>5.1400497131201632</v>
      </c>
      <c r="W65" s="96">
        <f>IF(W24=0,0,W24/TrRoad_act!W35*100)</f>
        <v>5.0657866378084808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7.1463064603823474</v>
      </c>
      <c r="C66" s="96">
        <f>IF(C26=0,0,C26/TrRoad_act!C36*100)</f>
        <v>6.6807240401510217</v>
      </c>
      <c r="D66" s="96">
        <f>IF(D26=0,0,D26/TrRoad_act!D36*100)</f>
        <v>6.7230582285812819</v>
      </c>
      <c r="E66" s="96">
        <f>IF(E26=0,0,E26/TrRoad_act!E36*100)</f>
        <v>6.2137109056044748</v>
      </c>
      <c r="F66" s="96">
        <f>IF(F26=0,0,F26/TrRoad_act!F36*100)</f>
        <v>6.3236797835322491</v>
      </c>
      <c r="G66" s="96">
        <f>IF(G26=0,0,G26/TrRoad_act!G36*100)</f>
        <v>6.5351659407559755</v>
      </c>
      <c r="H66" s="96">
        <f>IF(H26=0,0,H26/TrRoad_act!H36*100)</f>
        <v>6.8271874725647743</v>
      </c>
      <c r="I66" s="96">
        <f>IF(I26=0,0,I26/TrRoad_act!I36*100)</f>
        <v>6.150511185628381</v>
      </c>
      <c r="J66" s="96">
        <f>IF(J26=0,0,J26/TrRoad_act!J36*100)</f>
        <v>6.9103548783765234</v>
      </c>
      <c r="K66" s="96">
        <f>IF(K26=0,0,K26/TrRoad_act!K36*100)</f>
        <v>7.745900759847725</v>
      </c>
      <c r="L66" s="96">
        <f>IF(L26=0,0,L26/TrRoad_act!L36*100)</f>
        <v>8.0043704225234649</v>
      </c>
      <c r="M66" s="96">
        <f>IF(M26=0,0,M26/TrRoad_act!M36*100)</f>
        <v>8.2465100134345537</v>
      </c>
      <c r="N66" s="96">
        <f>IF(N26=0,0,N26/TrRoad_act!N36*100)</f>
        <v>9.84536025992087</v>
      </c>
      <c r="O66" s="96">
        <f>IF(O26=0,0,O26/TrRoad_act!O36*100)</f>
        <v>9.4213392733861578</v>
      </c>
      <c r="P66" s="96">
        <f>IF(P26=0,0,P26/TrRoad_act!P36*100)</f>
        <v>7.6731081459271433</v>
      </c>
      <c r="Q66" s="96">
        <f>IF(Q26=0,0,Q26/TrRoad_act!Q36*100)</f>
        <v>7.1084134128490382</v>
      </c>
      <c r="R66" s="96">
        <f>IF(R26=0,0,R26/TrRoad_act!R36*100)</f>
        <v>7.6608906482369132</v>
      </c>
      <c r="S66" s="96">
        <f>IF(S26=0,0,S26/TrRoad_act!S36*100)</f>
        <v>7.2228108154566399</v>
      </c>
      <c r="T66" s="96">
        <f>IF(T26=0,0,T26/TrRoad_act!T36*100)</f>
        <v>7.1319536565620512</v>
      </c>
      <c r="U66" s="96">
        <f>IF(U26=0,0,U26/TrRoad_act!U36*100)</f>
        <v>5.9453797980246623</v>
      </c>
      <c r="V66" s="96">
        <f>IF(V26=0,0,V26/TrRoad_act!V36*100)</f>
        <v>6.2265239429104247</v>
      </c>
      <c r="W66" s="96">
        <f>IF(W26=0,0,W26/TrRoad_act!W36*100)</f>
        <v>7.0613476350261353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7.9177313074970668</v>
      </c>
      <c r="M67" s="96">
        <f>IF(M27=0,0,M27/TrRoad_act!M37*100)</f>
        <v>7.8800986578229804</v>
      </c>
      <c r="N67" s="96">
        <f>IF(N27=0,0,N27/TrRoad_act!N37*100)</f>
        <v>7.340630756929575</v>
      </c>
      <c r="O67" s="96">
        <f>IF(O27=0,0,O27/TrRoad_act!O37*100)</f>
        <v>7.078533741923609</v>
      </c>
      <c r="P67" s="96">
        <f>IF(P27=0,0,P27/TrRoad_act!P37*100)</f>
        <v>6.384398513208728</v>
      </c>
      <c r="Q67" s="96">
        <f>IF(Q27=0,0,Q27/TrRoad_act!Q37*100)</f>
        <v>6.3329890532109054</v>
      </c>
      <c r="R67" s="96">
        <f>IF(R27=0,0,R27/TrRoad_act!R37*100)</f>
        <v>5.4901586120975896</v>
      </c>
      <c r="S67" s="96">
        <f>IF(S27=0,0,S27/TrRoad_act!S37*100)</f>
        <v>6.5758023119553419</v>
      </c>
      <c r="T67" s="96">
        <f>IF(T27=0,0,T27/TrRoad_act!T37*100)</f>
        <v>7.3854126902306039</v>
      </c>
      <c r="U67" s="96">
        <f>IF(U27=0,0,U27/TrRoad_act!U37*100)</f>
        <v>7.4213374395743683</v>
      </c>
      <c r="V67" s="96">
        <f>IF(V27=0,0,V27/TrRoad_act!V37*100)</f>
        <v>7.4840932947713963</v>
      </c>
      <c r="W67" s="96">
        <f>IF(W27=0,0,W27/TrRoad_act!W37*100)</f>
        <v>7.6942334412220896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2.9249068461820462</v>
      </c>
      <c r="N68" s="96">
        <f>IF(N29=0,0,N29/TrRoad_act!N38*100)</f>
        <v>2.2583512455248025</v>
      </c>
      <c r="O68" s="96">
        <f>IF(O29=0,0,O29/TrRoad_act!O38*100)</f>
        <v>2.4368459510173355</v>
      </c>
      <c r="P68" s="96">
        <f>IF(P29=0,0,P29/TrRoad_act!P38*100)</f>
        <v>3.0518620980290607</v>
      </c>
      <c r="Q68" s="96">
        <f>IF(Q29=0,0,Q29/TrRoad_act!Q38*100)</f>
        <v>2.9296801959099974</v>
      </c>
      <c r="R68" s="96">
        <f>IF(R29=0,0,R29/TrRoad_act!R38*100)</f>
        <v>2.8753041935038892</v>
      </c>
      <c r="S68" s="96">
        <f>IF(S29=0,0,S29/TrRoad_act!S38*100)</f>
        <v>2.9199792000731679</v>
      </c>
      <c r="T68" s="96">
        <f>IF(T29=0,0,T29/TrRoad_act!T38*100)</f>
        <v>2.9766079764594462</v>
      </c>
      <c r="U68" s="96">
        <f>IF(U29=0,0,U29/TrRoad_act!U38*100)</f>
        <v>3.022439424947303</v>
      </c>
      <c r="V68" s="96">
        <f>IF(V29=0,0,V29/TrRoad_act!V38*100)</f>
        <v>3.145487755080969</v>
      </c>
      <c r="W68" s="96">
        <f>IF(W29=0,0,W29/TrRoad_act!W38*100)</f>
        <v>3.2666719281639613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1.7390331977198785</v>
      </c>
      <c r="L69" s="96">
        <f>IF(L32=0,0,L32/TrRoad_act!L39*100)</f>
        <v>1.7219147081382822</v>
      </c>
      <c r="M69" s="96">
        <f>IF(M32=0,0,M32/TrRoad_act!M39*100)</f>
        <v>1.7297690559297787</v>
      </c>
      <c r="N69" s="96">
        <f>IF(N32=0,0,N32/TrRoad_act!N39*100)</f>
        <v>1.6368863749928031</v>
      </c>
      <c r="O69" s="96">
        <f>IF(O32=0,0,O32/TrRoad_act!O39*100)</f>
        <v>1.5316123069254792</v>
      </c>
      <c r="P69" s="96">
        <f>IF(P32=0,0,P32/TrRoad_act!P39*100)</f>
        <v>1.5113037088504948</v>
      </c>
      <c r="Q69" s="96">
        <f>IF(Q32=0,0,Q32/TrRoad_act!Q39*100)</f>
        <v>1.579552456474512</v>
      </c>
      <c r="R69" s="96">
        <f>IF(R32=0,0,R32/TrRoad_act!R39*100)</f>
        <v>1.5801417179374746</v>
      </c>
      <c r="S69" s="96">
        <f>IF(S32=0,0,S32/TrRoad_act!S39*100)</f>
        <v>1.5347714478290717</v>
      </c>
      <c r="T69" s="96">
        <f>IF(T32=0,0,T32/TrRoad_act!T39*100)</f>
        <v>1.6554433979046799</v>
      </c>
      <c r="U69" s="96">
        <f>IF(U32=0,0,U32/TrRoad_act!U39*100)</f>
        <v>1.6268188886499595</v>
      </c>
      <c r="V69" s="96">
        <f>IF(V32=0,0,V32/TrRoad_act!V39*100)</f>
        <v>1.60694629546556</v>
      </c>
      <c r="W69" s="96">
        <f>IF(W32=0,0,W32/TrRoad_act!W39*100)</f>
        <v>1.6195327556835521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61.151669102435321</v>
      </c>
      <c r="C70" s="130">
        <f>IF(C33=0,0,C33/TrRoad_act!C40*100)</f>
        <v>59.566736019444974</v>
      </c>
      <c r="D70" s="130">
        <f>IF(D33=0,0,D33/TrRoad_act!D40*100)</f>
        <v>58.95832472029452</v>
      </c>
      <c r="E70" s="130">
        <f>IF(E33=0,0,E33/TrRoad_act!E40*100)</f>
        <v>58.339024643608028</v>
      </c>
      <c r="F70" s="130">
        <f>IF(F33=0,0,F33/TrRoad_act!F40*100)</f>
        <v>57.699999236693799</v>
      </c>
      <c r="G70" s="130">
        <f>IF(G33=0,0,G33/TrRoad_act!G40*100)</f>
        <v>57.044088519728675</v>
      </c>
      <c r="H70" s="130">
        <f>IF(H33=0,0,H33/TrRoad_act!H40*100)</f>
        <v>56.598418406708603</v>
      </c>
      <c r="I70" s="130">
        <f>IF(I33=0,0,I33/TrRoad_act!I40*100)</f>
        <v>56.104629938999018</v>
      </c>
      <c r="J70" s="130">
        <f>IF(J33=0,0,J33/TrRoad_act!J40*100)</f>
        <v>55.771404555130722</v>
      </c>
      <c r="K70" s="130">
        <f>IF(K33=0,0,K33/TrRoad_act!K40*100)</f>
        <v>55.344337548583248</v>
      </c>
      <c r="L70" s="130">
        <f>IF(L33=0,0,L33/TrRoad_act!L40*100)</f>
        <v>55.161920497969554</v>
      </c>
      <c r="M70" s="130">
        <f>IF(M33=0,0,M33/TrRoad_act!M40*100)</f>
        <v>54.940878397583603</v>
      </c>
      <c r="N70" s="130">
        <f>IF(N33=0,0,N33/TrRoad_act!N40*100)</f>
        <v>53.814861584419461</v>
      </c>
      <c r="O70" s="130">
        <f>IF(O33=0,0,O33/TrRoad_act!O40*100)</f>
        <v>53.455278645800917</v>
      </c>
      <c r="P70" s="130">
        <f>IF(P33=0,0,P33/TrRoad_act!P40*100)</f>
        <v>53.225995422422542</v>
      </c>
      <c r="Q70" s="130">
        <f>IF(Q33=0,0,Q33/TrRoad_act!Q40*100)</f>
        <v>53.139613420506073</v>
      </c>
      <c r="R70" s="130">
        <f>IF(R33=0,0,R33/TrRoad_act!R40*100)</f>
        <v>54.995269312018891</v>
      </c>
      <c r="S70" s="130">
        <f>IF(S33=0,0,S33/TrRoad_act!S40*100)</f>
        <v>55.270247125498685</v>
      </c>
      <c r="T70" s="130">
        <f>IF(T33=0,0,T33/TrRoad_act!T40*100)</f>
        <v>53.166455236424035</v>
      </c>
      <c r="U70" s="130">
        <f>IF(U33=0,0,U33/TrRoad_act!U40*100)</f>
        <v>51.994388196417709</v>
      </c>
      <c r="V70" s="130">
        <f>IF(V33=0,0,V33/TrRoad_act!V40*100)</f>
        <v>50.097955607200397</v>
      </c>
      <c r="W70" s="130">
        <f>IF(W33=0,0,W33/TrRoad_act!W40*100)</f>
        <v>48.066721660882934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18.605949667270504</v>
      </c>
      <c r="C71" s="97">
        <f>IF(C34=0,0,C34/TrRoad_act!C41*100)</f>
        <v>17.812765821431988</v>
      </c>
      <c r="D71" s="97">
        <f>IF(D34=0,0,D34/TrRoad_act!D41*100)</f>
        <v>17.332732466763336</v>
      </c>
      <c r="E71" s="97">
        <f>IF(E34=0,0,E34/TrRoad_act!E41*100)</f>
        <v>17.042557064856034</v>
      </c>
      <c r="F71" s="97">
        <f>IF(F34=0,0,F34/TrRoad_act!F41*100)</f>
        <v>17.002494116135175</v>
      </c>
      <c r="G71" s="97">
        <f>IF(G34=0,0,G34/TrRoad_act!G41*100)</f>
        <v>16.9134736847856</v>
      </c>
      <c r="H71" s="97">
        <f>IF(H34=0,0,H34/TrRoad_act!H41*100)</f>
        <v>16.860033443486724</v>
      </c>
      <c r="I71" s="97">
        <f>IF(I34=0,0,I34/TrRoad_act!I41*100)</f>
        <v>16.758910268022639</v>
      </c>
      <c r="J71" s="97">
        <f>IF(J34=0,0,J34/TrRoad_act!J41*100)</f>
        <v>16.758910268022639</v>
      </c>
      <c r="K71" s="97">
        <f>IF(K34=0,0,K34/TrRoad_act!K41*100)</f>
        <v>16.658512389391394</v>
      </c>
      <c r="L71" s="97">
        <f>IF(L34=0,0,L34/TrRoad_act!L41*100)</f>
        <v>16.355127479402555</v>
      </c>
      <c r="M71" s="97">
        <f>IF(M34=0,0,M34/TrRoad_act!M41*100)</f>
        <v>16.088075779398118</v>
      </c>
      <c r="N71" s="97">
        <f>IF(N34=0,0,N34/TrRoad_act!N41*100)</f>
        <v>15.413860634685983</v>
      </c>
      <c r="O71" s="97">
        <f>IF(O34=0,0,O34/TrRoad_act!O41*100)</f>
        <v>15.376013470065795</v>
      </c>
      <c r="P71" s="97">
        <f>IF(P34=0,0,P34/TrRoad_act!P41*100)</f>
        <v>15.353599638336751</v>
      </c>
      <c r="Q71" s="97">
        <f>IF(Q34=0,0,Q34/TrRoad_act!Q41*100)</f>
        <v>14.46282453988664</v>
      </c>
      <c r="R71" s="97">
        <f>IF(R34=0,0,R34/TrRoad_act!R41*100)</f>
        <v>14.230887613483507</v>
      </c>
      <c r="S71" s="97">
        <f>IF(S34=0,0,S34/TrRoad_act!S41*100)</f>
        <v>14.096768912773081</v>
      </c>
      <c r="T71" s="97">
        <f>IF(T34=0,0,T34/TrRoad_act!T41*100)</f>
        <v>13.990682185347634</v>
      </c>
      <c r="U71" s="97">
        <f>IF(U34=0,0,U34/TrRoad_act!U41*100)</f>
        <v>13.197416676048793</v>
      </c>
      <c r="V71" s="97">
        <f>IF(V34=0,0,V34/TrRoad_act!V41*100)</f>
        <v>13.137006474080795</v>
      </c>
      <c r="W71" s="97">
        <f>IF(W34=0,0,W34/TrRoad_act!W41*100)</f>
        <v>13.104157011117673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61.472903747346429</v>
      </c>
      <c r="C72" s="97">
        <f>IF(C36=0,0,C36/TrRoad_act!C42*100)</f>
        <v>59.854809249460615</v>
      </c>
      <c r="D72" s="97">
        <f>IF(D36=0,0,D36/TrRoad_act!D42*100)</f>
        <v>59.276432128887393</v>
      </c>
      <c r="E72" s="97">
        <f>IF(E36=0,0,E36/TrRoad_act!E42*100)</f>
        <v>58.624050569819488</v>
      </c>
      <c r="F72" s="97">
        <f>IF(F36=0,0,F36/TrRoad_act!F42*100)</f>
        <v>58.01226962584289</v>
      </c>
      <c r="G72" s="97">
        <f>IF(G36=0,0,G36/TrRoad_act!G42*100)</f>
        <v>57.381057330148302</v>
      </c>
      <c r="H72" s="97">
        <f>IF(H36=0,0,H36/TrRoad_act!H42*100)</f>
        <v>56.961165530092693</v>
      </c>
      <c r="I72" s="97">
        <f>IF(I36=0,0,I36/TrRoad_act!I42*100)</f>
        <v>56.495733563357099</v>
      </c>
      <c r="J72" s="97">
        <f>IF(J36=0,0,J36/TrRoad_act!J42*100)</f>
        <v>56.181648302127549</v>
      </c>
      <c r="K72" s="97">
        <f>IF(K36=0,0,K36/TrRoad_act!K42*100)</f>
        <v>55.937225723379591</v>
      </c>
      <c r="L72" s="97">
        <f>IF(L36=0,0,L36/TrRoad_act!L42*100)</f>
        <v>55.88466858326521</v>
      </c>
      <c r="M72" s="97">
        <f>IF(M36=0,0,M36/TrRoad_act!M42*100)</f>
        <v>55.805560113854824</v>
      </c>
      <c r="N72" s="97">
        <f>IF(N36=0,0,N36/TrRoad_act!N42*100)</f>
        <v>55.680147121963728</v>
      </c>
      <c r="O72" s="97">
        <f>IF(O36=0,0,O36/TrRoad_act!O42*100)</f>
        <v>55.550886251359174</v>
      </c>
      <c r="P72" s="97">
        <f>IF(P36=0,0,P36/TrRoad_act!P42*100)</f>
        <v>55.523154654626708</v>
      </c>
      <c r="Q72" s="97">
        <f>IF(Q36=0,0,Q36/TrRoad_act!Q42*100)</f>
        <v>55.54264426661544</v>
      </c>
      <c r="R72" s="97">
        <f>IF(R36=0,0,R36/TrRoad_act!R42*100)</f>
        <v>55.575585614801746</v>
      </c>
      <c r="S72" s="97">
        <f>IF(S36=0,0,S36/TrRoad_act!S42*100)</f>
        <v>55.597431191973548</v>
      </c>
      <c r="T72" s="97">
        <f>IF(T36=0,0,T36/TrRoad_act!T42*100)</f>
        <v>55.595754977459521</v>
      </c>
      <c r="U72" s="97">
        <f>IF(U36=0,0,U36/TrRoad_act!U42*100)</f>
        <v>55.548080735143188</v>
      </c>
      <c r="V72" s="97">
        <f>IF(V36=0,0,V36/TrRoad_act!V42*100)</f>
        <v>55.506921619809759</v>
      </c>
      <c r="W72" s="97">
        <f>IF(W36=0,0,W36/TrRoad_act!W42*100)</f>
        <v>55.388616377836378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47.100869164727847</v>
      </c>
      <c r="C73" s="97">
        <f>IF(C38=0,0,C38/TrRoad_act!C43*100)</f>
        <v>47.100869164727847</v>
      </c>
      <c r="D73" s="97">
        <f>IF(D38=0,0,D38/TrRoad_act!D43*100)</f>
        <v>47.10086916472784</v>
      </c>
      <c r="E73" s="97">
        <f>IF(E38=0,0,E38/TrRoad_act!E43*100)</f>
        <v>47.100869164727854</v>
      </c>
      <c r="F73" s="97">
        <f>IF(F38=0,0,F38/TrRoad_act!F43*100)</f>
        <v>47.100869164727854</v>
      </c>
      <c r="G73" s="97">
        <f>IF(G38=0,0,G38/TrRoad_act!G43*100)</f>
        <v>46.276969672755207</v>
      </c>
      <c r="H73" s="97">
        <f>IF(H38=0,0,H38/TrRoad_act!H43*100)</f>
        <v>46.15688406595546</v>
      </c>
      <c r="I73" s="97">
        <f>IF(I38=0,0,I38/TrRoad_act!I43*100)</f>
        <v>46.063229218157744</v>
      </c>
      <c r="J73" s="97">
        <f>IF(J38=0,0,J38/TrRoad_act!J43*100)</f>
        <v>46.055631386264778</v>
      </c>
      <c r="K73" s="97">
        <f>IF(K38=0,0,K38/TrRoad_act!K43*100)</f>
        <v>45.996460811691492</v>
      </c>
      <c r="L73" s="97">
        <f>IF(L38=0,0,L38/TrRoad_act!L43*100)</f>
        <v>45.996460811691492</v>
      </c>
      <c r="M73" s="97">
        <f>IF(M38=0,0,M38/TrRoad_act!M43*100)</f>
        <v>45.95974726222488</v>
      </c>
      <c r="N73" s="97">
        <f>IF(N38=0,0,N38/TrRoad_act!N43*100)</f>
        <v>45.930188983001813</v>
      </c>
      <c r="O73" s="97">
        <f>IF(O38=0,0,O38/TrRoad_act!O43*100)</f>
        <v>45.920508862567125</v>
      </c>
      <c r="P73" s="97">
        <f>IF(P38=0,0,P38/TrRoad_act!P43*100)</f>
        <v>45.899058698627925</v>
      </c>
      <c r="Q73" s="97">
        <f>IF(Q38=0,0,Q38/TrRoad_act!Q43*100)</f>
        <v>45.899058698627925</v>
      </c>
      <c r="R73" s="97">
        <f>IF(R38=0,0,R38/TrRoad_act!R43*100)</f>
        <v>45.923709573095216</v>
      </c>
      <c r="S73" s="97">
        <f>IF(S38=0,0,S38/TrRoad_act!S43*100)</f>
        <v>45.891113513598654</v>
      </c>
      <c r="T73" s="97">
        <f>IF(T38=0,0,T38/TrRoad_act!T43*100)</f>
        <v>45.867779162292962</v>
      </c>
      <c r="U73" s="97">
        <f>IF(U38=0,0,U38/TrRoad_act!U43*100)</f>
        <v>45.867779162292962</v>
      </c>
      <c r="V73" s="97">
        <f>IF(V38=0,0,V38/TrRoad_act!V43*100)</f>
        <v>45.86763058262089</v>
      </c>
      <c r="W73" s="97">
        <f>IF(W38=0,0,W38/TrRoad_act!W43*100)</f>
        <v>45.842488431882508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50.781094530919958</v>
      </c>
      <c r="C74" s="97">
        <f>IF(C39=0,0,C39/TrRoad_act!C44*100)</f>
        <v>54.81857425881114</v>
      </c>
      <c r="D74" s="97">
        <f>IF(D39=0,0,D39/TrRoad_act!D44*100)</f>
        <v>44.423871806591706</v>
      </c>
      <c r="E74" s="97">
        <f>IF(E39=0,0,E39/TrRoad_act!E44*100)</f>
        <v>52.962315414055873</v>
      </c>
      <c r="F74" s="97">
        <f>IF(F39=0,0,F39/TrRoad_act!F44*100)</f>
        <v>39.638240702273244</v>
      </c>
      <c r="G74" s="97">
        <f>IF(G39=0,0,G39/TrRoad_act!G44*100)</f>
        <v>41.937941187851706</v>
      </c>
      <c r="H74" s="97">
        <f>IF(H39=0,0,H39/TrRoad_act!H44*100)</f>
        <v>41.733275805146327</v>
      </c>
      <c r="I74" s="97">
        <f>IF(I39=0,0,I39/TrRoad_act!I44*100)</f>
        <v>39.237470694585184</v>
      </c>
      <c r="J74" s="97">
        <f>IF(J39=0,0,J39/TrRoad_act!J44*100)</f>
        <v>39.861687711358158</v>
      </c>
      <c r="K74" s="97">
        <f>IF(K39=0,0,K39/TrRoad_act!K44*100)</f>
        <v>39.681492489504713</v>
      </c>
      <c r="L74" s="97">
        <f>IF(L39=0,0,L39/TrRoad_act!L44*100)</f>
        <v>41.601502820371927</v>
      </c>
      <c r="M74" s="97">
        <f>IF(M39=0,0,M39/TrRoad_act!M44*100)</f>
        <v>44.527496256282276</v>
      </c>
      <c r="N74" s="97">
        <f>IF(N39=0,0,N39/TrRoad_act!N44*100)</f>
        <v>31.749570037991525</v>
      </c>
      <c r="O74" s="97">
        <f>IF(O39=0,0,O39/TrRoad_act!O44*100)</f>
        <v>31.29586905318159</v>
      </c>
      <c r="P74" s="97">
        <f>IF(P39=0,0,P39/TrRoad_act!P44*100)</f>
        <v>31.383068588319489</v>
      </c>
      <c r="Q74" s="97">
        <f>IF(Q39=0,0,Q39/TrRoad_act!Q44*100)</f>
        <v>34.862826498599894</v>
      </c>
      <c r="R74" s="97">
        <f>IF(R39=0,0,R39/TrRoad_act!R44*100)</f>
        <v>55.259114709924454</v>
      </c>
      <c r="S74" s="97">
        <f>IF(S39=0,0,S39/TrRoad_act!S44*100)</f>
        <v>59.450348575631331</v>
      </c>
      <c r="T74" s="97">
        <f>IF(T39=0,0,T39/TrRoad_act!T44*100)</f>
        <v>46.351859562895228</v>
      </c>
      <c r="U74" s="97">
        <f>IF(U39=0,0,U39/TrRoad_act!U44*100)</f>
        <v>47.961874401679573</v>
      </c>
      <c r="V74" s="97">
        <f>IF(V39=0,0,V39/TrRoad_act!V44*100)</f>
        <v>46.185220156239886</v>
      </c>
      <c r="W74" s="97">
        <f>IF(W39=0,0,W39/TrRoad_act!W44*100)</f>
        <v>43.546277303592504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33.162316690942745</v>
      </c>
      <c r="C75" s="97">
        <f>IF(C41=0,0,C41/TrRoad_act!C45*100)</f>
        <v>33.162316690942745</v>
      </c>
      <c r="D75" s="97">
        <f>IF(D41=0,0,D41/TrRoad_act!D45*100)</f>
        <v>32.142936848348121</v>
      </c>
      <c r="E75" s="97">
        <f>IF(E41=0,0,E41/TrRoad_act!E45*100)</f>
        <v>32.019080571469075</v>
      </c>
      <c r="F75" s="97">
        <f>IF(F41=0,0,F41/TrRoad_act!F45*100)</f>
        <v>30.623946214727106</v>
      </c>
      <c r="G75" s="97">
        <f>IF(G41=0,0,G41/TrRoad_act!G45*100)</f>
        <v>30.438288112545152</v>
      </c>
      <c r="H75" s="97">
        <f>IF(H41=0,0,H41/TrRoad_act!H45*100)</f>
        <v>30.348403551430469</v>
      </c>
      <c r="I75" s="97">
        <f>IF(I41=0,0,I41/TrRoad_act!I45*100)</f>
        <v>30.348403551430469</v>
      </c>
      <c r="J75" s="97">
        <f>IF(J41=0,0,J41/TrRoad_act!J45*100)</f>
        <v>29.94113497003066</v>
      </c>
      <c r="K75" s="97">
        <f>IF(K41=0,0,K41/TrRoad_act!K45*100)</f>
        <v>29.094657075444317</v>
      </c>
      <c r="L75" s="97">
        <f>IF(L41=0,0,L41/TrRoad_act!L45*100)</f>
        <v>28.095388623209633</v>
      </c>
      <c r="M75" s="97">
        <f>IF(M41=0,0,M41/TrRoad_act!M45*100)</f>
        <v>27.965181318909799</v>
      </c>
      <c r="N75" s="97">
        <f>IF(N41=0,0,N41/TrRoad_act!N45*100)</f>
        <v>27.9057978283066</v>
      </c>
      <c r="O75" s="97">
        <f>IF(O41=0,0,O41/TrRoad_act!O45*100)</f>
        <v>27.061752843946319</v>
      </c>
      <c r="P75" s="97">
        <f>IF(P41=0,0,P41/TrRoad_act!P45*100)</f>
        <v>27.128016808040321</v>
      </c>
      <c r="Q75" s="97">
        <f>IF(Q41=0,0,Q41/TrRoad_act!Q45*100)</f>
        <v>27.274493139444267</v>
      </c>
      <c r="R75" s="97">
        <f>IF(R41=0,0,R41/TrRoad_act!R45*100)</f>
        <v>28.030759806394613</v>
      </c>
      <c r="S75" s="97">
        <f>IF(S41=0,0,S41/TrRoad_act!S45*100)</f>
        <v>28.122757496463713</v>
      </c>
      <c r="T75" s="97">
        <f>IF(T41=0,0,T41/TrRoad_act!T45*100)</f>
        <v>28.205590306916633</v>
      </c>
      <c r="U75" s="97">
        <f>IF(U41=0,0,U41/TrRoad_act!U45*100)</f>
        <v>28.257797329825902</v>
      </c>
      <c r="V75" s="97">
        <f>IF(V41=0,0,V41/TrRoad_act!V45*100)</f>
        <v>28.271147565063814</v>
      </c>
      <c r="W75" s="97">
        <f>IF(W41=0,0,W41/TrRoad_act!W45*100)</f>
        <v>28.272506823200189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18.415580491696812</v>
      </c>
      <c r="C76" s="32">
        <f>IF(C42=0,0,C42/TrRoad_act!C46*100)</f>
        <v>17.32308457221183</v>
      </c>
      <c r="D76" s="32">
        <f>IF(D42=0,0,D42/TrRoad_act!D46*100)</f>
        <v>17.14171781833392</v>
      </c>
      <c r="E76" s="32">
        <f>IF(E42=0,0,E42/TrRoad_act!E46*100)</f>
        <v>17.009939769446188</v>
      </c>
      <c r="F76" s="32">
        <f>IF(F42=0,0,F42/TrRoad_act!F46*100)</f>
        <v>16.850114330534826</v>
      </c>
      <c r="G76" s="32">
        <f>IF(G42=0,0,G42/TrRoad_act!G46*100)</f>
        <v>16.724633148014835</v>
      </c>
      <c r="H76" s="32">
        <f>IF(H42=0,0,H42/TrRoad_act!H46*100)</f>
        <v>17.356259674101974</v>
      </c>
      <c r="I76" s="32">
        <f>IF(I42=0,0,I42/TrRoad_act!I46*100)</f>
        <v>17.455375249166085</v>
      </c>
      <c r="J76" s="32">
        <f>IF(J42=0,0,J42/TrRoad_act!J46*100)</f>
        <v>17.392451325922728</v>
      </c>
      <c r="K76" s="32">
        <f>IF(K42=0,0,K42/TrRoad_act!K46*100)</f>
        <v>16.852801468875477</v>
      </c>
      <c r="L76" s="32">
        <f>IF(L42=0,0,L42/TrRoad_act!L46*100)</f>
        <v>17.436695331484088</v>
      </c>
      <c r="M76" s="32">
        <f>IF(M42=0,0,M42/TrRoad_act!M46*100)</f>
        <v>17.582572391946368</v>
      </c>
      <c r="N76" s="32">
        <f>IF(N42=0,0,N42/TrRoad_act!N46*100)</f>
        <v>17.6381294903331</v>
      </c>
      <c r="O76" s="32">
        <f>IF(O42=0,0,O42/TrRoad_act!O46*100)</f>
        <v>16.417816552039902</v>
      </c>
      <c r="P76" s="32">
        <f>IF(P42=0,0,P42/TrRoad_act!P46*100)</f>
        <v>14.345759177663957</v>
      </c>
      <c r="Q76" s="32">
        <f>IF(Q42=0,0,Q42/TrRoad_act!Q46*100)</f>
        <v>14.046364624275387</v>
      </c>
      <c r="R76" s="32">
        <f>IF(R42=0,0,R42/TrRoad_act!R46*100)</f>
        <v>13.53783621249238</v>
      </c>
      <c r="S76" s="32">
        <f>IF(S42=0,0,S42/TrRoad_act!S46*100)</f>
        <v>14.550156109294951</v>
      </c>
      <c r="T76" s="32">
        <f>IF(T42=0,0,T42/TrRoad_act!T46*100)</f>
        <v>15.474250913777055</v>
      </c>
      <c r="U76" s="32">
        <f>IF(U42=0,0,U42/TrRoad_act!U46*100)</f>
        <v>15.508149069843084</v>
      </c>
      <c r="V76" s="32">
        <f>IF(V42=0,0,V42/TrRoad_act!V46*100)</f>
        <v>14.627085820373173</v>
      </c>
      <c r="W76" s="32">
        <f>IF(W42=0,0,W42/TrRoad_act!W46*100)</f>
        <v>13.644344871841207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11.568706692205174</v>
      </c>
      <c r="C77" s="141">
        <f>IF(C43=0,0,C43/TrRoad_act!C47*100)</f>
        <v>10.92101229269114</v>
      </c>
      <c r="D77" s="141">
        <f>IF(D43=0,0,D43/TrRoad_act!D47*100)</f>
        <v>10.753386070281106</v>
      </c>
      <c r="E77" s="141">
        <f>IF(E43=0,0,E43/TrRoad_act!E47*100)</f>
        <v>10.629818028022266</v>
      </c>
      <c r="F77" s="141">
        <f>IF(F43=0,0,F43/TrRoad_act!F47*100)</f>
        <v>10.536886172595102</v>
      </c>
      <c r="G77" s="141">
        <f>IF(G43=0,0,G43/TrRoad_act!G47*100)</f>
        <v>10.429962438794737</v>
      </c>
      <c r="H77" s="141">
        <f>IF(H43=0,0,H43/TrRoad_act!H47*100)</f>
        <v>10.344289917511345</v>
      </c>
      <c r="I77" s="141">
        <f>IF(I43=0,0,I43/TrRoad_act!I47*100)</f>
        <v>10.292151144359771</v>
      </c>
      <c r="J77" s="141">
        <f>IF(J43=0,0,J43/TrRoad_act!J47*100)</f>
        <v>10.247477181402735</v>
      </c>
      <c r="K77" s="141">
        <f>IF(K43=0,0,K43/TrRoad_act!K47*100)</f>
        <v>10.195955330596908</v>
      </c>
      <c r="L77" s="141">
        <f>IF(L43=0,0,L43/TrRoad_act!L47*100)</f>
        <v>10.211606402074789</v>
      </c>
      <c r="M77" s="141">
        <f>IF(M43=0,0,M43/TrRoad_act!M47*100)</f>
        <v>10.188185071842263</v>
      </c>
      <c r="N77" s="141">
        <f>IF(N43=0,0,N43/TrRoad_act!N47*100)</f>
        <v>10.10162131539475</v>
      </c>
      <c r="O77" s="141">
        <f>IF(O43=0,0,O43/TrRoad_act!O47*100)</f>
        <v>10.013366691696818</v>
      </c>
      <c r="P77" s="141">
        <f>IF(P43=0,0,P43/TrRoad_act!P47*100)</f>
        <v>9.9087940756525459</v>
      </c>
      <c r="Q77" s="141">
        <f>IF(Q43=0,0,Q43/TrRoad_act!Q47*100)</f>
        <v>9.7836437366753604</v>
      </c>
      <c r="R77" s="141">
        <f>IF(R43=0,0,R43/TrRoad_act!R47*100)</f>
        <v>9.5885056351425213</v>
      </c>
      <c r="S77" s="141">
        <f>IF(S43=0,0,S43/TrRoad_act!S47*100)</f>
        <v>9.4091001619394454</v>
      </c>
      <c r="T77" s="141">
        <f>IF(T43=0,0,T43/TrRoad_act!T47*100)</f>
        <v>9.2358444557081594</v>
      </c>
      <c r="U77" s="141">
        <f>IF(U43=0,0,U43/TrRoad_act!U47*100)</f>
        <v>9.0956049505076013</v>
      </c>
      <c r="V77" s="141">
        <f>IF(V43=0,0,V43/TrRoad_act!V47*100)</f>
        <v>9.0221660790060572</v>
      </c>
      <c r="W77" s="141">
        <f>IF(W43=0,0,W43/TrRoad_act!W47*100)</f>
        <v>8.95359675315121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12.001492294358341</v>
      </c>
      <c r="C78" s="96">
        <f>IF(C44=0,0,C44/TrRoad_act!C48*100)</f>
        <v>12.001492294358339</v>
      </c>
      <c r="D78" s="96">
        <f>IF(D44=0,0,D44/TrRoad_act!D48*100)</f>
        <v>12.001492294358339</v>
      </c>
      <c r="E78" s="96">
        <f>IF(E44=0,0,E44/TrRoad_act!E48*100)</f>
        <v>12.001492294358339</v>
      </c>
      <c r="F78" s="96">
        <f>IF(F44=0,0,F44/TrRoad_act!F48*100)</f>
        <v>12.001492294358339</v>
      </c>
      <c r="G78" s="96">
        <f>IF(G44=0,0,G44/TrRoad_act!G48*100)</f>
        <v>12.001492294358343</v>
      </c>
      <c r="H78" s="96">
        <f>IF(H44=0,0,H44/TrRoad_act!H48*100)</f>
        <v>12.001492294358339</v>
      </c>
      <c r="I78" s="96">
        <f>IF(I44=0,0,I44/TrRoad_act!I48*100)</f>
        <v>12.001492294358339</v>
      </c>
      <c r="J78" s="96">
        <f>IF(J44=0,0,J44/TrRoad_act!J48*100)</f>
        <v>12.001492294358341</v>
      </c>
      <c r="K78" s="96">
        <f>IF(K44=0,0,K44/TrRoad_act!K48*100)</f>
        <v>11.916582707824121</v>
      </c>
      <c r="L78" s="96">
        <f>IF(L44=0,0,L44/TrRoad_act!L48*100)</f>
        <v>11.706552241963095</v>
      </c>
      <c r="M78" s="96">
        <f>IF(M44=0,0,M44/TrRoad_act!M48*100)</f>
        <v>11.495004509740506</v>
      </c>
      <c r="N78" s="96">
        <f>IF(N44=0,0,N44/TrRoad_act!N48*100)</f>
        <v>11.221059950059136</v>
      </c>
      <c r="O78" s="96">
        <f>IF(O44=0,0,O44/TrRoad_act!O48*100)</f>
        <v>11.055238166505584</v>
      </c>
      <c r="P78" s="96">
        <f>IF(P44=0,0,P44/TrRoad_act!P48*100)</f>
        <v>10.673442439804434</v>
      </c>
      <c r="Q78" s="96">
        <f>IF(Q44=0,0,Q44/TrRoad_act!Q48*100)</f>
        <v>10.314862132111358</v>
      </c>
      <c r="R78" s="96">
        <f>IF(R44=0,0,R44/TrRoad_act!R48*100)</f>
        <v>9.9596332300030124</v>
      </c>
      <c r="S78" s="96">
        <f>IF(S44=0,0,S44/TrRoad_act!S48*100)</f>
        <v>9.6279311531688556</v>
      </c>
      <c r="T78" s="96">
        <f>IF(T44=0,0,T44/TrRoad_act!T48*100)</f>
        <v>9.4465883295104209</v>
      </c>
      <c r="U78" s="96">
        <f>IF(U44=0,0,U44/TrRoad_act!U48*100)</f>
        <v>9.1058364319076457</v>
      </c>
      <c r="V78" s="96">
        <f>IF(V44=0,0,V44/TrRoad_act!V48*100)</f>
        <v>8.9217689051011249</v>
      </c>
      <c r="W78" s="96">
        <f>IF(W44=0,0,W44/TrRoad_act!W48*100)</f>
        <v>8.5567104200864552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11.407661256463861</v>
      </c>
      <c r="C79" s="96">
        <f>IF(C46=0,0,C46/TrRoad_act!C49*100)</f>
        <v>10.747319197089187</v>
      </c>
      <c r="D79" s="96">
        <f>IF(D46=0,0,D46/TrRoad_act!D49*100)</f>
        <v>10.589633508119048</v>
      </c>
      <c r="E79" s="96">
        <f>IF(E46=0,0,E46/TrRoad_act!E49*100)</f>
        <v>10.478496424089229</v>
      </c>
      <c r="F79" s="96">
        <f>IF(F46=0,0,F46/TrRoad_act!F49*100)</f>
        <v>10.39717690282003</v>
      </c>
      <c r="G79" s="96">
        <f>IF(G46=0,0,G46/TrRoad_act!G49*100)</f>
        <v>10.30705473694619</v>
      </c>
      <c r="H79" s="96">
        <f>IF(H46=0,0,H46/TrRoad_act!H49*100)</f>
        <v>10.22981722557336</v>
      </c>
      <c r="I79" s="96">
        <f>IF(I46=0,0,I46/TrRoad_act!I49*100)</f>
        <v>10.179666644659576</v>
      </c>
      <c r="J79" s="96">
        <f>IF(J46=0,0,J46/TrRoad_act!J49*100)</f>
        <v>10.136789055852308</v>
      </c>
      <c r="K79" s="96">
        <f>IF(K46=0,0,K46/TrRoad_act!K49*100)</f>
        <v>10.083890436036278</v>
      </c>
      <c r="L79" s="96">
        <f>IF(L46=0,0,L46/TrRoad_act!L49*100)</f>
        <v>10.107418333180838</v>
      </c>
      <c r="M79" s="96">
        <f>IF(M46=0,0,M46/TrRoad_act!M49*100)</f>
        <v>10.091037524120686</v>
      </c>
      <c r="N79" s="96">
        <f>IF(N46=0,0,N46/TrRoad_act!N49*100)</f>
        <v>10.008608671054661</v>
      </c>
      <c r="O79" s="96">
        <f>IF(O46=0,0,O46/TrRoad_act!O49*100)</f>
        <v>9.9223659798592738</v>
      </c>
      <c r="P79" s="96">
        <f>IF(P46=0,0,P46/TrRoad_act!P49*100)</f>
        <v>9.8215174314001956</v>
      </c>
      <c r="Q79" s="96">
        <f>IF(Q46=0,0,Q46/TrRoad_act!Q49*100)</f>
        <v>9.7038969611286081</v>
      </c>
      <c r="R79" s="96">
        <f>IF(R46=0,0,R46/TrRoad_act!R49*100)</f>
        <v>9.5133212485564904</v>
      </c>
      <c r="S79" s="96">
        <f>IF(S46=0,0,S46/TrRoad_act!S49*100)</f>
        <v>9.3394711429262767</v>
      </c>
      <c r="T79" s="96">
        <f>IF(T46=0,0,T46/TrRoad_act!T49*100)</f>
        <v>9.1765351103944113</v>
      </c>
      <c r="U79" s="96">
        <f>IF(U46=0,0,U46/TrRoad_act!U49*100)</f>
        <v>9.0533250818095308</v>
      </c>
      <c r="V79" s="96">
        <f>IF(V46=0,0,V46/TrRoad_act!V49*100)</f>
        <v>8.9880208980324685</v>
      </c>
      <c r="W79" s="96">
        <f>IF(W46=0,0,W46/TrRoad_act!W49*100)</f>
        <v>8.94605363468078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21.77762922774512</v>
      </c>
      <c r="C80" s="96">
        <f>IF(C48=0,0,C48/TrRoad_act!C50*100)</f>
        <v>21.762225308806521</v>
      </c>
      <c r="D80" s="96">
        <f>IF(D48=0,0,D48/TrRoad_act!D50*100)</f>
        <v>21.762160995214273</v>
      </c>
      <c r="E80" s="96">
        <f>IF(E48=0,0,E48/TrRoad_act!E50*100)</f>
        <v>21.761788835515077</v>
      </c>
      <c r="F80" s="96">
        <f>IF(F48=0,0,F48/TrRoad_act!F50*100)</f>
        <v>21.761220180302114</v>
      </c>
      <c r="G80" s="96">
        <f>IF(G48=0,0,G48/TrRoad_act!G50*100)</f>
        <v>21.759330166172582</v>
      </c>
      <c r="H80" s="96">
        <f>IF(H48=0,0,H48/TrRoad_act!H50*100)</f>
        <v>21.758117454468895</v>
      </c>
      <c r="I80" s="96">
        <f>IF(I48=0,0,I48/TrRoad_act!I50*100)</f>
        <v>21.757506242473031</v>
      </c>
      <c r="J80" s="96">
        <f>IF(J48=0,0,J48/TrRoad_act!J50*100)</f>
        <v>21.757486804410679</v>
      </c>
      <c r="K80" s="96">
        <f>IF(K48=0,0,K48/TrRoad_act!K50*100)</f>
        <v>21.753016384403754</v>
      </c>
      <c r="L80" s="96">
        <f>IF(L48=0,0,L48/TrRoad_act!L50*100)</f>
        <v>21.513472868471045</v>
      </c>
      <c r="M80" s="96">
        <f>IF(M48=0,0,M48/TrRoad_act!M50*100)</f>
        <v>21.232442925213064</v>
      </c>
      <c r="N80" s="96">
        <f>IF(N48=0,0,N48/TrRoad_act!N50*100)</f>
        <v>20.914778760145651</v>
      </c>
      <c r="O80" s="96">
        <f>IF(O48=0,0,O48/TrRoad_act!O50*100)</f>
        <v>20.745061403891849</v>
      </c>
      <c r="P80" s="96">
        <f>IF(P48=0,0,P48/TrRoad_act!P50*100)</f>
        <v>20.429279340283479</v>
      </c>
      <c r="Q80" s="96">
        <f>IF(Q48=0,0,Q48/TrRoad_act!Q50*100)</f>
        <v>20.149200431859459</v>
      </c>
      <c r="R80" s="96">
        <f>IF(R48=0,0,R48/TrRoad_act!R50*100)</f>
        <v>19.80667498945758</v>
      </c>
      <c r="S80" s="96">
        <f>IF(S48=0,0,S48/TrRoad_act!S50*100)</f>
        <v>19.447044234858875</v>
      </c>
      <c r="T80" s="96">
        <f>IF(T48=0,0,T48/TrRoad_act!T50*100)</f>
        <v>18.071281695798625</v>
      </c>
      <c r="U80" s="96">
        <f>IF(U48=0,0,U48/TrRoad_act!U50*100)</f>
        <v>15.222390467805949</v>
      </c>
      <c r="V80" s="96">
        <f>IF(V48=0,0,V48/TrRoad_act!V50*100)</f>
        <v>15.01388488178489</v>
      </c>
      <c r="W80" s="96">
        <f>IF(W48=0,0,W48/TrRoad_act!W50*100)</f>
        <v>14.594526985451264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11.116703989664451</v>
      </c>
      <c r="F81" s="96">
        <f>IF(F49=0,0,F49/TrRoad_act!F51*100)</f>
        <v>11.168697841482448</v>
      </c>
      <c r="G81" s="96">
        <f>IF(G49=0,0,G49/TrRoad_act!G51*100)</f>
        <v>11.171300830494147</v>
      </c>
      <c r="H81" s="96">
        <f>IF(H49=0,0,H49/TrRoad_act!H51*100)</f>
        <v>11.171669418227532</v>
      </c>
      <c r="I81" s="96">
        <f>IF(I49=0,0,I49/TrRoad_act!I51*100)</f>
        <v>11.098921142082865</v>
      </c>
      <c r="J81" s="96">
        <f>IF(J49=0,0,J49/TrRoad_act!J51*100)</f>
        <v>11.098921142082869</v>
      </c>
      <c r="K81" s="96">
        <f>IF(K49=0,0,K49/TrRoad_act!K51*100)</f>
        <v>10.723727634934475</v>
      </c>
      <c r="L81" s="96">
        <f>IF(L49=0,0,L49/TrRoad_act!L51*100)</f>
        <v>10.496666943366648</v>
      </c>
      <c r="M81" s="96">
        <f>IF(M49=0,0,M49/TrRoad_act!M51*100)</f>
        <v>10.385235407933914</v>
      </c>
      <c r="N81" s="96">
        <f>IF(N49=0,0,N49/TrRoad_act!N51*100)</f>
        <v>10.096468409621613</v>
      </c>
      <c r="O81" s="96">
        <f>IF(O49=0,0,O49/TrRoad_act!O51*100)</f>
        <v>10.005509547189686</v>
      </c>
      <c r="P81" s="96">
        <f>IF(P49=0,0,P49/TrRoad_act!P51*100)</f>
        <v>9.9147643894171971</v>
      </c>
      <c r="Q81" s="96">
        <f>IF(Q49=0,0,Q49/TrRoad_act!Q51*100)</f>
        <v>9.9428012087971247</v>
      </c>
      <c r="R81" s="96">
        <f>IF(R49=0,0,R49/TrRoad_act!R51*100)</f>
        <v>9.6536204986717031</v>
      </c>
      <c r="S81" s="96">
        <f>IF(S49=0,0,S49/TrRoad_act!S51*100)</f>
        <v>9.7199455774944639</v>
      </c>
      <c r="T81" s="96">
        <f>IF(T49=0,0,T49/TrRoad_act!T51*100)</f>
        <v>9.2861891197470587</v>
      </c>
      <c r="U81" s="96">
        <f>IF(U49=0,0,U49/TrRoad_act!U51*100)</f>
        <v>9.2817819364664871</v>
      </c>
      <c r="V81" s="96">
        <f>IF(V49=0,0,V49/TrRoad_act!V51*100)</f>
        <v>9.217251376491312</v>
      </c>
      <c r="W81" s="96">
        <f>IF(W49=0,0,W49/TrRoad_act!W51*100)</f>
        <v>9.2579047714921785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1.6388013120689198</v>
      </c>
      <c r="N82" s="96">
        <f>IF(N51=0,0,N51/TrRoad_act!N52*100)</f>
        <v>1.6472914875411706</v>
      </c>
      <c r="O82" s="96">
        <f>IF(O51=0,0,O51/TrRoad_act!O52*100)</f>
        <v>1.6550778118352358</v>
      </c>
      <c r="P82" s="96">
        <f>IF(P51=0,0,P51/TrRoad_act!P52*100)</f>
        <v>1.7227248734651157</v>
      </c>
      <c r="Q82" s="96">
        <f>IF(Q51=0,0,Q51/TrRoad_act!Q52*100)</f>
        <v>1.7520154808171116</v>
      </c>
      <c r="R82" s="96">
        <f>IF(R51=0,0,R51/TrRoad_act!R52*100)</f>
        <v>1.7835263331966378</v>
      </c>
      <c r="S82" s="96">
        <f>IF(S51=0,0,S51/TrRoad_act!S52*100)</f>
        <v>1.7839403820833777</v>
      </c>
      <c r="T82" s="96">
        <f>IF(T51=0,0,T51/TrRoad_act!T52*100)</f>
        <v>1.9232117718468951</v>
      </c>
      <c r="U82" s="96">
        <f>IF(U51=0,0,U51/TrRoad_act!U52*100)</f>
        <v>2.1213675148065292</v>
      </c>
      <c r="V82" s="96">
        <f>IF(V51=0,0,V51/TrRoad_act!V52*100)</f>
        <v>2.3162513311215869</v>
      </c>
      <c r="W82" s="96">
        <f>IF(W51=0,0,W51/TrRoad_act!W52*100)</f>
        <v>2.5320505512527456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36.479407478340327</v>
      </c>
      <c r="C83" s="130">
        <f>IF(C52=0,0,C52/TrRoad_act!C53*100)</f>
        <v>35.883351215338685</v>
      </c>
      <c r="D83" s="130">
        <f>IF(D52=0,0,D52/TrRoad_act!D53*100)</f>
        <v>35.52766739521018</v>
      </c>
      <c r="E83" s="130">
        <f>IF(E52=0,0,E52/TrRoad_act!E53*100)</f>
        <v>35.652140624912029</v>
      </c>
      <c r="F83" s="130">
        <f>IF(F52=0,0,F52/TrRoad_act!F53*100)</f>
        <v>36.119853702721663</v>
      </c>
      <c r="G83" s="130">
        <f>IF(G52=0,0,G52/TrRoad_act!G53*100)</f>
        <v>36.279717406497561</v>
      </c>
      <c r="H83" s="130">
        <f>IF(H52=0,0,H52/TrRoad_act!H53*100)</f>
        <v>38.993885513758805</v>
      </c>
      <c r="I83" s="130">
        <f>IF(I52=0,0,I52/TrRoad_act!I53*100)</f>
        <v>40.726241366114095</v>
      </c>
      <c r="J83" s="130">
        <f>IF(J52=0,0,J52/TrRoad_act!J53*100)</f>
        <v>40.937094147145594</v>
      </c>
      <c r="K83" s="130">
        <f>IF(K52=0,0,K52/TrRoad_act!K53*100)</f>
        <v>37.997482687445419</v>
      </c>
      <c r="L83" s="130">
        <f>IF(L52=0,0,L52/TrRoad_act!L53*100)</f>
        <v>43.488567885913469</v>
      </c>
      <c r="M83" s="130">
        <f>IF(M52=0,0,M52/TrRoad_act!M53*100)</f>
        <v>44.236259315245903</v>
      </c>
      <c r="N83" s="130">
        <f>IF(N52=0,0,N52/TrRoad_act!N53*100)</f>
        <v>44.859713018438548</v>
      </c>
      <c r="O83" s="130">
        <f>IF(O52=0,0,O52/TrRoad_act!O53*100)</f>
        <v>38.336433887090983</v>
      </c>
      <c r="P83" s="130">
        <f>IF(P52=0,0,P52/TrRoad_act!P53*100)</f>
        <v>28.632927232926384</v>
      </c>
      <c r="Q83" s="130">
        <f>IF(Q52=0,0,Q52/TrRoad_act!Q53*100)</f>
        <v>28.108246061951782</v>
      </c>
      <c r="R83" s="130">
        <f>IF(R52=0,0,R52/TrRoad_act!R53*100)</f>
        <v>26.374609848224516</v>
      </c>
      <c r="S83" s="130">
        <f>IF(S52=0,0,S52/TrRoad_act!S53*100)</f>
        <v>32.227705226295541</v>
      </c>
      <c r="T83" s="130">
        <f>IF(T52=0,0,T52/TrRoad_act!T53*100)</f>
        <v>36.768470454579663</v>
      </c>
      <c r="U83" s="130">
        <f>IF(U52=0,0,U52/TrRoad_act!U53*100)</f>
        <v>37.074817026454944</v>
      </c>
      <c r="V83" s="130">
        <f>IF(V52=0,0,V52/TrRoad_act!V53*100)</f>
        <v>32.353494372160121</v>
      </c>
      <c r="W83" s="130">
        <f>IF(W52=0,0,W52/TrRoad_act!W53*100)</f>
        <v>28.5561517064992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35.378805258635765</v>
      </c>
      <c r="C84" s="97">
        <f>IF(C53=0,0,C53/TrRoad_act!C54*100)</f>
        <v>34.766420152519238</v>
      </c>
      <c r="D84" s="97">
        <f>IF(D53=0,0,D53/TrRoad_act!D54*100)</f>
        <v>34.446958211563597</v>
      </c>
      <c r="E84" s="97">
        <f>IF(E53=0,0,E53/TrRoad_act!E54*100)</f>
        <v>34.59951965360527</v>
      </c>
      <c r="F84" s="97">
        <f>IF(F53=0,0,F53/TrRoad_act!F54*100)</f>
        <v>34.929807907606133</v>
      </c>
      <c r="G84" s="97">
        <f>IF(G53=0,0,G53/TrRoad_act!G54*100)</f>
        <v>35.06690020077005</v>
      </c>
      <c r="H84" s="97">
        <f>IF(H53=0,0,H53/TrRoad_act!H54*100)</f>
        <v>37.640084378653974</v>
      </c>
      <c r="I84" s="97">
        <f>IF(I53=0,0,I53/TrRoad_act!I54*100)</f>
        <v>39.277546841583877</v>
      </c>
      <c r="J84" s="97">
        <f>IF(J53=0,0,J53/TrRoad_act!J54*100)</f>
        <v>39.452599931350832</v>
      </c>
      <c r="K84" s="97">
        <f>IF(K53=0,0,K53/TrRoad_act!K54*100)</f>
        <v>36.680772357215403</v>
      </c>
      <c r="L84" s="97">
        <f>IF(L53=0,0,L53/TrRoad_act!L54*100)</f>
        <v>41.729625275949978</v>
      </c>
      <c r="M84" s="97">
        <f>IF(M53=0,0,M53/TrRoad_act!M54*100)</f>
        <v>42.531367514647457</v>
      </c>
      <c r="N84" s="97">
        <f>IF(N53=0,0,N53/TrRoad_act!N54*100)</f>
        <v>43.045332215032055</v>
      </c>
      <c r="O84" s="97">
        <f>IF(O53=0,0,O53/TrRoad_act!O54*100)</f>
        <v>36.744474224850805</v>
      </c>
      <c r="P84" s="97">
        <f>IF(P53=0,0,P53/TrRoad_act!P54*100)</f>
        <v>27.391349145955235</v>
      </c>
      <c r="Q84" s="97">
        <f>IF(Q53=0,0,Q53/TrRoad_act!Q54*100)</f>
        <v>26.855412104487208</v>
      </c>
      <c r="R84" s="97">
        <f>IF(R53=0,0,R53/TrRoad_act!R54*100)</f>
        <v>25.145959961069398</v>
      </c>
      <c r="S84" s="97">
        <f>IF(S53=0,0,S53/TrRoad_act!S54*100)</f>
        <v>30.58752406154866</v>
      </c>
      <c r="T84" s="97">
        <f>IF(T53=0,0,T53/TrRoad_act!T54*100)</f>
        <v>34.87887799179758</v>
      </c>
      <c r="U84" s="97">
        <f>IF(U53=0,0,U53/TrRoad_act!U54*100)</f>
        <v>35.053503920969561</v>
      </c>
      <c r="V84" s="97">
        <f>IF(V53=0,0,V53/TrRoad_act!V54*100)</f>
        <v>30.515475099123933</v>
      </c>
      <c r="W84" s="97">
        <f>IF(W53=0,0,W53/TrRoad_act!W54*100)</f>
        <v>26.92604047213198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42.450575238479843</v>
      </c>
      <c r="C85" s="98">
        <f>IF(C55=0,0,C55/TrRoad_act!C55*100)</f>
        <v>41.45749482366336</v>
      </c>
      <c r="D85" s="98">
        <f>IF(D55=0,0,D55/TrRoad_act!D55*100)</f>
        <v>40.898318200299762</v>
      </c>
      <c r="E85" s="98">
        <f>IF(E55=0,0,E55/TrRoad_act!E55*100)</f>
        <v>40.95715443610672</v>
      </c>
      <c r="F85" s="98">
        <f>IF(F55=0,0,F55/TrRoad_act!F55*100)</f>
        <v>41.079925819812466</v>
      </c>
      <c r="G85" s="98">
        <f>IF(G55=0,0,G55/TrRoad_act!G55*100)</f>
        <v>41.129076626055273</v>
      </c>
      <c r="H85" s="98">
        <f>IF(H55=0,0,H55/TrRoad_act!H55*100)</f>
        <v>44.081689541348354</v>
      </c>
      <c r="I85" s="98">
        <f>IF(I55=0,0,I55/TrRoad_act!I55*100)</f>
        <v>45.854561517083134</v>
      </c>
      <c r="J85" s="98">
        <f>IF(J55=0,0,J55/TrRoad_act!J55*100)</f>
        <v>46.104473171929641</v>
      </c>
      <c r="K85" s="98">
        <f>IF(K55=0,0,K55/TrRoad_act!K55*100)</f>
        <v>42.937802894696638</v>
      </c>
      <c r="L85" s="98">
        <f>IF(L55=0,0,L55/TrRoad_act!L55*100)</f>
        <v>48.82061539018197</v>
      </c>
      <c r="M85" s="98">
        <f>IF(M55=0,0,M55/TrRoad_act!M55*100)</f>
        <v>49.626344110605423</v>
      </c>
      <c r="N85" s="98">
        <f>IF(N55=0,0,N55/TrRoad_act!N55*100)</f>
        <v>50.421169720215573</v>
      </c>
      <c r="O85" s="98">
        <f>IF(O55=0,0,O55/TrRoad_act!O55*100)</f>
        <v>43.254137219424322</v>
      </c>
      <c r="P85" s="98">
        <f>IF(P55=0,0,P55/TrRoad_act!P55*100)</f>
        <v>32.435827339040117</v>
      </c>
      <c r="Q85" s="98">
        <f>IF(Q55=0,0,Q55/TrRoad_act!Q55*100)</f>
        <v>31.940229955706705</v>
      </c>
      <c r="R85" s="98">
        <f>IF(R55=0,0,R55/TrRoad_act!R55*100)</f>
        <v>30.012560535233607</v>
      </c>
      <c r="S85" s="98">
        <f>IF(S55=0,0,S55/TrRoad_act!S55*100)</f>
        <v>36.802654371353846</v>
      </c>
      <c r="T85" s="98">
        <f>IF(T55=0,0,T55/TrRoad_act!T55*100)</f>
        <v>42.27229894307419</v>
      </c>
      <c r="U85" s="98">
        <f>IF(U55=0,0,U55/TrRoad_act!U55*100)</f>
        <v>42.826788302131007</v>
      </c>
      <c r="V85" s="98">
        <f>IF(V55=0,0,V55/TrRoad_act!V55*100)</f>
        <v>37.517706607691018</v>
      </c>
      <c r="W85" s="98">
        <f>IF(W55=0,0,W55/TrRoad_act!W55*100)</f>
        <v>33.409771176238188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42.218881522851703</v>
      </c>
      <c r="C88" s="29">
        <f>IF(TrRoad_act!C4=0,0,C18/TrRoad_act!C4*1000)</f>
        <v>42.339442290139544</v>
      </c>
      <c r="D88" s="29">
        <f>IF(TrRoad_act!D4=0,0,D18/TrRoad_act!D4*1000)</f>
        <v>42.396489318417999</v>
      </c>
      <c r="E88" s="29">
        <f>IF(TrRoad_act!E4=0,0,E18/TrRoad_act!E4*1000)</f>
        <v>41.961226204791629</v>
      </c>
      <c r="F88" s="29">
        <f>IF(TrRoad_act!F4=0,0,F18/TrRoad_act!F4*1000)</f>
        <v>40.681323934628523</v>
      </c>
      <c r="G88" s="29">
        <f>IF(TrRoad_act!G4=0,0,G18/TrRoad_act!G4*1000)</f>
        <v>41.49236743529422</v>
      </c>
      <c r="H88" s="29">
        <f>IF(TrRoad_act!H4=0,0,H18/TrRoad_act!H4*1000)</f>
        <v>42.640506021068383</v>
      </c>
      <c r="I88" s="29">
        <f>IF(TrRoad_act!I4=0,0,I18/TrRoad_act!I4*1000)</f>
        <v>42.699419345551455</v>
      </c>
      <c r="J88" s="29">
        <f>IF(TrRoad_act!J4=0,0,J18/TrRoad_act!J4*1000)</f>
        <v>43.3587442557969</v>
      </c>
      <c r="K88" s="29">
        <f>IF(TrRoad_act!K4=0,0,K18/TrRoad_act!K4*1000)</f>
        <v>43.482514027175561</v>
      </c>
      <c r="L88" s="29">
        <f>IF(TrRoad_act!L4=0,0,L18/TrRoad_act!L4*1000)</f>
        <v>43.690731649316966</v>
      </c>
      <c r="M88" s="29">
        <f>IF(TrRoad_act!M4=0,0,M18/TrRoad_act!M4*1000)</f>
        <v>43.578723317241327</v>
      </c>
      <c r="N88" s="29">
        <f>IF(TrRoad_act!N4=0,0,N18/TrRoad_act!N4*1000)</f>
        <v>43.208779621750388</v>
      </c>
      <c r="O88" s="29">
        <f>IF(TrRoad_act!O4=0,0,O18/TrRoad_act!O4*1000)</f>
        <v>40.517346276162954</v>
      </c>
      <c r="P88" s="29">
        <f>IF(TrRoad_act!P4=0,0,P18/TrRoad_act!P4*1000)</f>
        <v>39.347123591838795</v>
      </c>
      <c r="Q88" s="29">
        <f>IF(TrRoad_act!Q4=0,0,Q18/TrRoad_act!Q4*1000)</f>
        <v>40.811438517965364</v>
      </c>
      <c r="R88" s="29">
        <f>IF(TrRoad_act!R4=0,0,R18/TrRoad_act!R4*1000)</f>
        <v>40.631025872648259</v>
      </c>
      <c r="S88" s="29">
        <f>IF(TrRoad_act!S4=0,0,S18/TrRoad_act!S4*1000)</f>
        <v>41.952488176016587</v>
      </c>
      <c r="T88" s="29">
        <f>IF(TrRoad_act!T4=0,0,T18/TrRoad_act!T4*1000)</f>
        <v>39.318981953649839</v>
      </c>
      <c r="U88" s="29">
        <f>IF(TrRoad_act!U4=0,0,U18/TrRoad_act!U4*1000)</f>
        <v>38.982672680787431</v>
      </c>
      <c r="V88" s="29">
        <f>IF(TrRoad_act!V4=0,0,V18/TrRoad_act!V4*1000)</f>
        <v>44.413402955444319</v>
      </c>
      <c r="W88" s="29">
        <f>IF(TrRoad_act!W4=0,0,W18/TrRoad_act!W4*1000)</f>
        <v>42.79073077072804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38.391410018524958</v>
      </c>
      <c r="C89" s="152">
        <f>IF(TrRoad_act!C5=0,0,C19/TrRoad_act!C5*1000)</f>
        <v>38.347173738611616</v>
      </c>
      <c r="D89" s="152">
        <f>IF(TrRoad_act!D5=0,0,D19/TrRoad_act!D5*1000)</f>
        <v>37.987643521695666</v>
      </c>
      <c r="E89" s="152">
        <f>IF(TrRoad_act!E5=0,0,E19/TrRoad_act!E5*1000)</f>
        <v>38.146263088650379</v>
      </c>
      <c r="F89" s="152">
        <f>IF(TrRoad_act!F5=0,0,F19/TrRoad_act!F5*1000)</f>
        <v>37.866360537271447</v>
      </c>
      <c r="G89" s="152">
        <f>IF(TrRoad_act!G5=0,0,G19/TrRoad_act!G5*1000)</f>
        <v>37.375674483029172</v>
      </c>
      <c r="H89" s="152">
        <f>IF(TrRoad_act!H5=0,0,H19/TrRoad_act!H5*1000)</f>
        <v>36.378426784084176</v>
      </c>
      <c r="I89" s="152">
        <f>IF(TrRoad_act!I5=0,0,I19/TrRoad_act!I5*1000)</f>
        <v>34.37786276421371</v>
      </c>
      <c r="J89" s="152">
        <f>IF(TrRoad_act!J5=0,0,J19/TrRoad_act!J5*1000)</f>
        <v>33.418808328892396</v>
      </c>
      <c r="K89" s="152">
        <f>IF(TrRoad_act!K5=0,0,K19/TrRoad_act!K5*1000)</f>
        <v>32.727762961896474</v>
      </c>
      <c r="L89" s="152">
        <f>IF(TrRoad_act!L5=0,0,L19/TrRoad_act!L5*1000)</f>
        <v>32.168969575086535</v>
      </c>
      <c r="M89" s="152">
        <f>IF(TrRoad_act!M5=0,0,M19/TrRoad_act!M5*1000)</f>
        <v>31.750653722097372</v>
      </c>
      <c r="N89" s="152">
        <f>IF(TrRoad_act!N5=0,0,N19/TrRoad_act!N5*1000)</f>
        <v>31.680363889190183</v>
      </c>
      <c r="O89" s="152">
        <f>IF(TrRoad_act!O5=0,0,O19/TrRoad_act!O5*1000)</f>
        <v>31.278466596698749</v>
      </c>
      <c r="P89" s="152">
        <f>IF(TrRoad_act!P5=0,0,P19/TrRoad_act!P5*1000)</f>
        <v>30.783816773565729</v>
      </c>
      <c r="Q89" s="152">
        <f>IF(TrRoad_act!Q5=0,0,Q19/TrRoad_act!Q5*1000)</f>
        <v>30.389136757402358</v>
      </c>
      <c r="R89" s="152">
        <f>IF(TrRoad_act!R5=0,0,R19/TrRoad_act!R5*1000)</f>
        <v>29.816869559920995</v>
      </c>
      <c r="S89" s="152">
        <f>IF(TrRoad_act!S5=0,0,S19/TrRoad_act!S5*1000)</f>
        <v>29.454842314837013</v>
      </c>
      <c r="T89" s="152">
        <f>IF(TrRoad_act!T5=0,0,T19/TrRoad_act!T5*1000)</f>
        <v>30.689501473730303</v>
      </c>
      <c r="U89" s="152">
        <f>IF(TrRoad_act!U5=0,0,U19/TrRoad_act!U5*1000)</f>
        <v>29.130700622207662</v>
      </c>
      <c r="V89" s="152">
        <f>IF(TrRoad_act!V5=0,0,V19/TrRoad_act!V5*1000)</f>
        <v>29.734234384661075</v>
      </c>
      <c r="W89" s="152">
        <f>IF(TrRoad_act!W5=0,0,W19/TrRoad_act!W5*1000)</f>
        <v>28.281397237912703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41.117888926519903</v>
      </c>
      <c r="C90" s="116">
        <f>IF(TrRoad_act!C6=0,0,C21/TrRoad_act!C6*1000)</f>
        <v>41.348577341215716</v>
      </c>
      <c r="D90" s="116">
        <f>IF(TrRoad_act!D6=0,0,D21/TrRoad_act!D6*1000)</f>
        <v>41.389584079406099</v>
      </c>
      <c r="E90" s="116">
        <f>IF(TrRoad_act!E6=0,0,E21/TrRoad_act!E6*1000)</f>
        <v>41.053508137067439</v>
      </c>
      <c r="F90" s="116">
        <f>IF(TrRoad_act!F6=0,0,F21/TrRoad_act!F6*1000)</f>
        <v>39.81505224874023</v>
      </c>
      <c r="G90" s="116">
        <f>IF(TrRoad_act!G6=0,0,G21/TrRoad_act!G6*1000)</f>
        <v>40.695297578553337</v>
      </c>
      <c r="H90" s="116">
        <f>IF(TrRoad_act!H6=0,0,H21/TrRoad_act!H6*1000)</f>
        <v>41.988159040712574</v>
      </c>
      <c r="I90" s="116">
        <f>IF(TrRoad_act!I6=0,0,I21/TrRoad_act!I6*1000)</f>
        <v>42.16618244941867</v>
      </c>
      <c r="J90" s="116">
        <f>IF(TrRoad_act!J6=0,0,J21/TrRoad_act!J6*1000)</f>
        <v>42.860199833238816</v>
      </c>
      <c r="K90" s="116">
        <f>IF(TrRoad_act!K6=0,0,K21/TrRoad_act!K6*1000)</f>
        <v>42.887345500576373</v>
      </c>
      <c r="L90" s="116">
        <f>IF(TrRoad_act!L6=0,0,L21/TrRoad_act!L6*1000)</f>
        <v>43.015578117493646</v>
      </c>
      <c r="M90" s="116">
        <f>IF(TrRoad_act!M6=0,0,M21/TrRoad_act!M6*1000)</f>
        <v>43.013787402704196</v>
      </c>
      <c r="N90" s="116">
        <f>IF(TrRoad_act!N6=0,0,N21/TrRoad_act!N6*1000)</f>
        <v>42.494681032945309</v>
      </c>
      <c r="O90" s="116">
        <f>IF(TrRoad_act!O6=0,0,O21/TrRoad_act!O6*1000)</f>
        <v>39.800999824197589</v>
      </c>
      <c r="P90" s="116">
        <f>IF(TrRoad_act!P6=0,0,P21/TrRoad_act!P6*1000)</f>
        <v>38.622542171656526</v>
      </c>
      <c r="Q90" s="116">
        <f>IF(TrRoad_act!Q6=0,0,Q21/TrRoad_act!Q6*1000)</f>
        <v>40.31972601626326</v>
      </c>
      <c r="R90" s="116">
        <f>IF(TrRoad_act!R6=0,0,R21/TrRoad_act!R6*1000)</f>
        <v>40.154943165182239</v>
      </c>
      <c r="S90" s="116">
        <f>IF(TrRoad_act!S6=0,0,S21/TrRoad_act!S6*1000)</f>
        <v>41.258526038531109</v>
      </c>
      <c r="T90" s="116">
        <f>IF(TrRoad_act!T6=0,0,T21/TrRoad_act!T6*1000)</f>
        <v>38.839113990204496</v>
      </c>
      <c r="U90" s="116">
        <f>IF(TrRoad_act!U6=0,0,U21/TrRoad_act!U6*1000)</f>
        <v>38.660189499014471</v>
      </c>
      <c r="V90" s="116">
        <f>IF(TrRoad_act!V6=0,0,V21/TrRoad_act!V6*1000)</f>
        <v>43.694474730382872</v>
      </c>
      <c r="W90" s="116">
        <f>IF(TrRoad_act!W6=0,0,W21/TrRoad_act!W6*1000)</f>
        <v>42.466440236315449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39.959382678227904</v>
      </c>
      <c r="C91" s="87">
        <f>IF(TrRoad_act!C7=0,0,C22/TrRoad_act!C7*1000)</f>
        <v>41.415721279410278</v>
      </c>
      <c r="D91" s="87">
        <f>IF(TrRoad_act!D7=0,0,D22/TrRoad_act!D7*1000)</f>
        <v>41.718004039680331</v>
      </c>
      <c r="E91" s="87">
        <f>IF(TrRoad_act!E7=0,0,E22/TrRoad_act!E7*1000)</f>
        <v>41.871978492806633</v>
      </c>
      <c r="F91" s="87">
        <f>IF(TrRoad_act!F7=0,0,F22/TrRoad_act!F7*1000)</f>
        <v>40.306144898322756</v>
      </c>
      <c r="G91" s="87">
        <f>IF(TrRoad_act!G7=0,0,G22/TrRoad_act!G7*1000)</f>
        <v>40.952906735826204</v>
      </c>
      <c r="H91" s="87">
        <f>IF(TrRoad_act!H7=0,0,H22/TrRoad_act!H7*1000)</f>
        <v>42.586242796140105</v>
      </c>
      <c r="I91" s="87">
        <f>IF(TrRoad_act!I7=0,0,I22/TrRoad_act!I7*1000)</f>
        <v>43.077375268950902</v>
      </c>
      <c r="J91" s="87">
        <f>IF(TrRoad_act!J7=0,0,J22/TrRoad_act!J7*1000)</f>
        <v>43.101512822343686</v>
      </c>
      <c r="K91" s="87">
        <f>IF(TrRoad_act!K7=0,0,K22/TrRoad_act!K7*1000)</f>
        <v>42.82623261783354</v>
      </c>
      <c r="L91" s="87">
        <f>IF(TrRoad_act!L7=0,0,L22/TrRoad_act!L7*1000)</f>
        <v>42.935874815197387</v>
      </c>
      <c r="M91" s="87">
        <f>IF(TrRoad_act!M7=0,0,M22/TrRoad_act!M7*1000)</f>
        <v>43.11155657130908</v>
      </c>
      <c r="N91" s="87">
        <f>IF(TrRoad_act!N7=0,0,N22/TrRoad_act!N7*1000)</f>
        <v>42.87027059328836</v>
      </c>
      <c r="O91" s="87">
        <f>IF(TrRoad_act!O7=0,0,O22/TrRoad_act!O7*1000)</f>
        <v>40.236786357457184</v>
      </c>
      <c r="P91" s="87">
        <f>IF(TrRoad_act!P7=0,0,P22/TrRoad_act!P7*1000)</f>
        <v>39.382088464535101</v>
      </c>
      <c r="Q91" s="87">
        <f>IF(TrRoad_act!Q7=0,0,Q22/TrRoad_act!Q7*1000)</f>
        <v>41.879816694027582</v>
      </c>
      <c r="R91" s="87">
        <f>IF(TrRoad_act!R7=0,0,R22/TrRoad_act!R7*1000)</f>
        <v>41.516630889950001</v>
      </c>
      <c r="S91" s="87">
        <f>IF(TrRoad_act!S7=0,0,S22/TrRoad_act!S7*1000)</f>
        <v>42.941476963053738</v>
      </c>
      <c r="T91" s="87">
        <f>IF(TrRoad_act!T7=0,0,T22/TrRoad_act!T7*1000)</f>
        <v>40.646415116038419</v>
      </c>
      <c r="U91" s="87">
        <f>IF(TrRoad_act!U7=0,0,U22/TrRoad_act!U7*1000)</f>
        <v>40.698199554947159</v>
      </c>
      <c r="V91" s="87">
        <f>IF(TrRoad_act!V7=0,0,V22/TrRoad_act!V7*1000)</f>
        <v>45.860465518915412</v>
      </c>
      <c r="W91" s="87">
        <f>IF(TrRoad_act!W7=0,0,W22/TrRoad_act!W7*1000)</f>
        <v>46.173143058619196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42.355543761263384</v>
      </c>
      <c r="C92" s="87">
        <f>IF(TrRoad_act!C8=0,0,C24/TrRoad_act!C8*1000)</f>
        <v>40.364809841646505</v>
      </c>
      <c r="D92" s="87">
        <f>IF(TrRoad_act!D8=0,0,D24/TrRoad_act!D8*1000)</f>
        <v>39.801095088853586</v>
      </c>
      <c r="E92" s="87">
        <f>IF(TrRoad_act!E8=0,0,E24/TrRoad_act!E8*1000)</f>
        <v>39.283238860262259</v>
      </c>
      <c r="F92" s="87">
        <f>IF(TrRoad_act!F8=0,0,F24/TrRoad_act!F8*1000)</f>
        <v>38.456151913534363</v>
      </c>
      <c r="G92" s="87">
        <f>IF(TrRoad_act!G8=0,0,G24/TrRoad_act!G8*1000)</f>
        <v>39.499059825149857</v>
      </c>
      <c r="H92" s="87">
        <f>IF(TrRoad_act!H8=0,0,H24/TrRoad_act!H8*1000)</f>
        <v>39.997806327545121</v>
      </c>
      <c r="I92" s="87">
        <f>IF(TrRoad_act!I8=0,0,I24/TrRoad_act!I8*1000)</f>
        <v>40.397540351736055</v>
      </c>
      <c r="J92" s="87">
        <f>IF(TrRoad_act!J8=0,0,J24/TrRoad_act!J8*1000)</f>
        <v>41.51037906887241</v>
      </c>
      <c r="K92" s="87">
        <f>IF(TrRoad_act!K8=0,0,K24/TrRoad_act!K8*1000)</f>
        <v>41.416370986985044</v>
      </c>
      <c r="L92" s="87">
        <f>IF(TrRoad_act!L8=0,0,L24/TrRoad_act!L8*1000)</f>
        <v>41.451311371583039</v>
      </c>
      <c r="M92" s="87">
        <f>IF(TrRoad_act!M8=0,0,M24/TrRoad_act!M8*1000)</f>
        <v>41.053963260703604</v>
      </c>
      <c r="N92" s="87">
        <f>IF(TrRoad_act!N8=0,0,N24/TrRoad_act!N8*1000)</f>
        <v>39.367671483273369</v>
      </c>
      <c r="O92" s="87">
        <f>IF(TrRoad_act!O8=0,0,O24/TrRoad_act!O8*1000)</f>
        <v>37.015600183422237</v>
      </c>
      <c r="P92" s="87">
        <f>IF(TrRoad_act!P8=0,0,P24/TrRoad_act!P8*1000)</f>
        <v>36.278013041282549</v>
      </c>
      <c r="Q92" s="87">
        <f>IF(TrRoad_act!Q8=0,0,Q24/TrRoad_act!Q8*1000)</f>
        <v>37.011554239052707</v>
      </c>
      <c r="R92" s="87">
        <f>IF(TrRoad_act!R8=0,0,R24/TrRoad_act!R8*1000)</f>
        <v>37.016893185882324</v>
      </c>
      <c r="S92" s="87">
        <f>IF(TrRoad_act!S8=0,0,S24/TrRoad_act!S8*1000)</f>
        <v>37.563586246270397</v>
      </c>
      <c r="T92" s="87">
        <f>IF(TrRoad_act!T8=0,0,T24/TrRoad_act!T8*1000)</f>
        <v>34.858157579551417</v>
      </c>
      <c r="U92" s="87">
        <f>IF(TrRoad_act!U8=0,0,U24/TrRoad_act!U8*1000)</f>
        <v>34.830649186552954</v>
      </c>
      <c r="V92" s="87">
        <f>IF(TrRoad_act!V8=0,0,V24/TrRoad_act!V8*1000)</f>
        <v>39.772656927758547</v>
      </c>
      <c r="W92" s="87">
        <f>IF(TrRoad_act!W8=0,0,W24/TrRoad_act!W8*1000)</f>
        <v>37.032048184523447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46.626785862573783</v>
      </c>
      <c r="C93" s="87">
        <f>IF(TrRoad_act!C9=0,0,C26/TrRoad_act!C9*1000)</f>
        <v>43.925534562754024</v>
      </c>
      <c r="D93" s="87">
        <f>IF(TrRoad_act!D9=0,0,D26/TrRoad_act!D9*1000)</f>
        <v>44.239367388712949</v>
      </c>
      <c r="E93" s="87">
        <f>IF(TrRoad_act!E9=0,0,E26/TrRoad_act!E9*1000)</f>
        <v>40.805441544952672</v>
      </c>
      <c r="F93" s="87">
        <f>IF(TrRoad_act!F9=0,0,F26/TrRoad_act!F9*1000)</f>
        <v>41.083057470852509</v>
      </c>
      <c r="G93" s="87">
        <f>IF(TrRoad_act!G9=0,0,G26/TrRoad_act!G9*1000)</f>
        <v>43.885994053282111</v>
      </c>
      <c r="H93" s="87">
        <f>IF(TrRoad_act!H9=0,0,H26/TrRoad_act!H9*1000)</f>
        <v>46.515934765042907</v>
      </c>
      <c r="I93" s="87">
        <f>IF(TrRoad_act!I9=0,0,I26/TrRoad_act!I9*1000)</f>
        <v>42.373629516291771</v>
      </c>
      <c r="J93" s="87">
        <f>IF(TrRoad_act!J9=0,0,J26/TrRoad_act!J9*1000)</f>
        <v>49.102620887454222</v>
      </c>
      <c r="K93" s="87">
        <f>IF(TrRoad_act!K9=0,0,K26/TrRoad_act!K9*1000)</f>
        <v>55.283340492562679</v>
      </c>
      <c r="L93" s="87">
        <f>IF(TrRoad_act!L9=0,0,L26/TrRoad_act!L9*1000)</f>
        <v>57.703674515014264</v>
      </c>
      <c r="M93" s="87">
        <f>IF(TrRoad_act!M9=0,0,M26/TrRoad_act!M9*1000)</f>
        <v>60.555391332169187</v>
      </c>
      <c r="N93" s="87">
        <f>IF(TrRoad_act!N9=0,0,N26/TrRoad_act!N9*1000)</f>
        <v>71.15426547491181</v>
      </c>
      <c r="O93" s="87">
        <f>IF(TrRoad_act!O9=0,0,O26/TrRoad_act!O9*1000)</f>
        <v>65.633510066960127</v>
      </c>
      <c r="P93" s="87">
        <f>IF(TrRoad_act!P9=0,0,P26/TrRoad_act!P9*1000)</f>
        <v>53.718722926267212</v>
      </c>
      <c r="Q93" s="87">
        <f>IF(TrRoad_act!Q9=0,0,Q26/TrRoad_act!Q9*1000)</f>
        <v>52.212423033774456</v>
      </c>
      <c r="R93" s="87">
        <f>IF(TrRoad_act!R9=0,0,R26/TrRoad_act!R9*1000)</f>
        <v>56.948847117301106</v>
      </c>
      <c r="S93" s="87">
        <f>IF(TrRoad_act!S9=0,0,S26/TrRoad_act!S9*1000)</f>
        <v>55.010159554377303</v>
      </c>
      <c r="T93" s="87">
        <f>IF(TrRoad_act!T9=0,0,T26/TrRoad_act!T9*1000)</f>
        <v>51.403244124224386</v>
      </c>
      <c r="U93" s="87">
        <f>IF(TrRoad_act!U9=0,0,U26/TrRoad_act!U9*1000)</f>
        <v>43.149209686148929</v>
      </c>
      <c r="V93" s="87">
        <f>IF(TrRoad_act!V9=0,0,V26/TrRoad_act!V9*1000)</f>
        <v>52.046150899992881</v>
      </c>
      <c r="W93" s="87">
        <f>IF(TrRoad_act!W9=0,0,W26/TrRoad_act!W9*1000)</f>
        <v>55.912980040393279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57.079091314855965</v>
      </c>
      <c r="M94" s="87">
        <f>IF(TrRoad_act!M10=0,0,M27/TrRoad_act!M10*1000)</f>
        <v>57.864776394278842</v>
      </c>
      <c r="N94" s="87">
        <f>IF(TrRoad_act!N10=0,0,N27/TrRoad_act!N10*1000)</f>
        <v>53.052115498317761</v>
      </c>
      <c r="O94" s="87">
        <f>IF(TrRoad_act!O10=0,0,O27/TrRoad_act!O10*1000)</f>
        <v>49.312417494851616</v>
      </c>
      <c r="P94" s="87">
        <f>IF(TrRoad_act!P10=0,0,P27/TrRoad_act!P10*1000)</f>
        <v>44.696585563436216</v>
      </c>
      <c r="Q94" s="87">
        <f>IF(TrRoad_act!Q10=0,0,Q27/TrRoad_act!Q10*1000)</f>
        <v>46.516808225702569</v>
      </c>
      <c r="R94" s="87">
        <f>IF(TrRoad_act!R10=0,0,R27/TrRoad_act!R10*1000)</f>
        <v>40.812252492082649</v>
      </c>
      <c r="S94" s="87">
        <f>IF(TrRoad_act!S10=0,0,S27/TrRoad_act!S10*1000)</f>
        <v>50.082432396623275</v>
      </c>
      <c r="T94" s="87">
        <f>IF(TrRoad_act!T10=0,0,T27/TrRoad_act!T10*1000)</f>
        <v>53.230039026511385</v>
      </c>
      <c r="U94" s="87">
        <f>IF(TrRoad_act!U10=0,0,U27/TrRoad_act!U10*1000)</f>
        <v>53.861125144310535</v>
      </c>
      <c r="V94" s="87">
        <f>IF(TrRoad_act!V10=0,0,V27/TrRoad_act!V10*1000)</f>
        <v>62.557897880213858</v>
      </c>
      <c r="W94" s="87">
        <f>IF(TrRoad_act!W10=0,0,W27/TrRoad_act!W10*1000)</f>
        <v>60.924280046946713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21.478040818739895</v>
      </c>
      <c r="N95" s="87">
        <f>IF(TrRoad_act!N11=0,0,N29/TrRoad_act!N11*1000)</f>
        <v>16.321528092153432</v>
      </c>
      <c r="O95" s="87">
        <f>IF(TrRoad_act!O11=0,0,O29/TrRoad_act!O11*1000)</f>
        <v>16.976222659715678</v>
      </c>
      <c r="P95" s="87">
        <f>IF(TrRoad_act!P11=0,0,P29/TrRoad_act!P11*1000)</f>
        <v>21.365805268914333</v>
      </c>
      <c r="Q95" s="87">
        <f>IF(TrRoad_act!Q11=0,0,Q29/TrRoad_act!Q11*1000)</f>
        <v>21.518965324389548</v>
      </c>
      <c r="R95" s="87">
        <f>IF(TrRoad_act!R11=0,0,R29/TrRoad_act!R11*1000)</f>
        <v>21.374180424996961</v>
      </c>
      <c r="S95" s="87">
        <f>IF(TrRoad_act!S11=0,0,S29/TrRoad_act!S11*1000)</f>
        <v>22.239059805878735</v>
      </c>
      <c r="T95" s="87">
        <f>IF(TrRoad_act!T11=0,0,T29/TrRoad_act!T11*1000)</f>
        <v>21.453771833651459</v>
      </c>
      <c r="U95" s="87">
        <f>IF(TrRoad_act!U11=0,0,U29/TrRoad_act!U11*1000)</f>
        <v>21.935667180432258</v>
      </c>
      <c r="V95" s="87">
        <f>IF(TrRoad_act!V11=0,0,V29/TrRoad_act!V11*1000)</f>
        <v>26.292443722379996</v>
      </c>
      <c r="W95" s="87">
        <f>IF(TrRoad_act!W11=0,0,W29/TrRoad_act!W11*1000)</f>
        <v>25.866077094399923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13.243780182706216</v>
      </c>
      <c r="L96" s="87">
        <f>IF(TrRoad_act!L12=0,0,L32/TrRoad_act!L12*1000)</f>
        <v>13.223271859244194</v>
      </c>
      <c r="M96" s="87">
        <f>IF(TrRoad_act!M12=0,0,M32/TrRoad_act!M12*1000)</f>
        <v>13.488448963620305</v>
      </c>
      <c r="N96" s="87">
        <f>IF(TrRoad_act!N12=0,0,N32/TrRoad_act!N12*1000)</f>
        <v>12.596632317963211</v>
      </c>
      <c r="O96" s="87">
        <f>IF(TrRoad_act!O12=0,0,O32/TrRoad_act!O12*1000)</f>
        <v>11.430953467605217</v>
      </c>
      <c r="P96" s="87">
        <f>IF(TrRoad_act!P12=0,0,P32/TrRoad_act!P12*1000)</f>
        <v>11.325966242547894</v>
      </c>
      <c r="Q96" s="87">
        <f>IF(TrRoad_act!Q12=0,0,Q32/TrRoad_act!Q12*1000)</f>
        <v>12.319872095057329</v>
      </c>
      <c r="R96" s="87">
        <f>IF(TrRoad_act!R12=0,0,R32/TrRoad_act!R12*1000)</f>
        <v>12.447363704367115</v>
      </c>
      <c r="S96" s="87">
        <f>IF(TrRoad_act!S12=0,0,S32/TrRoad_act!S12*1000)</f>
        <v>12.33437330665253</v>
      </c>
      <c r="T96" s="87">
        <f>IF(TrRoad_act!T12=0,0,T32/TrRoad_act!T12*1000)</f>
        <v>12.710517699269264</v>
      </c>
      <c r="U96" s="87">
        <f>IF(TrRoad_act!U12=0,0,U32/TrRoad_act!U12*1000)</f>
        <v>12.562916241581258</v>
      </c>
      <c r="V96" s="87">
        <f>IF(TrRoad_act!V12=0,0,V32/TrRoad_act!V12*1000)</f>
        <v>13.933999898055266</v>
      </c>
      <c r="W96" s="87">
        <f>IF(TrRoad_act!W12=0,0,W32/TrRoad_act!W12*1000)</f>
        <v>13.437692608381592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78.703136111382307</v>
      </c>
      <c r="C97" s="116">
        <f>IF(TrRoad_act!C13=0,0,C33/TrRoad_act!C13*1000)</f>
        <v>75.410692171428281</v>
      </c>
      <c r="D97" s="116">
        <f>IF(TrRoad_act!D13=0,0,D33/TrRoad_act!D13*1000)</f>
        <v>78.996337458270403</v>
      </c>
      <c r="E97" s="116">
        <f>IF(TrRoad_act!E13=0,0,E33/TrRoad_act!E13*1000)</f>
        <v>73.877672109097219</v>
      </c>
      <c r="F97" s="116">
        <f>IF(TrRoad_act!F13=0,0,F33/TrRoad_act!F13*1000)</f>
        <v>70.75208846595126</v>
      </c>
      <c r="G97" s="116">
        <f>IF(TrRoad_act!G13=0,0,G33/TrRoad_act!G13*1000)</f>
        <v>69.522021296476751</v>
      </c>
      <c r="H97" s="116">
        <f>IF(TrRoad_act!H13=0,0,H33/TrRoad_act!H13*1000)</f>
        <v>67.618229064255303</v>
      </c>
      <c r="I97" s="116">
        <f>IF(TrRoad_act!I13=0,0,I33/TrRoad_act!I13*1000)</f>
        <v>66.051304689424228</v>
      </c>
      <c r="J97" s="116">
        <f>IF(TrRoad_act!J13=0,0,J33/TrRoad_act!J13*1000)</f>
        <v>67.316622786296534</v>
      </c>
      <c r="K97" s="116">
        <f>IF(TrRoad_act!K13=0,0,K33/TrRoad_act!K13*1000)</f>
        <v>72.515610748570879</v>
      </c>
      <c r="L97" s="116">
        <f>IF(TrRoad_act!L13=0,0,L33/TrRoad_act!L13*1000)</f>
        <v>75.939928832910283</v>
      </c>
      <c r="M97" s="116">
        <f>IF(TrRoad_act!M13=0,0,M33/TrRoad_act!M13*1000)</f>
        <v>72.249044685435848</v>
      </c>
      <c r="N97" s="116">
        <f>IF(TrRoad_act!N13=0,0,N33/TrRoad_act!N13*1000)</f>
        <v>78.502611523424662</v>
      </c>
      <c r="O97" s="116">
        <f>IF(TrRoad_act!O13=0,0,O33/TrRoad_act!O13*1000)</f>
        <v>72.959195278715967</v>
      </c>
      <c r="P97" s="116">
        <f>IF(TrRoad_act!P13=0,0,P33/TrRoad_act!P13*1000)</f>
        <v>71.639460426157356</v>
      </c>
      <c r="Q97" s="116">
        <f>IF(TrRoad_act!Q13=0,0,Q33/TrRoad_act!Q13*1000)</f>
        <v>65.614478412744447</v>
      </c>
      <c r="R97" s="116">
        <f>IF(TrRoad_act!R13=0,0,R33/TrRoad_act!R13*1000)</f>
        <v>65.336668070803867</v>
      </c>
      <c r="S97" s="116">
        <f>IF(TrRoad_act!S13=0,0,S33/TrRoad_act!S13*1000)</f>
        <v>75.993032521148507</v>
      </c>
      <c r="T97" s="116">
        <f>IF(TrRoad_act!T13=0,0,T33/TrRoad_act!T13*1000)</f>
        <v>59.575911052473579</v>
      </c>
      <c r="U97" s="116">
        <f>IF(TrRoad_act!U13=0,0,U33/TrRoad_act!U13*1000)</f>
        <v>56.551737191713826</v>
      </c>
      <c r="V97" s="116">
        <f>IF(TrRoad_act!V13=0,0,V33/TrRoad_act!V13*1000)</f>
        <v>102.01505390289736</v>
      </c>
      <c r="W97" s="116">
        <f>IF(TrRoad_act!W13=0,0,W33/TrRoad_act!W13*1000)</f>
        <v>77.672857001287554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29.538678752651734</v>
      </c>
      <c r="C98" s="101">
        <f>IF(TrRoad_act!C14=0,0,C34/TrRoad_act!C14*1000)</f>
        <v>28.257156843884658</v>
      </c>
      <c r="D98" s="101">
        <f>IF(TrRoad_act!D14=0,0,D34/TrRoad_act!D14*1000)</f>
        <v>27.568922153734945</v>
      </c>
      <c r="E98" s="101">
        <f>IF(TrRoad_act!E14=0,0,E34/TrRoad_act!E14*1000)</f>
        <v>27.035716267450297</v>
      </c>
      <c r="F98" s="101">
        <f>IF(TrRoad_act!F14=0,0,F34/TrRoad_act!F14*1000)</f>
        <v>26.929682980577031</v>
      </c>
      <c r="G98" s="101">
        <f>IF(TrRoad_act!G14=0,0,G34/TrRoad_act!G14*1000)</f>
        <v>26.780538142610919</v>
      </c>
      <c r="H98" s="101">
        <f>IF(TrRoad_act!H14=0,0,H34/TrRoad_act!H14*1000)</f>
        <v>26.669106054917236</v>
      </c>
      <c r="I98" s="101">
        <f>IF(TrRoad_act!I14=0,0,I34/TrRoad_act!I14*1000)</f>
        <v>26.489197514598548</v>
      </c>
      <c r="J98" s="101">
        <f>IF(TrRoad_act!J14=0,0,J34/TrRoad_act!J14*1000)</f>
        <v>26.522922447846625</v>
      </c>
      <c r="K98" s="101">
        <f>IF(TrRoad_act!K14=0,0,K34/TrRoad_act!K14*1000)</f>
        <v>26.469221641731057</v>
      </c>
      <c r="L98" s="101">
        <f>IF(TrRoad_act!L14=0,0,L34/TrRoad_act!L14*1000)</f>
        <v>26.045766603287433</v>
      </c>
      <c r="M98" s="101">
        <f>IF(TrRoad_act!M14=0,0,M34/TrRoad_act!M14*1000)</f>
        <v>25.567162972506619</v>
      </c>
      <c r="N98" s="101">
        <f>IF(TrRoad_act!N14=0,0,N34/TrRoad_act!N14*1000)</f>
        <v>24.608391654186118</v>
      </c>
      <c r="O98" s="101">
        <f>IF(TrRoad_act!O14=0,0,O34/TrRoad_act!O14*1000)</f>
        <v>24.477091700443548</v>
      </c>
      <c r="P98" s="101">
        <f>IF(TrRoad_act!P14=0,0,P34/TrRoad_act!P14*1000)</f>
        <v>24.426012034475111</v>
      </c>
      <c r="Q98" s="101">
        <f>IF(TrRoad_act!Q14=0,0,Q34/TrRoad_act!Q14*1000)</f>
        <v>22.915068359953914</v>
      </c>
      <c r="R98" s="101">
        <f>IF(TrRoad_act!R14=0,0,R34/TrRoad_act!R14*1000)</f>
        <v>22.503913658329907</v>
      </c>
      <c r="S98" s="101">
        <f>IF(TrRoad_act!S14=0,0,S34/TrRoad_act!S14*1000)</f>
        <v>22.448037319663193</v>
      </c>
      <c r="T98" s="101">
        <f>IF(TrRoad_act!T14=0,0,T34/TrRoad_act!T14*1000)</f>
        <v>22.056062131738543</v>
      </c>
      <c r="U98" s="101">
        <f>IF(TrRoad_act!U14=0,0,U34/TrRoad_act!U14*1000)</f>
        <v>20.771491019363499</v>
      </c>
      <c r="V98" s="101">
        <f>IF(TrRoad_act!V14=0,0,V34/TrRoad_act!V14*1000)</f>
        <v>27.213841974194743</v>
      </c>
      <c r="W98" s="101">
        <f>IF(TrRoad_act!W14=0,0,W34/TrRoad_act!W14*1000)</f>
        <v>21.006938641873401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79.09778223790866</v>
      </c>
      <c r="C99" s="101">
        <f>IF(TrRoad_act!C15=0,0,C36/TrRoad_act!C15*1000)</f>
        <v>75.75155973372479</v>
      </c>
      <c r="D99" s="101">
        <f>IF(TrRoad_act!D15=0,0,D36/TrRoad_act!D15*1000)</f>
        <v>79.399100458677964</v>
      </c>
      <c r="E99" s="101">
        <f>IF(TrRoad_act!E15=0,0,E36/TrRoad_act!E15*1000)</f>
        <v>74.20628553016941</v>
      </c>
      <c r="F99" s="101">
        <f>IF(TrRoad_act!F15=0,0,F36/TrRoad_act!F15*1000)</f>
        <v>71.102214275275443</v>
      </c>
      <c r="G99" s="101">
        <f>IF(TrRoad_act!G15=0,0,G36/TrRoad_act!G15*1000)</f>
        <v>69.897510456486927</v>
      </c>
      <c r="H99" s="101">
        <f>IF(TrRoad_act!H15=0,0,H36/TrRoad_act!H15*1000)</f>
        <v>68.013777349181566</v>
      </c>
      <c r="I99" s="101">
        <f>IF(TrRoad_act!I15=0,0,I36/TrRoad_act!I15*1000)</f>
        <v>66.470650008565343</v>
      </c>
      <c r="J99" s="101">
        <f>IF(TrRoad_act!J15=0,0,J36/TrRoad_act!J15*1000)</f>
        <v>67.774382173666154</v>
      </c>
      <c r="K99" s="101">
        <f>IF(TrRoad_act!K15=0,0,K36/TrRoad_act!K15*1000)</f>
        <v>73.262789625329432</v>
      </c>
      <c r="L99" s="101">
        <f>IF(TrRoad_act!L15=0,0,L36/TrRoad_act!L15*1000)</f>
        <v>76.909684676292599</v>
      </c>
      <c r="M99" s="101">
        <f>IF(TrRoad_act!M15=0,0,M36/TrRoad_act!M15*1000)</f>
        <v>73.360598545541563</v>
      </c>
      <c r="N99" s="101">
        <f>IF(TrRoad_act!N15=0,0,N36/TrRoad_act!N15*1000)</f>
        <v>81.214964232824826</v>
      </c>
      <c r="O99" s="101">
        <f>IF(TrRoad_act!O15=0,0,O36/TrRoad_act!O15*1000)</f>
        <v>75.807300933254211</v>
      </c>
      <c r="P99" s="101">
        <f>IF(TrRoad_act!P15=0,0,P36/TrRoad_act!P15*1000)</f>
        <v>74.718869111726562</v>
      </c>
      <c r="Q99" s="101">
        <f>IF(TrRoad_act!Q15=0,0,Q36/TrRoad_act!Q15*1000)</f>
        <v>68.554328406147391</v>
      </c>
      <c r="R99" s="101">
        <f>IF(TrRoad_act!R15=0,0,R36/TrRoad_act!R15*1000)</f>
        <v>65.988578334707142</v>
      </c>
      <c r="S99" s="101">
        <f>IF(TrRoad_act!S15=0,0,S36/TrRoad_act!S15*1000)</f>
        <v>76.42203856519339</v>
      </c>
      <c r="T99" s="101">
        <f>IF(TrRoad_act!T15=0,0,T36/TrRoad_act!T15*1000)</f>
        <v>62.264709125761456</v>
      </c>
      <c r="U99" s="101">
        <f>IF(TrRoad_act!U15=0,0,U36/TrRoad_act!U15*1000)</f>
        <v>60.249752000487291</v>
      </c>
      <c r="V99" s="101">
        <f>IF(TrRoad_act!V15=0,0,V36/TrRoad_act!V15*1000)</f>
        <v>113.01226194737364</v>
      </c>
      <c r="W99" s="101">
        <f>IF(TrRoad_act!W15=0,0,W36/TrRoad_act!W15*1000)</f>
        <v>89.512072703435166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60.605145768288033</v>
      </c>
      <c r="C100" s="101">
        <f>IF(TrRoad_act!C16=0,0,C38/TrRoad_act!C16*1000)</f>
        <v>59.610319517882196</v>
      </c>
      <c r="D100" s="101">
        <f>IF(TrRoad_act!D16=0,0,D38/TrRoad_act!D16*1000)</f>
        <v>63.09027902303113</v>
      </c>
      <c r="E100" s="101">
        <f>IF(TrRoad_act!E16=0,0,E38/TrRoad_act!E16*1000)</f>
        <v>59.620249914227465</v>
      </c>
      <c r="F100" s="101">
        <f>IF(TrRoad_act!F16=0,0,F38/TrRoad_act!F16*1000)</f>
        <v>57.72875485654702</v>
      </c>
      <c r="G100" s="101">
        <f>IF(TrRoad_act!G16=0,0,G38/TrRoad_act!G16*1000)</f>
        <v>56.371303041438324</v>
      </c>
      <c r="H100" s="101">
        <f>IF(TrRoad_act!H16=0,0,H38/TrRoad_act!H16*1000)</f>
        <v>55.113058287674633</v>
      </c>
      <c r="I100" s="101">
        <f>IF(TrRoad_act!I16=0,0,I38/TrRoad_act!I16*1000)</f>
        <v>54.19617720674028</v>
      </c>
      <c r="J100" s="101">
        <f>IF(TrRoad_act!J16=0,0,J38/TrRoad_act!J16*1000)</f>
        <v>55.558924616029785</v>
      </c>
      <c r="K100" s="101">
        <f>IF(TrRoad_act!K16=0,0,K38/TrRoad_act!K16*1000)</f>
        <v>60.243049031804325</v>
      </c>
      <c r="L100" s="101">
        <f>IF(TrRoad_act!L16=0,0,L38/TrRoad_act!L16*1000)</f>
        <v>63.301320146183642</v>
      </c>
      <c r="M100" s="101">
        <f>IF(TrRoad_act!M16=0,0,M38/TrRoad_act!M16*1000)</f>
        <v>60.417538347071599</v>
      </c>
      <c r="N100" s="101">
        <f>IF(TrRoad_act!N16=0,0,N38/TrRoad_act!N16*1000)</f>
        <v>66.993692514687112</v>
      </c>
      <c r="O100" s="101">
        <f>IF(TrRoad_act!O16=0,0,O38/TrRoad_act!O16*1000)</f>
        <v>62.665243873901652</v>
      </c>
      <c r="P100" s="101">
        <f>IF(TrRoad_act!P16=0,0,P38/TrRoad_act!P16*1000)</f>
        <v>61.767487466932955</v>
      </c>
      <c r="Q100" s="101">
        <f>IF(TrRoad_act!Q16=0,0,Q38/TrRoad_act!Q16*1000)</f>
        <v>56.651590595049591</v>
      </c>
      <c r="R100" s="101">
        <f>IF(TrRoad_act!R16=0,0,R38/TrRoad_act!R16*1000)</f>
        <v>54.528265839405215</v>
      </c>
      <c r="S100" s="101">
        <f>IF(TrRoad_act!S16=0,0,S38/TrRoad_act!S16*1000)</f>
        <v>63.080116680682416</v>
      </c>
      <c r="T100" s="101">
        <f>IF(TrRoad_act!T16=0,0,T38/TrRoad_act!T16*1000)</f>
        <v>51.36982003289161</v>
      </c>
      <c r="U100" s="101">
        <f>IF(TrRoad_act!U16=0,0,U38/TrRoad_act!U16*1000)</f>
        <v>49.750095462666309</v>
      </c>
      <c r="V100" s="101">
        <f>IF(TrRoad_act!V16=0,0,V38/TrRoad_act!V16*1000)</f>
        <v>93.386635955299482</v>
      </c>
      <c r="W100" s="101">
        <f>IF(TrRoad_act!W16=0,0,W38/TrRoad_act!W16*1000)</f>
        <v>74.084828720564332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65.340527487002717</v>
      </c>
      <c r="C101" s="101">
        <f>IF(TrRoad_act!C17=0,0,C39/TrRoad_act!C17*1000)</f>
        <v>69.377758521908262</v>
      </c>
      <c r="D101" s="101">
        <f>IF(TrRoad_act!D17=0,0,D39/TrRoad_act!D17*1000)</f>
        <v>59.504516949765545</v>
      </c>
      <c r="E101" s="101">
        <f>IF(TrRoad_act!E17=0,0,E39/TrRoad_act!E17*1000)</f>
        <v>67.039664809132347</v>
      </c>
      <c r="F101" s="101">
        <f>IF(TrRoad_act!F17=0,0,F39/TrRoad_act!F17*1000)</f>
        <v>48.582251687192574</v>
      </c>
      <c r="G101" s="101">
        <f>IF(TrRoad_act!G17=0,0,G39/TrRoad_act!G17*1000)</f>
        <v>51.085808088817629</v>
      </c>
      <c r="H101" s="101">
        <f>IF(TrRoad_act!H17=0,0,H39/TrRoad_act!H17*1000)</f>
        <v>49.831103388564927</v>
      </c>
      <c r="I101" s="101">
        <f>IF(TrRoad_act!I17=0,0,I39/TrRoad_act!I17*1000)</f>
        <v>46.165259166627429</v>
      </c>
      <c r="J101" s="101">
        <f>IF(TrRoad_act!J17=0,0,J39/TrRoad_act!J17*1000)</f>
        <v>48.0868991687204</v>
      </c>
      <c r="K101" s="101">
        <f>IF(TrRoad_act!K17=0,0,K39/TrRoad_act!K17*1000)</f>
        <v>51.972131236079278</v>
      </c>
      <c r="L101" s="101">
        <f>IF(TrRoad_act!L17=0,0,L39/TrRoad_act!L17*1000)</f>
        <v>57.252884289857235</v>
      </c>
      <c r="M101" s="101">
        <f>IF(TrRoad_act!M17=0,0,M39/TrRoad_act!M17*1000)</f>
        <v>58.534736869064076</v>
      </c>
      <c r="N101" s="101">
        <f>IF(TrRoad_act!N17=0,0,N39/TrRoad_act!N17*1000)</f>
        <v>46.309866771632713</v>
      </c>
      <c r="O101" s="101">
        <f>IF(TrRoad_act!O17=0,0,O39/TrRoad_act!O17*1000)</f>
        <v>42.707786020681304</v>
      </c>
      <c r="P101" s="101">
        <f>IF(TrRoad_act!P17=0,0,P39/TrRoad_act!P17*1000)</f>
        <v>42.232964044660633</v>
      </c>
      <c r="Q101" s="101">
        <f>IF(TrRoad_act!Q17=0,0,Q39/TrRoad_act!Q17*1000)</f>
        <v>43.029958125131813</v>
      </c>
      <c r="R101" s="101">
        <f>IF(TrRoad_act!R17=0,0,R39/TrRoad_act!R17*1000)</f>
        <v>65.612811442354527</v>
      </c>
      <c r="S101" s="101">
        <f>IF(TrRoad_act!S17=0,0,S39/TrRoad_act!S17*1000)</f>
        <v>81.718107008817952</v>
      </c>
      <c r="T101" s="101">
        <f>IF(TrRoad_act!T17=0,0,T39/TrRoad_act!T17*1000)</f>
        <v>51.911967996332393</v>
      </c>
      <c r="U101" s="101">
        <f>IF(TrRoad_act!U17=0,0,U39/TrRoad_act!U17*1000)</f>
        <v>52.021438003554898</v>
      </c>
      <c r="V101" s="101">
        <f>IF(TrRoad_act!V17=0,0,V39/TrRoad_act!V17*1000)</f>
        <v>94.033249297170997</v>
      </c>
      <c r="W101" s="101">
        <f>IF(TrRoad_act!W17=0,0,W39/TrRoad_act!W17*1000)</f>
        <v>70.373982866321654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42.670274937809175</v>
      </c>
      <c r="C102" s="101">
        <f>IF(TrRoad_act!C18=0,0,C41/TrRoad_act!C18*1000)</f>
        <v>41.9698474562474</v>
      </c>
      <c r="D102" s="101">
        <f>IF(TrRoad_act!D18=0,0,D41/TrRoad_act!D18*1000)</f>
        <v>43.054552715145626</v>
      </c>
      <c r="E102" s="101">
        <f>IF(TrRoad_act!E18=0,0,E41/TrRoad_act!E18*1000)</f>
        <v>40.529731606828641</v>
      </c>
      <c r="F102" s="101">
        <f>IF(TrRoad_act!F18=0,0,F41/TrRoad_act!F18*1000)</f>
        <v>37.533963069496082</v>
      </c>
      <c r="G102" s="101">
        <f>IF(TrRoad_act!G18=0,0,G41/TrRoad_act!G18*1000)</f>
        <v>37.077751101431083</v>
      </c>
      <c r="H102" s="101">
        <f>IF(TrRoad_act!H18=0,0,H41/TrRoad_act!H18*1000)</f>
        <v>36.237137053658607</v>
      </c>
      <c r="I102" s="101">
        <f>IF(TrRoad_act!I18=0,0,I41/TrRoad_act!I18*1000)</f>
        <v>35.706733651374968</v>
      </c>
      <c r="J102" s="101">
        <f>IF(TrRoad_act!J18=0,0,J41/TrRoad_act!J18*1000)</f>
        <v>36.119302040757894</v>
      </c>
      <c r="K102" s="101">
        <f>IF(TrRoad_act!K18=0,0,K41/TrRoad_act!K18*1000)</f>
        <v>38.106211256888841</v>
      </c>
      <c r="L102" s="101">
        <f>IF(TrRoad_act!L18=0,0,L41/TrRoad_act!L18*1000)</f>
        <v>38.665479006097399</v>
      </c>
      <c r="M102" s="101">
        <f>IF(TrRoad_act!M18=0,0,M41/TrRoad_act!M18*1000)</f>
        <v>36.762330416615335</v>
      </c>
      <c r="N102" s="101">
        <f>IF(TrRoad_act!N18=0,0,N41/TrRoad_act!N18*1000)</f>
        <v>40.703347416630024</v>
      </c>
      <c r="O102" s="101">
        <f>IF(TrRoad_act!O18=0,0,O41/TrRoad_act!O18*1000)</f>
        <v>36.929715798588049</v>
      </c>
      <c r="P102" s="101">
        <f>IF(TrRoad_act!P18=0,0,P41/TrRoad_act!P18*1000)</f>
        <v>36.506836647686349</v>
      </c>
      <c r="Q102" s="101">
        <f>IF(TrRoad_act!Q18=0,0,Q41/TrRoad_act!Q18*1000)</f>
        <v>33.663945685001046</v>
      </c>
      <c r="R102" s="101">
        <f>IF(TrRoad_act!R18=0,0,R41/TrRoad_act!R18*1000)</f>
        <v>33.282779997787159</v>
      </c>
      <c r="S102" s="101">
        <f>IF(TrRoad_act!S18=0,0,S41/TrRoad_act!S18*1000)</f>
        <v>38.656434512834217</v>
      </c>
      <c r="T102" s="101">
        <f>IF(TrRoad_act!T18=0,0,T41/TrRoad_act!T18*1000)</f>
        <v>31.588974318139783</v>
      </c>
      <c r="U102" s="101">
        <f>IF(TrRoad_act!U18=0,0,U41/TrRoad_act!U18*1000)</f>
        <v>30.649578863395693</v>
      </c>
      <c r="V102" s="101">
        <f>IF(TrRoad_act!V18=0,0,V41/TrRoad_act!V18*1000)</f>
        <v>57.560142788311154</v>
      </c>
      <c r="W102" s="101">
        <f>IF(TrRoad_act!W18=0,0,W41/TrRoad_act!W18*1000)</f>
        <v>45.690447816987323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82.143722609459559</v>
      </c>
      <c r="C103" s="29">
        <f>IF(TrRoad_act!C19=0,0,C42/TrRoad_act!C19*1000)</f>
        <v>81.588301197135877</v>
      </c>
      <c r="D103" s="29">
        <f>IF(TrRoad_act!D19=0,0,D42/TrRoad_act!D19*1000)</f>
        <v>83.776775318532657</v>
      </c>
      <c r="E103" s="29">
        <f>IF(TrRoad_act!E19=0,0,E42/TrRoad_act!E19*1000)</f>
        <v>83.582140154577971</v>
      </c>
      <c r="F103" s="29">
        <f>IF(TrRoad_act!F19=0,0,F42/TrRoad_act!F19*1000)</f>
        <v>79.090122881608565</v>
      </c>
      <c r="G103" s="29">
        <f>IF(TrRoad_act!G19=0,0,G42/TrRoad_act!G19*1000)</f>
        <v>81.72694730264169</v>
      </c>
      <c r="H103" s="29">
        <f>IF(TrRoad_act!H19=0,0,H42/TrRoad_act!H19*1000)</f>
        <v>84.468416811168908</v>
      </c>
      <c r="I103" s="29">
        <f>IF(TrRoad_act!I19=0,0,I42/TrRoad_act!I19*1000)</f>
        <v>85.215802164656168</v>
      </c>
      <c r="J103" s="29">
        <f>IF(TrRoad_act!J19=0,0,J42/TrRoad_act!J19*1000)</f>
        <v>83.944685875229595</v>
      </c>
      <c r="K103" s="29">
        <f>IF(TrRoad_act!K19=0,0,K42/TrRoad_act!K19*1000)</f>
        <v>81.206124595779812</v>
      </c>
      <c r="L103" s="29">
        <f>IF(TrRoad_act!L19=0,0,L42/TrRoad_act!L19*1000)</f>
        <v>82.099682795680636</v>
      </c>
      <c r="M103" s="29">
        <f>IF(TrRoad_act!M19=0,0,M42/TrRoad_act!M19*1000)</f>
        <v>84.371247091743001</v>
      </c>
      <c r="N103" s="29">
        <f>IF(TrRoad_act!N19=0,0,N42/TrRoad_act!N19*1000)</f>
        <v>84.524792067963148</v>
      </c>
      <c r="O103" s="29">
        <f>IF(TrRoad_act!O19=0,0,O42/TrRoad_act!O19*1000)</f>
        <v>71.886474437898514</v>
      </c>
      <c r="P103" s="29">
        <f>IF(TrRoad_act!P19=0,0,P42/TrRoad_act!P19*1000)</f>
        <v>60.818420067181655</v>
      </c>
      <c r="Q103" s="29">
        <f>IF(TrRoad_act!Q19=0,0,Q42/TrRoad_act!Q19*1000)</f>
        <v>61.609866297681883</v>
      </c>
      <c r="R103" s="29">
        <f>IF(TrRoad_act!R19=0,0,R42/TrRoad_act!R19*1000)</f>
        <v>57.854270480199453</v>
      </c>
      <c r="S103" s="29">
        <f>IF(TrRoad_act!S19=0,0,S42/TrRoad_act!S19*1000)</f>
        <v>63.085274597420025</v>
      </c>
      <c r="T103" s="29">
        <f>IF(TrRoad_act!T19=0,0,T42/TrRoad_act!T19*1000)</f>
        <v>66.511798367904703</v>
      </c>
      <c r="U103" s="29">
        <f>IF(TrRoad_act!U19=0,0,U42/TrRoad_act!U19*1000)</f>
        <v>65.387185553689591</v>
      </c>
      <c r="V103" s="29">
        <f>IF(TrRoad_act!V19=0,0,V42/TrRoad_act!V19*1000)</f>
        <v>60.815962776926177</v>
      </c>
      <c r="W103" s="29">
        <f>IF(TrRoad_act!W19=0,0,W42/TrRoad_act!W19*1000)</f>
        <v>56.887911975875255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578.67921112359784</v>
      </c>
      <c r="C104" s="152">
        <f>IF(TrRoad_act!C20=0,0,C43/TrRoad_act!C20*1000)</f>
        <v>545.35103065670035</v>
      </c>
      <c r="D104" s="152">
        <f>IF(TrRoad_act!D20=0,0,D43/TrRoad_act!D20*1000)</f>
        <v>533.89307363159423</v>
      </c>
      <c r="E104" s="152">
        <f>IF(TrRoad_act!E20=0,0,E43/TrRoad_act!E20*1000)</f>
        <v>526.63825920261525</v>
      </c>
      <c r="F104" s="152">
        <f>IF(TrRoad_act!F20=0,0,F43/TrRoad_act!F20*1000)</f>
        <v>522.89892134601007</v>
      </c>
      <c r="G104" s="152">
        <f>IF(TrRoad_act!G20=0,0,G43/TrRoad_act!G20*1000)</f>
        <v>515.54356769339699</v>
      </c>
      <c r="H104" s="152">
        <f>IF(TrRoad_act!H20=0,0,H43/TrRoad_act!H20*1000)</f>
        <v>514.25403896310331</v>
      </c>
      <c r="I104" s="152">
        <f>IF(TrRoad_act!I20=0,0,I43/TrRoad_act!I20*1000)</f>
        <v>514.28089738583321</v>
      </c>
      <c r="J104" s="152">
        <f>IF(TrRoad_act!J20=0,0,J43/TrRoad_act!J20*1000)</f>
        <v>512.01372043813842</v>
      </c>
      <c r="K104" s="152">
        <f>IF(TrRoad_act!K20=0,0,K43/TrRoad_act!K20*1000)</f>
        <v>501.82244196627488</v>
      </c>
      <c r="L104" s="152">
        <f>IF(TrRoad_act!L20=0,0,L43/TrRoad_act!L20*1000)</f>
        <v>503.84314945329589</v>
      </c>
      <c r="M104" s="152">
        <f>IF(TrRoad_act!M20=0,0,M43/TrRoad_act!M20*1000)</f>
        <v>505.79246163309955</v>
      </c>
      <c r="N104" s="152">
        <f>IF(TrRoad_act!N20=0,0,N43/TrRoad_act!N20*1000)</f>
        <v>498.36114882502943</v>
      </c>
      <c r="O104" s="152">
        <f>IF(TrRoad_act!O20=0,0,O43/TrRoad_act!O20*1000)</f>
        <v>495.13527507495411</v>
      </c>
      <c r="P104" s="152">
        <f>IF(TrRoad_act!P20=0,0,P43/TrRoad_act!P20*1000)</f>
        <v>486.33672825533188</v>
      </c>
      <c r="Q104" s="152">
        <f>IF(TrRoad_act!Q20=0,0,Q43/TrRoad_act!Q20*1000)</f>
        <v>482.91215128498527</v>
      </c>
      <c r="R104" s="152">
        <f>IF(TrRoad_act!R20=0,0,R43/TrRoad_act!R20*1000)</f>
        <v>472.90903108659205</v>
      </c>
      <c r="S104" s="152">
        <f>IF(TrRoad_act!S20=0,0,S43/TrRoad_act!S20*1000)</f>
        <v>462.6564283907033</v>
      </c>
      <c r="T104" s="152">
        <f>IF(TrRoad_act!T20=0,0,T43/TrRoad_act!T20*1000)</f>
        <v>452.81754832281399</v>
      </c>
      <c r="U104" s="152">
        <f>IF(TrRoad_act!U20=0,0,U43/TrRoad_act!U20*1000)</f>
        <v>444.06433799088074</v>
      </c>
      <c r="V104" s="152">
        <f>IF(TrRoad_act!V20=0,0,V43/TrRoad_act!V20*1000)</f>
        <v>436.06016028185337</v>
      </c>
      <c r="W104" s="152">
        <f>IF(TrRoad_act!W20=0,0,W43/TrRoad_act!W20*1000)</f>
        <v>433.96289576191515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732.00709836442968</v>
      </c>
      <c r="C105" s="87">
        <f>IF(TrRoad_act!C21=0,0,C44/TrRoad_act!C21*1000)</f>
        <v>730.82644631352127</v>
      </c>
      <c r="D105" s="87">
        <f>IF(TrRoad_act!D21=0,0,D44/TrRoad_act!D21*1000)</f>
        <v>726.04401000967437</v>
      </c>
      <c r="E105" s="87">
        <f>IF(TrRoad_act!E21=0,0,E44/TrRoad_act!E21*1000)</f>
        <v>723.98445017426127</v>
      </c>
      <c r="F105" s="87">
        <f>IF(TrRoad_act!F21=0,0,F44/TrRoad_act!F21*1000)</f>
        <v>726.12464691512002</v>
      </c>
      <c r="G105" s="87">
        <f>IF(TrRoad_act!G21=0,0,G44/TrRoad_act!G21*1000)</f>
        <v>724.56228947037141</v>
      </c>
      <c r="H105" s="87">
        <f>IF(TrRoad_act!H21=0,0,H44/TrRoad_act!H21*1000)</f>
        <v>725.6261678483379</v>
      </c>
      <c r="I105" s="87">
        <f>IF(TrRoad_act!I21=0,0,I44/TrRoad_act!I21*1000)</f>
        <v>732.29474722683585</v>
      </c>
      <c r="J105" s="87">
        <f>IF(TrRoad_act!J21=0,0,J44/TrRoad_act!J21*1000)</f>
        <v>733.97201316831638</v>
      </c>
      <c r="K105" s="87">
        <f>IF(TrRoad_act!K21=0,0,K44/TrRoad_act!K21*1000)</f>
        <v>723.89319703472449</v>
      </c>
      <c r="L105" s="87">
        <f>IF(TrRoad_act!L21=0,0,L44/TrRoad_act!L21*1000)</f>
        <v>712.18603561284192</v>
      </c>
      <c r="M105" s="87">
        <f>IF(TrRoad_act!M21=0,0,M44/TrRoad_act!M21*1000)</f>
        <v>700.62773486800359</v>
      </c>
      <c r="N105" s="87">
        <f>IF(TrRoad_act!N21=0,0,N44/TrRoad_act!N21*1000)</f>
        <v>683.77989417386038</v>
      </c>
      <c r="O105" s="87">
        <f>IF(TrRoad_act!O21=0,0,O44/TrRoad_act!O21*1000)</f>
        <v>675.06542520372909</v>
      </c>
      <c r="P105" s="87">
        <f>IF(TrRoad_act!P21=0,0,P44/TrRoad_act!P21*1000)</f>
        <v>655.77680114702662</v>
      </c>
      <c r="Q105" s="87">
        <f>IF(TrRoad_act!Q21=0,0,Q44/TrRoad_act!Q21*1000)</f>
        <v>636.38147086458082</v>
      </c>
      <c r="R105" s="87">
        <f>IF(TrRoad_act!R21=0,0,R44/TrRoad_act!R21*1000)</f>
        <v>614.10429110936218</v>
      </c>
      <c r="S105" s="87">
        <f>IF(TrRoad_act!S21=0,0,S44/TrRoad_act!S21*1000)</f>
        <v>591.8023037690914</v>
      </c>
      <c r="T105" s="87">
        <f>IF(TrRoad_act!T21=0,0,T44/TrRoad_act!T21*1000)</f>
        <v>578.8135881037374</v>
      </c>
      <c r="U105" s="87">
        <f>IF(TrRoad_act!U21=0,0,U44/TrRoad_act!U21*1000)</f>
        <v>555.21788027183061</v>
      </c>
      <c r="V105" s="87">
        <f>IF(TrRoad_act!V21=0,0,V44/TrRoad_act!V21*1000)</f>
        <v>538.41579807848063</v>
      </c>
      <c r="W105" s="87">
        <f>IF(TrRoad_act!W21=0,0,W44/TrRoad_act!W21*1000)</f>
        <v>517.95728674932627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565.03199002734141</v>
      </c>
      <c r="C106" s="87">
        <f>IF(TrRoad_act!C22=0,0,C46/TrRoad_act!C22*1000)</f>
        <v>532.22914075202948</v>
      </c>
      <c r="D106" s="87">
        <f>IF(TrRoad_act!D22=0,0,D46/TrRoad_act!D22*1000)</f>
        <v>522.00364820164123</v>
      </c>
      <c r="E106" s="87">
        <f>IF(TrRoad_act!E22=0,0,E46/TrRoad_act!E22*1000)</f>
        <v>515.91358277362178</v>
      </c>
      <c r="F106" s="87">
        <f>IF(TrRoad_act!F22=0,0,F46/TrRoad_act!F22*1000)</f>
        <v>513.09911409583208</v>
      </c>
      <c r="G106" s="87">
        <f>IF(TrRoad_act!G22=0,0,G46/TrRoad_act!G22*1000)</f>
        <v>506.89876357199836</v>
      </c>
      <c r="H106" s="87">
        <f>IF(TrRoad_act!H22=0,0,H46/TrRoad_act!H22*1000)</f>
        <v>506.29761134924235</v>
      </c>
      <c r="I106" s="87">
        <f>IF(TrRoad_act!I22=0,0,I46/TrRoad_act!I22*1000)</f>
        <v>506.47195794538567</v>
      </c>
      <c r="J106" s="87">
        <f>IF(TrRoad_act!J22=0,0,J46/TrRoad_act!J22*1000)</f>
        <v>504.39594164300149</v>
      </c>
      <c r="K106" s="87">
        <f>IF(TrRoad_act!K22=0,0,K46/TrRoad_act!K22*1000)</f>
        <v>494.17636432009323</v>
      </c>
      <c r="L106" s="87">
        <f>IF(TrRoad_act!L22=0,0,L46/TrRoad_act!L22*1000)</f>
        <v>496.63635341901011</v>
      </c>
      <c r="M106" s="87">
        <f>IF(TrRoad_act!M22=0,0,M46/TrRoad_act!M22*1000)</f>
        <v>499.00279830053</v>
      </c>
      <c r="N106" s="87">
        <f>IF(TrRoad_act!N22=0,0,N46/TrRoad_act!N22*1000)</f>
        <v>491.75072068369712</v>
      </c>
      <c r="O106" s="87">
        <f>IF(TrRoad_act!O22=0,0,O46/TrRoad_act!O22*1000)</f>
        <v>488.6620205652585</v>
      </c>
      <c r="P106" s="87">
        <f>IF(TrRoad_act!P22=0,0,P46/TrRoad_act!P22*1000)</f>
        <v>479.86214210317019</v>
      </c>
      <c r="Q106" s="87">
        <f>IF(TrRoad_act!Q22=0,0,Q46/TrRoad_act!Q22*1000)</f>
        <v>476.86255174717178</v>
      </c>
      <c r="R106" s="87">
        <f>IF(TrRoad_act!R22=0,0,R46/TrRoad_act!R22*1000)</f>
        <v>467.2226544058463</v>
      </c>
      <c r="S106" s="87">
        <f>IF(TrRoad_act!S22=0,0,S46/TrRoad_act!S22*1000)</f>
        <v>457.25546361683979</v>
      </c>
      <c r="T106" s="87">
        <f>IF(TrRoad_act!T22=0,0,T46/TrRoad_act!T22*1000)</f>
        <v>447.85291193258917</v>
      </c>
      <c r="U106" s="87">
        <f>IF(TrRoad_act!U22=0,0,U46/TrRoad_act!U22*1000)</f>
        <v>439.68804505505818</v>
      </c>
      <c r="V106" s="87">
        <f>IF(TrRoad_act!V22=0,0,V46/TrRoad_act!V22*1000)</f>
        <v>432.03988482029746</v>
      </c>
      <c r="W106" s="87">
        <f>IF(TrRoad_act!W22=0,0,W46/TrRoad_act!W22*1000)</f>
        <v>431.33187539523715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1328.2830825756412</v>
      </c>
      <c r="C107" s="87">
        <f>IF(TrRoad_act!C23=0,0,C48/TrRoad_act!C23*1000)</f>
        <v>1325.202682818501</v>
      </c>
      <c r="D107" s="87">
        <f>IF(TrRoad_act!D23=0,0,D48/TrRoad_act!D23*1000)</f>
        <v>1316.5268324897309</v>
      </c>
      <c r="E107" s="87">
        <f>IF(TrRoad_act!E23=0,0,E48/TrRoad_act!E23*1000)</f>
        <v>1312.7698071593115</v>
      </c>
      <c r="F107" s="87">
        <f>IF(TrRoad_act!F23=0,0,F48/TrRoad_act!F23*1000)</f>
        <v>1316.6161284202931</v>
      </c>
      <c r="G107" s="87">
        <f>IF(TrRoad_act!G23=0,0,G48/TrRoad_act!G23*1000)</f>
        <v>1313.6691417912252</v>
      </c>
      <c r="H107" s="87">
        <f>IF(TrRoad_act!H23=0,0,H48/TrRoad_act!H23*1000)</f>
        <v>1315.5246865010311</v>
      </c>
      <c r="I107" s="87">
        <f>IF(TrRoad_act!I23=0,0,I48/TrRoad_act!I23*1000)</f>
        <v>1327.577199846042</v>
      </c>
      <c r="J107" s="87">
        <f>IF(TrRoad_act!J23=0,0,J48/TrRoad_act!J23*1000)</f>
        <v>1330.6167266235109</v>
      </c>
      <c r="K107" s="87">
        <f>IF(TrRoad_act!K23=0,0,K48/TrRoad_act!K23*1000)</f>
        <v>1321.4241835720063</v>
      </c>
      <c r="L107" s="87">
        <f>IF(TrRoad_act!L23=0,0,L48/TrRoad_act!L23*1000)</f>
        <v>1308.8050723883771</v>
      </c>
      <c r="M107" s="87">
        <f>IF(TrRoad_act!M23=0,0,M48/TrRoad_act!M23*1000)</f>
        <v>1294.130713894084</v>
      </c>
      <c r="N107" s="87">
        <f>IF(TrRoad_act!N23=0,0,N48/TrRoad_act!N23*1000)</f>
        <v>1274.4879067513341</v>
      </c>
      <c r="O107" s="87">
        <f>IF(TrRoad_act!O23=0,0,O48/TrRoad_act!O23*1000)</f>
        <v>1266.7545905908137</v>
      </c>
      <c r="P107" s="87">
        <f>IF(TrRoad_act!P23=0,0,P48/TrRoad_act!P23*1000)</f>
        <v>1255.1758751748707</v>
      </c>
      <c r="Q107" s="87">
        <f>IF(TrRoad_act!Q23=0,0,Q48/TrRoad_act!Q23*1000)</f>
        <v>1243.1167419731</v>
      </c>
      <c r="R107" s="87">
        <f>IF(TrRoad_act!R23=0,0,R48/TrRoad_act!R23*1000)</f>
        <v>1221.2662678172439</v>
      </c>
      <c r="S107" s="87">
        <f>IF(TrRoad_act!S23=0,0,S48/TrRoad_act!S23*1000)</f>
        <v>1195.3560320070421</v>
      </c>
      <c r="T107" s="87">
        <f>IF(TrRoad_act!T23=0,0,T48/TrRoad_act!T23*1000)</f>
        <v>1107.2678341769856</v>
      </c>
      <c r="U107" s="87">
        <f>IF(TrRoad_act!U23=0,0,U48/TrRoad_act!U23*1000)</f>
        <v>928.1677121488467</v>
      </c>
      <c r="V107" s="87">
        <f>IF(TrRoad_act!V23=0,0,V48/TrRoad_act!V23*1000)</f>
        <v>906.06615087986529</v>
      </c>
      <c r="W107" s="87">
        <f>IF(TrRoad_act!W23=0,0,W48/TrRoad_act!W23*1000)</f>
        <v>883.44015721613994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698.47503302960843</v>
      </c>
      <c r="F108" s="87">
        <f>IF(TrRoad_act!F24=0,0,F49/TrRoad_act!F24*1000)</f>
        <v>701.00657424809685</v>
      </c>
      <c r="G108" s="87">
        <f>IF(TrRoad_act!G24=0,0,G49/TrRoad_act!G24*1000)</f>
        <v>696.86813940272634</v>
      </c>
      <c r="H108" s="87">
        <f>IF(TrRoad_act!H24=0,0,H49/TrRoad_act!H24*1000)</f>
        <v>695.12820633173669</v>
      </c>
      <c r="I108" s="87">
        <f>IF(TrRoad_act!I24=0,0,I49/TrRoad_act!I24*1000)</f>
        <v>694.16601574734636</v>
      </c>
      <c r="J108" s="87">
        <f>IF(TrRoad_act!J24=0,0,J49/TrRoad_act!J24*1000)</f>
        <v>695.75595070230202</v>
      </c>
      <c r="K108" s="87">
        <f>IF(TrRoad_act!K24=0,0,K49/TrRoad_act!K24*1000)</f>
        <v>665.06365839743285</v>
      </c>
      <c r="L108" s="87">
        <f>IF(TrRoad_act!L24=0,0,L49/TrRoad_act!L24*1000)</f>
        <v>651.48143282203375</v>
      </c>
      <c r="M108" s="87">
        <f>IF(TrRoad_act!M24=0,0,M49/TrRoad_act!M24*1000)</f>
        <v>643.19619702383534</v>
      </c>
      <c r="N108" s="87">
        <f>IF(TrRoad_act!N24=0,0,N49/TrRoad_act!N24*1000)</f>
        <v>622.67817274932338</v>
      </c>
      <c r="O108" s="87">
        <f>IF(TrRoad_act!O24=0,0,O49/TrRoad_act!O24*1000)</f>
        <v>615.87339648284922</v>
      </c>
      <c r="P108" s="87">
        <f>IF(TrRoad_act!P24=0,0,P49/TrRoad_act!P24*1000)</f>
        <v>611.60520206876106</v>
      </c>
      <c r="Q108" s="87">
        <f>IF(TrRoad_act!Q24=0,0,Q49/TrRoad_act!Q24*1000)</f>
        <v>613.42695391637631</v>
      </c>
      <c r="R108" s="87">
        <f>IF(TrRoad_act!R24=0,0,R49/TrRoad_act!R24*1000)</f>
        <v>597.62154270237443</v>
      </c>
      <c r="S108" s="87">
        <f>IF(TrRoad_act!S24=0,0,S49/TrRoad_act!S24*1000)</f>
        <v>602.25717175021873</v>
      </c>
      <c r="T108" s="87">
        <f>IF(TrRoad_act!T24=0,0,T49/TrRoad_act!T24*1000)</f>
        <v>575.85475840901745</v>
      </c>
      <c r="U108" s="87">
        <f>IF(TrRoad_act!U24=0,0,U49/TrRoad_act!U24*1000)</f>
        <v>575.07422558572171</v>
      </c>
      <c r="V108" s="87">
        <f>IF(TrRoad_act!V24=0,0,V49/TrRoad_act!V24*1000)</f>
        <v>567.48506415847089</v>
      </c>
      <c r="W108" s="87">
        <f>IF(TrRoad_act!W24=0,0,W49/TrRoad_act!W24*1000)</f>
        <v>571.72344371837289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79.659054297179267</v>
      </c>
      <c r="N109" s="87">
        <f>IF(TrRoad_act!N25=0,0,N51/TrRoad_act!N25*1000)</f>
        <v>80.080251019480897</v>
      </c>
      <c r="O109" s="87">
        <f>IF(TrRoad_act!O25=0,0,O51/TrRoad_act!O25*1000)</f>
        <v>80.458967059050551</v>
      </c>
      <c r="P109" s="87">
        <f>IF(TrRoad_act!P25=0,0,P51/TrRoad_act!P25*1000)</f>
        <v>83.764058909504669</v>
      </c>
      <c r="Q109" s="87">
        <f>IF(TrRoad_act!Q25=0,0,Q51/TrRoad_act!Q25*1000)</f>
        <v>85.196939735123294</v>
      </c>
      <c r="R109" s="87">
        <f>IF(TrRoad_act!R25=0,0,R51/TrRoad_act!R25*1000)</f>
        <v>86.723374828886676</v>
      </c>
      <c r="S109" s="87">
        <f>IF(TrRoad_act!S25=0,0,S51/TrRoad_act!S25*1000)</f>
        <v>86.738922134154137</v>
      </c>
      <c r="T109" s="87">
        <f>IF(TrRoad_act!T25=0,0,T51/TrRoad_act!T25*1000)</f>
        <v>93.505391085355356</v>
      </c>
      <c r="U109" s="87">
        <f>IF(TrRoad_act!U25=0,0,U51/TrRoad_act!U25*1000)</f>
        <v>103.12550006203608</v>
      </c>
      <c r="V109" s="87">
        <f>IF(TrRoad_act!V25=0,0,V51/TrRoad_act!V25*1000)</f>
        <v>111.93391218932004</v>
      </c>
      <c r="W109" s="87">
        <f>IF(TrRoad_act!W25=0,0,W51/TrRoad_act!W25*1000)</f>
        <v>123.07089406911659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47.816223592065938</v>
      </c>
      <c r="C110" s="116">
        <f>IF(TrRoad_act!C26=0,0,C52/TrRoad_act!C26*1000)</f>
        <v>46.613053599194906</v>
      </c>
      <c r="D110" s="116">
        <f>IF(TrRoad_act!D26=0,0,D52/TrRoad_act!D26*1000)</f>
        <v>48.302326862226792</v>
      </c>
      <c r="E110" s="116">
        <f>IF(TrRoad_act!E26=0,0,E52/TrRoad_act!E26*1000)</f>
        <v>48.23205169401276</v>
      </c>
      <c r="F110" s="116">
        <f>IF(TrRoad_act!F26=0,0,F52/TrRoad_act!F26*1000)</f>
        <v>45.046763160566421</v>
      </c>
      <c r="G110" s="116">
        <f>IF(TrRoad_act!G26=0,0,G52/TrRoad_act!G26*1000)</f>
        <v>46.660317517941508</v>
      </c>
      <c r="H110" s="116">
        <f>IF(TrRoad_act!H26=0,0,H52/TrRoad_act!H26*1000)</f>
        <v>50.155085174974616</v>
      </c>
      <c r="I110" s="116">
        <f>IF(TrRoad_act!I26=0,0,I52/TrRoad_act!I26*1000)</f>
        <v>50.574688623696531</v>
      </c>
      <c r="J110" s="116">
        <f>IF(TrRoad_act!J26=0,0,J52/TrRoad_act!J26*1000)</f>
        <v>49.681940548877357</v>
      </c>
      <c r="K110" s="116">
        <f>IF(TrRoad_act!K26=0,0,K52/TrRoad_act!K26*1000)</f>
        <v>47.367067335372582</v>
      </c>
      <c r="L110" s="116">
        <f>IF(TrRoad_act!L26=0,0,L52/TrRoad_act!L26*1000)</f>
        <v>48.047795805014594</v>
      </c>
      <c r="M110" s="116">
        <f>IF(TrRoad_act!M26=0,0,M52/TrRoad_act!M26*1000)</f>
        <v>49.873655787113741</v>
      </c>
      <c r="N110" s="116">
        <f>IF(TrRoad_act!N26=0,0,N52/TrRoad_act!N26*1000)</f>
        <v>50.450457827946508</v>
      </c>
      <c r="O110" s="116">
        <f>IF(TrRoad_act!O26=0,0,O52/TrRoad_act!O26*1000)</f>
        <v>40.748789766418319</v>
      </c>
      <c r="P110" s="116">
        <f>IF(TrRoad_act!P26=0,0,P52/TrRoad_act!P26*1000)</f>
        <v>30.794425182417733</v>
      </c>
      <c r="Q110" s="116">
        <f>IF(TrRoad_act!Q26=0,0,Q52/TrRoad_act!Q26*1000)</f>
        <v>30.778365991104653</v>
      </c>
      <c r="R110" s="116">
        <f>IF(TrRoad_act!R26=0,0,R52/TrRoad_act!R26*1000)</f>
        <v>28.400161796129886</v>
      </c>
      <c r="S110" s="116">
        <f>IF(TrRoad_act!S26=0,0,S52/TrRoad_act!S26*1000)</f>
        <v>33.78947332645992</v>
      </c>
      <c r="T110" s="116">
        <f>IF(TrRoad_act!T26=0,0,T52/TrRoad_act!T26*1000)</f>
        <v>38.41346678268151</v>
      </c>
      <c r="U110" s="116">
        <f>IF(TrRoad_act!U26=0,0,U52/TrRoad_act!U26*1000)</f>
        <v>38.381675155967933</v>
      </c>
      <c r="V110" s="116">
        <f>IF(TrRoad_act!V26=0,0,V52/TrRoad_act!V26*1000)</f>
        <v>34.575309895640146</v>
      </c>
      <c r="W110" s="116">
        <f>IF(TrRoad_act!W26=0,0,W52/TrRoad_act!W26*1000)</f>
        <v>30.485146579947987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55.215930330407211</v>
      </c>
      <c r="C111" s="101">
        <f>IF(TrRoad_act!C27=0,0,C53/TrRoad_act!C27*1000)</f>
        <v>54.439241078850415</v>
      </c>
      <c r="D111" s="101">
        <f>IF(TrRoad_act!D27=0,0,D53/TrRoad_act!D27*1000)</f>
        <v>57.8935690460738</v>
      </c>
      <c r="E111" s="101">
        <f>IF(TrRoad_act!E27=0,0,E53/TrRoad_act!E27*1000)</f>
        <v>57.377400690310957</v>
      </c>
      <c r="F111" s="101">
        <f>IF(TrRoad_act!F27=0,0,F53/TrRoad_act!F27*1000)</f>
        <v>53.046210724203547</v>
      </c>
      <c r="G111" s="101">
        <f>IF(TrRoad_act!G27=0,0,G53/TrRoad_act!G27*1000)</f>
        <v>56.389981847972201</v>
      </c>
      <c r="H111" s="101">
        <f>IF(TrRoad_act!H27=0,0,H53/TrRoad_act!H27*1000)</f>
        <v>61.760375800119775</v>
      </c>
      <c r="I111" s="101">
        <f>IF(TrRoad_act!I27=0,0,I53/TrRoad_act!I27*1000)</f>
        <v>61.951159067087907</v>
      </c>
      <c r="J111" s="101">
        <f>IF(TrRoad_act!J27=0,0,J53/TrRoad_act!J27*1000)</f>
        <v>59.692255761670808</v>
      </c>
      <c r="K111" s="101">
        <f>IF(TrRoad_act!K27=0,0,K53/TrRoad_act!K27*1000)</f>
        <v>56.431057068045909</v>
      </c>
      <c r="L111" s="101">
        <f>IF(TrRoad_act!L27=0,0,L53/TrRoad_act!L27*1000)</f>
        <v>56.700877877945601</v>
      </c>
      <c r="M111" s="101">
        <f>IF(TrRoad_act!M27=0,0,M53/TrRoad_act!M27*1000)</f>
        <v>59.031995340198229</v>
      </c>
      <c r="N111" s="101">
        <f>IF(TrRoad_act!N27=0,0,N53/TrRoad_act!N27*1000)</f>
        <v>59.808935194749196</v>
      </c>
      <c r="O111" s="101">
        <f>IF(TrRoad_act!O27=0,0,O53/TrRoad_act!O27*1000)</f>
        <v>46.586154974074752</v>
      </c>
      <c r="P111" s="101">
        <f>IF(TrRoad_act!P27=0,0,P53/TrRoad_act!P27*1000)</f>
        <v>35.490790959274158</v>
      </c>
      <c r="Q111" s="101">
        <f>IF(TrRoad_act!Q27=0,0,Q53/TrRoad_act!Q27*1000)</f>
        <v>35.62077819392195</v>
      </c>
      <c r="R111" s="101">
        <f>IF(TrRoad_act!R27=0,0,R53/TrRoad_act!R27*1000)</f>
        <v>32.579794834005277</v>
      </c>
      <c r="S111" s="101">
        <f>IF(TrRoad_act!S27=0,0,S53/TrRoad_act!S27*1000)</f>
        <v>38.619493168597863</v>
      </c>
      <c r="T111" s="101">
        <f>IF(TrRoad_act!T27=0,0,T53/TrRoad_act!T27*1000)</f>
        <v>43.610039022839487</v>
      </c>
      <c r="U111" s="101">
        <f>IF(TrRoad_act!U27=0,0,U53/TrRoad_act!U27*1000)</f>
        <v>43.284731159260836</v>
      </c>
      <c r="V111" s="101">
        <f>IF(TrRoad_act!V27=0,0,V53/TrRoad_act!V27*1000)</f>
        <v>39.398593896858031</v>
      </c>
      <c r="W111" s="101">
        <f>IF(TrRoad_act!W27=0,0,W53/TrRoad_act!W27*1000)</f>
        <v>34.531173013978176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29.774369673335194</v>
      </c>
      <c r="C112" s="88">
        <f>IF(TrRoad_act!C28=0,0,C55/TrRoad_act!C28*1000)</f>
        <v>29.103071180921379</v>
      </c>
      <c r="D112" s="88">
        <f>IF(TrRoad_act!D28=0,0,D55/TrRoad_act!D28*1000)</f>
        <v>28.523222404025379</v>
      </c>
      <c r="E112" s="88">
        <f>IF(TrRoad_act!E28=0,0,E55/TrRoad_act!E28*1000)</f>
        <v>28.733489734140253</v>
      </c>
      <c r="F112" s="88">
        <f>IF(TrRoad_act!F28=0,0,F55/TrRoad_act!F28*1000)</f>
        <v>29.357193575077432</v>
      </c>
      <c r="G112" s="88">
        <f>IF(TrRoad_act!G28=0,0,G55/TrRoad_act!G28*1000)</f>
        <v>29.379163188169379</v>
      </c>
      <c r="H112" s="88">
        <f>IF(TrRoad_act!H28=0,0,H55/TrRoad_act!H28*1000)</f>
        <v>31.288353901089096</v>
      </c>
      <c r="I112" s="88">
        <f>IF(TrRoad_act!I28=0,0,I55/TrRoad_act!I28*1000)</f>
        <v>32.485802425178541</v>
      </c>
      <c r="J112" s="88">
        <f>IF(TrRoad_act!J28=0,0,J55/TrRoad_act!J28*1000)</f>
        <v>33.131864046868202</v>
      </c>
      <c r="K112" s="88">
        <f>IF(TrRoad_act!K28=0,0,K55/TrRoad_act!K28*1000)</f>
        <v>31.268878100340519</v>
      </c>
      <c r="L112" s="88">
        <f>IF(TrRoad_act!L28=0,0,L55/TrRoad_act!L28*1000)</f>
        <v>34.432363165181826</v>
      </c>
      <c r="M112" s="88">
        <f>IF(TrRoad_act!M28=0,0,M55/TrRoad_act!M28*1000)</f>
        <v>35.113301462103259</v>
      </c>
      <c r="N112" s="88">
        <f>IF(TrRoad_act!N28=0,0,N55/TrRoad_act!N28*1000)</f>
        <v>35.794153231831245</v>
      </c>
      <c r="O112" s="88">
        <f>IF(TrRoad_act!O28=0,0,O55/TrRoad_act!O28*1000)</f>
        <v>30.665457176009834</v>
      </c>
      <c r="P112" s="88">
        <f>IF(TrRoad_act!P28=0,0,P55/TrRoad_act!P28*1000)</f>
        <v>22.941959224966535</v>
      </c>
      <c r="Q112" s="88">
        <f>IF(TrRoad_act!Q28=0,0,Q55/TrRoad_act!Q28*1000)</f>
        <v>22.805398965303564</v>
      </c>
      <c r="R112" s="88">
        <f>IF(TrRoad_act!R28=0,0,R55/TrRoad_act!R28*1000)</f>
        <v>21.543653603856253</v>
      </c>
      <c r="S112" s="88">
        <f>IF(TrRoad_act!S28=0,0,S55/TrRoad_act!S28*1000)</f>
        <v>26.194692015723852</v>
      </c>
      <c r="T112" s="88">
        <f>IF(TrRoad_act!T28=0,0,T55/TrRoad_act!T28*1000)</f>
        <v>29.861813952728632</v>
      </c>
      <c r="U112" s="88">
        <f>IF(TrRoad_act!U28=0,0,U55/TrRoad_act!U28*1000)</f>
        <v>30.369231656817696</v>
      </c>
      <c r="V112" s="88">
        <f>IF(TrRoad_act!V28=0,0,V55/TrRoad_act!V28*1000)</f>
        <v>27.016831166655596</v>
      </c>
      <c r="W112" s="88">
        <f>IF(TrRoad_act!W28=0,0,W55/TrRoad_act!W28*1000)</f>
        <v>23.794820396260111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135.43325300938687</v>
      </c>
      <c r="C116" s="152">
        <f>IF(C19=0,0,1000000*C19/TrRoad_act!C59)</f>
        <v>141.47383315832869</v>
      </c>
      <c r="D116" s="152">
        <f>IF(D19=0,0,1000000*D19/TrRoad_act!D59)</f>
        <v>139.79257018926722</v>
      </c>
      <c r="E116" s="152">
        <f>IF(E19=0,0,1000000*E19/TrRoad_act!E59)</f>
        <v>139.73868621906709</v>
      </c>
      <c r="F116" s="152">
        <f>IF(F19=0,0,1000000*F19/TrRoad_act!F59)</f>
        <v>129.62645517155241</v>
      </c>
      <c r="G116" s="152">
        <f>IF(G19=0,0,1000000*G19/TrRoad_act!G59)</f>
        <v>124.30950726532127</v>
      </c>
      <c r="H116" s="152">
        <f>IF(H19=0,0,1000000*H19/TrRoad_act!H59)</f>
        <v>112.88657693412169</v>
      </c>
      <c r="I116" s="152">
        <f>IF(I19=0,0,1000000*I19/TrRoad_act!I59)</f>
        <v>109.97251989649973</v>
      </c>
      <c r="J116" s="152">
        <f>IF(J19=0,0,1000000*J19/TrRoad_act!J59)</f>
        <v>108.32068202558462</v>
      </c>
      <c r="K116" s="152">
        <f>IF(K19=0,0,1000000*K19/TrRoad_act!K59)</f>
        <v>103.77580484175456</v>
      </c>
      <c r="L116" s="152">
        <f>IF(L19=0,0,1000000*L19/TrRoad_act!L59)</f>
        <v>98.852281436502906</v>
      </c>
      <c r="M116" s="152">
        <f>IF(M19=0,0,1000000*M19/TrRoad_act!M59)</f>
        <v>97.504000817204812</v>
      </c>
      <c r="N116" s="152">
        <f>IF(N19=0,0,1000000*N19/TrRoad_act!N59)</f>
        <v>92.460329709300055</v>
      </c>
      <c r="O116" s="152">
        <f>IF(O19=0,0,1000000*O19/TrRoad_act!O59)</f>
        <v>89.81123003809617</v>
      </c>
      <c r="P116" s="152">
        <f>IF(P19=0,0,1000000*P19/TrRoad_act!P59)</f>
        <v>84.521493181123134</v>
      </c>
      <c r="Q116" s="152">
        <f>IF(Q19=0,0,1000000*Q19/TrRoad_act!Q59)</f>
        <v>84.937839547305728</v>
      </c>
      <c r="R116" s="152">
        <f>IF(R19=0,0,1000000*R19/TrRoad_act!R59)</f>
        <v>83.977132408004721</v>
      </c>
      <c r="S116" s="152">
        <f>IF(S19=0,0,1000000*S19/TrRoad_act!S59)</f>
        <v>76.700819111261623</v>
      </c>
      <c r="T116" s="152">
        <f>IF(T19=0,0,1000000*T19/TrRoad_act!T59)</f>
        <v>75.097731683328831</v>
      </c>
      <c r="U116" s="152">
        <f>IF(U19=0,0,1000000*U19/TrRoad_act!U59)</f>
        <v>74.401774055537302</v>
      </c>
      <c r="V116" s="152">
        <f>IF(V19=0,0,1000000*V19/TrRoad_act!V59)</f>
        <v>66.016567000540348</v>
      </c>
      <c r="W116" s="152">
        <f>IF(W19=0,0,1000000*W19/TrRoad_act!W59)</f>
        <v>67.33541489738262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914.64356392676552</v>
      </c>
      <c r="C117" s="116">
        <f>IF(C21=0,0,1000000*C21/TrRoad_act!C60)</f>
        <v>895.38503381477187</v>
      </c>
      <c r="D117" s="116">
        <f>IF(D21=0,0,1000000*D21/TrRoad_act!D60)</f>
        <v>889.39624940118711</v>
      </c>
      <c r="E117" s="116">
        <f>IF(E21=0,0,1000000*E21/TrRoad_act!E60)</f>
        <v>874.97650074107855</v>
      </c>
      <c r="F117" s="116">
        <f>IF(F21=0,0,1000000*F21/TrRoad_act!F60)</f>
        <v>873.65147236517294</v>
      </c>
      <c r="G117" s="116">
        <f>IF(G21=0,0,1000000*G21/TrRoad_act!G60)</f>
        <v>866.05875246228561</v>
      </c>
      <c r="H117" s="116">
        <f>IF(H21=0,0,1000000*H21/TrRoad_act!H60)</f>
        <v>876.19723804775992</v>
      </c>
      <c r="I117" s="116">
        <f>IF(I21=0,0,1000000*I21/TrRoad_act!I60)</f>
        <v>867.7971619057646</v>
      </c>
      <c r="J117" s="116">
        <f>IF(J21=0,0,1000000*J21/TrRoad_act!J60)</f>
        <v>852.34470412911355</v>
      </c>
      <c r="K117" s="116">
        <f>IF(K21=0,0,1000000*K21/TrRoad_act!K60)</f>
        <v>831.89383318424029</v>
      </c>
      <c r="L117" s="116">
        <f>IF(L21=0,0,1000000*L21/TrRoad_act!L60)</f>
        <v>813.77054625291998</v>
      </c>
      <c r="M117" s="116">
        <f>IF(M21=0,0,1000000*M21/TrRoad_act!M60)</f>
        <v>802.94139521749207</v>
      </c>
      <c r="N117" s="116">
        <f>IF(N21=0,0,1000000*N21/TrRoad_act!N60)</f>
        <v>755.40456760630252</v>
      </c>
      <c r="O117" s="116">
        <f>IF(O21=0,0,1000000*O21/TrRoad_act!O60)</f>
        <v>731.09503640947719</v>
      </c>
      <c r="P117" s="116">
        <f>IF(P21=0,0,1000000*P21/TrRoad_act!P60)</f>
        <v>705.85812118352612</v>
      </c>
      <c r="Q117" s="116">
        <f>IF(Q21=0,0,1000000*Q21/TrRoad_act!Q60)</f>
        <v>694.3212204610179</v>
      </c>
      <c r="R117" s="116">
        <f>IF(R21=0,0,1000000*R21/TrRoad_act!R60)</f>
        <v>687.56114679514928</v>
      </c>
      <c r="S117" s="116">
        <f>IF(S21=0,0,1000000*S21/TrRoad_act!S60)</f>
        <v>683.4337517865556</v>
      </c>
      <c r="T117" s="116">
        <f>IF(T21=0,0,1000000*T21/TrRoad_act!T60)</f>
        <v>678.52440210759232</v>
      </c>
      <c r="U117" s="116">
        <f>IF(U21=0,0,1000000*U21/TrRoad_act!U60)</f>
        <v>657.11413162737381</v>
      </c>
      <c r="V117" s="116">
        <f>IF(V21=0,0,1000000*V21/TrRoad_act!V60)</f>
        <v>522.7282254664849</v>
      </c>
      <c r="W117" s="116">
        <f>IF(W21=0,0,1000000*W21/TrRoad_act!W60)</f>
        <v>557.06568707297993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744.84456479767778</v>
      </c>
      <c r="C118" s="87">
        <f>IF(C22=0,0,1000000*C22/TrRoad_act!C61)</f>
        <v>744.0636838123969</v>
      </c>
      <c r="D118" s="87">
        <f>IF(D22=0,0,1000000*D22/TrRoad_act!D61)</f>
        <v>734.8443118462294</v>
      </c>
      <c r="E118" s="87">
        <f>IF(E22=0,0,1000000*E22/TrRoad_act!E61)</f>
        <v>723.90965758928405</v>
      </c>
      <c r="F118" s="87">
        <f>IF(F22=0,0,1000000*F22/TrRoad_act!F61)</f>
        <v>713.41531545137912</v>
      </c>
      <c r="G118" s="87">
        <f>IF(G22=0,0,1000000*G22/TrRoad_act!G61)</f>
        <v>698.79003882400468</v>
      </c>
      <c r="H118" s="87">
        <f>IF(H22=0,0,1000000*H22/TrRoad_act!H61)</f>
        <v>704.49857658050541</v>
      </c>
      <c r="I118" s="87">
        <f>IF(I22=0,0,1000000*I22/TrRoad_act!I61)</f>
        <v>701.65823050838696</v>
      </c>
      <c r="J118" s="87">
        <f>IF(J22=0,0,1000000*J22/TrRoad_act!J61)</f>
        <v>681.3096978202409</v>
      </c>
      <c r="K118" s="87">
        <f>IF(K22=0,0,1000000*K22/TrRoad_act!K61)</f>
        <v>666.74047698004961</v>
      </c>
      <c r="L118" s="87">
        <f>IF(L22=0,0,1000000*L22/TrRoad_act!L61)</f>
        <v>655.48318724156468</v>
      </c>
      <c r="M118" s="87">
        <f>IF(M22=0,0,1000000*M22/TrRoad_act!M61)</f>
        <v>654.90293946179929</v>
      </c>
      <c r="N118" s="87">
        <f>IF(N22=0,0,1000000*N22/TrRoad_act!N61)</f>
        <v>611.07909114490747</v>
      </c>
      <c r="O118" s="87">
        <f>IF(O22=0,0,1000000*O22/TrRoad_act!O61)</f>
        <v>591.54365157291738</v>
      </c>
      <c r="P118" s="87">
        <f>IF(P22=0,0,1000000*P22/TrRoad_act!P61)</f>
        <v>572.35462455510594</v>
      </c>
      <c r="Q118" s="87">
        <f>IF(Q22=0,0,1000000*Q22/TrRoad_act!Q61)</f>
        <v>575.35611983875276</v>
      </c>
      <c r="R118" s="87">
        <f>IF(R22=0,0,1000000*R22/TrRoad_act!R61)</f>
        <v>578.48190617705473</v>
      </c>
      <c r="S118" s="87">
        <f>IF(S22=0,0,1000000*S22/TrRoad_act!S61)</f>
        <v>586.71311483911177</v>
      </c>
      <c r="T118" s="87">
        <f>IF(T22=0,0,1000000*T22/TrRoad_act!T61)</f>
        <v>593.30653641966535</v>
      </c>
      <c r="U118" s="87">
        <f>IF(U22=0,0,1000000*U22/TrRoad_act!U61)</f>
        <v>588.89323254672729</v>
      </c>
      <c r="V118" s="87">
        <f>IF(V22=0,0,1000000*V22/TrRoad_act!V61)</f>
        <v>486.9254133976716</v>
      </c>
      <c r="W118" s="87">
        <f>IF(W22=0,0,1000000*W22/TrRoad_act!W61)</f>
        <v>498.67265954963051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1806.6766258388282</v>
      </c>
      <c r="C119" s="87">
        <f>IF(C24=0,0,1000000*C24/TrRoad_act!C62)</f>
        <v>1691.3451883426844</v>
      </c>
      <c r="D119" s="87">
        <f>IF(D24=0,0,1000000*D24/TrRoad_act!D62)</f>
        <v>1687.2174880279708</v>
      </c>
      <c r="E119" s="87">
        <f>IF(E24=0,0,1000000*E24/TrRoad_act!E62)</f>
        <v>1669.5281461140278</v>
      </c>
      <c r="F119" s="87">
        <f>IF(F24=0,0,1000000*F24/TrRoad_act!F62)</f>
        <v>1672.5686918186723</v>
      </c>
      <c r="G119" s="87">
        <f>IF(G24=0,0,1000000*G24/TrRoad_act!G62)</f>
        <v>1668.5836203974529</v>
      </c>
      <c r="H119" s="87">
        <f>IF(H24=0,0,1000000*H24/TrRoad_act!H62)</f>
        <v>1662.2589255020787</v>
      </c>
      <c r="I119" s="87">
        <f>IF(I24=0,0,1000000*I24/TrRoad_act!I62)</f>
        <v>1634.0036759058767</v>
      </c>
      <c r="J119" s="87">
        <f>IF(J24=0,0,1000000*J24/TrRoad_act!J62)</f>
        <v>1614.725997954851</v>
      </c>
      <c r="K119" s="87">
        <f>IF(K24=0,0,1000000*K24/TrRoad_act!K62)</f>
        <v>1546.0631687665682</v>
      </c>
      <c r="L119" s="87">
        <f>IF(L24=0,0,1000000*L24/TrRoad_act!L62)</f>
        <v>1503.0884369020844</v>
      </c>
      <c r="M119" s="87">
        <f>IF(M24=0,0,1000000*M24/TrRoad_act!M62)</f>
        <v>1443.6827834496869</v>
      </c>
      <c r="N119" s="87">
        <f>IF(N24=0,0,1000000*N24/TrRoad_act!N62)</f>
        <v>1351.3873847928594</v>
      </c>
      <c r="O119" s="87">
        <f>IF(O24=0,0,1000000*O24/TrRoad_act!O62)</f>
        <v>1331.3993858529436</v>
      </c>
      <c r="P119" s="87">
        <f>IF(P24=0,0,1000000*P24/TrRoad_act!P62)</f>
        <v>1322.5558564983769</v>
      </c>
      <c r="Q119" s="87">
        <f>IF(Q24=0,0,1000000*Q24/TrRoad_act!Q62)</f>
        <v>1259.9268582954837</v>
      </c>
      <c r="R119" s="87">
        <f>IF(R24=0,0,1000000*R24/TrRoad_act!R62)</f>
        <v>1221.1053673779106</v>
      </c>
      <c r="S119" s="87">
        <f>IF(S24=0,0,1000000*S24/TrRoad_act!S62)</f>
        <v>1180.3287131823829</v>
      </c>
      <c r="T119" s="87">
        <f>IF(T24=0,0,1000000*T24/TrRoad_act!T62)</f>
        <v>1143.8586502932521</v>
      </c>
      <c r="U119" s="87">
        <f>IF(U24=0,0,1000000*U24/TrRoad_act!U62)</f>
        <v>1094.3242370489279</v>
      </c>
      <c r="V119" s="87">
        <f>IF(V24=0,0,1000000*V24/TrRoad_act!V62)</f>
        <v>802.92900400794133</v>
      </c>
      <c r="W119" s="87">
        <f>IF(W24=0,0,1000000*W24/TrRoad_act!W62)</f>
        <v>1054.1284562400165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1176.3171503196788</v>
      </c>
      <c r="C120" s="87">
        <f>IF(C26=0,0,1000000*C26/TrRoad_act!C63)</f>
        <v>1067.5923337056863</v>
      </c>
      <c r="D120" s="87">
        <f>IF(D26=0,0,1000000*D26/TrRoad_act!D63)</f>
        <v>1056.0950447832818</v>
      </c>
      <c r="E120" s="87">
        <f>IF(E26=0,0,1000000*E26/TrRoad_act!E63)</f>
        <v>955.99583557771973</v>
      </c>
      <c r="F120" s="87">
        <f>IF(F26=0,0,1000000*F26/TrRoad_act!F63)</f>
        <v>1001.1907553728165</v>
      </c>
      <c r="G120" s="87">
        <f>IF(G26=0,0,1000000*G26/TrRoad_act!G63)</f>
        <v>1019.6226748801512</v>
      </c>
      <c r="H120" s="87">
        <f>IF(H26=0,0,1000000*H26/TrRoad_act!H63)</f>
        <v>1049.3062129268126</v>
      </c>
      <c r="I120" s="87">
        <f>IF(I26=0,0,1000000*I26/TrRoad_act!I63)</f>
        <v>934.30974849932761</v>
      </c>
      <c r="J120" s="87">
        <f>IF(J26=0,0,1000000*J26/TrRoad_act!J63)</f>
        <v>1026.5661551705082</v>
      </c>
      <c r="K120" s="87">
        <f>IF(K26=0,0,1000000*K26/TrRoad_act!K63)</f>
        <v>1119.3685677109102</v>
      </c>
      <c r="L120" s="87">
        <f>IF(L26=0,0,1000000*L26/TrRoad_act!L63)</f>
        <v>1141.120648580898</v>
      </c>
      <c r="M120" s="87">
        <f>IF(M26=0,0,1000000*M26/TrRoad_act!M63)</f>
        <v>1152.5431052262263</v>
      </c>
      <c r="N120" s="87">
        <f>IF(N26=0,0,1000000*N26/TrRoad_act!N63)</f>
        <v>1342.9411191780825</v>
      </c>
      <c r="O120" s="87">
        <f>IF(O26=0,0,1000000*O26/TrRoad_act!O63)</f>
        <v>1263.9227767098098</v>
      </c>
      <c r="P120" s="87">
        <f>IF(P26=0,0,1000000*P26/TrRoad_act!P63)</f>
        <v>1019.3807815325453</v>
      </c>
      <c r="Q120" s="87">
        <f>IF(Q26=0,0,1000000*Q26/TrRoad_act!Q63)</f>
        <v>960.75337912428472</v>
      </c>
      <c r="R120" s="87">
        <f>IF(R26=0,0,1000000*R26/TrRoad_act!R63)</f>
        <v>1053.6132641128349</v>
      </c>
      <c r="S120" s="87">
        <f>IF(S26=0,0,1000000*S26/TrRoad_act!S63)</f>
        <v>995.73281094614219</v>
      </c>
      <c r="T120" s="87">
        <f>IF(T26=0,0,1000000*T26/TrRoad_act!T63)</f>
        <v>987.1243404391945</v>
      </c>
      <c r="U120" s="87">
        <f>IF(U26=0,0,1000000*U26/TrRoad_act!U63)</f>
        <v>813.80517223345362</v>
      </c>
      <c r="V120" s="87">
        <f>IF(V26=0,0,1000000*V26/TrRoad_act!V63)</f>
        <v>697.90924178443538</v>
      </c>
      <c r="W120" s="87">
        <f>IF(W26=0,0,1000000*W26/TrRoad_act!W63)</f>
        <v>828.36713665285322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1519.4031610512925</v>
      </c>
      <c r="M121" s="87">
        <f>IF(M27=0,0,1000000*M27/TrRoad_act!M64)</f>
        <v>1482.4720758570543</v>
      </c>
      <c r="N121" s="87">
        <f>IF(N27=0,0,1000000*N27/TrRoad_act!N64)</f>
        <v>1347.8036206474869</v>
      </c>
      <c r="O121" s="87">
        <f>IF(O27=0,0,1000000*O27/TrRoad_act!O64)</f>
        <v>1278.2596608139161</v>
      </c>
      <c r="P121" s="87">
        <f>IF(P27=0,0,1000000*P27/TrRoad_act!P64)</f>
        <v>1141.7026011998591</v>
      </c>
      <c r="Q121" s="87">
        <f>IF(Q27=0,0,1000000*Q27/TrRoad_act!Q64)</f>
        <v>1129.3529264238462</v>
      </c>
      <c r="R121" s="87">
        <f>IF(R27=0,0,1000000*R27/TrRoad_act!R64)</f>
        <v>996.2505150414662</v>
      </c>
      <c r="S121" s="87">
        <f>IF(S27=0,0,1000000*S27/TrRoad_act!S64)</f>
        <v>1196.0987270492919</v>
      </c>
      <c r="T121" s="87">
        <f>IF(T27=0,0,1000000*T27/TrRoad_act!T64)</f>
        <v>1348.7138520007113</v>
      </c>
      <c r="U121" s="87">
        <f>IF(U27=0,0,1000000*U27/TrRoad_act!U64)</f>
        <v>1340.3083487700574</v>
      </c>
      <c r="V121" s="87">
        <f>IF(V27=0,0,1000000*V27/TrRoad_act!V64)</f>
        <v>1106.8128199792807</v>
      </c>
      <c r="W121" s="87">
        <f>IF(W27=0,0,1000000*W27/TrRoad_act!W64)</f>
        <v>1190.9192856275952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323.73040483476336</v>
      </c>
      <c r="N122" s="87">
        <f>IF(N29=0,0,1000000*N29/TrRoad_act!N65)</f>
        <v>245.52893802080098</v>
      </c>
      <c r="O122" s="87">
        <f>IF(O29=0,0,1000000*O29/TrRoad_act!O65)</f>
        <v>260.34652429594792</v>
      </c>
      <c r="P122" s="87">
        <f>IF(P29=0,0,1000000*P29/TrRoad_act!P65)</f>
        <v>316.68127113593272</v>
      </c>
      <c r="Q122" s="87">
        <f>IF(Q29=0,0,1000000*Q29/TrRoad_act!Q65)</f>
        <v>311.591567020951</v>
      </c>
      <c r="R122" s="87">
        <f>IF(R29=0,0,1000000*R29/TrRoad_act!R65)</f>
        <v>292.69427808363974</v>
      </c>
      <c r="S122" s="87">
        <f>IF(S29=0,0,1000000*S29/TrRoad_act!S65)</f>
        <v>280.25091309566142</v>
      </c>
      <c r="T122" s="87">
        <f>IF(T29=0,0,1000000*T29/TrRoad_act!T65)</f>
        <v>293.20328245631322</v>
      </c>
      <c r="U122" s="87">
        <f>IF(U29=0,0,1000000*U29/TrRoad_act!U65)</f>
        <v>300.14605310775858</v>
      </c>
      <c r="V122" s="87">
        <f>IF(V29=0,0,1000000*V29/TrRoad_act!V65)</f>
        <v>261.93035710132932</v>
      </c>
      <c r="W122" s="87">
        <f>IF(W29=0,0,1000000*W29/TrRoad_act!W65)</f>
        <v>287.01363523418519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282.54356458852772</v>
      </c>
      <c r="L123" s="87">
        <f>IF(L32=0,0,1000000*L32/TrRoad_act!L66)</f>
        <v>279.79962621991933</v>
      </c>
      <c r="M123" s="87">
        <f>IF(M32=0,0,1000000*M32/TrRoad_act!M66)</f>
        <v>281.25680331542543</v>
      </c>
      <c r="N123" s="87">
        <f>IF(N32=0,0,1000000*N32/TrRoad_act!N66)</f>
        <v>266.77229163534446</v>
      </c>
      <c r="O123" s="87">
        <f>IF(O32=0,0,1000000*O32/TrRoad_act!O66)</f>
        <v>249.89226311184427</v>
      </c>
      <c r="P123" s="87">
        <f>IF(P32=0,0,1000000*P32/TrRoad_act!P66)</f>
        <v>246.85054300345689</v>
      </c>
      <c r="Q123" s="87">
        <f>IF(Q32=0,0,1000000*Q32/TrRoad_act!Q66)</f>
        <v>258.34098809722417</v>
      </c>
      <c r="R123" s="87">
        <f>IF(R32=0,0,1000000*R32/TrRoad_act!R66)</f>
        <v>257.87162083227855</v>
      </c>
      <c r="S123" s="87">
        <f>IF(S32=0,0,1000000*S32/TrRoad_act!S66)</f>
        <v>249.7313495830042</v>
      </c>
      <c r="T123" s="87">
        <f>IF(T32=0,0,1000000*T32/TrRoad_act!T66)</f>
        <v>268.59637012307832</v>
      </c>
      <c r="U123" s="87">
        <f>IF(U32=0,0,1000000*U32/TrRoad_act!U66)</f>
        <v>262.9989384879151</v>
      </c>
      <c r="V123" s="87">
        <f>IF(V32=0,0,1000000*V32/TrRoad_act!V66)</f>
        <v>213.58815237979201</v>
      </c>
      <c r="W123" s="87">
        <f>IF(W32=0,0,1000000*W32/TrRoad_act!W66)</f>
        <v>258.22273100860326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32428.539322017772</v>
      </c>
      <c r="C124" s="116">
        <f>IF(C33=0,0,1000000*C33/TrRoad_act!C67)</f>
        <v>30991.0496574032</v>
      </c>
      <c r="D124" s="116">
        <f>IF(D33=0,0,1000000*D33/TrRoad_act!D67)</f>
        <v>30769.153875130072</v>
      </c>
      <c r="E124" s="116">
        <f>IF(E33=0,0,1000000*E33/TrRoad_act!E67)</f>
        <v>29856.336193025545</v>
      </c>
      <c r="F124" s="116">
        <f>IF(F33=0,0,1000000*F33/TrRoad_act!F67)</f>
        <v>29314.906777607506</v>
      </c>
      <c r="G124" s="116">
        <f>IF(G33=0,0,1000000*G33/TrRoad_act!G67)</f>
        <v>29558.329762419984</v>
      </c>
      <c r="H124" s="116">
        <f>IF(H33=0,0,1000000*H33/TrRoad_act!H67)</f>
        <v>29894.156571996693</v>
      </c>
      <c r="I124" s="116">
        <f>IF(I33=0,0,1000000*I33/TrRoad_act!I67)</f>
        <v>30217.348406979549</v>
      </c>
      <c r="J124" s="116">
        <f>IF(J33=0,0,1000000*J33/TrRoad_act!J67)</f>
        <v>30642.041023543119</v>
      </c>
      <c r="K124" s="116">
        <f>IF(K33=0,0,1000000*K33/TrRoad_act!K67)</f>
        <v>31061.327917018574</v>
      </c>
      <c r="L124" s="116">
        <f>IF(L33=0,0,1000000*L33/TrRoad_act!L67)</f>
        <v>31632.335049781512</v>
      </c>
      <c r="M124" s="116">
        <f>IF(M33=0,0,1000000*M33/TrRoad_act!M67)</f>
        <v>32098.49151920333</v>
      </c>
      <c r="N124" s="116">
        <f>IF(N33=0,0,1000000*N33/TrRoad_act!N67)</f>
        <v>32040.366631488989</v>
      </c>
      <c r="O124" s="116">
        <f>IF(O33=0,0,1000000*O33/TrRoad_act!O67)</f>
        <v>32396.842031736229</v>
      </c>
      <c r="P124" s="116">
        <f>IF(P33=0,0,1000000*P33/TrRoad_act!P67)</f>
        <v>32828.789686861652</v>
      </c>
      <c r="Q124" s="116">
        <f>IF(Q33=0,0,1000000*Q33/TrRoad_act!Q67)</f>
        <v>33388.75366527577</v>
      </c>
      <c r="R124" s="116">
        <f>IF(R33=0,0,1000000*R33/TrRoad_act!R67)</f>
        <v>34536.398005953844</v>
      </c>
      <c r="S124" s="116">
        <f>IF(S33=0,0,1000000*S33/TrRoad_act!S67)</f>
        <v>35732.648060162559</v>
      </c>
      <c r="T124" s="116">
        <f>IF(T33=0,0,1000000*T33/TrRoad_act!T67)</f>
        <v>32873.751321291034</v>
      </c>
      <c r="U124" s="116">
        <f>IF(U33=0,0,1000000*U33/TrRoad_act!U67)</f>
        <v>28853.442433192067</v>
      </c>
      <c r="V124" s="116">
        <f>IF(V33=0,0,1000000*V33/TrRoad_act!V67)</f>
        <v>23587.233740790638</v>
      </c>
      <c r="W124" s="116">
        <f>IF(W33=0,0,1000000*W33/TrRoad_act!W67)</f>
        <v>22450.94643369667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9895.610979283214</v>
      </c>
      <c r="C125" s="101">
        <f>IF(C34=0,0,1000000*C34/TrRoad_act!C68)</f>
        <v>9103.7650274524076</v>
      </c>
      <c r="D125" s="101">
        <f>IF(D34=0,0,1000000*D34/TrRoad_act!D68)</f>
        <v>8712.8728581395735</v>
      </c>
      <c r="E125" s="101">
        <f>IF(E34=0,0,1000000*E34/TrRoad_act!E68)</f>
        <v>8228.3205855733722</v>
      </c>
      <c r="F125" s="101">
        <f>IF(F34=0,0,1000000*F34/TrRoad_act!F68)</f>
        <v>7986.6754812505687</v>
      </c>
      <c r="G125" s="101">
        <f>IF(G34=0,0,1000000*G34/TrRoad_act!G68)</f>
        <v>7951.8907897427925</v>
      </c>
      <c r="H125" s="101">
        <f>IF(H34=0,0,1000000*H34/TrRoad_act!H68)</f>
        <v>7929.1066198700491</v>
      </c>
      <c r="I125" s="101">
        <f>IF(I34=0,0,1000000*I34/TrRoad_act!I68)</f>
        <v>7886.9820474020826</v>
      </c>
      <c r="J125" s="101">
        <f>IF(J34=0,0,1000000*J34/TrRoad_act!J68)</f>
        <v>7898.4665450425327</v>
      </c>
      <c r="K125" s="101">
        <f>IF(K34=0,0,1000000*K34/TrRoad_act!K68)</f>
        <v>7871.1067952610319</v>
      </c>
      <c r="L125" s="101">
        <f>IF(L34=0,0,1000000*L34/TrRoad_act!L68)</f>
        <v>7749.3567046487642</v>
      </c>
      <c r="M125" s="101">
        <f>IF(M34=0,0,1000000*M34/TrRoad_act!M68)</f>
        <v>7621.0999574042389</v>
      </c>
      <c r="N125" s="101">
        <f>IF(N34=0,0,1000000*N34/TrRoad_act!N68)</f>
        <v>7301.9919032659227</v>
      </c>
      <c r="O125" s="101">
        <f>IF(O34=0,0,1000000*O34/TrRoad_act!O68)</f>
        <v>7275.7232422249917</v>
      </c>
      <c r="P125" s="101">
        <f>IF(P34=0,0,1000000*P34/TrRoad_act!P68)</f>
        <v>7255.0833934933198</v>
      </c>
      <c r="Q125" s="101">
        <f>IF(Q34=0,0,1000000*Q34/TrRoad_act!Q68)</f>
        <v>6831.8514969444923</v>
      </c>
      <c r="R125" s="101">
        <f>IF(R34=0,0,1000000*R34/TrRoad_act!R68)</f>
        <v>6852.9228946585645</v>
      </c>
      <c r="S125" s="101">
        <f>IF(S34=0,0,1000000*S34/TrRoad_act!S68)</f>
        <v>7138.6616976393971</v>
      </c>
      <c r="T125" s="101">
        <f>IF(T34=0,0,1000000*T34/TrRoad_act!T68)</f>
        <v>6896.1378839306781</v>
      </c>
      <c r="U125" s="101">
        <f>IF(U34=0,0,1000000*U34/TrRoad_act!U68)</f>
        <v>5922.9385738374967</v>
      </c>
      <c r="V125" s="101">
        <f>IF(V34=0,0,1000000*V34/TrRoad_act!V68)</f>
        <v>5060.4777794263055</v>
      </c>
      <c r="W125" s="101">
        <f>IF(W34=0,0,1000000*W34/TrRoad_act!W68)</f>
        <v>5105.8043528975195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32842.894584691749</v>
      </c>
      <c r="C126" s="101">
        <f>IF(C36=0,0,1000000*C36/TrRoad_act!C69)</f>
        <v>31360.49681062996</v>
      </c>
      <c r="D126" s="101">
        <f>IF(D36=0,0,1000000*D36/TrRoad_act!D69)</f>
        <v>31127.872722189193</v>
      </c>
      <c r="E126" s="101">
        <f>IF(E36=0,0,1000000*E36/TrRoad_act!E69)</f>
        <v>30175.091189830968</v>
      </c>
      <c r="F126" s="101">
        <f>IF(F36=0,0,1000000*F36/TrRoad_act!F69)</f>
        <v>29620.427229453166</v>
      </c>
      <c r="G126" s="101">
        <f>IF(G36=0,0,1000000*G36/TrRoad_act!G69)</f>
        <v>29928.718215352343</v>
      </c>
      <c r="H126" s="101">
        <f>IF(H36=0,0,1000000*H36/TrRoad_act!H69)</f>
        <v>30269.254179790492</v>
      </c>
      <c r="I126" s="101">
        <f>IF(I36=0,0,1000000*I36/TrRoad_act!I69)</f>
        <v>30608.797951172128</v>
      </c>
      <c r="J126" s="101">
        <f>IF(J36=0,0,1000000*J36/TrRoad_act!J69)</f>
        <v>31062.600296487853</v>
      </c>
      <c r="K126" s="101">
        <f>IF(K36=0,0,1000000*K36/TrRoad_act!K69)</f>
        <v>31613.752762948505</v>
      </c>
      <c r="L126" s="101">
        <f>IF(L36=0,0,1000000*L36/TrRoad_act!L69)</f>
        <v>32288.458707219783</v>
      </c>
      <c r="M126" s="101">
        <f>IF(M36=0,0,1000000*M36/TrRoad_act!M69)</f>
        <v>32894.745574161461</v>
      </c>
      <c r="N126" s="101">
        <f>IF(N36=0,0,1000000*N36/TrRoad_act!N69)</f>
        <v>33516.405532861274</v>
      </c>
      <c r="O126" s="101">
        <f>IF(O36=0,0,1000000*O36/TrRoad_act!O69)</f>
        <v>34105.882381925621</v>
      </c>
      <c r="P126" s="101">
        <f>IF(P36=0,0,1000000*P36/TrRoad_act!P69)</f>
        <v>34770.244773509934</v>
      </c>
      <c r="Q126" s="101">
        <f>IF(Q36=0,0,1000000*Q36/TrRoad_act!Q69)</f>
        <v>35481.483335017059</v>
      </c>
      <c r="R126" s="101">
        <f>IF(R36=0,0,1000000*R36/TrRoad_act!R69)</f>
        <v>35557.641440276791</v>
      </c>
      <c r="S126" s="101">
        <f>IF(S36=0,0,1000000*S36/TrRoad_act!S69)</f>
        <v>36681.329783276102</v>
      </c>
      <c r="T126" s="101">
        <f>IF(T36=0,0,1000000*T36/TrRoad_act!T69)</f>
        <v>35196.885724207372</v>
      </c>
      <c r="U126" s="101">
        <f>IF(U36=0,0,1000000*U36/TrRoad_act!U69)</f>
        <v>31524.378825215106</v>
      </c>
      <c r="V126" s="101">
        <f>IF(V36=0,0,1000000*V36/TrRoad_act!V69)</f>
        <v>26751.00543119459</v>
      </c>
      <c r="W126" s="101">
        <f>IF(W36=0,0,1000000*W36/TrRoad_act!W69)</f>
        <v>25959.441002122356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13808.832353600939</v>
      </c>
      <c r="C127" s="101">
        <f>IF(C38=0,0,1000000*C38/TrRoad_act!C70)</f>
        <v>13534.930755662808</v>
      </c>
      <c r="D127" s="101">
        <f>IF(D38=0,0,1000000*D38/TrRoad_act!D70)</f>
        <v>13578.783738250642</v>
      </c>
      <c r="E127" s="101">
        <f>IF(E38=0,0,1000000*E38/TrRoad_act!E70)</f>
        <v>13302.802626737392</v>
      </c>
      <c r="F127" s="101">
        <f>IF(F38=0,0,1000000*F38/TrRoad_act!F70)</f>
        <v>13122.575793475246</v>
      </c>
      <c r="G127" s="101">
        <f>IF(G38=0,0,1000000*G38/TrRoad_act!G70)</f>
        <v>12968.011898784895</v>
      </c>
      <c r="H127" s="101">
        <f>IF(H38=0,0,1000000*H38/TrRoad_act!H70)</f>
        <v>13001.915265904201</v>
      </c>
      <c r="I127" s="101">
        <f>IF(I38=0,0,1000000*I38/TrRoad_act!I70)</f>
        <v>13048.440485828609</v>
      </c>
      <c r="J127" s="101">
        <f>IF(J38=0,0,1000000*J38/TrRoad_act!J70)</f>
        <v>13129.646377040304</v>
      </c>
      <c r="K127" s="101">
        <f>IF(K38=0,0,1000000*K38/TrRoad_act!K70)</f>
        <v>13210.869910791809</v>
      </c>
      <c r="L127" s="101">
        <f>IF(L38=0,0,1000000*L38/TrRoad_act!L70)</f>
        <v>13313.053436961371</v>
      </c>
      <c r="M127" s="101">
        <f>IF(M38=0,0,1000000*M38/TrRoad_act!M70)</f>
        <v>13364.935167511881</v>
      </c>
      <c r="N127" s="101">
        <f>IF(N38=0,0,1000000*N38/TrRoad_act!N70)</f>
        <v>13422.640263961342</v>
      </c>
      <c r="O127" s="101">
        <f>IF(O38=0,0,1000000*O38/TrRoad_act!O70)</f>
        <v>13470.479057147475</v>
      </c>
      <c r="P127" s="101">
        <f>IF(P38=0,0,1000000*P38/TrRoad_act!P70)</f>
        <v>13511.825712900014</v>
      </c>
      <c r="Q127" s="101">
        <f>IF(Q38=0,0,1000000*Q38/TrRoad_act!Q70)</f>
        <v>13987.209475157213</v>
      </c>
      <c r="R127" s="101">
        <f>IF(R38=0,0,1000000*R38/TrRoad_act!R70)</f>
        <v>14196.741956374915</v>
      </c>
      <c r="S127" s="101">
        <f>IF(S38=0,0,1000000*S38/TrRoad_act!S70)</f>
        <v>14845.661612171665</v>
      </c>
      <c r="T127" s="101">
        <f>IF(T38=0,0,1000000*T38/TrRoad_act!T70)</f>
        <v>14371.906041476326</v>
      </c>
      <c r="U127" s="101">
        <f>IF(U38=0,0,1000000*U38/TrRoad_act!U70)</f>
        <v>13021.514370390774</v>
      </c>
      <c r="V127" s="101">
        <f>IF(V38=0,0,1000000*V38/TrRoad_act!V70)</f>
        <v>11121.740729261193</v>
      </c>
      <c r="W127" s="101">
        <f>IF(W38=0,0,1000000*W38/TrRoad_act!W70)</f>
        <v>11188.206872270817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25078.819145887068</v>
      </c>
      <c r="C128" s="101">
        <f>IF(C39=0,0,1000000*C39/TrRoad_act!C71)</f>
        <v>26273.048629024554</v>
      </c>
      <c r="D128" s="101">
        <f>IF(D39=0,0,1000000*D39/TrRoad_act!D71)</f>
        <v>21496.130696474633</v>
      </c>
      <c r="E128" s="101">
        <f>IF(E39=0,0,1000000*E39/TrRoad_act!E71)</f>
        <v>24858.318733080017</v>
      </c>
      <c r="F128" s="101">
        <f>IF(F39=0,0,1000000*F39/TrRoad_act!F71)</f>
        <v>18279.946289012372</v>
      </c>
      <c r="G128" s="101">
        <f>IF(G39=0,0,1000000*G39/TrRoad_act!G71)</f>
        <v>19549.274231552077</v>
      </c>
      <c r="H128" s="101">
        <f>IF(H39=0,0,1000000*H39/TrRoad_act!H71)</f>
        <v>19652.284246883875</v>
      </c>
      <c r="I128" s="101">
        <f>IF(I39=0,0,1000000*I39/TrRoad_act!I71)</f>
        <v>19050.035695305083</v>
      </c>
      <c r="J128" s="101">
        <f>IF(J39=0,0,1000000*J39/TrRoad_act!J71)</f>
        <v>19968.589066599008</v>
      </c>
      <c r="K128" s="101">
        <f>IF(K39=0,0,1000000*K39/TrRoad_act!K71)</f>
        <v>20532.75637808349</v>
      </c>
      <c r="L128" s="101">
        <f>IF(L39=0,0,1000000*L39/TrRoad_act!L71)</f>
        <v>22240.542790465948</v>
      </c>
      <c r="M128" s="101">
        <f>IF(M39=0,0,1000000*M39/TrRoad_act!M71)</f>
        <v>24520.620269612617</v>
      </c>
      <c r="N128" s="101">
        <f>IF(N39=0,0,1000000*N39/TrRoad_act!N71)</f>
        <v>17657.783465611876</v>
      </c>
      <c r="O128" s="101">
        <f>IF(O39=0,0,1000000*O39/TrRoad_act!O71)</f>
        <v>17557.660752140229</v>
      </c>
      <c r="P128" s="101">
        <f>IF(P39=0,0,1000000*P39/TrRoad_act!P71)</f>
        <v>17756.346790931242</v>
      </c>
      <c r="Q128" s="101">
        <f>IF(Q39=0,0,1000000*Q39/TrRoad_act!Q71)</f>
        <v>20316.031954106351</v>
      </c>
      <c r="R128" s="101">
        <f>IF(R39=0,0,1000000*R39/TrRoad_act!R71)</f>
        <v>32505.733767428352</v>
      </c>
      <c r="S128" s="101">
        <f>IF(S39=0,0,1000000*S39/TrRoad_act!S71)</f>
        <v>36415.394793498504</v>
      </c>
      <c r="T128" s="101">
        <f>IF(T39=0,0,1000000*T39/TrRoad_act!T71)</f>
        <v>26822.708299445079</v>
      </c>
      <c r="U128" s="101">
        <f>IF(U39=0,0,1000000*U39/TrRoad_act!U71)</f>
        <v>25022.694221742506</v>
      </c>
      <c r="V128" s="101">
        <f>IF(V39=0,0,1000000*V39/TrRoad_act!V71)</f>
        <v>20334.670706808767</v>
      </c>
      <c r="W128" s="101">
        <f>IF(W39=0,0,1000000*W39/TrRoad_act!W71)</f>
        <v>18822.623502206192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18141.233076029035</v>
      </c>
      <c r="C129" s="101">
        <f>IF(C41=0,0,1000000*C41/TrRoad_act!C72)</f>
        <v>18158.548594283893</v>
      </c>
      <c r="D129" s="101">
        <f>IF(D41=0,0,1000000*D41/TrRoad_act!D72)</f>
        <v>17603.082406005655</v>
      </c>
      <c r="E129" s="101">
        <f>IF(E41=0,0,1000000*E41/TrRoad_act!E72)</f>
        <v>17552.406875060191</v>
      </c>
      <c r="F129" s="101">
        <f>IF(F41=0,0,1000000*F41/TrRoad_act!F72)</f>
        <v>16793.731517818273</v>
      </c>
      <c r="G129" s="101">
        <f>IF(G41=0,0,1000000*G41/TrRoad_act!G72)</f>
        <v>16708.370721928022</v>
      </c>
      <c r="H129" s="101">
        <f>IF(H41=0,0,1000000*H41/TrRoad_act!H72)</f>
        <v>16674.981770911927</v>
      </c>
      <c r="I129" s="101">
        <f>IF(I41=0,0,1000000*I41/TrRoad_act!I72)</f>
        <v>16691.261062178415</v>
      </c>
      <c r="J129" s="101">
        <f>IF(J41=0,0,1000000*J41/TrRoad_act!J72)</f>
        <v>16483.945971565136</v>
      </c>
      <c r="K129" s="101">
        <f>IF(K41=0,0,1000000*K41/TrRoad_act!K72)</f>
        <v>16034.971855998889</v>
      </c>
      <c r="L129" s="101">
        <f>IF(L41=0,0,1000000*L41/TrRoad_act!L72)</f>
        <v>15500.912168585848</v>
      </c>
      <c r="M129" s="101">
        <f>IF(M41=0,0,1000000*M41/TrRoad_act!M72)</f>
        <v>15443.46359839951</v>
      </c>
      <c r="N129" s="101">
        <f>IF(N41=0,0,1000000*N41/TrRoad_act!N72)</f>
        <v>15425.236238938292</v>
      </c>
      <c r="O129" s="101">
        <f>IF(O41=0,0,1000000*O41/TrRoad_act!O72)</f>
        <v>14971.976795138038</v>
      </c>
      <c r="P129" s="101">
        <f>IF(P41=0,0,1000000*P41/TrRoad_act!P72)</f>
        <v>15021.808382379313</v>
      </c>
      <c r="Q129" s="101">
        <f>IF(Q41=0,0,1000000*Q41/TrRoad_act!Q72)</f>
        <v>15116.922877401383</v>
      </c>
      <c r="R129" s="101">
        <f>IF(R41=0,0,1000000*R41/TrRoad_act!R72)</f>
        <v>15535.673067182275</v>
      </c>
      <c r="S129" s="101">
        <f>IF(S41=0,0,1000000*S41/TrRoad_act!S72)</f>
        <v>15564.027909875756</v>
      </c>
      <c r="T129" s="101">
        <f>IF(T41=0,0,1000000*T41/TrRoad_act!T72)</f>
        <v>15575.112080874917</v>
      </c>
      <c r="U129" s="101">
        <f>IF(U41=0,0,1000000*U41/TrRoad_act!U72)</f>
        <v>15519.787599987585</v>
      </c>
      <c r="V129" s="101">
        <f>IF(V41=0,0,1000000*V41/TrRoad_act!V72)</f>
        <v>13726.277924466443</v>
      </c>
      <c r="W129" s="101">
        <f>IF(W41=0,0,1000000*W41/TrRoad_act!W72)</f>
        <v>15394.629253548554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2555.755153731217</v>
      </c>
      <c r="C131" s="152">
        <f>IF(C43=0,0,1000000*C43/TrRoad_act!C74)</f>
        <v>2440.9053127201023</v>
      </c>
      <c r="D131" s="152">
        <f>IF(D43=0,0,1000000*D43/TrRoad_act!D74)</f>
        <v>2370.1579091735634</v>
      </c>
      <c r="E131" s="152">
        <f>IF(E43=0,0,1000000*E43/TrRoad_act!E74)</f>
        <v>2347.6887641515073</v>
      </c>
      <c r="F131" s="152">
        <f>IF(F43=0,0,1000000*F43/TrRoad_act!F74)</f>
        <v>2371.2708165229224</v>
      </c>
      <c r="G131" s="152">
        <f>IF(G43=0,0,1000000*G43/TrRoad_act!G74)</f>
        <v>2320.2844705679254</v>
      </c>
      <c r="H131" s="152">
        <f>IF(H43=0,0,1000000*H43/TrRoad_act!H74)</f>
        <v>2382.776861530921</v>
      </c>
      <c r="I131" s="152">
        <f>IF(I43=0,0,1000000*I43/TrRoad_act!I74)</f>
        <v>2443.5629918146756</v>
      </c>
      <c r="J131" s="152">
        <f>IF(J43=0,0,1000000*J43/TrRoad_act!J74)</f>
        <v>2441.3869761963247</v>
      </c>
      <c r="K131" s="152">
        <f>IF(K43=0,0,1000000*K43/TrRoad_act!K74)</f>
        <v>2256.9527939687973</v>
      </c>
      <c r="L131" s="152">
        <f>IF(L43=0,0,1000000*L43/TrRoad_act!L74)</f>
        <v>2292.9864646322621</v>
      </c>
      <c r="M131" s="152">
        <f>IF(M43=0,0,1000000*M43/TrRoad_act!M74)</f>
        <v>2362.4193050371805</v>
      </c>
      <c r="N131" s="152">
        <f>IF(N43=0,0,1000000*N43/TrRoad_act!N74)</f>
        <v>2270.6754797514536</v>
      </c>
      <c r="O131" s="152">
        <f>IF(O43=0,0,1000000*O43/TrRoad_act!O74)</f>
        <v>2278.8402185302466</v>
      </c>
      <c r="P131" s="152">
        <f>IF(P43=0,0,1000000*P43/TrRoad_act!P74)</f>
        <v>2170.3088938045889</v>
      </c>
      <c r="Q131" s="152">
        <f>IF(Q43=0,0,1000000*Q43/TrRoad_act!Q74)</f>
        <v>2205.9738246480792</v>
      </c>
      <c r="R131" s="152">
        <f>IF(R43=0,0,1000000*R43/TrRoad_act!R74)</f>
        <v>2157.377246011778</v>
      </c>
      <c r="S131" s="152">
        <f>IF(S43=0,0,1000000*S43/TrRoad_act!S74)</f>
        <v>2083.3005554419497</v>
      </c>
      <c r="T131" s="152">
        <f>IF(T43=0,0,1000000*T43/TrRoad_act!T74)</f>
        <v>2010.9896420175601</v>
      </c>
      <c r="U131" s="152">
        <f>IF(U43=0,0,1000000*U43/TrRoad_act!U74)</f>
        <v>1923.1642332615907</v>
      </c>
      <c r="V131" s="152">
        <f>IF(V43=0,0,1000000*V43/TrRoad_act!V74)</f>
        <v>1808.4952197592686</v>
      </c>
      <c r="W131" s="152">
        <f>IF(W43=0,0,1000000*W43/TrRoad_act!W74)</f>
        <v>1823.1469841788494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1003.4796159965734</v>
      </c>
      <c r="C132" s="87">
        <f>IF(C44=0,0,1000000*C44/TrRoad_act!C75)</f>
        <v>995.41313251611928</v>
      </c>
      <c r="D132" s="87">
        <f>IF(D44=0,0,1000000*D44/TrRoad_act!D75)</f>
        <v>963.26731951196336</v>
      </c>
      <c r="E132" s="87">
        <f>IF(E44=0,0,1000000*E44/TrRoad_act!E75)</f>
        <v>949.68217114693459</v>
      </c>
      <c r="F132" s="87">
        <f>IF(F44=0,0,1000000*F44/TrRoad_act!F75)</f>
        <v>963.80235699096761</v>
      </c>
      <c r="G132" s="87">
        <f>IF(G44=0,0,1000000*G44/TrRoad_act!G75)</f>
        <v>953.47811147810125</v>
      </c>
      <c r="H132" s="87">
        <f>IF(H44=0,0,1000000*H44/TrRoad_act!H75)</f>
        <v>960.49868093613406</v>
      </c>
      <c r="I132" s="87">
        <f>IF(I44=0,0,1000000*I44/TrRoad_act!I75)</f>
        <v>1005.4527984623846</v>
      </c>
      <c r="J132" s="87">
        <f>IF(J44=0,0,1000000*J44/TrRoad_act!J75)</f>
        <v>1017.0202352992587</v>
      </c>
      <c r="K132" s="87">
        <f>IF(K44=0,0,1000000*K44/TrRoad_act!K75)</f>
        <v>976.4244481848076</v>
      </c>
      <c r="L132" s="87">
        <f>IF(L44=0,0,1000000*L44/TrRoad_act!L75)</f>
        <v>966.32748919188873</v>
      </c>
      <c r="M132" s="87">
        <f>IF(M44=0,0,1000000*M44/TrRoad_act!M75)</f>
        <v>957.79626029150199</v>
      </c>
      <c r="N132" s="87">
        <f>IF(N44=0,0,1000000*N44/TrRoad_act!N75)</f>
        <v>933.94047623532185</v>
      </c>
      <c r="O132" s="87">
        <f>IF(O44=0,0,1000000*O44/TrRoad_act!O75)</f>
        <v>929.67255217545471</v>
      </c>
      <c r="P132" s="87">
        <f>IF(P44=0,0,1000000*P44/TrRoad_act!P75)</f>
        <v>925.62545709203505</v>
      </c>
      <c r="Q132" s="87">
        <f>IF(Q44=0,0,1000000*Q44/TrRoad_act!Q75)</f>
        <v>913.28645149707143</v>
      </c>
      <c r="R132" s="87">
        <f>IF(R44=0,0,1000000*R44/TrRoad_act!R75)</f>
        <v>879.24594318804145</v>
      </c>
      <c r="S132" s="87">
        <f>IF(S44=0,0,1000000*S44/TrRoad_act!S75)</f>
        <v>836.80534957318446</v>
      </c>
      <c r="T132" s="87">
        <f>IF(T44=0,0,1000000*T44/TrRoad_act!T75)</f>
        <v>808.10301262688779</v>
      </c>
      <c r="U132" s="87">
        <f>IF(U44=0,0,1000000*U44/TrRoad_act!U75)</f>
        <v>760.17036428203414</v>
      </c>
      <c r="V132" s="87">
        <f>IF(V44=0,0,1000000*V44/TrRoad_act!V75)</f>
        <v>707.38881351807095</v>
      </c>
      <c r="W132" s="87">
        <f>IF(W44=0,0,1000000*W44/TrRoad_act!W75)</f>
        <v>688.83545479634734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2765.3674386002435</v>
      </c>
      <c r="C133" s="87">
        <f>IF(C46=0,0,1000000*C46/TrRoad_act!C76)</f>
        <v>2602.955745781253</v>
      </c>
      <c r="D133" s="87">
        <f>IF(D46=0,0,1000000*D46/TrRoad_act!D76)</f>
        <v>2506.2136946185019</v>
      </c>
      <c r="E133" s="87">
        <f>IF(E46=0,0,1000000*E46/TrRoad_act!E76)</f>
        <v>2465.2618758298399</v>
      </c>
      <c r="F133" s="87">
        <f>IF(F46=0,0,1000000*F46/TrRoad_act!F76)</f>
        <v>2474.6781204219751</v>
      </c>
      <c r="G133" s="87">
        <f>IF(G46=0,0,1000000*G46/TrRoad_act!G76)</f>
        <v>2411.2484285677242</v>
      </c>
      <c r="H133" s="87">
        <f>IF(H46=0,0,1000000*H46/TrRoad_act!H76)</f>
        <v>2470.1994621756098</v>
      </c>
      <c r="I133" s="87">
        <f>IF(I46=0,0,1000000*I46/TrRoad_act!I76)</f>
        <v>2523.5791208184005</v>
      </c>
      <c r="J133" s="87">
        <f>IF(J46=0,0,1000000*J46/TrRoad_act!J76)</f>
        <v>2514.3770831932097</v>
      </c>
      <c r="K133" s="87">
        <f>IF(K46=0,0,1000000*K46/TrRoad_act!K76)</f>
        <v>2317.7762282805588</v>
      </c>
      <c r="L133" s="87">
        <f>IF(L46=0,0,1000000*L46/TrRoad_act!L76)</f>
        <v>2353.9958675511111</v>
      </c>
      <c r="M133" s="87">
        <f>IF(M46=0,0,1000000*M46/TrRoad_act!M76)</f>
        <v>2426.3069859717284</v>
      </c>
      <c r="N133" s="87">
        <f>IF(N46=0,0,1000000*N46/TrRoad_act!N76)</f>
        <v>2330.2596611950571</v>
      </c>
      <c r="O133" s="87">
        <f>IF(O46=0,0,1000000*O46/TrRoad_act!O76)</f>
        <v>2337.5240793641997</v>
      </c>
      <c r="P133" s="87">
        <f>IF(P46=0,0,1000000*P46/TrRoad_act!P76)</f>
        <v>2223.5259515155931</v>
      </c>
      <c r="Q133" s="87">
        <f>IF(Q46=0,0,1000000*Q46/TrRoad_act!Q76)</f>
        <v>2261.2861057782675</v>
      </c>
      <c r="R133" s="87">
        <f>IF(R46=0,0,1000000*R46/TrRoad_act!R76)</f>
        <v>2210.3698113457954</v>
      </c>
      <c r="S133" s="87">
        <f>IF(S46=0,0,1000000*S46/TrRoad_act!S76)</f>
        <v>2136.3849351059316</v>
      </c>
      <c r="T133" s="87">
        <f>IF(T46=0,0,1000000*T46/TrRoad_act!T76)</f>
        <v>2066.0280670844936</v>
      </c>
      <c r="U133" s="87">
        <f>IF(U46=0,0,1000000*U46/TrRoad_act!U76)</f>
        <v>1989.1381874902324</v>
      </c>
      <c r="V133" s="87">
        <f>IF(V46=0,0,1000000*V46/TrRoad_act!V76)</f>
        <v>1875.586257090823</v>
      </c>
      <c r="W133" s="87">
        <f>IF(W46=0,0,1000000*W46/TrRoad_act!W76)</f>
        <v>1895.421950642555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1906.9758425786181</v>
      </c>
      <c r="C134" s="87">
        <f>IF(C48=0,0,1000000*C48/TrRoad_act!C77)</f>
        <v>1890.3085794399285</v>
      </c>
      <c r="D134" s="87">
        <f>IF(D48=0,0,1000000*D48/TrRoad_act!D77)</f>
        <v>1829.257659647933</v>
      </c>
      <c r="E134" s="87">
        <f>IF(E48=0,0,1000000*E48/TrRoad_act!E77)</f>
        <v>1803.4284379104415</v>
      </c>
      <c r="F134" s="87">
        <f>IF(F48=0,0,1000000*F48/TrRoad_act!F77)</f>
        <v>1830.1945772342001</v>
      </c>
      <c r="G134" s="87">
        <f>IF(G48=0,0,1000000*G48/TrRoad_act!G77)</f>
        <v>1810.4322890126848</v>
      </c>
      <c r="H134" s="87">
        <f>IF(H48=0,0,1000000*H48/TrRoad_act!H77)</f>
        <v>1823.6610673753316</v>
      </c>
      <c r="I134" s="87">
        <f>IF(I48=0,0,1000000*I48/TrRoad_act!I77)</f>
        <v>1908.9600556798491</v>
      </c>
      <c r="J134" s="87">
        <f>IF(J48=0,0,1000000*J48/TrRoad_act!J77)</f>
        <v>1930.9203509995234</v>
      </c>
      <c r="K134" s="87">
        <f>IF(K48=0,0,1000000*K48/TrRoad_act!K77)</f>
        <v>1866.6706024021973</v>
      </c>
      <c r="L134" s="87">
        <f>IF(L48=0,0,1000000*L48/TrRoad_act!L77)</f>
        <v>1859.8038283831709</v>
      </c>
      <c r="M134" s="87">
        <f>IF(M48=0,0,1000000*M48/TrRoad_act!M77)</f>
        <v>1852.7859297979867</v>
      </c>
      <c r="N134" s="87">
        <f>IF(N48=0,0,1000000*N48/TrRoad_act!N77)</f>
        <v>1823.055447196765</v>
      </c>
      <c r="O134" s="87">
        <f>IF(O48=0,0,1000000*O48/TrRoad_act!O77)</f>
        <v>1826.9973527757872</v>
      </c>
      <c r="P134" s="87">
        <f>IF(P48=0,0,1000000*P48/TrRoad_act!P77)</f>
        <v>1855.4322989301099</v>
      </c>
      <c r="Q134" s="87">
        <f>IF(Q48=0,0,1000000*Q48/TrRoad_act!Q77)</f>
        <v>1868.3691684569706</v>
      </c>
      <c r="R134" s="87">
        <f>IF(R48=0,0,1000000*R48/TrRoad_act!R77)</f>
        <v>1831.2173334253996</v>
      </c>
      <c r="S134" s="87">
        <f>IF(S48=0,0,1000000*S48/TrRoad_act!S77)</f>
        <v>1770.1348869736039</v>
      </c>
      <c r="T134" s="87">
        <f>IF(T48=0,0,1000000*T48/TrRoad_act!T77)</f>
        <v>1618.9818479342048</v>
      </c>
      <c r="U134" s="87">
        <f>IF(U48=0,0,1000000*U48/TrRoad_act!U77)</f>
        <v>1330.8687727107815</v>
      </c>
      <c r="V134" s="87">
        <f>IF(V48=0,0,1000000*V48/TrRoad_act!V77)</f>
        <v>1246.6989311922803</v>
      </c>
      <c r="W134" s="87">
        <f>IF(W48=0,0,1000000*W48/TrRoad_act!W77)</f>
        <v>1230.4386635038652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1662.740091459352</v>
      </c>
      <c r="F135" s="87">
        <f>IF(F49=0,0,1000000*F49/TrRoad_act!F78)</f>
        <v>1661.7832934556275</v>
      </c>
      <c r="G135" s="87">
        <f>IF(G49=0,0,1000000*G49/TrRoad_act!G78)</f>
        <v>1611.8037366845206</v>
      </c>
      <c r="H135" s="87">
        <f>IF(H49=0,0,1000000*H49/TrRoad_act!H78)</f>
        <v>1591.5722310783324</v>
      </c>
      <c r="I135" s="87">
        <f>IF(I49=0,0,1000000*I49/TrRoad_act!I78)</f>
        <v>1622.4367619475363</v>
      </c>
      <c r="J135" s="87">
        <f>IF(J49=0,0,1000000*J49/TrRoad_act!J78)</f>
        <v>1641.102416659872</v>
      </c>
      <c r="K135" s="87">
        <f>IF(K49=0,0,1000000*K49/TrRoad_act!K78)</f>
        <v>1502.8204117653875</v>
      </c>
      <c r="L135" s="87">
        <f>IF(L49=0,0,1000000*L49/TrRoad_act!L78)</f>
        <v>1476.653657445846</v>
      </c>
      <c r="M135" s="87">
        <f>IF(M49=0,0,1000000*M49/TrRoad_act!M78)</f>
        <v>1445.5265031714055</v>
      </c>
      <c r="N135" s="87">
        <f>IF(N49=0,0,1000000*N49/TrRoad_act!N78)</f>
        <v>1375.98705770587</v>
      </c>
      <c r="O135" s="87">
        <f>IF(O49=0,0,1000000*O49/TrRoad_act!O78)</f>
        <v>1350.4374725003008</v>
      </c>
      <c r="P135" s="87">
        <f>IF(P49=0,0,1000000*P49/TrRoad_act!P78)</f>
        <v>1352.6964833767845</v>
      </c>
      <c r="Q135" s="87">
        <f>IF(Q49=0,0,1000000*Q49/TrRoad_act!Q78)</f>
        <v>1357.5422332198593</v>
      </c>
      <c r="R135" s="87">
        <f>IF(R49=0,0,1000000*R49/TrRoad_act!R78)</f>
        <v>1340.7395920654133</v>
      </c>
      <c r="S135" s="87">
        <f>IF(S49=0,0,1000000*S49/TrRoad_act!S78)</f>
        <v>1355.9031480480473</v>
      </c>
      <c r="T135" s="87">
        <f>IF(T49=0,0,1000000*T49/TrRoad_act!T78)</f>
        <v>1300.7349310525558</v>
      </c>
      <c r="U135" s="87">
        <f>IF(U49=0,0,1000000*U49/TrRoad_act!U78)</f>
        <v>1294.3990122368084</v>
      </c>
      <c r="V135" s="87">
        <f>IF(V49=0,0,1000000*V49/TrRoad_act!V78)</f>
        <v>1245.4908785390221</v>
      </c>
      <c r="W135" s="87">
        <f>IF(W49=0,0,1000000*W49/TrRoad_act!W78)</f>
        <v>1270.1448993115785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218.73109432938588</v>
      </c>
      <c r="N136" s="87">
        <f>IF(N51=0,0,1000000*N51/TrRoad_act!N79)</f>
        <v>219.98107445570361</v>
      </c>
      <c r="O136" s="87">
        <f>IF(O51=0,0,1000000*O51/TrRoad_act!O79)</f>
        <v>221.02357761368808</v>
      </c>
      <c r="P136" s="87">
        <f>IF(P51=0,0,1000000*P51/TrRoad_act!P79)</f>
        <v>230.28459003876085</v>
      </c>
      <c r="Q136" s="87">
        <f>IF(Q51=0,0,1000000*Q51/TrRoad_act!Q79)</f>
        <v>234.31938873685061</v>
      </c>
      <c r="R136" s="87">
        <f>IF(R51=0,0,1000000*R51/TrRoad_act!R79)</f>
        <v>238.45297934706255</v>
      </c>
      <c r="S136" s="87">
        <f>IF(S51=0,0,1000000*S51/TrRoad_act!S79)</f>
        <v>238.44529974619823</v>
      </c>
      <c r="T136" s="87">
        <f>IF(T51=0,0,1000000*T51/TrRoad_act!T79)</f>
        <v>256.98917320482195</v>
      </c>
      <c r="U136" s="87">
        <f>IF(U51=0,0,1000000*U51/TrRoad_act!U79)</f>
        <v>283.27398219451436</v>
      </c>
      <c r="V136" s="87">
        <f>IF(V51=0,0,1000000*V51/TrRoad_act!V79)</f>
        <v>300.26567884647011</v>
      </c>
      <c r="W136" s="87">
        <f>IF(W51=0,0,1000000*W51/TrRoad_act!W79)</f>
        <v>337.85262456437562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18711.63454860932</v>
      </c>
      <c r="C137" s="116">
        <f>IF(C52=0,0,1000000*C52/TrRoad_act!C80)</f>
        <v>17802.899921165154</v>
      </c>
      <c r="D137" s="116">
        <f>IF(D52=0,0,1000000*D52/TrRoad_act!D80)</f>
        <v>18417.619911989092</v>
      </c>
      <c r="E137" s="116">
        <f>IF(E52=0,0,1000000*E52/TrRoad_act!E80)</f>
        <v>19398.601766878735</v>
      </c>
      <c r="F137" s="116">
        <f>IF(F52=0,0,1000000*F52/TrRoad_act!F80)</f>
        <v>22840.323821467126</v>
      </c>
      <c r="G137" s="116">
        <f>IF(G52=0,0,1000000*G52/TrRoad_act!G80)</f>
        <v>22472.216509933965</v>
      </c>
      <c r="H137" s="116">
        <f>IF(H52=0,0,1000000*H52/TrRoad_act!H80)</f>
        <v>24533.19100025373</v>
      </c>
      <c r="I137" s="116">
        <f>IF(I52=0,0,1000000*I52/TrRoad_act!I80)</f>
        <v>22748.143934662494</v>
      </c>
      <c r="J137" s="116">
        <f>IF(J52=0,0,1000000*J52/TrRoad_act!J80)</f>
        <v>22988.143760193394</v>
      </c>
      <c r="K137" s="116">
        <f>IF(K52=0,0,1000000*K52/TrRoad_act!K80)</f>
        <v>20042.429598405088</v>
      </c>
      <c r="L137" s="116">
        <f>IF(L52=0,0,1000000*L52/TrRoad_act!L80)</f>
        <v>20355.534147092698</v>
      </c>
      <c r="M137" s="116">
        <f>IF(M52=0,0,1000000*M52/TrRoad_act!M80)</f>
        <v>21526.997998699338</v>
      </c>
      <c r="N137" s="116">
        <f>IF(N52=0,0,1000000*N52/TrRoad_act!N80)</f>
        <v>20657.317461013547</v>
      </c>
      <c r="O137" s="116">
        <f>IF(O52=0,0,1000000*O52/TrRoad_act!O80)</f>
        <v>18512.117729473543</v>
      </c>
      <c r="P137" s="116">
        <f>IF(P52=0,0,1000000*P52/TrRoad_act!P80)</f>
        <v>14362.369102195184</v>
      </c>
      <c r="Q137" s="116">
        <f>IF(Q52=0,0,1000000*Q52/TrRoad_act!Q80)</f>
        <v>14244.845769233532</v>
      </c>
      <c r="R137" s="116">
        <f>IF(R52=0,0,1000000*R52/TrRoad_act!R80)</f>
        <v>13328.9500484336</v>
      </c>
      <c r="S137" s="116">
        <f>IF(S52=0,0,1000000*S52/TrRoad_act!S80)</f>
        <v>15461.470449338045</v>
      </c>
      <c r="T137" s="116">
        <f>IF(T52=0,0,1000000*T52/TrRoad_act!T80)</f>
        <v>17534.245877596655</v>
      </c>
      <c r="U137" s="116">
        <f>IF(U52=0,0,1000000*U52/TrRoad_act!U80)</f>
        <v>17116.906281755681</v>
      </c>
      <c r="V137" s="116">
        <f>IF(V52=0,0,1000000*V52/TrRoad_act!V80)</f>
        <v>15268.339729095733</v>
      </c>
      <c r="W137" s="116">
        <f>IF(W52=0,0,1000000*W52/TrRoad_act!W80)</f>
        <v>14105.668961103605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16911.021499548922</v>
      </c>
      <c r="C138" s="101">
        <f>IF(C53=0,0,1000000*C53/TrRoad_act!C81)</f>
        <v>15920.696939595879</v>
      </c>
      <c r="D138" s="101">
        <f>IF(D53=0,0,1000000*D53/TrRoad_act!D81)</f>
        <v>16557.593582172311</v>
      </c>
      <c r="E138" s="101">
        <f>IF(E53=0,0,1000000*E53/TrRoad_act!E81)</f>
        <v>17571.110306589464</v>
      </c>
      <c r="F138" s="101">
        <f>IF(F53=0,0,1000000*F53/TrRoad_act!F81)</f>
        <v>20809.384711638944</v>
      </c>
      <c r="G138" s="101">
        <f>IF(G53=0,0,1000000*G53/TrRoad_act!G81)</f>
        <v>20340.964188451027</v>
      </c>
      <c r="H138" s="101">
        <f>IF(H53=0,0,1000000*H53/TrRoad_act!H81)</f>
        <v>22150.189023790081</v>
      </c>
      <c r="I138" s="101">
        <f>IF(I53=0,0,1000000*I53/TrRoad_act!I81)</f>
        <v>20001.612591354107</v>
      </c>
      <c r="J138" s="101">
        <f>IF(J53=0,0,1000000*J53/TrRoad_act!J81)</f>
        <v>20186.46636812028</v>
      </c>
      <c r="K138" s="101">
        <f>IF(K53=0,0,1000000*K53/TrRoad_act!K81)</f>
        <v>17570.994568285154</v>
      </c>
      <c r="L138" s="101">
        <f>IF(L53=0,0,1000000*L53/TrRoad_act!L81)</f>
        <v>17010.829183939291</v>
      </c>
      <c r="M138" s="101">
        <f>IF(M53=0,0,1000000*M53/TrRoad_act!M81)</f>
        <v>18232.184412151542</v>
      </c>
      <c r="N138" s="101">
        <f>IF(N53=0,0,1000000*N53/TrRoad_act!N81)</f>
        <v>17243.910087950164</v>
      </c>
      <c r="O138" s="101">
        <f>IF(O53=0,0,1000000*O53/TrRoad_act!O81)</f>
        <v>15566.954132648179</v>
      </c>
      <c r="P138" s="101">
        <f>IF(P53=0,0,1000000*P53/TrRoad_act!P81)</f>
        <v>12117.936109858665</v>
      </c>
      <c r="Q138" s="101">
        <f>IF(Q53=0,0,1000000*Q53/TrRoad_act!Q81)</f>
        <v>12022.708701839929</v>
      </c>
      <c r="R138" s="101">
        <f>IF(R53=0,0,1000000*R53/TrRoad_act!R81)</f>
        <v>11177.445958293942</v>
      </c>
      <c r="S138" s="101">
        <f>IF(S53=0,0,1000000*S53/TrRoad_act!S81)</f>
        <v>12692.509885404077</v>
      </c>
      <c r="T138" s="101">
        <f>IF(T53=0,0,1000000*T53/TrRoad_act!T81)</f>
        <v>14454.771410371131</v>
      </c>
      <c r="U138" s="101">
        <f>IF(U53=0,0,1000000*U53/TrRoad_act!U81)</f>
        <v>13944.978493205481</v>
      </c>
      <c r="V138" s="101">
        <f>IF(V53=0,0,1000000*V53/TrRoad_act!V81)</f>
        <v>12432.682036826702</v>
      </c>
      <c r="W138" s="101">
        <f>IF(W53=0,0,1000000*W53/TrRoad_act!W81)</f>
        <v>11660.117587298244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36083.59428577769</v>
      </c>
      <c r="C139" s="88">
        <f>IF(C55=0,0,1000000*C55/TrRoad_act!C82)</f>
        <v>35237.991386723137</v>
      </c>
      <c r="D139" s="88">
        <f>IF(D55=0,0,1000000*D55/TrRoad_act!D82)</f>
        <v>34763.539951141509</v>
      </c>
      <c r="E139" s="88">
        <f>IF(E55=0,0,1000000*E55/TrRoad_act!E82)</f>
        <v>34814.644813558203</v>
      </c>
      <c r="F139" s="88">
        <f>IF(F55=0,0,1000000*F55/TrRoad_act!F82)</f>
        <v>34917.766439597799</v>
      </c>
      <c r="G139" s="88">
        <f>IF(G55=0,0,1000000*G55/TrRoad_act!G82)</f>
        <v>34959.41053537275</v>
      </c>
      <c r="H139" s="88">
        <f>IF(H55=0,0,1000000*H55/TrRoad_act!H82)</f>
        <v>37468.696643587733</v>
      </c>
      <c r="I139" s="88">
        <f>IF(I55=0,0,1000000*I55/TrRoad_act!I82)</f>
        <v>38977.010891044374</v>
      </c>
      <c r="J139" s="88">
        <f>IF(J55=0,0,1000000*J55/TrRoad_act!J82)</f>
        <v>39189.53479846954</v>
      </c>
      <c r="K139" s="88">
        <f>IF(K55=0,0,1000000*K55/TrRoad_act!K82)</f>
        <v>36496.101907813725</v>
      </c>
      <c r="L139" s="88">
        <f>IF(L55=0,0,1000000*L55/TrRoad_act!L82)</f>
        <v>41496.753041857599</v>
      </c>
      <c r="M139" s="88">
        <f>IF(M55=0,0,1000000*M55/TrRoad_act!M82)</f>
        <v>42181.059596655141</v>
      </c>
      <c r="N139" s="88">
        <f>IF(N55=0,0,1000000*N55/TrRoad_act!N82)</f>
        <v>42857.067981271364</v>
      </c>
      <c r="O139" s="88">
        <f>IF(O55=0,0,1000000*O55/TrRoad_act!O82)</f>
        <v>36765.295987074394</v>
      </c>
      <c r="P139" s="88">
        <f>IF(P55=0,0,1000000*P55/TrRoad_act!P82)</f>
        <v>27571.118047562588</v>
      </c>
      <c r="Q139" s="88">
        <f>IF(Q55=0,0,1000000*Q55/TrRoad_act!Q82)</f>
        <v>27149.94876122029</v>
      </c>
      <c r="R139" s="88">
        <f>IF(R55=0,0,1000000*R55/TrRoad_act!R82)</f>
        <v>25511.028854765162</v>
      </c>
      <c r="S139" s="88">
        <f>IF(S55=0,0,1000000*S55/TrRoad_act!S82)</f>
        <v>31282.175931901184</v>
      </c>
      <c r="T139" s="88">
        <f>IF(T55=0,0,1000000*T55/TrRoad_act!T82)</f>
        <v>35930.727642890568</v>
      </c>
      <c r="U139" s="88">
        <f>IF(U55=0,0,1000000*U55/TrRoad_act!U82)</f>
        <v>36402.753697184635</v>
      </c>
      <c r="V139" s="88">
        <f>IF(V55=0,0,1000000*V55/TrRoad_act!V82)</f>
        <v>31890.557095506301</v>
      </c>
      <c r="W139" s="88">
        <f>IF(W55=0,0,1000000*W55/TrRoad_act!W82)</f>
        <v>28398.399196121351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0.61717991403782535</v>
      </c>
      <c r="C142" s="46">
        <f t="shared" si="41"/>
        <v>0.61713884089691728</v>
      </c>
      <c r="D142" s="46">
        <f t="shared" si="41"/>
        <v>0.61392728597825363</v>
      </c>
      <c r="E142" s="46">
        <f t="shared" si="41"/>
        <v>0.60592966477743004</v>
      </c>
      <c r="F142" s="46">
        <f t="shared" si="41"/>
        <v>0.59844757584852948</v>
      </c>
      <c r="G142" s="46">
        <f t="shared" si="41"/>
        <v>0.59759739825875025</v>
      </c>
      <c r="H142" s="46">
        <f t="shared" si="41"/>
        <v>0.59413945055241213</v>
      </c>
      <c r="I142" s="46">
        <f t="shared" si="41"/>
        <v>0.5946374726077025</v>
      </c>
      <c r="J142" s="46">
        <f t="shared" si="41"/>
        <v>0.59352481094251219</v>
      </c>
      <c r="K142" s="46">
        <f t="shared" si="41"/>
        <v>0.61240758467772705</v>
      </c>
      <c r="L142" s="46">
        <f t="shared" ref="L142" si="42">IF(L18=0,0,L18/L$17)</f>
        <v>0.60688802123534369</v>
      </c>
      <c r="M142" s="46">
        <f t="shared" ref="M142:V142" si="43">IF(M18=0,0,M18/M$17)</f>
        <v>0.600412521341254</v>
      </c>
      <c r="N142" s="46">
        <f t="shared" si="43"/>
        <v>0.59989512392844291</v>
      </c>
      <c r="O142" s="46">
        <f t="shared" si="43"/>
        <v>0.61488117990095026</v>
      </c>
      <c r="P142" s="46">
        <f t="shared" si="43"/>
        <v>0.64415718038895098</v>
      </c>
      <c r="Q142" s="46">
        <f t="shared" si="43"/>
        <v>0.64076296988501225</v>
      </c>
      <c r="R142" s="46">
        <f t="shared" si="43"/>
        <v>0.64360306340137186</v>
      </c>
      <c r="S142" s="46">
        <f t="shared" si="43"/>
        <v>0.62859504420995493</v>
      </c>
      <c r="T142" s="46">
        <f t="shared" si="43"/>
        <v>0.61169759765134823</v>
      </c>
      <c r="U142" s="46">
        <f t="shared" si="43"/>
        <v>0.60624117052909254</v>
      </c>
      <c r="V142" s="46">
        <f t="shared" si="43"/>
        <v>0.57325188336941546</v>
      </c>
      <c r="W142" s="46">
        <f t="shared" ref="W142" si="44">IF(W18=0,0,W18/W$17)</f>
        <v>0.59697672666950352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1.2887224717791929E-2</v>
      </c>
      <c r="C143" s="154">
        <f t="shared" si="45"/>
        <v>1.3278750321407492E-2</v>
      </c>
      <c r="D143" s="154">
        <f t="shared" si="45"/>
        <v>1.3323939602148314E-2</v>
      </c>
      <c r="E143" s="154">
        <f t="shared" si="45"/>
        <v>1.3270750287544696E-2</v>
      </c>
      <c r="F143" s="154">
        <f t="shared" si="45"/>
        <v>1.2393149929192791E-2</v>
      </c>
      <c r="G143" s="154">
        <f t="shared" si="45"/>
        <v>1.2669394999097614E-2</v>
      </c>
      <c r="H143" s="154">
        <f t="shared" si="45"/>
        <v>1.2834616636457538E-2</v>
      </c>
      <c r="I143" s="154">
        <f t="shared" si="45"/>
        <v>1.3282475813591692E-2</v>
      </c>
      <c r="J143" s="154">
        <f t="shared" si="45"/>
        <v>1.3986647613233009E-2</v>
      </c>
      <c r="K143" s="154">
        <f t="shared" si="45"/>
        <v>1.4779858999949758E-2</v>
      </c>
      <c r="L143" s="154">
        <f t="shared" ref="L143" si="46">IF(L19=0,0,L19/L$17)</f>
        <v>1.4823941959632797E-2</v>
      </c>
      <c r="M143" s="154">
        <f t="shared" ref="M143:V143" si="47">IF(M19=0,0,M19/M$17)</f>
        <v>1.4841769684874023E-2</v>
      </c>
      <c r="N143" s="154">
        <f t="shared" si="47"/>
        <v>1.4951807150657479E-2</v>
      </c>
      <c r="O143" s="154">
        <f t="shared" si="47"/>
        <v>1.5431860683487095E-2</v>
      </c>
      <c r="P143" s="154">
        <f t="shared" si="47"/>
        <v>1.5926922386545563E-2</v>
      </c>
      <c r="Q143" s="154">
        <f t="shared" si="47"/>
        <v>1.6094699281457889E-2</v>
      </c>
      <c r="R143" s="154">
        <f t="shared" si="47"/>
        <v>1.6165277208140569E-2</v>
      </c>
      <c r="S143" s="154">
        <f t="shared" si="47"/>
        <v>1.4526181288375777E-2</v>
      </c>
      <c r="T143" s="154">
        <f t="shared" si="47"/>
        <v>1.405392156449977E-2</v>
      </c>
      <c r="U143" s="154">
        <f t="shared" si="47"/>
        <v>1.413751488812025E-2</v>
      </c>
      <c r="V143" s="154">
        <f t="shared" si="47"/>
        <v>1.5154287410809271E-2</v>
      </c>
      <c r="W143" s="154">
        <f t="shared" ref="W143" si="48">IF(W19=0,0,W19/W$17)</f>
        <v>1.4386202204658154E-2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0.56867356618816967</v>
      </c>
      <c r="C144" s="156">
        <f t="shared" si="49"/>
        <v>0.56958390867111275</v>
      </c>
      <c r="D144" s="156">
        <f t="shared" si="49"/>
        <v>0.56746903444988384</v>
      </c>
      <c r="E144" s="156">
        <f t="shared" si="49"/>
        <v>0.5608810041992226</v>
      </c>
      <c r="F144" s="156">
        <f t="shared" si="49"/>
        <v>0.55545207188879997</v>
      </c>
      <c r="G144" s="156">
        <f t="shared" si="49"/>
        <v>0.55452793315408522</v>
      </c>
      <c r="H144" s="156">
        <f t="shared" si="49"/>
        <v>0.55210281032990383</v>
      </c>
      <c r="I144" s="156">
        <f t="shared" si="49"/>
        <v>0.55249810907839192</v>
      </c>
      <c r="J144" s="156">
        <f t="shared" si="49"/>
        <v>0.54987737306842466</v>
      </c>
      <c r="K144" s="156">
        <f t="shared" si="49"/>
        <v>0.56588243519009307</v>
      </c>
      <c r="L144" s="156">
        <f t="shared" ref="L144" si="50">IF(L21=0,0,L21/L$17)</f>
        <v>0.55890465267632705</v>
      </c>
      <c r="M144" s="156">
        <f t="shared" ref="M144:V144" si="51">IF(M21=0,0,M21/M$17)</f>
        <v>0.55332422024903971</v>
      </c>
      <c r="N144" s="156">
        <f t="shared" si="51"/>
        <v>0.55220143594971005</v>
      </c>
      <c r="O144" s="156">
        <f t="shared" si="51"/>
        <v>0.56627735302233295</v>
      </c>
      <c r="P144" s="156">
        <f t="shared" si="51"/>
        <v>0.5936920854756389</v>
      </c>
      <c r="Q144" s="156">
        <f t="shared" si="51"/>
        <v>0.59099922291551565</v>
      </c>
      <c r="R144" s="156">
        <f t="shared" si="51"/>
        <v>0.59332896623077902</v>
      </c>
      <c r="S144" s="156">
        <f t="shared" si="51"/>
        <v>0.57858413475259762</v>
      </c>
      <c r="T144" s="156">
        <f t="shared" si="51"/>
        <v>0.56547380383588031</v>
      </c>
      <c r="U144" s="156">
        <f t="shared" si="51"/>
        <v>0.56163378142684184</v>
      </c>
      <c r="V144" s="156">
        <f t="shared" si="51"/>
        <v>0.52942051791946088</v>
      </c>
      <c r="W144" s="156">
        <f t="shared" ref="W144" si="52">IF(W21=0,0,W21/W$17)</f>
        <v>0.55668989172681782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0.36858971347697184</v>
      </c>
      <c r="C145" s="103">
        <f t="shared" si="53"/>
        <v>0.37484125922666761</v>
      </c>
      <c r="D145" s="103">
        <f t="shared" si="53"/>
        <v>0.3710310167548263</v>
      </c>
      <c r="E145" s="103">
        <f t="shared" si="53"/>
        <v>0.36694604626093452</v>
      </c>
      <c r="F145" s="103">
        <f t="shared" si="53"/>
        <v>0.35815193065416107</v>
      </c>
      <c r="G145" s="103">
        <f t="shared" si="53"/>
        <v>0.35295898360882549</v>
      </c>
      <c r="H145" s="103">
        <f t="shared" si="53"/>
        <v>0.34915684313944695</v>
      </c>
      <c r="I145" s="103">
        <f t="shared" si="53"/>
        <v>0.35076366710757911</v>
      </c>
      <c r="J145" s="103">
        <f t="shared" si="53"/>
        <v>0.34678450613758777</v>
      </c>
      <c r="K145" s="103">
        <f t="shared" si="53"/>
        <v>0.35962944520625661</v>
      </c>
      <c r="L145" s="103">
        <f t="shared" ref="L145" si="54">IF(L22=0,0,L22/L$17)</f>
        <v>0.35922934822613606</v>
      </c>
      <c r="M145" s="103">
        <f t="shared" ref="M145:V145" si="55">IF(M22=0,0,M22/M$17)</f>
        <v>0.36133453370445068</v>
      </c>
      <c r="N145" s="103">
        <f t="shared" si="55"/>
        <v>0.35893795228823389</v>
      </c>
      <c r="O145" s="103">
        <f t="shared" si="55"/>
        <v>0.36826219566537632</v>
      </c>
      <c r="P145" s="103">
        <f t="shared" si="55"/>
        <v>0.38742139984448748</v>
      </c>
      <c r="Q145" s="103">
        <f t="shared" si="55"/>
        <v>0.39269208049324422</v>
      </c>
      <c r="R145" s="103">
        <f t="shared" si="55"/>
        <v>0.40252854742597838</v>
      </c>
      <c r="S145" s="103">
        <f t="shared" si="55"/>
        <v>0.40266147303608923</v>
      </c>
      <c r="T145" s="103">
        <f t="shared" si="55"/>
        <v>0.40352973547620086</v>
      </c>
      <c r="U145" s="103">
        <f t="shared" si="55"/>
        <v>0.413083714268351</v>
      </c>
      <c r="V145" s="103">
        <f t="shared" si="55"/>
        <v>0.40783051226792094</v>
      </c>
      <c r="W145" s="103">
        <f t="shared" ref="W145" si="56">IF(W22=0,0,W22/W$17)</f>
        <v>0.41313121323366825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0.14566221008637859</v>
      </c>
      <c r="C146" s="103">
        <f t="shared" si="57"/>
        <v>0.1449036553616963</v>
      </c>
      <c r="D146" s="103">
        <f t="shared" si="57"/>
        <v>0.14928790675512232</v>
      </c>
      <c r="E146" s="103">
        <f t="shared" si="57"/>
        <v>0.15374390719421765</v>
      </c>
      <c r="F146" s="103">
        <f t="shared" si="57"/>
        <v>0.15790299326484453</v>
      </c>
      <c r="G146" s="103">
        <f t="shared" si="57"/>
        <v>0.16385327647981765</v>
      </c>
      <c r="H146" s="103">
        <f t="shared" si="57"/>
        <v>0.1676275733781846</v>
      </c>
      <c r="I146" s="103">
        <f t="shared" si="57"/>
        <v>0.1727142317896587</v>
      </c>
      <c r="J146" s="103">
        <f t="shared" si="57"/>
        <v>0.17388757431383894</v>
      </c>
      <c r="K146" s="103">
        <f t="shared" si="57"/>
        <v>0.17606788034196191</v>
      </c>
      <c r="L146" s="103">
        <f t="shared" ref="L146" si="58">IF(L24=0,0,L24/L$17)</f>
        <v>0.17159383450182955</v>
      </c>
      <c r="M146" s="103">
        <f t="shared" ref="M146:V146" si="59">IF(M24=0,0,M24/M$17)</f>
        <v>0.16708889165234256</v>
      </c>
      <c r="N146" s="103">
        <f t="shared" si="59"/>
        <v>0.16693966219003981</v>
      </c>
      <c r="O146" s="103">
        <f t="shared" si="59"/>
        <v>0.17145346509396175</v>
      </c>
      <c r="P146" s="103">
        <f t="shared" si="59"/>
        <v>0.18352885845798098</v>
      </c>
      <c r="Q146" s="103">
        <f t="shared" si="59"/>
        <v>0.17728578127270686</v>
      </c>
      <c r="R146" s="103">
        <f t="shared" si="59"/>
        <v>0.17129994110724905</v>
      </c>
      <c r="S146" s="103">
        <f t="shared" si="59"/>
        <v>0.15881927555831982</v>
      </c>
      <c r="T146" s="103">
        <f t="shared" si="59"/>
        <v>0.14504347500014231</v>
      </c>
      <c r="U146" s="103">
        <f t="shared" si="59"/>
        <v>0.13129384512031972</v>
      </c>
      <c r="V146" s="103">
        <f t="shared" si="59"/>
        <v>0.10311711953781232</v>
      </c>
      <c r="W146" s="103">
        <f t="shared" ref="W146" si="60">IF(W24=0,0,W24/W$17)</f>
        <v>0.12063672950666451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5.4421642624819265E-2</v>
      </c>
      <c r="C147" s="103">
        <f t="shared" si="61"/>
        <v>4.9838994082748861E-2</v>
      </c>
      <c r="D147" s="103">
        <f t="shared" si="61"/>
        <v>4.7150110939935146E-2</v>
      </c>
      <c r="E147" s="103">
        <f t="shared" si="61"/>
        <v>4.0191050744070415E-2</v>
      </c>
      <c r="F147" s="103">
        <f t="shared" si="61"/>
        <v>3.939714796979446E-2</v>
      </c>
      <c r="G147" s="103">
        <f t="shared" si="61"/>
        <v>3.7715673065442011E-2</v>
      </c>
      <c r="H147" s="103">
        <f t="shared" si="61"/>
        <v>3.5318393812272274E-2</v>
      </c>
      <c r="I147" s="103">
        <f t="shared" si="61"/>
        <v>2.9020210181154017E-2</v>
      </c>
      <c r="J147" s="103">
        <f t="shared" si="61"/>
        <v>2.920529261699787E-2</v>
      </c>
      <c r="K147" s="103">
        <f t="shared" si="61"/>
        <v>3.0184396138268552E-2</v>
      </c>
      <c r="L147" s="103">
        <f t="shared" ref="L147" si="62">IF(L26=0,0,L26/L$17)</f>
        <v>2.8060135065216912E-2</v>
      </c>
      <c r="M147" s="103">
        <f t="shared" ref="M147:V147" si="63">IF(M26=0,0,M26/M$17)</f>
        <v>2.4790209466716964E-2</v>
      </c>
      <c r="N147" s="103">
        <f t="shared" si="63"/>
        <v>2.5464571326347208E-2</v>
      </c>
      <c r="O147" s="103">
        <f t="shared" si="63"/>
        <v>2.5022716443525762E-2</v>
      </c>
      <c r="P147" s="103">
        <f t="shared" si="63"/>
        <v>2.0144123980312494E-2</v>
      </c>
      <c r="Q147" s="103">
        <f t="shared" si="63"/>
        <v>1.6983250740549915E-2</v>
      </c>
      <c r="R147" s="103">
        <f t="shared" si="63"/>
        <v>1.5871358558487127E-2</v>
      </c>
      <c r="S147" s="103">
        <f t="shared" si="63"/>
        <v>1.3388591450923387E-2</v>
      </c>
      <c r="T147" s="103">
        <f t="shared" si="63"/>
        <v>1.1642625916093864E-2</v>
      </c>
      <c r="U147" s="103">
        <f t="shared" si="63"/>
        <v>1.0470896518038612E-2</v>
      </c>
      <c r="V147" s="103">
        <f t="shared" si="63"/>
        <v>9.9427401425418848E-3</v>
      </c>
      <c r="W147" s="103">
        <f t="shared" ref="W147" si="64">IF(W26=0,0,W26/W$17)</f>
        <v>1.0184028424227833E-2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1.9166718382705457E-5</v>
      </c>
      <c r="M148" s="103">
        <f t="shared" ref="M148:V148" si="67">IF(M27=0,0,M27/M$17)</f>
        <v>8.8880479532440818E-5</v>
      </c>
      <c r="N148" s="103">
        <f t="shared" si="67"/>
        <v>7.0833975725789376E-4</v>
      </c>
      <c r="O148" s="103">
        <f t="shared" si="67"/>
        <v>8.1277361295890838E-4</v>
      </c>
      <c r="P148" s="103">
        <f t="shared" si="67"/>
        <v>1.1787546547375779E-3</v>
      </c>
      <c r="Q148" s="103">
        <f t="shared" si="67"/>
        <v>1.2247475787252166E-3</v>
      </c>
      <c r="R148" s="103">
        <f t="shared" si="67"/>
        <v>3.2912218933429943E-4</v>
      </c>
      <c r="S148" s="103">
        <f t="shared" si="67"/>
        <v>4.3983185507860754E-4</v>
      </c>
      <c r="T148" s="103">
        <f t="shared" si="67"/>
        <v>1.3633687658121986E-3</v>
      </c>
      <c r="U148" s="103">
        <f t="shared" si="67"/>
        <v>1.3500510845256229E-3</v>
      </c>
      <c r="V148" s="103">
        <f t="shared" si="67"/>
        <v>1.2580729820128467E-3</v>
      </c>
      <c r="W148" s="103">
        <f t="shared" ref="W148" si="68">IF(W27=0,0,W27/W$17)</f>
        <v>1.142160650483829E-3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4.3259306471812796E-7</v>
      </c>
      <c r="N149" s="103">
        <f t="shared" si="71"/>
        <v>9.8799728753905814E-5</v>
      </c>
      <c r="O149" s="103">
        <f t="shared" si="71"/>
        <v>6.2445527259779915E-4</v>
      </c>
      <c r="P149" s="103">
        <f t="shared" si="71"/>
        <v>1.2403071837105088E-3</v>
      </c>
      <c r="Q149" s="103">
        <f t="shared" si="71"/>
        <v>2.559069289877711E-3</v>
      </c>
      <c r="R149" s="103">
        <f t="shared" si="71"/>
        <v>2.9535511873483842E-3</v>
      </c>
      <c r="S149" s="103">
        <f t="shared" si="71"/>
        <v>2.7498278229056944E-3</v>
      </c>
      <c r="T149" s="103">
        <f t="shared" si="71"/>
        <v>2.7413032974780548E-3</v>
      </c>
      <c r="U149" s="103">
        <f t="shared" si="71"/>
        <v>2.7152449881035602E-3</v>
      </c>
      <c r="V149" s="103">
        <f t="shared" si="71"/>
        <v>3.0279771390770939E-3</v>
      </c>
      <c r="W149" s="103">
        <f t="shared" ref="W149" si="72">IF(W29=0,0,W29/W$17)</f>
        <v>4.4731166515458278E-3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7.1350360608725772E-7</v>
      </c>
      <c r="L150" s="103">
        <f t="shared" ref="L150" si="74">IF(L32=0,0,L32/L$17)</f>
        <v>2.1681647617872327E-6</v>
      </c>
      <c r="M150" s="103">
        <f t="shared" ref="M150:V150" si="75">IF(M32=0,0,M32/M$17)</f>
        <v>2.1272352932350736E-5</v>
      </c>
      <c r="N150" s="103">
        <f t="shared" si="75"/>
        <v>5.2110659077367451E-5</v>
      </c>
      <c r="O150" s="103">
        <f t="shared" si="75"/>
        <v>1.0174693391237242E-4</v>
      </c>
      <c r="P150" s="103">
        <f t="shared" si="75"/>
        <v>1.7864135440982096E-4</v>
      </c>
      <c r="Q150" s="103">
        <f t="shared" si="75"/>
        <v>2.5429354041174465E-4</v>
      </c>
      <c r="R150" s="103">
        <f t="shared" si="75"/>
        <v>3.4644576238188567E-4</v>
      </c>
      <c r="S150" s="103">
        <f t="shared" si="75"/>
        <v>5.2513502928091085E-4</v>
      </c>
      <c r="T150" s="103">
        <f t="shared" si="75"/>
        <v>1.1532953801529763E-3</v>
      </c>
      <c r="U150" s="103">
        <f t="shared" si="75"/>
        <v>2.7200294475034597E-3</v>
      </c>
      <c r="V150" s="103">
        <f t="shared" si="75"/>
        <v>4.2440958500957696E-3</v>
      </c>
      <c r="W150" s="103">
        <f t="shared" ref="W150" si="76">IF(W32=0,0,W32/W$17)</f>
        <v>7.1226432602273966E-3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3.561912313186371E-2</v>
      </c>
      <c r="C151" s="156">
        <f t="shared" si="77"/>
        <v>3.4276181904397039E-2</v>
      </c>
      <c r="D151" s="156">
        <f t="shared" si="77"/>
        <v>3.3134311926221488E-2</v>
      </c>
      <c r="E151" s="156">
        <f t="shared" si="77"/>
        <v>3.1777910290662743E-2</v>
      </c>
      <c r="F151" s="156">
        <f t="shared" si="77"/>
        <v>3.0602354030536728E-2</v>
      </c>
      <c r="G151" s="156">
        <f t="shared" si="77"/>
        <v>3.0400070105567376E-2</v>
      </c>
      <c r="H151" s="156">
        <f t="shared" si="77"/>
        <v>2.9202023586050816E-2</v>
      </c>
      <c r="I151" s="156">
        <f t="shared" si="77"/>
        <v>2.8856887715718919E-2</v>
      </c>
      <c r="J151" s="156">
        <f t="shared" si="77"/>
        <v>2.9660790260854553E-2</v>
      </c>
      <c r="K151" s="156">
        <f t="shared" si="77"/>
        <v>3.1745290487684125E-2</v>
      </c>
      <c r="L151" s="156">
        <f t="shared" ref="L151" si="78">IF(L33=0,0,L33/L$17)</f>
        <v>3.3159426599383715E-2</v>
      </c>
      <c r="M151" s="156">
        <f t="shared" ref="M151:V151" si="79">IF(M33=0,0,M33/M$17)</f>
        <v>3.2246531407340261E-2</v>
      </c>
      <c r="N151" s="156">
        <f t="shared" si="79"/>
        <v>3.2741880828075394E-2</v>
      </c>
      <c r="O151" s="156">
        <f t="shared" si="79"/>
        <v>3.3171966195130256E-2</v>
      </c>
      <c r="P151" s="156">
        <f t="shared" si="79"/>
        <v>3.4538172526766414E-2</v>
      </c>
      <c r="Q151" s="156">
        <f t="shared" si="79"/>
        <v>3.3669047688038779E-2</v>
      </c>
      <c r="R151" s="156">
        <f t="shared" si="79"/>
        <v>3.4108819962452207E-2</v>
      </c>
      <c r="S151" s="156">
        <f t="shared" si="79"/>
        <v>3.548472816898144E-2</v>
      </c>
      <c r="T151" s="156">
        <f t="shared" si="79"/>
        <v>3.2169872250968116E-2</v>
      </c>
      <c r="U151" s="156">
        <f t="shared" si="79"/>
        <v>3.0469874214130405E-2</v>
      </c>
      <c r="V151" s="156">
        <f t="shared" si="79"/>
        <v>2.8677078039145279E-2</v>
      </c>
      <c r="W151" s="156">
        <f t="shared" ref="W151" si="80">IF(W33=0,0,W33/W$17)</f>
        <v>2.5900632738027674E-2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1.3579252627060875E-5</v>
      </c>
      <c r="C152" s="103">
        <f t="shared" si="81"/>
        <v>1.5941435691138321E-5</v>
      </c>
      <c r="D152" s="103">
        <f t="shared" si="81"/>
        <v>1.822509928427492E-5</v>
      </c>
      <c r="E152" s="103">
        <f t="shared" si="81"/>
        <v>2.0005747954838245E-5</v>
      </c>
      <c r="F152" s="103">
        <f t="shared" si="81"/>
        <v>1.837410300832386E-5</v>
      </c>
      <c r="G152" s="103">
        <f t="shared" si="81"/>
        <v>1.9661218922618861E-5</v>
      </c>
      <c r="H152" s="103">
        <f t="shared" si="81"/>
        <v>1.972484948508296E-5</v>
      </c>
      <c r="I152" s="103">
        <f t="shared" si="81"/>
        <v>2.0835104747361998E-5</v>
      </c>
      <c r="J152" s="103">
        <f t="shared" si="81"/>
        <v>2.0680372666537273E-5</v>
      </c>
      <c r="K152" s="103">
        <f t="shared" si="81"/>
        <v>2.2006461679301179E-5</v>
      </c>
      <c r="L152" s="103">
        <f t="shared" ref="L152" si="82">IF(L34=0,0,L34/L$17)</f>
        <v>2.3740576977045053E-5</v>
      </c>
      <c r="M152" s="103">
        <f t="shared" ref="M152:V152" si="83">IF(M34=0,0,M34/M$17)</f>
        <v>1.9009928891464385E-5</v>
      </c>
      <c r="N152" s="103">
        <f t="shared" si="83"/>
        <v>1.1546671760348312E-5</v>
      </c>
      <c r="O152" s="103">
        <f t="shared" si="83"/>
        <v>1.067918806601553E-5</v>
      </c>
      <c r="P152" s="103">
        <f t="shared" si="83"/>
        <v>1.0770000033638723E-5</v>
      </c>
      <c r="Q152" s="103">
        <f t="shared" si="83"/>
        <v>1.6510544023748985E-5</v>
      </c>
      <c r="R152" s="103">
        <f t="shared" si="83"/>
        <v>2.0136674846879182E-5</v>
      </c>
      <c r="S152" s="103">
        <f t="shared" si="83"/>
        <v>1.8044014224409176E-5</v>
      </c>
      <c r="T152" s="103">
        <f t="shared" si="83"/>
        <v>1.5656148375681198E-5</v>
      </c>
      <c r="U152" s="103">
        <f t="shared" si="83"/>
        <v>6.883613208296474E-5</v>
      </c>
      <c r="V152" s="103">
        <f t="shared" si="83"/>
        <v>6.6443863813634419E-5</v>
      </c>
      <c r="W152" s="103">
        <f t="shared" ref="W152" si="84">IF(W34=0,0,W34/W$17)</f>
        <v>7.2827203353029185E-5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3.5250133333709743E-2</v>
      </c>
      <c r="C153" s="103">
        <f t="shared" si="85"/>
        <v>3.3925136828620056E-2</v>
      </c>
      <c r="D153" s="103">
        <f t="shared" si="85"/>
        <v>3.2795498924223974E-2</v>
      </c>
      <c r="E153" s="103">
        <f t="shared" si="85"/>
        <v>3.1470999381640379E-2</v>
      </c>
      <c r="F153" s="103">
        <f t="shared" si="85"/>
        <v>3.0324345610671377E-2</v>
      </c>
      <c r="G153" s="103">
        <f t="shared" si="85"/>
        <v>3.0076641628268432E-2</v>
      </c>
      <c r="H153" s="103">
        <f t="shared" si="85"/>
        <v>2.8863849972875409E-2</v>
      </c>
      <c r="I153" s="103">
        <f t="shared" si="85"/>
        <v>2.8508368256416925E-2</v>
      </c>
      <c r="J153" s="103">
        <f t="shared" si="85"/>
        <v>2.9243732994926268E-2</v>
      </c>
      <c r="K153" s="103">
        <f t="shared" si="85"/>
        <v>3.1063902057841382E-2</v>
      </c>
      <c r="L153" s="103">
        <f t="shared" ref="L153" si="86">IF(L36=0,0,L36/L$17)</f>
        <v>3.2226724815973905E-2</v>
      </c>
      <c r="M153" s="103">
        <f t="shared" ref="M153:V153" si="87">IF(M36=0,0,M36/M$17)</f>
        <v>3.0737279076477841E-2</v>
      </c>
      <c r="N153" s="103">
        <f t="shared" si="87"/>
        <v>3.1216787243605361E-2</v>
      </c>
      <c r="O153" s="103">
        <f t="shared" si="87"/>
        <v>3.1464415520388152E-2</v>
      </c>
      <c r="P153" s="103">
        <f t="shared" si="87"/>
        <v>3.2573135210492599E-2</v>
      </c>
      <c r="Q153" s="103">
        <f t="shared" si="87"/>
        <v>3.1186227510612841E-2</v>
      </c>
      <c r="R153" s="103">
        <f t="shared" si="87"/>
        <v>2.9564904661398092E-2</v>
      </c>
      <c r="S153" s="103">
        <f t="shared" si="87"/>
        <v>2.9843889530770211E-2</v>
      </c>
      <c r="T153" s="103">
        <f t="shared" si="87"/>
        <v>2.7404526094299813E-2</v>
      </c>
      <c r="U153" s="103">
        <f t="shared" si="87"/>
        <v>2.4717889416504837E-2</v>
      </c>
      <c r="V153" s="103">
        <f t="shared" si="87"/>
        <v>2.1530370915181923E-2</v>
      </c>
      <c r="W153" s="103">
        <f t="shared" ref="W153" si="88">IF(W36=0,0,W36/W$17)</f>
        <v>1.8108227782983228E-2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2.5175326973365925E-4</v>
      </c>
      <c r="C154" s="103">
        <f t="shared" si="89"/>
        <v>2.3437426718083909E-4</v>
      </c>
      <c r="D154" s="103">
        <f t="shared" si="89"/>
        <v>2.0011443413507467E-4</v>
      </c>
      <c r="E154" s="103">
        <f t="shared" si="89"/>
        <v>1.7913311606264094E-4</v>
      </c>
      <c r="F154" s="103">
        <f t="shared" si="89"/>
        <v>1.509486393493085E-4</v>
      </c>
      <c r="G154" s="103">
        <f t="shared" si="89"/>
        <v>1.8406930241422764E-4</v>
      </c>
      <c r="H154" s="103">
        <f t="shared" si="89"/>
        <v>1.4670417087259298E-4</v>
      </c>
      <c r="I154" s="103">
        <f t="shared" si="89"/>
        <v>1.298376462319555E-4</v>
      </c>
      <c r="J154" s="103">
        <f t="shared" si="89"/>
        <v>1.2834098700452331E-4</v>
      </c>
      <c r="K154" s="103">
        <f t="shared" si="89"/>
        <v>1.2510464538398038E-4</v>
      </c>
      <c r="L154" s="103">
        <f t="shared" ref="L154" si="90">IF(L38=0,0,L38/L$17)</f>
        <v>1.2595449610470447E-4</v>
      </c>
      <c r="M154" s="103">
        <f t="shared" ref="M154:V154" si="91">IF(M38=0,0,M38/M$17)</f>
        <v>1.2025220078812786E-4</v>
      </c>
      <c r="N154" s="103">
        <f t="shared" si="91"/>
        <v>1.2235749535004919E-4</v>
      </c>
      <c r="O154" s="103">
        <f t="shared" si="91"/>
        <v>1.2785731504561844E-4</v>
      </c>
      <c r="P154" s="103">
        <f t="shared" si="91"/>
        <v>1.3610776424442361E-4</v>
      </c>
      <c r="Q154" s="103">
        <f t="shared" si="91"/>
        <v>1.3962070102439752E-4</v>
      </c>
      <c r="R154" s="103">
        <f t="shared" si="91"/>
        <v>1.4004590772625329E-4</v>
      </c>
      <c r="S154" s="103">
        <f t="shared" si="91"/>
        <v>1.365894953359832E-4</v>
      </c>
      <c r="T154" s="103">
        <f t="shared" si="91"/>
        <v>1.2625701926921958E-4</v>
      </c>
      <c r="U154" s="103">
        <f t="shared" si="91"/>
        <v>1.1414285325218668E-4</v>
      </c>
      <c r="V154" s="103">
        <f t="shared" si="91"/>
        <v>1.101614702870389E-4</v>
      </c>
      <c r="W154" s="103">
        <f t="shared" ref="W154" si="92">IF(W38=0,0,W38/W$17)</f>
        <v>1.0638948155546762E-4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1.4749033174548404E-5</v>
      </c>
      <c r="C155" s="103">
        <f t="shared" si="93"/>
        <v>2.3003126391485409E-5</v>
      </c>
      <c r="D155" s="103">
        <f t="shared" si="93"/>
        <v>3.6789056031825999E-5</v>
      </c>
      <c r="E155" s="103">
        <f t="shared" si="93"/>
        <v>3.719306558241038E-5</v>
      </c>
      <c r="F155" s="103">
        <f t="shared" si="93"/>
        <v>2.5232848152359019E-5</v>
      </c>
      <c r="G155" s="103">
        <f t="shared" si="93"/>
        <v>3.4014219322400082E-5</v>
      </c>
      <c r="H155" s="103">
        <f t="shared" si="93"/>
        <v>8.7300041523243144E-5</v>
      </c>
      <c r="I155" s="103">
        <f t="shared" si="93"/>
        <v>1.1406917162216519E-4</v>
      </c>
      <c r="J155" s="103">
        <f t="shared" si="93"/>
        <v>2.004193009458746E-4</v>
      </c>
      <c r="K155" s="103">
        <f t="shared" si="93"/>
        <v>4.5184533382896153E-4</v>
      </c>
      <c r="L155" s="103">
        <f t="shared" ref="L155" si="94">IF(L39=0,0,L39/L$17)</f>
        <v>6.573034721639512E-4</v>
      </c>
      <c r="M155" s="103">
        <f t="shared" ref="M155:V155" si="95">IF(M39=0,0,M39/M$17)</f>
        <v>1.2516729794579257E-3</v>
      </c>
      <c r="N155" s="103">
        <f t="shared" si="95"/>
        <v>1.2663598031202364E-3</v>
      </c>
      <c r="O155" s="103">
        <f t="shared" si="95"/>
        <v>1.4620661364250348E-3</v>
      </c>
      <c r="P155" s="103">
        <f t="shared" si="95"/>
        <v>1.6907337237798074E-3</v>
      </c>
      <c r="Q155" s="103">
        <f t="shared" si="95"/>
        <v>2.1773797968587878E-3</v>
      </c>
      <c r="R155" s="103">
        <f t="shared" si="95"/>
        <v>4.1310266610336301E-3</v>
      </c>
      <c r="S155" s="103">
        <f t="shared" si="95"/>
        <v>5.021988847770679E-3</v>
      </c>
      <c r="T155" s="103">
        <f t="shared" si="95"/>
        <v>4.0084794175676286E-3</v>
      </c>
      <c r="U155" s="103">
        <f t="shared" si="95"/>
        <v>4.3843704320362387E-3</v>
      </c>
      <c r="V155" s="103">
        <f t="shared" si="95"/>
        <v>5.063506122649726E-3</v>
      </c>
      <c r="W155" s="103">
        <f t="shared" ref="W155" si="96">IF(W39=0,0,W39/W$17)</f>
        <v>5.2587706361762092E-3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8.890824261870129E-5</v>
      </c>
      <c r="C156" s="103">
        <f t="shared" si="97"/>
        <v>7.7726246513517032E-5</v>
      </c>
      <c r="D156" s="103">
        <f t="shared" si="97"/>
        <v>8.368441254634193E-5</v>
      </c>
      <c r="E156" s="103">
        <f t="shared" si="97"/>
        <v>7.0578979422475767E-5</v>
      </c>
      <c r="F156" s="103">
        <f t="shared" si="97"/>
        <v>8.3452829355362367E-5</v>
      </c>
      <c r="G156" s="103">
        <f t="shared" si="97"/>
        <v>8.5683736639692224E-5</v>
      </c>
      <c r="H156" s="103">
        <f t="shared" si="97"/>
        <v>8.4444551294492092E-5</v>
      </c>
      <c r="I156" s="103">
        <f t="shared" si="97"/>
        <v>8.3777536700510919E-5</v>
      </c>
      <c r="J156" s="103">
        <f t="shared" si="97"/>
        <v>6.7616605311346807E-5</v>
      </c>
      <c r="K156" s="103">
        <f t="shared" si="97"/>
        <v>8.2431988950498205E-5</v>
      </c>
      <c r="L156" s="103">
        <f t="shared" ref="L156" si="98">IF(L41=0,0,L41/L$17)</f>
        <v>1.2570323816410919E-4</v>
      </c>
      <c r="M156" s="103">
        <f t="shared" ref="M156:V156" si="99">IF(M41=0,0,M41/M$17)</f>
        <v>1.1831722172490645E-4</v>
      </c>
      <c r="N156" s="103">
        <f t="shared" si="99"/>
        <v>1.2482961423939629E-4</v>
      </c>
      <c r="O156" s="103">
        <f t="shared" si="99"/>
        <v>1.0694803520543196E-4</v>
      </c>
      <c r="P156" s="103">
        <f t="shared" si="99"/>
        <v>1.2742582821594775E-4</v>
      </c>
      <c r="Q156" s="103">
        <f t="shared" si="99"/>
        <v>1.4930913551900878E-4</v>
      </c>
      <c r="R156" s="103">
        <f t="shared" si="99"/>
        <v>2.5270605744735395E-4</v>
      </c>
      <c r="S156" s="103">
        <f t="shared" si="99"/>
        <v>4.6421628088016059E-4</v>
      </c>
      <c r="T156" s="103">
        <f t="shared" si="99"/>
        <v>6.1495357145577626E-4</v>
      </c>
      <c r="U156" s="103">
        <f t="shared" si="99"/>
        <v>1.1846353802541796E-3</v>
      </c>
      <c r="V156" s="103">
        <f t="shared" si="99"/>
        <v>1.9065956672129482E-3</v>
      </c>
      <c r="W156" s="103">
        <f t="shared" ref="W156" si="100">IF(W41=0,0,W41/W$17)</f>
        <v>2.3544176339597407E-3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0.38282008596217459</v>
      </c>
      <c r="C157" s="46">
        <f t="shared" si="101"/>
        <v>0.38286115910308277</v>
      </c>
      <c r="D157" s="46">
        <f t="shared" si="101"/>
        <v>0.38607271402174642</v>
      </c>
      <c r="E157" s="46">
        <f t="shared" si="101"/>
        <v>0.39407033522256996</v>
      </c>
      <c r="F157" s="46">
        <f t="shared" si="101"/>
        <v>0.40155242415147041</v>
      </c>
      <c r="G157" s="46">
        <f t="shared" si="101"/>
        <v>0.40240260174124975</v>
      </c>
      <c r="H157" s="46">
        <f t="shared" si="101"/>
        <v>0.40586054944758782</v>
      </c>
      <c r="I157" s="46">
        <f t="shared" si="101"/>
        <v>0.4053625273922975</v>
      </c>
      <c r="J157" s="46">
        <f t="shared" si="101"/>
        <v>0.40647518905748781</v>
      </c>
      <c r="K157" s="46">
        <f t="shared" si="101"/>
        <v>0.38759241532227295</v>
      </c>
      <c r="L157" s="46">
        <f t="shared" ref="L157" si="102">IF(L42=0,0,L42/L$17)</f>
        <v>0.39311197876465642</v>
      </c>
      <c r="M157" s="46">
        <f t="shared" ref="M157:V157" si="103">IF(M42=0,0,M42/M$17)</f>
        <v>0.39958747865874611</v>
      </c>
      <c r="N157" s="46">
        <f t="shared" si="103"/>
        <v>0.40010487607155704</v>
      </c>
      <c r="O157" s="46">
        <f t="shared" si="103"/>
        <v>0.38511882009904974</v>
      </c>
      <c r="P157" s="46">
        <f t="shared" si="103"/>
        <v>0.35584281961104919</v>
      </c>
      <c r="Q157" s="46">
        <f t="shared" si="103"/>
        <v>0.3592370301149877</v>
      </c>
      <c r="R157" s="46">
        <f t="shared" si="103"/>
        <v>0.35639693659862809</v>
      </c>
      <c r="S157" s="46">
        <f t="shared" si="103"/>
        <v>0.37140495579004512</v>
      </c>
      <c r="T157" s="46">
        <f t="shared" si="103"/>
        <v>0.38830240234865188</v>
      </c>
      <c r="U157" s="46">
        <f t="shared" si="103"/>
        <v>0.39375882947090746</v>
      </c>
      <c r="V157" s="46">
        <f t="shared" si="103"/>
        <v>0.42674811663058448</v>
      </c>
      <c r="W157" s="46">
        <f t="shared" ref="W157" si="104">IF(W42=0,0,W42/W$17)</f>
        <v>0.40302327333049648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0.17438853663000481</v>
      </c>
      <c r="C158" s="154">
        <f t="shared" si="105"/>
        <v>0.17946423656740071</v>
      </c>
      <c r="D158" s="154">
        <f t="shared" si="105"/>
        <v>0.17974011078644625</v>
      </c>
      <c r="E158" s="154">
        <f t="shared" si="105"/>
        <v>0.18347054937187138</v>
      </c>
      <c r="F158" s="154">
        <f t="shared" si="105"/>
        <v>0.18913704944725063</v>
      </c>
      <c r="G158" s="154">
        <f t="shared" si="105"/>
        <v>0.18984107518112545</v>
      </c>
      <c r="H158" s="154">
        <f t="shared" si="105"/>
        <v>0.18268904028780511</v>
      </c>
      <c r="I158" s="154">
        <f t="shared" si="105"/>
        <v>0.18275648169265254</v>
      </c>
      <c r="J158" s="154">
        <f t="shared" si="105"/>
        <v>0.18373455565948693</v>
      </c>
      <c r="K158" s="154">
        <f t="shared" si="105"/>
        <v>0.17834608305600505</v>
      </c>
      <c r="L158" s="154">
        <f t="shared" ref="L158" si="106">IF(L43=0,0,L43/L$17)</f>
        <v>0.18023596090032526</v>
      </c>
      <c r="M158" s="154">
        <f t="shared" ref="M158:V158" si="107">IF(M43=0,0,M43/M$17)</f>
        <v>0.18125542795391864</v>
      </c>
      <c r="N158" s="154">
        <f t="shared" si="107"/>
        <v>0.17946090848822996</v>
      </c>
      <c r="O158" s="154">
        <f t="shared" si="107"/>
        <v>0.18177423937109596</v>
      </c>
      <c r="P158" s="154">
        <f t="shared" si="107"/>
        <v>0.1875425885422537</v>
      </c>
      <c r="Q158" s="154">
        <f t="shared" si="107"/>
        <v>0.19201124457918017</v>
      </c>
      <c r="R158" s="154">
        <f t="shared" si="107"/>
        <v>0.19303746363453869</v>
      </c>
      <c r="S158" s="154">
        <f t="shared" si="107"/>
        <v>0.18606346052582332</v>
      </c>
      <c r="T158" s="154">
        <f t="shared" si="107"/>
        <v>0.17924669010126387</v>
      </c>
      <c r="U158" s="154">
        <f t="shared" si="107"/>
        <v>0.178012090151075</v>
      </c>
      <c r="V158" s="154">
        <f t="shared" si="107"/>
        <v>0.19998890881737671</v>
      </c>
      <c r="W158" s="154">
        <f t="shared" ref="W158" si="108">IF(W43=0,0,W43/W$17)</f>
        <v>0.20118359213688508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7.0261714472932418E-3</v>
      </c>
      <c r="C159" s="103">
        <f t="shared" si="109"/>
        <v>6.3681350575094369E-3</v>
      </c>
      <c r="D159" s="103">
        <f t="shared" si="109"/>
        <v>5.500883677463317E-3</v>
      </c>
      <c r="E159" s="103">
        <f t="shared" si="109"/>
        <v>4.8695691046101129E-3</v>
      </c>
      <c r="F159" s="103">
        <f t="shared" si="109"/>
        <v>4.4270982393318026E-3</v>
      </c>
      <c r="G159" s="103">
        <f t="shared" si="109"/>
        <v>4.1789652903794485E-3</v>
      </c>
      <c r="H159" s="103">
        <f t="shared" si="109"/>
        <v>3.6215403107427145E-3</v>
      </c>
      <c r="I159" s="103">
        <f t="shared" si="109"/>
        <v>3.3425409492371765E-3</v>
      </c>
      <c r="J159" s="103">
        <f t="shared" si="109"/>
        <v>3.1318556031517644E-3</v>
      </c>
      <c r="K159" s="103">
        <f t="shared" si="109"/>
        <v>2.9624249257353195E-3</v>
      </c>
      <c r="L159" s="103">
        <f t="shared" ref="L159" si="110">IF(L44=0,0,L44/L$17)</f>
        <v>2.7660556201054205E-3</v>
      </c>
      <c r="M159" s="103">
        <f t="shared" ref="M159:V159" si="111">IF(M44=0,0,M44/M$17)</f>
        <v>2.5639406262067299E-3</v>
      </c>
      <c r="N159" s="103">
        <f t="shared" si="111"/>
        <v>2.4830094044354968E-3</v>
      </c>
      <c r="O159" s="103">
        <f t="shared" si="111"/>
        <v>2.3366695119020216E-3</v>
      </c>
      <c r="P159" s="103">
        <f t="shared" si="111"/>
        <v>2.4902058740849625E-3</v>
      </c>
      <c r="Q159" s="103">
        <f t="shared" si="111"/>
        <v>2.4435924270379342E-3</v>
      </c>
      <c r="R159" s="103">
        <f t="shared" si="111"/>
        <v>2.411681721053131E-3</v>
      </c>
      <c r="S159" s="103">
        <f t="shared" si="111"/>
        <v>2.2862214152735349E-3</v>
      </c>
      <c r="T159" s="103">
        <f t="shared" si="111"/>
        <v>2.0971282335668314E-3</v>
      </c>
      <c r="U159" s="103">
        <f t="shared" si="111"/>
        <v>2.2400372038268511E-3</v>
      </c>
      <c r="V159" s="103">
        <f t="shared" si="111"/>
        <v>2.6163604339353164E-3</v>
      </c>
      <c r="W159" s="103">
        <f t="shared" ref="W159" si="112">IF(W44=0,0,W44/W$17)</f>
        <v>2.5760949626213994E-3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0.16299428563708282</v>
      </c>
      <c r="C160" s="103">
        <f t="shared" si="113"/>
        <v>0.16877165983968984</v>
      </c>
      <c r="D160" s="103">
        <f t="shared" si="113"/>
        <v>0.17016835059845528</v>
      </c>
      <c r="E160" s="103">
        <f t="shared" si="113"/>
        <v>0.17474386340697037</v>
      </c>
      <c r="F160" s="103">
        <f t="shared" si="113"/>
        <v>0.18100968449491103</v>
      </c>
      <c r="G160" s="103">
        <f t="shared" si="113"/>
        <v>0.18250454919929407</v>
      </c>
      <c r="H160" s="103">
        <f t="shared" si="113"/>
        <v>0.17623469697683869</v>
      </c>
      <c r="I160" s="103">
        <f t="shared" si="113"/>
        <v>0.1765536070587114</v>
      </c>
      <c r="J160" s="103">
        <f t="shared" si="113"/>
        <v>0.17773798872034965</v>
      </c>
      <c r="K160" s="103">
        <f t="shared" si="113"/>
        <v>0.17247726832219162</v>
      </c>
      <c r="L160" s="103">
        <f t="shared" ref="L160" si="114">IF(L46=0,0,L46/L$17)</f>
        <v>0.17456683190535843</v>
      </c>
      <c r="M160" s="103">
        <f t="shared" ref="M160:V160" si="115">IF(M46=0,0,M46/M$17)</f>
        <v>0.17580284017594019</v>
      </c>
      <c r="N160" s="103">
        <f t="shared" si="115"/>
        <v>0.17400987898963527</v>
      </c>
      <c r="O160" s="103">
        <f t="shared" si="115"/>
        <v>0.17629449095888269</v>
      </c>
      <c r="P160" s="103">
        <f t="shared" si="115"/>
        <v>0.18159125251598801</v>
      </c>
      <c r="Q160" s="103">
        <f t="shared" si="115"/>
        <v>0.18610723039200106</v>
      </c>
      <c r="R160" s="103">
        <f t="shared" si="115"/>
        <v>0.18734241033839372</v>
      </c>
      <c r="S160" s="103">
        <f t="shared" si="115"/>
        <v>0.18050645958816733</v>
      </c>
      <c r="T160" s="103">
        <f t="shared" si="115"/>
        <v>0.17373495531953392</v>
      </c>
      <c r="U160" s="103">
        <f t="shared" si="115"/>
        <v>0.17214832633557808</v>
      </c>
      <c r="V160" s="103">
        <f t="shared" si="115"/>
        <v>0.19316254911462846</v>
      </c>
      <c r="W160" s="103">
        <f t="shared" ref="W160" si="116">IF(W46=0,0,W46/W$17)</f>
        <v>0.19473220348798317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4.3680795456287431E-3</v>
      </c>
      <c r="C161" s="103">
        <f t="shared" si="117"/>
        <v>4.324441670201456E-3</v>
      </c>
      <c r="D161" s="103">
        <f t="shared" si="117"/>
        <v>4.0708765105276481E-3</v>
      </c>
      <c r="E161" s="103">
        <f t="shared" si="117"/>
        <v>3.8440559364953486E-3</v>
      </c>
      <c r="F161" s="103">
        <f t="shared" si="117"/>
        <v>3.6641767454811615E-3</v>
      </c>
      <c r="G161" s="103">
        <f t="shared" si="117"/>
        <v>3.1246457346651392E-3</v>
      </c>
      <c r="H161" s="103">
        <f t="shared" si="117"/>
        <v>2.8016944019302295E-3</v>
      </c>
      <c r="I161" s="103">
        <f t="shared" si="117"/>
        <v>2.7889002777768401E-3</v>
      </c>
      <c r="J161" s="103">
        <f t="shared" si="117"/>
        <v>2.7930969929419657E-3</v>
      </c>
      <c r="K161" s="103">
        <f t="shared" si="117"/>
        <v>2.7921316073160501E-3</v>
      </c>
      <c r="L161" s="103">
        <f t="shared" ref="L161" si="118">IF(L48=0,0,L48/L$17)</f>
        <v>2.744740058875342E-3</v>
      </c>
      <c r="M161" s="103">
        <f t="shared" ref="M161:V161" si="119">IF(M48=0,0,M48/M$17)</f>
        <v>2.6892495504210988E-3</v>
      </c>
      <c r="N161" s="103">
        <f t="shared" si="119"/>
        <v>2.7291689802797898E-3</v>
      </c>
      <c r="O161" s="103">
        <f t="shared" si="119"/>
        <v>2.8414625183484396E-3</v>
      </c>
      <c r="P161" s="103">
        <f t="shared" si="119"/>
        <v>3.070111480049448E-3</v>
      </c>
      <c r="Q161" s="103">
        <f t="shared" si="119"/>
        <v>3.0366307487223205E-3</v>
      </c>
      <c r="R161" s="103">
        <f t="shared" si="119"/>
        <v>3.0209693072379977E-3</v>
      </c>
      <c r="S161" s="103">
        <f t="shared" si="119"/>
        <v>2.9183014469246998E-3</v>
      </c>
      <c r="T161" s="103">
        <f t="shared" si="119"/>
        <v>2.8092300267927345E-3</v>
      </c>
      <c r="U161" s="103">
        <f t="shared" si="119"/>
        <v>2.9535986099753059E-3</v>
      </c>
      <c r="V161" s="103">
        <f t="shared" si="119"/>
        <v>3.3685895790490188E-3</v>
      </c>
      <c r="W161" s="103">
        <f t="shared" ref="W161" si="120">IF(W48=0,0,W48/W$17)</f>
        <v>2.9363653868626064E-3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1.3060923795531499E-5</v>
      </c>
      <c r="F162" s="103">
        <f t="shared" si="121"/>
        <v>3.6089967526651048E-5</v>
      </c>
      <c r="G162" s="103">
        <f t="shared" si="121"/>
        <v>3.2914956786789456E-5</v>
      </c>
      <c r="H162" s="103">
        <f t="shared" si="121"/>
        <v>3.1108598293483699E-5</v>
      </c>
      <c r="I162" s="103">
        <f t="shared" si="121"/>
        <v>7.143340692714105E-5</v>
      </c>
      <c r="J162" s="103">
        <f t="shared" si="121"/>
        <v>7.1614343043550701E-5</v>
      </c>
      <c r="K162" s="103">
        <f t="shared" si="121"/>
        <v>1.1425820076207181E-4</v>
      </c>
      <c r="L162" s="103">
        <f t="shared" ref="L162" si="122">IF(L49=0,0,L49/L$17)</f>
        <v>1.5833331598607837E-4</v>
      </c>
      <c r="M162" s="103">
        <f t="shared" ref="M162:V162" si="123">IF(M49=0,0,M49/M$17)</f>
        <v>1.9908583064089946E-4</v>
      </c>
      <c r="N162" s="103">
        <f t="shared" si="123"/>
        <v>2.3076855333747123E-4</v>
      </c>
      <c r="O162" s="103">
        <f t="shared" si="123"/>
        <v>2.871474815647904E-4</v>
      </c>
      <c r="P162" s="103">
        <f t="shared" si="123"/>
        <v>3.6030082473479508E-4</v>
      </c>
      <c r="Q162" s="103">
        <f t="shared" si="123"/>
        <v>3.8784454447693981E-4</v>
      </c>
      <c r="R162" s="103">
        <f t="shared" si="123"/>
        <v>2.237151725479438E-4</v>
      </c>
      <c r="S162" s="103">
        <f t="shared" si="123"/>
        <v>3.0050075661028727E-4</v>
      </c>
      <c r="T162" s="103">
        <f t="shared" si="123"/>
        <v>5.2640961868840501E-4</v>
      </c>
      <c r="U162" s="103">
        <f t="shared" si="123"/>
        <v>5.4895838321473176E-4</v>
      </c>
      <c r="V162" s="103">
        <f t="shared" si="123"/>
        <v>6.3605510983723171E-4</v>
      </c>
      <c r="W162" s="103">
        <f t="shared" ref="W162" si="124">IF(W49=0,0,W49/W$17)</f>
        <v>5.9555555736180254E-4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3.1177070972461855E-7</v>
      </c>
      <c r="N163" s="103">
        <f t="shared" si="127"/>
        <v>8.0825605419159469E-6</v>
      </c>
      <c r="O163" s="103">
        <f t="shared" si="127"/>
        <v>1.4468900398013175E-5</v>
      </c>
      <c r="P163" s="103">
        <f t="shared" si="127"/>
        <v>3.0717847396467514E-5</v>
      </c>
      <c r="Q163" s="103">
        <f t="shared" si="127"/>
        <v>3.5946466941924923E-5</v>
      </c>
      <c r="R163" s="103">
        <f t="shared" si="127"/>
        <v>3.8687095305929792E-5</v>
      </c>
      <c r="S163" s="103">
        <f t="shared" si="127"/>
        <v>5.19773188474923E-5</v>
      </c>
      <c r="T163" s="103">
        <f t="shared" si="127"/>
        <v>7.8966902681993351E-5</v>
      </c>
      <c r="U163" s="103">
        <f t="shared" si="127"/>
        <v>1.2116961848003152E-4</v>
      </c>
      <c r="V163" s="103">
        <f t="shared" si="127"/>
        <v>2.0535457992669831E-4</v>
      </c>
      <c r="W163" s="103">
        <f t="shared" ref="W163" si="128">IF(W51=0,0,W51/W$17)</f>
        <v>3.4337274205609858E-4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0.20843154933216973</v>
      </c>
      <c r="C164" s="156">
        <f t="shared" si="129"/>
        <v>0.20339692253568203</v>
      </c>
      <c r="D164" s="156">
        <f t="shared" si="129"/>
        <v>0.20633260323530017</v>
      </c>
      <c r="E164" s="156">
        <f t="shared" si="129"/>
        <v>0.21059978585069858</v>
      </c>
      <c r="F164" s="156">
        <f t="shared" si="129"/>
        <v>0.21241537470421981</v>
      </c>
      <c r="G164" s="156">
        <f t="shared" si="129"/>
        <v>0.21256152656012434</v>
      </c>
      <c r="H164" s="156">
        <f t="shared" si="129"/>
        <v>0.2231715091597827</v>
      </c>
      <c r="I164" s="156">
        <f t="shared" si="129"/>
        <v>0.22260604569964493</v>
      </c>
      <c r="J164" s="156">
        <f t="shared" si="129"/>
        <v>0.22274063339800085</v>
      </c>
      <c r="K164" s="156">
        <f t="shared" si="129"/>
        <v>0.20924633226626788</v>
      </c>
      <c r="L164" s="156">
        <f t="shared" ref="L164" si="130">IF(L52=0,0,L52/L$17)</f>
        <v>0.21287601786433119</v>
      </c>
      <c r="M164" s="156">
        <f t="shared" ref="M164:V164" si="131">IF(M52=0,0,M52/M$17)</f>
        <v>0.21833205070482747</v>
      </c>
      <c r="N164" s="156">
        <f t="shared" si="131"/>
        <v>0.22064396758332708</v>
      </c>
      <c r="O164" s="156">
        <f t="shared" si="131"/>
        <v>0.20334458072795378</v>
      </c>
      <c r="P164" s="156">
        <f t="shared" si="131"/>
        <v>0.16830023106879549</v>
      </c>
      <c r="Q164" s="156">
        <f t="shared" si="131"/>
        <v>0.16722578553580755</v>
      </c>
      <c r="R164" s="156">
        <f t="shared" si="131"/>
        <v>0.1633594729640894</v>
      </c>
      <c r="S164" s="156">
        <f t="shared" si="131"/>
        <v>0.18534149526422183</v>
      </c>
      <c r="T164" s="156">
        <f t="shared" si="131"/>
        <v>0.20905571224738803</v>
      </c>
      <c r="U164" s="156">
        <f t="shared" si="131"/>
        <v>0.21574673931983246</v>
      </c>
      <c r="V164" s="156">
        <f t="shared" si="131"/>
        <v>0.22675920781320777</v>
      </c>
      <c r="W164" s="156">
        <f t="shared" ref="W164" si="132">IF(W52=0,0,W52/W$17)</f>
        <v>0.2018396811936114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0.17068289112732318</v>
      </c>
      <c r="C165" s="104">
        <f t="shared" si="133"/>
        <v>0.16416993751690606</v>
      </c>
      <c r="D165" s="104">
        <f t="shared" si="133"/>
        <v>0.16654349750677294</v>
      </c>
      <c r="E165" s="104">
        <f t="shared" si="133"/>
        <v>0.17054277553901731</v>
      </c>
      <c r="F165" s="104">
        <f t="shared" si="133"/>
        <v>0.16566879420002029</v>
      </c>
      <c r="G165" s="104">
        <f t="shared" si="133"/>
        <v>0.16435159638906449</v>
      </c>
      <c r="H165" s="104">
        <f t="shared" si="133"/>
        <v>0.17014888200993236</v>
      </c>
      <c r="I165" s="104">
        <f t="shared" si="133"/>
        <v>0.16739916912399314</v>
      </c>
      <c r="J165" s="104">
        <f t="shared" si="133"/>
        <v>0.16675713325769712</v>
      </c>
      <c r="K165" s="104">
        <f t="shared" si="133"/>
        <v>0.15948811468953306</v>
      </c>
      <c r="L165" s="104">
        <f t="shared" ref="L165" si="134">IF(L53=0,0,L53/L$17)</f>
        <v>0.15359718140946971</v>
      </c>
      <c r="M165" s="104">
        <f t="shared" ref="M165:V165" si="135">IF(M53=0,0,M53/M$17)</f>
        <v>0.15947517073519946</v>
      </c>
      <c r="N165" s="104">
        <f t="shared" si="135"/>
        <v>0.15963894587830241</v>
      </c>
      <c r="O165" s="104">
        <f t="shared" si="135"/>
        <v>0.14723692828416787</v>
      </c>
      <c r="P165" s="104">
        <f t="shared" si="135"/>
        <v>0.12137550644716848</v>
      </c>
      <c r="Q165" s="104">
        <f t="shared" si="135"/>
        <v>0.12040640615799394</v>
      </c>
      <c r="R165" s="104">
        <f t="shared" si="135"/>
        <v>0.11642804475804414</v>
      </c>
      <c r="S165" s="104">
        <f t="shared" si="135"/>
        <v>0.12948624469985523</v>
      </c>
      <c r="T165" s="104">
        <f t="shared" si="135"/>
        <v>0.1476278988714235</v>
      </c>
      <c r="U165" s="104">
        <f t="shared" si="135"/>
        <v>0.1509415525672064</v>
      </c>
      <c r="V165" s="104">
        <f t="shared" si="135"/>
        <v>0.15773624211338833</v>
      </c>
      <c r="W165" s="104">
        <f t="shared" ref="W165" si="136">IF(W53=0,0,W53/W$17)</f>
        <v>0.14246891629502237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3.7748658204846561E-2</v>
      </c>
      <c r="C166" s="105">
        <f t="shared" si="137"/>
        <v>3.9226985018775959E-2</v>
      </c>
      <c r="D166" s="105">
        <f t="shared" si="137"/>
        <v>3.9789105728527209E-2</v>
      </c>
      <c r="E166" s="105">
        <f t="shared" si="137"/>
        <v>4.0057010311681275E-2</v>
      </c>
      <c r="F166" s="105">
        <f t="shared" si="137"/>
        <v>4.6746580504199504E-2</v>
      </c>
      <c r="G166" s="105">
        <f t="shared" si="137"/>
        <v>4.8209930171059838E-2</v>
      </c>
      <c r="H166" s="105">
        <f t="shared" si="137"/>
        <v>5.3022627149850343E-2</v>
      </c>
      <c r="I166" s="105">
        <f t="shared" si="137"/>
        <v>5.5206876575651813E-2</v>
      </c>
      <c r="J166" s="105">
        <f t="shared" si="137"/>
        <v>5.5983500140303712E-2</v>
      </c>
      <c r="K166" s="105">
        <f t="shared" si="137"/>
        <v>4.9758217576734834E-2</v>
      </c>
      <c r="L166" s="105">
        <f t="shared" ref="L166" si="138">IF(L55=0,0,L55/L$17)</f>
        <v>5.9278836454861476E-2</v>
      </c>
      <c r="M166" s="105">
        <f t="shared" ref="M166:V166" si="139">IF(M55=0,0,M55/M$17)</f>
        <v>5.8856879969628004E-2</v>
      </c>
      <c r="N166" s="105">
        <f t="shared" si="139"/>
        <v>6.1005021705024649E-2</v>
      </c>
      <c r="O166" s="105">
        <f t="shared" si="139"/>
        <v>5.6107652443785891E-2</v>
      </c>
      <c r="P166" s="105">
        <f t="shared" si="139"/>
        <v>4.6924724621627008E-2</v>
      </c>
      <c r="Q166" s="105">
        <f t="shared" si="139"/>
        <v>4.6819379377813636E-2</v>
      </c>
      <c r="R166" s="105">
        <f t="shared" si="139"/>
        <v>4.6931428206045282E-2</v>
      </c>
      <c r="S166" s="105">
        <f t="shared" si="139"/>
        <v>5.5855250564366597E-2</v>
      </c>
      <c r="T166" s="105">
        <f t="shared" si="139"/>
        <v>6.1427813375964528E-2</v>
      </c>
      <c r="U166" s="105">
        <f t="shared" si="139"/>
        <v>6.4805186752626059E-2</v>
      </c>
      <c r="V166" s="105">
        <f t="shared" si="139"/>
        <v>6.9022965699819458E-2</v>
      </c>
      <c r="W166" s="105">
        <f t="shared" ref="W166" si="140">IF(W55=0,0,W55/W$17)</f>
        <v>5.9370764898589015E-2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30574.648396799999</v>
      </c>
      <c r="C4" s="146">
        <f t="shared" si="0"/>
        <v>30815.72973612</v>
      </c>
      <c r="D4" s="146">
        <f t="shared" si="0"/>
        <v>31553.649194040001</v>
      </c>
      <c r="E4" s="146">
        <f t="shared" si="0"/>
        <v>32128.344074879999</v>
      </c>
      <c r="F4" s="146">
        <f t="shared" si="0"/>
        <v>32674.724250840001</v>
      </c>
      <c r="G4" s="146">
        <f t="shared" si="0"/>
        <v>32857.118214479997</v>
      </c>
      <c r="H4" s="146">
        <f t="shared" si="0"/>
        <v>33767.328047040006</v>
      </c>
      <c r="I4" s="146">
        <f t="shared" si="0"/>
        <v>33214.506865560004</v>
      </c>
      <c r="J4" s="146">
        <f t="shared" si="0"/>
        <v>33665.522085720004</v>
      </c>
      <c r="K4" s="146">
        <f t="shared" si="0"/>
        <v>32250.796303319999</v>
      </c>
      <c r="L4" s="146">
        <f t="shared" ref="L4" si="1">L5+L9+L10+L15</f>
        <v>32738.793571079997</v>
      </c>
      <c r="M4" s="146">
        <f t="shared" ref="M4:V4" si="2">M5+M9+M10+M15</f>
        <v>32843.477417039998</v>
      </c>
      <c r="N4" s="146">
        <f t="shared" si="2"/>
        <v>31431.368232360001</v>
      </c>
      <c r="O4" s="146">
        <f t="shared" si="2"/>
        <v>29842.905311639999</v>
      </c>
      <c r="P4" s="146">
        <f t="shared" si="2"/>
        <v>27284.112800999999</v>
      </c>
      <c r="Q4" s="146">
        <f t="shared" si="2"/>
        <v>27693.78241788</v>
      </c>
      <c r="R4" s="146">
        <f t="shared" si="2"/>
        <v>27874.084491719997</v>
      </c>
      <c r="S4" s="146">
        <f t="shared" si="2"/>
        <v>28750.541765039998</v>
      </c>
      <c r="T4" s="146">
        <f t="shared" si="2"/>
        <v>28876.554612000004</v>
      </c>
      <c r="U4" s="146">
        <f t="shared" si="2"/>
        <v>28505.998271879998</v>
      </c>
      <c r="V4" s="146">
        <f t="shared" si="2"/>
        <v>24324.317179199999</v>
      </c>
      <c r="W4" s="146">
        <f t="shared" ref="W4" si="3">W5+W9+W10+W15</f>
        <v>24426.047017800003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30574.2949668</v>
      </c>
      <c r="C5" s="101">
        <f t="shared" si="4"/>
        <v>30815.174346119999</v>
      </c>
      <c r="D5" s="101">
        <f t="shared" si="4"/>
        <v>31552.74037404</v>
      </c>
      <c r="E5" s="101">
        <f t="shared" si="4"/>
        <v>32127.081824879999</v>
      </c>
      <c r="F5" s="101">
        <f t="shared" si="4"/>
        <v>32673.15906084</v>
      </c>
      <c r="G5" s="101">
        <f t="shared" si="4"/>
        <v>32855.401554479999</v>
      </c>
      <c r="H5" s="101">
        <f t="shared" si="4"/>
        <v>33764.197667040004</v>
      </c>
      <c r="I5" s="101">
        <f t="shared" si="4"/>
        <v>33209.558845560001</v>
      </c>
      <c r="J5" s="101">
        <f t="shared" si="4"/>
        <v>33658.201035720005</v>
      </c>
      <c r="K5" s="101">
        <f t="shared" si="4"/>
        <v>32236.053223319999</v>
      </c>
      <c r="L5" s="101">
        <f t="shared" ref="L5" si="5">SUM(L6:L8)</f>
        <v>32717.032381079996</v>
      </c>
      <c r="M5" s="101">
        <f t="shared" ref="M5:V5" si="6">SUM(M6:M8)</f>
        <v>32802.883658999999</v>
      </c>
      <c r="N5" s="101">
        <f t="shared" si="6"/>
        <v>31375.677964319999</v>
      </c>
      <c r="O5" s="101">
        <f t="shared" si="6"/>
        <v>29781.408693599999</v>
      </c>
      <c r="P5" s="101">
        <f t="shared" si="6"/>
        <v>27212.568672959998</v>
      </c>
      <c r="Q5" s="101">
        <f t="shared" si="6"/>
        <v>27609.062419440001</v>
      </c>
      <c r="R5" s="101">
        <f t="shared" si="6"/>
        <v>27769.252104719999</v>
      </c>
      <c r="S5" s="101">
        <f t="shared" si="6"/>
        <v>28616.677022159998</v>
      </c>
      <c r="T5" s="101">
        <f t="shared" si="6"/>
        <v>28736.202913920002</v>
      </c>
      <c r="U5" s="101">
        <f t="shared" si="6"/>
        <v>28356.153645959999</v>
      </c>
      <c r="V5" s="101">
        <f t="shared" si="6"/>
        <v>24182.42836356</v>
      </c>
      <c r="W5" s="101">
        <f t="shared" ref="W5" si="7">SUM(W6:W8)</f>
        <v>24280.880593320002</v>
      </c>
      <c r="DA5" s="175"/>
    </row>
    <row r="6" spans="1:105" ht="11.45" customHeight="1" x14ac:dyDescent="0.25">
      <c r="A6" s="128" t="s">
        <v>52</v>
      </c>
      <c r="B6" s="101">
        <v>1591.3421208000002</v>
      </c>
      <c r="C6" s="101">
        <v>1477.2673663200001</v>
      </c>
      <c r="D6" s="101">
        <v>1428.7857433199999</v>
      </c>
      <c r="E6" s="101">
        <v>1249.1180845199999</v>
      </c>
      <c r="F6" s="101">
        <v>1240.5623302800002</v>
      </c>
      <c r="G6" s="101">
        <v>1183.5249530400001</v>
      </c>
      <c r="H6" s="101">
        <v>1137.8950966800001</v>
      </c>
      <c r="I6" s="101">
        <v>958.22743788000014</v>
      </c>
      <c r="J6" s="101">
        <v>972.48695256000008</v>
      </c>
      <c r="K6" s="101">
        <v>969.63495876000036</v>
      </c>
      <c r="L6" s="101">
        <v>906.89382108000007</v>
      </c>
      <c r="M6" s="101">
        <v>818.48610216000031</v>
      </c>
      <c r="N6" s="101">
        <v>804.22658748000003</v>
      </c>
      <c r="O6" s="101">
        <v>755.74496448000002</v>
      </c>
      <c r="P6" s="101">
        <v>581.78106611999999</v>
      </c>
      <c r="Q6" s="101">
        <v>506.86960427999992</v>
      </c>
      <c r="R6" s="101">
        <v>479.1270078</v>
      </c>
      <c r="S6" s="101">
        <v>429.66405360000022</v>
      </c>
      <c r="T6" s="101">
        <v>390.17705796000007</v>
      </c>
      <c r="U6" s="101">
        <v>363.15274140000008</v>
      </c>
      <c r="V6" s="101">
        <v>307.86040728000012</v>
      </c>
      <c r="W6" s="101">
        <v>308.67886476000012</v>
      </c>
      <c r="DA6" s="175" t="s">
        <v>740</v>
      </c>
    </row>
    <row r="7" spans="1:105" ht="11.45" customHeight="1" x14ac:dyDescent="0.25">
      <c r="A7" s="128" t="s">
        <v>53</v>
      </c>
      <c r="B7" s="101">
        <v>11500.58442456</v>
      </c>
      <c r="C7" s="101">
        <v>11766.114470879998</v>
      </c>
      <c r="D7" s="101">
        <v>11897.451720000001</v>
      </c>
      <c r="E7" s="101">
        <v>11948.844599999999</v>
      </c>
      <c r="F7" s="101">
        <v>11823.217449120002</v>
      </c>
      <c r="G7" s="101">
        <v>11717.576639999999</v>
      </c>
      <c r="H7" s="101">
        <v>11886.34986</v>
      </c>
      <c r="I7" s="101">
        <v>11849.911809120002</v>
      </c>
      <c r="J7" s="101">
        <v>11785.601603160001</v>
      </c>
      <c r="K7" s="101">
        <v>11739.586264560001</v>
      </c>
      <c r="L7" s="101">
        <v>11745.518399999999</v>
      </c>
      <c r="M7" s="101">
        <v>11903.771796839999</v>
      </c>
      <c r="N7" s="101">
        <v>11380.73697684</v>
      </c>
      <c r="O7" s="101">
        <v>11092.989489120002</v>
      </c>
      <c r="P7" s="101">
        <v>10753.232406839999</v>
      </c>
      <c r="Q7" s="101">
        <v>10984.008891239999</v>
      </c>
      <c r="R7" s="101">
        <v>11340.060260759999</v>
      </c>
      <c r="S7" s="101">
        <v>11709.767417040001</v>
      </c>
      <c r="T7" s="101">
        <v>11888.544286079999</v>
      </c>
      <c r="U7" s="101">
        <v>12123.720599759999</v>
      </c>
      <c r="V7" s="101">
        <v>10110.57891228</v>
      </c>
      <c r="W7" s="101">
        <v>10413.2041398</v>
      </c>
      <c r="DA7" s="175" t="s">
        <v>741</v>
      </c>
    </row>
    <row r="8" spans="1:105" ht="11.45" customHeight="1" x14ac:dyDescent="0.25">
      <c r="A8" s="128" t="s">
        <v>54</v>
      </c>
      <c r="B8" s="101">
        <v>17482.368421440002</v>
      </c>
      <c r="C8" s="101">
        <v>17571.79250892</v>
      </c>
      <c r="D8" s="101">
        <v>18226.502910719999</v>
      </c>
      <c r="E8" s="101">
        <v>18929.119140360002</v>
      </c>
      <c r="F8" s="101">
        <v>19609.37928144</v>
      </c>
      <c r="G8" s="101">
        <v>19954.29996144</v>
      </c>
      <c r="H8" s="101">
        <v>20739.952710360001</v>
      </c>
      <c r="I8" s="101">
        <v>20401.419598559998</v>
      </c>
      <c r="J8" s="101">
        <v>20900.11248</v>
      </c>
      <c r="K8" s="101">
        <v>19526.831999999999</v>
      </c>
      <c r="L8" s="101">
        <v>20064.620159999999</v>
      </c>
      <c r="M8" s="101">
        <v>20080.625759999999</v>
      </c>
      <c r="N8" s="101">
        <v>19190.714400000001</v>
      </c>
      <c r="O8" s="101">
        <v>17932.674239999997</v>
      </c>
      <c r="P8" s="101">
        <v>15877.555200000001</v>
      </c>
      <c r="Q8" s="101">
        <v>16118.183923920004</v>
      </c>
      <c r="R8" s="101">
        <v>15950.06483616</v>
      </c>
      <c r="S8" s="101">
        <v>16477.245551519998</v>
      </c>
      <c r="T8" s="101">
        <v>16457.481569880001</v>
      </c>
      <c r="U8" s="101">
        <v>15869.280304800001</v>
      </c>
      <c r="V8" s="101">
        <v>13763.989043999998</v>
      </c>
      <c r="W8" s="101">
        <v>13558.997588760001</v>
      </c>
      <c r="DA8" s="175" t="s">
        <v>742</v>
      </c>
    </row>
    <row r="9" spans="1:105" ht="11.45" customHeight="1" x14ac:dyDescent="0.25">
      <c r="A9" s="92" t="s">
        <v>55</v>
      </c>
      <c r="B9" s="101">
        <v>0.35342999999999997</v>
      </c>
      <c r="C9" s="101">
        <v>0.55539000000000005</v>
      </c>
      <c r="D9" s="101">
        <v>0.90882000000000007</v>
      </c>
      <c r="E9" s="101">
        <v>1.2622500000000001</v>
      </c>
      <c r="F9" s="101">
        <v>1.5651900000000003</v>
      </c>
      <c r="G9" s="101">
        <v>1.7166600000000001</v>
      </c>
      <c r="H9" s="101">
        <v>3.1303799999999993</v>
      </c>
      <c r="I9" s="101">
        <v>4.9480199999999996</v>
      </c>
      <c r="J9" s="101">
        <v>7.3210500000000014</v>
      </c>
      <c r="K9" s="101">
        <v>14.743080000000001</v>
      </c>
      <c r="L9" s="101">
        <v>21.761190000000003</v>
      </c>
      <c r="M9" s="101">
        <v>40.593758040000004</v>
      </c>
      <c r="N9" s="101">
        <v>55.690268040000021</v>
      </c>
      <c r="O9" s="101">
        <v>61.496618040000008</v>
      </c>
      <c r="P9" s="101">
        <v>71.544128040000004</v>
      </c>
      <c r="Q9" s="101">
        <v>84.719998440000012</v>
      </c>
      <c r="R9" s="101">
        <v>104.832387</v>
      </c>
      <c r="S9" s="101">
        <v>133.86474287999999</v>
      </c>
      <c r="T9" s="101">
        <v>140.35169808000001</v>
      </c>
      <c r="U9" s="101">
        <v>149.84462592000003</v>
      </c>
      <c r="V9" s="101">
        <v>141.88881564000002</v>
      </c>
      <c r="W9" s="101">
        <v>145.16642447999999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30574.648396799999</v>
      </c>
      <c r="C17" s="79">
        <f t="shared" si="12"/>
        <v>30815.729736119996</v>
      </c>
      <c r="D17" s="79">
        <f t="shared" si="12"/>
        <v>31553.649194039994</v>
      </c>
      <c r="E17" s="79">
        <f t="shared" si="12"/>
        <v>32128.344074879999</v>
      </c>
      <c r="F17" s="79">
        <f t="shared" si="12"/>
        <v>32674.724250840009</v>
      </c>
      <c r="G17" s="79">
        <f t="shared" si="12"/>
        <v>32857.118214479997</v>
      </c>
      <c r="H17" s="79">
        <f t="shared" si="12"/>
        <v>33767.328047039999</v>
      </c>
      <c r="I17" s="79">
        <f t="shared" si="12"/>
        <v>33214.506865560004</v>
      </c>
      <c r="J17" s="79">
        <f t="shared" si="12"/>
        <v>33665.522085720004</v>
      </c>
      <c r="K17" s="79">
        <f t="shared" si="12"/>
        <v>32250.796303319999</v>
      </c>
      <c r="L17" s="79">
        <f t="shared" ref="L17" si="13">SUM(L18,L33)</f>
        <v>32738.793571079994</v>
      </c>
      <c r="M17" s="79">
        <f t="shared" ref="M17:V17" si="14">SUM(M18,M33)</f>
        <v>32843.477417040005</v>
      </c>
      <c r="N17" s="79">
        <f t="shared" si="14"/>
        <v>31431.368232360001</v>
      </c>
      <c r="O17" s="79">
        <f t="shared" si="14"/>
        <v>29842.905311639999</v>
      </c>
      <c r="P17" s="79">
        <f t="shared" si="14"/>
        <v>27284.112800999999</v>
      </c>
      <c r="Q17" s="79">
        <f t="shared" si="14"/>
        <v>27693.78241788</v>
      </c>
      <c r="R17" s="79">
        <f t="shared" si="14"/>
        <v>27874.084491720001</v>
      </c>
      <c r="S17" s="79">
        <f t="shared" si="14"/>
        <v>28750.541765039994</v>
      </c>
      <c r="T17" s="79">
        <f t="shared" si="14"/>
        <v>28876.554612000004</v>
      </c>
      <c r="U17" s="79">
        <f t="shared" si="14"/>
        <v>28505.998271879998</v>
      </c>
      <c r="V17" s="79">
        <f t="shared" si="14"/>
        <v>24324.317179199999</v>
      </c>
      <c r="W17" s="79">
        <f t="shared" ref="W17" si="15">SUM(W18,W33)</f>
        <v>24426.047017799996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18492.722803185632</v>
      </c>
      <c r="C18" s="32">
        <f t="shared" si="16"/>
        <v>18639.577353012297</v>
      </c>
      <c r="D18" s="32">
        <f t="shared" si="16"/>
        <v>18987.514633340219</v>
      </c>
      <c r="E18" s="32">
        <f t="shared" si="16"/>
        <v>19083.983467245413</v>
      </c>
      <c r="F18" s="32">
        <f t="shared" si="16"/>
        <v>19165.397913286055</v>
      </c>
      <c r="G18" s="32">
        <f t="shared" si="16"/>
        <v>19249.47854887191</v>
      </c>
      <c r="H18" s="32">
        <f t="shared" si="16"/>
        <v>19664.306422328762</v>
      </c>
      <c r="I18" s="32">
        <f t="shared" si="16"/>
        <v>19457.392374106457</v>
      </c>
      <c r="J18" s="32">
        <f t="shared" si="16"/>
        <v>19610.971198997035</v>
      </c>
      <c r="K18" s="32">
        <f t="shared" si="16"/>
        <v>19415.673759739842</v>
      </c>
      <c r="L18" s="32">
        <f t="shared" ref="L18" si="17">SUM(L19,L20,L27)</f>
        <v>19420.041064147699</v>
      </c>
      <c r="M18" s="32">
        <f t="shared" ref="M18:V18" si="18">SUM(M19,M20,M27)</f>
        <v>19307.971313132039</v>
      </c>
      <c r="N18" s="32">
        <f t="shared" si="18"/>
        <v>18497.051832006004</v>
      </c>
      <c r="O18" s="32">
        <f t="shared" si="18"/>
        <v>18005.892712302593</v>
      </c>
      <c r="P18" s="32">
        <f t="shared" si="18"/>
        <v>17318.433697546719</v>
      </c>
      <c r="Q18" s="32">
        <f t="shared" si="18"/>
        <v>17406.605529042379</v>
      </c>
      <c r="R18" s="32">
        <f t="shared" si="18"/>
        <v>17586.837496950469</v>
      </c>
      <c r="S18" s="32">
        <f t="shared" si="18"/>
        <v>17732.592062926578</v>
      </c>
      <c r="T18" s="32">
        <f t="shared" si="18"/>
        <v>17383.603380654069</v>
      </c>
      <c r="U18" s="32">
        <f t="shared" si="18"/>
        <v>17033.279373235528</v>
      </c>
      <c r="V18" s="32">
        <f t="shared" si="18"/>
        <v>13558.665591390405</v>
      </c>
      <c r="W18" s="32">
        <f t="shared" ref="W18" si="19">SUM(W19,W20,W27)</f>
        <v>14238.428075877006</v>
      </c>
      <c r="DA18" s="173" t="s">
        <v>402</v>
      </c>
    </row>
    <row r="19" spans="1:105" ht="11.45" customHeight="1" x14ac:dyDescent="0.25">
      <c r="A19" s="136" t="s">
        <v>180</v>
      </c>
      <c r="B19" s="141">
        <v>381.47811947768918</v>
      </c>
      <c r="C19" s="141">
        <v>396.03974164051698</v>
      </c>
      <c r="D19" s="141">
        <v>406.59521192409852</v>
      </c>
      <c r="E19" s="141">
        <v>411.75671109877391</v>
      </c>
      <c r="F19" s="141">
        <v>390.74826112066745</v>
      </c>
      <c r="G19" s="141">
        <v>401.41635097010533</v>
      </c>
      <c r="H19" s="141">
        <v>417.24039796098361</v>
      </c>
      <c r="I19" s="141">
        <v>428.39436342550039</v>
      </c>
      <c r="J19" s="141">
        <v>452.95500454277419</v>
      </c>
      <c r="K19" s="141">
        <v>459.7570477290044</v>
      </c>
      <c r="L19" s="141">
        <v>462.03549790086419</v>
      </c>
      <c r="M19" s="141">
        <v>466.45173321735501</v>
      </c>
      <c r="N19" s="141">
        <v>452.03920283328682</v>
      </c>
      <c r="O19" s="141">
        <v>443.07697735468128</v>
      </c>
      <c r="P19" s="141">
        <v>421.22910750263662</v>
      </c>
      <c r="Q19" s="141">
        <v>428.34850908567398</v>
      </c>
      <c r="R19" s="141">
        <v>433.55856412751041</v>
      </c>
      <c r="S19" s="141">
        <v>403.95426245060048</v>
      </c>
      <c r="T19" s="141">
        <v>396.58737004449944</v>
      </c>
      <c r="U19" s="141">
        <v>397.56782922324436</v>
      </c>
      <c r="V19" s="141">
        <v>358.46690131785698</v>
      </c>
      <c r="W19" s="141">
        <v>346.22379046832856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16987.981867621729</v>
      </c>
      <c r="C20" s="130">
        <f t="shared" si="20"/>
        <v>17154.239373915731</v>
      </c>
      <c r="D20" s="130">
        <f t="shared" si="20"/>
        <v>17503.783085516039</v>
      </c>
      <c r="E20" s="130">
        <f t="shared" si="20"/>
        <v>17621.514374429207</v>
      </c>
      <c r="F20" s="130">
        <f t="shared" si="20"/>
        <v>17746.761227233645</v>
      </c>
      <c r="G20" s="130">
        <f t="shared" si="20"/>
        <v>17822.305093032381</v>
      </c>
      <c r="H20" s="130">
        <f t="shared" si="20"/>
        <v>18235.160961998688</v>
      </c>
      <c r="I20" s="130">
        <f t="shared" si="20"/>
        <v>18052.653218586027</v>
      </c>
      <c r="J20" s="130">
        <f t="shared" si="20"/>
        <v>18135.497791463866</v>
      </c>
      <c r="K20" s="130">
        <f t="shared" si="20"/>
        <v>17909.70063033839</v>
      </c>
      <c r="L20" s="130">
        <f t="shared" ref="L20" si="21">SUM(L21:L26)</f>
        <v>17842.819243813334</v>
      </c>
      <c r="M20" s="130">
        <f t="shared" ref="M20:V20" si="22">SUM(M21:M26)</f>
        <v>17761.678322337775</v>
      </c>
      <c r="N20" s="130">
        <f t="shared" si="22"/>
        <v>16998.648022599977</v>
      </c>
      <c r="O20" s="130">
        <f t="shared" si="22"/>
        <v>16555.402896676729</v>
      </c>
      <c r="P20" s="130">
        <f t="shared" si="22"/>
        <v>15942.317370989458</v>
      </c>
      <c r="Q20" s="130">
        <f t="shared" si="22"/>
        <v>16030.901828795206</v>
      </c>
      <c r="R20" s="130">
        <f t="shared" si="22"/>
        <v>16201.803989075308</v>
      </c>
      <c r="S20" s="130">
        <f t="shared" si="22"/>
        <v>16321.092568825388</v>
      </c>
      <c r="T20" s="130">
        <f t="shared" si="22"/>
        <v>16075.531031403698</v>
      </c>
      <c r="U20" s="130">
        <f t="shared" si="22"/>
        <v>15804.975837435701</v>
      </c>
      <c r="V20" s="130">
        <f t="shared" si="22"/>
        <v>12548.658571642438</v>
      </c>
      <c r="W20" s="130">
        <f t="shared" ref="W20" si="23">SUM(W21:W26)</f>
        <v>13320.195421211285</v>
      </c>
      <c r="DA20" s="176" t="s">
        <v>404</v>
      </c>
    </row>
    <row r="21" spans="1:105" ht="11.45" customHeight="1" x14ac:dyDescent="0.25">
      <c r="A21" s="111" t="s">
        <v>110</v>
      </c>
      <c r="B21" s="96">
        <v>10910.720797930428</v>
      </c>
      <c r="C21" s="96">
        <v>11179.669160659405</v>
      </c>
      <c r="D21" s="96">
        <v>11322.43460961938</v>
      </c>
      <c r="E21" s="96">
        <v>11385.377155420465</v>
      </c>
      <c r="F21" s="96">
        <v>11292.306227206158</v>
      </c>
      <c r="G21" s="96">
        <v>11183.131258632591</v>
      </c>
      <c r="H21" s="96">
        <v>11350.735616713609</v>
      </c>
      <c r="I21" s="96">
        <v>11313.03982722725</v>
      </c>
      <c r="J21" s="96">
        <v>11230.552302204338</v>
      </c>
      <c r="K21" s="96">
        <v>11186.992514949592</v>
      </c>
      <c r="L21" s="96">
        <v>11196.529993185233</v>
      </c>
      <c r="M21" s="96">
        <v>11356.133607806783</v>
      </c>
      <c r="N21" s="96">
        <v>10851.800333169142</v>
      </c>
      <c r="O21" s="96">
        <v>10573.481958919707</v>
      </c>
      <c r="P21" s="96">
        <v>10246.3719306986</v>
      </c>
      <c r="Q21" s="96">
        <v>10451.209076196916</v>
      </c>
      <c r="R21" s="96">
        <v>10795.960798893964</v>
      </c>
      <c r="S21" s="96">
        <v>11197.493348628928</v>
      </c>
      <c r="T21" s="96">
        <v>11387.198640093962</v>
      </c>
      <c r="U21" s="96">
        <v>11616.525030657591</v>
      </c>
      <c r="V21" s="96">
        <v>9647.0217326931925</v>
      </c>
      <c r="W21" s="96">
        <v>9942.5722349589851</v>
      </c>
      <c r="DA21" s="171" t="s">
        <v>750</v>
      </c>
    </row>
    <row r="22" spans="1:105" ht="11.45" customHeight="1" x14ac:dyDescent="0.25">
      <c r="A22" s="111" t="s">
        <v>111</v>
      </c>
      <c r="B22" s="96">
        <v>4610.4370862740407</v>
      </c>
      <c r="C22" s="96">
        <v>4621.1054413948541</v>
      </c>
      <c r="D22" s="96">
        <v>4871.2364044337528</v>
      </c>
      <c r="E22" s="96">
        <v>5100.6802135010366</v>
      </c>
      <c r="F22" s="96">
        <v>5323.4194423584686</v>
      </c>
      <c r="G22" s="96">
        <v>5551.1029999951725</v>
      </c>
      <c r="H22" s="96">
        <v>5834.2033476537244</v>
      </c>
      <c r="I22" s="96">
        <v>5868.9534824267312</v>
      </c>
      <c r="J22" s="96">
        <v>6020.8914480298008</v>
      </c>
      <c r="K22" s="96">
        <v>5838.5267747516209</v>
      </c>
      <c r="L22" s="96">
        <v>5823.0647426511632</v>
      </c>
      <c r="M22" s="96">
        <v>5668.0239960390218</v>
      </c>
      <c r="N22" s="96">
        <v>5404.2438208357698</v>
      </c>
      <c r="O22" s="96">
        <v>5277.8000926845434</v>
      </c>
      <c r="P22" s="96">
        <v>5148.45081802188</v>
      </c>
      <c r="Q22" s="96">
        <v>5086.3283594137274</v>
      </c>
      <c r="R22" s="96">
        <v>4953.6076472420082</v>
      </c>
      <c r="S22" s="96">
        <v>4719.299771599045</v>
      </c>
      <c r="T22" s="96">
        <v>4299.1427855721568</v>
      </c>
      <c r="U22" s="96">
        <v>3830.6909010384829</v>
      </c>
      <c r="V22" s="96">
        <v>2606.2854455950096</v>
      </c>
      <c r="W22" s="96">
        <v>3055.5980986389895</v>
      </c>
      <c r="DA22" s="171" t="s">
        <v>751</v>
      </c>
    </row>
    <row r="23" spans="1:105" ht="11.45" customHeight="1" x14ac:dyDescent="0.25">
      <c r="A23" s="111" t="s">
        <v>112</v>
      </c>
      <c r="B23" s="96">
        <v>1466.8239834172596</v>
      </c>
      <c r="C23" s="96">
        <v>1353.4647718614715</v>
      </c>
      <c r="D23" s="96">
        <v>1310.1120714629069</v>
      </c>
      <c r="E23" s="96">
        <v>1135.4570055077065</v>
      </c>
      <c r="F23" s="96">
        <v>1131.0355576690165</v>
      </c>
      <c r="G23" s="96">
        <v>1088.0708344046163</v>
      </c>
      <c r="H23" s="96">
        <v>1050.2219976313545</v>
      </c>
      <c r="I23" s="96">
        <v>870.65990893204332</v>
      </c>
      <c r="J23" s="96">
        <v>884.05404122972539</v>
      </c>
      <c r="K23" s="96">
        <v>884.18134063717503</v>
      </c>
      <c r="L23" s="96">
        <v>822.72488070280917</v>
      </c>
      <c r="M23" s="96">
        <v>735.16863121974745</v>
      </c>
      <c r="N23" s="96">
        <v>723.23825982828032</v>
      </c>
      <c r="O23" s="96">
        <v>675.5775736614753</v>
      </c>
      <c r="P23" s="96">
        <v>501.8971161404512</v>
      </c>
      <c r="Q23" s="96">
        <v>427.00923370984719</v>
      </c>
      <c r="R23" s="96">
        <v>399.55060920757956</v>
      </c>
      <c r="S23" s="96">
        <v>349.84052266097478</v>
      </c>
      <c r="T23" s="96">
        <v>311.60998262689958</v>
      </c>
      <c r="U23" s="96">
        <v>280.86538547696898</v>
      </c>
      <c r="V23" s="96">
        <v>228.06527128777694</v>
      </c>
      <c r="W23" s="96">
        <v>237.66884684820226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0.4996272741293174</v>
      </c>
      <c r="M24" s="96">
        <v>2.3434012790639858</v>
      </c>
      <c r="N24" s="96">
        <v>17.886284866128644</v>
      </c>
      <c r="O24" s="96">
        <v>19.509397949112948</v>
      </c>
      <c r="P24" s="96">
        <v>26.110983918508872</v>
      </c>
      <c r="Q24" s="96">
        <v>27.377673277675797</v>
      </c>
      <c r="R24" s="96">
        <v>7.3662823160057078</v>
      </c>
      <c r="S24" s="96">
        <v>10.217753140772047</v>
      </c>
      <c r="T24" s="96">
        <v>32.441973174498813</v>
      </c>
      <c r="U24" s="96">
        <v>32.195713606434182</v>
      </c>
      <c r="V24" s="96">
        <v>25.656204379712282</v>
      </c>
      <c r="W24" s="96">
        <v>23.69809041435694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8.6859931572141197E-3</v>
      </c>
      <c r="N25" s="96">
        <v>1.4793239006547514</v>
      </c>
      <c r="O25" s="96">
        <v>9.0338734618906891</v>
      </c>
      <c r="P25" s="96">
        <v>19.486522210018425</v>
      </c>
      <c r="Q25" s="96">
        <v>38.977486197039099</v>
      </c>
      <c r="R25" s="96">
        <v>45.318651415751816</v>
      </c>
      <c r="S25" s="96">
        <v>44.241172795668305</v>
      </c>
      <c r="T25" s="96">
        <v>45.137649936179379</v>
      </c>
      <c r="U25" s="96">
        <v>44.698806656225074</v>
      </c>
      <c r="V25" s="96">
        <v>41.629917686747383</v>
      </c>
      <c r="W25" s="96">
        <v>60.658150350751178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1123.2628160862159</v>
      </c>
      <c r="C27" s="130">
        <f t="shared" si="24"/>
        <v>1089.2982374560488</v>
      </c>
      <c r="D27" s="130">
        <f t="shared" si="24"/>
        <v>1077.1363359000811</v>
      </c>
      <c r="E27" s="130">
        <f t="shared" si="24"/>
        <v>1050.712381717432</v>
      </c>
      <c r="F27" s="130">
        <f t="shared" si="24"/>
        <v>1027.8884249317398</v>
      </c>
      <c r="G27" s="130">
        <f t="shared" si="24"/>
        <v>1025.7571048694228</v>
      </c>
      <c r="H27" s="130">
        <f t="shared" si="24"/>
        <v>1011.9050623690908</v>
      </c>
      <c r="I27" s="130">
        <f t="shared" si="24"/>
        <v>976.34479209493043</v>
      </c>
      <c r="J27" s="130">
        <f t="shared" si="24"/>
        <v>1022.5184029903926</v>
      </c>
      <c r="K27" s="130">
        <f t="shared" si="24"/>
        <v>1046.2160816724493</v>
      </c>
      <c r="L27" s="130">
        <f t="shared" ref="L27" si="25">SUM(L28:L32)</f>
        <v>1115.1863224335045</v>
      </c>
      <c r="M27" s="130">
        <f t="shared" ref="M27:V27" si="26">SUM(M28:M32)</f>
        <v>1079.8412575769078</v>
      </c>
      <c r="N27" s="130">
        <f t="shared" si="26"/>
        <v>1046.3646065727414</v>
      </c>
      <c r="O27" s="130">
        <f t="shared" si="26"/>
        <v>1007.4128382711812</v>
      </c>
      <c r="P27" s="130">
        <f t="shared" si="26"/>
        <v>954.88721905462342</v>
      </c>
      <c r="Q27" s="130">
        <f t="shared" si="26"/>
        <v>947.35519116150067</v>
      </c>
      <c r="R27" s="130">
        <f t="shared" si="26"/>
        <v>951.47494374764779</v>
      </c>
      <c r="S27" s="130">
        <f t="shared" si="26"/>
        <v>1007.5452316505924</v>
      </c>
      <c r="T27" s="130">
        <f t="shared" si="26"/>
        <v>911.48497920586897</v>
      </c>
      <c r="U27" s="130">
        <f t="shared" si="26"/>
        <v>830.73570657658354</v>
      </c>
      <c r="V27" s="130">
        <f t="shared" si="26"/>
        <v>651.5401184301104</v>
      </c>
      <c r="W27" s="130">
        <f t="shared" ref="W27" si="27">SUM(W28:W32)</f>
        <v>572.00886419739288</v>
      </c>
      <c r="DA27" s="176" t="s">
        <v>405</v>
      </c>
    </row>
    <row r="28" spans="1:105" ht="11.45" customHeight="1" x14ac:dyDescent="0.25">
      <c r="A28" s="111" t="s">
        <v>110</v>
      </c>
      <c r="B28" s="97">
        <v>0.40196301915430682</v>
      </c>
      <c r="C28" s="97">
        <v>0.4754545359828814</v>
      </c>
      <c r="D28" s="97">
        <v>0.55615968903316637</v>
      </c>
      <c r="E28" s="97">
        <v>0.62072609328551309</v>
      </c>
      <c r="F28" s="97">
        <v>0.57932396857739055</v>
      </c>
      <c r="G28" s="97">
        <v>0.62294488064380238</v>
      </c>
      <c r="H28" s="97">
        <v>0.64123489481553131</v>
      </c>
      <c r="I28" s="97">
        <v>0.67198627427699398</v>
      </c>
      <c r="J28" s="97">
        <v>0.66973005641860239</v>
      </c>
      <c r="K28" s="97">
        <v>0.68455496447370523</v>
      </c>
      <c r="L28" s="97">
        <v>0.73995090738432145</v>
      </c>
      <c r="M28" s="97">
        <v>0.59744993137841551</v>
      </c>
      <c r="N28" s="97">
        <v>0.34909146736125174</v>
      </c>
      <c r="O28" s="97">
        <v>0.30661904393392536</v>
      </c>
      <c r="P28" s="97">
        <v>0.28484081179458615</v>
      </c>
      <c r="Q28" s="97">
        <v>0.43941590911946782</v>
      </c>
      <c r="R28" s="97">
        <v>0.54007288093513117</v>
      </c>
      <c r="S28" s="97">
        <v>0.50178063408186713</v>
      </c>
      <c r="T28" s="97">
        <v>0.44180058077326184</v>
      </c>
      <c r="U28" s="97">
        <v>1.9357738485810774</v>
      </c>
      <c r="V28" s="97">
        <v>1.5716955424687495</v>
      </c>
      <c r="W28" s="97">
        <v>1.7526870563468964</v>
      </c>
      <c r="DA28" s="175" t="s">
        <v>756</v>
      </c>
    </row>
    <row r="29" spans="1:105" ht="11.45" customHeight="1" x14ac:dyDescent="0.25">
      <c r="A29" s="111" t="s">
        <v>111</v>
      </c>
      <c r="B29" s="97">
        <v>1115.7219289853263</v>
      </c>
      <c r="C29" s="97">
        <v>1081.9025510949393</v>
      </c>
      <c r="D29" s="97">
        <v>1070.11098041112</v>
      </c>
      <c r="E29" s="97">
        <v>1044.0966850299596</v>
      </c>
      <c r="F29" s="97">
        <v>1022.3315445951476</v>
      </c>
      <c r="G29" s="97">
        <v>1018.9514616939957</v>
      </c>
      <c r="H29" s="97">
        <v>1004.5934970257117</v>
      </c>
      <c r="I29" s="97">
        <v>968.73480212427864</v>
      </c>
      <c r="J29" s="97">
        <v>1012.5700044549162</v>
      </c>
      <c r="K29" s="97">
        <v>1030.0994340405196</v>
      </c>
      <c r="L29" s="97">
        <v>1093.6191594052766</v>
      </c>
      <c r="M29" s="97">
        <v>1042.6763482333627</v>
      </c>
      <c r="N29" s="97">
        <v>1010.5635015335773</v>
      </c>
      <c r="O29" s="97">
        <v>968.55957421894038</v>
      </c>
      <c r="P29" s="97">
        <v>913.75920947273357</v>
      </c>
      <c r="Q29" s="97">
        <v>894.73274321057295</v>
      </c>
      <c r="R29" s="97">
        <v>854.95031039730418</v>
      </c>
      <c r="S29" s="97">
        <v>886.80835843803175</v>
      </c>
      <c r="T29" s="97">
        <v>812.28039144964896</v>
      </c>
      <c r="U29" s="97">
        <v>721.1807529432034</v>
      </c>
      <c r="V29" s="97">
        <v>544.18017692905062</v>
      </c>
      <c r="W29" s="97">
        <v>458.66185704535792</v>
      </c>
      <c r="DA29" s="175" t="s">
        <v>757</v>
      </c>
    </row>
    <row r="30" spans="1:105" ht="11.45" customHeight="1" x14ac:dyDescent="0.25">
      <c r="A30" s="111" t="s">
        <v>112</v>
      </c>
      <c r="B30" s="97">
        <v>6.7854940817356901</v>
      </c>
      <c r="C30" s="97">
        <v>6.3648418251265371</v>
      </c>
      <c r="D30" s="97">
        <v>5.5603757999278791</v>
      </c>
      <c r="E30" s="97">
        <v>5.0607771577546776</v>
      </c>
      <c r="F30" s="97">
        <v>4.3335187261961359</v>
      </c>
      <c r="G30" s="97">
        <v>5.3102708552651174</v>
      </c>
      <c r="H30" s="97">
        <v>4.3623712962034515</v>
      </c>
      <c r="I30" s="97">
        <v>3.8953692112704719</v>
      </c>
      <c r="J30" s="97">
        <v>3.8849248903168005</v>
      </c>
      <c r="K30" s="97">
        <v>3.6646482032915464</v>
      </c>
      <c r="L30" s="97">
        <v>3.6929935490645289</v>
      </c>
      <c r="M30" s="97">
        <v>3.5661516282572183</v>
      </c>
      <c r="N30" s="97">
        <v>3.4751663744818493</v>
      </c>
      <c r="O30" s="97">
        <v>3.4519647324596763</v>
      </c>
      <c r="P30" s="97">
        <v>3.3911672915319748</v>
      </c>
      <c r="Q30" s="97">
        <v>3.5104780271606115</v>
      </c>
      <c r="R30" s="97">
        <v>3.5255600547900858</v>
      </c>
      <c r="S30" s="97">
        <v>3.5690491127088295</v>
      </c>
      <c r="T30" s="97">
        <v>3.3792159831074713</v>
      </c>
      <c r="U30" s="97">
        <v>3.0617031142355042</v>
      </c>
      <c r="V30" s="97">
        <v>2.5268693786913041</v>
      </c>
      <c r="W30" s="97">
        <v>2.4828549513777749</v>
      </c>
      <c r="DA30" s="175" t="s">
        <v>758</v>
      </c>
    </row>
    <row r="31" spans="1:105" ht="11.45" customHeight="1" x14ac:dyDescent="0.25">
      <c r="A31" s="111" t="s">
        <v>113</v>
      </c>
      <c r="B31" s="97">
        <v>0.35342999999999997</v>
      </c>
      <c r="C31" s="97">
        <v>0.55539000000000005</v>
      </c>
      <c r="D31" s="97">
        <v>0.90882000000000007</v>
      </c>
      <c r="E31" s="97">
        <v>0.93419343643201502</v>
      </c>
      <c r="F31" s="97">
        <v>0.6440376418186734</v>
      </c>
      <c r="G31" s="97">
        <v>0.87242743951802681</v>
      </c>
      <c r="H31" s="97">
        <v>2.3079591523601386</v>
      </c>
      <c r="I31" s="97">
        <v>3.0426344851043936</v>
      </c>
      <c r="J31" s="97">
        <v>5.3937435887409304</v>
      </c>
      <c r="K31" s="97">
        <v>11.76744446416428</v>
      </c>
      <c r="L31" s="97">
        <v>17.134218571779044</v>
      </c>
      <c r="M31" s="97">
        <v>33.001307783909333</v>
      </c>
      <c r="N31" s="97">
        <v>31.976847197321025</v>
      </c>
      <c r="O31" s="97">
        <v>35.094680275847196</v>
      </c>
      <c r="P31" s="97">
        <v>37.452001478563325</v>
      </c>
      <c r="Q31" s="97">
        <v>48.672554014647623</v>
      </c>
      <c r="R31" s="97">
        <v>92.459000414618473</v>
      </c>
      <c r="S31" s="97">
        <v>116.66604346576992</v>
      </c>
      <c r="T31" s="97">
        <v>95.383571192339318</v>
      </c>
      <c r="U31" s="97">
        <v>104.55747667056355</v>
      </c>
      <c r="V31" s="97">
        <v>103.26137657989962</v>
      </c>
      <c r="W31" s="97">
        <v>109.11146514431037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12081.925593614367</v>
      </c>
      <c r="C33" s="32">
        <f t="shared" si="28"/>
        <v>12176.152383107701</v>
      </c>
      <c r="D33" s="32">
        <f t="shared" si="28"/>
        <v>12566.134560699777</v>
      </c>
      <c r="E33" s="32">
        <f t="shared" si="28"/>
        <v>13044.360607634588</v>
      </c>
      <c r="F33" s="32">
        <f t="shared" si="28"/>
        <v>13509.326337553954</v>
      </c>
      <c r="G33" s="32">
        <f t="shared" si="28"/>
        <v>13607.639665608087</v>
      </c>
      <c r="H33" s="32">
        <f t="shared" si="28"/>
        <v>14103.021624711237</v>
      </c>
      <c r="I33" s="32">
        <f t="shared" si="28"/>
        <v>13757.114491453547</v>
      </c>
      <c r="J33" s="32">
        <f t="shared" si="28"/>
        <v>14054.550886722969</v>
      </c>
      <c r="K33" s="32">
        <f t="shared" si="28"/>
        <v>12835.122543580157</v>
      </c>
      <c r="L33" s="32">
        <f t="shared" ref="L33" si="29">L34+L40</f>
        <v>13318.752506932295</v>
      </c>
      <c r="M33" s="32">
        <f t="shared" ref="M33:V33" si="30">M34+M40</f>
        <v>13535.506103907963</v>
      </c>
      <c r="N33" s="32">
        <f t="shared" si="30"/>
        <v>12934.316400353995</v>
      </c>
      <c r="O33" s="32">
        <f t="shared" si="30"/>
        <v>11837.012599337406</v>
      </c>
      <c r="P33" s="32">
        <f t="shared" si="30"/>
        <v>9965.6791034532798</v>
      </c>
      <c r="Q33" s="32">
        <f t="shared" si="30"/>
        <v>10287.176888837621</v>
      </c>
      <c r="R33" s="32">
        <f t="shared" si="30"/>
        <v>10287.246994769532</v>
      </c>
      <c r="S33" s="32">
        <f t="shared" si="30"/>
        <v>11017.949702113416</v>
      </c>
      <c r="T33" s="32">
        <f t="shared" si="30"/>
        <v>11492.951231345935</v>
      </c>
      <c r="U33" s="32">
        <f t="shared" si="30"/>
        <v>11472.718898644471</v>
      </c>
      <c r="V33" s="32">
        <f t="shared" si="30"/>
        <v>10765.651587809592</v>
      </c>
      <c r="W33" s="32">
        <f t="shared" ref="W33" si="31">W34+W40</f>
        <v>10187.618941922992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5484.7406104897991</v>
      </c>
      <c r="C34" s="141">
        <f t="shared" si="32"/>
        <v>5689.6450334727861</v>
      </c>
      <c r="D34" s="141">
        <f t="shared" si="32"/>
        <v>5833.5404065728671</v>
      </c>
      <c r="E34" s="141">
        <f t="shared" si="32"/>
        <v>6057.4030087280944</v>
      </c>
      <c r="F34" s="141">
        <f t="shared" si="32"/>
        <v>6348.1186101000703</v>
      </c>
      <c r="G34" s="141">
        <f t="shared" si="32"/>
        <v>6406.3742828142431</v>
      </c>
      <c r="H34" s="141">
        <f t="shared" si="32"/>
        <v>6335.6362262277044</v>
      </c>
      <c r="I34" s="141">
        <f t="shared" si="32"/>
        <v>6192.8013854596929</v>
      </c>
      <c r="J34" s="141">
        <f t="shared" si="32"/>
        <v>6342.1126630791059</v>
      </c>
      <c r="K34" s="141">
        <f t="shared" si="32"/>
        <v>5896.376469722778</v>
      </c>
      <c r="L34" s="141">
        <f t="shared" ref="L34" si="33">SUM(L35:L39)</f>
        <v>6094.7701431105361</v>
      </c>
      <c r="M34" s="141">
        <f t="shared" ref="M34:V34" si="34">SUM(M35:M39)</f>
        <v>6129.2010511805347</v>
      </c>
      <c r="N34" s="141">
        <f t="shared" si="34"/>
        <v>5791.5332967229951</v>
      </c>
      <c r="O34" s="141">
        <f t="shared" si="34"/>
        <v>5577.517952059553</v>
      </c>
      <c r="P34" s="141">
        <f t="shared" si="34"/>
        <v>5244.4299789304814</v>
      </c>
      <c r="Q34" s="141">
        <f t="shared" si="34"/>
        <v>5489.4697670936148</v>
      </c>
      <c r="R34" s="141">
        <f t="shared" si="34"/>
        <v>5563.259763403853</v>
      </c>
      <c r="S34" s="141">
        <f t="shared" si="34"/>
        <v>5510.5446771668257</v>
      </c>
      <c r="T34" s="141">
        <f t="shared" si="34"/>
        <v>5296.4618195325093</v>
      </c>
      <c r="U34" s="141">
        <f t="shared" si="34"/>
        <v>5177.9906843567123</v>
      </c>
      <c r="V34" s="141">
        <f t="shared" si="34"/>
        <v>5034.3120621598046</v>
      </c>
      <c r="W34" s="141">
        <f t="shared" ref="W34" si="35">SUM(W35:W39)</f>
        <v>5075.2377574593738</v>
      </c>
      <c r="DA34" s="174" t="s">
        <v>411</v>
      </c>
    </row>
    <row r="35" spans="1:105" ht="11.45" customHeight="1" x14ac:dyDescent="0.25">
      <c r="A35" s="111" t="s">
        <v>110</v>
      </c>
      <c r="B35" s="96">
        <v>207.9835441327279</v>
      </c>
      <c r="C35" s="96">
        <v>189.93011404409259</v>
      </c>
      <c r="D35" s="96">
        <v>167.86573876748764</v>
      </c>
      <c r="E35" s="96">
        <v>151.0900073874748</v>
      </c>
      <c r="F35" s="96">
        <v>139.58363682460055</v>
      </c>
      <c r="G35" s="96">
        <v>132.40608551665855</v>
      </c>
      <c r="H35" s="96">
        <v>117.73261043059078</v>
      </c>
      <c r="I35" s="96">
        <v>107.80563219297318</v>
      </c>
      <c r="J35" s="96">
        <v>101.42456635647045</v>
      </c>
      <c r="K35" s="96">
        <v>92.152146916930363</v>
      </c>
      <c r="L35" s="96">
        <v>86.212958006518605</v>
      </c>
      <c r="M35" s="96">
        <v>80.580319891325061</v>
      </c>
      <c r="N35" s="96">
        <v>75.069025469554688</v>
      </c>
      <c r="O35" s="96">
        <v>67.090060339790256</v>
      </c>
      <c r="P35" s="96">
        <v>65.860005616950914</v>
      </c>
      <c r="Q35" s="96">
        <v>65.034403851249209</v>
      </c>
      <c r="R35" s="96">
        <v>64.682173441839197</v>
      </c>
      <c r="S35" s="96">
        <v>63.576852530721226</v>
      </c>
      <c r="T35" s="96">
        <v>59.178825424584566</v>
      </c>
      <c r="U35" s="96">
        <v>62.993159374360069</v>
      </c>
      <c r="V35" s="96">
        <v>61.888665039734249</v>
      </c>
      <c r="W35" s="96">
        <v>61.99727696558827</v>
      </c>
      <c r="DA35" s="171" t="s">
        <v>761</v>
      </c>
    </row>
    <row r="36" spans="1:105" ht="11.45" customHeight="1" x14ac:dyDescent="0.25">
      <c r="A36" s="111" t="s">
        <v>111</v>
      </c>
      <c r="B36" s="96">
        <v>5159.0244230560666</v>
      </c>
      <c r="C36" s="96">
        <v>5382.2771667952911</v>
      </c>
      <c r="D36" s="96">
        <v>5552.5613717482147</v>
      </c>
      <c r="E36" s="96">
        <v>5797.3846429225132</v>
      </c>
      <c r="F36" s="96">
        <v>6102.4205670325</v>
      </c>
      <c r="G36" s="96">
        <v>6182.9801169569846</v>
      </c>
      <c r="H36" s="96">
        <v>6133.7704671970314</v>
      </c>
      <c r="I36" s="96">
        <v>5999.4182080151368</v>
      </c>
      <c r="J36" s="96">
        <v>6154.2128038714181</v>
      </c>
      <c r="K36" s="96">
        <v>5719.4597173504781</v>
      </c>
      <c r="L36" s="96">
        <v>5923.9538941217997</v>
      </c>
      <c r="M36" s="96">
        <v>5963.6203630001864</v>
      </c>
      <c r="N36" s="96">
        <v>5633.1239739996527</v>
      </c>
      <c r="O36" s="96">
        <v>5426.8199258186578</v>
      </c>
      <c r="P36" s="96">
        <v>5094.0960479825862</v>
      </c>
      <c r="Q36" s="96">
        <v>5339.4156995516969</v>
      </c>
      <c r="R36" s="96">
        <v>5417.5196471550071</v>
      </c>
      <c r="S36" s="96">
        <v>5363.7323965363294</v>
      </c>
      <c r="T36" s="96">
        <v>5149.5689810447693</v>
      </c>
      <c r="U36" s="96">
        <v>5022.6804365305543</v>
      </c>
      <c r="V36" s="96">
        <v>4882.1838958261505</v>
      </c>
      <c r="W36" s="96">
        <v>4932.3564486120331</v>
      </c>
      <c r="DA36" s="171" t="s">
        <v>762</v>
      </c>
    </row>
    <row r="37" spans="1:105" ht="11.45" customHeight="1" x14ac:dyDescent="0.25">
      <c r="A37" s="111" t="s">
        <v>112</v>
      </c>
      <c r="B37" s="96">
        <v>117.73264330100483</v>
      </c>
      <c r="C37" s="96">
        <v>117.43775263340216</v>
      </c>
      <c r="D37" s="96">
        <v>113.1132960571652</v>
      </c>
      <c r="E37" s="96">
        <v>108.60030185453874</v>
      </c>
      <c r="F37" s="96">
        <v>105.19325388478747</v>
      </c>
      <c r="G37" s="96">
        <v>90.143847780118591</v>
      </c>
      <c r="H37" s="96">
        <v>83.310727752442034</v>
      </c>
      <c r="I37" s="96">
        <v>83.672159736686481</v>
      </c>
      <c r="J37" s="96">
        <v>84.547986439957896</v>
      </c>
      <c r="K37" s="96">
        <v>81.788969919533699</v>
      </c>
      <c r="L37" s="96">
        <v>80.475946828126254</v>
      </c>
      <c r="M37" s="96">
        <v>79.751319311995587</v>
      </c>
      <c r="N37" s="96">
        <v>77.513161277237842</v>
      </c>
      <c r="O37" s="96">
        <v>76.715426086065023</v>
      </c>
      <c r="P37" s="96">
        <v>76.492782688016746</v>
      </c>
      <c r="Q37" s="96">
        <v>76.349892542992123</v>
      </c>
      <c r="R37" s="96">
        <v>76.050838537630327</v>
      </c>
      <c r="S37" s="96">
        <v>76.254481826316649</v>
      </c>
      <c r="T37" s="96">
        <v>75.187859349992991</v>
      </c>
      <c r="U37" s="96">
        <v>79.225652808795616</v>
      </c>
      <c r="V37" s="96">
        <v>77.268266613531921</v>
      </c>
      <c r="W37" s="96">
        <v>68.5271629604201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0.32805656356798507</v>
      </c>
      <c r="F38" s="96">
        <v>0.92115235818132679</v>
      </c>
      <c r="G38" s="96">
        <v>0.84423256048197315</v>
      </c>
      <c r="H38" s="96">
        <v>0.8224208476398609</v>
      </c>
      <c r="I38" s="96">
        <v>1.9053855148956058</v>
      </c>
      <c r="J38" s="96">
        <v>1.9273064112590705</v>
      </c>
      <c r="K38" s="96">
        <v>2.9756355358357225</v>
      </c>
      <c r="L38" s="96">
        <v>4.1273441540916433</v>
      </c>
      <c r="M38" s="96">
        <v>5.2490489770266864</v>
      </c>
      <c r="N38" s="96">
        <v>5.8271359765503474</v>
      </c>
      <c r="O38" s="96">
        <v>6.8925398150398562</v>
      </c>
      <c r="P38" s="96">
        <v>7.9811426429278001</v>
      </c>
      <c r="Q38" s="96">
        <v>8.6697711476765988</v>
      </c>
      <c r="R38" s="96">
        <v>5.0071042693758088</v>
      </c>
      <c r="S38" s="96">
        <v>6.9809462734580334</v>
      </c>
      <c r="T38" s="96">
        <v>12.526153713161868</v>
      </c>
      <c r="U38" s="96">
        <v>13.091435643002296</v>
      </c>
      <c r="V38" s="96">
        <v>12.97123468038814</v>
      </c>
      <c r="W38" s="96">
        <v>12.356868921332676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6597.1849831245672</v>
      </c>
      <c r="C40" s="130">
        <f t="shared" si="36"/>
        <v>6486.507349634915</v>
      </c>
      <c r="D40" s="130">
        <f t="shared" si="36"/>
        <v>6732.5941541269094</v>
      </c>
      <c r="E40" s="130">
        <f t="shared" si="36"/>
        <v>6986.9575989064933</v>
      </c>
      <c r="F40" s="130">
        <f t="shared" si="36"/>
        <v>7161.2077274538824</v>
      </c>
      <c r="G40" s="130">
        <f t="shared" si="36"/>
        <v>7201.2653827938448</v>
      </c>
      <c r="H40" s="130">
        <f t="shared" si="36"/>
        <v>7767.3853984835332</v>
      </c>
      <c r="I40" s="130">
        <f t="shared" si="36"/>
        <v>7564.3131059938532</v>
      </c>
      <c r="J40" s="130">
        <f t="shared" si="36"/>
        <v>7712.4382236438632</v>
      </c>
      <c r="K40" s="130">
        <f t="shared" si="36"/>
        <v>6938.7460738573791</v>
      </c>
      <c r="L40" s="130">
        <f t="shared" ref="L40" si="37">SUM(L41:L42)</f>
        <v>7223.9823638217576</v>
      </c>
      <c r="M40" s="130">
        <f t="shared" ref="M40:V40" si="38">SUM(M41:M42)</f>
        <v>7406.3050527274272</v>
      </c>
      <c r="N40" s="130">
        <f t="shared" si="38"/>
        <v>7142.7831036309999</v>
      </c>
      <c r="O40" s="130">
        <f t="shared" si="38"/>
        <v>6259.4946472778538</v>
      </c>
      <c r="P40" s="130">
        <f t="shared" si="38"/>
        <v>4721.2491245227993</v>
      </c>
      <c r="Q40" s="130">
        <f t="shared" si="38"/>
        <v>4797.7071217440061</v>
      </c>
      <c r="R40" s="130">
        <f t="shared" si="38"/>
        <v>4723.9872313656797</v>
      </c>
      <c r="S40" s="130">
        <f t="shared" si="38"/>
        <v>5507.4050249465899</v>
      </c>
      <c r="T40" s="130">
        <f t="shared" si="38"/>
        <v>6196.4894118134243</v>
      </c>
      <c r="U40" s="130">
        <f t="shared" si="38"/>
        <v>6294.7282142877593</v>
      </c>
      <c r="V40" s="130">
        <f t="shared" si="38"/>
        <v>5731.339525649787</v>
      </c>
      <c r="W40" s="130">
        <f t="shared" ref="W40" si="39">SUM(W41:W42)</f>
        <v>5112.3811844636193</v>
      </c>
      <c r="DA40" s="176" t="s">
        <v>412</v>
      </c>
    </row>
    <row r="41" spans="1:105" ht="11.45" customHeight="1" x14ac:dyDescent="0.25">
      <c r="A41" s="128" t="s">
        <v>27</v>
      </c>
      <c r="B41" s="97">
        <v>5402.3808287628972</v>
      </c>
      <c r="C41" s="97">
        <v>5235.524181078511</v>
      </c>
      <c r="D41" s="97">
        <v>5434.2830950630787</v>
      </c>
      <c r="E41" s="97">
        <v>5658.0073748778168</v>
      </c>
      <c r="F41" s="97">
        <v>5585.229651456033</v>
      </c>
      <c r="G41" s="97">
        <v>5567.9853303495383</v>
      </c>
      <c r="H41" s="97">
        <v>5921.9563763671104</v>
      </c>
      <c r="I41" s="97">
        <v>5688.3438406054147</v>
      </c>
      <c r="J41" s="97">
        <v>5773.9985245704156</v>
      </c>
      <c r="K41" s="97">
        <v>5288.730835294612</v>
      </c>
      <c r="L41" s="97">
        <v>5212.3453866085238</v>
      </c>
      <c r="M41" s="97">
        <v>5409.7497778623738</v>
      </c>
      <c r="N41" s="97">
        <v>5167.9018365656248</v>
      </c>
      <c r="O41" s="97">
        <v>4532.3497738520546</v>
      </c>
      <c r="P41" s="97">
        <v>3404.8913653479444</v>
      </c>
      <c r="Q41" s="97">
        <v>3454.4593136571812</v>
      </c>
      <c r="R41" s="97">
        <v>3366.8362588974401</v>
      </c>
      <c r="S41" s="97">
        <v>3847.6715303543206</v>
      </c>
      <c r="T41" s="97">
        <v>4375.7460746278557</v>
      </c>
      <c r="U41" s="97">
        <v>4403.9416430978808</v>
      </c>
      <c r="V41" s="97">
        <v>3986.7839007297434</v>
      </c>
      <c r="W41" s="97">
        <v>3608.5838162761056</v>
      </c>
      <c r="DA41" s="175" t="s">
        <v>766</v>
      </c>
    </row>
    <row r="42" spans="1:105" ht="11.45" customHeight="1" x14ac:dyDescent="0.25">
      <c r="A42" s="138" t="s">
        <v>116</v>
      </c>
      <c r="B42" s="98">
        <v>1194.8041543616696</v>
      </c>
      <c r="C42" s="98">
        <v>1250.9831685564041</v>
      </c>
      <c r="D42" s="98">
        <v>1298.3110590638312</v>
      </c>
      <c r="E42" s="98">
        <v>1328.9502240286768</v>
      </c>
      <c r="F42" s="98">
        <v>1575.9780759978491</v>
      </c>
      <c r="G42" s="98">
        <v>1633.2800524443069</v>
      </c>
      <c r="H42" s="98">
        <v>1845.4290221164229</v>
      </c>
      <c r="I42" s="98">
        <v>1875.9692653884381</v>
      </c>
      <c r="J42" s="98">
        <v>1938.4396990734479</v>
      </c>
      <c r="K42" s="98">
        <v>1650.0152385627671</v>
      </c>
      <c r="L42" s="98">
        <v>2011.6369772132341</v>
      </c>
      <c r="M42" s="98">
        <v>1996.5552748650534</v>
      </c>
      <c r="N42" s="98">
        <v>1974.8812670653751</v>
      </c>
      <c r="O42" s="98">
        <v>1727.1448734257997</v>
      </c>
      <c r="P42" s="98">
        <v>1316.3577591748553</v>
      </c>
      <c r="Q42" s="98">
        <v>1343.2478080868248</v>
      </c>
      <c r="R42" s="98">
        <v>1357.1509724682394</v>
      </c>
      <c r="S42" s="98">
        <v>1659.7334945922694</v>
      </c>
      <c r="T42" s="98">
        <v>1820.7433371855689</v>
      </c>
      <c r="U42" s="98">
        <v>1890.7865711898787</v>
      </c>
      <c r="V42" s="98">
        <v>1744.5556249200438</v>
      </c>
      <c r="W42" s="98">
        <v>1503.7973681875135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2.9968616204331386</v>
      </c>
      <c r="C47" s="145">
        <f>IF(C4=0,0,C4/TrRoad_ene!C4)</f>
        <v>2.9978254563572833</v>
      </c>
      <c r="D47" s="145">
        <f>IF(D4=0,0,D4/TrRoad_ene!D4)</f>
        <v>3.0000979778356487</v>
      </c>
      <c r="E47" s="145">
        <f>IF(E4=0,0,E4/TrRoad_ene!E4)</f>
        <v>3.0044057410474752</v>
      </c>
      <c r="F47" s="145">
        <f>IF(F4=0,0,F4/TrRoad_ene!F4)</f>
        <v>3.0068518525032393</v>
      </c>
      <c r="G47" s="145">
        <f>IF(G4=0,0,G4/TrRoad_ene!G4)</f>
        <v>3.0088860319981481</v>
      </c>
      <c r="H47" s="145">
        <f>IF(H4=0,0,H4/TrRoad_ene!H4)</f>
        <v>3.0000473264098972</v>
      </c>
      <c r="I47" s="145">
        <f>IF(I4=0,0,I4/TrRoad_ene!I4)</f>
        <v>2.9247677819674438</v>
      </c>
      <c r="J47" s="145">
        <f>IF(J4=0,0,J4/TrRoad_ene!J4)</f>
        <v>2.9381886503999528</v>
      </c>
      <c r="K47" s="145">
        <f>IF(K4=0,0,K4/TrRoad_ene!K4)</f>
        <v>2.9086613719091114</v>
      </c>
      <c r="L47" s="145">
        <f>IF(L4=0,0,L4/TrRoad_ene!L4)</f>
        <v>2.9499141159585651</v>
      </c>
      <c r="M47" s="145">
        <f>IF(M4=0,0,M4/TrRoad_ene!M4)</f>
        <v>2.9258626601332787</v>
      </c>
      <c r="N47" s="145">
        <f>IF(N4=0,0,N4/TrRoad_ene!N4)</f>
        <v>2.9236800101995652</v>
      </c>
      <c r="O47" s="145">
        <f>IF(O4=0,0,O4/TrRoad_ene!O4)</f>
        <v>2.9201953551478241</v>
      </c>
      <c r="P47" s="145">
        <f>IF(P4=0,0,P4/TrRoad_ene!P4)</f>
        <v>2.8930443844588662</v>
      </c>
      <c r="Q47" s="145">
        <f>IF(Q4=0,0,Q4/TrRoad_ene!Q4)</f>
        <v>2.9098955856544904</v>
      </c>
      <c r="R47" s="145">
        <f>IF(R4=0,0,R4/TrRoad_ene!R4)</f>
        <v>2.9251927800539335</v>
      </c>
      <c r="S47" s="145">
        <f>IF(S4=0,0,S4/TrRoad_ene!S4)</f>
        <v>2.9068484068345732</v>
      </c>
      <c r="T47" s="145">
        <f>IF(T4=0,0,T4/TrRoad_ene!T4)</f>
        <v>2.8503391015388515</v>
      </c>
      <c r="U47" s="145">
        <f>IF(U4=0,0,U4/TrRoad_ene!U4)</f>
        <v>2.8075886481150589</v>
      </c>
      <c r="V47" s="145">
        <f>IF(V4=0,0,V4/TrRoad_ene!V4)</f>
        <v>2.8015550692077662</v>
      </c>
      <c r="W47" s="145">
        <f>IF(W4=0,0,W4/TrRoad_ene!W4)</f>
        <v>2.7651080543800211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2.888250510596257</v>
      </c>
      <c r="I48" s="97">
        <f>IF(I7=0,0,(I7+I12)/(TrRoad_ene!I7+TrRoad_ene!I12))</f>
        <v>2.8400651023769039</v>
      </c>
      <c r="J48" s="97">
        <f>IF(J7=0,0,(J7+J12)/(TrRoad_ene!J7+TrRoad_ene!J12))</f>
        <v>2.8264138471239417</v>
      </c>
      <c r="K48" s="97">
        <f>IF(K7=0,0,(K7+K12)/(TrRoad_ene!K7+TrRoad_ene!K12))</f>
        <v>2.805503569348645</v>
      </c>
      <c r="L48" s="97">
        <f>IF(L7=0,0,(L7+L12)/(TrRoad_ene!L7+TrRoad_ene!L12))</f>
        <v>2.8083959496710529</v>
      </c>
      <c r="M48" s="97">
        <f>IF(M7=0,0,(M7+M12)/(TrRoad_ene!M7+TrRoad_ene!M12))</f>
        <v>2.7997923749181104</v>
      </c>
      <c r="N48" s="97">
        <f>IF(N7=0,0,(N7+N12)/(TrRoad_ene!N7+TrRoad_ene!N12))</f>
        <v>2.8122178810601257</v>
      </c>
      <c r="O48" s="97">
        <f>IF(O7=0,0,(O7+O12)/(TrRoad_ene!O7+TrRoad_ene!O12))</f>
        <v>2.8095172005668361</v>
      </c>
      <c r="P48" s="97">
        <f>IF(P7=0,0,(P7+P12)/(TrRoad_ene!P7+TrRoad_ene!P12))</f>
        <v>2.8043471270487199</v>
      </c>
      <c r="Q48" s="97">
        <f>IF(Q7=0,0,(Q7+Q12)/(TrRoad_ene!Q7+TrRoad_ene!Q12))</f>
        <v>2.7964658680707579</v>
      </c>
      <c r="R48" s="97">
        <f>IF(R7=0,0,(R7+R12)/(TrRoad_ene!R7+TrRoad_ene!R12))</f>
        <v>2.8146117317748831</v>
      </c>
      <c r="S48" s="97">
        <f>IF(S7=0,0,(S7+S12)/(TrRoad_ene!S7+TrRoad_ene!S12))</f>
        <v>2.8116229922916522</v>
      </c>
      <c r="T48" s="97">
        <f>IF(T7=0,0,(T7+T12)/(TrRoad_ene!T7+TrRoad_ene!T12))</f>
        <v>2.7854316758870632</v>
      </c>
      <c r="U48" s="97">
        <f>IF(U7=0,0,(U7+U12)/(TrRoad_ene!U7+TrRoad_ene!U12))</f>
        <v>2.7697169097837993</v>
      </c>
      <c r="V48" s="97">
        <f>IF(V7=0,0,(V7+V12)/(TrRoad_ene!V7+TrRoad_ene!V12))</f>
        <v>2.724407379114075</v>
      </c>
      <c r="W48" s="97">
        <f>IF(W7=0,0,(W7+W12)/(TrRoad_ene!W7+TrRoad_ene!W12))</f>
        <v>2.7243924309434018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3.092199551955483</v>
      </c>
      <c r="I49" s="97">
        <f>IF(I8=0,0,(I8+I13+I14)/(TrRoad_ene!I8+TrRoad_ene!I13+TrRoad_ene!I14))</f>
        <v>2.9922379260543814</v>
      </c>
      <c r="J49" s="97">
        <f>IF(J8=0,0,(J8+J13+J14)/(TrRoad_ene!J8+TrRoad_ene!J13+TrRoad_ene!J14))</f>
        <v>3.0219451053752646</v>
      </c>
      <c r="K49" s="97">
        <f>IF(K8=0,0,(K8+K13+K14)/(TrRoad_ene!K8+TrRoad_ene!K13+TrRoad_ene!K14))</f>
        <v>2.9907207328733025</v>
      </c>
      <c r="L49" s="97">
        <f>IF(L8=0,0,(L8+L13+L14)/(TrRoad_ene!L8+TrRoad_ene!L13+TrRoad_ene!L14))</f>
        <v>3.0577124391327914</v>
      </c>
      <c r="M49" s="97">
        <f>IF(M8=0,0,(M8+M13+M14)/(TrRoad_ene!M8+TrRoad_ene!M13+TrRoad_ene!M14))</f>
        <v>3.0219613473247287</v>
      </c>
      <c r="N49" s="97">
        <f>IF(N8=0,0,(N8+N13+N14)/(TrRoad_ene!N8+TrRoad_ene!N13+TrRoad_ene!N14))</f>
        <v>3.0112163239791681</v>
      </c>
      <c r="O49" s="97">
        <f>IF(O8=0,0,(O8+O13+O14)/(TrRoad_ene!O8+TrRoad_ene!O13+TrRoad_ene!O14))</f>
        <v>3.0121560994524947</v>
      </c>
      <c r="P49" s="97">
        <f>IF(P8=0,0,(P8+P13+P14)/(TrRoad_ene!P8+TrRoad_ene!P13+TrRoad_ene!P14))</f>
        <v>2.9745239167916027</v>
      </c>
      <c r="Q49" s="97">
        <f>IF(Q8=0,0,(Q8+Q13+Q14)/(TrRoad_ene!Q8+TrRoad_ene!Q13+TrRoad_ene!Q14))</f>
        <v>3.0145717011923971</v>
      </c>
      <c r="R49" s="97">
        <f>IF(R8=0,0,(R8+R13+R14)/(TrRoad_ene!R8+TrRoad_ene!R13+TrRoad_ene!R14))</f>
        <v>3.0347175214601743</v>
      </c>
      <c r="S49" s="97">
        <f>IF(S8=0,0,(S8+S13+S14)/(TrRoad_ene!S8+TrRoad_ene!S13+TrRoad_ene!S14))</f>
        <v>3.0043512411825266</v>
      </c>
      <c r="T49" s="97">
        <f>IF(T8=0,0,(T8+T13+T14)/(TrRoad_ene!T8+TrRoad_ene!T13+TrRoad_ene!T14))</f>
        <v>2.9257339373959788</v>
      </c>
      <c r="U49" s="97">
        <f>IF(U8=0,0,(U8+U13+U14)/(TrRoad_ene!U8+TrRoad_ene!U13+TrRoad_ene!U14))</f>
        <v>2.8736241576984223</v>
      </c>
      <c r="V49" s="97">
        <f>IF(V8=0,0,(V8+V13+V14)/(TrRoad_ene!V8+TrRoad_ene!V13+TrRoad_ene!V14))</f>
        <v>2.9110503133586634</v>
      </c>
      <c r="W49" s="97">
        <f>IF(W8=0,0,(W8+W13+W14)/(TrRoad_ene!W8+TrRoad_ene!W13+TrRoad_ene!W14))</f>
        <v>2.86731624193113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2.6418708000000009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268.39716347662272</v>
      </c>
      <c r="C54" s="62">
        <f>IF(TrRoad_act!C30=0,0,C17/TrRoad_act!C30*1000
)</f>
        <v>264.31291755500212</v>
      </c>
      <c r="D54" s="62">
        <f>IF(TrRoad_act!D30=0,0,D17/TrRoad_act!D30*1000
)</f>
        <v>264.25960907730445</v>
      </c>
      <c r="E54" s="62">
        <f>IF(TrRoad_act!E30=0,0,E17/TrRoad_act!E30*1000
)</f>
        <v>264.38733378239425</v>
      </c>
      <c r="F54" s="62">
        <f>IF(TrRoad_act!F30=0,0,F17/TrRoad_act!F30*1000
)</f>
        <v>261.6087090852061</v>
      </c>
      <c r="G54" s="62">
        <f>IF(TrRoad_act!G30=0,0,G17/TrRoad_act!G30*1000
)</f>
        <v>258.73212058963423</v>
      </c>
      <c r="H54" s="62">
        <f>IF(TrRoad_act!H30=0,0,H17/TrRoad_act!H30*1000
)</f>
        <v>263.30703097397435</v>
      </c>
      <c r="I54" s="62">
        <f>IF(TrRoad_act!I30=0,0,I17/TrRoad_act!I30*1000
)</f>
        <v>254.80717272838231</v>
      </c>
      <c r="J54" s="62">
        <f>IF(TrRoad_act!J30=0,0,J17/TrRoad_act!J30*1000
)</f>
        <v>252.71235083063382</v>
      </c>
      <c r="K54" s="62">
        <f>IF(TrRoad_act!K30=0,0,K17/TrRoad_act!K30*1000
)</f>
        <v>244.06545347414158</v>
      </c>
      <c r="L54" s="62">
        <f>IF(TrRoad_act!L30=0,0,L17/TrRoad_act!L30*1000
)</f>
        <v>249.13750919816277</v>
      </c>
      <c r="M54" s="62">
        <f>IF(TrRoad_act!M30=0,0,M17/TrRoad_act!M30*1000
)</f>
        <v>244.8008456897378</v>
      </c>
      <c r="N54" s="62">
        <f>IF(TrRoad_act!N30=0,0,N17/TrRoad_act!N30*1000
)</f>
        <v>245.8264014978551</v>
      </c>
      <c r="O54" s="62">
        <f>IF(TrRoad_act!O30=0,0,O17/TrRoad_act!O30*1000
)</f>
        <v>234.08944746543639</v>
      </c>
      <c r="P54" s="62">
        <f>IF(TrRoad_act!P30=0,0,P17/TrRoad_act!P30*1000
)</f>
        <v>214.90779328903508</v>
      </c>
      <c r="Q54" s="62">
        <f>IF(TrRoad_act!Q30=0,0,Q17/TrRoad_act!Q30*1000
)</f>
        <v>214.19995932985944</v>
      </c>
      <c r="R54" s="62">
        <f>IF(TrRoad_act!R30=0,0,R17/TrRoad_act!R30*1000
)</f>
        <v>210.59460394590502</v>
      </c>
      <c r="S54" s="62">
        <f>IF(TrRoad_act!S30=0,0,S17/TrRoad_act!S30*1000
)</f>
        <v>215.45855795592658</v>
      </c>
      <c r="T54" s="62">
        <f>IF(TrRoad_act!T30=0,0,T17/TrRoad_act!T30*1000
)</f>
        <v>216.04629557280202</v>
      </c>
      <c r="U54" s="62">
        <f>IF(TrRoad_act!U30=0,0,U17/TrRoad_act!U30*1000
)</f>
        <v>211.13345100336295</v>
      </c>
      <c r="V54" s="62">
        <f>IF(TrRoad_act!V30=0,0,V17/TrRoad_act!V30*1000
)</f>
        <v>209.19554003207298</v>
      </c>
      <c r="W54" s="62">
        <f>IF(TrRoad_act!W30=0,0,W17/TrRoad_act!W30*1000
)</f>
        <v>202.85686311863435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199.47390696807145</v>
      </c>
      <c r="C55" s="29">
        <f>IF(TrRoad_act!C31=0,0,C18/TrRoad_act!C31*1000
)</f>
        <v>198.56920812841361</v>
      </c>
      <c r="D55" s="29">
        <f>IF(TrRoad_act!D31=0,0,D18/TrRoad_act!D31*1000
)</f>
        <v>198.37356573413601</v>
      </c>
      <c r="E55" s="29">
        <f>IF(TrRoad_act!E31=0,0,E18/TrRoad_act!E31*1000
)</f>
        <v>197.2592012000992</v>
      </c>
      <c r="F55" s="29">
        <f>IF(TrRoad_act!F31=0,0,F18/TrRoad_act!F31*1000
)</f>
        <v>193.58434865007746</v>
      </c>
      <c r="G55" s="29">
        <f>IF(TrRoad_act!G31=0,0,G18/TrRoad_act!G31*1000
)</f>
        <v>191.12119170771723</v>
      </c>
      <c r="H55" s="29">
        <f>IF(TrRoad_act!H31=0,0,H18/TrRoad_act!H31*1000
)</f>
        <v>192.93303434752542</v>
      </c>
      <c r="I55" s="29">
        <f>IF(TrRoad_act!I31=0,0,I18/TrRoad_act!I31*1000
)</f>
        <v>187.12797667693695</v>
      </c>
      <c r="J55" s="29">
        <f>IF(TrRoad_act!J31=0,0,J18/TrRoad_act!J31*1000
)</f>
        <v>184.24659424597738</v>
      </c>
      <c r="K55" s="29">
        <f>IF(TrRoad_act!K31=0,0,K18/TrRoad_act!K31*1000
)</f>
        <v>182.0685762442761</v>
      </c>
      <c r="L55" s="29">
        <f>IF(TrRoad_act!L31=0,0,L18/TrRoad_act!L31*1000
)</f>
        <v>182.54065114125623</v>
      </c>
      <c r="M55" s="29">
        <f>IF(TrRoad_act!M31=0,0,M18/TrRoad_act!M31*1000
)</f>
        <v>177.7026830060444</v>
      </c>
      <c r="N55" s="29">
        <f>IF(TrRoad_act!N31=0,0,N18/TrRoad_act!N31*1000
)</f>
        <v>178.7617278912422</v>
      </c>
      <c r="O55" s="29">
        <f>IF(TrRoad_act!O31=0,0,O18/TrRoad_act!O31*1000
)</f>
        <v>173.94843851979846</v>
      </c>
      <c r="P55" s="29">
        <f>IF(TrRoad_act!P31=0,0,P18/TrRoad_act!P31*1000
)</f>
        <v>167.22427931470637</v>
      </c>
      <c r="Q55" s="29">
        <f>IF(TrRoad_act!Q31=0,0,Q18/TrRoad_act!Q31*1000
)</f>
        <v>165.85726508389985</v>
      </c>
      <c r="R55" s="29">
        <f>IF(TrRoad_act!R31=0,0,R18/TrRoad_act!R31*1000
)</f>
        <v>163.94467483209618</v>
      </c>
      <c r="S55" s="29">
        <f>IF(TrRoad_act!S31=0,0,S18/TrRoad_act!S31*1000
)</f>
        <v>163.89898472397041</v>
      </c>
      <c r="T55" s="29">
        <f>IF(TrRoad_act!T31=0,0,T18/TrRoad_act!T31*1000
)</f>
        <v>160.60665406382145</v>
      </c>
      <c r="U55" s="29">
        <f>IF(TrRoad_act!U31=0,0,U18/TrRoad_act!U31*1000
)</f>
        <v>155.93285146545551</v>
      </c>
      <c r="V55" s="29">
        <f>IF(TrRoad_act!V31=0,0,V18/TrRoad_act!V31*1000
)</f>
        <v>149.08752619491102</v>
      </c>
      <c r="W55" s="29">
        <f>IF(TrRoad_act!W31=0,0,W18/TrRoad_act!W31*1000
)</f>
        <v>150.96259894009151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128.65055649398678</v>
      </c>
      <c r="C56" s="152">
        <f>IF(TrRoad_act!C32=0,0,C19/TrRoad_act!C32*1000
)</f>
        <v>128.49985493135614</v>
      </c>
      <c r="D56" s="152">
        <f>IF(TrRoad_act!D32=0,0,D19/TrRoad_act!D32*1000
)</f>
        <v>127.27296427156915</v>
      </c>
      <c r="E56" s="152">
        <f>IF(TrRoad_act!E32=0,0,E19/TrRoad_act!E32*1000
)</f>
        <v>127.85807372958907</v>
      </c>
      <c r="F56" s="152">
        <f>IF(TrRoad_act!F32=0,0,F19/TrRoad_act!F32*1000
)</f>
        <v>126.93689743184835</v>
      </c>
      <c r="G56" s="152">
        <f>IF(TrRoad_act!G32=0,0,G19/TrRoad_act!G32*1000
)</f>
        <v>125.1785477652313</v>
      </c>
      <c r="H56" s="152">
        <f>IF(TrRoad_act!H32=0,0,H19/TrRoad_act!H32*1000
)</f>
        <v>121.31802172665529</v>
      </c>
      <c r="I56" s="152">
        <f>IF(TrRoad_act!I32=0,0,I19/TrRoad_act!I32*1000
)</f>
        <v>112.91463363088846</v>
      </c>
      <c r="J56" s="152">
        <f>IF(TrRoad_act!J32=0,0,J19/TrRoad_act!J32*1000
)</f>
        <v>109.29449076835699</v>
      </c>
      <c r="K56" s="152">
        <f>IF(TrRoad_act!K32=0,0,K19/TrRoad_act!K32*1000
)</f>
        <v>106.29358866478854</v>
      </c>
      <c r="L56" s="152">
        <f>IF(TrRoad_act!L32=0,0,L19/TrRoad_act!L32*1000
)</f>
        <v>104.4067688109251</v>
      </c>
      <c r="M56" s="152">
        <f>IF(TrRoad_act!M32=0,0,M19/TrRoad_act!M32*1000
)</f>
        <v>102.64340622935453</v>
      </c>
      <c r="N56" s="152">
        <f>IF(TrRoad_act!N32=0,0,N19/TrRoad_act!N32*1000
)</f>
        <v>102.23580036835209</v>
      </c>
      <c r="O56" s="152">
        <f>IF(TrRoad_act!O32=0,0,O19/TrRoad_act!O32*1000
)</f>
        <v>100.79002405680596</v>
      </c>
      <c r="P56" s="152">
        <f>IF(TrRoad_act!P32=0,0,P19/TrRoad_act!P32*1000
)</f>
        <v>99.228536716411767</v>
      </c>
      <c r="Q56" s="152">
        <f>IF(TrRoad_act!Q32=0,0,Q19/TrRoad_act!Q32*1000
)</f>
        <v>97.849856219643598</v>
      </c>
      <c r="R56" s="152">
        <f>IF(TrRoad_act!R32=0,0,R19/TrRoad_act!R32*1000
)</f>
        <v>96.728912553754668</v>
      </c>
      <c r="S56" s="152">
        <f>IF(TrRoad_act!S32=0,0,S19/TrRoad_act!S32*1000
)</f>
        <v>95.328737914425759</v>
      </c>
      <c r="T56" s="152">
        <f>IF(TrRoad_act!T32=0,0,T19/TrRoad_act!T32*1000
)</f>
        <v>98.287286037914953</v>
      </c>
      <c r="U56" s="152">
        <f>IF(TrRoad_act!U32=0,0,U19/TrRoad_act!U32*1000
)</f>
        <v>92.849465269139543</v>
      </c>
      <c r="V56" s="152">
        <f>IF(TrRoad_act!V32=0,0,V19/TrRoad_act!V32*1000
)</f>
        <v>93.114712960826793</v>
      </c>
      <c r="W56" s="152">
        <f>IF(TrRoad_act!W32=0,0,W19/TrRoad_act!W32*1000
)</f>
        <v>88.546762960828218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190.55931560575368</v>
      </c>
      <c r="C57" s="116">
        <f>IF(TrRoad_act!C33=0,0,C20/TrRoad_act!C33*1000
)</f>
        <v>190.18868234493732</v>
      </c>
      <c r="D57" s="116">
        <f>IF(TrRoad_act!D33=0,0,D20/TrRoad_act!D33*1000
)</f>
        <v>190.40296970436313</v>
      </c>
      <c r="E57" s="116">
        <f>IF(TrRoad_act!E33=0,0,E20/TrRoad_act!E33*1000
)</f>
        <v>189.59526046589093</v>
      </c>
      <c r="F57" s="116">
        <f>IF(TrRoad_act!F33=0,0,F20/TrRoad_act!F33*1000
)</f>
        <v>186.12581283373621</v>
      </c>
      <c r="G57" s="116">
        <f>IF(TrRoad_act!G33=0,0,G20/TrRoad_act!G33*1000
)</f>
        <v>183.86779214930755</v>
      </c>
      <c r="H57" s="116">
        <f>IF(TrRoad_act!H33=0,0,H20/TrRoad_act!H33*1000
)</f>
        <v>186.25742788268681</v>
      </c>
      <c r="I57" s="116">
        <f>IF(TrRoad_act!I33=0,0,I20/TrRoad_act!I33*1000
)</f>
        <v>181.24971856292635</v>
      </c>
      <c r="J57" s="116">
        <f>IF(TrRoad_act!J33=0,0,J20/TrRoad_act!J33*1000
)</f>
        <v>178.34978405333987</v>
      </c>
      <c r="K57" s="116">
        <f>IF(TrRoad_act!K33=0,0,K20/TrRoad_act!K33*1000
)</f>
        <v>176.14135437693886</v>
      </c>
      <c r="L57" s="116">
        <f>IF(TrRoad_act!L33=0,0,L20/TrRoad_act!L33*1000
)</f>
        <v>176.14708765302663</v>
      </c>
      <c r="M57" s="116">
        <f>IF(TrRoad_act!M33=0,0,M20/TrRoad_act!M33*1000
)</f>
        <v>171.69336222656139</v>
      </c>
      <c r="N57" s="116">
        <f>IF(TrRoad_act!N33=0,0,N20/TrRoad_act!N33*1000
)</f>
        <v>172.75470156385902</v>
      </c>
      <c r="O57" s="116">
        <f>IF(TrRoad_act!O33=0,0,O20/TrRoad_act!O33*1000
)</f>
        <v>168.10485199087685</v>
      </c>
      <c r="P57" s="116">
        <f>IF(TrRoad_act!P33=0,0,P20/TrRoad_act!P33*1000
)</f>
        <v>161.51135400583601</v>
      </c>
      <c r="Q57" s="116">
        <f>IF(TrRoad_act!Q33=0,0,Q20/TrRoad_act!Q33*1000
)</f>
        <v>160.3592107209077</v>
      </c>
      <c r="R57" s="116">
        <f>IF(TrRoad_act!R33=0,0,R20/TrRoad_act!R33*1000
)</f>
        <v>158.53068194923384</v>
      </c>
      <c r="S57" s="116">
        <f>IF(TrRoad_act!S33=0,0,S20/TrRoad_act!S33*1000
)</f>
        <v>157.96687521847659</v>
      </c>
      <c r="T57" s="116">
        <f>IF(TrRoad_act!T33=0,0,T20/TrRoad_act!T33*1000
)</f>
        <v>155.1854722636466</v>
      </c>
      <c r="U57" s="116">
        <f>IF(TrRoad_act!U33=0,0,U20/TrRoad_act!U33*1000
)</f>
        <v>151.44979808828467</v>
      </c>
      <c r="V57" s="116">
        <f>IF(TrRoad_act!V33=0,0,V20/TrRoad_act!V33*1000
)</f>
        <v>144.90769711098523</v>
      </c>
      <c r="W57" s="116">
        <f>IF(TrRoad_act!W33=0,0,W20/TrRoad_act!W33*1000
)</f>
        <v>148.11487039744341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180.36212221220455</v>
      </c>
      <c r="C58" s="87">
        <f>IF(TrRoad_act!C34=0,0,C21/TrRoad_act!C34*1000
)</f>
        <v>185.22204853700879</v>
      </c>
      <c r="D58" s="87">
        <f>IF(TrRoad_act!D34=0,0,D21/TrRoad_act!D34*1000
)</f>
        <v>186.20352881368729</v>
      </c>
      <c r="E58" s="87">
        <f>IF(TrRoad_act!E34=0,0,E21/TrRoad_act!E34*1000
)</f>
        <v>187.08111168441911</v>
      </c>
      <c r="F58" s="87">
        <f>IF(TrRoad_act!F34=0,0,F21/TrRoad_act!F34*1000
)</f>
        <v>182.03530605157965</v>
      </c>
      <c r="G58" s="87">
        <f>IF(TrRoad_act!G34=0,0,G21/TrRoad_act!G34*1000
)</f>
        <v>178.39454111180362</v>
      </c>
      <c r="H58" s="87">
        <f>IF(TrRoad_act!H34=0,0,H21/TrRoad_act!H34*1000
)</f>
        <v>181.61918064803874</v>
      </c>
      <c r="I58" s="87">
        <f>IF(TrRoad_act!I34=0,0,I21/TrRoad_act!I34*1000
)</f>
        <v>178.40732164649856</v>
      </c>
      <c r="J58" s="87">
        <f>IF(TrRoad_act!J34=0,0,J21/TrRoad_act!J34*1000
)</f>
        <v>171.87833341798637</v>
      </c>
      <c r="K58" s="87">
        <f>IF(TrRoad_act!K34=0,0,K21/TrRoad_act!K34*1000
)</f>
        <v>168.77488236904009</v>
      </c>
      <c r="L58" s="87">
        <f>IF(TrRoad_act!L34=0,0,L21/TrRoad_act!L34*1000
)</f>
        <v>167.62259415096275</v>
      </c>
      <c r="M58" s="87">
        <f>IF(TrRoad_act!M34=0,0,M21/TrRoad_act!M34*1000
)</f>
        <v>164.54621170755695</v>
      </c>
      <c r="N58" s="87">
        <f>IF(TrRoad_act!N34=0,0,N21/TrRoad_act!N34*1000
)</f>
        <v>167.04383010290957</v>
      </c>
      <c r="O58" s="87">
        <f>IF(TrRoad_act!O34=0,0,O21/TrRoad_act!O34*1000
)</f>
        <v>162.90936999492214</v>
      </c>
      <c r="P58" s="87">
        <f>IF(TrRoad_act!P34=0,0,P21/TrRoad_act!P34*1000
)</f>
        <v>158.28160011478678</v>
      </c>
      <c r="Q58" s="87">
        <f>IF(TrRoad_act!Q34=0,0,Q21/TrRoad_act!Q34*1000
)</f>
        <v>159.49192615137929</v>
      </c>
      <c r="R58" s="87">
        <f>IF(TrRoad_act!R34=0,0,R21/TrRoad_act!R34*1000
)</f>
        <v>157.27852148945237</v>
      </c>
      <c r="S58" s="87">
        <f>IF(TrRoad_act!S34=0,0,S21/TrRoad_act!S34*1000
)</f>
        <v>158.49003149591303</v>
      </c>
      <c r="T58" s="87">
        <f>IF(TrRoad_act!T34=0,0,T21/TrRoad_act!T34*1000
)</f>
        <v>157.8944181495178</v>
      </c>
      <c r="U58" s="87">
        <f>IF(TrRoad_act!U34=0,0,U21/TrRoad_act!U34*1000
)</f>
        <v>156.46674965709389</v>
      </c>
      <c r="V58" s="87">
        <f>IF(TrRoad_act!V34=0,0,V21/TrRoad_act!V34*1000
)</f>
        <v>149.52445926108683</v>
      </c>
      <c r="W58" s="87">
        <f>IF(TrRoad_act!W34=0,0,W21/TrRoad_act!W34*1000
)</f>
        <v>159.34824445596661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220.75105253238843</v>
      </c>
      <c r="C59" s="87">
        <f>IF(TrRoad_act!C35=0,0,C22/TrRoad_act!C35*1000
)</f>
        <v>208.44732186504473</v>
      </c>
      <c r="D59" s="87">
        <f>IF(TrRoad_act!D35=0,0,D22/TrRoad_act!D35*1000
)</f>
        <v>205.12819651696628</v>
      </c>
      <c r="E59" s="87">
        <f>IF(TrRoad_act!E35=0,0,E22/TrRoad_act!E35*1000
)</f>
        <v>202.6654429908925</v>
      </c>
      <c r="F59" s="87">
        <f>IF(TrRoad_act!F35=0,0,F22/TrRoad_act!F35*1000
)</f>
        <v>200.5469890997299</v>
      </c>
      <c r="G59" s="87">
        <f>IF(TrRoad_act!G35=0,0,G22/TrRoad_act!G35*1000
)</f>
        <v>198.67789128130011</v>
      </c>
      <c r="H59" s="87">
        <f>IF(TrRoad_act!H35=0,0,H22/TrRoad_act!H35*1000
)</f>
        <v>197.21602228489388</v>
      </c>
      <c r="I59" s="87">
        <f>IF(TrRoad_act!I35=0,0,I22/TrRoad_act!I35*1000
)</f>
        <v>190.35626399270316</v>
      </c>
      <c r="J59" s="87">
        <f>IF(TrRoad_act!J35=0,0,J22/TrRoad_act!J35*1000
)</f>
        <v>191.12483345199507</v>
      </c>
      <c r="K59" s="87">
        <f>IF(TrRoad_act!K35=0,0,K22/TrRoad_act!K35*1000
)</f>
        <v>187.89533682843495</v>
      </c>
      <c r="L59" s="87">
        <f>IF(TrRoad_act!L35=0,0,L22/TrRoad_act!L35*1000
)</f>
        <v>190.26977285506402</v>
      </c>
      <c r="M59" s="87">
        <f>IF(TrRoad_act!M35=0,0,M22/TrRoad_act!M35*1000
)</f>
        <v>182.63892157338131</v>
      </c>
      <c r="N59" s="87">
        <f>IF(TrRoad_act!N35=0,0,N22/TrRoad_act!N35*1000
)</f>
        <v>177.37316468999629</v>
      </c>
      <c r="O59" s="87">
        <f>IF(TrRoad_act!O35=0,0,O22/TrRoad_act!O35*1000
)</f>
        <v>173.51392484616184</v>
      </c>
      <c r="P59" s="87">
        <f>IF(TrRoad_act!P35=0,0,P22/TrRoad_act!P35*1000
)</f>
        <v>167.00976219611672</v>
      </c>
      <c r="Q59" s="87">
        <f>IF(TrRoad_act!Q35=0,0,Q22/TrRoad_act!Q35*1000
)</f>
        <v>164.08479180443524</v>
      </c>
      <c r="R59" s="87">
        <f>IF(TrRoad_act!R35=0,0,R22/TrRoad_act!R35*1000
)</f>
        <v>163.27813868059226</v>
      </c>
      <c r="S59" s="87">
        <f>IF(TrRoad_act!S35=0,0,S22/TrRoad_act!S35*1000
)</f>
        <v>159.98034262972661</v>
      </c>
      <c r="T59" s="87">
        <f>IF(TrRoad_act!T35=0,0,T22/TrRoad_act!T35*1000
)</f>
        <v>153.59329547758855</v>
      </c>
      <c r="U59" s="87">
        <f>IF(TrRoad_act!U35=0,0,U22/TrRoad_act!U35*1000
)</f>
        <v>150.0320343484392</v>
      </c>
      <c r="V59" s="87">
        <f>IF(TrRoad_act!V35=0,0,V22/TrRoad_act!V35*1000
)</f>
        <v>149.6294332805756</v>
      </c>
      <c r="W59" s="87">
        <f>IF(TrRoad_act!W35=0,0,W22/TrRoad_act!W35*1000
)</f>
        <v>145.25212304745949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188.79618365535484</v>
      </c>
      <c r="C60" s="87">
        <f>IF(TrRoad_act!C36=0,0,C23/TrRoad_act!C36*1000
)</f>
        <v>176.49609764533014</v>
      </c>
      <c r="D60" s="87">
        <f>IF(TrRoad_act!D36=0,0,D23/TrRoad_act!D36*1000
)</f>
        <v>177.61451220788615</v>
      </c>
      <c r="E60" s="87">
        <f>IF(TrRoad_act!E36=0,0,E23/TrRoad_act!E36*1000
)</f>
        <v>164.15821401158021</v>
      </c>
      <c r="F60" s="87">
        <f>IF(TrRoad_act!F36=0,0,F23/TrRoad_act!F36*1000
)</f>
        <v>167.06344968664172</v>
      </c>
      <c r="G60" s="87">
        <f>IF(TrRoad_act!G36=0,0,G23/TrRoad_act!G36*1000
)</f>
        <v>172.65064072037745</v>
      </c>
      <c r="H60" s="87">
        <f>IF(TrRoad_act!H36=0,0,H23/TrRoad_act!H36*1000
)</f>
        <v>180.3654722989468</v>
      </c>
      <c r="I60" s="87">
        <f>IF(TrRoad_act!I36=0,0,I23/TrRoad_act!I36*1000
)</f>
        <v>162.48855906385</v>
      </c>
      <c r="J60" s="87">
        <f>IF(TrRoad_act!J36=0,0,J23/TrRoad_act!J36*1000
)</f>
        <v>182.56264770820491</v>
      </c>
      <c r="K60" s="87">
        <f>IF(TrRoad_act!K36=0,0,K23/TrRoad_act!K36*1000
)</f>
        <v>204.63669037139519</v>
      </c>
      <c r="L60" s="87">
        <f>IF(TrRoad_act!L36=0,0,L23/TrRoad_act!L36*1000
)</f>
        <v>211.46512491648406</v>
      </c>
      <c r="M60" s="87">
        <f>IF(TrRoad_act!M36=0,0,M23/TrRoad_act!M36*1000
)</f>
        <v>217.86214006400357</v>
      </c>
      <c r="N60" s="87">
        <f>IF(TrRoad_act!N36=0,0,N23/TrRoad_act!N36*1000
)</f>
        <v>260.10169786165358</v>
      </c>
      <c r="O60" s="87">
        <f>IF(TrRoad_act!O36=0,0,O23/TrRoad_act!O36*1000
)</f>
        <v>248.89961123252107</v>
      </c>
      <c r="P60" s="87">
        <f>IF(TrRoad_act!P36=0,0,P23/TrRoad_act!P36*1000
)</f>
        <v>202.71360355967062</v>
      </c>
      <c r="Q60" s="87">
        <f>IF(TrRoad_act!Q36=0,0,Q23/TrRoad_act!Q36*1000
)</f>
        <v>187.79509829734221</v>
      </c>
      <c r="R60" s="87">
        <f>IF(TrRoad_act!R36=0,0,R23/TrRoad_act!R36*1000
)</f>
        <v>202.39083305570176</v>
      </c>
      <c r="S60" s="87">
        <f>IF(TrRoad_act!S36=0,0,S23/TrRoad_act!S36*1000
)</f>
        <v>190.81732987279088</v>
      </c>
      <c r="T60" s="87">
        <f>IF(TrRoad_act!T36=0,0,T23/TrRoad_act!T36*1000
)</f>
        <v>188.41700112224513</v>
      </c>
      <c r="U60" s="87">
        <f>IF(TrRoad_act!U36=0,0,U23/TrRoad_act!U36*1000
)</f>
        <v>157.06925283311256</v>
      </c>
      <c r="V60" s="87">
        <f>IF(TrRoad_act!V36=0,0,V23/TrRoad_act!V36*1000
)</f>
        <v>164.49671790275923</v>
      </c>
      <c r="W60" s="87">
        <f>IF(TrRoad_act!W36=0,0,W23/TrRoad_act!W36*1000
)</f>
        <v>186.5516812562461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185.97126122846313</v>
      </c>
      <c r="M61" s="87">
        <f>IF(TrRoad_act!M37=0,0,M24/TrRoad_act!M37*1000
)</f>
        <v>185.08734750981597</v>
      </c>
      <c r="N61" s="87">
        <f>IF(TrRoad_act!N37=0,0,N24/TrRoad_act!N37*1000
)</f>
        <v>172.41635350596252</v>
      </c>
      <c r="O61" s="87">
        <f>IF(TrRoad_act!O37=0,0,O24/TrRoad_act!O37*1000
)</f>
        <v>166.26023244654718</v>
      </c>
      <c r="P61" s="87">
        <f>IF(TrRoad_act!P37=0,0,P24/TrRoad_act!P37*1000
)</f>
        <v>149.95642028952392</v>
      </c>
      <c r="Q61" s="87">
        <f>IF(TrRoad_act!Q37=0,0,Q24/TrRoad_act!Q37*1000
)</f>
        <v>148.74891756638698</v>
      </c>
      <c r="R61" s="87">
        <f>IF(TrRoad_act!R37=0,0,R24/TrRoad_act!R37*1000
)</f>
        <v>128.9525599927004</v>
      </c>
      <c r="S61" s="87">
        <f>IF(TrRoad_act!S37=0,0,S24/TrRoad_act!S37*1000
)</f>
        <v>154.45210276148686</v>
      </c>
      <c r="T61" s="87">
        <f>IF(TrRoad_act!T37=0,0,T24/TrRoad_act!T37*1000
)</f>
        <v>173.46818922667657</v>
      </c>
      <c r="U61" s="87">
        <f>IF(TrRoad_act!U37=0,0,U24/TrRoad_act!U37*1000
)</f>
        <v>174.31198787117594</v>
      </c>
      <c r="V61" s="87">
        <f>IF(TrRoad_act!V37=0,0,V24/TrRoad_act!V37*1000
)</f>
        <v>175.78599413473924</v>
      </c>
      <c r="W61" s="87">
        <f>IF(TrRoad_act!W37=0,0,W24/TrRoad_act!W37*1000
)</f>
        <v>180.72175496728551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52.318679312587122</v>
      </c>
      <c r="N62" s="87">
        <f>IF(TrRoad_act!N38=0,0,N25/TrRoad_act!N38*1000
)</f>
        <v>31.45325261337338</v>
      </c>
      <c r="O62" s="87">
        <f>IF(TrRoad_act!O38=0,0,O25/TrRoad_act!O38*1000
)</f>
        <v>34.496222985896317</v>
      </c>
      <c r="P62" s="87">
        <f>IF(TrRoad_act!P38=0,0,P25/TrRoad_act!P38*1000
)</f>
        <v>50.841135721061974</v>
      </c>
      <c r="Q62" s="87">
        <f>IF(TrRoad_act!Q38=0,0,Q25/TrRoad_act!Q38*1000
)</f>
        <v>46.886425724573975</v>
      </c>
      <c r="R62" s="87">
        <f>IF(TrRoad_act!R38=0,0,R25/TrRoad_act!R38*1000
)</f>
        <v>46.298844709277873</v>
      </c>
      <c r="S62" s="87">
        <f>IF(TrRoad_act!S38=0,0,S25/TrRoad_act!S38*1000
)</f>
        <v>47.498209440895408</v>
      </c>
      <c r="T62" s="87">
        <f>IF(TrRoad_act!T38=0,0,T25/TrRoad_act!T38*1000
)</f>
        <v>48.378751113052481</v>
      </c>
      <c r="U62" s="87">
        <f>IF(TrRoad_act!U38=0,0,U25/TrRoad_act!U38*1000
)</f>
        <v>49.00515158159785</v>
      </c>
      <c r="V62" s="87">
        <f>IF(TrRoad_act!V38=0,0,V25/TrRoad_act!V38*1000
)</f>
        <v>49.808041473062175</v>
      </c>
      <c r="W62" s="87">
        <f>IF(TrRoad_act!W38=0,0,W25/TrRoad_act!W38*1000
)</f>
        <v>50.146817718552718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1890.2171207928684</v>
      </c>
      <c r="C64" s="116">
        <f>IF(TrRoad_act!C40=0,0,C27/TrRoad_act!C40*1000
)</f>
        <v>1841.5862002638191</v>
      </c>
      <c r="D64" s="116">
        <f>IF(TrRoad_act!D40=0,0,D27/TrRoad_act!D40*1000
)</f>
        <v>1822.316050145711</v>
      </c>
      <c r="E64" s="116">
        <f>IF(TrRoad_act!E40=0,0,E27/TrRoad_act!E40*1000
)</f>
        <v>1803.7980802016</v>
      </c>
      <c r="F64" s="116">
        <f>IF(TrRoad_act!F40=0,0,F27/TrRoad_act!F40*1000
)</f>
        <v>1783.4750889041443</v>
      </c>
      <c r="G64" s="116">
        <f>IF(TrRoad_act!G40=0,0,G27/TrRoad_act!G40*1000
)</f>
        <v>1762.6125649649221</v>
      </c>
      <c r="H64" s="116">
        <f>IF(TrRoad_act!H40=0,0,H27/TrRoad_act!H40*1000
)</f>
        <v>1742.4588295031288</v>
      </c>
      <c r="I64" s="116">
        <f>IF(TrRoad_act!I40=0,0,I27/TrRoad_act!I40*1000
)</f>
        <v>1671.5370520372035</v>
      </c>
      <c r="J64" s="116">
        <f>IF(TrRoad_act!J40=0,0,J27/TrRoad_act!J40*1000
)</f>
        <v>1678.0091322102485</v>
      </c>
      <c r="K64" s="116">
        <f>IF(TrRoad_act!K40=0,0,K27/TrRoad_act!K40*1000
)</f>
        <v>1645.0079475706907</v>
      </c>
      <c r="L64" s="116">
        <f>IF(TrRoad_act!L40=0,0,L27/TrRoad_act!L40*1000
)</f>
        <v>1671.5774383635658</v>
      </c>
      <c r="M64" s="116">
        <f>IF(TrRoad_act!M40=0,0,M27/TrRoad_act!M40*1000
)</f>
        <v>1638.9938038964813</v>
      </c>
      <c r="N64" s="116">
        <f>IF(TrRoad_act!N40=0,0,N27/TrRoad_act!N40*1000
)</f>
        <v>1599.7355539639104</v>
      </c>
      <c r="O64" s="116">
        <f>IF(TrRoad_act!O40=0,0,O27/TrRoad_act!O40*1000
)</f>
        <v>1588.5382246041493</v>
      </c>
      <c r="P64" s="116">
        <f>IF(TrRoad_act!P40=0,0,P27/TrRoad_act!P40*1000
)</f>
        <v>1560.3491126914403</v>
      </c>
      <c r="Q64" s="116">
        <f>IF(TrRoad_act!Q40=0,0,Q27/TrRoad_act!Q40*1000
)</f>
        <v>1571.069968758708</v>
      </c>
      <c r="R64" s="116">
        <f>IF(TrRoad_act!R40=0,0,R27/TrRoad_act!R40*1000
)</f>
        <v>1609.9406831601486</v>
      </c>
      <c r="S64" s="116">
        <f>IF(TrRoad_act!S40=0,0,S27/TrRoad_act!S40*1000
)</f>
        <v>1586.6854041741615</v>
      </c>
      <c r="T64" s="116">
        <f>IF(TrRoad_act!T40=0,0,T27/TrRoad_act!T40*1000
)</f>
        <v>1486.9249252950553</v>
      </c>
      <c r="U64" s="116">
        <f>IF(TrRoad_act!U40=0,0,U27/TrRoad_act!U40*1000
)</f>
        <v>1396.1944648345941</v>
      </c>
      <c r="V64" s="116">
        <f>IF(TrRoad_act!V40=0,0,V27/TrRoad_act!V40*1000
)</f>
        <v>1310.945912334226</v>
      </c>
      <c r="W64" s="116">
        <f>IF(TrRoad_act!W40=0,0,W27/TrRoad_act!W40*1000
)</f>
        <v>1201.6992945323379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539.84277316381201</v>
      </c>
      <c r="C65" s="101">
        <f>IF(TrRoad_act!C41=0,0,C28/TrRoad_act!C41*1000
)</f>
        <v>516.82892143231823</v>
      </c>
      <c r="D65" s="101">
        <f>IF(TrRoad_act!D41=0,0,D28/TrRoad_act!D41*1000
)</f>
        <v>502.90098214248388</v>
      </c>
      <c r="E65" s="101">
        <f>IF(TrRoad_act!E41=0,0,E28/TrRoad_act!E41*1000
)</f>
        <v>494.48168097963509</v>
      </c>
      <c r="F65" s="101">
        <f>IF(TrRoad_act!F41=0,0,F28/TrRoad_act!F41*1000
)</f>
        <v>493.31927359246293</v>
      </c>
      <c r="G65" s="101">
        <f>IF(TrRoad_act!G41=0,0,G28/TrRoad_act!G41*1000
)</f>
        <v>490.7363881505803</v>
      </c>
      <c r="H65" s="101">
        <f>IF(TrRoad_act!H41=0,0,H28/TrRoad_act!H41*1000
)</f>
        <v>486.96000201820505</v>
      </c>
      <c r="I65" s="101">
        <f>IF(TrRoad_act!I41=0,0,I28/TrRoad_act!I41*1000
)</f>
        <v>475.9639620607706</v>
      </c>
      <c r="J65" s="101">
        <f>IF(TrRoad_act!J41=0,0,J28/TrRoad_act!J41*1000
)</f>
        <v>473.67616044246796</v>
      </c>
      <c r="K65" s="101">
        <f>IF(TrRoad_act!K41=0,0,K28/TrRoad_act!K41*1000
)</f>
        <v>467.35515968476182</v>
      </c>
      <c r="L65" s="101">
        <f>IF(TrRoad_act!L41=0,0,L28/TrRoad_act!L41*1000
)</f>
        <v>459.31673769507876</v>
      </c>
      <c r="M65" s="101">
        <f>IF(TrRoad_act!M41=0,0,M28/TrRoad_act!M41*1000
)</f>
        <v>450.43271894263586</v>
      </c>
      <c r="N65" s="101">
        <f>IF(TrRoad_act!N41=0,0,N28/TrRoad_act!N41*1000
)</f>
        <v>433.47134493032701</v>
      </c>
      <c r="O65" s="101">
        <f>IF(TrRoad_act!O41=0,0,O28/TrRoad_act!O41*1000
)</f>
        <v>431.9917432029722</v>
      </c>
      <c r="P65" s="101">
        <f>IF(TrRoad_act!P41=0,0,P28/TrRoad_act!P41*1000
)</f>
        <v>430.56823035625928</v>
      </c>
      <c r="Q65" s="101">
        <f>IF(TrRoad_act!Q41=0,0,Q28/TrRoad_act!Q41*1000
)</f>
        <v>404.44795181689142</v>
      </c>
      <c r="R65" s="101">
        <f>IF(TrRoad_act!R41=0,0,R28/TrRoad_act!R41*1000
)</f>
        <v>400.54423230480535</v>
      </c>
      <c r="S65" s="101">
        <f>IF(TrRoad_act!S41=0,0,S28/TrRoad_act!S41*1000
)</f>
        <v>396.34799592174983</v>
      </c>
      <c r="T65" s="101">
        <f>IF(TrRoad_act!T41=0,0,T28/TrRoad_act!T41*1000
)</f>
        <v>389.70089326336142</v>
      </c>
      <c r="U65" s="101">
        <f>IF(TrRoad_act!U41=0,0,U28/TrRoad_act!U41*1000
)</f>
        <v>365.53108133115035</v>
      </c>
      <c r="V65" s="101">
        <f>IF(TrRoad_act!V41=0,0,V28/TrRoad_act!V41*1000
)</f>
        <v>357.90557377455099</v>
      </c>
      <c r="W65" s="101">
        <f>IF(TrRoad_act!W41=0,0,W28/TrRoad_act!W41*1000
)</f>
        <v>357.008661749829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1907.1469227635801</v>
      </c>
      <c r="C66" s="101">
        <f>IF(TrRoad_act!C42=0,0,C29/TrRoad_act!C42*1000
)</f>
        <v>1856.9468548594054</v>
      </c>
      <c r="D66" s="101">
        <f>IF(TrRoad_act!D42=0,0,D29/TrRoad_act!D42*1000
)</f>
        <v>1839.0031743358427</v>
      </c>
      <c r="E66" s="101">
        <f>IF(TrRoad_act!E42=0,0,E29/TrRoad_act!E42*1000
)</f>
        <v>1818.7635661995869</v>
      </c>
      <c r="F66" s="101">
        <f>IF(TrRoad_act!F42=0,0,F29/TrRoad_act!F42*1000
)</f>
        <v>1799.7835591788398</v>
      </c>
      <c r="G66" s="101">
        <f>IF(TrRoad_act!G42=0,0,G29/TrRoad_act!G42*1000
)</f>
        <v>1780.2007102492992</v>
      </c>
      <c r="H66" s="101">
        <f>IF(TrRoad_act!H42=0,0,H29/TrRoad_act!H42*1000
)</f>
        <v>1761.3529053101472</v>
      </c>
      <c r="I66" s="101">
        <f>IF(TrRoad_act!I42=0,0,I29/TrRoad_act!I42*1000
)</f>
        <v>1690.4867662854056</v>
      </c>
      <c r="J66" s="101">
        <f>IF(TrRoad_act!J42=0,0,J29/TrRoad_act!J42*1000
)</f>
        <v>1697.7785709852888</v>
      </c>
      <c r="K66" s="101">
        <f>IF(TrRoad_act!K42=0,0,K29/TrRoad_act!K42*1000
)</f>
        <v>1672.9262071032513</v>
      </c>
      <c r="L66" s="101">
        <f>IF(TrRoad_act!L42=0,0,L29/TrRoad_act!L42*1000
)</f>
        <v>1708.7924628386352</v>
      </c>
      <c r="M66" s="101">
        <f>IF(TrRoad_act!M42=0,0,M29/TrRoad_act!M42*1000
)</f>
        <v>1686.4224562987583</v>
      </c>
      <c r="N66" s="101">
        <f>IF(TrRoad_act!N42=0,0,N29/TrRoad_act!N42*1000
)</f>
        <v>1676.6496793521887</v>
      </c>
      <c r="O66" s="101">
        <f>IF(TrRoad_act!O42=0,0,O29/TrRoad_act!O42*1000
)</f>
        <v>1673.2794085202324</v>
      </c>
      <c r="P66" s="101">
        <f>IF(TrRoad_act!P42=0,0,P29/TrRoad_act!P42*1000
)</f>
        <v>1651.5495145590612</v>
      </c>
      <c r="Q66" s="101">
        <f>IF(TrRoad_act!Q42=0,0,Q29/TrRoad_act!Q42*1000
)</f>
        <v>1674.3728361553506</v>
      </c>
      <c r="R66" s="101">
        <f>IF(TrRoad_act!R42=0,0,R29/TrRoad_act!R42*1000
)</f>
        <v>1686.5620343064888</v>
      </c>
      <c r="S66" s="101">
        <f>IF(TrRoad_act!S42=0,0,S29/TrRoad_act!S42*1000
)</f>
        <v>1670.3421140816583</v>
      </c>
      <c r="T66" s="101">
        <f>IF(TrRoad_act!T42=0,0,T29/TrRoad_act!T42*1000
)</f>
        <v>1626.5838711270476</v>
      </c>
      <c r="U66" s="101">
        <f>IF(TrRoad_act!U42=0,0,U29/TrRoad_act!U42*1000
)</f>
        <v>1596.2430671428981</v>
      </c>
      <c r="V66" s="101">
        <f>IF(TrRoad_act!V42=0,0,V29/TrRoad_act!V42*1000
)</f>
        <v>1615.8344157492199</v>
      </c>
      <c r="W66" s="101">
        <f>IF(TrRoad_act!W42=0,0,W29/TrRoad_act!W42*1000
)</f>
        <v>1588.1667935826283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1244.3441090091492</v>
      </c>
      <c r="C67" s="101">
        <f>IF(TrRoad_act!C43=0,0,C30/TrRoad_act!C43*1000
)</f>
        <v>1244.3441090091492</v>
      </c>
      <c r="D67" s="101">
        <f>IF(TrRoad_act!D43=0,0,D30/TrRoad_act!D43*1000
)</f>
        <v>1244.344109009149</v>
      </c>
      <c r="E67" s="101">
        <f>IF(TrRoad_act!E43=0,0,E30/TrRoad_act!E43*1000
)</f>
        <v>1244.3441090091492</v>
      </c>
      <c r="F67" s="101">
        <f>IF(TrRoad_act!F43=0,0,F30/TrRoad_act!F43*1000
)</f>
        <v>1244.3441090091494</v>
      </c>
      <c r="G67" s="101">
        <f>IF(TrRoad_act!G43=0,0,G30/TrRoad_act!G43*1000
)</f>
        <v>1222.5777489093757</v>
      </c>
      <c r="H67" s="101">
        <f>IF(TrRoad_act!H43=0,0,H30/TrRoad_act!H43*1000
)</f>
        <v>1219.4052423283301</v>
      </c>
      <c r="I67" s="101">
        <f>IF(TrRoad_act!I43=0,0,I30/TrRoad_act!I43*1000
)</f>
        <v>1216.9310022515781</v>
      </c>
      <c r="J67" s="101">
        <f>IF(TrRoad_act!J43=0,0,J30/TrRoad_act!J43*1000
)</f>
        <v>1216.7302773493648</v>
      </c>
      <c r="K67" s="101">
        <f>IF(TrRoad_act!K43=0,0,K30/TrRoad_act!K43*1000
)</f>
        <v>1215.1670672175208</v>
      </c>
      <c r="L67" s="101">
        <f>IF(TrRoad_act!L43=0,0,L30/TrRoad_act!L43*1000
)</f>
        <v>1215.1670672175208</v>
      </c>
      <c r="M67" s="101">
        <f>IF(TrRoad_act!M43=0,0,M30/TrRoad_act!M43*1000
)</f>
        <v>1214.1971426745188</v>
      </c>
      <c r="N67" s="101">
        <f>IF(TrRoad_act!N43=0,0,N30/TrRoad_act!N43*1000
)</f>
        <v>1213.4162511267421</v>
      </c>
      <c r="O67" s="101">
        <f>IF(TrRoad_act!O43=0,0,O30/TrRoad_act!O43*1000
)</f>
        <v>1213.1605148515732</v>
      </c>
      <c r="P67" s="101">
        <f>IF(TrRoad_act!P43=0,0,P30/TrRoad_act!P43*1000
)</f>
        <v>1212.5938292339113</v>
      </c>
      <c r="Q67" s="101">
        <f>IF(TrRoad_act!Q43=0,0,Q30/TrRoad_act!Q43*1000
)</f>
        <v>1212.5938292339113</v>
      </c>
      <c r="R67" s="101">
        <f>IF(TrRoad_act!R43=0,0,R30/TrRoad_act!R43*1000
)</f>
        <v>1213.2450734884073</v>
      </c>
      <c r="S67" s="101">
        <f>IF(TrRoad_act!S43=0,0,S30/TrRoad_act!S43*1000
)</f>
        <v>1212.3839277106169</v>
      </c>
      <c r="T67" s="101">
        <f>IF(TrRoad_act!T43=0,0,T30/TrRoad_act!T43*1000
)</f>
        <v>1211.7674642971026</v>
      </c>
      <c r="U67" s="101">
        <f>IF(TrRoad_act!U43=0,0,U30/TrRoad_act!U43*1000
)</f>
        <v>1211.7674642971026</v>
      </c>
      <c r="V67" s="101">
        <f>IF(TrRoad_act!V43=0,0,V30/TrRoad_act!V43*1000
)</f>
        <v>1211.7635390141315</v>
      </c>
      <c r="W67" s="101">
        <f>IF(TrRoad_act!W43=0,0,W30/TrRoad_act!W43*1000
)</f>
        <v>1211.0993158752822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1192.7437077253323</v>
      </c>
      <c r="C68" s="101">
        <f>IF(TrRoad_act!C44=0,0,C31/TrRoad_act!C44*1000
)</f>
        <v>1287.5758216250945</v>
      </c>
      <c r="D68" s="101">
        <f>IF(TrRoad_act!D44=0,0,D31/TrRoad_act!D44*1000
)</f>
        <v>1043.4255909518924</v>
      </c>
      <c r="E68" s="101">
        <f>IF(TrRoad_act!E44=0,0,E31/TrRoad_act!E44*1000
)</f>
        <v>1243.976110404943</v>
      </c>
      <c r="F68" s="101">
        <f>IF(TrRoad_act!F44=0,0,F31/TrRoad_act!F44*1000
)</f>
        <v>931.02093642647753</v>
      </c>
      <c r="G68" s="101">
        <f>IF(TrRoad_act!G44=0,0,G31/TrRoad_act!G44*1000
)</f>
        <v>985.0361818473192</v>
      </c>
      <c r="H68" s="101">
        <f>IF(TrRoad_act!H44=0,0,H31/TrRoad_act!H44*1000
)</f>
        <v>980.22901198093541</v>
      </c>
      <c r="I68" s="101">
        <f>IF(TrRoad_act!I44=0,0,I31/TrRoad_act!I44*1000
)</f>
        <v>921.60767132594083</v>
      </c>
      <c r="J68" s="101">
        <f>IF(TrRoad_act!J44=0,0,J31/TrRoad_act!J44*1000
)</f>
        <v>936.26924815661948</v>
      </c>
      <c r="K68" s="101">
        <f>IF(TrRoad_act!K44=0,0,K31/TrRoad_act!K44*1000
)</f>
        <v>932.03683215587751</v>
      </c>
      <c r="L68" s="101">
        <f>IF(TrRoad_act!L44=0,0,L31/TrRoad_act!L44*1000
)</f>
        <v>977.13393496674939</v>
      </c>
      <c r="M68" s="101">
        <f>IF(TrRoad_act!M44=0,0,M31/TrRoad_act!M44*1000
)</f>
        <v>1045.8595166377529</v>
      </c>
      <c r="N68" s="101">
        <f>IF(TrRoad_act!N44=0,0,N31/TrRoad_act!N44*1000
)</f>
        <v>745.73225007470296</v>
      </c>
      <c r="O68" s="101">
        <f>IF(TrRoad_act!O44=0,0,O31/TrRoad_act!O44*1000
)</f>
        <v>735.07574493593847</v>
      </c>
      <c r="P68" s="101">
        <f>IF(TrRoad_act!P44=0,0,P31/TrRoad_act!P44*1000
)</f>
        <v>737.12388308288166</v>
      </c>
      <c r="Q68" s="101">
        <f>IF(TrRoad_act!Q44=0,0,Q31/TrRoad_act!Q44*1000
)</f>
        <v>818.85625593213638</v>
      </c>
      <c r="R68" s="101">
        <f>IF(TrRoad_act!R44=0,0,R31/TrRoad_act!R44*1000
)</f>
        <v>1297.9232128327408</v>
      </c>
      <c r="S68" s="101">
        <f>IF(TrRoad_act!S44=0,0,S31/TrRoad_act!S44*1000
)</f>
        <v>1396.3666959263028</v>
      </c>
      <c r="T68" s="101">
        <f>IF(TrRoad_act!T44=0,0,T31/TrRoad_act!T44*1000
)</f>
        <v>1088.7100671165861</v>
      </c>
      <c r="U68" s="101">
        <f>IF(TrRoad_act!U44=0,0,U31/TrRoad_act!U44*1000
)</f>
        <v>1126.5260119291811</v>
      </c>
      <c r="V68" s="101">
        <f>IF(TrRoad_act!V44=0,0,V31/TrRoad_act!V44*1000
)</f>
        <v>1084.7960493983144</v>
      </c>
      <c r="W68" s="101">
        <f>IF(TrRoad_act!W44=0,0,W31/TrRoad_act!W44*1000
)</f>
        <v>1022.8126969003611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569.68144192403008</v>
      </c>
      <c r="C70" s="29">
        <f>IF(TrRoad_act!C46=0,0,C33/TrRoad_act!C46*1000
)</f>
        <v>535.95444482133098</v>
      </c>
      <c r="D70" s="29">
        <f>IF(TrRoad_act!D46=0,0,D33/TrRoad_act!D46*1000
)</f>
        <v>530.48460423397739</v>
      </c>
      <c r="E70" s="29">
        <f>IF(TrRoad_act!E46=0,0,E33/TrRoad_act!E46*1000
)</f>
        <v>526.52872555578222</v>
      </c>
      <c r="F70" s="29">
        <f>IF(TrRoad_act!F46=0,0,F33/TrRoad_act!F46*1000
)</f>
        <v>521.66823464597792</v>
      </c>
      <c r="G70" s="29">
        <f>IF(TrRoad_act!G46=0,0,G33/TrRoad_act!G46*1000
)</f>
        <v>517.91070621216045</v>
      </c>
      <c r="H70" s="29">
        <f>IF(TrRoad_act!H46=0,0,H33/TrRoad_act!H46*1000
)</f>
        <v>535.82488681356938</v>
      </c>
      <c r="I70" s="29">
        <f>IF(TrRoad_act!I46=0,0,I33/TrRoad_act!I46*1000
)</f>
        <v>521.64677086089671</v>
      </c>
      <c r="J70" s="29">
        <f>IF(TrRoad_act!J46=0,0,J33/TrRoad_act!J46*1000
)</f>
        <v>524.85344252175503</v>
      </c>
      <c r="K70" s="29">
        <f>IF(TrRoad_act!K46=0,0,K33/TrRoad_act!K46*1000
)</f>
        <v>503.32624375705859</v>
      </c>
      <c r="L70" s="29">
        <f>IF(TrRoad_act!L46=0,0,L33/TrRoad_act!L46*1000
)</f>
        <v>532.30206491204524</v>
      </c>
      <c r="M70" s="29">
        <f>IF(TrRoad_act!M46=0,0,M33/TrRoad_act!M46*1000
)</f>
        <v>530.57874184661569</v>
      </c>
      <c r="N70" s="29">
        <f>IF(TrRoad_act!N46=0,0,N33/TrRoad_act!N46*1000
)</f>
        <v>530.38192443482058</v>
      </c>
      <c r="O70" s="29">
        <f>IF(TrRoad_act!O46=0,0,O33/TrRoad_act!O46*1000
)</f>
        <v>493.7800860952367</v>
      </c>
      <c r="P70" s="29">
        <f>IF(TrRoad_act!P46=0,0,P33/TrRoad_act!P46*1000
)</f>
        <v>426.00773841598448</v>
      </c>
      <c r="Q70" s="29">
        <f>IF(TrRoad_act!Q46=0,0,Q33/TrRoad_act!Q46*1000
)</f>
        <v>422.64348439809424</v>
      </c>
      <c r="R70" s="29">
        <f>IF(TrRoad_act!R46=0,0,R33/TrRoad_act!R46*1000
)</f>
        <v>410.07976602104071</v>
      </c>
      <c r="S70" s="29">
        <f>IF(TrRoad_act!S46=0,0,S33/TrRoad_act!S46*1000
)</f>
        <v>436.41241307872122</v>
      </c>
      <c r="T70" s="29">
        <f>IF(TrRoad_act!T46=0,0,T33/TrRoad_act!T46*1000
)</f>
        <v>452.08726894074175</v>
      </c>
      <c r="U70" s="29">
        <f>IF(TrRoad_act!U46=0,0,U33/TrRoad_act!U46*1000
)</f>
        <v>445.03404703369631</v>
      </c>
      <c r="V70" s="29">
        <f>IF(TrRoad_act!V46=0,0,V33/TrRoad_act!V46*1000
)</f>
        <v>424.99617633496308</v>
      </c>
      <c r="W70" s="29">
        <f>IF(TrRoad_act!W46=0,0,W33/TrRoad_act!W46*1000
)</f>
        <v>390.43988191201976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356.63847067433858</v>
      </c>
      <c r="C71" s="152">
        <f>IF(TrRoad_act!C47=0,0,C34/TrRoad_act!C47*1000
)</f>
        <v>336.82478335240569</v>
      </c>
      <c r="D71" s="152">
        <f>IF(TrRoad_act!D47=0,0,D34/TrRoad_act!D47*1000
)</f>
        <v>331.83201860477988</v>
      </c>
      <c r="E71" s="152">
        <f>IF(TrRoad_act!E47=0,0,E34/TrRoad_act!E47*1000
)</f>
        <v>328.18307387904508</v>
      </c>
      <c r="F71" s="152">
        <f>IF(TrRoad_act!F47=0,0,F34/TrRoad_act!F47*1000
)</f>
        <v>325.44740366862629</v>
      </c>
      <c r="G71" s="152">
        <f>IF(TrRoad_act!G47=0,0,G34/TrRoad_act!G47*1000
)</f>
        <v>322.31545881692989</v>
      </c>
      <c r="H71" s="152">
        <f>IF(TrRoad_act!H47=0,0,H34/TrRoad_act!H47*1000
)</f>
        <v>318.72037802175385</v>
      </c>
      <c r="I71" s="152">
        <f>IF(TrRoad_act!I47=0,0,I34/TrRoad_act!I47*1000
)</f>
        <v>307.10302864466712</v>
      </c>
      <c r="J71" s="152">
        <f>IF(TrRoad_act!J47=0,0,J34/TrRoad_act!J47*1000
)</f>
        <v>308.71262608043503</v>
      </c>
      <c r="K71" s="152">
        <f>IF(TrRoad_act!K47=0,0,K34/TrRoad_act!K47*1000
)</f>
        <v>304.02008360397406</v>
      </c>
      <c r="L71" s="152">
        <f>IF(TrRoad_act!L47=0,0,L34/TrRoad_act!L47*1000
)</f>
        <v>311.14057685869255</v>
      </c>
      <c r="M71" s="152">
        <f>IF(TrRoad_act!M47=0,0,M34/TrRoad_act!M47*1000
)</f>
        <v>306.9124280645259</v>
      </c>
      <c r="N71" s="152">
        <f>IF(TrRoad_act!N47=0,0,N34/TrRoad_act!N47*1000
)</f>
        <v>303.23639939670539</v>
      </c>
      <c r="O71" s="152">
        <f>IF(TrRoad_act!O47=0,0,O34/TrRoad_act!O47*1000
)</f>
        <v>300.64886321824537</v>
      </c>
      <c r="P71" s="152">
        <f>IF(TrRoad_act!P47=0,0,P34/TrRoad_act!P47*1000
)</f>
        <v>293.8085625789729</v>
      </c>
      <c r="Q71" s="152">
        <f>IF(TrRoad_act!Q47=0,0,Q34/TrRoad_act!Q47*1000
)</f>
        <v>293.89993817420537</v>
      </c>
      <c r="R71" s="152">
        <f>IF(TrRoad_act!R47=0,0,R34/TrRoad_act!R47*1000
)</f>
        <v>289.99635861875174</v>
      </c>
      <c r="S71" s="152">
        <f>IF(TrRoad_act!S47=0,0,S34/TrRoad_act!S47*1000
)</f>
        <v>281.74607623305894</v>
      </c>
      <c r="T71" s="152">
        <f>IF(TrRoad_act!T47=0,0,T34/TrRoad_act!T47*1000
)</f>
        <v>269.37821290101374</v>
      </c>
      <c r="U71" s="152">
        <f>IF(TrRoad_act!U47=0,0,U34/TrRoad_act!U47*1000
)</f>
        <v>260.57969888270497</v>
      </c>
      <c r="V71" s="152">
        <f>IF(TrRoad_act!V47=0,0,V34/TrRoad_act!V47*1000
)</f>
        <v>261.5794034630523</v>
      </c>
      <c r="W71" s="152">
        <f>IF(TrRoad_act!W47=0,0,W34/TrRoad_act!W47*1000
)</f>
        <v>255.69385066824302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348.21758621047513</v>
      </c>
      <c r="C72" s="87">
        <f>IF(TrRoad_act!C48=0,0,C35/TrRoad_act!C48*1000
)</f>
        <v>348.21758621047513</v>
      </c>
      <c r="D72" s="87">
        <f>IF(TrRoad_act!D48=0,0,D35/TrRoad_act!D48*1000
)</f>
        <v>348.21758621047513</v>
      </c>
      <c r="E72" s="87">
        <f>IF(TrRoad_act!E48=0,0,E35/TrRoad_act!E48*1000
)</f>
        <v>348.21758621047513</v>
      </c>
      <c r="F72" s="87">
        <f>IF(TrRoad_act!F48=0,0,F35/TrRoad_act!F48*1000
)</f>
        <v>348.21758621047513</v>
      </c>
      <c r="G72" s="87">
        <f>IF(TrRoad_act!G48=0,0,G35/TrRoad_act!G48*1000
)</f>
        <v>348.21758621047519</v>
      </c>
      <c r="H72" s="87">
        <f>IF(TrRoad_act!H48=0,0,H35/TrRoad_act!H48*1000
)</f>
        <v>346.63316247097526</v>
      </c>
      <c r="I72" s="87">
        <f>IF(TrRoad_act!I48=0,0,I35/TrRoad_act!I48*1000
)</f>
        <v>340.85019441652435</v>
      </c>
      <c r="J72" s="87">
        <f>IF(TrRoad_act!J48=0,0,J35/TrRoad_act!J48*1000
)</f>
        <v>339.21184006925705</v>
      </c>
      <c r="K72" s="87">
        <f>IF(TrRoad_act!K48=0,0,K35/TrRoad_act!K48*1000
)</f>
        <v>334.32015321238913</v>
      </c>
      <c r="L72" s="87">
        <f>IF(TrRoad_act!L48=0,0,L35/TrRoad_act!L48*1000
)</f>
        <v>328.76633900941738</v>
      </c>
      <c r="M72" s="87">
        <f>IF(TrRoad_act!M48=0,0,M35/TrRoad_act!M48*1000
)</f>
        <v>321.83625976020761</v>
      </c>
      <c r="N72" s="87">
        <f>IF(TrRoad_act!N48=0,0,N35/TrRoad_act!N48*1000
)</f>
        <v>315.56065436003945</v>
      </c>
      <c r="O72" s="87">
        <f>IF(TrRoad_act!O48=0,0,O35/TrRoad_act!O48*1000
)</f>
        <v>310.59881785160411</v>
      </c>
      <c r="P72" s="87">
        <f>IF(TrRoad_act!P48=0,0,P35/TrRoad_act!P48*1000
)</f>
        <v>299.32037641785445</v>
      </c>
      <c r="Q72" s="87">
        <f>IF(TrRoad_act!Q48=0,0,Q35/TrRoad_act!Q48*1000
)</f>
        <v>288.4515988630497</v>
      </c>
      <c r="R72" s="87">
        <f>IF(TrRoad_act!R48=0,0,R35/TrRoad_act!R48*1000
)</f>
        <v>280.32500533341454</v>
      </c>
      <c r="S72" s="87">
        <f>IF(TrRoad_act!S48=0,0,S35/TrRoad_act!S48*1000
)</f>
        <v>270.70112598450635</v>
      </c>
      <c r="T72" s="87">
        <f>IF(TrRoad_act!T48=0,0,T35/TrRoad_act!T48*1000
)</f>
        <v>263.12826362083388</v>
      </c>
      <c r="U72" s="87">
        <f>IF(TrRoad_act!U48=0,0,U35/TrRoad_act!U48*1000
)</f>
        <v>252.20589143179984</v>
      </c>
      <c r="V72" s="87">
        <f>IF(TrRoad_act!V48=0,0,V35/TrRoad_act!V48*1000
)</f>
        <v>243.06533039808005</v>
      </c>
      <c r="W72" s="87">
        <f>IF(TrRoad_act!W48=0,0,W35/TrRoad_act!W48*1000
)</f>
        <v>233.11837102258079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353.91342746085104</v>
      </c>
      <c r="C73" s="87">
        <f>IF(TrRoad_act!C49=0,0,C36/TrRoad_act!C49*1000
)</f>
        <v>333.42685126650395</v>
      </c>
      <c r="D73" s="87">
        <f>IF(TrRoad_act!D49=0,0,D36/TrRoad_act!D49*1000
)</f>
        <v>328.53478080698488</v>
      </c>
      <c r="E73" s="87">
        <f>IF(TrRoad_act!E49=0,0,E36/TrRoad_act!E49*1000
)</f>
        <v>325.08684301827208</v>
      </c>
      <c r="F73" s="87">
        <f>IF(TrRoad_act!F49=0,0,F36/TrRoad_act!F49*1000
)</f>
        <v>322.5639709023464</v>
      </c>
      <c r="G73" s="87">
        <f>IF(TrRoad_act!G49=0,0,G36/TrRoad_act!G49*1000
)</f>
        <v>319.76800388530916</v>
      </c>
      <c r="H73" s="87">
        <f>IF(TrRoad_act!H49=0,0,H36/TrRoad_act!H49*1000
)</f>
        <v>316.32636241504417</v>
      </c>
      <c r="I73" s="87">
        <f>IF(TrRoad_act!I49=0,0,I36/TrRoad_act!I49*1000
)</f>
        <v>304.59984608741144</v>
      </c>
      <c r="J73" s="87">
        <f>IF(TrRoad_act!J49=0,0,J36/TrRoad_act!J49*1000
)</f>
        <v>306.32820071554431</v>
      </c>
      <c r="K73" s="87">
        <f>IF(TrRoad_act!K49=0,0,K36/TrRoad_act!K49*1000
)</f>
        <v>301.58100195076497</v>
      </c>
      <c r="L73" s="87">
        <f>IF(TrRoad_act!L49=0,0,L36/TrRoad_act!L49*1000
)</f>
        <v>309.05578764885865</v>
      </c>
      <c r="M73" s="87">
        <f>IF(TrRoad_act!M49=0,0,M36/TrRoad_act!M49*1000
)</f>
        <v>304.94725352296143</v>
      </c>
      <c r="N73" s="87">
        <f>IF(TrRoad_act!N49=0,0,N36/TrRoad_act!N49*1000
)</f>
        <v>301.38085810599244</v>
      </c>
      <c r="O73" s="87">
        <f>IF(TrRoad_act!O49=0,0,O36/TrRoad_act!O49*1000
)</f>
        <v>298.87715207233038</v>
      </c>
      <c r="P73" s="87">
        <f>IF(TrRoad_act!P49=0,0,P36/TrRoad_act!P49*1000
)</f>
        <v>292.14338498885513</v>
      </c>
      <c r="Q73" s="87">
        <f>IF(TrRoad_act!Q49=0,0,Q36/TrRoad_act!Q49*1000
)</f>
        <v>292.53093170305203</v>
      </c>
      <c r="R73" s="87">
        <f>IF(TrRoad_act!R49=0,0,R36/TrRoad_act!R49*1000
)</f>
        <v>288.70242680273759</v>
      </c>
      <c r="S73" s="87">
        <f>IF(TrRoad_act!S49=0,0,S36/TrRoad_act!S49*1000
)</f>
        <v>280.59051720238955</v>
      </c>
      <c r="T73" s="87">
        <f>IF(TrRoad_act!T49=0,0,T36/TrRoad_act!T49*1000
)</f>
        <v>268.48100200186684</v>
      </c>
      <c r="U73" s="87">
        <f>IF(TrRoad_act!U49=0,0,U36/TrRoad_act!U49*1000
)</f>
        <v>260.15853662584908</v>
      </c>
      <c r="V73" s="87">
        <f>IF(TrRoad_act!V49=0,0,V36/TrRoad_act!V49*1000
)</f>
        <v>261.6458105169163</v>
      </c>
      <c r="W73" s="87">
        <f>IF(TrRoad_act!W49=0,0,W36/TrRoad_act!W49*1000
)</f>
        <v>256.51164887907225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575.33682750006403</v>
      </c>
      <c r="C74" s="87">
        <f>IF(TrRoad_act!C50=0,0,C37/TrRoad_act!C50*1000
)</f>
        <v>574.92987586356946</v>
      </c>
      <c r="D74" s="87">
        <f>IF(TrRoad_act!D50=0,0,D37/TrRoad_act!D50*1000
)</f>
        <v>574.92817678155541</v>
      </c>
      <c r="E74" s="87">
        <f>IF(TrRoad_act!E50=0,0,E37/TrRoad_act!E50*1000
)</f>
        <v>574.91834480313287</v>
      </c>
      <c r="F74" s="87">
        <f>IF(TrRoad_act!F50=0,0,F37/TrRoad_act!F50*1000
)</f>
        <v>574.90332166710914</v>
      </c>
      <c r="G74" s="87">
        <f>IF(TrRoad_act!G50=0,0,G37/TrRoad_act!G50*1000
)</f>
        <v>574.85338993570497</v>
      </c>
      <c r="H74" s="87">
        <f>IF(TrRoad_act!H50=0,0,H37/TrRoad_act!H50*1000
)</f>
        <v>574.82135165931709</v>
      </c>
      <c r="I74" s="87">
        <f>IF(TrRoad_act!I50=0,0,I37/TrRoad_act!I50*1000
)</f>
        <v>574.8052042280724</v>
      </c>
      <c r="J74" s="87">
        <f>IF(TrRoad_act!J50=0,0,J37/TrRoad_act!J50*1000
)</f>
        <v>574.80469069957883</v>
      </c>
      <c r="K74" s="87">
        <f>IF(TrRoad_act!K50=0,0,K37/TrRoad_act!K50*1000
)</f>
        <v>574.68658797877856</v>
      </c>
      <c r="L74" s="87">
        <f>IF(TrRoad_act!L50=0,0,L37/TrRoad_act!L50*1000
)</f>
        <v>568.35815777805908</v>
      </c>
      <c r="M74" s="87">
        <f>IF(TrRoad_act!M50=0,0,M37/TrRoad_act!M50*1000
)</f>
        <v>560.9337097678698</v>
      </c>
      <c r="N74" s="87">
        <f>IF(TrRoad_act!N50=0,0,N37/TrRoad_act!N50*1000
)</f>
        <v>552.54143294889013</v>
      </c>
      <c r="O74" s="87">
        <f>IF(TrRoad_act!O50=0,0,O37/TrRoad_act!O50*1000
)</f>
        <v>548.05771967148883</v>
      </c>
      <c r="P74" s="87">
        <f>IF(TrRoad_act!P50=0,0,P37/TrRoad_act!P50*1000
)</f>
        <v>539.71516554138202</v>
      </c>
      <c r="Q74" s="87">
        <f>IF(TrRoad_act!Q50=0,0,Q37/TrRoad_act!Q50*1000
)</f>
        <v>532.31584264276898</v>
      </c>
      <c r="R74" s="87">
        <f>IF(TrRoad_act!R50=0,0,R37/TrRoad_act!R50*1000
)</f>
        <v>523.2667629973829</v>
      </c>
      <c r="S74" s="87">
        <f>IF(TrRoad_act!S50=0,0,S37/TrRoad_act!S50*1000
)</f>
        <v>513.76578310382013</v>
      </c>
      <c r="T74" s="87">
        <f>IF(TrRoad_act!T50=0,0,T37/TrRoad_act!T50*1000
)</f>
        <v>477.41991430704877</v>
      </c>
      <c r="U74" s="87">
        <f>IF(TrRoad_act!U50=0,0,U37/TrRoad_act!U50*1000
)</f>
        <v>402.15588883094887</v>
      </c>
      <c r="V74" s="87">
        <f>IF(TrRoad_act!V50=0,0,V37/TrRoad_act!V50*1000
)</f>
        <v>396.64744063748964</v>
      </c>
      <c r="W74" s="87">
        <f>IF(TrRoad_act!W50=0,0,W37/TrRoad_act!W50*1000
)</f>
        <v>385.56854682675731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261.10856524063121</v>
      </c>
      <c r="F75" s="87">
        <f>IF(TrRoad_act!F51=0,0,F38/TrRoad_act!F51*1000
)</f>
        <v>262.32979412845202</v>
      </c>
      <c r="G75" s="87">
        <f>IF(TrRoad_act!G51=0,0,G38/TrRoad_act!G51*1000
)</f>
        <v>262.39093299900333</v>
      </c>
      <c r="H75" s="87">
        <f>IF(TrRoad_act!H51=0,0,H38/TrRoad_act!H51*1000
)</f>
        <v>262.39959036851855</v>
      </c>
      <c r="I75" s="87">
        <f>IF(TrRoad_act!I51=0,0,I38/TrRoad_act!I51*1000
)</f>
        <v>260.69088264134297</v>
      </c>
      <c r="J75" s="87">
        <f>IF(TrRoad_act!J51=0,0,J38/TrRoad_act!J51*1000
)</f>
        <v>260.69088264134302</v>
      </c>
      <c r="K75" s="87">
        <f>IF(TrRoad_act!K51=0,0,K38/TrRoad_act!K51*1000
)</f>
        <v>251.87835705550393</v>
      </c>
      <c r="L75" s="87">
        <f>IF(TrRoad_act!L51=0,0,L38/TrRoad_act!L51*1000
)</f>
        <v>246.54516733911478</v>
      </c>
      <c r="M75" s="87">
        <f>IF(TrRoad_act!M51=0,0,M38/TrRoad_act!M51*1000
)</f>
        <v>243.9278692293106</v>
      </c>
      <c r="N75" s="87">
        <f>IF(TrRoad_act!N51=0,0,N38/TrRoad_act!N51*1000
)</f>
        <v>237.14532498883517</v>
      </c>
      <c r="O75" s="87">
        <f>IF(TrRoad_act!O51=0,0,O38/TrRoad_act!O51*1000
)</f>
        <v>235.0088879578949</v>
      </c>
      <c r="P75" s="87">
        <f>IF(TrRoad_act!P51=0,0,P38/TrRoad_act!P51*1000
)</f>
        <v>232.87747041088292</v>
      </c>
      <c r="Q75" s="87">
        <f>IF(TrRoad_act!Q51=0,0,Q38/TrRoad_act!Q51*1000
)</f>
        <v>233.53599776656409</v>
      </c>
      <c r="R75" s="87">
        <f>IF(TrRoad_act!R51=0,0,R38/TrRoad_act!R51*1000
)</f>
        <v>226.74373628453503</v>
      </c>
      <c r="S75" s="87">
        <f>IF(TrRoad_act!S51=0,0,S38/TrRoad_act!S51*1000
)</f>
        <v>228.30157628701997</v>
      </c>
      <c r="T75" s="87">
        <f>IF(TrRoad_act!T51=0,0,T38/TrRoad_act!T51*1000
)</f>
        <v>218.11352716278469</v>
      </c>
      <c r="U75" s="87">
        <f>IF(TrRoad_act!U51=0,0,U38/TrRoad_act!U51*1000
)</f>
        <v>218.01001147106413</v>
      </c>
      <c r="V75" s="87">
        <f>IF(TrRoad_act!V51=0,0,V38/TrRoad_act!V51*1000
)</f>
        <v>216.4943210339564</v>
      </c>
      <c r="W75" s="87">
        <f>IF(TrRoad_act!W51=0,0,W38/TrRoad_act!W51*1000
)</f>
        <v>217.44918586176021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1131.7439957366364</v>
      </c>
      <c r="C77" s="116">
        <f>IF(TrRoad_act!C53=0,0,C40/TrRoad_act!C53*1000
)</f>
        <v>1113.2518341746957</v>
      </c>
      <c r="D77" s="116">
        <f>IF(TrRoad_act!D53=0,0,D40/TrRoad_act!D53*1000
)</f>
        <v>1102.2170324704709</v>
      </c>
      <c r="E77" s="116">
        <f>IF(TrRoad_act!E53=0,0,E40/TrRoad_act!E53*1000
)</f>
        <v>1106.0787133497083</v>
      </c>
      <c r="F77" s="116">
        <f>IF(TrRoad_act!F53=0,0,F40/TrRoad_act!F53*1000
)</f>
        <v>1120.5891318057329</v>
      </c>
      <c r="G77" s="116">
        <f>IF(TrRoad_act!G53=0,0,G40/TrRoad_act!G53*1000
)</f>
        <v>1125.5487734060525</v>
      </c>
      <c r="H77" s="116">
        <f>IF(TrRoad_act!H53=0,0,H40/TrRoad_act!H53*1000
)</f>
        <v>1205.7687531464837</v>
      </c>
      <c r="I77" s="116">
        <f>IF(TrRoad_act!I53=0,0,I40/TrRoad_act!I53*1000
)</f>
        <v>1218.6260400133142</v>
      </c>
      <c r="J77" s="116">
        <f>IF(TrRoad_act!J53=0,0,J40/TrRoad_act!J53*1000
)</f>
        <v>1237.0965128625303</v>
      </c>
      <c r="K77" s="116">
        <f>IF(TrRoad_act!K53=0,0,K40/TrRoad_act!K53*1000
)</f>
        <v>1136.3985927033739</v>
      </c>
      <c r="L77" s="116">
        <f>IF(TrRoad_act!L53=0,0,L40/TrRoad_act!L53*1000
)</f>
        <v>1329.7553498482844</v>
      </c>
      <c r="M77" s="116">
        <f>IF(TrRoad_act!M53=0,0,M40/TrRoad_act!M53*1000
)</f>
        <v>1336.8026580090655</v>
      </c>
      <c r="N77" s="116">
        <f>IF(TrRoad_act!N53=0,0,N40/TrRoad_act!N53*1000
)</f>
        <v>1350.8230013014295</v>
      </c>
      <c r="O77" s="116">
        <f>IF(TrRoad_act!O53=0,0,O40/TrRoad_act!O53*1000
)</f>
        <v>1154.7532316425841</v>
      </c>
      <c r="P77" s="116">
        <f>IF(TrRoad_act!P53=0,0,P40/TrRoad_act!P53*1000
)</f>
        <v>851.69326862093124</v>
      </c>
      <c r="Q77" s="116">
        <f>IF(TrRoad_act!Q53=0,0,Q40/TrRoad_act!Q53*1000
)</f>
        <v>847.34323148512499</v>
      </c>
      <c r="R77" s="116">
        <f>IF(TrRoad_act!R53=0,0,R40/TrRoad_act!R53*1000
)</f>
        <v>800.39490628083013</v>
      </c>
      <c r="S77" s="116">
        <f>IF(TrRoad_act!S53=0,0,S40/TrRoad_act!S53*1000
)</f>
        <v>968.23346197085607</v>
      </c>
      <c r="T77" s="116">
        <f>IF(TrRoad_act!T53=0,0,T40/TrRoad_act!T53*1000
)</f>
        <v>1075.7476183510505</v>
      </c>
      <c r="U77" s="116">
        <f>IF(TrRoad_act!U53=0,0,U40/TrRoad_act!U53*1000
)</f>
        <v>1065.390898494697</v>
      </c>
      <c r="V77" s="116">
        <f>IF(TrRoad_act!V53=0,0,V40/TrRoad_act!V53*1000
)</f>
        <v>941.82649930324465</v>
      </c>
      <c r="W77" s="116">
        <f>IF(TrRoad_act!W53=0,0,W40/TrRoad_act!W53*1000
)</f>
        <v>818.79517595094501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1097.5987055593046</v>
      </c>
      <c r="C78" s="101">
        <f>IF(TrRoad_act!C54=0,0,C41/TrRoad_act!C54*1000
)</f>
        <v>1078.5999548987454</v>
      </c>
      <c r="D78" s="101">
        <f>IF(TrRoad_act!D54=0,0,D41/TrRoad_act!D54*1000
)</f>
        <v>1068.688907583693</v>
      </c>
      <c r="E78" s="101">
        <f>IF(TrRoad_act!E54=0,0,E41/TrRoad_act!E54*1000
)</f>
        <v>1073.4220024431449</v>
      </c>
      <c r="F78" s="101">
        <f>IF(TrRoad_act!F54=0,0,F41/TrRoad_act!F54*1000
)</f>
        <v>1083.6689273294594</v>
      </c>
      <c r="G78" s="101">
        <f>IF(TrRoad_act!G54=0,0,G41/TrRoad_act!G54*1000
)</f>
        <v>1087.9221044059277</v>
      </c>
      <c r="H78" s="101">
        <f>IF(TrRoad_act!H54=0,0,H41/TrRoad_act!H54*1000
)</f>
        <v>1163.9065205124036</v>
      </c>
      <c r="I78" s="101">
        <f>IF(TrRoad_act!I54=0,0,I41/TrRoad_act!I54*1000
)</f>
        <v>1175.2776530176477</v>
      </c>
      <c r="J78" s="101">
        <f>IF(TrRoad_act!J54=0,0,J41/TrRoad_act!J54*1000
)</f>
        <v>1192.2359125687417</v>
      </c>
      <c r="K78" s="101">
        <f>IF(TrRoad_act!K54=0,0,K41/TrRoad_act!K54*1000
)</f>
        <v>1097.0194638653002</v>
      </c>
      <c r="L78" s="101">
        <f>IF(TrRoad_act!L54=0,0,L41/TrRoad_act!L54*1000
)</f>
        <v>1275.9719428662238</v>
      </c>
      <c r="M78" s="101">
        <f>IF(TrRoad_act!M54=0,0,M41/TrRoad_act!M54*1000
)</f>
        <v>1285.2814867812722</v>
      </c>
      <c r="N78" s="101">
        <f>IF(TrRoad_act!N54=0,0,N41/TrRoad_act!N54*1000
)</f>
        <v>1296.188070370109</v>
      </c>
      <c r="O78" s="101">
        <f>IF(TrRoad_act!O54=0,0,O41/TrRoad_act!O54*1000
)</f>
        <v>1106.8009215755933</v>
      </c>
      <c r="P78" s="101">
        <f>IF(TrRoad_act!P54=0,0,P41/TrRoad_act!P54*1000
)</f>
        <v>814.76223147833082</v>
      </c>
      <c r="Q78" s="101">
        <f>IF(TrRoad_act!Q54=0,0,Q41/TrRoad_act!Q54*1000
)</f>
        <v>809.57565354046903</v>
      </c>
      <c r="R78" s="101">
        <f>IF(TrRoad_act!R54=0,0,R41/TrRoad_act!R54*1000
)</f>
        <v>763.10885287793292</v>
      </c>
      <c r="S78" s="101">
        <f>IF(TrRoad_act!S54=0,0,S41/TrRoad_act!S54*1000
)</f>
        <v>918.95665879014109</v>
      </c>
      <c r="T78" s="101">
        <f>IF(TrRoad_act!T54=0,0,T41/TrRoad_act!T54*1000
)</f>
        <v>1020.4631703889588</v>
      </c>
      <c r="U78" s="101">
        <f>IF(TrRoad_act!U54=0,0,U41/TrRoad_act!U54*1000
)</f>
        <v>1007.305956792745</v>
      </c>
      <c r="V78" s="101">
        <f>IF(TrRoad_act!V54=0,0,V41/TrRoad_act!V54*1000
)</f>
        <v>888.32083349593211</v>
      </c>
      <c r="W78" s="101">
        <f>IF(TrRoad_act!W54=0,0,W41/TrRoad_act!W54*1000
)</f>
        <v>772.05473176638975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1316.9946269067436</v>
      </c>
      <c r="C79" s="88">
        <f>IF(TrRoad_act!C55=0,0,C42/TrRoad_act!C55*1000
)</f>
        <v>1286.1851134183589</v>
      </c>
      <c r="D79" s="88">
        <f>IF(TrRoad_act!D55=0,0,D42/TrRoad_act!D55*1000
)</f>
        <v>1268.8371127299215</v>
      </c>
      <c r="E79" s="88">
        <f>IF(TrRoad_act!E55=0,0,E42/TrRoad_act!E55*1000
)</f>
        <v>1270.6624591708089</v>
      </c>
      <c r="F79" s="88">
        <f>IF(TrRoad_act!F55=0,0,F42/TrRoad_act!F55*1000
)</f>
        <v>1274.4713416599161</v>
      </c>
      <c r="G79" s="88">
        <f>IF(TrRoad_act!G55=0,0,G42/TrRoad_act!G55*1000
)</f>
        <v>1275.9962055131446</v>
      </c>
      <c r="H79" s="88">
        <f>IF(TrRoad_act!H55=0,0,H42/TrRoad_act!H55*1000
)</f>
        <v>1363.0938064919806</v>
      </c>
      <c r="I79" s="88">
        <f>IF(TrRoad_act!I55=0,0,I42/TrRoad_act!I55*1000
)</f>
        <v>1372.0775805400988</v>
      </c>
      <c r="J79" s="88">
        <f>IF(TrRoad_act!J55=0,0,J42/TrRoad_act!J55*1000
)</f>
        <v>1393.2518703781798</v>
      </c>
      <c r="K79" s="88">
        <f>IF(TrRoad_act!K55=0,0,K42/TrRoad_act!K55*1000
)</f>
        <v>1284.149773411965</v>
      </c>
      <c r="L79" s="88">
        <f>IF(TrRoad_act!L55=0,0,L42/TrRoad_act!L55*1000
)</f>
        <v>1492.7940296467721</v>
      </c>
      <c r="M79" s="88">
        <f>IF(TrRoad_act!M55=0,0,M42/TrRoad_act!M55*1000
)</f>
        <v>1499.6889371128577</v>
      </c>
      <c r="N79" s="88">
        <f>IF(TrRoad_act!N55=0,0,N42/TrRoad_act!N55*1000
)</f>
        <v>1518.2904933563727</v>
      </c>
      <c r="O79" s="88">
        <f>IF(TrRoad_act!O55=0,0,O42/TrRoad_act!O55*1000
)</f>
        <v>1302.8821325204415</v>
      </c>
      <c r="P79" s="88">
        <f>IF(TrRoad_act!P55=0,0,P42/TrRoad_act!P55*1000
)</f>
        <v>964.81144180897763</v>
      </c>
      <c r="Q79" s="88">
        <f>IF(TrRoad_act!Q55=0,0,Q42/TrRoad_act!Q55*1000
)</f>
        <v>962.86113354051156</v>
      </c>
      <c r="R79" s="88">
        <f>IF(TrRoad_act!R55=0,0,R42/TrRoad_act!R55*1000
)</f>
        <v>910.7964332015755</v>
      </c>
      <c r="S79" s="88">
        <f>IF(TrRoad_act!S55=0,0,S42/TrRoad_act!S55*1000
)</f>
        <v>1105.6810033938843</v>
      </c>
      <c r="T79" s="88">
        <f>IF(TrRoad_act!T55=0,0,T42/TrRoad_act!T55*1000
)</f>
        <v>1236.7749962950031</v>
      </c>
      <c r="U79" s="88">
        <f>IF(TrRoad_act!U55=0,0,U42/TrRoad_act!U55*1000
)</f>
        <v>1230.6809346163984</v>
      </c>
      <c r="V79" s="88">
        <f>IF(TrRoad_act!V55=0,0,V42/TrRoad_act!V55*1000
)</f>
        <v>1092.1593157681732</v>
      </c>
      <c r="W79" s="88">
        <f>IF(TrRoad_act!W55=0,0,W42/TrRoad_act!W55*1000
)</f>
        <v>957.96379532830258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123.99409935221136</v>
      </c>
      <c r="C82" s="29">
        <f>IF(TrRoad_act!C4=0,0,C18/TrRoad_act!C4*1000)</f>
        <v>124.4033856167957</v>
      </c>
      <c r="D82" s="29">
        <f>IF(TrRoad_act!D4=0,0,D18/TrRoad_act!D4*1000)</f>
        <v>124.67142596307475</v>
      </c>
      <c r="E82" s="29">
        <f>IF(TrRoad_act!E4=0,0,E18/TrRoad_act!E4*1000)</f>
        <v>123.58484820733349</v>
      </c>
      <c r="F82" s="29">
        <f>IF(TrRoad_act!F4=0,0,F18/TrRoad_act!F4*1000)</f>
        <v>119.89108938043383</v>
      </c>
      <c r="G82" s="29">
        <f>IF(TrRoad_act!G4=0,0,G18/TrRoad_act!G4*1000)</f>
        <v>122.39248550613523</v>
      </c>
      <c r="H82" s="29">
        <f>IF(TrRoad_act!H4=0,0,H18/TrRoad_act!H4*1000)</f>
        <v>125.38454305201063</v>
      </c>
      <c r="I82" s="29">
        <f>IF(TrRoad_act!I4=0,0,I18/TrRoad_act!I4*1000)</f>
        <v>123.03195169660884</v>
      </c>
      <c r="J82" s="29">
        <f>IF(TrRoad_act!J4=0,0,J18/TrRoad_act!J4*1000)</f>
        <v>125.03489744396251</v>
      </c>
      <c r="K82" s="29">
        <f>IF(TrRoad_act!K4=0,0,K18/TrRoad_act!K4*1000)</f>
        <v>124.33095570948892</v>
      </c>
      <c r="L82" s="29">
        <f>IF(TrRoad_act!L4=0,0,L18/TrRoad_act!L4*1000)</f>
        <v>125.97303608912419</v>
      </c>
      <c r="M82" s="29">
        <f>IF(TrRoad_act!M4=0,0,M18/TrRoad_act!M4*1000)</f>
        <v>124.84357897770218</v>
      </c>
      <c r="N82" s="29">
        <f>IF(TrRoad_act!N4=0,0,N18/TrRoad_act!N4*1000)</f>
        <v>123.92694214833901</v>
      </c>
      <c r="O82" s="29">
        <f>IF(TrRoad_act!O4=0,0,O18/TrRoad_act!O4*1000)</f>
        <v>116.10081156663796</v>
      </c>
      <c r="P82" s="29">
        <f>IF(TrRoad_act!P4=0,0,P18/TrRoad_act!P4*1000)</f>
        <v>112.16955803747196</v>
      </c>
      <c r="Q82" s="29">
        <f>IF(TrRoad_act!Q4=0,0,Q18/TrRoad_act!Q4*1000)</f>
        <v>116.4913597740692</v>
      </c>
      <c r="R82" s="29">
        <f>IF(TrRoad_act!R4=0,0,R18/TrRoad_act!R4*1000)</f>
        <v>116.51485970578979</v>
      </c>
      <c r="S82" s="29">
        <f>IF(TrRoad_act!S4=0,0,S18/TrRoad_act!S4*1000)</f>
        <v>119.65623818242915</v>
      </c>
      <c r="T82" s="29">
        <f>IF(TrRoad_act!T4=0,0,T18/TrRoad_act!T4*1000)</f>
        <v>110.29515885996095</v>
      </c>
      <c r="U82" s="29">
        <f>IF(TrRoad_act!U4=0,0,U18/TrRoad_act!U4*1000)</f>
        <v>107.8752158674486</v>
      </c>
      <c r="V82" s="29">
        <f>IF(TrRoad_act!V4=0,0,V18/TrRoad_act!V4*1000)</f>
        <v>120.98847848963774</v>
      </c>
      <c r="W82" s="29">
        <f>IF(TrRoad_act!W4=0,0,W18/TrRoad_act!W4*1000)</f>
        <v>115.53491981941725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111.39084873763331</v>
      </c>
      <c r="C83" s="152">
        <f>IF(TrRoad_act!C5=0,0,C19/TrRoad_act!C5*1000)</f>
        <v>111.26249927711164</v>
      </c>
      <c r="D83" s="152">
        <f>IF(TrRoad_act!D5=0,0,D19/TrRoad_act!D5*1000)</f>
        <v>110.21933946636834</v>
      </c>
      <c r="E83" s="152">
        <f>IF(TrRoad_act!E5=0,0,E19/TrRoad_act!E5*1000)</f>
        <v>110.67956658959606</v>
      </c>
      <c r="F83" s="152">
        <f>IF(TrRoad_act!F5=0,0,F19/TrRoad_act!F5*1000)</f>
        <v>109.86744266013153</v>
      </c>
      <c r="G83" s="152">
        <f>IF(TrRoad_act!G5=0,0,G19/TrRoad_act!G5*1000)</f>
        <v>108.44374043040374</v>
      </c>
      <c r="H83" s="152">
        <f>IF(TrRoad_act!H5=0,0,H19/TrRoad_act!H5*1000)</f>
        <v>105.07000973381967</v>
      </c>
      <c r="I83" s="152">
        <f>IF(TrRoad_act!I5=0,0,I19/TrRoad_act!I5*1000)</f>
        <v>97.635368330945752</v>
      </c>
      <c r="J83" s="152">
        <f>IF(TrRoad_act!J5=0,0,J19/TrRoad_act!J5*1000)</f>
        <v>94.455382615162364</v>
      </c>
      <c r="K83" s="152">
        <f>IF(TrRoad_act!K5=0,0,K19/TrRoad_act!K5*1000)</f>
        <v>91.817855806396935</v>
      </c>
      <c r="L83" s="152">
        <f>IF(TrRoad_act!L5=0,0,L19/TrRoad_act!L5*1000)</f>
        <v>90.343203859764358</v>
      </c>
      <c r="M83" s="152">
        <f>IF(TrRoad_act!M5=0,0,M19/TrRoad_act!M5*1000)</f>
        <v>88.895238189793545</v>
      </c>
      <c r="N83" s="152">
        <f>IF(TrRoad_act!N5=0,0,N19/TrRoad_act!N5*1000)</f>
        <v>89.092085807672149</v>
      </c>
      <c r="O83" s="152">
        <f>IF(TrRoad_act!O5=0,0,O19/TrRoad_act!O5*1000)</f>
        <v>87.87738991078038</v>
      </c>
      <c r="P83" s="152">
        <f>IF(TrRoad_act!P5=0,0,P19/TrRoad_act!P5*1000)</f>
        <v>86.328508128543234</v>
      </c>
      <c r="Q83" s="152">
        <f>IF(TrRoad_act!Q5=0,0,Q19/TrRoad_act!Q5*1000)</f>
        <v>84.982183702210136</v>
      </c>
      <c r="R83" s="152">
        <f>IF(TrRoad_act!R5=0,0,R19/TrRoad_act!R5*1000)</f>
        <v>83.922910868155029</v>
      </c>
      <c r="S83" s="152">
        <f>IF(TrRoad_act!S5=0,0,S19/TrRoad_act!S5*1000)</f>
        <v>82.815911886720826</v>
      </c>
      <c r="T83" s="152">
        <f>IF(TrRoad_act!T5=0,0,T19/TrRoad_act!T5*1000)</f>
        <v>85.483509522111106</v>
      </c>
      <c r="U83" s="152">
        <f>IF(TrRoad_act!U5=0,0,U19/TrRoad_act!U5*1000)</f>
        <v>80.683794107178002</v>
      </c>
      <c r="V83" s="152">
        <f>IF(TrRoad_act!V5=0,0,V19/TrRoad_act!V5*1000)</f>
        <v>81.008167569878097</v>
      </c>
      <c r="W83" s="152">
        <f>IF(TrRoad_act!W5=0,0,W19/TrRoad_act!W5*1000)</f>
        <v>77.049624571473004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120.39675313693641</v>
      </c>
      <c r="C84" s="116">
        <f>IF(TrRoad_act!C6=0,0,C20/TrRoad_act!C6*1000)</f>
        <v>121.14575829036534</v>
      </c>
      <c r="D84" s="116">
        <f>IF(TrRoad_act!D6=0,0,D20/TrRoad_act!D6*1000)</f>
        <v>121.38545829067988</v>
      </c>
      <c r="E84" s="116">
        <f>IF(TrRoad_act!E6=0,0,E20/TrRoad_act!E6*1000)</f>
        <v>120.61269250122658</v>
      </c>
      <c r="F84" s="116">
        <f>IF(TrRoad_act!F6=0,0,F20/TrRoad_act!F6*1000)</f>
        <v>117.06306878122456</v>
      </c>
      <c r="G84" s="116">
        <f>IF(TrRoad_act!G6=0,0,G20/TrRoad_act!G6*1000)</f>
        <v>119.7735557327445</v>
      </c>
      <c r="H84" s="116">
        <f>IF(TrRoad_act!H6=0,0,H20/TrRoad_act!H6*1000)</f>
        <v>123.21054704053168</v>
      </c>
      <c r="I84" s="116">
        <f>IF(TrRoad_act!I6=0,0,I20/TrRoad_act!I6*1000)</f>
        <v>121.32159421092763</v>
      </c>
      <c r="J84" s="116">
        <f>IF(TrRoad_act!J6=0,0,J20/TrRoad_act!J6*1000)</f>
        <v>123.37073327526439</v>
      </c>
      <c r="K84" s="116">
        <f>IF(TrRoad_act!K6=0,0,K20/TrRoad_act!K6*1000)</f>
        <v>122.41763930511542</v>
      </c>
      <c r="L84" s="116">
        <f>IF(TrRoad_act!L6=0,0,L20/TrRoad_act!L6*1000)</f>
        <v>123.73661056736016</v>
      </c>
      <c r="M84" s="116">
        <f>IF(TrRoad_act!M6=0,0,M20/TrRoad_act!M6*1000)</f>
        <v>123.00331248156354</v>
      </c>
      <c r="N84" s="116">
        <f>IF(TrRoad_act!N6=0,0,N20/TrRoad_act!N6*1000)</f>
        <v>121.67965656836058</v>
      </c>
      <c r="O84" s="116">
        <f>IF(TrRoad_act!O6=0,0,O20/TrRoad_act!O6*1000)</f>
        <v>113.86109282446166</v>
      </c>
      <c r="P84" s="116">
        <f>IF(TrRoad_act!P6=0,0,P20/TrRoad_act!P6*1000)</f>
        <v>109.97052729196908</v>
      </c>
      <c r="Q84" s="116">
        <f>IF(TrRoad_act!Q6=0,0,Q20/TrRoad_act!Q6*1000)</f>
        <v>114.91685898777928</v>
      </c>
      <c r="R84" s="116">
        <f>IF(TrRoad_act!R6=0,0,R20/TrRoad_act!R6*1000)</f>
        <v>115.06963060422804</v>
      </c>
      <c r="S84" s="116">
        <f>IF(TrRoad_act!S6=0,0,S20/TrRoad_act!S6*1000)</f>
        <v>117.67190027992346</v>
      </c>
      <c r="T84" s="116">
        <f>IF(TrRoad_act!T6=0,0,T20/TrRoad_act!T6*1000)</f>
        <v>108.98665106036404</v>
      </c>
      <c r="U84" s="116">
        <f>IF(TrRoad_act!U6=0,0,U20/TrRoad_act!U6*1000)</f>
        <v>107.15237855888611</v>
      </c>
      <c r="V84" s="116">
        <f>IF(TrRoad_act!V6=0,0,V20/TrRoad_act!V6*1000)</f>
        <v>119.28382672663915</v>
      </c>
      <c r="W84" s="116">
        <f>IF(TrRoad_act!W6=0,0,W20/TrRoad_act!W6*1000)</f>
        <v>115.02759431097829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115.94024677426277</v>
      </c>
      <c r="C85" s="87">
        <f>IF(TrRoad_act!C7=0,0,C21/TrRoad_act!C7*1000)</f>
        <v>120.16574390387602</v>
      </c>
      <c r="D85" s="87">
        <f>IF(TrRoad_act!D7=0,0,D21/TrRoad_act!D7*1000)</f>
        <v>121.04280294414021</v>
      </c>
      <c r="E85" s="87">
        <f>IF(TrRoad_act!E7=0,0,E21/TrRoad_act!E7*1000)</f>
        <v>121.48955249070218</v>
      </c>
      <c r="F85" s="87">
        <f>IF(TrRoad_act!F7=0,0,F21/TrRoad_act!F7*1000)</f>
        <v>116.94636084998633</v>
      </c>
      <c r="G85" s="87">
        <f>IF(TrRoad_act!G7=0,0,G21/TrRoad_act!G7*1000)</f>
        <v>118.8229095356391</v>
      </c>
      <c r="H85" s="87">
        <f>IF(TrRoad_act!H7=0,0,H21/TrRoad_act!H7*1000)</f>
        <v>122.99973750032785</v>
      </c>
      <c r="I85" s="87">
        <f>IF(TrRoad_act!I7=0,0,I21/TrRoad_act!I7*1000)</f>
        <v>122.34255020334133</v>
      </c>
      <c r="J85" s="87">
        <f>IF(TrRoad_act!J7=0,0,J21/TrRoad_act!J7*1000)</f>
        <v>121.82271267306233</v>
      </c>
      <c r="K85" s="87">
        <f>IF(TrRoad_act!K7=0,0,K21/TrRoad_act!K7*1000)</f>
        <v>120.14914847108739</v>
      </c>
      <c r="L85" s="87">
        <f>IF(TrRoad_act!L7=0,0,L21/TrRoad_act!L7*1000)</f>
        <v>120.58093692658372</v>
      </c>
      <c r="M85" s="87">
        <f>IF(TrRoad_act!M7=0,0,M21/TrRoad_act!M7*1000)</f>
        <v>120.70340735920193</v>
      </c>
      <c r="N85" s="87">
        <f>IF(TrRoad_act!N7=0,0,N21/TrRoad_act!N7*1000)</f>
        <v>120.5605415283316</v>
      </c>
      <c r="O85" s="87">
        <f>IF(TrRoad_act!O7=0,0,O21/TrRoad_act!O7*1000)</f>
        <v>113.045943366809</v>
      </c>
      <c r="P85" s="87">
        <f>IF(TrRoad_act!P7=0,0,P21/TrRoad_act!P7*1000)</f>
        <v>110.44104664269754</v>
      </c>
      <c r="Q85" s="87">
        <f>IF(TrRoad_act!Q7=0,0,Q21/TrRoad_act!Q7*1000)</f>
        <v>117.11547794590804</v>
      </c>
      <c r="R85" s="87">
        <f>IF(TrRoad_act!R7=0,0,R21/TrRoad_act!R7*1000)</f>
        <v>116.85319636662078</v>
      </c>
      <c r="S85" s="87">
        <f>IF(TrRoad_act!S7=0,0,S21/TrRoad_act!S7*1000)</f>
        <v>120.73524395228421</v>
      </c>
      <c r="T85" s="87">
        <f>IF(TrRoad_act!T7=0,0,T21/TrRoad_act!T7*1000)</f>
        <v>113.21781217546815</v>
      </c>
      <c r="U85" s="87">
        <f>IF(TrRoad_act!U7=0,0,U21/TrRoad_act!U7*1000)</f>
        <v>112.72249150509266</v>
      </c>
      <c r="V85" s="87">
        <f>IF(TrRoad_act!V7=0,0,V21/TrRoad_act!V7*1000)</f>
        <v>124.94259066933975</v>
      </c>
      <c r="W85" s="87">
        <f>IF(TrRoad_act!W7=0,0,W21/TrRoad_act!W7*1000)</f>
        <v>125.79376146176901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131.40463524916623</v>
      </c>
      <c r="C86" s="87">
        <f>IF(TrRoad_act!C8=0,0,C22/TrRoad_act!C8*1000)</f>
        <v>125.22854491114916</v>
      </c>
      <c r="D86" s="87">
        <f>IF(TrRoad_act!D8=0,0,D22/TrRoad_act!D8*1000)</f>
        <v>123.47966566424705</v>
      </c>
      <c r="E86" s="87">
        <f>IF(TrRoad_act!E8=0,0,E22/TrRoad_act!E8*1000)</f>
        <v>121.87305876496821</v>
      </c>
      <c r="F86" s="87">
        <f>IF(TrRoad_act!F8=0,0,F22/TrRoad_act!F8*1000)</f>
        <v>119.30708867220497</v>
      </c>
      <c r="G86" s="87">
        <f>IF(TrRoad_act!G8=0,0,G22/TrRoad_act!G8*1000)</f>
        <v>122.54262578386961</v>
      </c>
      <c r="H86" s="87">
        <f>IF(TrRoad_act!H8=0,0,H22/TrRoad_act!H8*1000)</f>
        <v>123.68119880523719</v>
      </c>
      <c r="I86" s="87">
        <f>IF(TrRoad_act!I8=0,0,I22/TrRoad_act!I8*1000)</f>
        <v>120.87905235977686</v>
      </c>
      <c r="J86" s="87">
        <f>IF(TrRoad_act!J8=0,0,J22/TrRoad_act!J8*1000)</f>
        <v>125.44208684945079</v>
      </c>
      <c r="K86" s="87">
        <f>IF(TrRoad_act!K8=0,0,K22/TrRoad_act!K8*1000)</f>
        <v>123.86479939114848</v>
      </c>
      <c r="L86" s="87">
        <f>IF(TrRoad_act!L8=0,0,L22/TrRoad_act!L8*1000)</f>
        <v>126.74619039925597</v>
      </c>
      <c r="M86" s="87">
        <f>IF(TrRoad_act!M8=0,0,M22/TrRoad_act!M8*1000)</f>
        <v>124.06349012833577</v>
      </c>
      <c r="N86" s="87">
        <f>IF(TrRoad_act!N8=0,0,N22/TrRoad_act!N8*1000)</f>
        <v>118.54457500748197</v>
      </c>
      <c r="O86" s="87">
        <f>IF(TrRoad_act!O8=0,0,O22/TrRoad_act!O8*1000)</f>
        <v>111.4967658673902</v>
      </c>
      <c r="P86" s="87">
        <f>IF(TrRoad_act!P8=0,0,P22/TrRoad_act!P8*1000)</f>
        <v>107.90981744497262</v>
      </c>
      <c r="Q86" s="87">
        <f>IF(TrRoad_act!Q8=0,0,Q22/TrRoad_act!Q8*1000)</f>
        <v>111.57398402619582</v>
      </c>
      <c r="R86" s="87">
        <f>IF(TrRoad_act!R8=0,0,R22/TrRoad_act!R8*1000)</f>
        <v>112.33581434121683</v>
      </c>
      <c r="S86" s="87">
        <f>IF(TrRoad_act!S8=0,0,S22/TrRoad_act!S8*1000)</f>
        <v>112.85420696224934</v>
      </c>
      <c r="T86" s="87">
        <f>IF(TrRoad_act!T8=0,0,T22/TrRoad_act!T8*1000)</f>
        <v>101.98569462559044</v>
      </c>
      <c r="U86" s="87">
        <f>IF(TrRoad_act!U8=0,0,U22/TrRoad_act!U8*1000)</f>
        <v>100.09019493079745</v>
      </c>
      <c r="V86" s="87">
        <f>IF(TrRoad_act!V8=0,0,V22/TrRoad_act!V8*1000)</f>
        <v>115.78020541265813</v>
      </c>
      <c r="W86" s="87">
        <f>IF(TrRoad_act!W8=0,0,W22/TrRoad_act!W8*1000)</f>
        <v>106.1825932314603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123.1819440681865</v>
      </c>
      <c r="C87" s="87">
        <f>IF(TrRoad_act!C9=0,0,C23/TrRoad_act!C9*1000)</f>
        <v>116.04558713573064</v>
      </c>
      <c r="D87" s="87">
        <f>IF(TrRoad_act!D9=0,0,D23/TrRoad_act!D9*1000)</f>
        <v>116.87469291471301</v>
      </c>
      <c r="E87" s="87">
        <f>IF(TrRoad_act!E9=0,0,E23/TrRoad_act!E9*1000)</f>
        <v>107.80270449871738</v>
      </c>
      <c r="F87" s="87">
        <f>IF(TrRoad_act!F9=0,0,F23/TrRoad_act!F9*1000)</f>
        <v>108.5361299069671</v>
      </c>
      <c r="G87" s="87">
        <f>IF(TrRoad_act!G9=0,0,G23/TrRoad_act!G9*1000)</f>
        <v>115.94112621833969</v>
      </c>
      <c r="H87" s="87">
        <f>IF(TrRoad_act!H9=0,0,H23/TrRoad_act!H9*1000)</f>
        <v>122.88908979047171</v>
      </c>
      <c r="I87" s="87">
        <f>IF(TrRoad_act!I9=0,0,I23/TrRoad_act!I9*1000)</f>
        <v>111.94565450910937</v>
      </c>
      <c r="J87" s="87">
        <f>IF(TrRoad_act!J9=0,0,J23/TrRoad_act!J9*1000)</f>
        <v>129.72278032603541</v>
      </c>
      <c r="K87" s="87">
        <f>IF(TrRoad_act!K9=0,0,K23/TrRoad_act!K9*1000)</f>
        <v>146.05144297375895</v>
      </c>
      <c r="L87" s="87">
        <f>IF(TrRoad_act!L9=0,0,L23/TrRoad_act!L9*1000)</f>
        <v>152.44565275392037</v>
      </c>
      <c r="M87" s="87">
        <f>IF(TrRoad_act!M9=0,0,M23/TrRoad_act!M9*1000)</f>
        <v>159.9795201430309</v>
      </c>
      <c r="N87" s="87">
        <f>IF(TrRoad_act!N9=0,0,N23/TrRoad_act!N9*1000)</f>
        <v>187.98037625361766</v>
      </c>
      <c r="O87" s="87">
        <f>IF(TrRoad_act!O9=0,0,O23/TrRoad_act!O9*1000)</f>
        <v>173.39525374740802</v>
      </c>
      <c r="P87" s="87">
        <f>IF(TrRoad_act!P9=0,0,P23/TrRoad_act!P9*1000)</f>
        <v>141.91792551219592</v>
      </c>
      <c r="Q87" s="87">
        <f>IF(TrRoad_act!Q9=0,0,Q23/TrRoad_act!Q9*1000)</f>
        <v>137.93847581017619</v>
      </c>
      <c r="R87" s="87">
        <f>IF(TrRoad_act!R9=0,0,R23/TrRoad_act!R9*1000)</f>
        <v>150.45149629286198</v>
      </c>
      <c r="S87" s="87">
        <f>IF(TrRoad_act!S9=0,0,S23/TrRoad_act!S9*1000)</f>
        <v>145.32973423005043</v>
      </c>
      <c r="T87" s="87">
        <f>IF(TrRoad_act!T9=0,0,T23/TrRoad_act!T9*1000)</f>
        <v>135.80072967705999</v>
      </c>
      <c r="U87" s="87">
        <f>IF(TrRoad_act!U9=0,0,U23/TrRoad_act!U9*1000)</f>
        <v>113.99463711291405</v>
      </c>
      <c r="V87" s="87">
        <f>IF(TrRoad_act!V9=0,0,V23/TrRoad_act!V9*1000)</f>
        <v>137.49920631508493</v>
      </c>
      <c r="W87" s="87">
        <f>IF(TrRoad_act!W9=0,0,W23/TrRoad_act!W9*1000)</f>
        <v>147.71486930969786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134.06707286905888</v>
      </c>
      <c r="M88" s="87">
        <f>IF(TrRoad_act!M10=0,0,M24/TrRoad_act!M10*1000)</f>
        <v>135.91248589804491</v>
      </c>
      <c r="N88" s="87">
        <f>IF(TrRoad_act!N10=0,0,N24/TrRoad_act!N10*1000)</f>
        <v>124.60853301144819</v>
      </c>
      <c r="O88" s="87">
        <f>IF(TrRoad_act!O10=0,0,O24/TrRoad_act!O10*1000)</f>
        <v>115.82474978733651</v>
      </c>
      <c r="P88" s="87">
        <f>IF(TrRoad_act!P10=0,0,P24/TrRoad_act!P10*1000)</f>
        <v>104.98310774915406</v>
      </c>
      <c r="Q88" s="87">
        <f>IF(TrRoad_act!Q10=0,0,Q24/TrRoad_act!Q10*1000)</f>
        <v>109.25843727312743</v>
      </c>
      <c r="R88" s="87">
        <f>IF(TrRoad_act!R10=0,0,R24/TrRoad_act!R10*1000)</f>
        <v>95.859606429690785</v>
      </c>
      <c r="S88" s="87">
        <f>IF(TrRoad_act!S10=0,0,S24/TrRoad_act!S10*1000)</f>
        <v>117.63335678454027</v>
      </c>
      <c r="T88" s="87">
        <f>IF(TrRoad_act!T10=0,0,T24/TrRoad_act!T10*1000)</f>
        <v>125.02643886926701</v>
      </c>
      <c r="U88" s="87">
        <f>IF(TrRoad_act!U10=0,0,U24/TrRoad_act!U10*1000)</f>
        <v>126.50873066110584</v>
      </c>
      <c r="V88" s="87">
        <f>IF(TrRoad_act!V10=0,0,V24/TrRoad_act!V10*1000)</f>
        <v>146.93566523997737</v>
      </c>
      <c r="W88" s="87">
        <f>IF(TrRoad_act!W10=0,0,W24/TrRoad_act!W10*1000)</f>
        <v>143.09863216801222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38.418410874353349</v>
      </c>
      <c r="N89" s="87">
        <f>IF(TrRoad_act!N11=0,0,N25/TrRoad_act!N11*1000)</f>
        <v>22.731855690564853</v>
      </c>
      <c r="O89" s="87">
        <f>IF(TrRoad_act!O11=0,0,O25/TrRoad_act!O11*1000)</f>
        <v>24.031702212579127</v>
      </c>
      <c r="P89" s="87">
        <f>IF(TrRoad_act!P11=0,0,P25/TrRoad_act!P11*1000)</f>
        <v>35.593410533463462</v>
      </c>
      <c r="Q89" s="87">
        <f>IF(TrRoad_act!Q11=0,0,Q25/TrRoad_act!Q11*1000)</f>
        <v>34.438822734311479</v>
      </c>
      <c r="R89" s="87">
        <f>IF(TrRoad_act!R11=0,0,R25/TrRoad_act!R11*1000)</f>
        <v>34.417223141843643</v>
      </c>
      <c r="S89" s="87">
        <f>IF(TrRoad_act!S11=0,0,S25/TrRoad_act!S11*1000)</f>
        <v>36.175446742968518</v>
      </c>
      <c r="T89" s="87">
        <f>IF(TrRoad_act!T11=0,0,T25/TrRoad_act!T11*1000)</f>
        <v>34.868773321335624</v>
      </c>
      <c r="U89" s="87">
        <f>IF(TrRoad_act!U11=0,0,U25/TrRoad_act!U11*1000)</f>
        <v>35.56599633884494</v>
      </c>
      <c r="V89" s="87">
        <f>IF(TrRoad_act!V11=0,0,V25/TrRoad_act!V11*1000)</f>
        <v>41.633451767124932</v>
      </c>
      <c r="W89" s="87">
        <f>IF(TrRoad_act!W11=0,0,W25/TrRoad_act!W11*1000)</f>
        <v>39.707123386459649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243.2738427607396</v>
      </c>
      <c r="C91" s="116">
        <f>IF(TrRoad_act!C13=0,0,C27/TrRoad_act!C13*1000)</f>
        <v>233.14235315816308</v>
      </c>
      <c r="D91" s="116">
        <f>IF(TrRoad_act!D13=0,0,D27/TrRoad_act!D13*1000)</f>
        <v>244.1661874483022</v>
      </c>
      <c r="E91" s="116">
        <f>IF(TrRoad_act!E13=0,0,E27/TrRoad_act!E13*1000)</f>
        <v>228.42411907678965</v>
      </c>
      <c r="F91" s="116">
        <f>IF(TrRoad_act!F13=0,0,F27/TrRoad_act!F13*1000)</f>
        <v>218.69079538344315</v>
      </c>
      <c r="G91" s="116">
        <f>IF(TrRoad_act!G13=0,0,G27/TrRoad_act!G13*1000)</f>
        <v>214.81698009172024</v>
      </c>
      <c r="H91" s="116">
        <f>IF(TrRoad_act!H13=0,0,H27/TrRoad_act!H13*1000)</f>
        <v>208.17185989496005</v>
      </c>
      <c r="I91" s="116">
        <f>IF(TrRoad_act!I13=0,0,I27/TrRoad_act!I13*1000)</f>
        <v>196.78804270487825</v>
      </c>
      <c r="J91" s="116">
        <f>IF(TrRoad_act!J13=0,0,J27/TrRoad_act!J13*1000)</f>
        <v>202.53731941302965</v>
      </c>
      <c r="K91" s="116">
        <f>IF(TrRoad_act!K13=0,0,K27/TrRoad_act!K13*1000)</f>
        <v>215.53922458575954</v>
      </c>
      <c r="L91" s="116">
        <f>IF(TrRoad_act!L13=0,0,L27/TrRoad_act!L13*1000)</f>
        <v>230.1215595144121</v>
      </c>
      <c r="M91" s="116">
        <f>IF(TrRoad_act!M13=0,0,M27/TrRoad_act!M13*1000)</f>
        <v>215.53302391699199</v>
      </c>
      <c r="N91" s="116">
        <f>IF(TrRoad_act!N13=0,0,N27/TrRoad_act!N13*1000)</f>
        <v>233.36196551585755</v>
      </c>
      <c r="O91" s="116">
        <f>IF(TrRoad_act!O13=0,0,O27/TrRoad_act!O13*1000)</f>
        <v>216.81389279541824</v>
      </c>
      <c r="P91" s="116">
        <f>IF(TrRoad_act!P13=0,0,P27/TrRoad_act!P13*1000)</f>
        <v>210.0149891467459</v>
      </c>
      <c r="Q91" s="116">
        <f>IF(TrRoad_act!Q13=0,0,Q27/TrRoad_act!Q13*1000)</f>
        <v>193.98887179380543</v>
      </c>
      <c r="R91" s="116">
        <f>IF(TrRoad_act!R13=0,0,R27/TrRoad_act!R13*1000)</f>
        <v>191.2676514638498</v>
      </c>
      <c r="S91" s="116">
        <f>IF(TrRoad_act!S13=0,0,S27/TrRoad_act!S13*1000)</f>
        <v>218.15903092752956</v>
      </c>
      <c r="T91" s="116">
        <f>IF(TrRoad_act!T13=0,0,T27/TrRoad_act!T13*1000)</f>
        <v>166.61804270598637</v>
      </c>
      <c r="U91" s="116">
        <f>IF(TrRoad_act!U13=0,0,U27/TrRoad_act!U13*1000)</f>
        <v>151.85720071477149</v>
      </c>
      <c r="V91" s="116">
        <f>IF(TrRoad_act!V13=0,0,V27/TrRoad_act!V13*1000)</f>
        <v>266.94945190804873</v>
      </c>
      <c r="W91" s="116">
        <f>IF(TrRoad_act!W13=0,0,W27/TrRoad_act!W13*1000)</f>
        <v>194.18719279688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85.705070359710376</v>
      </c>
      <c r="C92" s="101">
        <f>IF(TrRoad_act!C14=0,0,C28/TrRoad_act!C14*1000)</f>
        <v>81.986795541865561</v>
      </c>
      <c r="D92" s="101">
        <f>IF(TrRoad_act!D14=0,0,D28/TrRoad_act!D14*1000)</f>
        <v>79.989915348367433</v>
      </c>
      <c r="E92" s="101">
        <f>IF(TrRoad_act!E14=0,0,E28/TrRoad_act!E14*1000)</f>
        <v>78.442843849912705</v>
      </c>
      <c r="F92" s="101">
        <f>IF(TrRoad_act!F14=0,0,F28/TrRoad_act!F14*1000)</f>
        <v>78.135193315234389</v>
      </c>
      <c r="G92" s="101">
        <f>IF(TrRoad_act!G14=0,0,G28/TrRoad_act!G14*1000)</f>
        <v>77.702456667169997</v>
      </c>
      <c r="H92" s="101">
        <f>IF(TrRoad_act!H14=0,0,H28/TrRoad_act!H14*1000)</f>
        <v>77.027059180260437</v>
      </c>
      <c r="I92" s="101">
        <f>IF(TrRoad_act!I14=0,0,I28/TrRoad_act!I14*1000)</f>
        <v>75.23104545118035</v>
      </c>
      <c r="J92" s="101">
        <f>IF(TrRoad_act!J14=0,0,J28/TrRoad_act!J14*1000)</f>
        <v>74.964755272788139</v>
      </c>
      <c r="K92" s="101">
        <f>IF(TrRoad_act!K14=0,0,K28/TrRoad_act!K14*1000)</f>
        <v>74.259495793756884</v>
      </c>
      <c r="L92" s="101">
        <f>IF(TrRoad_act!L14=0,0,L28/TrRoad_act!L14*1000)</f>
        <v>73.146825434750014</v>
      </c>
      <c r="M92" s="101">
        <f>IF(TrRoad_act!M14=0,0,M28/TrRoad_act!M14*1000)</f>
        <v>71.582747938712686</v>
      </c>
      <c r="N92" s="101">
        <f>IF(TrRoad_act!N14=0,0,N28/TrRoad_act!N14*1000)</f>
        <v>69.204159034032969</v>
      </c>
      <c r="O92" s="101">
        <f>IF(TrRoad_act!O14=0,0,O28/TrRoad_act!O14*1000)</f>
        <v>68.768810152247909</v>
      </c>
      <c r="P92" s="101">
        <f>IF(TrRoad_act!P14=0,0,P28/TrRoad_act!P14*1000)</f>
        <v>68.499016674137721</v>
      </c>
      <c r="Q92" s="101">
        <f>IF(TrRoad_act!Q14=0,0,Q28/TrRoad_act!Q14*1000)</f>
        <v>64.081206533119271</v>
      </c>
      <c r="R92" s="101">
        <f>IF(TrRoad_act!R14=0,0,R28/TrRoad_act!R14*1000)</f>
        <v>63.339779393584372</v>
      </c>
      <c r="S92" s="101">
        <f>IF(TrRoad_act!S14=0,0,S28/TrRoad_act!S14*1000)</f>
        <v>63.115417859786113</v>
      </c>
      <c r="T92" s="101">
        <f>IF(TrRoad_act!T14=0,0,T28/TrRoad_act!T14*1000)</f>
        <v>61.435654107077681</v>
      </c>
      <c r="U92" s="101">
        <f>IF(TrRoad_act!U14=0,0,U28/TrRoad_act!U14*1000)</f>
        <v>57.531149917753403</v>
      </c>
      <c r="V92" s="101">
        <f>IF(TrRoad_act!V14=0,0,V28/TrRoad_act!V14*1000)</f>
        <v>74.141591888540532</v>
      </c>
      <c r="W92" s="101">
        <f>IF(TrRoad_act!W14=0,0,W28/TrRoad_act!W14*1000)</f>
        <v>57.231144633212359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245.39444665319388</v>
      </c>
      <c r="C93" s="101">
        <f>IF(TrRoad_act!C15=0,0,C29/TrRoad_act!C15*1000)</f>
        <v>235.01306304723079</v>
      </c>
      <c r="D93" s="101">
        <f>IF(TrRoad_act!D15=0,0,D29/TrRoad_act!D15*1000)</f>
        <v>246.32926196609117</v>
      </c>
      <c r="E93" s="101">
        <f>IF(TrRoad_act!E15=0,0,E29/TrRoad_act!E15*1000)</f>
        <v>230.21897530696552</v>
      </c>
      <c r="F93" s="101">
        <f>IF(TrRoad_act!F15=0,0,F29/TrRoad_act!F15*1000)</f>
        <v>220.58884628924292</v>
      </c>
      <c r="G93" s="101">
        <f>IF(TrRoad_act!G15=0,0,G29/TrRoad_act!G15*1000)</f>
        <v>216.85135051340163</v>
      </c>
      <c r="H93" s="101">
        <f>IF(TrRoad_act!H15=0,0,H29/TrRoad_act!H15*1000)</f>
        <v>210.31217184593922</v>
      </c>
      <c r="I93" s="101">
        <f>IF(TrRoad_act!I15=0,0,I29/TrRoad_act!I15*1000)</f>
        <v>198.89599992511626</v>
      </c>
      <c r="J93" s="101">
        <f>IF(TrRoad_act!J15=0,0,J29/TrRoad_act!J15*1000)</f>
        <v>204.81046247954305</v>
      </c>
      <c r="K93" s="101">
        <f>IF(TrRoad_act!K15=0,0,K29/TrRoad_act!K15*1000)</f>
        <v>219.10854388060781</v>
      </c>
      <c r="L93" s="101">
        <f>IF(TrRoad_act!L15=0,0,L29/TrRoad_act!L15*1000)</f>
        <v>235.16769952448053</v>
      </c>
      <c r="M93" s="101">
        <f>IF(TrRoad_act!M15=0,0,M29/TrRoad_act!M15*1000)</f>
        <v>221.69289322123331</v>
      </c>
      <c r="N93" s="101">
        <f>IF(TrRoad_act!N15=0,0,N29/TrRoad_act!N15*1000)</f>
        <v>244.55582604926644</v>
      </c>
      <c r="O93" s="101">
        <f>IF(TrRoad_act!O15=0,0,O29/TrRoad_act!O15*1000)</f>
        <v>228.34342388913248</v>
      </c>
      <c r="P93" s="101">
        <f>IF(TrRoad_act!P15=0,0,P29/TrRoad_act!P15*1000)</f>
        <v>222.25306320845201</v>
      </c>
      <c r="Q93" s="101">
        <f>IF(TrRoad_act!Q15=0,0,Q29/TrRoad_act!Q15*1000)</f>
        <v>206.66193840742204</v>
      </c>
      <c r="R93" s="101">
        <f>IF(TrRoad_act!R15=0,0,R29/TrRoad_act!R15*1000)</f>
        <v>200.25669488858301</v>
      </c>
      <c r="S93" s="101">
        <f>IF(TrRoad_act!S15=0,0,S29/TrRoad_act!S15*1000)</f>
        <v>229.59864641703768</v>
      </c>
      <c r="T93" s="101">
        <f>IF(TrRoad_act!T15=0,0,T29/TrRoad_act!T15*1000)</f>
        <v>182.16997259132941</v>
      </c>
      <c r="U93" s="101">
        <f>IF(TrRoad_act!U15=0,0,U29/TrRoad_act!U15*1000)</f>
        <v>173.13514284393909</v>
      </c>
      <c r="V93" s="101">
        <f>IF(TrRoad_act!V15=0,0,V29/TrRoad_act!V15*1000)</f>
        <v>328.98438055527339</v>
      </c>
      <c r="W93" s="101">
        <f>IF(TrRoad_act!W15=0,0,W29/TrRoad_act!W15*1000)</f>
        <v>256.6594199114798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160.11096493498374</v>
      </c>
      <c r="C94" s="101">
        <f>IF(TrRoad_act!C16=0,0,C30/TrRoad_act!C16*1000)</f>
        <v>157.48276251296309</v>
      </c>
      <c r="D94" s="101">
        <f>IF(TrRoad_act!D16=0,0,D30/TrRoad_act!D16*1000)</f>
        <v>166.67636591479851</v>
      </c>
      <c r="E94" s="101">
        <f>IF(TrRoad_act!E16=0,0,E30/TrRoad_act!E16*1000)</f>
        <v>157.50899733710006</v>
      </c>
      <c r="F94" s="101">
        <f>IF(TrRoad_act!F16=0,0,F30/TrRoad_act!F16*1000)</f>
        <v>152.51191177586978</v>
      </c>
      <c r="G94" s="101">
        <f>IF(TrRoad_act!G16=0,0,G30/TrRoad_act!G16*1000)</f>
        <v>148.9256994631271</v>
      </c>
      <c r="H94" s="101">
        <f>IF(TrRoad_act!H16=0,0,H30/TrRoad_act!H16*1000)</f>
        <v>145.60157938890563</v>
      </c>
      <c r="I94" s="101">
        <f>IF(TrRoad_act!I16=0,0,I30/TrRoad_act!I16*1000)</f>
        <v>143.17929803411272</v>
      </c>
      <c r="J94" s="101">
        <f>IF(TrRoad_act!J16=0,0,J30/TrRoad_act!J16*1000)</f>
        <v>146.77950062249033</v>
      </c>
      <c r="K94" s="101">
        <f>IF(TrRoad_act!K16=0,0,K30/TrRoad_act!K16*1000)</f>
        <v>159.15435214009216</v>
      </c>
      <c r="L94" s="101">
        <f>IF(TrRoad_act!L16=0,0,L30/TrRoad_act!L16*1000)</f>
        <v>167.23390929565434</v>
      </c>
      <c r="M94" s="101">
        <f>IF(TrRoad_act!M16=0,0,M30/TrRoad_act!M16*1000)</f>
        <v>159.61533036700877</v>
      </c>
      <c r="N94" s="101">
        <f>IF(TrRoad_act!N16=0,0,N30/TrRoad_act!N16*1000)</f>
        <v>176.98868003873045</v>
      </c>
      <c r="O94" s="101">
        <f>IF(TrRoad_act!O16=0,0,O30/TrRoad_act!O16*1000)</f>
        <v>165.55347796533971</v>
      </c>
      <c r="P94" s="101">
        <f>IF(TrRoad_act!P16=0,0,P30/TrRoad_act!P16*1000)</f>
        <v>163.18172152825616</v>
      </c>
      <c r="Q94" s="101">
        <f>IF(TrRoad_act!Q16=0,0,Q30/TrRoad_act!Q16*1000)</f>
        <v>149.66618296661616</v>
      </c>
      <c r="R94" s="101">
        <f>IF(TrRoad_act!R16=0,0,R30/TrRoad_act!R16*1000)</f>
        <v>144.05663329576217</v>
      </c>
      <c r="S94" s="101">
        <f>IF(TrRoad_act!S16=0,0,S30/TrRoad_act!S16*1000)</f>
        <v>166.64951831928781</v>
      </c>
      <c r="T94" s="101">
        <f>IF(TrRoad_act!T16=0,0,T30/TrRoad_act!T16*1000)</f>
        <v>135.71242754615139</v>
      </c>
      <c r="U94" s="101">
        <f>IF(TrRoad_act!U16=0,0,U30/TrRoad_act!U16*1000)</f>
        <v>131.43332450003064</v>
      </c>
      <c r="V94" s="101">
        <f>IF(TrRoad_act!V16=0,0,V30/TrRoad_act!V16*1000)</f>
        <v>246.7154266405359</v>
      </c>
      <c r="W94" s="101">
        <f>IF(TrRoad_act!W16=0,0,W30/TrRoad_act!W16*1000)</f>
        <v>195.72254571986034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153.47149119072904</v>
      </c>
      <c r="C95" s="101">
        <f>IF(TrRoad_act!C17=0,0,C31/TrRoad_act!C17*1000)</f>
        <v>162.95411845191381</v>
      </c>
      <c r="D95" s="101">
        <f>IF(TrRoad_act!D17=0,0,D31/TrRoad_act!D17*1000)</f>
        <v>139.76389998812118</v>
      </c>
      <c r="E95" s="101">
        <f>IF(TrRoad_act!E17=0,0,E31/TrRoad_act!E17*1000)</f>
        <v>157.46241609743305</v>
      </c>
      <c r="F95" s="101">
        <f>IF(TrRoad_act!F17=0,0,F31/TrRoad_act!F17*1000)</f>
        <v>114.10974013516916</v>
      </c>
      <c r="G95" s="101">
        <f>IF(TrRoad_act!G17=0,0,G31/TrRoad_act!G17*1000)</f>
        <v>119.99008039281281</v>
      </c>
      <c r="H95" s="101">
        <f>IF(TrRoad_act!H17=0,0,H31/TrRoad_act!H17*1000)</f>
        <v>117.0430365173237</v>
      </c>
      <c r="I95" s="101">
        <f>IF(TrRoad_act!I17=0,0,I31/TrRoad_act!I17*1000)</f>
        <v>108.43272067122685</v>
      </c>
      <c r="J95" s="101">
        <f>IF(TrRoad_act!J17=0,0,J31/TrRoad_act!J17*1000)</f>
        <v>112.94625871561482</v>
      </c>
      <c r="K95" s="101">
        <f>IF(TrRoad_act!K17=0,0,K31/TrRoad_act!K17*1000)</f>
        <v>122.07187159222059</v>
      </c>
      <c r="L95" s="101">
        <f>IF(TrRoad_act!L17=0,0,L31/TrRoad_act!L17*1000)</f>
        <v>134.47527690501838</v>
      </c>
      <c r="M95" s="101">
        <f>IF(TrRoad_act!M17=0,0,M31/TrRoad_act!M17*1000)</f>
        <v>137.486085577426</v>
      </c>
      <c r="N95" s="101">
        <f>IF(TrRoad_act!N17=0,0,N31/TrRoad_act!N17*1000)</f>
        <v>108.77237426190371</v>
      </c>
      <c r="O95" s="101">
        <f>IF(TrRoad_act!O17=0,0,O31/TrRoad_act!O17*1000)</f>
        <v>100.31182572488895</v>
      </c>
      <c r="P95" s="101">
        <f>IF(TrRoad_act!P17=0,0,P31/TrRoad_act!P17*1000)</f>
        <v>99.196566336685876</v>
      </c>
      <c r="Q95" s="101">
        <f>IF(TrRoad_act!Q17=0,0,Q31/TrRoad_act!Q17*1000)</f>
        <v>101.06854188852738</v>
      </c>
      <c r="R95" s="101">
        <f>IF(TrRoad_act!R17=0,0,R31/TrRoad_act!R17*1000)</f>
        <v>154.11103032918282</v>
      </c>
      <c r="S95" s="101">
        <f>IF(TrRoad_act!S17=0,0,S31/TrRoad_act!S17*1000)</f>
        <v>191.93906480815519</v>
      </c>
      <c r="T95" s="101">
        <f>IF(TrRoad_act!T17=0,0,T31/TrRoad_act!T17*1000)</f>
        <v>121.93056048755196</v>
      </c>
      <c r="U95" s="101">
        <f>IF(TrRoad_act!U17=0,0,U31/TrRoad_act!U17*1000)</f>
        <v>122.18768307127215</v>
      </c>
      <c r="V95" s="101">
        <f>IF(TrRoad_act!V17=0,0,V31/TrRoad_act!V17*1000)</f>
        <v>220.86480697629889</v>
      </c>
      <c r="W95" s="101">
        <f>IF(TrRoad_act!W17=0,0,W31/TrRoad_act!W17*1000)</f>
        <v>165.29404501170541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254.1095805384123</v>
      </c>
      <c r="C97" s="29">
        <f>IF(TrRoad_act!C19=0,0,C33/TrRoad_act!C19*1000)</f>
        <v>252.42394037705324</v>
      </c>
      <c r="D97" s="29">
        <f>IF(TrRoad_act!D19=0,0,D33/TrRoad_act!D19*1000)</f>
        <v>259.26391957821988</v>
      </c>
      <c r="E97" s="29">
        <f>IF(TrRoad_act!E19=0,0,E33/TrRoad_act!E19*1000)</f>
        <v>258.72165528689311</v>
      </c>
      <c r="F97" s="29">
        <f>IF(TrRoad_act!F19=0,0,F33/TrRoad_act!F19*1000)</f>
        <v>244.85771415102701</v>
      </c>
      <c r="G97" s="29">
        <f>IF(TrRoad_act!G19=0,0,G33/TrRoad_act!G19*1000)</f>
        <v>253.08334490493323</v>
      </c>
      <c r="H97" s="29">
        <f>IF(TrRoad_act!H19=0,0,H33/TrRoad_act!H19*1000)</f>
        <v>260.77208296612889</v>
      </c>
      <c r="I97" s="29">
        <f>IF(TrRoad_act!I19=0,0,I33/TrRoad_act!I19*1000)</f>
        <v>254.66394959133049</v>
      </c>
      <c r="J97" s="29">
        <f>IF(TrRoad_act!J19=0,0,J33/TrRoad_act!J19*1000)</f>
        <v>253.3205730313241</v>
      </c>
      <c r="K97" s="29">
        <f>IF(TrRoad_act!K19=0,0,K33/TrRoad_act!K19*1000)</f>
        <v>242.53044064126655</v>
      </c>
      <c r="L97" s="29">
        <f>IF(TrRoad_act!L19=0,0,L33/TrRoad_act!L19*1000)</f>
        <v>250.63138312599702</v>
      </c>
      <c r="M97" s="29">
        <f>IF(TrRoad_act!M19=0,0,M33/TrRoad_act!M19*1000)</f>
        <v>254.60205214608777</v>
      </c>
      <c r="N97" s="29">
        <f>IF(TrRoad_act!N19=0,0,N33/TrRoad_act!N19*1000)</f>
        <v>254.16766502383081</v>
      </c>
      <c r="O97" s="29">
        <f>IF(TrRoad_act!O19=0,0,O33/TrRoad_act!O19*1000)</f>
        <v>216.2048127685907</v>
      </c>
      <c r="P97" s="29">
        <f>IF(TrRoad_act!P19=0,0,P33/TrRoad_act!P19*1000)</f>
        <v>180.60471576292267</v>
      </c>
      <c r="Q97" s="29">
        <f>IF(TrRoad_act!Q19=0,0,Q33/TrRoad_act!Q19*1000)</f>
        <v>185.3789878154773</v>
      </c>
      <c r="R97" s="29">
        <f>IF(TrRoad_act!R19=0,0,R33/TrRoad_act!R19*1000)</f>
        <v>175.24857982803397</v>
      </c>
      <c r="S97" s="29">
        <f>IF(TrRoad_act!S19=0,0,S33/TrRoad_act!S19*1000)</f>
        <v>189.21581809837977</v>
      </c>
      <c r="T97" s="29">
        <f>IF(TrRoad_act!T19=0,0,T33/TrRoad_act!T19*1000)</f>
        <v>194.31723993639093</v>
      </c>
      <c r="U97" s="29">
        <f>IF(TrRoad_act!U19=0,0,U33/TrRoad_act!U19*1000)</f>
        <v>187.64021212362618</v>
      </c>
      <c r="V97" s="29">
        <f>IF(TrRoad_act!V19=0,0,V33/TrRoad_act!V19*1000)</f>
        <v>176.70335675697609</v>
      </c>
      <c r="W97" s="29">
        <f>IF(TrRoad_act!W19=0,0,W33/TrRoad_act!W19*1000)</f>
        <v>162.78765922958422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1783.9441724735575</v>
      </c>
      <c r="C98" s="152">
        <f>IF(TrRoad_act!C20=0,0,C34/TrRoad_act!C20*1000)</f>
        <v>1681.9662667616149</v>
      </c>
      <c r="D98" s="152">
        <f>IF(TrRoad_act!D20=0,0,D34/TrRoad_act!D20*1000)</f>
        <v>1647.5072612886395</v>
      </c>
      <c r="E98" s="152">
        <f>IF(TrRoad_act!E20=0,0,E34/TrRoad_act!E20*1000)</f>
        <v>1625.933409883407</v>
      </c>
      <c r="F98" s="152">
        <f>IF(TrRoad_act!F20=0,0,F34/TrRoad_act!F20*1000)</f>
        <v>1615.0511028180922</v>
      </c>
      <c r="G98" s="152">
        <f>IF(TrRoad_act!G20=0,0,G34/TrRoad_act!G20*1000)</f>
        <v>1593.1760304634063</v>
      </c>
      <c r="H98" s="152">
        <f>IF(TrRoad_act!H20=0,0,H34/TrRoad_act!H20*1000)</f>
        <v>1584.4803558731487</v>
      </c>
      <c r="I98" s="152">
        <f>IF(TrRoad_act!I20=0,0,I34/TrRoad_act!I20*1000)</f>
        <v>1534.5404371353238</v>
      </c>
      <c r="J98" s="152">
        <f>IF(TrRoad_act!J20=0,0,J34/TrRoad_act!J20*1000)</f>
        <v>1542.4781868510056</v>
      </c>
      <c r="K98" s="152">
        <f>IF(TrRoad_act!K20=0,0,K34/TrRoad_act!K20*1000)</f>
        <v>1496.319823048947</v>
      </c>
      <c r="L98" s="152">
        <f>IF(TrRoad_act!L20=0,0,L34/TrRoad_act!L20*1000)</f>
        <v>1535.1751917832171</v>
      </c>
      <c r="M98" s="152">
        <f>IF(TrRoad_act!M20=0,0,M34/TrRoad_act!M20*1000)</f>
        <v>1523.6667905216821</v>
      </c>
      <c r="N98" s="152">
        <f>IF(TrRoad_act!N20=0,0,N34/TrRoad_act!N20*1000)</f>
        <v>1496.0097557666372</v>
      </c>
      <c r="O98" s="152">
        <f>IF(TrRoad_act!O20=0,0,O34/TrRoad_act!O20*1000)</f>
        <v>1486.6314414908611</v>
      </c>
      <c r="P98" s="152">
        <f>IF(TrRoad_act!P20=0,0,P34/TrRoad_act!P20*1000)</f>
        <v>1442.0513128753214</v>
      </c>
      <c r="Q98" s="152">
        <f>IF(TrRoad_act!Q20=0,0,Q34/TrRoad_act!Q20*1000)</f>
        <v>1450.6645502042684</v>
      </c>
      <c r="R98" s="152">
        <f>IF(TrRoad_act!R20=0,0,R34/TrRoad_act!R20*1000)</f>
        <v>1430.2739362263023</v>
      </c>
      <c r="S98" s="152">
        <f>IF(TrRoad_act!S20=0,0,S34/TrRoad_act!S20*1000)</f>
        <v>1385.3783156689578</v>
      </c>
      <c r="T98" s="152">
        <f>IF(TrRoad_act!T20=0,0,T34/TrRoad_act!T20*1000)</f>
        <v>1320.7149873775707</v>
      </c>
      <c r="U98" s="152">
        <f>IF(TrRoad_act!U20=0,0,U34/TrRoad_act!U20*1000)</f>
        <v>1272.198519041372</v>
      </c>
      <c r="V98" s="152">
        <f>IF(TrRoad_act!V20=0,0,V34/TrRoad_act!V20*1000)</f>
        <v>1264.2679773535745</v>
      </c>
      <c r="W98" s="152">
        <f>IF(TrRoad_act!W20=0,0,W34/TrRoad_act!W20*1000)</f>
        <v>1239.296864977224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2123.8837523665106</v>
      </c>
      <c r="C99" s="87">
        <f>IF(TrRoad_act!C21=0,0,C35/TrRoad_act!C21*1000)</f>
        <v>2120.4581466398372</v>
      </c>
      <c r="D99" s="87">
        <f>IF(TrRoad_act!D21=0,0,D35/TrRoad_act!D21*1000)</f>
        <v>2106.5821353481938</v>
      </c>
      <c r="E99" s="87">
        <f>IF(TrRoad_act!E21=0,0,E35/TrRoad_act!E21*1000)</f>
        <v>2100.6064205207908</v>
      </c>
      <c r="F99" s="87">
        <f>IF(TrRoad_act!F21=0,0,F35/TrRoad_act!F21*1000)</f>
        <v>2106.8160994910277</v>
      </c>
      <c r="G99" s="87">
        <f>IF(TrRoad_act!G21=0,0,G35/TrRoad_act!G21*1000)</f>
        <v>2102.2829937333045</v>
      </c>
      <c r="H99" s="87">
        <f>IF(TrRoad_act!H21=0,0,H35/TrRoad_act!H21*1000)</f>
        <v>2095.790149789967</v>
      </c>
      <c r="I99" s="87">
        <f>IF(TrRoad_act!I21=0,0,I35/TrRoad_act!I21*1000)</f>
        <v>2079.7647562528523</v>
      </c>
      <c r="J99" s="87">
        <f>IF(TrRoad_act!J21=0,0,J35/TrRoad_act!J21*1000)</f>
        <v>2074.508661420366</v>
      </c>
      <c r="K99" s="87">
        <f>IF(TrRoad_act!K21=0,0,K35/TrRoad_act!K21*1000)</f>
        <v>2030.8849481081218</v>
      </c>
      <c r="L99" s="87">
        <f>IF(TrRoad_act!L21=0,0,L35/TrRoad_act!L21*1000)</f>
        <v>2000.1003778273891</v>
      </c>
      <c r="M99" s="87">
        <f>IF(TrRoad_act!M21=0,0,M35/TrRoad_act!M21*1000)</f>
        <v>1961.6121897395842</v>
      </c>
      <c r="N99" s="87">
        <f>IF(TrRoad_act!N21=0,0,N35/TrRoad_act!N21*1000)</f>
        <v>1922.9380451051309</v>
      </c>
      <c r="O99" s="87">
        <f>IF(TrRoad_act!O21=0,0,O35/TrRoad_act!O21*1000)</f>
        <v>1896.6079236178418</v>
      </c>
      <c r="P99" s="87">
        <f>IF(TrRoad_act!P21=0,0,P35/TrRoad_act!P21*1000)</f>
        <v>1839.0257882818637</v>
      </c>
      <c r="Q99" s="87">
        <f>IF(TrRoad_act!Q21=0,0,Q35/TrRoad_act!Q21*1000)</f>
        <v>1779.6190623454656</v>
      </c>
      <c r="R99" s="87">
        <f>IF(TrRoad_act!R21=0,0,R35/TrRoad_act!R21*1000)</f>
        <v>1728.4651422897089</v>
      </c>
      <c r="S99" s="87">
        <f>IF(TrRoad_act!S21=0,0,S35/TrRoad_act!S21*1000)</f>
        <v>1663.9249641683459</v>
      </c>
      <c r="T99" s="87">
        <f>IF(TrRoad_act!T21=0,0,T35/TrRoad_act!T21*1000)</f>
        <v>1612.2457027379978</v>
      </c>
      <c r="U99" s="87">
        <f>IF(TrRoad_act!U21=0,0,U35/TrRoad_act!U21*1000)</f>
        <v>1537.7963516032057</v>
      </c>
      <c r="V99" s="87">
        <f>IF(TrRoad_act!V21=0,0,V35/TrRoad_act!V21*1000)</f>
        <v>1466.8639733166065</v>
      </c>
      <c r="W99" s="87">
        <f>IF(TrRoad_act!W21=0,0,W35/TrRoad_act!W21*1000)</f>
        <v>1411.118911571846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1752.9658684622366</v>
      </c>
      <c r="C100" s="87">
        <f>IF(TrRoad_act!C22=0,0,C36/TrRoad_act!C22*1000)</f>
        <v>1651.1976921769419</v>
      </c>
      <c r="D100" s="87">
        <f>IF(TrRoad_act!D22=0,0,D36/TrRoad_act!D22*1000)</f>
        <v>1619.473931849358</v>
      </c>
      <c r="E100" s="87">
        <f>IF(TrRoad_act!E22=0,0,E36/TrRoad_act!E22*1000)</f>
        <v>1600.5799983722404</v>
      </c>
      <c r="F100" s="87">
        <f>IF(TrRoad_act!F22=0,0,F36/TrRoad_act!F22*1000)</f>
        <v>1591.8483378342546</v>
      </c>
      <c r="G100" s="87">
        <f>IF(TrRoad_act!G22=0,0,G36/TrRoad_act!G22*1000)</f>
        <v>1572.6122538025231</v>
      </c>
      <c r="H100" s="87">
        <f>IF(TrRoad_act!H22=0,0,H36/TrRoad_act!H22*1000)</f>
        <v>1565.5732469702584</v>
      </c>
      <c r="I100" s="87">
        <f>IF(TrRoad_act!I22=0,0,I36/TrRoad_act!I22*1000)</f>
        <v>1515.4846010472029</v>
      </c>
      <c r="J100" s="87">
        <f>IF(TrRoad_act!J22=0,0,J36/TrRoad_act!J22*1000)</f>
        <v>1524.2568470192157</v>
      </c>
      <c r="K100" s="87">
        <f>IF(TrRoad_act!K22=0,0,K36/TrRoad_act!K22*1000)</f>
        <v>1477.9434984680531</v>
      </c>
      <c r="L100" s="87">
        <f>IF(TrRoad_act!L22=0,0,L36/TrRoad_act!L22*1000)</f>
        <v>1518.571155574856</v>
      </c>
      <c r="M100" s="87">
        <f>IF(TrRoad_act!M22=0,0,M36/TrRoad_act!M22*1000)</f>
        <v>1507.9671686710794</v>
      </c>
      <c r="N100" s="87">
        <f>IF(TrRoad_act!N22=0,0,N36/TrRoad_act!N22*1000)</f>
        <v>1480.7677974512692</v>
      </c>
      <c r="O100" s="87">
        <f>IF(TrRoad_act!O22=0,0,O36/TrRoad_act!O22*1000)</f>
        <v>1471.9262858164236</v>
      </c>
      <c r="P100" s="87">
        <f>IF(TrRoad_act!P22=0,0,P36/TrRoad_act!P22*1000)</f>
        <v>1427.3614184487305</v>
      </c>
      <c r="Q100" s="87">
        <f>IF(TrRoad_act!Q22=0,0,Q36/TrRoad_act!Q22*1000)</f>
        <v>1437.5363538554193</v>
      </c>
      <c r="R100" s="87">
        <f>IF(TrRoad_act!R22=0,0,R36/TrRoad_act!R22*1000)</f>
        <v>1417.8887757485534</v>
      </c>
      <c r="S100" s="87">
        <f>IF(TrRoad_act!S22=0,0,S36/TrRoad_act!S22*1000)</f>
        <v>1373.756019654744</v>
      </c>
      <c r="T100" s="87">
        <f>IF(TrRoad_act!T22=0,0,T36/TrRoad_act!T22*1000)</f>
        <v>1310.2984634027887</v>
      </c>
      <c r="U100" s="87">
        <f>IF(TrRoad_act!U22=0,0,U36/TrRoad_act!U22*1000)</f>
        <v>1263.4981881214073</v>
      </c>
      <c r="V100" s="87">
        <f>IF(TrRoad_act!V22=0,0,V36/TrRoad_act!V22*1000)</f>
        <v>1257.6898420895677</v>
      </c>
      <c r="W100" s="87">
        <f>IF(TrRoad_act!W22=0,0,W36/TrRoad_act!W22*1000)</f>
        <v>1236.764891983378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3509.1522899905754</v>
      </c>
      <c r="C101" s="87">
        <f>IF(TrRoad_act!C23=0,0,C37/TrRoad_act!C23*1000)</f>
        <v>3501.0142718198604</v>
      </c>
      <c r="D101" s="87">
        <f>IF(TrRoad_act!D23=0,0,D37/TrRoad_act!D23*1000)</f>
        <v>3478.0937961711115</v>
      </c>
      <c r="E101" s="87">
        <f>IF(TrRoad_act!E23=0,0,E37/TrRoad_act!E23*1000)</f>
        <v>3468.1682206558166</v>
      </c>
      <c r="F101" s="87">
        <f>IF(TrRoad_act!F23=0,0,F37/TrRoad_act!F23*1000)</f>
        <v>3478.3297044826231</v>
      </c>
      <c r="G101" s="87">
        <f>IF(TrRoad_act!G23=0,0,G37/TrRoad_act!G23*1000)</f>
        <v>3470.544146559298</v>
      </c>
      <c r="H101" s="87">
        <f>IF(TrRoad_act!H23=0,0,H37/TrRoad_act!H23*1000)</f>
        <v>3475.446255946229</v>
      </c>
      <c r="I101" s="87">
        <f>IF(TrRoad_act!I23=0,0,I37/TrRoad_act!I23*1000)</f>
        <v>3507.2874390190236</v>
      </c>
      <c r="J101" s="87">
        <f>IF(TrRoad_act!J23=0,0,J37/TrRoad_act!J23*1000)</f>
        <v>3515.3174760582365</v>
      </c>
      <c r="K101" s="87">
        <f>IF(TrRoad_act!K23=0,0,K37/TrRoad_act!K23*1000)</f>
        <v>3491.0319649927242</v>
      </c>
      <c r="L101" s="87">
        <f>IF(TrRoad_act!L23=0,0,L37/TrRoad_act!L23*1000)</f>
        <v>3457.6939036347408</v>
      </c>
      <c r="M101" s="87">
        <f>IF(TrRoad_act!M23=0,0,M37/TrRoad_act!M23*1000)</f>
        <v>3418.9261444199356</v>
      </c>
      <c r="N101" s="87">
        <f>IF(TrRoad_act!N23=0,0,N37/TrRoad_act!N23*1000)</f>
        <v>3367.0323857994726</v>
      </c>
      <c r="O101" s="87">
        <f>IF(TrRoad_act!O23=0,0,O37/TrRoad_act!O23*1000)</f>
        <v>3346.6019636478268</v>
      </c>
      <c r="P101" s="87">
        <f>IF(TrRoad_act!P23=0,0,P37/TrRoad_act!P23*1000)</f>
        <v>3316.0124934889363</v>
      </c>
      <c r="Q101" s="87">
        <f>IF(TrRoad_act!Q23=0,0,Q37/TrRoad_act!Q23*1000)</f>
        <v>3284.153821609867</v>
      </c>
      <c r="R101" s="87">
        <f>IF(TrRoad_act!R23=0,0,R37/TrRoad_act!R23*1000)</f>
        <v>3226.427691971357</v>
      </c>
      <c r="S101" s="87">
        <f>IF(TrRoad_act!S23=0,0,S37/TrRoad_act!S23*1000)</f>
        <v>3157.9761965632706</v>
      </c>
      <c r="T101" s="87">
        <f>IF(TrRoad_act!T23=0,0,T37/TrRoad_act!T23*1000)</f>
        <v>2925.2585588914208</v>
      </c>
      <c r="U101" s="87">
        <f>IF(TrRoad_act!U23=0,0,U37/TrRoad_act!U23*1000)</f>
        <v>2452.099176228844</v>
      </c>
      <c r="V101" s="87">
        <f>IF(TrRoad_act!V23=0,0,V37/TrRoad_act!V23*1000)</f>
        <v>2393.7097068779117</v>
      </c>
      <c r="W101" s="87">
        <f>IF(TrRoad_act!W23=0,0,W37/TrRoad_act!W23*1000)</f>
        <v>2333.9347548967298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1640.5745255097729</v>
      </c>
      <c r="F102" s="87">
        <f>IF(TrRoad_act!F24=0,0,F38/TrRoad_act!F24*1000)</f>
        <v>1646.5205963597441</v>
      </c>
      <c r="G102" s="87">
        <f>IF(TrRoad_act!G24=0,0,G38/TrRoad_act!G24*1000)</f>
        <v>1636.8002621147987</v>
      </c>
      <c r="H102" s="87">
        <f>IF(TrRoad_act!H24=0,0,H38/TrRoad_act!H24*1000)</f>
        <v>1632.7135163653102</v>
      </c>
      <c r="I102" s="87">
        <f>IF(TrRoad_act!I24=0,0,I38/TrRoad_act!I24*1000)</f>
        <v>1630.4535281240856</v>
      </c>
      <c r="J102" s="87">
        <f>IF(TrRoad_act!J24=0,0,J38/TrRoad_act!J24*1000)</f>
        <v>1634.1879590786234</v>
      </c>
      <c r="K102" s="87">
        <f>IF(TrRoad_act!K24=0,0,K38/TrRoad_act!K24*1000)</f>
        <v>1562.0980625128668</v>
      </c>
      <c r="L102" s="87">
        <f>IF(TrRoad_act!L24=0,0,L38/TrRoad_act!L24*1000)</f>
        <v>1530.1962017089422</v>
      </c>
      <c r="M102" s="87">
        <f>IF(TrRoad_act!M24=0,0,M38/TrRoad_act!M24*1000)</f>
        <v>1510.7358829493601</v>
      </c>
      <c r="N102" s="87">
        <f>IF(TrRoad_act!N24=0,0,N38/TrRoad_act!N24*1000)</f>
        <v>1462.5432542271126</v>
      </c>
      <c r="O102" s="87">
        <f>IF(TrRoad_act!O24=0,0,O38/TrRoad_act!O24*1000)</f>
        <v>1446.5602311172547</v>
      </c>
      <c r="P102" s="87">
        <f>IF(TrRoad_act!P24=0,0,P38/TrRoad_act!P24*1000)</f>
        <v>1436.5351182720553</v>
      </c>
      <c r="Q102" s="87">
        <f>IF(TrRoad_act!Q24=0,0,Q38/TrRoad_act!Q24*1000)</f>
        <v>1440.8140395386245</v>
      </c>
      <c r="R102" s="87">
        <f>IF(TrRoad_act!R24=0,0,R38/TrRoad_act!R24*1000)</f>
        <v>1403.6903718673152</v>
      </c>
      <c r="S102" s="87">
        <f>IF(TrRoad_act!S24=0,0,S38/TrRoad_act!S24*1000)</f>
        <v>1414.5785132696208</v>
      </c>
      <c r="T102" s="87">
        <f>IF(TrRoad_act!T24=0,0,T38/TrRoad_act!T24*1000)</f>
        <v>1352.5646621063568</v>
      </c>
      <c r="U102" s="87">
        <f>IF(TrRoad_act!U24=0,0,U38/TrRoad_act!U24*1000)</f>
        <v>1350.7313506697703</v>
      </c>
      <c r="V102" s="87">
        <f>IF(TrRoad_act!V24=0,0,V38/TrRoad_act!V24*1000)</f>
        <v>1332.9059677730831</v>
      </c>
      <c r="W102" s="87">
        <f>IF(TrRoad_act!W24=0,0,W38/TrRoad_act!W24*1000)</f>
        <v>1342.8610516438073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148.34595101702891</v>
      </c>
      <c r="C104" s="116">
        <f>IF(TrRoad_act!C26=0,0,C40/TrRoad_act!C26*1000)</f>
        <v>144.61321381154994</v>
      </c>
      <c r="D104" s="116">
        <f>IF(TrRoad_act!D26=0,0,D40/TrRoad_act!D26*1000)</f>
        <v>149.85404694111739</v>
      </c>
      <c r="E104" s="116">
        <f>IF(TrRoad_act!E26=0,0,E40/TrRoad_act!E26*1000)</f>
        <v>149.63602393807707</v>
      </c>
      <c r="F104" s="116">
        <f>IF(TrRoad_act!F26=0,0,F40/TrRoad_act!F26*1000)</f>
        <v>139.75392490848867</v>
      </c>
      <c r="G104" s="116">
        <f>IF(TrRoad_act!G26=0,0,G40/TrRoad_act!G26*1000)</f>
        <v>144.75984628163104</v>
      </c>
      <c r="H104" s="116">
        <f>IF(TrRoad_act!H26=0,0,H40/TrRoad_act!H26*1000)</f>
        <v>155.0895319063456</v>
      </c>
      <c r="I104" s="116">
        <f>IF(TrRoad_act!I26=0,0,I40/TrRoad_act!I26*1000)</f>
        <v>151.33150139821583</v>
      </c>
      <c r="J104" s="116">
        <f>IF(TrRoad_act!J26=0,0,J40/TrRoad_act!J26*1000)</f>
        <v>150.1360970672248</v>
      </c>
      <c r="K104" s="116">
        <f>IF(TrRoad_act!K26=0,0,K40/TrRoad_act!K26*1000)</f>
        <v>141.66167033530456</v>
      </c>
      <c r="L104" s="116">
        <f>IF(TrRoad_act!L26=0,0,L40/TrRoad_act!L26*1000)</f>
        <v>146.91634290590548</v>
      </c>
      <c r="M104" s="116">
        <f>IF(TrRoad_act!M26=0,0,M40/TrRoad_act!M26*1000)</f>
        <v>150.71626003843593</v>
      </c>
      <c r="N104" s="116">
        <f>IF(TrRoad_act!N26=0,0,N40/TrRoad_act!N26*1000)</f>
        <v>151.91724216373512</v>
      </c>
      <c r="O104" s="116">
        <f>IF(TrRoad_act!O26=0,0,O40/TrRoad_act!O26*1000)</f>
        <v>122.74171564022433</v>
      </c>
      <c r="P104" s="116">
        <f>IF(TrRoad_act!P26=0,0,P40/TrRoad_act!P26*1000)</f>
        <v>91.598754208951149</v>
      </c>
      <c r="Q104" s="116">
        <f>IF(TrRoad_act!Q26=0,0,Q40/TrRoad_act!Q26*1000)</f>
        <v>92.783591125726588</v>
      </c>
      <c r="R104" s="116">
        <f>IF(TrRoad_act!R26=0,0,R40/TrRoad_act!R26*1000)</f>
        <v>86.186468615019237</v>
      </c>
      <c r="S104" s="116">
        <f>IF(TrRoad_act!S26=0,0,S40/TrRoad_act!S26*1000)</f>
        <v>101.51544612725374</v>
      </c>
      <c r="T104" s="116">
        <f>IF(TrRoad_act!T26=0,0,T40/TrRoad_act!T26*1000)</f>
        <v>112.38758341912441</v>
      </c>
      <c r="U104" s="116">
        <f>IF(TrRoad_act!U26=0,0,U40/TrRoad_act!U26*1000)</f>
        <v>110.29450894112277</v>
      </c>
      <c r="V104" s="116">
        <f>IF(TrRoad_act!V26=0,0,V40/TrRoad_act!V26*1000)</f>
        <v>100.65046670617613</v>
      </c>
      <c r="W104" s="116">
        <f>IF(TrRoad_act!W26=0,0,W40/TrRoad_act!W26*1000)</f>
        <v>87.410555926336087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171.30294031654554</v>
      </c>
      <c r="C105" s="101">
        <f>IF(TrRoad_act!C27=0,0,C41/TrRoad_act!C27*1000)</f>
        <v>168.8933249807578</v>
      </c>
      <c r="D105" s="101">
        <f>IF(TrRoad_act!D27=0,0,D41/TrRoad_act!D27*1000)</f>
        <v>179.61009700763745</v>
      </c>
      <c r="E105" s="101">
        <f>IF(TrRoad_act!E27=0,0,E41/TrRoad_act!E27*1000)</f>
        <v>178.00872659675372</v>
      </c>
      <c r="F105" s="101">
        <f>IF(TrRoad_act!F27=0,0,F41/TrRoad_act!F27*1000)</f>
        <v>164.5715614195307</v>
      </c>
      <c r="G105" s="101">
        <f>IF(TrRoad_act!G27=0,0,G41/TrRoad_act!G27*1000)</f>
        <v>174.94533981680769</v>
      </c>
      <c r="H105" s="101">
        <f>IF(TrRoad_act!H27=0,0,H41/TrRoad_act!H27*1000)</f>
        <v>190.97540637773261</v>
      </c>
      <c r="I105" s="101">
        <f>IF(TrRoad_act!I27=0,0,I41/TrRoad_act!I27*1000)</f>
        <v>185.37260772356822</v>
      </c>
      <c r="J105" s="101">
        <f>IF(TrRoad_act!J27=0,0,J41/TrRoad_act!J27*1000)</f>
        <v>180.38672012778954</v>
      </c>
      <c r="K105" s="101">
        <f>IF(TrRoad_act!K27=0,0,K41/TrRoad_act!K27*1000)</f>
        <v>168.76953235136139</v>
      </c>
      <c r="L105" s="101">
        <f>IF(TrRoad_act!L27=0,0,L41/TrRoad_act!L27*1000)</f>
        <v>173.37497959714355</v>
      </c>
      <c r="M105" s="101">
        <f>IF(TrRoad_act!M27=0,0,M41/TrRoad_act!M27*1000)</f>
        <v>178.39240817353252</v>
      </c>
      <c r="N105" s="101">
        <f>IF(TrRoad_act!N27=0,0,N41/TrRoad_act!N27*1000)</f>
        <v>180.09764197824097</v>
      </c>
      <c r="O105" s="101">
        <f>IF(TrRoad_act!O27=0,0,O41/TrRoad_act!O27*1000)</f>
        <v>140.32477085519847</v>
      </c>
      <c r="P105" s="101">
        <f>IF(TrRoad_act!P27=0,0,P41/TrRoad_act!P27*1000)</f>
        <v>105.56820653421214</v>
      </c>
      <c r="Q105" s="101">
        <f>IF(TrRoad_act!Q27=0,0,Q41/TrRoad_act!Q27*1000)</f>
        <v>107.38138991784835</v>
      </c>
      <c r="R105" s="101">
        <f>IF(TrRoad_act!R27=0,0,R41/TrRoad_act!R27*1000)</f>
        <v>98.870474228333478</v>
      </c>
      <c r="S105" s="101">
        <f>IF(TrRoad_act!S27=0,0,S41/TrRoad_act!S27*1000)</f>
        <v>116.0265222349171</v>
      </c>
      <c r="T105" s="101">
        <f>IF(TrRoad_act!T27=0,0,T41/TrRoad_act!T27*1000)</f>
        <v>127.59137118028447</v>
      </c>
      <c r="U105" s="101">
        <f>IF(TrRoad_act!U27=0,0,U41/TrRoad_act!U27*1000)</f>
        <v>124.38404911873357</v>
      </c>
      <c r="V105" s="101">
        <f>IF(TrRoad_act!V27=0,0,V41/TrRoad_act!V27*1000)</f>
        <v>114.69128910933931</v>
      </c>
      <c r="W105" s="101">
        <f>IF(TrRoad_act!W27=0,0,W41/TrRoad_act!W27*1000)</f>
        <v>99.011793235913558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92.372564232704974</v>
      </c>
      <c r="C106" s="88">
        <f>IF(TrRoad_act!C28=0,0,C42/TrRoad_act!C28*1000)</f>
        <v>90.289915169428696</v>
      </c>
      <c r="D106" s="88">
        <f>IF(TrRoad_act!D28=0,0,D42/TrRoad_act!D28*1000)</f>
        <v>88.490981422829549</v>
      </c>
      <c r="E106" s="88">
        <f>IF(TrRoad_act!E28=0,0,E42/TrRoad_act!E28*1000)</f>
        <v>89.143318740803721</v>
      </c>
      <c r="F106" s="88">
        <f>IF(TrRoad_act!F28=0,0,F42/TrRoad_act!F28*1000)</f>
        <v>91.078309262559443</v>
      </c>
      <c r="G106" s="88">
        <f>IF(TrRoad_act!G28=0,0,G42/TrRoad_act!G28*1000)</f>
        <v>91.146468203244623</v>
      </c>
      <c r="H106" s="88">
        <f>IF(TrRoad_act!H28=0,0,H42/TrRoad_act!H28*1000)</f>
        <v>96.749833914372275</v>
      </c>
      <c r="I106" s="88">
        <f>IF(TrRoad_act!I28=0,0,I42/TrRoad_act!I28*1000)</f>
        <v>97.205250074928628</v>
      </c>
      <c r="J106" s="88">
        <f>IF(TrRoad_act!J28=0,0,J42/TrRoad_act!J28*1000)</f>
        <v>100.12267438839206</v>
      </c>
      <c r="K106" s="88">
        <f>IF(TrRoad_act!K28=0,0,K42/TrRoad_act!K28*1000)</f>
        <v>93.516482028376345</v>
      </c>
      <c r="L106" s="88">
        <f>IF(TrRoad_act!L28=0,0,L42/TrRoad_act!L28*1000)</f>
        <v>105.28426515891422</v>
      </c>
      <c r="M106" s="88">
        <f>IF(TrRoad_act!M28=0,0,M42/TrRoad_act!M28*1000)</f>
        <v>106.11103979543691</v>
      </c>
      <c r="N106" s="88">
        <f>IF(TrRoad_act!N28=0,0,N42/TrRoad_act!N28*1000)</f>
        <v>107.78393851470194</v>
      </c>
      <c r="O106" s="88">
        <f>IF(TrRoad_act!O28=0,0,O42/TrRoad_act!O28*1000)</f>
        <v>92.369143875217304</v>
      </c>
      <c r="P106" s="88">
        <f>IF(TrRoad_act!P28=0,0,P42/TrRoad_act!P28*1000)</f>
        <v>68.241406412720707</v>
      </c>
      <c r="Q106" s="88">
        <f>IF(TrRoad_act!Q28=0,0,Q42/TrRoad_act!Q28*1000)</f>
        <v>68.74851035520652</v>
      </c>
      <c r="R106" s="88">
        <f>IF(TrRoad_act!R28=0,0,R42/TrRoad_act!R28*1000)</f>
        <v>65.378903067891201</v>
      </c>
      <c r="S106" s="88">
        <f>IF(TrRoad_act!S28=0,0,S42/TrRoad_act!S28*1000)</f>
        <v>78.698055469833946</v>
      </c>
      <c r="T106" s="88">
        <f>IF(TrRoad_act!T28=0,0,T42/TrRoad_act!T28*1000)</f>
        <v>87.367722513702915</v>
      </c>
      <c r="U106" s="88">
        <f>IF(TrRoad_act!U28=0,0,U42/TrRoad_act!U28*1000)</f>
        <v>87.269757739771009</v>
      </c>
      <c r="V106" s="88">
        <f>IF(TrRoad_act!V28=0,0,V42/TrRoad_act!V28*1000)</f>
        <v>78.64735483365088</v>
      </c>
      <c r="W106" s="88">
        <f>IF(TrRoad_act!W28=0,0,W42/TrRoad_act!W28*1000)</f>
        <v>68.227274996030729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392.95313698389276</v>
      </c>
      <c r="C110" s="152">
        <f>IF(C19=0,0,1000000*C19/TrRoad_act!C59)</f>
        <v>410.47959275443242</v>
      </c>
      <c r="D110" s="152">
        <f>IF(D19=0,0,1000000*D19/TrRoad_act!D59)</f>
        <v>405.60148827781785</v>
      </c>
      <c r="E110" s="152">
        <f>IF(E19=0,0,1000000*E19/TrRoad_act!E59)</f>
        <v>405.44514650315921</v>
      </c>
      <c r="F110" s="152">
        <f>IF(F19=0,0,1000000*F19/TrRoad_act!F59)</f>
        <v>376.10498946099312</v>
      </c>
      <c r="G110" s="152">
        <f>IF(G19=0,0,1000000*G19/TrRoad_act!G59)</f>
        <v>360.67811819778387</v>
      </c>
      <c r="H110" s="152">
        <f>IF(H19=0,0,1000000*H19/TrRoad_act!H59)</f>
        <v>326.04471346944069</v>
      </c>
      <c r="I110" s="152">
        <f>IF(I19=0,0,1000000*I19/TrRoad_act!I59)</f>
        <v>312.32911597849858</v>
      </c>
      <c r="J110" s="152">
        <f>IF(J19=0,0,1000000*J19/TrRoad_act!J59)</f>
        <v>306.1590756070218</v>
      </c>
      <c r="K110" s="152">
        <f>IF(K19=0,0,1000000*K19/TrRoad_act!K59)</f>
        <v>291.1433908955708</v>
      </c>
      <c r="L110" s="152">
        <f>IF(L19=0,0,1000000*L19/TrRoad_act!L59)</f>
        <v>277.6163468020178</v>
      </c>
      <c r="M110" s="152">
        <f>IF(M19=0,0,1000000*M19/TrRoad_act!M59)</f>
        <v>272.99095801201929</v>
      </c>
      <c r="N110" s="152">
        <f>IF(N19=0,0,1000000*N19/TrRoad_act!N59)</f>
        <v>260.01859249720837</v>
      </c>
      <c r="O110" s="152">
        <f>IF(O19=0,0,1000000*O19/TrRoad_act!O59)</f>
        <v>252.32619559609608</v>
      </c>
      <c r="P110" s="152">
        <f>IF(P19=0,0,1000000*P19/TrRoad_act!P59)</f>
        <v>237.02760657635065</v>
      </c>
      <c r="Q110" s="152">
        <f>IF(Q19=0,0,1000000*Q19/TrRoad_act!Q59)</f>
        <v>237.525769201711</v>
      </c>
      <c r="R110" s="152">
        <f>IF(R19=0,0,1000000*R19/TrRoad_act!R59)</f>
        <v>236.36302207638289</v>
      </c>
      <c r="S110" s="152">
        <f>IF(S19=0,0,1000000*S19/TrRoad_act!S59)</f>
        <v>215.65378654082619</v>
      </c>
      <c r="T110" s="152">
        <f>IF(T19=0,0,1000000*T19/TrRoad_act!T59)</f>
        <v>209.17960061801168</v>
      </c>
      <c r="U110" s="152">
        <f>IF(U19=0,0,1000000*U19/TrRoad_act!U59)</f>
        <v>206.07185171953526</v>
      </c>
      <c r="V110" s="152">
        <f>IF(V19=0,0,1000000*V19/TrRoad_act!V59)</f>
        <v>179.85602228005089</v>
      </c>
      <c r="W110" s="152">
        <f>IF(W19=0,0,1000000*W19/TrRoad_act!W59)</f>
        <v>183.44809468086279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2678.1558647422216</v>
      </c>
      <c r="C111" s="116">
        <f>IF(C20=0,0,1000000*C20/TrRoad_act!C60)</f>
        <v>2623.3574613270039</v>
      </c>
      <c r="D111" s="116">
        <f>IF(D20=0,0,1000000*D20/TrRoad_act!D60)</f>
        <v>2608.3801936364871</v>
      </c>
      <c r="E111" s="116">
        <f>IF(E20=0,0,1000000*E20/TrRoad_act!E60)</f>
        <v>2570.6273694645934</v>
      </c>
      <c r="F111" s="116">
        <f>IF(F20=0,0,1000000*F20/TrRoad_act!F60)</f>
        <v>2568.6848722781297</v>
      </c>
      <c r="G111" s="116">
        <f>IF(G20=0,0,1000000*G20/TrRoad_act!G60)</f>
        <v>2548.9661564863341</v>
      </c>
      <c r="H111" s="116">
        <f>IF(H20=0,0,1000000*H20/TrRoad_act!H60)</f>
        <v>2571.1234662751085</v>
      </c>
      <c r="I111" s="116">
        <f>IF(I20=0,0,1000000*I20/TrRoad_act!I60)</f>
        <v>2496.8476873717391</v>
      </c>
      <c r="J111" s="116">
        <f>IF(J20=0,0,1000000*J20/TrRoad_act!J60)</f>
        <v>2453.427458594068</v>
      </c>
      <c r="K111" s="116">
        <f>IF(K20=0,0,1000000*K20/TrRoad_act!K60)</f>
        <v>2374.5577634206707</v>
      </c>
      <c r="L111" s="116">
        <f>IF(L20=0,0,1000000*L20/TrRoad_act!L60)</f>
        <v>2340.8544899210697</v>
      </c>
      <c r="M111" s="116">
        <f>IF(M20=0,0,1000000*M20/TrRoad_act!M60)</f>
        <v>2296.1114866651028</v>
      </c>
      <c r="N111" s="116">
        <f>IF(N20=0,0,1000000*N20/TrRoad_act!N60)</f>
        <v>2163.0323165679029</v>
      </c>
      <c r="O111" s="116">
        <f>IF(O20=0,0,1000000*O20/TrRoad_act!O60)</f>
        <v>2091.4871528808608</v>
      </c>
      <c r="P111" s="116">
        <f>IF(P20=0,0,1000000*P20/TrRoad_act!P60)</f>
        <v>2009.8001171149135</v>
      </c>
      <c r="Q111" s="116">
        <f>IF(Q20=0,0,1000000*Q20/TrRoad_act!Q60)</f>
        <v>1978.9125985567966</v>
      </c>
      <c r="R111" s="116">
        <f>IF(R20=0,0,1000000*R20/TrRoad_act!R60)</f>
        <v>1970.3030546968569</v>
      </c>
      <c r="S111" s="116">
        <f>IF(S20=0,0,1000000*S20/TrRoad_act!S60)</f>
        <v>1949.1958634939324</v>
      </c>
      <c r="T111" s="116">
        <f>IF(T20=0,0,1000000*T20/TrRoad_act!T60)</f>
        <v>1904.0110510011389</v>
      </c>
      <c r="U111" s="116">
        <f>IF(U20=0,0,1000000*U20/TrRoad_act!U60)</f>
        <v>1821.2880769848528</v>
      </c>
      <c r="V111" s="116">
        <f>IF(V20=0,0,1000000*V20/TrRoad_act!V60)</f>
        <v>1427.0230608427632</v>
      </c>
      <c r="W111" s="116">
        <f>IF(W20=0,0,1000000*W20/TrRoad_act!W60)</f>
        <v>1508.9073984214119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2161.1310501591779</v>
      </c>
      <c r="C112" s="87">
        <f>IF(C21=0,0,1000000*C21/TrRoad_act!C61)</f>
        <v>2158.86536115032</v>
      </c>
      <c r="D112" s="87">
        <f>IF(D21=0,0,1000000*D21/TrRoad_act!D61)</f>
        <v>2132.115792232591</v>
      </c>
      <c r="E112" s="87">
        <f>IF(E21=0,0,1000000*E21/TrRoad_act!E61)</f>
        <v>2100.3894133956064</v>
      </c>
      <c r="F112" s="87">
        <f>IF(F21=0,0,1000000*F21/TrRoad_act!F61)</f>
        <v>2069.9405792131611</v>
      </c>
      <c r="G112" s="87">
        <f>IF(G21=0,0,1000000*G21/TrRoad_act!G61)</f>
        <v>2027.5060352420019</v>
      </c>
      <c r="H112" s="87">
        <f>IF(H21=0,0,1000000*H21/TrRoad_act!H61)</f>
        <v>2034.7683735229812</v>
      </c>
      <c r="I112" s="87">
        <f>IF(I21=0,0,1000000*I21/TrRoad_act!I61)</f>
        <v>1992.755054262399</v>
      </c>
      <c r="J112" s="87">
        <f>IF(J21=0,0,1000000*J21/TrRoad_act!J61)</f>
        <v>1925.6631640989572</v>
      </c>
      <c r="K112" s="87">
        <f>IF(K21=0,0,1000000*K21/TrRoad_act!K61)</f>
        <v>1870.5427879967476</v>
      </c>
      <c r="L112" s="87">
        <f>IF(L21=0,0,1000000*L21/TrRoad_act!L61)</f>
        <v>1840.8563281266827</v>
      </c>
      <c r="M112" s="87">
        <f>IF(M21=0,0,1000000*M21/TrRoad_act!M61)</f>
        <v>1833.5922562166029</v>
      </c>
      <c r="N112" s="87">
        <f>IF(N21=0,0,1000000*N21/TrRoad_act!N61)</f>
        <v>1718.4875468596788</v>
      </c>
      <c r="O112" s="87">
        <f>IF(O21=0,0,1000000*O21/TrRoad_act!O61)</f>
        <v>1661.952063980227</v>
      </c>
      <c r="P112" s="87">
        <f>IF(P21=0,0,1000000*P21/TrRoad_act!P61)</f>
        <v>1605.0810470241599</v>
      </c>
      <c r="Q112" s="87">
        <f>IF(Q21=0,0,1000000*Q21/TrRoad_act!Q61)</f>
        <v>1608.9637511147007</v>
      </c>
      <c r="R112" s="87">
        <f>IF(R21=0,0,1000000*R21/TrRoad_act!R61)</f>
        <v>1628.2019597454357</v>
      </c>
      <c r="S112" s="87">
        <f>IF(S21=0,0,1000000*S21/TrRoad_act!S61)</f>
        <v>1649.6160835606993</v>
      </c>
      <c r="T112" s="87">
        <f>IF(T21=0,0,1000000*T21/TrRoad_act!T61)</f>
        <v>1652.614820054177</v>
      </c>
      <c r="U112" s="87">
        <f>IF(U21=0,0,1000000*U21/TrRoad_act!U61)</f>
        <v>1631.0675442419138</v>
      </c>
      <c r="V112" s="87">
        <f>IF(V21=0,0,1000000*V21/TrRoad_act!V61)</f>
        <v>1326.5831893387879</v>
      </c>
      <c r="W112" s="87">
        <f>IF(W21=0,0,1000000*W21/TrRoad_act!W61)</f>
        <v>1358.5800191954293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5605.0675295229457</v>
      </c>
      <c r="C113" s="87">
        <f>IF(C22=0,0,1000000*C22/TrRoad_act!C62)</f>
        <v>5247.2611096038863</v>
      </c>
      <c r="D113" s="87">
        <f>IF(D22=0,0,1000000*D22/TrRoad_act!D62)</f>
        <v>5234.4552545467523</v>
      </c>
      <c r="E113" s="87">
        <f>IF(E22=0,0,1000000*E22/TrRoad_act!E62)</f>
        <v>5179.5755076333071</v>
      </c>
      <c r="F113" s="87">
        <f>IF(F22=0,0,1000000*F22/TrRoad_act!F62)</f>
        <v>5189.0085537896557</v>
      </c>
      <c r="G113" s="87">
        <f>IF(G22=0,0,1000000*G22/TrRoad_act!G62)</f>
        <v>5176.6451932931213</v>
      </c>
      <c r="H113" s="87">
        <f>IF(H22=0,0,1000000*H22/TrRoad_act!H62)</f>
        <v>5140.0363046715302</v>
      </c>
      <c r="I113" s="87">
        <f>IF(I22=0,0,1000000*I22/TrRoad_act!I62)</f>
        <v>4889.3277703578351</v>
      </c>
      <c r="J113" s="87">
        <f>IF(J22=0,0,1000000*J22/TrRoad_act!J62)</f>
        <v>4879.6133260418501</v>
      </c>
      <c r="K113" s="87">
        <f>IF(K22=0,0,1000000*K22/TrRoad_act!K62)</f>
        <v>4623.8431731619712</v>
      </c>
      <c r="L113" s="87">
        <f>IF(L22=0,0,1000000*L22/TrRoad_act!L62)</f>
        <v>4596.012210632166</v>
      </c>
      <c r="M113" s="87">
        <f>IF(M22=0,0,1000000*M22/TrRoad_act!M62)</f>
        <v>4362.7535693831296</v>
      </c>
      <c r="N113" s="87">
        <f>IF(N22=0,0,1000000*N22/TrRoad_act!N62)</f>
        <v>4069.3197531077763</v>
      </c>
      <c r="O113" s="87">
        <f>IF(O22=0,0,1000000*O22/TrRoad_act!O62)</f>
        <v>4010.38278090425</v>
      </c>
      <c r="P113" s="87">
        <f>IF(P22=0,0,1000000*P22/TrRoad_act!P62)</f>
        <v>3933.9740264472252</v>
      </c>
      <c r="Q113" s="87">
        <f>IF(Q22=0,0,1000000*Q22/TrRoad_act!Q62)</f>
        <v>3798.1398525898098</v>
      </c>
      <c r="R113" s="87">
        <f>IF(R22=0,0,1000000*R22/TrRoad_act!R62)</f>
        <v>3705.7098539308085</v>
      </c>
      <c r="S113" s="87">
        <f>IF(S22=0,0,1000000*S22/TrRoad_act!S62)</f>
        <v>3546.1220344528656</v>
      </c>
      <c r="T113" s="87">
        <f>IF(T22=0,0,1000000*T22/TrRoad_act!T62)</f>
        <v>3346.6260727469266</v>
      </c>
      <c r="U113" s="87">
        <f>IF(U22=0,0,1000000*U22/TrRoad_act!U62)</f>
        <v>3144.6765639386931</v>
      </c>
      <c r="V113" s="87">
        <f>IF(V22=0,0,1000000*V22/TrRoad_act!V62)</f>
        <v>2337.3667287220774</v>
      </c>
      <c r="W113" s="87">
        <f>IF(W22=0,0,1000000*W22/TrRoad_act!W62)</f>
        <v>3022.5196436587876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3107.6779309687699</v>
      </c>
      <c r="C114" s="87">
        <f>IF(C23=0,0,1000000*C23/TrRoad_act!C63)</f>
        <v>2820.4410127209085</v>
      </c>
      <c r="D114" s="87">
        <f>IF(D23=0,0,1000000*D23/TrRoad_act!D63)</f>
        <v>2790.0666608376446</v>
      </c>
      <c r="E114" s="87">
        <f>IF(E23=0,0,1000000*E23/TrRoad_act!E63)</f>
        <v>2525.6174829343795</v>
      </c>
      <c r="F114" s="87">
        <f>IF(F23=0,0,1000000*F23/TrRoad_act!F63)</f>
        <v>2645.0166218493873</v>
      </c>
      <c r="G114" s="87">
        <f>IF(G23=0,0,1000000*G23/TrRoad_act!G63)</f>
        <v>2693.7113717837656</v>
      </c>
      <c r="H114" s="87">
        <f>IF(H23=0,0,1000000*H23/TrRoad_act!H63)</f>
        <v>2772.1314441899285</v>
      </c>
      <c r="I114" s="87">
        <f>IF(I23=0,0,1000000*I23/TrRoad_act!I63)</f>
        <v>2468.325642715718</v>
      </c>
      <c r="J114" s="87">
        <f>IF(J23=0,0,1000000*J23/TrRoad_act!J63)</f>
        <v>2712.0551496132348</v>
      </c>
      <c r="K114" s="87">
        <f>IF(K23=0,0,1000000*K23/TrRoad_act!K63)</f>
        <v>2957.2271334732768</v>
      </c>
      <c r="L114" s="87">
        <f>IF(L23=0,0,1000000*L23/TrRoad_act!L63)</f>
        <v>3014.6933207629368</v>
      </c>
      <c r="M114" s="87">
        <f>IF(M23=0,0,1000000*M23/TrRoad_act!M63)</f>
        <v>3044.8699754384952</v>
      </c>
      <c r="N114" s="87">
        <f>IF(N23=0,0,1000000*N23/TrRoad_act!N63)</f>
        <v>3547.8769288758963</v>
      </c>
      <c r="O114" s="87">
        <f>IF(O23=0,0,1000000*O23/TrRoad_act!O63)</f>
        <v>3339.1206772445671</v>
      </c>
      <c r="P114" s="87">
        <f>IF(P23=0,0,1000000*P23/TrRoad_act!P63)</f>
        <v>2693.0723208120107</v>
      </c>
      <c r="Q114" s="87">
        <f>IF(Q23=0,0,1000000*Q23/TrRoad_act!Q63)</f>
        <v>2538.1862983097781</v>
      </c>
      <c r="R114" s="87">
        <f>IF(R23=0,0,1000000*R23/TrRoad_act!R63)</f>
        <v>2783.5101169523873</v>
      </c>
      <c r="S114" s="87">
        <f>IF(S23=0,0,1000000*S23/TrRoad_act!S63)</f>
        <v>2630.597437840534</v>
      </c>
      <c r="T114" s="87">
        <f>IF(T23=0,0,1000000*T23/TrRoad_act!T63)</f>
        <v>2607.8549709755675</v>
      </c>
      <c r="U114" s="87">
        <f>IF(U23=0,0,1000000*U23/TrRoad_act!U63)</f>
        <v>2149.9681214125326</v>
      </c>
      <c r="V114" s="87">
        <f>IF(V23=0,0,1000000*V23/TrRoad_act!V63)</f>
        <v>1843.7860469204404</v>
      </c>
      <c r="W114" s="87">
        <f>IF(W23=0,0,1000000*W23/TrRoad_act!W63)</f>
        <v>2188.4389500027833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3568.7662437808385</v>
      </c>
      <c r="M115" s="87">
        <f>IF(M24=0,0,1000000*M24/TrRoad_act!M64)</f>
        <v>3482.0227029182552</v>
      </c>
      <c r="N115" s="87">
        <f>IF(N24=0,0,1000000*N24/TrRoad_act!N64)</f>
        <v>3165.7141355979902</v>
      </c>
      <c r="O115" s="87">
        <f>IF(O24=0,0,1000000*O24/TrRoad_act!O64)</f>
        <v>3002.3696443694903</v>
      </c>
      <c r="P115" s="87">
        <f>IF(P24=0,0,1000000*P24/TrRoad_act!P64)</f>
        <v>2681.6251328447029</v>
      </c>
      <c r="Q115" s="87">
        <f>IF(Q24=0,0,1000000*Q24/TrRoad_act!Q64)</f>
        <v>2652.6182809491129</v>
      </c>
      <c r="R115" s="87">
        <f>IF(R24=0,0,1000000*R24/TrRoad_act!R64)</f>
        <v>2339.988029226718</v>
      </c>
      <c r="S115" s="87">
        <f>IF(S24=0,0,1000000*S24/TrRoad_act!S64)</f>
        <v>2809.3904703799963</v>
      </c>
      <c r="T115" s="87">
        <f>IF(T24=0,0,1000000*T24/TrRoad_act!T64)</f>
        <v>3167.8520822672408</v>
      </c>
      <c r="U115" s="87">
        <f>IF(U24=0,0,1000000*U24/TrRoad_act!U64)</f>
        <v>3148.1092799876974</v>
      </c>
      <c r="V115" s="87">
        <f>IF(V24=0,0,1000000*V24/TrRoad_act!V64)</f>
        <v>2599.676196140671</v>
      </c>
      <c r="W115" s="87">
        <f>IF(W24=0,0,1000000*W24/TrRoad_act!W64)</f>
        <v>2797.2250253018105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579.06621048094132</v>
      </c>
      <c r="N116" s="87">
        <f>IF(N25=0,0,1000000*N25/TrRoad_act!N65)</f>
        <v>341.96114208385376</v>
      </c>
      <c r="O116" s="87">
        <f>IF(O25=0,0,1000000*O25/TrRoad_act!O65)</f>
        <v>368.5490152533734</v>
      </c>
      <c r="P116" s="87">
        <f>IF(P25=0,0,1000000*P25/TrRoad_act!P65)</f>
        <v>527.56104204506119</v>
      </c>
      <c r="Q116" s="87">
        <f>IF(Q25=0,0,1000000*Q25/TrRoad_act!Q65)</f>
        <v>498.66927058888604</v>
      </c>
      <c r="R116" s="87">
        <f>IF(R25=0,0,1000000*R25/TrRoad_act!R65)</f>
        <v>471.30341752726628</v>
      </c>
      <c r="S116" s="87">
        <f>IF(S25=0,0,1000000*S25/TrRoad_act!S65)</f>
        <v>455.87367765792146</v>
      </c>
      <c r="T116" s="87">
        <f>IF(T25=0,0,1000000*T25/TrRoad_act!T65)</f>
        <v>476.54272042757395</v>
      </c>
      <c r="U116" s="87">
        <f>IF(U25=0,0,1000000*U25/TrRoad_act!U65)</f>
        <v>486.65004525013688</v>
      </c>
      <c r="V116" s="87">
        <f>IF(V25=0,0,1000000*V25/TrRoad_act!V65)</f>
        <v>414.76041572513356</v>
      </c>
      <c r="W116" s="87">
        <f>IF(W25=0,0,1000000*W25/TrRoad_act!W65)</f>
        <v>440.59583470071237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100237.62413762412</v>
      </c>
      <c r="C118" s="116">
        <f>IF(C27=0,0,1000000*C27/TrRoad_act!C67)</f>
        <v>95813.02115014942</v>
      </c>
      <c r="D118" s="116">
        <f>IF(D27=0,0,1000000*D27/TrRoad_act!D67)</f>
        <v>95102.978624411189</v>
      </c>
      <c r="E118" s="116">
        <f>IF(E27=0,0,1000000*E27/TrRoad_act!E67)</f>
        <v>92313.510957426814</v>
      </c>
      <c r="F118" s="116">
        <f>IF(F27=0,0,1000000*F27/TrRoad_act!F67)</f>
        <v>90610.756781711898</v>
      </c>
      <c r="G118" s="116">
        <f>IF(G27=0,0,1000000*G27/TrRoad_act!G67)</f>
        <v>91332.660036454705</v>
      </c>
      <c r="H118" s="116">
        <f>IF(H27=0,0,1000000*H27/TrRoad_act!H67)</f>
        <v>92033.202580181067</v>
      </c>
      <c r="I118" s="116">
        <f>IF(I27=0,0,1000000*I27/TrRoad_act!I67)</f>
        <v>90027.182304742309</v>
      </c>
      <c r="J118" s="116">
        <f>IF(J27=0,0,1000000*J27/TrRoad_act!J67)</f>
        <v>92193.526552194802</v>
      </c>
      <c r="K118" s="116">
        <f>IF(K27=0,0,1000000*K27/TrRoad_act!K67)</f>
        <v>92324.0453293725</v>
      </c>
      <c r="L118" s="116">
        <f>IF(L27=0,0,1000000*L27/TrRoad_act!L67)</f>
        <v>95855.795292548093</v>
      </c>
      <c r="M118" s="116">
        <f>IF(M27=0,0,1000000*M27/TrRoad_act!M67)</f>
        <v>95756.074982433973</v>
      </c>
      <c r="N118" s="116">
        <f>IF(N27=0,0,1000000*N27/TrRoad_act!N67)</f>
        <v>95245.276403854121</v>
      </c>
      <c r="O118" s="116">
        <f>IF(O27=0,0,1000000*O27/TrRoad_act!O67)</f>
        <v>96274.162678820823</v>
      </c>
      <c r="P118" s="116">
        <f>IF(P27=0,0,1000000*P27/TrRoad_act!P67)</f>
        <v>96239.389140760264</v>
      </c>
      <c r="Q118" s="116">
        <f>IF(Q27=0,0,1000000*Q27/TrRoad_act!Q67)</f>
        <v>98713.680437793126</v>
      </c>
      <c r="R118" s="116">
        <f>IF(R27=0,0,1000000*R27/TrRoad_act!R67)</f>
        <v>101102.42734540939</v>
      </c>
      <c r="S118" s="116">
        <f>IF(S27=0,0,1000000*S27/TrRoad_act!S67)</f>
        <v>102580.45526884469</v>
      </c>
      <c r="T118" s="116">
        <f>IF(T27=0,0,1000000*T27/TrRoad_act!T67)</f>
        <v>91939.174824073925</v>
      </c>
      <c r="U118" s="116">
        <f>IF(U27=0,0,1000000*U27/TrRoad_act!U67)</f>
        <v>77479.547339729848</v>
      </c>
      <c r="V118" s="116">
        <f>IF(V27=0,0,1000000*V27/TrRoad_act!V67)</f>
        <v>61722.254493189699</v>
      </c>
      <c r="W118" s="116">
        <f>IF(W27=0,0,1000000*W27/TrRoad_act!W67)</f>
        <v>56128.825846079184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28711.644225307631</v>
      </c>
      <c r="C119" s="101">
        <f>IF(C28=0,0,1000000*C28/TrRoad_act!C68)</f>
        <v>26414.140887937854</v>
      </c>
      <c r="D119" s="101">
        <f>IF(D28=0,0,1000000*D28/TrRoad_act!D68)</f>
        <v>25279.985865143928</v>
      </c>
      <c r="E119" s="101">
        <f>IF(E28=0,0,1000000*E28/TrRoad_act!E68)</f>
        <v>23874.080510981272</v>
      </c>
      <c r="F119" s="101">
        <f>IF(F28=0,0,1000000*F28/TrRoad_act!F68)</f>
        <v>23172.95874309562</v>
      </c>
      <c r="G119" s="101">
        <f>IF(G28=0,0,1000000*G28/TrRoad_act!G68)</f>
        <v>23072.032616437125</v>
      </c>
      <c r="H119" s="101">
        <f>IF(H28=0,0,1000000*H28/TrRoad_act!H68)</f>
        <v>22901.246243411832</v>
      </c>
      <c r="I119" s="101">
        <f>IF(I28=0,0,1000000*I28/TrRoad_act!I68)</f>
        <v>22399.542475899798</v>
      </c>
      <c r="J119" s="101">
        <f>IF(J28=0,0,1000000*J28/TrRoad_act!J68)</f>
        <v>22324.335213953411</v>
      </c>
      <c r="K119" s="101">
        <f>IF(K28=0,0,1000000*K28/TrRoad_act!K68)</f>
        <v>22082.418208829204</v>
      </c>
      <c r="L119" s="101">
        <f>IF(L28=0,0,1000000*L28/TrRoad_act!L68)</f>
        <v>21763.261981891806</v>
      </c>
      <c r="M119" s="101">
        <f>IF(M28=0,0,1000000*M28/TrRoad_act!M68)</f>
        <v>21337.497549229127</v>
      </c>
      <c r="N119" s="101">
        <f>IF(N28=0,0,1000000*N28/TrRoad_act!N68)</f>
        <v>20534.792197720693</v>
      </c>
      <c r="O119" s="101">
        <f>IF(O28=0,0,1000000*O28/TrRoad_act!O68)</f>
        <v>20441.269595595022</v>
      </c>
      <c r="P119" s="101">
        <f>IF(P28=0,0,1000000*P28/TrRoad_act!P68)</f>
        <v>20345.772271041867</v>
      </c>
      <c r="Q119" s="101">
        <f>IF(Q28=0,0,1000000*Q28/TrRoad_act!Q68)</f>
        <v>19105.039526933386</v>
      </c>
      <c r="R119" s="101">
        <f>IF(R28=0,0,1000000*R28/TrRoad_act!R68)</f>
        <v>19288.317176254688</v>
      </c>
      <c r="S119" s="101">
        <f>IF(S28=0,0,1000000*S28/TrRoad_act!S68)</f>
        <v>20071.225363274683</v>
      </c>
      <c r="T119" s="101">
        <f>IF(T28=0,0,1000000*T28/TrRoad_act!T68)</f>
        <v>19208.720903185298</v>
      </c>
      <c r="U119" s="101">
        <f>IF(U28=0,0,1000000*U28/TrRoad_act!U68)</f>
        <v>16404.863123568452</v>
      </c>
      <c r="V119" s="101">
        <f>IF(V28=0,0,1000000*V28/TrRoad_act!V68)</f>
        <v>13786.803004111838</v>
      </c>
      <c r="W119" s="101">
        <f>IF(W28=0,0,1000000*W28/TrRoad_act!W68)</f>
        <v>13910.214732911876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101892.41360596588</v>
      </c>
      <c r="C120" s="101">
        <f>IF(C29=0,0,1000000*C29/TrRoad_act!C69)</f>
        <v>97293.394882638415</v>
      </c>
      <c r="D120" s="101">
        <f>IF(D29=0,0,1000000*D29/TrRoad_act!D69)</f>
        <v>96571.697537326952</v>
      </c>
      <c r="E120" s="101">
        <f>IF(E29=0,0,1000000*E29/TrRoad_act!E69)</f>
        <v>93615.770199045961</v>
      </c>
      <c r="F120" s="101">
        <f>IF(F29=0,0,1000000*F29/TrRoad_act!F69)</f>
        <v>91894.970300687419</v>
      </c>
      <c r="G120" s="101">
        <f>IF(G29=0,0,1000000*G29/TrRoad_act!G69)</f>
        <v>92851.418051211571</v>
      </c>
      <c r="H120" s="101">
        <f>IF(H29=0,0,1000000*H29/TrRoad_act!H69)</f>
        <v>93598.57421277478</v>
      </c>
      <c r="I120" s="101">
        <f>IF(I29=0,0,1000000*I29/TrRoad_act!I69)</f>
        <v>91588.806100432892</v>
      </c>
      <c r="J120" s="101">
        <f>IF(J29=0,0,1000000*J29/TrRoad_act!J69)</f>
        <v>93869.472926199713</v>
      </c>
      <c r="K120" s="101">
        <f>IF(K29=0,0,1000000*K29/TrRoad_act!K69)</f>
        <v>94547.905832080738</v>
      </c>
      <c r="L120" s="101">
        <f>IF(L29=0,0,1000000*L29/TrRoad_act!L69)</f>
        <v>98728.821829491426</v>
      </c>
      <c r="M120" s="101">
        <f>IF(M29=0,0,1000000*M29/TrRoad_act!M69)</f>
        <v>99406.649655197121</v>
      </c>
      <c r="N120" s="101">
        <f>IF(N29=0,0,1000000*N29/TrRoad_act!N69)</f>
        <v>100925.14746165757</v>
      </c>
      <c r="O120" s="101">
        <f>IF(O29=0,0,1000000*O29/TrRoad_act!O69)</f>
        <v>102732.24164392664</v>
      </c>
      <c r="P120" s="101">
        <f>IF(P29=0,0,1000000*P29/TrRoad_act!P69)</f>
        <v>103424.92467150353</v>
      </c>
      <c r="Q120" s="101">
        <f>IF(Q29=0,0,1000000*Q29/TrRoad_act!Q69)</f>
        <v>106961.47557807209</v>
      </c>
      <c r="R120" s="101">
        <f>IF(R29=0,0,1000000*R29/TrRoad_act!R69)</f>
        <v>107907.39750060636</v>
      </c>
      <c r="S120" s="101">
        <f>IF(S29=0,0,1000000*S29/TrRoad_act!S69)</f>
        <v>110203.59866261114</v>
      </c>
      <c r="T120" s="101">
        <f>IF(T29=0,0,1000000*T29/TrRoad_act!T69)</f>
        <v>102976.72305396158</v>
      </c>
      <c r="U120" s="101">
        <f>IF(U29=0,0,1000000*U29/TrRoad_act!U69)</f>
        <v>90589.216548574739</v>
      </c>
      <c r="V120" s="101">
        <f>IF(V29=0,0,1000000*V29/TrRoad_act!V69)</f>
        <v>77873.522743138325</v>
      </c>
      <c r="W120" s="101">
        <f>IF(W29=0,0,1000000*W29/TrRoad_act!W69)</f>
        <v>74433.926816838357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36481.150977073601</v>
      </c>
      <c r="C121" s="101">
        <f>IF(C30=0,0,1000000*C30/TrRoad_act!C70)</f>
        <v>35757.538343407512</v>
      </c>
      <c r="D121" s="101">
        <f>IF(D30=0,0,1000000*D30/TrRoad_act!D70)</f>
        <v>35873.392257599218</v>
      </c>
      <c r="E121" s="101">
        <f>IF(E30=0,0,1000000*E30/TrRoad_act!E70)</f>
        <v>35144.285817740812</v>
      </c>
      <c r="F121" s="101">
        <f>IF(F30=0,0,1000000*F30/TrRoad_act!F70)</f>
        <v>34668.149809569091</v>
      </c>
      <c r="G121" s="101">
        <f>IF(G30=0,0,1000000*G30/TrRoad_act!G70)</f>
        <v>34259.81196945237</v>
      </c>
      <c r="H121" s="101">
        <f>IF(H30=0,0,1000000*H30/TrRoad_act!H70)</f>
        <v>34349.380285066545</v>
      </c>
      <c r="I121" s="101">
        <f>IF(I30=0,0,1000000*I30/TrRoad_act!I70)</f>
        <v>34472.293905048427</v>
      </c>
      <c r="J121" s="101">
        <f>IF(J30=0,0,1000000*J30/TrRoad_act!J70)</f>
        <v>34686.829377828581</v>
      </c>
      <c r="K121" s="101">
        <f>IF(K30=0,0,1000000*K30/TrRoad_act!K70)</f>
        <v>34901.411459919495</v>
      </c>
      <c r="L121" s="101">
        <f>IF(L30=0,0,1000000*L30/TrRoad_act!L70)</f>
        <v>35171.367133947897</v>
      </c>
      <c r="M121" s="101">
        <f>IF(M30=0,0,1000000*M30/TrRoad_act!M70)</f>
        <v>35308.431962942755</v>
      </c>
      <c r="N121" s="101">
        <f>IF(N30=0,0,1000000*N30/TrRoad_act!N70)</f>
        <v>35460.881372263771</v>
      </c>
      <c r="O121" s="101">
        <f>IF(O30=0,0,1000000*O30/TrRoad_act!O70)</f>
        <v>35587.265283089451</v>
      </c>
      <c r="P121" s="101">
        <f>IF(P30=0,0,1000000*P30/TrRoad_act!P70)</f>
        <v>35696.497805599734</v>
      </c>
      <c r="Q121" s="101">
        <f>IF(Q30=0,0,1000000*Q30/TrRoad_act!Q70)</f>
        <v>36952.400285901174</v>
      </c>
      <c r="R121" s="101">
        <f>IF(R30=0,0,1000000*R30/TrRoad_act!R70)</f>
        <v>37505.958029681766</v>
      </c>
      <c r="S121" s="101">
        <f>IF(S30=0,0,1000000*S30/TrRoad_act!S70)</f>
        <v>39220.319919877249</v>
      </c>
      <c r="T121" s="101">
        <f>IF(T30=0,0,1000000*T30/TrRoad_act!T70)</f>
        <v>37968.718911319906</v>
      </c>
      <c r="U121" s="101">
        <f>IF(U30=0,0,1000000*U30/TrRoad_act!U70)</f>
        <v>34401.158586915779</v>
      </c>
      <c r="V121" s="101">
        <f>IF(V30=0,0,1000000*V30/TrRoad_act!V70)</f>
        <v>29382.202077805861</v>
      </c>
      <c r="W121" s="101">
        <f>IF(W30=0,0,1000000*W30/TrRoad_act!W70)</f>
        <v>29557.797040211608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58904.999999999993</v>
      </c>
      <c r="C122" s="101">
        <f>IF(C31=0,0,1000000*C31/TrRoad_act!C71)</f>
        <v>61710</v>
      </c>
      <c r="D122" s="101">
        <f>IF(D31=0,0,1000000*D31/TrRoad_act!D71)</f>
        <v>50490.000000000007</v>
      </c>
      <c r="E122" s="101">
        <f>IF(E31=0,0,1000000*E31/TrRoad_act!E71)</f>
        <v>58387.08977700094</v>
      </c>
      <c r="F122" s="101">
        <f>IF(F31=0,0,1000000*F31/TrRoad_act!F71)</f>
        <v>42935.842787911555</v>
      </c>
      <c r="G122" s="101">
        <f>IF(G31=0,0,1000000*G31/TrRoad_act!G71)</f>
        <v>45917.233658843514</v>
      </c>
      <c r="H122" s="101">
        <f>IF(H31=0,0,1000000*H31/TrRoad_act!H71)</f>
        <v>46159.183047202772</v>
      </c>
      <c r="I122" s="101">
        <f>IF(I31=0,0,1000000*I31/TrRoad_act!I71)</f>
        <v>44744.624780946964</v>
      </c>
      <c r="J122" s="101">
        <f>IF(J31=0,0,1000000*J31/TrRoad_act!J71)</f>
        <v>46902.118162964609</v>
      </c>
      <c r="K122" s="101">
        <f>IF(K31=0,0,1000000*K31/TrRoad_act!K71)</f>
        <v>48227.231410509339</v>
      </c>
      <c r="L122" s="101">
        <f>IF(L31=0,0,1000000*L31/TrRoad_act!L71)</f>
        <v>52238.471255423909</v>
      </c>
      <c r="M122" s="101">
        <f>IF(M31=0,0,1000000*M31/TrRoad_act!M71)</f>
        <v>57593.905382040721</v>
      </c>
      <c r="N122" s="101">
        <f>IF(N31=0,0,1000000*N31/TrRoad_act!N71)</f>
        <v>41474.509983555152</v>
      </c>
      <c r="O122" s="101">
        <f>IF(O31=0,0,1000000*O31/TrRoad_act!O71)</f>
        <v>41239.342274791066</v>
      </c>
      <c r="P122" s="101">
        <f>IF(P31=0,0,1000000*P31/TrRoad_act!P71)</f>
        <v>41706.015009535993</v>
      </c>
      <c r="Q122" s="101">
        <f>IF(Q31=0,0,1000000*Q31/TrRoad_act!Q71)</f>
        <v>47718.19021043885</v>
      </c>
      <c r="R122" s="101">
        <f>IF(R31=0,0,1000000*R31/TrRoad_act!R71)</f>
        <v>76349.298443120133</v>
      </c>
      <c r="S122" s="101">
        <f>IF(S31=0,0,1000000*S31/TrRoad_act!S71)</f>
        <v>85532.289930916362</v>
      </c>
      <c r="T122" s="101">
        <f>IF(T31=0,0,1000000*T31/TrRoad_act!T71)</f>
        <v>63001.037775653444</v>
      </c>
      <c r="U122" s="101">
        <f>IF(U31=0,0,1000000*U31/TrRoad_act!U71)</f>
        <v>58773.17407001886</v>
      </c>
      <c r="V122" s="101">
        <f>IF(V31=0,0,1000000*V31/TrRoad_act!V71)</f>
        <v>47761.96881586477</v>
      </c>
      <c r="W122" s="101">
        <f>IF(W31=0,0,1000000*W31/TrRoad_act!W71)</f>
        <v>44210.480204339699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7878.8462158773791</v>
      </c>
      <c r="C125" s="152">
        <f>IF(C34=0,0,1000000*C34/TrRoad_act!C74)</f>
        <v>7528.2160765528224</v>
      </c>
      <c r="D125" s="152">
        <f>IF(D34=0,0,1000000*D34/TrRoad_act!D74)</f>
        <v>7313.922129019109</v>
      </c>
      <c r="E125" s="152">
        <f>IF(E34=0,0,1000000*E34/TrRoad_act!E74)</f>
        <v>7248.2117106748683</v>
      </c>
      <c r="F125" s="152">
        <f>IF(F34=0,0,1000000*F34/TrRoad_act!F74)</f>
        <v>7324.0226570892401</v>
      </c>
      <c r="G125" s="152">
        <f>IF(G34=0,0,1000000*G34/TrRoad_act!G74)</f>
        <v>7170.337938468354</v>
      </c>
      <c r="H125" s="152">
        <f>IF(H34=0,0,1000000*H34/TrRoad_act!H74)</f>
        <v>7341.6304850756851</v>
      </c>
      <c r="I125" s="152">
        <f>IF(I34=0,0,1000000*I34/TrRoad_act!I74)</f>
        <v>7291.2414999030934</v>
      </c>
      <c r="J125" s="152">
        <f>IF(J34=0,0,1000000*J34/TrRoad_act!J74)</f>
        <v>7354.8539934096325</v>
      </c>
      <c r="K125" s="152">
        <f>IF(K34=0,0,1000000*K34/TrRoad_act!K74)</f>
        <v>6729.7173718830572</v>
      </c>
      <c r="L125" s="152">
        <f>IF(L34=0,0,1000000*L34/TrRoad_act!L74)</f>
        <v>6986.5709981722302</v>
      </c>
      <c r="M125" s="152">
        <f>IF(M34=0,0,1000000*M34/TrRoad_act!M74)</f>
        <v>7116.6340216900253</v>
      </c>
      <c r="N125" s="152">
        <f>IF(N34=0,0,1000000*N34/TrRoad_act!N74)</f>
        <v>6816.2469684829039</v>
      </c>
      <c r="O125" s="152">
        <f>IF(O34=0,0,1000000*O34/TrRoad_act!O74)</f>
        <v>6842.1615052333354</v>
      </c>
      <c r="P125" s="152">
        <f>IF(P34=0,0,1000000*P34/TrRoad_act!P74)</f>
        <v>6435.2466261046402</v>
      </c>
      <c r="Q125" s="152">
        <f>IF(Q34=0,0,1000000*Q34/TrRoad_act!Q74)</f>
        <v>6626.729142309312</v>
      </c>
      <c r="R125" s="152">
        <f>IF(R34=0,0,1000000*R34/TrRoad_act!R74)</f>
        <v>6524.8076114945879</v>
      </c>
      <c r="S125" s="152">
        <f>IF(S34=0,0,1000000*S34/TrRoad_act!S74)</f>
        <v>6238.2347621744784</v>
      </c>
      <c r="T125" s="152">
        <f>IF(T34=0,0,1000000*T34/TrRoad_act!T74)</f>
        <v>5865.3737460285474</v>
      </c>
      <c r="U125" s="152">
        <f>IF(U34=0,0,1000000*U34/TrRoad_act!U74)</f>
        <v>5509.6671362945053</v>
      </c>
      <c r="V125" s="152">
        <f>IF(V34=0,0,1000000*V34/TrRoad_act!V74)</f>
        <v>5243.3650257358941</v>
      </c>
      <c r="W125" s="152">
        <f>IF(W34=0,0,1000000*W34/TrRoad_act!W74)</f>
        <v>5206.4827752580795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2911.5483401843367</v>
      </c>
      <c r="C126" s="87">
        <f>IF(C35=0,0,1000000*C35/TrRoad_act!C75)</f>
        <v>2888.1438223304126</v>
      </c>
      <c r="D126" s="87">
        <f>IF(D35=0,0,1000000*D35/TrRoad_act!D75)</f>
        <v>2794.874276039553</v>
      </c>
      <c r="E126" s="87">
        <f>IF(E35=0,0,1000000*E35/TrRoad_act!E75)</f>
        <v>2755.457614711484</v>
      </c>
      <c r="F126" s="87">
        <f>IF(F35=0,0,1000000*F35/TrRoad_act!F75)</f>
        <v>2796.4266618171</v>
      </c>
      <c r="G126" s="87">
        <f>IF(G35=0,0,1000000*G35/TrRoad_act!G75)</f>
        <v>2766.4713548956047</v>
      </c>
      <c r="H126" s="87">
        <f>IF(H35=0,0,1000000*H35/TrRoad_act!H75)</f>
        <v>2774.1608056408204</v>
      </c>
      <c r="I126" s="87">
        <f>IF(I35=0,0,1000000*I35/TrRoad_act!I75)</f>
        <v>2855.5514050002166</v>
      </c>
      <c r="J126" s="87">
        <f>IF(J35=0,0,1000000*J35/TrRoad_act!J75)</f>
        <v>2874.5200758550745</v>
      </c>
      <c r="K126" s="87">
        <f>IF(K35=0,0,1000000*K35/TrRoad_act!K75)</f>
        <v>2739.3622745817588</v>
      </c>
      <c r="L126" s="87">
        <f>IF(L35=0,0,1000000*L35/TrRoad_act!L75)</f>
        <v>2713.8302067022978</v>
      </c>
      <c r="M126" s="87">
        <f>IF(M35=0,0,1000000*M35/TrRoad_act!M75)</f>
        <v>2681.6306662892293</v>
      </c>
      <c r="N126" s="87">
        <f>IF(N35=0,0,1000000*N35/TrRoad_act!N75)</f>
        <v>2626.4441071147817</v>
      </c>
      <c r="O126" s="87">
        <f>IF(O35=0,0,1000000*O35/TrRoad_act!O75)</f>
        <v>2611.9310262318095</v>
      </c>
      <c r="P126" s="87">
        <f>IF(P35=0,0,1000000*P35/TrRoad_act!P75)</f>
        <v>2595.7750913192067</v>
      </c>
      <c r="Q126" s="87">
        <f>IF(Q35=0,0,1000000*Q35/TrRoad_act!Q75)</f>
        <v>2553.9743893830196</v>
      </c>
      <c r="R126" s="87">
        <f>IF(R35=0,0,1000000*R35/TrRoad_act!R75)</f>
        <v>2474.7359468125337</v>
      </c>
      <c r="S126" s="87">
        <f>IF(S35=0,0,1000000*S35/TrRoad_act!S75)</f>
        <v>2352.7811609326186</v>
      </c>
      <c r="T126" s="87">
        <f>IF(T35=0,0,1000000*T35/TrRoad_act!T75)</f>
        <v>2250.9157287506969</v>
      </c>
      <c r="U126" s="87">
        <f>IF(U35=0,0,1000000*U35/TrRoad_act!U75)</f>
        <v>2105.4567122684607</v>
      </c>
      <c r="V126" s="87">
        <f>IF(V35=0,0,1000000*V35/TrRoad_act!V75)</f>
        <v>1927.2153034513826</v>
      </c>
      <c r="W126" s="87">
        <f>IF(W35=0,0,1000000*W35/TrRoad_act!W75)</f>
        <v>1876.6580992126248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8579.3279304212429</v>
      </c>
      <c r="C127" s="87">
        <f>IF(C36=0,0,1000000*C36/TrRoad_act!C76)</f>
        <v>8075.4588412797802</v>
      </c>
      <c r="D127" s="87">
        <f>IF(D36=0,0,1000000*D36/TrRoad_act!D76)</f>
        <v>7775.3244830019003</v>
      </c>
      <c r="E127" s="87">
        <f>IF(E36=0,0,1000000*E36/TrRoad_act!E76)</f>
        <v>7648.2747904977623</v>
      </c>
      <c r="F127" s="87">
        <f>IF(F36=0,0,1000000*F36/TrRoad_act!F76)</f>
        <v>7677.4879247458002</v>
      </c>
      <c r="G127" s="87">
        <f>IF(G36=0,0,1000000*G36/TrRoad_act!G76)</f>
        <v>7480.702456258965</v>
      </c>
      <c r="H127" s="87">
        <f>IF(H36=0,0,1000000*H36/TrRoad_act!H76)</f>
        <v>7638.3496701800959</v>
      </c>
      <c r="I127" s="87">
        <f>IF(I36=0,0,1000000*I36/TrRoad_act!I76)</f>
        <v>7551.1491547117912</v>
      </c>
      <c r="J127" s="87">
        <f>IF(J36=0,0,1000000*J36/TrRoad_act!J76)</f>
        <v>7598.3095196234535</v>
      </c>
      <c r="K127" s="87">
        <f>IF(K36=0,0,1000000*K36/TrRoad_act!K76)</f>
        <v>6931.8214200795519</v>
      </c>
      <c r="L127" s="87">
        <f>IF(L36=0,0,1000000*L36/TrRoad_act!L76)</f>
        <v>7197.8424458782183</v>
      </c>
      <c r="M127" s="87">
        <f>IF(M36=0,0,1000000*M36/TrRoad_act!M76)</f>
        <v>7332.2059283505259</v>
      </c>
      <c r="N127" s="87">
        <f>IF(N36=0,0,1000000*N36/TrRoad_act!N76)</f>
        <v>7016.9159309007227</v>
      </c>
      <c r="O127" s="87">
        <f>IF(O36=0,0,1000000*O36/TrRoad_act!O76)</f>
        <v>7040.9874132739506</v>
      </c>
      <c r="P127" s="87">
        <f>IF(P36=0,0,1000000*P36/TrRoad_act!P76)</f>
        <v>6613.9311223899367</v>
      </c>
      <c r="Q127" s="87">
        <f>IF(Q36=0,0,1000000*Q36/TrRoad_act!Q76)</f>
        <v>6816.8091027787241</v>
      </c>
      <c r="R127" s="87">
        <f>IF(R36=0,0,1000000*R36/TrRoad_act!R76)</f>
        <v>6707.8479953977057</v>
      </c>
      <c r="S127" s="87">
        <f>IF(S36=0,0,1000000*S36/TrRoad_act!S76)</f>
        <v>6418.4507314291568</v>
      </c>
      <c r="T127" s="87">
        <f>IF(T36=0,0,1000000*T36/TrRoad_act!T76)</f>
        <v>6044.6484314817189</v>
      </c>
      <c r="U127" s="87">
        <f>IF(U36=0,0,1000000*U36/TrRoad_act!U76)</f>
        <v>5716.035548572384</v>
      </c>
      <c r="V127" s="87">
        <f>IF(V36=0,0,1000000*V36/TrRoad_act!V76)</f>
        <v>5459.9259614354423</v>
      </c>
      <c r="W127" s="87">
        <f>IF(W36=0,0,1000000*W36/TrRoad_act!W76)</f>
        <v>5434.7741443901832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5037.9837948138484</v>
      </c>
      <c r="C128" s="87">
        <f>IF(C37=0,0,1000000*C37/TrRoad_act!C77)</f>
        <v>4993.9510390118285</v>
      </c>
      <c r="D128" s="87">
        <f>IF(D37=0,0,1000000*D37/TrRoad_act!D77)</f>
        <v>4832.6623967002142</v>
      </c>
      <c r="E128" s="87">
        <f>IF(E37=0,0,1000000*E37/TrRoad_act!E77)</f>
        <v>4764.4249300052088</v>
      </c>
      <c r="F128" s="87">
        <f>IF(F37=0,0,1000000*F37/TrRoad_act!F77)</f>
        <v>4835.1376119133793</v>
      </c>
      <c r="G128" s="87">
        <f>IF(G37=0,0,1000000*G37/TrRoad_act!G77)</f>
        <v>4782.9281997197741</v>
      </c>
      <c r="H128" s="87">
        <f>IF(H37=0,0,1000000*H37/TrRoad_act!H77)</f>
        <v>4817.8769229957225</v>
      </c>
      <c r="I128" s="87">
        <f>IF(I37=0,0,1000000*I37/TrRoad_act!I77)</f>
        <v>5043.2258294669691</v>
      </c>
      <c r="J128" s="87">
        <f>IF(J37=0,0,1000000*J37/TrRoad_act!J77)</f>
        <v>5101.2420924313928</v>
      </c>
      <c r="K128" s="87">
        <f>IF(K37=0,0,1000000*K37/TrRoad_act!K77)</f>
        <v>4931.5025577047754</v>
      </c>
      <c r="L128" s="87">
        <f>IF(L37=0,0,1000000*L37/TrRoad_act!L77)</f>
        <v>4913.3614279337107</v>
      </c>
      <c r="M128" s="87">
        <f>IF(M37=0,0,1000000*M37/TrRoad_act!M77)</f>
        <v>4894.8210465841512</v>
      </c>
      <c r="N128" s="87">
        <f>IF(N37=0,0,1000000*N37/TrRoad_act!N77)</f>
        <v>4816.2769527300761</v>
      </c>
      <c r="O128" s="87">
        <f>IF(O37=0,0,1000000*O37/TrRoad_act!O77)</f>
        <v>4826.690957975653</v>
      </c>
      <c r="P128" s="87">
        <f>IF(P37=0,0,1000000*P37/TrRoad_act!P77)</f>
        <v>4901.8124119203294</v>
      </c>
      <c r="Q128" s="87">
        <f>IF(Q37=0,0,1000000*Q37/TrRoad_act!Q77)</f>
        <v>4935.9899497667529</v>
      </c>
      <c r="R128" s="87">
        <f>IF(R37=0,0,1000000*R37/TrRoad_act!R77)</f>
        <v>4837.8396016304278</v>
      </c>
      <c r="S128" s="87">
        <f>IF(S37=0,0,1000000*S37/TrRoad_act!S77)</f>
        <v>4676.4676699568663</v>
      </c>
      <c r="T128" s="87">
        <f>IF(T37=0,0,1000000*T37/TrRoad_act!T77)</f>
        <v>4277.1408697874167</v>
      </c>
      <c r="U128" s="87">
        <f>IF(U37=0,0,1000000*U37/TrRoad_act!U77)</f>
        <v>3515.9833492564512</v>
      </c>
      <c r="V128" s="87">
        <f>IF(V37=0,0,1000000*V37/TrRoad_act!V77)</f>
        <v>3293.6175027080953</v>
      </c>
      <c r="W128" s="87">
        <f>IF(W37=0,0,1000000*W37/TrRoad_act!W77)</f>
        <v>3250.659976301888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3905.435280571251</v>
      </c>
      <c r="F129" s="87">
        <f>IF(F38=0,0,1000000*F38/TrRoad_act!F78)</f>
        <v>3903.1879583954524</v>
      </c>
      <c r="G129" s="87">
        <f>IF(G38=0,0,1000000*G38/TrRoad_act!G78)</f>
        <v>3785.7962353451708</v>
      </c>
      <c r="H129" s="87">
        <f>IF(H38=0,0,1000000*H38/TrRoad_act!H78)</f>
        <v>3738.2765801811861</v>
      </c>
      <c r="I129" s="87">
        <f>IF(I38=0,0,1000000*I38/TrRoad_act!I78)</f>
        <v>3810.7710297912117</v>
      </c>
      <c r="J129" s="87">
        <f>IF(J38=0,0,1000000*J38/TrRoad_act!J78)</f>
        <v>3854.612822518141</v>
      </c>
      <c r="K129" s="87">
        <f>IF(K38=0,0,1000000*K38/TrRoad_act!K78)</f>
        <v>3529.8167684884015</v>
      </c>
      <c r="L129" s="87">
        <f>IF(L38=0,0,1000000*L38/TrRoad_act!L78)</f>
        <v>3468.3564320097844</v>
      </c>
      <c r="M129" s="87">
        <f>IF(M38=0,0,1000000*M38/TrRoad_act!M78)</f>
        <v>3395.2451339111813</v>
      </c>
      <c r="N129" s="87">
        <f>IF(N38=0,0,1000000*N38/TrRoad_act!N78)</f>
        <v>3231.9112460068482</v>
      </c>
      <c r="O129" s="87">
        <f>IF(O38=0,0,1000000*O38/TrRoad_act!O78)</f>
        <v>3171.9005131338499</v>
      </c>
      <c r="P129" s="87">
        <f>IF(P38=0,0,1000000*P38/TrRoad_act!P78)</f>
        <v>3177.2064661336785</v>
      </c>
      <c r="Q129" s="87">
        <f>IF(Q38=0,0,1000000*Q38/TrRoad_act!Q78)</f>
        <v>3188.5881381671934</v>
      </c>
      <c r="R129" s="87">
        <f>IF(R38=0,0,1000000*R38/TrRoad_act!R78)</f>
        <v>3149.1221819973639</v>
      </c>
      <c r="S129" s="87">
        <f>IF(S38=0,0,1000000*S38/TrRoad_act!S78)</f>
        <v>3184.7382634388841</v>
      </c>
      <c r="T129" s="87">
        <f>IF(T38=0,0,1000000*T38/TrRoad_act!T78)</f>
        <v>3055.159442234602</v>
      </c>
      <c r="U129" s="87">
        <f>IF(U38=0,0,1000000*U38/TrRoad_act!U78)</f>
        <v>3040.2776690669521</v>
      </c>
      <c r="V129" s="87">
        <f>IF(V38=0,0,1000000*V38/TrRoad_act!V78)</f>
        <v>2925.402498959887</v>
      </c>
      <c r="W129" s="87">
        <f>IF(W38=0,0,1000000*W38/TrRoad_act!W78)</f>
        <v>2983.3097347495595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58051.326802335076</v>
      </c>
      <c r="C131" s="116">
        <f>IF(C40=0,0,1000000*C40/TrRoad_act!C80)</f>
        <v>55232.05140994129</v>
      </c>
      <c r="D131" s="116">
        <f>IF(D40=0,0,1000000*D40/TrRoad_act!D80)</f>
        <v>57139.170266209301</v>
      </c>
      <c r="E131" s="116">
        <f>IF(E40=0,0,1000000*E40/TrRoad_act!E80)</f>
        <v>60182.586815277813</v>
      </c>
      <c r="F131" s="116">
        <f>IF(F40=0,0,1000000*F40/TrRoad_act!F80)</f>
        <v>70860.250021807442</v>
      </c>
      <c r="G131" s="116">
        <f>IF(G40=0,0,1000000*G40/TrRoad_act!G80)</f>
        <v>69718.226978089529</v>
      </c>
      <c r="H131" s="116">
        <f>IF(H40=0,0,1000000*H40/TrRoad_act!H80)</f>
        <v>75861.522219022867</v>
      </c>
      <c r="I131" s="116">
        <f>IF(I40=0,0,1000000*I40/TrRoad_act!I80)</f>
        <v>68067.859028641076</v>
      </c>
      <c r="J131" s="116">
        <f>IF(J40=0,0,1000000*J40/TrRoad_act!J80)</f>
        <v>69468.908517779346</v>
      </c>
      <c r="K131" s="116">
        <f>IF(K40=0,0,1000000*K40/TrRoad_act!K80)</f>
        <v>59941.309737103627</v>
      </c>
      <c r="L131" s="116">
        <f>IF(L40=0,0,1000000*L40/TrRoad_act!L80)</f>
        <v>62241.369966757629</v>
      </c>
      <c r="M131" s="116">
        <f>IF(M40=0,0,1000000*M40/TrRoad_act!M80)</f>
        <v>65053.75587600618</v>
      </c>
      <c r="N131" s="116">
        <f>IF(N40=0,0,1000000*N40/TrRoad_act!N80)</f>
        <v>62203.651548223876</v>
      </c>
      <c r="O131" s="116">
        <f>IF(O40=0,0,1000000*O40/TrRoad_act!O80)</f>
        <v>55761.3883326164</v>
      </c>
      <c r="P131" s="116">
        <f>IF(P40=0,0,1000000*P40/TrRoad_act!P80)</f>
        <v>42721.21039626831</v>
      </c>
      <c r="Q131" s="116">
        <f>IF(Q40=0,0,1000000*Q40/TrRoad_act!Q80)</f>
        <v>42942.108943781663</v>
      </c>
      <c r="R131" s="116">
        <f>IF(R40=0,0,1000000*R40/TrRoad_act!R80)</f>
        <v>40449.598254648889</v>
      </c>
      <c r="S131" s="116">
        <f>IF(S40=0,0,1000000*S40/TrRoad_act!S80)</f>
        <v>46451.687934975715</v>
      </c>
      <c r="T131" s="116">
        <f>IF(T40=0,0,1000000*T40/TrRoad_act!T80)</f>
        <v>51300.538230730075</v>
      </c>
      <c r="U131" s="116">
        <f>IF(U40=0,0,1000000*U40/TrRoad_act!U80)</f>
        <v>49187.555396313001</v>
      </c>
      <c r="V131" s="116">
        <f>IF(V40=0,0,1000000*V40/TrRoad_act!V80)</f>
        <v>44446.905152850661</v>
      </c>
      <c r="W131" s="116">
        <f>IF(W40=0,0,1000000*W40/TrRoad_act!W80)</f>
        <v>40445.41371547617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52465.071027404781</v>
      </c>
      <c r="C132" s="101">
        <f>IF(C41=0,0,1000000*C41/TrRoad_act!C81)</f>
        <v>49392.66949450472</v>
      </c>
      <c r="D132" s="101">
        <f>IF(D41=0,0,1000000*D41/TrRoad_act!D81)</f>
        <v>51368.589612090735</v>
      </c>
      <c r="E132" s="101">
        <f>IF(E41=0,0,1000000*E41/TrRoad_act!E81)</f>
        <v>54512.94295203693</v>
      </c>
      <c r="F132" s="101">
        <f>IF(F41=0,0,1000000*F41/TrRoad_act!F81)</f>
        <v>64559.426345821237</v>
      </c>
      <c r="G132" s="101">
        <f>IF(G41=0,0,1000000*G41/TrRoad_act!G81)</f>
        <v>63106.18970837722</v>
      </c>
      <c r="H132" s="101">
        <f>IF(H41=0,0,1000000*H41/TrRoad_act!H81)</f>
        <v>68492.80457509293</v>
      </c>
      <c r="I132" s="101">
        <f>IF(I41=0,0,1000000*I41/TrRoad_act!I81)</f>
        <v>59849.58377809661</v>
      </c>
      <c r="J132" s="101">
        <f>IF(J41=0,0,1000000*J41/TrRoad_act!J81)</f>
        <v>61002.393235963485</v>
      </c>
      <c r="K132" s="101">
        <f>IF(K41=0,0,1000000*K41/TrRoad_act!K81)</f>
        <v>52549.937752574588</v>
      </c>
      <c r="L132" s="101">
        <f>IF(L41=0,0,1000000*L41/TrRoad_act!L81)</f>
        <v>52014.223995694272</v>
      </c>
      <c r="M132" s="101">
        <f>IF(M41=0,0,1000000*M41/TrRoad_act!M81)</f>
        <v>55096.95657081838</v>
      </c>
      <c r="N132" s="101">
        <f>IF(N41=0,0,1000000*N41/TrRoad_act!N81)</f>
        <v>51925.143546064595</v>
      </c>
      <c r="O132" s="101">
        <f>IF(O41=0,0,1000000*O41/TrRoad_act!O81)</f>
        <v>46890.095840553433</v>
      </c>
      <c r="P132" s="101">
        <f>IF(P41=0,0,1000000*P41/TrRoad_act!P81)</f>
        <v>36045.090780927188</v>
      </c>
      <c r="Q132" s="101">
        <f>IF(Q41=0,0,1000000*Q41/TrRoad_act!Q81)</f>
        <v>36243.317424246234</v>
      </c>
      <c r="R132" s="101">
        <f>IF(R41=0,0,1000000*R41/TrRoad_act!R81)</f>
        <v>33920.391094808831</v>
      </c>
      <c r="S132" s="101">
        <f>IF(S41=0,0,1000000*S41/TrRoad_act!S81)</f>
        <v>38132.757827935231</v>
      </c>
      <c r="T132" s="101">
        <f>IF(T41=0,0,1000000*T41/TrRoad_act!T81)</f>
        <v>42290.815272623957</v>
      </c>
      <c r="U132" s="101">
        <f>IF(U41=0,0,1000000*U41/TrRoad_act!U81)</f>
        <v>40072.627076660217</v>
      </c>
      <c r="V132" s="101">
        <f>IF(V41=0,0,1000000*V41/TrRoad_act!V81)</f>
        <v>36192.162939192996</v>
      </c>
      <c r="W132" s="101">
        <f>IF(W41=0,0,1000000*W41/TrRoad_act!W81)</f>
        <v>33433.244540887077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111946.42128376928</v>
      </c>
      <c r="C133" s="88">
        <f>IF(C42=0,0,1000000*C42/TrRoad_act!C82)</f>
        <v>109323.00695240794</v>
      </c>
      <c r="D133" s="88">
        <f>IF(D42=0,0,1000000*D42/TrRoad_act!D82)</f>
        <v>107851.05989897251</v>
      </c>
      <c r="E133" s="88">
        <f>IF(E42=0,0,1000000*E42/TrRoad_act!E82)</f>
        <v>108009.60858490545</v>
      </c>
      <c r="F133" s="88">
        <f>IF(F42=0,0,1000000*F42/TrRoad_act!F82)</f>
        <v>108329.5350562173</v>
      </c>
      <c r="G133" s="88">
        <f>IF(G42=0,0,1000000*G42/TrRoad_act!G82)</f>
        <v>108458.73248185847</v>
      </c>
      <c r="H133" s="88">
        <f>IF(H42=0,0,1000000*H42/TrRoad_act!H82)</f>
        <v>115860.6869736579</v>
      </c>
      <c r="I133" s="88">
        <f>IF(I42=0,0,1000000*I42/TrRoad_act!I82)</f>
        <v>116628.49023241765</v>
      </c>
      <c r="J133" s="88">
        <f>IF(J42=0,0,1000000*J42/TrRoad_act!J82)</f>
        <v>118428.62286616862</v>
      </c>
      <c r="K133" s="88">
        <f>IF(K42=0,0,1000000*K42/TrRoad_act!K82)</f>
        <v>109149.64864475538</v>
      </c>
      <c r="L133" s="88">
        <f>IF(L42=0,0,1000000*L42/TrRoad_act!L82)</f>
        <v>126885.13795970949</v>
      </c>
      <c r="M133" s="88">
        <f>IF(M42=0,0,1000000*M42/TrRoad_act!M82)</f>
        <v>127469.53169029263</v>
      </c>
      <c r="N133" s="88">
        <f>IF(N42=0,0,1000000*N42/TrRoad_act!N82)</f>
        <v>129051.90270308928</v>
      </c>
      <c r="O133" s="88">
        <f>IF(O42=0,0,1000000*O42/TrRoad_act!O82)</f>
        <v>110742.81055564244</v>
      </c>
      <c r="P133" s="88">
        <f>IF(P42=0,0,1000000*P42/TrRoad_act!P82)</f>
        <v>82010.950045159509</v>
      </c>
      <c r="Q133" s="88">
        <f>IF(Q42=0,0,1000000*Q42/TrRoad_act!Q82)</f>
        <v>81845.467224398279</v>
      </c>
      <c r="R133" s="88">
        <f>IF(R42=0,0,1000000*R42/TrRoad_act!R82)</f>
        <v>77418.7662560319</v>
      </c>
      <c r="S133" s="88">
        <f>IF(S42=0,0,1000000*S42/TrRoad_act!S82)</f>
        <v>93982.644087897483</v>
      </c>
      <c r="T133" s="88">
        <f>IF(T42=0,0,1000000*T42/TrRoad_act!T82)</f>
        <v>105123.74926013677</v>
      </c>
      <c r="U133" s="88">
        <f>IF(U42=0,0,1000000*U42/TrRoad_act!U82)</f>
        <v>104607.83243097531</v>
      </c>
      <c r="V133" s="88">
        <f>IF(V42=0,0,1000000*V42/TrRoad_act!V82)</f>
        <v>92835.016226055959</v>
      </c>
      <c r="W133" s="88">
        <f>IF(W42=0,0,1000000*W42/TrRoad_act!W82)</f>
        <v>81427.191259882689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0.60483844534156983</v>
      </c>
      <c r="C136" s="46">
        <f t="shared" si="40"/>
        <v>0.60487217121340198</v>
      </c>
      <c r="D136" s="46">
        <f t="shared" si="40"/>
        <v>0.60175336667324908</v>
      </c>
      <c r="E136" s="46">
        <f t="shared" si="40"/>
        <v>0.59399212803396539</v>
      </c>
      <c r="F136" s="46">
        <f t="shared" si="40"/>
        <v>0.5865511753413909</v>
      </c>
      <c r="G136" s="46">
        <f t="shared" si="40"/>
        <v>0.58585413435280342</v>
      </c>
      <c r="H136" s="46">
        <f t="shared" si="40"/>
        <v>0.58234712545023271</v>
      </c>
      <c r="I136" s="46">
        <f t="shared" si="40"/>
        <v>0.58581006344193998</v>
      </c>
      <c r="J136" s="46">
        <f t="shared" si="40"/>
        <v>0.58252389934910509</v>
      </c>
      <c r="K136" s="46">
        <f t="shared" si="40"/>
        <v>0.60202153079057874</v>
      </c>
      <c r="L136" s="46">
        <f t="shared" si="41"/>
        <v>0.59318132850510741</v>
      </c>
      <c r="M136" s="46">
        <f t="shared" si="40"/>
        <v>0.58787841092352133</v>
      </c>
      <c r="N136" s="46">
        <f t="shared" si="40"/>
        <v>0.58849018901323114</v>
      </c>
      <c r="O136" s="46">
        <f t="shared" si="40"/>
        <v>0.60335589059686934</v>
      </c>
      <c r="P136" s="46">
        <f t="shared" si="40"/>
        <v>0.63474424929484885</v>
      </c>
      <c r="Q136" s="46">
        <f t="shared" si="40"/>
        <v>0.62853839415608725</v>
      </c>
      <c r="R136" s="46">
        <f t="shared" si="40"/>
        <v>0.63093865924725312</v>
      </c>
      <c r="S136" s="46">
        <f t="shared" si="40"/>
        <v>0.61677418839073872</v>
      </c>
      <c r="T136" s="46">
        <f t="shared" si="40"/>
        <v>0.60199714315744934</v>
      </c>
      <c r="U136" s="46">
        <f t="shared" si="40"/>
        <v>0.59753316515275878</v>
      </c>
      <c r="V136" s="46">
        <f t="shared" si="40"/>
        <v>0.55741197138247212</v>
      </c>
      <c r="W136" s="46">
        <f t="shared" si="42"/>
        <v>0.58291986687412145</v>
      </c>
      <c r="DA136" s="211"/>
    </row>
    <row r="137" spans="1:105" ht="11.45" customHeight="1" x14ac:dyDescent="0.25">
      <c r="A137" s="153" t="s">
        <v>180</v>
      </c>
      <c r="B137" s="154">
        <f t="shared" si="40"/>
        <v>1.247694215569836E-2</v>
      </c>
      <c r="C137" s="154">
        <f t="shared" si="40"/>
        <v>1.2851869646828693E-2</v>
      </c>
      <c r="D137" s="154">
        <f t="shared" si="40"/>
        <v>1.2885838003196733E-2</v>
      </c>
      <c r="E137" s="154">
        <f t="shared" si="40"/>
        <v>1.2815995438143721E-2</v>
      </c>
      <c r="F137" s="154">
        <f t="shared" si="40"/>
        <v>1.1958731713263717E-2</v>
      </c>
      <c r="G137" s="154">
        <f t="shared" si="40"/>
        <v>1.2217028540050199E-2</v>
      </c>
      <c r="H137" s="154">
        <f t="shared" si="40"/>
        <v>1.235633442420264E-2</v>
      </c>
      <c r="I137" s="154">
        <f t="shared" si="40"/>
        <v>1.2897808935098202E-2</v>
      </c>
      <c r="J137" s="154">
        <f t="shared" si="40"/>
        <v>1.3454566466827656E-2</v>
      </c>
      <c r="K137" s="154">
        <f t="shared" si="40"/>
        <v>1.4255680492505406E-2</v>
      </c>
      <c r="L137" s="154">
        <f t="shared" si="41"/>
        <v>1.4112783261170807E-2</v>
      </c>
      <c r="M137" s="154">
        <f t="shared" si="40"/>
        <v>1.4202263886203121E-2</v>
      </c>
      <c r="N137" s="154">
        <f t="shared" si="40"/>
        <v>1.4381785720924876E-2</v>
      </c>
      <c r="O137" s="154">
        <f t="shared" si="40"/>
        <v>1.4846978627843666E-2</v>
      </c>
      <c r="P137" s="154">
        <f t="shared" si="40"/>
        <v>1.5438622123245217E-2</v>
      </c>
      <c r="Q137" s="154">
        <f t="shared" si="40"/>
        <v>1.5467316909701665E-2</v>
      </c>
      <c r="R137" s="154">
        <f t="shared" si="40"/>
        <v>1.5554181313337807E-2</v>
      </c>
      <c r="S137" s="154">
        <f t="shared" si="40"/>
        <v>1.4050318277542849E-2</v>
      </c>
      <c r="T137" s="154">
        <f t="shared" si="40"/>
        <v>1.3733888110034178E-2</v>
      </c>
      <c r="U137" s="154">
        <f t="shared" si="40"/>
        <v>1.3946813068301795E-2</v>
      </c>
      <c r="V137" s="154">
        <f t="shared" si="40"/>
        <v>1.4736976938632674E-2</v>
      </c>
      <c r="W137" s="154">
        <f t="shared" si="42"/>
        <v>1.417436846068563E-2</v>
      </c>
      <c r="DA137" s="212"/>
    </row>
    <row r="138" spans="1:105" ht="11.45" customHeight="1" x14ac:dyDescent="0.25">
      <c r="A138" s="155" t="s">
        <v>20</v>
      </c>
      <c r="B138" s="156">
        <f t="shared" si="40"/>
        <v>0.55562313087465376</v>
      </c>
      <c r="C138" s="156">
        <f t="shared" si="40"/>
        <v>0.55667152849568113</v>
      </c>
      <c r="D138" s="156">
        <f t="shared" si="40"/>
        <v>0.55473086418233486</v>
      </c>
      <c r="E138" s="156">
        <f t="shared" si="40"/>
        <v>0.54847253669095375</v>
      </c>
      <c r="F138" s="156">
        <f t="shared" si="40"/>
        <v>0.54313423094235924</v>
      </c>
      <c r="G138" s="156">
        <f t="shared" si="40"/>
        <v>0.54241838790287344</v>
      </c>
      <c r="H138" s="156">
        <f t="shared" si="40"/>
        <v>0.54002380456623544</v>
      </c>
      <c r="I138" s="156">
        <f t="shared" si="40"/>
        <v>0.54351712315514622</v>
      </c>
      <c r="J138" s="156">
        <f t="shared" si="40"/>
        <v>0.53869646652996506</v>
      </c>
      <c r="K138" s="156">
        <f t="shared" si="40"/>
        <v>0.55532584255895434</v>
      </c>
      <c r="L138" s="156">
        <f t="shared" si="41"/>
        <v>0.54500539871985065</v>
      </c>
      <c r="M138" s="156">
        <f t="shared" si="40"/>
        <v>0.5407977388266012</v>
      </c>
      <c r="N138" s="156">
        <f t="shared" si="40"/>
        <v>0.5408179464837648</v>
      </c>
      <c r="O138" s="156">
        <f t="shared" si="40"/>
        <v>0.55475171481442254</v>
      </c>
      <c r="P138" s="156">
        <f t="shared" si="40"/>
        <v>0.58430770636621732</v>
      </c>
      <c r="Q138" s="156">
        <f t="shared" si="40"/>
        <v>0.57886285040085883</v>
      </c>
      <c r="R138" s="156">
        <f t="shared" si="40"/>
        <v>0.58124972656547891</v>
      </c>
      <c r="S138" s="156">
        <f t="shared" si="40"/>
        <v>0.56767947895407889</v>
      </c>
      <c r="T138" s="156">
        <f t="shared" si="40"/>
        <v>0.55669837511443676</v>
      </c>
      <c r="U138" s="156">
        <f t="shared" si="40"/>
        <v>0.5544438642945777</v>
      </c>
      <c r="V138" s="156">
        <f t="shared" si="40"/>
        <v>0.51588944837361927</v>
      </c>
      <c r="W138" s="156">
        <f t="shared" si="42"/>
        <v>0.54532751089459774</v>
      </c>
      <c r="DA138" s="213"/>
    </row>
    <row r="139" spans="1:105" ht="11.45" customHeight="1" x14ac:dyDescent="0.25">
      <c r="A139" s="157" t="s">
        <v>110</v>
      </c>
      <c r="B139" s="103">
        <f t="shared" si="40"/>
        <v>0.35685515190004163</v>
      </c>
      <c r="C139" s="103">
        <f t="shared" si="40"/>
        <v>0.36279099201585335</v>
      </c>
      <c r="D139" s="103">
        <f t="shared" si="40"/>
        <v>0.35883122551029745</v>
      </c>
      <c r="E139" s="103">
        <f t="shared" si="40"/>
        <v>0.35437173882616263</v>
      </c>
      <c r="F139" s="103">
        <f t="shared" si="40"/>
        <v>0.34559759833063786</v>
      </c>
      <c r="G139" s="103">
        <f t="shared" si="40"/>
        <v>0.3403564240062974</v>
      </c>
      <c r="H139" s="103">
        <f t="shared" si="40"/>
        <v>0.33614550730520715</v>
      </c>
      <c r="I139" s="103">
        <f t="shared" si="40"/>
        <v>0.34060538285328867</v>
      </c>
      <c r="J139" s="103">
        <f t="shared" si="40"/>
        <v>0.33359210273373519</v>
      </c>
      <c r="K139" s="103">
        <f t="shared" si="40"/>
        <v>0.34687492394716368</v>
      </c>
      <c r="L139" s="103">
        <f t="shared" si="41"/>
        <v>0.34199580289591835</v>
      </c>
      <c r="M139" s="103">
        <f t="shared" si="40"/>
        <v>0.34576526302647054</v>
      </c>
      <c r="N139" s="103">
        <f t="shared" si="40"/>
        <v>0.3452538321891036</v>
      </c>
      <c r="O139" s="103">
        <f t="shared" si="40"/>
        <v>0.35430471157228782</v>
      </c>
      <c r="P139" s="103">
        <f t="shared" si="40"/>
        <v>0.37554352620632242</v>
      </c>
      <c r="Q139" s="103">
        <f t="shared" si="40"/>
        <v>0.37738467496044448</v>
      </c>
      <c r="R139" s="103">
        <f t="shared" si="40"/>
        <v>0.3873117627271635</v>
      </c>
      <c r="S139" s="103">
        <f t="shared" si="40"/>
        <v>0.38947069033129755</v>
      </c>
      <c r="T139" s="103">
        <f t="shared" si="40"/>
        <v>0.39434062661207764</v>
      </c>
      <c r="U139" s="103">
        <f t="shared" si="40"/>
        <v>0.40751160229027367</v>
      </c>
      <c r="V139" s="103">
        <f t="shared" si="40"/>
        <v>0.39659989884289415</v>
      </c>
      <c r="W139" s="103">
        <f t="shared" si="42"/>
        <v>0.40704794466798222</v>
      </c>
      <c r="DA139" s="191"/>
    </row>
    <row r="140" spans="1:105" ht="11.45" customHeight="1" x14ac:dyDescent="0.25">
      <c r="A140" s="157" t="s">
        <v>111</v>
      </c>
      <c r="B140" s="103">
        <f t="shared" si="40"/>
        <v>0.15079280802969358</v>
      </c>
      <c r="C140" s="103">
        <f t="shared" si="40"/>
        <v>0.14995930587937123</v>
      </c>
      <c r="D140" s="103">
        <f t="shared" si="40"/>
        <v>0.15437949425367434</v>
      </c>
      <c r="E140" s="103">
        <f t="shared" si="40"/>
        <v>0.15875951158930335</v>
      </c>
      <c r="F140" s="103">
        <f t="shared" si="40"/>
        <v>0.16292163329340456</v>
      </c>
      <c r="G140" s="103">
        <f t="shared" si="40"/>
        <v>0.16894673975238717</v>
      </c>
      <c r="H140" s="103">
        <f t="shared" si="40"/>
        <v>0.17277657680010436</v>
      </c>
      <c r="I140" s="103">
        <f t="shared" si="40"/>
        <v>0.17669849822494962</v>
      </c>
      <c r="J140" s="103">
        <f t="shared" si="40"/>
        <v>0.17884444009806991</v>
      </c>
      <c r="K140" s="103">
        <f t="shared" si="40"/>
        <v>0.18103511987239163</v>
      </c>
      <c r="L140" s="103">
        <f t="shared" si="41"/>
        <v>0.17786436540517492</v>
      </c>
      <c r="M140" s="103">
        <f t="shared" si="40"/>
        <v>0.17257685366465828</v>
      </c>
      <c r="N140" s="103">
        <f t="shared" si="40"/>
        <v>0.17193791186194241</v>
      </c>
      <c r="O140" s="103">
        <f t="shared" si="40"/>
        <v>0.17685275738304129</v>
      </c>
      <c r="P140" s="103">
        <f t="shared" si="40"/>
        <v>0.18869775446146017</v>
      </c>
      <c r="Q140" s="103">
        <f t="shared" si="40"/>
        <v>0.18366318773884169</v>
      </c>
      <c r="R140" s="103">
        <f t="shared" si="40"/>
        <v>0.1777137343726384</v>
      </c>
      <c r="S140" s="103">
        <f t="shared" si="40"/>
        <v>0.16414646409681247</v>
      </c>
      <c r="T140" s="103">
        <f t="shared" si="40"/>
        <v>0.14888004622911613</v>
      </c>
      <c r="U140" s="103">
        <f t="shared" si="40"/>
        <v>0.13438192427091047</v>
      </c>
      <c r="V140" s="103">
        <f t="shared" si="40"/>
        <v>0.10714732201501113</v>
      </c>
      <c r="W140" s="103">
        <f t="shared" si="42"/>
        <v>0.1250958903179169</v>
      </c>
      <c r="DA140" s="191"/>
    </row>
    <row r="141" spans="1:105" ht="11.45" customHeight="1" x14ac:dyDescent="0.25">
      <c r="A141" s="157" t="s">
        <v>112</v>
      </c>
      <c r="B141" s="103">
        <f t="shared" si="40"/>
        <v>4.7975170944918544E-2</v>
      </c>
      <c r="C141" s="103">
        <f t="shared" si="40"/>
        <v>4.3921230600456516E-2</v>
      </c>
      <c r="D141" s="103">
        <f t="shared" si="40"/>
        <v>4.1520144418363096E-2</v>
      </c>
      <c r="E141" s="103">
        <f t="shared" si="40"/>
        <v>3.5341286275487806E-2</v>
      </c>
      <c r="F141" s="103">
        <f t="shared" si="40"/>
        <v>3.4614999318316804E-2</v>
      </c>
      <c r="G141" s="103">
        <f t="shared" si="40"/>
        <v>3.3115224144188882E-2</v>
      </c>
      <c r="H141" s="103">
        <f t="shared" si="40"/>
        <v>3.1101720460923934E-2</v>
      </c>
      <c r="I141" s="103">
        <f t="shared" si="40"/>
        <v>2.6213242076907884E-2</v>
      </c>
      <c r="J141" s="103">
        <f t="shared" si="40"/>
        <v>2.6259923698159934E-2</v>
      </c>
      <c r="K141" s="103">
        <f t="shared" si="40"/>
        <v>2.7415798739399019E-2</v>
      </c>
      <c r="L141" s="103">
        <f t="shared" si="41"/>
        <v>2.5129969402096969E-2</v>
      </c>
      <c r="M141" s="103">
        <f t="shared" si="40"/>
        <v>2.2384007085629851E-2</v>
      </c>
      <c r="N141" s="103">
        <f t="shared" si="40"/>
        <v>2.3010078800313701E-2</v>
      </c>
      <c r="O141" s="103">
        <f t="shared" si="40"/>
        <v>2.2637795033916198E-2</v>
      </c>
      <c r="P141" s="103">
        <f t="shared" si="40"/>
        <v>1.83952148197414E-2</v>
      </c>
      <c r="Q141" s="103">
        <f t="shared" si="40"/>
        <v>1.5418956763167036E-2</v>
      </c>
      <c r="R141" s="103">
        <f t="shared" si="40"/>
        <v>1.4334124922605659E-2</v>
      </c>
      <c r="S141" s="103">
        <f t="shared" si="40"/>
        <v>1.2168136709214048E-2</v>
      </c>
      <c r="T141" s="103">
        <f t="shared" si="40"/>
        <v>1.0791106723563423E-2</v>
      </c>
      <c r="U141" s="103">
        <f t="shared" si="40"/>
        <v>9.8528521189882763E-3</v>
      </c>
      <c r="V141" s="103">
        <f t="shared" si="40"/>
        <v>9.3760194626469583E-3</v>
      </c>
      <c r="W141" s="103">
        <f t="shared" si="42"/>
        <v>9.7301395790733488E-3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1.5261016660389897E-5</v>
      </c>
      <c r="M142" s="103">
        <f t="shared" si="40"/>
        <v>7.1350583536205318E-5</v>
      </c>
      <c r="N142" s="103">
        <f t="shared" si="40"/>
        <v>5.6905842386186401E-4</v>
      </c>
      <c r="O142" s="103">
        <f t="shared" si="40"/>
        <v>6.5373654962150936E-4</v>
      </c>
      <c r="P142" s="103">
        <f t="shared" si="40"/>
        <v>9.5700322414558664E-4</v>
      </c>
      <c r="Q142" s="103">
        <f t="shared" si="40"/>
        <v>9.8858555557943158E-4</v>
      </c>
      <c r="R142" s="103">
        <f t="shared" si="40"/>
        <v>2.642699285134858E-4</v>
      </c>
      <c r="S142" s="103">
        <f t="shared" si="40"/>
        <v>3.5539341221029104E-4</v>
      </c>
      <c r="T142" s="103">
        <f t="shared" si="40"/>
        <v>1.1234710515297126E-3</v>
      </c>
      <c r="U142" s="103">
        <f t="shared" si="40"/>
        <v>1.1294364540179579E-3</v>
      </c>
      <c r="V142" s="103">
        <f t="shared" si="40"/>
        <v>1.0547553787717912E-3</v>
      </c>
      <c r="W142" s="103">
        <f t="shared" si="42"/>
        <v>9.7019752713516962E-4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2.6446630625987286E-7</v>
      </c>
      <c r="N143" s="103">
        <f t="shared" si="40"/>
        <v>4.706520854321961E-5</v>
      </c>
      <c r="O143" s="103">
        <f t="shared" si="40"/>
        <v>3.0271427555570791E-4</v>
      </c>
      <c r="P143" s="103">
        <f t="shared" si="40"/>
        <v>7.1420765454774902E-4</v>
      </c>
      <c r="Q143" s="103">
        <f t="shared" si="40"/>
        <v>1.4074453828262178E-3</v>
      </c>
      <c r="R143" s="103">
        <f t="shared" si="40"/>
        <v>1.6258346145579677E-3</v>
      </c>
      <c r="S143" s="103">
        <f t="shared" si="40"/>
        <v>1.538794404544563E-3</v>
      </c>
      <c r="T143" s="103">
        <f t="shared" si="40"/>
        <v>1.5631244981498546E-3</v>
      </c>
      <c r="U143" s="103">
        <f t="shared" si="40"/>
        <v>1.5680491603873637E-3</v>
      </c>
      <c r="V143" s="103">
        <f t="shared" si="40"/>
        <v>1.7114526742952358E-3</v>
      </c>
      <c r="W143" s="103">
        <f t="shared" si="42"/>
        <v>2.483338802490135E-3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3.6738372311217772E-2</v>
      </c>
      <c r="C145" s="156">
        <f t="shared" si="40"/>
        <v>3.5348773070892146E-2</v>
      </c>
      <c r="D145" s="156">
        <f t="shared" si="40"/>
        <v>3.4136664487717502E-2</v>
      </c>
      <c r="E145" s="156">
        <f t="shared" si="40"/>
        <v>3.2703595904867891E-2</v>
      </c>
      <c r="F145" s="156">
        <f t="shared" si="40"/>
        <v>3.1458212685767796E-2</v>
      </c>
      <c r="G145" s="156">
        <f t="shared" si="40"/>
        <v>3.1218717909879751E-2</v>
      </c>
      <c r="H145" s="156">
        <f t="shared" si="40"/>
        <v>2.9966986459794624E-2</v>
      </c>
      <c r="I145" s="156">
        <f t="shared" si="40"/>
        <v>2.9395131351695563E-2</v>
      </c>
      <c r="J145" s="156">
        <f t="shared" si="40"/>
        <v>3.0372866352312327E-2</v>
      </c>
      <c r="K145" s="156">
        <f t="shared" si="40"/>
        <v>3.244000773911894E-2</v>
      </c>
      <c r="L145" s="156">
        <f t="shared" si="41"/>
        <v>3.4063146524086062E-2</v>
      </c>
      <c r="M145" s="156">
        <f t="shared" si="40"/>
        <v>3.2878408210717039E-2</v>
      </c>
      <c r="N145" s="156">
        <f t="shared" si="40"/>
        <v>3.3290456808541417E-2</v>
      </c>
      <c r="O145" s="156">
        <f t="shared" si="40"/>
        <v>3.3757197154603021E-2</v>
      </c>
      <c r="P145" s="156">
        <f t="shared" si="40"/>
        <v>3.4997920805386259E-2</v>
      </c>
      <c r="Q145" s="156">
        <f t="shared" si="40"/>
        <v>3.4208226845526796E-2</v>
      </c>
      <c r="R145" s="156">
        <f t="shared" si="40"/>
        <v>3.4134751368436279E-2</v>
      </c>
      <c r="S145" s="156">
        <f t="shared" si="40"/>
        <v>3.5044391159117026E-2</v>
      </c>
      <c r="T145" s="156">
        <f t="shared" si="40"/>
        <v>3.1564879932978233E-2</v>
      </c>
      <c r="U145" s="156">
        <f t="shared" si="40"/>
        <v>2.9142487789879309E-2</v>
      </c>
      <c r="V145" s="156">
        <f t="shared" si="40"/>
        <v>2.6785546070220205E-2</v>
      </c>
      <c r="W145" s="156">
        <f t="shared" si="42"/>
        <v>2.3417987518838099E-2</v>
      </c>
      <c r="DA145" s="213"/>
    </row>
    <row r="146" spans="1:105" ht="11.45" customHeight="1" x14ac:dyDescent="0.25">
      <c r="A146" s="157" t="s">
        <v>110</v>
      </c>
      <c r="B146" s="103">
        <f t="shared" si="40"/>
        <v>1.3146938402613881E-5</v>
      </c>
      <c r="C146" s="103">
        <f t="shared" si="40"/>
        <v>1.5428955927841863E-5</v>
      </c>
      <c r="D146" s="103">
        <f t="shared" si="40"/>
        <v>1.7625843705526665E-5</v>
      </c>
      <c r="E146" s="103">
        <f t="shared" si="40"/>
        <v>1.932020187031166E-5</v>
      </c>
      <c r="F146" s="103">
        <f t="shared" si="40"/>
        <v>1.7730033898067162E-5</v>
      </c>
      <c r="G146" s="103">
        <f t="shared" si="40"/>
        <v>1.895920623888656E-5</v>
      </c>
      <c r="H146" s="103">
        <f t="shared" si="40"/>
        <v>1.8989802625847418E-5</v>
      </c>
      <c r="I146" s="103">
        <f t="shared" si="40"/>
        <v>2.0231710107783474E-5</v>
      </c>
      <c r="J146" s="103">
        <f t="shared" si="40"/>
        <v>1.9893648306220198E-5</v>
      </c>
      <c r="K146" s="103">
        <f t="shared" si="40"/>
        <v>2.1225986423263446E-5</v>
      </c>
      <c r="L146" s="103">
        <f t="shared" si="41"/>
        <v>2.2601654693774711E-5</v>
      </c>
      <c r="M146" s="103">
        <f t="shared" si="40"/>
        <v>1.8190824430437557E-5</v>
      </c>
      <c r="N146" s="103">
        <f t="shared" si="40"/>
        <v>1.1106467423898093E-5</v>
      </c>
      <c r="O146" s="103">
        <f t="shared" si="40"/>
        <v>1.0274436779261265E-5</v>
      </c>
      <c r="P146" s="103">
        <f t="shared" si="40"/>
        <v>1.0439804800401878E-5</v>
      </c>
      <c r="Q146" s="103">
        <f t="shared" si="40"/>
        <v>1.5866951739888255E-5</v>
      </c>
      <c r="R146" s="103">
        <f t="shared" si="40"/>
        <v>1.9375448226669468E-5</v>
      </c>
      <c r="S146" s="103">
        <f t="shared" si="40"/>
        <v>1.7452910563654874E-5</v>
      </c>
      <c r="T146" s="103">
        <f t="shared" si="40"/>
        <v>1.5299629291289004E-5</v>
      </c>
      <c r="U146" s="103">
        <f t="shared" si="40"/>
        <v>6.7907597205274476E-5</v>
      </c>
      <c r="V146" s="103">
        <f t="shared" si="40"/>
        <v>6.4614169059295292E-5</v>
      </c>
      <c r="W146" s="103">
        <f t="shared" si="42"/>
        <v>7.1754838393198064E-5</v>
      </c>
      <c r="DA146" s="191"/>
    </row>
    <row r="147" spans="1:105" ht="11.45" customHeight="1" x14ac:dyDescent="0.25">
      <c r="A147" s="157" t="s">
        <v>111</v>
      </c>
      <c r="B147" s="103">
        <f t="shared" si="40"/>
        <v>3.6491733756195861E-2</v>
      </c>
      <c r="C147" s="103">
        <f t="shared" si="40"/>
        <v>3.5108775951744234E-2</v>
      </c>
      <c r="D147" s="103">
        <f t="shared" si="40"/>
        <v>3.391401653198476E-2</v>
      </c>
      <c r="E147" s="103">
        <f t="shared" si="40"/>
        <v>3.2497681256043985E-2</v>
      </c>
      <c r="F147" s="103">
        <f t="shared" si="40"/>
        <v>3.1288146052796922E-2</v>
      </c>
      <c r="G147" s="103">
        <f t="shared" si="40"/>
        <v>3.101158948397818E-2</v>
      </c>
      <c r="H147" s="103">
        <f t="shared" si="40"/>
        <v>2.9750458657144863E-2</v>
      </c>
      <c r="I147" s="103">
        <f t="shared" si="40"/>
        <v>2.9166014899614724E-2</v>
      </c>
      <c r="J147" s="103">
        <f t="shared" si="40"/>
        <v>3.0077359319623347E-2</v>
      </c>
      <c r="K147" s="103">
        <f t="shared" si="40"/>
        <v>3.1940279066364569E-2</v>
      </c>
      <c r="L147" s="103">
        <f t="shared" si="41"/>
        <v>3.3404381778176812E-2</v>
      </c>
      <c r="M147" s="103">
        <f t="shared" si="40"/>
        <v>3.1746831646164132E-2</v>
      </c>
      <c r="N147" s="103">
        <f t="shared" si="40"/>
        <v>3.2151432100024108E-2</v>
      </c>
      <c r="O147" s="103">
        <f t="shared" si="40"/>
        <v>3.2455270829183008E-2</v>
      </c>
      <c r="P147" s="103">
        <f t="shared" si="40"/>
        <v>3.3490523079762489E-2</v>
      </c>
      <c r="Q147" s="103">
        <f t="shared" si="40"/>
        <v>3.2308072971386693E-2</v>
      </c>
      <c r="R147" s="103">
        <f t="shared" ref="R147:V147" si="43">IF(R29=0,0,R29/R$17)</f>
        <v>3.0671870520133756E-2</v>
      </c>
      <c r="S147" s="103">
        <f t="shared" si="43"/>
        <v>3.084492687773872E-2</v>
      </c>
      <c r="T147" s="103">
        <f t="shared" si="43"/>
        <v>2.812940817780581E-2</v>
      </c>
      <c r="U147" s="103">
        <f t="shared" si="43"/>
        <v>2.5299263195936509E-2</v>
      </c>
      <c r="V147" s="103">
        <f t="shared" si="43"/>
        <v>2.2371858289793444E-2</v>
      </c>
      <c r="W147" s="103">
        <f t="shared" ref="W147" si="44">IF(W29=0,0,W29/W$17)</f>
        <v>1.877757202019292E-2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2.2193203969749894E-4</v>
      </c>
      <c r="C148" s="103">
        <f t="shared" si="45"/>
        <v>2.0654522478064585E-4</v>
      </c>
      <c r="D148" s="103">
        <f t="shared" si="45"/>
        <v>1.7621973819047687E-4</v>
      </c>
      <c r="E148" s="103">
        <f t="shared" si="45"/>
        <v>1.5751752240824381E-4</v>
      </c>
      <c r="F148" s="103">
        <f t="shared" si="45"/>
        <v>1.3262602288326055E-4</v>
      </c>
      <c r="G148" s="103">
        <f t="shared" si="45"/>
        <v>1.6161706028512576E-4</v>
      </c>
      <c r="H148" s="103">
        <f t="shared" si="45"/>
        <v>1.2918911706980178E-4</v>
      </c>
      <c r="I148" s="103">
        <f t="shared" si="45"/>
        <v>1.172791523606682E-4</v>
      </c>
      <c r="J148" s="103">
        <f t="shared" si="45"/>
        <v>1.1539773185233564E-4</v>
      </c>
      <c r="K148" s="103">
        <f t="shared" si="45"/>
        <v>1.136296967313733E-4</v>
      </c>
      <c r="L148" s="103">
        <f t="shared" ref="L148:L150" si="46">IF(L30=0,0,L30/L$17)</f>
        <v>1.1280176042671153E-4</v>
      </c>
      <c r="M148" s="103">
        <f t="shared" ref="M148:V148" si="47">IF(M30=0,0,M30/M$17)</f>
        <v>1.0858020857459543E-4</v>
      </c>
      <c r="N148" s="103">
        <f t="shared" si="47"/>
        <v>1.1056363658086032E-4</v>
      </c>
      <c r="O148" s="103">
        <f t="shared" si="47"/>
        <v>1.1567120213035236E-4</v>
      </c>
      <c r="P148" s="103">
        <f t="shared" si="47"/>
        <v>1.2429091304034208E-4</v>
      </c>
      <c r="Q148" s="103">
        <f t="shared" si="47"/>
        <v>1.267605115902887E-4</v>
      </c>
      <c r="R148" s="103">
        <f t="shared" si="47"/>
        <v>1.2648164483527175E-4</v>
      </c>
      <c r="S148" s="103">
        <f t="shared" si="47"/>
        <v>1.2413849943685974E-4</v>
      </c>
      <c r="T148" s="103">
        <f t="shared" si="47"/>
        <v>1.1702282452018002E-4</v>
      </c>
      <c r="U148" s="103">
        <f t="shared" si="47"/>
        <v>1.0740557425963746E-4</v>
      </c>
      <c r="V148" s="103">
        <f t="shared" si="47"/>
        <v>1.0388243830548546E-4</v>
      </c>
      <c r="W148" s="103">
        <f t="shared" ref="W148" si="48">IF(W30=0,0,W30/W$17)</f>
        <v>1.016478413215386E-4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1.1559576921806584E-5</v>
      </c>
      <c r="C149" s="103">
        <f t="shared" si="49"/>
        <v>1.8022938439423407E-5</v>
      </c>
      <c r="D149" s="103">
        <f t="shared" si="49"/>
        <v>2.880237383673716E-5</v>
      </c>
      <c r="E149" s="103">
        <f t="shared" si="49"/>
        <v>2.9076924545340244E-5</v>
      </c>
      <c r="F149" s="103">
        <f t="shared" si="49"/>
        <v>1.9710576189548604E-5</v>
      </c>
      <c r="G149" s="103">
        <f t="shared" si="49"/>
        <v>2.6552159377554651E-5</v>
      </c>
      <c r="H149" s="103">
        <f t="shared" si="49"/>
        <v>6.8348882954108987E-5</v>
      </c>
      <c r="I149" s="103">
        <f t="shared" si="49"/>
        <v>9.1605589612389811E-5</v>
      </c>
      <c r="J149" s="103">
        <f t="shared" si="49"/>
        <v>1.6021565253042101E-4</v>
      </c>
      <c r="K149" s="103">
        <f t="shared" si="49"/>
        <v>3.6487298959972972E-4</v>
      </c>
      <c r="L149" s="103">
        <f t="shared" si="46"/>
        <v>5.2336133078876364E-4</v>
      </c>
      <c r="M149" s="103">
        <f t="shared" ref="M149:V149" si="50">IF(M31=0,0,M31/M$17)</f>
        <v>1.0048055315478696E-3</v>
      </c>
      <c r="N149" s="103">
        <f t="shared" si="50"/>
        <v>1.0173546045125529E-3</v>
      </c>
      <c r="O149" s="103">
        <f t="shared" si="50"/>
        <v>1.1759806865103977E-3</v>
      </c>
      <c r="P149" s="103">
        <f t="shared" si="50"/>
        <v>1.3726670077830296E-3</v>
      </c>
      <c r="Q149" s="103">
        <f t="shared" si="50"/>
        <v>1.7575264108099242E-3</v>
      </c>
      <c r="R149" s="103">
        <f t="shared" si="50"/>
        <v>3.3170237552405863E-3</v>
      </c>
      <c r="S149" s="103">
        <f t="shared" si="50"/>
        <v>4.0578728713777899E-3</v>
      </c>
      <c r="T149" s="103">
        <f t="shared" si="50"/>
        <v>3.3031493013609566E-3</v>
      </c>
      <c r="U149" s="103">
        <f t="shared" si="50"/>
        <v>3.6679114224778867E-3</v>
      </c>
      <c r="V149" s="103">
        <f t="shared" si="50"/>
        <v>4.2451911730619759E-3</v>
      </c>
      <c r="W149" s="103">
        <f t="shared" ref="W149" si="51">IF(W31=0,0,W31/W$17)</f>
        <v>4.4670128189304463E-3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0.39516155465843017</v>
      </c>
      <c r="C151" s="46">
        <f t="shared" si="55"/>
        <v>0.39512782878659808</v>
      </c>
      <c r="D151" s="46">
        <f t="shared" si="55"/>
        <v>0.39824663332675098</v>
      </c>
      <c r="E151" s="46">
        <f t="shared" si="55"/>
        <v>0.40600787196603472</v>
      </c>
      <c r="F151" s="46">
        <f t="shared" si="55"/>
        <v>0.4134488246586091</v>
      </c>
      <c r="G151" s="46">
        <f t="shared" si="55"/>
        <v>0.41414586564719652</v>
      </c>
      <c r="H151" s="46">
        <f t="shared" si="55"/>
        <v>0.41765287454976735</v>
      </c>
      <c r="I151" s="46">
        <f t="shared" si="55"/>
        <v>0.41418993655806002</v>
      </c>
      <c r="J151" s="46">
        <f t="shared" si="55"/>
        <v>0.41747610065089491</v>
      </c>
      <c r="K151" s="46">
        <f t="shared" si="55"/>
        <v>0.39797846920942131</v>
      </c>
      <c r="L151" s="46">
        <f t="shared" ref="L151" si="56">IF(L33=0,0,L33/L$17)</f>
        <v>0.40681867149489265</v>
      </c>
      <c r="M151" s="46">
        <f t="shared" ref="M151:V151" si="57">IF(M33=0,0,M33/M$17)</f>
        <v>0.4121215890764785</v>
      </c>
      <c r="N151" s="46">
        <f t="shared" si="57"/>
        <v>0.41150981098676886</v>
      </c>
      <c r="O151" s="46">
        <f t="shared" si="57"/>
        <v>0.39664410940313072</v>
      </c>
      <c r="P151" s="46">
        <f t="shared" si="57"/>
        <v>0.36525575070515121</v>
      </c>
      <c r="Q151" s="46">
        <f t="shared" si="57"/>
        <v>0.37146160584391275</v>
      </c>
      <c r="R151" s="46">
        <f t="shared" si="57"/>
        <v>0.36906134075274682</v>
      </c>
      <c r="S151" s="46">
        <f t="shared" si="57"/>
        <v>0.38322581160926128</v>
      </c>
      <c r="T151" s="46">
        <f t="shared" si="57"/>
        <v>0.39800285684255071</v>
      </c>
      <c r="U151" s="46">
        <f t="shared" si="57"/>
        <v>0.40246683484724122</v>
      </c>
      <c r="V151" s="46">
        <f t="shared" si="57"/>
        <v>0.44258802861752783</v>
      </c>
      <c r="W151" s="46">
        <f t="shared" ref="W151" si="58">IF(W33=0,0,W33/W$17)</f>
        <v>0.4170801331258786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0.17938850969955364</v>
      </c>
      <c r="C152" s="154">
        <f t="shared" si="59"/>
        <v>0.18463444098822657</v>
      </c>
      <c r="D152" s="154">
        <f t="shared" si="59"/>
        <v>0.18487688605204924</v>
      </c>
      <c r="E152" s="154">
        <f t="shared" si="59"/>
        <v>0.1885376661371154</v>
      </c>
      <c r="F152" s="154">
        <f t="shared" si="59"/>
        <v>0.19428223973265427</v>
      </c>
      <c r="G152" s="154">
        <f t="shared" si="59"/>
        <v>0.19497675483880325</v>
      </c>
      <c r="H152" s="154">
        <f t="shared" si="59"/>
        <v>0.18762622311726196</v>
      </c>
      <c r="I152" s="154">
        <f t="shared" si="59"/>
        <v>0.18644869275120821</v>
      </c>
      <c r="J152" s="154">
        <f t="shared" si="59"/>
        <v>0.18838598869581344</v>
      </c>
      <c r="K152" s="154">
        <f t="shared" si="59"/>
        <v>0.18282886457336206</v>
      </c>
      <c r="L152" s="154">
        <f t="shared" ref="L152" si="60">IF(L34=0,0,L34/L$17)</f>
        <v>0.18616355333552631</v>
      </c>
      <c r="M152" s="154">
        <f t="shared" ref="M152:V152" si="61">IF(M34=0,0,M34/M$17)</f>
        <v>0.1866185170758001</v>
      </c>
      <c r="N152" s="154">
        <f t="shared" si="61"/>
        <v>0.18425966231913354</v>
      </c>
      <c r="O152" s="154">
        <f t="shared" si="61"/>
        <v>0.18689594373655316</v>
      </c>
      <c r="P152" s="154">
        <f t="shared" si="61"/>
        <v>0.19221552180132703</v>
      </c>
      <c r="Q152" s="154">
        <f t="shared" si="61"/>
        <v>0.19822029668108593</v>
      </c>
      <c r="R152" s="154">
        <f t="shared" si="61"/>
        <v>0.19958538064474979</v>
      </c>
      <c r="S152" s="154">
        <f t="shared" si="61"/>
        <v>0.19166750742302613</v>
      </c>
      <c r="T152" s="154">
        <f t="shared" si="61"/>
        <v>0.18341737408421641</v>
      </c>
      <c r="U152" s="154">
        <f t="shared" si="61"/>
        <v>0.18164565348565914</v>
      </c>
      <c r="V152" s="154">
        <f t="shared" si="61"/>
        <v>0.20696622335054496</v>
      </c>
      <c r="W152" s="154">
        <f t="shared" ref="W152" si="62">IF(W34=0,0,W34/W$17)</f>
        <v>0.20777974241025965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6.8024835946926491E-3</v>
      </c>
      <c r="C153" s="103">
        <f t="shared" si="63"/>
        <v>6.1634144532839051E-3</v>
      </c>
      <c r="D153" s="103">
        <f t="shared" si="63"/>
        <v>5.3200103016672615E-3</v>
      </c>
      <c r="E153" s="103">
        <f t="shared" si="63"/>
        <v>4.7027013603731498E-3</v>
      </c>
      <c r="F153" s="103">
        <f t="shared" si="63"/>
        <v>4.2719147605664066E-3</v>
      </c>
      <c r="G153" s="103">
        <f t="shared" si="63"/>
        <v>4.0297534510591298E-3</v>
      </c>
      <c r="H153" s="103">
        <f t="shared" si="63"/>
        <v>3.4865835480551465E-3</v>
      </c>
      <c r="I153" s="103">
        <f t="shared" si="63"/>
        <v>3.2457393580862231E-3</v>
      </c>
      <c r="J153" s="103">
        <f t="shared" si="63"/>
        <v>3.0127133064569932E-3</v>
      </c>
      <c r="K153" s="103">
        <f t="shared" si="63"/>
        <v>2.8573603594229369E-3</v>
      </c>
      <c r="L153" s="103">
        <f t="shared" ref="L153" si="64">IF(L35=0,0,L35/L$17)</f>
        <v>2.633357818129112E-3</v>
      </c>
      <c r="M153" s="103">
        <f t="shared" ref="M153:V153" si="65">IF(M35=0,0,M35/M$17)</f>
        <v>2.4534649260226629E-3</v>
      </c>
      <c r="N153" s="103">
        <f t="shared" si="65"/>
        <v>2.3883473641553971E-3</v>
      </c>
      <c r="O153" s="103">
        <f t="shared" si="65"/>
        <v>2.2481075364208015E-3</v>
      </c>
      <c r="P153" s="103">
        <f t="shared" si="65"/>
        <v>2.4138591603585901E-3</v>
      </c>
      <c r="Q153" s="103">
        <f t="shared" si="65"/>
        <v>2.3483395250935785E-3</v>
      </c>
      <c r="R153" s="103">
        <f t="shared" si="65"/>
        <v>2.3205129288121746E-3</v>
      </c>
      <c r="S153" s="103">
        <f t="shared" si="65"/>
        <v>2.2113271134260584E-3</v>
      </c>
      <c r="T153" s="103">
        <f t="shared" si="65"/>
        <v>2.0493727946336122E-3</v>
      </c>
      <c r="U153" s="103">
        <f t="shared" si="65"/>
        <v>2.2098212023151718E-3</v>
      </c>
      <c r="V153" s="103">
        <f t="shared" si="65"/>
        <v>2.5443125323433929E-3</v>
      </c>
      <c r="W153" s="103">
        <f t="shared" ref="W153" si="66">IF(W35=0,0,W35/W$17)</f>
        <v>2.5381625164484856E-3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0.16873536389043217</v>
      </c>
      <c r="C154" s="103">
        <f t="shared" si="67"/>
        <v>0.17466005877143226</v>
      </c>
      <c r="D154" s="103">
        <f t="shared" si="67"/>
        <v>0.17597208289927396</v>
      </c>
      <c r="E154" s="103">
        <f t="shared" si="67"/>
        <v>0.18044455168342399</v>
      </c>
      <c r="F154" s="103">
        <f t="shared" si="67"/>
        <v>0.18676272583618261</v>
      </c>
      <c r="G154" s="103">
        <f t="shared" si="67"/>
        <v>0.1881777968657084</v>
      </c>
      <c r="H154" s="103">
        <f t="shared" si="67"/>
        <v>0.18164808475969155</v>
      </c>
      <c r="I154" s="103">
        <f t="shared" si="67"/>
        <v>0.18062644230421829</v>
      </c>
      <c r="J154" s="103">
        <f t="shared" si="67"/>
        <v>0.18280461500645692</v>
      </c>
      <c r="K154" s="103">
        <f t="shared" si="67"/>
        <v>0.17734320925160221</v>
      </c>
      <c r="L154" s="103">
        <f t="shared" ref="L154" si="68">IF(L36=0,0,L36/L$17)</f>
        <v>0.18094600466141669</v>
      </c>
      <c r="M154" s="103">
        <f t="shared" ref="M154:V154" si="69">IF(M36=0,0,M36/M$17)</f>
        <v>0.18157700803953583</v>
      </c>
      <c r="N154" s="103">
        <f t="shared" si="69"/>
        <v>0.17921981417913901</v>
      </c>
      <c r="O154" s="103">
        <f t="shared" si="69"/>
        <v>0.18184623343967679</v>
      </c>
      <c r="P154" s="103">
        <f t="shared" si="69"/>
        <v>0.18670557789938036</v>
      </c>
      <c r="Q154" s="103">
        <f t="shared" si="69"/>
        <v>0.1928019661230673</v>
      </c>
      <c r="R154" s="103">
        <f t="shared" si="69"/>
        <v>0.19435686394522775</v>
      </c>
      <c r="S154" s="103">
        <f t="shared" si="69"/>
        <v>0.186561089539485</v>
      </c>
      <c r="T154" s="103">
        <f t="shared" si="69"/>
        <v>0.17833045009132784</v>
      </c>
      <c r="U154" s="103">
        <f t="shared" si="69"/>
        <v>0.17619731779347025</v>
      </c>
      <c r="V154" s="103">
        <f t="shared" si="69"/>
        <v>0.20071206356415058</v>
      </c>
      <c r="W154" s="103">
        <f t="shared" ref="W154" si="70">IF(W36=0,0,W36/W$17)</f>
        <v>0.20193019545969418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3.8506622144288323E-3</v>
      </c>
      <c r="C155" s="103">
        <f t="shared" si="71"/>
        <v>3.8109677635104E-3</v>
      </c>
      <c r="D155" s="103">
        <f t="shared" si="71"/>
        <v>3.5847928511080294E-3</v>
      </c>
      <c r="E155" s="103">
        <f t="shared" si="71"/>
        <v>3.3802022787551454E-3</v>
      </c>
      <c r="F155" s="103">
        <f t="shared" si="71"/>
        <v>3.2194075480861369E-3</v>
      </c>
      <c r="G155" s="103">
        <f t="shared" si="71"/>
        <v>2.7435104683158906E-3</v>
      </c>
      <c r="H155" s="103">
        <f t="shared" si="71"/>
        <v>2.4671992890993619E-3</v>
      </c>
      <c r="I155" s="103">
        <f t="shared" si="71"/>
        <v>2.5191450252553898E-3</v>
      </c>
      <c r="J155" s="103">
        <f t="shared" si="71"/>
        <v>2.5114117115035278E-3</v>
      </c>
      <c r="K155" s="103">
        <f t="shared" si="71"/>
        <v>2.5360294719642034E-3</v>
      </c>
      <c r="L155" s="103">
        <f t="shared" ref="L155" si="72">IF(L37=0,0,L37/L$17)</f>
        <v>2.4581219418914435E-3</v>
      </c>
      <c r="M155" s="103">
        <f t="shared" ref="M155:V155" si="73">IF(M37=0,0,M37/M$17)</f>
        <v>2.4282239757784795E-3</v>
      </c>
      <c r="N155" s="103">
        <f t="shared" si="73"/>
        <v>2.4661084017791684E-3</v>
      </c>
      <c r="O155" s="103">
        <f t="shared" si="73"/>
        <v>2.5706420097155471E-3</v>
      </c>
      <c r="P155" s="103">
        <f t="shared" si="73"/>
        <v>2.8035649627285364E-3</v>
      </c>
      <c r="Q155" s="103">
        <f t="shared" si="73"/>
        <v>2.7569326353087172E-3</v>
      </c>
      <c r="R155" s="103">
        <f t="shared" si="73"/>
        <v>2.7283708119712857E-3</v>
      </c>
      <c r="S155" s="103">
        <f t="shared" si="73"/>
        <v>2.6522798230898164E-3</v>
      </c>
      <c r="T155" s="103">
        <f t="shared" si="73"/>
        <v>2.6037683636519352E-3</v>
      </c>
      <c r="U155" s="103">
        <f t="shared" si="73"/>
        <v>2.7792625275975154E-3</v>
      </c>
      <c r="V155" s="103">
        <f t="shared" si="73"/>
        <v>3.1765852272147188E-3</v>
      </c>
      <c r="W155" s="103">
        <f t="shared" ref="W155" si="74">IF(W37=0,0,W37/W$17)</f>
        <v>2.8054954168589903E-3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1.0210814563097285E-5</v>
      </c>
      <c r="F156" s="103">
        <f t="shared" si="75"/>
        <v>2.819158781906616E-5</v>
      </c>
      <c r="G156" s="103">
        <f t="shared" si="75"/>
        <v>2.5694053719839719E-5</v>
      </c>
      <c r="H156" s="103">
        <f t="shared" si="75"/>
        <v>2.435552041589365E-5</v>
      </c>
      <c r="I156" s="103">
        <f t="shared" si="75"/>
        <v>5.7366063648269692E-5</v>
      </c>
      <c r="J156" s="103">
        <f t="shared" si="75"/>
        <v>5.7248671395967486E-5</v>
      </c>
      <c r="K156" s="103">
        <f t="shared" si="75"/>
        <v>9.2265490372695112E-5</v>
      </c>
      <c r="L156" s="103">
        <f t="shared" ref="L156" si="76">IF(L38=0,0,L38/L$17)</f>
        <v>1.2606891408905053E-4</v>
      </c>
      <c r="M156" s="103">
        <f t="shared" ref="M156:V156" si="77">IF(M38=0,0,M38/M$17)</f>
        <v>1.5982013446308674E-4</v>
      </c>
      <c r="N156" s="103">
        <f t="shared" si="77"/>
        <v>1.8539237405997014E-4</v>
      </c>
      <c r="O156" s="103">
        <f t="shared" si="77"/>
        <v>2.3096075074002508E-4</v>
      </c>
      <c r="P156" s="103">
        <f t="shared" si="77"/>
        <v>2.9251977885955962E-4</v>
      </c>
      <c r="Q156" s="103">
        <f t="shared" si="77"/>
        <v>3.1305839761632253E-4</v>
      </c>
      <c r="R156" s="103">
        <f t="shared" si="77"/>
        <v>1.796329587385433E-4</v>
      </c>
      <c r="S156" s="103">
        <f t="shared" si="77"/>
        <v>2.4281094702523852E-4</v>
      </c>
      <c r="T156" s="103">
        <f t="shared" si="77"/>
        <v>4.3378283460300602E-4</v>
      </c>
      <c r="U156" s="103">
        <f t="shared" si="77"/>
        <v>4.5925196227618038E-4</v>
      </c>
      <c r="V156" s="103">
        <f t="shared" si="77"/>
        <v>5.332620268362555E-4</v>
      </c>
      <c r="W156" s="103">
        <f t="shared" ref="W156" si="78">IF(W38=0,0,W38/W$17)</f>
        <v>5.058890172580055E-4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0.21577304495887648</v>
      </c>
      <c r="C158" s="156">
        <f t="shared" si="83"/>
        <v>0.21049338779837151</v>
      </c>
      <c r="D158" s="156">
        <f t="shared" si="83"/>
        <v>0.21336974727470173</v>
      </c>
      <c r="E158" s="156">
        <f t="shared" si="83"/>
        <v>0.21747020582891929</v>
      </c>
      <c r="F158" s="156">
        <f t="shared" si="83"/>
        <v>0.21916658492595484</v>
      </c>
      <c r="G158" s="156">
        <f t="shared" si="83"/>
        <v>0.21916911080839332</v>
      </c>
      <c r="H158" s="156">
        <f t="shared" si="83"/>
        <v>0.23002665143250539</v>
      </c>
      <c r="I158" s="156">
        <f t="shared" si="83"/>
        <v>0.22774124380685179</v>
      </c>
      <c r="J158" s="156">
        <f t="shared" si="83"/>
        <v>0.22909011195508147</v>
      </c>
      <c r="K158" s="156">
        <f t="shared" si="83"/>
        <v>0.21514960463605926</v>
      </c>
      <c r="L158" s="156">
        <f t="shared" ref="L158" si="84">IF(L40=0,0,L40/L$17)</f>
        <v>0.22065511815936628</v>
      </c>
      <c r="M158" s="156">
        <f t="shared" ref="M158:V158" si="85">IF(M40=0,0,M40/M$17)</f>
        <v>0.2255030720006784</v>
      </c>
      <c r="N158" s="156">
        <f t="shared" si="85"/>
        <v>0.22725014866763532</v>
      </c>
      <c r="O158" s="156">
        <f t="shared" si="85"/>
        <v>0.20974816566657756</v>
      </c>
      <c r="P158" s="156">
        <f t="shared" si="85"/>
        <v>0.17304022890382417</v>
      </c>
      <c r="Q158" s="156">
        <f t="shared" si="85"/>
        <v>0.17324130916282679</v>
      </c>
      <c r="R158" s="156">
        <f t="shared" si="85"/>
        <v>0.16947596010799709</v>
      </c>
      <c r="S158" s="156">
        <f t="shared" si="85"/>
        <v>0.19155830418623518</v>
      </c>
      <c r="T158" s="156">
        <f t="shared" si="85"/>
        <v>0.21458548275833425</v>
      </c>
      <c r="U158" s="156">
        <f t="shared" si="85"/>
        <v>0.2208211813615821</v>
      </c>
      <c r="V158" s="156">
        <f t="shared" si="85"/>
        <v>0.23562180526698281</v>
      </c>
      <c r="W158" s="156">
        <f t="shared" ref="W158" si="86">IF(W40=0,0,W40/W$17)</f>
        <v>0.20930039071561898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0.17669478185490176</v>
      </c>
      <c r="C159" s="103">
        <f t="shared" si="87"/>
        <v>0.16989778356414528</v>
      </c>
      <c r="D159" s="103">
        <f t="shared" si="87"/>
        <v>0.17222360119569094</v>
      </c>
      <c r="E159" s="103">
        <f t="shared" si="87"/>
        <v>0.17610641126386622</v>
      </c>
      <c r="F159" s="103">
        <f t="shared" si="87"/>
        <v>0.17093425513185309</v>
      </c>
      <c r="G159" s="103">
        <f t="shared" si="87"/>
        <v>0.16946055019200529</v>
      </c>
      <c r="H159" s="103">
        <f t="shared" si="87"/>
        <v>0.17537533227732602</v>
      </c>
      <c r="I159" s="103">
        <f t="shared" si="87"/>
        <v>0.17126082478447502</v>
      </c>
      <c r="J159" s="103">
        <f t="shared" si="87"/>
        <v>0.17151073759879662</v>
      </c>
      <c r="K159" s="103">
        <f t="shared" si="87"/>
        <v>0.16398760469521098</v>
      </c>
      <c r="L159" s="103">
        <f t="shared" ref="L159" si="88">IF(L41=0,0,L41/L$17)</f>
        <v>0.15921006298817558</v>
      </c>
      <c r="M159" s="103">
        <f t="shared" ref="M159:V159" si="89">IF(M41=0,0,M41/M$17)</f>
        <v>0.16471306339369723</v>
      </c>
      <c r="N159" s="103">
        <f t="shared" si="89"/>
        <v>0.16441860877201772</v>
      </c>
      <c r="O159" s="103">
        <f t="shared" si="89"/>
        <v>0.15187361037815061</v>
      </c>
      <c r="P159" s="103">
        <f t="shared" si="89"/>
        <v>0.12479391909064202</v>
      </c>
      <c r="Q159" s="103">
        <f t="shared" si="89"/>
        <v>0.12473772132429518</v>
      </c>
      <c r="R159" s="103">
        <f t="shared" si="89"/>
        <v>0.12078733060802621</v>
      </c>
      <c r="S159" s="103">
        <f t="shared" si="89"/>
        <v>0.13382953134584064</v>
      </c>
      <c r="T159" s="103">
        <f t="shared" si="89"/>
        <v>0.15153283116433361</v>
      </c>
      <c r="U159" s="103">
        <f t="shared" si="89"/>
        <v>0.15449175296703041</v>
      </c>
      <c r="V159" s="103">
        <f t="shared" si="89"/>
        <v>0.16390116406387301</v>
      </c>
      <c r="W159" s="103">
        <f t="shared" ref="W159" si="90">IF(W41=0,0,W41/W$17)</f>
        <v>0.14773507205838185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3.9078263103974734E-2</v>
      </c>
      <c r="C160" s="105">
        <f t="shared" si="91"/>
        <v>4.0595604234226229E-2</v>
      </c>
      <c r="D160" s="105">
        <f t="shared" si="91"/>
        <v>4.1146146079010806E-2</v>
      </c>
      <c r="E160" s="105">
        <f t="shared" si="91"/>
        <v>4.1363794565053083E-2</v>
      </c>
      <c r="F160" s="105">
        <f t="shared" si="91"/>
        <v>4.823232979410174E-2</v>
      </c>
      <c r="G160" s="105">
        <f t="shared" si="91"/>
        <v>4.9708560616388051E-2</v>
      </c>
      <c r="H160" s="105">
        <f t="shared" si="91"/>
        <v>5.4651319155179373E-2</v>
      </c>
      <c r="I160" s="105">
        <f t="shared" si="91"/>
        <v>5.6480419022376736E-2</v>
      </c>
      <c r="J160" s="105">
        <f t="shared" si="91"/>
        <v>5.7579374356284858E-2</v>
      </c>
      <c r="K160" s="105">
        <f t="shared" si="91"/>
        <v>5.116199994084826E-2</v>
      </c>
      <c r="L160" s="105">
        <f t="shared" ref="L160" si="92">IF(L42=0,0,L42/L$17)</f>
        <v>6.1445055171190713E-2</v>
      </c>
      <c r="M160" s="105">
        <f t="shared" ref="M160:V160" si="93">IF(M42=0,0,M42/M$17)</f>
        <v>6.0790008606981166E-2</v>
      </c>
      <c r="N160" s="105">
        <f t="shared" si="93"/>
        <v>6.28315398956176E-2</v>
      </c>
      <c r="O160" s="105">
        <f t="shared" si="93"/>
        <v>5.7874555288426957E-2</v>
      </c>
      <c r="P160" s="105">
        <f t="shared" si="93"/>
        <v>4.8246309813182162E-2</v>
      </c>
      <c r="Q160" s="105">
        <f t="shared" si="93"/>
        <v>4.8503587838531606E-2</v>
      </c>
      <c r="R160" s="105">
        <f t="shared" si="93"/>
        <v>4.8688629499970881E-2</v>
      </c>
      <c r="S160" s="105">
        <f t="shared" si="93"/>
        <v>5.7728772840394529E-2</v>
      </c>
      <c r="T160" s="105">
        <f t="shared" si="93"/>
        <v>6.3052651594000655E-2</v>
      </c>
      <c r="U160" s="105">
        <f t="shared" si="93"/>
        <v>6.6329428394551693E-2</v>
      </c>
      <c r="V160" s="105">
        <f t="shared" si="93"/>
        <v>7.1720641203109836E-2</v>
      </c>
      <c r="W160" s="105">
        <f t="shared" ref="W160" si="94">IF(W42=0,0,W42/W$17)</f>
        <v>6.1565318657237134E-2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8134947</v>
      </c>
      <c r="C3" s="54">
        <f>TrRoad_act!C57</f>
        <v>8388448</v>
      </c>
      <c r="D3" s="54">
        <f>TrRoad_act!D57</f>
        <v>8639793</v>
      </c>
      <c r="E3" s="54">
        <f>TrRoad_act!E57</f>
        <v>8833702</v>
      </c>
      <c r="F3" s="54">
        <f>TrRoad_act!F57</f>
        <v>8926982</v>
      </c>
      <c r="G3" s="54">
        <f>TrRoad_act!G57</f>
        <v>9112900</v>
      </c>
      <c r="H3" s="54">
        <f>TrRoad_act!H57</f>
        <v>9348354</v>
      </c>
      <c r="I3" s="54">
        <f>TrRoad_act!I57</f>
        <v>9573112</v>
      </c>
      <c r="J3" s="54">
        <f>TrRoad_act!J57</f>
        <v>9855793</v>
      </c>
      <c r="K3" s="54">
        <f>TrRoad_act!K57</f>
        <v>10124735</v>
      </c>
      <c r="L3" s="54">
        <f>TrRoad_act!L57</f>
        <v>10286701</v>
      </c>
      <c r="M3" s="54">
        <f>TrRoad_act!M57</f>
        <v>10430594</v>
      </c>
      <c r="N3" s="54">
        <f>TrRoad_act!N57</f>
        <v>10572681</v>
      </c>
      <c r="O3" s="54">
        <f>TrRoad_act!O57</f>
        <v>10609470</v>
      </c>
      <c r="P3" s="54">
        <f>TrRoad_act!P57</f>
        <v>10644810</v>
      </c>
      <c r="Q3" s="54">
        <f>TrRoad_act!Q57</f>
        <v>10853946</v>
      </c>
      <c r="R3" s="54">
        <f>TrRoad_act!R57</f>
        <v>11036122</v>
      </c>
      <c r="S3" s="54">
        <f>TrRoad_act!S57</f>
        <v>11258139</v>
      </c>
      <c r="T3" s="54">
        <f>TrRoad_act!T57</f>
        <v>11372607</v>
      </c>
      <c r="U3" s="54">
        <f>TrRoad_act!U57</f>
        <v>11685676</v>
      </c>
      <c r="V3" s="54">
        <f>TrRoad_act!V57</f>
        <v>11886303</v>
      </c>
      <c r="W3" s="54">
        <f>TrRoad_act!W57</f>
        <v>11826406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7325168</v>
      </c>
      <c r="C4" s="28">
        <f>TrRoad_act!C58</f>
        <v>7515231</v>
      </c>
      <c r="D4" s="28">
        <f>TrRoad_act!D58</f>
        <v>7724371</v>
      </c>
      <c r="E4" s="28">
        <f>TrRoad_act!E58</f>
        <v>7881896</v>
      </c>
      <c r="F4" s="28">
        <f>TrRoad_act!F58</f>
        <v>7959168</v>
      </c>
      <c r="G4" s="28">
        <f>TrRoad_act!G58</f>
        <v>8116154</v>
      </c>
      <c r="H4" s="28">
        <f>TrRoad_act!H58</f>
        <v>8382991</v>
      </c>
      <c r="I4" s="28">
        <f>TrRoad_act!I58</f>
        <v>8612635</v>
      </c>
      <c r="J4" s="28">
        <f>TrRoad_act!J58</f>
        <v>8882470</v>
      </c>
      <c r="K4" s="28">
        <f>TrRoad_act!K58</f>
        <v>9132806</v>
      </c>
      <c r="L4" s="28">
        <f>TrRoad_act!L58</f>
        <v>9298282</v>
      </c>
      <c r="M4" s="28">
        <f>TrRoad_act!M58</f>
        <v>9455495</v>
      </c>
      <c r="N4" s="28">
        <f>TrRoad_act!N58</f>
        <v>9608186</v>
      </c>
      <c r="O4" s="28">
        <f>TrRoad_act!O58</f>
        <v>9682046</v>
      </c>
      <c r="P4" s="28">
        <f>TrRoad_act!P58</f>
        <v>9719343</v>
      </c>
      <c r="Q4" s="28">
        <f>TrRoad_act!Q58</f>
        <v>9913838</v>
      </c>
      <c r="R4" s="28">
        <f>TrRoad_act!R58</f>
        <v>10066703</v>
      </c>
      <c r="S4" s="28">
        <f>TrRoad_act!S58</f>
        <v>10256227</v>
      </c>
      <c r="T4" s="28">
        <f>TrRoad_act!T58</f>
        <v>10348814</v>
      </c>
      <c r="U4" s="28">
        <f>TrRoad_act!U58</f>
        <v>10617901</v>
      </c>
      <c r="V4" s="28">
        <f>TrRoad_act!V58</f>
        <v>10797225</v>
      </c>
      <c r="W4" s="28">
        <f>TrRoad_act!W58</f>
        <v>10725212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970798</v>
      </c>
      <c r="C5" s="137">
        <f>TrRoad_act!C59</f>
        <v>964822</v>
      </c>
      <c r="D5" s="137">
        <f>TrRoad_act!D59</f>
        <v>1002450</v>
      </c>
      <c r="E5" s="137">
        <f>TrRoad_act!E59</f>
        <v>1015567</v>
      </c>
      <c r="F5" s="137">
        <f>TrRoad_act!F59</f>
        <v>1038934</v>
      </c>
      <c r="G5" s="137">
        <f>TrRoad_act!G59</f>
        <v>1112949</v>
      </c>
      <c r="H5" s="137">
        <f>TrRoad_act!H59</f>
        <v>1279703</v>
      </c>
      <c r="I5" s="137">
        <f>TrRoad_act!I59</f>
        <v>1371612</v>
      </c>
      <c r="J5" s="137">
        <f>TrRoad_act!J59</f>
        <v>1479476</v>
      </c>
      <c r="K5" s="137">
        <f>TrRoad_act!K59</f>
        <v>1579143</v>
      </c>
      <c r="L5" s="137">
        <f>TrRoad_act!L59</f>
        <v>1664295</v>
      </c>
      <c r="M5" s="137">
        <f>TrRoad_act!M59</f>
        <v>1708671</v>
      </c>
      <c r="N5" s="137">
        <f>TrRoad_act!N59</f>
        <v>1738488</v>
      </c>
      <c r="O5" s="137">
        <f>TrRoad_act!O59</f>
        <v>1755969</v>
      </c>
      <c r="P5" s="137">
        <f>TrRoad_act!P59</f>
        <v>1777131</v>
      </c>
      <c r="Q5" s="137">
        <f>TrRoad_act!Q59</f>
        <v>1803377</v>
      </c>
      <c r="R5" s="137">
        <f>TrRoad_act!R59</f>
        <v>1834291</v>
      </c>
      <c r="S5" s="137">
        <f>TrRoad_act!S59</f>
        <v>1873161</v>
      </c>
      <c r="T5" s="137">
        <f>TrRoad_act!T59</f>
        <v>1895918</v>
      </c>
      <c r="U5" s="137">
        <f>TrRoad_act!U59</f>
        <v>1929268</v>
      </c>
      <c r="V5" s="137">
        <f>TrRoad_act!V59</f>
        <v>1993077</v>
      </c>
      <c r="W5" s="137">
        <f>TrRoad_act!W59</f>
        <v>1887312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6343164</v>
      </c>
      <c r="C6" s="110">
        <f>TrRoad_act!C60</f>
        <v>6539040</v>
      </c>
      <c r="D6" s="110">
        <f>TrRoad_act!D60</f>
        <v>6710595</v>
      </c>
      <c r="E6" s="110">
        <f>TrRoad_act!E60</f>
        <v>6854947</v>
      </c>
      <c r="F6" s="110">
        <f>TrRoad_act!F60</f>
        <v>6908890</v>
      </c>
      <c r="G6" s="110">
        <f>TrRoad_act!G60</f>
        <v>6991974</v>
      </c>
      <c r="H6" s="110">
        <f>TrRoad_act!H60</f>
        <v>7092293</v>
      </c>
      <c r="I6" s="110">
        <f>TrRoad_act!I60</f>
        <v>7230178</v>
      </c>
      <c r="J6" s="110">
        <f>TrRoad_act!J60</f>
        <v>7391903</v>
      </c>
      <c r="K6" s="110">
        <f>TrRoad_act!K60</f>
        <v>7542331</v>
      </c>
      <c r="L6" s="110">
        <f>TrRoad_act!L60</f>
        <v>7622353</v>
      </c>
      <c r="M6" s="110">
        <f>TrRoad_act!M60</f>
        <v>7735547</v>
      </c>
      <c r="N6" s="110">
        <f>TrRoad_act!N60</f>
        <v>7858712</v>
      </c>
      <c r="O6" s="110">
        <f>TrRoad_act!O60</f>
        <v>7915613</v>
      </c>
      <c r="P6" s="110">
        <f>TrRoad_act!P60</f>
        <v>7932290</v>
      </c>
      <c r="Q6" s="110">
        <f>TrRoad_act!Q60</f>
        <v>8100864</v>
      </c>
      <c r="R6" s="110">
        <f>TrRoad_act!R60</f>
        <v>8223001</v>
      </c>
      <c r="S6" s="110">
        <f>TrRoad_act!S60</f>
        <v>8373244</v>
      </c>
      <c r="T6" s="110">
        <f>TrRoad_act!T60</f>
        <v>8442982</v>
      </c>
      <c r="U6" s="110">
        <f>TrRoad_act!U60</f>
        <v>8677911</v>
      </c>
      <c r="V6" s="110">
        <f>TrRoad_act!V60</f>
        <v>8793592</v>
      </c>
      <c r="W6" s="110">
        <f>TrRoad_act!W60</f>
        <v>8827709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5048616</v>
      </c>
      <c r="C7" s="84">
        <f>TrRoad_act!C61</f>
        <v>5178493</v>
      </c>
      <c r="D7" s="84">
        <f>TrRoad_act!D61</f>
        <v>5310422</v>
      </c>
      <c r="E7" s="84">
        <f>TrRoad_act!E61</f>
        <v>5420603</v>
      </c>
      <c r="F7" s="84">
        <f>TrRoad_act!F61</f>
        <v>5455377</v>
      </c>
      <c r="G7" s="84">
        <f>TrRoad_act!G61</f>
        <v>5515708</v>
      </c>
      <c r="H7" s="84">
        <f>TrRoad_act!H61</f>
        <v>5578392</v>
      </c>
      <c r="I7" s="84">
        <f>TrRoad_act!I61</f>
        <v>5677085</v>
      </c>
      <c r="J7" s="84">
        <f>TrRoad_act!J61</f>
        <v>5832044</v>
      </c>
      <c r="K7" s="84">
        <f>TrRoad_act!K61</f>
        <v>5980613</v>
      </c>
      <c r="L7" s="84">
        <f>TrRoad_act!L61</f>
        <v>6082240</v>
      </c>
      <c r="M7" s="84">
        <f>TrRoad_act!M61</f>
        <v>6193380</v>
      </c>
      <c r="N7" s="84">
        <f>TrRoad_act!N61</f>
        <v>6314739</v>
      </c>
      <c r="O7" s="84">
        <f>TrRoad_act!O61</f>
        <v>6362086</v>
      </c>
      <c r="P7" s="84">
        <f>TrRoad_act!P61</f>
        <v>6383710</v>
      </c>
      <c r="Q7" s="84">
        <f>TrRoad_act!Q61</f>
        <v>6495615</v>
      </c>
      <c r="R7" s="84">
        <f>TrRoad_act!R61</f>
        <v>6630603</v>
      </c>
      <c r="S7" s="84">
        <f>TrRoad_act!S61</f>
        <v>6787939</v>
      </c>
      <c r="T7" s="84">
        <f>TrRoad_act!T61</f>
        <v>6890413</v>
      </c>
      <c r="U7" s="84">
        <f>TrRoad_act!U61</f>
        <v>7122038</v>
      </c>
      <c r="V7" s="84">
        <f>TrRoad_act!V61</f>
        <v>7272082</v>
      </c>
      <c r="W7" s="84">
        <f>TrRoad_act!W61</f>
        <v>7318356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822548</v>
      </c>
      <c r="C8" s="84">
        <f>TrRoad_act!C62</f>
        <v>880670</v>
      </c>
      <c r="D8" s="84">
        <f>TrRoad_act!D62</f>
        <v>930610</v>
      </c>
      <c r="E8" s="84">
        <f>TrRoad_act!E62</f>
        <v>984768</v>
      </c>
      <c r="F8" s="84">
        <f>TrRoad_act!F62</f>
        <v>1025903</v>
      </c>
      <c r="G8" s="84">
        <f>TrRoad_act!G62</f>
        <v>1072336</v>
      </c>
      <c r="H8" s="84">
        <f>TrRoad_act!H62</f>
        <v>1135051</v>
      </c>
      <c r="I8" s="84">
        <f>TrRoad_act!I62</f>
        <v>1200360</v>
      </c>
      <c r="J8" s="84">
        <f>TrRoad_act!J62</f>
        <v>1233887</v>
      </c>
      <c r="K8" s="84">
        <f>TrRoad_act!K62</f>
        <v>1262700</v>
      </c>
      <c r="L8" s="84">
        <f>TrRoad_act!L62</f>
        <v>1266982</v>
      </c>
      <c r="M8" s="84">
        <f>TrRoad_act!M62</f>
        <v>1299185</v>
      </c>
      <c r="N8" s="84">
        <f>TrRoad_act!N62</f>
        <v>1328046</v>
      </c>
      <c r="O8" s="84">
        <f>TrRoad_act!O62</f>
        <v>1316034</v>
      </c>
      <c r="P8" s="84">
        <f>TrRoad_act!P62</f>
        <v>1308715</v>
      </c>
      <c r="Q8" s="84">
        <f>TrRoad_act!Q62</f>
        <v>1339163</v>
      </c>
      <c r="R8" s="84">
        <f>TrRoad_act!R62</f>
        <v>1336750</v>
      </c>
      <c r="S8" s="84">
        <f>TrRoad_act!S62</f>
        <v>1330834</v>
      </c>
      <c r="T8" s="84">
        <f>TrRoad_act!T62</f>
        <v>1284620</v>
      </c>
      <c r="U8" s="84">
        <f>TrRoad_act!U62</f>
        <v>1218151</v>
      </c>
      <c r="V8" s="84">
        <f>TrRoad_act!V62</f>
        <v>1115052</v>
      </c>
      <c r="W8" s="84">
        <f>TrRoad_act!W62</f>
        <v>1010944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472000</v>
      </c>
      <c r="C9" s="84">
        <f>TrRoad_act!C63</f>
        <v>479877</v>
      </c>
      <c r="D9" s="84">
        <f>TrRoad_act!D63</f>
        <v>469563</v>
      </c>
      <c r="E9" s="84">
        <f>TrRoad_act!E63</f>
        <v>449576</v>
      </c>
      <c r="F9" s="84">
        <f>TrRoad_act!F63</f>
        <v>427610</v>
      </c>
      <c r="G9" s="84">
        <f>TrRoad_act!G63</f>
        <v>403930</v>
      </c>
      <c r="H9" s="84">
        <f>TrRoad_act!H63</f>
        <v>378850</v>
      </c>
      <c r="I9" s="84">
        <f>TrRoad_act!I63</f>
        <v>352733</v>
      </c>
      <c r="J9" s="84">
        <f>TrRoad_act!J63</f>
        <v>325972</v>
      </c>
      <c r="K9" s="84">
        <f>TrRoad_act!K63</f>
        <v>298990</v>
      </c>
      <c r="L9" s="84">
        <f>TrRoad_act!L63</f>
        <v>272905</v>
      </c>
      <c r="M9" s="84">
        <f>TrRoad_act!M63</f>
        <v>241445</v>
      </c>
      <c r="N9" s="84">
        <f>TrRoad_act!N63</f>
        <v>203851</v>
      </c>
      <c r="O9" s="84">
        <f>TrRoad_act!O63</f>
        <v>202322</v>
      </c>
      <c r="P9" s="84">
        <f>TrRoad_act!P63</f>
        <v>186366</v>
      </c>
      <c r="Q9" s="84">
        <f>TrRoad_act!Q63</f>
        <v>168234</v>
      </c>
      <c r="R9" s="84">
        <f>TrRoad_act!R63</f>
        <v>143542</v>
      </c>
      <c r="S9" s="84">
        <f>TrRoad_act!S63</f>
        <v>132989</v>
      </c>
      <c r="T9" s="84">
        <f>TrRoad_act!T63</f>
        <v>119489</v>
      </c>
      <c r="U9" s="84">
        <f>TrRoad_act!U63</f>
        <v>130637</v>
      </c>
      <c r="V9" s="84">
        <f>TrRoad_act!V63</f>
        <v>123694</v>
      </c>
      <c r="W9" s="84">
        <f>TrRoad_act!W63</f>
        <v>108602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140</v>
      </c>
      <c r="M10" s="84">
        <f>TrRoad_act!M64</f>
        <v>673</v>
      </c>
      <c r="N10" s="84">
        <f>TrRoad_act!N64</f>
        <v>5650</v>
      </c>
      <c r="O10" s="84">
        <f>TrRoad_act!O64</f>
        <v>6498</v>
      </c>
      <c r="P10" s="84">
        <f>TrRoad_act!P64</f>
        <v>9737</v>
      </c>
      <c r="Q10" s="84">
        <f>TrRoad_act!Q64</f>
        <v>10321</v>
      </c>
      <c r="R10" s="84">
        <f>TrRoad_act!R64</f>
        <v>3148</v>
      </c>
      <c r="S10" s="84">
        <f>TrRoad_act!S64</f>
        <v>3637</v>
      </c>
      <c r="T10" s="84">
        <f>TrRoad_act!T64</f>
        <v>10241</v>
      </c>
      <c r="U10" s="84">
        <f>TrRoad_act!U64</f>
        <v>10227</v>
      </c>
      <c r="V10" s="84">
        <f>TrRoad_act!V64</f>
        <v>9869</v>
      </c>
      <c r="W10" s="84">
        <f>TrRoad_act!W64</f>
        <v>8472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15</v>
      </c>
      <c r="N11" s="84">
        <f>TrRoad_act!N65</f>
        <v>4326</v>
      </c>
      <c r="O11" s="84">
        <f>TrRoad_act!O65</f>
        <v>24512</v>
      </c>
      <c r="P11" s="84">
        <f>TrRoad_act!P65</f>
        <v>36937</v>
      </c>
      <c r="Q11" s="84">
        <f>TrRoad_act!Q65</f>
        <v>78163</v>
      </c>
      <c r="R11" s="84">
        <f>TrRoad_act!R65</f>
        <v>96156</v>
      </c>
      <c r="S11" s="84">
        <f>TrRoad_act!S65</f>
        <v>97047</v>
      </c>
      <c r="T11" s="84">
        <f>TrRoad_act!T65</f>
        <v>94719</v>
      </c>
      <c r="U11" s="84">
        <f>TrRoad_act!U65</f>
        <v>91850</v>
      </c>
      <c r="V11" s="84">
        <f>TrRoad_act!V65</f>
        <v>100371</v>
      </c>
      <c r="W11" s="84">
        <f>TrRoad_act!W65</f>
        <v>137673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28</v>
      </c>
      <c r="L12" s="84">
        <f>TrRoad_act!L66</f>
        <v>86</v>
      </c>
      <c r="M12" s="84">
        <f>TrRoad_act!M66</f>
        <v>849</v>
      </c>
      <c r="N12" s="84">
        <f>TrRoad_act!N66</f>
        <v>2100</v>
      </c>
      <c r="O12" s="84">
        <f>TrRoad_act!O66</f>
        <v>4161</v>
      </c>
      <c r="P12" s="84">
        <f>TrRoad_act!P66</f>
        <v>6825</v>
      </c>
      <c r="Q12" s="84">
        <f>TrRoad_act!Q66</f>
        <v>9368</v>
      </c>
      <c r="R12" s="84">
        <f>TrRoad_act!R66</f>
        <v>12802</v>
      </c>
      <c r="S12" s="84">
        <f>TrRoad_act!S66</f>
        <v>20798</v>
      </c>
      <c r="T12" s="84">
        <f>TrRoad_act!T66</f>
        <v>43500</v>
      </c>
      <c r="U12" s="84">
        <f>TrRoad_act!U66</f>
        <v>105008</v>
      </c>
      <c r="V12" s="84">
        <f>TrRoad_act!V66</f>
        <v>172524</v>
      </c>
      <c r="W12" s="84">
        <f>TrRoad_act!W66</f>
        <v>243662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11206</v>
      </c>
      <c r="C13" s="110">
        <f>TrRoad_act!C67</f>
        <v>11369</v>
      </c>
      <c r="D13" s="110">
        <f>TrRoad_act!D67</f>
        <v>11326</v>
      </c>
      <c r="E13" s="110">
        <f>TrRoad_act!E67</f>
        <v>11382</v>
      </c>
      <c r="F13" s="110">
        <f>TrRoad_act!F67</f>
        <v>11344</v>
      </c>
      <c r="G13" s="110">
        <f>TrRoad_act!G67</f>
        <v>11231</v>
      </c>
      <c r="H13" s="110">
        <f>TrRoad_act!H67</f>
        <v>10995</v>
      </c>
      <c r="I13" s="110">
        <f>TrRoad_act!I67</f>
        <v>10845</v>
      </c>
      <c r="J13" s="110">
        <f>TrRoad_act!J67</f>
        <v>11091</v>
      </c>
      <c r="K13" s="110">
        <f>TrRoad_act!K67</f>
        <v>11332</v>
      </c>
      <c r="L13" s="110">
        <f>TrRoad_act!L67</f>
        <v>11634</v>
      </c>
      <c r="M13" s="110">
        <f>TrRoad_act!M67</f>
        <v>11277</v>
      </c>
      <c r="N13" s="110">
        <f>TrRoad_act!N67</f>
        <v>10986</v>
      </c>
      <c r="O13" s="110">
        <f>TrRoad_act!O67</f>
        <v>10464</v>
      </c>
      <c r="P13" s="110">
        <f>TrRoad_act!P67</f>
        <v>9922</v>
      </c>
      <c r="Q13" s="110">
        <f>TrRoad_act!Q67</f>
        <v>9597</v>
      </c>
      <c r="R13" s="110">
        <f>TrRoad_act!R67</f>
        <v>9411</v>
      </c>
      <c r="S13" s="110">
        <f>TrRoad_act!S67</f>
        <v>9822</v>
      </c>
      <c r="T13" s="110">
        <f>TrRoad_act!T67</f>
        <v>9914</v>
      </c>
      <c r="U13" s="110">
        <f>TrRoad_act!U67</f>
        <v>10722</v>
      </c>
      <c r="V13" s="110">
        <f>TrRoad_act!V67</f>
        <v>10556</v>
      </c>
      <c r="W13" s="110">
        <f>TrRoad_act!W67</f>
        <v>10191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14</v>
      </c>
      <c r="C14" s="102">
        <f>TrRoad_act!C68</f>
        <v>18</v>
      </c>
      <c r="D14" s="102">
        <f>TrRoad_act!D68</f>
        <v>22</v>
      </c>
      <c r="E14" s="102">
        <f>TrRoad_act!E68</f>
        <v>26</v>
      </c>
      <c r="F14" s="102">
        <f>TrRoad_act!F68</f>
        <v>25</v>
      </c>
      <c r="G14" s="102">
        <f>TrRoad_act!G68</f>
        <v>27</v>
      </c>
      <c r="H14" s="102">
        <f>TrRoad_act!H68</f>
        <v>28</v>
      </c>
      <c r="I14" s="102">
        <f>TrRoad_act!I68</f>
        <v>30</v>
      </c>
      <c r="J14" s="102">
        <f>TrRoad_act!J68</f>
        <v>30</v>
      </c>
      <c r="K14" s="102">
        <f>TrRoad_act!K68</f>
        <v>31</v>
      </c>
      <c r="L14" s="102">
        <f>TrRoad_act!L68</f>
        <v>34</v>
      </c>
      <c r="M14" s="102">
        <f>TrRoad_act!M68</f>
        <v>28</v>
      </c>
      <c r="N14" s="102">
        <f>TrRoad_act!N68</f>
        <v>17</v>
      </c>
      <c r="O14" s="102">
        <f>TrRoad_act!O68</f>
        <v>15</v>
      </c>
      <c r="P14" s="102">
        <f>TrRoad_act!P68</f>
        <v>14</v>
      </c>
      <c r="Q14" s="102">
        <f>TrRoad_act!Q68</f>
        <v>23</v>
      </c>
      <c r="R14" s="102">
        <f>TrRoad_act!R68</f>
        <v>28</v>
      </c>
      <c r="S14" s="102">
        <f>TrRoad_act!S68</f>
        <v>25</v>
      </c>
      <c r="T14" s="102">
        <f>TrRoad_act!T68</f>
        <v>23</v>
      </c>
      <c r="U14" s="102">
        <f>TrRoad_act!U68</f>
        <v>118</v>
      </c>
      <c r="V14" s="102">
        <f>TrRoad_act!V68</f>
        <v>114</v>
      </c>
      <c r="W14" s="102">
        <f>TrRoad_act!W68</f>
        <v>126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10950</v>
      </c>
      <c r="C15" s="102">
        <f>TrRoad_act!C69</f>
        <v>11120</v>
      </c>
      <c r="D15" s="102">
        <f>TrRoad_act!D69</f>
        <v>11081</v>
      </c>
      <c r="E15" s="102">
        <f>TrRoad_act!E69</f>
        <v>11153</v>
      </c>
      <c r="F15" s="102">
        <f>TrRoad_act!F69</f>
        <v>11125</v>
      </c>
      <c r="G15" s="102">
        <f>TrRoad_act!G69</f>
        <v>10974</v>
      </c>
      <c r="H15" s="102">
        <f>TrRoad_act!H69</f>
        <v>10733</v>
      </c>
      <c r="I15" s="102">
        <f>TrRoad_act!I69</f>
        <v>10577</v>
      </c>
      <c r="J15" s="102">
        <f>TrRoad_act!J69</f>
        <v>10787</v>
      </c>
      <c r="K15" s="102">
        <f>TrRoad_act!K69</f>
        <v>10895</v>
      </c>
      <c r="L15" s="102">
        <f>TrRoad_act!L69</f>
        <v>11077</v>
      </c>
      <c r="M15" s="102">
        <f>TrRoad_act!M69</f>
        <v>10489</v>
      </c>
      <c r="N15" s="102">
        <f>TrRoad_act!N69</f>
        <v>10013</v>
      </c>
      <c r="O15" s="102">
        <f>TrRoad_act!O69</f>
        <v>9428</v>
      </c>
      <c r="P15" s="102">
        <f>TrRoad_act!P69</f>
        <v>8835</v>
      </c>
      <c r="Q15" s="102">
        <f>TrRoad_act!Q69</f>
        <v>8365</v>
      </c>
      <c r="R15" s="102">
        <f>TrRoad_act!R69</f>
        <v>7923</v>
      </c>
      <c r="S15" s="102">
        <f>TrRoad_act!S69</f>
        <v>8047</v>
      </c>
      <c r="T15" s="102">
        <f>TrRoad_act!T69</f>
        <v>7888</v>
      </c>
      <c r="U15" s="102">
        <f>TrRoad_act!U69</f>
        <v>7961</v>
      </c>
      <c r="V15" s="102">
        <f>TrRoad_act!V69</f>
        <v>6988</v>
      </c>
      <c r="W15" s="102">
        <f>TrRoad_act!W69</f>
        <v>6162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186</v>
      </c>
      <c r="C16" s="102">
        <f>TrRoad_act!C70</f>
        <v>178</v>
      </c>
      <c r="D16" s="102">
        <f>TrRoad_act!D70</f>
        <v>155</v>
      </c>
      <c r="E16" s="102">
        <f>TrRoad_act!E70</f>
        <v>144</v>
      </c>
      <c r="F16" s="102">
        <f>TrRoad_act!F70</f>
        <v>125</v>
      </c>
      <c r="G16" s="102">
        <f>TrRoad_act!G70</f>
        <v>155</v>
      </c>
      <c r="H16" s="102">
        <f>TrRoad_act!H70</f>
        <v>127</v>
      </c>
      <c r="I16" s="102">
        <f>TrRoad_act!I70</f>
        <v>113</v>
      </c>
      <c r="J16" s="102">
        <f>TrRoad_act!J70</f>
        <v>112</v>
      </c>
      <c r="K16" s="102">
        <f>TrRoad_act!K70</f>
        <v>105</v>
      </c>
      <c r="L16" s="102">
        <f>TrRoad_act!L70</f>
        <v>105</v>
      </c>
      <c r="M16" s="102">
        <f>TrRoad_act!M70</f>
        <v>101</v>
      </c>
      <c r="N16" s="102">
        <f>TrRoad_act!N70</f>
        <v>98</v>
      </c>
      <c r="O16" s="102">
        <f>TrRoad_act!O70</f>
        <v>97</v>
      </c>
      <c r="P16" s="102">
        <f>TrRoad_act!P70</f>
        <v>95</v>
      </c>
      <c r="Q16" s="102">
        <f>TrRoad_act!Q70</f>
        <v>95</v>
      </c>
      <c r="R16" s="102">
        <f>TrRoad_act!R70</f>
        <v>94</v>
      </c>
      <c r="S16" s="102">
        <f>TrRoad_act!S70</f>
        <v>91</v>
      </c>
      <c r="T16" s="102">
        <f>TrRoad_act!T70</f>
        <v>89</v>
      </c>
      <c r="U16" s="102">
        <f>TrRoad_act!U70</f>
        <v>89</v>
      </c>
      <c r="V16" s="102">
        <f>TrRoad_act!V70</f>
        <v>86</v>
      </c>
      <c r="W16" s="102">
        <f>TrRoad_act!W70</f>
        <v>84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6</v>
      </c>
      <c r="C17" s="102">
        <f>TrRoad_act!C71</f>
        <v>9</v>
      </c>
      <c r="D17" s="102">
        <f>TrRoad_act!D71</f>
        <v>18</v>
      </c>
      <c r="E17" s="102">
        <f>TrRoad_act!E71</f>
        <v>16</v>
      </c>
      <c r="F17" s="102">
        <f>TrRoad_act!F71</f>
        <v>15</v>
      </c>
      <c r="G17" s="102">
        <f>TrRoad_act!G71</f>
        <v>19</v>
      </c>
      <c r="H17" s="102">
        <f>TrRoad_act!H71</f>
        <v>50</v>
      </c>
      <c r="I17" s="102">
        <f>TrRoad_act!I71</f>
        <v>68</v>
      </c>
      <c r="J17" s="102">
        <f>TrRoad_act!J71</f>
        <v>115</v>
      </c>
      <c r="K17" s="102">
        <f>TrRoad_act!K71</f>
        <v>244</v>
      </c>
      <c r="L17" s="102">
        <f>TrRoad_act!L71</f>
        <v>328</v>
      </c>
      <c r="M17" s="102">
        <f>TrRoad_act!M71</f>
        <v>573</v>
      </c>
      <c r="N17" s="102">
        <f>TrRoad_act!N71</f>
        <v>771</v>
      </c>
      <c r="O17" s="102">
        <f>TrRoad_act!O71</f>
        <v>851</v>
      </c>
      <c r="P17" s="102">
        <f>TrRoad_act!P71</f>
        <v>898</v>
      </c>
      <c r="Q17" s="102">
        <f>TrRoad_act!Q71</f>
        <v>1020</v>
      </c>
      <c r="R17" s="102">
        <f>TrRoad_act!R71</f>
        <v>1211</v>
      </c>
      <c r="S17" s="102">
        <f>TrRoad_act!S71</f>
        <v>1364</v>
      </c>
      <c r="T17" s="102">
        <f>TrRoad_act!T71</f>
        <v>1514</v>
      </c>
      <c r="U17" s="102">
        <f>TrRoad_act!U71</f>
        <v>1779</v>
      </c>
      <c r="V17" s="102">
        <f>TrRoad_act!V71</f>
        <v>2162</v>
      </c>
      <c r="W17" s="102">
        <f>TrRoad_act!W71</f>
        <v>2468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50</v>
      </c>
      <c r="C18" s="102">
        <f>TrRoad_act!C72</f>
        <v>44</v>
      </c>
      <c r="D18" s="102">
        <f>TrRoad_act!D72</f>
        <v>50</v>
      </c>
      <c r="E18" s="102">
        <f>TrRoad_act!E72</f>
        <v>43</v>
      </c>
      <c r="F18" s="102">
        <f>TrRoad_act!F72</f>
        <v>54</v>
      </c>
      <c r="G18" s="102">
        <f>TrRoad_act!G72</f>
        <v>56</v>
      </c>
      <c r="H18" s="102">
        <f>TrRoad_act!H72</f>
        <v>57</v>
      </c>
      <c r="I18" s="102">
        <f>TrRoad_act!I72</f>
        <v>57</v>
      </c>
      <c r="J18" s="102">
        <f>TrRoad_act!J72</f>
        <v>47</v>
      </c>
      <c r="K18" s="102">
        <f>TrRoad_act!K72</f>
        <v>57</v>
      </c>
      <c r="L18" s="102">
        <f>TrRoad_act!L72</f>
        <v>90</v>
      </c>
      <c r="M18" s="102">
        <f>TrRoad_act!M72</f>
        <v>86</v>
      </c>
      <c r="N18" s="102">
        <f>TrRoad_act!N72</f>
        <v>87</v>
      </c>
      <c r="O18" s="102">
        <f>TrRoad_act!O72</f>
        <v>73</v>
      </c>
      <c r="P18" s="102">
        <f>TrRoad_act!P72</f>
        <v>80</v>
      </c>
      <c r="Q18" s="102">
        <f>TrRoad_act!Q72</f>
        <v>94</v>
      </c>
      <c r="R18" s="102">
        <f>TrRoad_act!R72</f>
        <v>155</v>
      </c>
      <c r="S18" s="102">
        <f>TrRoad_act!S72</f>
        <v>295</v>
      </c>
      <c r="T18" s="102">
        <f>TrRoad_act!T72</f>
        <v>400</v>
      </c>
      <c r="U18" s="102">
        <f>TrRoad_act!U72</f>
        <v>775</v>
      </c>
      <c r="V18" s="102">
        <f>TrRoad_act!V72</f>
        <v>1206</v>
      </c>
      <c r="W18" s="102">
        <f>TrRoad_act!W72</f>
        <v>1351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809779</v>
      </c>
      <c r="C19" s="28">
        <f>TrRoad_act!C73</f>
        <v>873217</v>
      </c>
      <c r="D19" s="28">
        <f>TrRoad_act!D73</f>
        <v>915422</v>
      </c>
      <c r="E19" s="28">
        <f>TrRoad_act!E73</f>
        <v>951806</v>
      </c>
      <c r="F19" s="28">
        <f>TrRoad_act!F73</f>
        <v>967814</v>
      </c>
      <c r="G19" s="28">
        <f>TrRoad_act!G73</f>
        <v>996746</v>
      </c>
      <c r="H19" s="28">
        <f>TrRoad_act!H73</f>
        <v>965363</v>
      </c>
      <c r="I19" s="28">
        <f>TrRoad_act!I73</f>
        <v>960477</v>
      </c>
      <c r="J19" s="28">
        <f>TrRoad_act!J73</f>
        <v>973323</v>
      </c>
      <c r="K19" s="28">
        <f>TrRoad_act!K73</f>
        <v>991929</v>
      </c>
      <c r="L19" s="28">
        <f>TrRoad_act!L73</f>
        <v>988419</v>
      </c>
      <c r="M19" s="28">
        <f>TrRoad_act!M73</f>
        <v>975099</v>
      </c>
      <c r="N19" s="28">
        <f>TrRoad_act!N73</f>
        <v>964495</v>
      </c>
      <c r="O19" s="28">
        <f>TrRoad_act!O73</f>
        <v>927424</v>
      </c>
      <c r="P19" s="28">
        <f>TrRoad_act!P73</f>
        <v>925467</v>
      </c>
      <c r="Q19" s="28">
        <f>TrRoad_act!Q73</f>
        <v>940108</v>
      </c>
      <c r="R19" s="28">
        <f>TrRoad_act!R73</f>
        <v>969419</v>
      </c>
      <c r="S19" s="28">
        <f>TrRoad_act!S73</f>
        <v>1001912</v>
      </c>
      <c r="T19" s="28">
        <f>TrRoad_act!T73</f>
        <v>1023793</v>
      </c>
      <c r="U19" s="28">
        <f>TrRoad_act!U73</f>
        <v>1067775</v>
      </c>
      <c r="V19" s="28">
        <f>TrRoad_act!V73</f>
        <v>1089078</v>
      </c>
      <c r="W19" s="28">
        <f>TrRoad_act!W73</f>
        <v>1101194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696135</v>
      </c>
      <c r="C20" s="137">
        <f>TrRoad_act!C74</f>
        <v>755776</v>
      </c>
      <c r="D20" s="137">
        <f>TrRoad_act!D74</f>
        <v>797594</v>
      </c>
      <c r="E20" s="137">
        <f>TrRoad_act!E74</f>
        <v>835710</v>
      </c>
      <c r="F20" s="137">
        <f>TrRoad_act!F74</f>
        <v>866753</v>
      </c>
      <c r="G20" s="137">
        <f>TrRoad_act!G74</f>
        <v>893455</v>
      </c>
      <c r="H20" s="137">
        <f>TrRoad_act!H74</f>
        <v>862974</v>
      </c>
      <c r="I20" s="137">
        <f>TrRoad_act!I74</f>
        <v>849348</v>
      </c>
      <c r="J20" s="137">
        <f>TrRoad_act!J74</f>
        <v>862303</v>
      </c>
      <c r="K20" s="137">
        <f>TrRoad_act!K74</f>
        <v>876170</v>
      </c>
      <c r="L20" s="137">
        <f>TrRoad_act!L74</f>
        <v>872355</v>
      </c>
      <c r="M20" s="137">
        <f>TrRoad_act!M74</f>
        <v>861250</v>
      </c>
      <c r="N20" s="137">
        <f>TrRoad_act!N74</f>
        <v>849666</v>
      </c>
      <c r="O20" s="137">
        <f>TrRoad_act!O74</f>
        <v>815169</v>
      </c>
      <c r="P20" s="137">
        <f>TrRoad_act!P74</f>
        <v>814954</v>
      </c>
      <c r="Q20" s="137">
        <f>TrRoad_act!Q74</f>
        <v>828383</v>
      </c>
      <c r="R20" s="137">
        <f>TrRoad_act!R74</f>
        <v>852632</v>
      </c>
      <c r="S20" s="137">
        <f>TrRoad_act!S74</f>
        <v>883350</v>
      </c>
      <c r="T20" s="137">
        <f>TrRoad_act!T74</f>
        <v>903005</v>
      </c>
      <c r="U20" s="137">
        <f>TrRoad_act!U74</f>
        <v>939801</v>
      </c>
      <c r="V20" s="137">
        <f>TrRoad_act!V74</f>
        <v>960130</v>
      </c>
      <c r="W20" s="137">
        <f>TrRoad_act!W74</f>
        <v>974792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71434</v>
      </c>
      <c r="C21" s="84">
        <f>TrRoad_act!C75</f>
        <v>65762</v>
      </c>
      <c r="D21" s="84">
        <f>TrRoad_act!D75</f>
        <v>60062</v>
      </c>
      <c r="E21" s="84">
        <f>TrRoad_act!E75</f>
        <v>54833</v>
      </c>
      <c r="F21" s="84">
        <f>TrRoad_act!F75</f>
        <v>49915</v>
      </c>
      <c r="G21" s="84">
        <f>TrRoad_act!G75</f>
        <v>47861</v>
      </c>
      <c r="H21" s="84">
        <f>TrRoad_act!H75</f>
        <v>42439</v>
      </c>
      <c r="I21" s="84">
        <f>TrRoad_act!I75</f>
        <v>37753</v>
      </c>
      <c r="J21" s="84">
        <f>TrRoad_act!J75</f>
        <v>35284</v>
      </c>
      <c r="K21" s="84">
        <f>TrRoad_act!K75</f>
        <v>33640</v>
      </c>
      <c r="L21" s="84">
        <f>TrRoad_act!L75</f>
        <v>31768</v>
      </c>
      <c r="M21" s="84">
        <f>TrRoad_act!M75</f>
        <v>30049</v>
      </c>
      <c r="N21" s="84">
        <f>TrRoad_act!N75</f>
        <v>28582</v>
      </c>
      <c r="O21" s="84">
        <f>TrRoad_act!O75</f>
        <v>25686</v>
      </c>
      <c r="P21" s="84">
        <f>TrRoad_act!P75</f>
        <v>25372</v>
      </c>
      <c r="Q21" s="84">
        <f>TrRoad_act!Q75</f>
        <v>25464</v>
      </c>
      <c r="R21" s="84">
        <f>TrRoad_act!R75</f>
        <v>26137</v>
      </c>
      <c r="S21" s="84">
        <f>TrRoad_act!S75</f>
        <v>27022</v>
      </c>
      <c r="T21" s="84">
        <f>TrRoad_act!T75</f>
        <v>26291</v>
      </c>
      <c r="U21" s="84">
        <f>TrRoad_act!U75</f>
        <v>29919</v>
      </c>
      <c r="V21" s="84">
        <f>TrRoad_act!V75</f>
        <v>32113</v>
      </c>
      <c r="W21" s="84">
        <f>TrRoad_act!W75</f>
        <v>33036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601332</v>
      </c>
      <c r="C22" s="84">
        <f>TrRoad_act!C76</f>
        <v>666498</v>
      </c>
      <c r="D22" s="84">
        <f>TrRoad_act!D76</f>
        <v>714126</v>
      </c>
      <c r="E22" s="84">
        <f>TrRoad_act!E76</f>
        <v>757999</v>
      </c>
      <c r="F22" s="84">
        <f>TrRoad_act!F76</f>
        <v>794846</v>
      </c>
      <c r="G22" s="84">
        <f>TrRoad_act!G76</f>
        <v>826524</v>
      </c>
      <c r="H22" s="84">
        <f>TrRoad_act!H76</f>
        <v>803023</v>
      </c>
      <c r="I22" s="84">
        <f>TrRoad_act!I76</f>
        <v>794504</v>
      </c>
      <c r="J22" s="84">
        <f>TrRoad_act!J76</f>
        <v>809945</v>
      </c>
      <c r="K22" s="84">
        <f>TrRoad_act!K76</f>
        <v>825102</v>
      </c>
      <c r="L22" s="84">
        <f>TrRoad_act!L76</f>
        <v>823018</v>
      </c>
      <c r="M22" s="84">
        <f>TrRoad_act!M76</f>
        <v>813346</v>
      </c>
      <c r="N22" s="84">
        <f>TrRoad_act!N76</f>
        <v>802792</v>
      </c>
      <c r="O22" s="84">
        <f>TrRoad_act!O76</f>
        <v>770747</v>
      </c>
      <c r="P22" s="84">
        <f>TrRoad_act!P76</f>
        <v>770207</v>
      </c>
      <c r="Q22" s="84">
        <f>TrRoad_act!Q76</f>
        <v>783272</v>
      </c>
      <c r="R22" s="84">
        <f>TrRoad_act!R76</f>
        <v>807639</v>
      </c>
      <c r="S22" s="84">
        <f>TrRoad_act!S76</f>
        <v>835674</v>
      </c>
      <c r="T22" s="84">
        <f>TrRoad_act!T76</f>
        <v>851922</v>
      </c>
      <c r="U22" s="84">
        <f>TrRoad_act!U76</f>
        <v>878700</v>
      </c>
      <c r="V22" s="84">
        <f>TrRoad_act!V76</f>
        <v>894185</v>
      </c>
      <c r="W22" s="84">
        <f>TrRoad_act!W76</f>
        <v>907555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23369</v>
      </c>
      <c r="C23" s="84">
        <f>TrRoad_act!C77</f>
        <v>23516</v>
      </c>
      <c r="D23" s="84">
        <f>TrRoad_act!D77</f>
        <v>23406</v>
      </c>
      <c r="E23" s="84">
        <f>TrRoad_act!E77</f>
        <v>22794</v>
      </c>
      <c r="F23" s="84">
        <f>TrRoad_act!F77</f>
        <v>21756</v>
      </c>
      <c r="G23" s="84">
        <f>TrRoad_act!G77</f>
        <v>18847</v>
      </c>
      <c r="H23" s="84">
        <f>TrRoad_act!H77</f>
        <v>17292</v>
      </c>
      <c r="I23" s="84">
        <f>TrRoad_act!I77</f>
        <v>16591</v>
      </c>
      <c r="J23" s="84">
        <f>TrRoad_act!J77</f>
        <v>16574</v>
      </c>
      <c r="K23" s="84">
        <f>TrRoad_act!K77</f>
        <v>16585</v>
      </c>
      <c r="L23" s="84">
        <f>TrRoad_act!L77</f>
        <v>16379</v>
      </c>
      <c r="M23" s="84">
        <f>TrRoad_act!M77</f>
        <v>16293</v>
      </c>
      <c r="N23" s="84">
        <f>TrRoad_act!N77</f>
        <v>16094</v>
      </c>
      <c r="O23" s="84">
        <f>TrRoad_act!O77</f>
        <v>15894</v>
      </c>
      <c r="P23" s="84">
        <f>TrRoad_act!P77</f>
        <v>15605</v>
      </c>
      <c r="Q23" s="84">
        <f>TrRoad_act!Q77</f>
        <v>15468</v>
      </c>
      <c r="R23" s="84">
        <f>TrRoad_act!R77</f>
        <v>15720</v>
      </c>
      <c r="S23" s="84">
        <f>TrRoad_act!S77</f>
        <v>16306</v>
      </c>
      <c r="T23" s="84">
        <f>TrRoad_act!T77</f>
        <v>17579</v>
      </c>
      <c r="U23" s="84">
        <f>TrRoad_act!U77</f>
        <v>22533</v>
      </c>
      <c r="V23" s="84">
        <f>TrRoad_act!V77</f>
        <v>23460</v>
      </c>
      <c r="W23" s="84">
        <f>TrRoad_act!W77</f>
        <v>21081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84</v>
      </c>
      <c r="F24" s="84">
        <f>TrRoad_act!F78</f>
        <v>236</v>
      </c>
      <c r="G24" s="84">
        <f>TrRoad_act!G78</f>
        <v>223</v>
      </c>
      <c r="H24" s="84">
        <f>TrRoad_act!H78</f>
        <v>220</v>
      </c>
      <c r="I24" s="84">
        <f>TrRoad_act!I78</f>
        <v>500</v>
      </c>
      <c r="J24" s="84">
        <f>TrRoad_act!J78</f>
        <v>500</v>
      </c>
      <c r="K24" s="84">
        <f>TrRoad_act!K78</f>
        <v>843</v>
      </c>
      <c r="L24" s="84">
        <f>TrRoad_act!L78</f>
        <v>1190</v>
      </c>
      <c r="M24" s="84">
        <f>TrRoad_act!M78</f>
        <v>1546</v>
      </c>
      <c r="N24" s="84">
        <f>TrRoad_act!N78</f>
        <v>1803</v>
      </c>
      <c r="O24" s="84">
        <f>TrRoad_act!O78</f>
        <v>2173</v>
      </c>
      <c r="P24" s="84">
        <f>TrRoad_act!P78</f>
        <v>2512</v>
      </c>
      <c r="Q24" s="84">
        <f>TrRoad_act!Q78</f>
        <v>2719</v>
      </c>
      <c r="R24" s="84">
        <f>TrRoad_act!R78</f>
        <v>1590</v>
      </c>
      <c r="S24" s="84">
        <f>TrRoad_act!S78</f>
        <v>2192</v>
      </c>
      <c r="T24" s="84">
        <f>TrRoad_act!T78</f>
        <v>4100</v>
      </c>
      <c r="U24" s="84">
        <f>TrRoad_act!U78</f>
        <v>4306</v>
      </c>
      <c r="V24" s="84">
        <f>TrRoad_act!V78</f>
        <v>4434</v>
      </c>
      <c r="W24" s="84">
        <f>TrRoad_act!W78</f>
        <v>4142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16</v>
      </c>
      <c r="N25" s="84">
        <f>TrRoad_act!N79</f>
        <v>395</v>
      </c>
      <c r="O25" s="84">
        <f>TrRoad_act!O79</f>
        <v>669</v>
      </c>
      <c r="P25" s="84">
        <f>TrRoad_act!P79</f>
        <v>1258</v>
      </c>
      <c r="Q25" s="84">
        <f>TrRoad_act!Q79</f>
        <v>1460</v>
      </c>
      <c r="R25" s="84">
        <f>TrRoad_act!R79</f>
        <v>1546</v>
      </c>
      <c r="S25" s="84">
        <f>TrRoad_act!S79</f>
        <v>2156</v>
      </c>
      <c r="T25" s="84">
        <f>TrRoad_act!T79</f>
        <v>3113</v>
      </c>
      <c r="U25" s="84">
        <f>TrRoad_act!U79</f>
        <v>4343</v>
      </c>
      <c r="V25" s="84">
        <f>TrRoad_act!V79</f>
        <v>5938</v>
      </c>
      <c r="W25" s="84">
        <f>TrRoad_act!W79</f>
        <v>8978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113644</v>
      </c>
      <c r="C26" s="110">
        <f>TrRoad_act!C80</f>
        <v>117441</v>
      </c>
      <c r="D26" s="110">
        <f>TrRoad_act!D80</f>
        <v>117828</v>
      </c>
      <c r="E26" s="110">
        <f>TrRoad_act!E80</f>
        <v>116096</v>
      </c>
      <c r="F26" s="110">
        <f>TrRoad_act!F80</f>
        <v>101061</v>
      </c>
      <c r="G26" s="110">
        <f>TrRoad_act!G80</f>
        <v>103291</v>
      </c>
      <c r="H26" s="110">
        <f>TrRoad_act!H80</f>
        <v>102389</v>
      </c>
      <c r="I26" s="110">
        <f>TrRoad_act!I80</f>
        <v>111129</v>
      </c>
      <c r="J26" s="110">
        <f>TrRoad_act!J80</f>
        <v>111020</v>
      </c>
      <c r="K26" s="110">
        <f>TrRoad_act!K80</f>
        <v>115759</v>
      </c>
      <c r="L26" s="110">
        <f>TrRoad_act!L80</f>
        <v>116064</v>
      </c>
      <c r="M26" s="110">
        <f>TrRoad_act!M80</f>
        <v>113849</v>
      </c>
      <c r="N26" s="110">
        <f>TrRoad_act!N80</f>
        <v>114829</v>
      </c>
      <c r="O26" s="110">
        <f>TrRoad_act!O80</f>
        <v>112255</v>
      </c>
      <c r="P26" s="110">
        <f>TrRoad_act!P80</f>
        <v>110513</v>
      </c>
      <c r="Q26" s="110">
        <f>TrRoad_act!Q80</f>
        <v>111725</v>
      </c>
      <c r="R26" s="110">
        <f>TrRoad_act!R80</f>
        <v>116787</v>
      </c>
      <c r="S26" s="110">
        <f>TrRoad_act!S80</f>
        <v>118562</v>
      </c>
      <c r="T26" s="110">
        <f>TrRoad_act!T80</f>
        <v>120788</v>
      </c>
      <c r="U26" s="110">
        <f>TrRoad_act!U80</f>
        <v>127974</v>
      </c>
      <c r="V26" s="110">
        <f>TrRoad_act!V80</f>
        <v>128948</v>
      </c>
      <c r="W26" s="110">
        <f>TrRoad_act!W80</f>
        <v>126402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102971</v>
      </c>
      <c r="C27" s="102">
        <f>TrRoad_act!C81</f>
        <v>105998</v>
      </c>
      <c r="D27" s="102">
        <f>TrRoad_act!D81</f>
        <v>105790</v>
      </c>
      <c r="E27" s="102">
        <f>TrRoad_act!E81</f>
        <v>103792</v>
      </c>
      <c r="F27" s="102">
        <f>TrRoad_act!F81</f>
        <v>86513</v>
      </c>
      <c r="G27" s="102">
        <f>TrRoad_act!G81</f>
        <v>88232</v>
      </c>
      <c r="H27" s="102">
        <f>TrRoad_act!H81</f>
        <v>86461</v>
      </c>
      <c r="I27" s="102">
        <f>TrRoad_act!I81</f>
        <v>95044</v>
      </c>
      <c r="J27" s="102">
        <f>TrRoad_act!J81</f>
        <v>94652</v>
      </c>
      <c r="K27" s="102">
        <f>TrRoad_act!K81</f>
        <v>100642</v>
      </c>
      <c r="L27" s="102">
        <f>TrRoad_act!L81</f>
        <v>100210</v>
      </c>
      <c r="M27" s="102">
        <f>TrRoad_act!M81</f>
        <v>98186</v>
      </c>
      <c r="N27" s="102">
        <f>TrRoad_act!N81</f>
        <v>99526</v>
      </c>
      <c r="O27" s="102">
        <f>TrRoad_act!O81</f>
        <v>96659</v>
      </c>
      <c r="P27" s="102">
        <f>TrRoad_act!P81</f>
        <v>94462</v>
      </c>
      <c r="Q27" s="102">
        <f>TrRoad_act!Q81</f>
        <v>95313</v>
      </c>
      <c r="R27" s="102">
        <f>TrRoad_act!R81</f>
        <v>99257</v>
      </c>
      <c r="S27" s="102">
        <f>TrRoad_act!S81</f>
        <v>100902</v>
      </c>
      <c r="T27" s="102">
        <f>TrRoad_act!T81</f>
        <v>103468</v>
      </c>
      <c r="U27" s="102">
        <f>TrRoad_act!U81</f>
        <v>109899</v>
      </c>
      <c r="V27" s="102">
        <f>TrRoad_act!V81</f>
        <v>110156</v>
      </c>
      <c r="W27" s="102">
        <f>TrRoad_act!W81</f>
        <v>107934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10673</v>
      </c>
      <c r="C28" s="86">
        <f>TrRoad_act!C82</f>
        <v>11443</v>
      </c>
      <c r="D28" s="86">
        <f>TrRoad_act!D82</f>
        <v>12038</v>
      </c>
      <c r="E28" s="86">
        <f>TrRoad_act!E82</f>
        <v>12304</v>
      </c>
      <c r="F28" s="86">
        <f>TrRoad_act!F82</f>
        <v>14548</v>
      </c>
      <c r="G28" s="86">
        <f>TrRoad_act!G82</f>
        <v>15059</v>
      </c>
      <c r="H28" s="86">
        <f>TrRoad_act!H82</f>
        <v>15928</v>
      </c>
      <c r="I28" s="86">
        <f>TrRoad_act!I82</f>
        <v>16085</v>
      </c>
      <c r="J28" s="86">
        <f>TrRoad_act!J82</f>
        <v>16368</v>
      </c>
      <c r="K28" s="86">
        <f>TrRoad_act!K82</f>
        <v>15117</v>
      </c>
      <c r="L28" s="86">
        <f>TrRoad_act!L82</f>
        <v>15854</v>
      </c>
      <c r="M28" s="86">
        <f>TrRoad_act!M82</f>
        <v>15663</v>
      </c>
      <c r="N28" s="86">
        <f>TrRoad_act!N82</f>
        <v>15303</v>
      </c>
      <c r="O28" s="86">
        <f>TrRoad_act!O82</f>
        <v>15596</v>
      </c>
      <c r="P28" s="86">
        <f>TrRoad_act!P82</f>
        <v>16051</v>
      </c>
      <c r="Q28" s="86">
        <f>TrRoad_act!Q82</f>
        <v>16412</v>
      </c>
      <c r="R28" s="86">
        <f>TrRoad_act!R82</f>
        <v>17530</v>
      </c>
      <c r="S28" s="86">
        <f>TrRoad_act!S82</f>
        <v>17660</v>
      </c>
      <c r="T28" s="86">
        <f>TrRoad_act!T82</f>
        <v>17320</v>
      </c>
      <c r="U28" s="86">
        <f>TrRoad_act!U82</f>
        <v>18075</v>
      </c>
      <c r="V28" s="86">
        <f>TrRoad_act!V82</f>
        <v>18792</v>
      </c>
      <c r="W28" s="86">
        <f>TrRoad_act!W82</f>
        <v>18468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742663</v>
      </c>
      <c r="C30" s="54">
        <f>TrRoad_act!C111</f>
        <v>719440</v>
      </c>
      <c r="D30" s="54">
        <f>TrRoad_act!D111</f>
        <v>692746</v>
      </c>
      <c r="E30" s="54">
        <f>TrRoad_act!E111</f>
        <v>634194</v>
      </c>
      <c r="F30" s="54">
        <f>TrRoad_act!F111</f>
        <v>629314</v>
      </c>
      <c r="G30" s="54">
        <f>TrRoad_act!G111</f>
        <v>707354</v>
      </c>
      <c r="H30" s="54">
        <f>TrRoad_act!H111</f>
        <v>835368</v>
      </c>
      <c r="I30" s="54">
        <f>TrRoad_act!I111</f>
        <v>748793</v>
      </c>
      <c r="J30" s="54">
        <f>TrRoad_act!J111</f>
        <v>785629</v>
      </c>
      <c r="K30" s="54">
        <f>TrRoad_act!K111</f>
        <v>774161</v>
      </c>
      <c r="L30" s="54">
        <f>TrRoad_act!L111</f>
        <v>746566</v>
      </c>
      <c r="M30" s="54">
        <f>TrRoad_act!M111</f>
        <v>767987</v>
      </c>
      <c r="N30" s="54">
        <f>TrRoad_act!N111</f>
        <v>731052</v>
      </c>
      <c r="O30" s="54">
        <f>TrRoad_act!O111</f>
        <v>643864</v>
      </c>
      <c r="P30" s="54">
        <f>TrRoad_act!P111</f>
        <v>571851</v>
      </c>
      <c r="Q30" s="54">
        <f>TrRoad_act!Q111</f>
        <v>677055</v>
      </c>
      <c r="R30" s="54">
        <f>TrRoad_act!R111</f>
        <v>612891</v>
      </c>
      <c r="S30" s="54">
        <f>TrRoad_act!S111</f>
        <v>647021</v>
      </c>
      <c r="T30" s="54">
        <f>TrRoad_act!T111</f>
        <v>636022</v>
      </c>
      <c r="U30" s="54">
        <f>TrRoad_act!U111</f>
        <v>756864</v>
      </c>
      <c r="V30" s="54">
        <f>TrRoad_act!V111</f>
        <v>761171</v>
      </c>
      <c r="W30" s="54">
        <f>TrRoad_act!W111</f>
        <v>735865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631783</v>
      </c>
      <c r="C31" s="28">
        <f>TrRoad_act!C112</f>
        <v>611398</v>
      </c>
      <c r="D31" s="28">
        <f>TrRoad_act!D112</f>
        <v>597807</v>
      </c>
      <c r="E31" s="28">
        <f>TrRoad_act!E112</f>
        <v>544806</v>
      </c>
      <c r="F31" s="28">
        <f>TrRoad_act!F112</f>
        <v>544510</v>
      </c>
      <c r="G31" s="28">
        <f>TrRoad_act!G112</f>
        <v>612200</v>
      </c>
      <c r="H31" s="28">
        <f>TrRoad_act!H112</f>
        <v>760961</v>
      </c>
      <c r="I31" s="28">
        <f>TrRoad_act!I112</f>
        <v>671929</v>
      </c>
      <c r="J31" s="28">
        <f>TrRoad_act!J112</f>
        <v>695192</v>
      </c>
      <c r="K31" s="28">
        <f>TrRoad_act!K112</f>
        <v>679326</v>
      </c>
      <c r="L31" s="28">
        <f>TrRoad_act!L112</f>
        <v>684665</v>
      </c>
      <c r="M31" s="28">
        <f>TrRoad_act!M112</f>
        <v>702279</v>
      </c>
      <c r="N31" s="28">
        <f>TrRoad_act!N112</f>
        <v>663408</v>
      </c>
      <c r="O31" s="28">
        <f>TrRoad_act!O112</f>
        <v>579959</v>
      </c>
      <c r="P31" s="28">
        <f>TrRoad_act!P112</f>
        <v>507697</v>
      </c>
      <c r="Q31" s="28">
        <f>TrRoad_act!Q112</f>
        <v>608680</v>
      </c>
      <c r="R31" s="28">
        <f>TrRoad_act!R112</f>
        <v>528294</v>
      </c>
      <c r="S31" s="28">
        <f>TrRoad_act!S112</f>
        <v>559590</v>
      </c>
      <c r="T31" s="28">
        <f>TrRoad_act!T112</f>
        <v>543792</v>
      </c>
      <c r="U31" s="28">
        <f>TrRoad_act!U112</f>
        <v>656623</v>
      </c>
      <c r="V31" s="28">
        <f>TrRoad_act!V112</f>
        <v>686628</v>
      </c>
      <c r="W31" s="28">
        <f>TrRoad_act!W112</f>
        <v>660224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30420</v>
      </c>
      <c r="C32" s="137">
        <f>TrRoad_act!C113</f>
        <v>27221</v>
      </c>
      <c r="D32" s="137">
        <f>TrRoad_act!D113</f>
        <v>80755</v>
      </c>
      <c r="E32" s="137">
        <f>TrRoad_act!E113</f>
        <v>43639</v>
      </c>
      <c r="F32" s="137">
        <f>TrRoad_act!F113</f>
        <v>59832</v>
      </c>
      <c r="G32" s="137">
        <f>TrRoad_act!G113</f>
        <v>138878</v>
      </c>
      <c r="H32" s="137">
        <f>TrRoad_act!H113</f>
        <v>284344</v>
      </c>
      <c r="I32" s="137">
        <f>TrRoad_act!I113</f>
        <v>172213</v>
      </c>
      <c r="J32" s="137">
        <f>TrRoad_act!J113</f>
        <v>199079</v>
      </c>
      <c r="K32" s="137">
        <f>TrRoad_act!K113</f>
        <v>188881</v>
      </c>
      <c r="L32" s="137">
        <f>TrRoad_act!L113</f>
        <v>168700</v>
      </c>
      <c r="M32" s="137">
        <f>TrRoad_act!M113</f>
        <v>107477</v>
      </c>
      <c r="N32" s="137">
        <f>TrRoad_act!N113</f>
        <v>85943</v>
      </c>
      <c r="O32" s="137">
        <f>TrRoad_act!O113</f>
        <v>67515</v>
      </c>
      <c r="P32" s="137">
        <f>TrRoad_act!P113</f>
        <v>73628</v>
      </c>
      <c r="Q32" s="137">
        <f>TrRoad_act!Q113</f>
        <v>82000</v>
      </c>
      <c r="R32" s="137">
        <f>TrRoad_act!R113</f>
        <v>89846</v>
      </c>
      <c r="S32" s="137">
        <f>TrRoad_act!S113</f>
        <v>102895</v>
      </c>
      <c r="T32" s="137">
        <f>TrRoad_act!T113</f>
        <v>78824</v>
      </c>
      <c r="U32" s="137">
        <f>TrRoad_act!U113</f>
        <v>95773</v>
      </c>
      <c r="V32" s="137">
        <f>TrRoad_act!V113</f>
        <v>143759</v>
      </c>
      <c r="W32" s="137">
        <f>TrRoad_act!W113</f>
        <v>25023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600451</v>
      </c>
      <c r="C33" s="110">
        <f>TrRoad_act!C114</f>
        <v>583333</v>
      </c>
      <c r="D33" s="110">
        <f>TrRoad_act!D114</f>
        <v>516357</v>
      </c>
      <c r="E33" s="110">
        <f>TrRoad_act!E114</f>
        <v>500289</v>
      </c>
      <c r="F33" s="110">
        <f>TrRoad_act!F114</f>
        <v>483745</v>
      </c>
      <c r="G33" s="110">
        <f>TrRoad_act!G114</f>
        <v>472187</v>
      </c>
      <c r="H33" s="110">
        <f>TrRoad_act!H114</f>
        <v>475825</v>
      </c>
      <c r="I33" s="110">
        <f>TrRoad_act!I114</f>
        <v>498567</v>
      </c>
      <c r="J33" s="110">
        <f>TrRoad_act!J114</f>
        <v>494904</v>
      </c>
      <c r="K33" s="110">
        <f>TrRoad_act!K114</f>
        <v>489283</v>
      </c>
      <c r="L33" s="110">
        <f>TrRoad_act!L114</f>
        <v>515393</v>
      </c>
      <c r="M33" s="110">
        <f>TrRoad_act!M114</f>
        <v>594557</v>
      </c>
      <c r="N33" s="110">
        <f>TrRoad_act!N114</f>
        <v>576681</v>
      </c>
      <c r="O33" s="110">
        <f>TrRoad_act!O114</f>
        <v>511783</v>
      </c>
      <c r="P33" s="110">
        <f>TrRoad_act!P114</f>
        <v>433400</v>
      </c>
      <c r="Q33" s="110">
        <f>TrRoad_act!Q114</f>
        <v>525935</v>
      </c>
      <c r="R33" s="110">
        <f>TrRoad_act!R114</f>
        <v>437565</v>
      </c>
      <c r="S33" s="110">
        <f>TrRoad_act!S114</f>
        <v>455808</v>
      </c>
      <c r="T33" s="110">
        <f>TrRoad_act!T114</f>
        <v>464113</v>
      </c>
      <c r="U33" s="110">
        <f>TrRoad_act!U114</f>
        <v>559387</v>
      </c>
      <c r="V33" s="110">
        <f>TrRoad_act!V114</f>
        <v>541400</v>
      </c>
      <c r="W33" s="110">
        <f>TrRoad_act!W114</f>
        <v>634112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465217</v>
      </c>
      <c r="C34" s="84">
        <f>TrRoad_act!C115</f>
        <v>442153</v>
      </c>
      <c r="D34" s="84">
        <f>TrRoad_act!D115</f>
        <v>391072</v>
      </c>
      <c r="E34" s="84">
        <f>TrRoad_act!E115</f>
        <v>373513</v>
      </c>
      <c r="F34" s="84">
        <f>TrRoad_act!F115</f>
        <v>356206</v>
      </c>
      <c r="G34" s="84">
        <f>TrRoad_act!G115</f>
        <v>343127</v>
      </c>
      <c r="H34" s="84">
        <f>TrRoad_act!H115</f>
        <v>345785</v>
      </c>
      <c r="I34" s="84">
        <f>TrRoad_act!I115</f>
        <v>355210</v>
      </c>
      <c r="J34" s="84">
        <f>TrRoad_act!J115</f>
        <v>364582</v>
      </c>
      <c r="K34" s="84">
        <f>TrRoad_act!K115</f>
        <v>384638</v>
      </c>
      <c r="L34" s="84">
        <f>TrRoad_act!L115</f>
        <v>413886</v>
      </c>
      <c r="M34" s="84">
        <f>TrRoad_act!M115</f>
        <v>423429</v>
      </c>
      <c r="N34" s="84">
        <f>TrRoad_act!N115</f>
        <v>389475</v>
      </c>
      <c r="O34" s="84">
        <f>TrRoad_act!O115</f>
        <v>336303</v>
      </c>
      <c r="P34" s="84">
        <f>TrRoad_act!P115</f>
        <v>275422</v>
      </c>
      <c r="Q34" s="84">
        <f>TrRoad_act!Q115</f>
        <v>323552</v>
      </c>
      <c r="R34" s="84">
        <f>TrRoad_act!R115</f>
        <v>321820</v>
      </c>
      <c r="S34" s="84">
        <f>TrRoad_act!S115</f>
        <v>354781</v>
      </c>
      <c r="T34" s="84">
        <f>TrRoad_act!T115</f>
        <v>355874</v>
      </c>
      <c r="U34" s="84">
        <f>TrRoad_act!U115</f>
        <v>433431</v>
      </c>
      <c r="V34" s="84">
        <f>TrRoad_act!V115</f>
        <v>419506</v>
      </c>
      <c r="W34" s="84">
        <f>TrRoad_act!W115</f>
        <v>503188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135234</v>
      </c>
      <c r="C35" s="84">
        <f>TrRoad_act!C116</f>
        <v>133303</v>
      </c>
      <c r="D35" s="84">
        <f>TrRoad_act!D116</f>
        <v>125285</v>
      </c>
      <c r="E35" s="84">
        <f>TrRoad_act!E116</f>
        <v>126776</v>
      </c>
      <c r="F35" s="84">
        <f>TrRoad_act!F116</f>
        <v>127539</v>
      </c>
      <c r="G35" s="84">
        <f>TrRoad_act!G116</f>
        <v>129060</v>
      </c>
      <c r="H35" s="84">
        <f>TrRoad_act!H116</f>
        <v>130040</v>
      </c>
      <c r="I35" s="84">
        <f>TrRoad_act!I116</f>
        <v>143357</v>
      </c>
      <c r="J35" s="84">
        <f>TrRoad_act!J116</f>
        <v>130322</v>
      </c>
      <c r="K35" s="84">
        <f>TrRoad_act!K116</f>
        <v>104617</v>
      </c>
      <c r="L35" s="84">
        <f>TrRoad_act!L116</f>
        <v>100591</v>
      </c>
      <c r="M35" s="84">
        <f>TrRoad_act!M116</f>
        <v>161679</v>
      </c>
      <c r="N35" s="84">
        <f>TrRoad_act!N116</f>
        <v>167732</v>
      </c>
      <c r="O35" s="84">
        <f>TrRoad_act!O116</f>
        <v>146699</v>
      </c>
      <c r="P35" s="84">
        <f>TrRoad_act!P116</f>
        <v>128687</v>
      </c>
      <c r="Q35" s="84">
        <f>TrRoad_act!Q116</f>
        <v>156039</v>
      </c>
      <c r="R35" s="84">
        <f>TrRoad_act!R116</f>
        <v>91260</v>
      </c>
      <c r="S35" s="84">
        <f>TrRoad_act!S116</f>
        <v>88719</v>
      </c>
      <c r="T35" s="84">
        <f>TrRoad_act!T116</f>
        <v>72759</v>
      </c>
      <c r="U35" s="84">
        <f>TrRoad_act!U116</f>
        <v>47631</v>
      </c>
      <c r="V35" s="84">
        <f>TrRoad_act!V116</f>
        <v>26629</v>
      </c>
      <c r="W35" s="84">
        <f>TrRoad_act!W116</f>
        <v>19254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7877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0</v>
      </c>
      <c r="K36" s="84">
        <f>TrRoad_act!K117</f>
        <v>0</v>
      </c>
      <c r="L36" s="84">
        <f>TrRoad_act!L117</f>
        <v>690</v>
      </c>
      <c r="M36" s="84">
        <f>TrRoad_act!M117</f>
        <v>7912</v>
      </c>
      <c r="N36" s="84">
        <f>TrRoad_act!N117</f>
        <v>8918</v>
      </c>
      <c r="O36" s="84">
        <f>TrRoad_act!O117</f>
        <v>4623</v>
      </c>
      <c r="P36" s="84">
        <f>TrRoad_act!P117</f>
        <v>1206</v>
      </c>
      <c r="Q36" s="84">
        <f>TrRoad_act!Q117</f>
        <v>518</v>
      </c>
      <c r="R36" s="84">
        <f>TrRoad_act!R117</f>
        <v>982</v>
      </c>
      <c r="S36" s="84">
        <f>TrRoad_act!S117</f>
        <v>1286</v>
      </c>
      <c r="T36" s="84">
        <f>TrRoad_act!T117</f>
        <v>1015</v>
      </c>
      <c r="U36" s="84">
        <f>TrRoad_act!U117</f>
        <v>11403</v>
      </c>
      <c r="V36" s="84">
        <f>TrRoad_act!V117</f>
        <v>2062</v>
      </c>
      <c r="W36" s="84">
        <f>TrRoad_act!W117</f>
        <v>2229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140</v>
      </c>
      <c r="M37" s="84">
        <f>TrRoad_act!M118</f>
        <v>673</v>
      </c>
      <c r="N37" s="84">
        <f>TrRoad_act!N118</f>
        <v>4978</v>
      </c>
      <c r="O37" s="84">
        <f>TrRoad_act!O118</f>
        <v>852</v>
      </c>
      <c r="P37" s="84">
        <f>TrRoad_act!P118</f>
        <v>3248</v>
      </c>
      <c r="Q37" s="84">
        <f>TrRoad_act!Q118</f>
        <v>755</v>
      </c>
      <c r="R37" s="84">
        <f>TrRoad_act!R118</f>
        <v>659</v>
      </c>
      <c r="S37" s="84">
        <f>TrRoad_act!S118</f>
        <v>1268</v>
      </c>
      <c r="T37" s="84">
        <f>TrRoad_act!T118</f>
        <v>6654</v>
      </c>
      <c r="U37" s="84">
        <f>TrRoad_act!U118</f>
        <v>295</v>
      </c>
      <c r="V37" s="84">
        <f>TrRoad_act!V118</f>
        <v>60</v>
      </c>
      <c r="W37" s="84">
        <f>TrRoad_act!W118</f>
        <v>39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15</v>
      </c>
      <c r="N38" s="84">
        <f>TrRoad_act!N119</f>
        <v>4326</v>
      </c>
      <c r="O38" s="84">
        <f>TrRoad_act!O119</f>
        <v>20188</v>
      </c>
      <c r="P38" s="84">
        <f>TrRoad_act!P119</f>
        <v>21279</v>
      </c>
      <c r="Q38" s="84">
        <f>TrRoad_act!Q119</f>
        <v>41274</v>
      </c>
      <c r="R38" s="84">
        <f>TrRoad_act!R119</f>
        <v>18775</v>
      </c>
      <c r="S38" s="84">
        <f>TrRoad_act!S119</f>
        <v>1165</v>
      </c>
      <c r="T38" s="84">
        <f>TrRoad_act!T119</f>
        <v>3584</v>
      </c>
      <c r="U38" s="84">
        <f>TrRoad_act!U119</f>
        <v>4931</v>
      </c>
      <c r="V38" s="84">
        <f>TrRoad_act!V119</f>
        <v>20014</v>
      </c>
      <c r="W38" s="84">
        <f>TrRoad_act!W119</f>
        <v>37957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28</v>
      </c>
      <c r="L39" s="84">
        <f>TrRoad_act!L120</f>
        <v>86</v>
      </c>
      <c r="M39" s="84">
        <f>TrRoad_act!M120</f>
        <v>849</v>
      </c>
      <c r="N39" s="84">
        <f>TrRoad_act!N120</f>
        <v>1252</v>
      </c>
      <c r="O39" s="84">
        <f>TrRoad_act!O120</f>
        <v>3118</v>
      </c>
      <c r="P39" s="84">
        <f>TrRoad_act!P120</f>
        <v>3558</v>
      </c>
      <c r="Q39" s="84">
        <f>TrRoad_act!Q120</f>
        <v>3797</v>
      </c>
      <c r="R39" s="84">
        <f>TrRoad_act!R120</f>
        <v>4069</v>
      </c>
      <c r="S39" s="84">
        <f>TrRoad_act!S120</f>
        <v>8589</v>
      </c>
      <c r="T39" s="84">
        <f>TrRoad_act!T120</f>
        <v>24227</v>
      </c>
      <c r="U39" s="84">
        <f>TrRoad_act!U120</f>
        <v>61696</v>
      </c>
      <c r="V39" s="84">
        <f>TrRoad_act!V120</f>
        <v>73129</v>
      </c>
      <c r="W39" s="84">
        <f>TrRoad_act!W120</f>
        <v>71445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912</v>
      </c>
      <c r="C40" s="110">
        <f>TrRoad_act!C121</f>
        <v>844</v>
      </c>
      <c r="D40" s="110">
        <f>TrRoad_act!D121</f>
        <v>695</v>
      </c>
      <c r="E40" s="110">
        <f>TrRoad_act!E121</f>
        <v>878</v>
      </c>
      <c r="F40" s="110">
        <f>TrRoad_act!F121</f>
        <v>933</v>
      </c>
      <c r="G40" s="110">
        <f>TrRoad_act!G121</f>
        <v>1135</v>
      </c>
      <c r="H40" s="110">
        <f>TrRoad_act!H121</f>
        <v>792</v>
      </c>
      <c r="I40" s="110">
        <f>TrRoad_act!I121</f>
        <v>1149</v>
      </c>
      <c r="J40" s="110">
        <f>TrRoad_act!J121</f>
        <v>1209</v>
      </c>
      <c r="K40" s="110">
        <f>TrRoad_act!K121</f>
        <v>1162</v>
      </c>
      <c r="L40" s="110">
        <f>TrRoad_act!L121</f>
        <v>572</v>
      </c>
      <c r="M40" s="110">
        <f>TrRoad_act!M121</f>
        <v>245</v>
      </c>
      <c r="N40" s="110">
        <f>TrRoad_act!N121</f>
        <v>784</v>
      </c>
      <c r="O40" s="110">
        <f>TrRoad_act!O121</f>
        <v>661</v>
      </c>
      <c r="P40" s="110">
        <f>TrRoad_act!P121</f>
        <v>669</v>
      </c>
      <c r="Q40" s="110">
        <f>TrRoad_act!Q121</f>
        <v>745</v>
      </c>
      <c r="R40" s="110">
        <f>TrRoad_act!R121</f>
        <v>883</v>
      </c>
      <c r="S40" s="110">
        <f>TrRoad_act!S121</f>
        <v>887</v>
      </c>
      <c r="T40" s="110">
        <f>TrRoad_act!T121</f>
        <v>855</v>
      </c>
      <c r="U40" s="110">
        <f>TrRoad_act!U121</f>
        <v>1463</v>
      </c>
      <c r="V40" s="110">
        <f>TrRoad_act!V121</f>
        <v>1469</v>
      </c>
      <c r="W40" s="110">
        <f>TrRoad_act!W121</f>
        <v>1089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4</v>
      </c>
      <c r="D41" s="102">
        <f>TrRoad_act!D122</f>
        <v>4</v>
      </c>
      <c r="E41" s="102">
        <f>TrRoad_act!E122</f>
        <v>4</v>
      </c>
      <c r="F41" s="102">
        <f>TrRoad_act!F122</f>
        <v>0</v>
      </c>
      <c r="G41" s="102">
        <f>TrRoad_act!G122</f>
        <v>2</v>
      </c>
      <c r="H41" s="102">
        <f>TrRoad_act!H122</f>
        <v>1</v>
      </c>
      <c r="I41" s="102">
        <f>TrRoad_act!I122</f>
        <v>2</v>
      </c>
      <c r="J41" s="102">
        <f>TrRoad_act!J122</f>
        <v>0</v>
      </c>
      <c r="K41" s="102">
        <f>TrRoad_act!K122</f>
        <v>1</v>
      </c>
      <c r="L41" s="102">
        <f>TrRoad_act!L122</f>
        <v>3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9</v>
      </c>
      <c r="R41" s="102">
        <f>TrRoad_act!R122</f>
        <v>5</v>
      </c>
      <c r="S41" s="102">
        <f>TrRoad_act!S122</f>
        <v>0</v>
      </c>
      <c r="T41" s="102">
        <f>TrRoad_act!T122</f>
        <v>0</v>
      </c>
      <c r="U41" s="102">
        <f>TrRoad_act!U122</f>
        <v>95</v>
      </c>
      <c r="V41" s="102">
        <f>TrRoad_act!V122</f>
        <v>0</v>
      </c>
      <c r="W41" s="102">
        <f>TrRoad_act!W122</f>
        <v>12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912</v>
      </c>
      <c r="C42" s="102">
        <f>TrRoad_act!C123</f>
        <v>837</v>
      </c>
      <c r="D42" s="102">
        <f>TrRoad_act!D123</f>
        <v>676</v>
      </c>
      <c r="E42" s="102">
        <f>TrRoad_act!E123</f>
        <v>874</v>
      </c>
      <c r="F42" s="102">
        <f>TrRoad_act!F123</f>
        <v>922</v>
      </c>
      <c r="G42" s="102">
        <f>TrRoad_act!G123</f>
        <v>1097</v>
      </c>
      <c r="H42" s="102">
        <f>TrRoad_act!H123</f>
        <v>759</v>
      </c>
      <c r="I42" s="102">
        <f>TrRoad_act!I123</f>
        <v>1129</v>
      </c>
      <c r="J42" s="102">
        <f>TrRoad_act!J123</f>
        <v>1162</v>
      </c>
      <c r="K42" s="102">
        <f>TrRoad_act!K123</f>
        <v>1021</v>
      </c>
      <c r="L42" s="102">
        <f>TrRoad_act!L123</f>
        <v>451</v>
      </c>
      <c r="M42" s="102">
        <f>TrRoad_act!M123</f>
        <v>0</v>
      </c>
      <c r="N42" s="102">
        <f>TrRoad_act!N123</f>
        <v>584</v>
      </c>
      <c r="O42" s="102">
        <f>TrRoad_act!O123</f>
        <v>562</v>
      </c>
      <c r="P42" s="102">
        <f>TrRoad_act!P123</f>
        <v>614</v>
      </c>
      <c r="Q42" s="102">
        <f>TrRoad_act!Q123</f>
        <v>599</v>
      </c>
      <c r="R42" s="102">
        <f>TrRoad_act!R123</f>
        <v>563</v>
      </c>
      <c r="S42" s="102">
        <f>TrRoad_act!S123</f>
        <v>593</v>
      </c>
      <c r="T42" s="102">
        <f>TrRoad_act!T123</f>
        <v>561</v>
      </c>
      <c r="U42" s="102">
        <f>TrRoad_act!U123</f>
        <v>692</v>
      </c>
      <c r="V42" s="102">
        <f>TrRoad_act!V123</f>
        <v>640</v>
      </c>
      <c r="W42" s="102">
        <f>TrRoad_act!W123</f>
        <v>603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30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3</v>
      </c>
      <c r="D44" s="102">
        <f>TrRoad_act!D125</f>
        <v>9</v>
      </c>
      <c r="E44" s="102">
        <f>TrRoad_act!E125</f>
        <v>0</v>
      </c>
      <c r="F44" s="102">
        <f>TrRoad_act!F125</f>
        <v>0</v>
      </c>
      <c r="G44" s="102">
        <f>TrRoad_act!G125</f>
        <v>4</v>
      </c>
      <c r="H44" s="102">
        <f>TrRoad_act!H125</f>
        <v>31</v>
      </c>
      <c r="I44" s="102">
        <f>TrRoad_act!I125</f>
        <v>18</v>
      </c>
      <c r="J44" s="102">
        <f>TrRoad_act!J125</f>
        <v>47</v>
      </c>
      <c r="K44" s="102">
        <f>TrRoad_act!K125</f>
        <v>129</v>
      </c>
      <c r="L44" s="102">
        <f>TrRoad_act!L125</f>
        <v>84</v>
      </c>
      <c r="M44" s="102">
        <f>TrRoad_act!M125</f>
        <v>245</v>
      </c>
      <c r="N44" s="102">
        <f>TrRoad_act!N125</f>
        <v>198</v>
      </c>
      <c r="O44" s="102">
        <f>TrRoad_act!O125</f>
        <v>80</v>
      </c>
      <c r="P44" s="102">
        <f>TrRoad_act!P125</f>
        <v>47</v>
      </c>
      <c r="Q44" s="102">
        <f>TrRoad_act!Q125</f>
        <v>122</v>
      </c>
      <c r="R44" s="102">
        <f>TrRoad_act!R125</f>
        <v>191</v>
      </c>
      <c r="S44" s="102">
        <f>TrRoad_act!S125</f>
        <v>153</v>
      </c>
      <c r="T44" s="102">
        <f>TrRoad_act!T125</f>
        <v>150</v>
      </c>
      <c r="U44" s="102">
        <f>TrRoad_act!U125</f>
        <v>265</v>
      </c>
      <c r="V44" s="102">
        <f>TrRoad_act!V125</f>
        <v>383</v>
      </c>
      <c r="W44" s="102">
        <f>TrRoad_act!W125</f>
        <v>306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6</v>
      </c>
      <c r="E45" s="102">
        <f>TrRoad_act!E126</f>
        <v>0</v>
      </c>
      <c r="F45" s="102">
        <f>TrRoad_act!F126</f>
        <v>11</v>
      </c>
      <c r="G45" s="102">
        <f>TrRoad_act!G126</f>
        <v>2</v>
      </c>
      <c r="H45" s="102">
        <f>TrRoad_act!H126</f>
        <v>1</v>
      </c>
      <c r="I45" s="102">
        <f>TrRoad_act!I126</f>
        <v>0</v>
      </c>
      <c r="J45" s="102">
        <f>TrRoad_act!J126</f>
        <v>0</v>
      </c>
      <c r="K45" s="102">
        <f>TrRoad_act!K126</f>
        <v>11</v>
      </c>
      <c r="L45" s="102">
        <f>TrRoad_act!L126</f>
        <v>34</v>
      </c>
      <c r="M45" s="102">
        <f>TrRoad_act!M126</f>
        <v>0</v>
      </c>
      <c r="N45" s="102">
        <f>TrRoad_act!N126</f>
        <v>2</v>
      </c>
      <c r="O45" s="102">
        <f>TrRoad_act!O126</f>
        <v>19</v>
      </c>
      <c r="P45" s="102">
        <f>TrRoad_act!P126</f>
        <v>8</v>
      </c>
      <c r="Q45" s="102">
        <f>TrRoad_act!Q126</f>
        <v>15</v>
      </c>
      <c r="R45" s="102">
        <f>TrRoad_act!R126</f>
        <v>124</v>
      </c>
      <c r="S45" s="102">
        <f>TrRoad_act!S126</f>
        <v>141</v>
      </c>
      <c r="T45" s="102">
        <f>TrRoad_act!T126</f>
        <v>144</v>
      </c>
      <c r="U45" s="102">
        <f>TrRoad_act!U126</f>
        <v>411</v>
      </c>
      <c r="V45" s="102">
        <f>TrRoad_act!V126</f>
        <v>446</v>
      </c>
      <c r="W45" s="102">
        <f>TrRoad_act!W126</f>
        <v>168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110880</v>
      </c>
      <c r="C46" s="28">
        <f>TrRoad_act!C127</f>
        <v>108042</v>
      </c>
      <c r="D46" s="28">
        <f>TrRoad_act!D127</f>
        <v>94939</v>
      </c>
      <c r="E46" s="28">
        <f>TrRoad_act!E127</f>
        <v>89388</v>
      </c>
      <c r="F46" s="28">
        <f>TrRoad_act!F127</f>
        <v>84804</v>
      </c>
      <c r="G46" s="28">
        <f>TrRoad_act!G127</f>
        <v>95154</v>
      </c>
      <c r="H46" s="28">
        <f>TrRoad_act!H127</f>
        <v>74407</v>
      </c>
      <c r="I46" s="28">
        <f>TrRoad_act!I127</f>
        <v>76864</v>
      </c>
      <c r="J46" s="28">
        <f>TrRoad_act!J127</f>
        <v>90437</v>
      </c>
      <c r="K46" s="28">
        <f>TrRoad_act!K127</f>
        <v>94835</v>
      </c>
      <c r="L46" s="28">
        <f>TrRoad_act!L127</f>
        <v>61901</v>
      </c>
      <c r="M46" s="28">
        <f>TrRoad_act!M127</f>
        <v>65708</v>
      </c>
      <c r="N46" s="28">
        <f>TrRoad_act!N127</f>
        <v>67644</v>
      </c>
      <c r="O46" s="28">
        <f>TrRoad_act!O127</f>
        <v>63905</v>
      </c>
      <c r="P46" s="28">
        <f>TrRoad_act!P127</f>
        <v>64154</v>
      </c>
      <c r="Q46" s="28">
        <f>TrRoad_act!Q127</f>
        <v>68375</v>
      </c>
      <c r="R46" s="28">
        <f>TrRoad_act!R127</f>
        <v>84597</v>
      </c>
      <c r="S46" s="28">
        <f>TrRoad_act!S127</f>
        <v>87431</v>
      </c>
      <c r="T46" s="28">
        <f>TrRoad_act!T127</f>
        <v>92230</v>
      </c>
      <c r="U46" s="28">
        <f>TrRoad_act!U127</f>
        <v>100241</v>
      </c>
      <c r="V46" s="28">
        <f>TrRoad_act!V127</f>
        <v>74543</v>
      </c>
      <c r="W46" s="28">
        <f>TrRoad_act!W127</f>
        <v>75641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98472</v>
      </c>
      <c r="C47" s="137">
        <f>TrRoad_act!C128</f>
        <v>95049</v>
      </c>
      <c r="D47" s="137">
        <f>TrRoad_act!D128</f>
        <v>82359</v>
      </c>
      <c r="E47" s="137">
        <f>TrRoad_act!E128</f>
        <v>79201</v>
      </c>
      <c r="F47" s="137">
        <f>TrRoad_act!F128</f>
        <v>74435</v>
      </c>
      <c r="G47" s="137">
        <f>TrRoad_act!G128</f>
        <v>85626</v>
      </c>
      <c r="H47" s="137">
        <f>TrRoad_act!H128</f>
        <v>64408</v>
      </c>
      <c r="I47" s="137">
        <f>TrRoad_act!I128</f>
        <v>63733</v>
      </c>
      <c r="J47" s="137">
        <f>TrRoad_act!J128</f>
        <v>79533</v>
      </c>
      <c r="K47" s="137">
        <f>TrRoad_act!K128</f>
        <v>83074</v>
      </c>
      <c r="L47" s="137">
        <f>TrRoad_act!L128</f>
        <v>52137</v>
      </c>
      <c r="M47" s="137">
        <f>TrRoad_act!M128</f>
        <v>58293</v>
      </c>
      <c r="N47" s="137">
        <f>TrRoad_act!N128</f>
        <v>58883</v>
      </c>
      <c r="O47" s="137">
        <f>TrRoad_act!O128</f>
        <v>54785</v>
      </c>
      <c r="P47" s="137">
        <f>TrRoad_act!P128</f>
        <v>54525</v>
      </c>
      <c r="Q47" s="137">
        <f>TrRoad_act!Q128</f>
        <v>60224</v>
      </c>
      <c r="R47" s="137">
        <f>TrRoad_act!R128</f>
        <v>73275</v>
      </c>
      <c r="S47" s="137">
        <f>TrRoad_act!S128</f>
        <v>76074</v>
      </c>
      <c r="T47" s="137">
        <f>TrRoad_act!T128</f>
        <v>81688</v>
      </c>
      <c r="U47" s="137">
        <f>TrRoad_act!U128</f>
        <v>84302</v>
      </c>
      <c r="V47" s="137">
        <f>TrRoad_act!V128</f>
        <v>62717</v>
      </c>
      <c r="W47" s="137">
        <f>TrRoad_act!W128</f>
        <v>65004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0</v>
      </c>
      <c r="D48" s="84">
        <f>TrRoad_act!D129</f>
        <v>0</v>
      </c>
      <c r="E48" s="84">
        <f>TrRoad_act!E129</f>
        <v>0</v>
      </c>
      <c r="F48" s="84">
        <f>TrRoad_act!F129</f>
        <v>0</v>
      </c>
      <c r="G48" s="84">
        <f>TrRoad_act!G129</f>
        <v>0</v>
      </c>
      <c r="H48" s="84">
        <f>TrRoad_act!H129</f>
        <v>0</v>
      </c>
      <c r="I48" s="84">
        <f>TrRoad_act!I129</f>
        <v>0</v>
      </c>
      <c r="J48" s="84">
        <f>TrRoad_act!J129</f>
        <v>0</v>
      </c>
      <c r="K48" s="84">
        <f>TrRoad_act!K129</f>
        <v>1267</v>
      </c>
      <c r="L48" s="84">
        <f>TrRoad_act!L129</f>
        <v>2787</v>
      </c>
      <c r="M48" s="84">
        <f>TrRoad_act!M129</f>
        <v>2694</v>
      </c>
      <c r="N48" s="84">
        <f>TrRoad_act!N129</f>
        <v>2645</v>
      </c>
      <c r="O48" s="84">
        <f>TrRoad_act!O129</f>
        <v>872</v>
      </c>
      <c r="P48" s="84">
        <f>TrRoad_act!P129</f>
        <v>3084</v>
      </c>
      <c r="Q48" s="84">
        <f>TrRoad_act!Q129</f>
        <v>3113</v>
      </c>
      <c r="R48" s="84">
        <f>TrRoad_act!R129</f>
        <v>3334</v>
      </c>
      <c r="S48" s="84">
        <f>TrRoad_act!S129</f>
        <v>3224</v>
      </c>
      <c r="T48" s="84">
        <f>TrRoad_act!T129</f>
        <v>1525</v>
      </c>
      <c r="U48" s="84">
        <f>TrRoad_act!U129</f>
        <v>5293</v>
      </c>
      <c r="V48" s="84">
        <f>TrRoad_act!V129</f>
        <v>3034</v>
      </c>
      <c r="W48" s="84">
        <f>TrRoad_act!W129</f>
        <v>4529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98472</v>
      </c>
      <c r="C49" s="84">
        <f>TrRoad_act!C130</f>
        <v>94902</v>
      </c>
      <c r="D49" s="84">
        <f>TrRoad_act!D130</f>
        <v>82359</v>
      </c>
      <c r="E49" s="84">
        <f>TrRoad_act!E130</f>
        <v>79117</v>
      </c>
      <c r="F49" s="84">
        <f>TrRoad_act!F130</f>
        <v>74283</v>
      </c>
      <c r="G49" s="84">
        <f>TrRoad_act!G130</f>
        <v>85626</v>
      </c>
      <c r="H49" s="84">
        <f>TrRoad_act!H130</f>
        <v>64408</v>
      </c>
      <c r="I49" s="84">
        <f>TrRoad_act!I130</f>
        <v>63453</v>
      </c>
      <c r="J49" s="84">
        <f>TrRoad_act!J130</f>
        <v>79533</v>
      </c>
      <c r="K49" s="84">
        <f>TrRoad_act!K130</f>
        <v>81453</v>
      </c>
      <c r="L49" s="84">
        <f>TrRoad_act!L130</f>
        <v>48615</v>
      </c>
      <c r="M49" s="84">
        <f>TrRoad_act!M130</f>
        <v>54716</v>
      </c>
      <c r="N49" s="84">
        <f>TrRoad_act!N130</f>
        <v>54848</v>
      </c>
      <c r="O49" s="84">
        <f>TrRoad_act!O130</f>
        <v>52758</v>
      </c>
      <c r="P49" s="84">
        <f>TrRoad_act!P130</f>
        <v>49679</v>
      </c>
      <c r="Q49" s="84">
        <f>TrRoad_act!Q130</f>
        <v>55959</v>
      </c>
      <c r="R49" s="84">
        <f>TrRoad_act!R130</f>
        <v>68347</v>
      </c>
      <c r="S49" s="84">
        <f>TrRoad_act!S130</f>
        <v>70654</v>
      </c>
      <c r="T49" s="84">
        <f>TrRoad_act!T130</f>
        <v>75831</v>
      </c>
      <c r="U49" s="84">
        <f>TrRoad_act!U130</f>
        <v>72219</v>
      </c>
      <c r="V49" s="84">
        <f>TrRoad_act!V130</f>
        <v>56772</v>
      </c>
      <c r="W49" s="84">
        <f>TrRoad_act!W130</f>
        <v>56572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147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11</v>
      </c>
      <c r="L50" s="84">
        <f>TrRoad_act!L131</f>
        <v>388</v>
      </c>
      <c r="M50" s="84">
        <f>TrRoad_act!M131</f>
        <v>511</v>
      </c>
      <c r="N50" s="84">
        <f>TrRoad_act!N131</f>
        <v>597</v>
      </c>
      <c r="O50" s="84">
        <f>TrRoad_act!O131</f>
        <v>501</v>
      </c>
      <c r="P50" s="84">
        <f>TrRoad_act!P131</f>
        <v>781</v>
      </c>
      <c r="Q50" s="84">
        <f>TrRoad_act!Q131</f>
        <v>654</v>
      </c>
      <c r="R50" s="84">
        <f>TrRoad_act!R131</f>
        <v>693</v>
      </c>
      <c r="S50" s="84">
        <f>TrRoad_act!S131</f>
        <v>952</v>
      </c>
      <c r="T50" s="84">
        <f>TrRoad_act!T131</f>
        <v>1426</v>
      </c>
      <c r="U50" s="84">
        <f>TrRoad_act!U131</f>
        <v>5086</v>
      </c>
      <c r="V50" s="84">
        <f>TrRoad_act!V131</f>
        <v>984</v>
      </c>
      <c r="W50" s="84">
        <f>TrRoad_act!W131</f>
        <v>722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84</v>
      </c>
      <c r="F51" s="84">
        <f>TrRoad_act!F132</f>
        <v>152</v>
      </c>
      <c r="G51" s="84">
        <f>TrRoad_act!G132</f>
        <v>0</v>
      </c>
      <c r="H51" s="84">
        <f>TrRoad_act!H132</f>
        <v>0</v>
      </c>
      <c r="I51" s="84">
        <f>TrRoad_act!I132</f>
        <v>280</v>
      </c>
      <c r="J51" s="84">
        <f>TrRoad_act!J132</f>
        <v>0</v>
      </c>
      <c r="K51" s="84">
        <f>TrRoad_act!K132</f>
        <v>343</v>
      </c>
      <c r="L51" s="84">
        <f>TrRoad_act!L132</f>
        <v>347</v>
      </c>
      <c r="M51" s="84">
        <f>TrRoad_act!M132</f>
        <v>356</v>
      </c>
      <c r="N51" s="84">
        <f>TrRoad_act!N132</f>
        <v>398</v>
      </c>
      <c r="O51" s="84">
        <f>TrRoad_act!O132</f>
        <v>380</v>
      </c>
      <c r="P51" s="84">
        <f>TrRoad_act!P132</f>
        <v>391</v>
      </c>
      <c r="Q51" s="84">
        <f>TrRoad_act!Q132</f>
        <v>226</v>
      </c>
      <c r="R51" s="84">
        <f>TrRoad_act!R132</f>
        <v>604</v>
      </c>
      <c r="S51" s="84">
        <f>TrRoad_act!S132</f>
        <v>627</v>
      </c>
      <c r="T51" s="84">
        <f>TrRoad_act!T132</f>
        <v>1938</v>
      </c>
      <c r="U51" s="84">
        <f>TrRoad_act!U132</f>
        <v>459</v>
      </c>
      <c r="V51" s="84">
        <f>TrRoad_act!V132</f>
        <v>311</v>
      </c>
      <c r="W51" s="84">
        <f>TrRoad_act!W132</f>
        <v>112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16</v>
      </c>
      <c r="N52" s="84">
        <f>TrRoad_act!N133</f>
        <v>395</v>
      </c>
      <c r="O52" s="84">
        <f>TrRoad_act!O133</f>
        <v>274</v>
      </c>
      <c r="P52" s="84">
        <f>TrRoad_act!P133</f>
        <v>590</v>
      </c>
      <c r="Q52" s="84">
        <f>TrRoad_act!Q133</f>
        <v>272</v>
      </c>
      <c r="R52" s="84">
        <f>TrRoad_act!R133</f>
        <v>297</v>
      </c>
      <c r="S52" s="84">
        <f>TrRoad_act!S133</f>
        <v>617</v>
      </c>
      <c r="T52" s="84">
        <f>TrRoad_act!T133</f>
        <v>968</v>
      </c>
      <c r="U52" s="84">
        <f>TrRoad_act!U133</f>
        <v>1245</v>
      </c>
      <c r="V52" s="84">
        <f>TrRoad_act!V133</f>
        <v>1616</v>
      </c>
      <c r="W52" s="84">
        <f>TrRoad_act!W133</f>
        <v>3069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12408</v>
      </c>
      <c r="C53" s="110">
        <f>TrRoad_act!C134</f>
        <v>12993</v>
      </c>
      <c r="D53" s="110">
        <f>TrRoad_act!D134</f>
        <v>12580</v>
      </c>
      <c r="E53" s="110">
        <f>TrRoad_act!E134</f>
        <v>10187</v>
      </c>
      <c r="F53" s="110">
        <f>TrRoad_act!F134</f>
        <v>10369</v>
      </c>
      <c r="G53" s="110">
        <f>TrRoad_act!G134</f>
        <v>9528</v>
      </c>
      <c r="H53" s="110">
        <f>TrRoad_act!H134</f>
        <v>9999</v>
      </c>
      <c r="I53" s="110">
        <f>TrRoad_act!I134</f>
        <v>13131</v>
      </c>
      <c r="J53" s="110">
        <f>TrRoad_act!J134</f>
        <v>10904</v>
      </c>
      <c r="K53" s="110">
        <f>TrRoad_act!K134</f>
        <v>11761</v>
      </c>
      <c r="L53" s="110">
        <f>TrRoad_act!L134</f>
        <v>9764</v>
      </c>
      <c r="M53" s="110">
        <f>TrRoad_act!M134</f>
        <v>7415</v>
      </c>
      <c r="N53" s="110">
        <f>TrRoad_act!N134</f>
        <v>8761</v>
      </c>
      <c r="O53" s="110">
        <f>TrRoad_act!O134</f>
        <v>9120</v>
      </c>
      <c r="P53" s="110">
        <f>TrRoad_act!P134</f>
        <v>9629</v>
      </c>
      <c r="Q53" s="110">
        <f>TrRoad_act!Q134</f>
        <v>8151</v>
      </c>
      <c r="R53" s="110">
        <f>TrRoad_act!R134</f>
        <v>11322</v>
      </c>
      <c r="S53" s="110">
        <f>TrRoad_act!S134</f>
        <v>11357</v>
      </c>
      <c r="T53" s="110">
        <f>TrRoad_act!T134</f>
        <v>10542</v>
      </c>
      <c r="U53" s="110">
        <f>TrRoad_act!U134</f>
        <v>15939</v>
      </c>
      <c r="V53" s="110">
        <f>TrRoad_act!V134</f>
        <v>11826</v>
      </c>
      <c r="W53" s="110">
        <f>TrRoad_act!W134</f>
        <v>10637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11341</v>
      </c>
      <c r="C54" s="102">
        <f>TrRoad_act!C135</f>
        <v>11526</v>
      </c>
      <c r="D54" s="102">
        <f>TrRoad_act!D135</f>
        <v>11149</v>
      </c>
      <c r="E54" s="102">
        <f>TrRoad_act!E135</f>
        <v>8951</v>
      </c>
      <c r="F54" s="102">
        <f>TrRoad_act!F135</f>
        <v>7033</v>
      </c>
      <c r="G54" s="102">
        <f>TrRoad_act!G135</f>
        <v>7790</v>
      </c>
      <c r="H54" s="102">
        <f>TrRoad_act!H135</f>
        <v>7787</v>
      </c>
      <c r="I54" s="102">
        <f>TrRoad_act!I135</f>
        <v>11530</v>
      </c>
      <c r="J54" s="102">
        <f>TrRoad_act!J135</f>
        <v>9104</v>
      </c>
      <c r="K54" s="102">
        <f>TrRoad_act!K135</f>
        <v>11451</v>
      </c>
      <c r="L54" s="102">
        <f>TrRoad_act!L135</f>
        <v>7464</v>
      </c>
      <c r="M54" s="102">
        <f>TrRoad_act!M135</f>
        <v>6071</v>
      </c>
      <c r="N54" s="102">
        <f>TrRoad_act!N135</f>
        <v>7622</v>
      </c>
      <c r="O54" s="102">
        <f>TrRoad_act!O135</f>
        <v>7290</v>
      </c>
      <c r="P54" s="102">
        <f>TrRoad_act!P135</f>
        <v>7604</v>
      </c>
      <c r="Q54" s="102">
        <f>TrRoad_act!Q135</f>
        <v>6186</v>
      </c>
      <c r="R54" s="102">
        <f>TrRoad_act!R135</f>
        <v>8558</v>
      </c>
      <c r="S54" s="102">
        <f>TrRoad_act!S135</f>
        <v>9539</v>
      </c>
      <c r="T54" s="102">
        <f>TrRoad_act!T135</f>
        <v>9177</v>
      </c>
      <c r="U54" s="102">
        <f>TrRoad_act!U135</f>
        <v>13466</v>
      </c>
      <c r="V54" s="102">
        <f>TrRoad_act!V135</f>
        <v>9381</v>
      </c>
      <c r="W54" s="102">
        <f>TrRoad_act!W135</f>
        <v>9217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1067</v>
      </c>
      <c r="C55" s="86">
        <f>TrRoad_act!C136</f>
        <v>1467</v>
      </c>
      <c r="D55" s="86">
        <f>TrRoad_act!D136</f>
        <v>1431</v>
      </c>
      <c r="E55" s="86">
        <f>TrRoad_act!E136</f>
        <v>1236</v>
      </c>
      <c r="F55" s="86">
        <f>TrRoad_act!F136</f>
        <v>3336</v>
      </c>
      <c r="G55" s="86">
        <f>TrRoad_act!G136</f>
        <v>1738</v>
      </c>
      <c r="H55" s="86">
        <f>TrRoad_act!H136</f>
        <v>2212</v>
      </c>
      <c r="I55" s="86">
        <f>TrRoad_act!I136</f>
        <v>1601</v>
      </c>
      <c r="J55" s="86">
        <f>TrRoad_act!J136</f>
        <v>1800</v>
      </c>
      <c r="K55" s="86">
        <f>TrRoad_act!K136</f>
        <v>310</v>
      </c>
      <c r="L55" s="86">
        <f>TrRoad_act!L136</f>
        <v>2300</v>
      </c>
      <c r="M55" s="86">
        <f>TrRoad_act!M136</f>
        <v>1344</v>
      </c>
      <c r="N55" s="86">
        <f>TrRoad_act!N136</f>
        <v>1139</v>
      </c>
      <c r="O55" s="86">
        <f>TrRoad_act!O136</f>
        <v>1830</v>
      </c>
      <c r="P55" s="86">
        <f>TrRoad_act!P136</f>
        <v>2025</v>
      </c>
      <c r="Q55" s="86">
        <f>TrRoad_act!Q136</f>
        <v>1965</v>
      </c>
      <c r="R55" s="86">
        <f>TrRoad_act!R136</f>
        <v>2764</v>
      </c>
      <c r="S55" s="86">
        <f>TrRoad_act!S136</f>
        <v>1818</v>
      </c>
      <c r="T55" s="86">
        <f>TrRoad_act!T136</f>
        <v>1365</v>
      </c>
      <c r="U55" s="86">
        <f>TrRoad_act!U136</f>
        <v>2473</v>
      </c>
      <c r="V55" s="86">
        <f>TrRoad_act!V136</f>
        <v>2445</v>
      </c>
      <c r="W55" s="86">
        <f>TrRoad_act!W136</f>
        <v>1420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885107</v>
      </c>
      <c r="C59" s="54">
        <f t="shared" si="0"/>
        <v>210321</v>
      </c>
      <c r="D59" s="54">
        <f t="shared" si="0"/>
        <v>231422</v>
      </c>
      <c r="E59" s="54">
        <f t="shared" si="0"/>
        <v>256349</v>
      </c>
      <c r="F59" s="54">
        <f t="shared" si="0"/>
        <v>282474</v>
      </c>
      <c r="G59" s="54">
        <f t="shared" si="0"/>
        <v>354142</v>
      </c>
      <c r="H59" s="54">
        <f t="shared" si="0"/>
        <v>474080</v>
      </c>
      <c r="I59" s="54">
        <f t="shared" si="0"/>
        <v>430484</v>
      </c>
      <c r="J59" s="54">
        <f t="shared" si="0"/>
        <v>523813</v>
      </c>
      <c r="K59" s="54">
        <f t="shared" si="0"/>
        <v>567713</v>
      </c>
      <c r="L59" s="54">
        <f t="shared" ref="L59" si="1">L60+L75</f>
        <v>586317</v>
      </c>
      <c r="M59" s="54">
        <f t="shared" ref="M59:V59" si="2">M60+M75</f>
        <v>614950</v>
      </c>
      <c r="N59" s="54">
        <f t="shared" si="2"/>
        <v>605327</v>
      </c>
      <c r="O59" s="54">
        <f t="shared" si="2"/>
        <v>548629</v>
      </c>
      <c r="P59" s="54">
        <f t="shared" si="2"/>
        <v>511691</v>
      </c>
      <c r="Q59" s="54">
        <f t="shared" si="2"/>
        <v>632785</v>
      </c>
      <c r="R59" s="54">
        <f t="shared" si="2"/>
        <v>592459</v>
      </c>
      <c r="S59" s="54">
        <f t="shared" si="2"/>
        <v>636233</v>
      </c>
      <c r="T59" s="54">
        <f t="shared" si="2"/>
        <v>631305</v>
      </c>
      <c r="U59" s="54">
        <f t="shared" si="2"/>
        <v>755204</v>
      </c>
      <c r="V59" s="54">
        <f t="shared" si="2"/>
        <v>759736</v>
      </c>
      <c r="W59" s="54">
        <f t="shared" ref="W59" si="3">W60+W75</f>
        <v>735865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877116</v>
      </c>
      <c r="C60" s="28">
        <f t="shared" si="4"/>
        <v>210237</v>
      </c>
      <c r="D60" s="28">
        <f t="shared" si="4"/>
        <v>231422</v>
      </c>
      <c r="E60" s="28">
        <f t="shared" si="4"/>
        <v>234858</v>
      </c>
      <c r="F60" s="28">
        <f t="shared" si="4"/>
        <v>253877</v>
      </c>
      <c r="G60" s="28">
        <f t="shared" si="4"/>
        <v>316531</v>
      </c>
      <c r="H60" s="28">
        <f t="shared" si="4"/>
        <v>442211</v>
      </c>
      <c r="I60" s="28">
        <f t="shared" si="4"/>
        <v>395538</v>
      </c>
      <c r="J60" s="28">
        <f t="shared" si="4"/>
        <v>472764</v>
      </c>
      <c r="K60" s="28">
        <f t="shared" si="4"/>
        <v>505879</v>
      </c>
      <c r="L60" s="28">
        <f t="shared" ref="L60" si="5">L61+L62+L69</f>
        <v>542404</v>
      </c>
      <c r="M60" s="28">
        <f t="shared" ref="M60:V60" si="6">M61+M62+M69</f>
        <v>564860</v>
      </c>
      <c r="N60" s="28">
        <f t="shared" si="6"/>
        <v>550644</v>
      </c>
      <c r="O60" s="28">
        <f t="shared" si="6"/>
        <v>494354</v>
      </c>
      <c r="P60" s="28">
        <f t="shared" si="6"/>
        <v>454877</v>
      </c>
      <c r="Q60" s="28">
        <f t="shared" si="6"/>
        <v>570019</v>
      </c>
      <c r="R60" s="28">
        <f t="shared" si="6"/>
        <v>512601</v>
      </c>
      <c r="S60" s="28">
        <f t="shared" si="6"/>
        <v>551785</v>
      </c>
      <c r="T60" s="28">
        <f t="shared" si="6"/>
        <v>540795</v>
      </c>
      <c r="U60" s="28">
        <f t="shared" si="6"/>
        <v>655825</v>
      </c>
      <c r="V60" s="28">
        <f t="shared" si="6"/>
        <v>686391</v>
      </c>
      <c r="W60" s="28">
        <f t="shared" ref="W60" si="7">W61+W62+W69</f>
        <v>660224</v>
      </c>
      <c r="DA60" s="173" t="s">
        <v>837</v>
      </c>
    </row>
    <row r="61" spans="1:105" ht="11.45" customHeight="1" x14ac:dyDescent="0.25">
      <c r="A61" s="136" t="s">
        <v>180</v>
      </c>
      <c r="B61" s="137">
        <v>0</v>
      </c>
      <c r="C61" s="137">
        <v>0</v>
      </c>
      <c r="D61" s="137">
        <v>29831</v>
      </c>
      <c r="E61" s="137">
        <v>24537</v>
      </c>
      <c r="F61" s="137">
        <v>36570</v>
      </c>
      <c r="G61" s="137">
        <v>91469</v>
      </c>
      <c r="H61" s="137">
        <v>200176</v>
      </c>
      <c r="I61" s="137">
        <v>128614</v>
      </c>
      <c r="J61" s="137">
        <v>156628</v>
      </c>
      <c r="K61" s="137">
        <v>155541</v>
      </c>
      <c r="L61" s="137">
        <v>144536</v>
      </c>
      <c r="M61" s="137">
        <v>95275</v>
      </c>
      <c r="N61" s="137">
        <v>78424</v>
      </c>
      <c r="O61" s="137">
        <v>63121</v>
      </c>
      <c r="P61" s="137">
        <v>70220</v>
      </c>
      <c r="Q61" s="137">
        <v>79460</v>
      </c>
      <c r="R61" s="137">
        <v>88139</v>
      </c>
      <c r="S61" s="137">
        <v>101846</v>
      </c>
      <c r="T61" s="137">
        <v>78481</v>
      </c>
      <c r="U61" s="137">
        <v>95671</v>
      </c>
      <c r="V61" s="137">
        <v>143750</v>
      </c>
      <c r="W61" s="137">
        <v>25023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877057</v>
      </c>
      <c r="C62" s="110">
        <f t="shared" si="8"/>
        <v>210234</v>
      </c>
      <c r="D62" s="110">
        <f t="shared" si="8"/>
        <v>201582</v>
      </c>
      <c r="E62" s="110">
        <f t="shared" si="8"/>
        <v>210321</v>
      </c>
      <c r="F62" s="110">
        <f t="shared" si="8"/>
        <v>217307</v>
      </c>
      <c r="G62" s="110">
        <f t="shared" si="8"/>
        <v>225030</v>
      </c>
      <c r="H62" s="110">
        <f t="shared" si="8"/>
        <v>242004</v>
      </c>
      <c r="I62" s="110">
        <f t="shared" si="8"/>
        <v>266905</v>
      </c>
      <c r="J62" s="110">
        <f t="shared" si="8"/>
        <v>315888</v>
      </c>
      <c r="K62" s="110">
        <f t="shared" si="8"/>
        <v>349903</v>
      </c>
      <c r="L62" s="110">
        <f t="shared" ref="L62" si="9">SUM(L63:L68)</f>
        <v>397593</v>
      </c>
      <c r="M62" s="110">
        <f t="shared" ref="M62:V62" si="10">SUM(M63:M68)</f>
        <v>469340</v>
      </c>
      <c r="N62" s="110">
        <f t="shared" si="10"/>
        <v>471642</v>
      </c>
      <c r="O62" s="110">
        <f t="shared" si="10"/>
        <v>430730</v>
      </c>
      <c r="P62" s="110">
        <f t="shared" si="10"/>
        <v>384096</v>
      </c>
      <c r="Q62" s="110">
        <f t="shared" si="10"/>
        <v>489886</v>
      </c>
      <c r="R62" s="110">
        <f t="shared" si="10"/>
        <v>423681</v>
      </c>
      <c r="S62" s="110">
        <f t="shared" si="10"/>
        <v>449071</v>
      </c>
      <c r="T62" s="110">
        <f t="shared" si="10"/>
        <v>461463</v>
      </c>
      <c r="U62" s="110">
        <f t="shared" si="10"/>
        <v>558692</v>
      </c>
      <c r="V62" s="110">
        <f t="shared" si="10"/>
        <v>541172</v>
      </c>
      <c r="W62" s="110">
        <f t="shared" ref="W62" si="11">SUM(W63:W68)</f>
        <v>634112</v>
      </c>
      <c r="DA62" s="176" t="s">
        <v>839</v>
      </c>
    </row>
    <row r="63" spans="1:105" ht="11.45" customHeight="1" x14ac:dyDescent="0.25">
      <c r="A63" s="111" t="s">
        <v>110</v>
      </c>
      <c r="B63" s="84">
        <v>811470</v>
      </c>
      <c r="C63" s="84">
        <v>206816</v>
      </c>
      <c r="D63" s="84">
        <v>201582</v>
      </c>
      <c r="E63" s="84">
        <v>210321</v>
      </c>
      <c r="F63" s="84">
        <v>217307</v>
      </c>
      <c r="G63" s="84">
        <v>225030</v>
      </c>
      <c r="H63" s="84">
        <v>242004</v>
      </c>
      <c r="I63" s="84">
        <v>263475</v>
      </c>
      <c r="J63" s="84">
        <v>284761</v>
      </c>
      <c r="K63" s="84">
        <v>314440</v>
      </c>
      <c r="L63" s="84">
        <v>352133</v>
      </c>
      <c r="M63" s="84">
        <v>372948</v>
      </c>
      <c r="N63" s="84">
        <v>353383</v>
      </c>
      <c r="O63" s="84">
        <v>312896</v>
      </c>
      <c r="P63" s="84">
        <v>261648</v>
      </c>
      <c r="Q63" s="84">
        <v>312598</v>
      </c>
      <c r="R63" s="84">
        <v>315051</v>
      </c>
      <c r="S63" s="84">
        <v>350730</v>
      </c>
      <c r="T63" s="84">
        <v>354144</v>
      </c>
      <c r="U63" s="84">
        <v>432926</v>
      </c>
      <c r="V63" s="84">
        <v>419505</v>
      </c>
      <c r="W63" s="84">
        <v>503188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3430</v>
      </c>
      <c r="J64" s="84">
        <v>31127</v>
      </c>
      <c r="K64" s="84">
        <v>35463</v>
      </c>
      <c r="L64" s="84">
        <v>44901</v>
      </c>
      <c r="M64" s="84">
        <v>89717</v>
      </c>
      <c r="N64" s="84">
        <v>110467</v>
      </c>
      <c r="O64" s="84">
        <v>110362</v>
      </c>
      <c r="P64" s="84">
        <v>107102</v>
      </c>
      <c r="Q64" s="84">
        <v>139869</v>
      </c>
      <c r="R64" s="84">
        <v>86148</v>
      </c>
      <c r="S64" s="84">
        <v>86571</v>
      </c>
      <c r="T64" s="84">
        <v>72293</v>
      </c>
      <c r="U64" s="84">
        <v>47612</v>
      </c>
      <c r="V64" s="84">
        <v>26628</v>
      </c>
      <c r="W64" s="84">
        <v>19254</v>
      </c>
      <c r="DA64" s="171" t="s">
        <v>841</v>
      </c>
    </row>
    <row r="65" spans="1:105" ht="11.45" customHeight="1" x14ac:dyDescent="0.25">
      <c r="A65" s="111" t="s">
        <v>112</v>
      </c>
      <c r="B65" s="84">
        <v>65587</v>
      </c>
      <c r="C65" s="84">
        <v>3418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559</v>
      </c>
      <c r="M65" s="84">
        <v>6675</v>
      </c>
      <c r="N65" s="84">
        <v>7792</v>
      </c>
      <c r="O65" s="84">
        <v>4164</v>
      </c>
      <c r="P65" s="84">
        <v>1115</v>
      </c>
      <c r="Q65" s="84">
        <v>489</v>
      </c>
      <c r="R65" s="84">
        <v>945</v>
      </c>
      <c r="S65" s="84">
        <v>1255</v>
      </c>
      <c r="T65" s="84">
        <v>1002</v>
      </c>
      <c r="U65" s="84">
        <v>11337</v>
      </c>
      <c r="V65" s="84">
        <v>2035</v>
      </c>
      <c r="W65" s="84">
        <v>2229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356</v>
      </c>
      <c r="S66" s="84">
        <v>1195</v>
      </c>
      <c r="T66" s="84">
        <v>6528</v>
      </c>
      <c r="U66" s="84">
        <v>294</v>
      </c>
      <c r="V66" s="84">
        <v>60</v>
      </c>
      <c r="W66" s="84">
        <v>39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3308</v>
      </c>
      <c r="P67" s="84">
        <v>14231</v>
      </c>
      <c r="Q67" s="84">
        <v>34873</v>
      </c>
      <c r="R67" s="84">
        <v>17644</v>
      </c>
      <c r="S67" s="84">
        <v>1145</v>
      </c>
      <c r="T67" s="84">
        <v>3571</v>
      </c>
      <c r="U67" s="84">
        <v>4930</v>
      </c>
      <c r="V67" s="84">
        <v>20014</v>
      </c>
      <c r="W67" s="84">
        <v>37957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2057</v>
      </c>
      <c r="R68" s="84">
        <v>3537</v>
      </c>
      <c r="S68" s="84">
        <v>8175</v>
      </c>
      <c r="T68" s="84">
        <v>23925</v>
      </c>
      <c r="U68" s="84">
        <v>61593</v>
      </c>
      <c r="V68" s="84">
        <v>72930</v>
      </c>
      <c r="W68" s="84">
        <v>71445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59</v>
      </c>
      <c r="C69" s="110">
        <f t="shared" si="12"/>
        <v>3</v>
      </c>
      <c r="D69" s="110">
        <f t="shared" si="12"/>
        <v>9</v>
      </c>
      <c r="E69" s="110">
        <f t="shared" si="12"/>
        <v>0</v>
      </c>
      <c r="F69" s="110">
        <f t="shared" si="12"/>
        <v>0</v>
      </c>
      <c r="G69" s="110">
        <f t="shared" si="12"/>
        <v>32</v>
      </c>
      <c r="H69" s="110">
        <f t="shared" si="12"/>
        <v>31</v>
      </c>
      <c r="I69" s="110">
        <f t="shared" si="12"/>
        <v>19</v>
      </c>
      <c r="J69" s="110">
        <f t="shared" si="12"/>
        <v>248</v>
      </c>
      <c r="K69" s="110">
        <f t="shared" si="12"/>
        <v>435</v>
      </c>
      <c r="L69" s="110">
        <f t="shared" ref="L69" si="13">SUM(L70:L74)</f>
        <v>275</v>
      </c>
      <c r="M69" s="110">
        <f t="shared" ref="M69:V69" si="14">SUM(M70:M74)</f>
        <v>245</v>
      </c>
      <c r="N69" s="110">
        <f t="shared" si="14"/>
        <v>578</v>
      </c>
      <c r="O69" s="110">
        <f t="shared" si="14"/>
        <v>503</v>
      </c>
      <c r="P69" s="110">
        <f t="shared" si="14"/>
        <v>561</v>
      </c>
      <c r="Q69" s="110">
        <f t="shared" si="14"/>
        <v>673</v>
      </c>
      <c r="R69" s="110">
        <f t="shared" si="14"/>
        <v>781</v>
      </c>
      <c r="S69" s="110">
        <f t="shared" si="14"/>
        <v>868</v>
      </c>
      <c r="T69" s="110">
        <f t="shared" si="14"/>
        <v>851</v>
      </c>
      <c r="U69" s="110">
        <f t="shared" si="14"/>
        <v>1462</v>
      </c>
      <c r="V69" s="110">
        <f t="shared" si="14"/>
        <v>1469</v>
      </c>
      <c r="W69" s="110">
        <f t="shared" ref="W69" si="15">SUM(W70:W74)</f>
        <v>1089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1</v>
      </c>
      <c r="J70" s="102">
        <v>0</v>
      </c>
      <c r="K70" s="102">
        <v>1</v>
      </c>
      <c r="L70" s="102">
        <v>3</v>
      </c>
      <c r="M70" s="102">
        <v>0</v>
      </c>
      <c r="N70" s="102">
        <v>0</v>
      </c>
      <c r="O70" s="102">
        <v>0</v>
      </c>
      <c r="P70" s="102">
        <v>0</v>
      </c>
      <c r="Q70" s="102">
        <v>9</v>
      </c>
      <c r="R70" s="102">
        <v>5</v>
      </c>
      <c r="S70" s="102">
        <v>0</v>
      </c>
      <c r="T70" s="102">
        <v>0</v>
      </c>
      <c r="U70" s="102">
        <v>95</v>
      </c>
      <c r="V70" s="102">
        <v>0</v>
      </c>
      <c r="W70" s="102">
        <v>12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201</v>
      </c>
      <c r="K71" s="102">
        <v>305</v>
      </c>
      <c r="L71" s="102">
        <v>188</v>
      </c>
      <c r="M71" s="102">
        <v>0</v>
      </c>
      <c r="N71" s="102">
        <v>380</v>
      </c>
      <c r="O71" s="102">
        <v>423</v>
      </c>
      <c r="P71" s="102">
        <v>514</v>
      </c>
      <c r="Q71" s="102">
        <v>542</v>
      </c>
      <c r="R71" s="102">
        <v>535</v>
      </c>
      <c r="S71" s="102">
        <v>581</v>
      </c>
      <c r="T71" s="102">
        <v>558</v>
      </c>
      <c r="U71" s="102">
        <v>692</v>
      </c>
      <c r="V71" s="102">
        <v>640</v>
      </c>
      <c r="W71" s="102">
        <v>603</v>
      </c>
      <c r="DA71" s="175" t="s">
        <v>848</v>
      </c>
    </row>
    <row r="72" spans="1:105" ht="11.45" customHeight="1" x14ac:dyDescent="0.25">
      <c r="A72" s="111" t="s">
        <v>112</v>
      </c>
      <c r="B72" s="102">
        <v>56</v>
      </c>
      <c r="C72" s="102">
        <v>0</v>
      </c>
      <c r="D72" s="102">
        <v>0</v>
      </c>
      <c r="E72" s="102">
        <v>0</v>
      </c>
      <c r="F72" s="102">
        <v>0</v>
      </c>
      <c r="G72" s="102">
        <v>28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3</v>
      </c>
      <c r="C73" s="102">
        <v>3</v>
      </c>
      <c r="D73" s="102">
        <v>9</v>
      </c>
      <c r="E73" s="102">
        <v>0</v>
      </c>
      <c r="F73" s="102">
        <v>0</v>
      </c>
      <c r="G73" s="102">
        <v>4</v>
      </c>
      <c r="H73" s="102">
        <v>31</v>
      </c>
      <c r="I73" s="102">
        <v>18</v>
      </c>
      <c r="J73" s="102">
        <v>47</v>
      </c>
      <c r="K73" s="102">
        <v>129</v>
      </c>
      <c r="L73" s="102">
        <v>84</v>
      </c>
      <c r="M73" s="102">
        <v>245</v>
      </c>
      <c r="N73" s="102">
        <v>198</v>
      </c>
      <c r="O73" s="102">
        <v>80</v>
      </c>
      <c r="P73" s="102">
        <v>47</v>
      </c>
      <c r="Q73" s="102">
        <v>122</v>
      </c>
      <c r="R73" s="102">
        <v>191</v>
      </c>
      <c r="S73" s="102">
        <v>153</v>
      </c>
      <c r="T73" s="102">
        <v>150</v>
      </c>
      <c r="U73" s="102">
        <v>265</v>
      </c>
      <c r="V73" s="102">
        <v>383</v>
      </c>
      <c r="W73" s="102">
        <v>306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50</v>
      </c>
      <c r="S74" s="102">
        <v>134</v>
      </c>
      <c r="T74" s="102">
        <v>143</v>
      </c>
      <c r="U74" s="102">
        <v>410</v>
      </c>
      <c r="V74" s="102">
        <v>446</v>
      </c>
      <c r="W74" s="102">
        <v>168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7991</v>
      </c>
      <c r="C75" s="28">
        <f t="shared" si="16"/>
        <v>84</v>
      </c>
      <c r="D75" s="28">
        <f t="shared" si="16"/>
        <v>0</v>
      </c>
      <c r="E75" s="28">
        <f t="shared" si="16"/>
        <v>21491</v>
      </c>
      <c r="F75" s="28">
        <f t="shared" si="16"/>
        <v>28597</v>
      </c>
      <c r="G75" s="28">
        <f t="shared" si="16"/>
        <v>37611</v>
      </c>
      <c r="H75" s="28">
        <f t="shared" si="16"/>
        <v>31869</v>
      </c>
      <c r="I75" s="28">
        <f t="shared" si="16"/>
        <v>34946</v>
      </c>
      <c r="J75" s="28">
        <f t="shared" si="16"/>
        <v>51049</v>
      </c>
      <c r="K75" s="28">
        <f t="shared" si="16"/>
        <v>61834</v>
      </c>
      <c r="L75" s="28">
        <f t="shared" ref="L75" si="17">L76+L82</f>
        <v>43913</v>
      </c>
      <c r="M75" s="28">
        <f t="shared" ref="M75:V75" si="18">M76+M82</f>
        <v>50090</v>
      </c>
      <c r="N75" s="28">
        <f t="shared" si="18"/>
        <v>54683</v>
      </c>
      <c r="O75" s="28">
        <f t="shared" si="18"/>
        <v>54275</v>
      </c>
      <c r="P75" s="28">
        <f t="shared" si="18"/>
        <v>56814</v>
      </c>
      <c r="Q75" s="28">
        <f t="shared" si="18"/>
        <v>62766</v>
      </c>
      <c r="R75" s="28">
        <f t="shared" si="18"/>
        <v>79858</v>
      </c>
      <c r="S75" s="28">
        <f t="shared" si="18"/>
        <v>84448</v>
      </c>
      <c r="T75" s="28">
        <f t="shared" si="18"/>
        <v>90510</v>
      </c>
      <c r="U75" s="28">
        <f t="shared" si="18"/>
        <v>99379</v>
      </c>
      <c r="V75" s="28">
        <f t="shared" si="18"/>
        <v>73345</v>
      </c>
      <c r="W75" s="28">
        <f t="shared" ref="W75" si="19">W76+W82</f>
        <v>75641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7991</v>
      </c>
      <c r="C76" s="137">
        <f t="shared" si="20"/>
        <v>84</v>
      </c>
      <c r="D76" s="137">
        <f t="shared" si="20"/>
        <v>0</v>
      </c>
      <c r="E76" s="137">
        <f t="shared" si="20"/>
        <v>21491</v>
      </c>
      <c r="F76" s="137">
        <f t="shared" si="20"/>
        <v>28597</v>
      </c>
      <c r="G76" s="137">
        <f t="shared" si="20"/>
        <v>37611</v>
      </c>
      <c r="H76" s="137">
        <f t="shared" si="20"/>
        <v>31869</v>
      </c>
      <c r="I76" s="137">
        <f t="shared" si="20"/>
        <v>34946</v>
      </c>
      <c r="J76" s="137">
        <f t="shared" si="20"/>
        <v>48209</v>
      </c>
      <c r="K76" s="137">
        <f t="shared" si="20"/>
        <v>53784</v>
      </c>
      <c r="L76" s="137">
        <f t="shared" ref="L76" si="21">SUM(L77:L81)</f>
        <v>36736</v>
      </c>
      <c r="M76" s="137">
        <f t="shared" ref="M76:V76" si="22">SUM(M77:M81)</f>
        <v>44112</v>
      </c>
      <c r="N76" s="137">
        <f t="shared" si="22"/>
        <v>47072</v>
      </c>
      <c r="O76" s="137">
        <f t="shared" si="22"/>
        <v>46147</v>
      </c>
      <c r="P76" s="137">
        <f t="shared" si="22"/>
        <v>47971</v>
      </c>
      <c r="Q76" s="137">
        <f t="shared" si="22"/>
        <v>55167</v>
      </c>
      <c r="R76" s="137">
        <f t="shared" si="22"/>
        <v>69146</v>
      </c>
      <c r="S76" s="137">
        <f t="shared" si="22"/>
        <v>73414</v>
      </c>
      <c r="T76" s="137">
        <f t="shared" si="22"/>
        <v>80148</v>
      </c>
      <c r="U76" s="137">
        <f t="shared" si="22"/>
        <v>83660</v>
      </c>
      <c r="V76" s="137">
        <f t="shared" si="22"/>
        <v>61633</v>
      </c>
      <c r="W76" s="137">
        <f t="shared" ref="W76" si="23">SUM(W77:W81)</f>
        <v>65004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1782</v>
      </c>
      <c r="M77" s="84">
        <v>2019</v>
      </c>
      <c r="N77" s="84">
        <v>2131</v>
      </c>
      <c r="O77" s="84">
        <v>746</v>
      </c>
      <c r="P77" s="84">
        <v>2765</v>
      </c>
      <c r="Q77" s="84">
        <v>2897</v>
      </c>
      <c r="R77" s="84">
        <v>3191</v>
      </c>
      <c r="S77" s="84">
        <v>3150</v>
      </c>
      <c r="T77" s="84">
        <v>1511</v>
      </c>
      <c r="U77" s="84">
        <v>5281</v>
      </c>
      <c r="V77" s="84">
        <v>3034</v>
      </c>
      <c r="W77" s="84">
        <v>4529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21491</v>
      </c>
      <c r="F78" s="84">
        <v>28597</v>
      </c>
      <c r="G78" s="84">
        <v>37611</v>
      </c>
      <c r="H78" s="84">
        <v>31869</v>
      </c>
      <c r="I78" s="84">
        <v>34946</v>
      </c>
      <c r="J78" s="84">
        <v>48209</v>
      </c>
      <c r="K78" s="84">
        <v>53774</v>
      </c>
      <c r="L78" s="84">
        <v>34614</v>
      </c>
      <c r="M78" s="84">
        <v>41633</v>
      </c>
      <c r="N78" s="84">
        <v>44218</v>
      </c>
      <c r="O78" s="84">
        <v>44705</v>
      </c>
      <c r="P78" s="84">
        <v>43915</v>
      </c>
      <c r="Q78" s="84">
        <v>51243</v>
      </c>
      <c r="R78" s="84">
        <v>64409</v>
      </c>
      <c r="S78" s="84">
        <v>68103</v>
      </c>
      <c r="T78" s="84">
        <v>74334</v>
      </c>
      <c r="U78" s="84">
        <v>71609</v>
      </c>
      <c r="V78" s="84">
        <v>55703</v>
      </c>
      <c r="W78" s="84">
        <v>56572</v>
      </c>
      <c r="DA78" s="171" t="s">
        <v>855</v>
      </c>
    </row>
    <row r="79" spans="1:105" ht="11.45" customHeight="1" x14ac:dyDescent="0.25">
      <c r="A79" s="111" t="s">
        <v>112</v>
      </c>
      <c r="B79" s="84">
        <v>7991</v>
      </c>
      <c r="C79" s="84">
        <v>84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10</v>
      </c>
      <c r="L79" s="84">
        <v>340</v>
      </c>
      <c r="M79" s="84">
        <v>460</v>
      </c>
      <c r="N79" s="84">
        <v>549</v>
      </c>
      <c r="O79" s="84">
        <v>470</v>
      </c>
      <c r="P79" s="84">
        <v>745</v>
      </c>
      <c r="Q79" s="84">
        <v>633</v>
      </c>
      <c r="R79" s="84">
        <v>678</v>
      </c>
      <c r="S79" s="84">
        <v>939</v>
      </c>
      <c r="T79" s="84">
        <v>1415</v>
      </c>
      <c r="U79" s="84">
        <v>5069</v>
      </c>
      <c r="V79" s="84">
        <v>976</v>
      </c>
      <c r="W79" s="84">
        <v>722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136</v>
      </c>
      <c r="R80" s="84">
        <v>580</v>
      </c>
      <c r="S80" s="84">
        <v>616</v>
      </c>
      <c r="T80" s="84">
        <v>1928</v>
      </c>
      <c r="U80" s="84">
        <v>459</v>
      </c>
      <c r="V80" s="84">
        <v>311</v>
      </c>
      <c r="W80" s="84">
        <v>112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174</v>
      </c>
      <c r="O81" s="84">
        <v>226</v>
      </c>
      <c r="P81" s="84">
        <v>546</v>
      </c>
      <c r="Q81" s="84">
        <v>258</v>
      </c>
      <c r="R81" s="84">
        <v>288</v>
      </c>
      <c r="S81" s="84">
        <v>606</v>
      </c>
      <c r="T81" s="84">
        <v>960</v>
      </c>
      <c r="U81" s="84">
        <v>1242</v>
      </c>
      <c r="V81" s="84">
        <v>1609</v>
      </c>
      <c r="W81" s="84">
        <v>3069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0</v>
      </c>
      <c r="J82" s="110">
        <f t="shared" si="24"/>
        <v>2840</v>
      </c>
      <c r="K82" s="110">
        <f t="shared" si="24"/>
        <v>8050</v>
      </c>
      <c r="L82" s="110">
        <f t="shared" ref="L82" si="25">SUM(L83:L84)</f>
        <v>7177</v>
      </c>
      <c r="M82" s="110">
        <f t="shared" ref="M82:V82" si="26">SUM(M83:M84)</f>
        <v>5978</v>
      </c>
      <c r="N82" s="110">
        <f t="shared" si="26"/>
        <v>7611</v>
      </c>
      <c r="O82" s="110">
        <f t="shared" si="26"/>
        <v>8128</v>
      </c>
      <c r="P82" s="110">
        <f t="shared" si="26"/>
        <v>8843</v>
      </c>
      <c r="Q82" s="110">
        <f t="shared" si="26"/>
        <v>7599</v>
      </c>
      <c r="R82" s="110">
        <f t="shared" si="26"/>
        <v>10712</v>
      </c>
      <c r="S82" s="110">
        <f t="shared" si="26"/>
        <v>11034</v>
      </c>
      <c r="T82" s="110">
        <f t="shared" si="26"/>
        <v>10362</v>
      </c>
      <c r="U82" s="110">
        <f t="shared" si="26"/>
        <v>15719</v>
      </c>
      <c r="V82" s="110">
        <f t="shared" si="26"/>
        <v>11712</v>
      </c>
      <c r="W82" s="110">
        <f t="shared" ref="W82" si="27">SUM(W83:W84)</f>
        <v>10637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0</v>
      </c>
      <c r="J83" s="102">
        <v>2692</v>
      </c>
      <c r="K83" s="102">
        <v>7867</v>
      </c>
      <c r="L83" s="102">
        <v>5769</v>
      </c>
      <c r="M83" s="102">
        <v>5121</v>
      </c>
      <c r="N83" s="102">
        <v>6854</v>
      </c>
      <c r="O83" s="102">
        <v>6859</v>
      </c>
      <c r="P83" s="102">
        <v>7375</v>
      </c>
      <c r="Q83" s="102">
        <v>6109</v>
      </c>
      <c r="R83" s="102">
        <v>8522</v>
      </c>
      <c r="S83" s="102">
        <v>9527</v>
      </c>
      <c r="T83" s="102">
        <v>9175</v>
      </c>
      <c r="U83" s="102">
        <v>13466</v>
      </c>
      <c r="V83" s="102">
        <v>9381</v>
      </c>
      <c r="W83" s="102">
        <v>9217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148</v>
      </c>
      <c r="K84" s="86">
        <v>183</v>
      </c>
      <c r="L84" s="86">
        <v>1408</v>
      </c>
      <c r="M84" s="86">
        <v>857</v>
      </c>
      <c r="N84" s="86">
        <v>757</v>
      </c>
      <c r="O84" s="86">
        <v>1269</v>
      </c>
      <c r="P84" s="86">
        <v>1468</v>
      </c>
      <c r="Q84" s="86">
        <v>1490</v>
      </c>
      <c r="R84" s="86">
        <v>2190</v>
      </c>
      <c r="S84" s="86">
        <v>1507</v>
      </c>
      <c r="T84" s="86">
        <v>1187</v>
      </c>
      <c r="U84" s="86">
        <v>2253</v>
      </c>
      <c r="V84" s="86">
        <v>2331</v>
      </c>
      <c r="W84" s="86">
        <v>1420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3.9915776124817768</v>
      </c>
      <c r="C90" s="141">
        <v>3.9757837782883341</v>
      </c>
      <c r="D90" s="141">
        <v>3.9284649726576117</v>
      </c>
      <c r="E90" s="141">
        <v>3.9036119226352417</v>
      </c>
      <c r="F90" s="141">
        <v>3.8712817194927687</v>
      </c>
      <c r="G90" s="141">
        <v>3.8052505398506202</v>
      </c>
      <c r="H90" s="141">
        <v>3.6775128515624549</v>
      </c>
      <c r="I90" s="141">
        <v>3.606858684990732</v>
      </c>
      <c r="J90" s="141">
        <v>3.5181869050164614</v>
      </c>
      <c r="K90" s="141">
        <v>3.4238548228131149</v>
      </c>
      <c r="L90" s="141">
        <v>3.3369281903050716</v>
      </c>
      <c r="M90" s="141">
        <v>3.2740272840228126</v>
      </c>
      <c r="N90" s="141">
        <v>3.2355742146670625</v>
      </c>
      <c r="O90" s="141">
        <v>3.1798055006658275</v>
      </c>
      <c r="P90" s="141">
        <v>3.1207948913174448</v>
      </c>
      <c r="Q90" s="141">
        <v>3.0732889369298038</v>
      </c>
      <c r="R90" s="141">
        <v>2.9988583441107668</v>
      </c>
      <c r="S90" s="141">
        <v>2.9415853107683567</v>
      </c>
      <c r="T90" s="141">
        <v>2.8977254348136094</v>
      </c>
      <c r="U90" s="141">
        <v>2.8242762701702162</v>
      </c>
      <c r="V90" s="141">
        <v>2.7544233105586819</v>
      </c>
      <c r="W90" s="141">
        <v>2.6714616779636722</v>
      </c>
      <c r="DA90" s="174" t="s">
        <v>862</v>
      </c>
    </row>
    <row r="91" spans="1:105" ht="11.45" customHeight="1" x14ac:dyDescent="0.25">
      <c r="A91" s="109" t="s">
        <v>20</v>
      </c>
      <c r="B91" s="130">
        <v>8.1151539841427418</v>
      </c>
      <c r="C91" s="130">
        <v>7.9192649262682133</v>
      </c>
      <c r="D91" s="130">
        <v>7.8388465069825397</v>
      </c>
      <c r="E91" s="130">
        <v>7.7650386994704776</v>
      </c>
      <c r="F91" s="130">
        <v>7.6907464205474616</v>
      </c>
      <c r="G91" s="130">
        <v>7.6218808136899474</v>
      </c>
      <c r="H91" s="130">
        <v>7.5466689256919501</v>
      </c>
      <c r="I91" s="130">
        <v>7.4810148028623145</v>
      </c>
      <c r="J91" s="130">
        <v>7.404583383603077</v>
      </c>
      <c r="K91" s="130">
        <v>7.3205117787695553</v>
      </c>
      <c r="L91" s="130">
        <v>7.2044294591480131</v>
      </c>
      <c r="M91" s="130">
        <v>7.0509502483448472</v>
      </c>
      <c r="N91" s="130">
        <v>6.903445279798218</v>
      </c>
      <c r="O91" s="130">
        <v>6.7478383371715394</v>
      </c>
      <c r="P91" s="130">
        <v>6.652949703318277</v>
      </c>
      <c r="Q91" s="130">
        <v>6.4958351413802884</v>
      </c>
      <c r="R91" s="130">
        <v>6.4001403051531049</v>
      </c>
      <c r="S91" s="130">
        <v>6.3027260100671878</v>
      </c>
      <c r="T91" s="130">
        <v>6.1990848411435984</v>
      </c>
      <c r="U91" s="130">
        <v>6.0837046057296229</v>
      </c>
      <c r="V91" s="130">
        <v>5.9517657728537481</v>
      </c>
      <c r="W91" s="130">
        <v>5.7332221454221477</v>
      </c>
      <c r="DA91" s="176" t="s">
        <v>863</v>
      </c>
    </row>
    <row r="92" spans="1:105" ht="11.45" customHeight="1" x14ac:dyDescent="0.25">
      <c r="A92" s="111" t="s">
        <v>110</v>
      </c>
      <c r="B92" s="96">
        <v>8.4703631968783242</v>
      </c>
      <c r="C92" s="96">
        <v>8.2316254196317225</v>
      </c>
      <c r="D92" s="96">
        <v>8.1307103290154057</v>
      </c>
      <c r="E92" s="96">
        <v>8.0408775142118056</v>
      </c>
      <c r="F92" s="96">
        <v>7.956479757556604</v>
      </c>
      <c r="G92" s="96">
        <v>7.8811385008010255</v>
      </c>
      <c r="H92" s="96">
        <v>7.7954818606330747</v>
      </c>
      <c r="I92" s="96">
        <v>7.7125153060110847</v>
      </c>
      <c r="J92" s="96">
        <v>7.6121349200412061</v>
      </c>
      <c r="K92" s="96">
        <v>7.4919516723861248</v>
      </c>
      <c r="L92" s="96">
        <v>7.3357169113809979</v>
      </c>
      <c r="M92" s="96">
        <v>7.1653411246943826</v>
      </c>
      <c r="N92" s="96">
        <v>7.0035627375705776</v>
      </c>
      <c r="O92" s="96">
        <v>6.8373245528184228</v>
      </c>
      <c r="P92" s="96">
        <v>6.7312060618128644</v>
      </c>
      <c r="Q92" s="96">
        <v>6.5884601279365738</v>
      </c>
      <c r="R92" s="96">
        <v>6.4668293229642329</v>
      </c>
      <c r="S92" s="96">
        <v>6.3360552462174216</v>
      </c>
      <c r="T92" s="96">
        <v>6.2116898041823836</v>
      </c>
      <c r="U92" s="96">
        <v>6.0810291824173808</v>
      </c>
      <c r="V92" s="96">
        <v>5.948730395772384</v>
      </c>
      <c r="W92" s="96">
        <v>5.7576878009589443</v>
      </c>
      <c r="DA92" s="171" t="s">
        <v>864</v>
      </c>
    </row>
    <row r="93" spans="1:105" ht="11.45" customHeight="1" x14ac:dyDescent="0.25">
      <c r="A93" s="111" t="s">
        <v>111</v>
      </c>
      <c r="B93" s="96">
        <v>6.9231403532158264</v>
      </c>
      <c r="C93" s="96">
        <v>6.5361932919499885</v>
      </c>
      <c r="D93" s="96">
        <v>6.4299796211840166</v>
      </c>
      <c r="E93" s="96">
        <v>6.3494489426747638</v>
      </c>
      <c r="F93" s="96">
        <v>6.2784383928272565</v>
      </c>
      <c r="G93" s="96">
        <v>6.2140488219876273</v>
      </c>
      <c r="H93" s="96">
        <v>6.1815168312210842</v>
      </c>
      <c r="I93" s="96">
        <v>6.1564520982594644</v>
      </c>
      <c r="J93" s="96">
        <v>6.1104867370503486</v>
      </c>
      <c r="K93" s="96">
        <v>6.0608847940547834</v>
      </c>
      <c r="L93" s="96">
        <v>5.9917019962971718</v>
      </c>
      <c r="M93" s="96">
        <v>5.8007546184123759</v>
      </c>
      <c r="N93" s="96">
        <v>5.6343773994770059</v>
      </c>
      <c r="O93" s="96">
        <v>5.4914346886431318</v>
      </c>
      <c r="P93" s="96">
        <v>5.333877907063683</v>
      </c>
      <c r="Q93" s="96">
        <v>5.1495279816339057</v>
      </c>
      <c r="R93" s="96">
        <v>5.0790089250085071</v>
      </c>
      <c r="S93" s="96">
        <v>5.0142309121282285</v>
      </c>
      <c r="T93" s="96">
        <v>4.9277132368101846</v>
      </c>
      <c r="U93" s="96">
        <v>4.8934075141909572</v>
      </c>
      <c r="V93" s="96">
        <v>4.8047368235095256</v>
      </c>
      <c r="W93" s="96">
        <v>4.7229318695612568</v>
      </c>
      <c r="DA93" s="171" t="s">
        <v>865</v>
      </c>
    </row>
    <row r="94" spans="1:105" ht="11.45" customHeight="1" x14ac:dyDescent="0.25">
      <c r="A94" s="111" t="s">
        <v>112</v>
      </c>
      <c r="B94" s="96">
        <v>6.3930639700059055</v>
      </c>
      <c r="C94" s="96">
        <v>6.3722793692050592</v>
      </c>
      <c r="D94" s="96">
        <v>6.371884384404936</v>
      </c>
      <c r="E94" s="96">
        <v>6.3711027329117167</v>
      </c>
      <c r="F94" s="96">
        <v>6.3702186529422784</v>
      </c>
      <c r="G94" s="96">
        <v>6.3692362564070892</v>
      </c>
      <c r="H94" s="96">
        <v>6.3681538031358871</v>
      </c>
      <c r="I94" s="96">
        <v>6.3669737881727775</v>
      </c>
      <c r="J94" s="96">
        <v>6.3656937337121517</v>
      </c>
      <c r="K94" s="96">
        <v>6.3637734987649344</v>
      </c>
      <c r="L94" s="96">
        <v>6.3558518870685958</v>
      </c>
      <c r="M94" s="96">
        <v>6.2738086625475979</v>
      </c>
      <c r="N94" s="96">
        <v>6.1427356452080986</v>
      </c>
      <c r="O94" s="96">
        <v>6.1149380772584196</v>
      </c>
      <c r="P94" s="96">
        <v>6.0809223536704469</v>
      </c>
      <c r="Q94" s="96">
        <v>6.0461623640066753</v>
      </c>
      <c r="R94" s="96">
        <v>5.9752232820676365</v>
      </c>
      <c r="S94" s="96">
        <v>5.9228890732336064</v>
      </c>
      <c r="T94" s="96">
        <v>5.8567114454952094</v>
      </c>
      <c r="U94" s="96">
        <v>5.6928606045539221</v>
      </c>
      <c r="V94" s="96">
        <v>5.6321576684541483</v>
      </c>
      <c r="W94" s="96">
        <v>5.5307949072934166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7.5010086070677753</v>
      </c>
      <c r="M95" s="96">
        <v>7.4314587411888704</v>
      </c>
      <c r="N95" s="96">
        <v>6.8931810849125519</v>
      </c>
      <c r="O95" s="96">
        <v>6.6430611412887073</v>
      </c>
      <c r="P95" s="96">
        <v>5.9737846628431512</v>
      </c>
      <c r="Q95" s="96">
        <v>5.9193167485995035</v>
      </c>
      <c r="R95" s="96">
        <v>5.0770275966645553</v>
      </c>
      <c r="S95" s="96">
        <v>6.0504988827691433</v>
      </c>
      <c r="T95" s="96">
        <v>6.7618110064335086</v>
      </c>
      <c r="U95" s="96">
        <v>6.7923091849344575</v>
      </c>
      <c r="V95" s="96">
        <v>6.8473078211863188</v>
      </c>
      <c r="W95" s="96">
        <v>7.0331916052033163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3.2250164422161824</v>
      </c>
      <c r="N96" s="96">
        <v>2.3560874955760851</v>
      </c>
      <c r="O96" s="96">
        <v>2.5383531129029144</v>
      </c>
      <c r="P96" s="96">
        <v>3.249929408333065</v>
      </c>
      <c r="Q96" s="96">
        <v>3.0367055223980288</v>
      </c>
      <c r="R96" s="96">
        <v>2.9826753840098901</v>
      </c>
      <c r="S96" s="96">
        <v>2.9826533409944669</v>
      </c>
      <c r="T96" s="96">
        <v>2.9979533063509343</v>
      </c>
      <c r="U96" s="96">
        <v>3.0130668120917519</v>
      </c>
      <c r="V96" s="96">
        <v>3.1402099592380419</v>
      </c>
      <c r="W96" s="96">
        <v>3.0724017094265585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1.6544713297474181</v>
      </c>
      <c r="L97" s="96">
        <v>1.6312876182287188</v>
      </c>
      <c r="M97" s="96">
        <v>1.6312876182287186</v>
      </c>
      <c r="N97" s="96">
        <v>1.5393166243570853</v>
      </c>
      <c r="O97" s="96">
        <v>1.4317991974262922</v>
      </c>
      <c r="P97" s="96">
        <v>1.4071592448649934</v>
      </c>
      <c r="Q97" s="96">
        <v>1.464414991382651</v>
      </c>
      <c r="R97" s="96">
        <v>1.4602500750519891</v>
      </c>
      <c r="S97" s="96">
        <v>1.4127905421933054</v>
      </c>
      <c r="T97" s="96">
        <v>1.5165536206383483</v>
      </c>
      <c r="U97" s="96">
        <v>1.4863970710546386</v>
      </c>
      <c r="V97" s="96">
        <v>1.4657829893955503</v>
      </c>
      <c r="W97" s="96">
        <v>1.4761259688267379</v>
      </c>
      <c r="DA97" s="171" t="s">
        <v>869</v>
      </c>
    </row>
    <row r="98" spans="1:105" ht="11.45" customHeight="1" x14ac:dyDescent="0.25">
      <c r="A98" s="109" t="s">
        <v>21</v>
      </c>
      <c r="B98" s="130">
        <v>55.498079181591393</v>
      </c>
      <c r="C98" s="130">
        <v>54.421515596870158</v>
      </c>
      <c r="D98" s="130">
        <v>53.965598414210781</v>
      </c>
      <c r="E98" s="130">
        <v>53.43815379696003</v>
      </c>
      <c r="F98" s="130">
        <v>52.849170194071121</v>
      </c>
      <c r="G98" s="130">
        <v>52.082303270839169</v>
      </c>
      <c r="H98" s="130">
        <v>51.511092741282205</v>
      </c>
      <c r="I98" s="130">
        <v>50.732982639168775</v>
      </c>
      <c r="J98" s="130">
        <v>50.053691500297077</v>
      </c>
      <c r="K98" s="130">
        <v>49.314975844024801</v>
      </c>
      <c r="L98" s="130">
        <v>48.953155285687302</v>
      </c>
      <c r="M98" s="130">
        <v>48.559380224035181</v>
      </c>
      <c r="N98" s="130">
        <v>47.879309667261161</v>
      </c>
      <c r="O98" s="130">
        <v>47.234949718042472</v>
      </c>
      <c r="P98" s="130">
        <v>46.556742529259076</v>
      </c>
      <c r="Q98" s="130">
        <v>45.776560207015812</v>
      </c>
      <c r="R98" s="130">
        <v>44.826362697555417</v>
      </c>
      <c r="S98" s="130">
        <v>43.99501059012438</v>
      </c>
      <c r="T98" s="130">
        <v>43.164452143520116</v>
      </c>
      <c r="U98" s="130">
        <v>41.450965426850239</v>
      </c>
      <c r="V98" s="130">
        <v>39.272221433159821</v>
      </c>
      <c r="W98" s="130">
        <v>37.683483660741082</v>
      </c>
      <c r="DA98" s="176" t="s">
        <v>870</v>
      </c>
    </row>
    <row r="99" spans="1:105" ht="11.45" customHeight="1" x14ac:dyDescent="0.25">
      <c r="A99" s="111" t="s">
        <v>110</v>
      </c>
      <c r="B99" s="97">
        <v>16.914499697415149</v>
      </c>
      <c r="C99" s="97">
        <v>16.178226045417894</v>
      </c>
      <c r="D99" s="97">
        <v>15.717462765710231</v>
      </c>
      <c r="E99" s="97">
        <v>15.421342406354727</v>
      </c>
      <c r="F99" s="97">
        <v>15.383079283009035</v>
      </c>
      <c r="G99" s="97">
        <v>15.267732173768572</v>
      </c>
      <c r="H99" s="97">
        <v>15.197955754694682</v>
      </c>
      <c r="I99" s="97">
        <v>15.05522983661513</v>
      </c>
      <c r="J99" s="97">
        <v>15.055229836615135</v>
      </c>
      <c r="K99" s="97">
        <v>14.92877503521834</v>
      </c>
      <c r="L99" s="97">
        <v>14.544245809789569</v>
      </c>
      <c r="M99" s="97">
        <v>14.26302398180851</v>
      </c>
      <c r="N99" s="97">
        <v>13.484860599410785</v>
      </c>
      <c r="O99" s="97">
        <v>13.403267979121328</v>
      </c>
      <c r="P99" s="97">
        <v>13.354947232247619</v>
      </c>
      <c r="Q99" s="97">
        <v>11.941332969132553</v>
      </c>
      <c r="R99" s="97">
        <v>11.559675850870976</v>
      </c>
      <c r="S99" s="97">
        <v>11.335547695672366</v>
      </c>
      <c r="T99" s="97">
        <v>11.161401508372354</v>
      </c>
      <c r="U99" s="97">
        <v>9.9176570862492159</v>
      </c>
      <c r="V99" s="97">
        <v>9.8283238115966984</v>
      </c>
      <c r="W99" s="97">
        <v>9.7882601990828579</v>
      </c>
      <c r="DA99" s="175" t="s">
        <v>871</v>
      </c>
    </row>
    <row r="100" spans="1:105" ht="11.45" customHeight="1" x14ac:dyDescent="0.25">
      <c r="A100" s="111" t="s">
        <v>111</v>
      </c>
      <c r="B100" s="97">
        <v>55.884457951791198</v>
      </c>
      <c r="C100" s="97">
        <v>54.395235118247506</v>
      </c>
      <c r="D100" s="97">
        <v>53.835622932629008</v>
      </c>
      <c r="E100" s="97">
        <v>53.170060100625065</v>
      </c>
      <c r="F100" s="97">
        <v>52.502081597729891</v>
      </c>
      <c r="G100" s="97">
        <v>51.747720172660721</v>
      </c>
      <c r="H100" s="97">
        <v>51.200703448733321</v>
      </c>
      <c r="I100" s="97">
        <v>50.48024345509652</v>
      </c>
      <c r="J100" s="97">
        <v>49.86228436693861</v>
      </c>
      <c r="K100" s="97">
        <v>49.305270100124417</v>
      </c>
      <c r="L100" s="97">
        <v>49.098359407582677</v>
      </c>
      <c r="M100" s="97">
        <v>48.973710086043624</v>
      </c>
      <c r="N100" s="97">
        <v>48.479924606202509</v>
      </c>
      <c r="O100" s="97">
        <v>47.921424231032006</v>
      </c>
      <c r="P100" s="97">
        <v>47.33205849588682</v>
      </c>
      <c r="Q100" s="97">
        <v>46.739796062327862</v>
      </c>
      <c r="R100" s="97">
        <v>46.145539054029676</v>
      </c>
      <c r="S100" s="97">
        <v>45.64516755661122</v>
      </c>
      <c r="T100" s="97">
        <v>45.088799118305488</v>
      </c>
      <c r="U100" s="97">
        <v>44.46709603957369</v>
      </c>
      <c r="V100" s="97">
        <v>43.431209933749066</v>
      </c>
      <c r="W100" s="97">
        <v>42.375466808180441</v>
      </c>
      <c r="DA100" s="175" t="s">
        <v>872</v>
      </c>
    </row>
    <row r="101" spans="1:105" ht="11.45" customHeight="1" x14ac:dyDescent="0.25">
      <c r="A101" s="111" t="s">
        <v>112</v>
      </c>
      <c r="B101" s="97">
        <v>42.818971967672425</v>
      </c>
      <c r="C101" s="97">
        <v>42.818971967672432</v>
      </c>
      <c r="D101" s="97">
        <v>42.818971967672425</v>
      </c>
      <c r="E101" s="97">
        <v>42.818971967672432</v>
      </c>
      <c r="F101" s="97">
        <v>42.818971967672418</v>
      </c>
      <c r="G101" s="97">
        <v>41.752947488186017</v>
      </c>
      <c r="H101" s="97">
        <v>41.597571501515574</v>
      </c>
      <c r="I101" s="97">
        <v>41.476393662048892</v>
      </c>
      <c r="J101" s="97">
        <v>41.466563003251501</v>
      </c>
      <c r="K101" s="97">
        <v>41.390003566603013</v>
      </c>
      <c r="L101" s="97">
        <v>41.390003566603013</v>
      </c>
      <c r="M101" s="97">
        <v>41.342500754862542</v>
      </c>
      <c r="N101" s="97">
        <v>41.304255981646527</v>
      </c>
      <c r="O101" s="97">
        <v>41.291731097909746</v>
      </c>
      <c r="P101" s="97">
        <v>41.263977227357614</v>
      </c>
      <c r="Q101" s="97">
        <v>41.263977227357607</v>
      </c>
      <c r="R101" s="97">
        <v>41.295872423165982</v>
      </c>
      <c r="S101" s="97">
        <v>41.253697136378328</v>
      </c>
      <c r="T101" s="97">
        <v>41.223505359411398</v>
      </c>
      <c r="U101" s="97">
        <v>41.223505359411398</v>
      </c>
      <c r="V101" s="97">
        <v>41.223313115613315</v>
      </c>
      <c r="W101" s="97">
        <v>41.190782268810771</v>
      </c>
      <c r="DA101" s="175" t="s">
        <v>873</v>
      </c>
    </row>
    <row r="102" spans="1:105" ht="11.45" customHeight="1" x14ac:dyDescent="0.25">
      <c r="A102" s="111" t="s">
        <v>113</v>
      </c>
      <c r="B102" s="97">
        <v>44.691820608560349</v>
      </c>
      <c r="C102" s="97">
        <v>43.0226495037315</v>
      </c>
      <c r="D102" s="97">
        <v>41.597098947195782</v>
      </c>
      <c r="E102" s="97">
        <v>41.376180563571459</v>
      </c>
      <c r="F102" s="97">
        <v>41.209356250154364</v>
      </c>
      <c r="G102" s="97">
        <v>41.035156715292061</v>
      </c>
      <c r="H102" s="97">
        <v>40.485918966087674</v>
      </c>
      <c r="I102" s="97">
        <v>40.364641909538015</v>
      </c>
      <c r="J102" s="97">
        <v>40.041675086005633</v>
      </c>
      <c r="K102" s="97">
        <v>39.494702059223513</v>
      </c>
      <c r="L102" s="97">
        <v>39.275167527612666</v>
      </c>
      <c r="M102" s="97">
        <v>38.804835926750968</v>
      </c>
      <c r="N102" s="97">
        <v>38.46213791042554</v>
      </c>
      <c r="O102" s="97">
        <v>38.284291355397677</v>
      </c>
      <c r="P102" s="97">
        <v>38.187910288962364</v>
      </c>
      <c r="Q102" s="97">
        <v>37.88711230158782</v>
      </c>
      <c r="R102" s="97">
        <v>37.436710302394502</v>
      </c>
      <c r="S102" s="97">
        <v>37.103291639149703</v>
      </c>
      <c r="T102" s="97">
        <v>36.789694522201508</v>
      </c>
      <c r="U102" s="97">
        <v>36.300832317467901</v>
      </c>
      <c r="V102" s="97">
        <v>35.749169878498812</v>
      </c>
      <c r="W102" s="97">
        <v>35.394073862439875</v>
      </c>
      <c r="DA102" s="175" t="s">
        <v>874</v>
      </c>
    </row>
    <row r="103" spans="1:105" ht="11.45" customHeight="1" x14ac:dyDescent="0.25">
      <c r="A103" s="111" t="s">
        <v>115</v>
      </c>
      <c r="B103" s="97">
        <v>30.14756062794531</v>
      </c>
      <c r="C103" s="97">
        <v>30.147560627945307</v>
      </c>
      <c r="D103" s="97">
        <v>29.186682526960379</v>
      </c>
      <c r="E103" s="97">
        <v>29.069934305002505</v>
      </c>
      <c r="F103" s="97">
        <v>27.672402327911552</v>
      </c>
      <c r="G103" s="97">
        <v>27.477245073760326</v>
      </c>
      <c r="H103" s="97">
        <v>27.377477224407599</v>
      </c>
      <c r="I103" s="97">
        <v>27.377477224407599</v>
      </c>
      <c r="J103" s="97">
        <v>26.97655229098428</v>
      </c>
      <c r="K103" s="97">
        <v>25.817564396232036</v>
      </c>
      <c r="L103" s="97">
        <v>24.262811968457303</v>
      </c>
      <c r="M103" s="97">
        <v>24.111588732368055</v>
      </c>
      <c r="N103" s="97">
        <v>24.007297224986107</v>
      </c>
      <c r="O103" s="97">
        <v>22.390820895146629</v>
      </c>
      <c r="P103" s="97">
        <v>22.304605335285615</v>
      </c>
      <c r="Q103" s="97">
        <v>22.141648971912062</v>
      </c>
      <c r="R103" s="97">
        <v>21.385462163398035</v>
      </c>
      <c r="S103" s="97">
        <v>21.297292897333573</v>
      </c>
      <c r="T103" s="97">
        <v>21.200976443799327</v>
      </c>
      <c r="U103" s="97">
        <v>21.081629656520789</v>
      </c>
      <c r="V103" s="97">
        <v>21.009720867128124</v>
      </c>
      <c r="W103" s="97">
        <v>20.980314277361554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10.742466719294866</v>
      </c>
      <c r="C105" s="141">
        <v>10.286126007807251</v>
      </c>
      <c r="D105" s="141">
        <v>10.133746483272212</v>
      </c>
      <c r="E105" s="141">
        <v>10.003321325030974</v>
      </c>
      <c r="F105" s="141">
        <v>9.8887380252282728</v>
      </c>
      <c r="G105" s="141">
        <v>9.7360516182795358</v>
      </c>
      <c r="H105" s="141">
        <v>9.6015532526951528</v>
      </c>
      <c r="I105" s="141">
        <v>9.4951234150155503</v>
      </c>
      <c r="J105" s="141">
        <v>9.3911895623316912</v>
      </c>
      <c r="K105" s="141">
        <v>9.2710850172224841</v>
      </c>
      <c r="L105" s="141">
        <v>9.2670239215584314</v>
      </c>
      <c r="M105" s="141">
        <v>9.1956219054504853</v>
      </c>
      <c r="N105" s="141">
        <v>9.0742555806383738</v>
      </c>
      <c r="O105" s="141">
        <v>8.9501761236578261</v>
      </c>
      <c r="P105" s="141">
        <v>8.7970082206619011</v>
      </c>
      <c r="Q105" s="141">
        <v>8.6266279013285221</v>
      </c>
      <c r="R105" s="141">
        <v>8.405610009903743</v>
      </c>
      <c r="S105" s="141">
        <v>8.1800902346043003</v>
      </c>
      <c r="T105" s="141">
        <v>7.939773134611861</v>
      </c>
      <c r="U105" s="141">
        <v>7.7578411639388518</v>
      </c>
      <c r="V105" s="141">
        <v>7.6323493642741278</v>
      </c>
      <c r="W105" s="141">
        <v>7.4665398869030586</v>
      </c>
      <c r="DA105" s="174" t="s">
        <v>876</v>
      </c>
    </row>
    <row r="106" spans="1:105" ht="11.45" customHeight="1" x14ac:dyDescent="0.25">
      <c r="A106" s="111" t="s">
        <v>110</v>
      </c>
      <c r="B106" s="96">
        <v>10.91044754025901</v>
      </c>
      <c r="C106" s="96">
        <v>10.91044754025901</v>
      </c>
      <c r="D106" s="96">
        <v>10.91044754025901</v>
      </c>
      <c r="E106" s="96">
        <v>10.91044754025901</v>
      </c>
      <c r="F106" s="96">
        <v>10.91044754025901</v>
      </c>
      <c r="G106" s="96">
        <v>10.91044754025901</v>
      </c>
      <c r="H106" s="96">
        <v>10.910447540259009</v>
      </c>
      <c r="I106" s="96">
        <v>10.910447540259009</v>
      </c>
      <c r="J106" s="96">
        <v>10.91044754025901</v>
      </c>
      <c r="K106" s="96">
        <v>10.817762818060285</v>
      </c>
      <c r="L106" s="96">
        <v>10.587416070368722</v>
      </c>
      <c r="M106" s="96">
        <v>10.346480705161145</v>
      </c>
      <c r="N106" s="96">
        <v>10.031444372586934</v>
      </c>
      <c r="O106" s="96">
        <v>9.833919739502937</v>
      </c>
      <c r="P106" s="96">
        <v>9.3929622489157492</v>
      </c>
      <c r="Q106" s="96">
        <v>8.9736418967914577</v>
      </c>
      <c r="R106" s="96">
        <v>8.5584969335762153</v>
      </c>
      <c r="S106" s="96">
        <v>8.1741880348545202</v>
      </c>
      <c r="T106" s="96">
        <v>7.9419137652574046</v>
      </c>
      <c r="U106" s="96">
        <v>7.5348457002710925</v>
      </c>
      <c r="V106" s="96">
        <v>7.3199640167992275</v>
      </c>
      <c r="W106" s="96">
        <v>6.8855109528062828</v>
      </c>
      <c r="DA106" s="171" t="s">
        <v>877</v>
      </c>
    </row>
    <row r="107" spans="1:105" ht="11.45" customHeight="1" x14ac:dyDescent="0.25">
      <c r="A107" s="111" t="s">
        <v>111</v>
      </c>
      <c r="B107" s="96">
        <v>10.370601142176421</v>
      </c>
      <c r="C107" s="96">
        <v>9.7666873454657921</v>
      </c>
      <c r="D107" s="96">
        <v>9.616870603262516</v>
      </c>
      <c r="E107" s="96">
        <v>9.5061761155517868</v>
      </c>
      <c r="F107" s="96">
        <v>9.4196822250732861</v>
      </c>
      <c r="G107" s="96">
        <v>9.3191382042452382</v>
      </c>
      <c r="H107" s="96">
        <v>9.2273092244875059</v>
      </c>
      <c r="I107" s="96">
        <v>9.1536550624570019</v>
      </c>
      <c r="J107" s="96">
        <v>9.0747358764875461</v>
      </c>
      <c r="K107" s="96">
        <v>8.9798068403492461</v>
      </c>
      <c r="L107" s="96">
        <v>8.9891719579443556</v>
      </c>
      <c r="M107" s="96">
        <v>8.9493094086161644</v>
      </c>
      <c r="N107" s="96">
        <v>8.8124710620982416</v>
      </c>
      <c r="O107" s="96">
        <v>8.6584582087112398</v>
      </c>
      <c r="P107" s="96">
        <v>8.4976713557905903</v>
      </c>
      <c r="Q107" s="96">
        <v>8.3145878367342334</v>
      </c>
      <c r="R107" s="96">
        <v>8.0640604739332211</v>
      </c>
      <c r="S107" s="96">
        <v>7.8215948255406236</v>
      </c>
      <c r="T107" s="96">
        <v>7.5779397900569778</v>
      </c>
      <c r="U107" s="96">
        <v>7.3973918100811105</v>
      </c>
      <c r="V107" s="96">
        <v>7.2791948704067959</v>
      </c>
      <c r="W107" s="96">
        <v>7.1780522781874101</v>
      </c>
      <c r="DA107" s="171" t="s">
        <v>878</v>
      </c>
    </row>
    <row r="108" spans="1:105" ht="11.45" customHeight="1" x14ac:dyDescent="0.25">
      <c r="A108" s="111" t="s">
        <v>112</v>
      </c>
      <c r="B108" s="96">
        <v>19.797844752374431</v>
      </c>
      <c r="C108" s="96">
        <v>19.78382543795605</v>
      </c>
      <c r="D108" s="96">
        <v>19.783766905288186</v>
      </c>
      <c r="E108" s="96">
        <v>19.783428197725659</v>
      </c>
      <c r="F108" s="96">
        <v>19.782910656945432</v>
      </c>
      <c r="G108" s="96">
        <v>19.781190529590649</v>
      </c>
      <c r="H108" s="96">
        <v>19.780086824310157</v>
      </c>
      <c r="I108" s="96">
        <v>19.77953055202773</v>
      </c>
      <c r="J108" s="96">
        <v>19.779512861184973</v>
      </c>
      <c r="K108" s="96">
        <v>19.775004130413325</v>
      </c>
      <c r="L108" s="96">
        <v>19.538608096375086</v>
      </c>
      <c r="M108" s="96">
        <v>19.249974235892708</v>
      </c>
      <c r="N108" s="96">
        <v>18.902196955045149</v>
      </c>
      <c r="O108" s="96">
        <v>18.692148389869143</v>
      </c>
      <c r="P108" s="96">
        <v>18.30657354729383</v>
      </c>
      <c r="Q108" s="96">
        <v>17.961192651668711</v>
      </c>
      <c r="R108" s="96">
        <v>17.558993627581014</v>
      </c>
      <c r="S108" s="96">
        <v>17.100365725080238</v>
      </c>
      <c r="T108" s="96">
        <v>15.77634610987776</v>
      </c>
      <c r="U108" s="96">
        <v>12.989042095242077</v>
      </c>
      <c r="V108" s="96">
        <v>12.744171951777741</v>
      </c>
      <c r="W108" s="96">
        <v>12.191233450717816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9.961204291761387</v>
      </c>
      <c r="F109" s="96">
        <v>9.961204291761387</v>
      </c>
      <c r="G109" s="96">
        <v>9.961204291761387</v>
      </c>
      <c r="H109" s="96">
        <v>9.9612042917613888</v>
      </c>
      <c r="I109" s="96">
        <v>9.7230311107396759</v>
      </c>
      <c r="J109" s="96">
        <v>9.7230311107396741</v>
      </c>
      <c r="K109" s="96">
        <v>9.2534982345870453</v>
      </c>
      <c r="L109" s="96">
        <v>8.9645142376097944</v>
      </c>
      <c r="M109" s="96">
        <v>8.7872117431793733</v>
      </c>
      <c r="N109" s="96">
        <v>8.4317919149054124</v>
      </c>
      <c r="O109" s="96">
        <v>8.2832679356075793</v>
      </c>
      <c r="P109" s="96">
        <v>8.1243759380064926</v>
      </c>
      <c r="Q109" s="96">
        <v>8.0978498724620067</v>
      </c>
      <c r="R109" s="96">
        <v>7.4761170378872919</v>
      </c>
      <c r="S109" s="96">
        <v>7.4568674007289468</v>
      </c>
      <c r="T109" s="96">
        <v>7.0299155691809361</v>
      </c>
      <c r="U109" s="96">
        <v>6.9920730122309589</v>
      </c>
      <c r="V109" s="96">
        <v>6.9222643255071512</v>
      </c>
      <c r="W109" s="96">
        <v>6.9255980581297809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1.3462223264458861</v>
      </c>
      <c r="N110" s="96">
        <v>1.3327601031814273</v>
      </c>
      <c r="O110" s="96">
        <v>1.3300780924020441</v>
      </c>
      <c r="P110" s="96">
        <v>1.3664217478241367</v>
      </c>
      <c r="Q110" s="96">
        <v>1.3798968555919844</v>
      </c>
      <c r="R110" s="96">
        <v>1.3904420742947619</v>
      </c>
      <c r="S110" s="96">
        <v>1.3753285531407957</v>
      </c>
      <c r="T110" s="96">
        <v>1.4644330833685126</v>
      </c>
      <c r="U110" s="96">
        <v>1.5998239583905778</v>
      </c>
      <c r="V110" s="96">
        <v>1.7341995608455798</v>
      </c>
      <c r="W110" s="96">
        <v>1.8827607954097985</v>
      </c>
      <c r="DA110" s="171" t="s">
        <v>881</v>
      </c>
    </row>
    <row r="111" spans="1:105" ht="11.45" customHeight="1" x14ac:dyDescent="0.25">
      <c r="A111" s="109" t="s">
        <v>158</v>
      </c>
      <c r="B111" s="130">
        <v>31.196280028605429</v>
      </c>
      <c r="C111" s="130">
        <v>31.015579978894969</v>
      </c>
      <c r="D111" s="130">
        <v>30.826052082092897</v>
      </c>
      <c r="E111" s="130">
        <v>30.640012466358598</v>
      </c>
      <c r="F111" s="130">
        <v>30.457270908792854</v>
      </c>
      <c r="G111" s="130">
        <v>30.224432361232971</v>
      </c>
      <c r="H111" s="130">
        <v>29.946347045743337</v>
      </c>
      <c r="I111" s="130">
        <v>29.640341480494001</v>
      </c>
      <c r="J111" s="130">
        <v>29.258874479834013</v>
      </c>
      <c r="K111" s="130">
        <v>28.815405206456902</v>
      </c>
      <c r="L111" s="130">
        <v>28.441974255941222</v>
      </c>
      <c r="M111" s="130">
        <v>28.181975596584952</v>
      </c>
      <c r="N111" s="130">
        <v>27.84627575512582</v>
      </c>
      <c r="O111" s="130">
        <v>27.444729296465606</v>
      </c>
      <c r="P111" s="130">
        <v>26.973798285737249</v>
      </c>
      <c r="Q111" s="130">
        <v>26.576985806319318</v>
      </c>
      <c r="R111" s="130">
        <v>26.166140327760999</v>
      </c>
      <c r="S111" s="130">
        <v>25.563839926728697</v>
      </c>
      <c r="T111" s="130">
        <v>25.003877787105623</v>
      </c>
      <c r="U111" s="130">
        <v>24.293576296683572</v>
      </c>
      <c r="V111" s="130">
        <v>23.714425023080313</v>
      </c>
      <c r="W111" s="130">
        <v>23.040888850693594</v>
      </c>
      <c r="DA111" s="176" t="s">
        <v>882</v>
      </c>
    </row>
    <row r="112" spans="1:105" ht="11.45" customHeight="1" x14ac:dyDescent="0.25">
      <c r="A112" s="128" t="s">
        <v>27</v>
      </c>
      <c r="B112" s="97">
        <v>30.621435363039037</v>
      </c>
      <c r="C112" s="97">
        <v>30.444846561004287</v>
      </c>
      <c r="D112" s="97">
        <v>30.24764312165906</v>
      </c>
      <c r="E112" s="97">
        <v>30.055305985200274</v>
      </c>
      <c r="F112" s="97">
        <v>29.715118141366574</v>
      </c>
      <c r="G112" s="97">
        <v>29.493974780197195</v>
      </c>
      <c r="H112" s="97">
        <v>29.187178401933586</v>
      </c>
      <c r="I112" s="97">
        <v>28.952382355552004</v>
      </c>
      <c r="J112" s="97">
        <v>28.561268566399193</v>
      </c>
      <c r="K112" s="97">
        <v>28.178729506211678</v>
      </c>
      <c r="L112" s="97">
        <v>27.803558147292254</v>
      </c>
      <c r="M112" s="97">
        <v>27.565063211446503</v>
      </c>
      <c r="N112" s="97">
        <v>27.239302837600665</v>
      </c>
      <c r="O112" s="97">
        <v>26.808206988484621</v>
      </c>
      <c r="P112" s="97">
        <v>26.301987203299809</v>
      </c>
      <c r="Q112" s="97">
        <v>25.909018115217954</v>
      </c>
      <c r="R112" s="97">
        <v>25.523484348193982</v>
      </c>
      <c r="S112" s="97">
        <v>24.906126537067074</v>
      </c>
      <c r="T112" s="97">
        <v>24.352137158855538</v>
      </c>
      <c r="U112" s="97">
        <v>23.646266790771545</v>
      </c>
      <c r="V112" s="97">
        <v>23.050203223320871</v>
      </c>
      <c r="W112" s="97">
        <v>22.331483583916395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36.302357994238541</v>
      </c>
      <c r="D113" s="98">
        <v>35.909112717106638</v>
      </c>
      <c r="E113" s="98">
        <v>35.572380402995847</v>
      </c>
      <c r="F113" s="98">
        <v>34.870651604995082</v>
      </c>
      <c r="G113" s="98">
        <v>34.504247308437208</v>
      </c>
      <c r="H113" s="98">
        <v>34.067296324525039</v>
      </c>
      <c r="I113" s="98">
        <v>33.705395075208799</v>
      </c>
      <c r="J113" s="98">
        <v>33.292952859503657</v>
      </c>
      <c r="K113" s="98">
        <v>33.0540977925573</v>
      </c>
      <c r="L113" s="98">
        <v>32.477276277368816</v>
      </c>
      <c r="M113" s="98">
        <v>32.049188738844023</v>
      </c>
      <c r="N113" s="98">
        <v>31.793840715565509</v>
      </c>
      <c r="O113" s="98">
        <v>31.389690168941502</v>
      </c>
      <c r="P113" s="98">
        <v>30.927484565047287</v>
      </c>
      <c r="Q113" s="98">
        <v>30.456220789377088</v>
      </c>
      <c r="R113" s="98">
        <v>29.804936937223843</v>
      </c>
      <c r="S113" s="98">
        <v>29.321744595111305</v>
      </c>
      <c r="T113" s="98">
        <v>28.897313082935856</v>
      </c>
      <c r="U113" s="98">
        <v>28.229325529891089</v>
      </c>
      <c r="V113" s="98">
        <v>27.607997637719549</v>
      </c>
      <c r="W113" s="98">
        <v>27.186922425760184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1.110840335386609</v>
      </c>
      <c r="C117" s="150">
        <f>IF(TrRoad_act!C59=0,0,TrRoad_ene!C62/TrRoad_tech!C90)</f>
        <v>1.1139467477203522</v>
      </c>
      <c r="D117" s="150">
        <f>IF(TrRoad_act!D59=0,0,TrRoad_ene!D62/TrRoad_tech!D90)</f>
        <v>1.1166005152679066</v>
      </c>
      <c r="E117" s="150">
        <f>IF(TrRoad_act!E59=0,0,TrRoad_ene!E62/TrRoad_tech!E90)</f>
        <v>1.1288755615288526</v>
      </c>
      <c r="F117" s="150">
        <f>IF(TrRoad_act!F59=0,0,TrRoad_ene!F62/TrRoad_tech!F90)</f>
        <v>1.1301020227691421</v>
      </c>
      <c r="G117" s="150">
        <f>IF(TrRoad_act!G59=0,0,TrRoad_ene!G62/TrRoad_tech!G90)</f>
        <v>1.1337862936888807</v>
      </c>
      <c r="H117" s="150">
        <f>IF(TrRoad_act!H59=0,0,TrRoad_ene!H62/TrRoad_tech!H90)</f>
        <v>1.1421844991987105</v>
      </c>
      <c r="I117" s="150">
        <f>IF(TrRoad_act!I59=0,0,TrRoad_ene!I62/TrRoad_tech!I90)</f>
        <v>1.1022822323800368</v>
      </c>
      <c r="J117" s="150">
        <f>IF(TrRoad_act!J59=0,0,TrRoad_ene!J62/TrRoad_tech!J90)</f>
        <v>1.0991162050058449</v>
      </c>
      <c r="K117" s="150">
        <f>IF(TrRoad_act!K59=0,0,TrRoad_ene!K62/TrRoad_tech!K90)</f>
        <v>1.1065751233360239</v>
      </c>
      <c r="L117" s="150">
        <f>IF(TrRoad_act!L59=0,0,TrRoad_ene!L62/TrRoad_tech!L90)</f>
        <v>1.1140981588202834</v>
      </c>
      <c r="M117" s="150">
        <f>IF(TrRoad_act!M59=0,0,TrRoad_ene!M62/TrRoad_tech!M90)</f>
        <v>1.1197548057095661</v>
      </c>
      <c r="N117" s="150">
        <f>IF(TrRoad_act!N59=0,0,TrRoad_ene!N62/TrRoad_tech!N90)</f>
        <v>1.1235765596113809</v>
      </c>
      <c r="O117" s="150">
        <f>IF(TrRoad_act!O59=0,0,TrRoad_ene!O62/TrRoad_tech!O90)</f>
        <v>1.1281979266902951</v>
      </c>
      <c r="P117" s="150">
        <f>IF(TrRoad_act!P59=0,0,TrRoad_ene!P62/TrRoad_tech!P90)</f>
        <v>1.1338081913930071</v>
      </c>
      <c r="Q117" s="150">
        <f>IF(TrRoad_act!Q59=0,0,TrRoad_ene!Q62/TrRoad_tech!Q90)</f>
        <v>1.138537334126944</v>
      </c>
      <c r="R117" s="150">
        <f>IF(TrRoad_act!R59=0,0,TrRoad_ene!R62/TrRoad_tech!R90)</f>
        <v>1.1459927237623833</v>
      </c>
      <c r="S117" s="150">
        <f>IF(TrRoad_act!S59=0,0,TrRoad_ene!S62/TrRoad_tech!S90)</f>
        <v>1.1526177651235476</v>
      </c>
      <c r="T117" s="150">
        <f>IF(TrRoad_act!T59=0,0,TrRoad_ene!T62/TrRoad_tech!T90)</f>
        <v>1.2177204523980016</v>
      </c>
      <c r="U117" s="150">
        <f>IF(TrRoad_act!U59=0,0,TrRoad_ene!U62/TrRoad_tech!U90)</f>
        <v>1.1869620872420772</v>
      </c>
      <c r="V117" s="150">
        <f>IF(TrRoad_act!V59=0,0,TrRoad_ene!V62/TrRoad_tech!V90)</f>
        <v>1.2408394021449718</v>
      </c>
      <c r="W117" s="150">
        <f>IF(TrRoad_act!W59=0,0,TrRoad_ene!W62/TrRoad_tech!W90)</f>
        <v>1.2166175458324704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0.80195399176740711</v>
      </c>
      <c r="C118" s="151">
        <f>IF(TrRoad_act!C60=0,0,TrRoad_ene!C63/TrRoad_tech!C91)</f>
        <v>0.8196947559912301</v>
      </c>
      <c r="D118" s="151">
        <f>IF(TrRoad_act!D60=0,0,TrRoad_ene!D63/TrRoad_tech!D91)</f>
        <v>0.82822046412339467</v>
      </c>
      <c r="E118" s="151">
        <f>IF(TrRoad_act!E60=0,0,TrRoad_ene!E63/TrRoad_tech!E91)</f>
        <v>0.83107671451900356</v>
      </c>
      <c r="F118" s="151">
        <f>IF(TrRoad_act!F60=0,0,TrRoad_ene!F63/TrRoad_tech!F91)</f>
        <v>0.82312444689973696</v>
      </c>
      <c r="G118" s="151">
        <f>IF(TrRoad_act!G60=0,0,TrRoad_ene!G63/TrRoad_tech!G91)</f>
        <v>0.81964688696493482</v>
      </c>
      <c r="H118" s="151">
        <f>IF(TrRoad_act!H60=0,0,TrRoad_ene!H63/TrRoad_tech!H91)</f>
        <v>0.84107989385219217</v>
      </c>
      <c r="I118" s="151">
        <f>IF(TrRoad_act!I60=0,0,TrRoad_ene!I63/TrRoad_tech!I91)</f>
        <v>0.84205993051309957</v>
      </c>
      <c r="J118" s="151">
        <f>IF(TrRoad_act!J60=0,0,TrRoad_ene!J63/TrRoad_tech!J91)</f>
        <v>0.83678522874094596</v>
      </c>
      <c r="K118" s="151">
        <f>IF(TrRoad_act!K60=0,0,TrRoad_ene!K63/TrRoad_tech!K91)</f>
        <v>0.84295628648969423</v>
      </c>
      <c r="L118" s="151">
        <f>IF(TrRoad_act!L60=0,0,TrRoad_ene!L63/TrRoad_tech!L91)</f>
        <v>0.84996965726311202</v>
      </c>
      <c r="M118" s="151">
        <f>IF(TrRoad_act!M60=0,0,TrRoad_ene!M63/TrRoad_tech!M91)</f>
        <v>0.85152368478881146</v>
      </c>
      <c r="N118" s="151">
        <f>IF(TrRoad_act!N60=0,0,TrRoad_ene!N63/TrRoad_tech!N91)</f>
        <v>0.87393792732581366</v>
      </c>
      <c r="O118" s="151">
        <f>IF(TrRoad_act!O60=0,0,TrRoad_ene!O63/TrRoad_tech!O91)</f>
        <v>0.87083166707484405</v>
      </c>
      <c r="P118" s="151">
        <f>IF(TrRoad_act!P60=0,0,TrRoad_ene!P63/TrRoad_tech!P91)</f>
        <v>0.85261578047087272</v>
      </c>
      <c r="Q118" s="151">
        <f>IF(TrRoad_act!Q60=0,0,TrRoad_ene!Q63/TrRoad_tech!Q91)</f>
        <v>0.8661492646254626</v>
      </c>
      <c r="R118" s="151">
        <f>IF(TrRoad_act!R60=0,0,TrRoad_ene!R63/TrRoad_tech!R91)</f>
        <v>0.86437486508886496</v>
      </c>
      <c r="S118" s="151">
        <f>IF(TrRoad_act!S60=0,0,TrRoad_ene!S63/TrRoad_tech!S91)</f>
        <v>0.87877671551712555</v>
      </c>
      <c r="T118" s="151">
        <f>IF(TrRoad_act!T60=0,0,TrRoad_ene!T63/TrRoad_tech!T91)</f>
        <v>0.89211222005286761</v>
      </c>
      <c r="U118" s="151">
        <f>IF(TrRoad_act!U60=0,0,TrRoad_ene!U63/TrRoad_tech!U91)</f>
        <v>0.89817868094870257</v>
      </c>
      <c r="V118" s="151">
        <f>IF(TrRoad_act!V60=0,0,TrRoad_ene!V63/TrRoad_tech!V91)</f>
        <v>0.89184746616072574</v>
      </c>
      <c r="W118" s="151">
        <f>IF(TrRoad_act!W60=0,0,TrRoad_ene!W63/TrRoad_tech!W91)</f>
        <v>0.95377012253075732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0.73388473439105251</v>
      </c>
      <c r="C119" s="91">
        <f>IF(TrRoad_act!C61=0,0,TrRoad_ene!C64/TrRoad_tech!C92)</f>
        <v>0.77551755544842615</v>
      </c>
      <c r="D119" s="91">
        <f>IF(TrRoad_act!D61=0,0,TrRoad_ene!D64/TrRoad_tech!D92)</f>
        <v>0.78930339035345631</v>
      </c>
      <c r="E119" s="91">
        <f>IF(TrRoad_act!E61=0,0,TrRoad_ene!E64/TrRoad_tech!E92)</f>
        <v>0.80188307151577887</v>
      </c>
      <c r="F119" s="91">
        <f>IF(TrRoad_act!F61=0,0,TrRoad_ene!F64/TrRoad_tech!F92)</f>
        <v>0.78853180668979717</v>
      </c>
      <c r="G119" s="91">
        <f>IF(TrRoad_act!G61=0,0,TrRoad_ene!G64/TrRoad_tech!G92)</f>
        <v>0.78014827211986837</v>
      </c>
      <c r="H119" s="91">
        <f>IF(TrRoad_act!H61=0,0,TrRoad_ene!H64/TrRoad_tech!H92)</f>
        <v>0.80664767796443571</v>
      </c>
      <c r="I119" s="91">
        <f>IF(TrRoad_act!I61=0,0,TrRoad_ene!I64/TrRoad_tech!I92)</f>
        <v>0.81449484324182087</v>
      </c>
      <c r="J119" s="91">
        <f>IF(TrRoad_act!J61=0,0,TrRoad_ene!J64/TrRoad_tech!J92)</f>
        <v>0.79887513620431228</v>
      </c>
      <c r="K119" s="91">
        <f>IF(TrRoad_act!K61=0,0,TrRoad_ene!K64/TrRoad_tech!K92)</f>
        <v>0.80297499458789978</v>
      </c>
      <c r="L119" s="91">
        <f>IF(TrRoad_act!L61=0,0,TrRoad_ene!L64/TrRoad_tech!L92)</f>
        <v>0.81363881045652331</v>
      </c>
      <c r="M119" s="91">
        <f>IF(TrRoad_act!M61=0,0,TrRoad_ene!M64/TrRoad_tech!M92)</f>
        <v>0.82021024714119328</v>
      </c>
      <c r="N119" s="91">
        <f>IF(TrRoad_act!N61=0,0,TrRoad_ene!N64/TrRoad_tech!N92)</f>
        <v>0.84813004928949076</v>
      </c>
      <c r="O119" s="91">
        <f>IF(TrRoad_act!O61=0,0,TrRoad_ene!O64/TrRoad_tech!O92)</f>
        <v>0.84806311251240085</v>
      </c>
      <c r="P119" s="91">
        <f>IF(TrRoad_act!P61=0,0,TrRoad_ene!P64/TrRoad_tech!P92)</f>
        <v>0.83850523022125167</v>
      </c>
      <c r="Q119" s="91">
        <f>IF(TrRoad_act!Q61=0,0,TrRoad_ene!Q64/TrRoad_tech!Q92)</f>
        <v>0.86565582945733377</v>
      </c>
      <c r="R119" s="91">
        <f>IF(TrRoad_act!R61=0,0,TrRoad_ene!R64/TrRoad_tech!R92)</f>
        <v>0.864091086956705</v>
      </c>
      <c r="S119" s="91">
        <f>IF(TrRoad_act!S61=0,0,TrRoad_ene!S64/TrRoad_tech!S92)</f>
        <v>0.88966378058477891</v>
      </c>
      <c r="T119" s="91">
        <f>IF(TrRoad_act!T61=0,0,TrRoad_ene!T64/TrRoad_tech!T92)</f>
        <v>0.91256646877106007</v>
      </c>
      <c r="U119" s="91">
        <f>IF(TrRoad_act!U61=0,0,TrRoad_ene!U64/TrRoad_tech!U92)</f>
        <v>0.92898690203466527</v>
      </c>
      <c r="V119" s="91">
        <f>IF(TrRoad_act!V61=0,0,TrRoad_ene!V64/TrRoad_tech!V92)</f>
        <v>0.92260521692449482</v>
      </c>
      <c r="W119" s="91">
        <f>IF(TrRoad_act!W61=0,0,TrRoad_ene!W64/TrRoad_tech!W92)</f>
        <v>1.0158498147450732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1.0277777777815897</v>
      </c>
      <c r="C120" s="91">
        <f>IF(TrRoad_act!C62=0,0,TrRoad_ene!C65/TrRoad_tech!C93)</f>
        <v>1.027947676645161</v>
      </c>
      <c r="D120" s="91">
        <f>IF(TrRoad_act!D62=0,0,TrRoad_ene!D65/TrRoad_tech!D93)</f>
        <v>1.0282893592911613</v>
      </c>
      <c r="E120" s="91">
        <f>IF(TrRoad_act!E62=0,0,TrRoad_ene!E65/TrRoad_tech!E93)</f>
        <v>1.0288291094233919</v>
      </c>
      <c r="F120" s="91">
        <f>IF(TrRoad_act!F62=0,0,TrRoad_ene!F65/TrRoad_tech!F93)</f>
        <v>1.0295894541560118</v>
      </c>
      <c r="G120" s="91">
        <f>IF(TrRoad_act!G62=0,0,TrRoad_ene!G65/TrRoad_tech!G93)</f>
        <v>1.0305627894238483</v>
      </c>
      <c r="H120" s="91">
        <f>IF(TrRoad_act!H62=0,0,TrRoad_ene!H65/TrRoad_tech!H93)</f>
        <v>1.0317622315126274</v>
      </c>
      <c r="I120" s="91">
        <f>IF(TrRoad_act!I62=0,0,TrRoad_ene!I65/TrRoad_tech!I93)</f>
        <v>1.0333335844326212</v>
      </c>
      <c r="J120" s="91">
        <f>IF(TrRoad_act!J62=0,0,TrRoad_ene!J65/TrRoad_tech!J93)</f>
        <v>1.0350343026064424</v>
      </c>
      <c r="K120" s="91">
        <f>IF(TrRoad_act!K62=0,0,TrRoad_ene!K65/TrRoad_tech!K93)</f>
        <v>1.03658307023901</v>
      </c>
      <c r="L120" s="91">
        <f>IF(TrRoad_act!L62=0,0,TrRoad_ene!L65/TrRoad_tech!L93)</f>
        <v>1.0385393454113152</v>
      </c>
      <c r="M120" s="91">
        <f>IF(TrRoad_act!M62=0,0,TrRoad_ene!M65/TrRoad_tech!M93)</f>
        <v>1.041885357307506</v>
      </c>
      <c r="N120" s="91">
        <f>IF(TrRoad_act!N62=0,0,TrRoad_ene!N65/TrRoad_tech!N93)</f>
        <v>1.0454421966656426</v>
      </c>
      <c r="O120" s="91">
        <f>IF(TrRoad_act!O62=0,0,TrRoad_ene!O65/TrRoad_tech!O93)</f>
        <v>1.048989246538228</v>
      </c>
      <c r="P120" s="91">
        <f>IF(TrRoad_act!P62=0,0,TrRoad_ene!P65/TrRoad_tech!P93)</f>
        <v>1.0526435215780621</v>
      </c>
      <c r="Q120" s="91">
        <f>IF(TrRoad_act!Q62=0,0,TrRoad_ene!Q65/TrRoad_tech!Q93)</f>
        <v>1.057000736736563</v>
      </c>
      <c r="R120" s="91">
        <f>IF(TrRoad_act!R62=0,0,TrRoad_ene!R65/TrRoad_tech!R93)</f>
        <v>1.059328832087219</v>
      </c>
      <c r="S120" s="91">
        <f>IF(TrRoad_act!S62=0,0,TrRoad_ene!S65/TrRoad_tech!S93)</f>
        <v>1.0619683843003993</v>
      </c>
      <c r="T120" s="91">
        <f>IF(TrRoad_act!T62=0,0,TrRoad_ene!T65/TrRoad_tech!T93)</f>
        <v>1.0653492456585572</v>
      </c>
      <c r="U120" s="91">
        <f>IF(TrRoad_act!U62=0,0,TrRoad_ene!U65/TrRoad_tech!U93)</f>
        <v>1.0669465109911178</v>
      </c>
      <c r="V120" s="91">
        <f>IF(TrRoad_act!V62=0,0,TrRoad_ene!V65/TrRoad_tech!V93)</f>
        <v>1.0697879825529579</v>
      </c>
      <c r="W120" s="91">
        <f>IF(TrRoad_act!W62=0,0,TrRoad_ene!W65/TrRoad_tech!W93)</f>
        <v>1.072593629913843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1.1178218290807664</v>
      </c>
      <c r="C121" s="91">
        <f>IF(TrRoad_act!C63=0,0,TrRoad_ene!C66/TrRoad_tech!C94)</f>
        <v>1.0484041350158886</v>
      </c>
      <c r="D121" s="91">
        <f>IF(TrRoad_act!D63=0,0,TrRoad_ene!D66/TrRoad_tech!D94)</f>
        <v>1.0551130282645802</v>
      </c>
      <c r="E121" s="91">
        <f>IF(TrRoad_act!E63=0,0,TrRoad_ene!E66/TrRoad_tech!E94)</f>
        <v>0.97529598345759039</v>
      </c>
      <c r="F121" s="91">
        <f>IF(TrRoad_act!F63=0,0,TrRoad_ene!F66/TrRoad_tech!F94)</f>
        <v>0.99269430580871287</v>
      </c>
      <c r="G121" s="91">
        <f>IF(TrRoad_act!G63=0,0,TrRoad_ene!G66/TrRoad_tech!G94)</f>
        <v>1.0260517395915358</v>
      </c>
      <c r="H121" s="91">
        <f>IF(TrRoad_act!H63=0,0,TrRoad_ene!H66/TrRoad_tech!H94)</f>
        <v>1.072082692035931</v>
      </c>
      <c r="I121" s="91">
        <f>IF(TrRoad_act!I63=0,0,TrRoad_ene!I66/TrRoad_tech!I94)</f>
        <v>0.96600227835922692</v>
      </c>
      <c r="J121" s="91">
        <f>IF(TrRoad_act!J63=0,0,TrRoad_ene!J66/TrRoad_tech!J94)</f>
        <v>1.0855619461834762</v>
      </c>
      <c r="K121" s="91">
        <f>IF(TrRoad_act!K63=0,0,TrRoad_ene!K66/TrRoad_tech!K94)</f>
        <v>1.2171867464093482</v>
      </c>
      <c r="L121" s="91">
        <f>IF(TrRoad_act!L63=0,0,TrRoad_ene!L66/TrRoad_tech!L94)</f>
        <v>1.2593701937593746</v>
      </c>
      <c r="M121" s="91">
        <f>IF(TrRoad_act!M63=0,0,TrRoad_ene!M66/TrRoad_tech!M94)</f>
        <v>1.3144344140845863</v>
      </c>
      <c r="N121" s="91">
        <f>IF(TrRoad_act!N63=0,0,TrRoad_ene!N66/TrRoad_tech!N94)</f>
        <v>1.6027647661512441</v>
      </c>
      <c r="O121" s="91">
        <f>IF(TrRoad_act!O63=0,0,TrRoad_ene!O66/TrRoad_tech!O94)</f>
        <v>1.5407088599023286</v>
      </c>
      <c r="P121" s="91">
        <f>IF(TrRoad_act!P63=0,0,TrRoad_ene!P66/TrRoad_tech!P94)</f>
        <v>1.261832942381784</v>
      </c>
      <c r="Q121" s="91">
        <f>IF(TrRoad_act!Q63=0,0,TrRoad_ene!Q66/TrRoad_tech!Q94)</f>
        <v>1.1756901295218327</v>
      </c>
      <c r="R121" s="91">
        <f>IF(TrRoad_act!R63=0,0,TrRoad_ene!R66/TrRoad_tech!R94)</f>
        <v>1.2821095190246978</v>
      </c>
      <c r="S121" s="91">
        <f>IF(TrRoad_act!S63=0,0,TrRoad_ene!S66/TrRoad_tech!S94)</f>
        <v>1.219474267734908</v>
      </c>
      <c r="T121" s="91">
        <f>IF(TrRoad_act!T63=0,0,TrRoad_ene!T66/TrRoad_tech!T94)</f>
        <v>1.2177403177422572</v>
      </c>
      <c r="U121" s="91">
        <f>IF(TrRoad_act!U63=0,0,TrRoad_ene!U66/TrRoad_tech!U94)</f>
        <v>1.0443571713786108</v>
      </c>
      <c r="V121" s="91">
        <f>IF(TrRoad_act!V63=0,0,TrRoad_ene!V66/TrRoad_tech!V94)</f>
        <v>1.1055308301799391</v>
      </c>
      <c r="W121" s="91">
        <f>IF(TrRoad_act!W63=0,0,TrRoad_ene!W66/TrRoad_tech!W94)</f>
        <v>1.276732866321691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1.0555555555604399</v>
      </c>
      <c r="M122" s="91">
        <f>IF(TrRoad_act!M64=0,0,TrRoad_ene!M67/TrRoad_tech!M95)</f>
        <v>1.06037037037527</v>
      </c>
      <c r="N122" s="91">
        <f>IF(TrRoad_act!N64=0,0,TrRoad_ene!N67/TrRoad_tech!N95)</f>
        <v>1.0649119276724615</v>
      </c>
      <c r="O122" s="91">
        <f>IF(TrRoad_act!O64=0,0,TrRoad_ene!O67/TrRoad_tech!O95)</f>
        <v>1.0655530020532706</v>
      </c>
      <c r="P122" s="91">
        <f>IF(TrRoad_act!P64=0,0,TrRoad_ene!P67/TrRoad_tech!P95)</f>
        <v>1.0687359644748478</v>
      </c>
      <c r="Q122" s="91">
        <f>IF(TrRoad_act!Q64=0,0,TrRoad_ene!Q67/TrRoad_tech!Q95)</f>
        <v>1.0698851442118342</v>
      </c>
      <c r="R122" s="91">
        <f>IF(TrRoad_act!R64=0,0,TrRoad_ene!R67/TrRoad_tech!R95)</f>
        <v>1.0813726156825401</v>
      </c>
      <c r="S122" s="91">
        <f>IF(TrRoad_act!S64=0,0,TrRoad_ene!S67/TrRoad_tech!S95)</f>
        <v>1.0868198539267859</v>
      </c>
      <c r="T122" s="91">
        <f>IF(TrRoad_act!T64=0,0,TrRoad_ene!T67/TrRoad_tech!T95)</f>
        <v>1.0922240629328106</v>
      </c>
      <c r="U122" s="91">
        <f>IF(TrRoad_act!U64=0,0,TrRoad_ene!U67/TrRoad_tech!U95)</f>
        <v>1.0926088959606128</v>
      </c>
      <c r="V122" s="91">
        <f>IF(TrRoad_act!V64=0,0,TrRoad_ene!V67/TrRoad_tech!V95)</f>
        <v>1.0929979329415853</v>
      </c>
      <c r="W122" s="91">
        <f>IF(TrRoad_act!W64=0,0,TrRoad_ene!W67/TrRoad_tech!W95)</f>
        <v>1.0939888848655452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0.90694323535668375</v>
      </c>
      <c r="N123" s="91">
        <f>IF(TrRoad_act!N65=0,0,TrRoad_ene!N68/TrRoad_tech!N96)</f>
        <v>0.95851756344584083</v>
      </c>
      <c r="O123" s="91">
        <f>IF(TrRoad_act!O65=0,0,TrRoad_ene!O68/TrRoad_tech!O96)</f>
        <v>0.9600106220960356</v>
      </c>
      <c r="P123" s="91">
        <f>IF(TrRoad_act!P65=0,0,TrRoad_ene!P68/TrRoad_tech!P96)</f>
        <v>0.93905488845507079</v>
      </c>
      <c r="Q123" s="91">
        <f>IF(TrRoad_act!Q65=0,0,TrRoad_ene!Q68/TrRoad_tech!Q96)</f>
        <v>0.96475610634661879</v>
      </c>
      <c r="R123" s="91">
        <f>IF(TrRoad_act!R65=0,0,TrRoad_ene!R68/TrRoad_tech!R96)</f>
        <v>0.96400171769223786</v>
      </c>
      <c r="S123" s="91">
        <f>IF(TrRoad_act!S65=0,0,TrRoad_ene!S68/TrRoad_tech!S96)</f>
        <v>0.97898711859675847</v>
      </c>
      <c r="T123" s="91">
        <f>IF(TrRoad_act!T65=0,0,TrRoad_ene!T68/TrRoad_tech!T96)</f>
        <v>0.99288003257213187</v>
      </c>
      <c r="U123" s="91">
        <f>IF(TrRoad_act!U65=0,0,TrRoad_ene!U68/TrRoad_tech!U96)</f>
        <v>1.0031106555015434</v>
      </c>
      <c r="V123" s="91">
        <f>IF(TrRoad_act!V65=0,0,TrRoad_ene!V68/TrRoad_tech!V96)</f>
        <v>1.0016807143189266</v>
      </c>
      <c r="W123" s="91">
        <f>IF(TrRoad_act!W65=0,0,TrRoad_ene!W68/TrRoad_tech!W96)</f>
        <v>1.0632307351416173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1.0511111111157001</v>
      </c>
      <c r="L124" s="91">
        <f>IF(TrRoad_act!L66=0,0,TrRoad_ene!L69/TrRoad_tech!L97)</f>
        <v>1.0555555555604399</v>
      </c>
      <c r="M124" s="91">
        <f>IF(TrRoad_act!M66=0,0,TrRoad_ene!M69/TrRoad_tech!M97)</f>
        <v>1.0603703703752703</v>
      </c>
      <c r="N124" s="91">
        <f>IF(TrRoad_act!N66=0,0,TrRoad_ene!N69/TrRoad_tech!N97)</f>
        <v>1.0633851081004657</v>
      </c>
      <c r="O124" s="91">
        <f>IF(TrRoad_act!O66=0,0,TrRoad_ene!O69/TrRoad_tech!O97)</f>
        <v>1.0697116674451308</v>
      </c>
      <c r="P124" s="91">
        <f>IF(TrRoad_act!P66=0,0,TrRoad_ene!P69/TrRoad_tech!P97)</f>
        <v>1.0740104322702249</v>
      </c>
      <c r="Q124" s="91">
        <f>IF(TrRoad_act!Q66=0,0,TrRoad_ene!Q69/TrRoad_tech!Q97)</f>
        <v>1.0786235225461276</v>
      </c>
      <c r="R124" s="91">
        <f>IF(TrRoad_act!R66=0,0,TrRoad_ene!R69/TrRoad_tech!R97)</f>
        <v>1.0821035005810338</v>
      </c>
      <c r="S124" s="91">
        <f>IF(TrRoad_act!S66=0,0,TrRoad_ene!S69/TrRoad_tech!S97)</f>
        <v>1.0863404036145341</v>
      </c>
      <c r="T124" s="91">
        <f>IF(TrRoad_act!T66=0,0,TrRoad_ene!T69/TrRoad_tech!T97)</f>
        <v>1.0915825034975486</v>
      </c>
      <c r="U124" s="91">
        <f>IF(TrRoad_act!U66=0,0,TrRoad_ene!U69/TrRoad_tech!U97)</f>
        <v>1.0944712690369389</v>
      </c>
      <c r="V124" s="91">
        <f>IF(TrRoad_act!V66=0,0,TrRoad_ene!V69/TrRoad_tech!V97)</f>
        <v>1.0963057335849025</v>
      </c>
      <c r="W124" s="91">
        <f>IF(TrRoad_act!W66=0,0,TrRoad_ene!W69/TrRoad_tech!W97)</f>
        <v>1.0971507783788925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1.1018700107141584</v>
      </c>
      <c r="C125" s="151">
        <f>IF(TrRoad_act!C67=0,0,TrRoad_ene!C70/TrRoad_tech!C98)</f>
        <v>1.094543864979584</v>
      </c>
      <c r="D125" s="151">
        <f>IF(TrRoad_act!D67=0,0,TrRoad_ene!D70/TrRoad_tech!D98)</f>
        <v>1.0925168339237576</v>
      </c>
      <c r="E125" s="151">
        <f>IF(TrRoad_act!E67=0,0,TrRoad_ene!E70/TrRoad_tech!E98)</f>
        <v>1.0917110809117585</v>
      </c>
      <c r="F125" s="151">
        <f>IF(TrRoad_act!F67=0,0,TrRoad_ene!F70/TrRoad_tech!F98)</f>
        <v>1.0917862858548131</v>
      </c>
      <c r="G125" s="151">
        <f>IF(TrRoad_act!G67=0,0,TrRoad_ene!G70/TrRoad_tech!G98)</f>
        <v>1.0952681609161399</v>
      </c>
      <c r="H125" s="151">
        <f>IF(TrRoad_act!H67=0,0,TrRoad_ene!H70/TrRoad_tech!H98)</f>
        <v>1.0987617500365954</v>
      </c>
      <c r="I125" s="151">
        <f>IF(TrRoad_act!I67=0,0,TrRoad_ene!I70/TrRoad_tech!I98)</f>
        <v>1.10588077066226</v>
      </c>
      <c r="J125" s="151">
        <f>IF(TrRoad_act!J67=0,0,TrRoad_ene!J70/TrRoad_tech!J98)</f>
        <v>1.1142315957814961</v>
      </c>
      <c r="K125" s="151">
        <f>IF(TrRoad_act!K67=0,0,TrRoad_ene!K70/TrRoad_tech!K98)</f>
        <v>1.1222622864832852</v>
      </c>
      <c r="L125" s="151">
        <f>IF(TrRoad_act!L67=0,0,TrRoad_ene!L70/TrRoad_tech!L98)</f>
        <v>1.1268307461704627</v>
      </c>
      <c r="M125" s="151">
        <f>IF(TrRoad_act!M67=0,0,TrRoad_ene!M70/TrRoad_tech!M98)</f>
        <v>1.1314163843135256</v>
      </c>
      <c r="N125" s="151">
        <f>IF(TrRoad_act!N67=0,0,TrRoad_ene!N70/TrRoad_tech!N98)</f>
        <v>1.1239690371145201</v>
      </c>
      <c r="O125" s="151">
        <f>IF(TrRoad_act!O67=0,0,TrRoad_ene!O70/TrRoad_tech!O98)</f>
        <v>1.1316891192832677</v>
      </c>
      <c r="P125" s="151">
        <f>IF(TrRoad_act!P67=0,0,TrRoad_ene!P70/TrRoad_tech!P98)</f>
        <v>1.1432499898155912</v>
      </c>
      <c r="Q125" s="151">
        <f>IF(TrRoad_act!Q67=0,0,TrRoad_ene!Q70/TrRoad_tech!Q98)</f>
        <v>1.1608476735733801</v>
      </c>
      <c r="R125" s="151">
        <f>IF(TrRoad_act!R67=0,0,TrRoad_ene!R70/TrRoad_tech!R98)</f>
        <v>1.2268510314582814</v>
      </c>
      <c r="S125" s="151">
        <f>IF(TrRoad_act!S67=0,0,TrRoad_ene!S70/TrRoad_tech!S98)</f>
        <v>1.2562844373517499</v>
      </c>
      <c r="T125" s="151">
        <f>IF(TrRoad_act!T67=0,0,TrRoad_ene!T70/TrRoad_tech!T98)</f>
        <v>1.2317185229097232</v>
      </c>
      <c r="U125" s="151">
        <f>IF(TrRoad_act!U67=0,0,TrRoad_ene!U70/TrRoad_tech!U98)</f>
        <v>1.2543589192916089</v>
      </c>
      <c r="V125" s="151">
        <f>IF(TrRoad_act!V67=0,0,TrRoad_ene!V70/TrRoad_tech!V98)</f>
        <v>1.2756588188540763</v>
      </c>
      <c r="W125" s="151">
        <f>IF(TrRoad_act!W67=0,0,TrRoad_ene!W70/TrRoad_tech!W98)</f>
        <v>1.2755381666307879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1.101033313011289</v>
      </c>
      <c r="D126" s="93">
        <f>IF(TrRoad_act!D68=0,0,TrRoad_ene!D71/TrRoad_tech!D99)</f>
        <v>1.1027691126189294</v>
      </c>
      <c r="E126" s="93">
        <f>IF(TrRoad_act!E68=0,0,TrRoad_ene!E71/TrRoad_tech!E99)</f>
        <v>1.1051279853453775</v>
      </c>
      <c r="F126" s="93">
        <f>IF(TrRoad_act!F68=0,0,TrRoad_ene!F71/TrRoad_tech!F99)</f>
        <v>1.1052724752523913</v>
      </c>
      <c r="G126" s="93">
        <f>IF(TrRoad_act!G68=0,0,TrRoad_ene!G71/TrRoad_tech!G99)</f>
        <v>1.1077921391524388</v>
      </c>
      <c r="H126" s="93">
        <f>IF(TrRoad_act!H68=0,0,TrRoad_ene!H71/TrRoad_tech!H99)</f>
        <v>1.1093619244337267</v>
      </c>
      <c r="I126" s="93">
        <f>IF(TrRoad_act!I68=0,0,TrRoad_ene!I71/TrRoad_tech!I99)</f>
        <v>1.1131620340503914</v>
      </c>
      <c r="J126" s="93">
        <f>IF(TrRoad_act!J68=0,0,TrRoad_ene!J71/TrRoad_tech!J99)</f>
        <v>1.1131620340503909</v>
      </c>
      <c r="K126" s="93">
        <f>IF(TrRoad_act!K68=0,0,TrRoad_ene!K71/TrRoad_tech!K99)</f>
        <v>1.1158659936995798</v>
      </c>
      <c r="L126" s="93">
        <f>IF(TrRoad_act!L68=0,0,TrRoad_ene!L71/TrRoad_tech!L99)</f>
        <v>1.1245084615108816</v>
      </c>
      <c r="M126" s="93">
        <f>IF(TrRoad_act!M68=0,0,TrRoad_ene!M71/TrRoad_tech!M99)</f>
        <v>1.1279568624379608</v>
      </c>
      <c r="N126" s="93">
        <f>IF(TrRoad_act!N68=0,0,TrRoad_ene!N71/TrRoad_tech!N99)</f>
        <v>1.1430493123050516</v>
      </c>
      <c r="O126" s="93">
        <f>IF(TrRoad_act!O68=0,0,TrRoad_ene!O71/TrRoad_tech!O99)</f>
        <v>1.1471839176846625</v>
      </c>
      <c r="P126" s="93">
        <f>IF(TrRoad_act!P68=0,0,TrRoad_ene!P71/TrRoad_tech!P99)</f>
        <v>1.1496563311956089</v>
      </c>
      <c r="Q126" s="93">
        <f>IF(TrRoad_act!Q68=0,0,TrRoad_ene!Q71/TrRoad_tech!Q99)</f>
        <v>1.2111566252504602</v>
      </c>
      <c r="R126" s="93">
        <f>IF(TrRoad_act!R68=0,0,TrRoad_ene!R71/TrRoad_tech!R99)</f>
        <v>1.2310801615091367</v>
      </c>
      <c r="S126" s="93">
        <f>IF(TrRoad_act!S68=0,0,TrRoad_ene!S71/TrRoad_tech!S99)</f>
        <v>1.2435895724875192</v>
      </c>
      <c r="T126" s="93">
        <f>IF(TrRoad_act!T68=0,0,TrRoad_ene!T71/TrRoad_tech!T99)</f>
        <v>1.2534879400990091</v>
      </c>
      <c r="U126" s="93">
        <f>IF(TrRoad_act!U68=0,0,TrRoad_ene!U71/TrRoad_tech!U99)</f>
        <v>1.3306990311599851</v>
      </c>
      <c r="V126" s="93">
        <f>IF(TrRoad_act!V68=0,0,TrRoad_ene!V71/TrRoad_tech!V99)</f>
        <v>1.336647705744096</v>
      </c>
      <c r="W126" s="93">
        <f>IF(TrRoad_act!W68=0,0,TrRoad_ene!W71/TrRoad_tech!W99)</f>
        <v>1.3387626344818162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1.1003686098487262</v>
      </c>
      <c r="D127" s="93">
        <f>IF(TrRoad_act!D69=0,0,TrRoad_ene!D72/TrRoad_tech!D100)</f>
        <v>1.1010633647365262</v>
      </c>
      <c r="E127" s="93">
        <f>IF(TrRoad_act!E69=0,0,TrRoad_ene!E72/TrRoad_tech!E100)</f>
        <v>1.1025763457643769</v>
      </c>
      <c r="F127" s="93">
        <f>IF(TrRoad_act!F69=0,0,TrRoad_ene!F72/TrRoad_tech!F100)</f>
        <v>1.104951801155847</v>
      </c>
      <c r="G127" s="93">
        <f>IF(TrRoad_act!G69=0,0,TrRoad_ene!G72/TrRoad_tech!G100)</f>
        <v>1.1088615525223424</v>
      </c>
      <c r="H127" s="93">
        <f>IF(TrRoad_act!H69=0,0,TrRoad_ene!H72/TrRoad_tech!H100)</f>
        <v>1.1125074792600702</v>
      </c>
      <c r="I127" s="93">
        <f>IF(TrRoad_act!I69=0,0,TrRoad_ene!I72/TrRoad_tech!I100)</f>
        <v>1.1191652356750521</v>
      </c>
      <c r="J127" s="93">
        <f>IF(TrRoad_act!J69=0,0,TrRoad_ene!J72/TrRoad_tech!J100)</f>
        <v>1.1267363502378767</v>
      </c>
      <c r="K127" s="93">
        <f>IF(TrRoad_act!K69=0,0,TrRoad_ene!K72/TrRoad_tech!K100)</f>
        <v>1.1345080477155409</v>
      </c>
      <c r="L127" s="93">
        <f>IF(TrRoad_act!L69=0,0,TrRoad_ene!L72/TrRoad_tech!L100)</f>
        <v>1.1382186545042576</v>
      </c>
      <c r="M127" s="93">
        <f>IF(TrRoad_act!M69=0,0,TrRoad_ene!M72/TrRoad_tech!M100)</f>
        <v>1.1395003567385049</v>
      </c>
      <c r="N127" s="93">
        <f>IF(TrRoad_act!N69=0,0,TrRoad_ene!N72/TrRoad_tech!N100)</f>
        <v>1.1485196723024611</v>
      </c>
      <c r="O127" s="93">
        <f>IF(TrRoad_act!O69=0,0,TrRoad_ene!O72/TrRoad_tech!O100)</f>
        <v>1.15920774774024</v>
      </c>
      <c r="P127" s="93">
        <f>IF(TrRoad_act!P69=0,0,TrRoad_ene!P72/TrRoad_tech!P100)</f>
        <v>1.1730559882463532</v>
      </c>
      <c r="Q127" s="93">
        <f>IF(TrRoad_act!Q69=0,0,TrRoad_ene!Q72/TrRoad_tech!Q100)</f>
        <v>1.1883373259170604</v>
      </c>
      <c r="R127" s="93">
        <f>IF(TrRoad_act!R69=0,0,TrRoad_ene!R72/TrRoad_tech!R100)</f>
        <v>1.2043544566622326</v>
      </c>
      <c r="S127" s="93">
        <f>IF(TrRoad_act!S69=0,0,TrRoad_ene!S72/TrRoad_tech!S100)</f>
        <v>1.218035427803372</v>
      </c>
      <c r="T127" s="93">
        <f>IF(TrRoad_act!T69=0,0,TrRoad_ene!T72/TrRoad_tech!T100)</f>
        <v>1.2330280704878729</v>
      </c>
      <c r="U127" s="93">
        <f>IF(TrRoad_act!U69=0,0,TrRoad_ene!U72/TrRoad_tech!U100)</f>
        <v>1.2491951506279593</v>
      </c>
      <c r="V127" s="93">
        <f>IF(TrRoad_act!V69=0,0,TrRoad_ene!V72/TrRoad_tech!V100)</f>
        <v>1.2780422581936182</v>
      </c>
      <c r="W127" s="93">
        <f>IF(TrRoad_act!W69=0,0,TrRoad_ene!W72/TrRoad_tech!W100)</f>
        <v>1.3070915921366038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1.1000000000067303</v>
      </c>
      <c r="C128" s="93">
        <f>IF(TrRoad_act!C70=0,0,TrRoad_ene!C73/TrRoad_tech!C101)</f>
        <v>1.10000000000673</v>
      </c>
      <c r="D128" s="93">
        <f>IF(TrRoad_act!D70=0,0,TrRoad_ene!D73/TrRoad_tech!D101)</f>
        <v>1.10000000000673</v>
      </c>
      <c r="E128" s="93">
        <f>IF(TrRoad_act!E70=0,0,TrRoad_ene!E73/TrRoad_tech!E101)</f>
        <v>1.1000000000067303</v>
      </c>
      <c r="F128" s="93">
        <f>IF(TrRoad_act!F70=0,0,TrRoad_ene!F73/TrRoad_tech!F101)</f>
        <v>1.1000000000067305</v>
      </c>
      <c r="G128" s="93">
        <f>IF(TrRoad_act!G70=0,0,TrRoad_ene!G73/TrRoad_tech!G101)</f>
        <v>1.1083521633017468</v>
      </c>
      <c r="H128" s="93">
        <f>IF(TrRoad_act!H70=0,0,TrRoad_ene!H73/TrRoad_tech!H101)</f>
        <v>1.1096052581885405</v>
      </c>
      <c r="I128" s="93">
        <f>IF(TrRoad_act!I70=0,0,TrRoad_ene!I73/TrRoad_tech!I101)</f>
        <v>1.1105890640705782</v>
      </c>
      <c r="J128" s="93">
        <f>IF(TrRoad_act!J70=0,0,TrRoad_ene!J73/TrRoad_tech!J101)</f>
        <v>1.1106691283445276</v>
      </c>
      <c r="K128" s="93">
        <f>IF(TrRoad_act!K70=0,0,TrRoad_ene!K73/TrRoad_tech!K101)</f>
        <v>1.111293956224864</v>
      </c>
      <c r="L128" s="93">
        <f>IF(TrRoad_act!L70=0,0,TrRoad_ene!L73/TrRoad_tech!L101)</f>
        <v>1.111293956224864</v>
      </c>
      <c r="M128" s="93">
        <f>IF(TrRoad_act!M70=0,0,TrRoad_ene!M73/TrRoad_tech!M101)</f>
        <v>1.1116828063870634</v>
      </c>
      <c r="N128" s="93">
        <f>IF(TrRoad_act!N70=0,0,TrRoad_ene!N73/TrRoad_tech!N101)</f>
        <v>1.1119965217001078</v>
      </c>
      <c r="O128" s="93">
        <f>IF(TrRoad_act!O70=0,0,TrRoad_ene!O73/TrRoad_tech!O101)</f>
        <v>1.112099387494357</v>
      </c>
      <c r="P128" s="93">
        <f>IF(TrRoad_act!P70=0,0,TrRoad_ene!P73/TrRoad_tech!P101)</f>
        <v>1.1123275501469911</v>
      </c>
      <c r="Q128" s="93">
        <f>IF(TrRoad_act!Q70=0,0,TrRoad_ene!Q73/TrRoad_tech!Q101)</f>
        <v>1.1123275501469914</v>
      </c>
      <c r="R128" s="93">
        <f>IF(TrRoad_act!R70=0,0,TrRoad_ene!R73/TrRoad_tech!R101)</f>
        <v>1.1120653682408495</v>
      </c>
      <c r="S128" s="93">
        <f>IF(TrRoad_act!S70=0,0,TrRoad_ene!S73/TrRoad_tech!S101)</f>
        <v>1.1124121399808058</v>
      </c>
      <c r="T128" s="93">
        <f>IF(TrRoad_act!T70=0,0,TrRoad_ene!T73/TrRoad_tech!T101)</f>
        <v>1.1126608172301211</v>
      </c>
      <c r="U128" s="93">
        <f>IF(TrRoad_act!U70=0,0,TrRoad_ene!U73/TrRoad_tech!U101)</f>
        <v>1.1126608172301211</v>
      </c>
      <c r="V128" s="93">
        <f>IF(TrRoad_act!V70=0,0,TrRoad_ene!V73/TrRoad_tech!V101)</f>
        <v>1.1126624018303017</v>
      </c>
      <c r="W128" s="93">
        <f>IF(TrRoad_act!W70=0,0,TrRoad_ene!W73/TrRoad_tech!W101)</f>
        <v>1.1129307555441588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1.1362502990355523</v>
      </c>
      <c r="C129" s="93">
        <f>IF(TrRoad_act!C71=0,0,TrRoad_ene!C74/TrRoad_tech!C102)</f>
        <v>1.2741794122664747</v>
      </c>
      <c r="D129" s="93">
        <f>IF(TrRoad_act!D71=0,0,TrRoad_ene!D74/TrRoad_tech!D102)</f>
        <v>1.0679560096963561</v>
      </c>
      <c r="E129" s="93">
        <f>IF(TrRoad_act!E71=0,0,TrRoad_ene!E74/TrRoad_tech!E102)</f>
        <v>1.2800194385434676</v>
      </c>
      <c r="F129" s="93">
        <f>IF(TrRoad_act!F71=0,0,TrRoad_ene!F74/TrRoad_tech!F102)</f>
        <v>0.96187478546512761</v>
      </c>
      <c r="G129" s="93">
        <f>IF(TrRoad_act!G71=0,0,TrRoad_ene!G74/TrRoad_tech!G102)</f>
        <v>1.0220002686677498</v>
      </c>
      <c r="H129" s="93">
        <f>IF(TrRoad_act!H71=0,0,TrRoad_ene!H74/TrRoad_tech!H102)</f>
        <v>1.0308096461909011</v>
      </c>
      <c r="I129" s="93">
        <f>IF(TrRoad_act!I71=0,0,TrRoad_ene!I74/TrRoad_tech!I102)</f>
        <v>0.97207528268232979</v>
      </c>
      <c r="J129" s="93">
        <f>IF(TrRoad_act!J71=0,0,TrRoad_ene!J74/TrRoad_tech!J102)</f>
        <v>0.99550499887277744</v>
      </c>
      <c r="K129" s="93">
        <f>IF(TrRoad_act!K71=0,0,TrRoad_ene!K74/TrRoad_tech!K102)</f>
        <v>1.004729505998073</v>
      </c>
      <c r="L129" s="93">
        <f>IF(TrRoad_act!L71=0,0,TrRoad_ene!L74/TrRoad_tech!L102)</f>
        <v>1.0592317089704</v>
      </c>
      <c r="M129" s="93">
        <f>IF(TrRoad_act!M71=0,0,TrRoad_ene!M74/TrRoad_tech!M102)</f>
        <v>1.1474728649886203</v>
      </c>
      <c r="N129" s="93">
        <f>IF(TrRoad_act!N71=0,0,TrRoad_ene!N74/TrRoad_tech!N102)</f>
        <v>0.82547595539106766</v>
      </c>
      <c r="O129" s="93">
        <f>IF(TrRoad_act!O71=0,0,TrRoad_ene!O74/TrRoad_tech!O102)</f>
        <v>0.81745979735286933</v>
      </c>
      <c r="P129" s="93">
        <f>IF(TrRoad_act!P71=0,0,TrRoad_ene!P74/TrRoad_tech!P102)</f>
        <v>0.82180638717458931</v>
      </c>
      <c r="Q129" s="93">
        <f>IF(TrRoad_act!Q71=0,0,TrRoad_ene!Q74/TrRoad_tech!Q102)</f>
        <v>0.92017639721618005</v>
      </c>
      <c r="R129" s="93">
        <f>IF(TrRoad_act!R71=0,0,TrRoad_ene!R74/TrRoad_tech!R102)</f>
        <v>1.4760675888337873</v>
      </c>
      <c r="S129" s="93">
        <f>IF(TrRoad_act!S71=0,0,TrRoad_ene!S74/TrRoad_tech!S102)</f>
        <v>1.6022931106441789</v>
      </c>
      <c r="T129" s="93">
        <f>IF(TrRoad_act!T71=0,0,TrRoad_ene!T74/TrRoad_tech!T102)</f>
        <v>1.2599142277444906</v>
      </c>
      <c r="U129" s="93">
        <f>IF(TrRoad_act!U71=0,0,TrRoad_ene!U74/TrRoad_tech!U102)</f>
        <v>1.3212334632503839</v>
      </c>
      <c r="V129" s="93">
        <f>IF(TrRoad_act!V71=0,0,TrRoad_ene!V74/TrRoad_tech!V102)</f>
        <v>1.2919242688210726</v>
      </c>
      <c r="W129" s="93">
        <f>IF(TrRoad_act!W71=0,0,TrRoad_ene!W74/TrRoad_tech!W102)</f>
        <v>1.2303267906609567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1.1000000000067305</v>
      </c>
      <c r="D130" s="93">
        <f>IF(TrRoad_act!D72=0,0,TrRoad_ene!D75/TrRoad_tech!D103)</f>
        <v>1.10128778146187</v>
      </c>
      <c r="E130" s="93">
        <f>IF(TrRoad_act!E72=0,0,TrRoad_ene!E75/TrRoad_tech!E103)</f>
        <v>1.1014500492338253</v>
      </c>
      <c r="F130" s="93">
        <f>IF(TrRoad_act!F72=0,0,TrRoad_ene!F75/TrRoad_tech!F103)</f>
        <v>1.1066601971104801</v>
      </c>
      <c r="G130" s="93">
        <f>IF(TrRoad_act!G72=0,0,TrRoad_ene!G75/TrRoad_tech!G103)</f>
        <v>1.1077634613963721</v>
      </c>
      <c r="H130" s="93">
        <f>IF(TrRoad_act!H72=0,0,TrRoad_ene!H75/TrRoad_tech!H103)</f>
        <v>1.108517169155901</v>
      </c>
      <c r="I130" s="93">
        <f>IF(TrRoad_act!I72=0,0,TrRoad_ene!I75/TrRoad_tech!I103)</f>
        <v>1.108517169155901</v>
      </c>
      <c r="J130" s="93">
        <f>IF(TrRoad_act!J72=0,0,TrRoad_ene!J75/TrRoad_tech!J103)</f>
        <v>1.1098947948228788</v>
      </c>
      <c r="K130" s="93">
        <f>IF(TrRoad_act!K72=0,0,TrRoad_ene!K75/TrRoad_tech!K103)</f>
        <v>1.1269326815232252</v>
      </c>
      <c r="L130" s="93">
        <f>IF(TrRoad_act!L72=0,0,TrRoad_ene!L75/TrRoad_tech!L103)</f>
        <v>1.1579609428509294</v>
      </c>
      <c r="M130" s="93">
        <f>IF(TrRoad_act!M72=0,0,TrRoad_ene!M75/TrRoad_tech!M103)</f>
        <v>1.1598232546729108</v>
      </c>
      <c r="N130" s="93">
        <f>IF(TrRoad_act!N72=0,0,TrRoad_ene!N75/TrRoad_tech!N103)</f>
        <v>1.1623881508520271</v>
      </c>
      <c r="O130" s="93">
        <f>IF(TrRoad_act!O72=0,0,TrRoad_ene!O75/TrRoad_tech!O103)</f>
        <v>1.2086092319112851</v>
      </c>
      <c r="P130" s="93">
        <f>IF(TrRoad_act!P72=0,0,TrRoad_ene!P75/TrRoad_tech!P103)</f>
        <v>1.2162518188620055</v>
      </c>
      <c r="Q130" s="93">
        <f>IF(TrRoad_act!Q72=0,0,TrRoad_ene!Q75/TrRoad_tech!Q103)</f>
        <v>1.2318185142418032</v>
      </c>
      <c r="R130" s="93">
        <f>IF(TrRoad_act!R72=0,0,TrRoad_ene!R75/TrRoad_tech!R103)</f>
        <v>1.3107390241193964</v>
      </c>
      <c r="S130" s="93">
        <f>IF(TrRoad_act!S72=0,0,TrRoad_ene!S75/TrRoad_tech!S103)</f>
        <v>1.3204850791146647</v>
      </c>
      <c r="T130" s="93">
        <f>IF(TrRoad_act!T72=0,0,TrRoad_ene!T75/TrRoad_tech!T103)</f>
        <v>1.3303910969235548</v>
      </c>
      <c r="U130" s="93">
        <f>IF(TrRoad_act!U72=0,0,TrRoad_ene!U75/TrRoad_tech!U103)</f>
        <v>1.3403990958111458</v>
      </c>
      <c r="V130" s="93">
        <f>IF(TrRoad_act!V72=0,0,TrRoad_ene!V75/TrRoad_tech!V103)</f>
        <v>1.3456222357193208</v>
      </c>
      <c r="W130" s="93">
        <f>IF(TrRoad_act!W72=0,0,TrRoad_ene!W75/TrRoad_tech!W103)</f>
        <v>1.3475730844369262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1.0769134310117316</v>
      </c>
      <c r="C132" s="150">
        <f>IF(TrRoad_act!C74=0,0,TrRoad_ene!C77/TrRoad_tech!C105)</f>
        <v>1.061722584810064</v>
      </c>
      <c r="D132" s="150">
        <f>IF(TrRoad_act!D74=0,0,TrRoad_ene!D77/TrRoad_tech!D105)</f>
        <v>1.0611461504421622</v>
      </c>
      <c r="E132" s="150">
        <f>IF(TrRoad_act!E74=0,0,TrRoad_ene!E77/TrRoad_tech!E105)</f>
        <v>1.0626288692160302</v>
      </c>
      <c r="F132" s="150">
        <f>IF(TrRoad_act!F74=0,0,TrRoad_ene!F77/TrRoad_tech!F105)</f>
        <v>1.0655440710142452</v>
      </c>
      <c r="G132" s="150">
        <f>IF(TrRoad_act!G74=0,0,TrRoad_ene!G77/TrRoad_tech!G105)</f>
        <v>1.0712723029541438</v>
      </c>
      <c r="H132" s="150">
        <f>IF(TrRoad_act!H74=0,0,TrRoad_ene!H77/TrRoad_tech!H105)</f>
        <v>1.0773558866225843</v>
      </c>
      <c r="I132" s="150">
        <f>IF(TrRoad_act!I74=0,0,TrRoad_ene!I77/TrRoad_tech!I105)</f>
        <v>1.0839407445809293</v>
      </c>
      <c r="J132" s="150">
        <f>IF(TrRoad_act!J74=0,0,TrRoad_ene!J77/TrRoad_tech!J105)</f>
        <v>1.0911798887018143</v>
      </c>
      <c r="K132" s="150">
        <f>IF(TrRoad_act!K74=0,0,TrRoad_ene!K77/TrRoad_tech!K105)</f>
        <v>1.0997585839905828</v>
      </c>
      <c r="L132" s="150">
        <f>IF(TrRoad_act!L74=0,0,TrRoad_ene!L77/TrRoad_tech!L105)</f>
        <v>1.1019294315534158</v>
      </c>
      <c r="M132" s="150">
        <f>IF(TrRoad_act!M74=0,0,TrRoad_ene!M77/TrRoad_tech!M105)</f>
        <v>1.1079386665303692</v>
      </c>
      <c r="N132" s="150">
        <f>IF(TrRoad_act!N74=0,0,TrRoad_ene!N77/TrRoad_tech!N105)</f>
        <v>1.1132176326340701</v>
      </c>
      <c r="O132" s="150">
        <f>IF(TrRoad_act!O74=0,0,TrRoad_ene!O77/TrRoad_tech!O105)</f>
        <v>1.1187899046174836</v>
      </c>
      <c r="P132" s="150">
        <f>IF(TrRoad_act!P74=0,0,TrRoad_ene!P77/TrRoad_tech!P105)</f>
        <v>1.1263822685057117</v>
      </c>
      <c r="Q132" s="150">
        <f>IF(TrRoad_act!Q74=0,0,TrRoad_ene!Q77/TrRoad_tech!Q105)</f>
        <v>1.1341214491433733</v>
      </c>
      <c r="R132" s="150">
        <f>IF(TrRoad_act!R74=0,0,TrRoad_ene!R77/TrRoad_tech!R105)</f>
        <v>1.1407269221204714</v>
      </c>
      <c r="S132" s="150">
        <f>IF(TrRoad_act!S74=0,0,TrRoad_ene!S77/TrRoad_tech!S105)</f>
        <v>1.1502440550271751</v>
      </c>
      <c r="T132" s="150">
        <f>IF(TrRoad_act!T74=0,0,TrRoad_ene!T77/TrRoad_tech!T105)</f>
        <v>1.1632378279734887</v>
      </c>
      <c r="U132" s="150">
        <f>IF(TrRoad_act!U74=0,0,TrRoad_ene!U77/TrRoad_tech!U105)</f>
        <v>1.1724402134948497</v>
      </c>
      <c r="V132" s="150">
        <f>IF(TrRoad_act!V74=0,0,TrRoad_ene!V77/TrRoad_tech!V105)</f>
        <v>1.1820955315852615</v>
      </c>
      <c r="W132" s="150">
        <f>IF(TrRoad_act!W74=0,0,TrRoad_ene!W77/TrRoad_tech!W105)</f>
        <v>1.1991627834007255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1.10000000000673</v>
      </c>
      <c r="D133" s="91">
        <f>IF(TrRoad_act!D75=0,0,TrRoad_ene!D78/TrRoad_tech!D106)</f>
        <v>1.10000000000673</v>
      </c>
      <c r="E133" s="91">
        <f>IF(TrRoad_act!E75=0,0,TrRoad_ene!E78/TrRoad_tech!E106)</f>
        <v>1.10000000000673</v>
      </c>
      <c r="F133" s="91">
        <f>IF(TrRoad_act!F75=0,0,TrRoad_ene!F78/TrRoad_tech!F106)</f>
        <v>1.10000000000673</v>
      </c>
      <c r="G133" s="91">
        <f>IF(TrRoad_act!G75=0,0,TrRoad_ene!G78/TrRoad_tech!G106)</f>
        <v>1.1000000000067305</v>
      </c>
      <c r="H133" s="91">
        <f>IF(TrRoad_act!H75=0,0,TrRoad_ene!H78/TrRoad_tech!H106)</f>
        <v>1.1000000000067303</v>
      </c>
      <c r="I133" s="91">
        <f>IF(TrRoad_act!I75=0,0,TrRoad_ene!I78/TrRoad_tech!I106)</f>
        <v>1.1000000000067303</v>
      </c>
      <c r="J133" s="91">
        <f>IF(TrRoad_act!J75=0,0,TrRoad_ene!J78/TrRoad_tech!J106)</f>
        <v>1.1000000000067303</v>
      </c>
      <c r="K133" s="91">
        <f>IF(TrRoad_act!K75=0,0,TrRoad_ene!K78/TrRoad_tech!K106)</f>
        <v>1.101575520580776</v>
      </c>
      <c r="L133" s="91">
        <f>IF(TrRoad_act!L75=0,0,TrRoad_ene!L78/TrRoad_tech!L106)</f>
        <v>1.1057043724508504</v>
      </c>
      <c r="M133" s="91">
        <f>IF(TrRoad_act!M75=0,0,TrRoad_ene!M78/TrRoad_tech!M106)</f>
        <v>1.1110062288142519</v>
      </c>
      <c r="N133" s="91">
        <f>IF(TrRoad_act!N75=0,0,TrRoad_ene!N78/TrRoad_tech!N106)</f>
        <v>1.1185886631363955</v>
      </c>
      <c r="O133" s="91">
        <f>IF(TrRoad_act!O75=0,0,TrRoad_ene!O78/TrRoad_tech!O106)</f>
        <v>1.1241944676542965</v>
      </c>
      <c r="P133" s="91">
        <f>IF(TrRoad_act!P75=0,0,TrRoad_ene!P78/TrRoad_tech!P106)</f>
        <v>1.1363233617846695</v>
      </c>
      <c r="Q133" s="91">
        <f>IF(TrRoad_act!Q75=0,0,TrRoad_ene!Q78/TrRoad_tech!Q106)</f>
        <v>1.1494621972601176</v>
      </c>
      <c r="R133" s="91">
        <f>IF(TrRoad_act!R75=0,0,TrRoad_ene!R78/TrRoad_tech!R106)</f>
        <v>1.1637128934322496</v>
      </c>
      <c r="S133" s="91">
        <f>IF(TrRoad_act!S75=0,0,TrRoad_ene!S78/TrRoad_tech!S106)</f>
        <v>1.1778455685281051</v>
      </c>
      <c r="T133" s="91">
        <f>IF(TrRoad_act!T75=0,0,TrRoad_ene!T78/TrRoad_tech!T106)</f>
        <v>1.1894599474040308</v>
      </c>
      <c r="U133" s="91">
        <f>IF(TrRoad_act!U75=0,0,TrRoad_ene!U78/TrRoad_tech!U106)</f>
        <v>1.2084967355841183</v>
      </c>
      <c r="V133" s="91">
        <f>IF(TrRoad_act!V75=0,0,TrRoad_ene!V78/TrRoad_tech!V106)</f>
        <v>1.2188268801083959</v>
      </c>
      <c r="W133" s="91">
        <f>IF(TrRoad_act!W75=0,0,TrRoad_ene!W78/TrRoad_tech!W106)</f>
        <v>1.2427124840457995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1.1000000000067305</v>
      </c>
      <c r="C134" s="91">
        <f>IF(TrRoad_act!C76=0,0,TrRoad_ene!C79/TrRoad_tech!C107)</f>
        <v>1.1004057790463269</v>
      </c>
      <c r="D134" s="91">
        <f>IF(TrRoad_act!D76=0,0,TrRoad_ene!D79/TrRoad_tech!D107)</f>
        <v>1.1011517098427552</v>
      </c>
      <c r="E134" s="91">
        <f>IF(TrRoad_act!E76=0,0,TrRoad_ene!E79/TrRoad_tech!E107)</f>
        <v>1.1022830101944734</v>
      </c>
      <c r="F134" s="91">
        <f>IF(TrRoad_act!F76=0,0,TrRoad_ene!F79/TrRoad_tech!F107)</f>
        <v>1.1037715131350028</v>
      </c>
      <c r="G134" s="91">
        <f>IF(TrRoad_act!G76=0,0,TrRoad_ene!G79/TrRoad_tech!G107)</f>
        <v>1.1060094303839079</v>
      </c>
      <c r="H134" s="91">
        <f>IF(TrRoad_act!H76=0,0,TrRoad_ene!H79/TrRoad_tech!H107)</f>
        <v>1.108645757576368</v>
      </c>
      <c r="I134" s="91">
        <f>IF(TrRoad_act!I76=0,0,TrRoad_ene!I79/TrRoad_tech!I107)</f>
        <v>1.1120876387849352</v>
      </c>
      <c r="J134" s="91">
        <f>IF(TrRoad_act!J76=0,0,TrRoad_ene!J79/TrRoad_tech!J107)</f>
        <v>1.1170340595935713</v>
      </c>
      <c r="K134" s="91">
        <f>IF(TrRoad_act!K76=0,0,TrRoad_ene!K79/TrRoad_tech!K107)</f>
        <v>1.1229518201578701</v>
      </c>
      <c r="L134" s="91">
        <f>IF(TrRoad_act!L76=0,0,TrRoad_ene!L79/TrRoad_tech!L107)</f>
        <v>1.1243992639664893</v>
      </c>
      <c r="M134" s="91">
        <f>IF(TrRoad_act!M76=0,0,TrRoad_ene!M79/TrRoad_tech!M107)</f>
        <v>1.12757723120013</v>
      </c>
      <c r="N134" s="91">
        <f>IF(TrRoad_act!N76=0,0,TrRoad_ene!N79/TrRoad_tech!N107)</f>
        <v>1.1357323729664106</v>
      </c>
      <c r="O134" s="91">
        <f>IF(TrRoad_act!O76=0,0,TrRoad_ene!O79/TrRoad_tech!O107)</f>
        <v>1.145973768156139</v>
      </c>
      <c r="P134" s="91">
        <f>IF(TrRoad_act!P76=0,0,TrRoad_ene!P79/TrRoad_tech!P107)</f>
        <v>1.1557892768714211</v>
      </c>
      <c r="Q134" s="91">
        <f>IF(TrRoad_act!Q76=0,0,TrRoad_ene!Q79/TrRoad_tech!Q107)</f>
        <v>1.167092963797477</v>
      </c>
      <c r="R134" s="91">
        <f>IF(TrRoad_act!R76=0,0,TrRoad_ene!R79/TrRoad_tech!R107)</f>
        <v>1.1797184903694549</v>
      </c>
      <c r="S134" s="91">
        <f>IF(TrRoad_act!S76=0,0,TrRoad_ene!S79/TrRoad_tech!S107)</f>
        <v>1.1940622534459573</v>
      </c>
      <c r="T134" s="91">
        <f>IF(TrRoad_act!T76=0,0,TrRoad_ene!T79/TrRoad_tech!T107)</f>
        <v>1.2109538165551212</v>
      </c>
      <c r="U134" s="91">
        <f>IF(TrRoad_act!U76=0,0,TrRoad_ene!U79/TrRoad_tech!U107)</f>
        <v>1.2238536654867633</v>
      </c>
      <c r="V134" s="91">
        <f>IF(TrRoad_act!V76=0,0,TrRoad_ene!V79/TrRoad_tech!V107)</f>
        <v>1.2347548125923677</v>
      </c>
      <c r="W134" s="91">
        <f>IF(TrRoad_act!W76=0,0,TrRoad_ene!W79/TrRoad_tech!W107)</f>
        <v>1.2463065589346505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1.1000000000067303</v>
      </c>
      <c r="C135" s="91">
        <f>IF(TrRoad_act!C77=0,0,TrRoad_ene!C80/TrRoad_tech!C108)</f>
        <v>1.1000008758192352</v>
      </c>
      <c r="D135" s="91">
        <f>IF(TrRoad_act!D77=0,0,TrRoad_ene!D80/TrRoad_tech!D108)</f>
        <v>1.1000008794784812</v>
      </c>
      <c r="E135" s="91">
        <f>IF(TrRoad_act!E77=0,0,TrRoad_ene!E80/TrRoad_tech!E108)</f>
        <v>1.1000009006536517</v>
      </c>
      <c r="F135" s="91">
        <f>IF(TrRoad_act!F77=0,0,TrRoad_ene!F80/TrRoad_tech!F108)</f>
        <v>1.1000009330104381</v>
      </c>
      <c r="G135" s="91">
        <f>IF(TrRoad_act!G77=0,0,TrRoad_ene!G80/TrRoad_tech!G108)</f>
        <v>1.1000010405654219</v>
      </c>
      <c r="H135" s="91">
        <f>IF(TrRoad_act!H77=0,0,TrRoad_ene!H80/TrRoad_tech!H108)</f>
        <v>1.1000011095870263</v>
      </c>
      <c r="I135" s="91">
        <f>IF(TrRoad_act!I77=0,0,TrRoad_ene!I80/TrRoad_tech!I108)</f>
        <v>1.1000011443771363</v>
      </c>
      <c r="J135" s="91">
        <f>IF(TrRoad_act!J77=0,0,TrRoad_ene!J80/TrRoad_tech!J108)</f>
        <v>1.1000011454835803</v>
      </c>
      <c r="K135" s="91">
        <f>IF(TrRoad_act!K77=0,0,TrRoad_ene!K80/TrRoad_tech!K108)</f>
        <v>1.1000258832284291</v>
      </c>
      <c r="L135" s="91">
        <f>IF(TrRoad_act!L77=0,0,TrRoad_ene!L80/TrRoad_tech!L108)</f>
        <v>1.1010749978890435</v>
      </c>
      <c r="M135" s="91">
        <f>IF(TrRoad_act!M77=0,0,TrRoad_ene!M80/TrRoad_tech!M108)</f>
        <v>1.10298552429353</v>
      </c>
      <c r="N135" s="91">
        <f>IF(TrRoad_act!N77=0,0,TrRoad_ene!N80/TrRoad_tech!N108)</f>
        <v>1.1064734332145094</v>
      </c>
      <c r="O135" s="91">
        <f>IF(TrRoad_act!O77=0,0,TrRoad_ene!O80/TrRoad_tech!O108)</f>
        <v>1.1098275581385473</v>
      </c>
      <c r="P135" s="91">
        <f>IF(TrRoad_act!P77=0,0,TrRoad_ene!P80/TrRoad_tech!P108)</f>
        <v>1.1159532004995789</v>
      </c>
      <c r="Q135" s="91">
        <f>IF(TrRoad_act!Q77=0,0,TrRoad_ene!Q80/TrRoad_tech!Q108)</f>
        <v>1.1218186243321357</v>
      </c>
      <c r="R135" s="91">
        <f>IF(TrRoad_act!R77=0,0,TrRoad_ene!R80/TrRoad_tech!R108)</f>
        <v>1.1280074137247815</v>
      </c>
      <c r="S135" s="91">
        <f>IF(TrRoad_act!S77=0,0,TrRoad_ene!S80/TrRoad_tech!S108)</f>
        <v>1.1372297263991777</v>
      </c>
      <c r="T135" s="91">
        <f>IF(TrRoad_act!T77=0,0,TrRoad_ene!T80/TrRoad_tech!T108)</f>
        <v>1.1454668634890037</v>
      </c>
      <c r="U135" s="91">
        <f>IF(TrRoad_act!U77=0,0,TrRoad_ene!U80/TrRoad_tech!U108)</f>
        <v>1.1719409604024575</v>
      </c>
      <c r="V135" s="91">
        <f>IF(TrRoad_act!V77=0,0,TrRoad_ene!V80/TrRoad_tech!V108)</f>
        <v>1.1780981093628871</v>
      </c>
      <c r="W135" s="91">
        <f>IF(TrRoad_act!W77=0,0,TrRoad_ene!W80/TrRoad_tech!W108)</f>
        <v>1.1971329270699793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1.1160000000058972</v>
      </c>
      <c r="F136" s="91">
        <f>IF(TrRoad_act!F78=0,0,TrRoad_ene!F81/TrRoad_tech!F109)</f>
        <v>1.1212196351318426</v>
      </c>
      <c r="G136" s="91">
        <f>IF(TrRoad_act!G78=0,0,TrRoad_ene!G81/TrRoad_tech!G109)</f>
        <v>1.1214809478140704</v>
      </c>
      <c r="H136" s="91">
        <f>IF(TrRoad_act!H78=0,0,TrRoad_ene!H81/TrRoad_tech!H109)</f>
        <v>1.121517950140555</v>
      </c>
      <c r="I136" s="91">
        <f>IF(TrRoad_act!I78=0,0,TrRoad_ene!I81/TrRoad_tech!I109)</f>
        <v>1.141508344020769</v>
      </c>
      <c r="J136" s="91">
        <f>IF(TrRoad_act!J78=0,0,TrRoad_ene!J81/TrRoad_tech!J109)</f>
        <v>1.1415083440207696</v>
      </c>
      <c r="K136" s="91">
        <f>IF(TrRoad_act!K78=0,0,TrRoad_ene!K81/TrRoad_tech!K109)</f>
        <v>1.1588836311495814</v>
      </c>
      <c r="L136" s="91">
        <f>IF(TrRoad_act!L78=0,0,TrRoad_ene!L81/TrRoad_tech!L109)</f>
        <v>1.1709130762857007</v>
      </c>
      <c r="M136" s="91">
        <f>IF(TrRoad_act!M78=0,0,TrRoad_ene!M81/TrRoad_tech!M109)</f>
        <v>1.1818578761340224</v>
      </c>
      <c r="N136" s="91">
        <f>IF(TrRoad_act!N78=0,0,TrRoad_ene!N81/TrRoad_tech!N109)</f>
        <v>1.1974285551062338</v>
      </c>
      <c r="O136" s="91">
        <f>IF(TrRoad_act!O78=0,0,TrRoad_ene!O81/TrRoad_tech!O109)</f>
        <v>1.2079181338778919</v>
      </c>
      <c r="P136" s="91">
        <f>IF(TrRoad_act!P78=0,0,TrRoad_ene!P81/TrRoad_tech!P109)</f>
        <v>1.2203724279959918</v>
      </c>
      <c r="Q136" s="91">
        <f>IF(TrRoad_act!Q78=0,0,TrRoad_ene!Q81/TrRoad_tech!Q109)</f>
        <v>1.2278322474968524</v>
      </c>
      <c r="R136" s="91">
        <f>IF(TrRoad_act!R78=0,0,TrRoad_ene!R81/TrRoad_tech!R109)</f>
        <v>1.2912612857382129</v>
      </c>
      <c r="S136" s="91">
        <f>IF(TrRoad_act!S78=0,0,TrRoad_ene!S81/TrRoad_tech!S109)</f>
        <v>1.3034891268878255</v>
      </c>
      <c r="T136" s="91">
        <f>IF(TrRoad_act!T78=0,0,TrRoad_ene!T81/TrRoad_tech!T109)</f>
        <v>1.3209531506263885</v>
      </c>
      <c r="U136" s="91">
        <f>IF(TrRoad_act!U78=0,0,TrRoad_ene!U81/TrRoad_tech!U109)</f>
        <v>1.32747211309582</v>
      </c>
      <c r="V136" s="91">
        <f>IF(TrRoad_act!V78=0,0,TrRoad_ene!V81/TrRoad_tech!V109)</f>
        <v>1.3315370438149257</v>
      </c>
      <c r="W136" s="91">
        <f>IF(TrRoad_act!W78=0,0,TrRoad_ene!W81/TrRoad_tech!W109)</f>
        <v>1.3367661094083512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1.2173333333398659</v>
      </c>
      <c r="N137" s="91">
        <f>IF(TrRoad_act!N79=0,0,TrRoad_ene!N82/TrRoad_tech!N110)</f>
        <v>1.2360000000066977</v>
      </c>
      <c r="O137" s="91">
        <f>IF(TrRoad_act!O79=0,0,TrRoad_ene!O82/TrRoad_tech!O110)</f>
        <v>1.2443463442407814</v>
      </c>
      <c r="P137" s="91">
        <f>IF(TrRoad_act!P79=0,0,TrRoad_ene!P82/TrRoad_tech!P110)</f>
        <v>1.260756333985718</v>
      </c>
      <c r="Q137" s="91">
        <f>IF(TrRoad_act!Q79=0,0,TrRoad_ene!Q82/TrRoad_tech!Q110)</f>
        <v>1.2696713335617291</v>
      </c>
      <c r="R137" s="91">
        <f>IF(TrRoad_act!R79=0,0,TrRoad_ene!R82/TrRoad_tech!R110)</f>
        <v>1.2827045197846518</v>
      </c>
      <c r="S137" s="91">
        <f>IF(TrRoad_act!S79=0,0,TrRoad_ene!S82/TrRoad_tech!S110)</f>
        <v>1.2971012475596815</v>
      </c>
      <c r="T137" s="91">
        <f>IF(TrRoad_act!T79=0,0,TrRoad_ene!T82/TrRoad_tech!T110)</f>
        <v>1.3132807457634679</v>
      </c>
      <c r="U137" s="91">
        <f>IF(TrRoad_act!U79=0,0,TrRoad_ene!U82/TrRoad_tech!U110)</f>
        <v>1.326000591302948</v>
      </c>
      <c r="V137" s="91">
        <f>IF(TrRoad_act!V79=0,0,TrRoad_ene!V82/TrRoad_tech!V110)</f>
        <v>1.3356313675873634</v>
      </c>
      <c r="W137" s="91">
        <f>IF(TrRoad_act!W79=0,0,TrRoad_ene!W82/TrRoad_tech!W110)</f>
        <v>1.3448604609921377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1.1693511997228687</v>
      </c>
      <c r="C138" s="151">
        <f>IF(TrRoad_act!C80=0,0,TrRoad_ene!C83/TrRoad_tech!C111)</f>
        <v>1.1569460006795316</v>
      </c>
      <c r="D138" s="151">
        <f>IF(TrRoad_act!D80=0,0,TrRoad_ene!D83/TrRoad_tech!D111)</f>
        <v>1.1525208385620191</v>
      </c>
      <c r="E138" s="151">
        <f>IF(TrRoad_act!E80=0,0,TrRoad_ene!E83/TrRoad_tech!E111)</f>
        <v>1.1635811396635862</v>
      </c>
      <c r="F138" s="151">
        <f>IF(TrRoad_act!F80=0,0,TrRoad_ene!F83/TrRoad_tech!F111)</f>
        <v>1.1859189160737986</v>
      </c>
      <c r="G138" s="151">
        <f>IF(TrRoad_act!G80=0,0,TrRoad_ene!G83/TrRoad_tech!G111)</f>
        <v>1.2003440452708496</v>
      </c>
      <c r="H138" s="151">
        <f>IF(TrRoad_act!H80=0,0,TrRoad_ene!H83/TrRoad_tech!H111)</f>
        <v>1.3021249454631398</v>
      </c>
      <c r="I138" s="151">
        <f>IF(TrRoad_act!I80=0,0,TrRoad_ene!I83/TrRoad_tech!I111)</f>
        <v>1.3740139057748579</v>
      </c>
      <c r="J138" s="151">
        <f>IF(TrRoad_act!J80=0,0,TrRoad_ene!J83/TrRoad_tech!J111)</f>
        <v>1.3991342754951328</v>
      </c>
      <c r="K138" s="151">
        <f>IF(TrRoad_act!K80=0,0,TrRoad_ene!K83/TrRoad_tech!K111)</f>
        <v>1.3186516870125782</v>
      </c>
      <c r="L138" s="151">
        <f>IF(TrRoad_act!L80=0,0,TrRoad_ene!L83/TrRoad_tech!L111)</f>
        <v>1.5290277494301991</v>
      </c>
      <c r="M138" s="151">
        <f>IF(TrRoad_act!M80=0,0,TrRoad_ene!M83/TrRoad_tech!M111)</f>
        <v>1.5696649499833639</v>
      </c>
      <c r="N138" s="151">
        <f>IF(TrRoad_act!N80=0,0,TrRoad_ene!N83/TrRoad_tech!N111)</f>
        <v>1.6109771163988049</v>
      </c>
      <c r="O138" s="151">
        <f>IF(TrRoad_act!O80=0,0,TrRoad_ene!O83/TrRoad_tech!O111)</f>
        <v>1.3968596109282096</v>
      </c>
      <c r="P138" s="151">
        <f>IF(TrRoad_act!P80=0,0,TrRoad_ene!P83/TrRoad_tech!P111)</f>
        <v>1.0615089105958957</v>
      </c>
      <c r="Q138" s="151">
        <f>IF(TrRoad_act!Q80=0,0,TrRoad_ene!Q83/TrRoad_tech!Q111)</f>
        <v>1.057616024134248</v>
      </c>
      <c r="R138" s="151">
        <f>IF(TrRoad_act!R80=0,0,TrRoad_ene!R83/TrRoad_tech!R111)</f>
        <v>1.0079671483012853</v>
      </c>
      <c r="S138" s="151">
        <f>IF(TrRoad_act!S80=0,0,TrRoad_ene!S83/TrRoad_tech!S111)</f>
        <v>1.2606754430737663</v>
      </c>
      <c r="T138" s="151">
        <f>IF(TrRoad_act!T80=0,0,TrRoad_ene!T83/TrRoad_tech!T111)</f>
        <v>1.4705107250820504</v>
      </c>
      <c r="U138" s="151">
        <f>IF(TrRoad_act!U80=0,0,TrRoad_ene!U83/TrRoad_tech!U111)</f>
        <v>1.5261160635091919</v>
      </c>
      <c r="V138" s="151">
        <f>IF(TrRoad_act!V80=0,0,TrRoad_ene!V83/TrRoad_tech!V111)</f>
        <v>1.3642959650369657</v>
      </c>
      <c r="W138" s="151">
        <f>IF(TrRoad_act!W80=0,0,TrRoad_ene!W83/TrRoad_tech!W111)</f>
        <v>1.2393684936177964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1.1553607738890976</v>
      </c>
      <c r="C139" s="93">
        <f>IF(TrRoad_act!C81=0,0,TrRoad_ene!C84/TrRoad_tech!C112)</f>
        <v>1.1419476226577636</v>
      </c>
      <c r="D139" s="93">
        <f>IF(TrRoad_act!D81=0,0,TrRoad_ene!D84/TrRoad_tech!D112)</f>
        <v>1.1388311503482922</v>
      </c>
      <c r="E139" s="93">
        <f>IF(TrRoad_act!E81=0,0,TrRoad_ene!E84/TrRoad_tech!E112)</f>
        <v>1.1511950558960418</v>
      </c>
      <c r="F139" s="93">
        <f>IF(TrRoad_act!F81=0,0,TrRoad_ene!F84/TrRoad_tech!F112)</f>
        <v>1.175489450906142</v>
      </c>
      <c r="G139" s="93">
        <f>IF(TrRoad_act!G81=0,0,TrRoad_ene!G84/TrRoad_tech!G112)</f>
        <v>1.1889513184338456</v>
      </c>
      <c r="H139" s="93">
        <f>IF(TrRoad_act!H81=0,0,TrRoad_ene!H84/TrRoad_tech!H112)</f>
        <v>1.2896102480450937</v>
      </c>
      <c r="I139" s="93">
        <f>IF(TrRoad_act!I81=0,0,TrRoad_ene!I84/TrRoad_tech!I112)</f>
        <v>1.356625729766652</v>
      </c>
      <c r="J139" s="93">
        <f>IF(TrRoad_act!J81=0,0,TrRoad_ene!J84/TrRoad_tech!J112)</f>
        <v>1.3813321995705998</v>
      </c>
      <c r="K139" s="93">
        <f>IF(TrRoad_act!K81=0,0,TrRoad_ene!K84/TrRoad_tech!K112)</f>
        <v>1.30171845927722</v>
      </c>
      <c r="L139" s="93">
        <f>IF(TrRoad_act!L81=0,0,TrRoad_ene!L84/TrRoad_tech!L112)</f>
        <v>1.5008735592359412</v>
      </c>
      <c r="M139" s="93">
        <f>IF(TrRoad_act!M81=0,0,TrRoad_ene!M84/TrRoad_tech!M112)</f>
        <v>1.5429446755988623</v>
      </c>
      <c r="N139" s="93">
        <f>IF(TrRoad_act!N81=0,0,TrRoad_ene!N84/TrRoad_tech!N112)</f>
        <v>1.5802655622893924</v>
      </c>
      <c r="O139" s="93">
        <f>IF(TrRoad_act!O81=0,0,TrRoad_ene!O84/TrRoad_tech!O112)</f>
        <v>1.3706427378986694</v>
      </c>
      <c r="P139" s="93">
        <f>IF(TrRoad_act!P81=0,0,TrRoad_ene!P84/TrRoad_tech!P112)</f>
        <v>1.0414174767189741</v>
      </c>
      <c r="Q139" s="93">
        <f>IF(TrRoad_act!Q81=0,0,TrRoad_ene!Q84/TrRoad_tech!Q112)</f>
        <v>1.0365275899326103</v>
      </c>
      <c r="R139" s="93">
        <f>IF(TrRoad_act!R81=0,0,TrRoad_ene!R84/TrRoad_tech!R112)</f>
        <v>0.98520874415207749</v>
      </c>
      <c r="S139" s="93">
        <f>IF(TrRoad_act!S81=0,0,TrRoad_ene!S84/TrRoad_tech!S112)</f>
        <v>1.228112449201048</v>
      </c>
      <c r="T139" s="93">
        <f>IF(TrRoad_act!T81=0,0,TrRoad_ene!T84/TrRoad_tech!T112)</f>
        <v>1.4322717453615377</v>
      </c>
      <c r="U139" s="93">
        <f>IF(TrRoad_act!U81=0,0,TrRoad_ene!U84/TrRoad_tech!U112)</f>
        <v>1.482411757895328</v>
      </c>
      <c r="V139" s="93">
        <f>IF(TrRoad_act!V81=0,0,TrRoad_ene!V84/TrRoad_tech!V112)</f>
        <v>1.3238701109693527</v>
      </c>
      <c r="W139" s="93">
        <f>IF(TrRoad_act!W81=0,0,TrRoad_ene!W84/TrRoad_tech!W112)</f>
        <v>1.2057434684511816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1.1553607738890979</v>
      </c>
      <c r="C140" s="94">
        <f>IF(TrRoad_act!C82=0,0,TrRoad_ene!C85/TrRoad_tech!C113)</f>
        <v>1.1420055642182521</v>
      </c>
      <c r="D140" s="94">
        <f>IF(TrRoad_act!D82=0,0,TrRoad_ene!D85/TrRoad_tech!D113)</f>
        <v>1.138939815152167</v>
      </c>
      <c r="E140" s="94">
        <f>IF(TrRoad_act!E82=0,0,TrRoad_ene!E85/TrRoad_tech!E113)</f>
        <v>1.1513751391418656</v>
      </c>
      <c r="F140" s="94">
        <f>IF(TrRoad_act!F82=0,0,TrRoad_ene!F85/TrRoad_tech!F113)</f>
        <v>1.1780659072607618</v>
      </c>
      <c r="G140" s="94">
        <f>IF(TrRoad_act!G82=0,0,TrRoad_ene!G85/TrRoad_tech!G113)</f>
        <v>1.1920004009476861</v>
      </c>
      <c r="H140" s="94">
        <f>IF(TrRoad_act!H82=0,0,TrRoad_ene!H85/TrRoad_tech!H113)</f>
        <v>1.2939591425579011</v>
      </c>
      <c r="I140" s="94">
        <f>IF(TrRoad_act!I82=0,0,TrRoad_ene!I85/TrRoad_tech!I113)</f>
        <v>1.3604516848049162</v>
      </c>
      <c r="J140" s="94">
        <f>IF(TrRoad_act!J82=0,0,TrRoad_ene!J85/TrRoad_tech!J113)</f>
        <v>1.3848117758280749</v>
      </c>
      <c r="K140" s="94">
        <f>IF(TrRoad_act!K82=0,0,TrRoad_ene!K85/TrRoad_tech!K113)</f>
        <v>1.299016030150574</v>
      </c>
      <c r="L140" s="94">
        <f>IF(TrRoad_act!L82=0,0,TrRoad_ene!L85/TrRoad_tech!L113)</f>
        <v>1.5032238225039118</v>
      </c>
      <c r="M140" s="94">
        <f>IF(TrRoad_act!M82=0,0,TrRoad_ene!M85/TrRoad_tech!M113)</f>
        <v>1.5484430671550093</v>
      </c>
      <c r="N140" s="94">
        <f>IF(TrRoad_act!N82=0,0,TrRoad_ene!N85/TrRoad_tech!N113)</f>
        <v>1.585878540793298</v>
      </c>
      <c r="O140" s="94">
        <f>IF(TrRoad_act!O82=0,0,TrRoad_ene!O85/TrRoad_tech!O113)</f>
        <v>1.3779727352078832</v>
      </c>
      <c r="P140" s="94">
        <f>IF(TrRoad_act!P82=0,0,TrRoad_ene!P85/TrRoad_tech!P113)</f>
        <v>1.0487703023768535</v>
      </c>
      <c r="Q140" s="94">
        <f>IF(TrRoad_act!Q82=0,0,TrRoad_ene!Q85/TrRoad_tech!Q113)</f>
        <v>1.0487259787283663</v>
      </c>
      <c r="R140" s="94">
        <f>IF(TrRoad_act!R82=0,0,TrRoad_ene!R85/TrRoad_tech!R113)</f>
        <v>1.0069660807686682</v>
      </c>
      <c r="S140" s="94">
        <f>IF(TrRoad_act!S82=0,0,TrRoad_ene!S85/TrRoad_tech!S113)</f>
        <v>1.2551318101819153</v>
      </c>
      <c r="T140" s="94">
        <f>IF(TrRoad_act!T82=0,0,TrRoad_ene!T85/TrRoad_tech!T113)</f>
        <v>1.4628453109724029</v>
      </c>
      <c r="U140" s="94">
        <f>IF(TrRoad_act!U82=0,0,TrRoad_ene!U85/TrRoad_tech!U113)</f>
        <v>1.5171027822390992</v>
      </c>
      <c r="V140" s="94">
        <f>IF(TrRoad_act!V82=0,0,TrRoad_ene!V85/TrRoad_tech!V113)</f>
        <v>1.3589434156004232</v>
      </c>
      <c r="W140" s="94">
        <f>IF(TrRoad_act!W82=0,0,TrRoad_ene!W85/TrRoad_tech!W113)</f>
        <v>1.2288912534131382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3.4933831041905643</v>
      </c>
      <c r="C144" s="141">
        <v>3.4514344222809599</v>
      </c>
      <c r="D144" s="141">
        <v>3.4054152966505478</v>
      </c>
      <c r="E144" s="141">
        <v>3.4054152966505478</v>
      </c>
      <c r="F144" s="141">
        <v>3.4054152966505478</v>
      </c>
      <c r="G144" s="141">
        <v>3.4054152966505478</v>
      </c>
      <c r="H144" s="141">
        <v>3.3133770453897218</v>
      </c>
      <c r="I144" s="141">
        <v>3.2673579197593092</v>
      </c>
      <c r="J144" s="141">
        <v>3.1293005428680707</v>
      </c>
      <c r="K144" s="141">
        <v>2.9570548812823683</v>
      </c>
      <c r="L144" s="141">
        <v>2.8495051788284309</v>
      </c>
      <c r="M144" s="141">
        <v>2.7202483983203032</v>
      </c>
      <c r="N144" s="141">
        <v>2.537404202209335</v>
      </c>
      <c r="O144" s="141">
        <v>2.3299867335850619</v>
      </c>
      <c r="P144" s="141">
        <v>2.3090245794298672</v>
      </c>
      <c r="Q144" s="141">
        <v>2.1521717183306674</v>
      </c>
      <c r="R144" s="141">
        <v>2.1064619274343537</v>
      </c>
      <c r="S144" s="141">
        <v>2.0698940947173026</v>
      </c>
      <c r="T144" s="141">
        <v>2.0406398285436618</v>
      </c>
      <c r="U144" s="141">
        <v>2.0172364156047493</v>
      </c>
      <c r="V144" s="141">
        <v>1.9985136852536192</v>
      </c>
      <c r="W144" s="141">
        <v>1.9835355009727149</v>
      </c>
      <c r="DA144" s="174" t="s">
        <v>885</v>
      </c>
    </row>
    <row r="145" spans="1:105" ht="11.45" customHeight="1" x14ac:dyDescent="0.25">
      <c r="A145" s="109" t="s">
        <v>20</v>
      </c>
      <c r="B145" s="130">
        <v>7.0408910734856294</v>
      </c>
      <c r="C145" s="130">
        <v>6.9951168508037549</v>
      </c>
      <c r="D145" s="130">
        <v>6.9491503340566636</v>
      </c>
      <c r="E145" s="130">
        <v>6.9445991253457402</v>
      </c>
      <c r="F145" s="130">
        <v>6.9290857692599968</v>
      </c>
      <c r="G145" s="130">
        <v>6.8975701224729118</v>
      </c>
      <c r="H145" s="130">
        <v>6.78492053275074</v>
      </c>
      <c r="I145" s="130">
        <v>6.7042190430659963</v>
      </c>
      <c r="J145" s="130">
        <v>6.4463557859047063</v>
      </c>
      <c r="K145" s="130">
        <v>6.1456428528226299</v>
      </c>
      <c r="L145" s="130">
        <v>5.9286617112127971</v>
      </c>
      <c r="M145" s="130">
        <v>5.4987425334261708</v>
      </c>
      <c r="N145" s="130">
        <v>5.176619820694393</v>
      </c>
      <c r="O145" s="130">
        <v>4.7345601039826226</v>
      </c>
      <c r="P145" s="130">
        <v>4.7361632021620625</v>
      </c>
      <c r="Q145" s="130">
        <v>4.5096452002473306</v>
      </c>
      <c r="R145" s="130">
        <v>4.6748679971906109</v>
      </c>
      <c r="S145" s="130">
        <v>4.7616034296204077</v>
      </c>
      <c r="T145" s="130">
        <v>4.7617071058786262</v>
      </c>
      <c r="U145" s="130">
        <v>4.4774449478353873</v>
      </c>
      <c r="V145" s="130">
        <v>4.2185913284522396</v>
      </c>
      <c r="W145" s="130">
        <v>4.0450914913199014</v>
      </c>
      <c r="DA145" s="176" t="s">
        <v>886</v>
      </c>
    </row>
    <row r="146" spans="1:105" ht="11.45" customHeight="1" x14ac:dyDescent="0.25">
      <c r="A146" s="111" t="s">
        <v>110</v>
      </c>
      <c r="B146" s="96">
        <v>7.4131650567942922</v>
      </c>
      <c r="C146" s="96">
        <v>7.3241474788086931</v>
      </c>
      <c r="D146" s="96">
        <v>7.2264921790912453</v>
      </c>
      <c r="E146" s="96">
        <v>7.2264921790912453</v>
      </c>
      <c r="F146" s="96">
        <v>7.2264921790912453</v>
      </c>
      <c r="G146" s="96">
        <v>7.2264921790912453</v>
      </c>
      <c r="H146" s="96">
        <v>7.0311815796563435</v>
      </c>
      <c r="I146" s="96">
        <v>6.9335262799388957</v>
      </c>
      <c r="J146" s="96">
        <v>6.640560380786547</v>
      </c>
      <c r="K146" s="96">
        <v>6.2750449244027848</v>
      </c>
      <c r="L146" s="96">
        <v>6.0459495784030315</v>
      </c>
      <c r="M146" s="96">
        <v>5.7691271829403297</v>
      </c>
      <c r="N146" s="96">
        <v>5.4313130893710238</v>
      </c>
      <c r="O146" s="96">
        <v>5.0077871783612746</v>
      </c>
      <c r="P146" s="96">
        <v>5.0600834118974687</v>
      </c>
      <c r="Q146" s="96">
        <v>4.9152475622187026</v>
      </c>
      <c r="R146" s="96">
        <v>4.8708149898777995</v>
      </c>
      <c r="S146" s="96">
        <v>4.8792933988213676</v>
      </c>
      <c r="T146" s="96">
        <v>4.9499511015195115</v>
      </c>
      <c r="U146" s="96">
        <v>4.8563245125992891</v>
      </c>
      <c r="V146" s="96">
        <v>4.7114198615431526</v>
      </c>
      <c r="W146" s="96">
        <v>4.470574868631692</v>
      </c>
      <c r="DA146" s="171" t="s">
        <v>887</v>
      </c>
    </row>
    <row r="147" spans="1:105" ht="11.45" customHeight="1" x14ac:dyDescent="0.25">
      <c r="A147" s="111" t="s">
        <v>111</v>
      </c>
      <c r="B147" s="96">
        <v>5.9001941231112642</v>
      </c>
      <c r="C147" s="96">
        <v>5.9862959574309214</v>
      </c>
      <c r="D147" s="96">
        <v>6.0834391154641407</v>
      </c>
      <c r="E147" s="96">
        <v>6.1140734723542849</v>
      </c>
      <c r="F147" s="96">
        <v>6.0984539811767426</v>
      </c>
      <c r="G147" s="96">
        <v>6.0230773398812572</v>
      </c>
      <c r="H147" s="96">
        <v>6.1300960471751145</v>
      </c>
      <c r="I147" s="96">
        <v>6.136041530913662</v>
      </c>
      <c r="J147" s="96">
        <v>5.9030591850912524</v>
      </c>
      <c r="K147" s="96">
        <v>5.671081345555157</v>
      </c>
      <c r="L147" s="96">
        <v>5.4532471895381223</v>
      </c>
      <c r="M147" s="96">
        <v>4.8438627777262244</v>
      </c>
      <c r="N147" s="96">
        <v>4.6616081778506455</v>
      </c>
      <c r="O147" s="96">
        <v>4.473992338956112</v>
      </c>
      <c r="P147" s="96">
        <v>4.3016419228526175</v>
      </c>
      <c r="Q147" s="96">
        <v>4.1720320158945157</v>
      </c>
      <c r="R147" s="96">
        <v>4.5189574334766665</v>
      </c>
      <c r="S147" s="96">
        <v>4.6054285115455427</v>
      </c>
      <c r="T147" s="96">
        <v>4.7585526959849487</v>
      </c>
      <c r="U147" s="96">
        <v>4.8111831586409135</v>
      </c>
      <c r="V147" s="96">
        <v>4.5781655457410899</v>
      </c>
      <c r="W147" s="96">
        <v>4.5432341468727948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5.5982617390875236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5.0997654162223442</v>
      </c>
      <c r="M148" s="96">
        <v>4.6656357802951209</v>
      </c>
      <c r="N148" s="96">
        <v>4.7080832603122218</v>
      </c>
      <c r="O148" s="96">
        <v>4.7324076171682785</v>
      </c>
      <c r="P148" s="96">
        <v>4.7889139071840665</v>
      </c>
      <c r="Q148" s="96">
        <v>4.8785338694893392</v>
      </c>
      <c r="R148" s="96">
        <v>4.3142517315813906</v>
      </c>
      <c r="S148" s="96">
        <v>4.6877539511103121</v>
      </c>
      <c r="T148" s="96">
        <v>4.4653620703548835</v>
      </c>
      <c r="U148" s="96">
        <v>5.4885348670343754</v>
      </c>
      <c r="V148" s="96">
        <v>4.4420590504281163</v>
      </c>
      <c r="W148" s="96">
        <v>4.4420403763083067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7.5010086070677744</v>
      </c>
      <c r="M149" s="96">
        <v>7.4314587411888704</v>
      </c>
      <c r="N149" s="96">
        <v>6.823140996819772</v>
      </c>
      <c r="O149" s="96">
        <v>5.0526396752184617</v>
      </c>
      <c r="P149" s="96">
        <v>4.7308148831108916</v>
      </c>
      <c r="Q149" s="96">
        <v>5.4733229404876136</v>
      </c>
      <c r="R149" s="96">
        <v>5.4900359439924404</v>
      </c>
      <c r="S149" s="96">
        <v>7.5548913926494965</v>
      </c>
      <c r="T149" s="96">
        <v>7.1053114630541883</v>
      </c>
      <c r="U149" s="96">
        <v>6.0684617611429612</v>
      </c>
      <c r="V149" s="96">
        <v>4.5878848165024886</v>
      </c>
      <c r="W149" s="96">
        <v>4.5271274422258507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3.225016442216182</v>
      </c>
      <c r="N150" s="96">
        <v>2.3560874955760851</v>
      </c>
      <c r="O150" s="96">
        <v>2.5759821487027832</v>
      </c>
      <c r="P150" s="96">
        <v>3.7279393575069681</v>
      </c>
      <c r="Q150" s="96">
        <v>2.8563685074798988</v>
      </c>
      <c r="R150" s="96">
        <v>2.7642937220878796</v>
      </c>
      <c r="S150" s="96">
        <v>3.0233510088704962</v>
      </c>
      <c r="T150" s="96">
        <v>3.280942401906632</v>
      </c>
      <c r="U150" s="96">
        <v>3.1901058978705228</v>
      </c>
      <c r="V150" s="96">
        <v>3.5499374410884466</v>
      </c>
      <c r="W150" s="96">
        <v>2.9197884630149824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1.6544713297474181</v>
      </c>
      <c r="L151" s="96">
        <v>1.6312876182287188</v>
      </c>
      <c r="M151" s="96">
        <v>1.6312876182287188</v>
      </c>
      <c r="N151" s="96">
        <v>1.4792727989965391</v>
      </c>
      <c r="O151" s="96">
        <v>1.4164923297361685</v>
      </c>
      <c r="P151" s="96">
        <v>1.394464788780208</v>
      </c>
      <c r="Q151" s="96">
        <v>1.5510066554493123</v>
      </c>
      <c r="R151" s="96">
        <v>1.4447619192557137</v>
      </c>
      <c r="S151" s="96">
        <v>1.3478955423243939</v>
      </c>
      <c r="T151" s="96">
        <v>1.5938314102578701</v>
      </c>
      <c r="U151" s="96">
        <v>1.4664657464732924</v>
      </c>
      <c r="V151" s="96">
        <v>1.4369296404034539</v>
      </c>
      <c r="W151" s="96">
        <v>1.4993592528968454</v>
      </c>
      <c r="DA151" s="171" t="s">
        <v>892</v>
      </c>
    </row>
    <row r="152" spans="1:105" ht="11.45" customHeight="1" x14ac:dyDescent="0.25">
      <c r="A152" s="109" t="s">
        <v>21</v>
      </c>
      <c r="B152" s="130">
        <v>48.886438430133197</v>
      </c>
      <c r="C152" s="130">
        <v>48.546568566310562</v>
      </c>
      <c r="D152" s="130">
        <v>48.062219202907421</v>
      </c>
      <c r="E152" s="130">
        <v>48.417519599710147</v>
      </c>
      <c r="F152" s="130">
        <v>48.282740491519952</v>
      </c>
      <c r="G152" s="130">
        <v>48.184292414917429</v>
      </c>
      <c r="H152" s="130">
        <v>47.849621596025202</v>
      </c>
      <c r="I152" s="130">
        <v>47.884431838848819</v>
      </c>
      <c r="J152" s="130">
        <v>47.237461023120197</v>
      </c>
      <c r="K152" s="130">
        <v>45.737403259665037</v>
      </c>
      <c r="L152" s="130">
        <v>43.683011162817287</v>
      </c>
      <c r="M152" s="130">
        <v>38.233342851235818</v>
      </c>
      <c r="N152" s="130">
        <v>43.112299673947071</v>
      </c>
      <c r="O152" s="130">
        <v>42.557413658091633</v>
      </c>
      <c r="P152" s="130">
        <v>43.204789069441922</v>
      </c>
      <c r="Q152" s="130">
        <v>41.186808096813976</v>
      </c>
      <c r="R152" s="130">
        <v>37.815450291522396</v>
      </c>
      <c r="S152" s="130">
        <v>37.395263861216655</v>
      </c>
      <c r="T152" s="130">
        <v>36.720512417877828</v>
      </c>
      <c r="U152" s="130">
        <v>32.015506647556094</v>
      </c>
      <c r="V152" s="130">
        <v>32.736906889956558</v>
      </c>
      <c r="W152" s="130">
        <v>34.856930284912586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14.380976759504</v>
      </c>
      <c r="D153" s="97">
        <v>14.189230402710615</v>
      </c>
      <c r="E153" s="97">
        <v>14.189230402710615</v>
      </c>
      <c r="F153" s="97">
        <v>0</v>
      </c>
      <c r="G153" s="97">
        <v>14.189230402710615</v>
      </c>
      <c r="H153" s="97">
        <v>13.805737689123841</v>
      </c>
      <c r="I153" s="97">
        <v>13.613991332330455</v>
      </c>
      <c r="J153" s="97">
        <v>0</v>
      </c>
      <c r="K153" s="97">
        <v>12.321062005343201</v>
      </c>
      <c r="L153" s="97">
        <v>11.872938245118464</v>
      </c>
      <c r="M153" s="97">
        <v>0</v>
      </c>
      <c r="N153" s="97">
        <v>0</v>
      </c>
      <c r="O153" s="97">
        <v>0</v>
      </c>
      <c r="P153" s="97">
        <v>0</v>
      </c>
      <c r="Q153" s="97">
        <v>10.357556431304987</v>
      </c>
      <c r="R153" s="97">
        <v>10.155620355565937</v>
      </c>
      <c r="S153" s="97">
        <v>0</v>
      </c>
      <c r="T153" s="97">
        <v>0</v>
      </c>
      <c r="U153" s="97">
        <v>9.6794556088567791</v>
      </c>
      <c r="V153" s="97">
        <v>0</v>
      </c>
      <c r="W153" s="97">
        <v>9.4447730665420817</v>
      </c>
      <c r="DA153" s="175" t="s">
        <v>894</v>
      </c>
    </row>
    <row r="154" spans="1:105" ht="11.45" customHeight="1" x14ac:dyDescent="0.25">
      <c r="A154" s="111" t="s">
        <v>111</v>
      </c>
      <c r="B154" s="97">
        <v>48.886438430133197</v>
      </c>
      <c r="C154" s="97">
        <v>48.738272737258001</v>
      </c>
      <c r="D154" s="97">
        <v>48.574170808849729</v>
      </c>
      <c r="E154" s="97">
        <v>48.574170808849729</v>
      </c>
      <c r="F154" s="97">
        <v>48.574170808849729</v>
      </c>
      <c r="G154" s="97">
        <v>48.574170808849729</v>
      </c>
      <c r="H154" s="97">
        <v>48.239176527409384</v>
      </c>
      <c r="I154" s="97">
        <v>48.069916258892157</v>
      </c>
      <c r="J154" s="97">
        <v>47.545517172431516</v>
      </c>
      <c r="K154" s="97">
        <v>46.863084538914457</v>
      </c>
      <c r="L154" s="97">
        <v>46.425026223226716</v>
      </c>
      <c r="M154" s="97">
        <v>0</v>
      </c>
      <c r="N154" s="97">
        <v>45.068114449221916</v>
      </c>
      <c r="O154" s="97">
        <v>44.086949688501946</v>
      </c>
      <c r="P154" s="97">
        <v>43.987116978279239</v>
      </c>
      <c r="Q154" s="97">
        <v>43.199999999908329</v>
      </c>
      <c r="R154" s="97">
        <v>42.503644508026944</v>
      </c>
      <c r="S154" s="97">
        <v>41.88652694133328</v>
      </c>
      <c r="T154" s="97">
        <v>41.338785682725543</v>
      </c>
      <c r="U154" s="97">
        <v>40.851945334725222</v>
      </c>
      <c r="V154" s="97">
        <v>40.418693044954431</v>
      </c>
      <c r="W154" s="97">
        <v>40.032695952555322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38.859336647079779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40.615227281048334</v>
      </c>
      <c r="D156" s="97">
        <v>40.478475674041441</v>
      </c>
      <c r="E156" s="97">
        <v>0</v>
      </c>
      <c r="F156" s="97">
        <v>0</v>
      </c>
      <c r="G156" s="97">
        <v>40.478475674041441</v>
      </c>
      <c r="H156" s="97">
        <v>40.199313772841151</v>
      </c>
      <c r="I156" s="97">
        <v>40.058263549076798</v>
      </c>
      <c r="J156" s="97">
        <v>39.621264310359599</v>
      </c>
      <c r="K156" s="97">
        <v>39.052570449095377</v>
      </c>
      <c r="L156" s="97">
        <v>38.687521852688931</v>
      </c>
      <c r="M156" s="97">
        <v>38.233342851235818</v>
      </c>
      <c r="N156" s="97">
        <v>37.556762041018267</v>
      </c>
      <c r="O156" s="97">
        <v>36.739124740418283</v>
      </c>
      <c r="P156" s="97">
        <v>36.655930815232701</v>
      </c>
      <c r="Q156" s="97">
        <v>35.99999999992361</v>
      </c>
      <c r="R156" s="97">
        <v>35.419703756689117</v>
      </c>
      <c r="S156" s="97">
        <v>34.905439117777725</v>
      </c>
      <c r="T156" s="97">
        <v>34.448988068937943</v>
      </c>
      <c r="U156" s="97">
        <v>34.043287778937675</v>
      </c>
      <c r="V156" s="97">
        <v>33.682244204128679</v>
      </c>
      <c r="W156" s="97">
        <v>33.360579960462751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24.339946093503009</v>
      </c>
      <c r="E157" s="97">
        <v>0</v>
      </c>
      <c r="F157" s="97">
        <v>23.855581166242299</v>
      </c>
      <c r="G157" s="97">
        <v>23.617025354579877</v>
      </c>
      <c r="H157" s="97">
        <v>23.380855101034079</v>
      </c>
      <c r="I157" s="97">
        <v>0</v>
      </c>
      <c r="J157" s="97">
        <v>0</v>
      </c>
      <c r="K157" s="97">
        <v>22.686420323678266</v>
      </c>
      <c r="L157" s="97">
        <v>22.459556120441484</v>
      </c>
      <c r="M157" s="97">
        <v>0</v>
      </c>
      <c r="N157" s="97">
        <v>22.0126109536447</v>
      </c>
      <c r="O157" s="97">
        <v>21.813406517211511</v>
      </c>
      <c r="P157" s="97">
        <v>21.635664309657102</v>
      </c>
      <c r="Q157" s="97">
        <v>21.476934953926651</v>
      </c>
      <c r="R157" s="97">
        <v>21.33507443620687</v>
      </c>
      <c r="S157" s="97">
        <v>21.208201302613812</v>
      </c>
      <c r="T157" s="97">
        <v>21.09466068705435</v>
      </c>
      <c r="U157" s="97">
        <v>20.992993940352399</v>
      </c>
      <c r="V157" s="97">
        <v>20.901912875323017</v>
      </c>
      <c r="W157" s="97">
        <v>20.820277834397821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8.6575378626787849</v>
      </c>
      <c r="C159" s="141">
        <v>8.7786504154562621</v>
      </c>
      <c r="D159" s="141">
        <v>8.884131090132982</v>
      </c>
      <c r="E159" s="141">
        <v>8.9486718371858416</v>
      </c>
      <c r="F159" s="141">
        <v>8.9754439622023927</v>
      </c>
      <c r="G159" s="141">
        <v>8.9499485367859357</v>
      </c>
      <c r="H159" s="141">
        <v>9.0979360374410625</v>
      </c>
      <c r="I159" s="141">
        <v>9.1623114052199952</v>
      </c>
      <c r="J159" s="141">
        <v>8.9668701234999624</v>
      </c>
      <c r="K159" s="141">
        <v>8.757623408531197</v>
      </c>
      <c r="L159" s="141">
        <v>9.0701537659201676</v>
      </c>
      <c r="M159" s="141">
        <v>9.2188593838965129</v>
      </c>
      <c r="N159" s="141">
        <v>7.3477953751680989</v>
      </c>
      <c r="O159" s="141">
        <v>7.0366918624299197</v>
      </c>
      <c r="P159" s="141">
        <v>6.9139732044005813</v>
      </c>
      <c r="Q159" s="141">
        <v>6.7451584491686827</v>
      </c>
      <c r="R159" s="141">
        <v>6.311116130476262</v>
      </c>
      <c r="S159" s="141">
        <v>6.2007223882206226</v>
      </c>
      <c r="T159" s="141">
        <v>6.1621418861974622</v>
      </c>
      <c r="U159" s="141">
        <v>6.2155270188196461</v>
      </c>
      <c r="V159" s="141">
        <v>6.3082498726038061</v>
      </c>
      <c r="W159" s="141">
        <v>6.2828858277061972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8.0055583681365317</v>
      </c>
      <c r="L160" s="96">
        <v>7.7143918341906605</v>
      </c>
      <c r="M160" s="96">
        <v>7.3644582880176914</v>
      </c>
      <c r="N160" s="96">
        <v>6.8694489144998814</v>
      </c>
      <c r="O160" s="96">
        <v>7.3282892174988046</v>
      </c>
      <c r="P160" s="96">
        <v>6.2120973352690827</v>
      </c>
      <c r="Q160" s="96">
        <v>5.887253976028604</v>
      </c>
      <c r="R160" s="96">
        <v>5.5315816301813534</v>
      </c>
      <c r="S160" s="96">
        <v>5.6889190742663374</v>
      </c>
      <c r="T160" s="96">
        <v>5.9116469334136532</v>
      </c>
      <c r="U160" s="96">
        <v>6.0297770561774877</v>
      </c>
      <c r="V160" s="96">
        <v>5.5762966051320468</v>
      </c>
      <c r="W160" s="96">
        <v>6.1974522091202902</v>
      </c>
      <c r="DA160" s="171" t="s">
        <v>900</v>
      </c>
    </row>
    <row r="161" spans="1:105" ht="11.45" customHeight="1" x14ac:dyDescent="0.25">
      <c r="A161" s="111" t="s">
        <v>111</v>
      </c>
      <c r="B161" s="96">
        <v>8.8382665655157542</v>
      </c>
      <c r="C161" s="96">
        <v>8.9672438411135484</v>
      </c>
      <c r="D161" s="96">
        <v>9.1127606000199286</v>
      </c>
      <c r="E161" s="96">
        <v>9.1586497024136424</v>
      </c>
      <c r="F161" s="96">
        <v>9.1352522982326363</v>
      </c>
      <c r="G161" s="96">
        <v>9.0223409541849477</v>
      </c>
      <c r="H161" s="96">
        <v>9.182650910573507</v>
      </c>
      <c r="I161" s="96">
        <v>9.1915570192617615</v>
      </c>
      <c r="J161" s="96">
        <v>8.8425583194779982</v>
      </c>
      <c r="K161" s="96">
        <v>8.4950643319358896</v>
      </c>
      <c r="L161" s="96">
        <v>8.1687570447889577</v>
      </c>
      <c r="M161" s="96">
        <v>7.2559223549324336</v>
      </c>
      <c r="N161" s="96">
        <v>6.982829929889121</v>
      </c>
      <c r="O161" s="96">
        <v>6.8110658467204299</v>
      </c>
      <c r="P161" s="96">
        <v>6.6504838808169993</v>
      </c>
      <c r="Q161" s="96">
        <v>6.4301413479932492</v>
      </c>
      <c r="R161" s="96">
        <v>6.1084125311982049</v>
      </c>
      <c r="S161" s="96">
        <v>5.9902285675646993</v>
      </c>
      <c r="T161" s="96">
        <v>6.0749224241798023</v>
      </c>
      <c r="U161" s="96">
        <v>6.0846029792134377</v>
      </c>
      <c r="V161" s="96">
        <v>6.3944708990517425</v>
      </c>
      <c r="W161" s="96">
        <v>6.4721190319861064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15.971014351260591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15.130044054136254</v>
      </c>
      <c r="L162" s="96">
        <v>14.548877927923568</v>
      </c>
      <c r="M162" s="96">
        <v>13.310370160898007</v>
      </c>
      <c r="N162" s="96">
        <v>13.43146655547967</v>
      </c>
      <c r="O162" s="96">
        <v>7.628182178979074</v>
      </c>
      <c r="P162" s="96">
        <v>7.6096896161209422</v>
      </c>
      <c r="Q162" s="96">
        <v>9.3541547124046271</v>
      </c>
      <c r="R162" s="96">
        <v>8.78903315258645</v>
      </c>
      <c r="S162" s="96">
        <v>9.0390238613307776</v>
      </c>
      <c r="T162" s="96">
        <v>9.1538186147748899</v>
      </c>
      <c r="U162" s="96">
        <v>6.0563143360379312</v>
      </c>
      <c r="V162" s="96">
        <v>5.6777946900355598</v>
      </c>
      <c r="W162" s="96">
        <v>12.647237716595649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9.961204291761387</v>
      </c>
      <c r="F163" s="96">
        <v>9.961204291761387</v>
      </c>
      <c r="G163" s="96">
        <v>0</v>
      </c>
      <c r="H163" s="96">
        <v>0</v>
      </c>
      <c r="I163" s="96">
        <v>9.5573716853386248</v>
      </c>
      <c r="J163" s="96">
        <v>0</v>
      </c>
      <c r="K163" s="96">
        <v>8.6497020799124389</v>
      </c>
      <c r="L163" s="96">
        <v>8.3351076870595193</v>
      </c>
      <c r="M163" s="96">
        <v>8.2578239973467831</v>
      </c>
      <c r="N163" s="96">
        <v>7.5818623803332938</v>
      </c>
      <c r="O163" s="96">
        <v>7.6649124296692639</v>
      </c>
      <c r="P163" s="96">
        <v>7.4959580872735305</v>
      </c>
      <c r="Q163" s="96">
        <v>7.8607418245682936</v>
      </c>
      <c r="R163" s="96">
        <v>7.2221997365292037</v>
      </c>
      <c r="S163" s="96">
        <v>7.4184641369908206</v>
      </c>
      <c r="T163" s="96">
        <v>6.5992836403917083</v>
      </c>
      <c r="U163" s="96">
        <v>6.9754688046278561</v>
      </c>
      <c r="V163" s="96">
        <v>6.3518963189727851</v>
      </c>
      <c r="W163" s="96">
        <v>8.7731401242028149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1.3462223264458861</v>
      </c>
      <c r="N164" s="96">
        <v>1.3327601031814273</v>
      </c>
      <c r="O164" s="96">
        <v>1.3263513188744041</v>
      </c>
      <c r="P164" s="96">
        <v>1.4052435473895402</v>
      </c>
      <c r="Q164" s="96">
        <v>1.4272939442328951</v>
      </c>
      <c r="R164" s="96">
        <v>1.4056355101983287</v>
      </c>
      <c r="S164" s="96">
        <v>1.3408431169038073</v>
      </c>
      <c r="T164" s="96">
        <v>1.6418639766793199</v>
      </c>
      <c r="U164" s="96">
        <v>1.9009655773922416</v>
      </c>
      <c r="V164" s="96">
        <v>2.053314148010688</v>
      </c>
      <c r="W164" s="96">
        <v>2.1361291331196748</v>
      </c>
      <c r="DA164" s="171" t="s">
        <v>904</v>
      </c>
    </row>
    <row r="165" spans="1:105" ht="11.45" customHeight="1" x14ac:dyDescent="0.25">
      <c r="A165" s="109" t="s">
        <v>158</v>
      </c>
      <c r="B165" s="130">
        <v>29.663161595802855</v>
      </c>
      <c r="C165" s="130">
        <v>29.601919844171213</v>
      </c>
      <c r="D165" s="130">
        <v>29.411709756674345</v>
      </c>
      <c r="E165" s="130">
        <v>29.203484458032744</v>
      </c>
      <c r="F165" s="130">
        <v>29.803204835375016</v>
      </c>
      <c r="G165" s="130">
        <v>28.856327917680645</v>
      </c>
      <c r="H165" s="130">
        <v>28.65922151884515</v>
      </c>
      <c r="I165" s="130">
        <v>27.781706482381313</v>
      </c>
      <c r="J165" s="130">
        <v>27.519924326716076</v>
      </c>
      <c r="K165" s="130">
        <v>26.342114033347787</v>
      </c>
      <c r="L165" s="130">
        <v>26.820090075925403</v>
      </c>
      <c r="M165" s="130">
        <v>25.967985135357758</v>
      </c>
      <c r="N165" s="130">
        <v>25.080695692396223</v>
      </c>
      <c r="O165" s="130">
        <v>24.794477777257644</v>
      </c>
      <c r="P165" s="130">
        <v>24.158343206890837</v>
      </c>
      <c r="Q165" s="130">
        <v>23.610707625338858</v>
      </c>
      <c r="R165" s="130">
        <v>22.976667181822187</v>
      </c>
      <c r="S165" s="130">
        <v>22.072012232248767</v>
      </c>
      <c r="T165" s="130">
        <v>21.444391673192055</v>
      </c>
      <c r="U165" s="130">
        <v>21.006891947745675</v>
      </c>
      <c r="V165" s="130">
        <v>21.040171095490365</v>
      </c>
      <c r="W165" s="130">
        <v>20.478791032140165</v>
      </c>
      <c r="DA165" s="176" t="s">
        <v>905</v>
      </c>
    </row>
    <row r="166" spans="1:105" ht="11.45" customHeight="1" x14ac:dyDescent="0.25">
      <c r="A166" s="128" t="s">
        <v>27</v>
      </c>
      <c r="B166" s="97">
        <v>29.297837042193777</v>
      </c>
      <c r="C166" s="97">
        <v>29.118247422622431</v>
      </c>
      <c r="D166" s="97">
        <v>28.919994224024414</v>
      </c>
      <c r="E166" s="97">
        <v>28.673132089761395</v>
      </c>
      <c r="F166" s="97">
        <v>28.378288301166091</v>
      </c>
      <c r="G166" s="97">
        <v>28.03620677370245</v>
      </c>
      <c r="H166" s="97">
        <v>27.647743417929469</v>
      </c>
      <c r="I166" s="97">
        <v>27.213860867472391</v>
      </c>
      <c r="J166" s="97">
        <v>26.735622633522699</v>
      </c>
      <c r="K166" s="97">
        <v>26.214186750021611</v>
      </c>
      <c r="L166" s="97">
        <v>25.650798979521191</v>
      </c>
      <c r="M166" s="97">
        <v>25.046785650806264</v>
      </c>
      <c r="N166" s="97">
        <v>24.40354620211491</v>
      </c>
      <c r="O166" s="97">
        <v>23.722545504658761</v>
      </c>
      <c r="P166" s="97">
        <v>23.005306039387349</v>
      </c>
      <c r="Q166" s="97">
        <v>22.253399999952773</v>
      </c>
      <c r="R166" s="97">
        <v>21.64389488963258</v>
      </c>
      <c r="S166" s="97">
        <v>21.217241312408447</v>
      </c>
      <c r="T166" s="97">
        <v>20.769255056323104</v>
      </c>
      <c r="U166" s="97">
        <v>20.221716298885465</v>
      </c>
      <c r="V166" s="97">
        <v>20.039550900590179</v>
      </c>
      <c r="W166" s="97">
        <v>19.839155391584278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31.067582811954381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115.81372443521521</v>
      </c>
      <c r="C171" s="152">
        <v>115.35547385395755</v>
      </c>
      <c r="D171" s="152">
        <v>113.98254123233363</v>
      </c>
      <c r="E171" s="152">
        <v>113.26144181598637</v>
      </c>
      <c r="F171" s="152">
        <v>112.3233963609842</v>
      </c>
      <c r="G171" s="152">
        <v>110.40753311450878</v>
      </c>
      <c r="H171" s="152">
        <v>106.70128489196729</v>
      </c>
      <c r="I171" s="152">
        <v>104.65128788027202</v>
      </c>
      <c r="J171" s="152">
        <v>102.07851839208583</v>
      </c>
      <c r="K171" s="152">
        <v>99.341517929026864</v>
      </c>
      <c r="L171" s="152">
        <v>96.819383063883066</v>
      </c>
      <c r="M171" s="152">
        <v>94.994343208934723</v>
      </c>
      <c r="N171" s="152">
        <v>93.878645705238625</v>
      </c>
      <c r="O171" s="152">
        <v>92.260543014400682</v>
      </c>
      <c r="P171" s="152">
        <v>90.548378273207405</v>
      </c>
      <c r="Q171" s="152">
        <v>89.170015619484289</v>
      </c>
      <c r="R171" s="152">
        <v>87.010447397802096</v>
      </c>
      <c r="S171" s="152">
        <v>85.348697597335942</v>
      </c>
      <c r="T171" s="152">
        <v>84.076124173809916</v>
      </c>
      <c r="U171" s="152">
        <v>81.945031623484226</v>
      </c>
      <c r="V171" s="152">
        <v>79.918281250364331</v>
      </c>
      <c r="W171" s="152">
        <v>77.511188970357239</v>
      </c>
      <c r="DA171" s="174" t="s">
        <v>908</v>
      </c>
    </row>
    <row r="172" spans="1:105" ht="11.45" customHeight="1" x14ac:dyDescent="0.25">
      <c r="A172" s="109" t="s">
        <v>20</v>
      </c>
      <c r="B172" s="116">
        <v>238.36028397779003</v>
      </c>
      <c r="C172" s="116">
        <v>232.6639410616549</v>
      </c>
      <c r="D172" s="116">
        <v>230.78652449248821</v>
      </c>
      <c r="E172" s="116">
        <v>228.78040363683382</v>
      </c>
      <c r="F172" s="116">
        <v>226.72977592278153</v>
      </c>
      <c r="G172" s="116">
        <v>224.80107012261698</v>
      </c>
      <c r="H172" s="116">
        <v>222.70782684895033</v>
      </c>
      <c r="I172" s="116">
        <v>221.01465885416411</v>
      </c>
      <c r="J172" s="116">
        <v>218.42872077084922</v>
      </c>
      <c r="K172" s="116">
        <v>215.3006154231982</v>
      </c>
      <c r="L172" s="116">
        <v>211.587488475687</v>
      </c>
      <c r="M172" s="116">
        <v>207.62046400815305</v>
      </c>
      <c r="N172" s="116">
        <v>202.81305629928011</v>
      </c>
      <c r="O172" s="116">
        <v>197.01530319482336</v>
      </c>
      <c r="P172" s="116">
        <v>193.68820314820624</v>
      </c>
      <c r="Q172" s="116">
        <v>187.69494970508833</v>
      </c>
      <c r="R172" s="116">
        <v>185.87010680959412</v>
      </c>
      <c r="S172" s="116">
        <v>183.96788833294838</v>
      </c>
      <c r="T172" s="116">
        <v>177.50643887150611</v>
      </c>
      <c r="U172" s="116">
        <v>170.3640099920467</v>
      </c>
      <c r="V172" s="116">
        <v>163.18707541018307</v>
      </c>
      <c r="W172" s="116">
        <v>155.92519485690931</v>
      </c>
      <c r="DA172" s="176" t="s">
        <v>909</v>
      </c>
    </row>
    <row r="173" spans="1:105" ht="11.45" customHeight="1" x14ac:dyDescent="0.25">
      <c r="A173" s="111" t="s">
        <v>110</v>
      </c>
      <c r="B173" s="87">
        <v>245.76355626454287</v>
      </c>
      <c r="C173" s="87">
        <v>238.83669329691472</v>
      </c>
      <c r="D173" s="87">
        <v>235.90868997826539</v>
      </c>
      <c r="E173" s="87">
        <v>233.30223361715878</v>
      </c>
      <c r="F173" s="87">
        <v>230.85347288114028</v>
      </c>
      <c r="G173" s="87">
        <v>228.66748217881539</v>
      </c>
      <c r="H173" s="87">
        <v>226.18219553690301</v>
      </c>
      <c r="I173" s="87">
        <v>223.77496044662598</v>
      </c>
      <c r="J173" s="87">
        <v>220.86247132877369</v>
      </c>
      <c r="K173" s="87">
        <v>217.37541160528735</v>
      </c>
      <c r="L173" s="87">
        <v>212.84233438246986</v>
      </c>
      <c r="M173" s="87">
        <v>207.89896203063213</v>
      </c>
      <c r="N173" s="87">
        <v>203.20503913474724</v>
      </c>
      <c r="O173" s="87">
        <v>198.38171733353937</v>
      </c>
      <c r="P173" s="87">
        <v>195.30273982941486</v>
      </c>
      <c r="Q173" s="87">
        <v>191.16103450505878</v>
      </c>
      <c r="R173" s="87">
        <v>187.63197459504948</v>
      </c>
      <c r="S173" s="87">
        <v>183.8376270067013</v>
      </c>
      <c r="T173" s="87">
        <v>180.22922290400507</v>
      </c>
      <c r="U173" s="87">
        <v>176.43816715794949</v>
      </c>
      <c r="V173" s="87">
        <v>172.59958083766733</v>
      </c>
      <c r="W173" s="87">
        <v>167.05657088543055</v>
      </c>
      <c r="DA173" s="171" t="s">
        <v>910</v>
      </c>
    </row>
    <row r="174" spans="1:105" ht="11.45" customHeight="1" x14ac:dyDescent="0.25">
      <c r="A174" s="111" t="s">
        <v>111</v>
      </c>
      <c r="B174" s="87">
        <v>214.78480786855422</v>
      </c>
      <c r="C174" s="87">
        <v>202.78008949379534</v>
      </c>
      <c r="D174" s="87">
        <v>199.48489660378172</v>
      </c>
      <c r="E174" s="87">
        <v>196.98649769394311</v>
      </c>
      <c r="F174" s="87">
        <v>194.78345304549066</v>
      </c>
      <c r="G174" s="87">
        <v>192.78581889452269</v>
      </c>
      <c r="H174" s="87">
        <v>191.77654029696717</v>
      </c>
      <c r="I174" s="87">
        <v>190.99892730939612</v>
      </c>
      <c r="J174" s="87">
        <v>189.57288930175659</v>
      </c>
      <c r="K174" s="87">
        <v>188.03402929709691</v>
      </c>
      <c r="L174" s="87">
        <v>185.88768917309878</v>
      </c>
      <c r="M174" s="87">
        <v>179.96370182349384</v>
      </c>
      <c r="N174" s="87">
        <v>174.80198370432578</v>
      </c>
      <c r="O174" s="87">
        <v>170.36730217018601</v>
      </c>
      <c r="P174" s="87">
        <v>165.47923095779024</v>
      </c>
      <c r="Q174" s="87">
        <v>159.75992421347084</v>
      </c>
      <c r="R174" s="87">
        <v>157.57212774314183</v>
      </c>
      <c r="S174" s="87">
        <v>155.56244249327762</v>
      </c>
      <c r="T174" s="87">
        <v>152.87830186888769</v>
      </c>
      <c r="U174" s="87">
        <v>151.81399468087292</v>
      </c>
      <c r="V174" s="87">
        <v>149.06305850308235</v>
      </c>
      <c r="W174" s="87">
        <v>146.52512623245991</v>
      </c>
      <c r="DA174" s="171" t="s">
        <v>911</v>
      </c>
    </row>
    <row r="175" spans="1:105" ht="11.45" customHeight="1" x14ac:dyDescent="0.25">
      <c r="A175" s="111" t="s">
        <v>112</v>
      </c>
      <c r="B175" s="87">
        <v>168.89649024890679</v>
      </c>
      <c r="C175" s="87">
        <v>168.3473879494527</v>
      </c>
      <c r="D175" s="87">
        <v>168.33695296135383</v>
      </c>
      <c r="E175" s="87">
        <v>168.31630273879665</v>
      </c>
      <c r="F175" s="87">
        <v>168.29294648823546</v>
      </c>
      <c r="G175" s="87">
        <v>168.26699284103202</v>
      </c>
      <c r="H175" s="87">
        <v>168.23839582413649</v>
      </c>
      <c r="I175" s="87">
        <v>168.20722135339048</v>
      </c>
      <c r="J175" s="87">
        <v>168.17340396837113</v>
      </c>
      <c r="K175" s="87">
        <v>168.12267384200919</v>
      </c>
      <c r="L175" s="87">
        <v>167.91339509571424</v>
      </c>
      <c r="M175" s="87">
        <v>165.74591910371552</v>
      </c>
      <c r="N175" s="87">
        <v>162.28313933194437</v>
      </c>
      <c r="O175" s="87">
        <v>161.54876350117163</v>
      </c>
      <c r="P175" s="87">
        <v>160.6501120322923</v>
      </c>
      <c r="Q175" s="87">
        <v>159.73179801528207</v>
      </c>
      <c r="R175" s="87">
        <v>157.85767912374655</v>
      </c>
      <c r="S175" s="87">
        <v>156.47507694214929</v>
      </c>
      <c r="T175" s="87">
        <v>154.72674951879586</v>
      </c>
      <c r="U175" s="87">
        <v>150.39802199641355</v>
      </c>
      <c r="V175" s="87">
        <v>148.79432885285098</v>
      </c>
      <c r="W175" s="87">
        <v>146.11645566367187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176.18330011036036</v>
      </c>
      <c r="M176" s="87">
        <v>174.54971647718969</v>
      </c>
      <c r="N176" s="87">
        <v>161.90667887700963</v>
      </c>
      <c r="O176" s="87">
        <v>156.03187464740984</v>
      </c>
      <c r="P176" s="87">
        <v>140.31194352405751</v>
      </c>
      <c r="Q176" s="87">
        <v>139.03260398663423</v>
      </c>
      <c r="R176" s="87">
        <v>119.24896018502209</v>
      </c>
      <c r="S176" s="87">
        <v>142.11380313253974</v>
      </c>
      <c r="T176" s="87">
        <v>158.82106530493795</v>
      </c>
      <c r="U176" s="87">
        <v>159.53740493566295</v>
      </c>
      <c r="V176" s="87">
        <v>160.82921004401757</v>
      </c>
      <c r="W176" s="87">
        <v>165.19523869705205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64.670700761398905</v>
      </c>
      <c r="N177" s="87">
        <v>37.321840354804053</v>
      </c>
      <c r="O177" s="87">
        <v>40.872103216291165</v>
      </c>
      <c r="P177" s="87">
        <v>60.859072647384046</v>
      </c>
      <c r="Q177" s="87">
        <v>54.422661360675569</v>
      </c>
      <c r="R177" s="87">
        <v>53.519280909762777</v>
      </c>
      <c r="S177" s="87">
        <v>53.515805058531143</v>
      </c>
      <c r="T177" s="87">
        <v>53.743499881570472</v>
      </c>
      <c r="U177" s="87">
        <v>53.866155040536569</v>
      </c>
      <c r="V177" s="87">
        <v>55.977096712479025</v>
      </c>
      <c r="W177" s="87">
        <v>51.225980049116878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1721.7828421685776</v>
      </c>
      <c r="C179" s="116">
        <v>1687.010136063911</v>
      </c>
      <c r="D179" s="116">
        <v>1662.2992132401137</v>
      </c>
      <c r="E179" s="116">
        <v>1657.731947095099</v>
      </c>
      <c r="F179" s="116">
        <v>1630.0516163454433</v>
      </c>
      <c r="G179" s="116">
        <v>1608.0861969062692</v>
      </c>
      <c r="H179" s="116">
        <v>1584.3008240487009</v>
      </c>
      <c r="I179" s="116">
        <v>1568.8884698877689</v>
      </c>
      <c r="J179" s="116">
        <v>1540.5751617667831</v>
      </c>
      <c r="K179" s="116">
        <v>1487.521616986784</v>
      </c>
      <c r="L179" s="116">
        <v>1424.1954140122821</v>
      </c>
      <c r="M179" s="116">
        <v>1140.5601976143669</v>
      </c>
      <c r="N179" s="116">
        <v>1404.0968774594799</v>
      </c>
      <c r="O179" s="116">
        <v>1406.6424605238417</v>
      </c>
      <c r="P179" s="116">
        <v>1414.8225037335765</v>
      </c>
      <c r="Q179" s="116">
        <v>1355.611212212759</v>
      </c>
      <c r="R179" s="116">
        <v>1211.9360086743359</v>
      </c>
      <c r="S179" s="116">
        <v>1188.4751375432788</v>
      </c>
      <c r="T179" s="116">
        <v>1156.0378918890947</v>
      </c>
      <c r="U179" s="116">
        <v>987.28970552105579</v>
      </c>
      <c r="V179" s="116">
        <v>902.81378787472056</v>
      </c>
      <c r="W179" s="116">
        <v>984.77126687181158</v>
      </c>
      <c r="DA179" s="176" t="s">
        <v>916</v>
      </c>
    </row>
    <row r="180" spans="1:105" ht="11.45" customHeight="1" x14ac:dyDescent="0.25">
      <c r="A180" s="111" t="s">
        <v>110</v>
      </c>
      <c r="B180" s="101">
        <v>490.76615741864458</v>
      </c>
      <c r="C180" s="101">
        <v>469.40352787220257</v>
      </c>
      <c r="D180" s="101">
        <v>456.03470063480586</v>
      </c>
      <c r="E180" s="101">
        <v>447.44290936139697</v>
      </c>
      <c r="F180" s="101">
        <v>446.33272305076849</v>
      </c>
      <c r="G180" s="101">
        <v>442.98598158138043</v>
      </c>
      <c r="H180" s="101">
        <v>440.961451995527</v>
      </c>
      <c r="I180" s="101">
        <v>436.8203274199858</v>
      </c>
      <c r="J180" s="101">
        <v>436.82032741998592</v>
      </c>
      <c r="K180" s="101">
        <v>433.15130154994335</v>
      </c>
      <c r="L180" s="101">
        <v>421.99436911003886</v>
      </c>
      <c r="M180" s="101">
        <v>413.83485163275867</v>
      </c>
      <c r="N180" s="101">
        <v>391.25681149825857</v>
      </c>
      <c r="O180" s="101">
        <v>388.8894404586473</v>
      </c>
      <c r="P180" s="101">
        <v>387.48743698878218</v>
      </c>
      <c r="Q180" s="101">
        <v>346.47209202488773</v>
      </c>
      <c r="R180" s="101">
        <v>335.39849240731638</v>
      </c>
      <c r="S180" s="101">
        <v>328.89552066923062</v>
      </c>
      <c r="T180" s="101">
        <v>323.84275193830581</v>
      </c>
      <c r="U180" s="101">
        <v>287.75609955274791</v>
      </c>
      <c r="V180" s="101">
        <v>285.16413711134385</v>
      </c>
      <c r="W180" s="101">
        <v>284.00171046453437</v>
      </c>
      <c r="DA180" s="175" t="s">
        <v>917</v>
      </c>
    </row>
    <row r="181" spans="1:105" ht="11.45" customHeight="1" x14ac:dyDescent="0.25">
      <c r="A181" s="111" t="s">
        <v>111</v>
      </c>
      <c r="B181" s="101">
        <v>1733.7699297744653</v>
      </c>
      <c r="C181" s="101">
        <v>1687.5680006127129</v>
      </c>
      <c r="D181" s="101">
        <v>1670.2064869589935</v>
      </c>
      <c r="E181" s="101">
        <v>1649.5579405330909</v>
      </c>
      <c r="F181" s="101">
        <v>1628.8344498793124</v>
      </c>
      <c r="G181" s="101">
        <v>1605.4309992080186</v>
      </c>
      <c r="H181" s="101">
        <v>1588.4602495257511</v>
      </c>
      <c r="I181" s="101">
        <v>1566.1085632366842</v>
      </c>
      <c r="J181" s="101">
        <v>1546.9368843093648</v>
      </c>
      <c r="K181" s="101">
        <v>1529.6559689770388</v>
      </c>
      <c r="L181" s="101">
        <v>1523.2367327524134</v>
      </c>
      <c r="M181" s="101">
        <v>1519.3695887669137</v>
      </c>
      <c r="N181" s="101">
        <v>1504.0502952086529</v>
      </c>
      <c r="O181" s="101">
        <v>1486.7232745712929</v>
      </c>
      <c r="P181" s="101">
        <v>1468.4386812033899</v>
      </c>
      <c r="Q181" s="101">
        <v>1450.0642201193195</v>
      </c>
      <c r="R181" s="101">
        <v>1431.6278789735588</v>
      </c>
      <c r="S181" s="101">
        <v>1416.104259567807</v>
      </c>
      <c r="T181" s="101">
        <v>1398.8433805405439</v>
      </c>
      <c r="U181" s="101">
        <v>1379.5555473457896</v>
      </c>
      <c r="V181" s="101">
        <v>1347.4180220520986</v>
      </c>
      <c r="W181" s="101">
        <v>1314.6644488447498</v>
      </c>
      <c r="DA181" s="175" t="s">
        <v>918</v>
      </c>
    </row>
    <row r="182" spans="1:105" ht="11.45" customHeight="1" x14ac:dyDescent="0.25">
      <c r="A182" s="111" t="s">
        <v>112</v>
      </c>
      <c r="B182" s="101">
        <v>1131.2219172741234</v>
      </c>
      <c r="C182" s="101">
        <v>1131.2219172741236</v>
      </c>
      <c r="D182" s="101">
        <v>1131.2219172741234</v>
      </c>
      <c r="E182" s="101">
        <v>1131.2219172741236</v>
      </c>
      <c r="F182" s="101">
        <v>1131.2219172741234</v>
      </c>
      <c r="G182" s="101">
        <v>1103.05892782972</v>
      </c>
      <c r="H182" s="101">
        <v>1098.9540950076619</v>
      </c>
      <c r="I182" s="101">
        <v>1095.7527330507205</v>
      </c>
      <c r="J182" s="101">
        <v>1095.4930197465046</v>
      </c>
      <c r="K182" s="101">
        <v>1093.4704183450438</v>
      </c>
      <c r="L182" s="101">
        <v>1093.4704183450438</v>
      </c>
      <c r="M182" s="101">
        <v>1092.2154554324932</v>
      </c>
      <c r="N182" s="101">
        <v>1091.2050779363731</v>
      </c>
      <c r="O182" s="101">
        <v>1090.8741866901971</v>
      </c>
      <c r="P182" s="101">
        <v>1090.1409652882105</v>
      </c>
      <c r="Q182" s="101">
        <v>1090.1409652882103</v>
      </c>
      <c r="R182" s="101">
        <v>1090.9835951528748</v>
      </c>
      <c r="S182" s="101">
        <v>1089.8693785664154</v>
      </c>
      <c r="T182" s="101">
        <v>1089.0717508267251</v>
      </c>
      <c r="U182" s="101">
        <v>1089.0717508267248</v>
      </c>
      <c r="V182" s="101">
        <v>1089.0666719939586</v>
      </c>
      <c r="W182" s="101">
        <v>1088.2072490512894</v>
      </c>
      <c r="DA182" s="175" t="s">
        <v>919</v>
      </c>
    </row>
    <row r="183" spans="1:105" ht="11.45" customHeight="1" x14ac:dyDescent="0.25">
      <c r="A183" s="111" t="s">
        <v>113</v>
      </c>
      <c r="B183" s="101">
        <v>1049.719158479194</v>
      </c>
      <c r="C183" s="101">
        <v>1010.5137543658714</v>
      </c>
      <c r="D183" s="101">
        <v>977.03049702258943</v>
      </c>
      <c r="E183" s="101">
        <v>971.8415775157772</v>
      </c>
      <c r="F183" s="101">
        <v>967.92321671710079</v>
      </c>
      <c r="G183" s="101">
        <v>963.83162710063084</v>
      </c>
      <c r="H183" s="101">
        <v>950.93115940768121</v>
      </c>
      <c r="I183" s="101">
        <v>948.08261020984969</v>
      </c>
      <c r="J183" s="101">
        <v>940.4967822529959</v>
      </c>
      <c r="K183" s="101">
        <v>927.64950824253492</v>
      </c>
      <c r="L183" s="101">
        <v>922.49309257985499</v>
      </c>
      <c r="M183" s="101">
        <v>911.44596839605867</v>
      </c>
      <c r="N183" s="101">
        <v>903.39669520890379</v>
      </c>
      <c r="O183" s="101">
        <v>899.21944457243023</v>
      </c>
      <c r="P183" s="101">
        <v>896.95565109581298</v>
      </c>
      <c r="Q183" s="101">
        <v>889.89052360985511</v>
      </c>
      <c r="R183" s="101">
        <v>879.31150487370644</v>
      </c>
      <c r="S183" s="101">
        <v>871.48018464918312</v>
      </c>
      <c r="T183" s="101">
        <v>864.11443187335396</v>
      </c>
      <c r="U183" s="101">
        <v>852.63206182940576</v>
      </c>
      <c r="V183" s="101">
        <v>839.67464314934648</v>
      </c>
      <c r="W183" s="101">
        <v>831.33416638914707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340.54378106366323</v>
      </c>
      <c r="C186" s="152">
        <v>326.23485923867298</v>
      </c>
      <c r="D186" s="152">
        <v>322.48198748739355</v>
      </c>
      <c r="E186" s="152">
        <v>317.56758798263877</v>
      </c>
      <c r="F186" s="152">
        <v>312.14123927816536</v>
      </c>
      <c r="G186" s="152">
        <v>304.49627785254972</v>
      </c>
      <c r="H186" s="152">
        <v>300.65408820599112</v>
      </c>
      <c r="I186" s="152">
        <v>295.24251339925877</v>
      </c>
      <c r="J186" s="152">
        <v>287.31485691803164</v>
      </c>
      <c r="K186" s="152">
        <v>278.2547956972947</v>
      </c>
      <c r="L186" s="152">
        <v>257.91669609972394</v>
      </c>
      <c r="M186" s="152">
        <v>224.86966425938488</v>
      </c>
      <c r="N186" s="152">
        <v>266.19119520166305</v>
      </c>
      <c r="O186" s="152">
        <v>267.0614195986268</v>
      </c>
      <c r="P186" s="152">
        <v>257.42880753023979</v>
      </c>
      <c r="Q186" s="152">
        <v>252.67724976106143</v>
      </c>
      <c r="R186" s="152">
        <v>249.93976452826919</v>
      </c>
      <c r="S186" s="152">
        <v>242.76358618642396</v>
      </c>
      <c r="T186" s="152">
        <v>239.73052343158827</v>
      </c>
      <c r="U186" s="152">
        <v>228.71269235081979</v>
      </c>
      <c r="V186" s="152">
        <v>230.48409340428162</v>
      </c>
      <c r="W186" s="152">
        <v>227.38822474534047</v>
      </c>
      <c r="DA186" s="174" t="s">
        <v>922</v>
      </c>
    </row>
    <row r="187" spans="1:105" ht="11.45" customHeight="1" x14ac:dyDescent="0.25">
      <c r="A187" s="111" t="s">
        <v>110</v>
      </c>
      <c r="B187" s="87">
        <v>316.56144200758604</v>
      </c>
      <c r="C187" s="87">
        <v>316.56144200758604</v>
      </c>
      <c r="D187" s="87">
        <v>316.56144200758609</v>
      </c>
      <c r="E187" s="87">
        <v>316.56144200758598</v>
      </c>
      <c r="F187" s="87">
        <v>316.56144200758604</v>
      </c>
      <c r="G187" s="87">
        <v>316.56144200758604</v>
      </c>
      <c r="H187" s="87">
        <v>316.56144200758598</v>
      </c>
      <c r="I187" s="87">
        <v>316.56144200758598</v>
      </c>
      <c r="J187" s="87">
        <v>316.56144200758609</v>
      </c>
      <c r="K187" s="87">
        <v>313.87223891091776</v>
      </c>
      <c r="L187" s="87">
        <v>307.18883767169899</v>
      </c>
      <c r="M187" s="87">
        <v>300.19821273543494</v>
      </c>
      <c r="N187" s="87">
        <v>291.05758350308855</v>
      </c>
      <c r="O187" s="87">
        <v>285.32650029588171</v>
      </c>
      <c r="P187" s="87">
        <v>272.53232860226001</v>
      </c>
      <c r="Q187" s="87">
        <v>260.3659481818612</v>
      </c>
      <c r="R187" s="87">
        <v>248.32071468317352</v>
      </c>
      <c r="S187" s="87">
        <v>237.17017491779936</v>
      </c>
      <c r="T187" s="87">
        <v>230.43084754799133</v>
      </c>
      <c r="U187" s="87">
        <v>218.61996140681239</v>
      </c>
      <c r="V187" s="87">
        <v>212.3852716445576</v>
      </c>
      <c r="W187" s="87">
        <v>199.77982279246078</v>
      </c>
      <c r="DA187" s="171" t="s">
        <v>923</v>
      </c>
    </row>
    <row r="188" spans="1:105" ht="11.45" customHeight="1" x14ac:dyDescent="0.25">
      <c r="A188" s="111" t="s">
        <v>111</v>
      </c>
      <c r="B188" s="87">
        <v>321.73947950789608</v>
      </c>
      <c r="C188" s="87">
        <v>303.00354434295173</v>
      </c>
      <c r="D188" s="87">
        <v>298.35560156728974</v>
      </c>
      <c r="E188" s="87">
        <v>294.92139496998834</v>
      </c>
      <c r="F188" s="87">
        <v>292.23799225093194</v>
      </c>
      <c r="G188" s="87">
        <v>289.11869564648669</v>
      </c>
      <c r="H188" s="87">
        <v>286.26977611463462</v>
      </c>
      <c r="I188" s="87">
        <v>283.98471554481773</v>
      </c>
      <c r="J188" s="87">
        <v>281.53631188249437</v>
      </c>
      <c r="K188" s="87">
        <v>278.59121561868096</v>
      </c>
      <c r="L188" s="87">
        <v>278.88176078759386</v>
      </c>
      <c r="M188" s="87">
        <v>277.64505756307665</v>
      </c>
      <c r="N188" s="87">
        <v>273.39975897509555</v>
      </c>
      <c r="O188" s="87">
        <v>268.62163525720075</v>
      </c>
      <c r="P188" s="87">
        <v>263.63335370426216</v>
      </c>
      <c r="Q188" s="87">
        <v>257.95333618935621</v>
      </c>
      <c r="R188" s="87">
        <v>250.18092818667341</v>
      </c>
      <c r="S188" s="87">
        <v>242.65862832739947</v>
      </c>
      <c r="T188" s="87">
        <v>235.09942869940821</v>
      </c>
      <c r="U188" s="87">
        <v>229.49807422561668</v>
      </c>
      <c r="V188" s="87">
        <v>225.83111014813608</v>
      </c>
      <c r="W188" s="87">
        <v>222.69324335231454</v>
      </c>
      <c r="DA188" s="171" t="s">
        <v>924</v>
      </c>
    </row>
    <row r="189" spans="1:105" ht="11.45" customHeight="1" x14ac:dyDescent="0.25">
      <c r="A189" s="111" t="s">
        <v>112</v>
      </c>
      <c r="B189" s="87">
        <v>523.03347954231253</v>
      </c>
      <c r="C189" s="87">
        <v>522.66310736833304</v>
      </c>
      <c r="D189" s="87">
        <v>522.66156101087222</v>
      </c>
      <c r="E189" s="87">
        <v>522.65261279468052</v>
      </c>
      <c r="F189" s="87">
        <v>522.63894003592964</v>
      </c>
      <c r="G189" s="87">
        <v>522.59349649362093</v>
      </c>
      <c r="H189" s="87">
        <v>522.5643380260974</v>
      </c>
      <c r="I189" s="87">
        <v>522.54964203109955</v>
      </c>
      <c r="J189" s="87">
        <v>522.54917466189045</v>
      </c>
      <c r="K189" s="87">
        <v>522.43005982018371</v>
      </c>
      <c r="L189" s="87">
        <v>516.18478202456924</v>
      </c>
      <c r="M189" s="87">
        <v>508.5594483455726</v>
      </c>
      <c r="N189" s="87">
        <v>499.37162191382697</v>
      </c>
      <c r="O189" s="87">
        <v>493.82241020462311</v>
      </c>
      <c r="P189" s="87">
        <v>483.63602102647997</v>
      </c>
      <c r="Q189" s="87">
        <v>474.51150399618143</v>
      </c>
      <c r="R189" s="87">
        <v>463.88592542092357</v>
      </c>
      <c r="S189" s="87">
        <v>451.76956878410317</v>
      </c>
      <c r="T189" s="87">
        <v>416.79068118379644</v>
      </c>
      <c r="U189" s="87">
        <v>343.15371031390868</v>
      </c>
      <c r="V189" s="87">
        <v>336.6845574958063</v>
      </c>
      <c r="W189" s="87">
        <v>322.0766366943464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233.96824842226835</v>
      </c>
      <c r="F190" s="87">
        <v>233.96824842226835</v>
      </c>
      <c r="G190" s="87">
        <v>233.96824842226832</v>
      </c>
      <c r="H190" s="87">
        <v>233.96824842226832</v>
      </c>
      <c r="I190" s="87">
        <v>228.37404913143578</v>
      </c>
      <c r="J190" s="87">
        <v>228.37404913143573</v>
      </c>
      <c r="K190" s="87">
        <v>217.34568535207231</v>
      </c>
      <c r="L190" s="87">
        <v>210.55804425823851</v>
      </c>
      <c r="M190" s="87">
        <v>206.3935724887865</v>
      </c>
      <c r="N190" s="87">
        <v>198.04549004411879</v>
      </c>
      <c r="O190" s="87">
        <v>194.55696654161818</v>
      </c>
      <c r="P190" s="87">
        <v>190.82491956434774</v>
      </c>
      <c r="Q190" s="87">
        <v>190.20187671619428</v>
      </c>
      <c r="R190" s="87">
        <v>175.5986482278108</v>
      </c>
      <c r="S190" s="87">
        <v>175.14651375121667</v>
      </c>
      <c r="T190" s="87">
        <v>165.11829133331224</v>
      </c>
      <c r="U190" s="87">
        <v>164.22944732348415</v>
      </c>
      <c r="V190" s="87">
        <v>162.58978451976705</v>
      </c>
      <c r="W190" s="87">
        <v>162.66808705825332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967.83925650810022</v>
      </c>
      <c r="C192" s="116">
        <v>962.23318419427358</v>
      </c>
      <c r="D192" s="116">
        <v>956.35323509264151</v>
      </c>
      <c r="E192" s="116">
        <v>950.58150707865286</v>
      </c>
      <c r="F192" s="116">
        <v>944.91209864132031</v>
      </c>
      <c r="G192" s="116">
        <v>937.68847176817553</v>
      </c>
      <c r="H192" s="116">
        <v>929.06110066038582</v>
      </c>
      <c r="I192" s="116">
        <v>919.56752647504425</v>
      </c>
      <c r="J192" s="116">
        <v>907.73282253077275</v>
      </c>
      <c r="K192" s="116">
        <v>893.97454842129775</v>
      </c>
      <c r="L192" s="116">
        <v>882.38915640748053</v>
      </c>
      <c r="M192" s="116">
        <v>874.32290911986365</v>
      </c>
      <c r="N192" s="116">
        <v>863.90809412686542</v>
      </c>
      <c r="O192" s="116">
        <v>851.45044130265671</v>
      </c>
      <c r="P192" s="116">
        <v>836.84018909079032</v>
      </c>
      <c r="Q192" s="116">
        <v>824.52940412858209</v>
      </c>
      <c r="R192" s="116">
        <v>811.78325676283896</v>
      </c>
      <c r="S192" s="116">
        <v>793.09737588873747</v>
      </c>
      <c r="T192" s="116">
        <v>775.72500519618882</v>
      </c>
      <c r="U192" s="116">
        <v>753.68847822065504</v>
      </c>
      <c r="V192" s="116">
        <v>735.72078022794813</v>
      </c>
      <c r="W192" s="116">
        <v>714.82486739102194</v>
      </c>
      <c r="DA192" s="176" t="s">
        <v>928</v>
      </c>
    </row>
    <row r="193" spans="1:105" ht="11.45" customHeight="1" x14ac:dyDescent="0.25">
      <c r="A193" s="128" t="s">
        <v>27</v>
      </c>
      <c r="B193" s="101">
        <v>888.46637125534494</v>
      </c>
      <c r="C193" s="101">
        <v>883.34273122057652</v>
      </c>
      <c r="D193" s="101">
        <v>877.62096729681173</v>
      </c>
      <c r="E193" s="101">
        <v>872.04039683493693</v>
      </c>
      <c r="F193" s="101">
        <v>862.17000847551583</v>
      </c>
      <c r="G193" s="101">
        <v>855.75363911542627</v>
      </c>
      <c r="H193" s="101">
        <v>846.85208823518371</v>
      </c>
      <c r="I193" s="101">
        <v>840.0395927123401</v>
      </c>
      <c r="J193" s="101">
        <v>828.69161229023507</v>
      </c>
      <c r="K193" s="101">
        <v>817.59242354748687</v>
      </c>
      <c r="L193" s="101">
        <v>806.70700515000681</v>
      </c>
      <c r="M193" s="101">
        <v>799.78718811003171</v>
      </c>
      <c r="N193" s="101">
        <v>790.33540592483257</v>
      </c>
      <c r="O193" s="101">
        <v>777.82736506435481</v>
      </c>
      <c r="P193" s="101">
        <v>763.13963895783536</v>
      </c>
      <c r="Q193" s="101">
        <v>751.73782792042618</v>
      </c>
      <c r="R193" s="101">
        <v>740.55174918429873</v>
      </c>
      <c r="S193" s="101">
        <v>722.6394061567695</v>
      </c>
      <c r="T193" s="101">
        <v>706.5656680469059</v>
      </c>
      <c r="U193" s="101">
        <v>686.08517531124414</v>
      </c>
      <c r="V193" s="101">
        <v>668.79067462792079</v>
      </c>
      <c r="W193" s="101">
        <v>647.93736640114821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1053.2956372804263</v>
      </c>
      <c r="D194" s="88">
        <v>1041.8858127491958</v>
      </c>
      <c r="E194" s="88">
        <v>1032.1156849398528</v>
      </c>
      <c r="F194" s="88">
        <v>1011.7553578887683</v>
      </c>
      <c r="G194" s="88">
        <v>1001.1243116325868</v>
      </c>
      <c r="H194" s="88">
        <v>988.44638682304355</v>
      </c>
      <c r="I194" s="88">
        <v>977.94599433912754</v>
      </c>
      <c r="J194" s="88">
        <v>965.97917977293753</v>
      </c>
      <c r="K194" s="88">
        <v>959.04891370050098</v>
      </c>
      <c r="L194" s="88">
        <v>942.31271200434833</v>
      </c>
      <c r="M194" s="88">
        <v>929.89195584371953</v>
      </c>
      <c r="N194" s="88">
        <v>922.48315449395284</v>
      </c>
      <c r="O194" s="88">
        <v>910.75691875931716</v>
      </c>
      <c r="P194" s="88">
        <v>897.34624317219414</v>
      </c>
      <c r="Q194" s="88">
        <v>883.67274904268038</v>
      </c>
      <c r="R194" s="88">
        <v>864.7760580835677</v>
      </c>
      <c r="S194" s="88">
        <v>850.75646227672723</v>
      </c>
      <c r="T194" s="88">
        <v>838.44178398035649</v>
      </c>
      <c r="U194" s="88">
        <v>819.06044309083779</v>
      </c>
      <c r="V194" s="88">
        <v>801.03291005155722</v>
      </c>
      <c r="W194" s="88">
        <v>788.81561320835715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1.110840335386609</v>
      </c>
      <c r="C198" s="150">
        <f>IF(TrRoad_act!C59=0,0,TrRoad_emi!C56/TrRoad_tech!C171)</f>
        <v>1.1139467477203522</v>
      </c>
      <c r="D198" s="150">
        <f>IF(TrRoad_act!D59=0,0,TrRoad_emi!D56/TrRoad_tech!D171)</f>
        <v>1.1166005152679066</v>
      </c>
      <c r="E198" s="150">
        <f>IF(TrRoad_act!E59=0,0,TrRoad_emi!E56/TrRoad_tech!E171)</f>
        <v>1.1288755615288524</v>
      </c>
      <c r="F198" s="150">
        <f>IF(TrRoad_act!F59=0,0,TrRoad_emi!F56/TrRoad_tech!F171)</f>
        <v>1.1301020227691421</v>
      </c>
      <c r="G198" s="150">
        <f>IF(TrRoad_act!G59=0,0,TrRoad_emi!G56/TrRoad_tech!G171)</f>
        <v>1.133786293688881</v>
      </c>
      <c r="H198" s="150">
        <f>IF(TrRoad_act!H59=0,0,TrRoad_emi!H56/TrRoad_tech!H171)</f>
        <v>1.136987449115417</v>
      </c>
      <c r="I198" s="150">
        <f>IF(TrRoad_act!I59=0,0,TrRoad_emi!I56/TrRoad_tech!I171)</f>
        <v>1.0789607650129471</v>
      </c>
      <c r="J198" s="150">
        <f>IF(TrRoad_act!J59=0,0,TrRoad_emi!J56/TrRoad_tech!J171)</f>
        <v>1.0706904105774191</v>
      </c>
      <c r="K198" s="150">
        <f>IF(TrRoad_act!K59=0,0,TrRoad_emi!K56/TrRoad_tech!K171)</f>
        <v>1.0699815231404908</v>
      </c>
      <c r="L198" s="150">
        <f>IF(TrRoad_act!L59=0,0,TrRoad_emi!L56/TrRoad_tech!L171)</f>
        <v>1.078366392213383</v>
      </c>
      <c r="M198" s="150">
        <f>IF(TrRoad_act!M59=0,0,TrRoad_emi!M56/TrRoad_tech!M171)</f>
        <v>1.0805212474978232</v>
      </c>
      <c r="N198" s="150">
        <f>IF(TrRoad_act!N59=0,0,TrRoad_emi!N56/TrRoad_tech!N171)</f>
        <v>1.0890208268380155</v>
      </c>
      <c r="O198" s="150">
        <f>IF(TrRoad_act!O59=0,0,TrRoad_emi!O56/TrRoad_tech!O171)</f>
        <v>1.0924499332404096</v>
      </c>
      <c r="P198" s="150">
        <f>IF(TrRoad_act!P59=0,0,TrRoad_emi!P56/TrRoad_tech!P171)</f>
        <v>1.0958621082866236</v>
      </c>
      <c r="Q198" s="150">
        <f>IF(TrRoad_act!Q59=0,0,TrRoad_emi!Q56/TrRoad_tech!Q171)</f>
        <v>1.0973403507878572</v>
      </c>
      <c r="R198" s="150">
        <f>IF(TrRoad_act!R59=0,0,TrRoad_emi!R56/TrRoad_tech!R171)</f>
        <v>1.1116930833779171</v>
      </c>
      <c r="S198" s="150">
        <f>IF(TrRoad_act!S59=0,0,TrRoad_emi!S56/TrRoad_tech!S171)</f>
        <v>1.1169325437650419</v>
      </c>
      <c r="T198" s="150">
        <f>IF(TrRoad_act!T59=0,0,TrRoad_emi!T56/TrRoad_tech!T171)</f>
        <v>1.1690273190368101</v>
      </c>
      <c r="U198" s="150">
        <f>IF(TrRoad_act!U59=0,0,TrRoad_emi!U56/TrRoad_tech!U171)</f>
        <v>1.1330701011350914</v>
      </c>
      <c r="V198" s="150">
        <f>IF(TrRoad_act!V59=0,0,TrRoad_emi!V56/TrRoad_tech!V171)</f>
        <v>1.1651240680354635</v>
      </c>
      <c r="W198" s="150">
        <f>IF(TrRoad_act!W59=0,0,TrRoad_emi!W56/TrRoad_tech!W171)</f>
        <v>1.1423739480333779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0.79945917342299211</v>
      </c>
      <c r="C199" s="151">
        <f>IF(TrRoad_act!C60=0,0,TrRoad_emi!C57/TrRoad_tech!C172)</f>
        <v>0.81743944281653069</v>
      </c>
      <c r="D199" s="151">
        <f>IF(TrRoad_act!D60=0,0,TrRoad_emi!D57/TrRoad_tech!D172)</f>
        <v>0.82501770899782534</v>
      </c>
      <c r="E199" s="151">
        <f>IF(TrRoad_act!E60=0,0,TrRoad_emi!E57/TrRoad_tech!E172)</f>
        <v>0.82872159263629319</v>
      </c>
      <c r="F199" s="151">
        <f>IF(TrRoad_act!F60=0,0,TrRoad_emi!F57/TrRoad_tech!F172)</f>
        <v>0.82091473021666983</v>
      </c>
      <c r="G199" s="151">
        <f>IF(TrRoad_act!G60=0,0,TrRoad_emi!G57/TrRoad_tech!G172)</f>
        <v>0.81791333132452393</v>
      </c>
      <c r="H199" s="151">
        <f>IF(TrRoad_act!H60=0,0,TrRoad_emi!H57/TrRoad_tech!H172)</f>
        <v>0.83633085786883599</v>
      </c>
      <c r="I199" s="151">
        <f>IF(TrRoad_act!I60=0,0,TrRoad_emi!I57/TrRoad_tech!I172)</f>
        <v>0.82008007750528189</v>
      </c>
      <c r="J199" s="151">
        <f>IF(TrRoad_act!J60=0,0,TrRoad_emi!J57/TrRoad_tech!J172)</f>
        <v>0.81651251458110374</v>
      </c>
      <c r="K199" s="151">
        <f>IF(TrRoad_act!K60=0,0,TrRoad_emi!K57/TrRoad_tech!K172)</f>
        <v>0.81811821127734685</v>
      </c>
      <c r="L199" s="151">
        <f>IF(TrRoad_act!L60=0,0,TrRoad_emi!L57/TrRoad_tech!L172)</f>
        <v>0.83250237961620899</v>
      </c>
      <c r="M199" s="151">
        <f>IF(TrRoad_act!M60=0,0,TrRoad_emi!M57/TrRoad_tech!M172)</f>
        <v>0.82695780036316247</v>
      </c>
      <c r="N199" s="151">
        <f>IF(TrRoad_act!N60=0,0,TrRoad_emi!N57/TrRoad_tech!N172)</f>
        <v>0.85179280227863818</v>
      </c>
      <c r="O199" s="151">
        <f>IF(TrRoad_act!O60=0,0,TrRoad_emi!O57/TrRoad_tech!O172)</f>
        <v>0.85325783969503266</v>
      </c>
      <c r="P199" s="151">
        <f>IF(TrRoad_act!P60=0,0,TrRoad_emi!P57/TrRoad_tech!P172)</f>
        <v>0.83387295344079804</v>
      </c>
      <c r="Q199" s="151">
        <f>IF(TrRoad_act!Q60=0,0,TrRoad_emi!Q57/TrRoad_tech!Q172)</f>
        <v>0.85436081776770589</v>
      </c>
      <c r="R199" s="151">
        <f>IF(TrRoad_act!R60=0,0,TrRoad_emi!R57/TrRoad_tech!R172)</f>
        <v>0.85291112524959778</v>
      </c>
      <c r="S199" s="151">
        <f>IF(TrRoad_act!S60=0,0,TrRoad_emi!S57/TrRoad_tech!S172)</f>
        <v>0.85866548042659119</v>
      </c>
      <c r="T199" s="151">
        <f>IF(TrRoad_act!T60=0,0,TrRoad_emi!T57/TrRoad_tech!T172)</f>
        <v>0.87425263697607458</v>
      </c>
      <c r="U199" s="151">
        <f>IF(TrRoad_act!U60=0,0,TrRoad_emi!U57/TrRoad_tech!U172)</f>
        <v>0.88897765493636227</v>
      </c>
      <c r="V199" s="151">
        <f>IF(TrRoad_act!V60=0,0,TrRoad_emi!V57/TrRoad_tech!V172)</f>
        <v>0.88798513452581196</v>
      </c>
      <c r="W199" s="151">
        <f>IF(TrRoad_act!W60=0,0,TrRoad_emi!W57/TrRoad_tech!W172)</f>
        <v>0.94990979830659605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0.73388473439105262</v>
      </c>
      <c r="C200" s="91">
        <f>IF(TrRoad_act!C61=0,0,TrRoad_emi!C58/TrRoad_tech!C173)</f>
        <v>0.77551755544842604</v>
      </c>
      <c r="D200" s="91">
        <f>IF(TrRoad_act!D61=0,0,TrRoad_emi!D58/TrRoad_tech!D173)</f>
        <v>0.7893033903534562</v>
      </c>
      <c r="E200" s="91">
        <f>IF(TrRoad_act!E61=0,0,TrRoad_emi!E58/TrRoad_tech!E173)</f>
        <v>0.80188307151577898</v>
      </c>
      <c r="F200" s="91">
        <f>IF(TrRoad_act!F61=0,0,TrRoad_emi!F58/TrRoad_tech!F173)</f>
        <v>0.78853180668979728</v>
      </c>
      <c r="G200" s="91">
        <f>IF(TrRoad_act!G61=0,0,TrRoad_emi!G58/TrRoad_tech!G173)</f>
        <v>0.78014827211986837</v>
      </c>
      <c r="H200" s="91">
        <f>IF(TrRoad_act!H61=0,0,TrRoad_emi!H58/TrRoad_tech!H173)</f>
        <v>0.80297735291196448</v>
      </c>
      <c r="I200" s="91">
        <f>IF(TrRoad_act!I61=0,0,TrRoad_emi!I58/TrRoad_tech!I173)</f>
        <v>0.79726221955495169</v>
      </c>
      <c r="J200" s="91">
        <f>IF(TrRoad_act!J61=0,0,TrRoad_emi!J58/TrRoad_tech!J173)</f>
        <v>0.77821429953181132</v>
      </c>
      <c r="K200" s="91">
        <f>IF(TrRoad_act!K61=0,0,TrRoad_emi!K58/TrRoad_tech!K173)</f>
        <v>0.77642122042535044</v>
      </c>
      <c r="L200" s="91">
        <f>IF(TrRoad_act!L61=0,0,TrRoad_emi!L58/TrRoad_tech!L173)</f>
        <v>0.78754348676589458</v>
      </c>
      <c r="M200" s="91">
        <f>IF(TrRoad_act!M61=0,0,TrRoad_emi!M58/TrRoad_tech!M173)</f>
        <v>0.79147202131443284</v>
      </c>
      <c r="N200" s="91">
        <f>IF(TrRoad_act!N61=0,0,TrRoad_emi!N58/TrRoad_tech!N173)</f>
        <v>0.82204570720385128</v>
      </c>
      <c r="O200" s="91">
        <f>IF(TrRoad_act!O61=0,0,TrRoad_emi!O58/TrRoad_tech!O173)</f>
        <v>0.82119144941679512</v>
      </c>
      <c r="P200" s="91">
        <f>IF(TrRoad_act!P61=0,0,TrRoad_emi!P58/TrRoad_tech!P173)</f>
        <v>0.81044229206941076</v>
      </c>
      <c r="Q200" s="91">
        <f>IF(TrRoad_act!Q61=0,0,TrRoad_emi!Q58/TrRoad_tech!Q173)</f>
        <v>0.83433282606115311</v>
      </c>
      <c r="R200" s="91">
        <f>IF(TrRoad_act!R61=0,0,TrRoad_emi!R58/TrRoad_tech!R173)</f>
        <v>0.83822878178889049</v>
      </c>
      <c r="S200" s="91">
        <f>IF(TrRoad_act!S61=0,0,TrRoad_emi!S58/TrRoad_tech!S173)</f>
        <v>0.86211965459136231</v>
      </c>
      <c r="T200" s="91">
        <f>IF(TrRoad_act!T61=0,0,TrRoad_emi!T58/TrRoad_tech!T173)</f>
        <v>0.87607556424751731</v>
      </c>
      <c r="U200" s="91">
        <f>IF(TrRoad_act!U61=0,0,TrRoad_emi!U58/TrRoad_tech!U173)</f>
        <v>0.88680783856150036</v>
      </c>
      <c r="V200" s="91">
        <f>IF(TrRoad_act!V61=0,0,TrRoad_emi!V58/TrRoad_tech!V173)</f>
        <v>0.86630835680717544</v>
      </c>
      <c r="W200" s="91">
        <f>IF(TrRoad_act!W61=0,0,TrRoad_emi!W58/TrRoad_tech!W173)</f>
        <v>0.9538579872158971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1.02777777778159</v>
      </c>
      <c r="C201" s="91">
        <f>IF(TrRoad_act!C62=0,0,TrRoad_emi!C59/TrRoad_tech!C174)</f>
        <v>1.027947676645161</v>
      </c>
      <c r="D201" s="91">
        <f>IF(TrRoad_act!D62=0,0,TrRoad_emi!D59/TrRoad_tech!D174)</f>
        <v>1.0282893592911615</v>
      </c>
      <c r="E201" s="91">
        <f>IF(TrRoad_act!E62=0,0,TrRoad_emi!E59/TrRoad_tech!E174)</f>
        <v>1.0288291094233917</v>
      </c>
      <c r="F201" s="91">
        <f>IF(TrRoad_act!F62=0,0,TrRoad_emi!F59/TrRoad_tech!F174)</f>
        <v>1.0295894541560118</v>
      </c>
      <c r="G201" s="91">
        <f>IF(TrRoad_act!G62=0,0,TrRoad_emi!G59/TrRoad_tech!G174)</f>
        <v>1.030562789423848</v>
      </c>
      <c r="H201" s="91">
        <f>IF(TrRoad_act!H62=0,0,TrRoad_emi!H59/TrRoad_tech!H174)</f>
        <v>1.0283636464580268</v>
      </c>
      <c r="I201" s="91">
        <f>IF(TrRoad_act!I62=0,0,TrRoad_emi!I59/TrRoad_tech!I174)</f>
        <v>0.99663525169619449</v>
      </c>
      <c r="J201" s="91">
        <f>IF(TrRoad_act!J62=0,0,TrRoad_emi!J59/TrRoad_tech!J174)</f>
        <v>1.0081865300252302</v>
      </c>
      <c r="K201" s="91">
        <f>IF(TrRoad_act!K62=0,0,TrRoad_emi!K59/TrRoad_tech!K174)</f>
        <v>0.99926240761217311</v>
      </c>
      <c r="L201" s="91">
        <f>IF(TrRoad_act!L62=0,0,TrRoad_emi!L59/TrRoad_tech!L174)</f>
        <v>1.0235738240733341</v>
      </c>
      <c r="M201" s="91">
        <f>IF(TrRoad_act!M62=0,0,TrRoad_emi!M59/TrRoad_tech!M174)</f>
        <v>1.0148653296347021</v>
      </c>
      <c r="N201" s="91">
        <f>IF(TrRoad_act!N62=0,0,TrRoad_emi!N59/TrRoad_tech!N174)</f>
        <v>1.0147091064482403</v>
      </c>
      <c r="O201" s="91">
        <f>IF(TrRoad_act!O62=0,0,TrRoad_emi!O59/TrRoad_tech!O174)</f>
        <v>1.0184696396309225</v>
      </c>
      <c r="P201" s="91">
        <f>IF(TrRoad_act!P62=0,0,TrRoad_emi!P59/TrRoad_tech!P174)</f>
        <v>1.0092490835826817</v>
      </c>
      <c r="Q201" s="91">
        <f>IF(TrRoad_act!Q62=0,0,TrRoad_emi!Q59/TrRoad_tech!Q174)</f>
        <v>1.0270710418288977</v>
      </c>
      <c r="R201" s="91">
        <f>IF(TrRoad_act!R62=0,0,TrRoad_emi!R59/TrRoad_tech!R174)</f>
        <v>1.0362120574188842</v>
      </c>
      <c r="S201" s="91">
        <f>IF(TrRoad_act!S62=0,0,TrRoad_emi!S59/TrRoad_tech!S174)</f>
        <v>1.0283995292542407</v>
      </c>
      <c r="T201" s="91">
        <f>IF(TrRoad_act!T62=0,0,TrRoad_emi!T59/TrRoad_tech!T174)</f>
        <v>1.0046768808912729</v>
      </c>
      <c r="U201" s="91">
        <f>IF(TrRoad_act!U62=0,0,TrRoad_emi!U59/TrRoad_tech!U174)</f>
        <v>0.98826221300493688</v>
      </c>
      <c r="V201" s="91">
        <f>IF(TrRoad_act!V62=0,0,TrRoad_emi!V59/TrRoad_tech!V174)</f>
        <v>1.0037995649839799</v>
      </c>
      <c r="W201" s="91">
        <f>IF(TrRoad_act!W62=0,0,TrRoad_emi!W59/TrRoad_tech!W174)</f>
        <v>0.99131204853575206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1.1178218290807667</v>
      </c>
      <c r="C202" s="91">
        <f>IF(TrRoad_act!C63=0,0,TrRoad_emi!C60/TrRoad_tech!C175)</f>
        <v>1.0484041350158884</v>
      </c>
      <c r="D202" s="91">
        <f>IF(TrRoad_act!D63=0,0,TrRoad_emi!D60/TrRoad_tech!D175)</f>
        <v>1.0551130282645798</v>
      </c>
      <c r="E202" s="91">
        <f>IF(TrRoad_act!E63=0,0,TrRoad_emi!E60/TrRoad_tech!E175)</f>
        <v>0.9752959834575905</v>
      </c>
      <c r="F202" s="91">
        <f>IF(TrRoad_act!F63=0,0,TrRoad_emi!F60/TrRoad_tech!F175)</f>
        <v>0.99269430580871265</v>
      </c>
      <c r="G202" s="91">
        <f>IF(TrRoad_act!G63=0,0,TrRoad_emi!G60/TrRoad_tech!G175)</f>
        <v>1.0260517395915361</v>
      </c>
      <c r="H202" s="91">
        <f>IF(TrRoad_act!H63=0,0,TrRoad_emi!H60/TrRoad_tech!H175)</f>
        <v>1.0720826920359312</v>
      </c>
      <c r="I202" s="91">
        <f>IF(TrRoad_act!I63=0,0,TrRoad_emi!I60/TrRoad_tech!I175)</f>
        <v>0.96600227835922692</v>
      </c>
      <c r="J202" s="91">
        <f>IF(TrRoad_act!J63=0,0,TrRoad_emi!J60/TrRoad_tech!J175)</f>
        <v>1.0855619461834762</v>
      </c>
      <c r="K202" s="91">
        <f>IF(TrRoad_act!K63=0,0,TrRoad_emi!K60/TrRoad_tech!K175)</f>
        <v>1.2171867464093482</v>
      </c>
      <c r="L202" s="91">
        <f>IF(TrRoad_act!L63=0,0,TrRoad_emi!L60/TrRoad_tech!L175)</f>
        <v>1.2593701937593746</v>
      </c>
      <c r="M202" s="91">
        <f>IF(TrRoad_act!M63=0,0,TrRoad_emi!M60/TrRoad_tech!M175)</f>
        <v>1.3144344140845865</v>
      </c>
      <c r="N202" s="91">
        <f>IF(TrRoad_act!N63=0,0,TrRoad_emi!N60/TrRoad_tech!N175)</f>
        <v>1.6027647661512441</v>
      </c>
      <c r="O202" s="91">
        <f>IF(TrRoad_act!O63=0,0,TrRoad_emi!O60/TrRoad_tech!O175)</f>
        <v>1.5407088599023286</v>
      </c>
      <c r="P202" s="91">
        <f>IF(TrRoad_act!P63=0,0,TrRoad_emi!P60/TrRoad_tech!P175)</f>
        <v>1.261832942381784</v>
      </c>
      <c r="Q202" s="91">
        <f>IF(TrRoad_act!Q63=0,0,TrRoad_emi!Q60/TrRoad_tech!Q175)</f>
        <v>1.1756901295218327</v>
      </c>
      <c r="R202" s="91">
        <f>IF(TrRoad_act!R63=0,0,TrRoad_emi!R60/TrRoad_tech!R175)</f>
        <v>1.2821095190246978</v>
      </c>
      <c r="S202" s="91">
        <f>IF(TrRoad_act!S63=0,0,TrRoad_emi!S60/TrRoad_tech!S175)</f>
        <v>1.219474267734908</v>
      </c>
      <c r="T202" s="91">
        <f>IF(TrRoad_act!T63=0,0,TrRoad_emi!T60/TrRoad_tech!T175)</f>
        <v>1.2177403177422572</v>
      </c>
      <c r="U202" s="91">
        <f>IF(TrRoad_act!U63=0,0,TrRoad_emi!U60/TrRoad_tech!U175)</f>
        <v>1.0443571713786108</v>
      </c>
      <c r="V202" s="91">
        <f>IF(TrRoad_act!V63=0,0,TrRoad_emi!V60/TrRoad_tech!V175)</f>
        <v>1.1055308301799391</v>
      </c>
      <c r="W202" s="91">
        <f>IF(TrRoad_act!W63=0,0,TrRoad_emi!W60/TrRoad_tech!W175)</f>
        <v>1.2767328663216913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1.0555555555604399</v>
      </c>
      <c r="M203" s="91">
        <f>IF(TrRoad_act!M64=0,0,TrRoad_emi!M61/TrRoad_tech!M176)</f>
        <v>1.0603703703752698</v>
      </c>
      <c r="N203" s="91">
        <f>IF(TrRoad_act!N64=0,0,TrRoad_emi!N61/TrRoad_tech!N176)</f>
        <v>1.0649119276724615</v>
      </c>
      <c r="O203" s="91">
        <f>IF(TrRoad_act!O64=0,0,TrRoad_emi!O61/TrRoad_tech!O176)</f>
        <v>1.0655530020532709</v>
      </c>
      <c r="P203" s="91">
        <f>IF(TrRoad_act!P64=0,0,TrRoad_emi!P61/TrRoad_tech!P176)</f>
        <v>1.0687359644748473</v>
      </c>
      <c r="Q203" s="91">
        <f>IF(TrRoad_act!Q64=0,0,TrRoad_emi!Q61/TrRoad_tech!Q176)</f>
        <v>1.069885144211834</v>
      </c>
      <c r="R203" s="91">
        <f>IF(TrRoad_act!R64=0,0,TrRoad_emi!R61/TrRoad_tech!R176)</f>
        <v>1.0813726156825401</v>
      </c>
      <c r="S203" s="91">
        <f>IF(TrRoad_act!S64=0,0,TrRoad_emi!S61/TrRoad_tech!S176)</f>
        <v>1.0868198539267859</v>
      </c>
      <c r="T203" s="91">
        <f>IF(TrRoad_act!T64=0,0,TrRoad_emi!T61/TrRoad_tech!T176)</f>
        <v>1.0922240629328106</v>
      </c>
      <c r="U203" s="91">
        <f>IF(TrRoad_act!U64=0,0,TrRoad_emi!U61/TrRoad_tech!U176)</f>
        <v>1.0926088959606131</v>
      </c>
      <c r="V203" s="91">
        <f>IF(TrRoad_act!V64=0,0,TrRoad_emi!V61/TrRoad_tech!V176)</f>
        <v>1.0929979329415853</v>
      </c>
      <c r="W203" s="91">
        <f>IF(TrRoad_act!W64=0,0,TrRoad_emi!W61/TrRoad_tech!W176)</f>
        <v>1.093988884865545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0.80900127409498335</v>
      </c>
      <c r="N204" s="91">
        <f>IF(TrRoad_act!N65=0,0,TrRoad_emi!N62/TrRoad_tech!N177)</f>
        <v>0.84275727869686168</v>
      </c>
      <c r="O204" s="91">
        <f>IF(TrRoad_act!O65=0,0,TrRoad_emi!O62/TrRoad_tech!O177)</f>
        <v>0.8440041072353357</v>
      </c>
      <c r="P204" s="91">
        <f>IF(TrRoad_act!P65=0,0,TrRoad_emi!P62/TrRoad_tech!P177)</f>
        <v>0.83539123271947058</v>
      </c>
      <c r="Q204" s="91">
        <f>IF(TrRoad_act!Q65=0,0,TrRoad_emi!Q62/TrRoad_tech!Q177)</f>
        <v>0.86152394154051637</v>
      </c>
      <c r="R204" s="91">
        <f>IF(TrRoad_act!R65=0,0,TrRoad_emi!R62/TrRoad_tech!R177)</f>
        <v>0.86508719702981318</v>
      </c>
      <c r="S204" s="91">
        <f>IF(TrRoad_act!S65=0,0,TrRoad_emi!S62/TrRoad_tech!S177)</f>
        <v>0.88755479598869547</v>
      </c>
      <c r="T204" s="91">
        <f>IF(TrRoad_act!T65=0,0,TrRoad_emi!T62/TrRoad_tech!T177)</f>
        <v>0.90017864894657429</v>
      </c>
      <c r="U204" s="91">
        <f>IF(TrRoad_act!U65=0,0,TrRoad_emi!U62/TrRoad_tech!U177)</f>
        <v>0.90975774203151116</v>
      </c>
      <c r="V204" s="91">
        <f>IF(TrRoad_act!V65=0,0,TrRoad_emi!V62/TrRoad_tech!V177)</f>
        <v>0.88979322612775702</v>
      </c>
      <c r="W204" s="91">
        <f>IF(TrRoad_act!W65=0,0,TrRoad_emi!W62/TrRoad_tech!W177)</f>
        <v>0.97893330045556126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1.097825506503566</v>
      </c>
      <c r="C206" s="151">
        <f>IF(TrRoad_act!C67=0,0,TrRoad_emi!C64/TrRoad_tech!C179)</f>
        <v>1.0916272290814808</v>
      </c>
      <c r="D206" s="151">
        <f>IF(TrRoad_act!D67=0,0,TrRoad_emi!D64/TrRoad_tech!D179)</f>
        <v>1.0962623549545549</v>
      </c>
      <c r="E206" s="151">
        <f>IF(TrRoad_act!E67=0,0,TrRoad_emi!E64/TrRoad_tech!E179)</f>
        <v>1.088112033650831</v>
      </c>
      <c r="F206" s="151">
        <f>IF(TrRoad_act!F67=0,0,TrRoad_emi!F64/TrRoad_tech!F179)</f>
        <v>1.0941218492839353</v>
      </c>
      <c r="G206" s="151">
        <f>IF(TrRoad_act!G67=0,0,TrRoad_emi!G64/TrRoad_tech!G179)</f>
        <v>1.0960933365114007</v>
      </c>
      <c r="H206" s="151">
        <f>IF(TrRoad_act!H67=0,0,TrRoad_emi!H64/TrRoad_tech!H179)</f>
        <v>1.0998282668630148</v>
      </c>
      <c r="I206" s="151">
        <f>IF(TrRoad_act!I67=0,0,TrRoad_emi!I64/TrRoad_tech!I179)</f>
        <v>1.0654275839995035</v>
      </c>
      <c r="J206" s="151">
        <f>IF(TrRoad_act!J67=0,0,TrRoad_emi!J64/TrRoad_tech!J179)</f>
        <v>1.0892095198301468</v>
      </c>
      <c r="K206" s="151">
        <f>IF(TrRoad_act!K67=0,0,TrRoad_emi!K64/TrRoad_tech!K179)</f>
        <v>1.1058716248459775</v>
      </c>
      <c r="L206" s="151">
        <f>IF(TrRoad_act!L67=0,0,TrRoad_emi!L64/TrRoad_tech!L179)</f>
        <v>1.1736994951095596</v>
      </c>
      <c r="M206" s="151">
        <f>IF(TrRoad_act!M67=0,0,TrRoad_emi!M64/TrRoad_tech!M179)</f>
        <v>1.4370077154407583</v>
      </c>
      <c r="N206" s="151">
        <f>IF(TrRoad_act!N67=0,0,TrRoad_emi!N64/TrRoad_tech!N179)</f>
        <v>1.1393341724813262</v>
      </c>
      <c r="O206" s="151">
        <f>IF(TrRoad_act!O67=0,0,TrRoad_emi!O64/TrRoad_tech!O179)</f>
        <v>1.1293120101127678</v>
      </c>
      <c r="P206" s="151">
        <f>IF(TrRoad_act!P67=0,0,TrRoad_emi!P64/TrRoad_tech!P179)</f>
        <v>1.1028585625220362</v>
      </c>
      <c r="Q206" s="151">
        <f>IF(TrRoad_act!Q67=0,0,TrRoad_emi!Q64/TrRoad_tech!Q179)</f>
        <v>1.1589384586117848</v>
      </c>
      <c r="R206" s="151">
        <f>IF(TrRoad_act!R67=0,0,TrRoad_emi!R64/TrRoad_tech!R179)</f>
        <v>1.3284040342370602</v>
      </c>
      <c r="S206" s="151">
        <f>IF(TrRoad_act!S67=0,0,TrRoad_emi!S64/TrRoad_tech!S179)</f>
        <v>1.3350598208171449</v>
      </c>
      <c r="T206" s="151">
        <f>IF(TrRoad_act!T67=0,0,TrRoad_emi!T64/TrRoad_tech!T179)</f>
        <v>1.2862250759490714</v>
      </c>
      <c r="U206" s="151">
        <f>IF(TrRoad_act!U67=0,0,TrRoad_emi!U64/TrRoad_tech!U179)</f>
        <v>1.4141689688719414</v>
      </c>
      <c r="V206" s="151">
        <f>IF(TrRoad_act!V67=0,0,TrRoad_emi!V64/TrRoad_tech!V179)</f>
        <v>1.4520667826975413</v>
      </c>
      <c r="W206" s="151">
        <f>IF(TrRoad_act!W67=0,0,TrRoad_emi!W64/TrRoad_tech!W179)</f>
        <v>1.220282653401954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1.1000000000067303</v>
      </c>
      <c r="C207" s="93">
        <f>IF(TrRoad_act!C68=0,0,TrRoad_emi!C65/TrRoad_tech!C180)</f>
        <v>1.1010333130112893</v>
      </c>
      <c r="D207" s="93">
        <f>IF(TrRoad_act!D68=0,0,TrRoad_emi!D65/TrRoad_tech!D180)</f>
        <v>1.1027691126189292</v>
      </c>
      <c r="E207" s="93">
        <f>IF(TrRoad_act!E68=0,0,TrRoad_emi!E65/TrRoad_tech!E180)</f>
        <v>1.1051279853453777</v>
      </c>
      <c r="F207" s="93">
        <f>IF(TrRoad_act!F68=0,0,TrRoad_emi!F65/TrRoad_tech!F180)</f>
        <v>1.1052724752523913</v>
      </c>
      <c r="G207" s="93">
        <f>IF(TrRoad_act!G68=0,0,TrRoad_emi!G65/TrRoad_tech!G180)</f>
        <v>1.1077921391524388</v>
      </c>
      <c r="H207" s="93">
        <f>IF(TrRoad_act!H68=0,0,TrRoad_emi!H65/TrRoad_tech!H180)</f>
        <v>1.1043142202442326</v>
      </c>
      <c r="I207" s="93">
        <f>IF(TrRoad_act!I68=0,0,TrRoad_emi!I65/TrRoad_tech!I180)</f>
        <v>1.0896103779601578</v>
      </c>
      <c r="J207" s="93">
        <f>IF(TrRoad_act!J68=0,0,TrRoad_emi!J65/TrRoad_tech!J180)</f>
        <v>1.0843729806260747</v>
      </c>
      <c r="K207" s="93">
        <f>IF(TrRoad_act!K68=0,0,TrRoad_emi!K65/TrRoad_tech!K180)</f>
        <v>1.0789651514665359</v>
      </c>
      <c r="L207" s="93">
        <f>IF(TrRoad_act!L68=0,0,TrRoad_emi!L65/TrRoad_tech!L180)</f>
        <v>1.0884428118407139</v>
      </c>
      <c r="M207" s="93">
        <f>IF(TrRoad_act!M68=0,0,TrRoad_emi!M65/TrRoad_tech!M180)</f>
        <v>1.0884359235706773</v>
      </c>
      <c r="N207" s="93">
        <f>IF(TrRoad_act!N68=0,0,TrRoad_emi!N65/TrRoad_tech!N180)</f>
        <v>1.1078946926710727</v>
      </c>
      <c r="O207" s="93">
        <f>IF(TrRoad_act!O68=0,0,TrRoad_emi!O65/TrRoad_tech!O180)</f>
        <v>1.1108343355723185</v>
      </c>
      <c r="P207" s="93">
        <f>IF(TrRoad_act!P68=0,0,TrRoad_emi!P65/TrRoad_tech!P180)</f>
        <v>1.1111798454738657</v>
      </c>
      <c r="Q207" s="93">
        <f>IF(TrRoad_act!Q68=0,0,TrRoad_emi!Q65/TrRoad_tech!Q180)</f>
        <v>1.16733197601335</v>
      </c>
      <c r="R207" s="93">
        <f>IF(TrRoad_act!R68=0,0,TrRoad_emi!R65/TrRoad_tech!R180)</f>
        <v>1.1942338483095336</v>
      </c>
      <c r="S207" s="93">
        <f>IF(TrRoad_act!S68=0,0,TrRoad_emi!S65/TrRoad_tech!S180)</f>
        <v>1.2050878501332829</v>
      </c>
      <c r="T207" s="93">
        <f>IF(TrRoad_act!T68=0,0,TrRoad_emi!T65/TrRoad_tech!T180)</f>
        <v>1.2033645679295673</v>
      </c>
      <c r="U207" s="93">
        <f>IF(TrRoad_act!U68=0,0,TrRoad_emi!U65/TrRoad_tech!U180)</f>
        <v>1.2702809146332124</v>
      </c>
      <c r="V207" s="93">
        <f>IF(TrRoad_act!V68=0,0,TrRoad_emi!V65/TrRoad_tech!V180)</f>
        <v>1.2550862019329059</v>
      </c>
      <c r="W207" s="93">
        <f>IF(TrRoad_act!W68=0,0,TrRoad_emi!W65/TrRoad_tech!W180)</f>
        <v>1.2570651816352763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</v>
      </c>
      <c r="C208" s="93">
        <f>IF(TrRoad_act!C69=0,0,TrRoad_emi!C66/TrRoad_tech!C181)</f>
        <v>1.1003686098487264</v>
      </c>
      <c r="D208" s="93">
        <f>IF(TrRoad_act!D69=0,0,TrRoad_emi!D66/TrRoad_tech!D181)</f>
        <v>1.1010633647365264</v>
      </c>
      <c r="E208" s="93">
        <f>IF(TrRoad_act!E69=0,0,TrRoad_emi!E66/TrRoad_tech!E181)</f>
        <v>1.1025763457643769</v>
      </c>
      <c r="F208" s="93">
        <f>IF(TrRoad_act!F69=0,0,TrRoad_emi!F66/TrRoad_tech!F181)</f>
        <v>1.1049518011558472</v>
      </c>
      <c r="G208" s="93">
        <f>IF(TrRoad_act!G69=0,0,TrRoad_emi!G66/TrRoad_tech!G181)</f>
        <v>1.1088615525223424</v>
      </c>
      <c r="H208" s="93">
        <f>IF(TrRoad_act!H69=0,0,TrRoad_emi!H66/TrRoad_tech!H181)</f>
        <v>1.108842922469111</v>
      </c>
      <c r="I208" s="93">
        <f>IF(TrRoad_act!I69=0,0,TrRoad_emi!I66/TrRoad_tech!I181)</f>
        <v>1.0794186341665026</v>
      </c>
      <c r="J208" s="93">
        <f>IF(TrRoad_act!J69=0,0,TrRoad_emi!J66/TrRoad_tech!J181)</f>
        <v>1.0975099166655837</v>
      </c>
      <c r="K208" s="93">
        <f>IF(TrRoad_act!K69=0,0,TrRoad_emi!K66/TrRoad_tech!K181)</f>
        <v>1.0936617390000607</v>
      </c>
      <c r="L208" s="93">
        <f>IF(TrRoad_act!L69=0,0,TrRoad_emi!L66/TrRoad_tech!L181)</f>
        <v>1.1218167380660073</v>
      </c>
      <c r="M208" s="93">
        <f>IF(TrRoad_act!M69=0,0,TrRoad_emi!M66/TrRoad_tech!M181)</f>
        <v>1.1099488029554554</v>
      </c>
      <c r="N208" s="93">
        <f>IF(TrRoad_act!N69=0,0,TrRoad_emi!N66/TrRoad_tech!N181)</f>
        <v>1.1147563912545835</v>
      </c>
      <c r="O208" s="93">
        <f>IF(TrRoad_act!O69=0,0,TrRoad_emi!O66/TrRoad_tech!O181)</f>
        <v>1.1254814107909452</v>
      </c>
      <c r="P208" s="93">
        <f>IF(TrRoad_act!P69=0,0,TrRoad_emi!P66/TrRoad_tech!P181)</f>
        <v>1.1246976368162758</v>
      </c>
      <c r="Q208" s="93">
        <f>IF(TrRoad_act!Q69=0,0,TrRoad_emi!Q66/TrRoad_tech!Q181)</f>
        <v>1.1546887461422735</v>
      </c>
      <c r="R208" s="93">
        <f>IF(TrRoad_act!R69=0,0,TrRoad_emi!R66/TrRoad_tech!R181)</f>
        <v>1.1780729190016273</v>
      </c>
      <c r="S208" s="93">
        <f>IF(TrRoad_act!S69=0,0,TrRoad_emi!S66/TrRoad_tech!S181)</f>
        <v>1.1795332884539478</v>
      </c>
      <c r="T208" s="93">
        <f>IF(TrRoad_act!T69=0,0,TrRoad_emi!T66/TrRoad_tech!T181)</f>
        <v>1.1628062825006897</v>
      </c>
      <c r="U208" s="93">
        <f>IF(TrRoad_act!U69=0,0,TrRoad_emi!U66/TrRoad_tech!U181)</f>
        <v>1.1570705291381755</v>
      </c>
      <c r="V208" s="93">
        <f>IF(TrRoad_act!V69=0,0,TrRoad_emi!V66/TrRoad_tech!V181)</f>
        <v>1.1992079587063316</v>
      </c>
      <c r="W208" s="93">
        <f>IF(TrRoad_act!W69=0,0,TrRoad_emi!W66/TrRoad_tech!W181)</f>
        <v>1.2080396598373193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1.1000000000067303</v>
      </c>
      <c r="C209" s="93">
        <f>IF(TrRoad_act!C70=0,0,TrRoad_emi!C67/TrRoad_tech!C182)</f>
        <v>1.10000000000673</v>
      </c>
      <c r="D209" s="93">
        <f>IF(TrRoad_act!D70=0,0,TrRoad_emi!D67/TrRoad_tech!D182)</f>
        <v>1.10000000000673</v>
      </c>
      <c r="E209" s="93">
        <f>IF(TrRoad_act!E70=0,0,TrRoad_emi!E67/TrRoad_tech!E182)</f>
        <v>1.10000000000673</v>
      </c>
      <c r="F209" s="93">
        <f>IF(TrRoad_act!F70=0,0,TrRoad_emi!F67/TrRoad_tech!F182)</f>
        <v>1.1000000000067305</v>
      </c>
      <c r="G209" s="93">
        <f>IF(TrRoad_act!G70=0,0,TrRoad_emi!G67/TrRoad_tech!G182)</f>
        <v>1.108352163301747</v>
      </c>
      <c r="H209" s="93">
        <f>IF(TrRoad_act!H70=0,0,TrRoad_emi!H67/TrRoad_tech!H182)</f>
        <v>1.1096052581885401</v>
      </c>
      <c r="I209" s="93">
        <f>IF(TrRoad_act!I70=0,0,TrRoad_emi!I67/TrRoad_tech!I182)</f>
        <v>1.1105890640705784</v>
      </c>
      <c r="J209" s="93">
        <f>IF(TrRoad_act!J70=0,0,TrRoad_emi!J67/TrRoad_tech!J182)</f>
        <v>1.1106691283445278</v>
      </c>
      <c r="K209" s="93">
        <f>IF(TrRoad_act!K70=0,0,TrRoad_emi!K67/TrRoad_tech!K182)</f>
        <v>1.111293956224864</v>
      </c>
      <c r="L209" s="93">
        <f>IF(TrRoad_act!L70=0,0,TrRoad_emi!L67/TrRoad_tech!L182)</f>
        <v>1.111293956224864</v>
      </c>
      <c r="M209" s="93">
        <f>IF(TrRoad_act!M70=0,0,TrRoad_emi!M67/TrRoad_tech!M182)</f>
        <v>1.1116828063870636</v>
      </c>
      <c r="N209" s="93">
        <f>IF(TrRoad_act!N70=0,0,TrRoad_emi!N67/TrRoad_tech!N182)</f>
        <v>1.111996521700108</v>
      </c>
      <c r="O209" s="93">
        <f>IF(TrRoad_act!O70=0,0,TrRoad_emi!O67/TrRoad_tech!O182)</f>
        <v>1.1120993874943572</v>
      </c>
      <c r="P209" s="93">
        <f>IF(TrRoad_act!P70=0,0,TrRoad_emi!P67/TrRoad_tech!P182)</f>
        <v>1.1123275501469911</v>
      </c>
      <c r="Q209" s="93">
        <f>IF(TrRoad_act!Q70=0,0,TrRoad_emi!Q67/TrRoad_tech!Q182)</f>
        <v>1.1123275501469914</v>
      </c>
      <c r="R209" s="93">
        <f>IF(TrRoad_act!R70=0,0,TrRoad_emi!R67/TrRoad_tech!R182)</f>
        <v>1.1120653682408492</v>
      </c>
      <c r="S209" s="93">
        <f>IF(TrRoad_act!S70=0,0,TrRoad_emi!S67/TrRoad_tech!S182)</f>
        <v>1.1124121399808056</v>
      </c>
      <c r="T209" s="93">
        <f>IF(TrRoad_act!T70=0,0,TrRoad_emi!T67/TrRoad_tech!T182)</f>
        <v>1.1126608172301209</v>
      </c>
      <c r="U209" s="93">
        <f>IF(TrRoad_act!U70=0,0,TrRoad_emi!U67/TrRoad_tech!U182)</f>
        <v>1.1126608172301211</v>
      </c>
      <c r="V209" s="93">
        <f>IF(TrRoad_act!V70=0,0,TrRoad_emi!V67/TrRoad_tech!V182)</f>
        <v>1.112662401830302</v>
      </c>
      <c r="W209" s="93">
        <f>IF(TrRoad_act!W70=0,0,TrRoad_emi!W67/TrRoad_tech!W182)</f>
        <v>1.1129307555441588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1.1362502990355521</v>
      </c>
      <c r="C210" s="93">
        <f>IF(TrRoad_act!C71=0,0,TrRoad_emi!C68/TrRoad_tech!C183)</f>
        <v>1.2741794122664745</v>
      </c>
      <c r="D210" s="93">
        <f>IF(TrRoad_act!D71=0,0,TrRoad_emi!D68/TrRoad_tech!D183)</f>
        <v>1.0679560096963565</v>
      </c>
      <c r="E210" s="93">
        <f>IF(TrRoad_act!E71=0,0,TrRoad_emi!E68/TrRoad_tech!E183)</f>
        <v>1.2800194385434676</v>
      </c>
      <c r="F210" s="93">
        <f>IF(TrRoad_act!F71=0,0,TrRoad_emi!F68/TrRoad_tech!F183)</f>
        <v>0.96187478546512761</v>
      </c>
      <c r="G210" s="93">
        <f>IF(TrRoad_act!G71=0,0,TrRoad_emi!G68/TrRoad_tech!G183)</f>
        <v>1.0220002686677498</v>
      </c>
      <c r="H210" s="93">
        <f>IF(TrRoad_act!H71=0,0,TrRoad_emi!H68/TrRoad_tech!H183)</f>
        <v>1.0308096461909013</v>
      </c>
      <c r="I210" s="93">
        <f>IF(TrRoad_act!I71=0,0,TrRoad_emi!I68/TrRoad_tech!I183)</f>
        <v>0.9720752826823299</v>
      </c>
      <c r="J210" s="93">
        <f>IF(TrRoad_act!J71=0,0,TrRoad_emi!J68/TrRoad_tech!J183)</f>
        <v>0.99550499887277744</v>
      </c>
      <c r="K210" s="93">
        <f>IF(TrRoad_act!K71=0,0,TrRoad_emi!K68/TrRoad_tech!K183)</f>
        <v>1.004729505998073</v>
      </c>
      <c r="L210" s="93">
        <f>IF(TrRoad_act!L71=0,0,TrRoad_emi!L68/TrRoad_tech!L183)</f>
        <v>1.0592317089704002</v>
      </c>
      <c r="M210" s="93">
        <f>IF(TrRoad_act!M71=0,0,TrRoad_emi!M68/TrRoad_tech!M183)</f>
        <v>1.1474728649886203</v>
      </c>
      <c r="N210" s="93">
        <f>IF(TrRoad_act!N71=0,0,TrRoad_emi!N68/TrRoad_tech!N183)</f>
        <v>0.82547595539106755</v>
      </c>
      <c r="O210" s="93">
        <f>IF(TrRoad_act!O71=0,0,TrRoad_emi!O68/TrRoad_tech!O183)</f>
        <v>0.81745979735286922</v>
      </c>
      <c r="P210" s="93">
        <f>IF(TrRoad_act!P71=0,0,TrRoad_emi!P68/TrRoad_tech!P183)</f>
        <v>0.82180638717458943</v>
      </c>
      <c r="Q210" s="93">
        <f>IF(TrRoad_act!Q71=0,0,TrRoad_emi!Q68/TrRoad_tech!Q183)</f>
        <v>0.92017639721617994</v>
      </c>
      <c r="R210" s="93">
        <f>IF(TrRoad_act!R71=0,0,TrRoad_emi!R68/TrRoad_tech!R183)</f>
        <v>1.4760675888337871</v>
      </c>
      <c r="S210" s="93">
        <f>IF(TrRoad_act!S71=0,0,TrRoad_emi!S68/TrRoad_tech!S183)</f>
        <v>1.6022931106441787</v>
      </c>
      <c r="T210" s="93">
        <f>IF(TrRoad_act!T71=0,0,TrRoad_emi!T68/TrRoad_tech!T183)</f>
        <v>1.2599142277444906</v>
      </c>
      <c r="U210" s="93">
        <f>IF(TrRoad_act!U71=0,0,TrRoad_emi!U68/TrRoad_tech!U183)</f>
        <v>1.3212334632503837</v>
      </c>
      <c r="V210" s="93">
        <f>IF(TrRoad_act!V71=0,0,TrRoad_emi!V68/TrRoad_tech!V183)</f>
        <v>1.2919242688210724</v>
      </c>
      <c r="W210" s="93">
        <f>IF(TrRoad_act!W71=0,0,TrRoad_emi!W68/TrRoad_tech!W183)</f>
        <v>1.2303267906609567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1.0472617340431376</v>
      </c>
      <c r="C213" s="150">
        <f>IF(TrRoad_act!C74=0,0,TrRoad_emi!C71/TrRoad_tech!C186)</f>
        <v>1.0324610439805426</v>
      </c>
      <c r="D213" s="150">
        <f>IF(TrRoad_act!D74=0,0,TrRoad_emi!D71/TrRoad_tech!D186)</f>
        <v>1.0289939639427206</v>
      </c>
      <c r="E213" s="150">
        <f>IF(TrRoad_act!E74=0,0,TrRoad_emi!E71/TrRoad_tech!E186)</f>
        <v>1.0334274853546661</v>
      </c>
      <c r="F213" s="150">
        <f>IF(TrRoad_act!F74=0,0,TrRoad_emi!F71/TrRoad_tech!F186)</f>
        <v>1.0426286652197312</v>
      </c>
      <c r="G213" s="150">
        <f>IF(TrRoad_act!G74=0,0,TrRoad_emi!G71/TrRoad_tech!G186)</f>
        <v>1.0585201930547374</v>
      </c>
      <c r="H213" s="150">
        <f>IF(TrRoad_act!H74=0,0,TrRoad_emi!H71/TrRoad_tech!H186)</f>
        <v>1.0600899522889067</v>
      </c>
      <c r="I213" s="150">
        <f>IF(TrRoad_act!I74=0,0,TrRoad_emi!I71/TrRoad_tech!I186)</f>
        <v>1.0401721117628113</v>
      </c>
      <c r="J213" s="150">
        <f>IF(TrRoad_act!J74=0,0,TrRoad_emi!J71/TrRoad_tech!J186)</f>
        <v>1.0744749832707328</v>
      </c>
      <c r="K213" s="150">
        <f>IF(TrRoad_act!K74=0,0,TrRoad_emi!K71/TrRoad_tech!K186)</f>
        <v>1.0925960245972137</v>
      </c>
      <c r="L213" s="150">
        <f>IF(TrRoad_act!L74=0,0,TrRoad_emi!L71/TrRoad_tech!L186)</f>
        <v>1.2063607419133096</v>
      </c>
      <c r="M213" s="150">
        <f>IF(TrRoad_act!M74=0,0,TrRoad_emi!M71/TrRoad_tech!M186)</f>
        <v>1.3648458500409621</v>
      </c>
      <c r="N213" s="150">
        <f>IF(TrRoad_act!N74=0,0,TrRoad_emi!N71/TrRoad_tech!N186)</f>
        <v>1.1391676541629312</v>
      </c>
      <c r="O213" s="150">
        <f>IF(TrRoad_act!O74=0,0,TrRoad_emi!O71/TrRoad_tech!O186)</f>
        <v>1.1257667381162655</v>
      </c>
      <c r="P213" s="150">
        <f>IF(TrRoad_act!P74=0,0,TrRoad_emi!P71/TrRoad_tech!P186)</f>
        <v>1.1413196735740603</v>
      </c>
      <c r="Q213" s="150">
        <f>IF(TrRoad_act!Q74=0,0,TrRoad_emi!Q71/TrRoad_tech!Q186)</f>
        <v>1.1631436484769613</v>
      </c>
      <c r="R213" s="150">
        <f>IF(TrRoad_act!R74=0,0,TrRoad_emi!R71/TrRoad_tech!R186)</f>
        <v>1.1602649909112481</v>
      </c>
      <c r="S213" s="150">
        <f>IF(TrRoad_act!S74=0,0,TrRoad_emi!S71/TrRoad_tech!S186)</f>
        <v>1.1605779954852842</v>
      </c>
      <c r="T213" s="150">
        <f>IF(TrRoad_act!T74=0,0,TrRoad_emi!T71/TrRoad_tech!T186)</f>
        <v>1.1236708994959752</v>
      </c>
      <c r="U213" s="150">
        <f>IF(TrRoad_act!U74=0,0,TrRoad_emi!U71/TrRoad_tech!U186)</f>
        <v>1.1393320423293551</v>
      </c>
      <c r="V213" s="150">
        <f>IF(TrRoad_act!V74=0,0,TrRoad_emi!V71/TrRoad_tech!V186)</f>
        <v>1.1349130415009934</v>
      </c>
      <c r="W213" s="150">
        <f>IF(TrRoad_act!W74=0,0,TrRoad_emi!W71/TrRoad_tech!W186)</f>
        <v>1.1244814939498426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</v>
      </c>
      <c r="C214" s="91">
        <f>IF(TrRoad_act!C75=0,0,TrRoad_emi!C72/TrRoad_tech!C187)</f>
        <v>1.10000000000673</v>
      </c>
      <c r="D214" s="91">
        <f>IF(TrRoad_act!D75=0,0,TrRoad_emi!D72/TrRoad_tech!D187)</f>
        <v>1.1000000000067298</v>
      </c>
      <c r="E214" s="91">
        <f>IF(TrRoad_act!E75=0,0,TrRoad_emi!E72/TrRoad_tech!E187)</f>
        <v>1.1000000000067303</v>
      </c>
      <c r="F214" s="91">
        <f>IF(TrRoad_act!F75=0,0,TrRoad_emi!F72/TrRoad_tech!F187)</f>
        <v>1.10000000000673</v>
      </c>
      <c r="G214" s="91">
        <f>IF(TrRoad_act!G75=0,0,TrRoad_emi!G72/TrRoad_tech!G187)</f>
        <v>1.1000000000067303</v>
      </c>
      <c r="H214" s="91">
        <f>IF(TrRoad_act!H75=0,0,TrRoad_emi!H72/TrRoad_tech!H187)</f>
        <v>1.0949948934800109</v>
      </c>
      <c r="I214" s="91">
        <f>IF(TrRoad_act!I75=0,0,TrRoad_emi!I72/TrRoad_tech!I187)</f>
        <v>1.0767268188282904</v>
      </c>
      <c r="J214" s="91">
        <f>IF(TrRoad_act!J75=0,0,TrRoad_emi!J72/TrRoad_tech!J187)</f>
        <v>1.0715513485092356</v>
      </c>
      <c r="K214" s="91">
        <f>IF(TrRoad_act!K75=0,0,TrRoad_emi!K72/TrRoad_tech!K187)</f>
        <v>1.0651472534570821</v>
      </c>
      <c r="L214" s="91">
        <f>IF(TrRoad_act!L75=0,0,TrRoad_emi!L72/TrRoad_tech!L187)</f>
        <v>1.0702418144528378</v>
      </c>
      <c r="M214" s="91">
        <f>IF(TrRoad_act!M75=0,0,TrRoad_emi!M72/TrRoad_tech!M187)</f>
        <v>1.0720792000312218</v>
      </c>
      <c r="N214" s="91">
        <f>IF(TrRoad_act!N75=0,0,TrRoad_emi!N72/TrRoad_tech!N187)</f>
        <v>1.0841863337214537</v>
      </c>
      <c r="O214" s="91">
        <f>IF(TrRoad_act!O75=0,0,TrRoad_emi!O72/TrRoad_tech!O187)</f>
        <v>1.0885733275020553</v>
      </c>
      <c r="P214" s="91">
        <f>IF(TrRoad_act!P75=0,0,TrRoad_emi!P72/TrRoad_tech!P187)</f>
        <v>1.0982931014202337</v>
      </c>
      <c r="Q214" s="91">
        <f>IF(TrRoad_act!Q75=0,0,TrRoad_emi!Q72/TrRoad_tech!Q187)</f>
        <v>1.1078699072490508</v>
      </c>
      <c r="R214" s="91">
        <f>IF(TrRoad_act!R75=0,0,TrRoad_emi!R72/TrRoad_tech!R187)</f>
        <v>1.1288828871609624</v>
      </c>
      <c r="S214" s="91">
        <f>IF(TrRoad_act!S75=0,0,TrRoad_emi!S72/TrRoad_tech!S187)</f>
        <v>1.1413792905382325</v>
      </c>
      <c r="T214" s="91">
        <f>IF(TrRoad_act!T75=0,0,TrRoad_emi!T72/TrRoad_tech!T187)</f>
        <v>1.1418968702357992</v>
      </c>
      <c r="U214" s="91">
        <f>IF(TrRoad_act!U75=0,0,TrRoad_emi!U72/TrRoad_tech!U187)</f>
        <v>1.1536270055527549</v>
      </c>
      <c r="V214" s="91">
        <f>IF(TrRoad_act!V75=0,0,TrRoad_emi!V72/TrRoad_tech!V187)</f>
        <v>1.1444547379201877</v>
      </c>
      <c r="W214" s="91">
        <f>IF(TrRoad_act!W75=0,0,TrRoad_emi!W72/TrRoad_tech!W187)</f>
        <v>1.1668764531078468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</v>
      </c>
      <c r="C215" s="91">
        <f>IF(TrRoad_act!C76=0,0,TrRoad_emi!C73/TrRoad_tech!C188)</f>
        <v>1.1004057790463266</v>
      </c>
      <c r="D215" s="91">
        <f>IF(TrRoad_act!D76=0,0,TrRoad_emi!D73/TrRoad_tech!D188)</f>
        <v>1.101151709842755</v>
      </c>
      <c r="E215" s="91">
        <f>IF(TrRoad_act!E76=0,0,TrRoad_emi!E73/TrRoad_tech!E188)</f>
        <v>1.1022830101944738</v>
      </c>
      <c r="F215" s="91">
        <f>IF(TrRoad_act!F76=0,0,TrRoad_emi!F73/TrRoad_tech!F188)</f>
        <v>1.103771513135003</v>
      </c>
      <c r="G215" s="91">
        <f>IF(TrRoad_act!G76=0,0,TrRoad_emi!G73/TrRoad_tech!G188)</f>
        <v>1.1060094303839079</v>
      </c>
      <c r="H215" s="91">
        <f>IF(TrRoad_act!H76=0,0,TrRoad_emi!H73/TrRoad_tech!H188)</f>
        <v>1.1049939211479092</v>
      </c>
      <c r="I215" s="91">
        <f>IF(TrRoad_act!I76=0,0,TrRoad_emi!I73/TrRoad_tech!I188)</f>
        <v>1.0725923946401272</v>
      </c>
      <c r="J215" s="91">
        <f>IF(TrRoad_act!J76=0,0,TrRoad_emi!J73/TrRoad_tech!J188)</f>
        <v>1.0880592939052118</v>
      </c>
      <c r="K215" s="91">
        <f>IF(TrRoad_act!K76=0,0,TrRoad_emi!K73/TrRoad_tech!K188)</f>
        <v>1.0825215765724323</v>
      </c>
      <c r="L215" s="91">
        <f>IF(TrRoad_act!L76=0,0,TrRoad_emi!L73/TrRoad_tech!L188)</f>
        <v>1.1081964871996286</v>
      </c>
      <c r="M215" s="91">
        <f>IF(TrRoad_act!M76=0,0,TrRoad_emi!M73/TrRoad_tech!M188)</f>
        <v>1.0983348891549498</v>
      </c>
      <c r="N215" s="91">
        <f>IF(TrRoad_act!N76=0,0,TrRoad_emi!N73/TrRoad_tech!N188)</f>
        <v>1.1023450029209636</v>
      </c>
      <c r="O215" s="91">
        <f>IF(TrRoad_act!O76=0,0,TrRoad_emi!O73/TrRoad_tech!O188)</f>
        <v>1.1126324645673475</v>
      </c>
      <c r="P215" s="91">
        <f>IF(TrRoad_act!P76=0,0,TrRoad_emi!P73/TrRoad_tech!P188)</f>
        <v>1.1081427326398725</v>
      </c>
      <c r="Q215" s="91">
        <f>IF(TrRoad_act!Q76=0,0,TrRoad_emi!Q73/TrRoad_tech!Q188)</f>
        <v>1.1340459325880299</v>
      </c>
      <c r="R215" s="91">
        <f>IF(TrRoad_act!R76=0,0,TrRoad_emi!R73/TrRoad_tech!R188)</f>
        <v>1.1539745611117136</v>
      </c>
      <c r="S215" s="91">
        <f>IF(TrRoad_act!S76=0,0,TrRoad_emi!S73/TrRoad_tech!S188)</f>
        <v>1.1563179069149425</v>
      </c>
      <c r="T215" s="91">
        <f>IF(TrRoad_act!T76=0,0,TrRoad_emi!T73/TrRoad_tech!T188)</f>
        <v>1.1419891723562605</v>
      </c>
      <c r="U215" s="91">
        <f>IF(TrRoad_act!U76=0,0,TrRoad_emi!U73/TrRoad_tech!U188)</f>
        <v>1.1335979071009132</v>
      </c>
      <c r="V215" s="91">
        <f>IF(TrRoad_act!V76=0,0,TrRoad_emi!V73/TrRoad_tech!V188)</f>
        <v>1.1585906403475024</v>
      </c>
      <c r="W215" s="91">
        <f>IF(TrRoad_act!W76=0,0,TrRoad_emi!W73/TrRoad_tech!W188)</f>
        <v>1.151860941165848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1.1000000000067305</v>
      </c>
      <c r="C216" s="91">
        <f>IF(TrRoad_act!C77=0,0,TrRoad_emi!C74/TrRoad_tech!C189)</f>
        <v>1.1000008758192354</v>
      </c>
      <c r="D216" s="91">
        <f>IF(TrRoad_act!D77=0,0,TrRoad_emi!D74/TrRoad_tech!D189)</f>
        <v>1.1000008794784815</v>
      </c>
      <c r="E216" s="91">
        <f>IF(TrRoad_act!E77=0,0,TrRoad_emi!E74/TrRoad_tech!E189)</f>
        <v>1.1000009006536517</v>
      </c>
      <c r="F216" s="91">
        <f>IF(TrRoad_act!F77=0,0,TrRoad_emi!F74/TrRoad_tech!F189)</f>
        <v>1.1000009330104383</v>
      </c>
      <c r="G216" s="91">
        <f>IF(TrRoad_act!G77=0,0,TrRoad_emi!G74/TrRoad_tech!G189)</f>
        <v>1.1000010405654215</v>
      </c>
      <c r="H216" s="91">
        <f>IF(TrRoad_act!H77=0,0,TrRoad_emi!H74/TrRoad_tech!H189)</f>
        <v>1.1000011095870263</v>
      </c>
      <c r="I216" s="91">
        <f>IF(TrRoad_act!I77=0,0,TrRoad_emi!I74/TrRoad_tech!I189)</f>
        <v>1.1000011443771363</v>
      </c>
      <c r="J216" s="91">
        <f>IF(TrRoad_act!J77=0,0,TrRoad_emi!J74/TrRoad_tech!J189)</f>
        <v>1.1000011454835801</v>
      </c>
      <c r="K216" s="91">
        <f>IF(TrRoad_act!K77=0,0,TrRoad_emi!K74/TrRoad_tech!K189)</f>
        <v>1.1000258832284289</v>
      </c>
      <c r="L216" s="91">
        <f>IF(TrRoad_act!L77=0,0,TrRoad_emi!L74/TrRoad_tech!L189)</f>
        <v>1.1010749978890437</v>
      </c>
      <c r="M216" s="91">
        <f>IF(TrRoad_act!M77=0,0,TrRoad_emi!M74/TrRoad_tech!M189)</f>
        <v>1.10298552429353</v>
      </c>
      <c r="N216" s="91">
        <f>IF(TrRoad_act!N77=0,0,TrRoad_emi!N74/TrRoad_tech!N189)</f>
        <v>1.1064734332145096</v>
      </c>
      <c r="O216" s="91">
        <f>IF(TrRoad_act!O77=0,0,TrRoad_emi!O74/TrRoad_tech!O189)</f>
        <v>1.1098275581385471</v>
      </c>
      <c r="P216" s="91">
        <f>IF(TrRoad_act!P77=0,0,TrRoad_emi!P74/TrRoad_tech!P189)</f>
        <v>1.1159532004995791</v>
      </c>
      <c r="Q216" s="91">
        <f>IF(TrRoad_act!Q77=0,0,TrRoad_emi!Q74/TrRoad_tech!Q189)</f>
        <v>1.1218186243321357</v>
      </c>
      <c r="R216" s="91">
        <f>IF(TrRoad_act!R77=0,0,TrRoad_emi!R74/TrRoad_tech!R189)</f>
        <v>1.1280074137247815</v>
      </c>
      <c r="S216" s="91">
        <f>IF(TrRoad_act!S77=0,0,TrRoad_emi!S74/TrRoad_tech!S189)</f>
        <v>1.1372297263991777</v>
      </c>
      <c r="T216" s="91">
        <f>IF(TrRoad_act!T77=0,0,TrRoad_emi!T74/TrRoad_tech!T189)</f>
        <v>1.1454668634890042</v>
      </c>
      <c r="U216" s="91">
        <f>IF(TrRoad_act!U77=0,0,TrRoad_emi!U74/TrRoad_tech!U189)</f>
        <v>1.1719409604024575</v>
      </c>
      <c r="V216" s="91">
        <f>IF(TrRoad_act!V77=0,0,TrRoad_emi!V74/TrRoad_tech!V189)</f>
        <v>1.1780981093628871</v>
      </c>
      <c r="W216" s="91">
        <f>IF(TrRoad_act!W77=0,0,TrRoad_emi!W74/TrRoad_tech!W189)</f>
        <v>1.1971329270699795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1.1160000000058972</v>
      </c>
      <c r="F217" s="91">
        <f>IF(TrRoad_act!F78=0,0,TrRoad_emi!F75/TrRoad_tech!F190)</f>
        <v>1.1212196351318426</v>
      </c>
      <c r="G217" s="91">
        <f>IF(TrRoad_act!G78=0,0,TrRoad_emi!G75/TrRoad_tech!G190)</f>
        <v>1.1214809478140704</v>
      </c>
      <c r="H217" s="91">
        <f>IF(TrRoad_act!H78=0,0,TrRoad_emi!H75/TrRoad_tech!H190)</f>
        <v>1.1215179501405552</v>
      </c>
      <c r="I217" s="91">
        <f>IF(TrRoad_act!I78=0,0,TrRoad_emi!I75/TrRoad_tech!I190)</f>
        <v>1.141508344020769</v>
      </c>
      <c r="J217" s="91">
        <f>IF(TrRoad_act!J78=0,0,TrRoad_emi!J75/TrRoad_tech!J190)</f>
        <v>1.1415083440207694</v>
      </c>
      <c r="K217" s="91">
        <f>IF(TrRoad_act!K78=0,0,TrRoad_emi!K75/TrRoad_tech!K190)</f>
        <v>1.1588836311495814</v>
      </c>
      <c r="L217" s="91">
        <f>IF(TrRoad_act!L78=0,0,TrRoad_emi!L75/TrRoad_tech!L190)</f>
        <v>1.1709130762857007</v>
      </c>
      <c r="M217" s="91">
        <f>IF(TrRoad_act!M78=0,0,TrRoad_emi!M75/TrRoad_tech!M190)</f>
        <v>1.1818578761340224</v>
      </c>
      <c r="N217" s="91">
        <f>IF(TrRoad_act!N78=0,0,TrRoad_emi!N75/TrRoad_tech!N190)</f>
        <v>1.1974285551062338</v>
      </c>
      <c r="O217" s="91">
        <f>IF(TrRoad_act!O78=0,0,TrRoad_emi!O75/TrRoad_tech!O190)</f>
        <v>1.2079181338778919</v>
      </c>
      <c r="P217" s="91">
        <f>IF(TrRoad_act!P78=0,0,TrRoad_emi!P75/TrRoad_tech!P190)</f>
        <v>1.220372427995992</v>
      </c>
      <c r="Q217" s="91">
        <f>IF(TrRoad_act!Q78=0,0,TrRoad_emi!Q75/TrRoad_tech!Q190)</f>
        <v>1.2278322474968526</v>
      </c>
      <c r="R217" s="91">
        <f>IF(TrRoad_act!R78=0,0,TrRoad_emi!R75/TrRoad_tech!R190)</f>
        <v>1.2912612857382124</v>
      </c>
      <c r="S217" s="91">
        <f>IF(TrRoad_act!S78=0,0,TrRoad_emi!S75/TrRoad_tech!S190)</f>
        <v>1.3034891268878257</v>
      </c>
      <c r="T217" s="91">
        <f>IF(TrRoad_act!T78=0,0,TrRoad_emi!T75/TrRoad_tech!T190)</f>
        <v>1.3209531506263885</v>
      </c>
      <c r="U217" s="91">
        <f>IF(TrRoad_act!U78=0,0,TrRoad_emi!U75/TrRoad_tech!U190)</f>
        <v>1.3274721130958198</v>
      </c>
      <c r="V217" s="91">
        <f>IF(TrRoad_act!V78=0,0,TrRoad_emi!V75/TrRoad_tech!V190)</f>
        <v>1.3315370438149257</v>
      </c>
      <c r="W217" s="91">
        <f>IF(TrRoad_act!W78=0,0,TrRoad_emi!W75/TrRoad_tech!W190)</f>
        <v>1.3367661094083509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1.1693511997228689</v>
      </c>
      <c r="C219" s="151">
        <f>IF(TrRoad_act!C80=0,0,TrRoad_emi!C77/TrRoad_tech!C192)</f>
        <v>1.1569460006795314</v>
      </c>
      <c r="D219" s="151">
        <f>IF(TrRoad_act!D80=0,0,TrRoad_emi!D77/TrRoad_tech!D192)</f>
        <v>1.1525208385620191</v>
      </c>
      <c r="E219" s="151">
        <f>IF(TrRoad_act!E80=0,0,TrRoad_emi!E77/TrRoad_tech!E192)</f>
        <v>1.1635811396635862</v>
      </c>
      <c r="F219" s="151">
        <f>IF(TrRoad_act!F80=0,0,TrRoad_emi!F77/TrRoad_tech!F192)</f>
        <v>1.1859189160737986</v>
      </c>
      <c r="G219" s="151">
        <f>IF(TrRoad_act!G80=0,0,TrRoad_emi!G77/TrRoad_tech!G192)</f>
        <v>1.2003440452708494</v>
      </c>
      <c r="H219" s="151">
        <f>IF(TrRoad_act!H80=0,0,TrRoad_emi!H77/TrRoad_tech!H192)</f>
        <v>1.2978357960411984</v>
      </c>
      <c r="I219" s="151">
        <f>IF(TrRoad_act!I80=0,0,TrRoad_emi!I77/TrRoad_tech!I192)</f>
        <v>1.3252164794081449</v>
      </c>
      <c r="J219" s="151">
        <f>IF(TrRoad_act!J80=0,0,TrRoad_emi!J77/TrRoad_tech!J192)</f>
        <v>1.3628421074534758</v>
      </c>
      <c r="K219" s="151">
        <f>IF(TrRoad_act!K80=0,0,TrRoad_emi!K77/TrRoad_tech!K192)</f>
        <v>1.2711755549530819</v>
      </c>
      <c r="L219" s="151">
        <f>IF(TrRoad_act!L80=0,0,TrRoad_emi!L77/TrRoad_tech!L192)</f>
        <v>1.506994210198809</v>
      </c>
      <c r="M219" s="151">
        <f>IF(TrRoad_act!M80=0,0,TrRoad_emi!M77/TrRoad_tech!M192)</f>
        <v>1.528957601436701</v>
      </c>
      <c r="N219" s="151">
        <f>IF(TrRoad_act!N80=0,0,TrRoad_emi!N77/TrRoad_tech!N192)</f>
        <v>1.5636188739112107</v>
      </c>
      <c r="O219" s="151">
        <f>IF(TrRoad_act!O80=0,0,TrRoad_emi!O77/TrRoad_tech!O192)</f>
        <v>1.3562189595860639</v>
      </c>
      <c r="P219" s="151">
        <f>IF(TrRoad_act!P80=0,0,TrRoad_emi!P77/TrRoad_tech!P192)</f>
        <v>1.0177490036016057</v>
      </c>
      <c r="Q219" s="151">
        <f>IF(TrRoad_act!Q80=0,0,TrRoad_emi!Q77/TrRoad_tech!Q192)</f>
        <v>1.0276689069453553</v>
      </c>
      <c r="R219" s="151">
        <f>IF(TrRoad_act!R80=0,0,TrRoad_emi!R77/TrRoad_tech!R192)</f>
        <v>0.98597119318841053</v>
      </c>
      <c r="S219" s="151">
        <f>IF(TrRoad_act!S80=0,0,TrRoad_emi!S77/TrRoad_tech!S192)</f>
        <v>1.2208254514596808</v>
      </c>
      <c r="T219" s="151">
        <f>IF(TrRoad_act!T80=0,0,TrRoad_emi!T77/TrRoad_tech!T192)</f>
        <v>1.3867641382515223</v>
      </c>
      <c r="U219" s="151">
        <f>IF(TrRoad_act!U80=0,0,TrRoad_emi!U77/TrRoad_tech!U192)</f>
        <v>1.4135693051987799</v>
      </c>
      <c r="V219" s="151">
        <f>IF(TrRoad_act!V80=0,0,TrRoad_emi!V77/TrRoad_tech!V192)</f>
        <v>1.2801412228854523</v>
      </c>
      <c r="W219" s="151">
        <f>IF(TrRoad_act!W80=0,0,TrRoad_emi!W77/TrRoad_tech!W192)</f>
        <v>1.145448645259636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1.2353857625567406</v>
      </c>
      <c r="C220" s="93">
        <f>IF(TrRoad_act!C81=0,0,TrRoad_emi!C78/TrRoad_tech!C193)</f>
        <v>1.2210435618894699</v>
      </c>
      <c r="D220" s="93">
        <f>IF(TrRoad_act!D81=0,0,TrRoad_emi!D78/TrRoad_tech!D193)</f>
        <v>1.2177112300260962</v>
      </c>
      <c r="E220" s="93">
        <f>IF(TrRoad_act!E81=0,0,TrRoad_emi!E78/TrRoad_tech!E193)</f>
        <v>1.2309315099840796</v>
      </c>
      <c r="F220" s="93">
        <f>IF(TrRoad_act!F81=0,0,TrRoad_emi!F78/TrRoad_tech!F193)</f>
        <v>1.2569086336528879</v>
      </c>
      <c r="G220" s="93">
        <f>IF(TrRoad_act!G81=0,0,TrRoad_emi!G78/TrRoad_tech!G193)</f>
        <v>1.2713029249054539</v>
      </c>
      <c r="H220" s="93">
        <f>IF(TrRoad_act!H81=0,0,TrRoad_emi!H78/TrRoad_tech!H193)</f>
        <v>1.3743917464240449</v>
      </c>
      <c r="I220" s="93">
        <f>IF(TrRoad_act!I81=0,0,TrRoad_emi!I78/TrRoad_tech!I193)</f>
        <v>1.3990741189029947</v>
      </c>
      <c r="J220" s="93">
        <f>IF(TrRoad_act!J81=0,0,TrRoad_emi!J78/TrRoad_tech!J193)</f>
        <v>1.4386967297446007</v>
      </c>
      <c r="K220" s="93">
        <f>IF(TrRoad_act!K81=0,0,TrRoad_emi!K78/TrRoad_tech!K193)</f>
        <v>1.3417681380967246</v>
      </c>
      <c r="L220" s="93">
        <f>IF(TrRoad_act!L81=0,0,TrRoad_emi!L78/TrRoad_tech!L193)</f>
        <v>1.581704304934054</v>
      </c>
      <c r="M220" s="93">
        <f>IF(TrRoad_act!M81=0,0,TrRoad_emi!M78/TrRoad_tech!M193)</f>
        <v>1.6070293521686771</v>
      </c>
      <c r="N220" s="93">
        <f>IF(TrRoad_act!N81=0,0,TrRoad_emi!N78/TrRoad_tech!N193)</f>
        <v>1.6400480867402607</v>
      </c>
      <c r="O220" s="93">
        <f>IF(TrRoad_act!O81=0,0,TrRoad_emi!O78/TrRoad_tech!O193)</f>
        <v>1.4229390367154546</v>
      </c>
      <c r="P220" s="93">
        <f>IF(TrRoad_act!P81=0,0,TrRoad_emi!P78/TrRoad_tech!P193)</f>
        <v>1.0676450152569623</v>
      </c>
      <c r="Q220" s="93">
        <f>IF(TrRoad_act!Q81=0,0,TrRoad_emi!Q78/TrRoad_tech!Q193)</f>
        <v>1.0769388255743932</v>
      </c>
      <c r="R220" s="93">
        <f>IF(TrRoad_act!R81=0,0,TrRoad_emi!R78/TrRoad_tech!R193)</f>
        <v>1.0304598614728551</v>
      </c>
      <c r="S220" s="93">
        <f>IF(TrRoad_act!S81=0,0,TrRoad_emi!S78/TrRoad_tech!S193)</f>
        <v>1.2716669627490291</v>
      </c>
      <c r="T220" s="93">
        <f>IF(TrRoad_act!T81=0,0,TrRoad_emi!T78/TrRoad_tech!T193)</f>
        <v>1.4442580732937829</v>
      </c>
      <c r="U220" s="93">
        <f>IF(TrRoad_act!U81=0,0,TrRoad_emi!U78/TrRoad_tech!U193)</f>
        <v>1.468193736055845</v>
      </c>
      <c r="V220" s="93">
        <f>IF(TrRoad_act!V81=0,0,TrRoad_emi!V78/TrRoad_tech!V193)</f>
        <v>1.3282494316927282</v>
      </c>
      <c r="W220" s="93">
        <f>IF(TrRoad_act!W81=0,0,TrRoad_emi!W78/TrRoad_tech!W193)</f>
        <v>1.1915576594303074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1.2353857625567408</v>
      </c>
      <c r="C221" s="94">
        <f>IF(TrRoad_act!C82=0,0,TrRoad_emi!C79/TrRoad_tech!C194)</f>
        <v>1.2211055167182174</v>
      </c>
      <c r="D221" s="94">
        <f>IF(TrRoad_act!D82=0,0,TrRoad_emi!D79/TrRoad_tech!D194)</f>
        <v>1.2178274213964728</v>
      </c>
      <c r="E221" s="94">
        <f>IF(TrRoad_act!E82=0,0,TrRoad_emi!E79/TrRoad_tech!E194)</f>
        <v>1.2311240665283152</v>
      </c>
      <c r="F221" s="94">
        <f>IF(TrRoad_act!F82=0,0,TrRoad_emi!F79/TrRoad_tech!F194)</f>
        <v>1.2596635458589096</v>
      </c>
      <c r="G221" s="94">
        <f>IF(TrRoad_act!G82=0,0,TrRoad_emi!G79/TrRoad_tech!G194)</f>
        <v>1.274563199281725</v>
      </c>
      <c r="H221" s="94">
        <f>IF(TrRoad_act!H82=0,0,TrRoad_emi!H79/TrRoad_tech!H194)</f>
        <v>1.3790265457624746</v>
      </c>
      <c r="I221" s="94">
        <f>IF(TrRoad_act!I82=0,0,TrRoad_emi!I79/TrRoad_tech!I194)</f>
        <v>1.4030197868618663</v>
      </c>
      <c r="J221" s="94">
        <f>IF(TrRoad_act!J82=0,0,TrRoad_emi!J79/TrRoad_tech!J194)</f>
        <v>1.4423208072721367</v>
      </c>
      <c r="K221" s="94">
        <f>IF(TrRoad_act!K82=0,0,TrRoad_emi!K79/TrRoad_tech!K194)</f>
        <v>1.3389825639414561</v>
      </c>
      <c r="L221" s="94">
        <f>IF(TrRoad_act!L82=0,0,TrRoad_emi!L79/TrRoad_tech!L194)</f>
        <v>1.5841811435096966</v>
      </c>
      <c r="M221" s="94">
        <f>IF(TrRoad_act!M82=0,0,TrRoad_emi!M79/TrRoad_tech!M194)</f>
        <v>1.6127561139639539</v>
      </c>
      <c r="N221" s="94">
        <f>IF(TrRoad_act!N82=0,0,TrRoad_emi!N79/TrRoad_tech!N194)</f>
        <v>1.6458734080507544</v>
      </c>
      <c r="O221" s="94">
        <f>IF(TrRoad_act!O82=0,0,TrRoad_emi!O79/TrRoad_tech!O194)</f>
        <v>1.4305487069978</v>
      </c>
      <c r="P221" s="94">
        <f>IF(TrRoad_act!P82=0,0,TrRoad_emi!P79/TrRoad_tech!P194)</f>
        <v>1.0751830178708817</v>
      </c>
      <c r="Q221" s="94">
        <f>IF(TrRoad_act!Q82=0,0,TrRoad_emi!Q79/TrRoad_tech!Q194)</f>
        <v>1.0896127945369134</v>
      </c>
      <c r="R221" s="94">
        <f>IF(TrRoad_act!R82=0,0,TrRoad_emi!R79/TrRoad_tech!R194)</f>
        <v>1.0532165231539754</v>
      </c>
      <c r="S221" s="94">
        <f>IF(TrRoad_act!S82=0,0,TrRoad_emi!S79/TrRoad_tech!S194)</f>
        <v>1.2996445544885409</v>
      </c>
      <c r="T221" s="94">
        <f>IF(TrRoad_act!T82=0,0,TrRoad_emi!T79/TrRoad_tech!T194)</f>
        <v>1.4750875015121849</v>
      </c>
      <c r="U221" s="94">
        <f>IF(TrRoad_act!U82=0,0,TrRoad_emi!U79/TrRoad_tech!U194)</f>
        <v>1.5025520338551008</v>
      </c>
      <c r="V221" s="94">
        <f>IF(TrRoad_act!V82=0,0,TrRoad_emi!V79/TrRoad_tech!V194)</f>
        <v>1.3634387577133105</v>
      </c>
      <c r="W221" s="94">
        <f>IF(TrRoad_act!W82=0,0,TrRoad_emi!W79/TrRoad_tech!W194)</f>
        <v>1.2144331061500766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101.35884791773162</v>
      </c>
      <c r="C225" s="152">
        <v>100.14172687969705</v>
      </c>
      <c r="D225" s="152">
        <v>98.806503854634443</v>
      </c>
      <c r="E225" s="152">
        <v>98.806503854634443</v>
      </c>
      <c r="F225" s="152">
        <v>98.806503854634443</v>
      </c>
      <c r="G225" s="152">
        <v>98.806503854634443</v>
      </c>
      <c r="H225" s="152">
        <v>96.136057804509178</v>
      </c>
      <c r="I225" s="152">
        <v>94.800834779446546</v>
      </c>
      <c r="J225" s="152">
        <v>90.795165704258665</v>
      </c>
      <c r="K225" s="152">
        <v>85.797539822284421</v>
      </c>
      <c r="L225" s="152">
        <v>82.6770363992418</v>
      </c>
      <c r="M225" s="152">
        <v>78.926712439026005</v>
      </c>
      <c r="N225" s="152">
        <v>73.621575122703604</v>
      </c>
      <c r="O225" s="152">
        <v>67.603456001285394</v>
      </c>
      <c r="P225" s="152">
        <v>66.995249076457796</v>
      </c>
      <c r="Q225" s="152">
        <v>62.444237973626393</v>
      </c>
      <c r="R225" s="152">
        <v>61.117990148630312</v>
      </c>
      <c r="S225" s="152">
        <v>60.056991888633455</v>
      </c>
      <c r="T225" s="152">
        <v>59.208193280635967</v>
      </c>
      <c r="U225" s="152">
        <v>58.529154394237977</v>
      </c>
      <c r="V225" s="152">
        <v>57.985923285119583</v>
      </c>
      <c r="W225" s="152">
        <v>57.551338397824864</v>
      </c>
      <c r="DA225" s="174" t="s">
        <v>931</v>
      </c>
    </row>
    <row r="226" spans="1:105" ht="11.45" customHeight="1" x14ac:dyDescent="0.25">
      <c r="A226" s="109" t="s">
        <v>20</v>
      </c>
      <c r="B226" s="116">
        <v>206.80677150576685</v>
      </c>
      <c r="C226" s="116">
        <v>205.51294467954168</v>
      </c>
      <c r="D226" s="116">
        <v>204.5926339218627</v>
      </c>
      <c r="E226" s="116">
        <v>204.60789089189549</v>
      </c>
      <c r="F226" s="116">
        <v>204.27536911329088</v>
      </c>
      <c r="G226" s="116">
        <v>203.43812540241294</v>
      </c>
      <c r="H226" s="116">
        <v>200.22806380805844</v>
      </c>
      <c r="I226" s="116">
        <v>198.06546621454299</v>
      </c>
      <c r="J226" s="116">
        <v>190.16184638652277</v>
      </c>
      <c r="K226" s="116">
        <v>180.74701993120635</v>
      </c>
      <c r="L226" s="116">
        <v>174.11935929286369</v>
      </c>
      <c r="M226" s="116">
        <v>161.91455563302293</v>
      </c>
      <c r="N226" s="116">
        <v>152.08146723589999</v>
      </c>
      <c r="O226" s="116">
        <v>138.23401625404682</v>
      </c>
      <c r="P226" s="116">
        <v>137.88454465331151</v>
      </c>
      <c r="Q226" s="116">
        <v>130.30466608614665</v>
      </c>
      <c r="R226" s="116">
        <v>135.76549458751057</v>
      </c>
      <c r="S226" s="116">
        <v>138.98464356962475</v>
      </c>
      <c r="T226" s="116">
        <v>136.34813734179076</v>
      </c>
      <c r="U226" s="116">
        <v>125.38338483980097</v>
      </c>
      <c r="V226" s="116">
        <v>115.66644379400654</v>
      </c>
      <c r="W226" s="116">
        <v>110.01347287784878</v>
      </c>
      <c r="DA226" s="176" t="s">
        <v>932</v>
      </c>
    </row>
    <row r="227" spans="1:105" ht="11.45" customHeight="1" x14ac:dyDescent="0.25">
      <c r="A227" s="111" t="s">
        <v>110</v>
      </c>
      <c r="B227" s="87">
        <v>215.08945545631937</v>
      </c>
      <c r="C227" s="87">
        <v>212.50665280343435</v>
      </c>
      <c r="D227" s="87">
        <v>209.67323076605524</v>
      </c>
      <c r="E227" s="87">
        <v>209.67323076605524</v>
      </c>
      <c r="F227" s="87">
        <v>209.67323076605524</v>
      </c>
      <c r="G227" s="87">
        <v>209.67323076605524</v>
      </c>
      <c r="H227" s="87">
        <v>204.00638669129691</v>
      </c>
      <c r="I227" s="87">
        <v>201.17296465391783</v>
      </c>
      <c r="J227" s="87">
        <v>192.67269854178045</v>
      </c>
      <c r="K227" s="87">
        <v>182.06744156016279</v>
      </c>
      <c r="L227" s="87">
        <v>175.42034914536464</v>
      </c>
      <c r="M227" s="87">
        <v>167.38847910847457</v>
      </c>
      <c r="N227" s="87">
        <v>157.58696398306972</v>
      </c>
      <c r="O227" s="87">
        <v>145.29856127345548</v>
      </c>
      <c r="P227" s="87">
        <v>146.815911596501</v>
      </c>
      <c r="Q227" s="87">
        <v>142.61356835993604</v>
      </c>
      <c r="R227" s="87">
        <v>141.32437842336915</v>
      </c>
      <c r="S227" s="87">
        <v>141.57037542314416</v>
      </c>
      <c r="T227" s="87">
        <v>143.6204750338643</v>
      </c>
      <c r="U227" s="87">
        <v>140.90394412260039</v>
      </c>
      <c r="V227" s="87">
        <v>136.69960464682049</v>
      </c>
      <c r="W227" s="87">
        <v>129.71160181971109</v>
      </c>
      <c r="DA227" s="171" t="s">
        <v>933</v>
      </c>
    </row>
    <row r="228" spans="1:105" ht="11.45" customHeight="1" x14ac:dyDescent="0.25">
      <c r="A228" s="111" t="s">
        <v>111</v>
      </c>
      <c r="B228" s="87">
        <v>183.04873171189902</v>
      </c>
      <c r="C228" s="87">
        <v>185.71997120697691</v>
      </c>
      <c r="D228" s="87">
        <v>188.73375880471323</v>
      </c>
      <c r="E228" s="87">
        <v>189.68416485213214</v>
      </c>
      <c r="F228" s="87">
        <v>189.19958282137574</v>
      </c>
      <c r="G228" s="87">
        <v>186.86108373101604</v>
      </c>
      <c r="H228" s="87">
        <v>190.18125222561761</v>
      </c>
      <c r="I228" s="87">
        <v>190.3657060308733</v>
      </c>
      <c r="J228" s="87">
        <v>183.13761793339782</v>
      </c>
      <c r="K228" s="87">
        <v>175.94069382779617</v>
      </c>
      <c r="L228" s="87">
        <v>169.18256601870235</v>
      </c>
      <c r="M228" s="87">
        <v>150.27690946238062</v>
      </c>
      <c r="N228" s="87">
        <v>144.62260849197588</v>
      </c>
      <c r="O228" s="87">
        <v>138.80197943433416</v>
      </c>
      <c r="P228" s="87">
        <v>133.45494772326111</v>
      </c>
      <c r="Q228" s="87">
        <v>129.43390560313046</v>
      </c>
      <c r="R228" s="87">
        <v>140.1969849801776</v>
      </c>
      <c r="S228" s="87">
        <v>142.87967996274907</v>
      </c>
      <c r="T228" s="87">
        <v>147.63023344814391</v>
      </c>
      <c r="U228" s="87">
        <v>149.26305081610951</v>
      </c>
      <c r="V228" s="87">
        <v>142.03386858619419</v>
      </c>
      <c r="W228" s="87">
        <v>140.95015030060119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147.89884219252551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0</v>
      </c>
      <c r="J229" s="87">
        <v>0</v>
      </c>
      <c r="K229" s="87">
        <v>0</v>
      </c>
      <c r="L229" s="87">
        <v>134.72921339967661</v>
      </c>
      <c r="M229" s="87">
        <v>123.26006931396896</v>
      </c>
      <c r="N229" s="87">
        <v>124.3814768938766</v>
      </c>
      <c r="O229" s="87">
        <v>125.02409497494455</v>
      </c>
      <c r="P229" s="87">
        <v>126.51691815103499</v>
      </c>
      <c r="Q229" s="87">
        <v>128.88456176614898</v>
      </c>
      <c r="R229" s="87">
        <v>113.97695673514315</v>
      </c>
      <c r="S229" s="87">
        <v>123.84440281022964</v>
      </c>
      <c r="T229" s="87">
        <v>117.96909665098113</v>
      </c>
      <c r="U229" s="87">
        <v>145</v>
      </c>
      <c r="V229" s="87">
        <v>117.3534609720177</v>
      </c>
      <c r="W229" s="87">
        <v>117.3529676258993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176.18330011036034</v>
      </c>
      <c r="M230" s="87">
        <v>174.54971647718969</v>
      </c>
      <c r="N230" s="87">
        <v>160.26158092997099</v>
      </c>
      <c r="O230" s="87">
        <v>118.67613795426813</v>
      </c>
      <c r="P230" s="87">
        <v>111.11713397213474</v>
      </c>
      <c r="Q230" s="87">
        <v>128.55712461338018</v>
      </c>
      <c r="R230" s="87">
        <v>128.94967877062538</v>
      </c>
      <c r="S230" s="87">
        <v>177.44889617619896</v>
      </c>
      <c r="T230" s="87">
        <v>166.88918616802073</v>
      </c>
      <c r="U230" s="87">
        <v>142.53571428571431</v>
      </c>
      <c r="V230" s="87">
        <v>107.76</v>
      </c>
      <c r="W230" s="87">
        <v>106.33293395237381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64.670700761398905</v>
      </c>
      <c r="N231" s="87">
        <v>37.321840354804053</v>
      </c>
      <c r="O231" s="87">
        <v>41.622124378558674</v>
      </c>
      <c r="P231" s="87">
        <v>76.856287274719975</v>
      </c>
      <c r="Q231" s="87">
        <v>49.142783823682599</v>
      </c>
      <c r="R231" s="87">
        <v>49.743654639715011</v>
      </c>
      <c r="S231" s="87">
        <v>54.439162407297232</v>
      </c>
      <c r="T231" s="87">
        <v>55.385798156487631</v>
      </c>
      <c r="U231" s="87">
        <v>52.862843488649951</v>
      </c>
      <c r="V231" s="87">
        <v>62.198461077245938</v>
      </c>
      <c r="W231" s="87">
        <v>39.833518821603931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1516.6620565068772</v>
      </c>
      <c r="C233" s="116">
        <v>1504.8929149484702</v>
      </c>
      <c r="D233" s="116">
        <v>1480.4577641175276</v>
      </c>
      <c r="E233" s="116">
        <v>1501.9843190037116</v>
      </c>
      <c r="F233" s="116">
        <v>1489.2070942793916</v>
      </c>
      <c r="G233" s="116">
        <v>1487.7317375383368</v>
      </c>
      <c r="H233" s="116">
        <v>1471.6867938669598</v>
      </c>
      <c r="I233" s="116">
        <v>1480.7986657006761</v>
      </c>
      <c r="J233" s="116">
        <v>1453.8959460505243</v>
      </c>
      <c r="K233" s="116">
        <v>1379.6088285387852</v>
      </c>
      <c r="L233" s="116">
        <v>1270.8709746135874</v>
      </c>
      <c r="M233" s="116">
        <v>898.02276875599875</v>
      </c>
      <c r="N233" s="116">
        <v>1264.3007130421968</v>
      </c>
      <c r="O233" s="116">
        <v>1267.3468569118195</v>
      </c>
      <c r="P233" s="116">
        <v>1312.9592949097096</v>
      </c>
      <c r="Q233" s="116">
        <v>1219.6918815830802</v>
      </c>
      <c r="R233" s="116">
        <v>1022.3873438437537</v>
      </c>
      <c r="S233" s="116">
        <v>1010.1904912577274</v>
      </c>
      <c r="T233" s="116">
        <v>983.45517333349233</v>
      </c>
      <c r="U233" s="116">
        <v>762.55353294373015</v>
      </c>
      <c r="V233" s="116">
        <v>752.57598969607648</v>
      </c>
      <c r="W233" s="116">
        <v>910.90578846076698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417.25719533207103</v>
      </c>
      <c r="D234" s="101">
        <v>411.69376606097683</v>
      </c>
      <c r="E234" s="101">
        <v>411.69376606097683</v>
      </c>
      <c r="F234" s="101">
        <v>0</v>
      </c>
      <c r="G234" s="101">
        <v>411.69376606097683</v>
      </c>
      <c r="H234" s="101">
        <v>400.56690751878824</v>
      </c>
      <c r="I234" s="101">
        <v>395.00347824769398</v>
      </c>
      <c r="J234" s="101">
        <v>0</v>
      </c>
      <c r="K234" s="101">
        <v>357.48974925951842</v>
      </c>
      <c r="L234" s="101">
        <v>344.48765166350751</v>
      </c>
      <c r="M234" s="101">
        <v>0</v>
      </c>
      <c r="N234" s="101">
        <v>0</v>
      </c>
      <c r="O234" s="101">
        <v>0</v>
      </c>
      <c r="P234" s="101">
        <v>0</v>
      </c>
      <c r="Q234" s="101">
        <v>300.51956965745291</v>
      </c>
      <c r="R234" s="101">
        <v>294.66049054145645</v>
      </c>
      <c r="S234" s="101">
        <v>0</v>
      </c>
      <c r="T234" s="101">
        <v>0</v>
      </c>
      <c r="U234" s="101">
        <v>280.84479707010962</v>
      </c>
      <c r="V234" s="101">
        <v>0</v>
      </c>
      <c r="W234" s="101">
        <v>274.03559481373884</v>
      </c>
      <c r="DA234" s="175" t="s">
        <v>940</v>
      </c>
    </row>
    <row r="235" spans="1:105" ht="11.45" customHeight="1" x14ac:dyDescent="0.25">
      <c r="A235" s="111" t="s">
        <v>111</v>
      </c>
      <c r="B235" s="101">
        <v>1516.6620565068772</v>
      </c>
      <c r="C235" s="101">
        <v>1512.0653361959669</v>
      </c>
      <c r="D235" s="101">
        <v>1506.9742071178659</v>
      </c>
      <c r="E235" s="101">
        <v>1506.9742071178659</v>
      </c>
      <c r="F235" s="101">
        <v>1506.9742071178659</v>
      </c>
      <c r="G235" s="101">
        <v>1506.9742071178659</v>
      </c>
      <c r="H235" s="101">
        <v>1496.581281551536</v>
      </c>
      <c r="I235" s="101">
        <v>1491.330119160127</v>
      </c>
      <c r="J235" s="101">
        <v>1475.0610633147442</v>
      </c>
      <c r="K235" s="101">
        <v>1453.8891449951755</v>
      </c>
      <c r="L235" s="101">
        <v>1440.2987414543156</v>
      </c>
      <c r="M235" s="101">
        <v>0</v>
      </c>
      <c r="N235" s="101">
        <v>1398.2016554781774</v>
      </c>
      <c r="O235" s="101">
        <v>1367.7618154826262</v>
      </c>
      <c r="P235" s="101">
        <v>1364.6645867121269</v>
      </c>
      <c r="Q235" s="101">
        <v>1340.2449215971562</v>
      </c>
      <c r="R235" s="101">
        <v>1318.6410579021954</v>
      </c>
      <c r="S235" s="101">
        <v>1299.4954864949887</v>
      </c>
      <c r="T235" s="101">
        <v>1282.5022587125859</v>
      </c>
      <c r="U235" s="101">
        <v>1267.3984322302383</v>
      </c>
      <c r="V235" s="101">
        <v>1253.9571317409589</v>
      </c>
      <c r="W235" s="101">
        <v>1241.9818853789152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1026.6134679528998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953.96834638544476</v>
      </c>
      <c r="D237" s="101">
        <v>950.75633175115047</v>
      </c>
      <c r="E237" s="101">
        <v>0</v>
      </c>
      <c r="F237" s="101">
        <v>0</v>
      </c>
      <c r="G237" s="101">
        <v>950.75633175115047</v>
      </c>
      <c r="H237" s="101">
        <v>944.19939153217683</v>
      </c>
      <c r="I237" s="101">
        <v>940.88641121101148</v>
      </c>
      <c r="J237" s="101">
        <v>930.62219581598231</v>
      </c>
      <c r="K237" s="101">
        <v>917.26474397468894</v>
      </c>
      <c r="L237" s="101">
        <v>908.69050152482146</v>
      </c>
      <c r="M237" s="101">
        <v>898.02276875599875</v>
      </c>
      <c r="N237" s="101">
        <v>882.13127386781105</v>
      </c>
      <c r="O237" s="101">
        <v>862.9266514684582</v>
      </c>
      <c r="P237" s="101">
        <v>860.97259687978328</v>
      </c>
      <c r="Q237" s="101">
        <v>845.56612799820584</v>
      </c>
      <c r="R237" s="101">
        <v>831.93616001251871</v>
      </c>
      <c r="S237" s="101">
        <v>819.85713891552916</v>
      </c>
      <c r="T237" s="101">
        <v>809.13604041583494</v>
      </c>
      <c r="U237" s="101">
        <v>799.60697310072385</v>
      </c>
      <c r="V237" s="101">
        <v>791.12680038987594</v>
      </c>
      <c r="W237" s="101">
        <v>783.57156736119123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274.45006398418548</v>
      </c>
      <c r="C240" s="152">
        <v>278.42375063441449</v>
      </c>
      <c r="D240" s="152">
        <v>282.7159980540111</v>
      </c>
      <c r="E240" s="152">
        <v>284.08645875168639</v>
      </c>
      <c r="F240" s="152">
        <v>283.31281446490834</v>
      </c>
      <c r="G240" s="152">
        <v>279.91080196273322</v>
      </c>
      <c r="H240" s="152">
        <v>284.88428818800372</v>
      </c>
      <c r="I240" s="152">
        <v>284.89401660077482</v>
      </c>
      <c r="J240" s="152">
        <v>274.33319170444946</v>
      </c>
      <c r="K240" s="152">
        <v>262.84417711711887</v>
      </c>
      <c r="L240" s="152">
        <v>252.43747207562967</v>
      </c>
      <c r="M240" s="152">
        <v>225.4379133707686</v>
      </c>
      <c r="N240" s="152">
        <v>215.54588314512179</v>
      </c>
      <c r="O240" s="152">
        <v>209.96557968186909</v>
      </c>
      <c r="P240" s="152">
        <v>202.3251351663456</v>
      </c>
      <c r="Q240" s="152">
        <v>197.5682857349226</v>
      </c>
      <c r="R240" s="152">
        <v>187.66025044027256</v>
      </c>
      <c r="S240" s="152">
        <v>184.0211490018732</v>
      </c>
      <c r="T240" s="152">
        <v>186.05739418397732</v>
      </c>
      <c r="U240" s="152">
        <v>183.24297814467485</v>
      </c>
      <c r="V240" s="152">
        <v>190.49851932361599</v>
      </c>
      <c r="W240" s="152">
        <v>191.34087224870404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0</v>
      </c>
      <c r="D241" s="87">
        <v>0</v>
      </c>
      <c r="E241" s="87">
        <v>0</v>
      </c>
      <c r="F241" s="87">
        <v>0</v>
      </c>
      <c r="G241" s="87">
        <v>0</v>
      </c>
      <c r="H241" s="87">
        <v>0</v>
      </c>
      <c r="I241" s="87">
        <v>0</v>
      </c>
      <c r="J241" s="87">
        <v>0</v>
      </c>
      <c r="K241" s="87">
        <v>232.27746540569825</v>
      </c>
      <c r="L241" s="87">
        <v>223.82940701852894</v>
      </c>
      <c r="M241" s="87">
        <v>213.67625174468822</v>
      </c>
      <c r="N241" s="87">
        <v>199.31379039653078</v>
      </c>
      <c r="O241" s="87">
        <v>212.6268233800603</v>
      </c>
      <c r="P241" s="87">
        <v>180.24104722450085</v>
      </c>
      <c r="Q241" s="87">
        <v>170.81587178157733</v>
      </c>
      <c r="R241" s="87">
        <v>160.49620796685602</v>
      </c>
      <c r="S241" s="87">
        <v>165.06127901435846</v>
      </c>
      <c r="T241" s="87">
        <v>171.52362182905685</v>
      </c>
      <c r="U241" s="87">
        <v>174.95111111111106</v>
      </c>
      <c r="V241" s="87">
        <v>161.7935916807223</v>
      </c>
      <c r="W241" s="87">
        <v>179.81612586037369</v>
      </c>
      <c r="DA241" s="171" t="s">
        <v>946</v>
      </c>
    </row>
    <row r="242" spans="1:105" ht="11.45" customHeight="1" x14ac:dyDescent="0.25">
      <c r="A242" s="111" t="s">
        <v>111</v>
      </c>
      <c r="B242" s="87">
        <v>274.20004352267512</v>
      </c>
      <c r="C242" s="87">
        <v>278.20145876854889</v>
      </c>
      <c r="D242" s="87">
        <v>282.7159980540111</v>
      </c>
      <c r="E242" s="87">
        <v>284.13967019382488</v>
      </c>
      <c r="F242" s="87">
        <v>283.41378472780139</v>
      </c>
      <c r="G242" s="87">
        <v>279.91080196273322</v>
      </c>
      <c r="H242" s="87">
        <v>284.88428818800372</v>
      </c>
      <c r="I242" s="87">
        <v>285.16059297829651</v>
      </c>
      <c r="J242" s="87">
        <v>274.33319170444946</v>
      </c>
      <c r="K242" s="87">
        <v>263.55247290607343</v>
      </c>
      <c r="L242" s="87">
        <v>253.42905428385708</v>
      </c>
      <c r="M242" s="87">
        <v>225.10909925282652</v>
      </c>
      <c r="N242" s="87">
        <v>216.63662851690694</v>
      </c>
      <c r="O242" s="87">
        <v>211.30778730903381</v>
      </c>
      <c r="P242" s="87">
        <v>206.32586220943617</v>
      </c>
      <c r="Q242" s="87">
        <v>199.489914046716</v>
      </c>
      <c r="R242" s="87">
        <v>189.508538749449</v>
      </c>
      <c r="S242" s="87">
        <v>185.84197724309792</v>
      </c>
      <c r="T242" s="87">
        <v>188.46953537316992</v>
      </c>
      <c r="U242" s="87">
        <v>188.76986673247779</v>
      </c>
      <c r="V242" s="87">
        <v>198.38326733271029</v>
      </c>
      <c r="W242" s="87">
        <v>200.79223760671499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421.93356460976304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399.716215893362</v>
      </c>
      <c r="L243" s="87">
        <v>384.36255770545785</v>
      </c>
      <c r="M243" s="87">
        <v>351.64278265267751</v>
      </c>
      <c r="N243" s="87">
        <v>354.84199294098323</v>
      </c>
      <c r="O243" s="87">
        <v>201.52671755725191</v>
      </c>
      <c r="P243" s="87">
        <v>201.03816793893131</v>
      </c>
      <c r="Q243" s="87">
        <v>247.12468193384183</v>
      </c>
      <c r="R243" s="87">
        <v>232.19490046050089</v>
      </c>
      <c r="S243" s="87">
        <v>238.79933199753035</v>
      </c>
      <c r="T243" s="87">
        <v>241.8320610687023</v>
      </c>
      <c r="U243" s="87">
        <v>160</v>
      </c>
      <c r="V243" s="87">
        <v>150</v>
      </c>
      <c r="W243" s="87">
        <v>334.12368024132729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233.96824842226835</v>
      </c>
      <c r="F244" s="87">
        <v>233.96824842226835</v>
      </c>
      <c r="G244" s="87">
        <v>0</v>
      </c>
      <c r="H244" s="87">
        <v>0</v>
      </c>
      <c r="I244" s="87">
        <v>224.48304916190602</v>
      </c>
      <c r="J244" s="87">
        <v>0</v>
      </c>
      <c r="K244" s="87">
        <v>203.16375266847521</v>
      </c>
      <c r="L244" s="87">
        <v>195.77457592805428</v>
      </c>
      <c r="M244" s="87">
        <v>193.95934064283341</v>
      </c>
      <c r="N244" s="87">
        <v>178.08238933242467</v>
      </c>
      <c r="O244" s="87">
        <v>180.03306457262534</v>
      </c>
      <c r="P244" s="87">
        <v>176.06467376406016</v>
      </c>
      <c r="Q244" s="87">
        <v>184.63269521688522</v>
      </c>
      <c r="R244" s="87">
        <v>169.63465185721168</v>
      </c>
      <c r="S244" s="87">
        <v>174.24449988950528</v>
      </c>
      <c r="T244" s="87">
        <v>155.00363098277117</v>
      </c>
      <c r="U244" s="87">
        <v>163.83944855872127</v>
      </c>
      <c r="V244" s="87">
        <v>149.19301044142421</v>
      </c>
      <c r="W244" s="87">
        <v>206.0630590339893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920.27550202256782</v>
      </c>
      <c r="C246" s="116">
        <v>918.37552640649847</v>
      </c>
      <c r="D246" s="116">
        <v>912.47441289249923</v>
      </c>
      <c r="E246" s="116">
        <v>906.01439208108604</v>
      </c>
      <c r="F246" s="116">
        <v>924.62022981518351</v>
      </c>
      <c r="G246" s="116">
        <v>895.24414230777279</v>
      </c>
      <c r="H246" s="116">
        <v>889.12907633429745</v>
      </c>
      <c r="I246" s="116">
        <v>861.90488487021651</v>
      </c>
      <c r="J246" s="116">
        <v>853.78330605781309</v>
      </c>
      <c r="K246" s="116">
        <v>817.24269808802012</v>
      </c>
      <c r="L246" s="116">
        <v>832.07151669244399</v>
      </c>
      <c r="M246" s="116">
        <v>805.63565282054446</v>
      </c>
      <c r="N246" s="116">
        <v>778.10821833169052</v>
      </c>
      <c r="O246" s="116">
        <v>769.22853992346325</v>
      </c>
      <c r="P246" s="116">
        <v>749.49298141910435</v>
      </c>
      <c r="Q246" s="116">
        <v>732.50303218154625</v>
      </c>
      <c r="R246" s="116">
        <v>712.8324422622818</v>
      </c>
      <c r="S246" s="116">
        <v>684.7662570315855</v>
      </c>
      <c r="T246" s="116">
        <v>665.29483881474494</v>
      </c>
      <c r="U246" s="116">
        <v>651.72176508254813</v>
      </c>
      <c r="V246" s="116">
        <v>652.75422361865913</v>
      </c>
      <c r="W246" s="116">
        <v>635.33786299383053</v>
      </c>
      <c r="DA246" s="176" t="s">
        <v>951</v>
      </c>
    </row>
    <row r="247" spans="1:105" ht="11.45" customHeight="1" x14ac:dyDescent="0.25">
      <c r="A247" s="128" t="s">
        <v>27</v>
      </c>
      <c r="B247" s="101">
        <v>850.06279600882044</v>
      </c>
      <c r="C247" s="101">
        <v>844.85208868161681</v>
      </c>
      <c r="D247" s="101">
        <v>839.0998664928178</v>
      </c>
      <c r="E247" s="101">
        <v>831.93727917355216</v>
      </c>
      <c r="F247" s="101">
        <v>823.38252699310272</v>
      </c>
      <c r="G247" s="101">
        <v>813.45719430455233</v>
      </c>
      <c r="H247" s="101">
        <v>802.18611494535662</v>
      </c>
      <c r="I247" s="101">
        <v>789.59721927193846</v>
      </c>
      <c r="J247" s="101">
        <v>775.72136455528766</v>
      </c>
      <c r="K247" s="101">
        <v>760.59215059898406</v>
      </c>
      <c r="L247" s="101">
        <v>744.2457226104932</v>
      </c>
      <c r="M247" s="101">
        <v>726.72056338817401</v>
      </c>
      <c r="N247" s="101">
        <v>708.05727696637189</v>
      </c>
      <c r="O247" s="101">
        <v>688.29836588601381</v>
      </c>
      <c r="P247" s="101">
        <v>667.48800420714929</v>
      </c>
      <c r="Q247" s="101">
        <v>645.67180838022978</v>
      </c>
      <c r="R247" s="101">
        <v>627.98730772872193</v>
      </c>
      <c r="S247" s="101">
        <v>615.6081572726664</v>
      </c>
      <c r="T247" s="101">
        <v>602.61004929380817</v>
      </c>
      <c r="U247" s="101">
        <v>586.72347287520358</v>
      </c>
      <c r="V247" s="101">
        <v>581.43803055439537</v>
      </c>
      <c r="W247" s="101">
        <v>575.62365024885139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901.41112711943799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15335.202402571358</v>
      </c>
      <c r="C4" s="28">
        <f t="shared" ref="C4:V4" si="1">SUM(C5,C6,C9)</f>
        <v>15076.721012389689</v>
      </c>
      <c r="D4" s="28">
        <f t="shared" si="1"/>
        <v>14951.532077772108</v>
      </c>
      <c r="E4" s="28">
        <f t="shared" si="1"/>
        <v>14534.64863736083</v>
      </c>
      <c r="F4" s="28">
        <f t="shared" si="1"/>
        <v>15236.261977826885</v>
      </c>
      <c r="G4" s="28">
        <f t="shared" si="1"/>
        <v>15899.40641320447</v>
      </c>
      <c r="H4" s="28">
        <f t="shared" si="1"/>
        <v>16666.999930454553</v>
      </c>
      <c r="I4" s="28">
        <f t="shared" si="1"/>
        <v>17119.986084072334</v>
      </c>
      <c r="J4" s="28">
        <f t="shared" si="1"/>
        <v>17168.323264988067</v>
      </c>
      <c r="K4" s="28">
        <f t="shared" si="1"/>
        <v>17279.895338335453</v>
      </c>
      <c r="L4" s="28">
        <f t="shared" si="1"/>
        <v>17753.925061229813</v>
      </c>
      <c r="M4" s="28">
        <f t="shared" si="1"/>
        <v>18368.903459096895</v>
      </c>
      <c r="N4" s="28">
        <f t="shared" si="1"/>
        <v>18587.130470277352</v>
      </c>
      <c r="O4" s="28">
        <f t="shared" si="1"/>
        <v>19897.559565383763</v>
      </c>
      <c r="P4" s="28">
        <f t="shared" si="1"/>
        <v>20858.242537905688</v>
      </c>
      <c r="Q4" s="28">
        <f t="shared" si="1"/>
        <v>18439.445688861662</v>
      </c>
      <c r="R4" s="28">
        <f t="shared" si="1"/>
        <v>18905.426743803149</v>
      </c>
      <c r="S4" s="28">
        <f t="shared" si="1"/>
        <v>19318.602002140862</v>
      </c>
      <c r="T4" s="28">
        <f t="shared" si="1"/>
        <v>19924.494138793405</v>
      </c>
      <c r="U4" s="28">
        <f t="shared" si="1"/>
        <v>20382.494138793405</v>
      </c>
      <c r="V4" s="28">
        <f t="shared" si="1"/>
        <v>9624.3127696155207</v>
      </c>
      <c r="W4" s="28">
        <f t="shared" ref="W4" si="2">SUM(W5,W6,W9)</f>
        <v>11407.342997811835</v>
      </c>
      <c r="DA4" s="173" t="s">
        <v>375</v>
      </c>
    </row>
    <row r="5" spans="1:105" ht="11.45" customHeight="1" x14ac:dyDescent="0.25">
      <c r="A5" s="107" t="s">
        <v>23</v>
      </c>
      <c r="B5" s="108">
        <v>669.20240257135822</v>
      </c>
      <c r="C5" s="108">
        <v>684.72101238968935</v>
      </c>
      <c r="D5" s="108">
        <v>663.53207777210855</v>
      </c>
      <c r="E5" s="108">
        <v>686.64863736082975</v>
      </c>
      <c r="F5" s="108">
        <v>727.26197782688473</v>
      </c>
      <c r="G5" s="108">
        <v>746.40641320447014</v>
      </c>
      <c r="H5" s="108">
        <v>777.99993045455176</v>
      </c>
      <c r="I5" s="108">
        <v>794.98608407233576</v>
      </c>
      <c r="J5" s="108">
        <v>825.32326498806594</v>
      </c>
      <c r="K5" s="108">
        <v>824.89533833545067</v>
      </c>
      <c r="L5" s="108">
        <v>853.92506122981331</v>
      </c>
      <c r="M5" s="108">
        <v>889.90345909689643</v>
      </c>
      <c r="N5" s="108">
        <v>816.13047027735092</v>
      </c>
      <c r="O5" s="108">
        <v>853.55956538376279</v>
      </c>
      <c r="P5" s="108">
        <v>853.24253790568616</v>
      </c>
      <c r="Q5" s="108">
        <v>916.44568886166292</v>
      </c>
      <c r="R5" s="108">
        <v>925.42674380315032</v>
      </c>
      <c r="S5" s="108">
        <v>881.60200214086183</v>
      </c>
      <c r="T5" s="108">
        <v>1029.4941387934066</v>
      </c>
      <c r="U5" s="108">
        <v>1029.4941387934066</v>
      </c>
      <c r="V5" s="108">
        <v>459.31276961551993</v>
      </c>
      <c r="W5" s="108">
        <v>554.34299781183415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14553</v>
      </c>
      <c r="C6" s="110">
        <f t="shared" ref="C6:V6" si="4">SUM(C7:C8)</f>
        <v>14201</v>
      </c>
      <c r="D6" s="110">
        <f t="shared" si="4"/>
        <v>14087</v>
      </c>
      <c r="E6" s="110">
        <f t="shared" si="4"/>
        <v>13184</v>
      </c>
      <c r="F6" s="110">
        <f t="shared" si="4"/>
        <v>13852</v>
      </c>
      <c r="G6" s="110">
        <f t="shared" si="4"/>
        <v>14466</v>
      </c>
      <c r="H6" s="110">
        <f t="shared" si="4"/>
        <v>15156</v>
      </c>
      <c r="I6" s="110">
        <f t="shared" si="4"/>
        <v>15525</v>
      </c>
      <c r="J6" s="110">
        <f t="shared" si="4"/>
        <v>15476</v>
      </c>
      <c r="K6" s="110">
        <f t="shared" si="4"/>
        <v>15540</v>
      </c>
      <c r="L6" s="110">
        <f t="shared" si="4"/>
        <v>16615</v>
      </c>
      <c r="M6" s="110">
        <f t="shared" si="4"/>
        <v>17174</v>
      </c>
      <c r="N6" s="110">
        <f t="shared" si="4"/>
        <v>17447</v>
      </c>
      <c r="O6" s="110">
        <f t="shared" si="4"/>
        <v>18681</v>
      </c>
      <c r="P6" s="110">
        <f t="shared" si="4"/>
        <v>19763</v>
      </c>
      <c r="Q6" s="110">
        <f t="shared" si="4"/>
        <v>16527</v>
      </c>
      <c r="R6" s="110">
        <f t="shared" si="4"/>
        <v>17615</v>
      </c>
      <c r="S6" s="110">
        <f t="shared" si="4"/>
        <v>18024</v>
      </c>
      <c r="T6" s="110">
        <f t="shared" si="4"/>
        <v>18500</v>
      </c>
      <c r="U6" s="110">
        <f t="shared" si="4"/>
        <v>18901</v>
      </c>
      <c r="V6" s="110">
        <f t="shared" si="4"/>
        <v>9024</v>
      </c>
      <c r="W6" s="110">
        <f t="shared" ref="W6" si="5">SUM(W7:W8)</f>
        <v>10710</v>
      </c>
      <c r="DA6" s="176" t="s">
        <v>377</v>
      </c>
    </row>
    <row r="7" spans="1:105" ht="11.45" customHeight="1" x14ac:dyDescent="0.25">
      <c r="A7" s="111" t="s">
        <v>90</v>
      </c>
      <c r="B7" s="84">
        <v>1550.3362550487182</v>
      </c>
      <c r="C7" s="84">
        <v>1499.0595771595863</v>
      </c>
      <c r="D7" s="84">
        <v>1466.4974947123687</v>
      </c>
      <c r="E7" s="84">
        <v>1424.4516999537716</v>
      </c>
      <c r="F7" s="84">
        <v>1479.5489684504141</v>
      </c>
      <c r="G7" s="84">
        <v>1541.8498123233544</v>
      </c>
      <c r="H7" s="84">
        <v>1628.2300164844719</v>
      </c>
      <c r="I7" s="84">
        <v>1678.7016251685777</v>
      </c>
      <c r="J7" s="84">
        <v>1664.3772735240127</v>
      </c>
      <c r="K7" s="84">
        <v>1511.7577223202256</v>
      </c>
      <c r="L7" s="84">
        <v>1711.6711194107511</v>
      </c>
      <c r="M7" s="84">
        <v>1764.3753256817822</v>
      </c>
      <c r="N7" s="84">
        <v>1520.2773628538118</v>
      </c>
      <c r="O7" s="84">
        <v>1673.7716935636865</v>
      </c>
      <c r="P7" s="84">
        <v>1885.8590401319402</v>
      </c>
      <c r="Q7" s="84">
        <v>1649.246087242456</v>
      </c>
      <c r="R7" s="84">
        <v>1673.1823517306561</v>
      </c>
      <c r="S7" s="84">
        <v>1613.0790933487299</v>
      </c>
      <c r="T7" s="84">
        <v>1434.7734993430208</v>
      </c>
      <c r="U7" s="84">
        <v>1304.2780772413801</v>
      </c>
      <c r="V7" s="84">
        <v>644.21877301198549</v>
      </c>
      <c r="W7" s="84">
        <v>723.76459590937827</v>
      </c>
      <c r="DA7" s="171" t="s">
        <v>1029</v>
      </c>
    </row>
    <row r="8" spans="1:105" ht="11.45" customHeight="1" x14ac:dyDescent="0.25">
      <c r="A8" s="111" t="s">
        <v>93</v>
      </c>
      <c r="B8" s="84">
        <v>13002.663744951282</v>
      </c>
      <c r="C8" s="84">
        <v>12701.940422840413</v>
      </c>
      <c r="D8" s="84">
        <v>12620.502505287632</v>
      </c>
      <c r="E8" s="84">
        <v>11759.548300046228</v>
      </c>
      <c r="F8" s="84">
        <v>12372.451031549586</v>
      </c>
      <c r="G8" s="84">
        <v>12924.150187676645</v>
      </c>
      <c r="H8" s="84">
        <v>13527.769983515529</v>
      </c>
      <c r="I8" s="84">
        <v>13846.298374831422</v>
      </c>
      <c r="J8" s="84">
        <v>13811.622726475987</v>
      </c>
      <c r="K8" s="84">
        <v>14028.242277679774</v>
      </c>
      <c r="L8" s="84">
        <v>14903.328880589248</v>
      </c>
      <c r="M8" s="84">
        <v>15409.624674318218</v>
      </c>
      <c r="N8" s="84">
        <v>15926.722637146187</v>
      </c>
      <c r="O8" s="84">
        <v>17007.228306436315</v>
      </c>
      <c r="P8" s="84">
        <v>17877.140959868058</v>
      </c>
      <c r="Q8" s="84">
        <v>14877.753912757544</v>
      </c>
      <c r="R8" s="84">
        <v>15941.817648269343</v>
      </c>
      <c r="S8" s="84">
        <v>16410.92090665127</v>
      </c>
      <c r="T8" s="84">
        <v>17065.22650065698</v>
      </c>
      <c r="U8" s="84">
        <v>17596.721922758621</v>
      </c>
      <c r="V8" s="84">
        <v>8379.7812269880142</v>
      </c>
      <c r="W8" s="84">
        <v>9986.2354040906212</v>
      </c>
      <c r="DA8" s="171" t="s">
        <v>1030</v>
      </c>
    </row>
    <row r="9" spans="1:105" ht="11.45" customHeight="1" x14ac:dyDescent="0.25">
      <c r="A9" s="112" t="s">
        <v>25</v>
      </c>
      <c r="B9" s="113">
        <v>113</v>
      </c>
      <c r="C9" s="113">
        <v>191</v>
      </c>
      <c r="D9" s="113">
        <v>201</v>
      </c>
      <c r="E9" s="113">
        <v>664</v>
      </c>
      <c r="F9" s="113">
        <v>657</v>
      </c>
      <c r="G9" s="113">
        <v>687</v>
      </c>
      <c r="H9" s="113">
        <v>733</v>
      </c>
      <c r="I9" s="113">
        <v>800</v>
      </c>
      <c r="J9" s="113">
        <v>867</v>
      </c>
      <c r="K9" s="113">
        <v>915</v>
      </c>
      <c r="L9" s="113">
        <v>285</v>
      </c>
      <c r="M9" s="113">
        <v>305</v>
      </c>
      <c r="N9" s="113">
        <v>324</v>
      </c>
      <c r="O9" s="113">
        <v>363</v>
      </c>
      <c r="P9" s="113">
        <v>242</v>
      </c>
      <c r="Q9" s="113">
        <v>996</v>
      </c>
      <c r="R9" s="113">
        <v>365</v>
      </c>
      <c r="S9" s="113">
        <v>413</v>
      </c>
      <c r="T9" s="113">
        <v>395</v>
      </c>
      <c r="U9" s="113">
        <v>452</v>
      </c>
      <c r="V9" s="113">
        <v>141</v>
      </c>
      <c r="W9" s="113">
        <v>143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4522</v>
      </c>
      <c r="C10" s="28">
        <f t="shared" ref="C10:V10" si="7">SUM(C11:C12)</f>
        <v>4293</v>
      </c>
      <c r="D10" s="28">
        <f t="shared" si="7"/>
        <v>4024</v>
      </c>
      <c r="E10" s="28">
        <f t="shared" si="7"/>
        <v>4705</v>
      </c>
      <c r="F10" s="28">
        <f t="shared" si="7"/>
        <v>5831</v>
      </c>
      <c r="G10" s="28">
        <f t="shared" si="7"/>
        <v>5865</v>
      </c>
      <c r="H10" s="28">
        <f t="shared" si="7"/>
        <v>6289</v>
      </c>
      <c r="I10" s="28">
        <f t="shared" si="7"/>
        <v>7216</v>
      </c>
      <c r="J10" s="28">
        <f t="shared" si="7"/>
        <v>6984</v>
      </c>
      <c r="K10" s="28">
        <f t="shared" si="7"/>
        <v>5578</v>
      </c>
      <c r="L10" s="28">
        <f t="shared" si="7"/>
        <v>5925</v>
      </c>
      <c r="M10" s="28">
        <f t="shared" si="7"/>
        <v>6378</v>
      </c>
      <c r="N10" s="28">
        <f t="shared" si="7"/>
        <v>6142</v>
      </c>
      <c r="O10" s="28">
        <f t="shared" si="7"/>
        <v>6078</v>
      </c>
      <c r="P10" s="28">
        <f t="shared" si="7"/>
        <v>6169</v>
      </c>
      <c r="Q10" s="28">
        <f t="shared" si="7"/>
        <v>6545</v>
      </c>
      <c r="R10" s="28">
        <f t="shared" si="7"/>
        <v>6641</v>
      </c>
      <c r="S10" s="28">
        <f t="shared" si="7"/>
        <v>6467</v>
      </c>
      <c r="T10" s="28">
        <f t="shared" si="7"/>
        <v>7023</v>
      </c>
      <c r="U10" s="28">
        <f t="shared" si="7"/>
        <v>7080</v>
      </c>
      <c r="V10" s="28">
        <f t="shared" si="7"/>
        <v>6665</v>
      </c>
      <c r="W10" s="28">
        <f t="shared" ref="W10" si="8">SUM(W11:W12)</f>
        <v>7188</v>
      </c>
      <c r="DA10" s="173" t="s">
        <v>383</v>
      </c>
    </row>
    <row r="11" spans="1:105" ht="11.45" customHeight="1" x14ac:dyDescent="0.25">
      <c r="A11" s="83" t="s">
        <v>90</v>
      </c>
      <c r="B11" s="84">
        <v>609.83384559081355</v>
      </c>
      <c r="C11" s="84">
        <v>568.08244815442686</v>
      </c>
      <c r="D11" s="84">
        <v>525.35729113660818</v>
      </c>
      <c r="E11" s="84">
        <v>605.69865698758997</v>
      </c>
      <c r="F11" s="84">
        <v>745.66315561662384</v>
      </c>
      <c r="G11" s="84">
        <v>746.47926846595158</v>
      </c>
      <c r="H11" s="84">
        <v>802.02458625298232</v>
      </c>
      <c r="I11" s="84">
        <v>931.27189068979453</v>
      </c>
      <c r="J11" s="84">
        <v>888.3528650328409</v>
      </c>
      <c r="K11" s="84">
        <v>640.33891298081471</v>
      </c>
      <c r="L11" s="84">
        <v>708.75557461276378</v>
      </c>
      <c r="M11" s="84">
        <v>750.46822520608021</v>
      </c>
      <c r="N11" s="84">
        <v>621.19998591975627</v>
      </c>
      <c r="O11" s="84">
        <v>622.79415934506471</v>
      </c>
      <c r="P11" s="84">
        <v>674.43413873790189</v>
      </c>
      <c r="Q11" s="84">
        <v>736.15932655409824</v>
      </c>
      <c r="R11" s="84">
        <v>720.54282436401206</v>
      </c>
      <c r="S11" s="84">
        <v>661.80993699164867</v>
      </c>
      <c r="T11" s="84">
        <v>618.34081398085755</v>
      </c>
      <c r="U11" s="84">
        <v>548.80269569092741</v>
      </c>
      <c r="V11" s="84">
        <v>567.56298366958902</v>
      </c>
      <c r="W11" s="84">
        <v>579.3655558045316</v>
      </c>
      <c r="DA11" s="171" t="s">
        <v>1031</v>
      </c>
    </row>
    <row r="12" spans="1:105" ht="11.45" customHeight="1" x14ac:dyDescent="0.25">
      <c r="A12" s="85" t="s">
        <v>93</v>
      </c>
      <c r="B12" s="86">
        <v>3912.1661544091867</v>
      </c>
      <c r="C12" s="86">
        <v>3724.9175518455731</v>
      </c>
      <c r="D12" s="86">
        <v>3498.6427088633918</v>
      </c>
      <c r="E12" s="86">
        <v>4099.3013430124101</v>
      </c>
      <c r="F12" s="86">
        <v>5085.336844383376</v>
      </c>
      <c r="G12" s="86">
        <v>5118.5207315340485</v>
      </c>
      <c r="H12" s="86">
        <v>5486.9754137470172</v>
      </c>
      <c r="I12" s="86">
        <v>6284.7281093102056</v>
      </c>
      <c r="J12" s="86">
        <v>6095.6471349671592</v>
      </c>
      <c r="K12" s="86">
        <v>4937.6610870191853</v>
      </c>
      <c r="L12" s="86">
        <v>5216.2444253872363</v>
      </c>
      <c r="M12" s="86">
        <v>5627.5317747939198</v>
      </c>
      <c r="N12" s="86">
        <v>5520.8000140802433</v>
      </c>
      <c r="O12" s="86">
        <v>5455.2058406549349</v>
      </c>
      <c r="P12" s="86">
        <v>5494.5658612620982</v>
      </c>
      <c r="Q12" s="86">
        <v>5808.8406734459022</v>
      </c>
      <c r="R12" s="86">
        <v>5920.4571756359883</v>
      </c>
      <c r="S12" s="86">
        <v>5805.190063008351</v>
      </c>
      <c r="T12" s="86">
        <v>6404.659186019142</v>
      </c>
      <c r="U12" s="86">
        <v>6531.1973043090729</v>
      </c>
      <c r="V12" s="86">
        <v>6097.4370163304111</v>
      </c>
      <c r="W12" s="86">
        <v>6608.6344441954679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124.2109768398217</v>
      </c>
      <c r="C14" s="62">
        <f t="shared" ref="C14:V14" si="10">C15+C21</f>
        <v>121.09985214386992</v>
      </c>
      <c r="D14" s="62">
        <f t="shared" si="10"/>
        <v>120.63076406960239</v>
      </c>
      <c r="E14" s="62">
        <f t="shared" si="10"/>
        <v>123.77562375186281</v>
      </c>
      <c r="F14" s="62">
        <f t="shared" si="10"/>
        <v>130.10752747559368</v>
      </c>
      <c r="G14" s="62">
        <f t="shared" si="10"/>
        <v>127.70594952915904</v>
      </c>
      <c r="H14" s="62">
        <f t="shared" si="10"/>
        <v>129.24137234741346</v>
      </c>
      <c r="I14" s="62">
        <f t="shared" si="10"/>
        <v>128.0067770924457</v>
      </c>
      <c r="J14" s="62">
        <f t="shared" si="10"/>
        <v>131.3964929652341</v>
      </c>
      <c r="K14" s="62">
        <f t="shared" si="10"/>
        <v>135.84011297597669</v>
      </c>
      <c r="L14" s="62">
        <f t="shared" si="10"/>
        <v>144.96429689982057</v>
      </c>
      <c r="M14" s="62">
        <f t="shared" si="10"/>
        <v>144.49825336201241</v>
      </c>
      <c r="N14" s="62">
        <f t="shared" si="10"/>
        <v>145.6839592353939</v>
      </c>
      <c r="O14" s="62">
        <f t="shared" si="10"/>
        <v>149.37726823088479</v>
      </c>
      <c r="P14" s="62">
        <f t="shared" si="10"/>
        <v>148.28647853332672</v>
      </c>
      <c r="Q14" s="62">
        <f t="shared" si="10"/>
        <v>149.18008269905619</v>
      </c>
      <c r="R14" s="62">
        <f t="shared" si="10"/>
        <v>157.78191515622805</v>
      </c>
      <c r="S14" s="62">
        <f t="shared" si="10"/>
        <v>158.93613145547877</v>
      </c>
      <c r="T14" s="62">
        <f t="shared" si="10"/>
        <v>164.35229192510388</v>
      </c>
      <c r="U14" s="62">
        <f t="shared" si="10"/>
        <v>166.79178425822107</v>
      </c>
      <c r="V14" s="62">
        <f t="shared" si="10"/>
        <v>148.8964270357535</v>
      </c>
      <c r="W14" s="62">
        <f t="shared" ref="W14" si="11">W15+W21</f>
        <v>148.63281130606259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115.83740541125027</v>
      </c>
      <c r="C15" s="29">
        <f t="shared" ref="C15:V15" si="13">SUM(C16,C17,C20)</f>
        <v>112.62036114747137</v>
      </c>
      <c r="D15" s="29">
        <f t="shared" si="13"/>
        <v>113.17935950777766</v>
      </c>
      <c r="E15" s="29">
        <f t="shared" si="13"/>
        <v>116.03123266209357</v>
      </c>
      <c r="F15" s="29">
        <f t="shared" si="13"/>
        <v>120.50974969781592</v>
      </c>
      <c r="G15" s="29">
        <f t="shared" si="13"/>
        <v>117.30894952915904</v>
      </c>
      <c r="H15" s="29">
        <f t="shared" si="13"/>
        <v>118.77837234741347</v>
      </c>
      <c r="I15" s="29">
        <f t="shared" si="13"/>
        <v>116.03233264800126</v>
      </c>
      <c r="J15" s="29">
        <f t="shared" si="13"/>
        <v>119.4514929652341</v>
      </c>
      <c r="K15" s="29">
        <f t="shared" si="13"/>
        <v>126.16619993249843</v>
      </c>
      <c r="L15" s="29">
        <f t="shared" si="13"/>
        <v>133.48798111034688</v>
      </c>
      <c r="M15" s="29">
        <f t="shared" si="13"/>
        <v>132.06440720816624</v>
      </c>
      <c r="N15" s="29">
        <f t="shared" si="13"/>
        <v>133.65626692770158</v>
      </c>
      <c r="O15" s="29">
        <f t="shared" si="13"/>
        <v>137.33572976934633</v>
      </c>
      <c r="P15" s="29">
        <f t="shared" si="13"/>
        <v>136.42494007178826</v>
      </c>
      <c r="Q15" s="29">
        <f t="shared" si="13"/>
        <v>136.55546731444079</v>
      </c>
      <c r="R15" s="29">
        <f t="shared" si="13"/>
        <v>145.19755887068294</v>
      </c>
      <c r="S15" s="29">
        <f t="shared" si="13"/>
        <v>146.55620768960264</v>
      </c>
      <c r="T15" s="29">
        <f t="shared" si="13"/>
        <v>150.8463823683802</v>
      </c>
      <c r="U15" s="29">
        <f t="shared" si="13"/>
        <v>153.04650737325665</v>
      </c>
      <c r="V15" s="29">
        <f t="shared" si="13"/>
        <v>134.83916743518233</v>
      </c>
      <c r="W15" s="29">
        <f t="shared" ref="W15" si="14">SUM(W16,W17,W20)</f>
        <v>134.12430053145152</v>
      </c>
      <c r="DA15" s="173" t="s">
        <v>1034</v>
      </c>
    </row>
    <row r="16" spans="1:105" ht="11.45" customHeight="1" x14ac:dyDescent="0.25">
      <c r="A16" s="107" t="s">
        <v>23</v>
      </c>
      <c r="B16" s="115">
        <v>7.9439625504771625</v>
      </c>
      <c r="C16" s="115">
        <v>8.116757747684602</v>
      </c>
      <c r="D16" s="115">
        <v>7.8639940450243948</v>
      </c>
      <c r="E16" s="115">
        <v>8.0671304890185862</v>
      </c>
      <c r="F16" s="115">
        <v>8.5502559949025905</v>
      </c>
      <c r="G16" s="115">
        <v>8.6692629502857592</v>
      </c>
      <c r="H16" s="115">
        <v>8.9414926817314289</v>
      </c>
      <c r="I16" s="115">
        <v>9.333537383894333</v>
      </c>
      <c r="J16" s="115">
        <v>9.6378457969923819</v>
      </c>
      <c r="K16" s="115">
        <v>9.5665649862422804</v>
      </c>
      <c r="L16" s="115">
        <v>9.7853108296818618</v>
      </c>
      <c r="M16" s="115">
        <v>10.115795972216501</v>
      </c>
      <c r="N16" s="115">
        <v>9.2884133192696101</v>
      </c>
      <c r="O16" s="115">
        <v>9.5979637298228351</v>
      </c>
      <c r="P16" s="115">
        <v>9.511892809072398</v>
      </c>
      <c r="Q16" s="115">
        <v>10.615869192518975</v>
      </c>
      <c r="R16" s="115">
        <v>10.700711954317066</v>
      </c>
      <c r="S16" s="115">
        <v>10.177366899945595</v>
      </c>
      <c r="T16" s="115">
        <v>11.866961606121716</v>
      </c>
      <c r="U16" s="115">
        <v>11.851040827123652</v>
      </c>
      <c r="V16" s="115">
        <v>7.7322316944885428</v>
      </c>
      <c r="W16" s="115">
        <v>8.0028740347289737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107.50312106851241</v>
      </c>
      <c r="C17" s="116">
        <f t="shared" ref="C17:V17" si="16">SUM(C18:C19)</f>
        <v>103.84385594561162</v>
      </c>
      <c r="D17" s="116">
        <f t="shared" si="16"/>
        <v>104.62107625705062</v>
      </c>
      <c r="E17" s="116">
        <f t="shared" si="16"/>
        <v>105.67052987164934</v>
      </c>
      <c r="F17" s="116">
        <f t="shared" si="16"/>
        <v>109.69010062755692</v>
      </c>
      <c r="G17" s="116">
        <f t="shared" si="16"/>
        <v>106.26666824893438</v>
      </c>
      <c r="H17" s="116">
        <f t="shared" si="16"/>
        <v>107.51180366568204</v>
      </c>
      <c r="I17" s="116">
        <f t="shared" si="16"/>
        <v>104.05125105978472</v>
      </c>
      <c r="J17" s="116">
        <f t="shared" si="16"/>
        <v>106.87436449910362</v>
      </c>
      <c r="K17" s="116">
        <f t="shared" si="16"/>
        <v>113.61402702919676</v>
      </c>
      <c r="L17" s="116">
        <f t="shared" si="16"/>
        <v>122.51089250288723</v>
      </c>
      <c r="M17" s="116">
        <f t="shared" si="16"/>
        <v>120.68061123594974</v>
      </c>
      <c r="N17" s="116">
        <f t="shared" si="16"/>
        <v>123.03829805287643</v>
      </c>
      <c r="O17" s="116">
        <f t="shared" si="16"/>
        <v>126.27702919741823</v>
      </c>
      <c r="P17" s="116">
        <f t="shared" si="16"/>
        <v>125.92183297700159</v>
      </c>
      <c r="Q17" s="116">
        <f t="shared" si="16"/>
        <v>122.5215981219218</v>
      </c>
      <c r="R17" s="116">
        <f t="shared" si="16"/>
        <v>133.36383530426872</v>
      </c>
      <c r="S17" s="116">
        <f t="shared" si="16"/>
        <v>135.16306859823189</v>
      </c>
      <c r="T17" s="116">
        <f t="shared" si="16"/>
        <v>137.9208000726033</v>
      </c>
      <c r="U17" s="116">
        <f t="shared" si="16"/>
        <v>139.98408287088202</v>
      </c>
      <c r="V17" s="116">
        <f t="shared" si="16"/>
        <v>126.57699456422318</v>
      </c>
      <c r="W17" s="116">
        <f t="shared" ref="W17" si="17">SUM(W18:W19)</f>
        <v>125.6138272059424</v>
      </c>
      <c r="DA17" s="176" t="s">
        <v>1036</v>
      </c>
    </row>
    <row r="18" spans="1:105" ht="11.45" customHeight="1" x14ac:dyDescent="0.25">
      <c r="A18" s="111" t="s">
        <v>92</v>
      </c>
      <c r="B18" s="87">
        <v>14.053291757966461</v>
      </c>
      <c r="C18" s="87">
        <v>13.386449536308019</v>
      </c>
      <c r="D18" s="87">
        <v>13.247903189562271</v>
      </c>
      <c r="E18" s="87">
        <v>13.118143279401274</v>
      </c>
      <c r="F18" s="87">
        <v>13.391606889701659</v>
      </c>
      <c r="G18" s="87">
        <v>12.996582034940392</v>
      </c>
      <c r="H18" s="87">
        <v>13.007941261512077</v>
      </c>
      <c r="I18" s="87">
        <v>12.710677406164788</v>
      </c>
      <c r="J18" s="87">
        <v>13.241430034385676</v>
      </c>
      <c r="K18" s="87">
        <v>12.583444855303986</v>
      </c>
      <c r="L18" s="87">
        <v>13.989191852585311</v>
      </c>
      <c r="M18" s="87">
        <v>13.789192458810399</v>
      </c>
      <c r="N18" s="87">
        <v>11.85023940364615</v>
      </c>
      <c r="O18" s="87">
        <v>12.286992519585803</v>
      </c>
      <c r="P18" s="87">
        <v>12.795938329314749</v>
      </c>
      <c r="Q18" s="87">
        <v>13.333682447928753</v>
      </c>
      <c r="R18" s="87">
        <v>13.507159610454266</v>
      </c>
      <c r="S18" s="87">
        <v>13.121112938677376</v>
      </c>
      <c r="T18" s="87">
        <v>11.597036521722805</v>
      </c>
      <c r="U18" s="87">
        <v>10.414595564232867</v>
      </c>
      <c r="V18" s="87">
        <v>9.9414066849852478</v>
      </c>
      <c r="W18" s="87">
        <v>9.3867326277126164</v>
      </c>
      <c r="DA18" s="171" t="s">
        <v>1037</v>
      </c>
    </row>
    <row r="19" spans="1:105" ht="11.45" customHeight="1" x14ac:dyDescent="0.25">
      <c r="A19" s="111" t="s">
        <v>93</v>
      </c>
      <c r="B19" s="87">
        <v>93.449829310545951</v>
      </c>
      <c r="C19" s="87">
        <v>90.457406409303601</v>
      </c>
      <c r="D19" s="87">
        <v>91.373173067488352</v>
      </c>
      <c r="E19" s="87">
        <v>92.55238659224807</v>
      </c>
      <c r="F19" s="87">
        <v>96.298493737855253</v>
      </c>
      <c r="G19" s="87">
        <v>93.270086213993991</v>
      </c>
      <c r="H19" s="87">
        <v>94.503862404169965</v>
      </c>
      <c r="I19" s="87">
        <v>91.340573653619927</v>
      </c>
      <c r="J19" s="87">
        <v>93.632934464717948</v>
      </c>
      <c r="K19" s="87">
        <v>101.03058217389278</v>
      </c>
      <c r="L19" s="87">
        <v>108.52170065030192</v>
      </c>
      <c r="M19" s="87">
        <v>106.89141877713934</v>
      </c>
      <c r="N19" s="87">
        <v>111.18805864923029</v>
      </c>
      <c r="O19" s="87">
        <v>113.99003667783242</v>
      </c>
      <c r="P19" s="87">
        <v>113.12589464768683</v>
      </c>
      <c r="Q19" s="87">
        <v>109.18791567399305</v>
      </c>
      <c r="R19" s="87">
        <v>119.85667569381445</v>
      </c>
      <c r="S19" s="87">
        <v>122.04195565955452</v>
      </c>
      <c r="T19" s="87">
        <v>126.32376355088049</v>
      </c>
      <c r="U19" s="87">
        <v>129.56948730664917</v>
      </c>
      <c r="V19" s="87">
        <v>116.63558787923793</v>
      </c>
      <c r="W19" s="87">
        <v>116.22709457822978</v>
      </c>
      <c r="DA19" s="171" t="s">
        <v>1038</v>
      </c>
    </row>
    <row r="20" spans="1:105" ht="11.45" customHeight="1" x14ac:dyDescent="0.25">
      <c r="A20" s="112" t="s">
        <v>25</v>
      </c>
      <c r="B20" s="117">
        <v>0.39032179226069252</v>
      </c>
      <c r="C20" s="117">
        <v>0.65974745417515268</v>
      </c>
      <c r="D20" s="117">
        <v>0.69428920570264763</v>
      </c>
      <c r="E20" s="117">
        <v>2.2935723014256619</v>
      </c>
      <c r="F20" s="117">
        <v>2.2693930753564153</v>
      </c>
      <c r="G20" s="117">
        <v>2.3730183299388998</v>
      </c>
      <c r="H20" s="117">
        <v>2.3250760000000001</v>
      </c>
      <c r="I20" s="117">
        <v>2.6475442043222008</v>
      </c>
      <c r="J20" s="117">
        <v>2.9392826691380907</v>
      </c>
      <c r="K20" s="117">
        <v>2.9856079170593781</v>
      </c>
      <c r="L20" s="117">
        <v>1.1917777777777778</v>
      </c>
      <c r="M20" s="117">
        <v>1.2679999999999998</v>
      </c>
      <c r="N20" s="117">
        <v>1.3295555555555554</v>
      </c>
      <c r="O20" s="117">
        <v>1.4607368421052633</v>
      </c>
      <c r="P20" s="117">
        <v>0.99121428571428583</v>
      </c>
      <c r="Q20" s="117">
        <v>3.4180000000000006</v>
      </c>
      <c r="R20" s="117">
        <v>1.1330116120971594</v>
      </c>
      <c r="S20" s="117">
        <v>1.2157721914251631</v>
      </c>
      <c r="T20" s="117">
        <v>1.0586206896551724</v>
      </c>
      <c r="U20" s="117">
        <v>1.2113836752509823</v>
      </c>
      <c r="V20" s="117">
        <v>0.52994117647058825</v>
      </c>
      <c r="W20" s="117">
        <v>0.50759929078014188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8.3735714285714273</v>
      </c>
      <c r="C21" s="29">
        <f t="shared" ref="C21:V21" si="19">SUM(C22:C23)</f>
        <v>8.4794909963985585</v>
      </c>
      <c r="D21" s="29">
        <f t="shared" si="19"/>
        <v>7.4514045618247291</v>
      </c>
      <c r="E21" s="29">
        <f t="shared" si="19"/>
        <v>7.7443910897692412</v>
      </c>
      <c r="F21" s="29">
        <f t="shared" si="19"/>
        <v>9.5977777777777771</v>
      </c>
      <c r="G21" s="29">
        <f t="shared" si="19"/>
        <v>10.397</v>
      </c>
      <c r="H21" s="29">
        <f t="shared" si="19"/>
        <v>10.462999999999999</v>
      </c>
      <c r="I21" s="29">
        <f t="shared" si="19"/>
        <v>11.974444444444442</v>
      </c>
      <c r="J21" s="29">
        <f t="shared" si="19"/>
        <v>11.945</v>
      </c>
      <c r="K21" s="29">
        <f t="shared" si="19"/>
        <v>9.6739130434782616</v>
      </c>
      <c r="L21" s="29">
        <f t="shared" si="19"/>
        <v>11.476315789473684</v>
      </c>
      <c r="M21" s="29">
        <f t="shared" si="19"/>
        <v>12.433846153846154</v>
      </c>
      <c r="N21" s="29">
        <f t="shared" si="19"/>
        <v>12.027692307692305</v>
      </c>
      <c r="O21" s="29">
        <f t="shared" si="19"/>
        <v>12.04153846153846</v>
      </c>
      <c r="P21" s="29">
        <f t="shared" si="19"/>
        <v>11.86153846153846</v>
      </c>
      <c r="Q21" s="29">
        <f t="shared" si="19"/>
        <v>12.624615384615383</v>
      </c>
      <c r="R21" s="29">
        <f t="shared" si="19"/>
        <v>12.584356285545123</v>
      </c>
      <c r="S21" s="29">
        <f t="shared" si="19"/>
        <v>12.379923765876141</v>
      </c>
      <c r="T21" s="29">
        <f t="shared" si="19"/>
        <v>13.50590955672368</v>
      </c>
      <c r="U21" s="29">
        <f t="shared" si="19"/>
        <v>13.745276884964422</v>
      </c>
      <c r="V21" s="29">
        <f t="shared" si="19"/>
        <v>14.057259600571182</v>
      </c>
      <c r="W21" s="29">
        <f t="shared" ref="W21" si="20">SUM(W22:W23)</f>
        <v>14.508510774611054</v>
      </c>
      <c r="DA21" s="173" t="s">
        <v>1040</v>
      </c>
    </row>
    <row r="22" spans="1:105" ht="11.45" customHeight="1" x14ac:dyDescent="0.25">
      <c r="A22" s="83" t="s">
        <v>92</v>
      </c>
      <c r="B22" s="87">
        <v>0.94484447403051419</v>
      </c>
      <c r="C22" s="87">
        <v>0.86039922880388742</v>
      </c>
      <c r="D22" s="87">
        <v>0.7536857462343195</v>
      </c>
      <c r="E22" s="87">
        <v>0.86880013221565966</v>
      </c>
      <c r="F22" s="87">
        <v>1.0367373383247023</v>
      </c>
      <c r="G22" s="87">
        <v>0.99760062410631922</v>
      </c>
      <c r="H22" s="87">
        <v>1.0957551454765115</v>
      </c>
      <c r="I22" s="87">
        <v>1.2543198708577148</v>
      </c>
      <c r="J22" s="87">
        <v>1.1842448654034587</v>
      </c>
      <c r="K22" s="87">
        <v>0.8532749410902627</v>
      </c>
      <c r="L22" s="87">
        <v>0.97848170041046134</v>
      </c>
      <c r="M22" s="87">
        <v>0.99302925638991713</v>
      </c>
      <c r="N22" s="87">
        <v>0.80610644815694599</v>
      </c>
      <c r="O22" s="87">
        <v>0.78292582767430474</v>
      </c>
      <c r="P22" s="87">
        <v>0.84126642727237599</v>
      </c>
      <c r="Q22" s="87">
        <v>0.87871034895860212</v>
      </c>
      <c r="R22" s="87">
        <v>0.9214982414684576</v>
      </c>
      <c r="S22" s="87">
        <v>0.81379552781463571</v>
      </c>
      <c r="T22" s="87">
        <v>0.76103365100435294</v>
      </c>
      <c r="U22" s="87">
        <v>0.68573358476798552</v>
      </c>
      <c r="V22" s="87">
        <v>0.97177560688456277</v>
      </c>
      <c r="W22" s="87">
        <v>0.93431216938005068</v>
      </c>
      <c r="DA22" s="171" t="s">
        <v>1041</v>
      </c>
    </row>
    <row r="23" spans="1:105" ht="11.45" customHeight="1" x14ac:dyDescent="0.25">
      <c r="A23" s="85" t="s">
        <v>93</v>
      </c>
      <c r="B23" s="88">
        <v>7.428726954540914</v>
      </c>
      <c r="C23" s="88">
        <v>7.6190917675946714</v>
      </c>
      <c r="D23" s="88">
        <v>6.6977188155904095</v>
      </c>
      <c r="E23" s="88">
        <v>6.8755909575535812</v>
      </c>
      <c r="F23" s="88">
        <v>8.561040439453075</v>
      </c>
      <c r="G23" s="88">
        <v>9.3993993758936814</v>
      </c>
      <c r="H23" s="88">
        <v>9.3672448545234879</v>
      </c>
      <c r="I23" s="88">
        <v>10.720124573586727</v>
      </c>
      <c r="J23" s="88">
        <v>10.760755134596542</v>
      </c>
      <c r="K23" s="88">
        <v>8.8206381023879992</v>
      </c>
      <c r="L23" s="88">
        <v>10.497834089063224</v>
      </c>
      <c r="M23" s="88">
        <v>11.440816897456237</v>
      </c>
      <c r="N23" s="88">
        <v>11.221585859535359</v>
      </c>
      <c r="O23" s="88">
        <v>11.258612633864155</v>
      </c>
      <c r="P23" s="88">
        <v>11.020272034266084</v>
      </c>
      <c r="Q23" s="88">
        <v>11.745905035656781</v>
      </c>
      <c r="R23" s="88">
        <v>11.662858044076666</v>
      </c>
      <c r="S23" s="88">
        <v>11.566128238061506</v>
      </c>
      <c r="T23" s="88">
        <v>12.744875905719326</v>
      </c>
      <c r="U23" s="88">
        <v>13.059543300196436</v>
      </c>
      <c r="V23" s="88">
        <v>13.085483993686619</v>
      </c>
      <c r="W23" s="88">
        <v>13.574198605231004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831.64055700000006</v>
      </c>
      <c r="C25" s="62">
        <f t="shared" ref="C25:V25" si="22">C26+C32</f>
        <v>809.94464300000016</v>
      </c>
      <c r="D25" s="62">
        <f t="shared" si="22"/>
        <v>808.71823400000005</v>
      </c>
      <c r="E25" s="62">
        <f t="shared" si="22"/>
        <v>821.62653399999988</v>
      </c>
      <c r="F25" s="62">
        <f t="shared" si="22"/>
        <v>862.02892499999996</v>
      </c>
      <c r="G25" s="62">
        <f t="shared" si="22"/>
        <v>844.5143139999999</v>
      </c>
      <c r="H25" s="62">
        <f t="shared" si="22"/>
        <v>855.53329499999995</v>
      </c>
      <c r="I25" s="62">
        <f t="shared" si="22"/>
        <v>844.28100299999983</v>
      </c>
      <c r="J25" s="62">
        <f t="shared" si="22"/>
        <v>866.36928599999999</v>
      </c>
      <c r="K25" s="62">
        <f t="shared" si="22"/>
        <v>906.56852199999992</v>
      </c>
      <c r="L25" s="62">
        <f t="shared" si="22"/>
        <v>969.7101560000001</v>
      </c>
      <c r="M25" s="62">
        <f t="shared" si="22"/>
        <v>965.12963200000002</v>
      </c>
      <c r="N25" s="62">
        <f t="shared" si="22"/>
        <v>975.52793799999995</v>
      </c>
      <c r="O25" s="62">
        <f t="shared" si="22"/>
        <v>995.702178</v>
      </c>
      <c r="P25" s="62">
        <f t="shared" si="22"/>
        <v>991.45932900000003</v>
      </c>
      <c r="Q25" s="62">
        <f t="shared" si="22"/>
        <v>984.03719100000001</v>
      </c>
      <c r="R25" s="62">
        <f t="shared" si="22"/>
        <v>1056.8020369999999</v>
      </c>
      <c r="S25" s="62">
        <f t="shared" si="22"/>
        <v>1062.996435</v>
      </c>
      <c r="T25" s="62">
        <f t="shared" si="22"/>
        <v>1103.0100110000001</v>
      </c>
      <c r="U25" s="62">
        <f t="shared" si="22"/>
        <v>1116.9389449999999</v>
      </c>
      <c r="V25" s="62">
        <f t="shared" si="22"/>
        <v>1045.735858</v>
      </c>
      <c r="W25" s="62">
        <f t="shared" ref="W25" si="23">W26+W32</f>
        <v>1010.336366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789.7726990000001</v>
      </c>
      <c r="C26" s="29">
        <f t="shared" ref="C26:V26" si="25">SUM(C27,C28,C31)</f>
        <v>767.54718700000012</v>
      </c>
      <c r="D26" s="29">
        <f t="shared" si="25"/>
        <v>770.507563</v>
      </c>
      <c r="E26" s="29">
        <f t="shared" si="25"/>
        <v>782.9045779999999</v>
      </c>
      <c r="F26" s="29">
        <f t="shared" si="25"/>
        <v>814.04003499999999</v>
      </c>
      <c r="G26" s="29">
        <f t="shared" si="25"/>
        <v>792.52931299999989</v>
      </c>
      <c r="H26" s="29">
        <f t="shared" si="25"/>
        <v>803.21829400000001</v>
      </c>
      <c r="I26" s="29">
        <f t="shared" si="25"/>
        <v>784.40877999999987</v>
      </c>
      <c r="J26" s="29">
        <f t="shared" si="25"/>
        <v>806.64428499999997</v>
      </c>
      <c r="K26" s="29">
        <f t="shared" si="25"/>
        <v>851.03030599999988</v>
      </c>
      <c r="L26" s="29">
        <f t="shared" si="25"/>
        <v>912.24460400000009</v>
      </c>
      <c r="M26" s="29">
        <f t="shared" si="25"/>
        <v>902.96040000000005</v>
      </c>
      <c r="N26" s="29">
        <f t="shared" si="25"/>
        <v>914.92728299999999</v>
      </c>
      <c r="O26" s="29">
        <f t="shared" si="25"/>
        <v>935.38881100000003</v>
      </c>
      <c r="P26" s="29">
        <f t="shared" si="25"/>
        <v>932.15163500000006</v>
      </c>
      <c r="Q26" s="29">
        <f t="shared" si="25"/>
        <v>920.91411300000004</v>
      </c>
      <c r="R26" s="29">
        <f t="shared" si="25"/>
        <v>993.88025399999992</v>
      </c>
      <c r="S26" s="29">
        <f t="shared" si="25"/>
        <v>1001.0307230000001</v>
      </c>
      <c r="T26" s="29">
        <f t="shared" si="25"/>
        <v>1035.480462</v>
      </c>
      <c r="U26" s="29">
        <f t="shared" si="25"/>
        <v>1048.2125599999999</v>
      </c>
      <c r="V26" s="29">
        <f t="shared" si="25"/>
        <v>975.44955900000002</v>
      </c>
      <c r="W26" s="29">
        <f t="shared" ref="W26" si="26">SUM(W27,W28,W31)</f>
        <v>937.79381100000001</v>
      </c>
      <c r="DA26" s="173" t="s">
        <v>1044</v>
      </c>
    </row>
    <row r="27" spans="1:105" ht="11.45" customHeight="1" x14ac:dyDescent="0.25">
      <c r="A27" s="107" t="s">
        <v>23</v>
      </c>
      <c r="B27" s="115">
        <v>72.217842000000005</v>
      </c>
      <c r="C27" s="115">
        <v>73.788707000000002</v>
      </c>
      <c r="D27" s="115">
        <v>71.490854999999996</v>
      </c>
      <c r="E27" s="115">
        <v>73.337549999999993</v>
      </c>
      <c r="F27" s="115">
        <v>77.729599999999991</v>
      </c>
      <c r="G27" s="115">
        <v>78.811481999999998</v>
      </c>
      <c r="H27" s="115">
        <v>81.286298000000002</v>
      </c>
      <c r="I27" s="115">
        <v>84.850340000000003</v>
      </c>
      <c r="J27" s="115">
        <v>87.616779999999991</v>
      </c>
      <c r="K27" s="115">
        <v>86.968772999999999</v>
      </c>
      <c r="L27" s="115">
        <v>88.957371999999992</v>
      </c>
      <c r="M27" s="115">
        <v>91.961781999999999</v>
      </c>
      <c r="N27" s="115">
        <v>84.739998</v>
      </c>
      <c r="O27" s="115">
        <v>87.254216</v>
      </c>
      <c r="P27" s="115">
        <v>86.471752999999993</v>
      </c>
      <c r="Q27" s="115">
        <v>96.507902000000001</v>
      </c>
      <c r="R27" s="115">
        <v>97.279200000000003</v>
      </c>
      <c r="S27" s="115">
        <v>92.521518</v>
      </c>
      <c r="T27" s="115">
        <v>107.88146999999999</v>
      </c>
      <c r="U27" s="115">
        <v>107.736735</v>
      </c>
      <c r="V27" s="115">
        <v>100.514951</v>
      </c>
      <c r="W27" s="115">
        <v>93.293166999999997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716.68747500000006</v>
      </c>
      <c r="C28" s="116">
        <f t="shared" ref="C28:V28" si="28">SUM(C29:C30)</f>
        <v>692.29237400000011</v>
      </c>
      <c r="D28" s="116">
        <f t="shared" si="28"/>
        <v>697.47384299999999</v>
      </c>
      <c r="E28" s="116">
        <f t="shared" si="28"/>
        <v>704.47019999999998</v>
      </c>
      <c r="F28" s="116">
        <f t="shared" si="28"/>
        <v>731.26733899999999</v>
      </c>
      <c r="G28" s="116">
        <f t="shared" si="28"/>
        <v>708.44445599999995</v>
      </c>
      <c r="H28" s="116">
        <f t="shared" si="28"/>
        <v>716.74535900000001</v>
      </c>
      <c r="I28" s="116">
        <f t="shared" si="28"/>
        <v>693.67500799999993</v>
      </c>
      <c r="J28" s="116">
        <f t="shared" si="28"/>
        <v>712.49576500000001</v>
      </c>
      <c r="K28" s="116">
        <f t="shared" si="28"/>
        <v>757.42684799999995</v>
      </c>
      <c r="L28" s="116">
        <f t="shared" si="28"/>
        <v>816.73928500000011</v>
      </c>
      <c r="M28" s="116">
        <f t="shared" si="28"/>
        <v>804.53740900000003</v>
      </c>
      <c r="N28" s="116">
        <f t="shared" si="28"/>
        <v>823.812814</v>
      </c>
      <c r="O28" s="116">
        <f t="shared" si="28"/>
        <v>841.84686199999999</v>
      </c>
      <c r="P28" s="116">
        <f t="shared" si="28"/>
        <v>839.47888699999999</v>
      </c>
      <c r="Q28" s="116">
        <f t="shared" si="28"/>
        <v>816.810655</v>
      </c>
      <c r="R28" s="116">
        <f t="shared" si="28"/>
        <v>889.09223599999996</v>
      </c>
      <c r="S28" s="116">
        <f t="shared" si="28"/>
        <v>901.08712500000001</v>
      </c>
      <c r="T28" s="116">
        <f t="shared" si="28"/>
        <v>920.26364999999998</v>
      </c>
      <c r="U28" s="116">
        <f t="shared" si="28"/>
        <v>933.22722099999999</v>
      </c>
      <c r="V28" s="116">
        <f t="shared" si="28"/>
        <v>867.77274199999999</v>
      </c>
      <c r="W28" s="116">
        <f t="shared" ref="W28" si="29">SUM(W29:W30)</f>
        <v>837.42551600000002</v>
      </c>
      <c r="DA28" s="176" t="s">
        <v>1046</v>
      </c>
    </row>
    <row r="29" spans="1:105" ht="11.45" customHeight="1" x14ac:dyDescent="0.25">
      <c r="A29" s="111" t="s">
        <v>92</v>
      </c>
      <c r="B29" s="87">
        <v>93.688611999999992</v>
      </c>
      <c r="C29" s="87">
        <v>89.242997000000003</v>
      </c>
      <c r="D29" s="87">
        <v>88.319355000000002</v>
      </c>
      <c r="E29" s="87">
        <v>87.454289000000003</v>
      </c>
      <c r="F29" s="87">
        <v>89.277379999999994</v>
      </c>
      <c r="G29" s="87">
        <v>86.643880999999993</v>
      </c>
      <c r="H29" s="87">
        <v>86.719608999999991</v>
      </c>
      <c r="I29" s="87">
        <v>84.737849999999995</v>
      </c>
      <c r="J29" s="87">
        <v>88.276201</v>
      </c>
      <c r="K29" s="87">
        <v>83.889633000000003</v>
      </c>
      <c r="L29" s="87">
        <v>93.261279999999999</v>
      </c>
      <c r="M29" s="87">
        <v>91.927949999999996</v>
      </c>
      <c r="N29" s="87">
        <v>82.559089</v>
      </c>
      <c r="O29" s="87">
        <v>81.913284000000004</v>
      </c>
      <c r="P29" s="87">
        <v>85.306255999999991</v>
      </c>
      <c r="Q29" s="87">
        <v>88.891216999999997</v>
      </c>
      <c r="R29" s="87">
        <v>90.047730999999999</v>
      </c>
      <c r="S29" s="87">
        <v>87.474086999999997</v>
      </c>
      <c r="T29" s="87">
        <v>78.105226000000002</v>
      </c>
      <c r="U29" s="87">
        <v>69.430638000000002</v>
      </c>
      <c r="V29" s="87">
        <v>66.276044999999996</v>
      </c>
      <c r="W29" s="87">
        <v>62.578218</v>
      </c>
      <c r="DA29" s="171" t="s">
        <v>1047</v>
      </c>
    </row>
    <row r="30" spans="1:105" ht="11.45" customHeight="1" x14ac:dyDescent="0.25">
      <c r="A30" s="111" t="s">
        <v>93</v>
      </c>
      <c r="B30" s="87">
        <v>622.99886300000003</v>
      </c>
      <c r="C30" s="87">
        <v>603.04937700000005</v>
      </c>
      <c r="D30" s="87">
        <v>609.15448800000001</v>
      </c>
      <c r="E30" s="87">
        <v>617.01591099999996</v>
      </c>
      <c r="F30" s="87">
        <v>641.989959</v>
      </c>
      <c r="G30" s="87">
        <v>621.80057499999998</v>
      </c>
      <c r="H30" s="87">
        <v>630.02575000000002</v>
      </c>
      <c r="I30" s="87">
        <v>608.93715799999995</v>
      </c>
      <c r="J30" s="87">
        <v>624.21956399999999</v>
      </c>
      <c r="K30" s="87">
        <v>673.53721499999995</v>
      </c>
      <c r="L30" s="87">
        <v>723.47800500000005</v>
      </c>
      <c r="M30" s="87">
        <v>712.60945900000002</v>
      </c>
      <c r="N30" s="87">
        <v>741.25372500000003</v>
      </c>
      <c r="O30" s="87">
        <v>759.93357800000001</v>
      </c>
      <c r="P30" s="87">
        <v>754.17263100000002</v>
      </c>
      <c r="Q30" s="87">
        <v>727.91943800000001</v>
      </c>
      <c r="R30" s="87">
        <v>799.04450499999996</v>
      </c>
      <c r="S30" s="87">
        <v>813.61303799999996</v>
      </c>
      <c r="T30" s="87">
        <v>842.15842399999997</v>
      </c>
      <c r="U30" s="87">
        <v>863.79658299999994</v>
      </c>
      <c r="V30" s="87">
        <v>801.49669700000004</v>
      </c>
      <c r="W30" s="87">
        <v>774.84729800000002</v>
      </c>
      <c r="DA30" s="171" t="s">
        <v>1048</v>
      </c>
    </row>
    <row r="31" spans="1:105" ht="11.45" customHeight="1" x14ac:dyDescent="0.25">
      <c r="A31" s="112" t="s">
        <v>25</v>
      </c>
      <c r="B31" s="117">
        <v>0.86738199999999999</v>
      </c>
      <c r="C31" s="117">
        <v>1.4661059999999999</v>
      </c>
      <c r="D31" s="117">
        <v>1.5428649999999999</v>
      </c>
      <c r="E31" s="117">
        <v>5.0968280000000004</v>
      </c>
      <c r="F31" s="117">
        <v>5.0430960000000002</v>
      </c>
      <c r="G31" s="117">
        <v>5.2733749999999997</v>
      </c>
      <c r="H31" s="117">
        <v>5.1866370000000002</v>
      </c>
      <c r="I31" s="117">
        <v>5.883432</v>
      </c>
      <c r="J31" s="117">
        <v>6.5317400000000001</v>
      </c>
      <c r="K31" s="117">
        <v>6.6346850000000002</v>
      </c>
      <c r="L31" s="117">
        <v>6.5479469999999997</v>
      </c>
      <c r="M31" s="117">
        <v>6.4612090000000002</v>
      </c>
      <c r="N31" s="117">
        <v>6.3744709999999998</v>
      </c>
      <c r="O31" s="117">
        <v>6.2877330000000002</v>
      </c>
      <c r="P31" s="117">
        <v>6.2009949999999998</v>
      </c>
      <c r="Q31" s="117">
        <v>7.5955560000000002</v>
      </c>
      <c r="R31" s="117">
        <v>7.5088179999999998</v>
      </c>
      <c r="S31" s="117">
        <v>7.4220800000000002</v>
      </c>
      <c r="T31" s="117">
        <v>7.3353419999999998</v>
      </c>
      <c r="U31" s="117">
        <v>7.2486040000000003</v>
      </c>
      <c r="V31" s="117">
        <v>7.1618659999999998</v>
      </c>
      <c r="W31" s="117">
        <v>7.0751280000000003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41.867857999999998</v>
      </c>
      <c r="C32" s="29">
        <f t="shared" ref="C32:V32" si="31">SUM(C33:C34)</f>
        <v>42.397455999999998</v>
      </c>
      <c r="D32" s="29">
        <f t="shared" si="31"/>
        <v>38.210670999999998</v>
      </c>
      <c r="E32" s="29">
        <f t="shared" si="31"/>
        <v>38.721955999999999</v>
      </c>
      <c r="F32" s="29">
        <f t="shared" si="31"/>
        <v>47.988889999999998</v>
      </c>
      <c r="G32" s="29">
        <f t="shared" si="31"/>
        <v>51.985000999999997</v>
      </c>
      <c r="H32" s="29">
        <f t="shared" si="31"/>
        <v>52.315000999999995</v>
      </c>
      <c r="I32" s="29">
        <f t="shared" si="31"/>
        <v>59.872222999999998</v>
      </c>
      <c r="J32" s="29">
        <f t="shared" si="31"/>
        <v>59.725000999999999</v>
      </c>
      <c r="K32" s="29">
        <f t="shared" si="31"/>
        <v>55.538215999999998</v>
      </c>
      <c r="L32" s="29">
        <f t="shared" si="31"/>
        <v>57.465552000000002</v>
      </c>
      <c r="M32" s="29">
        <f t="shared" si="31"/>
        <v>62.169232000000001</v>
      </c>
      <c r="N32" s="29">
        <f t="shared" si="31"/>
        <v>60.600654999999996</v>
      </c>
      <c r="O32" s="29">
        <f t="shared" si="31"/>
        <v>60.313366999999992</v>
      </c>
      <c r="P32" s="29">
        <f t="shared" si="31"/>
        <v>59.307693999999998</v>
      </c>
      <c r="Q32" s="29">
        <f t="shared" si="31"/>
        <v>63.123078</v>
      </c>
      <c r="R32" s="29">
        <f t="shared" si="31"/>
        <v>62.921782999999998</v>
      </c>
      <c r="S32" s="29">
        <f t="shared" si="31"/>
        <v>61.965711999999996</v>
      </c>
      <c r="T32" s="29">
        <f t="shared" si="31"/>
        <v>67.529549000000003</v>
      </c>
      <c r="U32" s="29">
        <f t="shared" si="31"/>
        <v>68.726384999999993</v>
      </c>
      <c r="V32" s="29">
        <f t="shared" si="31"/>
        <v>70.286299</v>
      </c>
      <c r="W32" s="29">
        <f t="shared" ref="W32" si="32">SUM(W33:W34)</f>
        <v>72.542554999999993</v>
      </c>
      <c r="DA32" s="173" t="s">
        <v>1050</v>
      </c>
    </row>
    <row r="33" spans="1:105" ht="11.45" customHeight="1" x14ac:dyDescent="0.25">
      <c r="A33" s="83" t="s">
        <v>92</v>
      </c>
      <c r="B33" s="87">
        <v>4.7242230000000003</v>
      </c>
      <c r="C33" s="87">
        <v>4.3019970000000001</v>
      </c>
      <c r="D33" s="87">
        <v>3.8295750000000002</v>
      </c>
      <c r="E33" s="87">
        <v>4.3440010000000004</v>
      </c>
      <c r="F33" s="87">
        <v>5.1836869999999999</v>
      </c>
      <c r="G33" s="87">
        <v>4.9880040000000001</v>
      </c>
      <c r="H33" s="87">
        <v>5.4787759999999999</v>
      </c>
      <c r="I33" s="87">
        <v>6.2716000000000003</v>
      </c>
      <c r="J33" s="87">
        <v>5.9212249999999997</v>
      </c>
      <c r="K33" s="87">
        <v>5.4488029999999998</v>
      </c>
      <c r="L33" s="87">
        <v>4.9763809999999999</v>
      </c>
      <c r="M33" s="87">
        <v>4.965147</v>
      </c>
      <c r="N33" s="87">
        <v>4.4927250000000001</v>
      </c>
      <c r="O33" s="87">
        <v>4.0203030000000002</v>
      </c>
      <c r="P33" s="87">
        <v>4.2063329999999999</v>
      </c>
      <c r="Q33" s="87">
        <v>4.3935520000000006</v>
      </c>
      <c r="R33" s="87">
        <v>4.6074919999999997</v>
      </c>
      <c r="S33" s="87">
        <v>4.1350699999999998</v>
      </c>
      <c r="T33" s="87">
        <v>3.8051690000000002</v>
      </c>
      <c r="U33" s="87">
        <v>3.428668</v>
      </c>
      <c r="V33" s="87">
        <v>4.8588789999999999</v>
      </c>
      <c r="W33" s="87">
        <v>4.6715610000000005</v>
      </c>
      <c r="DA33" s="171" t="s">
        <v>1051</v>
      </c>
    </row>
    <row r="34" spans="1:105" ht="11.45" customHeight="1" x14ac:dyDescent="0.25">
      <c r="A34" s="85" t="s">
        <v>93</v>
      </c>
      <c r="B34" s="88">
        <v>37.143634999999996</v>
      </c>
      <c r="C34" s="88">
        <v>38.095458999999998</v>
      </c>
      <c r="D34" s="88">
        <v>34.381095999999999</v>
      </c>
      <c r="E34" s="88">
        <v>34.377955</v>
      </c>
      <c r="F34" s="88">
        <v>42.805202999999999</v>
      </c>
      <c r="G34" s="88">
        <v>46.996997</v>
      </c>
      <c r="H34" s="88">
        <v>46.836224999999999</v>
      </c>
      <c r="I34" s="88">
        <v>53.600622999999999</v>
      </c>
      <c r="J34" s="88">
        <v>53.803775999999999</v>
      </c>
      <c r="K34" s="88">
        <v>50.089413</v>
      </c>
      <c r="L34" s="88">
        <v>52.489170999999999</v>
      </c>
      <c r="M34" s="88">
        <v>57.204084999999999</v>
      </c>
      <c r="N34" s="88">
        <v>56.107929999999996</v>
      </c>
      <c r="O34" s="88">
        <v>56.293063999999994</v>
      </c>
      <c r="P34" s="88">
        <v>55.101360999999997</v>
      </c>
      <c r="Q34" s="88">
        <v>58.729526</v>
      </c>
      <c r="R34" s="88">
        <v>58.314290999999997</v>
      </c>
      <c r="S34" s="88">
        <v>57.830641999999997</v>
      </c>
      <c r="T34" s="88">
        <v>63.724379999999996</v>
      </c>
      <c r="U34" s="88">
        <v>65.297716999999992</v>
      </c>
      <c r="V34" s="88">
        <v>65.427419999999998</v>
      </c>
      <c r="W34" s="88">
        <v>67.870993999999996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6.8927750000000056</v>
      </c>
      <c r="D36" s="54">
        <f t="shared" ref="D36:V36" si="34">D37+D43</f>
        <v>25.666638999999911</v>
      </c>
      <c r="E36" s="54">
        <f t="shared" si="34"/>
        <v>37.056491999999899</v>
      </c>
      <c r="F36" s="54">
        <f t="shared" si="34"/>
        <v>64.562425999999974</v>
      </c>
      <c r="G36" s="54">
        <f t="shared" si="34"/>
        <v>9.6165850000000148</v>
      </c>
      <c r="H36" s="54">
        <f t="shared" si="34"/>
        <v>35.21202199999999</v>
      </c>
      <c r="I36" s="54">
        <f t="shared" si="34"/>
        <v>16.754509000000009</v>
      </c>
      <c r="J36" s="54">
        <f t="shared" si="34"/>
        <v>46.414769999999983</v>
      </c>
      <c r="K36" s="54">
        <f t="shared" si="34"/>
        <v>68.504084999999918</v>
      </c>
      <c r="L36" s="54">
        <f t="shared" si="34"/>
        <v>87.635017000000047</v>
      </c>
      <c r="M36" s="54">
        <f t="shared" si="34"/>
        <v>19.612516999999919</v>
      </c>
      <c r="N36" s="54">
        <f t="shared" si="34"/>
        <v>46.047942999999961</v>
      </c>
      <c r="O36" s="54">
        <f t="shared" si="34"/>
        <v>44.667622999999935</v>
      </c>
      <c r="P36" s="54">
        <f t="shared" si="34"/>
        <v>19.950191999999948</v>
      </c>
      <c r="Q36" s="54">
        <f t="shared" si="34"/>
        <v>25.749264000000025</v>
      </c>
      <c r="R36" s="54">
        <f t="shared" si="34"/>
        <v>96.9578869999999</v>
      </c>
      <c r="S36" s="54">
        <f t="shared" si="34"/>
        <v>32.985838999999949</v>
      </c>
      <c r="T36" s="54">
        <f t="shared" si="34"/>
        <v>70.758531999999946</v>
      </c>
      <c r="U36" s="54">
        <f t="shared" si="34"/>
        <v>44.026216999999917</v>
      </c>
      <c r="V36" s="54">
        <f t="shared" si="34"/>
        <v>3.001843</v>
      </c>
      <c r="W36" s="54">
        <f t="shared" ref="W36" si="35">W37+W43</f>
        <v>3.7134229999999917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4.671102000000003</v>
      </c>
      <c r="D37" s="28">
        <f t="shared" ref="D37:V37" si="37">SUM(D38,D39,D42)</f>
        <v>25.666638999999911</v>
      </c>
      <c r="E37" s="28">
        <f t="shared" si="37"/>
        <v>35.103277999999897</v>
      </c>
      <c r="F37" s="28">
        <f t="shared" si="37"/>
        <v>53.85356299999998</v>
      </c>
      <c r="G37" s="28">
        <f t="shared" si="37"/>
        <v>4.1549420000000117</v>
      </c>
      <c r="H37" s="28">
        <f t="shared" si="37"/>
        <v>33.44009299999999</v>
      </c>
      <c r="I37" s="28">
        <f t="shared" si="37"/>
        <v>7.7553580000000091</v>
      </c>
      <c r="J37" s="28">
        <f t="shared" si="37"/>
        <v>44.941767999999982</v>
      </c>
      <c r="K37" s="28">
        <f t="shared" si="37"/>
        <v>68.504084999999918</v>
      </c>
      <c r="L37" s="28">
        <f t="shared" si="37"/>
        <v>83.965410000000048</v>
      </c>
      <c r="M37" s="28">
        <f t="shared" si="37"/>
        <v>13.466907999999918</v>
      </c>
      <c r="N37" s="28">
        <f t="shared" si="37"/>
        <v>45.874248999999963</v>
      </c>
      <c r="O37" s="28">
        <f t="shared" si="37"/>
        <v>43.212639999999936</v>
      </c>
      <c r="P37" s="28">
        <f t="shared" si="37"/>
        <v>19.513935999999944</v>
      </c>
      <c r="Q37" s="28">
        <f t="shared" si="37"/>
        <v>20.491951000000022</v>
      </c>
      <c r="R37" s="28">
        <f t="shared" si="37"/>
        <v>95.7172529999999</v>
      </c>
      <c r="S37" s="28">
        <f t="shared" si="37"/>
        <v>32.199638999999948</v>
      </c>
      <c r="T37" s="28">
        <f t="shared" si="37"/>
        <v>63.594944999999953</v>
      </c>
      <c r="U37" s="28">
        <f t="shared" si="37"/>
        <v>41.183030999999929</v>
      </c>
      <c r="V37" s="28">
        <f t="shared" si="37"/>
        <v>0</v>
      </c>
      <c r="W37" s="28">
        <f t="shared" ref="W37" si="38">SUM(W38,W39,W42)</f>
        <v>0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4.0304890000000029</v>
      </c>
      <c r="D38" s="108">
        <v>0.16177199999999914</v>
      </c>
      <c r="E38" s="108">
        <v>4.306319000000002</v>
      </c>
      <c r="F38" s="108">
        <v>6.8516740000000027</v>
      </c>
      <c r="G38" s="108">
        <v>3.5415060000000125</v>
      </c>
      <c r="H38" s="108">
        <v>4.9344400000000093</v>
      </c>
      <c r="I38" s="108">
        <v>6.0236660000000057</v>
      </c>
      <c r="J38" s="108">
        <v>5.2260639999999938</v>
      </c>
      <c r="K38" s="108">
        <v>1.8116170000000125</v>
      </c>
      <c r="L38" s="108">
        <v>4.4482229999999987</v>
      </c>
      <c r="M38" s="108">
        <v>5.4640340000000123</v>
      </c>
      <c r="N38" s="108">
        <v>0</v>
      </c>
      <c r="O38" s="108">
        <v>4.9738420000000048</v>
      </c>
      <c r="P38" s="108">
        <v>1.6771609999999981</v>
      </c>
      <c r="Q38" s="108">
        <v>12.495773000000014</v>
      </c>
      <c r="R38" s="108">
        <v>3.2309220000000067</v>
      </c>
      <c r="S38" s="108">
        <v>0</v>
      </c>
      <c r="T38" s="108">
        <v>17.819575999999998</v>
      </c>
      <c r="U38" s="108">
        <v>2.314889000000008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25.386218999999912</v>
      </c>
      <c r="E39" s="110">
        <f t="shared" si="40"/>
        <v>27.201106999999894</v>
      </c>
      <c r="F39" s="110">
        <f t="shared" si="40"/>
        <v>47.001888999999977</v>
      </c>
      <c r="G39" s="110">
        <f t="shared" si="40"/>
        <v>0.34126799999999946</v>
      </c>
      <c r="H39" s="110">
        <f t="shared" si="40"/>
        <v>28.505652999999981</v>
      </c>
      <c r="I39" s="110">
        <f t="shared" si="40"/>
        <v>0.99300800000000322</v>
      </c>
      <c r="J39" s="110">
        <f t="shared" si="40"/>
        <v>39.02550699999999</v>
      </c>
      <c r="K39" s="110">
        <f t="shared" si="40"/>
        <v>66.547633999999903</v>
      </c>
      <c r="L39" s="110">
        <f t="shared" si="40"/>
        <v>79.51718700000005</v>
      </c>
      <c r="M39" s="110">
        <f t="shared" si="40"/>
        <v>8.0028739999999061</v>
      </c>
      <c r="N39" s="110">
        <f t="shared" si="40"/>
        <v>45.874248999999963</v>
      </c>
      <c r="O39" s="110">
        <f t="shared" si="40"/>
        <v>38.238797999999932</v>
      </c>
      <c r="P39" s="110">
        <f t="shared" si="40"/>
        <v>17.836774999999946</v>
      </c>
      <c r="Q39" s="110">
        <f t="shared" si="40"/>
        <v>6.5597280000000069</v>
      </c>
      <c r="R39" s="110">
        <f t="shared" si="40"/>
        <v>92.486330999999893</v>
      </c>
      <c r="S39" s="110">
        <f t="shared" si="40"/>
        <v>32.199638999999948</v>
      </c>
      <c r="T39" s="110">
        <f t="shared" si="40"/>
        <v>45.775368999999955</v>
      </c>
      <c r="U39" s="110">
        <f t="shared" si="40"/>
        <v>38.868141999999921</v>
      </c>
      <c r="V39" s="110">
        <f t="shared" si="40"/>
        <v>0</v>
      </c>
      <c r="W39" s="110">
        <f t="shared" ref="W39" si="41">SUM(W40:W41)</f>
        <v>0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2.051124999999999</v>
      </c>
      <c r="E40" s="84">
        <v>2.1097010000000012</v>
      </c>
      <c r="F40" s="84">
        <v>4.7978579999999909</v>
      </c>
      <c r="G40" s="84">
        <v>0.34126799999999946</v>
      </c>
      <c r="H40" s="84">
        <v>3.050494999999998</v>
      </c>
      <c r="I40" s="84">
        <v>0.99300800000000322</v>
      </c>
      <c r="J40" s="84">
        <v>6.5131180000000057</v>
      </c>
      <c r="K40" s="84">
        <v>0</v>
      </c>
      <c r="L40" s="84">
        <v>12.346413999999996</v>
      </c>
      <c r="M40" s="84">
        <v>1.6414369999999963</v>
      </c>
      <c r="N40" s="84">
        <v>0</v>
      </c>
      <c r="O40" s="84">
        <v>2.3289620000000042</v>
      </c>
      <c r="P40" s="84">
        <v>6.367738999999986</v>
      </c>
      <c r="Q40" s="84">
        <v>6.5597280000000069</v>
      </c>
      <c r="R40" s="84">
        <v>4.1312810000000013</v>
      </c>
      <c r="S40" s="84">
        <v>0.40112299999999834</v>
      </c>
      <c r="T40" s="84">
        <v>0</v>
      </c>
      <c r="U40" s="84">
        <v>0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23.335093999999913</v>
      </c>
      <c r="E41" s="84">
        <v>25.091405999999893</v>
      </c>
      <c r="F41" s="84">
        <v>42.204030999999986</v>
      </c>
      <c r="G41" s="84">
        <v>0</v>
      </c>
      <c r="H41" s="84">
        <v>25.455157999999983</v>
      </c>
      <c r="I41" s="84">
        <v>0</v>
      </c>
      <c r="J41" s="84">
        <v>32.512388999999985</v>
      </c>
      <c r="K41" s="84">
        <v>66.547633999999903</v>
      </c>
      <c r="L41" s="84">
        <v>67.170773000000054</v>
      </c>
      <c r="M41" s="84">
        <v>6.3614369999999099</v>
      </c>
      <c r="N41" s="84">
        <v>45.874248999999963</v>
      </c>
      <c r="O41" s="84">
        <v>35.909835999999927</v>
      </c>
      <c r="P41" s="84">
        <v>11.46903599999996</v>
      </c>
      <c r="Q41" s="84">
        <v>0</v>
      </c>
      <c r="R41" s="84">
        <v>88.355049999999892</v>
      </c>
      <c r="S41" s="84">
        <v>31.79851599999995</v>
      </c>
      <c r="T41" s="84">
        <v>45.775368999999955</v>
      </c>
      <c r="U41" s="84">
        <v>38.868141999999921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0.64061299999999999</v>
      </c>
      <c r="D42" s="113">
        <v>0.11864800000000009</v>
      </c>
      <c r="E42" s="113">
        <v>3.5958520000000007</v>
      </c>
      <c r="F42" s="113">
        <v>0</v>
      </c>
      <c r="G42" s="113">
        <v>0.27216799999999974</v>
      </c>
      <c r="H42" s="113">
        <v>0</v>
      </c>
      <c r="I42" s="113">
        <v>0.73868400000000012</v>
      </c>
      <c r="J42" s="113">
        <v>0.69019700000000039</v>
      </c>
      <c r="K42" s="113">
        <v>0.14483400000000035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1.4364500000000007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2.2216730000000027</v>
      </c>
      <c r="D43" s="28">
        <f t="shared" ref="D43:V43" si="43">SUM(D44:D45)</f>
        <v>0</v>
      </c>
      <c r="E43" s="28">
        <f t="shared" si="43"/>
        <v>1.9532140000000018</v>
      </c>
      <c r="F43" s="28">
        <f t="shared" si="43"/>
        <v>10.708862999999999</v>
      </c>
      <c r="G43" s="28">
        <f t="shared" si="43"/>
        <v>5.4616430000000022</v>
      </c>
      <c r="H43" s="28">
        <f t="shared" si="43"/>
        <v>1.7719289999999992</v>
      </c>
      <c r="I43" s="28">
        <f t="shared" si="43"/>
        <v>8.9991510000000012</v>
      </c>
      <c r="J43" s="28">
        <f t="shared" si="43"/>
        <v>1.473002000000001</v>
      </c>
      <c r="K43" s="28">
        <f t="shared" si="43"/>
        <v>0</v>
      </c>
      <c r="L43" s="28">
        <f t="shared" si="43"/>
        <v>3.6696069999999992</v>
      </c>
      <c r="M43" s="28">
        <f t="shared" si="43"/>
        <v>6.1456090000000012</v>
      </c>
      <c r="N43" s="28">
        <f t="shared" si="43"/>
        <v>0.17369399999999757</v>
      </c>
      <c r="O43" s="28">
        <f t="shared" si="43"/>
        <v>1.4549829999999986</v>
      </c>
      <c r="P43" s="28">
        <f t="shared" si="43"/>
        <v>0.43625600000000375</v>
      </c>
      <c r="Q43" s="28">
        <f t="shared" si="43"/>
        <v>5.2573130000000043</v>
      </c>
      <c r="R43" s="28">
        <f t="shared" si="43"/>
        <v>1.2406339999999974</v>
      </c>
      <c r="S43" s="28">
        <f t="shared" si="43"/>
        <v>0.7862000000000009</v>
      </c>
      <c r="T43" s="28">
        <f t="shared" si="43"/>
        <v>7.1635869999999926</v>
      </c>
      <c r="U43" s="28">
        <f t="shared" si="43"/>
        <v>2.8431859999999887</v>
      </c>
      <c r="V43" s="28">
        <f t="shared" si="43"/>
        <v>3.001843</v>
      </c>
      <c r="W43" s="28">
        <f t="shared" ref="W43" si="44">SUM(W44:W45)</f>
        <v>3.7134229999999917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0.6865060000000005</v>
      </c>
      <c r="F44" s="84">
        <v>1.0117659999999997</v>
      </c>
      <c r="G44" s="84">
        <v>0</v>
      </c>
      <c r="H44" s="84">
        <v>0.662852</v>
      </c>
      <c r="I44" s="84">
        <v>0.96490400000000065</v>
      </c>
      <c r="J44" s="84">
        <v>0</v>
      </c>
      <c r="K44" s="84">
        <v>0</v>
      </c>
      <c r="L44" s="84">
        <v>0</v>
      </c>
      <c r="M44" s="84">
        <v>0.16084600000000027</v>
      </c>
      <c r="N44" s="84">
        <v>0</v>
      </c>
      <c r="O44" s="84">
        <v>0</v>
      </c>
      <c r="P44" s="84">
        <v>0.35810999999999993</v>
      </c>
      <c r="Q44" s="84">
        <v>0.35929900000000092</v>
      </c>
      <c r="R44" s="84">
        <v>0.38601999999999936</v>
      </c>
      <c r="S44" s="84">
        <v>0</v>
      </c>
      <c r="T44" s="84">
        <v>0</v>
      </c>
      <c r="U44" s="84">
        <v>0</v>
      </c>
      <c r="V44" s="84">
        <v>1.6022910000000001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2.2216730000000027</v>
      </c>
      <c r="D45" s="86">
        <v>0</v>
      </c>
      <c r="E45" s="86">
        <v>1.2667080000000013</v>
      </c>
      <c r="F45" s="86">
        <v>9.6970969999999994</v>
      </c>
      <c r="G45" s="86">
        <v>5.4616430000000022</v>
      </c>
      <c r="H45" s="86">
        <v>1.1090769999999992</v>
      </c>
      <c r="I45" s="86">
        <v>8.0342470000000006</v>
      </c>
      <c r="J45" s="86">
        <v>1.473002000000001</v>
      </c>
      <c r="K45" s="86">
        <v>0</v>
      </c>
      <c r="L45" s="86">
        <v>3.6696069999999992</v>
      </c>
      <c r="M45" s="86">
        <v>5.9847630000000009</v>
      </c>
      <c r="N45" s="86">
        <v>0.17369399999999757</v>
      </c>
      <c r="O45" s="86">
        <v>1.4549829999999986</v>
      </c>
      <c r="P45" s="86">
        <v>7.8146000000003824E-2</v>
      </c>
      <c r="Q45" s="86">
        <v>4.8980140000000034</v>
      </c>
      <c r="R45" s="86">
        <v>0.85461399999999799</v>
      </c>
      <c r="S45" s="86">
        <v>0.7862000000000009</v>
      </c>
      <c r="T45" s="86">
        <v>7.1635869999999926</v>
      </c>
      <c r="U45" s="86">
        <v>2.8431859999999887</v>
      </c>
      <c r="V45" s="86">
        <v>1.3995519999999999</v>
      </c>
      <c r="W45" s="86">
        <v>3.7134229999999917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132.38558260285399</v>
      </c>
      <c r="C50" s="29">
        <f t="shared" si="45"/>
        <v>133.87207125581307</v>
      </c>
      <c r="D50" s="29">
        <f t="shared" si="45"/>
        <v>132.10475958511358</v>
      </c>
      <c r="E50" s="29">
        <f t="shared" si="45"/>
        <v>125.26496792194449</v>
      </c>
      <c r="F50" s="29">
        <f t="shared" si="45"/>
        <v>126.43177847462596</v>
      </c>
      <c r="G50" s="29">
        <f t="shared" si="45"/>
        <v>135.53447095911821</v>
      </c>
      <c r="H50" s="29">
        <f t="shared" si="45"/>
        <v>140.32015762689053</v>
      </c>
      <c r="I50" s="29">
        <f t="shared" si="45"/>
        <v>147.54496176516571</v>
      </c>
      <c r="J50" s="29">
        <f t="shared" si="45"/>
        <v>143.72631801249099</v>
      </c>
      <c r="K50" s="29">
        <f t="shared" ref="K50:V50" si="46">IF(K4=0,0,K4/K15)</f>
        <v>136.96136800173548</v>
      </c>
      <c r="L50" s="29">
        <f t="shared" si="46"/>
        <v>133.0001765968253</v>
      </c>
      <c r="M50" s="29">
        <f t="shared" si="46"/>
        <v>139.09049264229802</v>
      </c>
      <c r="N50" s="29">
        <f t="shared" si="46"/>
        <v>139.06665880718973</v>
      </c>
      <c r="O50" s="29">
        <f t="shared" si="46"/>
        <v>144.88261429710585</v>
      </c>
      <c r="P50" s="29">
        <f t="shared" si="46"/>
        <v>152.89171119979864</v>
      </c>
      <c r="Q50" s="29">
        <f t="shared" si="46"/>
        <v>135.03264315592645</v>
      </c>
      <c r="R50" s="29">
        <f t="shared" si="46"/>
        <v>130.20485255293346</v>
      </c>
      <c r="S50" s="29">
        <f t="shared" si="46"/>
        <v>131.81701619256222</v>
      </c>
      <c r="T50" s="29">
        <f t="shared" si="46"/>
        <v>132.08466670507238</v>
      </c>
      <c r="U50" s="29">
        <f t="shared" si="46"/>
        <v>133.17843372331046</v>
      </c>
      <c r="V50" s="29">
        <f t="shared" si="46"/>
        <v>71.376239950769218</v>
      </c>
      <c r="W50" s="29">
        <f t="shared" ref="W50" si="47">IF(W4=0,0,W4/W15)</f>
        <v>85.050531131283449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84.240377307816217</v>
      </c>
      <c r="C51" s="115">
        <f t="shared" si="48"/>
        <v>84.358931691045456</v>
      </c>
      <c r="D51" s="115">
        <f t="shared" si="48"/>
        <v>84.375963915172349</v>
      </c>
      <c r="E51" s="115">
        <f t="shared" si="48"/>
        <v>85.116837801933784</v>
      </c>
      <c r="F51" s="115">
        <f t="shared" si="48"/>
        <v>85.057333752399558</v>
      </c>
      <c r="G51" s="115">
        <f t="shared" si="48"/>
        <v>86.098024420849626</v>
      </c>
      <c r="H51" s="115">
        <f t="shared" si="48"/>
        <v>87.010072942753894</v>
      </c>
      <c r="I51" s="115">
        <f t="shared" si="48"/>
        <v>85.175218287992237</v>
      </c>
      <c r="J51" s="115">
        <f t="shared" si="48"/>
        <v>85.633582687701761</v>
      </c>
      <c r="K51" s="115">
        <f t="shared" ref="K51:V51" si="49">IF(K5=0,0,K5/K16)</f>
        <v>86.22691002692568</v>
      </c>
      <c r="L51" s="115">
        <f t="shared" si="49"/>
        <v>87.266012913927639</v>
      </c>
      <c r="M51" s="115">
        <f t="shared" si="49"/>
        <v>87.971669410994167</v>
      </c>
      <c r="N51" s="115">
        <f t="shared" si="49"/>
        <v>87.865434302349385</v>
      </c>
      <c r="O51" s="115">
        <f t="shared" si="49"/>
        <v>88.931318080686083</v>
      </c>
      <c r="P51" s="115">
        <f t="shared" si="49"/>
        <v>89.702707445553585</v>
      </c>
      <c r="Q51" s="115">
        <f t="shared" si="49"/>
        <v>86.327899509866242</v>
      </c>
      <c r="R51" s="115">
        <f t="shared" si="49"/>
        <v>86.482726360071638</v>
      </c>
      <c r="S51" s="115">
        <f t="shared" si="49"/>
        <v>86.62378106321141</v>
      </c>
      <c r="T51" s="115">
        <f t="shared" si="49"/>
        <v>86.752967858455833</v>
      </c>
      <c r="U51" s="115">
        <f t="shared" si="49"/>
        <v>86.869512459799154</v>
      </c>
      <c r="V51" s="115">
        <f t="shared" si="49"/>
        <v>59.402354684083441</v>
      </c>
      <c r="W51" s="115">
        <f t="shared" ref="W51" si="50">IF(W5=0,0,W5/W16)</f>
        <v>69.267989900406775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135.37281388068055</v>
      </c>
      <c r="C52" s="116">
        <f t="shared" si="51"/>
        <v>136.75339644011098</v>
      </c>
      <c r="D52" s="116">
        <f t="shared" si="51"/>
        <v>134.64782149046809</v>
      </c>
      <c r="E52" s="116">
        <f t="shared" si="51"/>
        <v>124.76515463690482</v>
      </c>
      <c r="F52" s="116">
        <f t="shared" si="51"/>
        <v>126.28304578763445</v>
      </c>
      <c r="G52" s="116">
        <f t="shared" si="51"/>
        <v>136.12923260295273</v>
      </c>
      <c r="H52" s="116">
        <f t="shared" si="51"/>
        <v>140.97056772602377</v>
      </c>
      <c r="I52" s="116">
        <f t="shared" si="51"/>
        <v>149.20531797431059</v>
      </c>
      <c r="J52" s="116">
        <f t="shared" si="51"/>
        <v>144.80553940631665</v>
      </c>
      <c r="K52" s="116">
        <f t="shared" ref="K52:V52" si="52">IF(K6=0,0,K6/K17)</f>
        <v>136.7788855508704</v>
      </c>
      <c r="L52" s="116">
        <f t="shared" si="52"/>
        <v>135.62059389624014</v>
      </c>
      <c r="M52" s="116">
        <f t="shared" si="52"/>
        <v>142.30952117421833</v>
      </c>
      <c r="N52" s="116">
        <f t="shared" si="52"/>
        <v>141.80137628774781</v>
      </c>
      <c r="O52" s="116">
        <f t="shared" si="52"/>
        <v>147.93664468297405</v>
      </c>
      <c r="P52" s="116">
        <f t="shared" si="52"/>
        <v>156.94657179592932</v>
      </c>
      <c r="Q52" s="116">
        <f t="shared" si="52"/>
        <v>134.89050300791789</v>
      </c>
      <c r="R52" s="116">
        <f t="shared" si="52"/>
        <v>132.08228422504115</v>
      </c>
      <c r="S52" s="116">
        <f t="shared" si="52"/>
        <v>133.35003553060631</v>
      </c>
      <c r="T52" s="116">
        <f t="shared" si="52"/>
        <v>134.13495274288837</v>
      </c>
      <c r="U52" s="116">
        <f t="shared" si="52"/>
        <v>135.02249407480014</v>
      </c>
      <c r="V52" s="116">
        <f t="shared" si="52"/>
        <v>71.29257596190881</v>
      </c>
      <c r="W52" s="116">
        <f t="shared" ref="W52" si="53">IF(W6=0,0,W6/W17)</f>
        <v>85.26131428541764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110.31837107984833</v>
      </c>
      <c r="C53" s="87">
        <f t="shared" si="54"/>
        <v>111.98335847706984</v>
      </c>
      <c r="D53" s="87">
        <f t="shared" si="54"/>
        <v>110.69657392030081</v>
      </c>
      <c r="E53" s="87">
        <f t="shared" si="54"/>
        <v>108.58638068014646</v>
      </c>
      <c r="F53" s="87">
        <f t="shared" si="54"/>
        <v>110.48330350767755</v>
      </c>
      <c r="G53" s="87">
        <f t="shared" si="54"/>
        <v>118.63502328367568</v>
      </c>
      <c r="H53" s="87">
        <f t="shared" si="54"/>
        <v>125.1719994540629</v>
      </c>
      <c r="I53" s="87">
        <f t="shared" si="54"/>
        <v>132.07019354880276</v>
      </c>
      <c r="J53" s="87">
        <f t="shared" si="54"/>
        <v>125.69467717625032</v>
      </c>
      <c r="K53" s="87">
        <f t="shared" ref="K53:V53" si="55">IF(K7=0,0,K7/K18)</f>
        <v>120.1386217926653</v>
      </c>
      <c r="L53" s="87">
        <f t="shared" si="55"/>
        <v>122.3566834630566</v>
      </c>
      <c r="M53" s="87">
        <f t="shared" si="55"/>
        <v>127.95349190695072</v>
      </c>
      <c r="N53" s="87">
        <f t="shared" si="55"/>
        <v>128.29085650253143</v>
      </c>
      <c r="O53" s="87">
        <f t="shared" si="55"/>
        <v>136.22305791231244</v>
      </c>
      <c r="P53" s="87">
        <f t="shared" si="55"/>
        <v>147.37950368294187</v>
      </c>
      <c r="Q53" s="87">
        <f t="shared" si="55"/>
        <v>123.69021788865604</v>
      </c>
      <c r="R53" s="87">
        <f t="shared" si="55"/>
        <v>123.87373807559415</v>
      </c>
      <c r="S53" s="87">
        <f t="shared" si="55"/>
        <v>122.93767311413221</v>
      </c>
      <c r="T53" s="87">
        <f t="shared" si="55"/>
        <v>123.71897740043309</v>
      </c>
      <c r="U53" s="87">
        <f t="shared" si="55"/>
        <v>125.23559548684716</v>
      </c>
      <c r="V53" s="87">
        <f t="shared" si="55"/>
        <v>64.80157118860906</v>
      </c>
      <c r="W53" s="87">
        <f t="shared" ref="W53" si="56">IF(W7=0,0,W7/W18)</f>
        <v>77.105061432408903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139.14058314372878</v>
      </c>
      <c r="C54" s="87">
        <f t="shared" si="57"/>
        <v>140.41902069761321</v>
      </c>
      <c r="D54" s="87">
        <f t="shared" si="57"/>
        <v>138.1204360273897</v>
      </c>
      <c r="E54" s="87">
        <f t="shared" si="57"/>
        <v>127.05829350305673</v>
      </c>
      <c r="F54" s="87">
        <f t="shared" si="57"/>
        <v>128.48021346242444</v>
      </c>
      <c r="G54" s="87">
        <f t="shared" si="57"/>
        <v>138.56693729245788</v>
      </c>
      <c r="H54" s="87">
        <f t="shared" si="57"/>
        <v>143.14515448755478</v>
      </c>
      <c r="I54" s="87">
        <f t="shared" si="57"/>
        <v>151.58978995839357</v>
      </c>
      <c r="J54" s="87">
        <f t="shared" si="57"/>
        <v>147.50816905861663</v>
      </c>
      <c r="K54" s="87">
        <f t="shared" ref="K54:V54" si="58">IF(K8=0,0,K8/K19)</f>
        <v>138.85144454116389</v>
      </c>
      <c r="L54" s="87">
        <f t="shared" si="58"/>
        <v>137.33040296349046</v>
      </c>
      <c r="M54" s="87">
        <f t="shared" si="58"/>
        <v>144.16147573498057</v>
      </c>
      <c r="N54" s="87">
        <f t="shared" si="58"/>
        <v>143.24130514222665</v>
      </c>
      <c r="O54" s="87">
        <f t="shared" si="58"/>
        <v>149.19925286543662</v>
      </c>
      <c r="P54" s="87">
        <f t="shared" si="58"/>
        <v>158.02872556759581</v>
      </c>
      <c r="Q54" s="87">
        <f t="shared" si="58"/>
        <v>136.25824635373277</v>
      </c>
      <c r="R54" s="87">
        <f t="shared" si="58"/>
        <v>133.00734027526568</v>
      </c>
      <c r="S54" s="87">
        <f t="shared" si="58"/>
        <v>134.46950122981318</v>
      </c>
      <c r="T54" s="87">
        <f t="shared" si="58"/>
        <v>135.09118174573285</v>
      </c>
      <c r="U54" s="87">
        <f t="shared" si="58"/>
        <v>135.80914988968706</v>
      </c>
      <c r="V54" s="87">
        <f t="shared" si="58"/>
        <v>71.845835215099754</v>
      </c>
      <c r="W54" s="87">
        <f t="shared" ref="W54" si="59">IF(W8=0,0,W8/W19)</f>
        <v>85.920029579412017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289.50471698113205</v>
      </c>
      <c r="C55" s="117">
        <f t="shared" si="60"/>
        <v>289.50471698113211</v>
      </c>
      <c r="D55" s="117">
        <f t="shared" si="60"/>
        <v>289.50471698113211</v>
      </c>
      <c r="E55" s="117">
        <f t="shared" si="60"/>
        <v>289.50471698113205</v>
      </c>
      <c r="F55" s="117">
        <f t="shared" si="60"/>
        <v>289.50471698113211</v>
      </c>
      <c r="G55" s="117">
        <f t="shared" si="60"/>
        <v>289.50471698113211</v>
      </c>
      <c r="H55" s="117">
        <f t="shared" si="60"/>
        <v>315.25851197982342</v>
      </c>
      <c r="I55" s="117">
        <f t="shared" si="60"/>
        <v>302.16681507865832</v>
      </c>
      <c r="J55" s="117">
        <f t="shared" si="60"/>
        <v>294.96992892290871</v>
      </c>
      <c r="K55" s="117">
        <f t="shared" ref="K55:V55" si="61">IF(K9=0,0,K9/K20)</f>
        <v>306.47024841132293</v>
      </c>
      <c r="L55" s="117">
        <f t="shared" si="61"/>
        <v>239.13854186089875</v>
      </c>
      <c r="M55" s="117">
        <f t="shared" si="61"/>
        <v>240.53627760252371</v>
      </c>
      <c r="N55" s="117">
        <f t="shared" si="61"/>
        <v>243.69045629282971</v>
      </c>
      <c r="O55" s="117">
        <f t="shared" si="61"/>
        <v>248.50472004035453</v>
      </c>
      <c r="P55" s="117">
        <f t="shared" si="61"/>
        <v>244.14498810982198</v>
      </c>
      <c r="Q55" s="117">
        <f t="shared" si="61"/>
        <v>291.39847864248094</v>
      </c>
      <c r="R55" s="117">
        <f t="shared" si="61"/>
        <v>322.15027286825375</v>
      </c>
      <c r="S55" s="117">
        <f t="shared" si="61"/>
        <v>339.701798505417</v>
      </c>
      <c r="T55" s="117">
        <f t="shared" si="61"/>
        <v>373.12703583061887</v>
      </c>
      <c r="U55" s="117">
        <f t="shared" si="61"/>
        <v>373.12703583061881</v>
      </c>
      <c r="V55" s="117">
        <f t="shared" si="61"/>
        <v>266.06726606726608</v>
      </c>
      <c r="W55" s="117">
        <f t="shared" ref="W55" si="62">IF(W9=0,0,W9/W20)</f>
        <v>281.71828171828167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540.03241491085907</v>
      </c>
      <c r="C56" s="29">
        <f t="shared" si="63"/>
        <v>506.28038897893038</v>
      </c>
      <c r="D56" s="29">
        <f t="shared" si="63"/>
        <v>540.03241491085907</v>
      </c>
      <c r="E56" s="29">
        <f t="shared" si="63"/>
        <v>607.53646677471636</v>
      </c>
      <c r="F56" s="29">
        <f t="shared" si="63"/>
        <v>607.53646677471636</v>
      </c>
      <c r="G56" s="29">
        <f t="shared" si="63"/>
        <v>564.1050302972011</v>
      </c>
      <c r="H56" s="29">
        <f t="shared" si="63"/>
        <v>601.07043868871267</v>
      </c>
      <c r="I56" s="29">
        <f t="shared" si="63"/>
        <v>602.61668367820369</v>
      </c>
      <c r="J56" s="29">
        <f t="shared" si="63"/>
        <v>584.67978233570534</v>
      </c>
      <c r="K56" s="29">
        <f t="shared" ref="K56:V56" si="64">IF(K10=0,0,K10/K21)</f>
        <v>576.6022471910112</v>
      </c>
      <c r="L56" s="29">
        <f t="shared" si="64"/>
        <v>516.28066957119927</v>
      </c>
      <c r="M56" s="29">
        <f t="shared" si="64"/>
        <v>512.95471417965848</v>
      </c>
      <c r="N56" s="29">
        <f t="shared" si="64"/>
        <v>510.65489895113848</v>
      </c>
      <c r="O56" s="29">
        <f t="shared" si="64"/>
        <v>504.75277884246844</v>
      </c>
      <c r="P56" s="29">
        <f t="shared" si="64"/>
        <v>520.08430609597929</v>
      </c>
      <c r="Q56" s="29">
        <f t="shared" si="64"/>
        <v>518.43163538874001</v>
      </c>
      <c r="R56" s="29">
        <f t="shared" si="64"/>
        <v>527.71868892714906</v>
      </c>
      <c r="S56" s="29">
        <f t="shared" si="64"/>
        <v>522.37801478435222</v>
      </c>
      <c r="T56" s="29">
        <f t="shared" si="64"/>
        <v>519.99459721716585</v>
      </c>
      <c r="U56" s="29">
        <f t="shared" si="64"/>
        <v>515.08602258457347</v>
      </c>
      <c r="V56" s="29">
        <f t="shared" si="64"/>
        <v>474.13224123208084</v>
      </c>
      <c r="W56" s="29">
        <f t="shared" ref="W56" si="65">IF(W10=0,0,W10/W21)</f>
        <v>495.43334334344848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645.43304464637072</v>
      </c>
      <c r="C57" s="87">
        <f t="shared" si="66"/>
        <v>660.25448319400004</v>
      </c>
      <c r="D57" s="87">
        <f t="shared" si="66"/>
        <v>697.05085144767429</v>
      </c>
      <c r="E57" s="87">
        <f t="shared" si="66"/>
        <v>697.16685636649879</v>
      </c>
      <c r="F57" s="87">
        <f t="shared" si="66"/>
        <v>719.24018558217006</v>
      </c>
      <c r="G57" s="87">
        <f t="shared" si="66"/>
        <v>748.27466064856389</v>
      </c>
      <c r="H57" s="87">
        <f t="shared" si="66"/>
        <v>731.93777785474651</v>
      </c>
      <c r="I57" s="87">
        <f t="shared" si="66"/>
        <v>742.45167626419152</v>
      </c>
      <c r="J57" s="87">
        <f t="shared" si="66"/>
        <v>750.14288935100365</v>
      </c>
      <c r="K57" s="87">
        <f t="shared" ref="K57:V57" si="67">IF(K11=0,0,K11/K22)</f>
        <v>750.44851564799114</v>
      </c>
      <c r="L57" s="87">
        <f t="shared" si="67"/>
        <v>724.34218679352853</v>
      </c>
      <c r="M57" s="87">
        <f t="shared" si="67"/>
        <v>755.73626897393819</v>
      </c>
      <c r="N57" s="87">
        <f t="shared" si="67"/>
        <v>770.61781026568701</v>
      </c>
      <c r="O57" s="87">
        <f t="shared" si="67"/>
        <v>795.47019312811017</v>
      </c>
      <c r="P57" s="87">
        <f t="shared" si="67"/>
        <v>801.68911640110059</v>
      </c>
      <c r="Q57" s="87">
        <f t="shared" si="67"/>
        <v>837.77245531084588</v>
      </c>
      <c r="R57" s="87">
        <f t="shared" si="67"/>
        <v>781.92533847464301</v>
      </c>
      <c r="S57" s="87">
        <f t="shared" si="67"/>
        <v>813.23860155495231</v>
      </c>
      <c r="T57" s="87">
        <f t="shared" si="67"/>
        <v>812.50127791960256</v>
      </c>
      <c r="U57" s="87">
        <f t="shared" si="67"/>
        <v>800.31474012843057</v>
      </c>
      <c r="V57" s="87">
        <f t="shared" si="67"/>
        <v>584.04736612925683</v>
      </c>
      <c r="W57" s="87">
        <f t="shared" ref="W57" si="68">IF(W11=0,0,W11/W22)</f>
        <v>620.09847970722808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526.62672599883615</v>
      </c>
      <c r="C58" s="88">
        <f t="shared" si="69"/>
        <v>488.89259579314933</v>
      </c>
      <c r="D58" s="88">
        <f t="shared" si="69"/>
        <v>522.36333073874846</v>
      </c>
      <c r="E58" s="88">
        <f t="shared" si="69"/>
        <v>596.21076476471944</v>
      </c>
      <c r="F58" s="88">
        <f t="shared" si="69"/>
        <v>594.00920721596947</v>
      </c>
      <c r="G58" s="88">
        <f t="shared" si="69"/>
        <v>544.55827727262488</v>
      </c>
      <c r="H58" s="88">
        <f t="shared" si="69"/>
        <v>585.76192882342878</v>
      </c>
      <c r="I58" s="88">
        <f t="shared" si="69"/>
        <v>586.25513781762595</v>
      </c>
      <c r="J58" s="88">
        <f t="shared" si="69"/>
        <v>566.47020201855992</v>
      </c>
      <c r="K58" s="88">
        <f t="shared" ref="K58:V58" si="70">IF(K12=0,0,K12/K23)</f>
        <v>559.78502118598647</v>
      </c>
      <c r="L58" s="88">
        <f t="shared" si="70"/>
        <v>496.88767998549201</v>
      </c>
      <c r="M58" s="88">
        <f t="shared" si="70"/>
        <v>491.88198930490279</v>
      </c>
      <c r="N58" s="88">
        <f t="shared" si="70"/>
        <v>491.98037453761793</v>
      </c>
      <c r="O58" s="88">
        <f t="shared" si="70"/>
        <v>484.53624065957507</v>
      </c>
      <c r="P58" s="88">
        <f t="shared" si="70"/>
        <v>498.58713507048373</v>
      </c>
      <c r="Q58" s="88">
        <f t="shared" si="70"/>
        <v>494.54177058405753</v>
      </c>
      <c r="R58" s="88">
        <f t="shared" si="70"/>
        <v>507.63347656819599</v>
      </c>
      <c r="S58" s="88">
        <f t="shared" si="70"/>
        <v>501.91299486934503</v>
      </c>
      <c r="T58" s="88">
        <f t="shared" si="70"/>
        <v>502.52817158816117</v>
      </c>
      <c r="U58" s="88">
        <f t="shared" si="70"/>
        <v>500.10916570189966</v>
      </c>
      <c r="V58" s="88">
        <f t="shared" si="70"/>
        <v>465.96954451759325</v>
      </c>
      <c r="W58" s="88">
        <f t="shared" ref="W58" si="71">IF(W12=0,0,W12/W23)</f>
        <v>486.85264127848694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327.57888826440683</v>
      </c>
      <c r="C61" s="29">
        <f t="shared" ref="C61" si="73">IF(C26=0,0,(C62*C27+C64*C29+C65*C30+C66*C31)/(C27+C29+C30+C31))</f>
        <v>328.14928659233044</v>
      </c>
      <c r="D61" s="29">
        <f t="shared" ref="D61" si="74">IF(D26=0,0,(D62*D27+D64*D29+D65*D30+D66*D31)/(D27+D29+D30+D31))</f>
        <v>327.90330464283841</v>
      </c>
      <c r="E61" s="29">
        <f t="shared" ref="E61" si="75">IF(E26=0,0,(E62*E27+E64*E29+E65*E30+E66*E31)/(E27+E29+E30+E31))</f>
        <v>329.05633064263424</v>
      </c>
      <c r="F61" s="29">
        <f t="shared" ref="F61" si="76">IF(F26=0,0,(F62*F27+F64*F29+F65*F30+F66*F31)/(F27+F29+F30+F31))</f>
        <v>329.12573180752707</v>
      </c>
      <c r="G61" s="29">
        <f t="shared" ref="G61" si="77">IF(G26=0,0,(G62*G27+G64*G29+G65*G30+G66*G31)/(G27+G29+G30+G31))</f>
        <v>329.55236410290354</v>
      </c>
      <c r="H61" s="29">
        <f t="shared" ref="H61" si="78">IF(H26=0,0,(H62*H27+H64*H29+H65*H30+H66*H31)/(H27+H29+H30+H31))</f>
        <v>329.64581705605423</v>
      </c>
      <c r="I61" s="29">
        <f t="shared" ref="I61" si="79">IF(I26=0,0,(I62*I27+I64*I29+I65*I30+I66*I31)/(I27+I29+I30+I31))</f>
        <v>330.45379792918692</v>
      </c>
      <c r="J61" s="29">
        <f t="shared" ref="J61" si="80">IF(J26=0,0,(J62*J27+J64*J29+J65*J30+J66*J31)/(J27+J29+J30+J31))</f>
        <v>330.63289006008392</v>
      </c>
      <c r="K61" s="29">
        <f t="shared" ref="K61" si="81">IF(K26=0,0,(K62*K27+K64*K29+K65*K30+K66*K31)/(K27+K29+K30+K31))</f>
        <v>330.0464415658542</v>
      </c>
      <c r="L61" s="29">
        <f t="shared" ref="L61" si="82">IF(L26=0,0,(L62*L27+L64*L29+L65*L30+L66*L31)/(L27+L29+L30+L31))</f>
        <v>329.52386783314972</v>
      </c>
      <c r="M61" s="29">
        <f t="shared" ref="M61" si="83">IF(M26=0,0,(M62*M27+M64*M29+M65*M30+M66*M31)/(M27+M29+M30+M31))</f>
        <v>329.86492067647708</v>
      </c>
      <c r="N61" s="29">
        <f t="shared" ref="N61" si="84">IF(N26=0,0,(N62*N27+N64*N29+N65*N30+N66*N31)/(N27+N29+N30+N31))</f>
        <v>329.08167570733593</v>
      </c>
      <c r="O61" s="29">
        <f t="shared" ref="O61" si="85">IF(O26=0,0,(O62*O27+O64*O29+O65*O30+O66*O31)/(O27+O29+O30+O31))</f>
        <v>329.07579083710033</v>
      </c>
      <c r="P61" s="29">
        <f t="shared" ref="P61" si="86">IF(P26=0,0,(P62*P27+P64*P29+P65*P30+P66*P31)/(P27+P29+P30+P31))</f>
        <v>329.01782362909228</v>
      </c>
      <c r="Q61" s="29">
        <f t="shared" ref="Q61" si="87">IF(Q26=0,0,(Q62*Q27+Q64*Q29+Q65*Q30+Q66*Q31)/(Q27+Q29+Q30+Q31))</f>
        <v>330.36314403838435</v>
      </c>
      <c r="R61" s="29">
        <f t="shared" ref="R61" si="88">IF(R26=0,0,(R62*R27+R64*R29+R65*R30+R66*R31)/(R27+R29+R30+R31))</f>
        <v>329.64346789407085</v>
      </c>
      <c r="S61" s="29">
        <f t="shared" ref="S61" si="89">IF(S26=0,0,(S62*S27+S64*S29+S65*S30+S66*S31)/(S27+S29+S30+S31))</f>
        <v>329.17356523531987</v>
      </c>
      <c r="T61" s="29">
        <f t="shared" ref="T61" si="90">IF(T26=0,0,(T62*T27+T64*T29+T65*T30+T66*T31)/(T27+T29+T30+T31))</f>
        <v>330.03495484591775</v>
      </c>
      <c r="U61" s="29">
        <f t="shared" ref="U61" si="91">IF(U26=0,0,(U62*U27+U64*U29+U65*U30+U66*U31)/(U27+U29+U30+U31))</f>
        <v>329.88215954977682</v>
      </c>
      <c r="V61" s="29">
        <f t="shared" ref="V61" si="92">IF(V26=0,0,(V62*V27+V64*V29+V65*V30+V66*V31)/(V27+V29+V30+V31))</f>
        <v>330.00568797222661</v>
      </c>
      <c r="W61" s="29">
        <f t="shared" ref="W61" si="93">IF(W26=0,0,(W62*W27+W64*W29+W65*W30+W66*W31)/(W27+W29+W30+W31))</f>
        <v>329.76918803743308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319.99999999999994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319.99999999999994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319.99999999999994</v>
      </c>
      <c r="L63" s="116">
        <f t="shared" ref="L63" si="104">IF(L28=0,0,(L64*L29+L65*L30)/(L29+L30))</f>
        <v>319.99999999999994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319.99999999999994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320.00000000000006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2100.0000000000005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0.40413343883137653</v>
      </c>
      <c r="C72" s="30">
        <f t="shared" ref="C72:J72" si="138">IF(C50=0,0,C50/C61)</f>
        <v>0.4079608785562478</v>
      </c>
      <c r="D72" s="30">
        <f t="shared" si="138"/>
        <v>0.40287718273838635</v>
      </c>
      <c r="E72" s="30">
        <f t="shared" si="138"/>
        <v>0.38067940427496677</v>
      </c>
      <c r="F72" s="30">
        <f t="shared" si="138"/>
        <v>0.38414431402939753</v>
      </c>
      <c r="G72" s="30">
        <f t="shared" si="138"/>
        <v>0.4112683922874158</v>
      </c>
      <c r="H72" s="30">
        <f t="shared" si="138"/>
        <v>0.42566946209127832</v>
      </c>
      <c r="I72" s="30">
        <f t="shared" si="138"/>
        <v>0.44649195345844739</v>
      </c>
      <c r="J72" s="30">
        <f t="shared" si="138"/>
        <v>0.43470060702785035</v>
      </c>
      <c r="K72" s="30">
        <f t="shared" ref="K72:V72" si="139">IF(K50=0,0,K50/K61)</f>
        <v>0.41497604807354838</v>
      </c>
      <c r="L72" s="30">
        <f t="shared" si="139"/>
        <v>0.40361318125874956</v>
      </c>
      <c r="M72" s="30">
        <f t="shared" si="139"/>
        <v>0.42165893953517519</v>
      </c>
      <c r="N72" s="30">
        <f t="shared" si="139"/>
        <v>0.42259010170735445</v>
      </c>
      <c r="O72" s="30">
        <f t="shared" si="139"/>
        <v>0.44027126373700909</v>
      </c>
      <c r="P72" s="30">
        <f t="shared" si="139"/>
        <v>0.46469127268970151</v>
      </c>
      <c r="Q72" s="30">
        <f t="shared" si="139"/>
        <v>0.40874003529957093</v>
      </c>
      <c r="R72" s="30">
        <f t="shared" si="139"/>
        <v>0.39498690322835123</v>
      </c>
      <c r="S72" s="30">
        <f t="shared" si="139"/>
        <v>0.40044836558588404</v>
      </c>
      <c r="T72" s="30">
        <f t="shared" si="139"/>
        <v>0.40021417357666939</v>
      </c>
      <c r="U72" s="30">
        <f t="shared" si="139"/>
        <v>0.40371517485235453</v>
      </c>
      <c r="V72" s="30">
        <f t="shared" si="139"/>
        <v>0.21628790821561919</v>
      </c>
      <c r="W72" s="30">
        <f t="shared" ref="W72" si="140">IF(W50=0,0,W50/W61)</f>
        <v>0.25790927174684708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0.21060094326954054</v>
      </c>
      <c r="C73" s="118">
        <f t="shared" si="141"/>
        <v>0.21089732922761364</v>
      </c>
      <c r="D73" s="118">
        <f t="shared" si="141"/>
        <v>0.21093990978793087</v>
      </c>
      <c r="E73" s="118">
        <f t="shared" si="141"/>
        <v>0.21279209450483447</v>
      </c>
      <c r="F73" s="118">
        <f t="shared" si="141"/>
        <v>0.21264333438099889</v>
      </c>
      <c r="G73" s="118">
        <f t="shared" si="141"/>
        <v>0.21524506105212407</v>
      </c>
      <c r="H73" s="118">
        <f t="shared" si="141"/>
        <v>0.21752518235688473</v>
      </c>
      <c r="I73" s="118">
        <f t="shared" si="141"/>
        <v>0.2129380457199806</v>
      </c>
      <c r="J73" s="118">
        <f t="shared" si="141"/>
        <v>0.2140839567192544</v>
      </c>
      <c r="K73" s="118">
        <f t="shared" ref="K73:V73" si="142">IF(K51=0,0,K51/K62)</f>
        <v>0.21556727506731421</v>
      </c>
      <c r="L73" s="118">
        <f t="shared" si="142"/>
        <v>0.21816503228481909</v>
      </c>
      <c r="M73" s="118">
        <f t="shared" si="142"/>
        <v>0.21992917352748542</v>
      </c>
      <c r="N73" s="118">
        <f t="shared" si="142"/>
        <v>0.21966358575587347</v>
      </c>
      <c r="O73" s="118">
        <f t="shared" si="142"/>
        <v>0.22232829520171521</v>
      </c>
      <c r="P73" s="118">
        <f t="shared" si="142"/>
        <v>0.22425676861388397</v>
      </c>
      <c r="Q73" s="118">
        <f t="shared" si="142"/>
        <v>0.21581974877466562</v>
      </c>
      <c r="R73" s="118">
        <f t="shared" si="142"/>
        <v>0.21620681590017909</v>
      </c>
      <c r="S73" s="118">
        <f t="shared" si="142"/>
        <v>0.21655945265802853</v>
      </c>
      <c r="T73" s="118">
        <f t="shared" si="142"/>
        <v>0.21688241964613958</v>
      </c>
      <c r="U73" s="118">
        <f t="shared" si="142"/>
        <v>0.2171737811494979</v>
      </c>
      <c r="V73" s="118">
        <f t="shared" si="142"/>
        <v>0.14850588671020859</v>
      </c>
      <c r="W73" s="118">
        <f t="shared" ref="W73" si="143">IF(W51=0,0,W51/W62)</f>
        <v>0.17316997475101695</v>
      </c>
      <c r="DA73" s="203"/>
    </row>
    <row r="74" spans="1:105" ht="11.45" customHeight="1" x14ac:dyDescent="0.25">
      <c r="A74" s="109" t="s">
        <v>24</v>
      </c>
      <c r="B74" s="119">
        <f t="shared" si="141"/>
        <v>0.42304004337712681</v>
      </c>
      <c r="C74" s="119">
        <f t="shared" si="141"/>
        <v>0.42735436387534681</v>
      </c>
      <c r="D74" s="119">
        <f t="shared" si="141"/>
        <v>0.42077444215771276</v>
      </c>
      <c r="E74" s="119">
        <f t="shared" si="141"/>
        <v>0.38989110824032758</v>
      </c>
      <c r="F74" s="119">
        <f t="shared" si="141"/>
        <v>0.39463451808635763</v>
      </c>
      <c r="G74" s="119">
        <f t="shared" si="141"/>
        <v>0.42540385188422725</v>
      </c>
      <c r="H74" s="119">
        <f t="shared" si="141"/>
        <v>0.44053302414382439</v>
      </c>
      <c r="I74" s="119">
        <f t="shared" si="141"/>
        <v>0.46626661866972058</v>
      </c>
      <c r="J74" s="119">
        <f t="shared" si="141"/>
        <v>0.45251731064473955</v>
      </c>
      <c r="K74" s="119">
        <f t="shared" ref="K74:V74" si="144">IF(K52=0,0,K52/K63)</f>
        <v>0.42743401734647007</v>
      </c>
      <c r="L74" s="119">
        <f t="shared" si="144"/>
        <v>0.42381435592575051</v>
      </c>
      <c r="M74" s="119">
        <f t="shared" si="144"/>
        <v>0.44471725366943227</v>
      </c>
      <c r="N74" s="119">
        <f t="shared" si="144"/>
        <v>0.44312930089921193</v>
      </c>
      <c r="O74" s="119">
        <f t="shared" si="144"/>
        <v>0.46230201463429388</v>
      </c>
      <c r="P74" s="119">
        <f t="shared" si="144"/>
        <v>0.49045803686227912</v>
      </c>
      <c r="Q74" s="119">
        <f t="shared" si="144"/>
        <v>0.42153282189974339</v>
      </c>
      <c r="R74" s="119">
        <f t="shared" si="144"/>
        <v>0.41275713820325366</v>
      </c>
      <c r="S74" s="119">
        <f t="shared" si="144"/>
        <v>0.41671886103314471</v>
      </c>
      <c r="T74" s="119">
        <f t="shared" si="144"/>
        <v>0.41917172732152619</v>
      </c>
      <c r="U74" s="119">
        <f t="shared" si="144"/>
        <v>0.42194529398375041</v>
      </c>
      <c r="V74" s="119">
        <f t="shared" si="144"/>
        <v>0.22278929988096499</v>
      </c>
      <c r="W74" s="119">
        <f t="shared" ref="W74" si="145">IF(W52=0,0,W52/W63)</f>
        <v>0.2664416071419301</v>
      </c>
      <c r="DA74" s="176"/>
    </row>
    <row r="75" spans="1:105" ht="11.45" customHeight="1" x14ac:dyDescent="0.25">
      <c r="A75" s="111" t="s">
        <v>92</v>
      </c>
      <c r="B75" s="120">
        <f t="shared" si="141"/>
        <v>0.34474490962452603</v>
      </c>
      <c r="C75" s="120">
        <f t="shared" si="141"/>
        <v>0.34994799524084325</v>
      </c>
      <c r="D75" s="120">
        <f t="shared" si="141"/>
        <v>0.34592679350094002</v>
      </c>
      <c r="E75" s="120">
        <f t="shared" si="141"/>
        <v>0.33933243962545767</v>
      </c>
      <c r="F75" s="120">
        <f t="shared" si="141"/>
        <v>0.34526032346149232</v>
      </c>
      <c r="G75" s="120">
        <f t="shared" si="141"/>
        <v>0.37073444776148651</v>
      </c>
      <c r="H75" s="120">
        <f t="shared" si="141"/>
        <v>0.39116249829394656</v>
      </c>
      <c r="I75" s="120">
        <f t="shared" si="141"/>
        <v>0.41271935484000866</v>
      </c>
      <c r="J75" s="120">
        <f t="shared" si="141"/>
        <v>0.39279586617578227</v>
      </c>
      <c r="K75" s="120">
        <f t="shared" ref="K75:V75" si="146">IF(K53=0,0,K53/K64)</f>
        <v>0.37543319310207907</v>
      </c>
      <c r="L75" s="120">
        <f t="shared" si="146"/>
        <v>0.38236463582205188</v>
      </c>
      <c r="M75" s="120">
        <f t="shared" si="146"/>
        <v>0.399854662209221</v>
      </c>
      <c r="N75" s="120">
        <f t="shared" si="146"/>
        <v>0.40090892657041072</v>
      </c>
      <c r="O75" s="120">
        <f t="shared" si="146"/>
        <v>0.4256970559759764</v>
      </c>
      <c r="P75" s="120">
        <f t="shared" si="146"/>
        <v>0.46056094900919337</v>
      </c>
      <c r="Q75" s="120">
        <f t="shared" si="146"/>
        <v>0.38653193090205012</v>
      </c>
      <c r="R75" s="120">
        <f t="shared" si="146"/>
        <v>0.38710543148623172</v>
      </c>
      <c r="S75" s="120">
        <f t="shared" si="146"/>
        <v>0.38418022848166317</v>
      </c>
      <c r="T75" s="120">
        <f t="shared" si="146"/>
        <v>0.38662180437635341</v>
      </c>
      <c r="U75" s="120">
        <f t="shared" si="146"/>
        <v>0.39136123589639737</v>
      </c>
      <c r="V75" s="120">
        <f t="shared" si="146"/>
        <v>0.20250490996440332</v>
      </c>
      <c r="W75" s="120">
        <f t="shared" ref="W75" si="147">IF(W53=0,0,W53/W64)</f>
        <v>0.24095331697627781</v>
      </c>
      <c r="DA75" s="171"/>
    </row>
    <row r="76" spans="1:105" ht="11.45" customHeight="1" x14ac:dyDescent="0.25">
      <c r="A76" s="111" t="s">
        <v>93</v>
      </c>
      <c r="B76" s="120">
        <f t="shared" si="141"/>
        <v>0.4348143223241524</v>
      </c>
      <c r="C76" s="120">
        <f t="shared" si="141"/>
        <v>0.43880943968004127</v>
      </c>
      <c r="D76" s="120">
        <f t="shared" si="141"/>
        <v>0.43162636258559284</v>
      </c>
      <c r="E76" s="120">
        <f t="shared" si="141"/>
        <v>0.39705716719705231</v>
      </c>
      <c r="F76" s="120">
        <f t="shared" si="141"/>
        <v>0.40150066707007637</v>
      </c>
      <c r="G76" s="120">
        <f t="shared" si="141"/>
        <v>0.43302167903893085</v>
      </c>
      <c r="H76" s="120">
        <f t="shared" si="141"/>
        <v>0.44732860777360867</v>
      </c>
      <c r="I76" s="120">
        <f t="shared" si="141"/>
        <v>0.47371809361997991</v>
      </c>
      <c r="J76" s="120">
        <f t="shared" si="141"/>
        <v>0.46096302830817698</v>
      </c>
      <c r="K76" s="120">
        <f t="shared" ref="K76:V76" si="148">IF(K54=0,0,K54/K65)</f>
        <v>0.43391076419113717</v>
      </c>
      <c r="L76" s="120">
        <f t="shared" si="148"/>
        <v>0.42915750926090768</v>
      </c>
      <c r="M76" s="120">
        <f t="shared" si="148"/>
        <v>0.45050461167181427</v>
      </c>
      <c r="N76" s="120">
        <f t="shared" si="148"/>
        <v>0.44762907856945827</v>
      </c>
      <c r="O76" s="120">
        <f t="shared" si="148"/>
        <v>0.46624766520448946</v>
      </c>
      <c r="P76" s="120">
        <f t="shared" si="148"/>
        <v>0.49383976739873692</v>
      </c>
      <c r="Q76" s="120">
        <f t="shared" si="148"/>
        <v>0.42580701985541491</v>
      </c>
      <c r="R76" s="120">
        <f t="shared" si="148"/>
        <v>0.41564793836020525</v>
      </c>
      <c r="S76" s="120">
        <f t="shared" si="148"/>
        <v>0.42021719134316615</v>
      </c>
      <c r="T76" s="120">
        <f t="shared" si="148"/>
        <v>0.42215994295541515</v>
      </c>
      <c r="U76" s="120">
        <f t="shared" si="148"/>
        <v>0.42440359340527206</v>
      </c>
      <c r="V76" s="120">
        <f t="shared" si="148"/>
        <v>0.22451823504718674</v>
      </c>
      <c r="W76" s="120">
        <f t="shared" ref="W76" si="149">IF(W54=0,0,W54/W65)</f>
        <v>0.26850009243566253</v>
      </c>
      <c r="DA76" s="171"/>
    </row>
    <row r="77" spans="1:105" ht="11.45" customHeight="1" x14ac:dyDescent="0.25">
      <c r="A77" s="112" t="s">
        <v>25</v>
      </c>
      <c r="B77" s="121">
        <f t="shared" si="141"/>
        <v>0.51697270889487867</v>
      </c>
      <c r="C77" s="121">
        <f t="shared" si="141"/>
        <v>0.51697270889487879</v>
      </c>
      <c r="D77" s="121">
        <f t="shared" si="141"/>
        <v>0.51697270889487879</v>
      </c>
      <c r="E77" s="121">
        <f t="shared" si="141"/>
        <v>0.51697270889487867</v>
      </c>
      <c r="F77" s="121">
        <f t="shared" si="141"/>
        <v>0.51697270889487879</v>
      </c>
      <c r="G77" s="121">
        <f t="shared" si="141"/>
        <v>0.51697270889487879</v>
      </c>
      <c r="H77" s="121">
        <f t="shared" si="141"/>
        <v>0.56296162853539899</v>
      </c>
      <c r="I77" s="121">
        <f t="shared" si="141"/>
        <v>0.53958359835474701</v>
      </c>
      <c r="J77" s="121">
        <f t="shared" si="141"/>
        <v>0.52673201593376551</v>
      </c>
      <c r="K77" s="121">
        <f t="shared" ref="K77:V77" si="150">IF(K55=0,0,K55/K66)</f>
        <v>0.54726830073450528</v>
      </c>
      <c r="L77" s="121">
        <f t="shared" si="150"/>
        <v>0.42703311046589065</v>
      </c>
      <c r="M77" s="121">
        <f t="shared" si="150"/>
        <v>0.42952906714736377</v>
      </c>
      <c r="N77" s="121">
        <f t="shared" si="150"/>
        <v>0.43516152909433875</v>
      </c>
      <c r="O77" s="121">
        <f t="shared" si="150"/>
        <v>0.44375842864349024</v>
      </c>
      <c r="P77" s="121">
        <f t="shared" si="150"/>
        <v>0.43597319305325355</v>
      </c>
      <c r="Q77" s="121">
        <f t="shared" si="150"/>
        <v>0.52035442614728744</v>
      </c>
      <c r="R77" s="121">
        <f t="shared" si="150"/>
        <v>0.575268344407596</v>
      </c>
      <c r="S77" s="121">
        <f t="shared" si="150"/>
        <v>0.60661035447395895</v>
      </c>
      <c r="T77" s="121">
        <f t="shared" si="150"/>
        <v>0.66629827826896226</v>
      </c>
      <c r="U77" s="121">
        <f t="shared" si="150"/>
        <v>0.66629827826896215</v>
      </c>
      <c r="V77" s="121">
        <f t="shared" si="150"/>
        <v>0.47512011797726084</v>
      </c>
      <c r="W77" s="121">
        <f t="shared" ref="W77" si="151">IF(W55=0,0,W55/W66)</f>
        <v>0.50306836021121726</v>
      </c>
      <c r="DA77" s="204"/>
    </row>
    <row r="78" spans="1:105" ht="11.45" customHeight="1" x14ac:dyDescent="0.25">
      <c r="A78" s="27" t="s">
        <v>34</v>
      </c>
      <c r="B78" s="30">
        <f t="shared" si="141"/>
        <v>0.25715829281469482</v>
      </c>
      <c r="C78" s="30">
        <f t="shared" si="141"/>
        <v>0.24108589951377637</v>
      </c>
      <c r="D78" s="30">
        <f t="shared" si="141"/>
        <v>0.25715829281469482</v>
      </c>
      <c r="E78" s="30">
        <f t="shared" si="141"/>
        <v>0.28930307941653161</v>
      </c>
      <c r="F78" s="30">
        <f t="shared" si="141"/>
        <v>0.28930307941653161</v>
      </c>
      <c r="G78" s="30">
        <f t="shared" si="141"/>
        <v>0.26862144299866719</v>
      </c>
      <c r="H78" s="30">
        <f t="shared" si="141"/>
        <v>0.2862240184231965</v>
      </c>
      <c r="I78" s="30">
        <f t="shared" si="141"/>
        <v>0.28696032556104939</v>
      </c>
      <c r="J78" s="30">
        <f t="shared" si="141"/>
        <v>0.27841894396938349</v>
      </c>
      <c r="K78" s="30">
        <f t="shared" ref="K78:V78" si="152">IF(K56=0,0,K56/K67)</f>
        <v>0.2745724986623862</v>
      </c>
      <c r="L78" s="30">
        <f t="shared" si="152"/>
        <v>0.24584793789104728</v>
      </c>
      <c r="M78" s="30">
        <f t="shared" si="152"/>
        <v>0.24426414960936119</v>
      </c>
      <c r="N78" s="30">
        <f t="shared" si="152"/>
        <v>0.24316899950054213</v>
      </c>
      <c r="O78" s="30">
        <f t="shared" si="152"/>
        <v>0.24035846611546116</v>
      </c>
      <c r="P78" s="30">
        <f t="shared" si="152"/>
        <v>0.24765919337903775</v>
      </c>
      <c r="Q78" s="30">
        <f t="shared" si="152"/>
        <v>0.24687220732797144</v>
      </c>
      <c r="R78" s="30">
        <f t="shared" si="152"/>
        <v>0.25129461377483286</v>
      </c>
      <c r="S78" s="30">
        <f t="shared" si="152"/>
        <v>0.24875143561159629</v>
      </c>
      <c r="T78" s="30">
        <f t="shared" si="152"/>
        <v>0.24761647486531707</v>
      </c>
      <c r="U78" s="30">
        <f t="shared" si="152"/>
        <v>0.24527905837360642</v>
      </c>
      <c r="V78" s="30">
        <f t="shared" si="152"/>
        <v>0.22577725772956231</v>
      </c>
      <c r="W78" s="30">
        <f t="shared" ref="W78" si="153">IF(W56=0,0,W56/W67)</f>
        <v>0.23592063968735641</v>
      </c>
      <c r="DA78" s="173"/>
    </row>
    <row r="79" spans="1:105" ht="11.45" customHeight="1" x14ac:dyDescent="0.25">
      <c r="A79" s="83" t="s">
        <v>92</v>
      </c>
      <c r="B79" s="120">
        <f t="shared" si="141"/>
        <v>0.30734906887922414</v>
      </c>
      <c r="C79" s="120">
        <f t="shared" si="141"/>
        <v>0.31440689675904765</v>
      </c>
      <c r="D79" s="120">
        <f t="shared" si="141"/>
        <v>0.33192897687984491</v>
      </c>
      <c r="E79" s="120">
        <f t="shared" si="141"/>
        <v>0.33198421731738037</v>
      </c>
      <c r="F79" s="120">
        <f t="shared" si="141"/>
        <v>0.34249532646770003</v>
      </c>
      <c r="G79" s="120">
        <f t="shared" si="141"/>
        <v>0.35632126697550659</v>
      </c>
      <c r="H79" s="120">
        <f t="shared" si="141"/>
        <v>0.34854179897845072</v>
      </c>
      <c r="I79" s="120">
        <f t="shared" si="141"/>
        <v>0.35354841726866265</v>
      </c>
      <c r="J79" s="120">
        <f t="shared" si="141"/>
        <v>0.3572108996909541</v>
      </c>
      <c r="K79" s="120">
        <f t="shared" ref="K79:V79" si="154">IF(K57=0,0,K57/K68)</f>
        <v>0.35735643602285294</v>
      </c>
      <c r="L79" s="120">
        <f t="shared" si="154"/>
        <v>0.34492485085406122</v>
      </c>
      <c r="M79" s="120">
        <f t="shared" si="154"/>
        <v>0.35987441379711343</v>
      </c>
      <c r="N79" s="120">
        <f t="shared" si="154"/>
        <v>0.36696086203127953</v>
      </c>
      <c r="O79" s="120">
        <f t="shared" si="154"/>
        <v>0.37879533006100485</v>
      </c>
      <c r="P79" s="120">
        <f t="shared" si="154"/>
        <v>0.38175672209576217</v>
      </c>
      <c r="Q79" s="120">
        <f t="shared" si="154"/>
        <v>0.39893926443373612</v>
      </c>
      <c r="R79" s="120">
        <f t="shared" si="154"/>
        <v>0.37234539927363952</v>
      </c>
      <c r="S79" s="120">
        <f t="shared" si="154"/>
        <v>0.38725647693092968</v>
      </c>
      <c r="T79" s="120">
        <f t="shared" si="154"/>
        <v>0.38690537043790596</v>
      </c>
      <c r="U79" s="120">
        <f t="shared" si="154"/>
        <v>0.38110225720401458</v>
      </c>
      <c r="V79" s="120">
        <f t="shared" si="154"/>
        <v>0.27811779339488418</v>
      </c>
      <c r="W79" s="120">
        <f t="shared" ref="W79" si="155">IF(W57=0,0,W57/W68)</f>
        <v>0.2952849903367753</v>
      </c>
      <c r="DA79" s="171"/>
    </row>
    <row r="80" spans="1:105" ht="11.45" customHeight="1" x14ac:dyDescent="0.25">
      <c r="A80" s="85" t="s">
        <v>93</v>
      </c>
      <c r="B80" s="122">
        <f t="shared" si="141"/>
        <v>0.2507746314280172</v>
      </c>
      <c r="C80" s="122">
        <f t="shared" si="141"/>
        <v>0.23280599799673776</v>
      </c>
      <c r="D80" s="122">
        <f t="shared" si="141"/>
        <v>0.24874444320892783</v>
      </c>
      <c r="E80" s="122">
        <f t="shared" si="141"/>
        <v>0.28390988798319972</v>
      </c>
      <c r="F80" s="122">
        <f t="shared" si="141"/>
        <v>0.28286152724569974</v>
      </c>
      <c r="G80" s="122">
        <f t="shared" si="141"/>
        <v>0.25931346536791661</v>
      </c>
      <c r="H80" s="122">
        <f t="shared" si="141"/>
        <v>0.27893425182068038</v>
      </c>
      <c r="I80" s="122">
        <f t="shared" si="141"/>
        <v>0.27916911324648852</v>
      </c>
      <c r="J80" s="122">
        <f t="shared" si="141"/>
        <v>0.26974771524693331</v>
      </c>
      <c r="K80" s="122">
        <f t="shared" ref="K80:V80" si="156">IF(K58=0,0,K58/K69)</f>
        <v>0.26656429580285068</v>
      </c>
      <c r="L80" s="122">
        <f t="shared" si="156"/>
        <v>0.2366131809454724</v>
      </c>
      <c r="M80" s="122">
        <f t="shared" si="156"/>
        <v>0.23422951871662037</v>
      </c>
      <c r="N80" s="122">
        <f t="shared" si="156"/>
        <v>0.2342763688274371</v>
      </c>
      <c r="O80" s="122">
        <f t="shared" si="156"/>
        <v>0.23073154317122621</v>
      </c>
      <c r="P80" s="122">
        <f t="shared" si="156"/>
        <v>0.23742244527165893</v>
      </c>
      <c r="Q80" s="122">
        <f t="shared" si="156"/>
        <v>0.23549608123050358</v>
      </c>
      <c r="R80" s="122">
        <f t="shared" si="156"/>
        <v>0.2417302269372362</v>
      </c>
      <c r="S80" s="122">
        <f t="shared" si="156"/>
        <v>0.23900618803302145</v>
      </c>
      <c r="T80" s="122">
        <f t="shared" si="156"/>
        <v>0.23929912932769579</v>
      </c>
      <c r="U80" s="122">
        <f t="shared" si="156"/>
        <v>0.23814722176280936</v>
      </c>
      <c r="V80" s="122">
        <f t="shared" si="156"/>
        <v>0.22189025929409203</v>
      </c>
      <c r="W80" s="122">
        <f t="shared" ref="W80" si="157">IF(W58=0,0,W58/W69)</f>
        <v>0.23183459108499377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149356.56491777094</v>
      </c>
      <c r="C82" s="54">
        <f t="shared" si="158"/>
        <v>149516.20853410583</v>
      </c>
      <c r="D82" s="54">
        <f t="shared" si="158"/>
        <v>149162.90865973276</v>
      </c>
      <c r="E82" s="54">
        <f t="shared" si="158"/>
        <v>150647.06241809716</v>
      </c>
      <c r="F82" s="54">
        <f t="shared" si="158"/>
        <v>150931.74219831856</v>
      </c>
      <c r="G82" s="54">
        <f t="shared" si="158"/>
        <v>151218.21787044223</v>
      </c>
      <c r="H82" s="54">
        <f t="shared" si="158"/>
        <v>151065.2748440532</v>
      </c>
      <c r="I82" s="54">
        <f t="shared" si="158"/>
        <v>151616.3180713492</v>
      </c>
      <c r="J82" s="54">
        <f t="shared" si="158"/>
        <v>151663.37852521022</v>
      </c>
      <c r="K82" s="54">
        <f t="shared" ref="K82:V82" si="159">IF(K14=0,0,K14/K25*1000000)</f>
        <v>149839.87385343687</v>
      </c>
      <c r="L82" s="54">
        <f t="shared" si="159"/>
        <v>149492.39832424789</v>
      </c>
      <c r="M82" s="54">
        <f t="shared" si="159"/>
        <v>149719.0103494951</v>
      </c>
      <c r="N82" s="54">
        <f t="shared" si="159"/>
        <v>149338.58227994072</v>
      </c>
      <c r="O82" s="54">
        <f t="shared" si="159"/>
        <v>150022.03623871636</v>
      </c>
      <c r="P82" s="54">
        <f t="shared" si="159"/>
        <v>149563.85420558861</v>
      </c>
      <c r="Q82" s="54">
        <f t="shared" si="159"/>
        <v>151600.04526602916</v>
      </c>
      <c r="R82" s="54">
        <f t="shared" si="159"/>
        <v>149301.29734054257</v>
      </c>
      <c r="S82" s="54">
        <f t="shared" si="159"/>
        <v>149517.08794345937</v>
      </c>
      <c r="T82" s="54">
        <f t="shared" si="159"/>
        <v>149003.44537770824</v>
      </c>
      <c r="U82" s="54">
        <f t="shared" si="159"/>
        <v>149329.36576781384</v>
      </c>
      <c r="V82" s="54">
        <f t="shared" si="159"/>
        <v>142384.35633308225</v>
      </c>
      <c r="W82" s="54">
        <f t="shared" ref="W82" si="160">IF(W14=0,0,W14/W25*1000000)</f>
        <v>147112.20570483018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146671.82792963355</v>
      </c>
      <c r="C83" s="28">
        <f t="shared" si="161"/>
        <v>146727.60587873973</v>
      </c>
      <c r="D83" s="28">
        <f t="shared" si="161"/>
        <v>146889.3557217136</v>
      </c>
      <c r="E83" s="28">
        <f t="shared" si="161"/>
        <v>148206.09806434621</v>
      </c>
      <c r="F83" s="28">
        <f t="shared" si="161"/>
        <v>148039.0945364449</v>
      </c>
      <c r="G83" s="28">
        <f t="shared" si="161"/>
        <v>148018.43617001842</v>
      </c>
      <c r="H83" s="28">
        <f t="shared" si="161"/>
        <v>147878.07154628064</v>
      </c>
      <c r="I83" s="28">
        <f t="shared" si="161"/>
        <v>147923.29663622743</v>
      </c>
      <c r="J83" s="28">
        <f t="shared" si="161"/>
        <v>148084.47191221852</v>
      </c>
      <c r="K83" s="28">
        <f t="shared" ref="K83:V83" si="162">IF(K15=0,0,K15/K26*1000000)</f>
        <v>148251.12459919666</v>
      </c>
      <c r="L83" s="28">
        <f t="shared" si="162"/>
        <v>146329.15396268747</v>
      </c>
      <c r="M83" s="28">
        <f t="shared" si="162"/>
        <v>146257.14173973326</v>
      </c>
      <c r="N83" s="28">
        <f t="shared" si="162"/>
        <v>146084.03248119293</v>
      </c>
      <c r="O83" s="28">
        <f t="shared" si="162"/>
        <v>146822.07885566243</v>
      </c>
      <c r="P83" s="28">
        <f t="shared" si="162"/>
        <v>146354.87934512741</v>
      </c>
      <c r="Q83" s="28">
        <f t="shared" si="162"/>
        <v>148282.52210142944</v>
      </c>
      <c r="R83" s="28">
        <f t="shared" si="162"/>
        <v>146091.60236991986</v>
      </c>
      <c r="S83" s="28">
        <f t="shared" si="162"/>
        <v>146405.30437506124</v>
      </c>
      <c r="T83" s="28">
        <f t="shared" si="162"/>
        <v>145677.67128799792</v>
      </c>
      <c r="U83" s="28">
        <f t="shared" si="162"/>
        <v>146007.12986424877</v>
      </c>
      <c r="V83" s="28">
        <f t="shared" si="162"/>
        <v>138232.84473408872</v>
      </c>
      <c r="W83" s="28">
        <f t="shared" ref="W83" si="163">IF(W15=0,0,W15/W26*1000000)</f>
        <v>143021.09798360732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109999.9990373177</v>
      </c>
      <c r="C84" s="108">
        <f t="shared" si="161"/>
        <v>109999.99969757705</v>
      </c>
      <c r="D84" s="108">
        <f t="shared" si="161"/>
        <v>109999.99993040222</v>
      </c>
      <c r="E84" s="108">
        <f t="shared" si="161"/>
        <v>109999.99985026207</v>
      </c>
      <c r="F84" s="108">
        <f t="shared" si="161"/>
        <v>109999.99993442127</v>
      </c>
      <c r="G84" s="108">
        <f t="shared" si="161"/>
        <v>109999.9991154304</v>
      </c>
      <c r="H84" s="108">
        <f t="shared" si="161"/>
        <v>109999.99879108074</v>
      </c>
      <c r="I84" s="108">
        <f t="shared" si="161"/>
        <v>109999.99981018736</v>
      </c>
      <c r="J84" s="108">
        <f t="shared" si="161"/>
        <v>109999.99996567304</v>
      </c>
      <c r="K84" s="108">
        <f t="shared" ref="K84:V84" si="164">IF(K16=0,0,K16/K27*1000000)</f>
        <v>109999.99949685711</v>
      </c>
      <c r="L84" s="108">
        <f t="shared" si="164"/>
        <v>109999.99898470318</v>
      </c>
      <c r="M84" s="108">
        <f t="shared" si="164"/>
        <v>109999.99948039828</v>
      </c>
      <c r="N84" s="108">
        <f t="shared" si="164"/>
        <v>109610.73328405802</v>
      </c>
      <c r="O84" s="108">
        <f t="shared" si="164"/>
        <v>109999.99965414662</v>
      </c>
      <c r="P84" s="108">
        <f t="shared" si="164"/>
        <v>109999.99975798339</v>
      </c>
      <c r="Q84" s="108">
        <f t="shared" si="164"/>
        <v>109999.99971524585</v>
      </c>
      <c r="R84" s="108">
        <f t="shared" si="164"/>
        <v>109999.9995303936</v>
      </c>
      <c r="S84" s="108">
        <f t="shared" si="164"/>
        <v>109999.99913474826</v>
      </c>
      <c r="T84" s="108">
        <f t="shared" si="164"/>
        <v>109999.9991298016</v>
      </c>
      <c r="U84" s="108">
        <f t="shared" si="164"/>
        <v>109999.99978766438</v>
      </c>
      <c r="V84" s="108">
        <f t="shared" si="164"/>
        <v>76926.184787062608</v>
      </c>
      <c r="W84" s="108">
        <f t="shared" ref="W84" si="165">IF(W16=0,0,W16/W27*1000000)</f>
        <v>85781.995531666049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149999.99974676882</v>
      </c>
      <c r="C85" s="110">
        <f t="shared" si="161"/>
        <v>149999.9997769896</v>
      </c>
      <c r="D85" s="110">
        <f t="shared" si="161"/>
        <v>149999.99972335971</v>
      </c>
      <c r="E85" s="110">
        <f t="shared" si="161"/>
        <v>149999.99981780539</v>
      </c>
      <c r="F85" s="110">
        <f t="shared" si="161"/>
        <v>149999.99969581154</v>
      </c>
      <c r="G85" s="110">
        <f t="shared" si="161"/>
        <v>149999.99978676435</v>
      </c>
      <c r="H85" s="110">
        <f t="shared" si="161"/>
        <v>149999.99974284036</v>
      </c>
      <c r="I85" s="110">
        <f t="shared" si="161"/>
        <v>149999.99979786604</v>
      </c>
      <c r="J85" s="110">
        <f t="shared" si="161"/>
        <v>149999.99964786266</v>
      </c>
      <c r="K85" s="110">
        <f t="shared" ref="K85:V85" si="166">IF(K17=0,0,K17/K28*1000000)</f>
        <v>149999.9997744954</v>
      </c>
      <c r="L85" s="110">
        <f t="shared" si="166"/>
        <v>149999.99969743981</v>
      </c>
      <c r="M85" s="110">
        <f t="shared" si="166"/>
        <v>149999.99985824121</v>
      </c>
      <c r="N85" s="110">
        <f t="shared" si="166"/>
        <v>149352.2508535251</v>
      </c>
      <c r="O85" s="110">
        <f t="shared" si="166"/>
        <v>149999.99987814677</v>
      </c>
      <c r="P85" s="110">
        <f t="shared" si="166"/>
        <v>149999.9999130432</v>
      </c>
      <c r="Q85" s="110">
        <f t="shared" si="166"/>
        <v>149999.99984319721</v>
      </c>
      <c r="R85" s="110">
        <f t="shared" si="166"/>
        <v>149999.99989232694</v>
      </c>
      <c r="S85" s="110">
        <f t="shared" si="166"/>
        <v>149999.9998315722</v>
      </c>
      <c r="T85" s="110">
        <f t="shared" si="166"/>
        <v>149870.96368807275</v>
      </c>
      <c r="U85" s="110">
        <f t="shared" si="166"/>
        <v>149999.99970091102</v>
      </c>
      <c r="V85" s="110">
        <f t="shared" si="166"/>
        <v>145864.22047838787</v>
      </c>
      <c r="W85" s="110">
        <f t="shared" ref="W85" si="167">IF(W17=0,0,W17/W28*1000000)</f>
        <v>149999.99976826884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149999.99955134848</v>
      </c>
      <c r="C86" s="84">
        <f t="shared" si="161"/>
        <v>149999.99984657642</v>
      </c>
      <c r="D86" s="84">
        <f t="shared" si="161"/>
        <v>149999.99931569101</v>
      </c>
      <c r="E86" s="84">
        <f t="shared" si="161"/>
        <v>149999.99919273568</v>
      </c>
      <c r="F86" s="84">
        <f t="shared" si="161"/>
        <v>149999.9987645433</v>
      </c>
      <c r="G86" s="84">
        <f t="shared" si="161"/>
        <v>149999.99867204</v>
      </c>
      <c r="H86" s="84">
        <f t="shared" si="161"/>
        <v>149999.99897960885</v>
      </c>
      <c r="I86" s="84">
        <f t="shared" si="161"/>
        <v>149999.9988926411</v>
      </c>
      <c r="J86" s="84">
        <f t="shared" si="161"/>
        <v>149999.99869031154</v>
      </c>
      <c r="K86" s="84">
        <f t="shared" ref="K86:V86" si="168">IF(K18=0,0,K18/K29*1000000)</f>
        <v>149999.99887118334</v>
      </c>
      <c r="L86" s="84">
        <f t="shared" si="168"/>
        <v>149999.99841933663</v>
      </c>
      <c r="M86" s="84">
        <f t="shared" si="168"/>
        <v>149999.99955193605</v>
      </c>
      <c r="N86" s="84">
        <f t="shared" si="168"/>
        <v>143536.46033625866</v>
      </c>
      <c r="O86" s="84">
        <f t="shared" si="168"/>
        <v>149999.99901830091</v>
      </c>
      <c r="P86" s="84">
        <f t="shared" si="168"/>
        <v>149999.9991713943</v>
      </c>
      <c r="Q86" s="84">
        <f t="shared" si="168"/>
        <v>149999.99885172854</v>
      </c>
      <c r="R86" s="84">
        <f t="shared" si="168"/>
        <v>149999.99956083586</v>
      </c>
      <c r="S86" s="84">
        <f t="shared" si="168"/>
        <v>149999.99872736455</v>
      </c>
      <c r="T86" s="84">
        <f t="shared" si="168"/>
        <v>148479.64874620305</v>
      </c>
      <c r="U86" s="84">
        <f t="shared" si="168"/>
        <v>149999.99804456451</v>
      </c>
      <c r="V86" s="84">
        <f t="shared" si="168"/>
        <v>149999.99901903092</v>
      </c>
      <c r="W86" s="84">
        <f t="shared" ref="W86" si="169">IF(W18=0,0,W18/W29*1000000)</f>
        <v>149999.99884484752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149999.99977615679</v>
      </c>
      <c r="C87" s="84">
        <f t="shared" si="161"/>
        <v>149999.99976669173</v>
      </c>
      <c r="D87" s="84">
        <f t="shared" si="161"/>
        <v>149999.99978246624</v>
      </c>
      <c r="E87" s="84">
        <f t="shared" si="161"/>
        <v>149999.99990640124</v>
      </c>
      <c r="F87" s="84">
        <f t="shared" si="161"/>
        <v>149999.99982531698</v>
      </c>
      <c r="G87" s="84">
        <f t="shared" si="161"/>
        <v>149999.99994209394</v>
      </c>
      <c r="H87" s="84">
        <f t="shared" si="161"/>
        <v>149999.99984789506</v>
      </c>
      <c r="I87" s="84">
        <f t="shared" si="161"/>
        <v>149999.9999238344</v>
      </c>
      <c r="J87" s="84">
        <f t="shared" si="161"/>
        <v>149999.99978327809</v>
      </c>
      <c r="K87" s="84">
        <f t="shared" ref="K87:V87" si="170">IF(K19=0,0,K19/K30*1000000)</f>
        <v>149999.99988700371</v>
      </c>
      <c r="L87" s="84">
        <f t="shared" si="170"/>
        <v>149999.99986219613</v>
      </c>
      <c r="M87" s="84">
        <f t="shared" si="170"/>
        <v>149999.99989775513</v>
      </c>
      <c r="N87" s="84">
        <f t="shared" si="170"/>
        <v>149999.99986405502</v>
      </c>
      <c r="O87" s="84">
        <f t="shared" si="170"/>
        <v>149999.99997082958</v>
      </c>
      <c r="P87" s="84">
        <f t="shared" si="170"/>
        <v>149999.99999693283</v>
      </c>
      <c r="Q87" s="84">
        <f t="shared" si="170"/>
        <v>149999.99996427223</v>
      </c>
      <c r="R87" s="84">
        <f t="shared" si="170"/>
        <v>149999.9999296841</v>
      </c>
      <c r="S87" s="84">
        <f t="shared" si="170"/>
        <v>149999.99995028903</v>
      </c>
      <c r="T87" s="84">
        <f t="shared" si="170"/>
        <v>149999.99994167426</v>
      </c>
      <c r="U87" s="84">
        <f t="shared" si="170"/>
        <v>149999.99983404562</v>
      </c>
      <c r="V87" s="84">
        <f t="shared" si="170"/>
        <v>145522.23148991709</v>
      </c>
      <c r="W87" s="84">
        <f t="shared" ref="W87" si="171">IF(W19=0,0,W19/W30*1000000)</f>
        <v>149999.99984284618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449999.8757879372</v>
      </c>
      <c r="C88" s="113">
        <f t="shared" si="161"/>
        <v>449999.83232805319</v>
      </c>
      <c r="D88" s="113">
        <f t="shared" si="161"/>
        <v>449999.97128889937</v>
      </c>
      <c r="E88" s="113">
        <f t="shared" si="161"/>
        <v>449999.9414195774</v>
      </c>
      <c r="F88" s="113">
        <f t="shared" si="161"/>
        <v>449999.9752843125</v>
      </c>
      <c r="G88" s="113">
        <f t="shared" si="161"/>
        <v>449999.92034302512</v>
      </c>
      <c r="H88" s="113">
        <f t="shared" si="161"/>
        <v>448281.99852814071</v>
      </c>
      <c r="I88" s="113">
        <f t="shared" si="161"/>
        <v>449999.96674087521</v>
      </c>
      <c r="J88" s="113">
        <f t="shared" si="161"/>
        <v>449999.9493455175</v>
      </c>
      <c r="K88" s="113">
        <f t="shared" ref="K88:V88" si="172">IF(K20=0,0,K20/K31*1000000)</f>
        <v>449999.94981817191</v>
      </c>
      <c r="L88" s="113">
        <f t="shared" si="172"/>
        <v>182007.85341997698</v>
      </c>
      <c r="M88" s="113">
        <f t="shared" si="172"/>
        <v>196248.1015549876</v>
      </c>
      <c r="N88" s="113">
        <f t="shared" si="172"/>
        <v>208575.04184355933</v>
      </c>
      <c r="O88" s="113">
        <f t="shared" si="172"/>
        <v>232315.34196907905</v>
      </c>
      <c r="P88" s="113">
        <f t="shared" si="172"/>
        <v>159847.61892475092</v>
      </c>
      <c r="Q88" s="113">
        <f t="shared" si="172"/>
        <v>449999.97366881376</v>
      </c>
      <c r="R88" s="113">
        <f t="shared" si="172"/>
        <v>150890.80759410595</v>
      </c>
      <c r="S88" s="113">
        <f t="shared" si="172"/>
        <v>163804.78133153552</v>
      </c>
      <c r="T88" s="113">
        <f t="shared" si="172"/>
        <v>144317.83680367901</v>
      </c>
      <c r="U88" s="113">
        <f t="shared" si="172"/>
        <v>167119.58264666994</v>
      </c>
      <c r="V88" s="113">
        <f t="shared" si="172"/>
        <v>73994.846660156487</v>
      </c>
      <c r="W88" s="113">
        <f t="shared" ref="W88" si="173">IF(W20=0,0,W20/W31*1000000)</f>
        <v>71744.184809114668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199999.995905485</v>
      </c>
      <c r="C89" s="28">
        <f t="shared" si="161"/>
        <v>199999.99519779108</v>
      </c>
      <c r="D89" s="28">
        <f t="shared" si="161"/>
        <v>195008.4718958411</v>
      </c>
      <c r="E89" s="28">
        <f t="shared" si="161"/>
        <v>199999.99715327504</v>
      </c>
      <c r="F89" s="28">
        <f t="shared" si="161"/>
        <v>199999.99536929856</v>
      </c>
      <c r="G89" s="28">
        <f t="shared" si="161"/>
        <v>199999.99615273645</v>
      </c>
      <c r="H89" s="28">
        <f t="shared" si="161"/>
        <v>199999.99617700477</v>
      </c>
      <c r="I89" s="28">
        <f t="shared" si="161"/>
        <v>199999.99740187434</v>
      </c>
      <c r="J89" s="28">
        <f t="shared" si="161"/>
        <v>199999.99665131859</v>
      </c>
      <c r="K89" s="28">
        <f t="shared" ref="K89:V89" si="174">IF(K21=0,0,K21/K32*1000000)</f>
        <v>174184.79994889034</v>
      </c>
      <c r="L89" s="28">
        <f t="shared" si="174"/>
        <v>199707.74472807089</v>
      </c>
      <c r="M89" s="28">
        <f t="shared" si="174"/>
        <v>199999.99604058411</v>
      </c>
      <c r="N89" s="28">
        <f t="shared" si="174"/>
        <v>198474.62552496017</v>
      </c>
      <c r="O89" s="28">
        <f t="shared" si="174"/>
        <v>199649.58118717631</v>
      </c>
      <c r="P89" s="28">
        <f t="shared" si="174"/>
        <v>199999.99429312596</v>
      </c>
      <c r="Q89" s="28">
        <f t="shared" si="174"/>
        <v>199999.99658786258</v>
      </c>
      <c r="R89" s="28">
        <f t="shared" si="174"/>
        <v>199999.99500244812</v>
      </c>
      <c r="S89" s="28">
        <f t="shared" si="174"/>
        <v>199786.67824999962</v>
      </c>
      <c r="T89" s="28">
        <f t="shared" si="174"/>
        <v>199999.9963974834</v>
      </c>
      <c r="U89" s="28">
        <f t="shared" si="174"/>
        <v>199999.99832618033</v>
      </c>
      <c r="V89" s="28">
        <f t="shared" si="174"/>
        <v>199999.99716262173</v>
      </c>
      <c r="W89" s="28">
        <f t="shared" ref="W89" si="175">IF(W21=0,0,W21/W32*1000000)</f>
        <v>199999.99689301066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199999.97333540651</v>
      </c>
      <c r="C90" s="84">
        <f t="shared" si="161"/>
        <v>199999.96020543191</v>
      </c>
      <c r="D90" s="84">
        <f t="shared" si="161"/>
        <v>196806.62899520691</v>
      </c>
      <c r="E90" s="84">
        <f t="shared" si="161"/>
        <v>199999.98439587365</v>
      </c>
      <c r="F90" s="84">
        <f t="shared" si="161"/>
        <v>199999.98810204057</v>
      </c>
      <c r="G90" s="84">
        <f t="shared" si="161"/>
        <v>199999.96473666004</v>
      </c>
      <c r="H90" s="84">
        <f t="shared" si="161"/>
        <v>199999.99004823552</v>
      </c>
      <c r="I90" s="84">
        <f t="shared" si="161"/>
        <v>199999.97940839891</v>
      </c>
      <c r="J90" s="84">
        <f t="shared" si="161"/>
        <v>199999.97726880145</v>
      </c>
      <c r="K90" s="84">
        <f t="shared" ref="K90:V90" si="176">IF(K22=0,0,K22/K33*1000000)</f>
        <v>156598.60359977462</v>
      </c>
      <c r="L90" s="84">
        <f t="shared" si="176"/>
        <v>196625.15800346906</v>
      </c>
      <c r="M90" s="84">
        <f t="shared" si="176"/>
        <v>199999.97107636835</v>
      </c>
      <c r="N90" s="84">
        <f t="shared" si="176"/>
        <v>179424.83640929413</v>
      </c>
      <c r="O90" s="84">
        <f t="shared" si="176"/>
        <v>194742.99018613889</v>
      </c>
      <c r="P90" s="84">
        <f t="shared" si="176"/>
        <v>199999.95893629343</v>
      </c>
      <c r="Q90" s="84">
        <f t="shared" si="176"/>
        <v>199999.98838265758</v>
      </c>
      <c r="R90" s="84">
        <f t="shared" si="176"/>
        <v>199999.9655926603</v>
      </c>
      <c r="S90" s="84">
        <f t="shared" si="176"/>
        <v>196803.32565461667</v>
      </c>
      <c r="T90" s="84">
        <f t="shared" si="176"/>
        <v>199999.9608438818</v>
      </c>
      <c r="U90" s="84">
        <f t="shared" si="176"/>
        <v>199999.99555745424</v>
      </c>
      <c r="V90" s="84">
        <f t="shared" si="176"/>
        <v>199999.96025514585</v>
      </c>
      <c r="W90" s="84">
        <f t="shared" ref="W90" si="177">IF(W22=0,0,W22/W33*1000000)</f>
        <v>199999.99344545658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199999.99877612718</v>
      </c>
      <c r="C91" s="86">
        <f t="shared" si="161"/>
        <v>199999.99914936506</v>
      </c>
      <c r="D91" s="86">
        <f t="shared" si="161"/>
        <v>194808.18225196804</v>
      </c>
      <c r="E91" s="86">
        <f t="shared" si="161"/>
        <v>199999.99876530122</v>
      </c>
      <c r="F91" s="86">
        <f t="shared" si="161"/>
        <v>199999.99624935957</v>
      </c>
      <c r="G91" s="86">
        <f t="shared" si="161"/>
        <v>199999.99948706682</v>
      </c>
      <c r="H91" s="86">
        <f t="shared" si="161"/>
        <v>199999.99689393173</v>
      </c>
      <c r="I91" s="86">
        <f t="shared" si="161"/>
        <v>199999.99950722078</v>
      </c>
      <c r="J91" s="86">
        <f t="shared" si="161"/>
        <v>199999.99878440765</v>
      </c>
      <c r="K91" s="86">
        <f t="shared" ref="K91:V91" si="178">IF(K23=0,0,K23/K34*1000000)</f>
        <v>176097.85330061661</v>
      </c>
      <c r="L91" s="86">
        <f t="shared" si="178"/>
        <v>199999.9978864826</v>
      </c>
      <c r="M91" s="86">
        <f t="shared" si="178"/>
        <v>199999.99820740492</v>
      </c>
      <c r="N91" s="86">
        <f t="shared" si="178"/>
        <v>199999.99749652785</v>
      </c>
      <c r="O91" s="86">
        <f t="shared" si="178"/>
        <v>199999.99704873335</v>
      </c>
      <c r="P91" s="86">
        <f t="shared" si="178"/>
        <v>199999.99699219922</v>
      </c>
      <c r="Q91" s="86">
        <f t="shared" si="178"/>
        <v>199999.99720169342</v>
      </c>
      <c r="R91" s="86">
        <f t="shared" si="178"/>
        <v>199999.99732615572</v>
      </c>
      <c r="S91" s="86">
        <f t="shared" si="178"/>
        <v>199999.99719978045</v>
      </c>
      <c r="T91" s="86">
        <f t="shared" si="178"/>
        <v>199999.9985204929</v>
      </c>
      <c r="U91" s="86">
        <f t="shared" si="178"/>
        <v>199999.99847156124</v>
      </c>
      <c r="V91" s="86">
        <f t="shared" si="178"/>
        <v>199999.99990350558</v>
      </c>
      <c r="W91" s="86">
        <f t="shared" ref="W91" si="179">IF(W23=0,0,W23/W34*1000000)</f>
        <v>199999.99713030583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19417235.391890086</v>
      </c>
      <c r="C94" s="28">
        <f t="shared" si="180"/>
        <v>19642728.509393502</v>
      </c>
      <c r="D94" s="28">
        <f t="shared" si="180"/>
        <v>19404783.023229208</v>
      </c>
      <c r="E94" s="28">
        <f t="shared" si="180"/>
        <v>18565032.119866889</v>
      </c>
      <c r="F94" s="28">
        <f t="shared" si="180"/>
        <v>18716846.006016012</v>
      </c>
      <c r="G94" s="28">
        <f t="shared" si="180"/>
        <v>20061600.438499454</v>
      </c>
      <c r="H94" s="28">
        <f t="shared" si="180"/>
        <v>20750274.308934692</v>
      </c>
      <c r="I94" s="28">
        <f t="shared" si="180"/>
        <v>21825337.146369446</v>
      </c>
      <c r="J94" s="28">
        <f t="shared" si="180"/>
        <v>21283635.902767312</v>
      </c>
      <c r="K94" s="28">
        <f t="shared" ref="K94:V94" si="181">IF(K4=0,0,K4/K26*1000000)</f>
        <v>20304676.832901713</v>
      </c>
      <c r="L94" s="28">
        <f t="shared" si="181"/>
        <v>19461803.318301469</v>
      </c>
      <c r="M94" s="28">
        <f t="shared" si="181"/>
        <v>20342977.897033904</v>
      </c>
      <c r="N94" s="28">
        <f t="shared" si="181"/>
        <v>20315418.302240476</v>
      </c>
      <c r="O94" s="28">
        <f t="shared" si="181"/>
        <v>21271966.621144202</v>
      </c>
      <c r="P94" s="28">
        <f t="shared" si="181"/>
        <v>22376447.945516594</v>
      </c>
      <c r="Q94" s="28">
        <f t="shared" si="181"/>
        <v>20022980.893183101</v>
      </c>
      <c r="R94" s="28">
        <f t="shared" si="181"/>
        <v>19021835.545797203</v>
      </c>
      <c r="S94" s="28">
        <f t="shared" si="181"/>
        <v>19298710.377484448</v>
      </c>
      <c r="T94" s="28">
        <f t="shared" si="181"/>
        <v>19241786.658446293</v>
      </c>
      <c r="U94" s="28">
        <f t="shared" si="181"/>
        <v>19445000.867756635</v>
      </c>
      <c r="V94" s="28">
        <f t="shared" si="181"/>
        <v>9866540.6948177423</v>
      </c>
      <c r="W94" s="28">
        <f t="shared" ref="W94" si="182">IF(W4=0,0,W4/W26*1000000)</f>
        <v>12164020.346485134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9266441.4227630645</v>
      </c>
      <c r="C95" s="108">
        <f t="shared" si="180"/>
        <v>9279482.4605029244</v>
      </c>
      <c r="D95" s="108">
        <f t="shared" si="180"/>
        <v>9281356.0247965772</v>
      </c>
      <c r="E95" s="108">
        <f t="shared" si="180"/>
        <v>9362852.1454674955</v>
      </c>
      <c r="F95" s="108">
        <f t="shared" si="180"/>
        <v>9356306.7071859986</v>
      </c>
      <c r="G95" s="108">
        <f t="shared" si="180"/>
        <v>9470782.6101337634</v>
      </c>
      <c r="H95" s="108">
        <f t="shared" si="180"/>
        <v>9571107.9185147751</v>
      </c>
      <c r="I95" s="108">
        <f t="shared" si="180"/>
        <v>9369273.9955118112</v>
      </c>
      <c r="J95" s="108">
        <f t="shared" si="180"/>
        <v>9419694.0927076526</v>
      </c>
      <c r="K95" s="108">
        <f t="shared" ref="K95:V95" si="183">IF(K5=0,0,K5/K27*1000000)</f>
        <v>9484960.0595773701</v>
      </c>
      <c r="L95" s="108">
        <f t="shared" si="183"/>
        <v>9599261.3319311328</v>
      </c>
      <c r="M95" s="108">
        <f t="shared" si="183"/>
        <v>9676883.589499129</v>
      </c>
      <c r="N95" s="108">
        <f t="shared" si="183"/>
        <v>9630994.6842027418</v>
      </c>
      <c r="O95" s="108">
        <f t="shared" si="183"/>
        <v>9782444.9581182748</v>
      </c>
      <c r="P95" s="108">
        <f t="shared" si="183"/>
        <v>9867297.7973013483</v>
      </c>
      <c r="Q95" s="108">
        <f t="shared" si="183"/>
        <v>9496068.9215030577</v>
      </c>
      <c r="R95" s="108">
        <f t="shared" si="183"/>
        <v>9513099.858995039</v>
      </c>
      <c r="S95" s="108">
        <f t="shared" si="183"/>
        <v>9528615.8420018759</v>
      </c>
      <c r="T95" s="108">
        <f t="shared" si="183"/>
        <v>9542826.3889378477</v>
      </c>
      <c r="U95" s="108">
        <f t="shared" si="183"/>
        <v>9555646.3521324154</v>
      </c>
      <c r="V95" s="108">
        <f t="shared" si="183"/>
        <v>4569596.5132144373</v>
      </c>
      <c r="W95" s="108">
        <f t="shared" ref="W95" si="184">IF(W5=0,0,W5/W27*1000000)</f>
        <v>5941946.400124182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20305922.047821473</v>
      </c>
      <c r="C96" s="110">
        <f t="shared" si="180"/>
        <v>20513009.435519215</v>
      </c>
      <c r="D96" s="110">
        <f t="shared" si="180"/>
        <v>20197173.186321199</v>
      </c>
      <c r="E96" s="110">
        <f t="shared" si="180"/>
        <v>18714773.172804188</v>
      </c>
      <c r="F96" s="110">
        <f t="shared" si="180"/>
        <v>18942456.829731323</v>
      </c>
      <c r="G96" s="110">
        <f t="shared" si="180"/>
        <v>20419384.861415308</v>
      </c>
      <c r="H96" s="110">
        <f t="shared" si="180"/>
        <v>21145585.122651629</v>
      </c>
      <c r="I96" s="110">
        <f t="shared" si="180"/>
        <v>22380797.665987127</v>
      </c>
      <c r="J96" s="110">
        <f t="shared" si="180"/>
        <v>21720830.85995606</v>
      </c>
      <c r="K96" s="110">
        <f t="shared" ref="K96:V96" si="185">IF(K6=0,0,K6/K28*1000000)</f>
        <v>20516832.801786292</v>
      </c>
      <c r="L96" s="110">
        <f t="shared" si="185"/>
        <v>20343089.043402627</v>
      </c>
      <c r="M96" s="110">
        <f t="shared" si="185"/>
        <v>21346428.155959122</v>
      </c>
      <c r="N96" s="110">
        <f t="shared" si="185"/>
        <v>21178354.72270282</v>
      </c>
      <c r="O96" s="110">
        <f t="shared" si="185"/>
        <v>22190496.684419546</v>
      </c>
      <c r="P96" s="110">
        <f t="shared" si="185"/>
        <v>23541985.755741823</v>
      </c>
      <c r="Q96" s="110">
        <f t="shared" si="185"/>
        <v>20233575.430036474</v>
      </c>
      <c r="R96" s="110">
        <f t="shared" si="185"/>
        <v>19812342.619534474</v>
      </c>
      <c r="S96" s="110">
        <f t="shared" si="185"/>
        <v>20002505.307131097</v>
      </c>
      <c r="T96" s="110">
        <f t="shared" si="185"/>
        <v>20102934.631830782</v>
      </c>
      <c r="U96" s="110">
        <f t="shared" si="185"/>
        <v>20253374.07083628</v>
      </c>
      <c r="V96" s="110">
        <f t="shared" si="185"/>
        <v>10399036.018580083</v>
      </c>
      <c r="W96" s="110">
        <f t="shared" ref="W96" si="186">IF(W6=0,0,W6/W28*1000000)</f>
        <v>12789197.123054942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16547755.612482745</v>
      </c>
      <c r="C97" s="84">
        <f t="shared" si="180"/>
        <v>16797503.754379585</v>
      </c>
      <c r="D97" s="84">
        <f t="shared" si="180"/>
        <v>16604486.012294458</v>
      </c>
      <c r="E97" s="84">
        <f t="shared" si="180"/>
        <v>16287957.014364056</v>
      </c>
      <c r="F97" s="84">
        <f t="shared" si="180"/>
        <v>16572495.389654294</v>
      </c>
      <c r="G97" s="84">
        <f t="shared" si="180"/>
        <v>17795253.335008789</v>
      </c>
      <c r="H97" s="84">
        <f t="shared" si="180"/>
        <v>18775799.790385034</v>
      </c>
      <c r="I97" s="84">
        <f t="shared" si="180"/>
        <v>19810528.886071309</v>
      </c>
      <c r="J97" s="84">
        <f t="shared" si="180"/>
        <v>18854201.411816675</v>
      </c>
      <c r="K97" s="84">
        <f t="shared" ref="K97:V97" si="187">IF(K7=0,0,K7/K29*1000000)</f>
        <v>18020793.133285321</v>
      </c>
      <c r="L97" s="84">
        <f t="shared" si="187"/>
        <v>18353502.326053761</v>
      </c>
      <c r="M97" s="84">
        <f t="shared" si="187"/>
        <v>19193023.728711259</v>
      </c>
      <c r="N97" s="84">
        <f t="shared" si="187"/>
        <v>18414415.435880255</v>
      </c>
      <c r="O97" s="84">
        <f t="shared" si="187"/>
        <v>20433458.55311681</v>
      </c>
      <c r="P97" s="84">
        <f t="shared" si="187"/>
        <v>22106925.430321787</v>
      </c>
      <c r="Q97" s="84">
        <f t="shared" si="187"/>
        <v>18553532.54126846</v>
      </c>
      <c r="R97" s="84">
        <f t="shared" si="187"/>
        <v>18581060.656938221</v>
      </c>
      <c r="S97" s="84">
        <f t="shared" si="187"/>
        <v>18440650.810664989</v>
      </c>
      <c r="T97" s="84">
        <f t="shared" si="187"/>
        <v>18369750.307655737</v>
      </c>
      <c r="U97" s="84">
        <f t="shared" si="187"/>
        <v>18785339.078136947</v>
      </c>
      <c r="V97" s="84">
        <f t="shared" si="187"/>
        <v>9720235.6147230193</v>
      </c>
      <c r="W97" s="84">
        <f t="shared" ref="W97" si="188">IF(W7=0,0,W7/W29*1000000)</f>
        <v>11565759.125793232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20871087.440413646</v>
      </c>
      <c r="C98" s="84">
        <f t="shared" si="180"/>
        <v>21062853.071881067</v>
      </c>
      <c r="D98" s="84">
        <f t="shared" si="180"/>
        <v>20718065.374062601</v>
      </c>
      <c r="E98" s="84">
        <f t="shared" si="180"/>
        <v>19058744.013566013</v>
      </c>
      <c r="F98" s="84">
        <f t="shared" si="180"/>
        <v>19272031.996920355</v>
      </c>
      <c r="G98" s="84">
        <f t="shared" si="180"/>
        <v>20785040.585844819</v>
      </c>
      <c r="H98" s="84">
        <f t="shared" si="180"/>
        <v>21471773.151360128</v>
      </c>
      <c r="I98" s="84">
        <f t="shared" si="180"/>
        <v>22738468.482213106</v>
      </c>
      <c r="J98" s="84">
        <f t="shared" si="180"/>
        <v>22126225.326824244</v>
      </c>
      <c r="K98" s="84">
        <f t="shared" ref="K98:V98" si="189">IF(K8=0,0,K8/K30*1000000)</f>
        <v>20827716.665484883</v>
      </c>
      <c r="L98" s="84">
        <f t="shared" si="189"/>
        <v>20599560.425598904</v>
      </c>
      <c r="M98" s="84">
        <f t="shared" si="189"/>
        <v>21624221.345507313</v>
      </c>
      <c r="N98" s="84">
        <f t="shared" si="189"/>
        <v>21486195.751861062</v>
      </c>
      <c r="O98" s="84">
        <f t="shared" si="189"/>
        <v>22379887.925463289</v>
      </c>
      <c r="P98" s="84">
        <f t="shared" si="189"/>
        <v>23704308.83465467</v>
      </c>
      <c r="Q98" s="84">
        <f t="shared" si="189"/>
        <v>20438736.948191706</v>
      </c>
      <c r="R98" s="84">
        <f t="shared" si="189"/>
        <v>19951101.03193732</v>
      </c>
      <c r="S98" s="84">
        <f t="shared" si="189"/>
        <v>20170425.177787367</v>
      </c>
      <c r="T98" s="84">
        <f t="shared" si="189"/>
        <v>20263677.253980637</v>
      </c>
      <c r="U98" s="84">
        <f t="shared" si="189"/>
        <v>20371372.460914932</v>
      </c>
      <c r="V98" s="84">
        <f t="shared" si="189"/>
        <v>10455166.263758183</v>
      </c>
      <c r="W98" s="84">
        <f t="shared" ref="W98" si="190">IF(W8=0,0,W8/W30*1000000)</f>
        <v>12888004.423409142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130277086.68153132</v>
      </c>
      <c r="C99" s="113">
        <f t="shared" si="180"/>
        <v>130277074.09968995</v>
      </c>
      <c r="D99" s="113">
        <f t="shared" si="180"/>
        <v>130277114.32951036</v>
      </c>
      <c r="E99" s="113">
        <f t="shared" si="180"/>
        <v>130277105.68220076</v>
      </c>
      <c r="F99" s="113">
        <f t="shared" si="180"/>
        <v>130277115.48620133</v>
      </c>
      <c r="G99" s="113">
        <f t="shared" si="180"/>
        <v>130277099.58043948</v>
      </c>
      <c r="H99" s="113">
        <f t="shared" si="180"/>
        <v>141324715.80332303</v>
      </c>
      <c r="I99" s="113">
        <f t="shared" si="180"/>
        <v>135975056.73559242</v>
      </c>
      <c r="J99" s="113">
        <f t="shared" si="180"/>
        <v>132736453.07375984</v>
      </c>
      <c r="K99" s="113">
        <f t="shared" ref="K99:V99" si="191">IF(K9=0,0,K9/K31*1000000)</f>
        <v>137911596.40585801</v>
      </c>
      <c r="L99" s="113">
        <f t="shared" si="191"/>
        <v>43525092.674085483</v>
      </c>
      <c r="M99" s="113">
        <f t="shared" si="191"/>
        <v>47204787.834598757</v>
      </c>
      <c r="N99" s="113">
        <f t="shared" si="191"/>
        <v>50827747.118153021</v>
      </c>
      <c r="O99" s="113">
        <f t="shared" si="191"/>
        <v>57731459.017105207</v>
      </c>
      <c r="P99" s="113">
        <f t="shared" si="191"/>
        <v>39025995.02176667</v>
      </c>
      <c r="Q99" s="113">
        <f t="shared" si="191"/>
        <v>131129307.71624881</v>
      </c>
      <c r="R99" s="113">
        <f t="shared" si="191"/>
        <v>48609514.839752406</v>
      </c>
      <c r="S99" s="113">
        <f t="shared" si="191"/>
        <v>55644778.82210917</v>
      </c>
      <c r="T99" s="113">
        <f t="shared" si="191"/>
        <v>53848886.664043754</v>
      </c>
      <c r="U99" s="113">
        <f t="shared" si="191"/>
        <v>62356834.502202079</v>
      </c>
      <c r="V99" s="113">
        <f t="shared" si="191"/>
        <v>19687606.553934406</v>
      </c>
      <c r="W99" s="113">
        <f t="shared" ref="W99" si="192">IF(W9=0,0,W9/W31*1000000)</f>
        <v>20211648.467702635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108006480.771001</v>
      </c>
      <c r="C100" s="28">
        <f t="shared" si="180"/>
        <v>101256075.36452188</v>
      </c>
      <c r="D100" s="28">
        <f t="shared" si="180"/>
        <v>105310896.00598745</v>
      </c>
      <c r="E100" s="28">
        <f t="shared" si="180"/>
        <v>121507291.62545404</v>
      </c>
      <c r="F100" s="28">
        <f t="shared" si="180"/>
        <v>121507290.54162329</v>
      </c>
      <c r="G100" s="28">
        <f t="shared" si="180"/>
        <v>112821003.88917951</v>
      </c>
      <c r="H100" s="28">
        <f t="shared" si="180"/>
        <v>120214085.4398531</v>
      </c>
      <c r="I100" s="28">
        <f t="shared" si="180"/>
        <v>120523335.16996689</v>
      </c>
      <c r="J100" s="28">
        <f t="shared" si="180"/>
        <v>116935954.50923474</v>
      </c>
      <c r="K100" s="28">
        <f t="shared" ref="K100:V100" si="193">IF(K10=0,0,K10/K32*1000000)</f>
        <v>100435347.07704692</v>
      </c>
      <c r="L100" s="28">
        <f t="shared" si="193"/>
        <v>103105248.16676258</v>
      </c>
      <c r="M100" s="28">
        <f t="shared" si="193"/>
        <v>102590940.80493064</v>
      </c>
      <c r="N100" s="28">
        <f t="shared" si="193"/>
        <v>101352039.84181359</v>
      </c>
      <c r="O100" s="28">
        <f t="shared" si="193"/>
        <v>100773680.89896226</v>
      </c>
      <c r="P100" s="28">
        <f t="shared" si="193"/>
        <v>104016858.25114024</v>
      </c>
      <c r="Q100" s="28">
        <f t="shared" si="193"/>
        <v>103686325.30878802</v>
      </c>
      <c r="R100" s="28">
        <f t="shared" si="193"/>
        <v>105543735.14812827</v>
      </c>
      <c r="S100" s="28">
        <f t="shared" si="193"/>
        <v>104364168.36459494</v>
      </c>
      <c r="T100" s="28">
        <f t="shared" si="193"/>
        <v>103998917.57014398</v>
      </c>
      <c r="U100" s="28">
        <f t="shared" si="193"/>
        <v>103017203.65475357</v>
      </c>
      <c r="V100" s="28">
        <f t="shared" si="193"/>
        <v>94826446.901123643</v>
      </c>
      <c r="W100" s="28">
        <f t="shared" ref="W100" si="194">IF(W10=0,0,W10/W32*1000000)</f>
        <v>99086667.129383579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129086591.71906438</v>
      </c>
      <c r="C101" s="84">
        <f t="shared" si="180"/>
        <v>132050870.36425801</v>
      </c>
      <c r="D101" s="84">
        <f t="shared" si="180"/>
        <v>137184228.31165552</v>
      </c>
      <c r="E101" s="84">
        <f t="shared" si="180"/>
        <v>139433360.39462006</v>
      </c>
      <c r="F101" s="84">
        <f t="shared" si="180"/>
        <v>143848028.55894345</v>
      </c>
      <c r="G101" s="84">
        <f t="shared" si="180"/>
        <v>149654905.74304903</v>
      </c>
      <c r="H101" s="84">
        <f t="shared" si="180"/>
        <v>146387548.28687692</v>
      </c>
      <c r="I101" s="84">
        <f t="shared" si="180"/>
        <v>148490319.96456957</v>
      </c>
      <c r="J101" s="84">
        <f t="shared" si="180"/>
        <v>150028560.81855375</v>
      </c>
      <c r="K101" s="84">
        <f t="shared" ref="K101:V101" si="195">IF(K11=0,0,K11/K33*1000000)</f>
        <v>117519189.62399903</v>
      </c>
      <c r="L101" s="84">
        <f t="shared" si="195"/>
        <v>142423896.92685583</v>
      </c>
      <c r="M101" s="84">
        <f t="shared" si="195"/>
        <v>151147231.93615016</v>
      </c>
      <c r="N101" s="84">
        <f t="shared" si="195"/>
        <v>138267974.54100937</v>
      </c>
      <c r="O101" s="84">
        <f t="shared" si="195"/>
        <v>154912244.01371357</v>
      </c>
      <c r="P101" s="84">
        <f t="shared" si="195"/>
        <v>160337790.3598935</v>
      </c>
      <c r="Q101" s="84">
        <f t="shared" si="195"/>
        <v>167554481.32947969</v>
      </c>
      <c r="R101" s="84">
        <f t="shared" si="195"/>
        <v>156385040.79095787</v>
      </c>
      <c r="S101" s="84">
        <f t="shared" si="195"/>
        <v>160048061.33672434</v>
      </c>
      <c r="T101" s="84">
        <f t="shared" si="195"/>
        <v>162500223.76952443</v>
      </c>
      <c r="U101" s="84">
        <f t="shared" si="195"/>
        <v>160062944.47025123</v>
      </c>
      <c r="V101" s="84">
        <f t="shared" si="195"/>
        <v>116809450.01297398</v>
      </c>
      <c r="W101" s="84">
        <f t="shared" ref="W101" si="196">IF(W11=0,0,W11/W33*1000000)</f>
        <v>124019691.8769832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105325344.5552431</v>
      </c>
      <c r="C102" s="86">
        <f t="shared" si="180"/>
        <v>97778518.742760733</v>
      </c>
      <c r="D102" s="86">
        <f t="shared" si="180"/>
        <v>101760650.93629918</v>
      </c>
      <c r="E102" s="86">
        <f t="shared" si="180"/>
        <v>119242152.21680319</v>
      </c>
      <c r="F102" s="86">
        <f t="shared" si="180"/>
        <v>118801839.21527895</v>
      </c>
      <c r="G102" s="86">
        <f t="shared" si="180"/>
        <v>108911655.17520297</v>
      </c>
      <c r="H102" s="86">
        <f t="shared" si="180"/>
        <v>117152383.94526924</v>
      </c>
      <c r="I102" s="86">
        <f t="shared" si="180"/>
        <v>117251027.27463086</v>
      </c>
      <c r="J102" s="86">
        <f t="shared" si="180"/>
        <v>113294039.71511514</v>
      </c>
      <c r="K102" s="86">
        <f t="shared" ref="K102:V102" si="197">IF(K12=0,0,K12/K34*1000000)</f>
        <v>98576940.540692404</v>
      </c>
      <c r="L102" s="86">
        <f t="shared" si="197"/>
        <v>99377534.946917653</v>
      </c>
      <c r="M102" s="86">
        <f t="shared" si="197"/>
        <v>98376396.979235306</v>
      </c>
      <c r="N102" s="86">
        <f t="shared" si="197"/>
        <v>98396073.675864413</v>
      </c>
      <c r="O102" s="86">
        <f t="shared" si="197"/>
        <v>96907246.701919362</v>
      </c>
      <c r="P102" s="86">
        <f t="shared" si="197"/>
        <v>99717425.514445975</v>
      </c>
      <c r="Q102" s="86">
        <f t="shared" si="197"/>
        <v>98908352.732932016</v>
      </c>
      <c r="R102" s="86">
        <f t="shared" si="197"/>
        <v>101526693.95630634</v>
      </c>
      <c r="S102" s="86">
        <f t="shared" si="197"/>
        <v>100382597.56840242</v>
      </c>
      <c r="T102" s="86">
        <f t="shared" si="197"/>
        <v>100505633.57413822</v>
      </c>
      <c r="U102" s="86">
        <f t="shared" si="197"/>
        <v>100021832.3759937</v>
      </c>
      <c r="V102" s="86">
        <f t="shared" si="197"/>
        <v>93193908.858555183</v>
      </c>
      <c r="W102" s="86">
        <f t="shared" ref="W102" si="198">IF(W12=0,0,W12/W34*1000000)</f>
        <v>97370526.858579218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4.3638315622045426E-2</v>
      </c>
      <c r="C106" s="123">
        <f t="shared" si="199"/>
        <v>4.5415777862242192E-2</v>
      </c>
      <c r="D106" s="123">
        <f t="shared" si="199"/>
        <v>4.4378868621668358E-2</v>
      </c>
      <c r="E106" s="123">
        <f t="shared" si="199"/>
        <v>4.7242190333780916E-2</v>
      </c>
      <c r="F106" s="123">
        <f t="shared" si="199"/>
        <v>4.7732309859548142E-2</v>
      </c>
      <c r="G106" s="123">
        <f t="shared" si="199"/>
        <v>4.6945552167568912E-2</v>
      </c>
      <c r="H106" s="123">
        <f t="shared" si="199"/>
        <v>4.6679062440803269E-2</v>
      </c>
      <c r="I106" s="123">
        <f t="shared" si="199"/>
        <v>4.6436140787050939E-2</v>
      </c>
      <c r="J106" s="123">
        <f t="shared" si="199"/>
        <v>4.8072444364510261E-2</v>
      </c>
      <c r="K106" s="123">
        <f t="shared" ref="K106:V106" si="202">IF(K5=0,0,K5/K$4)</f>
        <v>4.7737287881913275E-2</v>
      </c>
      <c r="L106" s="123">
        <f t="shared" si="202"/>
        <v>4.8097818273130755E-2</v>
      </c>
      <c r="M106" s="123">
        <f t="shared" si="202"/>
        <v>4.844619392107407E-2</v>
      </c>
      <c r="N106" s="123">
        <f t="shared" si="202"/>
        <v>4.3908362917149786E-2</v>
      </c>
      <c r="O106" s="123">
        <f t="shared" si="202"/>
        <v>4.2897701227075091E-2</v>
      </c>
      <c r="P106" s="123">
        <f t="shared" si="202"/>
        <v>4.090673201997188E-2</v>
      </c>
      <c r="Q106" s="123">
        <f t="shared" si="202"/>
        <v>4.9700284071730064E-2</v>
      </c>
      <c r="R106" s="123">
        <f t="shared" si="202"/>
        <v>4.8950322906965757E-2</v>
      </c>
      <c r="S106" s="123">
        <f t="shared" si="202"/>
        <v>4.563487575566616E-2</v>
      </c>
      <c r="T106" s="123">
        <f t="shared" si="202"/>
        <v>5.1669775484485703E-2</v>
      </c>
      <c r="U106" s="123">
        <f t="shared" si="202"/>
        <v>5.0508742050071317E-2</v>
      </c>
      <c r="V106" s="123">
        <f t="shared" si="202"/>
        <v>4.7724214768413944E-2</v>
      </c>
      <c r="W106" s="123">
        <f t="shared" ref="W106" si="203">IF(W5=0,0,W5/W$4)</f>
        <v>4.8595277438240318E-2</v>
      </c>
      <c r="DA106" s="203"/>
    </row>
    <row r="107" spans="1:105" ht="11.45" customHeight="1" x14ac:dyDescent="0.25">
      <c r="A107" s="109" t="s">
        <v>24</v>
      </c>
      <c r="B107" s="124">
        <f t="shared" si="199"/>
        <v>0.94899301737026953</v>
      </c>
      <c r="C107" s="124">
        <f t="shared" si="199"/>
        <v>0.94191568500405076</v>
      </c>
      <c r="D107" s="124">
        <f t="shared" si="199"/>
        <v>0.94217769300997745</v>
      </c>
      <c r="E107" s="124">
        <f t="shared" si="199"/>
        <v>0.90707387078563206</v>
      </c>
      <c r="F107" s="124">
        <f t="shared" si="199"/>
        <v>0.90914687737442546</v>
      </c>
      <c r="G107" s="124">
        <f t="shared" si="199"/>
        <v>0.90984528755652005</v>
      </c>
      <c r="H107" s="124">
        <f t="shared" si="199"/>
        <v>0.90934181695809579</v>
      </c>
      <c r="I107" s="124">
        <f t="shared" si="199"/>
        <v>0.90683484926683222</v>
      </c>
      <c r="J107" s="124">
        <f t="shared" si="199"/>
        <v>0.90142757455882261</v>
      </c>
      <c r="K107" s="124">
        <f t="shared" ref="K107:V107" si="204">IF(K6=0,0,K6/K$4)</f>
        <v>0.89931100251079099</v>
      </c>
      <c r="L107" s="124">
        <f t="shared" si="204"/>
        <v>0.93584939345514395</v>
      </c>
      <c r="M107" s="124">
        <f t="shared" si="204"/>
        <v>0.93494965762340376</v>
      </c>
      <c r="N107" s="124">
        <f t="shared" si="204"/>
        <v>0.93866022126973647</v>
      </c>
      <c r="O107" s="124">
        <f t="shared" si="204"/>
        <v>0.93885885545983039</v>
      </c>
      <c r="P107" s="124">
        <f t="shared" si="204"/>
        <v>0.94749113996947232</v>
      </c>
      <c r="Q107" s="124">
        <f t="shared" si="204"/>
        <v>0.89628507704996396</v>
      </c>
      <c r="R107" s="124">
        <f t="shared" si="204"/>
        <v>0.93174305127885426</v>
      </c>
      <c r="S107" s="124">
        <f t="shared" si="204"/>
        <v>0.93298676570916483</v>
      </c>
      <c r="T107" s="124">
        <f t="shared" si="204"/>
        <v>0.92850537991728055</v>
      </c>
      <c r="U107" s="124">
        <f t="shared" si="204"/>
        <v>0.92731536539614545</v>
      </c>
      <c r="V107" s="124">
        <f t="shared" si="204"/>
        <v>0.93762538853571542</v>
      </c>
      <c r="W107" s="124">
        <f t="shared" ref="W107" si="205">IF(W6=0,0,W6/W$4)</f>
        <v>0.93886893749529587</v>
      </c>
      <c r="DA107" s="176"/>
    </row>
    <row r="108" spans="1:105" ht="11.45" customHeight="1" x14ac:dyDescent="0.25">
      <c r="A108" s="111" t="s">
        <v>92</v>
      </c>
      <c r="B108" s="125">
        <f t="shared" si="199"/>
        <v>0.10109656295040245</v>
      </c>
      <c r="C108" s="125">
        <f t="shared" si="199"/>
        <v>9.9428753502017769E-2</v>
      </c>
      <c r="D108" s="125">
        <f t="shared" si="199"/>
        <v>9.8083426306027635E-2</v>
      </c>
      <c r="E108" s="125">
        <f t="shared" si="199"/>
        <v>9.8003862046741608E-2</v>
      </c>
      <c r="F108" s="125">
        <f t="shared" si="199"/>
        <v>9.7107083784958581E-2</v>
      </c>
      <c r="G108" s="125">
        <f t="shared" si="199"/>
        <v>9.6975306640557785E-2</v>
      </c>
      <c r="H108" s="125">
        <f t="shared" si="199"/>
        <v>9.7691847559758516E-2</v>
      </c>
      <c r="I108" s="125">
        <f t="shared" si="199"/>
        <v>9.8055081173831465E-2</v>
      </c>
      <c r="J108" s="125">
        <f t="shared" si="199"/>
        <v>9.6944660689039605E-2</v>
      </c>
      <c r="K108" s="125">
        <f t="shared" ref="K108:V108" si="206">IF(K7=0,0,K7/K$4)</f>
        <v>8.7486509190040682E-2</v>
      </c>
      <c r="L108" s="125">
        <f t="shared" si="206"/>
        <v>9.6410856388518734E-2</v>
      </c>
      <c r="M108" s="125">
        <f t="shared" si="206"/>
        <v>9.6052294553706993E-2</v>
      </c>
      <c r="N108" s="125">
        <f t="shared" si="206"/>
        <v>8.179193476286642E-2</v>
      </c>
      <c r="O108" s="125">
        <f t="shared" si="206"/>
        <v>8.4119446310168877E-2</v>
      </c>
      <c r="P108" s="125">
        <f t="shared" si="206"/>
        <v>9.0413132204439958E-2</v>
      </c>
      <c r="Q108" s="125">
        <f t="shared" si="206"/>
        <v>8.9441196610301699E-2</v>
      </c>
      <c r="R108" s="125">
        <f t="shared" si="206"/>
        <v>8.8502755023982443E-2</v>
      </c>
      <c r="S108" s="125">
        <f t="shared" si="206"/>
        <v>8.3498748676015505E-2</v>
      </c>
      <c r="T108" s="125">
        <f t="shared" si="206"/>
        <v>7.2010535843391218E-2</v>
      </c>
      <c r="U108" s="125">
        <f t="shared" si="206"/>
        <v>6.3990111728229854E-2</v>
      </c>
      <c r="V108" s="125">
        <f t="shared" si="206"/>
        <v>6.6936599883351586E-2</v>
      </c>
      <c r="W108" s="125">
        <f t="shared" ref="W108" si="207">IF(W7=0,0,W7/W$4)</f>
        <v>6.3447254636615324E-2</v>
      </c>
      <c r="DA108" s="171"/>
    </row>
    <row r="109" spans="1:105" ht="11.45" customHeight="1" x14ac:dyDescent="0.25">
      <c r="A109" s="111" t="s">
        <v>93</v>
      </c>
      <c r="B109" s="125">
        <f t="shared" si="199"/>
        <v>0.84789645441986705</v>
      </c>
      <c r="C109" s="125">
        <f t="shared" si="199"/>
        <v>0.84248693150203291</v>
      </c>
      <c r="D109" s="125">
        <f t="shared" si="199"/>
        <v>0.84409426670394994</v>
      </c>
      <c r="E109" s="125">
        <f t="shared" si="199"/>
        <v>0.80907000873889046</v>
      </c>
      <c r="F109" s="125">
        <f t="shared" si="199"/>
        <v>0.81203979358946687</v>
      </c>
      <c r="G109" s="125">
        <f t="shared" si="199"/>
        <v>0.8128699809159623</v>
      </c>
      <c r="H109" s="125">
        <f t="shared" si="199"/>
        <v>0.81164996939833733</v>
      </c>
      <c r="I109" s="125">
        <f t="shared" si="199"/>
        <v>0.80877976809300067</v>
      </c>
      <c r="J109" s="125">
        <f t="shared" si="199"/>
        <v>0.8044829138697831</v>
      </c>
      <c r="K109" s="125">
        <f t="shared" ref="K109:V109" si="208">IF(K8=0,0,K8/K$4)</f>
        <v>0.81182449332075024</v>
      </c>
      <c r="L109" s="125">
        <f t="shared" si="208"/>
        <v>0.83943853706662519</v>
      </c>
      <c r="M109" s="125">
        <f t="shared" si="208"/>
        <v>0.83889736306969687</v>
      </c>
      <c r="N109" s="125">
        <f t="shared" si="208"/>
        <v>0.85686828650686997</v>
      </c>
      <c r="O109" s="125">
        <f t="shared" si="208"/>
        <v>0.85473940914966162</v>
      </c>
      <c r="P109" s="125">
        <f t="shared" si="208"/>
        <v>0.85707800776503229</v>
      </c>
      <c r="Q109" s="125">
        <f t="shared" si="208"/>
        <v>0.80684388043966215</v>
      </c>
      <c r="R109" s="125">
        <f t="shared" si="208"/>
        <v>0.84324029625487174</v>
      </c>
      <c r="S109" s="125">
        <f t="shared" si="208"/>
        <v>0.84948801703314936</v>
      </c>
      <c r="T109" s="125">
        <f t="shared" si="208"/>
        <v>0.85649484407388932</v>
      </c>
      <c r="U109" s="125">
        <f t="shared" si="208"/>
        <v>0.86332525366791568</v>
      </c>
      <c r="V109" s="125">
        <f t="shared" si="208"/>
        <v>0.87068878865236377</v>
      </c>
      <c r="W109" s="125">
        <f t="shared" ref="W109" si="209">IF(W8=0,0,W8/W$4)</f>
        <v>0.87542168285868049</v>
      </c>
      <c r="DA109" s="171"/>
    </row>
    <row r="110" spans="1:105" ht="11.45" customHeight="1" x14ac:dyDescent="0.25">
      <c r="A110" s="112" t="s">
        <v>25</v>
      </c>
      <c r="B110" s="126">
        <f t="shared" si="199"/>
        <v>7.3686670076850451E-3</v>
      </c>
      <c r="C110" s="126">
        <f t="shared" si="199"/>
        <v>1.2668537133707041E-2</v>
      </c>
      <c r="D110" s="126">
        <f t="shared" si="199"/>
        <v>1.3443438368354189E-2</v>
      </c>
      <c r="E110" s="126">
        <f t="shared" si="199"/>
        <v>4.5683938880587048E-2</v>
      </c>
      <c r="F110" s="126">
        <f t="shared" si="199"/>
        <v>4.312081276602639E-2</v>
      </c>
      <c r="G110" s="126">
        <f t="shared" si="199"/>
        <v>4.3209160275911054E-2</v>
      </c>
      <c r="H110" s="126">
        <f t="shared" si="199"/>
        <v>4.3979120601100832E-2</v>
      </c>
      <c r="I110" s="126">
        <f t="shared" si="199"/>
        <v>4.6729009946116958E-2</v>
      </c>
      <c r="J110" s="126">
        <f t="shared" si="199"/>
        <v>5.0499981076667047E-2</v>
      </c>
      <c r="K110" s="126">
        <f t="shared" ref="K110:V110" si="210">IF(K9=0,0,K9/K$4)</f>
        <v>5.2951709607295609E-2</v>
      </c>
      <c r="L110" s="126">
        <f t="shared" si="210"/>
        <v>1.6052788271725311E-2</v>
      </c>
      <c r="M110" s="126">
        <f t="shared" si="210"/>
        <v>1.6604148455522195E-2</v>
      </c>
      <c r="N110" s="126">
        <f t="shared" si="210"/>
        <v>1.7431415813113693E-2</v>
      </c>
      <c r="O110" s="126">
        <f t="shared" si="210"/>
        <v>1.8243443313094503E-2</v>
      </c>
      <c r="P110" s="126">
        <f t="shared" si="210"/>
        <v>1.16021280105557E-2</v>
      </c>
      <c r="Q110" s="126">
        <f t="shared" si="210"/>
        <v>5.401463887830605E-2</v>
      </c>
      <c r="R110" s="126">
        <f t="shared" si="210"/>
        <v>1.9306625814180061E-2</v>
      </c>
      <c r="S110" s="126">
        <f t="shared" si="210"/>
        <v>2.1378358535168947E-2</v>
      </c>
      <c r="T110" s="126">
        <f t="shared" si="210"/>
        <v>1.9824844598233828E-2</v>
      </c>
      <c r="U110" s="126">
        <f t="shared" si="210"/>
        <v>2.2175892553783279E-2</v>
      </c>
      <c r="V110" s="126">
        <f t="shared" si="210"/>
        <v>1.4650396695870553E-2</v>
      </c>
      <c r="W110" s="126">
        <f t="shared" ref="W110" si="211">IF(W9=0,0,W9/W$4)</f>
        <v>1.25357850664638E-2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0.13485932012180751</v>
      </c>
      <c r="C112" s="125">
        <f t="shared" si="212"/>
        <v>0.13232761429173698</v>
      </c>
      <c r="D112" s="125">
        <f t="shared" si="212"/>
        <v>0.1305559868629742</v>
      </c>
      <c r="E112" s="125">
        <f t="shared" si="212"/>
        <v>0.12873510244157066</v>
      </c>
      <c r="F112" s="125">
        <f t="shared" si="212"/>
        <v>0.12787912118275147</v>
      </c>
      <c r="G112" s="125">
        <f t="shared" si="212"/>
        <v>0.1272769426199406</v>
      </c>
      <c r="H112" s="125">
        <f t="shared" si="212"/>
        <v>0.12752815809397081</v>
      </c>
      <c r="I112" s="125">
        <f t="shared" si="212"/>
        <v>0.12905652587164559</v>
      </c>
      <c r="J112" s="125">
        <f t="shared" si="212"/>
        <v>0.12719829109863129</v>
      </c>
      <c r="K112" s="125">
        <f t="shared" ref="K112:V112" si="215">IF(K11=0,0,K11/K$10)</f>
        <v>0.11479722355339095</v>
      </c>
      <c r="L112" s="125">
        <f t="shared" si="215"/>
        <v>0.11962119402747068</v>
      </c>
      <c r="M112" s="125">
        <f t="shared" si="215"/>
        <v>0.11766513408687367</v>
      </c>
      <c r="N112" s="125">
        <f t="shared" si="215"/>
        <v>0.10113969161832567</v>
      </c>
      <c r="O112" s="125">
        <f t="shared" si="215"/>
        <v>0.10246695612784876</v>
      </c>
      <c r="P112" s="125">
        <f t="shared" si="215"/>
        <v>0.10932633145370431</v>
      </c>
      <c r="Q112" s="125">
        <f t="shared" si="215"/>
        <v>0.11247659687610363</v>
      </c>
      <c r="R112" s="125">
        <f t="shared" si="215"/>
        <v>0.10849914536425419</v>
      </c>
      <c r="S112" s="125">
        <f t="shared" si="215"/>
        <v>0.10233646775810247</v>
      </c>
      <c r="T112" s="125">
        <f t="shared" si="215"/>
        <v>8.8045110918533037E-2</v>
      </c>
      <c r="U112" s="125">
        <f t="shared" si="215"/>
        <v>7.7514505041091447E-2</v>
      </c>
      <c r="V112" s="125">
        <f t="shared" si="215"/>
        <v>8.5155736484559486E-2</v>
      </c>
      <c r="W112" s="125">
        <f t="shared" ref="W112" si="216">IF(W11=0,0,W11/W$10)</f>
        <v>8.0601774597180251E-2</v>
      </c>
      <c r="DA112" s="171"/>
    </row>
    <row r="113" spans="1:105" ht="11.45" customHeight="1" x14ac:dyDescent="0.25">
      <c r="A113" s="85" t="s">
        <v>93</v>
      </c>
      <c r="B113" s="127">
        <f t="shared" si="212"/>
        <v>0.86514067987819254</v>
      </c>
      <c r="C113" s="127">
        <f t="shared" si="212"/>
        <v>0.86767238570826299</v>
      </c>
      <c r="D113" s="127">
        <f t="shared" si="212"/>
        <v>0.8694440131370258</v>
      </c>
      <c r="E113" s="127">
        <f t="shared" si="212"/>
        <v>0.8712648975584294</v>
      </c>
      <c r="F113" s="127">
        <f t="shared" si="212"/>
        <v>0.87212087881724853</v>
      </c>
      <c r="G113" s="127">
        <f t="shared" si="212"/>
        <v>0.8727230573800594</v>
      </c>
      <c r="H113" s="127">
        <f t="shared" si="212"/>
        <v>0.87247184190602911</v>
      </c>
      <c r="I113" s="127">
        <f t="shared" si="212"/>
        <v>0.87094347412835438</v>
      </c>
      <c r="J113" s="127">
        <f t="shared" si="212"/>
        <v>0.87280170890136877</v>
      </c>
      <c r="K113" s="127">
        <f t="shared" ref="K113:V113" si="217">IF(K12=0,0,K12/K$10)</f>
        <v>0.88520277644660905</v>
      </c>
      <c r="L113" s="127">
        <f t="shared" si="217"/>
        <v>0.88037880597252938</v>
      </c>
      <c r="M113" s="127">
        <f t="shared" si="217"/>
        <v>0.88233486591312638</v>
      </c>
      <c r="N113" s="127">
        <f t="shared" si="217"/>
        <v>0.8988603083816743</v>
      </c>
      <c r="O113" s="127">
        <f t="shared" si="217"/>
        <v>0.89753304387215116</v>
      </c>
      <c r="P113" s="127">
        <f t="shared" si="217"/>
        <v>0.8906736685462957</v>
      </c>
      <c r="Q113" s="127">
        <f t="shared" si="217"/>
        <v>0.88752340312389644</v>
      </c>
      <c r="R113" s="127">
        <f t="shared" si="217"/>
        <v>0.89150085463574591</v>
      </c>
      <c r="S113" s="127">
        <f t="shared" si="217"/>
        <v>0.89766353224189743</v>
      </c>
      <c r="T113" s="127">
        <f t="shared" si="217"/>
        <v>0.91195488908146694</v>
      </c>
      <c r="U113" s="127">
        <f t="shared" si="217"/>
        <v>0.92248549495890864</v>
      </c>
      <c r="V113" s="127">
        <f t="shared" si="217"/>
        <v>0.91484426351544057</v>
      </c>
      <c r="W113" s="127">
        <f t="shared" ref="W113" si="218">IF(W12=0,0,W12/W$10)</f>
        <v>0.91939822540281968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6.8578560804898991E-2</v>
      </c>
      <c r="C117" s="123">
        <f t="shared" si="219"/>
        <v>7.2071849752426809E-2</v>
      </c>
      <c r="D117" s="123">
        <f t="shared" si="219"/>
        <v>6.9482581269458263E-2</v>
      </c>
      <c r="E117" s="123">
        <f t="shared" si="219"/>
        <v>6.9525508812887493E-2</v>
      </c>
      <c r="F117" s="123">
        <f t="shared" si="219"/>
        <v>7.0950740635863693E-2</v>
      </c>
      <c r="G117" s="123">
        <f t="shared" si="219"/>
        <v>7.3901121654242369E-2</v>
      </c>
      <c r="H117" s="123">
        <f t="shared" si="219"/>
        <v>7.5278794489442594E-2</v>
      </c>
      <c r="I117" s="123">
        <f t="shared" si="219"/>
        <v>8.0439108401007486E-2</v>
      </c>
      <c r="J117" s="123">
        <f t="shared" si="219"/>
        <v>8.0684180312400447E-2</v>
      </c>
      <c r="K117" s="123">
        <f t="shared" ref="K117:V117" si="222">IF(K16=0,0,K16/K$15)</f>
        <v>7.5825102058717744E-2</v>
      </c>
      <c r="L117" s="123">
        <f t="shared" si="222"/>
        <v>7.3304808030566479E-2</v>
      </c>
      <c r="M117" s="123">
        <f t="shared" si="222"/>
        <v>7.6597443520656547E-2</v>
      </c>
      <c r="N117" s="123">
        <f t="shared" si="222"/>
        <v>6.9494783393089773E-2</v>
      </c>
      <c r="O117" s="123">
        <f t="shared" si="222"/>
        <v>6.9886865901120546E-2</v>
      </c>
      <c r="P117" s="123">
        <f t="shared" si="222"/>
        <v>6.9722536099829979E-2</v>
      </c>
      <c r="Q117" s="123">
        <f t="shared" si="222"/>
        <v>7.7740345379758685E-2</v>
      </c>
      <c r="R117" s="123">
        <f t="shared" si="222"/>
        <v>7.3697602339495419E-2</v>
      </c>
      <c r="S117" s="123">
        <f t="shared" si="222"/>
        <v>6.9443437848096159E-2</v>
      </c>
      <c r="T117" s="123">
        <f t="shared" si="222"/>
        <v>7.8669182646631503E-2</v>
      </c>
      <c r="U117" s="123">
        <f t="shared" si="222"/>
        <v>7.7434245514801631E-2</v>
      </c>
      <c r="V117" s="123">
        <f t="shared" si="222"/>
        <v>5.734410736558021E-2</v>
      </c>
      <c r="W117" s="123">
        <f t="shared" ref="W117" si="223">IF(W16=0,0,W16/W$15)</f>
        <v>5.9667591950291941E-2</v>
      </c>
      <c r="DA117" s="203"/>
    </row>
    <row r="118" spans="1:105" ht="11.45" customHeight="1" x14ac:dyDescent="0.25">
      <c r="A118" s="109" t="s">
        <v>24</v>
      </c>
      <c r="B118" s="124">
        <f t="shared" si="219"/>
        <v>0.92805187311344572</v>
      </c>
      <c r="C118" s="124">
        <f t="shared" si="219"/>
        <v>0.92206999593646033</v>
      </c>
      <c r="D118" s="124">
        <f t="shared" si="219"/>
        <v>0.92438300333252088</v>
      </c>
      <c r="E118" s="124">
        <f t="shared" si="219"/>
        <v>0.91070763834237034</v>
      </c>
      <c r="F118" s="124">
        <f t="shared" si="219"/>
        <v>0.91021764548188178</v>
      </c>
      <c r="G118" s="124">
        <f t="shared" si="219"/>
        <v>0.9058700864295105</v>
      </c>
      <c r="H118" s="124">
        <f t="shared" si="219"/>
        <v>0.90514629507821531</v>
      </c>
      <c r="I118" s="124">
        <f t="shared" si="219"/>
        <v>0.89674359452409991</v>
      </c>
      <c r="J118" s="124">
        <f t="shared" si="219"/>
        <v>0.89470932381070367</v>
      </c>
      <c r="K118" s="124">
        <f t="shared" ref="K118:V118" si="224">IF(K17=0,0,K17/K$15)</f>
        <v>0.90051081105702369</v>
      </c>
      <c r="L118" s="124">
        <f t="shared" si="224"/>
        <v>0.91776721382589854</v>
      </c>
      <c r="M118" s="124">
        <f t="shared" si="224"/>
        <v>0.91380118070516292</v>
      </c>
      <c r="N118" s="124">
        <f t="shared" si="224"/>
        <v>0.92055764298303566</v>
      </c>
      <c r="O118" s="124">
        <f t="shared" si="224"/>
        <v>0.91947688638272751</v>
      </c>
      <c r="P118" s="124">
        <f t="shared" si="224"/>
        <v>0.92301182548249738</v>
      </c>
      <c r="Q118" s="124">
        <f t="shared" si="224"/>
        <v>0.8972295326689208</v>
      </c>
      <c r="R118" s="124">
        <f t="shared" si="224"/>
        <v>0.91849915619481126</v>
      </c>
      <c r="S118" s="124">
        <f t="shared" si="224"/>
        <v>0.92226095863847168</v>
      </c>
      <c r="T118" s="124">
        <f t="shared" si="224"/>
        <v>0.91431294477973302</v>
      </c>
      <c r="U118" s="124">
        <f t="shared" si="224"/>
        <v>0.91465062008558351</v>
      </c>
      <c r="V118" s="124">
        <f t="shared" si="224"/>
        <v>0.93872572021826817</v>
      </c>
      <c r="W118" s="124">
        <f t="shared" ref="W118" si="225">IF(W17=0,0,W17/W$15)</f>
        <v>0.93654786424393355</v>
      </c>
      <c r="DA118" s="176"/>
    </row>
    <row r="119" spans="1:105" ht="11.45" customHeight="1" x14ac:dyDescent="0.25">
      <c r="A119" s="111" t="s">
        <v>92</v>
      </c>
      <c r="B119" s="125">
        <f t="shared" si="219"/>
        <v>0.121319117154549</v>
      </c>
      <c r="C119" s="125">
        <f t="shared" si="219"/>
        <v>0.11886349324327825</v>
      </c>
      <c r="D119" s="125">
        <f t="shared" si="219"/>
        <v>0.11705228980953791</v>
      </c>
      <c r="E119" s="125">
        <f t="shared" si="219"/>
        <v>0.11305700179540418</v>
      </c>
      <c r="F119" s="125">
        <f t="shared" si="219"/>
        <v>0.11112467599743396</v>
      </c>
      <c r="G119" s="125">
        <f t="shared" si="219"/>
        <v>0.1107893480173896</v>
      </c>
      <c r="H119" s="125">
        <f t="shared" si="219"/>
        <v>0.10951439226213087</v>
      </c>
      <c r="I119" s="125">
        <f t="shared" si="219"/>
        <v>0.10954427198084721</v>
      </c>
      <c r="J119" s="125">
        <f t="shared" si="219"/>
        <v>0.11085194253904841</v>
      </c>
      <c r="K119" s="125">
        <f t="shared" ref="K119:V119" si="226">IF(K18=0,0,K18/K$15)</f>
        <v>9.9737052095065032E-2</v>
      </c>
      <c r="L119" s="125">
        <f t="shared" si="226"/>
        <v>0.10479738877031368</v>
      </c>
      <c r="M119" s="125">
        <f t="shared" si="226"/>
        <v>0.10441263282297715</v>
      </c>
      <c r="N119" s="125">
        <f t="shared" si="226"/>
        <v>8.8662055854487359E-2</v>
      </c>
      <c r="O119" s="125">
        <f t="shared" si="226"/>
        <v>8.9466830956675708E-2</v>
      </c>
      <c r="P119" s="125">
        <f t="shared" si="226"/>
        <v>9.3794714680331834E-2</v>
      </c>
      <c r="Q119" s="125">
        <f t="shared" si="226"/>
        <v>9.7642977686318619E-2</v>
      </c>
      <c r="R119" s="125">
        <f t="shared" si="226"/>
        <v>9.3026079195202768E-2</v>
      </c>
      <c r="S119" s="125">
        <f t="shared" si="226"/>
        <v>8.9529561016392534E-2</v>
      </c>
      <c r="T119" s="125">
        <f t="shared" si="226"/>
        <v>7.6879778882610633E-2</v>
      </c>
      <c r="U119" s="125">
        <f t="shared" si="226"/>
        <v>6.8048567347135117E-2</v>
      </c>
      <c r="V119" s="125">
        <f t="shared" si="226"/>
        <v>7.3727885406620577E-2</v>
      </c>
      <c r="W119" s="125">
        <f t="shared" ref="W119" si="227">IF(W18=0,0,W18/W$15)</f>
        <v>6.9985323990647552E-2</v>
      </c>
      <c r="DA119" s="171"/>
    </row>
    <row r="120" spans="1:105" ht="11.45" customHeight="1" x14ac:dyDescent="0.25">
      <c r="A120" s="111" t="s">
        <v>93</v>
      </c>
      <c r="B120" s="125">
        <f t="shared" si="219"/>
        <v>0.80673275595889671</v>
      </c>
      <c r="C120" s="125">
        <f t="shared" si="219"/>
        <v>0.80320650269318206</v>
      </c>
      <c r="D120" s="125">
        <f t="shared" si="219"/>
        <v>0.80733071352298302</v>
      </c>
      <c r="E120" s="125">
        <f t="shared" si="219"/>
        <v>0.79765063654696622</v>
      </c>
      <c r="F120" s="125">
        <f t="shared" si="219"/>
        <v>0.79909296948444775</v>
      </c>
      <c r="G120" s="125">
        <f t="shared" si="219"/>
        <v>0.7950807384121209</v>
      </c>
      <c r="H120" s="125">
        <f t="shared" si="219"/>
        <v>0.79563190281608442</v>
      </c>
      <c r="I120" s="125">
        <f t="shared" si="219"/>
        <v>0.78719932254325264</v>
      </c>
      <c r="J120" s="125">
        <f t="shared" si="219"/>
        <v>0.78385738127165527</v>
      </c>
      <c r="K120" s="125">
        <f t="shared" ref="K120:V120" si="228">IF(K19=0,0,K19/K$15)</f>
        <v>0.80077375896195868</v>
      </c>
      <c r="L120" s="125">
        <f t="shared" si="228"/>
        <v>0.8129698250555849</v>
      </c>
      <c r="M120" s="125">
        <f t="shared" si="228"/>
        <v>0.80938854788218573</v>
      </c>
      <c r="N120" s="125">
        <f t="shared" si="228"/>
        <v>0.83189558712854839</v>
      </c>
      <c r="O120" s="125">
        <f t="shared" si="228"/>
        <v>0.83001005542605177</v>
      </c>
      <c r="P120" s="125">
        <f t="shared" si="228"/>
        <v>0.82921711080216554</v>
      </c>
      <c r="Q120" s="125">
        <f t="shared" si="228"/>
        <v>0.79958655498260223</v>
      </c>
      <c r="R120" s="125">
        <f t="shared" si="228"/>
        <v>0.82547307699960859</v>
      </c>
      <c r="S120" s="125">
        <f t="shared" si="228"/>
        <v>0.83273139762207915</v>
      </c>
      <c r="T120" s="125">
        <f t="shared" si="228"/>
        <v>0.83743316589712236</v>
      </c>
      <c r="U120" s="125">
        <f t="shared" si="228"/>
        <v>0.84660205273844846</v>
      </c>
      <c r="V120" s="125">
        <f t="shared" si="228"/>
        <v>0.86499783481164749</v>
      </c>
      <c r="W120" s="125">
        <f t="shared" ref="W120" si="229">IF(W19=0,0,W19/W$15)</f>
        <v>0.86656254025328594</v>
      </c>
      <c r="DA120" s="171"/>
    </row>
    <row r="121" spans="1:105" ht="11.45" customHeight="1" x14ac:dyDescent="0.25">
      <c r="A121" s="112" t="s">
        <v>25</v>
      </c>
      <c r="B121" s="126">
        <f t="shared" si="219"/>
        <v>3.3695660816552091E-3</v>
      </c>
      <c r="C121" s="126">
        <f t="shared" si="219"/>
        <v>5.8581543111129132E-3</v>
      </c>
      <c r="D121" s="126">
        <f t="shared" si="219"/>
        <v>6.1344153980208401E-3</v>
      </c>
      <c r="E121" s="126">
        <f t="shared" si="219"/>
        <v>1.9766852844742316E-2</v>
      </c>
      <c r="F121" s="126">
        <f t="shared" si="219"/>
        <v>1.8831613882254582E-2</v>
      </c>
      <c r="G121" s="126">
        <f t="shared" si="219"/>
        <v>2.0228791916247171E-2</v>
      </c>
      <c r="H121" s="126">
        <f t="shared" si="219"/>
        <v>1.9574910432342114E-2</v>
      </c>
      <c r="I121" s="126">
        <f t="shared" si="219"/>
        <v>2.2817297074892572E-2</v>
      </c>
      <c r="J121" s="126">
        <f t="shared" si="219"/>
        <v>2.4606495876895885E-2</v>
      </c>
      <c r="K121" s="126">
        <f t="shared" ref="K121:V121" si="230">IF(K20=0,0,K20/K$15)</f>
        <v>2.3664086884258549E-2</v>
      </c>
      <c r="L121" s="126">
        <f t="shared" si="230"/>
        <v>8.9279781435349093E-3</v>
      </c>
      <c r="M121" s="126">
        <f t="shared" si="230"/>
        <v>9.6013757741805292E-3</v>
      </c>
      <c r="N121" s="126">
        <f t="shared" si="230"/>
        <v>9.9475736238746615E-3</v>
      </c>
      <c r="O121" s="126">
        <f t="shared" si="230"/>
        <v>1.0636247716151893E-2</v>
      </c>
      <c r="P121" s="126">
        <f t="shared" si="230"/>
        <v>7.2656384176727389E-3</v>
      </c>
      <c r="Q121" s="126">
        <f t="shared" si="230"/>
        <v>2.5030121951320407E-2</v>
      </c>
      <c r="R121" s="126">
        <f t="shared" si="230"/>
        <v>7.8032414656933153E-3</v>
      </c>
      <c r="S121" s="126">
        <f t="shared" si="230"/>
        <v>8.2956035134321739E-3</v>
      </c>
      <c r="T121" s="126">
        <f t="shared" si="230"/>
        <v>7.0178725736353897E-3</v>
      </c>
      <c r="U121" s="126">
        <f t="shared" si="230"/>
        <v>7.9151343996149218E-3</v>
      </c>
      <c r="V121" s="126">
        <f t="shared" si="230"/>
        <v>3.9301724161515074E-3</v>
      </c>
      <c r="W121" s="126">
        <f t="shared" ref="W121" si="231">IF(W20=0,0,W20/W$15)</f>
        <v>3.7845438057744966E-3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0.11283649779431204</v>
      </c>
      <c r="C123" s="125">
        <f t="shared" si="232"/>
        <v>0.10146826374004282</v>
      </c>
      <c r="D123" s="125">
        <f t="shared" si="232"/>
        <v>0.10114680259016214</v>
      </c>
      <c r="E123" s="125">
        <f t="shared" si="232"/>
        <v>0.1121844341465905</v>
      </c>
      <c r="F123" s="125">
        <f t="shared" si="232"/>
        <v>0.10801847701924429</v>
      </c>
      <c r="G123" s="125">
        <f t="shared" si="232"/>
        <v>9.5950815053026758E-2</v>
      </c>
      <c r="H123" s="125">
        <f t="shared" si="232"/>
        <v>0.10472666973874717</v>
      </c>
      <c r="I123" s="125">
        <f t="shared" si="232"/>
        <v>0.10474973404212151</v>
      </c>
      <c r="J123" s="125">
        <f t="shared" si="232"/>
        <v>9.9141470523521028E-2</v>
      </c>
      <c r="K123" s="125">
        <f t="shared" ref="K123:V123" si="235">IF(K22=0,0,K22/K$21)</f>
        <v>8.8203701775622659E-2</v>
      </c>
      <c r="L123" s="125">
        <f t="shared" si="235"/>
        <v>8.5260959907355036E-2</v>
      </c>
      <c r="M123" s="125">
        <f t="shared" si="235"/>
        <v>7.9865010721782495E-2</v>
      </c>
      <c r="N123" s="125">
        <f t="shared" si="235"/>
        <v>6.7020873791508701E-2</v>
      </c>
      <c r="O123" s="125">
        <f t="shared" si="235"/>
        <v>6.5018754054976133E-2</v>
      </c>
      <c r="P123" s="125">
        <f t="shared" si="235"/>
        <v>7.0923888161743762E-2</v>
      </c>
      <c r="Q123" s="125">
        <f t="shared" si="235"/>
        <v>6.9602940144173953E-2</v>
      </c>
      <c r="R123" s="125">
        <f t="shared" si="235"/>
        <v>7.3225695503148308E-2</v>
      </c>
      <c r="S123" s="125">
        <f t="shared" si="235"/>
        <v>6.5735100086623394E-2</v>
      </c>
      <c r="T123" s="125">
        <f t="shared" si="235"/>
        <v>5.6348196899148176E-2</v>
      </c>
      <c r="U123" s="125">
        <f t="shared" si="235"/>
        <v>4.988867015971795E-2</v>
      </c>
      <c r="V123" s="125">
        <f t="shared" si="235"/>
        <v>6.9129804421131771E-2</v>
      </c>
      <c r="W123" s="125">
        <f t="shared" ref="W123" si="236">IF(W22=0,0,W22/W$21)</f>
        <v>6.4397523901283921E-2</v>
      </c>
      <c r="DA123" s="171"/>
    </row>
    <row r="124" spans="1:105" ht="11.45" customHeight="1" x14ac:dyDescent="0.25">
      <c r="A124" s="85" t="s">
        <v>93</v>
      </c>
      <c r="B124" s="127">
        <f t="shared" si="232"/>
        <v>0.88716350220568807</v>
      </c>
      <c r="C124" s="127">
        <f t="shared" si="232"/>
        <v>0.89853173625995719</v>
      </c>
      <c r="D124" s="127">
        <f t="shared" si="232"/>
        <v>0.89885319740983782</v>
      </c>
      <c r="E124" s="127">
        <f t="shared" si="232"/>
        <v>0.88781556585340948</v>
      </c>
      <c r="F124" s="127">
        <f t="shared" si="232"/>
        <v>0.89198152298075573</v>
      </c>
      <c r="G124" s="127">
        <f t="shared" si="232"/>
        <v>0.90404918494697328</v>
      </c>
      <c r="H124" s="127">
        <f t="shared" si="232"/>
        <v>0.89527333026125289</v>
      </c>
      <c r="I124" s="127">
        <f t="shared" si="232"/>
        <v>0.89525026595787849</v>
      </c>
      <c r="J124" s="127">
        <f t="shared" si="232"/>
        <v>0.90085852947647893</v>
      </c>
      <c r="K124" s="127">
        <f t="shared" ref="K124:V124" si="237">IF(K23=0,0,K23/K$21)</f>
        <v>0.91179629822437736</v>
      </c>
      <c r="L124" s="127">
        <f t="shared" si="237"/>
        <v>0.91473904009264506</v>
      </c>
      <c r="M124" s="127">
        <f t="shared" si="237"/>
        <v>0.92013498927821746</v>
      </c>
      <c r="N124" s="127">
        <f t="shared" si="237"/>
        <v>0.93297912620849133</v>
      </c>
      <c r="O124" s="127">
        <f t="shared" si="237"/>
        <v>0.93498124594502385</v>
      </c>
      <c r="P124" s="127">
        <f t="shared" si="237"/>
        <v>0.92907611183825622</v>
      </c>
      <c r="Q124" s="127">
        <f t="shared" si="237"/>
        <v>0.93039705985582599</v>
      </c>
      <c r="R124" s="127">
        <f t="shared" si="237"/>
        <v>0.92677430449685172</v>
      </c>
      <c r="S124" s="127">
        <f t="shared" si="237"/>
        <v>0.93426489991337669</v>
      </c>
      <c r="T124" s="127">
        <f t="shared" si="237"/>
        <v>0.94365180310085173</v>
      </c>
      <c r="U124" s="127">
        <f t="shared" si="237"/>
        <v>0.95011132984028202</v>
      </c>
      <c r="V124" s="127">
        <f t="shared" si="237"/>
        <v>0.93087019557886819</v>
      </c>
      <c r="W124" s="127">
        <f t="shared" ref="W124" si="238">IF(W23=0,0,W23/W$21)</f>
        <v>0.93560247609871616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177.55803955288047</v>
      </c>
      <c r="C4" s="146">
        <f t="shared" ref="C4:V4" si="0">SUM(C5,C8)</f>
        <v>170.9420464316423</v>
      </c>
      <c r="D4" s="146">
        <f t="shared" si="0"/>
        <v>168.19286328460876</v>
      </c>
      <c r="E4" s="146">
        <f t="shared" si="0"/>
        <v>170.60042992261396</v>
      </c>
      <c r="F4" s="146">
        <f t="shared" si="0"/>
        <v>176.96096302665521</v>
      </c>
      <c r="G4" s="146">
        <f t="shared" si="0"/>
        <v>172.57807394668956</v>
      </c>
      <c r="H4" s="146">
        <f t="shared" si="0"/>
        <v>172.23413585554607</v>
      </c>
      <c r="I4" s="146">
        <f t="shared" si="0"/>
        <v>170.17050730868445</v>
      </c>
      <c r="J4" s="146">
        <f t="shared" si="0"/>
        <v>173.08684436801371</v>
      </c>
      <c r="K4" s="146">
        <f t="shared" si="0"/>
        <v>174.54858125537399</v>
      </c>
      <c r="L4" s="146">
        <f t="shared" si="0"/>
        <v>184.17884780739462</v>
      </c>
      <c r="M4" s="146">
        <f t="shared" si="0"/>
        <v>181.59931212381775</v>
      </c>
      <c r="N4" s="146">
        <f t="shared" si="0"/>
        <v>177.58194325021492</v>
      </c>
      <c r="O4" s="146">
        <f t="shared" si="0"/>
        <v>175.26036113499572</v>
      </c>
      <c r="P4" s="146">
        <f t="shared" si="0"/>
        <v>170.27325881341361</v>
      </c>
      <c r="Q4" s="146">
        <f t="shared" si="0"/>
        <v>170.80395528804812</v>
      </c>
      <c r="R4" s="146">
        <f t="shared" si="0"/>
        <v>176.42330180567495</v>
      </c>
      <c r="S4" s="146">
        <f t="shared" si="0"/>
        <v>175.26921754084265</v>
      </c>
      <c r="T4" s="146">
        <f t="shared" si="0"/>
        <v>176.85193465176266</v>
      </c>
      <c r="U4" s="146">
        <f t="shared" si="0"/>
        <v>177.17489251934649</v>
      </c>
      <c r="V4" s="146">
        <f t="shared" si="0"/>
        <v>161.02347377472049</v>
      </c>
      <c r="W4" s="146">
        <f t="shared" ref="W4" si="1">SUM(W5,W8)</f>
        <v>159.56921754084263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37.05932932072227</v>
      </c>
      <c r="C5" s="101">
        <f t="shared" ref="C5:V5" si="2">SUM(C6:C7)</f>
        <v>35.000515907136709</v>
      </c>
      <c r="D5" s="101">
        <f t="shared" si="2"/>
        <v>33.971023215821162</v>
      </c>
      <c r="E5" s="101">
        <f t="shared" si="2"/>
        <v>33.971023215821162</v>
      </c>
      <c r="F5" s="101">
        <f t="shared" si="2"/>
        <v>35.000515907136709</v>
      </c>
      <c r="G5" s="101">
        <f t="shared" si="2"/>
        <v>33.971023215821162</v>
      </c>
      <c r="H5" s="101">
        <f t="shared" si="2"/>
        <v>33.971023215821162</v>
      </c>
      <c r="I5" s="101">
        <f t="shared" si="2"/>
        <v>33.971023215821162</v>
      </c>
      <c r="J5" s="101">
        <f t="shared" si="2"/>
        <v>34.049871023215822</v>
      </c>
      <c r="K5" s="101">
        <f t="shared" si="2"/>
        <v>30.95442820292347</v>
      </c>
      <c r="L5" s="101">
        <f t="shared" si="2"/>
        <v>34.049871023215822</v>
      </c>
      <c r="M5" s="101">
        <f t="shared" si="2"/>
        <v>33.018056749785039</v>
      </c>
      <c r="N5" s="101">
        <f t="shared" si="2"/>
        <v>27.710920034393805</v>
      </c>
      <c r="O5" s="101">
        <f t="shared" si="2"/>
        <v>27.710920034393805</v>
      </c>
      <c r="P5" s="101">
        <f t="shared" si="2"/>
        <v>28.742734307824595</v>
      </c>
      <c r="Q5" s="101">
        <f t="shared" si="2"/>
        <v>29.671711092003431</v>
      </c>
      <c r="R5" s="101">
        <f t="shared" si="2"/>
        <v>29.553310404127252</v>
      </c>
      <c r="S5" s="101">
        <f t="shared" si="2"/>
        <v>27.676698194325027</v>
      </c>
      <c r="T5" s="101">
        <f t="shared" si="2"/>
        <v>23.995184866723985</v>
      </c>
      <c r="U5" s="101">
        <f t="shared" si="2"/>
        <v>21.14342218400688</v>
      </c>
      <c r="V5" s="101">
        <f t="shared" si="2"/>
        <v>21.125021496130699</v>
      </c>
      <c r="W5" s="101">
        <f t="shared" ref="W5" si="3">SUM(W6:W7)</f>
        <v>19.806448839208947</v>
      </c>
      <c r="DA5" s="175"/>
    </row>
    <row r="6" spans="1:105" ht="11.45" customHeight="1" x14ac:dyDescent="0.25">
      <c r="A6" s="164" t="s">
        <v>182</v>
      </c>
      <c r="B6" s="165">
        <v>37.05932932072227</v>
      </c>
      <c r="C6" s="165">
        <v>35.000515907136709</v>
      </c>
      <c r="D6" s="165">
        <v>33.971023215821162</v>
      </c>
      <c r="E6" s="165">
        <v>33.971023215821162</v>
      </c>
      <c r="F6" s="165">
        <v>35.000515907136709</v>
      </c>
      <c r="G6" s="165">
        <v>33.971023215821162</v>
      </c>
      <c r="H6" s="165">
        <v>33.971023215821162</v>
      </c>
      <c r="I6" s="165">
        <v>33.971023215821162</v>
      </c>
      <c r="J6" s="165">
        <v>34.049871023215822</v>
      </c>
      <c r="K6" s="165">
        <v>30.95442820292347</v>
      </c>
      <c r="L6" s="165">
        <v>34.049871023215822</v>
      </c>
      <c r="M6" s="165">
        <v>33.018056749785039</v>
      </c>
      <c r="N6" s="165">
        <v>26.827171109200339</v>
      </c>
      <c r="O6" s="165">
        <v>26.827171109200339</v>
      </c>
      <c r="P6" s="165">
        <v>27.858985382631129</v>
      </c>
      <c r="Q6" s="165">
        <v>28.823301805674969</v>
      </c>
      <c r="R6" s="165">
        <v>28.909974204643159</v>
      </c>
      <c r="S6" s="165">
        <v>26.809716251074811</v>
      </c>
      <c r="T6" s="165">
        <v>22.630696474634561</v>
      </c>
      <c r="U6" s="165">
        <v>19.57824591573517</v>
      </c>
      <c r="V6" s="165">
        <v>19.814961306964751</v>
      </c>
      <c r="W6" s="165">
        <v>18.306190885640589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0.88374892519346515</v>
      </c>
      <c r="O7" s="167">
        <v>0.88374892519346515</v>
      </c>
      <c r="P7" s="167">
        <v>0.88374892519346515</v>
      </c>
      <c r="Q7" s="167">
        <v>0.84840928632846091</v>
      </c>
      <c r="R7" s="167">
        <v>0.64333619948409282</v>
      </c>
      <c r="S7" s="167">
        <v>0.86698194325021494</v>
      </c>
      <c r="T7" s="167">
        <v>1.364488392089424</v>
      </c>
      <c r="U7" s="167">
        <v>1.565176268271711</v>
      </c>
      <c r="V7" s="167">
        <v>1.31006018916595</v>
      </c>
      <c r="W7" s="167">
        <v>1.500257953568358</v>
      </c>
      <c r="DA7" s="177" t="s">
        <v>1103</v>
      </c>
    </row>
    <row r="8" spans="1:105" ht="11.45" customHeight="1" x14ac:dyDescent="0.25">
      <c r="A8" s="85" t="s">
        <v>91</v>
      </c>
      <c r="B8" s="88">
        <v>140.4987102321582</v>
      </c>
      <c r="C8" s="88">
        <v>135.94153052450559</v>
      </c>
      <c r="D8" s="88">
        <v>134.2218400687876</v>
      </c>
      <c r="E8" s="88">
        <v>136.62940670679279</v>
      </c>
      <c r="F8" s="88">
        <v>141.96044711951851</v>
      </c>
      <c r="G8" s="88">
        <v>138.60705073086839</v>
      </c>
      <c r="H8" s="88">
        <v>138.26311263972491</v>
      </c>
      <c r="I8" s="88">
        <v>136.19948409286329</v>
      </c>
      <c r="J8" s="88">
        <v>139.0369733447979</v>
      </c>
      <c r="K8" s="88">
        <v>143.59415305245051</v>
      </c>
      <c r="L8" s="88">
        <v>150.1289767841788</v>
      </c>
      <c r="M8" s="88">
        <v>148.58125537403271</v>
      </c>
      <c r="N8" s="88">
        <v>149.87102321582111</v>
      </c>
      <c r="O8" s="88">
        <v>147.54944110060191</v>
      </c>
      <c r="P8" s="88">
        <v>141.530524505589</v>
      </c>
      <c r="Q8" s="88">
        <v>141.1322441960447</v>
      </c>
      <c r="R8" s="88">
        <v>146.86999140154771</v>
      </c>
      <c r="S8" s="88">
        <v>147.59251934651761</v>
      </c>
      <c r="T8" s="88">
        <v>152.85674978503869</v>
      </c>
      <c r="U8" s="88">
        <v>156.03147033533961</v>
      </c>
      <c r="V8" s="88">
        <v>139.89845227858979</v>
      </c>
      <c r="W8" s="88">
        <v>139.76276870163369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177.55803955288047</v>
      </c>
      <c r="C10" s="62">
        <f t="shared" ref="C10:V10" si="5">SUM(C11,C17)</f>
        <v>170.9420464316423</v>
      </c>
      <c r="D10" s="62">
        <f t="shared" si="5"/>
        <v>168.19286328460876</v>
      </c>
      <c r="E10" s="62">
        <f t="shared" si="5"/>
        <v>170.60042992261398</v>
      </c>
      <c r="F10" s="62">
        <f t="shared" si="5"/>
        <v>176.96096302665524</v>
      </c>
      <c r="G10" s="62">
        <f t="shared" si="5"/>
        <v>172.57807394668953</v>
      </c>
      <c r="H10" s="62">
        <f t="shared" si="5"/>
        <v>172.23413585554607</v>
      </c>
      <c r="I10" s="62">
        <f t="shared" si="5"/>
        <v>170.17050730868445</v>
      </c>
      <c r="J10" s="62">
        <f t="shared" si="5"/>
        <v>173.08684436801374</v>
      </c>
      <c r="K10" s="62">
        <f t="shared" si="5"/>
        <v>174.54858125537399</v>
      </c>
      <c r="L10" s="62">
        <f t="shared" si="5"/>
        <v>184.17884780739462</v>
      </c>
      <c r="M10" s="62">
        <f t="shared" si="5"/>
        <v>181.59931212381775</v>
      </c>
      <c r="N10" s="62">
        <f t="shared" si="5"/>
        <v>177.58194325021489</v>
      </c>
      <c r="O10" s="62">
        <f t="shared" si="5"/>
        <v>175.26036113499572</v>
      </c>
      <c r="P10" s="62">
        <f t="shared" si="5"/>
        <v>170.27325881341355</v>
      </c>
      <c r="Q10" s="62">
        <f t="shared" si="5"/>
        <v>170.80395528804809</v>
      </c>
      <c r="R10" s="62">
        <f t="shared" si="5"/>
        <v>176.42330180567495</v>
      </c>
      <c r="S10" s="62">
        <f t="shared" si="5"/>
        <v>175.26921754084262</v>
      </c>
      <c r="T10" s="62">
        <f t="shared" si="5"/>
        <v>176.85193465176266</v>
      </c>
      <c r="U10" s="62">
        <f t="shared" si="5"/>
        <v>177.17489251934649</v>
      </c>
      <c r="V10" s="62">
        <f t="shared" si="5"/>
        <v>161.02347377472051</v>
      </c>
      <c r="W10" s="62">
        <f t="shared" ref="W10" si="6">SUM(W11,W17)</f>
        <v>159.5692175408426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159.79817323549352</v>
      </c>
      <c r="C11" s="29">
        <f t="shared" ref="C11:V11" si="8">SUM(C12,C13,C16)</f>
        <v>153.41050765287929</v>
      </c>
      <c r="D11" s="29">
        <f t="shared" si="8"/>
        <v>152.92686792657474</v>
      </c>
      <c r="E11" s="29">
        <f t="shared" si="8"/>
        <v>154.72194313897035</v>
      </c>
      <c r="F11" s="29">
        <f t="shared" si="8"/>
        <v>157.64320691623035</v>
      </c>
      <c r="G11" s="29">
        <f t="shared" si="8"/>
        <v>152.17254497279686</v>
      </c>
      <c r="H11" s="29">
        <f t="shared" si="8"/>
        <v>151.71123035849911</v>
      </c>
      <c r="I11" s="29">
        <f t="shared" si="8"/>
        <v>146.80974237913642</v>
      </c>
      <c r="J11" s="29">
        <f t="shared" si="8"/>
        <v>150.38797282758983</v>
      </c>
      <c r="K11" s="29">
        <f t="shared" si="8"/>
        <v>156.57842952873813</v>
      </c>
      <c r="L11" s="29">
        <f t="shared" si="8"/>
        <v>163.23140107512535</v>
      </c>
      <c r="M11" s="29">
        <f t="shared" si="8"/>
        <v>159.44945481611259</v>
      </c>
      <c r="N11" s="29">
        <f t="shared" si="8"/>
        <v>156.93230619129639</v>
      </c>
      <c r="O11" s="29">
        <f t="shared" si="8"/>
        <v>155.35157334972223</v>
      </c>
      <c r="P11" s="29">
        <f t="shared" si="8"/>
        <v>151.02273964594252</v>
      </c>
      <c r="Q11" s="29">
        <f t="shared" si="8"/>
        <v>150.65438420864649</v>
      </c>
      <c r="R11" s="29">
        <f t="shared" si="8"/>
        <v>156.54014257436828</v>
      </c>
      <c r="S11" s="29">
        <f t="shared" si="8"/>
        <v>156.19302508188238</v>
      </c>
      <c r="T11" s="29">
        <f t="shared" si="8"/>
        <v>156.56408120473117</v>
      </c>
      <c r="U11" s="29">
        <f t="shared" si="8"/>
        <v>156.90533388778601</v>
      </c>
      <c r="V11" s="29">
        <f t="shared" si="8"/>
        <v>139.72000366445502</v>
      </c>
      <c r="W11" s="29">
        <f t="shared" ref="W11" si="9">SUM(W12,W13,W16)</f>
        <v>137.84577726323741</v>
      </c>
      <c r="DA11" s="173" t="s">
        <v>394</v>
      </c>
    </row>
    <row r="12" spans="1:105" ht="11.45" customHeight="1" x14ac:dyDescent="0.25">
      <c r="A12" s="107" t="s">
        <v>23</v>
      </c>
      <c r="B12" s="115">
        <v>2.8761168700280959</v>
      </c>
      <c r="C12" s="115">
        <v>2.919439873185075</v>
      </c>
      <c r="D12" s="115">
        <v>2.8055777413836815</v>
      </c>
      <c r="E12" s="115">
        <v>2.8555526635910704</v>
      </c>
      <c r="F12" s="115">
        <v>2.9906315094960845</v>
      </c>
      <c r="G12" s="115">
        <v>2.9942707451046395</v>
      </c>
      <c r="H12" s="115">
        <v>3.0652487360044502</v>
      </c>
      <c r="I12" s="115">
        <v>3.167916481601635</v>
      </c>
      <c r="J12" s="115">
        <v>3.2494318725002431</v>
      </c>
      <c r="K12" s="115">
        <v>3.203082469442339</v>
      </c>
      <c r="L12" s="115">
        <v>3.2572063108311213</v>
      </c>
      <c r="M12" s="115">
        <v>3.3289586793424539</v>
      </c>
      <c r="N12" s="115">
        <v>3.0315924183822687</v>
      </c>
      <c r="O12" s="115">
        <v>3.1014082212970395</v>
      </c>
      <c r="P12" s="115">
        <v>3.0481598238442698</v>
      </c>
      <c r="Q12" s="115">
        <v>3.377257203245319</v>
      </c>
      <c r="R12" s="115">
        <v>3.3857087433450936</v>
      </c>
      <c r="S12" s="115">
        <v>3.2069604954205699</v>
      </c>
      <c r="T12" s="115">
        <v>3.7278948938783856</v>
      </c>
      <c r="U12" s="115">
        <v>3.7143264713197457</v>
      </c>
      <c r="V12" s="115">
        <v>2.4192348567230475</v>
      </c>
      <c r="W12" s="115">
        <v>2.5006697930424804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156.22089458225926</v>
      </c>
      <c r="C13" s="116">
        <f t="shared" ref="C13:V13" si="11">SUM(C14:C15)</f>
        <v>149.31861431758077</v>
      </c>
      <c r="D13" s="116">
        <f t="shared" si="11"/>
        <v>148.89997227130354</v>
      </c>
      <c r="E13" s="116">
        <f t="shared" si="11"/>
        <v>147.84790890619647</v>
      </c>
      <c r="F13" s="116">
        <f t="shared" si="11"/>
        <v>150.71135271437834</v>
      </c>
      <c r="G13" s="116">
        <f t="shared" si="11"/>
        <v>145.08001976722329</v>
      </c>
      <c r="H13" s="116">
        <f t="shared" si="11"/>
        <v>144.65057315760961</v>
      </c>
      <c r="I13" s="116">
        <f t="shared" si="11"/>
        <v>139.13069377439456</v>
      </c>
      <c r="J13" s="116">
        <f t="shared" si="11"/>
        <v>142.16008342209005</v>
      </c>
      <c r="K13" s="116">
        <f t="shared" si="11"/>
        <v>148.34733553067991</v>
      </c>
      <c r="L13" s="116">
        <f t="shared" si="11"/>
        <v>157.98351802967247</v>
      </c>
      <c r="M13" s="116">
        <f t="shared" si="11"/>
        <v>154.02652659217671</v>
      </c>
      <c r="N13" s="116">
        <f t="shared" si="11"/>
        <v>151.7325160860899</v>
      </c>
      <c r="O13" s="116">
        <f t="shared" si="11"/>
        <v>149.88964576044299</v>
      </c>
      <c r="P13" s="116">
        <f t="shared" si="11"/>
        <v>146.38633837212925</v>
      </c>
      <c r="Q13" s="116">
        <f t="shared" si="11"/>
        <v>141.86704920206236</v>
      </c>
      <c r="R13" s="116">
        <f t="shared" si="11"/>
        <v>151.37747374591379</v>
      </c>
      <c r="S13" s="116">
        <f t="shared" si="11"/>
        <v>151.0923940957174</v>
      </c>
      <c r="T13" s="116">
        <f t="shared" si="11"/>
        <v>151.19578822250645</v>
      </c>
      <c r="U13" s="116">
        <f t="shared" si="11"/>
        <v>151.32115169823189</v>
      </c>
      <c r="V13" s="116">
        <f t="shared" si="11"/>
        <v>136.48514072039796</v>
      </c>
      <c r="W13" s="116">
        <f t="shared" ref="W13" si="12">SUM(W14:W15)</f>
        <v>134.56556620518009</v>
      </c>
      <c r="DA13" s="176" t="s">
        <v>396</v>
      </c>
    </row>
    <row r="14" spans="1:105" ht="11.45" customHeight="1" x14ac:dyDescent="0.25">
      <c r="A14" s="111" t="s">
        <v>95</v>
      </c>
      <c r="B14" s="87">
        <v>32.61167298445443</v>
      </c>
      <c r="C14" s="87">
        <v>30.973320424599514</v>
      </c>
      <c r="D14" s="87">
        <v>30.466115364397748</v>
      </c>
      <c r="E14" s="87">
        <v>29.957447351580495</v>
      </c>
      <c r="F14" s="87">
        <v>30.197445188392933</v>
      </c>
      <c r="G14" s="87">
        <v>29.363955293169809</v>
      </c>
      <c r="H14" s="87">
        <v>28.980772984623009</v>
      </c>
      <c r="I14" s="87">
        <v>28.241704148602864</v>
      </c>
      <c r="J14" s="87">
        <v>28.973673363993029</v>
      </c>
      <c r="K14" s="87">
        <v>27.301547165908584</v>
      </c>
      <c r="L14" s="87">
        <v>29.889510857365799</v>
      </c>
      <c r="M14" s="87">
        <v>28.997769746805464</v>
      </c>
      <c r="N14" s="87">
        <v>24.462710399859557</v>
      </c>
      <c r="O14" s="87">
        <v>24.570773240085682</v>
      </c>
      <c r="P14" s="87">
        <v>25.452528946132986</v>
      </c>
      <c r="Q14" s="87">
        <v>26.210852971873177</v>
      </c>
      <c r="R14" s="87">
        <v>25.923013875824154</v>
      </c>
      <c r="S14" s="87">
        <v>24.486129344992168</v>
      </c>
      <c r="T14" s="87">
        <v>21.022248547502606</v>
      </c>
      <c r="U14" s="87">
        <v>18.471899541763495</v>
      </c>
      <c r="V14" s="87">
        <v>17.346814895318705</v>
      </c>
      <c r="W14" s="87">
        <v>16.179437469309729</v>
      </c>
      <c r="DA14" s="171" t="s">
        <v>1106</v>
      </c>
    </row>
    <row r="15" spans="1:105" ht="11.45" customHeight="1" x14ac:dyDescent="0.25">
      <c r="A15" s="111" t="s">
        <v>93</v>
      </c>
      <c r="B15" s="87">
        <v>123.60922159780483</v>
      </c>
      <c r="C15" s="87">
        <v>118.34529389298125</v>
      </c>
      <c r="D15" s="87">
        <v>118.4338569069058</v>
      </c>
      <c r="E15" s="87">
        <v>117.89046155461598</v>
      </c>
      <c r="F15" s="87">
        <v>120.51390752598539</v>
      </c>
      <c r="G15" s="87">
        <v>115.7160644740535</v>
      </c>
      <c r="H15" s="87">
        <v>115.66980017298661</v>
      </c>
      <c r="I15" s="87">
        <v>110.88898962579168</v>
      </c>
      <c r="J15" s="87">
        <v>113.18641005809702</v>
      </c>
      <c r="K15" s="87">
        <v>121.04578836477133</v>
      </c>
      <c r="L15" s="87">
        <v>128.09400717230668</v>
      </c>
      <c r="M15" s="87">
        <v>125.02875684537123</v>
      </c>
      <c r="N15" s="87">
        <v>127.26980568623036</v>
      </c>
      <c r="O15" s="87">
        <v>125.3188725203573</v>
      </c>
      <c r="P15" s="87">
        <v>120.93380942599626</v>
      </c>
      <c r="Q15" s="87">
        <v>115.65619623018918</v>
      </c>
      <c r="R15" s="87">
        <v>125.45445987008965</v>
      </c>
      <c r="S15" s="87">
        <v>126.60626475072523</v>
      </c>
      <c r="T15" s="87">
        <v>130.17353967500384</v>
      </c>
      <c r="U15" s="87">
        <v>132.8492521564684</v>
      </c>
      <c r="V15" s="87">
        <v>119.13832582507925</v>
      </c>
      <c r="W15" s="87">
        <v>118.38612873587037</v>
      </c>
      <c r="DA15" s="171" t="s">
        <v>1107</v>
      </c>
    </row>
    <row r="16" spans="1:105" ht="11.45" customHeight="1" x14ac:dyDescent="0.25">
      <c r="A16" s="112" t="s">
        <v>25</v>
      </c>
      <c r="B16" s="117">
        <v>0.70116178320616895</v>
      </c>
      <c r="C16" s="117">
        <v>1.1724534621134626</v>
      </c>
      <c r="D16" s="117">
        <v>1.2213179138875283</v>
      </c>
      <c r="E16" s="117">
        <v>4.0184815691827822</v>
      </c>
      <c r="F16" s="117">
        <v>3.9412226923559355</v>
      </c>
      <c r="G16" s="117">
        <v>4.098254460468933</v>
      </c>
      <c r="H16" s="117">
        <v>3.9954084648850348</v>
      </c>
      <c r="I16" s="117">
        <v>4.5111321231402393</v>
      </c>
      <c r="J16" s="117">
        <v>4.9784575329995233</v>
      </c>
      <c r="K16" s="117">
        <v>5.028011528615882</v>
      </c>
      <c r="L16" s="117">
        <v>1.990676734621768</v>
      </c>
      <c r="M16" s="117">
        <v>2.0939695445934268</v>
      </c>
      <c r="N16" s="117">
        <v>2.1681976868242021</v>
      </c>
      <c r="O16" s="117">
        <v>2.3605193679821923</v>
      </c>
      <c r="P16" s="117">
        <v>1.5882414499690278</v>
      </c>
      <c r="Q16" s="117">
        <v>5.4100778033388366</v>
      </c>
      <c r="R16" s="117">
        <v>1.7769600851093896</v>
      </c>
      <c r="S16" s="117">
        <v>1.8936704907444235</v>
      </c>
      <c r="T16" s="117">
        <v>1.6403980883463265</v>
      </c>
      <c r="U16" s="117">
        <v>1.8698557182343949</v>
      </c>
      <c r="V16" s="117">
        <v>0.81562808733399506</v>
      </c>
      <c r="W16" s="117">
        <v>0.77954126501484666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17.759866317386944</v>
      </c>
      <c r="C17" s="29">
        <f t="shared" si="13"/>
        <v>17.531538778763004</v>
      </c>
      <c r="D17" s="29">
        <f t="shared" si="13"/>
        <v>15.265995358034012</v>
      </c>
      <c r="E17" s="29">
        <f t="shared" si="13"/>
        <v>15.878486783643634</v>
      </c>
      <c r="F17" s="29">
        <f t="shared" si="13"/>
        <v>19.317756110424867</v>
      </c>
      <c r="G17" s="29">
        <f t="shared" si="13"/>
        <v>20.405528973892679</v>
      </c>
      <c r="H17" s="29">
        <f t="shared" si="13"/>
        <v>20.52290549704697</v>
      </c>
      <c r="I17" s="29">
        <f t="shared" si="13"/>
        <v>23.360764929548036</v>
      </c>
      <c r="J17" s="29">
        <f t="shared" si="13"/>
        <v>22.698871540423898</v>
      </c>
      <c r="K17" s="29">
        <f t="shared" si="13"/>
        <v>17.970151726635851</v>
      </c>
      <c r="L17" s="29">
        <f t="shared" si="13"/>
        <v>20.947446732269281</v>
      </c>
      <c r="M17" s="29">
        <f t="shared" si="13"/>
        <v>22.149857307705165</v>
      </c>
      <c r="N17" s="29">
        <f t="shared" si="13"/>
        <v>20.649637058918511</v>
      </c>
      <c r="O17" s="29">
        <f t="shared" si="13"/>
        <v>19.908787785273496</v>
      </c>
      <c r="P17" s="29">
        <f t="shared" si="13"/>
        <v>19.250519167471033</v>
      </c>
      <c r="Q17" s="29">
        <f t="shared" si="13"/>
        <v>20.1495710794016</v>
      </c>
      <c r="R17" s="29">
        <f t="shared" si="13"/>
        <v>19.883159231306692</v>
      </c>
      <c r="S17" s="29">
        <f t="shared" si="13"/>
        <v>19.076192458960236</v>
      </c>
      <c r="T17" s="29">
        <f t="shared" si="13"/>
        <v>20.287853447031502</v>
      </c>
      <c r="U17" s="29">
        <f t="shared" si="13"/>
        <v>20.269558631560461</v>
      </c>
      <c r="V17" s="29">
        <f t="shared" si="13"/>
        <v>21.303470110265501</v>
      </c>
      <c r="W17" s="29">
        <f t="shared" si="13"/>
        <v>21.723440277605206</v>
      </c>
      <c r="DA17" s="173" t="s">
        <v>401</v>
      </c>
    </row>
    <row r="18" spans="1:105" ht="11.45" customHeight="1" x14ac:dyDescent="0.25">
      <c r="A18" s="83" t="s">
        <v>95</v>
      </c>
      <c r="B18" s="87">
        <v>4.4476563362678396</v>
      </c>
      <c r="C18" s="87">
        <v>4.0271954825371949</v>
      </c>
      <c r="D18" s="87">
        <v>3.5049078514234204</v>
      </c>
      <c r="E18" s="87">
        <v>4.0135758642406705</v>
      </c>
      <c r="F18" s="87">
        <v>4.8030707187437756</v>
      </c>
      <c r="G18" s="87">
        <v>4.6070679226513587</v>
      </c>
      <c r="H18" s="87">
        <v>4.9902502311981509</v>
      </c>
      <c r="I18" s="87">
        <v>5.7293190672182996</v>
      </c>
      <c r="J18" s="87">
        <v>5.0761976592227933</v>
      </c>
      <c r="K18" s="87">
        <v>3.6528810370148848</v>
      </c>
      <c r="L18" s="87">
        <v>4.1603601658500251</v>
      </c>
      <c r="M18" s="87">
        <v>4.0202870029795754</v>
      </c>
      <c r="N18" s="87">
        <v>3.2482096345342457</v>
      </c>
      <c r="O18" s="87">
        <v>3.1401467943081229</v>
      </c>
      <c r="P18" s="87">
        <v>3.2902053616916089</v>
      </c>
      <c r="Q18" s="87">
        <v>3.4608581201302537</v>
      </c>
      <c r="R18" s="87">
        <v>3.6302965283030999</v>
      </c>
      <c r="S18" s="87">
        <v>3.190568849332859</v>
      </c>
      <c r="T18" s="87">
        <v>2.9729363192213771</v>
      </c>
      <c r="U18" s="87">
        <v>2.671522642243386</v>
      </c>
      <c r="V18" s="87">
        <v>3.7782066008119934</v>
      </c>
      <c r="W18" s="87">
        <v>3.6270113698992206</v>
      </c>
      <c r="DA18" s="171" t="s">
        <v>1108</v>
      </c>
    </row>
    <row r="19" spans="1:105" ht="11.45" customHeight="1" x14ac:dyDescent="0.25">
      <c r="A19" s="85" t="s">
        <v>93</v>
      </c>
      <c r="B19" s="88">
        <v>13.312209981119103</v>
      </c>
      <c r="C19" s="88">
        <v>13.504343296225809</v>
      </c>
      <c r="D19" s="88">
        <v>11.761087506610592</v>
      </c>
      <c r="E19" s="88">
        <v>11.864910919402964</v>
      </c>
      <c r="F19" s="88">
        <v>14.514685391681091</v>
      </c>
      <c r="G19" s="88">
        <v>15.79846105124132</v>
      </c>
      <c r="H19" s="88">
        <v>15.53265526584882</v>
      </c>
      <c r="I19" s="88">
        <v>17.631445862329738</v>
      </c>
      <c r="J19" s="88">
        <v>17.622673881201106</v>
      </c>
      <c r="K19" s="88">
        <v>14.317270689620965</v>
      </c>
      <c r="L19" s="88">
        <v>16.787086566419255</v>
      </c>
      <c r="M19" s="88">
        <v>18.12957030472559</v>
      </c>
      <c r="N19" s="88">
        <v>17.401427424384266</v>
      </c>
      <c r="O19" s="88">
        <v>16.768640990965373</v>
      </c>
      <c r="P19" s="88">
        <v>15.960313805779425</v>
      </c>
      <c r="Q19" s="88">
        <v>16.688712959271346</v>
      </c>
      <c r="R19" s="88">
        <v>16.252862703003593</v>
      </c>
      <c r="S19" s="88">
        <v>15.885623609627375</v>
      </c>
      <c r="T19" s="88">
        <v>17.314917127810126</v>
      </c>
      <c r="U19" s="88">
        <v>17.598035989317076</v>
      </c>
      <c r="V19" s="88">
        <v>17.525263509453506</v>
      </c>
      <c r="W19" s="88">
        <v>18.096428907705985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142.94875064210578</v>
      </c>
      <c r="C23" s="62">
        <f>IF(C10=0,0,C10/TrRail_act!C14*100)</f>
        <v>141.15793157910588</v>
      </c>
      <c r="D23" s="62">
        <f>IF(D10=0,0,D10/TrRail_act!D14*100)</f>
        <v>139.42783549606273</v>
      </c>
      <c r="E23" s="62">
        <f>IF(E10=0,0,E10/TrRail_act!E14*100)</f>
        <v>137.83039402380427</v>
      </c>
      <c r="F23" s="62">
        <f>IF(F10=0,0,F10/TrRail_act!F14*100)</f>
        <v>136.01131806908757</v>
      </c>
      <c r="G23" s="62">
        <f>IF(G10=0,0,G10/TrRail_act!G14*100)</f>
        <v>135.13706650549187</v>
      </c>
      <c r="H23" s="62">
        <f>IF(H10=0,0,H10/TrRail_act!H14*100)</f>
        <v>133.26548049378789</v>
      </c>
      <c r="I23" s="62">
        <f>IF(I10=0,0,I10/TrRail_act!I14*100)</f>
        <v>132.93867025945693</v>
      </c>
      <c r="J23" s="62">
        <f>IF(J10=0,0,J10/TrRail_act!J14*100)</f>
        <v>131.72866372758548</v>
      </c>
      <c r="K23" s="62">
        <f>IF(K10=0,0,K10/TrRail_act!K14*100)</f>
        <v>128.49560960409602</v>
      </c>
      <c r="L23" s="62">
        <f>IF(L10=0,0,L10/TrRail_act!L14*100)</f>
        <v>127.05117863240061</v>
      </c>
      <c r="M23" s="62">
        <f>IF(M10=0,0,M10/TrRail_act!M14*100)</f>
        <v>125.67578354657051</v>
      </c>
      <c r="N23" s="62">
        <f>IF(N10=0,0,N10/TrRail_act!N14*100)</f>
        <v>121.8953302630118</v>
      </c>
      <c r="O23" s="62">
        <f>IF(O10=0,0,O10/TrRail_act!O14*100)</f>
        <v>117.32733046376558</v>
      </c>
      <c r="P23" s="62">
        <f>IF(P10=0,0,P10/TrRail_act!P14*100)</f>
        <v>114.82723205618872</v>
      </c>
      <c r="Q23" s="62">
        <f>IF(Q10=0,0,Q10/TrRail_act!Q14*100)</f>
        <v>114.49514720581979</v>
      </c>
      <c r="R23" s="62">
        <f>IF(R10=0,0,R10/TrRail_act!R14*100)</f>
        <v>111.81465355582046</v>
      </c>
      <c r="S23" s="62">
        <f>IF(S10=0,0,S10/TrRail_act!S14*100)</f>
        <v>110.27650914602705</v>
      </c>
      <c r="T23" s="62">
        <f>IF(T10=0,0,T10/TrRail_act!T14*100)</f>
        <v>107.60539605517332</v>
      </c>
      <c r="U23" s="62">
        <f>IF(U10=0,0,U10/TrRail_act!U14*100)</f>
        <v>106.2251916707424</v>
      </c>
      <c r="V23" s="62">
        <f>IF(V10=0,0,V10/TrRail_act!V14*100)</f>
        <v>108.14461903511965</v>
      </c>
      <c r="W23" s="62">
        <f>IF(W10=0,0,W10/TrRail_act!W14*100)</f>
        <v>107.35800267698625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137.9504078740128</v>
      </c>
      <c r="C24" s="29">
        <f>IF(C11=0,0,C11/TrRail_act!C15*100)</f>
        <v>136.21915796557872</v>
      </c>
      <c r="D24" s="29">
        <f>IF(D11=0,0,D11/TrRail_act!D15*100)</f>
        <v>135.11904342952715</v>
      </c>
      <c r="E24" s="29">
        <f>IF(E11=0,0,E11/TrRail_act!E15*100)</f>
        <v>133.34508268954787</v>
      </c>
      <c r="F24" s="29">
        <f>IF(F11=0,0,F11/TrRail_act!F15*100)</f>
        <v>130.81365392553582</v>
      </c>
      <c r="G24" s="29">
        <f>IF(G11=0,0,G11/TrRail_act!G15*100)</f>
        <v>129.71946776743738</v>
      </c>
      <c r="H24" s="29">
        <f>IF(H11=0,0,H11/TrRail_act!H15*100)</f>
        <v>127.72630855284051</v>
      </c>
      <c r="I24" s="29">
        <f>IF(I11=0,0,I11/TrRail_act!I15*100)</f>
        <v>126.524856502284</v>
      </c>
      <c r="J24" s="29">
        <f>IF(J11=0,0,J11/TrRail_act!J15*100)</f>
        <v>125.89878041236344</v>
      </c>
      <c r="K24" s="29">
        <f>IF(K11=0,0,K11/TrRail_act!K15*100)</f>
        <v>124.10489466474451</v>
      </c>
      <c r="L24" s="29">
        <f>IF(L11=0,0,L11/TrRail_act!L15*100)</f>
        <v>122.28172133354185</v>
      </c>
      <c r="M24" s="29">
        <f>IF(M11=0,0,M11/TrRail_act!M15*100)</f>
        <v>120.73613033735936</v>
      </c>
      <c r="N24" s="29">
        <f>IF(N11=0,0,N11/TrRail_act!N15*100)</f>
        <v>117.41485064533896</v>
      </c>
      <c r="O24" s="29">
        <f>IF(O11=0,0,O11/TrRail_act!O15*100)</f>
        <v>113.11810379617401</v>
      </c>
      <c r="P24" s="29">
        <f>IF(P11=0,0,P11/TrRail_act!P15*100)</f>
        <v>110.70024261434364</v>
      </c>
      <c r="Q24" s="29">
        <f>IF(Q11=0,0,Q11/TrRail_act!Q15*100)</f>
        <v>110.32468137049445</v>
      </c>
      <c r="R24" s="29">
        <f>IF(R11=0,0,R11/TrRail_act!R15*100)</f>
        <v>107.81182809952567</v>
      </c>
      <c r="S24" s="29">
        <f>IF(S11=0,0,S11/TrRail_act!S15*100)</f>
        <v>106.57550952238743</v>
      </c>
      <c r="T24" s="29">
        <f>IF(T11=0,0,T11/TrRail_act!T15*100)</f>
        <v>103.79041164035863</v>
      </c>
      <c r="U24" s="29">
        <f>IF(U11=0,0,U11/TrRail_act!U15*100)</f>
        <v>102.52134242117548</v>
      </c>
      <c r="V24" s="29">
        <f>IF(V11=0,0,V11/TrRail_act!V15*100)</f>
        <v>103.61974663750347</v>
      </c>
      <c r="W24" s="29">
        <f>IF(W11=0,0,W11/TrRail_act!W15*100)</f>
        <v>102.77464763435111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36.205065818888322</v>
      </c>
      <c r="C25" s="115">
        <f>IF(C12=0,0,C12/TrRail_act!C16*100)</f>
        <v>35.968054781699983</v>
      </c>
      <c r="D25" s="115">
        <f>IF(D12=0,0,D12/TrRail_act!D16*100)</f>
        <v>35.676244479849153</v>
      </c>
      <c r="E25" s="115">
        <f>IF(E12=0,0,E12/TrRail_act!E16*100)</f>
        <v>35.397377883972538</v>
      </c>
      <c r="F25" s="115">
        <f>IF(F12=0,0,F12/TrRail_act!F16*100)</f>
        <v>34.977099063221154</v>
      </c>
      <c r="G25" s="115">
        <f>IF(G12=0,0,G12/TrRail_act!G16*100)</f>
        <v>34.538930959591454</v>
      </c>
      <c r="H25" s="115">
        <f>IF(H12=0,0,H12/TrRail_act!H16*100)</f>
        <v>34.281174800569161</v>
      </c>
      <c r="I25" s="115">
        <f>IF(I12=0,0,I12/TrRail_act!I16*100)</f>
        <v>33.941220260906597</v>
      </c>
      <c r="J25" s="115">
        <f>IF(J12=0,0,J12/TrRail_act!J16*100)</f>
        <v>33.715333705736107</v>
      </c>
      <c r="K25" s="115">
        <f>IF(K12=0,0,K12/TrRail_act!K16*100)</f>
        <v>33.482054154743174</v>
      </c>
      <c r="L25" s="115">
        <f>IF(L12=0,0,L12/TrRail_act!L16*100)</f>
        <v>33.28669234451921</v>
      </c>
      <c r="M25" s="115">
        <f>IF(M12=0,0,M12/TrRail_act!M16*100)</f>
        <v>32.908519393684813</v>
      </c>
      <c r="N25" s="115">
        <f>IF(N12=0,0,N12/TrRail_act!N16*100)</f>
        <v>32.638431497153235</v>
      </c>
      <c r="O25" s="115">
        <f>IF(O12=0,0,O12/TrRail_act!O16*100)</f>
        <v>32.313189636884438</v>
      </c>
      <c r="P25" s="115">
        <f>IF(P12=0,0,P12/TrRail_act!P16*100)</f>
        <v>32.045775588818131</v>
      </c>
      <c r="Q25" s="115">
        <f>IF(Q12=0,0,Q12/TrRail_act!Q16*100)</f>
        <v>31.81328953850787</v>
      </c>
      <c r="R25" s="115">
        <f>IF(R12=0,0,R12/TrRail_act!R16*100)</f>
        <v>31.640032530538047</v>
      </c>
      <c r="S25" s="115">
        <f>IF(S12=0,0,S12/TrRail_act!S16*100)</f>
        <v>31.510709272333624</v>
      </c>
      <c r="T25" s="115">
        <f>IF(T12=0,0,T12/TrRail_act!T16*100)</f>
        <v>31.414063832104301</v>
      </c>
      <c r="U25" s="115">
        <f>IF(U12=0,0,U12/TrRail_act!U16*100)</f>
        <v>31.341774326004447</v>
      </c>
      <c r="V25" s="115">
        <f>IF(V12=0,0,V12/TrRail_act!V16*100)</f>
        <v>31.287666385468686</v>
      </c>
      <c r="W25" s="115">
        <f>IF(W12=0,0,W12/TrRail_act!W16*100)</f>
        <v>31.247146739917021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145.31754336946062</v>
      </c>
      <c r="C26" s="116">
        <f>IF(C13=0,0,C13/TrRail_act!C17*100)</f>
        <v>143.79147707668579</v>
      </c>
      <c r="D26" s="116">
        <f>IF(D13=0,0,D13/TrRail_act!D17*100)</f>
        <v>142.32311270193884</v>
      </c>
      <c r="E26" s="116">
        <f>IF(E13=0,0,E13/TrRail_act!E17*100)</f>
        <v>139.91404139430082</v>
      </c>
      <c r="F26" s="116">
        <f>IF(F13=0,0,F13/TrRail_act!F17*100)</f>
        <v>137.39740582981636</v>
      </c>
      <c r="G26" s="116">
        <f>IF(G13=0,0,G13/TrRail_act!G17*100)</f>
        <v>136.52448331904688</v>
      </c>
      <c r="H26" s="116">
        <f>IF(H13=0,0,H13/TrRail_act!H17*100)</f>
        <v>134.54389957721668</v>
      </c>
      <c r="I26" s="116">
        <f>IF(I13=0,0,I13/TrRail_act!I17*100)</f>
        <v>133.71361935326874</v>
      </c>
      <c r="J26" s="116">
        <f>IF(J13=0,0,J13/TrRail_act!J17*100)</f>
        <v>133.01607367525671</v>
      </c>
      <c r="K26" s="116">
        <f>IF(K13=0,0,K13/TrRail_act!K17*100)</f>
        <v>130.5713206456077</v>
      </c>
      <c r="L26" s="116">
        <f>IF(L13=0,0,L13/TrRail_act!L17*100)</f>
        <v>128.95467072525756</v>
      </c>
      <c r="M26" s="116">
        <f>IF(M13=0,0,M13/TrRail_act!M17*100)</f>
        <v>127.63154330651376</v>
      </c>
      <c r="N26" s="116">
        <f>IF(N13=0,0,N13/TrRail_act!N17*100)</f>
        <v>123.32137105869423</v>
      </c>
      <c r="O26" s="116">
        <f>IF(O13=0,0,O13/TrRail_act!O17*100)</f>
        <v>118.6990592929688</v>
      </c>
      <c r="P26" s="116">
        <f>IF(P13=0,0,P13/TrRail_act!P17*100)</f>
        <v>116.25175310056461</v>
      </c>
      <c r="Q26" s="116">
        <f>IF(Q13=0,0,Q13/TrRail_act!Q17*100)</f>
        <v>115.78942111160664</v>
      </c>
      <c r="R26" s="116">
        <f>IF(R13=0,0,R13/TrRail_act!R17*100)</f>
        <v>113.50713887355374</v>
      </c>
      <c r="S26" s="116">
        <f>IF(S13=0,0,S13/TrRail_act!S17*100)</f>
        <v>111.78526476402733</v>
      </c>
      <c r="T26" s="116">
        <f>IF(T13=0,0,T13/TrRail_act!T17*100)</f>
        <v>109.62508058459277</v>
      </c>
      <c r="U26" s="116">
        <f>IF(U13=0,0,U13/TrRail_act!U17*100)</f>
        <v>108.09882709151076</v>
      </c>
      <c r="V26" s="116">
        <f>IF(V13=0,0,V13/TrRail_act!V17*100)</f>
        <v>107.82776221720729</v>
      </c>
      <c r="W26" s="116">
        <f>IF(W13=0,0,W13/TrRail_act!W17*100)</f>
        <v>107.12639619248398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232.05718308643014</v>
      </c>
      <c r="C27" s="87">
        <f>IF(C14=0,0,C14/TrRail_act!C18*100)</f>
        <v>231.37815849221775</v>
      </c>
      <c r="D27" s="87">
        <f>IF(D14=0,0,D14/TrRail_act!D18*100)</f>
        <v>229.96933875846349</v>
      </c>
      <c r="E27" s="87">
        <f>IF(E14=0,0,E14/TrRail_act!E18*100)</f>
        <v>228.36652042534928</v>
      </c>
      <c r="F27" s="87">
        <f>IF(F14=0,0,F14/TrRail_act!F18*100)</f>
        <v>225.49530789777893</v>
      </c>
      <c r="G27" s="87">
        <f>IF(G14=0,0,G14/TrRail_act!G18*100)</f>
        <v>225.93598235464444</v>
      </c>
      <c r="H27" s="87">
        <f>IF(H14=0,0,H14/TrRail_act!H18*100)</f>
        <v>222.79292627474709</v>
      </c>
      <c r="I27" s="87">
        <f>IF(I14=0,0,I14/TrRail_act!I18*100)</f>
        <v>222.18882004593553</v>
      </c>
      <c r="J27" s="87">
        <f>IF(J14=0,0,J14/TrRail_act!J18*100)</f>
        <v>218.81075751450916</v>
      </c>
      <c r="K27" s="87">
        <f>IF(K14=0,0,K14/TrRail_act!K18*100)</f>
        <v>216.9640148611677</v>
      </c>
      <c r="L27" s="87">
        <f>IF(L14=0,0,L14/TrRail_act!L18*100)</f>
        <v>213.66145501708868</v>
      </c>
      <c r="M27" s="87">
        <f>IF(M14=0,0,M14/TrRail_act!M18*100)</f>
        <v>210.29345868820454</v>
      </c>
      <c r="N27" s="87">
        <f>IF(N14=0,0,N14/TrRail_act!N18*100)</f>
        <v>206.43220416570429</v>
      </c>
      <c r="O27" s="87">
        <f>IF(O14=0,0,O14/TrRail_act!O18*100)</f>
        <v>199.97386016894853</v>
      </c>
      <c r="P27" s="87">
        <f>IF(P14=0,0,P14/TrRail_act!P18*100)</f>
        <v>198.91100043693336</v>
      </c>
      <c r="Q27" s="87">
        <f>IF(Q14=0,0,Q14/TrRail_act!Q18*100)</f>
        <v>196.57625021619407</v>
      </c>
      <c r="R27" s="87">
        <f>IF(R14=0,0,R14/TrRail_act!R18*100)</f>
        <v>191.92054157530109</v>
      </c>
      <c r="S27" s="87">
        <f>IF(S14=0,0,S14/TrRail_act!S18*100)</f>
        <v>186.61625320527421</v>
      </c>
      <c r="T27" s="87">
        <f>IF(T14=0,0,T14/TrRail_act!T18*100)</f>
        <v>181.27259070129784</v>
      </c>
      <c r="U27" s="87">
        <f>IF(U14=0,0,U14/TrRail_act!U18*100)</f>
        <v>177.36550044441523</v>
      </c>
      <c r="V27" s="87">
        <f>IF(V14=0,0,V14/TrRail_act!V18*100)</f>
        <v>174.49054691141475</v>
      </c>
      <c r="W27" s="87">
        <f>IF(W14=0,0,W14/TrRail_act!W18*100)</f>
        <v>172.36495499555286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132.27335192559346</v>
      </c>
      <c r="C28" s="87">
        <f>IF(C15=0,0,C15/TrRail_act!C19*100)</f>
        <v>130.82985527739976</v>
      </c>
      <c r="D28" s="87">
        <f>IF(D15=0,0,D15/TrRail_act!D19*100)</f>
        <v>129.61556760147795</v>
      </c>
      <c r="E28" s="87">
        <f>IF(E15=0,0,E15/TrRail_act!E19*100)</f>
        <v>127.37700873560203</v>
      </c>
      <c r="F28" s="87">
        <f>IF(F15=0,0,F15/TrRail_act!F19*100)</f>
        <v>125.14620203099913</v>
      </c>
      <c r="G28" s="87">
        <f>IF(G15=0,0,G15/TrRail_act!G19*100)</f>
        <v>124.06557040009658</v>
      </c>
      <c r="H28" s="87">
        <f>IF(H15=0,0,H15/TrRail_act!H19*100)</f>
        <v>122.39690233854685</v>
      </c>
      <c r="I28" s="87">
        <f>IF(I15=0,0,I15/TrRail_act!I19*100)</f>
        <v>121.40167856433976</v>
      </c>
      <c r="J28" s="87">
        <f>IF(J15=0,0,J15/TrRail_act!J19*100)</f>
        <v>120.88311736160216</v>
      </c>
      <c r="K28" s="87">
        <f>IF(K15=0,0,K15/TrRail_act!K19*100)</f>
        <v>119.81103717330717</v>
      </c>
      <c r="L28" s="87">
        <f>IF(L15=0,0,L15/TrRail_act!L19*100)</f>
        <v>118.03538500108301</v>
      </c>
      <c r="M28" s="87">
        <f>IF(M15=0,0,M15/TrRail_act!M19*100)</f>
        <v>116.96800199279505</v>
      </c>
      <c r="N28" s="87">
        <f>IF(N15=0,0,N15/TrRail_act!N19*100)</f>
        <v>114.46355591811692</v>
      </c>
      <c r="O28" s="87">
        <f>IF(O15=0,0,O15/TrRail_act!O19*100)</f>
        <v>109.93844389623571</v>
      </c>
      <c r="P28" s="87">
        <f>IF(P15=0,0,P15/TrRail_act!P19*100)</f>
        <v>106.90196952928062</v>
      </c>
      <c r="Q28" s="87">
        <f>IF(Q15=0,0,Q15/TrRail_act!Q19*100)</f>
        <v>105.92398940511765</v>
      </c>
      <c r="R28" s="87">
        <f>IF(R15=0,0,R15/TrRail_act!R19*100)</f>
        <v>104.67039832689444</v>
      </c>
      <c r="S28" s="87">
        <f>IF(S15=0,0,S15/TrRail_act!S19*100)</f>
        <v>103.73995079520293</v>
      </c>
      <c r="T28" s="87">
        <f>IF(T15=0,0,T15/TrRail_act!T19*100)</f>
        <v>103.04754704570907</v>
      </c>
      <c r="U28" s="87">
        <f>IF(U15=0,0,U15/TrRail_act!U19*100)</f>
        <v>102.53127871229211</v>
      </c>
      <c r="V28" s="87">
        <f>IF(V15=0,0,V15/TrRail_act!V19*100)</f>
        <v>102.14577556588698</v>
      </c>
      <c r="W28" s="87">
        <f>IF(W15=0,0,W15/TrRail_act!W19*100)</f>
        <v>101.85759969779456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179.6368527478653</v>
      </c>
      <c r="C29" s="117">
        <f>IF(C16=0,0,C16/TrRail_act!C20*100)</f>
        <v>177.71246477628611</v>
      </c>
      <c r="D29" s="117">
        <f>IF(D16=0,0,D16/TrRail_act!D20*100)</f>
        <v>175.90910298706245</v>
      </c>
      <c r="E29" s="117">
        <f>IF(E16=0,0,E16/TrRail_act!E20*100)</f>
        <v>175.20623032833689</v>
      </c>
      <c r="F29" s="117">
        <f>IF(F16=0,0,F16/TrRail_act!F20*100)</f>
        <v>173.66857840336692</v>
      </c>
      <c r="G29" s="117">
        <f>IF(G16=0,0,G16/TrRail_act!G20*100)</f>
        <v>172.70218307055615</v>
      </c>
      <c r="H29" s="117">
        <f>IF(H16=0,0,H16/TrRail_act!H20*100)</f>
        <v>171.83990823891497</v>
      </c>
      <c r="I29" s="117">
        <f>IF(I16=0,0,I16/TrRail_act!I20*100)</f>
        <v>170.38930325603897</v>
      </c>
      <c r="J29" s="117">
        <f>IF(J16=0,0,J16/TrRail_act!J20*100)</f>
        <v>169.37661645381647</v>
      </c>
      <c r="K29" s="117">
        <f>IF(K16=0,0,K16/TrRail_act!K20*100)</f>
        <v>168.40829969288578</v>
      </c>
      <c r="L29" s="117">
        <f>IF(L16=0,0,L16/TrRail_act!L20*100)</f>
        <v>167.0342216259175</v>
      </c>
      <c r="M29" s="117">
        <f>IF(M16=0,0,M16/TrRail_act!M20*100)</f>
        <v>165.13955399001793</v>
      </c>
      <c r="N29" s="117">
        <f>IF(N16=0,0,N16/TrRail_act!N20*100)</f>
        <v>163.0768776651999</v>
      </c>
      <c r="O29" s="117">
        <f>IF(O16=0,0,O16/TrRail_act!O20*100)</f>
        <v>161.59785253174911</v>
      </c>
      <c r="P29" s="117">
        <f>IF(P16=0,0,P16/TrRail_act!P20*100)</f>
        <v>160.2318966604193</v>
      </c>
      <c r="Q29" s="117">
        <f>IF(Q16=0,0,Q16/TrRail_act!Q20*100)</f>
        <v>158.28197201108352</v>
      </c>
      <c r="R29" s="117">
        <f>IF(R16=0,0,R16/TrRail_act!R20*100)</f>
        <v>156.8351167928727</v>
      </c>
      <c r="S29" s="117">
        <f>IF(S16=0,0,S16/TrRail_act!S20*100)</f>
        <v>155.75866137591191</v>
      </c>
      <c r="T29" s="117">
        <f>IF(T16=0,0,T16/TrRail_act!T20*100)</f>
        <v>154.95617121186797</v>
      </c>
      <c r="U29" s="117">
        <f>IF(U16=0,0,U16/TrRail_act!U20*100)</f>
        <v>154.35701804772845</v>
      </c>
      <c r="V29" s="117">
        <f>IF(V16=0,0,V16/TrRail_act!V20*100)</f>
        <v>153.90917398909886</v>
      </c>
      <c r="W29" s="117">
        <f>IF(W16=0,0,W16/TrRail_act!W20*100)</f>
        <v>153.5741438520827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212.09428341159878</v>
      </c>
      <c r="C30" s="29">
        <f>IF(C17=0,0,C17/TrRail_act!C21*100)</f>
        <v>206.75225418847742</v>
      </c>
      <c r="D30" s="29">
        <f>IF(D17=0,0,D17/TrRail_act!D21*100)</f>
        <v>204.87406409585168</v>
      </c>
      <c r="E30" s="29">
        <f>IF(E17=0,0,E17/TrRail_act!E21*100)</f>
        <v>205.0320883796787</v>
      </c>
      <c r="F30" s="29">
        <f>IF(F17=0,0,F17/TrRail_act!F21*100)</f>
        <v>201.27321717275274</v>
      </c>
      <c r="G30" s="29">
        <f>IF(G17=0,0,G17/TrRail_act!G21*100)</f>
        <v>196.26362387123862</v>
      </c>
      <c r="H30" s="29">
        <f>IF(H17=0,0,H17/TrRail_act!H21*100)</f>
        <v>196.1474290074259</v>
      </c>
      <c r="I30" s="29">
        <f>IF(I17=0,0,I17/TrRail_act!I21*100)</f>
        <v>195.08850734520956</v>
      </c>
      <c r="J30" s="29">
        <f>IF(J17=0,0,J17/TrRail_act!J21*100)</f>
        <v>190.02822553724485</v>
      </c>
      <c r="K30" s="29">
        <f>IF(K17=0,0,K17/TrRail_act!K21*100)</f>
        <v>185.75887178095485</v>
      </c>
      <c r="L30" s="29">
        <f>IF(L17=0,0,L17/TrRail_act!L21*100)</f>
        <v>182.52762573405931</v>
      </c>
      <c r="M30" s="29">
        <f>IF(M17=0,0,M17/TrRail_act!M21*100)</f>
        <v>178.14163882712643</v>
      </c>
      <c r="N30" s="29">
        <f>IF(N17=0,0,N17/TrRail_act!N21*100)</f>
        <v>171.68411471344379</v>
      </c>
      <c r="O30" s="29">
        <f>IF(O17=0,0,O17/TrRail_act!O21*100)</f>
        <v>165.33425399805512</v>
      </c>
      <c r="P30" s="29">
        <f>IF(P17=0,0,P17/TrRail_act!P21*100)</f>
        <v>162.29361165831614</v>
      </c>
      <c r="Q30" s="29">
        <f>IF(Q17=0,0,Q17/TrRail_act!Q21*100)</f>
        <v>159.60542531819451</v>
      </c>
      <c r="R30" s="29">
        <f>IF(R17=0,0,R17/TrRail_act!R21*100)</f>
        <v>157.99901703470724</v>
      </c>
      <c r="S30" s="29">
        <f>IF(S17=0,0,S17/TrRail_act!S21*100)</f>
        <v>154.08974093638284</v>
      </c>
      <c r="T30" s="29">
        <f>IF(T17=0,0,T17/TrRail_act!T21*100)</f>
        <v>150.21464020489867</v>
      </c>
      <c r="U30" s="29">
        <f>IF(U17=0,0,U17/TrRail_act!U21*100)</f>
        <v>147.46562620162834</v>
      </c>
      <c r="V30" s="29">
        <f>IF(V17=0,0,V17/TrRail_act!V21*100)</f>
        <v>151.54781739536122</v>
      </c>
      <c r="W30" s="29">
        <f>IF(W17=0,0,W17/TrRail_act!W21*100)</f>
        <v>149.72894609982859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470.72893566229402</v>
      </c>
      <c r="C31" s="87">
        <f>IF(C18=0,0,C18/TrRail_act!C22*100)</f>
        <v>468.0612612979366</v>
      </c>
      <c r="D31" s="87">
        <f>IF(D18=0,0,D18/TrRail_act!D22*100)</f>
        <v>465.03570870686877</v>
      </c>
      <c r="E31" s="87">
        <f>IF(E18=0,0,E18/TrRail_act!E22*100)</f>
        <v>461.96768570983505</v>
      </c>
      <c r="F31" s="87">
        <f>IF(F18=0,0,F18/TrRail_act!F22*100)</f>
        <v>463.28713563121147</v>
      </c>
      <c r="G31" s="87">
        <f>IF(G18=0,0,G18/TrRail_act!G22*100)</f>
        <v>461.81485970686003</v>
      </c>
      <c r="H31" s="87">
        <f>IF(H18=0,0,H18/TrRail_act!H22*100)</f>
        <v>455.4165455484162</v>
      </c>
      <c r="I31" s="87">
        <f>IF(I18=0,0,I18/TrRail_act!I22*100)</f>
        <v>456.76698586466154</v>
      </c>
      <c r="J31" s="87">
        <f>IF(J18=0,0,J18/TrRail_act!J22*100)</f>
        <v>428.64426163193798</v>
      </c>
      <c r="K31" s="87">
        <f>IF(K18=0,0,K18/TrRail_act!K22*100)</f>
        <v>428.10129081576645</v>
      </c>
      <c r="L31" s="87">
        <f>IF(L18=0,0,L18/TrRail_act!L22*100)</f>
        <v>425.18528083916169</v>
      </c>
      <c r="M31" s="87">
        <f>IF(M18=0,0,M18/TrRail_act!M22*100)</f>
        <v>404.85081150529493</v>
      </c>
      <c r="N31" s="87">
        <f>IF(N18=0,0,N18/TrRail_act!N22*100)</f>
        <v>402.95045920558505</v>
      </c>
      <c r="O31" s="87">
        <f>IF(O18=0,0,O18/TrRail_act!O22*100)</f>
        <v>401.07845255737516</v>
      </c>
      <c r="P31" s="87">
        <f>IF(P18=0,0,P18/TrRail_act!P22*100)</f>
        <v>391.10146976379252</v>
      </c>
      <c r="Q31" s="87">
        <f>IF(Q18=0,0,Q18/TrRail_act!Q22*100)</f>
        <v>393.85653352459855</v>
      </c>
      <c r="R31" s="87">
        <f>IF(R18=0,0,R18/TrRail_act!R22*100)</f>
        <v>393.95588238106944</v>
      </c>
      <c r="S31" s="87">
        <f>IF(S18=0,0,S18/TrRail_act!S22*100)</f>
        <v>392.06025841660789</v>
      </c>
      <c r="T31" s="87">
        <f>IF(T18=0,0,T18/TrRail_act!T22*100)</f>
        <v>390.64452870092242</v>
      </c>
      <c r="U31" s="87">
        <f>IF(U18=0,0,U18/TrRail_act!U22*100)</f>
        <v>389.58608730638184</v>
      </c>
      <c r="V31" s="87">
        <f>IF(V18=0,0,V18/TrRail_act!V22*100)</f>
        <v>388.79413869263817</v>
      </c>
      <c r="W31" s="87">
        <f>IF(W18=0,0,W18/TrRail_act!W22*100)</f>
        <v>388.20123388801318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179.19907492335315</v>
      </c>
      <c r="C32" s="88">
        <f>IF(C19=0,0,C19/TrRail_act!C23*100)</f>
        <v>177.24347872619333</v>
      </c>
      <c r="D32" s="88">
        <f>IF(D19=0,0,D19/TrRail_act!D23*100)</f>
        <v>175.5984064191241</v>
      </c>
      <c r="E32" s="88">
        <f>IF(E19=0,0,E19/TrRail_act!E23*100)</f>
        <v>172.56568915531653</v>
      </c>
      <c r="F32" s="88">
        <f>IF(F19=0,0,F19/TrRail_act!F23*100)</f>
        <v>169.54347423463832</v>
      </c>
      <c r="G32" s="88">
        <f>IF(G19=0,0,G19/TrRail_act!G23*100)</f>
        <v>168.07947422426898</v>
      </c>
      <c r="H32" s="88">
        <f>IF(H19=0,0,H19/TrRail_act!H23*100)</f>
        <v>165.81882407342033</v>
      </c>
      <c r="I32" s="88">
        <f>IF(I19=0,0,I19/TrRail_act!I23*100)</f>
        <v>164.4705314877757</v>
      </c>
      <c r="J32" s="88">
        <f>IF(J19=0,0,J19/TrRail_act!J23*100)</f>
        <v>163.76800383221286</v>
      </c>
      <c r="K32" s="88">
        <f>IF(K19=0,0,K19/TrRail_act!K23*100)</f>
        <v>162.31558900194386</v>
      </c>
      <c r="L32" s="88">
        <f>IF(L19=0,0,L19/TrRail_act!L23*100)</f>
        <v>159.91000071060614</v>
      </c>
      <c r="M32" s="88">
        <f>IF(M19=0,0,M19/TrRail_act!M23*100)</f>
        <v>158.46394944714601</v>
      </c>
      <c r="N32" s="88">
        <f>IF(N19=0,0,N19/TrRail_act!N23*100)</f>
        <v>155.07101796666009</v>
      </c>
      <c r="O32" s="88">
        <f>IF(O19=0,0,O19/TrRail_act!O23*100)</f>
        <v>148.94056253901044</v>
      </c>
      <c r="P32" s="88">
        <f>IF(P19=0,0,P19/TrRail_act!P23*100)</f>
        <v>144.82685868509355</v>
      </c>
      <c r="Q32" s="88">
        <f>IF(Q19=0,0,Q19/TrRail_act!Q23*100)</f>
        <v>142.08111600263916</v>
      </c>
      <c r="R32" s="88">
        <f>IF(R19=0,0,R19/TrRail_act!R23*100)</f>
        <v>139.35574489186294</v>
      </c>
      <c r="S32" s="88">
        <f>IF(S19=0,0,S19/TrRail_act!S23*100)</f>
        <v>137.34607884902564</v>
      </c>
      <c r="T32" s="88">
        <f>IF(T19=0,0,T19/TrRail_act!T23*100)</f>
        <v>135.8578714763317</v>
      </c>
      <c r="U32" s="88">
        <f>IF(U19=0,0,U19/TrRail_act!U23*100)</f>
        <v>134.75230783187016</v>
      </c>
      <c r="V32" s="88">
        <f>IF(V19=0,0,V19/TrRail_act!V23*100)</f>
        <v>133.92904318945295</v>
      </c>
      <c r="W32" s="88">
        <f>IF(W19=0,0,W19/TrRail_act!W23*100)</f>
        <v>133.31489713678033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10.42034979653735</v>
      </c>
      <c r="C35" s="29">
        <f>IF(C11=0,0,C11/TrRail_act!C4*1000)</f>
        <v>10.175323104195549</v>
      </c>
      <c r="D35" s="29">
        <f>IF(D11=0,0,D11/TrRail_act!D4*1000)</f>
        <v>10.228173750429596</v>
      </c>
      <c r="E35" s="29">
        <f>IF(E11=0,0,E11/TrRail_act!E4*1000)</f>
        <v>10.645041858202388</v>
      </c>
      <c r="F35" s="29">
        <f>IF(F11=0,0,F11/TrRail_act!F4*1000)</f>
        <v>10.346580227200494</v>
      </c>
      <c r="G35" s="29">
        <f>IF(G11=0,0,G11/TrRail_act!G4*1000)</f>
        <v>9.5709576205572962</v>
      </c>
      <c r="H35" s="29">
        <f>IF(H11=0,0,H11/TrRail_act!H4*1000)</f>
        <v>9.1024918096559642</v>
      </c>
      <c r="I35" s="29">
        <f>IF(I11=0,0,I11/TrRail_act!I4*1000)</f>
        <v>8.5753423897769174</v>
      </c>
      <c r="J35" s="29">
        <f>IF(J11=0,0,J11/TrRail_act!J4*1000)</f>
        <v>8.7596191256650577</v>
      </c>
      <c r="K35" s="29">
        <f>IF(K11=0,0,K11/TrRail_act!K4*1000)</f>
        <v>9.0613065914449624</v>
      </c>
      <c r="L35" s="29">
        <f>IF(L11=0,0,L11/TrRail_act!L4*1000)</f>
        <v>9.1941021780914465</v>
      </c>
      <c r="M35" s="29">
        <f>IF(M11=0,0,M11/TrRail_act!M4*1000)</f>
        <v>8.6804013735043011</v>
      </c>
      <c r="N35" s="29">
        <f>IF(N11=0,0,N11/TrRail_act!N4*1000)</f>
        <v>8.4430626041091479</v>
      </c>
      <c r="O35" s="29">
        <f>IF(O11=0,0,O11/TrRail_act!O4*1000)</f>
        <v>7.8075692066272735</v>
      </c>
      <c r="P35" s="29">
        <f>IF(P11=0,0,P11/TrRail_act!P4*1000)</f>
        <v>7.2404345366820273</v>
      </c>
      <c r="Q35" s="29">
        <f>IF(Q11=0,0,Q11/TrRail_act!Q4*1000)</f>
        <v>8.1702230506662801</v>
      </c>
      <c r="R35" s="29">
        <f>IF(R11=0,0,R11/TrRail_act!R4*1000)</f>
        <v>8.280169746799249</v>
      </c>
      <c r="S35" s="29">
        <f>IF(S11=0,0,S11/TrRail_act!S4*1000)</f>
        <v>8.0851101474409628</v>
      </c>
      <c r="T35" s="29">
        <f>IF(T11=0,0,T11/TrRail_act!T4*1000)</f>
        <v>7.8578698216431819</v>
      </c>
      <c r="U35" s="29">
        <f>IF(U11=0,0,U11/TrRail_act!U4*1000)</f>
        <v>7.6980438615288342</v>
      </c>
      <c r="V35" s="29">
        <f>IF(V11=0,0,V11/TrRail_act!V4*1000)</f>
        <v>14.517400567608181</v>
      </c>
      <c r="W35" s="29">
        <f>IF(W11=0,0,W11/TrRail_act!W4*1000)</f>
        <v>12.083951301339768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4.2978280696196558</v>
      </c>
      <c r="C36" s="115">
        <f>IF(C12=0,0,C12/TrRail_act!C5*1000)</f>
        <v>4.2636925409900517</v>
      </c>
      <c r="D36" s="115">
        <f>IF(D12=0,0,D12/TrRail_act!D5*1000)</f>
        <v>4.2282473377982832</v>
      </c>
      <c r="E36" s="115">
        <f>IF(E12=0,0,E12/TrRail_act!E5*1000)</f>
        <v>4.1586810316358269</v>
      </c>
      <c r="F36" s="115">
        <f>IF(F12=0,0,F12/TrRail_act!F5*1000)</f>
        <v>4.1121791055711769</v>
      </c>
      <c r="G36" s="115">
        <f>IF(G12=0,0,G12/TrRail_act!G5*1000)</f>
        <v>4.0115822856473651</v>
      </c>
      <c r="H36" s="115">
        <f>IF(H12=0,0,H12/TrRail_act!H5*1000)</f>
        <v>3.9399087532225838</v>
      </c>
      <c r="I36" s="115">
        <f>IF(I12=0,0,I12/TrRail_act!I5*1000)</f>
        <v>3.9848703582003657</v>
      </c>
      <c r="J36" s="115">
        <f>IF(J12=0,0,J12/TrRail_act!J5*1000)</f>
        <v>3.9371625765901914</v>
      </c>
      <c r="K36" s="115">
        <f>IF(K12=0,0,K12/TrRail_act!K5*1000)</f>
        <v>3.8830168150856714</v>
      </c>
      <c r="L36" s="115">
        <f>IF(L12=0,0,L12/TrRail_act!L5*1000)</f>
        <v>3.8143936262277269</v>
      </c>
      <c r="M36" s="115">
        <f>IF(M12=0,0,M12/TrRail_act!M5*1000)</f>
        <v>3.740808786967512</v>
      </c>
      <c r="N36" s="115">
        <f>IF(N12=0,0,N12/TrRail_act!N5*1000)</f>
        <v>3.7145928608106287</v>
      </c>
      <c r="O36" s="115">
        <f>IF(O12=0,0,O12/TrRail_act!O5*1000)</f>
        <v>3.6334994616370304</v>
      </c>
      <c r="P36" s="115">
        <f>IF(P12=0,0,P12/TrRail_act!P5*1000)</f>
        <v>3.5724424046251668</v>
      </c>
      <c r="Q36" s="115">
        <f>IF(Q12=0,0,Q12/TrRail_act!Q5*1000)</f>
        <v>3.6851689568645183</v>
      </c>
      <c r="R36" s="115">
        <f>IF(R12=0,0,R12/TrRail_act!R5*1000)</f>
        <v>3.6585378216228377</v>
      </c>
      <c r="S36" s="115">
        <f>IF(S12=0,0,S12/TrRail_act!S5*1000)</f>
        <v>3.637651102915898</v>
      </c>
      <c r="T36" s="115">
        <f>IF(T12=0,0,T12/TrRail_act!T5*1000)</f>
        <v>3.6210938493030893</v>
      </c>
      <c r="U36" s="115">
        <f>IF(U12=0,0,U12/TrRail_act!U5*1000)</f>
        <v>3.6079141506070456</v>
      </c>
      <c r="V36" s="115">
        <f>IF(V12=0,0,V12/TrRail_act!V5*1000)</f>
        <v>5.2670751103831339</v>
      </c>
      <c r="W36" s="115">
        <f>IF(W12=0,0,W12/TrRail_act!W5*1000)</f>
        <v>4.5110514661742078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10.734617919484592</v>
      </c>
      <c r="C37" s="116">
        <f>IF(C13=0,0,C13/TrRail_act!C6*1000)</f>
        <v>10.51465490582218</v>
      </c>
      <c r="D37" s="116">
        <f>IF(D13=0,0,D13/TrRail_act!D6*1000)</f>
        <v>10.570027136459398</v>
      </c>
      <c r="E37" s="116">
        <f>IF(E13=0,0,E13/TrRail_act!E6*1000)</f>
        <v>11.214192119705436</v>
      </c>
      <c r="F37" s="116">
        <f>IF(F13=0,0,F13/TrRail_act!F6*1000)</f>
        <v>10.880114980824308</v>
      </c>
      <c r="G37" s="116">
        <f>IF(G13=0,0,G13/TrRail_act!G6*1000)</f>
        <v>10.029034962479145</v>
      </c>
      <c r="H37" s="116">
        <f>IF(H13=0,0,H13/TrRail_act!H6*1000)</f>
        <v>9.5441127710220126</v>
      </c>
      <c r="I37" s="116">
        <f>IF(I13=0,0,I13/TrRail_act!I6*1000)</f>
        <v>8.9617194057581049</v>
      </c>
      <c r="J37" s="116">
        <f>IF(J13=0,0,J13/TrRail_act!J6*1000)</f>
        <v>9.185841523784573</v>
      </c>
      <c r="K37" s="116">
        <f>IF(K13=0,0,K13/TrRail_act!K6*1000)</f>
        <v>9.5461605875598412</v>
      </c>
      <c r="L37" s="116">
        <f>IF(L13=0,0,L13/TrRail_act!L6*1000)</f>
        <v>9.5084873926977114</v>
      </c>
      <c r="M37" s="116">
        <f>IF(M13=0,0,M13/TrRail_act!M6*1000)</f>
        <v>8.968587783403791</v>
      </c>
      <c r="N37" s="116">
        <f>IF(N13=0,0,N13/TrRail_act!N6*1000)</f>
        <v>8.6967682745509212</v>
      </c>
      <c r="O37" s="116">
        <f>IF(O13=0,0,O13/TrRail_act!O6*1000)</f>
        <v>8.0236414410600592</v>
      </c>
      <c r="P37" s="116">
        <f>IF(P13=0,0,P13/TrRail_act!P6*1000)</f>
        <v>7.4070909463203591</v>
      </c>
      <c r="Q37" s="116">
        <f>IF(Q13=0,0,Q13/TrRail_act!Q6*1000)</f>
        <v>8.5839565076579145</v>
      </c>
      <c r="R37" s="116">
        <f>IF(R13=0,0,R13/TrRail_act!R6*1000)</f>
        <v>8.5936686770317223</v>
      </c>
      <c r="S37" s="116">
        <f>IF(S13=0,0,S13/TrRail_act!S6*1000)</f>
        <v>8.382844767849388</v>
      </c>
      <c r="T37" s="116">
        <f>IF(T13=0,0,T13/TrRail_act!T6*1000)</f>
        <v>8.1727453093246734</v>
      </c>
      <c r="U37" s="116">
        <f>IF(U13=0,0,U13/TrRail_act!U6*1000)</f>
        <v>8.0059865455918686</v>
      </c>
      <c r="V37" s="116">
        <f>IF(V13=0,0,V13/TrRail_act!V6*1000)</f>
        <v>15.124683147207222</v>
      </c>
      <c r="W37" s="116">
        <f>IF(W13=0,0,W13/TrRail_act!W6*1000)</f>
        <v>12.564478637271717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21.035225666853563</v>
      </c>
      <c r="C38" s="87">
        <f>IF(C14=0,0,C14/TrRail_act!C7*1000)</f>
        <v>20.661834190264585</v>
      </c>
      <c r="D38" s="87">
        <f>IF(D14=0,0,D14/TrRail_act!D7*1000)</f>
        <v>20.774747637992533</v>
      </c>
      <c r="E38" s="87">
        <f>IF(E14=0,0,E14/TrRail_act!E7*1000)</f>
        <v>21.030862157384991</v>
      </c>
      <c r="F38" s="87">
        <f>IF(F14=0,0,F14/TrRail_act!F7*1000)</f>
        <v>20.409899119472758</v>
      </c>
      <c r="G38" s="87">
        <f>IF(G14=0,0,G14/TrRail_act!G7*1000)</f>
        <v>19.044627471804397</v>
      </c>
      <c r="H38" s="87">
        <f>IF(H14=0,0,H14/TrRail_act!H7*1000)</f>
        <v>17.798942834376493</v>
      </c>
      <c r="I38" s="87">
        <f>IF(I14=0,0,I14/TrRail_act!I7*1000)</f>
        <v>16.823540124807344</v>
      </c>
      <c r="J38" s="87">
        <f>IF(J14=0,0,J14/TrRail_act!J7*1000)</f>
        <v>17.408116431827146</v>
      </c>
      <c r="K38" s="87">
        <f>IF(K14=0,0,K14/TrRail_act!K7*1000)</f>
        <v>18.059472601209229</v>
      </c>
      <c r="L38" s="87">
        <f>IF(L14=0,0,L14/TrRail_act!L7*1000)</f>
        <v>17.462180975312229</v>
      </c>
      <c r="M38" s="87">
        <f>IF(M14=0,0,M14/TrRail_act!M7*1000)</f>
        <v>16.43514808029877</v>
      </c>
      <c r="N38" s="87">
        <f>IF(N14=0,0,N14/TrRail_act!N7*1000)</f>
        <v>16.090952215416145</v>
      </c>
      <c r="O38" s="87">
        <f>IF(O14=0,0,O14/TrRail_act!O7*1000)</f>
        <v>14.679883364362064</v>
      </c>
      <c r="P38" s="87">
        <f>IF(P14=0,0,P14/TrRail_act!P7*1000)</f>
        <v>13.496517186328122</v>
      </c>
      <c r="Q38" s="87">
        <f>IF(Q14=0,0,Q14/TrRail_act!Q7*1000)</f>
        <v>15.892627046154034</v>
      </c>
      <c r="R38" s="87">
        <f>IF(R14=0,0,R14/TrRail_act!R7*1000)</f>
        <v>15.493238886371641</v>
      </c>
      <c r="S38" s="87">
        <f>IF(S14=0,0,S14/TrRail_act!S7*1000)</f>
        <v>15.179745026735981</v>
      </c>
      <c r="T38" s="87">
        <f>IF(T14=0,0,T14/TrRail_act!T7*1000)</f>
        <v>14.651963224250128</v>
      </c>
      <c r="U38" s="87">
        <f>IF(U14=0,0,U14/TrRail_act!U7*1000)</f>
        <v>14.162546978350338</v>
      </c>
      <c r="V38" s="87">
        <f>IF(V14=0,0,V14/TrRail_act!V7*1000)</f>
        <v>26.926900646212577</v>
      </c>
      <c r="W38" s="87">
        <f>IF(W14=0,0,W14/TrRail_act!W7*1000)</f>
        <v>22.354557767475459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9.5064537561236424</v>
      </c>
      <c r="C39" s="87">
        <f>IF(C15=0,0,C15/TrRail_act!C8*1000)</f>
        <v>9.3171035253932342</v>
      </c>
      <c r="D39" s="87">
        <f>IF(D15=0,0,D15/TrRail_act!D8*1000)</f>
        <v>9.3842425733274411</v>
      </c>
      <c r="E39" s="87">
        <f>IF(E15=0,0,E15/TrRail_act!E8*1000)</f>
        <v>10.025084173866826</v>
      </c>
      <c r="F39" s="87">
        <f>IF(F15=0,0,F15/TrRail_act!F8*1000)</f>
        <v>9.7405039000499194</v>
      </c>
      <c r="G39" s="87">
        <f>IF(G15=0,0,G15/TrRail_act!G8*1000)</f>
        <v>8.9534756865012568</v>
      </c>
      <c r="H39" s="87">
        <f>IF(H15=0,0,H15/TrRail_act!H8*1000)</f>
        <v>8.5505445697212341</v>
      </c>
      <c r="I39" s="87">
        <f>IF(I15=0,0,I15/TrRail_act!I8*1000)</f>
        <v>8.00856565588359</v>
      </c>
      <c r="J39" s="87">
        <f>IF(J15=0,0,J15/TrRail_act!J8*1000)</f>
        <v>8.1950117158301747</v>
      </c>
      <c r="K39" s="87">
        <f>IF(K15=0,0,K15/TrRail_act!K8*1000)</f>
        <v>8.6287209736437411</v>
      </c>
      <c r="L39" s="87">
        <f>IF(L15=0,0,L15/TrRail_act!L8*1000)</f>
        <v>8.59499298436217</v>
      </c>
      <c r="M39" s="87">
        <f>IF(M15=0,0,M15/TrRail_act!M8*1000)</f>
        <v>8.1136795663651036</v>
      </c>
      <c r="N39" s="87">
        <f>IF(N15=0,0,N15/TrRail_act!N8*1000)</f>
        <v>7.990960135727903</v>
      </c>
      <c r="O39" s="87">
        <f>IF(O15=0,0,O15/TrRail_act!O8*1000)</f>
        <v>7.3685653101352733</v>
      </c>
      <c r="P39" s="87">
        <f>IF(P15=0,0,P15/TrRail_act!P8*1000)</f>
        <v>6.7647175629188983</v>
      </c>
      <c r="Q39" s="87">
        <f>IF(Q15=0,0,Q15/TrRail_act!Q8*1000)</f>
        <v>7.7737672573690713</v>
      </c>
      <c r="R39" s="87">
        <f>IF(R15=0,0,R15/TrRail_act!R8*1000)</f>
        <v>7.8695204422758582</v>
      </c>
      <c r="S39" s="87">
        <f>IF(S15=0,0,S15/TrRail_act!S8*1000)</f>
        <v>7.7147568665334498</v>
      </c>
      <c r="T39" s="87">
        <f>IF(T15=0,0,T15/TrRail_act!T8*1000)</f>
        <v>7.62799952699089</v>
      </c>
      <c r="U39" s="87">
        <f>IF(U15=0,0,U15/TrRail_act!U8*1000)</f>
        <v>7.5496591205802126</v>
      </c>
      <c r="V39" s="87">
        <f>IF(V15=0,0,V15/TrRail_act!V8*1000)</f>
        <v>14.217355154974818</v>
      </c>
      <c r="W39" s="87">
        <f>IF(W15=0,0,W15/TrRail_act!W8*1000)</f>
        <v>11.85493070665812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6.2049715327979555</v>
      </c>
      <c r="C40" s="117">
        <f>IF(C16=0,0,C16/TrRail_act!C9*1000)</f>
        <v>6.1384998016411654</v>
      </c>
      <c r="D40" s="117">
        <f>IF(D16=0,0,D16/TrRail_act!D9*1000)</f>
        <v>6.0762085268036241</v>
      </c>
      <c r="E40" s="117">
        <f>IF(E16=0,0,E16/TrRail_act!E9*1000)</f>
        <v>6.0519300740704551</v>
      </c>
      <c r="F40" s="117">
        <f>IF(F16=0,0,F16/TrRail_act!F9*1000)</f>
        <v>5.9988168833423678</v>
      </c>
      <c r="G40" s="117">
        <f>IF(G16=0,0,G16/TrRail_act!G9*1000)</f>
        <v>5.9654358958790876</v>
      </c>
      <c r="H40" s="117">
        <f>IF(H16=0,0,H16/TrRail_act!H9*1000)</f>
        <v>5.4507618893383825</v>
      </c>
      <c r="I40" s="117">
        <f>IF(I16=0,0,I16/TrRail_act!I9*1000)</f>
        <v>5.6389151539252991</v>
      </c>
      <c r="J40" s="117">
        <f>IF(J16=0,0,J16/TrRail_act!J9*1000)</f>
        <v>5.7421655513258631</v>
      </c>
      <c r="K40" s="117">
        <f>IF(K16=0,0,K16/TrRail_act!K9*1000)</f>
        <v>5.4950945667933135</v>
      </c>
      <c r="L40" s="117">
        <f>IF(L16=0,0,L16/TrRail_act!L9*1000)</f>
        <v>6.9848306477956772</v>
      </c>
      <c r="M40" s="117">
        <f>IF(M16=0,0,M16/TrRail_act!M9*1000)</f>
        <v>6.8654739166997603</v>
      </c>
      <c r="N40" s="117">
        <f>IF(N16=0,0,N16/TrRail_act!N9*1000)</f>
        <v>6.6919681692105</v>
      </c>
      <c r="O40" s="117">
        <f>IF(O16=0,0,O16/TrRail_act!O9*1000)</f>
        <v>6.5028081762594834</v>
      </c>
      <c r="P40" s="117">
        <f>IF(P16=0,0,P16/TrRail_act!P9*1000)</f>
        <v>6.5629811982191235</v>
      </c>
      <c r="Q40" s="117">
        <f>IF(Q16=0,0,Q16/TrRail_act!Q9*1000)</f>
        <v>5.4318050234325668</v>
      </c>
      <c r="R40" s="117">
        <f>IF(R16=0,0,R16/TrRail_act!R9*1000)</f>
        <v>4.8683837948202457</v>
      </c>
      <c r="S40" s="117">
        <f>IF(S16=0,0,S16/TrRail_act!S9*1000)</f>
        <v>4.58515857323105</v>
      </c>
      <c r="T40" s="117">
        <f>IF(T16=0,0,T16/TrRail_act!T9*1000)</f>
        <v>4.1529065527755096</v>
      </c>
      <c r="U40" s="117">
        <f>IF(U16=0,0,U16/TrRail_act!U9*1000)</f>
        <v>4.136848934146891</v>
      </c>
      <c r="V40" s="117">
        <f>IF(V16=0,0,V16/TrRail_act!V9*1000)</f>
        <v>5.7845963640708868</v>
      </c>
      <c r="W40" s="117">
        <f>IF(W16=0,0,W16/TrRail_act!W9*1000)</f>
        <v>5.4513375175863406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3.9274361604128578</v>
      </c>
      <c r="C41" s="29">
        <f>IF(C17=0,0,C17/TrRail_act!C10*1000)</f>
        <v>4.0837500066999777</v>
      </c>
      <c r="D41" s="29">
        <f>IF(D17=0,0,D17/TrRail_act!D10*1000)</f>
        <v>3.793736420982607</v>
      </c>
      <c r="E41" s="29">
        <f>IF(E17=0,0,E17/TrRail_act!E10*1000)</f>
        <v>3.374811218627765</v>
      </c>
      <c r="F41" s="29">
        <f>IF(F17=0,0,F17/TrRail_act!F10*1000)</f>
        <v>3.3129405094194593</v>
      </c>
      <c r="G41" s="29">
        <f>IF(G17=0,0,G17/TrRail_act!G10*1000)</f>
        <v>3.4792035761112841</v>
      </c>
      <c r="H41" s="29">
        <f>IF(H17=0,0,H17/TrRail_act!H10*1000)</f>
        <v>3.2633018758223833</v>
      </c>
      <c r="I41" s="29">
        <f>IF(I17=0,0,I17/TrRail_act!I10*1000)</f>
        <v>3.2373565589728432</v>
      </c>
      <c r="J41" s="29">
        <f>IF(J17=0,0,J17/TrRail_act!J10*1000)</f>
        <v>3.2501247910114399</v>
      </c>
      <c r="K41" s="29">
        <f>IF(K17=0,0,K17/TrRail_act!K10*1000)</f>
        <v>3.2216119983212357</v>
      </c>
      <c r="L41" s="29">
        <f>IF(L17=0,0,L17/TrRail_act!L10*1000)</f>
        <v>3.5354340476403854</v>
      </c>
      <c r="M41" s="29">
        <f>IF(M17=0,0,M17/TrRail_act!M10*1000)</f>
        <v>3.4728531369873261</v>
      </c>
      <c r="N41" s="29">
        <f>IF(N17=0,0,N17/TrRail_act!N10*1000)</f>
        <v>3.3620379451186113</v>
      </c>
      <c r="O41" s="29">
        <f>IF(O17=0,0,O17/TrRail_act!O10*1000)</f>
        <v>3.2755491584852741</v>
      </c>
      <c r="P41" s="29">
        <f>IF(P17=0,0,P17/TrRail_act!P10*1000)</f>
        <v>3.12052507172492</v>
      </c>
      <c r="Q41" s="29">
        <f>IF(Q17=0,0,Q17/TrRail_act!Q10*1000)</f>
        <v>3.0786204857756458</v>
      </c>
      <c r="R41" s="29">
        <f>IF(R17=0,0,R17/TrRail_act!R10*1000)</f>
        <v>2.9940007877287593</v>
      </c>
      <c r="S41" s="29">
        <f>IF(S17=0,0,S17/TrRail_act!S10*1000)</f>
        <v>2.9497746186733007</v>
      </c>
      <c r="T41" s="29">
        <f>IF(T17=0,0,T17/TrRail_act!T10*1000)</f>
        <v>2.8887730951205328</v>
      </c>
      <c r="U41" s="29">
        <f>IF(U17=0,0,U17/TrRail_act!U10*1000)</f>
        <v>2.8629320101074094</v>
      </c>
      <c r="V41" s="29">
        <f>IF(V17=0,0,V17/TrRail_act!V10*1000)</f>
        <v>3.1963195964389346</v>
      </c>
      <c r="W41" s="29">
        <f>IF(W17=0,0,W17/TrRail_act!W10*1000)</f>
        <v>3.0221814520875356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7.2932264557387798</v>
      </c>
      <c r="C42" s="87">
        <f>IF(C18=0,0,C18/TrRail_act!C11*1000)</f>
        <v>7.089103871490229</v>
      </c>
      <c r="D42" s="87">
        <f>IF(D18=0,0,D18/TrRail_act!D11*1000)</f>
        <v>6.6714746526893487</v>
      </c>
      <c r="E42" s="87">
        <f>IF(E18=0,0,E18/TrRail_act!E11*1000)</f>
        <v>6.6263575425476038</v>
      </c>
      <c r="F42" s="87">
        <f>IF(F18=0,0,F18/TrRail_act!F11*1000)</f>
        <v>6.4413410835243576</v>
      </c>
      <c r="G42" s="87">
        <f>IF(G18=0,0,G18/TrRail_act!G11*1000)</f>
        <v>6.171729232506471</v>
      </c>
      <c r="H42" s="87">
        <f>IF(H18=0,0,H18/TrRail_act!H11*1000)</f>
        <v>6.2220664013709905</v>
      </c>
      <c r="I42" s="87">
        <f>IF(I18=0,0,I18/TrRail_act!I11*1000)</f>
        <v>6.1521443141321317</v>
      </c>
      <c r="J42" s="87">
        <f>IF(J18=0,0,J18/TrRail_act!J11*1000)</f>
        <v>5.7141681633853176</v>
      </c>
      <c r="K42" s="87">
        <f>IF(K18=0,0,K18/TrRail_act!K11*1000)</f>
        <v>5.7046057376249593</v>
      </c>
      <c r="L42" s="87">
        <f>IF(L18=0,0,L18/TrRail_act!L11*1000)</f>
        <v>5.8699505370706717</v>
      </c>
      <c r="M42" s="87">
        <f>IF(M18=0,0,M18/TrRail_act!M11*1000)</f>
        <v>5.3570382701753907</v>
      </c>
      <c r="N42" s="87">
        <f>IF(N18=0,0,N18/TrRail_act!N11*1000)</f>
        <v>5.2289274117173505</v>
      </c>
      <c r="O42" s="87">
        <f>IF(O18=0,0,O18/TrRail_act!O11*1000)</f>
        <v>5.0420299342728683</v>
      </c>
      <c r="P42" s="87">
        <f>IF(P18=0,0,P18/TrRail_act!P11*1000)</f>
        <v>4.8784679966656403</v>
      </c>
      <c r="Q42" s="87">
        <f>IF(Q18=0,0,Q18/TrRail_act!Q11*1000)</f>
        <v>4.7012351746329806</v>
      </c>
      <c r="R42" s="87">
        <f>IF(R18=0,0,R18/TrRail_act!R11*1000)</f>
        <v>5.0382800377026653</v>
      </c>
      <c r="S42" s="87">
        <f>IF(S18=0,0,S18/TrRail_act!S11*1000)</f>
        <v>4.8209745290861665</v>
      </c>
      <c r="T42" s="87">
        <f>IF(T18=0,0,T18/TrRail_act!T11*1000)</f>
        <v>4.8079250989138371</v>
      </c>
      <c r="U42" s="87">
        <f>IF(U18=0,0,U18/TrRail_act!U11*1000)</f>
        <v>4.8679109326895942</v>
      </c>
      <c r="V42" s="87">
        <f>IF(V18=0,0,V18/TrRail_act!V11*1000)</f>
        <v>6.6568939651136665</v>
      </c>
      <c r="W42" s="87">
        <f>IF(W18=0,0,W18/TrRail_act!W11*1000)</f>
        <v>6.2603158464651889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3.4027721358704683</v>
      </c>
      <c r="C43" s="88">
        <f>IF(C19=0,0,C19/TrRail_act!C12*1000)</f>
        <v>3.6254073031857721</v>
      </c>
      <c r="D43" s="88">
        <f>IF(D19=0,0,D19/TrRail_act!D12*1000)</f>
        <v>3.3616143417032229</v>
      </c>
      <c r="E43" s="88">
        <f>IF(E19=0,0,E19/TrRail_act!E12*1000)</f>
        <v>2.8943739253586864</v>
      </c>
      <c r="F43" s="88">
        <f>IF(F19=0,0,F19/TrRail_act!F12*1000)</f>
        <v>2.8542230015131027</v>
      </c>
      <c r="G43" s="88">
        <f>IF(G19=0,0,G19/TrRail_act!G12*1000)</f>
        <v>3.0865286827716791</v>
      </c>
      <c r="H43" s="88">
        <f>IF(H19=0,0,H19/TrRail_act!H12*1000)</f>
        <v>2.830822829446884</v>
      </c>
      <c r="I43" s="88">
        <f>IF(I19=0,0,I19/TrRail_act!I12*1000)</f>
        <v>2.8054429015330808</v>
      </c>
      <c r="J43" s="88">
        <f>IF(J19=0,0,J19/TrRail_act!J12*1000)</f>
        <v>2.8910259224340829</v>
      </c>
      <c r="K43" s="88">
        <f>IF(K19=0,0,K19/TrRail_act!K12*1000)</f>
        <v>2.8996057925604108</v>
      </c>
      <c r="L43" s="88">
        <f>IF(L19=0,0,L19/TrRail_act!L12*1000)</f>
        <v>3.2182323521338896</v>
      </c>
      <c r="M43" s="88">
        <f>IF(M19=0,0,M19/TrRail_act!M12*1000)</f>
        <v>3.2215847071586716</v>
      </c>
      <c r="N43" s="88">
        <f>IF(N19=0,0,N19/TrRail_act!N12*1000)</f>
        <v>3.1519756883067092</v>
      </c>
      <c r="O43" s="88">
        <f>IF(O19=0,0,O19/TrRail_act!O12*1000)</f>
        <v>3.0738786914321428</v>
      </c>
      <c r="P43" s="88">
        <f>IF(P19=0,0,P19/TrRail_act!P12*1000)</f>
        <v>2.9047451989434068</v>
      </c>
      <c r="Q43" s="88">
        <f>IF(Q19=0,0,Q19/TrRail_act!Q12*1000)</f>
        <v>2.8729851441030005</v>
      </c>
      <c r="R43" s="88">
        <f>IF(R19=0,0,R19/TrRail_act!R12*1000)</f>
        <v>2.7452039970642432</v>
      </c>
      <c r="S43" s="88">
        <f>IF(S19=0,0,S19/TrRail_act!S12*1000)</f>
        <v>2.7364519399378917</v>
      </c>
      <c r="T43" s="88">
        <f>IF(T19=0,0,T19/TrRail_act!T12*1000)</f>
        <v>2.7034876681037461</v>
      </c>
      <c r="U43" s="88">
        <f>IF(U19=0,0,U19/TrRail_act!U12*1000)</f>
        <v>2.6944578718677601</v>
      </c>
      <c r="V43" s="88">
        <f>IF(V19=0,0,V19/TrRail_act!V12*1000)</f>
        <v>2.8742016461205933</v>
      </c>
      <c r="W43" s="88">
        <f>IF(W19=0,0,W19/TrRail_act!W12*1000)</f>
        <v>2.7383007882362955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213503.34355191921</v>
      </c>
      <c r="C45" s="54">
        <f>IF(C10=0,0,1000000*C10/TrRail_act!C25)</f>
        <v>211053.98734224637</v>
      </c>
      <c r="D45" s="54">
        <f>IF(D10=0,0,1000000*D10/TrRail_act!D25)</f>
        <v>207974.61490723447</v>
      </c>
      <c r="E45" s="54">
        <f>IF(E10=0,0,1000000*E10/TrRail_act!E25)</f>
        <v>207637.43971614967</v>
      </c>
      <c r="F45" s="54">
        <f>IF(F10=0,0,1000000*F10/TrRail_act!F25)</f>
        <v>205284.25194857034</v>
      </c>
      <c r="G45" s="54">
        <f>IF(G10=0,0,1000000*G10/TrRail_act!G25)</f>
        <v>204351.86365199907</v>
      </c>
      <c r="H45" s="54">
        <f>IF(H10=0,0,1000000*H10/TrRail_act!H25)</f>
        <v>201317.86438018881</v>
      </c>
      <c r="I45" s="54">
        <f>IF(I10=0,0,1000000*I10/TrRail_act!I25)</f>
        <v>201556.71714040032</v>
      </c>
      <c r="J45" s="54">
        <f>IF(J10=0,0,1000000*J10/TrRail_act!J25)</f>
        <v>199784.14189536925</v>
      </c>
      <c r="K45" s="54">
        <f>IF(K10=0,0,1000000*K10/TrRail_act!K25)</f>
        <v>192537.65933798219</v>
      </c>
      <c r="L45" s="54">
        <f>IF(L10=0,0,1000000*L10/TrRail_act!L25)</f>
        <v>189931.85403680004</v>
      </c>
      <c r="M45" s="54">
        <f>IF(M10=0,0,1000000*M10/TrRail_act!M25)</f>
        <v>188160.53937489894</v>
      </c>
      <c r="N45" s="54">
        <f>IF(N10=0,0,1000000*N10/TrRail_act!N25)</f>
        <v>182036.75808023338</v>
      </c>
      <c r="O45" s="54">
        <f>IF(O10=0,0,1000000*O10/TrRail_act!O25)</f>
        <v>176016.8502262689</v>
      </c>
      <c r="P45" s="54">
        <f>IF(P10=0,0,1000000*P10/TrRail_act!P25)</f>
        <v>171740.03394083102</v>
      </c>
      <c r="Q45" s="54">
        <f>IF(Q10=0,0,1000000*Q10/TrRail_act!Q25)</f>
        <v>173574.69499142954</v>
      </c>
      <c r="R45" s="54">
        <f>IF(R10=0,0,1000000*R10/TrRail_act!R25)</f>
        <v>166940.72837567303</v>
      </c>
      <c r="S45" s="54">
        <f>IF(S10=0,0,1000000*S10/TrRail_act!S25)</f>
        <v>164882.22516084227</v>
      </c>
      <c r="T45" s="54">
        <f>IF(T10=0,0,1000000*T10/TrRail_act!T25)</f>
        <v>160335.74753453679</v>
      </c>
      <c r="U45" s="54">
        <f>IF(U10=0,0,1000000*U10/TrRail_act!U25)</f>
        <v>158625.40500756423</v>
      </c>
      <c r="V45" s="54">
        <f>IF(V10=0,0,1000000*V10/TrRail_act!V25)</f>
        <v>153981.01972201906</v>
      </c>
      <c r="W45" s="54">
        <f>IF(W10=0,0,1000000*W10/TrRail_act!W25)</f>
        <v>157936.72573876509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202334.38486519965</v>
      </c>
      <c r="C46" s="28">
        <f>IF(C11=0,0,1000000*C11/TrRail_act!C26)</f>
        <v>199871.1092310723</v>
      </c>
      <c r="D46" s="28">
        <f>IF(D11=0,0,1000000*D11/TrRail_act!D26)</f>
        <v>198475.49235097479</v>
      </c>
      <c r="E46" s="28">
        <f>IF(E11=0,0,1000000*E11/TrRail_act!E26)</f>
        <v>197625.54401485485</v>
      </c>
      <c r="F46" s="28">
        <f>IF(F11=0,0,1000000*F11/TrRail_act!F26)</f>
        <v>193655.34880140182</v>
      </c>
      <c r="G46" s="28">
        <f>IF(G11=0,0,1000000*G11/TrRail_act!G26)</f>
        <v>192008.72759743195</v>
      </c>
      <c r="H46" s="28">
        <f>IF(H11=0,0,1000000*H11/TrRail_act!H26)</f>
        <v>188879.20194519262</v>
      </c>
      <c r="I46" s="28">
        <f>IF(I11=0,0,1000000*I11/TrRail_act!I26)</f>
        <v>187159.73880243467</v>
      </c>
      <c r="J46" s="28">
        <f>IF(J11=0,0,1000000*J11/TrRail_act!J26)</f>
        <v>186436.54411757202</v>
      </c>
      <c r="K46" s="28">
        <f>IF(K11=0,0,1000000*K11/TrRail_act!K26)</f>
        <v>183986.90202313213</v>
      </c>
      <c r="L46" s="28">
        <f>IF(L11=0,0,1000000*L11/TrRail_act!L26)</f>
        <v>178933.8082783829</v>
      </c>
      <c r="M46" s="28">
        <f>IF(M11=0,0,1000000*M11/TrRail_act!M26)</f>
        <v>176585.21327858072</v>
      </c>
      <c r="N46" s="28">
        <f>IF(N11=0,0,1000000*N11/TrRail_act!N26)</f>
        <v>171524.34855448114</v>
      </c>
      <c r="O46" s="28">
        <f>IF(O11=0,0,1000000*O11/TrRail_act!O26)</f>
        <v>166082.3515556487</v>
      </c>
      <c r="P46" s="28">
        <f>IF(P11=0,0,1000000*P11/TrRail_act!P26)</f>
        <v>162015.20651298595</v>
      </c>
      <c r="Q46" s="28">
        <f>IF(Q11=0,0,1000000*Q11/TrRail_act!Q26)</f>
        <v>163592.220036535</v>
      </c>
      <c r="R46" s="28">
        <f>IF(R11=0,0,1000000*R11/TrRail_act!R26)</f>
        <v>157504.02721490056</v>
      </c>
      <c r="S46" s="28">
        <f>IF(S11=0,0,1000000*S11/TrRail_act!S26)</f>
        <v>156032.19910552373</v>
      </c>
      <c r="T46" s="28">
        <f>IF(T11=0,0,1000000*T11/TrRail_act!T26)</f>
        <v>151199.45469790156</v>
      </c>
      <c r="U46" s="28">
        <f>IF(U11=0,0,1000000*U11/TrRail_act!U26)</f>
        <v>149688.46956745684</v>
      </c>
      <c r="V46" s="28">
        <f>IF(V11=0,0,1000000*V11/TrRail_act!V26)</f>
        <v>143236.52348327631</v>
      </c>
      <c r="W46" s="28">
        <f>IF(W11=0,0,1000000*W11/TrRail_act!W26)</f>
        <v>146989.42949543247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39825.572052237389</v>
      </c>
      <c r="C47" s="108">
        <f>IF(C12=0,0,1000000*C12/TrRail_act!C27)</f>
        <v>39564.860151094326</v>
      </c>
      <c r="D47" s="108">
        <f>IF(D12=0,0,1000000*D12/TrRail_act!D27)</f>
        <v>39243.868903004193</v>
      </c>
      <c r="E47" s="108">
        <f>IF(E12=0,0,1000000*E12/TrRail_act!E27)</f>
        <v>38937.115619366486</v>
      </c>
      <c r="F47" s="108">
        <f>IF(F12=0,0,1000000*F12/TrRail_act!F27)</f>
        <v>38474.808946605728</v>
      </c>
      <c r="G47" s="108">
        <f>IF(G12=0,0,1000000*G12/TrRail_act!G27)</f>
        <v>37992.823750029718</v>
      </c>
      <c r="H47" s="108">
        <f>IF(H12=0,0,1000000*H12/TrRail_act!H27)</f>
        <v>37709.291866194355</v>
      </c>
      <c r="I47" s="108">
        <f>IF(I12=0,0,1000000*I12/TrRail_act!I27)</f>
        <v>37335.34222257253</v>
      </c>
      <c r="J47" s="108">
        <f>IF(J12=0,0,1000000*J12/TrRail_act!J27)</f>
        <v>37086.867064736267</v>
      </c>
      <c r="K47" s="108">
        <f>IF(K12=0,0,1000000*K12/TrRail_act!K27)</f>
        <v>36830.25940175492</v>
      </c>
      <c r="L47" s="108">
        <f>IF(L12=0,0,1000000*L12/TrRail_act!L27)</f>
        <v>36615.361241012397</v>
      </c>
      <c r="M47" s="108">
        <f>IF(M12=0,0,1000000*M12/TrRail_act!M27)</f>
        <v>36199.371162060059</v>
      </c>
      <c r="N47" s="108">
        <f>IF(N12=0,0,1000000*N12/TrRail_act!N27)</f>
        <v>35775.224096444617</v>
      </c>
      <c r="O47" s="108">
        <f>IF(O12=0,0,1000000*O12/TrRail_act!O27)</f>
        <v>35544.508488816631</v>
      </c>
      <c r="P47" s="108">
        <f>IF(P12=0,0,1000000*P12/TrRail_act!P27)</f>
        <v>35250.353070143843</v>
      </c>
      <c r="Q47" s="108">
        <f>IF(Q12=0,0,1000000*Q12/TrRail_act!Q27)</f>
        <v>34994.618401768996</v>
      </c>
      <c r="R47" s="108">
        <f>IF(R12=0,0,1000000*R12/TrRail_act!R27)</f>
        <v>34804.035635008237</v>
      </c>
      <c r="S47" s="108">
        <f>IF(S12=0,0,1000000*S12/TrRail_act!S27)</f>
        <v>34661.779926920026</v>
      </c>
      <c r="T47" s="108">
        <f>IF(T12=0,0,1000000*T12/TrRail_act!T27)</f>
        <v>34555.469941950047</v>
      </c>
      <c r="U47" s="108">
        <f>IF(U12=0,0,1000000*U12/TrRail_act!U27)</f>
        <v>34475.95169205514</v>
      </c>
      <c r="V47" s="108">
        <f>IF(V12=0,0,1000000*V12/TrRail_act!V27)</f>
        <v>24068.40805924531</v>
      </c>
      <c r="W47" s="108">
        <f>IF(W12=0,0,1000000*W12/TrRail_act!W27)</f>
        <v>26804.426020208753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217976.31468620163</v>
      </c>
      <c r="C48" s="110">
        <f>IF(C13=0,0,1000000*C13/TrRail_act!C28)</f>
        <v>215687.21529435876</v>
      </c>
      <c r="D48" s="110">
        <f>IF(D13=0,0,1000000*D13/TrRail_act!D28)</f>
        <v>213484.66865918518</v>
      </c>
      <c r="E48" s="110">
        <f>IF(E13=0,0,1000000*E13/TrRail_act!E28)</f>
        <v>209871.06183653543</v>
      </c>
      <c r="F48" s="110">
        <f>IF(F13=0,0,1000000*F13/TrRail_act!F28)</f>
        <v>206096.1083267775</v>
      </c>
      <c r="G48" s="110">
        <f>IF(G13=0,0,1000000*G13/TrRail_act!G28)</f>
        <v>204786.72468745144</v>
      </c>
      <c r="H48" s="110">
        <f>IF(H13=0,0,1000000*H13/TrRail_act!H28)</f>
        <v>201815.84901983244</v>
      </c>
      <c r="I48" s="110">
        <f>IF(I13=0,0,1000000*I13/TrRail_act!I28)</f>
        <v>200570.42875962253</v>
      </c>
      <c r="J48" s="110">
        <f>IF(J13=0,0,1000000*J13/TrRail_act!J28)</f>
        <v>199524.11004448574</v>
      </c>
      <c r="K48" s="110">
        <f>IF(K13=0,0,1000000*K13/TrRail_act!K28)</f>
        <v>195856.98067396725</v>
      </c>
      <c r="L48" s="110">
        <f>IF(L13=0,0,1000000*L13/TrRail_act!L28)</f>
        <v>193432.00569772086</v>
      </c>
      <c r="M48" s="110">
        <f>IF(M13=0,0,1000000*M13/TrRail_act!M28)</f>
        <v>191447.31477884168</v>
      </c>
      <c r="N48" s="110">
        <f>IF(N13=0,0,1000000*N13/TrRail_act!N28)</f>
        <v>184183.24345958754</v>
      </c>
      <c r="O48" s="110">
        <f>IF(O13=0,0,1000000*O13/TrRail_act!O28)</f>
        <v>178048.58879481457</v>
      </c>
      <c r="P48" s="110">
        <f>IF(P13=0,0,1000000*P13/TrRail_act!P28)</f>
        <v>174377.6295497581</v>
      </c>
      <c r="Q48" s="110">
        <f>IF(Q13=0,0,1000000*Q13/TrRail_act!Q28)</f>
        <v>173684.13148584892</v>
      </c>
      <c r="R48" s="110">
        <f>IF(R13=0,0,1000000*R13/TrRail_act!R28)</f>
        <v>170260.70818811402</v>
      </c>
      <c r="S48" s="110">
        <f>IF(S13=0,0,1000000*S13/TrRail_act!S28)</f>
        <v>167677.89695776356</v>
      </c>
      <c r="T48" s="110">
        <f>IF(T13=0,0,1000000*T13/TrRail_act!T28)</f>
        <v>164296.16471595556</v>
      </c>
      <c r="U48" s="110">
        <f>IF(U13=0,0,1000000*U13/TrRail_act!U28)</f>
        <v>162148.24031395445</v>
      </c>
      <c r="V48" s="110">
        <f>IF(V13=0,0,1000000*V13/TrRail_act!V28)</f>
        <v>157282.12481741904</v>
      </c>
      <c r="W48" s="110">
        <f>IF(W13=0,0,1000000*W13/TrRail_act!W28)</f>
        <v>160689.5940404807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348085.77358851716</v>
      </c>
      <c r="C49" s="84">
        <f>IF(C14=0,0,1000000*C14/TrRail_act!C29)</f>
        <v>347067.23738333792</v>
      </c>
      <c r="D49" s="84">
        <f>IF(D14=0,0,1000000*D14/TrRail_act!D29)</f>
        <v>344954.00656399439</v>
      </c>
      <c r="E49" s="84">
        <f>IF(E14=0,0,1000000*E14/TrRail_act!E29)</f>
        <v>342549.77879450249</v>
      </c>
      <c r="F49" s="84">
        <f>IF(F14=0,0,1000000*F14/TrRail_act!F29)</f>
        <v>338242.95906077145</v>
      </c>
      <c r="G49" s="84">
        <f>IF(G14=0,0,1000000*G14/TrRail_act!G29)</f>
        <v>338903.97053162713</v>
      </c>
      <c r="H49" s="84">
        <f>IF(H14=0,0,1000000*H14/TrRail_act!H29)</f>
        <v>334189.38713876135</v>
      </c>
      <c r="I49" s="84">
        <f>IF(I14=0,0,1000000*I14/TrRail_act!I29)</f>
        <v>333283.2276084756</v>
      </c>
      <c r="J49" s="84">
        <f>IF(J14=0,0,1000000*J14/TrRail_act!J29)</f>
        <v>328216.13340602448</v>
      </c>
      <c r="K49" s="84">
        <f>IF(K14=0,0,1000000*K14/TrRail_act!K29)</f>
        <v>325446.0198426256</v>
      </c>
      <c r="L49" s="84">
        <f>IF(L14=0,0,1000000*L14/TrRail_act!L29)</f>
        <v>320492.17914836464</v>
      </c>
      <c r="M49" s="84">
        <f>IF(M14=0,0,1000000*M14/TrRail_act!M29)</f>
        <v>315440.18709005765</v>
      </c>
      <c r="N49" s="84">
        <f>IF(N14=0,0,1000000*N14/TrRail_act!N29)</f>
        <v>296305.47885357065</v>
      </c>
      <c r="O49" s="84">
        <f>IF(O14=0,0,1000000*O14/TrRail_act!O29)</f>
        <v>299960.78829028126</v>
      </c>
      <c r="P49" s="84">
        <f>IF(P14=0,0,1000000*P14/TrRail_act!P29)</f>
        <v>298366.49900721223</v>
      </c>
      <c r="Q49" s="84">
        <f>IF(Q14=0,0,1000000*Q14/TrRail_act!Q29)</f>
        <v>294864.37306706212</v>
      </c>
      <c r="R49" s="84">
        <f>IF(R14=0,0,1000000*R14/TrRail_act!R29)</f>
        <v>287880.8115201054</v>
      </c>
      <c r="S49" s="84">
        <f>IF(S14=0,0,1000000*S14/TrRail_act!S29)</f>
        <v>279924.37743296672</v>
      </c>
      <c r="T49" s="84">
        <f>IF(T14=0,0,1000000*T14/TrRail_act!T29)</f>
        <v>269152.90594642935</v>
      </c>
      <c r="U49" s="84">
        <f>IF(U14=0,0,1000000*U14/TrRail_act!U29)</f>
        <v>266048.24719835492</v>
      </c>
      <c r="V49" s="84">
        <f>IF(V14=0,0,1000000*V14/TrRail_act!V29)</f>
        <v>261735.81865542379</v>
      </c>
      <c r="W49" s="84">
        <f>IF(W14=0,0,1000000*W14/TrRail_act!W29)</f>
        <v>258547.43050225126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198410.0275923053</v>
      </c>
      <c r="C50" s="84">
        <f>IF(C15=0,0,1000000*C15/TrRail_act!C30)</f>
        <v>196244.78261086278</v>
      </c>
      <c r="D50" s="84">
        <f>IF(D15=0,0,1000000*D15/TrRail_act!D30)</f>
        <v>194423.35112025932</v>
      </c>
      <c r="E50" s="84">
        <f>IF(E15=0,0,1000000*E15/TrRail_act!E30)</f>
        <v>191065.51298417972</v>
      </c>
      <c r="F50" s="84">
        <f>IF(F15=0,0,1000000*F15/TrRail_act!F30)</f>
        <v>187719.30282788954</v>
      </c>
      <c r="G50" s="84">
        <f>IF(G15=0,0,1000000*G15/TrRail_act!G30)</f>
        <v>186098.35552830345</v>
      </c>
      <c r="H50" s="84">
        <f>IF(H15=0,0,1000000*H15/TrRail_act!H30)</f>
        <v>183595.35332164852</v>
      </c>
      <c r="I50" s="84">
        <f>IF(I15=0,0,1000000*I15/TrRail_act!I30)</f>
        <v>182102.51775404334</v>
      </c>
      <c r="J50" s="84">
        <f>IF(J15=0,0,1000000*J15/TrRail_act!J30)</f>
        <v>181324.67578042301</v>
      </c>
      <c r="K50" s="84">
        <f>IF(K15=0,0,1000000*K15/TrRail_act!K30)</f>
        <v>179716.5556245787</v>
      </c>
      <c r="L50" s="84">
        <f>IF(L15=0,0,1000000*L15/TrRail_act!L30)</f>
        <v>177053.07733896715</v>
      </c>
      <c r="M50" s="84">
        <f>IF(M15=0,0,1000000*M15/TrRail_act!M30)</f>
        <v>175452.00286959877</v>
      </c>
      <c r="N50" s="84">
        <f>IF(N15=0,0,1000000*N15/TrRail_act!N30)</f>
        <v>171695.33372156796</v>
      </c>
      <c r="O50" s="84">
        <f>IF(O15=0,0,1000000*O15/TrRail_act!O30)</f>
        <v>164907.66581228405</v>
      </c>
      <c r="P50" s="84">
        <f>IF(P15=0,0,1000000*P15/TrRail_act!P30)</f>
        <v>160352.95429064205</v>
      </c>
      <c r="Q50" s="84">
        <f>IF(Q15=0,0,1000000*Q15/TrRail_act!Q30)</f>
        <v>158885.98406983216</v>
      </c>
      <c r="R50" s="84">
        <f>IF(R15=0,0,1000000*R15/TrRail_act!R30)</f>
        <v>157005.59741674172</v>
      </c>
      <c r="S50" s="84">
        <f>IF(S15=0,0,1000000*S15/TrRail_act!S30)</f>
        <v>155609.92614123426</v>
      </c>
      <c r="T50" s="84">
        <f>IF(T15=0,0,1000000*T15/TrRail_act!T30)</f>
        <v>154571.32050846034</v>
      </c>
      <c r="U50" s="84">
        <f>IF(U15=0,0,1000000*U15/TrRail_act!U30)</f>
        <v>153796.91789828299</v>
      </c>
      <c r="V50" s="84">
        <f>IF(V15=0,0,1000000*V15/TrRail_act!V30)</f>
        <v>148644.8119761612</v>
      </c>
      <c r="W50" s="84">
        <f>IF(W15=0,0,1000000*W15/TrRail_act!W30)</f>
        <v>152786.39938661872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808365.61423475342</v>
      </c>
      <c r="C51" s="113">
        <f>IF(C16=0,0,1000000*C16/TrRail_act!C31)</f>
        <v>799705.79351933813</v>
      </c>
      <c r="D51" s="113">
        <f>IF(D16=0,0,1000000*D16/TrRail_act!D31)</f>
        <v>791590.91293634137</v>
      </c>
      <c r="E51" s="113">
        <f>IF(E16=0,0,1000000*E16/TrRail_act!E31)</f>
        <v>788427.93384096585</v>
      </c>
      <c r="F51" s="113">
        <f>IF(F16=0,0,1000000*F16/TrRail_act!F31)</f>
        <v>781508.55989176792</v>
      </c>
      <c r="G51" s="113">
        <f>IF(G16=0,0,1000000*G16/TrRail_act!G31)</f>
        <v>777159.686248168</v>
      </c>
      <c r="H51" s="113">
        <f>IF(H16=0,0,1000000*H16/TrRail_act!H31)</f>
        <v>770327.37492233107</v>
      </c>
      <c r="I51" s="113">
        <f>IF(I16=0,0,1000000*I16/TrRail_act!I31)</f>
        <v>766751.80798218446</v>
      </c>
      <c r="J51" s="113">
        <f>IF(J16=0,0,1000000*J16/TrRail_act!J31)</f>
        <v>762194.68824532558</v>
      </c>
      <c r="K51" s="113">
        <f>IF(K16=0,0,1000000*K16/TrRail_act!K31)</f>
        <v>757837.26410762256</v>
      </c>
      <c r="L51" s="113">
        <f>IF(L16=0,0,1000000*L16/TrRail_act!L31)</f>
        <v>304015.40125809936</v>
      </c>
      <c r="M51" s="113">
        <f>IF(M16=0,0,1000000*M16/TrRail_act!M31)</f>
        <v>324083.2396217839</v>
      </c>
      <c r="N51" s="113">
        <f>IF(N16=0,0,1000000*N16/TrRail_act!N31)</f>
        <v>340137.66582736076</v>
      </c>
      <c r="O51" s="113">
        <f>IF(O16=0,0,1000000*O16/TrRail_act!O31)</f>
        <v>375416.603723821</v>
      </c>
      <c r="P51" s="113">
        <f>IF(P16=0,0,1000000*P16/TrRail_act!P31)</f>
        <v>256126.87156964777</v>
      </c>
      <c r="Q51" s="113">
        <f>IF(Q16=0,0,1000000*Q16/TrRail_act!Q31)</f>
        <v>712268.83237235516</v>
      </c>
      <c r="R51" s="113">
        <f>IF(R16=0,0,1000000*R16/TrRail_act!R31)</f>
        <v>236649.77431992488</v>
      </c>
      <c r="S51" s="113">
        <f>IF(S16=0,0,1000000*S16/TrRail_act!S31)</f>
        <v>255140.13467173939</v>
      </c>
      <c r="T51" s="113">
        <f>IF(T16=0,0,1000000*T16/TrRail_act!T31)</f>
        <v>223629.39428677308</v>
      </c>
      <c r="U51" s="113">
        <f>IF(U16=0,0,1000000*U16/TrRail_act!U31)</f>
        <v>257960.80434720876</v>
      </c>
      <c r="V51" s="113">
        <f>IF(V16=0,0,1000000*V16/TrRail_act!V31)</f>
        <v>113884.85728914714</v>
      </c>
      <c r="W51" s="113">
        <f>IF(W16=0,0,1000000*W16/TrRail_act!W31)</f>
        <v>110180.51758425383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424188.55813896534</v>
      </c>
      <c r="C52" s="28">
        <f>IF(C17=0,0,1000000*C17/TrRail_act!C32)</f>
        <v>413504.49844827963</v>
      </c>
      <c r="D52" s="28">
        <f>IF(D17=0,0,1000000*D17/TrRail_act!D32)</f>
        <v>399521.78170422633</v>
      </c>
      <c r="E52" s="28">
        <f>IF(E17=0,0,1000000*E17/TrRail_act!E32)</f>
        <v>410064.17092265782</v>
      </c>
      <c r="F52" s="28">
        <f>IF(F17=0,0,1000000*F17/TrRail_act!F32)</f>
        <v>402546.42502514366</v>
      </c>
      <c r="G52" s="28">
        <f>IF(G17=0,0,1000000*G17/TrRail_act!G32)</f>
        <v>392527.24019169837</v>
      </c>
      <c r="H52" s="28">
        <f>IF(H17=0,0,1000000*H17/TrRail_act!H32)</f>
        <v>392294.85051614494</v>
      </c>
      <c r="I52" s="28">
        <f>IF(I17=0,0,1000000*I17/TrRail_act!I32)</f>
        <v>390177.00962177466</v>
      </c>
      <c r="J52" s="28">
        <f>IF(J17=0,0,1000000*J17/TrRail_act!J32)</f>
        <v>380056.4447110499</v>
      </c>
      <c r="K52" s="28">
        <f>IF(K17=0,0,1000000*K17/TrRail_act!K32)</f>
        <v>323563.71919897193</v>
      </c>
      <c r="L52" s="28">
        <f>IF(L17=0,0,1000000*L17/TrRail_act!L32)</f>
        <v>364521.80485918379</v>
      </c>
      <c r="M52" s="28">
        <f>IF(M17=0,0,1000000*M17/TrRail_act!M32)</f>
        <v>356283.27060088445</v>
      </c>
      <c r="N52" s="28">
        <f>IF(N17=0,0,1000000*N17/TrRail_act!N32)</f>
        <v>340749.40376335056</v>
      </c>
      <c r="O52" s="28">
        <f>IF(O17=0,0,1000000*O17/TrRail_act!O32)</f>
        <v>330089.1456660594</v>
      </c>
      <c r="P52" s="28">
        <f>IF(P17=0,0,1000000*P17/TrRail_act!P32)</f>
        <v>324587.21405474021</v>
      </c>
      <c r="Q52" s="28">
        <f>IF(Q17=0,0,1000000*Q17/TrRail_act!Q32)</f>
        <v>319210.84519043256</v>
      </c>
      <c r="R52" s="28">
        <f>IF(R17=0,0,1000000*R17/TrRail_act!R32)</f>
        <v>315998.0261733316</v>
      </c>
      <c r="S52" s="28">
        <f>IF(S17=0,0,1000000*S17/TrRail_act!S32)</f>
        <v>307850.77494082914</v>
      </c>
      <c r="T52" s="28">
        <f>IF(T17=0,0,1000000*T17/TrRail_act!T32)</f>
        <v>300429.27499829</v>
      </c>
      <c r="U52" s="28">
        <f>IF(U17=0,0,1000000*U17/TrRail_act!U32)</f>
        <v>294931.24993494799</v>
      </c>
      <c r="V52" s="28">
        <f>IF(V17=0,0,1000000*V17/TrRail_act!V32)</f>
        <v>303095.63049073762</v>
      </c>
      <c r="W52" s="28">
        <f>IF(W17=0,0,1000000*W17/TrRail_act!W32)</f>
        <v>299457.88754759479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941457.74580663082</v>
      </c>
      <c r="C53" s="84">
        <f>IF(C18=0,0,1000000*C18/TrRail_act!C33)</f>
        <v>936122.33633291582</v>
      </c>
      <c r="D53" s="84">
        <f>IF(D18=0,0,1000000*D18/TrRail_act!D33)</f>
        <v>915221.10192995833</v>
      </c>
      <c r="E53" s="84">
        <f>IF(E18=0,0,1000000*E18/TrRail_act!E33)</f>
        <v>923935.29933364887</v>
      </c>
      <c r="F53" s="84">
        <f>IF(F18=0,0,1000000*F18/TrRail_act!F33)</f>
        <v>926574.21614070761</v>
      </c>
      <c r="G53" s="84">
        <f>IF(G18=0,0,1000000*G18/TrRail_act!G33)</f>
        <v>923629.55656237621</v>
      </c>
      <c r="H53" s="84">
        <f>IF(H18=0,0,1000000*H18/TrRail_act!H33)</f>
        <v>910833.04577485018</v>
      </c>
      <c r="I53" s="84">
        <f>IF(I18=0,0,1000000*I18/TrRail_act!I33)</f>
        <v>913533.87767368765</v>
      </c>
      <c r="J53" s="84">
        <f>IF(J18=0,0,1000000*J18/TrRail_act!J33)</f>
        <v>857288.42582789774</v>
      </c>
      <c r="K53" s="84">
        <f>IF(K18=0,0,1000000*K18/TrRail_act!K33)</f>
        <v>670400.64341010037</v>
      </c>
      <c r="L53" s="84">
        <f>IF(L18=0,0,1000000*L18/TrRail_act!L33)</f>
        <v>836021.23025749542</v>
      </c>
      <c r="M53" s="84">
        <f>IF(M18=0,0,1000000*M18/TrRail_act!M33)</f>
        <v>809701.50591303245</v>
      </c>
      <c r="N53" s="84">
        <f>IF(N18=0,0,1000000*N18/TrRail_act!N33)</f>
        <v>722993.20224012062</v>
      </c>
      <c r="O53" s="84">
        <f>IF(O18=0,0,1000000*O18/TrRail_act!O33)</f>
        <v>781072.17150252673</v>
      </c>
      <c r="P53" s="84">
        <f>IF(P18=0,0,1000000*P18/TrRail_act!P33)</f>
        <v>782202.77892682515</v>
      </c>
      <c r="Q53" s="84">
        <f>IF(Q18=0,0,1000000*Q18/TrRail_act!Q33)</f>
        <v>787713.02129353501</v>
      </c>
      <c r="R53" s="84">
        <f>IF(R18=0,0,1000000*R18/TrRail_act!R33)</f>
        <v>787911.62921240018</v>
      </c>
      <c r="S53" s="84">
        <f>IF(S18=0,0,1000000*S18/TrRail_act!S33)</f>
        <v>771587.6271339684</v>
      </c>
      <c r="T53" s="84">
        <f>IF(T18=0,0,1000000*T18/TrRail_act!T33)</f>
        <v>781288.90444061137</v>
      </c>
      <c r="U53" s="84">
        <f>IF(U18=0,0,1000000*U18/TrRail_act!U33)</f>
        <v>779172.1573052234</v>
      </c>
      <c r="V53" s="84">
        <f>IF(V18=0,0,1000000*V18/TrRail_act!V33)</f>
        <v>777588.12285961292</v>
      </c>
      <c r="W53" s="84">
        <f>IF(W18=0,0,1000000*W18/TrRail_act!W33)</f>
        <v>776402.44233120803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358398.14765353757</v>
      </c>
      <c r="C54" s="86">
        <f>IF(C19=0,0,1000000*C19/TrRail_act!C34)</f>
        <v>354486.95594469173</v>
      </c>
      <c r="D54" s="86">
        <f>IF(D19=0,0,1000000*D19/TrRail_act!D34)</f>
        <v>342080.0636085188</v>
      </c>
      <c r="E54" s="86">
        <f>IF(E19=0,0,1000000*E19/TrRail_act!E34)</f>
        <v>345131.37617996661</v>
      </c>
      <c r="F54" s="86">
        <f>IF(F19=0,0,1000000*F19/TrRail_act!F34)</f>
        <v>339086.94211031054</v>
      </c>
      <c r="G54" s="86">
        <f>IF(G19=0,0,1000000*G19/TrRail_act!G34)</f>
        <v>336158.94758640259</v>
      </c>
      <c r="H54" s="86">
        <f>IF(H19=0,0,1000000*H19/TrRail_act!H34)</f>
        <v>331637.64299639483</v>
      </c>
      <c r="I54" s="86">
        <f>IF(I19=0,0,1000000*I19/TrRail_act!I34)</f>
        <v>328941.06216507475</v>
      </c>
      <c r="J54" s="86">
        <f>IF(J19=0,0,1000000*J19/TrRail_act!J34)</f>
        <v>327536.0056736744</v>
      </c>
      <c r="K54" s="86">
        <f>IF(K19=0,0,1000000*K19/TrRail_act!K34)</f>
        <v>285834.26780467492</v>
      </c>
      <c r="L54" s="86">
        <f>IF(L19=0,0,1000000*L19/TrRail_act!L34)</f>
        <v>319819.9980414866</v>
      </c>
      <c r="M54" s="86">
        <f>IF(M19=0,0,1000000*M19/TrRail_act!M34)</f>
        <v>316927.89605367504</v>
      </c>
      <c r="N54" s="86">
        <f>IF(N19=0,0,1000000*N19/TrRail_act!N34)</f>
        <v>310142.03205116047</v>
      </c>
      <c r="O54" s="86">
        <f>IF(O19=0,0,1000000*O19/TrRail_act!O34)</f>
        <v>297881.12068238773</v>
      </c>
      <c r="P54" s="86">
        <f>IF(P19=0,0,1000000*P19/TrRail_act!P34)</f>
        <v>289653.71301408374</v>
      </c>
      <c r="Q54" s="86">
        <f>IF(Q19=0,0,1000000*Q19/TrRail_act!Q34)</f>
        <v>284162.22802941309</v>
      </c>
      <c r="R54" s="86">
        <f>IF(R19=0,0,1000000*R19/TrRail_act!R34)</f>
        <v>278711.48605757026</v>
      </c>
      <c r="S54" s="86">
        <f>IF(S19=0,0,1000000*S19/TrRail_act!S34)</f>
        <v>274692.15385205956</v>
      </c>
      <c r="T54" s="86">
        <f>IF(T19=0,0,1000000*T19/TrRail_act!T34)</f>
        <v>271715.74094263656</v>
      </c>
      <c r="U54" s="86">
        <f>IF(U19=0,0,1000000*U19/TrRail_act!U34)</f>
        <v>269504.61360413377</v>
      </c>
      <c r="V54" s="86">
        <f>IF(V19=0,0,1000000*V19/TrRail_act!V34)</f>
        <v>267858.08624967188</v>
      </c>
      <c r="W54" s="86">
        <f>IF(W19=0,0,1000000*W19/TrRail_act!W34)</f>
        <v>266629.79044783086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0.89997712093403859</v>
      </c>
      <c r="C57" s="31">
        <f t="shared" ref="C57:V57" si="17">IF(C11=0,0,C11/C$10)</f>
        <v>0.8974416233762964</v>
      </c>
      <c r="D57" s="31">
        <f t="shared" si="17"/>
        <v>0.90923517764126793</v>
      </c>
      <c r="E57" s="31">
        <f t="shared" si="17"/>
        <v>0.90692586888059856</v>
      </c>
      <c r="F57" s="31">
        <f t="shared" si="17"/>
        <v>0.8908360590944846</v>
      </c>
      <c r="G57" s="31">
        <f t="shared" si="17"/>
        <v>0.88176059387361072</v>
      </c>
      <c r="H57" s="31">
        <f t="shared" si="17"/>
        <v>0.88084298507318159</v>
      </c>
      <c r="I57" s="31">
        <f t="shared" si="17"/>
        <v>0.86272142394702822</v>
      </c>
      <c r="J57" s="31">
        <f t="shared" si="17"/>
        <v>0.86885848186034276</v>
      </c>
      <c r="K57" s="31">
        <f t="shared" si="17"/>
        <v>0.89704784996020925</v>
      </c>
      <c r="L57" s="31">
        <f t="shared" si="17"/>
        <v>0.88626573039388812</v>
      </c>
      <c r="M57" s="31">
        <f t="shared" si="17"/>
        <v>0.87802895810198345</v>
      </c>
      <c r="N57" s="31">
        <f t="shared" si="17"/>
        <v>0.88371769853975002</v>
      </c>
      <c r="O57" s="31">
        <f t="shared" si="17"/>
        <v>0.8864045032411032</v>
      </c>
      <c r="P57" s="31">
        <f t="shared" si="17"/>
        <v>0.88694337970846104</v>
      </c>
      <c r="Q57" s="31">
        <f t="shared" si="17"/>
        <v>0.88203100422691705</v>
      </c>
      <c r="R57" s="31">
        <f t="shared" si="17"/>
        <v>0.88729856528131756</v>
      </c>
      <c r="S57" s="31">
        <f t="shared" si="17"/>
        <v>0.89116062291705644</v>
      </c>
      <c r="T57" s="31">
        <f t="shared" si="17"/>
        <v>0.88528339547441137</v>
      </c>
      <c r="U57" s="31">
        <f t="shared" si="17"/>
        <v>0.88559576166048948</v>
      </c>
      <c r="V57" s="31">
        <f t="shared" si="17"/>
        <v>0.8676995992517833</v>
      </c>
      <c r="W57" s="31">
        <f t="shared" ref="W57" si="18">IF(W11=0,0,W11/W$10)</f>
        <v>0.86386196152121286</v>
      </c>
      <c r="DA57" s="173"/>
    </row>
    <row r="58" spans="1:105" ht="11.45" customHeight="1" x14ac:dyDescent="0.25">
      <c r="A58" s="107" t="s">
        <v>23</v>
      </c>
      <c r="B58" s="123">
        <f t="shared" si="14"/>
        <v>1.6198178788584386E-2</v>
      </c>
      <c r="C58" s="123">
        <f t="shared" ref="C58:V58" si="19">IF(C12=0,0,C12/C$10)</f>
        <v>1.7078535878839642E-2</v>
      </c>
      <c r="D58" s="123">
        <f t="shared" si="19"/>
        <v>1.6680718114871516E-2</v>
      </c>
      <c r="E58" s="123">
        <f t="shared" si="19"/>
        <v>1.6738250102220593E-2</v>
      </c>
      <c r="F58" s="123">
        <f t="shared" si="19"/>
        <v>1.689995046560417E-2</v>
      </c>
      <c r="G58" s="123">
        <f t="shared" si="19"/>
        <v>1.735023851308938E-2</v>
      </c>
      <c r="H58" s="123">
        <f t="shared" si="19"/>
        <v>1.7796987343875286E-2</v>
      </c>
      <c r="I58" s="123">
        <f t="shared" si="19"/>
        <v>1.8616131148126182E-2</v>
      </c>
      <c r="J58" s="123">
        <f t="shared" si="19"/>
        <v>1.8773419114345668E-2</v>
      </c>
      <c r="K58" s="123">
        <f t="shared" si="19"/>
        <v>1.8350664590943061E-2</v>
      </c>
      <c r="L58" s="123">
        <f t="shared" si="19"/>
        <v>1.7685018391674114E-2</v>
      </c>
      <c r="M58" s="123">
        <f t="shared" si="19"/>
        <v>1.8331339697326105E-2</v>
      </c>
      <c r="N58" s="123">
        <f t="shared" si="19"/>
        <v>1.7071512806404659E-2</v>
      </c>
      <c r="O58" s="123">
        <f t="shared" si="19"/>
        <v>1.7696004967764242E-2</v>
      </c>
      <c r="P58" s="123">
        <f t="shared" si="19"/>
        <v>1.7901576824723025E-2</v>
      </c>
      <c r="Q58" s="123">
        <f t="shared" si="19"/>
        <v>1.9772710752217811E-2</v>
      </c>
      <c r="R58" s="123">
        <f t="shared" si="19"/>
        <v>1.9190825184047126E-2</v>
      </c>
      <c r="S58" s="123">
        <f t="shared" si="19"/>
        <v>1.8297340174256545E-2</v>
      </c>
      <c r="T58" s="123">
        <f t="shared" si="19"/>
        <v>2.1079186389557712E-2</v>
      </c>
      <c r="U58" s="123">
        <f t="shared" si="19"/>
        <v>2.0964180751029168E-2</v>
      </c>
      <c r="V58" s="123">
        <f t="shared" si="19"/>
        <v>1.5024112944598822E-2</v>
      </c>
      <c r="W58" s="123">
        <f t="shared" ref="W58" si="20">IF(W12=0,0,W12/W$10)</f>
        <v>1.5671379678241643E-2</v>
      </c>
      <c r="DA58" s="203"/>
    </row>
    <row r="59" spans="1:105" ht="11.45" customHeight="1" x14ac:dyDescent="0.25">
      <c r="A59" s="109" t="s">
        <v>24</v>
      </c>
      <c r="B59" s="124">
        <f t="shared" si="14"/>
        <v>0.87983002614608974</v>
      </c>
      <c r="C59" s="124">
        <f t="shared" ref="C59:V59" si="21">IF(C13=0,0,C13/C$10)</f>
        <v>0.87350430999602846</v>
      </c>
      <c r="D59" s="124">
        <f t="shared" si="21"/>
        <v>0.88529304611065085</v>
      </c>
      <c r="E59" s="124">
        <f t="shared" si="21"/>
        <v>0.86663268652524328</v>
      </c>
      <c r="F59" s="124">
        <f t="shared" si="21"/>
        <v>0.8516644017792615</v>
      </c>
      <c r="G59" s="124">
        <f t="shared" si="21"/>
        <v>0.84066310655454091</v>
      </c>
      <c r="H59" s="124">
        <f t="shared" si="21"/>
        <v>0.83984845651578044</v>
      </c>
      <c r="I59" s="124">
        <f t="shared" si="21"/>
        <v>0.81759581007780302</v>
      </c>
      <c r="J59" s="124">
        <f t="shared" si="21"/>
        <v>0.8213222902130688</v>
      </c>
      <c r="K59" s="124">
        <f t="shared" si="21"/>
        <v>0.84989138533093977</v>
      </c>
      <c r="L59" s="124">
        <f t="shared" si="21"/>
        <v>0.85777232244868873</v>
      </c>
      <c r="M59" s="124">
        <f t="shared" si="21"/>
        <v>0.84816690542945772</v>
      </c>
      <c r="N59" s="124">
        <f t="shared" si="21"/>
        <v>0.85443662406766852</v>
      </c>
      <c r="O59" s="124">
        <f t="shared" si="21"/>
        <v>0.85523985452129281</v>
      </c>
      <c r="P59" s="124">
        <f t="shared" si="21"/>
        <v>0.85971419935375915</v>
      </c>
      <c r="Q59" s="124">
        <f t="shared" si="21"/>
        <v>0.83058409837649372</v>
      </c>
      <c r="R59" s="124">
        <f t="shared" si="21"/>
        <v>0.85803560072042862</v>
      </c>
      <c r="S59" s="124">
        <f t="shared" si="21"/>
        <v>0.8620589297747544</v>
      </c>
      <c r="T59" s="124">
        <f t="shared" si="21"/>
        <v>0.85492866402747891</v>
      </c>
      <c r="U59" s="124">
        <f t="shared" si="21"/>
        <v>0.8540778523780308</v>
      </c>
      <c r="V59" s="124">
        <f t="shared" si="21"/>
        <v>0.8476102118585962</v>
      </c>
      <c r="W59" s="124">
        <f t="shared" ref="W59" si="22">IF(W13=0,0,W13/W$10)</f>
        <v>0.84330529583963965</v>
      </c>
      <c r="DA59" s="176"/>
    </row>
    <row r="60" spans="1:105" ht="11.45" customHeight="1" x14ac:dyDescent="0.25">
      <c r="A60" s="111" t="s">
        <v>92</v>
      </c>
      <c r="B60" s="125">
        <f t="shared" si="14"/>
        <v>0.18366767884223004</v>
      </c>
      <c r="C60" s="125">
        <f t="shared" ref="C60:V60" si="23">IF(C14=0,0,C14/C$10)</f>
        <v>0.18119193651390725</v>
      </c>
      <c r="D60" s="125">
        <f t="shared" si="23"/>
        <v>0.18113797915934335</v>
      </c>
      <c r="E60" s="125">
        <f t="shared" si="23"/>
        <v>0.17560006950257678</v>
      </c>
      <c r="F60" s="125">
        <f t="shared" si="23"/>
        <v>0.17064467028157143</v>
      </c>
      <c r="G60" s="125">
        <f t="shared" si="23"/>
        <v>0.17014881799086784</v>
      </c>
      <c r="H60" s="125">
        <f t="shared" si="23"/>
        <v>0.16826381623285977</v>
      </c>
      <c r="I60" s="125">
        <f t="shared" si="23"/>
        <v>0.16596121499111016</v>
      </c>
      <c r="J60" s="125">
        <f t="shared" si="23"/>
        <v>0.16739385058283107</v>
      </c>
      <c r="K60" s="125">
        <f t="shared" si="23"/>
        <v>0.15641231208843198</v>
      </c>
      <c r="L60" s="125">
        <f t="shared" si="23"/>
        <v>0.16228525269428773</v>
      </c>
      <c r="M60" s="125">
        <f t="shared" si="23"/>
        <v>0.15967995367203952</v>
      </c>
      <c r="N60" s="125">
        <f t="shared" si="23"/>
        <v>0.13775449210729343</v>
      </c>
      <c r="O60" s="125">
        <f t="shared" si="23"/>
        <v>0.14019583824296611</v>
      </c>
      <c r="P60" s="125">
        <f t="shared" si="23"/>
        <v>0.14948048286327814</v>
      </c>
      <c r="Q60" s="125">
        <f t="shared" si="23"/>
        <v>0.15345577289279125</v>
      </c>
      <c r="R60" s="125">
        <f t="shared" si="23"/>
        <v>0.14693645119723237</v>
      </c>
      <c r="S60" s="125">
        <f t="shared" si="23"/>
        <v>0.1397058176475639</v>
      </c>
      <c r="T60" s="125">
        <f t="shared" si="23"/>
        <v>0.11886920314950075</v>
      </c>
      <c r="U60" s="125">
        <f t="shared" si="23"/>
        <v>0.10425799772812883</v>
      </c>
      <c r="V60" s="125">
        <f t="shared" si="23"/>
        <v>0.10772848510017689</v>
      </c>
      <c r="W60" s="125">
        <f t="shared" ref="W60" si="24">IF(W14=0,0,W14/W$10)</f>
        <v>0.10139447769848539</v>
      </c>
      <c r="DA60" s="171"/>
    </row>
    <row r="61" spans="1:105" ht="11.45" customHeight="1" x14ac:dyDescent="0.25">
      <c r="A61" s="111" t="s">
        <v>93</v>
      </c>
      <c r="B61" s="125">
        <f t="shared" si="14"/>
        <v>0.69616234730385973</v>
      </c>
      <c r="C61" s="125">
        <f t="shared" ref="C61:V61" si="25">IF(C15=0,0,C15/C$10)</f>
        <v>0.69231237348212116</v>
      </c>
      <c r="D61" s="125">
        <f t="shared" si="25"/>
        <v>0.70415506695130758</v>
      </c>
      <c r="E61" s="125">
        <f t="shared" si="25"/>
        <v>0.69103261702266661</v>
      </c>
      <c r="F61" s="125">
        <f t="shared" si="25"/>
        <v>0.68101973149768991</v>
      </c>
      <c r="G61" s="125">
        <f t="shared" si="25"/>
        <v>0.67051428856367312</v>
      </c>
      <c r="H61" s="125">
        <f t="shared" si="25"/>
        <v>0.67158464028292075</v>
      </c>
      <c r="I61" s="125">
        <f t="shared" si="25"/>
        <v>0.65163459508669275</v>
      </c>
      <c r="J61" s="125">
        <f t="shared" si="25"/>
        <v>0.65392843963023772</v>
      </c>
      <c r="K61" s="125">
        <f t="shared" si="25"/>
        <v>0.69347907324250779</v>
      </c>
      <c r="L61" s="125">
        <f t="shared" si="25"/>
        <v>0.695487069754401</v>
      </c>
      <c r="M61" s="125">
        <f t="shared" si="25"/>
        <v>0.68848695175741814</v>
      </c>
      <c r="N61" s="125">
        <f t="shared" si="25"/>
        <v>0.71668213196037511</v>
      </c>
      <c r="O61" s="125">
        <f t="shared" si="25"/>
        <v>0.7150440162783267</v>
      </c>
      <c r="P61" s="125">
        <f t="shared" si="25"/>
        <v>0.71023371649048106</v>
      </c>
      <c r="Q61" s="125">
        <f t="shared" si="25"/>
        <v>0.67712832548370239</v>
      </c>
      <c r="R61" s="125">
        <f t="shared" si="25"/>
        <v>0.71109914952319631</v>
      </c>
      <c r="S61" s="125">
        <f t="shared" si="25"/>
        <v>0.72235311212719044</v>
      </c>
      <c r="T61" s="125">
        <f t="shared" si="25"/>
        <v>0.73605946087797813</v>
      </c>
      <c r="U61" s="125">
        <f t="shared" si="25"/>
        <v>0.74981985464990197</v>
      </c>
      <c r="V61" s="125">
        <f t="shared" si="25"/>
        <v>0.73988172675841923</v>
      </c>
      <c r="W61" s="125">
        <f t="shared" ref="W61" si="26">IF(W15=0,0,W15/W$10)</f>
        <v>0.74191081814115434</v>
      </c>
      <c r="DA61" s="171"/>
    </row>
    <row r="62" spans="1:105" ht="11.45" customHeight="1" x14ac:dyDescent="0.25">
      <c r="A62" s="112" t="s">
        <v>25</v>
      </c>
      <c r="B62" s="126">
        <f t="shared" si="14"/>
        <v>3.9489159993645259E-3</v>
      </c>
      <c r="C62" s="126">
        <f t="shared" ref="C62:V62" si="27">IF(C16=0,0,C16/C$10)</f>
        <v>6.8587775014283155E-3</v>
      </c>
      <c r="D62" s="126">
        <f t="shared" si="27"/>
        <v>7.2614134157456276E-3</v>
      </c>
      <c r="E62" s="126">
        <f t="shared" si="27"/>
        <v>2.3554932253134441E-2</v>
      </c>
      <c r="F62" s="126">
        <f t="shared" si="27"/>
        <v>2.227170684961902E-2</v>
      </c>
      <c r="G62" s="126">
        <f t="shared" si="27"/>
        <v>2.3747248805980475E-2</v>
      </c>
      <c r="H62" s="126">
        <f t="shared" si="27"/>
        <v>2.3197541213525817E-2</v>
      </c>
      <c r="I62" s="126">
        <f t="shared" si="27"/>
        <v>2.6509482721099105E-2</v>
      </c>
      <c r="J62" s="126">
        <f t="shared" si="27"/>
        <v>2.8762772532928197E-2</v>
      </c>
      <c r="K62" s="126">
        <f t="shared" si="27"/>
        <v>2.8805800038326463E-2</v>
      </c>
      <c r="L62" s="126">
        <f t="shared" si="27"/>
        <v>1.0808389553525288E-2</v>
      </c>
      <c r="M62" s="126">
        <f t="shared" si="27"/>
        <v>1.1530712975199597E-2</v>
      </c>
      <c r="N62" s="126">
        <f t="shared" si="27"/>
        <v>1.2209561665676718E-2</v>
      </c>
      <c r="O62" s="126">
        <f t="shared" si="27"/>
        <v>1.3468643752046037E-2</v>
      </c>
      <c r="P62" s="126">
        <f t="shared" si="27"/>
        <v>9.3276035299790228E-3</v>
      </c>
      <c r="Q62" s="126">
        <f t="shared" si="27"/>
        <v>3.1674195098205689E-2</v>
      </c>
      <c r="R62" s="126">
        <f t="shared" si="27"/>
        <v>1.0072139376841833E-2</v>
      </c>
      <c r="S62" s="126">
        <f t="shared" si="27"/>
        <v>1.0804352968045546E-2</v>
      </c>
      <c r="T62" s="126">
        <f t="shared" si="27"/>
        <v>9.2755450573747903E-3</v>
      </c>
      <c r="U62" s="126">
        <f t="shared" si="27"/>
        <v>1.0553728531429572E-2</v>
      </c>
      <c r="V62" s="126">
        <f t="shared" si="27"/>
        <v>5.0652744485881447E-3</v>
      </c>
      <c r="W62" s="126">
        <f t="shared" ref="W62" si="28">IF(W16=0,0,W16/W$10)</f>
        <v>4.8852860033315564E-3</v>
      </c>
      <c r="DA62" s="204"/>
    </row>
    <row r="63" spans="1:105" ht="11.45" customHeight="1" x14ac:dyDescent="0.25">
      <c r="A63" s="27" t="s">
        <v>34</v>
      </c>
      <c r="B63" s="31">
        <f t="shared" si="14"/>
        <v>0.10002287906596134</v>
      </c>
      <c r="C63" s="31">
        <f t="shared" ref="C63:V63" si="29">IF(C17=0,0,C17/C$10)</f>
        <v>0.10255837662370362</v>
      </c>
      <c r="D63" s="31">
        <f t="shared" si="29"/>
        <v>9.0764822358731997E-2</v>
      </c>
      <c r="E63" s="31">
        <f t="shared" si="29"/>
        <v>9.3074131119401465E-2</v>
      </c>
      <c r="F63" s="31">
        <f t="shared" si="29"/>
        <v>0.10916394090551527</v>
      </c>
      <c r="G63" s="31">
        <f t="shared" si="29"/>
        <v>0.11823940612638936</v>
      </c>
      <c r="H63" s="31">
        <f t="shared" si="29"/>
        <v>0.11915701492681839</v>
      </c>
      <c r="I63" s="31">
        <f t="shared" si="29"/>
        <v>0.13727857605297183</v>
      </c>
      <c r="J63" s="31">
        <f t="shared" si="29"/>
        <v>0.13114151813965721</v>
      </c>
      <c r="K63" s="31">
        <f t="shared" si="29"/>
        <v>0.10295215003979065</v>
      </c>
      <c r="L63" s="31">
        <f t="shared" si="29"/>
        <v>0.11373426960611195</v>
      </c>
      <c r="M63" s="31">
        <f t="shared" si="29"/>
        <v>0.12197104189801658</v>
      </c>
      <c r="N63" s="31">
        <f t="shared" si="29"/>
        <v>0.11628230146025009</v>
      </c>
      <c r="O63" s="31">
        <f t="shared" si="29"/>
        <v>0.11359549675889684</v>
      </c>
      <c r="P63" s="31">
        <f t="shared" si="29"/>
        <v>0.11305662029153894</v>
      </c>
      <c r="Q63" s="31">
        <f t="shared" si="29"/>
        <v>0.11796899577308298</v>
      </c>
      <c r="R63" s="31">
        <f t="shared" si="29"/>
        <v>0.11270143471868248</v>
      </c>
      <c r="S63" s="31">
        <f t="shared" si="29"/>
        <v>0.10883937708294356</v>
      </c>
      <c r="T63" s="31">
        <f t="shared" si="29"/>
        <v>0.11471660452558863</v>
      </c>
      <c r="U63" s="31">
        <f t="shared" si="29"/>
        <v>0.11440423833951044</v>
      </c>
      <c r="V63" s="31">
        <f t="shared" si="29"/>
        <v>0.13230040074821678</v>
      </c>
      <c r="W63" s="31">
        <f t="shared" ref="W63" si="30">IF(W17=0,0,W17/W$10)</f>
        <v>0.13613803847878728</v>
      </c>
      <c r="DA63" s="173"/>
    </row>
    <row r="64" spans="1:105" ht="11.45" customHeight="1" x14ac:dyDescent="0.25">
      <c r="A64" s="83" t="s">
        <v>92</v>
      </c>
      <c r="B64" s="125">
        <f t="shared" si="14"/>
        <v>2.5049028179561731E-2</v>
      </c>
      <c r="C64" s="125">
        <f t="shared" ref="C64:V64" si="31">IF(C18=0,0,C18/C$10)</f>
        <v>2.355883509413597E-2</v>
      </c>
      <c r="D64" s="125">
        <f t="shared" si="31"/>
        <v>2.0838624082952707E-2</v>
      </c>
      <c r="E64" s="125">
        <f t="shared" si="31"/>
        <v>2.3526176728049675E-2</v>
      </c>
      <c r="F64" s="125">
        <f t="shared" si="31"/>
        <v>2.714197886694536E-2</v>
      </c>
      <c r="G64" s="125">
        <f t="shared" si="31"/>
        <v>2.6695557652790303E-2</v>
      </c>
      <c r="H64" s="125">
        <f t="shared" si="31"/>
        <v>2.8973642224927511E-2</v>
      </c>
      <c r="I64" s="125">
        <f t="shared" si="31"/>
        <v>3.3668108286387596E-2</v>
      </c>
      <c r="J64" s="125">
        <f t="shared" si="31"/>
        <v>2.9327460892578785E-2</v>
      </c>
      <c r="K64" s="125">
        <f t="shared" si="31"/>
        <v>2.0927589389400553E-2</v>
      </c>
      <c r="L64" s="125">
        <f t="shared" si="31"/>
        <v>2.2588696885544261E-2</v>
      </c>
      <c r="M64" s="125">
        <f t="shared" si="31"/>
        <v>2.2138228146142261E-2</v>
      </c>
      <c r="N64" s="125">
        <f t="shared" si="31"/>
        <v>1.8291328358522822E-2</v>
      </c>
      <c r="O64" s="125">
        <f t="shared" si="31"/>
        <v>1.7917039391978654E-2</v>
      </c>
      <c r="P64" s="125">
        <f t="shared" si="31"/>
        <v>1.9323089160447886E-2</v>
      </c>
      <c r="Q64" s="125">
        <f t="shared" si="31"/>
        <v>2.0262166144184281E-2</v>
      </c>
      <c r="R64" s="125">
        <f t="shared" si="31"/>
        <v>2.0577194118619115E-2</v>
      </c>
      <c r="S64" s="125">
        <f t="shared" si="31"/>
        <v>1.8203817499153081E-2</v>
      </c>
      <c r="T64" s="125">
        <f t="shared" si="31"/>
        <v>1.6810312678090605E-2</v>
      </c>
      <c r="U64" s="125">
        <f t="shared" si="31"/>
        <v>1.5078449346041911E-2</v>
      </c>
      <c r="V64" s="125">
        <f t="shared" si="31"/>
        <v>2.3463700740290101E-2</v>
      </c>
      <c r="W64" s="125">
        <f t="shared" ref="W64" si="32">IF(W18=0,0,W18/W$10)</f>
        <v>2.2730019146524092E-2</v>
      </c>
      <c r="DA64" s="171"/>
    </row>
    <row r="65" spans="1:105" ht="11.45" customHeight="1" x14ac:dyDescent="0.25">
      <c r="A65" s="85" t="s">
        <v>93</v>
      </c>
      <c r="B65" s="127">
        <f t="shared" si="14"/>
        <v>7.4973850886399601E-2</v>
      </c>
      <c r="C65" s="127">
        <f t="shared" ref="C65:V65" si="33">IF(C19=0,0,C19/C$10)</f>
        <v>7.899954152956766E-2</v>
      </c>
      <c r="D65" s="127">
        <f t="shared" si="33"/>
        <v>6.9926198275779297E-2</v>
      </c>
      <c r="E65" s="127">
        <f t="shared" si="33"/>
        <v>6.9547954391351793E-2</v>
      </c>
      <c r="F65" s="127">
        <f t="shared" si="33"/>
        <v>8.2021962038569915E-2</v>
      </c>
      <c r="G65" s="127">
        <f t="shared" si="33"/>
        <v>9.154384847359906E-2</v>
      </c>
      <c r="H65" s="127">
        <f t="shared" si="33"/>
        <v>9.018337270189089E-2</v>
      </c>
      <c r="I65" s="127">
        <f t="shared" si="33"/>
        <v>0.10361046776658424</v>
      </c>
      <c r="J65" s="127">
        <f t="shared" si="33"/>
        <v>0.10181405724707843</v>
      </c>
      <c r="K65" s="127">
        <f t="shared" si="33"/>
        <v>8.2024560650390085E-2</v>
      </c>
      <c r="L65" s="127">
        <f t="shared" si="33"/>
        <v>9.1145572720567683E-2</v>
      </c>
      <c r="M65" s="127">
        <f t="shared" si="33"/>
        <v>9.9832813751874319E-2</v>
      </c>
      <c r="N65" s="127">
        <f t="shared" si="33"/>
        <v>9.7990973101727274E-2</v>
      </c>
      <c r="O65" s="127">
        <f t="shared" si="33"/>
        <v>9.5678457366918185E-2</v>
      </c>
      <c r="P65" s="127">
        <f t="shared" si="33"/>
        <v>9.3733531131091063E-2</v>
      </c>
      <c r="Q65" s="127">
        <f t="shared" si="33"/>
        <v>9.7706829628898706E-2</v>
      </c>
      <c r="R65" s="127">
        <f t="shared" si="33"/>
        <v>9.212424060006337E-2</v>
      </c>
      <c r="S65" s="127">
        <f t="shared" si="33"/>
        <v>9.0635559583790465E-2</v>
      </c>
      <c r="T65" s="127">
        <f t="shared" si="33"/>
        <v>9.7906291847498036E-2</v>
      </c>
      <c r="U65" s="127">
        <f t="shared" si="33"/>
        <v>9.9325788993468528E-2</v>
      </c>
      <c r="V65" s="127">
        <f t="shared" si="33"/>
        <v>0.10883670000792668</v>
      </c>
      <c r="W65" s="127">
        <f t="shared" ref="W65" si="34">IF(W19=0,0,W19/W$10)</f>
        <v>0.11340801933226316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114.97356000000001</v>
      </c>
      <c r="C4" s="26">
        <f t="shared" ref="C4:W4" si="0">SUM(C5:C6)</f>
        <v>108.58625855999999</v>
      </c>
      <c r="D4" s="26">
        <f t="shared" si="0"/>
        <v>105.39234108000004</v>
      </c>
      <c r="E4" s="26">
        <f t="shared" si="0"/>
        <v>105.39234108000004</v>
      </c>
      <c r="F4" s="26">
        <f t="shared" si="0"/>
        <v>108.58625855999999</v>
      </c>
      <c r="G4" s="26">
        <f t="shared" si="0"/>
        <v>105.39234108000004</v>
      </c>
      <c r="H4" s="26">
        <f t="shared" si="0"/>
        <v>105.39234108000004</v>
      </c>
      <c r="I4" s="26">
        <f t="shared" si="0"/>
        <v>105.39234108000004</v>
      </c>
      <c r="J4" s="26">
        <f t="shared" si="0"/>
        <v>105.63696</v>
      </c>
      <c r="K4" s="26">
        <f t="shared" si="0"/>
        <v>96.033599999999993</v>
      </c>
      <c r="L4" s="26">
        <f t="shared" si="0"/>
        <v>105.63696</v>
      </c>
      <c r="M4" s="26">
        <f t="shared" si="0"/>
        <v>102.43584</v>
      </c>
      <c r="N4" s="26">
        <f t="shared" si="0"/>
        <v>83.229119999999995</v>
      </c>
      <c r="O4" s="26">
        <f t="shared" si="0"/>
        <v>83.229119999999995</v>
      </c>
      <c r="P4" s="26">
        <f t="shared" si="0"/>
        <v>86.430240000000012</v>
      </c>
      <c r="Q4" s="26">
        <f t="shared" si="0"/>
        <v>89.421953399999978</v>
      </c>
      <c r="R4" s="26">
        <f t="shared" si="0"/>
        <v>89.690847479999988</v>
      </c>
      <c r="S4" s="26">
        <f t="shared" si="0"/>
        <v>83.174967720000012</v>
      </c>
      <c r="T4" s="26">
        <f t="shared" si="0"/>
        <v>70.209898199999984</v>
      </c>
      <c r="U4" s="26">
        <f t="shared" si="0"/>
        <v>60.739918200000012</v>
      </c>
      <c r="V4" s="26">
        <f t="shared" si="0"/>
        <v>61.474308480000019</v>
      </c>
      <c r="W4" s="26">
        <f t="shared" si="0"/>
        <v>56.793470760000019</v>
      </c>
      <c r="DA4" s="202" t="s">
        <v>1135</v>
      </c>
    </row>
    <row r="5" spans="1:105" ht="11.45" customHeight="1" x14ac:dyDescent="0.25">
      <c r="A5" s="107" t="s">
        <v>92</v>
      </c>
      <c r="B5" s="129">
        <v>114.97356000000001</v>
      </c>
      <c r="C5" s="129">
        <v>108.58625855999999</v>
      </c>
      <c r="D5" s="129">
        <v>105.39234108000004</v>
      </c>
      <c r="E5" s="129">
        <v>105.39234108000004</v>
      </c>
      <c r="F5" s="129">
        <v>108.58625855999999</v>
      </c>
      <c r="G5" s="129">
        <v>105.39234108000004</v>
      </c>
      <c r="H5" s="129">
        <v>105.39234108000004</v>
      </c>
      <c r="I5" s="129">
        <v>105.39234108000004</v>
      </c>
      <c r="J5" s="129">
        <v>105.63696</v>
      </c>
      <c r="K5" s="129">
        <v>96.033599999999993</v>
      </c>
      <c r="L5" s="129">
        <v>105.63696</v>
      </c>
      <c r="M5" s="129">
        <v>102.43584</v>
      </c>
      <c r="N5" s="129">
        <v>83.229119999999995</v>
      </c>
      <c r="O5" s="129">
        <v>83.229119999999995</v>
      </c>
      <c r="P5" s="129">
        <v>86.430240000000012</v>
      </c>
      <c r="Q5" s="129">
        <v>89.421953399999978</v>
      </c>
      <c r="R5" s="129">
        <v>89.690847479999988</v>
      </c>
      <c r="S5" s="129">
        <v>83.174967720000012</v>
      </c>
      <c r="T5" s="129">
        <v>70.209898199999984</v>
      </c>
      <c r="U5" s="129">
        <v>60.739918200000012</v>
      </c>
      <c r="V5" s="129">
        <v>61.474308480000019</v>
      </c>
      <c r="W5" s="129">
        <v>56.793470760000019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114.97356000000001</v>
      </c>
      <c r="C8" s="79">
        <f t="shared" si="1"/>
        <v>108.58625855999998</v>
      </c>
      <c r="D8" s="79">
        <f t="shared" si="1"/>
        <v>105.39234108000005</v>
      </c>
      <c r="E8" s="79">
        <f t="shared" si="1"/>
        <v>105.39234108000005</v>
      </c>
      <c r="F8" s="79">
        <f t="shared" si="1"/>
        <v>108.58625855999998</v>
      </c>
      <c r="G8" s="79">
        <f t="shared" si="1"/>
        <v>105.39234108000007</v>
      </c>
      <c r="H8" s="79">
        <f t="shared" si="1"/>
        <v>105.39234108000002</v>
      </c>
      <c r="I8" s="79">
        <f t="shared" si="1"/>
        <v>105.39234108000005</v>
      </c>
      <c r="J8" s="79">
        <f t="shared" si="1"/>
        <v>105.63696000000002</v>
      </c>
      <c r="K8" s="79">
        <f t="shared" si="1"/>
        <v>96.033599999999979</v>
      </c>
      <c r="L8" s="79">
        <f t="shared" si="1"/>
        <v>105.63696000000002</v>
      </c>
      <c r="M8" s="79">
        <f t="shared" si="1"/>
        <v>102.43584</v>
      </c>
      <c r="N8" s="79">
        <f t="shared" si="1"/>
        <v>83.229119999999995</v>
      </c>
      <c r="O8" s="79">
        <f t="shared" si="1"/>
        <v>83.229119999999995</v>
      </c>
      <c r="P8" s="79">
        <f t="shared" si="1"/>
        <v>86.430240000000012</v>
      </c>
      <c r="Q8" s="79">
        <f t="shared" si="1"/>
        <v>89.421953399999978</v>
      </c>
      <c r="R8" s="79">
        <f t="shared" si="1"/>
        <v>89.690847480000002</v>
      </c>
      <c r="S8" s="79">
        <f t="shared" si="1"/>
        <v>83.174967720000012</v>
      </c>
      <c r="T8" s="79">
        <f t="shared" si="1"/>
        <v>70.209898199999969</v>
      </c>
      <c r="U8" s="79">
        <f t="shared" si="1"/>
        <v>60.739918200000005</v>
      </c>
      <c r="V8" s="79">
        <f t="shared" si="1"/>
        <v>61.474308480000019</v>
      </c>
      <c r="W8" s="79">
        <f t="shared" si="1"/>
        <v>56.793470760000019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101.17506736642353</v>
      </c>
      <c r="C9" s="32">
        <f t="shared" si="2"/>
        <v>96.092211583701513</v>
      </c>
      <c r="D9" s="32">
        <f t="shared" si="2"/>
        <v>94.518649069476425</v>
      </c>
      <c r="E9" s="32">
        <f t="shared" si="2"/>
        <v>92.940547863553547</v>
      </c>
      <c r="F9" s="32">
        <f t="shared" si="2"/>
        <v>93.685121664439777</v>
      </c>
      <c r="G9" s="32">
        <f t="shared" si="2"/>
        <v>91.099286943889538</v>
      </c>
      <c r="H9" s="32">
        <f t="shared" si="2"/>
        <v>89.910494946026532</v>
      </c>
      <c r="I9" s="32">
        <f t="shared" si="2"/>
        <v>87.617593894663528</v>
      </c>
      <c r="J9" s="32">
        <f t="shared" si="2"/>
        <v>89.888468949511221</v>
      </c>
      <c r="K9" s="32">
        <f t="shared" si="2"/>
        <v>84.700833196601508</v>
      </c>
      <c r="L9" s="32">
        <f t="shared" si="2"/>
        <v>92.729780406695781</v>
      </c>
      <c r="M9" s="32">
        <f t="shared" si="2"/>
        <v>89.963226020560512</v>
      </c>
      <c r="N9" s="32">
        <f t="shared" si="2"/>
        <v>73.473196013273338</v>
      </c>
      <c r="O9" s="32">
        <f t="shared" si="2"/>
        <v>73.797760303652652</v>
      </c>
      <c r="P9" s="32">
        <f t="shared" si="2"/>
        <v>76.536496558100751</v>
      </c>
      <c r="Q9" s="32">
        <f t="shared" si="2"/>
        <v>78.991928229469664</v>
      </c>
      <c r="R9" s="32">
        <f t="shared" si="2"/>
        <v>78.673321261287981</v>
      </c>
      <c r="S9" s="32">
        <f t="shared" si="2"/>
        <v>73.586560201573121</v>
      </c>
      <c r="T9" s="32">
        <f t="shared" si="2"/>
        <v>61.511088105934924</v>
      </c>
      <c r="U9" s="32">
        <f t="shared" si="2"/>
        <v>53.065282308651611</v>
      </c>
      <c r="V9" s="32">
        <f t="shared" si="2"/>
        <v>50.47963857530759</v>
      </c>
      <c r="W9" s="32">
        <f t="shared" si="2"/>
        <v>46.393294238968195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101.17506736642353</v>
      </c>
      <c r="C11" s="130">
        <f t="shared" si="3"/>
        <v>96.092211583701513</v>
      </c>
      <c r="D11" s="130">
        <f t="shared" si="3"/>
        <v>94.518649069476425</v>
      </c>
      <c r="E11" s="130">
        <f t="shared" si="3"/>
        <v>92.940547863553547</v>
      </c>
      <c r="F11" s="130">
        <f t="shared" si="3"/>
        <v>93.685121664439777</v>
      </c>
      <c r="G11" s="130">
        <f t="shared" si="3"/>
        <v>91.099286943889538</v>
      </c>
      <c r="H11" s="130">
        <f t="shared" si="3"/>
        <v>89.910494946026532</v>
      </c>
      <c r="I11" s="130">
        <f t="shared" si="3"/>
        <v>87.617593894663528</v>
      </c>
      <c r="J11" s="130">
        <f t="shared" si="3"/>
        <v>89.888468949511221</v>
      </c>
      <c r="K11" s="130">
        <f t="shared" si="3"/>
        <v>84.700833196601508</v>
      </c>
      <c r="L11" s="130">
        <f t="shared" si="3"/>
        <v>92.729780406695781</v>
      </c>
      <c r="M11" s="130">
        <f t="shared" si="3"/>
        <v>89.963226020560512</v>
      </c>
      <c r="N11" s="130">
        <f t="shared" si="3"/>
        <v>73.473196013273338</v>
      </c>
      <c r="O11" s="130">
        <f t="shared" si="3"/>
        <v>73.797760303652652</v>
      </c>
      <c r="P11" s="130">
        <f t="shared" si="3"/>
        <v>76.536496558100751</v>
      </c>
      <c r="Q11" s="130">
        <f t="shared" si="3"/>
        <v>78.991928229469664</v>
      </c>
      <c r="R11" s="130">
        <f t="shared" si="3"/>
        <v>78.673321261287981</v>
      </c>
      <c r="S11" s="130">
        <f t="shared" si="3"/>
        <v>73.586560201573121</v>
      </c>
      <c r="T11" s="130">
        <f t="shared" si="3"/>
        <v>61.511088105934924</v>
      </c>
      <c r="U11" s="130">
        <f t="shared" si="3"/>
        <v>53.065282308651611</v>
      </c>
      <c r="V11" s="130">
        <f t="shared" si="3"/>
        <v>50.47963857530759</v>
      </c>
      <c r="W11" s="130">
        <f t="shared" si="3"/>
        <v>46.393294238968195</v>
      </c>
      <c r="DA11" s="176" t="s">
        <v>408</v>
      </c>
    </row>
    <row r="12" spans="1:105" ht="11.45" customHeight="1" x14ac:dyDescent="0.25">
      <c r="A12" s="111" t="s">
        <v>92</v>
      </c>
      <c r="B12" s="96">
        <v>101.17506736642353</v>
      </c>
      <c r="C12" s="96">
        <v>96.092211583701513</v>
      </c>
      <c r="D12" s="96">
        <v>94.518649069476425</v>
      </c>
      <c r="E12" s="96">
        <v>92.940547863553547</v>
      </c>
      <c r="F12" s="96">
        <v>93.685121664439777</v>
      </c>
      <c r="G12" s="96">
        <v>91.099286943889538</v>
      </c>
      <c r="H12" s="96">
        <v>89.910494946026532</v>
      </c>
      <c r="I12" s="96">
        <v>87.617593894663528</v>
      </c>
      <c r="J12" s="96">
        <v>89.888468949511221</v>
      </c>
      <c r="K12" s="96">
        <v>84.700833196601508</v>
      </c>
      <c r="L12" s="96">
        <v>92.729780406695781</v>
      </c>
      <c r="M12" s="96">
        <v>89.963226020560512</v>
      </c>
      <c r="N12" s="96">
        <v>73.473196013273338</v>
      </c>
      <c r="O12" s="96">
        <v>73.797760303652652</v>
      </c>
      <c r="P12" s="96">
        <v>76.536496558100751</v>
      </c>
      <c r="Q12" s="96">
        <v>78.991928229469664</v>
      </c>
      <c r="R12" s="96">
        <v>78.673321261287981</v>
      </c>
      <c r="S12" s="96">
        <v>73.586560201573121</v>
      </c>
      <c r="T12" s="96">
        <v>61.511088105934924</v>
      </c>
      <c r="U12" s="96">
        <v>53.065282308651611</v>
      </c>
      <c r="V12" s="96">
        <v>50.47963857530759</v>
      </c>
      <c r="W12" s="96">
        <v>46.393294238968195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13.798492633576467</v>
      </c>
      <c r="C15" s="32">
        <f t="shared" si="4"/>
        <v>12.494046976298465</v>
      </c>
      <c r="D15" s="32">
        <f t="shared" si="4"/>
        <v>10.873692010523627</v>
      </c>
      <c r="E15" s="32">
        <f t="shared" si="4"/>
        <v>12.451793216446504</v>
      </c>
      <c r="F15" s="32">
        <f t="shared" si="4"/>
        <v>14.901136895560203</v>
      </c>
      <c r="G15" s="32">
        <f t="shared" si="4"/>
        <v>14.293054136110522</v>
      </c>
      <c r="H15" s="32">
        <f t="shared" si="4"/>
        <v>15.481846133973491</v>
      </c>
      <c r="I15" s="32">
        <f t="shared" si="4"/>
        <v>17.774747185336519</v>
      </c>
      <c r="J15" s="32">
        <f t="shared" si="4"/>
        <v>15.748491050488788</v>
      </c>
      <c r="K15" s="32">
        <f t="shared" si="4"/>
        <v>11.332766803398474</v>
      </c>
      <c r="L15" s="32">
        <f t="shared" si="4"/>
        <v>12.907179593304237</v>
      </c>
      <c r="M15" s="32">
        <f t="shared" si="4"/>
        <v>12.472613979439492</v>
      </c>
      <c r="N15" s="32">
        <f t="shared" si="4"/>
        <v>9.7559239867266587</v>
      </c>
      <c r="O15" s="32">
        <f t="shared" si="4"/>
        <v>9.4313596963473501</v>
      </c>
      <c r="P15" s="32">
        <f t="shared" si="4"/>
        <v>9.8937434418992662</v>
      </c>
      <c r="Q15" s="32">
        <f t="shared" si="4"/>
        <v>10.430025170530307</v>
      </c>
      <c r="R15" s="32">
        <f t="shared" si="4"/>
        <v>11.017526218712023</v>
      </c>
      <c r="S15" s="32">
        <f t="shared" si="4"/>
        <v>9.5884075184268944</v>
      </c>
      <c r="T15" s="32">
        <f t="shared" si="4"/>
        <v>8.698810094065049</v>
      </c>
      <c r="U15" s="32">
        <f t="shared" si="4"/>
        <v>7.6746358913483981</v>
      </c>
      <c r="V15" s="32">
        <f t="shared" si="4"/>
        <v>10.994669904692426</v>
      </c>
      <c r="W15" s="32">
        <f t="shared" si="4"/>
        <v>10.400176521031828</v>
      </c>
      <c r="DA15" s="173" t="s">
        <v>413</v>
      </c>
    </row>
    <row r="16" spans="1:105" ht="11.45" customHeight="1" x14ac:dyDescent="0.25">
      <c r="A16" s="83" t="s">
        <v>92</v>
      </c>
      <c r="B16" s="96">
        <v>13.798492633576467</v>
      </c>
      <c r="C16" s="96">
        <v>12.494046976298465</v>
      </c>
      <c r="D16" s="96">
        <v>10.873692010523627</v>
      </c>
      <c r="E16" s="96">
        <v>12.451793216446504</v>
      </c>
      <c r="F16" s="96">
        <v>14.901136895560203</v>
      </c>
      <c r="G16" s="96">
        <v>14.293054136110522</v>
      </c>
      <c r="H16" s="96">
        <v>15.481846133973491</v>
      </c>
      <c r="I16" s="96">
        <v>17.774747185336519</v>
      </c>
      <c r="J16" s="96">
        <v>15.748491050488788</v>
      </c>
      <c r="K16" s="96">
        <v>11.332766803398474</v>
      </c>
      <c r="L16" s="96">
        <v>12.907179593304237</v>
      </c>
      <c r="M16" s="96">
        <v>12.472613979439492</v>
      </c>
      <c r="N16" s="96">
        <v>9.7559239867266587</v>
      </c>
      <c r="O16" s="96">
        <v>9.4313596963473501</v>
      </c>
      <c r="P16" s="96">
        <v>9.8937434418992662</v>
      </c>
      <c r="Q16" s="96">
        <v>10.430025170530307</v>
      </c>
      <c r="R16" s="96">
        <v>11.017526218712023</v>
      </c>
      <c r="S16" s="96">
        <v>9.5884075184268944</v>
      </c>
      <c r="T16" s="96">
        <v>8.698810094065049</v>
      </c>
      <c r="U16" s="96">
        <v>7.6746358913483981</v>
      </c>
      <c r="V16" s="96">
        <v>10.994669904692426</v>
      </c>
      <c r="W16" s="96">
        <v>10.400176521031828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0.64752663573849889</v>
      </c>
      <c r="C22" s="134">
        <f>IF(C4=0,0,C4/TrRail_ene!C4)</f>
        <v>0.6352226431512995</v>
      </c>
      <c r="D22" s="134">
        <f>IF(D4=0,0,D4/TrRail_ene!D4)</f>
        <v>0.62661601105904019</v>
      </c>
      <c r="E22" s="134">
        <f>IF(E4=0,0,E4/TrRail_ene!E4)</f>
        <v>0.61777300987932471</v>
      </c>
      <c r="F22" s="134">
        <f>IF(F4=0,0,F4/TrRail_ene!F4)</f>
        <v>0.61361701870736263</v>
      </c>
      <c r="G22" s="134">
        <f>IF(G4=0,0,G4/TrRail_ene!G4)</f>
        <v>0.61069369167114695</v>
      </c>
      <c r="H22" s="134">
        <f>IF(H4=0,0,H4/TrRail_ene!H4)</f>
        <v>0.61191319918365839</v>
      </c>
      <c r="I22" s="134">
        <f>IF(I4=0,0,I4/TrRail_ene!I4)</f>
        <v>0.61933376556738673</v>
      </c>
      <c r="J22" s="134">
        <f>IF(J4=0,0,J4/TrRail_ene!J4)</f>
        <v>0.61031189508196737</v>
      </c>
      <c r="K22" s="134">
        <f>IF(K4=0,0,K4/TrRail_ene!K4)</f>
        <v>0.55018264433497543</v>
      </c>
      <c r="L22" s="134">
        <f>IF(L4=0,0,L4/TrRail_ene!L4)</f>
        <v>0.57355641680672287</v>
      </c>
      <c r="M22" s="134">
        <f>IF(M4=0,0,M4/TrRail_ene!M4)</f>
        <v>0.56407614545454532</v>
      </c>
      <c r="N22" s="134">
        <f>IF(N4=0,0,N4/TrRail_ene!N4)</f>
        <v>0.46868008355291646</v>
      </c>
      <c r="O22" s="134">
        <f>IF(O4=0,0,O4/TrRail_ene!O4)</f>
        <v>0.47488844289149951</v>
      </c>
      <c r="P22" s="134">
        <f>IF(P4=0,0,P4/TrRail_ene!P4)</f>
        <v>0.50759726220257961</v>
      </c>
      <c r="Q22" s="134">
        <f>IF(Q4=0,0,Q4/TrRail_ene!Q4)</f>
        <v>0.52353561279770444</v>
      </c>
      <c r="R22" s="134">
        <f>IF(R4=0,0,R4/TrRail_ene!R4)</f>
        <v>0.50838436058062109</v>
      </c>
      <c r="S22" s="134">
        <f>IF(S4=0,0,S4/TrRail_ene!S4)</f>
        <v>0.47455548034621603</v>
      </c>
      <c r="T22" s="134">
        <f>IF(T4=0,0,T4/TrRail_ene!T4)</f>
        <v>0.39699819138676418</v>
      </c>
      <c r="U22" s="134">
        <f>IF(U4=0,0,U4/TrRail_ene!U4)</f>
        <v>0.34282463692403575</v>
      </c>
      <c r="V22" s="134">
        <f>IF(V4=0,0,V4/TrRail_ene!V4)</f>
        <v>0.38177234063404636</v>
      </c>
      <c r="W22" s="134">
        <f>IF(W4=0,0,W4/TrRail_ene!W4)</f>
        <v>0.35591746099440147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1.5017386628935268</v>
      </c>
      <c r="O23" s="129">
        <f>IF(O5=0,0,O5/SUM(TrRail_ene!O5:O7))</f>
        <v>1.5017386628935268</v>
      </c>
      <c r="P23" s="129">
        <f>IF(P5=0,0,P5/SUM(TrRail_ene!P5:P7))</f>
        <v>1.5035145764902267</v>
      </c>
      <c r="Q23" s="129">
        <f>IF(Q5=0,0,Q5/SUM(TrRail_ene!Q5:Q7))</f>
        <v>1.5068553532812492</v>
      </c>
      <c r="R23" s="129">
        <f>IF(R5=0,0,R5/SUM(TrRail_ene!R5:R7))</f>
        <v>1.5174416377306121</v>
      </c>
      <c r="S23" s="129">
        <f>IF(S5=0,0,S5/SUM(TrRail_ene!S5:S7))</f>
        <v>1.5026172402504039</v>
      </c>
      <c r="T23" s="129">
        <f>IF(T5=0,0,T5/SUM(TrRail_ene!T5:T7))</f>
        <v>1.4629997349461052</v>
      </c>
      <c r="U23" s="129">
        <f>IF(U5=0,0,U5/SUM(TrRail_ene!U5:U7))</f>
        <v>1.436378597357441</v>
      </c>
      <c r="V23" s="129">
        <f>IF(V5=0,0,V5/SUM(TrRail_ene!V5:V7))</f>
        <v>1.4550117378876934</v>
      </c>
      <c r="W23" s="129">
        <f>IF(W5=0,0,W5/SUM(TrRail_ene!W5:W7))</f>
        <v>1.4337115961840512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925.63123586304334</v>
      </c>
      <c r="C26" s="54">
        <f>IF(C8=0,0,C8/TrRail_act!C14*1000)</f>
        <v>896.66714399449916</v>
      </c>
      <c r="D26" s="54">
        <f>IF(D8=0,0,D8/TrRail_act!D14*1000)</f>
        <v>873.67714109138888</v>
      </c>
      <c r="E26" s="54">
        <f>IF(E8=0,0,E8/TrRail_act!E14*1000)</f>
        <v>851.47897368938857</v>
      </c>
      <c r="F26" s="54">
        <f>IF(F8=0,0,F8/TrRail_act!F14*1000)</f>
        <v>834.58859504012332</v>
      </c>
      <c r="G26" s="54">
        <f>IF(G8=0,0,G8/TrRail_act!G14*1000)</f>
        <v>825.2735402584816</v>
      </c>
      <c r="H26" s="54">
        <f>IF(H8=0,0,H8/TrRail_act!H14*1000)</f>
        <v>815.46906509701159</v>
      </c>
      <c r="I26" s="54">
        <f>IF(I8=0,0,I8/TrRail_act!I14*1000)</f>
        <v>823.33407241310636</v>
      </c>
      <c r="J26" s="54">
        <f>IF(J8=0,0,J8/TrRail_act!J14*1000)</f>
        <v>803.95570396197911</v>
      </c>
      <c r="K26" s="54">
        <f>IF(K8=0,0,K8/TrRail_act!K14*1000)</f>
        <v>706.96054277416215</v>
      </c>
      <c r="L26" s="54">
        <f>IF(L8=0,0,L8/TrRail_act!L14*1000)</f>
        <v>728.71018767470571</v>
      </c>
      <c r="M26" s="54">
        <f>IF(M8=0,0,M8/TrRail_act!M14*1000)</f>
        <v>708.90711559929264</v>
      </c>
      <c r="N26" s="54">
        <f>IF(N8=0,0,N8/TrRail_act!N14*1000)</f>
        <v>571.29913572378734</v>
      </c>
      <c r="O26" s="54">
        <f>IF(O8=0,0,O8/TrRail_act!O14*1000)</f>
        <v>557.17393272554023</v>
      </c>
      <c r="P26" s="54">
        <f>IF(P8=0,0,P8/TrRail_act!P14*1000)</f>
        <v>582.85988618021713</v>
      </c>
      <c r="Q26" s="54">
        <f>IF(Q8=0,0,Q8/TrRail_act!Q14*1000)</f>
        <v>599.42287054762255</v>
      </c>
      <c r="R26" s="54">
        <f>IF(R8=0,0,R8/TrRail_act!R14*1000)</f>
        <v>568.44821151519454</v>
      </c>
      <c r="S26" s="54">
        <f>IF(S8=0,0,S8/TrRail_act!S14*1000)</f>
        <v>523.3232176869675</v>
      </c>
      <c r="T26" s="54">
        <f>IF(T8=0,0,T8/TrRail_act!T14*1000)</f>
        <v>427.19147617360244</v>
      </c>
      <c r="U26" s="54">
        <f>IF(U8=0,0,U8/TrRail_act!U14*1000)</f>
        <v>364.16612766708363</v>
      </c>
      <c r="V26" s="54">
        <f>IF(V8=0,0,V8/TrRail_act!V14*1000)</f>
        <v>412.86624336014859</v>
      </c>
      <c r="W26" s="54">
        <f>IF(W8=0,0,W8/TrRail_act!W14*1000)</f>
        <v>382.10587730223114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873.42311412473407</v>
      </c>
      <c r="C27" s="28">
        <f>IF(C9=0,0,C9/TrRail_act!C15*1000)</f>
        <v>853.24012997856596</v>
      </c>
      <c r="D27" s="28">
        <f>IF(D9=0,0,D9/TrRail_act!D15*1000)</f>
        <v>835.12267148835667</v>
      </c>
      <c r="E27" s="28">
        <f>IF(E9=0,0,E9/TrRail_act!E15*1000)</f>
        <v>800.99595368615303</v>
      </c>
      <c r="F27" s="28">
        <f>IF(F9=0,0,F9/TrRail_act!F15*1000)</f>
        <v>777.40698905573856</v>
      </c>
      <c r="G27" s="28">
        <f>IF(G9=0,0,G9/TrRail_act!G15*1000)</f>
        <v>776.57576262964778</v>
      </c>
      <c r="H27" s="28">
        <f>IF(H9=0,0,H9/TrRail_act!H15*1000)</f>
        <v>756.96015334381229</v>
      </c>
      <c r="I27" s="28">
        <f>IF(I9=0,0,I9/TrRail_act!I15*1000)</f>
        <v>755.1136126898574</v>
      </c>
      <c r="J27" s="28">
        <f>IF(J9=0,0,J9/TrRail_act!J15*1000)</f>
        <v>752.51021747943264</v>
      </c>
      <c r="K27" s="28">
        <f>IF(K9=0,0,K9/TrRail_act!K15*1000)</f>
        <v>671.34330146995183</v>
      </c>
      <c r="L27" s="28">
        <f>IF(L9=0,0,L9/TrRail_act!L15*1000)</f>
        <v>694.66763700652098</v>
      </c>
      <c r="M27" s="28">
        <f>IF(M9=0,0,M9/TrRail_act!M15*1000)</f>
        <v>681.20720731935114</v>
      </c>
      <c r="N27" s="28">
        <f>IF(N9=0,0,N9/TrRail_act!N15*1000)</f>
        <v>549.71755310970229</v>
      </c>
      <c r="O27" s="28">
        <f>IF(O9=0,0,O9/TrRail_act!O15*1000)</f>
        <v>537.35295561901546</v>
      </c>
      <c r="P27" s="28">
        <f>IF(P9=0,0,P9/TrRail_act!P15*1000)</f>
        <v>561.01543103355164</v>
      </c>
      <c r="Q27" s="28">
        <f>IF(Q9=0,0,Q9/TrRail_act!Q15*1000)</f>
        <v>578.46038524095206</v>
      </c>
      <c r="R27" s="28">
        <f>IF(R9=0,0,R9/TrRail_act!R15*1000)</f>
        <v>541.83639086767755</v>
      </c>
      <c r="S27" s="28">
        <f>IF(S9=0,0,S9/TrRail_act!S15*1000)</f>
        <v>502.10469663233295</v>
      </c>
      <c r="T27" s="28">
        <f>IF(T9=0,0,T9/TrRail_act!T15*1000)</f>
        <v>407.77304128990914</v>
      </c>
      <c r="U27" s="28">
        <f>IF(U9=0,0,U9/TrRail_act!U15*1000)</f>
        <v>346.72651613821961</v>
      </c>
      <c r="V27" s="28">
        <f>IF(V9=0,0,V9/TrRail_act!V15*1000)</f>
        <v>374.36925439022258</v>
      </c>
      <c r="W27" s="28">
        <f>IF(W9=0,0,W9/TrRail_act!W15*1000)</f>
        <v>345.89775346555621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941.13609317392775</v>
      </c>
      <c r="C29" s="110">
        <f>IF(C11=0,0,C11/TrRail_act!C17*1000)</f>
        <v>925.35288398795547</v>
      </c>
      <c r="D29" s="110">
        <f>IF(D11=0,0,D11/TrRail_act!D17*1000)</f>
        <v>903.43793479286285</v>
      </c>
      <c r="E29" s="110">
        <f>IF(E11=0,0,E11/TrRail_act!E17*1000)</f>
        <v>879.53138851903157</v>
      </c>
      <c r="F29" s="110">
        <f>IF(F11=0,0,F11/TrRail_act!F17*1000)</f>
        <v>854.08912133775289</v>
      </c>
      <c r="G29" s="110">
        <f>IF(G11=0,0,G11/TrRail_act!G17*1000)</f>
        <v>857.27056700870139</v>
      </c>
      <c r="H29" s="110">
        <f>IF(H11=0,0,H11/TrRail_act!H17*1000)</f>
        <v>836.28487180450986</v>
      </c>
      <c r="I29" s="110">
        <f>IF(I11=0,0,I11/TrRail_act!I17*1000)</f>
        <v>842.06189740401192</v>
      </c>
      <c r="J29" s="110">
        <f>IF(J11=0,0,J11/TrRail_act!J17*1000)</f>
        <v>841.06669893008007</v>
      </c>
      <c r="K29" s="110">
        <f>IF(K11=0,0,K11/TrRail_act!K17*1000)</f>
        <v>745.51387193444793</v>
      </c>
      <c r="L29" s="110">
        <f>IF(L11=0,0,L11/TrRail_act!L17*1000)</f>
        <v>756.91049597496328</v>
      </c>
      <c r="M29" s="110">
        <f>IF(M11=0,0,M11/TrRail_act!M17*1000)</f>
        <v>745.46544883393187</v>
      </c>
      <c r="N29" s="110">
        <f>IF(N11=0,0,N11/TrRail_act!N17*1000)</f>
        <v>597.1571224245788</v>
      </c>
      <c r="O29" s="110">
        <f>IF(O11=0,0,O11/TrRail_act!O17*1000)</f>
        <v>584.4115970473074</v>
      </c>
      <c r="P29" s="110">
        <f>IF(P11=0,0,P11/TrRail_act!P17*1000)</f>
        <v>607.80958113974896</v>
      </c>
      <c r="Q29" s="110">
        <f>IF(Q11=0,0,Q11/TrRail_act!Q17*1000)</f>
        <v>644.71839610567622</v>
      </c>
      <c r="R29" s="110">
        <f>IF(R11=0,0,R11/TrRail_act!R17*1000)</f>
        <v>589.91495769295568</v>
      </c>
      <c r="S29" s="110">
        <f>IF(S11=0,0,S11/TrRail_act!S17*1000)</f>
        <v>544.42800807006631</v>
      </c>
      <c r="T29" s="110">
        <f>IF(T11=0,0,T11/TrRail_act!T17*1000)</f>
        <v>445.98848087855271</v>
      </c>
      <c r="U29" s="110">
        <f>IF(U11=0,0,U11/TrRail_act!U17*1000)</f>
        <v>379.08082990833867</v>
      </c>
      <c r="V29" s="110">
        <f>IF(V11=0,0,V11/TrRail_act!V17*1000)</f>
        <v>398.80579207223167</v>
      </c>
      <c r="W29" s="110">
        <f>IF(W11=0,0,W11/TrRail_act!W17*1000)</f>
        <v>369.33270222637935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7199.3856748238304</v>
      </c>
      <c r="C30" s="84">
        <f>IF(C12=0,0,C12/TrRail_act!C18*1000)</f>
        <v>7178.3194881563586</v>
      </c>
      <c r="D30" s="84">
        <f>IF(D12=0,0,D12/TrRail_act!D18*1000)</f>
        <v>7134.6119998782578</v>
      </c>
      <c r="E30" s="84">
        <f>IF(E12=0,0,E12/TrRail_act!E18*1000)</f>
        <v>7084.8858625818766</v>
      </c>
      <c r="F30" s="84">
        <f>IF(F12=0,0,F12/TrRail_act!F18*1000)</f>
        <v>6995.8088253385786</v>
      </c>
      <c r="G30" s="84">
        <f>IF(G12=0,0,G12/TrRail_act!G18*1000)</f>
        <v>7009.4803925351716</v>
      </c>
      <c r="H30" s="84">
        <f>IF(H12=0,0,H12/TrRail_act!H18*1000)</f>
        <v>6911.9696298178942</v>
      </c>
      <c r="I30" s="84">
        <f>IF(I12=0,0,I12/TrRail_act!I18*1000)</f>
        <v>6893.2277246032727</v>
      </c>
      <c r="J30" s="84">
        <f>IF(J12=0,0,J12/TrRail_act!J18*1000)</f>
        <v>6788.4260775525454</v>
      </c>
      <c r="K30" s="84">
        <f>IF(K12=0,0,K12/TrRail_act!K18*1000)</f>
        <v>6731.1323862876607</v>
      </c>
      <c r="L30" s="84">
        <f>IF(L12=0,0,L12/TrRail_act!L18*1000)</f>
        <v>6628.673148803703</v>
      </c>
      <c r="M30" s="84">
        <f>IF(M12=0,0,M12/TrRail_act!M18*1000)</f>
        <v>6524.1837975130911</v>
      </c>
      <c r="N30" s="84">
        <f>IF(N12=0,0,N12/TrRail_act!N18*1000)</f>
        <v>6200.1444452393662</v>
      </c>
      <c r="O30" s="84">
        <f>IF(O12=0,0,O12/TrRail_act!O18*1000)</f>
        <v>6006.1695476754785</v>
      </c>
      <c r="P30" s="84">
        <f>IF(P12=0,0,P12/TrRail_act!P18*1000)</f>
        <v>5981.3117716236648</v>
      </c>
      <c r="Q30" s="84">
        <f>IF(Q12=0,0,Q12/TrRail_act!Q18*1000)</f>
        <v>5924.2394993245271</v>
      </c>
      <c r="R30" s="84">
        <f>IF(R12=0,0,R12/TrRail_act!R18*1000)</f>
        <v>5824.5644184434186</v>
      </c>
      <c r="S30" s="84">
        <f>IF(S12=0,0,S12/TrRail_act!S18*1000)</f>
        <v>5608.2559875435945</v>
      </c>
      <c r="T30" s="84">
        <f>IF(T12=0,0,T12/TrRail_act!T18*1000)</f>
        <v>5304.0350429798518</v>
      </c>
      <c r="U30" s="84">
        <f>IF(U12=0,0,U12/TrRail_act!U18*1000)</f>
        <v>5095.2801749589944</v>
      </c>
      <c r="V30" s="84">
        <f>IF(V12=0,0,V12/TrRail_act!V18*1000)</f>
        <v>5077.7158781310336</v>
      </c>
      <c r="W30" s="84">
        <f>IF(W12=0,0,W12/TrRail_act!W18*1000)</f>
        <v>4942.4326950573259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1647.862295232198</v>
      </c>
      <c r="C33" s="28">
        <f>IF(C15=0,0,C15/TrRail_act!C21*1000)</f>
        <v>1473.4430382206885</v>
      </c>
      <c r="D33" s="28">
        <f>IF(D15=0,0,D15/TrRail_act!D21*1000)</f>
        <v>1459.2808537375718</v>
      </c>
      <c r="E33" s="28">
        <f>IF(E15=0,0,E15/TrRail_act!E21*1000)</f>
        <v>1607.846643088053</v>
      </c>
      <c r="F33" s="28">
        <f>IF(F15=0,0,F15/TrRail_act!F21*1000)</f>
        <v>1552.5611491090742</v>
      </c>
      <c r="G33" s="28">
        <f>IF(G15=0,0,G15/TrRail_act!G21*1000)</f>
        <v>1374.7286848235569</v>
      </c>
      <c r="H33" s="28">
        <f>IF(H15=0,0,H15/TrRail_act!H21*1000)</f>
        <v>1479.6756316518677</v>
      </c>
      <c r="I33" s="28">
        <f>IF(I15=0,0,I15/TrRail_act!I21*1000)</f>
        <v>1484.3901333212277</v>
      </c>
      <c r="J33" s="28">
        <f>IF(J15=0,0,J15/TrRail_act!J21*1000)</f>
        <v>1318.4169987851644</v>
      </c>
      <c r="K33" s="28">
        <f>IF(K15=0,0,K15/TrRail_act!K21*1000)</f>
        <v>1171.4770178793926</v>
      </c>
      <c r="L33" s="28">
        <f>IF(L15=0,0,L15/TrRail_act!L21*1000)</f>
        <v>1124.6797169125452</v>
      </c>
      <c r="M33" s="28">
        <f>IF(M15=0,0,M15/TrRail_act!M21*1000)</f>
        <v>1003.1179270769202</v>
      </c>
      <c r="N33" s="28">
        <f>IF(N15=0,0,N15/TrRail_act!N21*1000)</f>
        <v>811.12184591613322</v>
      </c>
      <c r="O33" s="28">
        <f>IF(O15=0,0,O15/TrRail_act!O21*1000)</f>
        <v>783.23544175620009</v>
      </c>
      <c r="P33" s="28">
        <f>IF(P15=0,0,P15/TrRail_act!P21*1000)</f>
        <v>834.1028842068124</v>
      </c>
      <c r="Q33" s="28">
        <f>IF(Q15=0,0,Q15/TrRail_act!Q21*1000)</f>
        <v>826.16577636420902</v>
      </c>
      <c r="R33" s="28">
        <f>IF(R15=0,0,R15/TrRail_act!R21*1000)</f>
        <v>875.49382492985978</v>
      </c>
      <c r="S33" s="28">
        <f>IF(S15=0,0,S15/TrRail_act!S21*1000)</f>
        <v>774.51264642325623</v>
      </c>
      <c r="T33" s="28">
        <f>IF(T15=0,0,T15/TrRail_act!T21*1000)</f>
        <v>644.07436296909748</v>
      </c>
      <c r="U33" s="28">
        <f>IF(U15=0,0,U15/TrRail_act!U21*1000)</f>
        <v>558.34712938692917</v>
      </c>
      <c r="V33" s="28">
        <f>IF(V15=0,0,V15/TrRail_act!V21*1000)</f>
        <v>782.13465619185718</v>
      </c>
      <c r="W33" s="28">
        <f>IF(W15=0,0,W15/TrRail_act!W21*1000)</f>
        <v>716.83280817707748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14603.982997026915</v>
      </c>
      <c r="C34" s="84">
        <f>IF(C16=0,0,C16/TrRail_act!C22*1000)</f>
        <v>14521.220566024309</v>
      </c>
      <c r="D34" s="84">
        <f>IF(D16=0,0,D16/TrRail_act!D22*1000)</f>
        <v>14427.355253635134</v>
      </c>
      <c r="E34" s="84">
        <f>IF(E16=0,0,E16/TrRail_act!E22*1000)</f>
        <v>14332.172331386839</v>
      </c>
      <c r="F34" s="84">
        <f>IF(F16=0,0,F16/TrRail_act!F22*1000)</f>
        <v>14373.107193804206</v>
      </c>
      <c r="G34" s="84">
        <f>IF(G16=0,0,G16/TrRail_act!G22*1000)</f>
        <v>14327.431028739253</v>
      </c>
      <c r="H34" s="84">
        <f>IF(H16=0,0,H16/TrRail_act!H22*1000)</f>
        <v>14128.928527404627</v>
      </c>
      <c r="I34" s="84">
        <f>IF(I16=0,0,I16/TrRail_act!I22*1000)</f>
        <v>14170.824841658605</v>
      </c>
      <c r="J34" s="84">
        <f>IF(J16=0,0,J16/TrRail_act!J22*1000)</f>
        <v>13298.340157990431</v>
      </c>
      <c r="K34" s="84">
        <f>IF(K16=0,0,K16/TrRail_act!K22*1000)</f>
        <v>13281.494929311009</v>
      </c>
      <c r="L34" s="84">
        <f>IF(L16=0,0,L16/TrRail_act!L22*1000)</f>
        <v>13191.028087586952</v>
      </c>
      <c r="M34" s="84">
        <f>IF(M16=0,0,M16/TrRail_act!M22*1000)</f>
        <v>12560.167688092833</v>
      </c>
      <c r="N34" s="84">
        <f>IF(N16=0,0,N16/TrRail_act!N22*1000)</f>
        <v>12102.52567639456</v>
      </c>
      <c r="O34" s="84">
        <f>IF(O16=0,0,O16/TrRail_act!O22*1000)</f>
        <v>12046.300381178346</v>
      </c>
      <c r="P34" s="84">
        <f>IF(P16=0,0,P16/TrRail_act!P22*1000)</f>
        <v>11760.535213532276</v>
      </c>
      <c r="Q34" s="84">
        <f>IF(Q16=0,0,Q16/TrRail_act!Q22*1000)</f>
        <v>11869.696519326742</v>
      </c>
      <c r="R34" s="84">
        <f>IF(R16=0,0,R16/TrRail_act!R22*1000)</f>
        <v>11956.101187078768</v>
      </c>
      <c r="S34" s="84">
        <f>IF(S16=0,0,S16/TrRail_act!S22*1000)</f>
        <v>11782.33007027647</v>
      </c>
      <c r="T34" s="84">
        <f>IF(T16=0,0,T16/TrRail_act!T22*1000)</f>
        <v>11430.256838951915</v>
      </c>
      <c r="U34" s="84">
        <f>IF(U16=0,0,U16/TrRail_act!U22*1000)</f>
        <v>11191.862352702286</v>
      </c>
      <c r="V34" s="84">
        <f>IF(V16=0,0,V16/TrRail_act!V22*1000)</f>
        <v>11314.000708394487</v>
      </c>
      <c r="W34" s="84">
        <f>IF(W16=0,0,W16/TrRail_act!W22*1000)</f>
        <v>11131.372213564031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6.5975697425068756</v>
      </c>
      <c r="C38" s="29">
        <f>IF(C9=0,0,C9/TrRail_act!C4*1000)</f>
        <v>6.3735484330269978</v>
      </c>
      <c r="D38" s="29">
        <f>IF(D9=0,0,D9/TrRail_act!D4*1000)</f>
        <v>6.321669818037833</v>
      </c>
      <c r="E38" s="29">
        <f>IF(E9=0,0,E9/TrRail_act!E4*1000)</f>
        <v>6.394413114648879</v>
      </c>
      <c r="F38" s="29">
        <f>IF(F9=0,0,F9/TrRail_act!F4*1000)</f>
        <v>6.1488258603572445</v>
      </c>
      <c r="G38" s="29">
        <f>IF(G9=0,0,G9/TrRail_act!G4*1000)</f>
        <v>5.7297288072485211</v>
      </c>
      <c r="H38" s="29">
        <f>IF(H9=0,0,H9/TrRail_act!H4*1000)</f>
        <v>5.3945218288348808</v>
      </c>
      <c r="I38" s="29">
        <f>IF(I9=0,0,I9/TrRail_act!I4*1000)</f>
        <v>5.11785427069821</v>
      </c>
      <c r="J38" s="29">
        <f>IF(J9=0,0,J9/TrRail_act!J4*1000)</f>
        <v>5.2357162410160214</v>
      </c>
      <c r="K38" s="29">
        <f>IF(K9=0,0,K9/TrRail_act!K4*1000)</f>
        <v>4.9016982764179531</v>
      </c>
      <c r="L38" s="29">
        <f>IF(L9=0,0,L9/TrRail_act!L4*1000)</f>
        <v>5.2230580047448054</v>
      </c>
      <c r="M38" s="29">
        <f>IF(M9=0,0,M9/TrRail_act!M4*1000)</f>
        <v>4.897582820928144</v>
      </c>
      <c r="N38" s="29">
        <f>IF(N9=0,0,N9/TrRail_act!N4*1000)</f>
        <v>3.9529068852647375</v>
      </c>
      <c r="O38" s="29">
        <f>IF(O9=0,0,O9/TrRail_act!O4*1000)</f>
        <v>3.7088850047741682</v>
      </c>
      <c r="P38" s="29">
        <f>IF(P9=0,0,P9/TrRail_act!P4*1000)</f>
        <v>3.6693645890352919</v>
      </c>
      <c r="Q38" s="29">
        <f>IF(Q9=0,0,Q9/TrRail_act!Q4*1000)</f>
        <v>4.2838559012207567</v>
      </c>
      <c r="R38" s="29">
        <f>IF(R9=0,0,R9/TrRail_act!R4*1000)</f>
        <v>4.1614147264396264</v>
      </c>
      <c r="S38" s="29">
        <f>IF(S9=0,0,S9/TrRail_act!S4*1000)</f>
        <v>3.8091037950581703</v>
      </c>
      <c r="T38" s="29">
        <f>IF(T9=0,0,T9/TrRail_act!T4*1000)</f>
        <v>3.0872095259960228</v>
      </c>
      <c r="U38" s="29">
        <f>IF(U9=0,0,U9/TrRail_act!U4*1000)</f>
        <v>2.6034734487009619</v>
      </c>
      <c r="V38" s="29">
        <f>IF(V9=0,0,V9/TrRail_act!V4*1000)</f>
        <v>5.24501227086827</v>
      </c>
      <c r="W38" s="29">
        <f>IF(W9=0,0,W9/TrRail_act!W4*1000)</f>
        <v>4.0669675881462837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6.9521794383579696</v>
      </c>
      <c r="C40" s="116">
        <f>IF(C11=0,0,C11/TrRail_act!C6*1000)</f>
        <v>6.7665806340188377</v>
      </c>
      <c r="D40" s="116">
        <f>IF(D11=0,0,D11/TrRail_act!D6*1000)</f>
        <v>6.7096364782761713</v>
      </c>
      <c r="E40" s="116">
        <f>IF(E11=0,0,E11/TrRail_act!E6*1000)</f>
        <v>7.0494954386797293</v>
      </c>
      <c r="F40" s="116">
        <f>IF(F11=0,0,F11/TrRail_act!F6*1000)</f>
        <v>6.7632920635604803</v>
      </c>
      <c r="G40" s="116">
        <f>IF(G11=0,0,G11/TrRail_act!G6*1000)</f>
        <v>6.2974759397130891</v>
      </c>
      <c r="H40" s="116">
        <f>IF(H11=0,0,H11/TrRail_act!H6*1000)</f>
        <v>5.9323366947760974</v>
      </c>
      <c r="I40" s="116">
        <f>IF(I11=0,0,I11/TrRail_act!I6*1000)</f>
        <v>5.6436453394308232</v>
      </c>
      <c r="J40" s="116">
        <f>IF(J11=0,0,J11/TrRail_act!J6*1000)</f>
        <v>5.8082494798081683</v>
      </c>
      <c r="K40" s="116">
        <f>IF(K11=0,0,K11/TrRail_act!K6*1000)</f>
        <v>5.4505040667053741</v>
      </c>
      <c r="L40" s="116">
        <f>IF(L11=0,0,L11/TrRail_act!L6*1000)</f>
        <v>5.5810881978149736</v>
      </c>
      <c r="M40" s="116">
        <f>IF(M11=0,0,M11/TrRail_act!M6*1000)</f>
        <v>5.2383385361919483</v>
      </c>
      <c r="N40" s="116">
        <f>IF(N11=0,0,N11/TrRail_act!N6*1000)</f>
        <v>4.2112223312473969</v>
      </c>
      <c r="O40" s="116">
        <f>IF(O11=0,0,O11/TrRail_act!O6*1000)</f>
        <v>3.9504180880923214</v>
      </c>
      <c r="P40" s="116">
        <f>IF(P11=0,0,P11/TrRail_act!P6*1000)</f>
        <v>3.8727165186510528</v>
      </c>
      <c r="Q40" s="116">
        <f>IF(Q11=0,0,Q11/TrRail_act!Q6*1000)</f>
        <v>4.7795684776105567</v>
      </c>
      <c r="R40" s="116">
        <f>IF(R11=0,0,R11/TrRail_act!R6*1000)</f>
        <v>4.466268592749814</v>
      </c>
      <c r="S40" s="116">
        <f>IF(S11=0,0,S11/TrRail_act!S6*1000)</f>
        <v>4.0826986352404084</v>
      </c>
      <c r="T40" s="116">
        <f>IF(T11=0,0,T11/TrRail_act!T6*1000)</f>
        <v>3.3249236814018874</v>
      </c>
      <c r="U40" s="116">
        <f>IF(U11=0,0,U11/TrRail_act!U6*1000)</f>
        <v>2.807538347635131</v>
      </c>
      <c r="V40" s="116">
        <f>IF(V11=0,0,V11/TrRail_act!V6*1000)</f>
        <v>5.593931579710504</v>
      </c>
      <c r="W40" s="116">
        <f>IF(W11=0,0,W11/TrRail_act!W6*1000)</f>
        <v>4.331773505039048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65.260079571089037</v>
      </c>
      <c r="C41" s="87">
        <f>IF(C12=0,0,C12/TrRail_act!C7*1000)</f>
        <v>64.10166283435963</v>
      </c>
      <c r="D41" s="87">
        <f>IF(D12=0,0,D12/TrRail_act!D7*1000)</f>
        <v>64.451967637363623</v>
      </c>
      <c r="E41" s="87">
        <f>IF(E12=0,0,E12/TrRail_act!E7*1000)</f>
        <v>65.246542137279761</v>
      </c>
      <c r="F41" s="87">
        <f>IF(F12=0,0,F12/TrRail_act!F7*1000)</f>
        <v>63.320054734355729</v>
      </c>
      <c r="G41" s="87">
        <f>IF(G12=0,0,G12/TrRail_act!G7*1000)</f>
        <v>59.08441030752244</v>
      </c>
      <c r="H41" s="87">
        <f>IF(H12=0,0,H12/TrRail_act!H7*1000)</f>
        <v>55.219774869494913</v>
      </c>
      <c r="I41" s="87">
        <f>IF(I12=0,0,I12/TrRail_act!I7*1000)</f>
        <v>52.193667165756651</v>
      </c>
      <c r="J41" s="87">
        <f>IF(J12=0,0,J12/TrRail_act!J7*1000)</f>
        <v>54.007267690689453</v>
      </c>
      <c r="K41" s="87">
        <f>IF(K12=0,0,K12/TrRail_act!K7*1000)</f>
        <v>56.02804731607641</v>
      </c>
      <c r="L41" s="87">
        <f>IF(L12=0,0,L12/TrRail_act!L7*1000)</f>
        <v>54.17499854681099</v>
      </c>
      <c r="M41" s="87">
        <f>IF(M12=0,0,M12/TrRail_act!M7*1000)</f>
        <v>50.988712385102822</v>
      </c>
      <c r="N41" s="87">
        <f>IF(N12=0,0,N12/TrRail_act!N7*1000)</f>
        <v>48.328810129325355</v>
      </c>
      <c r="O41" s="87">
        <f>IF(O12=0,0,O12/TrRail_act!O7*1000)</f>
        <v>44.090696830060033</v>
      </c>
      <c r="P41" s="87">
        <f>IF(P12=0,0,P12/TrRail_act!P7*1000)</f>
        <v>40.584420642990388</v>
      </c>
      <c r="Q41" s="87">
        <f>IF(Q12=0,0,Q12/TrRail_act!Q7*1000)</f>
        <v>47.895780284399152</v>
      </c>
      <c r="R41" s="87">
        <f>IF(R12=0,0,R12/TrRail_act!R7*1000)</f>
        <v>47.020171578974775</v>
      </c>
      <c r="S41" s="87">
        <f>IF(S12=0,0,S12/TrRail_act!S7*1000)</f>
        <v>45.618693159557623</v>
      </c>
      <c r="T41" s="87">
        <f>IF(T12=0,0,T12/TrRail_act!T7*1000)</f>
        <v>42.87163662703604</v>
      </c>
      <c r="U41" s="87">
        <f>IF(U12=0,0,U12/TrRail_act!U7*1000)</f>
        <v>40.685558727543444</v>
      </c>
      <c r="V41" s="87">
        <f>IF(V12=0,0,V12/TrRail_act!V7*1000)</f>
        <v>78.357913010350032</v>
      </c>
      <c r="W41" s="87">
        <f>IF(W12=0,0,W12/TrRail_act!W7*1000)</f>
        <v>64.099977397591644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3.0514136739443756</v>
      </c>
      <c r="C44" s="29">
        <f>IF(C15=0,0,C15/TrRail_act!C10*1000)</f>
        <v>2.9103300666896033</v>
      </c>
      <c r="D44" s="29">
        <f>IF(D15=0,0,D15/TrRail_act!D10*1000)</f>
        <v>2.7022097441659114</v>
      </c>
      <c r="E44" s="29">
        <f>IF(E15=0,0,E15/TrRail_act!E10*1000)</f>
        <v>2.6465022776719453</v>
      </c>
      <c r="F44" s="29">
        <f>IF(F15=0,0,F15/TrRail_act!F10*1000)</f>
        <v>2.5555028117921803</v>
      </c>
      <c r="G44" s="29">
        <f>IF(G15=0,0,G15/TrRail_act!G10*1000)</f>
        <v>2.4370083778534566</v>
      </c>
      <c r="H44" s="29">
        <f>IF(H15=0,0,H15/TrRail_act!H10*1000)</f>
        <v>2.4617341602756384</v>
      </c>
      <c r="I44" s="29">
        <f>IF(I15=0,0,I15/TrRail_act!I10*1000)</f>
        <v>2.4632410179235751</v>
      </c>
      <c r="J44" s="29">
        <f>IF(J15=0,0,J15/TrRail_act!J10*1000)</f>
        <v>2.2549385811123694</v>
      </c>
      <c r="K44" s="29">
        <f>IF(K15=0,0,K15/TrRail_act!K10*1000)</f>
        <v>2.0316899970237494</v>
      </c>
      <c r="L44" s="29">
        <f>IF(L15=0,0,L15/TrRail_act!L10*1000)</f>
        <v>2.178426935578774</v>
      </c>
      <c r="M44" s="29">
        <f>IF(M15=0,0,M15/TrRail_act!M10*1000)</f>
        <v>1.955568199974834</v>
      </c>
      <c r="N44" s="29">
        <f>IF(N15=0,0,N15/TrRail_act!N10*1000)</f>
        <v>1.5883953088125462</v>
      </c>
      <c r="O44" s="29">
        <f>IF(O15=0,0,O15/TrRail_act!O10*1000)</f>
        <v>1.5517209108830783</v>
      </c>
      <c r="P44" s="29">
        <f>IF(P15=0,0,P15/TrRail_act!P10*1000)</f>
        <v>1.6037839912302263</v>
      </c>
      <c r="Q44" s="29">
        <f>IF(Q15=0,0,Q15/TrRail_act!Q10*1000)</f>
        <v>1.5935867334652876</v>
      </c>
      <c r="R44" s="29">
        <f>IF(R15=0,0,R15/TrRail_act!R10*1000)</f>
        <v>1.6590161449649186</v>
      </c>
      <c r="S44" s="29">
        <f>IF(S15=0,0,S15/TrRail_act!S10*1000)</f>
        <v>1.4826670045503161</v>
      </c>
      <c r="T44" s="29">
        <f>IF(T15=0,0,T15/TrRail_act!T10*1000)</f>
        <v>1.238617413365378</v>
      </c>
      <c r="U44" s="29">
        <f>IF(U15=0,0,U15/TrRail_act!U10*1000)</f>
        <v>1.0839881202469488</v>
      </c>
      <c r="V44" s="29">
        <f>IF(V15=0,0,V15/TrRail_act!V10*1000)</f>
        <v>1.6496128889260955</v>
      </c>
      <c r="W44" s="29">
        <f>IF(W15=0,0,W15/TrRail_act!W10*1000)</f>
        <v>1.4468804286354795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22.62664286894136</v>
      </c>
      <c r="C45" s="87">
        <f>IF(C16=0,0,C16/TrRail_act!C11*1000)</f>
        <v>21.993369126064071</v>
      </c>
      <c r="D45" s="87">
        <f>IF(D16=0,0,D16/TrRail_act!D11*1000)</f>
        <v>20.697708386226907</v>
      </c>
      <c r="E45" s="87">
        <f>IF(E16=0,0,E16/TrRail_act!E11*1000)</f>
        <v>20.557736215521487</v>
      </c>
      <c r="F45" s="87">
        <f>IF(F16=0,0,F16/TrRail_act!F11*1000)</f>
        <v>19.98373767473834</v>
      </c>
      <c r="G45" s="87">
        <f>IF(G16=0,0,G16/TrRail_act!G11*1000)</f>
        <v>19.147288799437646</v>
      </c>
      <c r="H45" s="87">
        <f>IF(H16=0,0,H16/TrRail_act!H11*1000)</f>
        <v>19.303455778461707</v>
      </c>
      <c r="I45" s="87">
        <f>IF(I16=0,0,I16/TrRail_act!I11*1000)</f>
        <v>19.086528180476634</v>
      </c>
      <c r="J45" s="87">
        <f>IF(J16=0,0,J16/TrRail_act!J11*1000)</f>
        <v>17.727742736448082</v>
      </c>
      <c r="K45" s="87">
        <f>IF(K16=0,0,K16/TrRail_act!K11*1000)</f>
        <v>17.698076086995538</v>
      </c>
      <c r="L45" s="87">
        <f>IF(L16=0,0,L16/TrRail_act!L11*1000)</f>
        <v>18.21104490127815</v>
      </c>
      <c r="M45" s="87">
        <f>IF(M16=0,0,M16/TrRail_act!M11*1000)</f>
        <v>16.619776241711612</v>
      </c>
      <c r="N45" s="87">
        <f>IF(N16=0,0,N16/TrRail_act!N11*1000)</f>
        <v>15.704964919279446</v>
      </c>
      <c r="O45" s="87">
        <f>IF(O16=0,0,O16/TrRail_act!O11*1000)</f>
        <v>15.143622583528149</v>
      </c>
      <c r="P45" s="87">
        <f>IF(P16=0,0,P16/TrRail_act!P11*1000)</f>
        <v>14.669695487855732</v>
      </c>
      <c r="Q45" s="87">
        <f>IF(Q16=0,0,Q16/TrRail_act!Q11*1000)</f>
        <v>14.168162779859632</v>
      </c>
      <c r="R45" s="87">
        <f>IF(R16=0,0,R16/TrRail_act!R11*1000)</f>
        <v>15.290591823513966</v>
      </c>
      <c r="S45" s="87">
        <f>IF(S16=0,0,S16/TrRail_act!S11*1000)</f>
        <v>14.488158884425891</v>
      </c>
      <c r="T45" s="87">
        <f>IF(T16=0,0,T16/TrRail_act!T11*1000)</f>
        <v>14.067986290703342</v>
      </c>
      <c r="U45" s="87">
        <f>IF(U16=0,0,U16/TrRail_act!U11*1000)</f>
        <v>13.984326155115262</v>
      </c>
      <c r="V45" s="87">
        <f>IF(V16=0,0,V16/TrRail_act!V11*1000)</f>
        <v>19.371717714228268</v>
      </c>
      <c r="W45" s="87">
        <f>IF(W16=0,0,W16/TrRail_act!W11*1000)</f>
        <v>17.95097484970383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138.24910176909518</v>
      </c>
      <c r="C48" s="62">
        <f>IF(C8=0,0,1000000*C8/TrRail_act!C25/1000)</f>
        <v>134.06627168716264</v>
      </c>
      <c r="D48" s="62">
        <f>IF(D8=0,0,1000000*D8/TrRail_act!D25/1000)</f>
        <v>130.32022359471128</v>
      </c>
      <c r="E48" s="62">
        <f>IF(E8=0,0,1000000*E8/TrRail_act!E25/1000)</f>
        <v>128.27280609708262</v>
      </c>
      <c r="F48" s="62">
        <f>IF(F8=0,0,1000000*F8/TrRail_act!F25/1000)</f>
        <v>125.96591066825277</v>
      </c>
      <c r="G48" s="62">
        <f>IF(G8=0,0,1000000*G8/TrRail_act!G25/1000)</f>
        <v>124.79639401351827</v>
      </c>
      <c r="H48" s="62">
        <f>IF(H8=0,0,1000000*H8/TrRail_act!H25/1000)</f>
        <v>123.1890584457032</v>
      </c>
      <c r="I48" s="62">
        <f>IF(I8=0,0,1000000*I8/TrRail_act!I25/1000)</f>
        <v>124.83088060196479</v>
      </c>
      <c r="J48" s="62">
        <f>IF(J8=0,0,1000000*J8/TrRail_act!J25/1000)</f>
        <v>121.93063824748747</v>
      </c>
      <c r="K48" s="62">
        <f>IF(K8=0,0,1000000*K8/TrRail_act!K25/1000)</f>
        <v>105.93087854863772</v>
      </c>
      <c r="L48" s="62">
        <f>IF(L8=0,0,1000000*L8/TrRail_act!L25/1000)</f>
        <v>108.93663363880455</v>
      </c>
      <c r="M48" s="62">
        <f>IF(M8=0,0,1000000*M8/TrRail_act!M25/1000)</f>
        <v>106.13687177724123</v>
      </c>
      <c r="N48" s="62">
        <f>IF(N8=0,0,1000000*N8/TrRail_act!N25/1000)</f>
        <v>85.317002986745834</v>
      </c>
      <c r="O48" s="62">
        <f>IF(O8=0,0,1000000*O8/TrRail_act!O25/1000)</f>
        <v>83.588367926619114</v>
      </c>
      <c r="P48" s="62">
        <f>IF(P8=0,0,1000000*P8/TrRail_act!P25/1000)</f>
        <v>87.174771038943959</v>
      </c>
      <c r="Q48" s="62">
        <f>IF(Q8=0,0,1000000*Q8/TrRail_act!Q25/1000)</f>
        <v>90.872534308512712</v>
      </c>
      <c r="R48" s="62">
        <f>IF(R8=0,0,1000000*R8/TrRail_act!R25/1000)</f>
        <v>84.870055450129684</v>
      </c>
      <c r="S48" s="62">
        <f>IF(S8=0,0,1000000*S8/TrRail_act!S25/1000)</f>
        <v>78.245763561756448</v>
      </c>
      <c r="T48" s="62">
        <f>IF(T8=0,0,1000000*T8/TrRail_act!T25/1000)</f>
        <v>63.653001785855928</v>
      </c>
      <c r="U48" s="62">
        <f>IF(U8=0,0,1000000*U8/TrRail_act!U25/1000)</f>
        <v>54.380696878646319</v>
      </c>
      <c r="V48" s="62">
        <f>IF(V8=0,0,1000000*V8/TrRail_act!V25/1000)</f>
        <v>58.78569431249246</v>
      </c>
      <c r="W48" s="62">
        <f>IF(W8=0,0,1000000*W8/TrRail_act!W25/1000)</f>
        <v>56.212438422710427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128.10656470466765</v>
      </c>
      <c r="C49" s="29">
        <f>IF(C9=0,0,1000000*C9/TrRail_act!C26/1000)</f>
        <v>125.19388151141969</v>
      </c>
      <c r="D49" s="29">
        <f>IF(D9=0,0,1000000*D9/TrRail_act!D26/1000)</f>
        <v>122.67063116352099</v>
      </c>
      <c r="E49" s="29">
        <f>IF(E9=0,0,1000000*E9/TrRail_act!E26/1000)</f>
        <v>118.71248486115452</v>
      </c>
      <c r="F49" s="29">
        <f>IF(F9=0,0,1000000*F9/TrRail_act!F26/1000)</f>
        <v>115.08662674611548</v>
      </c>
      <c r="G49" s="29">
        <f>IF(G9=0,0,1000000*G9/TrRail_act!G26/1000)</f>
        <v>114.9475299519799</v>
      </c>
      <c r="H49" s="29">
        <f>IF(H9=0,0,1000000*H9/TrRail_act!H26/1000)</f>
        <v>111.93780771385983</v>
      </c>
      <c r="I49" s="29">
        <f>IF(I9=0,0,1000000*I9/TrRail_act!I26/1000)</f>
        <v>111.69889492397515</v>
      </c>
      <c r="J49" s="29">
        <f>IF(J9=0,0,1000000*J9/TrRail_act!J26/1000)</f>
        <v>111.43507816399048</v>
      </c>
      <c r="K49" s="29">
        <f>IF(K9=0,0,1000000*K9/TrRail_act!K26/1000)</f>
        <v>99.527399435057859</v>
      </c>
      <c r="L49" s="29">
        <f>IF(L9=0,0,1000000*L9/TrRail_act!L26/1000)</f>
        <v>101.65012760842352</v>
      </c>
      <c r="M49" s="29">
        <f>IF(M9=0,0,1000000*M9/TrRail_act!M26/1000)</f>
        <v>99.631419075034188</v>
      </c>
      <c r="N49" s="29">
        <f>IF(N9=0,0,1000000*N9/TrRail_act!N26/1000)</f>
        <v>80.304956883959647</v>
      </c>
      <c r="O49" s="29">
        <f>IF(O9=0,0,1000000*O9/TrRail_act!O26/1000)</f>
        <v>78.895278023218353</v>
      </c>
      <c r="P49" s="29">
        <f>IF(P9=0,0,1000000*P9/TrRail_act!P26/1000)</f>
        <v>82.107345719670107</v>
      </c>
      <c r="Q49" s="29">
        <f>IF(Q9=0,0,1000000*Q9/TrRail_act!Q26/1000)</f>
        <v>85.775564859292857</v>
      </c>
      <c r="R49" s="29">
        <f>IF(R9=0,0,1000000*R9/TrRail_act!R26/1000)</f>
        <v>79.157746564193232</v>
      </c>
      <c r="S49" s="29">
        <f>IF(S9=0,0,1000000*S9/TrRail_act!S26/1000)</f>
        <v>73.510790938604501</v>
      </c>
      <c r="T49" s="29">
        <f>IF(T9=0,0,1000000*T9/TrRail_act!T26/1000)</f>
        <v>59.40342706913858</v>
      </c>
      <c r="U49" s="29">
        <f>IF(U9=0,0,1000000*U9/TrRail_act!U26/1000)</f>
        <v>50.62454346917157</v>
      </c>
      <c r="V49" s="29">
        <f>IF(V9=0,0,1000000*V9/TrRail_act!V26/1000)</f>
        <v>51.750127015340205</v>
      </c>
      <c r="W49" s="29">
        <f>IF(W9=0,0,1000000*W9/TrRail_act!W26/1000)</f>
        <v>49.470676490706964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141.17041373776416</v>
      </c>
      <c r="C51" s="116">
        <f>IF(C11=0,0,1000000*C11/TrRail_act!C28/1000)</f>
        <v>138.80293239182998</v>
      </c>
      <c r="D51" s="116">
        <f>IF(D11=0,0,1000000*D11/TrRail_act!D28/1000)</f>
        <v>135.51568996900207</v>
      </c>
      <c r="E51" s="116">
        <f>IF(E11=0,0,1000000*E11/TrRail_act!E28/1000)</f>
        <v>131.9297081176089</v>
      </c>
      <c r="F51" s="116">
        <f>IF(F11=0,0,1000000*F11/TrRail_act!F28/1000)</f>
        <v>128.11336794085889</v>
      </c>
      <c r="G51" s="116">
        <f>IF(G11=0,0,1000000*G11/TrRail_act!G28/1000)</f>
        <v>128.59058486850455</v>
      </c>
      <c r="H51" s="116">
        <f>IF(H11=0,0,1000000*H11/TrRail_act!H28/1000)</f>
        <v>125.44273055561777</v>
      </c>
      <c r="I51" s="116">
        <f>IF(I11=0,0,1000000*I11/TrRail_act!I28/1000)</f>
        <v>126.30928444039249</v>
      </c>
      <c r="J51" s="116">
        <f>IF(J11=0,0,1000000*J11/TrRail_act!J28/1000)</f>
        <v>126.16000454334099</v>
      </c>
      <c r="K51" s="116">
        <f>IF(K11=0,0,1000000*K11/TrRail_act!K28/1000)</f>
        <v>111.8270806220504</v>
      </c>
      <c r="L51" s="116">
        <f>IF(L11=0,0,1000000*L11/TrRail_act!L28/1000)</f>
        <v>113.53657416723351</v>
      </c>
      <c r="M51" s="116">
        <f>IF(M11=0,0,1000000*M11/TrRail_act!M28/1000)</f>
        <v>111.81981721941349</v>
      </c>
      <c r="N51" s="116">
        <f>IF(N11=0,0,1000000*N11/TrRail_act!N28/1000)</f>
        <v>89.186760347324906</v>
      </c>
      <c r="O51" s="116">
        <f>IF(O11=0,0,1000000*O11/TrRail_act!O28/1000)</f>
        <v>87.661739485883658</v>
      </c>
      <c r="P51" s="116">
        <f>IF(P11=0,0,1000000*P11/TrRail_act!P28/1000)</f>
        <v>91.171437118109139</v>
      </c>
      <c r="Q51" s="116">
        <f>IF(Q11=0,0,1000000*Q11/TrRail_act!Q28/1000)</f>
        <v>96.70775931475778</v>
      </c>
      <c r="R51" s="116">
        <f>IF(R11=0,0,1000000*R11/TrRail_act!R28/1000)</f>
        <v>88.487243590425408</v>
      </c>
      <c r="S51" s="116">
        <f>IF(S11=0,0,1000000*S11/TrRail_act!S28/1000)</f>
        <v>81.664201118813139</v>
      </c>
      <c r="T51" s="116">
        <f>IF(T11=0,0,1000000*T11/TrRail_act!T28/1000)</f>
        <v>66.840723423048303</v>
      </c>
      <c r="U51" s="116">
        <f>IF(U11=0,0,1000000*U11/TrRail_act!U28/1000)</f>
        <v>56.862124372871897</v>
      </c>
      <c r="V51" s="116">
        <f>IF(V11=0,0,1000000*V11/TrRail_act!V28/1000)</f>
        <v>58.171495982882107</v>
      </c>
      <c r="W51" s="116">
        <f>IF(W11=0,0,1000000*W11/TrRail_act!W28/1000)</f>
        <v>55.399905248370999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1079.9078479935592</v>
      </c>
      <c r="C52" s="87">
        <f>IF(C12=0,0,1000000*C12/TrRail_act!C29/1000)</f>
        <v>1076.7479221221301</v>
      </c>
      <c r="D52" s="87">
        <f>IF(D12=0,0,1000000*D12/TrRail_act!D29/1000)</f>
        <v>1070.1917950994596</v>
      </c>
      <c r="E52" s="87">
        <f>IF(E12=0,0,1000000*E12/TrRail_act!E29/1000)</f>
        <v>1062.732873667906</v>
      </c>
      <c r="F52" s="87">
        <f>IF(F12=0,0,1000000*F12/TrRail_act!F29/1000)</f>
        <v>1049.3713151577676</v>
      </c>
      <c r="G52" s="87">
        <f>IF(G12=0,0,1000000*G12/TrRail_act!G29/1000)</f>
        <v>1051.4220495719662</v>
      </c>
      <c r="H52" s="87">
        <f>IF(H12=0,0,1000000*H12/TrRail_act!H29/1000)</f>
        <v>1036.7954374197714</v>
      </c>
      <c r="I52" s="87">
        <f>IF(I12=0,0,1000000*I12/TrRail_act!I29/1000)</f>
        <v>1033.9841510572139</v>
      </c>
      <c r="J52" s="87">
        <f>IF(J12=0,0,1000000*J12/TrRail_act!J29/1000)</f>
        <v>1018.2639027421583</v>
      </c>
      <c r="K52" s="87">
        <f>IF(K12=0,0,1000000*K12/TrRail_act!K29/1000)</f>
        <v>1009.6698503449348</v>
      </c>
      <c r="L52" s="87">
        <f>IF(L12=0,0,1000000*L12/TrRail_act!L29/1000)</f>
        <v>994.30096184285458</v>
      </c>
      <c r="M52" s="87">
        <f>IF(M12=0,0,1000000*M12/TrRail_act!M29/1000)</f>
        <v>978.6275667037122</v>
      </c>
      <c r="N52" s="87">
        <f>IF(N12=0,0,1000000*N12/TrRail_act!N29/1000)</f>
        <v>889.94678724317498</v>
      </c>
      <c r="O52" s="87">
        <f>IF(O12=0,0,1000000*O12/TrRail_act!O29/1000)</f>
        <v>900.92542625507065</v>
      </c>
      <c r="P52" s="87">
        <f>IF(P12=0,0,1000000*P12/TrRail_act!P29/1000)</f>
        <v>897.19676078740054</v>
      </c>
      <c r="Q52" s="87">
        <f>IF(Q12=0,0,1000000*Q12/TrRail_act!Q29/1000)</f>
        <v>888.63591809604384</v>
      </c>
      <c r="R52" s="87">
        <f>IF(R12=0,0,1000000*R12/TrRail_act!R29/1000)</f>
        <v>873.68466020857295</v>
      </c>
      <c r="S52" s="87">
        <f>IF(S12=0,0,1000000*S12/TrRail_act!S29/1000)</f>
        <v>841.2383909942738</v>
      </c>
      <c r="T52" s="87">
        <f>IF(T12=0,0,1000000*T12/TrRail_act!T29/1000)</f>
        <v>787.54126011920027</v>
      </c>
      <c r="U52" s="87">
        <f>IF(U12=0,0,1000000*U12/TrRail_act!U29/1000)</f>
        <v>764.29201628035753</v>
      </c>
      <c r="V52" s="87">
        <f>IF(V12=0,0,1000000*V12/TrRail_act!V29/1000)</f>
        <v>761.65737673857268</v>
      </c>
      <c r="W52" s="87">
        <f>IF(W12=0,0,1000000*W12/TrRail_act!W29/1000)</f>
        <v>741.36489854933541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329.57245229924274</v>
      </c>
      <c r="C55" s="29">
        <f>IF(C15=0,0,1000000*C15/TrRail_act!C32/1000)</f>
        <v>294.68860056835638</v>
      </c>
      <c r="D55" s="29">
        <f>IF(D15=0,0,1000000*D15/TrRail_act!D32/1000)</f>
        <v>284.57212935422223</v>
      </c>
      <c r="E55" s="29">
        <f>IF(E15=0,0,1000000*E15/TrRail_act!E32/1000)</f>
        <v>321.56932404051349</v>
      </c>
      <c r="F55" s="29">
        <f>IF(F15=0,0,1000000*F15/TrRail_act!F32/1000)</f>
        <v>310.5122226323677</v>
      </c>
      <c r="G55" s="29">
        <f>IF(G15=0,0,1000000*G15/TrRail_act!G32/1000)</f>
        <v>274.94573167576789</v>
      </c>
      <c r="H55" s="29">
        <f>IF(H15=0,0,1000000*H15/TrRail_act!H32/1000)</f>
        <v>295.93512067358063</v>
      </c>
      <c r="I55" s="29">
        <f>IF(I15=0,0,1000000*I15/TrRail_act!I32/1000)</f>
        <v>296.87802280761349</v>
      </c>
      <c r="J55" s="29">
        <f>IF(J15=0,0,1000000*J15/TrRail_act!J32/1000)</f>
        <v>263.68339534207439</v>
      </c>
      <c r="K55" s="29">
        <f>IF(K15=0,0,1000000*K15/TrRail_act!K32/1000)</f>
        <v>204.0534900040447</v>
      </c>
      <c r="L55" s="29">
        <f>IF(L15=0,0,1000000*L15/TrRail_act!L32/1000)</f>
        <v>224.60724980600963</v>
      </c>
      <c r="M55" s="29">
        <f>IF(M15=0,0,1000000*M15/TrRail_act!M32/1000)</f>
        <v>200.62358144362298</v>
      </c>
      <c r="N55" s="29">
        <f>IF(N15=0,0,1000000*N15/TrRail_act!N32/1000)</f>
        <v>160.987104623319</v>
      </c>
      <c r="O55" s="29">
        <f>IF(O15=0,0,1000000*O15/TrRail_act!O32/1000)</f>
        <v>156.3726279175784</v>
      </c>
      <c r="P55" s="29">
        <f>IF(P15=0,0,1000000*P15/TrRail_act!P32/1000)</f>
        <v>166.8205720812424</v>
      </c>
      <c r="Q55" s="29">
        <f>IF(Q15=0,0,1000000*Q15/TrRail_act!Q32/1000)</f>
        <v>165.23315245385066</v>
      </c>
      <c r="R55" s="29">
        <f>IF(R15=0,0,1000000*R15/TrRail_act!R32/1000)</f>
        <v>175.09876061064614</v>
      </c>
      <c r="S55" s="29">
        <f>IF(S15=0,0,1000000*S15/TrRail_act!S32/1000)</f>
        <v>154.73730889151884</v>
      </c>
      <c r="T55" s="29">
        <f>IF(T15=0,0,1000000*T15/TrRail_act!T32/1000)</f>
        <v>128.81487027353091</v>
      </c>
      <c r="U55" s="29">
        <f>IF(U15=0,0,1000000*U15/TrRail_act!U32/1000)</f>
        <v>111.66942494281344</v>
      </c>
      <c r="V55" s="29">
        <f>IF(V15=0,0,1000000*V15/TrRail_act!V32/1000)</f>
        <v>156.42692901915959</v>
      </c>
      <c r="W55" s="29">
        <f>IF(W15=0,0,1000000*W15/TrRail_act!W32/1000)</f>
        <v>143.36655940822359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2920.7962099961132</v>
      </c>
      <c r="C56" s="87">
        <f>IF(C16=0,0,1000000*C16/TrRail_act!C33/1000)</f>
        <v>2904.2435353391606</v>
      </c>
      <c r="D56" s="87">
        <f>IF(D16=0,0,1000000*D16/TrRail_act!D33/1000)</f>
        <v>2839.399152784219</v>
      </c>
      <c r="E56" s="87">
        <f>IF(E16=0,0,1000000*E16/TrRail_act!E33/1000)</f>
        <v>2866.4342426363396</v>
      </c>
      <c r="F56" s="87">
        <f>IF(F16=0,0,1000000*F16/TrRail_act!F33/1000)</f>
        <v>2874.6212677501949</v>
      </c>
      <c r="G56" s="87">
        <f>IF(G16=0,0,1000000*G16/TrRail_act!G33/1000)</f>
        <v>2865.4857005147796</v>
      </c>
      <c r="H56" s="87">
        <f>IF(H16=0,0,1000000*H16/TrRail_act!H33/1000)</f>
        <v>2825.7855648731561</v>
      </c>
      <c r="I56" s="87">
        <f>IF(I16=0,0,1000000*I16/TrRail_act!I33/1000)</f>
        <v>2834.1646765317491</v>
      </c>
      <c r="J56" s="87">
        <f>IF(J16=0,0,1000000*J16/TrRail_act!J33/1000)</f>
        <v>2659.667729310876</v>
      </c>
      <c r="K56" s="87">
        <f>IF(K16=0,0,1000000*K16/TrRail_act!K33/1000)</f>
        <v>2079.8635596475915</v>
      </c>
      <c r="L56" s="87">
        <f>IF(L16=0,0,1000000*L16/TrRail_act!L33/1000)</f>
        <v>2593.6879819499827</v>
      </c>
      <c r="M56" s="87">
        <f>IF(M16=0,0,1000000*M16/TrRail_act!M33/1000)</f>
        <v>2512.0331743329034</v>
      </c>
      <c r="N56" s="87">
        <f>IF(N16=0,0,1000000*N16/TrRail_act!N33/1000)</f>
        <v>2171.4936896263757</v>
      </c>
      <c r="O56" s="87">
        <f>IF(O16=0,0,1000000*O16/TrRail_act!O33/1000)</f>
        <v>2345.9325569110961</v>
      </c>
      <c r="P56" s="87">
        <f>IF(P16=0,0,1000000*P16/TrRail_act!P33/1000)</f>
        <v>2352.1065597752877</v>
      </c>
      <c r="Q56" s="87">
        <f>IF(Q16=0,0,1000000*Q16/TrRail_act!Q33/1000)</f>
        <v>2373.9391659710195</v>
      </c>
      <c r="R56" s="87">
        <f>IF(R16=0,0,1000000*R16/TrRail_act!R33/1000)</f>
        <v>2391.2198260381183</v>
      </c>
      <c r="S56" s="87">
        <f>IF(S16=0,0,1000000*S16/TrRail_act!S33/1000)</f>
        <v>2318.8017417908031</v>
      </c>
      <c r="T56" s="87">
        <f>IF(T16=0,0,1000000*T16/TrRail_act!T33/1000)</f>
        <v>2286.050920225895</v>
      </c>
      <c r="U56" s="87">
        <f>IF(U16=0,0,1000000*U16/TrRail_act!U33/1000)</f>
        <v>2238.3724208200965</v>
      </c>
      <c r="V56" s="87">
        <f>IF(V16=0,0,1000000*V16/TrRail_act!V33/1000)</f>
        <v>2262.7996920055898</v>
      </c>
      <c r="W56" s="87">
        <f>IF(W16=0,0,1000000*W16/TrRail_act!W33/1000)</f>
        <v>2226.2743697517435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0.8799855146385267</v>
      </c>
      <c r="C60" s="31">
        <f t="shared" ref="C60:V60" si="8">IF(C9=0,0,C9/C$8)</f>
        <v>0.8849389679505828</v>
      </c>
      <c r="D60" s="31">
        <f t="shared" si="8"/>
        <v>0.89682654451835597</v>
      </c>
      <c r="E60" s="31">
        <f t="shared" si="8"/>
        <v>0.88185295924876805</v>
      </c>
      <c r="F60" s="31">
        <f t="shared" si="8"/>
        <v>0.86277143081298369</v>
      </c>
      <c r="G60" s="31">
        <f t="shared" si="8"/>
        <v>0.86438242105978924</v>
      </c>
      <c r="H60" s="31">
        <f t="shared" si="8"/>
        <v>0.85310273995885799</v>
      </c>
      <c r="I60" s="31">
        <f t="shared" si="8"/>
        <v>0.83134687963858522</v>
      </c>
      <c r="J60" s="31">
        <f t="shared" si="8"/>
        <v>0.85091874046272453</v>
      </c>
      <c r="K60" s="31">
        <f t="shared" si="8"/>
        <v>0.88199164872088032</v>
      </c>
      <c r="L60" s="31">
        <f t="shared" si="8"/>
        <v>0.87781568502819252</v>
      </c>
      <c r="M60" s="31">
        <f t="shared" si="8"/>
        <v>0.87823974519621761</v>
      </c>
      <c r="N60" s="31">
        <f t="shared" si="8"/>
        <v>0.88278232442291038</v>
      </c>
      <c r="O60" s="31">
        <f t="shared" si="8"/>
        <v>0.88668197265155102</v>
      </c>
      <c r="P60" s="31">
        <f t="shared" si="8"/>
        <v>0.88552914533270699</v>
      </c>
      <c r="Q60" s="31">
        <f t="shared" si="8"/>
        <v>0.8833616939245893</v>
      </c>
      <c r="R60" s="31">
        <f t="shared" si="8"/>
        <v>0.87716108690835148</v>
      </c>
      <c r="S60" s="31">
        <f t="shared" si="8"/>
        <v>0.88472003318708481</v>
      </c>
      <c r="T60" s="31">
        <f t="shared" si="8"/>
        <v>0.87610279580116168</v>
      </c>
      <c r="U60" s="31">
        <f t="shared" si="8"/>
        <v>0.8736475761116782</v>
      </c>
      <c r="V60" s="31">
        <f t="shared" si="8"/>
        <v>0.82115016538544028</v>
      </c>
      <c r="W60" s="31">
        <f t="shared" ref="W60" si="9">IF(W9=0,0,W9/W$8)</f>
        <v>0.81687725046808146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0.8799855146385267</v>
      </c>
      <c r="C62" s="124">
        <f t="shared" ref="C62:V62" si="12">IF(C11=0,0,C11/C$8)</f>
        <v>0.8849389679505828</v>
      </c>
      <c r="D62" s="124">
        <f t="shared" si="12"/>
        <v>0.89682654451835597</v>
      </c>
      <c r="E62" s="124">
        <f t="shared" si="12"/>
        <v>0.88185295924876805</v>
      </c>
      <c r="F62" s="124">
        <f t="shared" si="12"/>
        <v>0.86277143081298369</v>
      </c>
      <c r="G62" s="124">
        <f t="shared" si="12"/>
        <v>0.86438242105978924</v>
      </c>
      <c r="H62" s="124">
        <f t="shared" si="12"/>
        <v>0.85310273995885799</v>
      </c>
      <c r="I62" s="124">
        <f t="shared" si="12"/>
        <v>0.83134687963858522</v>
      </c>
      <c r="J62" s="124">
        <f t="shared" si="12"/>
        <v>0.85091874046272453</v>
      </c>
      <c r="K62" s="124">
        <f t="shared" si="12"/>
        <v>0.88199164872088032</v>
      </c>
      <c r="L62" s="124">
        <f t="shared" si="12"/>
        <v>0.87781568502819252</v>
      </c>
      <c r="M62" s="124">
        <f t="shared" si="12"/>
        <v>0.87823974519621761</v>
      </c>
      <c r="N62" s="124">
        <f t="shared" si="12"/>
        <v>0.88278232442291038</v>
      </c>
      <c r="O62" s="124">
        <f t="shared" si="12"/>
        <v>0.88668197265155102</v>
      </c>
      <c r="P62" s="124">
        <f t="shared" si="12"/>
        <v>0.88552914533270699</v>
      </c>
      <c r="Q62" s="124">
        <f t="shared" si="12"/>
        <v>0.8833616939245893</v>
      </c>
      <c r="R62" s="124">
        <f t="shared" si="12"/>
        <v>0.87716108690835148</v>
      </c>
      <c r="S62" s="124">
        <f t="shared" si="12"/>
        <v>0.88472003318708481</v>
      </c>
      <c r="T62" s="124">
        <f t="shared" si="12"/>
        <v>0.87610279580116168</v>
      </c>
      <c r="U62" s="124">
        <f t="shared" si="12"/>
        <v>0.8736475761116782</v>
      </c>
      <c r="V62" s="124">
        <f t="shared" si="12"/>
        <v>0.82115016538544028</v>
      </c>
      <c r="W62" s="124">
        <f t="shared" ref="W62" si="13">IF(W11=0,0,W11/W$8)</f>
        <v>0.81687725046808146</v>
      </c>
      <c r="DA62" s="176"/>
    </row>
    <row r="63" spans="1:105" ht="11.45" customHeight="1" x14ac:dyDescent="0.25">
      <c r="A63" s="111" t="s">
        <v>92</v>
      </c>
      <c r="B63" s="125">
        <f t="shared" si="5"/>
        <v>0.8799855146385267</v>
      </c>
      <c r="C63" s="125">
        <f t="shared" ref="C63:V63" si="14">IF(C12=0,0,C12/C$8)</f>
        <v>0.8849389679505828</v>
      </c>
      <c r="D63" s="125">
        <f t="shared" si="14"/>
        <v>0.89682654451835597</v>
      </c>
      <c r="E63" s="125">
        <f t="shared" si="14"/>
        <v>0.88185295924876805</v>
      </c>
      <c r="F63" s="125">
        <f t="shared" si="14"/>
        <v>0.86277143081298369</v>
      </c>
      <c r="G63" s="125">
        <f t="shared" si="14"/>
        <v>0.86438242105978924</v>
      </c>
      <c r="H63" s="125">
        <f t="shared" si="14"/>
        <v>0.85310273995885799</v>
      </c>
      <c r="I63" s="125">
        <f t="shared" si="14"/>
        <v>0.83134687963858522</v>
      </c>
      <c r="J63" s="125">
        <f t="shared" si="14"/>
        <v>0.85091874046272453</v>
      </c>
      <c r="K63" s="125">
        <f t="shared" si="14"/>
        <v>0.88199164872088032</v>
      </c>
      <c r="L63" s="125">
        <f t="shared" si="14"/>
        <v>0.87781568502819252</v>
      </c>
      <c r="M63" s="125">
        <f t="shared" si="14"/>
        <v>0.87823974519621761</v>
      </c>
      <c r="N63" s="125">
        <f t="shared" si="14"/>
        <v>0.88278232442291038</v>
      </c>
      <c r="O63" s="125">
        <f t="shared" si="14"/>
        <v>0.88668197265155102</v>
      </c>
      <c r="P63" s="125">
        <f t="shared" si="14"/>
        <v>0.88552914533270699</v>
      </c>
      <c r="Q63" s="125">
        <f t="shared" si="14"/>
        <v>0.8833616939245893</v>
      </c>
      <c r="R63" s="125">
        <f t="shared" si="14"/>
        <v>0.87716108690835148</v>
      </c>
      <c r="S63" s="125">
        <f t="shared" si="14"/>
        <v>0.88472003318708481</v>
      </c>
      <c r="T63" s="125">
        <f t="shared" si="14"/>
        <v>0.87610279580116168</v>
      </c>
      <c r="U63" s="125">
        <f t="shared" si="14"/>
        <v>0.8736475761116782</v>
      </c>
      <c r="V63" s="125">
        <f t="shared" si="14"/>
        <v>0.82115016538544028</v>
      </c>
      <c r="W63" s="125">
        <f t="shared" ref="W63" si="15">IF(W12=0,0,W12/W$8)</f>
        <v>0.81687725046808146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0.12001448536147324</v>
      </c>
      <c r="C66" s="31">
        <f t="shared" ref="C66:V66" si="20">IF(C15=0,0,C15/C$8)</f>
        <v>0.11506103204941724</v>
      </c>
      <c r="D66" s="31">
        <f t="shared" si="20"/>
        <v>0.10317345548164401</v>
      </c>
      <c r="E66" s="31">
        <f t="shared" si="20"/>
        <v>0.11814704075123196</v>
      </c>
      <c r="F66" s="31">
        <f t="shared" si="20"/>
        <v>0.13722856918701634</v>
      </c>
      <c r="G66" s="31">
        <f t="shared" si="20"/>
        <v>0.1356175789402107</v>
      </c>
      <c r="H66" s="31">
        <f t="shared" si="20"/>
        <v>0.14689726004114195</v>
      </c>
      <c r="I66" s="31">
        <f t="shared" si="20"/>
        <v>0.16865312036141469</v>
      </c>
      <c r="J66" s="31">
        <f t="shared" si="20"/>
        <v>0.14908125953727544</v>
      </c>
      <c r="K66" s="31">
        <f t="shared" si="20"/>
        <v>0.11800835127911978</v>
      </c>
      <c r="L66" s="31">
        <f t="shared" si="20"/>
        <v>0.12218431497180755</v>
      </c>
      <c r="M66" s="31">
        <f t="shared" si="20"/>
        <v>0.12176025480378247</v>
      </c>
      <c r="N66" s="31">
        <f t="shared" si="20"/>
        <v>0.11721767557708959</v>
      </c>
      <c r="O66" s="31">
        <f t="shared" si="20"/>
        <v>0.11331802734844909</v>
      </c>
      <c r="P66" s="31">
        <f t="shared" si="20"/>
        <v>0.11447085466729312</v>
      </c>
      <c r="Q66" s="31">
        <f t="shared" si="20"/>
        <v>0.11663830607541066</v>
      </c>
      <c r="R66" s="31">
        <f t="shared" si="20"/>
        <v>0.12283891309164852</v>
      </c>
      <c r="S66" s="31">
        <f t="shared" si="20"/>
        <v>0.1152799668129152</v>
      </c>
      <c r="T66" s="31">
        <f t="shared" si="20"/>
        <v>0.12389720419883835</v>
      </c>
      <c r="U66" s="31">
        <f t="shared" si="20"/>
        <v>0.12635242388832188</v>
      </c>
      <c r="V66" s="31">
        <f t="shared" si="20"/>
        <v>0.17884983461455967</v>
      </c>
      <c r="W66" s="31">
        <f t="shared" ref="W66" si="21">IF(W15=0,0,W15/W$8)</f>
        <v>0.18312274953191862</v>
      </c>
      <c r="DA66" s="173"/>
    </row>
    <row r="67" spans="1:105" ht="11.45" customHeight="1" x14ac:dyDescent="0.25">
      <c r="A67" s="83" t="s">
        <v>92</v>
      </c>
      <c r="B67" s="125">
        <f t="shared" si="5"/>
        <v>0.12001448536147324</v>
      </c>
      <c r="C67" s="125">
        <f t="shared" ref="C67:V67" si="22">IF(C16=0,0,C16/C$8)</f>
        <v>0.11506103204941724</v>
      </c>
      <c r="D67" s="125">
        <f t="shared" si="22"/>
        <v>0.10317345548164401</v>
      </c>
      <c r="E67" s="125">
        <f t="shared" si="22"/>
        <v>0.11814704075123196</v>
      </c>
      <c r="F67" s="125">
        <f t="shared" si="22"/>
        <v>0.13722856918701634</v>
      </c>
      <c r="G67" s="125">
        <f t="shared" si="22"/>
        <v>0.1356175789402107</v>
      </c>
      <c r="H67" s="125">
        <f t="shared" si="22"/>
        <v>0.14689726004114195</v>
      </c>
      <c r="I67" s="125">
        <f t="shared" si="22"/>
        <v>0.16865312036141469</v>
      </c>
      <c r="J67" s="125">
        <f t="shared" si="22"/>
        <v>0.14908125953727544</v>
      </c>
      <c r="K67" s="125">
        <f t="shared" si="22"/>
        <v>0.11800835127911978</v>
      </c>
      <c r="L67" s="125">
        <f t="shared" si="22"/>
        <v>0.12218431497180755</v>
      </c>
      <c r="M67" s="125">
        <f t="shared" si="22"/>
        <v>0.12176025480378247</v>
      </c>
      <c r="N67" s="125">
        <f t="shared" si="22"/>
        <v>0.11721767557708959</v>
      </c>
      <c r="O67" s="125">
        <f t="shared" si="22"/>
        <v>0.11331802734844909</v>
      </c>
      <c r="P67" s="125">
        <f t="shared" si="22"/>
        <v>0.11447085466729312</v>
      </c>
      <c r="Q67" s="125">
        <f t="shared" si="22"/>
        <v>0.11663830607541066</v>
      </c>
      <c r="R67" s="125">
        <f t="shared" si="22"/>
        <v>0.12283891309164852</v>
      </c>
      <c r="S67" s="125">
        <f t="shared" si="22"/>
        <v>0.1152799668129152</v>
      </c>
      <c r="T67" s="125">
        <f t="shared" si="22"/>
        <v>0.12389720419883835</v>
      </c>
      <c r="U67" s="125">
        <f t="shared" si="22"/>
        <v>0.12635242388832188</v>
      </c>
      <c r="V67" s="125">
        <f t="shared" si="22"/>
        <v>0.17884983461455967</v>
      </c>
      <c r="W67" s="125">
        <f t="shared" ref="W67" si="23">IF(W16=0,0,W16/W$8)</f>
        <v>0.18312274953191862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62535.817144253619</v>
      </c>
      <c r="C4" s="11">
        <f t="shared" si="0"/>
        <v>61429.670960502684</v>
      </c>
      <c r="D4" s="11">
        <f t="shared" ref="D4:V4" si="1">SUM(D5:D7)</f>
        <v>62802.09712931783</v>
      </c>
      <c r="E4" s="11">
        <f t="shared" si="1"/>
        <v>61838.164124349845</v>
      </c>
      <c r="F4" s="11">
        <f t="shared" si="1"/>
        <v>69294.518360038724</v>
      </c>
      <c r="G4" s="11">
        <f t="shared" si="1"/>
        <v>74560.830446691223</v>
      </c>
      <c r="H4" s="11">
        <f t="shared" si="1"/>
        <v>74906.619113725086</v>
      </c>
      <c r="I4" s="11">
        <f t="shared" si="1"/>
        <v>76318.303182781383</v>
      </c>
      <c r="J4" s="11">
        <f t="shared" si="1"/>
        <v>76851.643740030937</v>
      </c>
      <c r="K4" s="11">
        <f t="shared" si="1"/>
        <v>69785.648244098091</v>
      </c>
      <c r="L4" s="11">
        <f t="shared" si="1"/>
        <v>74025.891120537213</v>
      </c>
      <c r="M4" s="11">
        <f t="shared" si="1"/>
        <v>80744.885747577078</v>
      </c>
      <c r="N4" s="11">
        <f t="shared" si="1"/>
        <v>83617.214943741783</v>
      </c>
      <c r="O4" s="11">
        <f t="shared" si="1"/>
        <v>87187.628648719372</v>
      </c>
      <c r="P4" s="11">
        <f t="shared" si="1"/>
        <v>90112.809053858509</v>
      </c>
      <c r="Q4" s="11">
        <f t="shared" si="1"/>
        <v>95135.438248236984</v>
      </c>
      <c r="R4" s="11">
        <f t="shared" si="1"/>
        <v>101384.98874422826</v>
      </c>
      <c r="S4" s="11">
        <f t="shared" si="1"/>
        <v>108804.68400754542</v>
      </c>
      <c r="T4" s="11">
        <f t="shared" si="1"/>
        <v>114269.96259246931</v>
      </c>
      <c r="U4" s="11">
        <f t="shared" si="1"/>
        <v>116467.86910218686</v>
      </c>
      <c r="V4" s="11">
        <f t="shared" si="1"/>
        <v>36027.365427231278</v>
      </c>
      <c r="W4" s="11">
        <f t="shared" ref="W4" si="2">SUM(W5:W7)</f>
        <v>44293.759730752659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15531.378421343807</v>
      </c>
      <c r="C6" s="84">
        <v>15340.660725864074</v>
      </c>
      <c r="D6" s="84">
        <v>15699.68850265555</v>
      </c>
      <c r="E6" s="84">
        <v>15594.280133508062</v>
      </c>
      <c r="F6" s="84">
        <v>16372.186438124611</v>
      </c>
      <c r="G6" s="84">
        <v>17127.227103009427</v>
      </c>
      <c r="H6" s="84">
        <v>17896.26049564705</v>
      </c>
      <c r="I6" s="84">
        <v>17791.989659955587</v>
      </c>
      <c r="J6" s="84">
        <v>16784.046313370513</v>
      </c>
      <c r="K6" s="84">
        <v>15368.013868688526</v>
      </c>
      <c r="L6" s="84">
        <v>16082.256106782517</v>
      </c>
      <c r="M6" s="84">
        <v>18540.013493716422</v>
      </c>
      <c r="N6" s="84">
        <v>18984.578929916446</v>
      </c>
      <c r="O6" s="84">
        <v>19784.877879982716</v>
      </c>
      <c r="P6" s="84">
        <v>20884.053823219969</v>
      </c>
      <c r="Q6" s="84">
        <v>21902.154585546301</v>
      </c>
      <c r="R6" s="84">
        <v>25218.238820541716</v>
      </c>
      <c r="S6" s="84">
        <v>28022.220015068149</v>
      </c>
      <c r="T6" s="84">
        <v>29225.700045088786</v>
      </c>
      <c r="U6" s="84">
        <v>29366.124001745189</v>
      </c>
      <c r="V6" s="84">
        <v>9261.7807760529668</v>
      </c>
      <c r="W6" s="84">
        <v>13073.449716508669</v>
      </c>
      <c r="DA6" s="171" t="s">
        <v>191</v>
      </c>
    </row>
    <row r="7" spans="1:105" ht="11.45" customHeight="1" x14ac:dyDescent="0.25">
      <c r="A7" s="83" t="s">
        <v>174</v>
      </c>
      <c r="B7" s="84">
        <v>47004.438722909814</v>
      </c>
      <c r="C7" s="84">
        <v>46089.010234638612</v>
      </c>
      <c r="D7" s="84">
        <v>47102.408626662283</v>
      </c>
      <c r="E7" s="84">
        <v>46243.883990841787</v>
      </c>
      <c r="F7" s="84">
        <v>52922.331921914112</v>
      </c>
      <c r="G7" s="84">
        <v>57433.603343681803</v>
      </c>
      <c r="H7" s="84">
        <v>57010.358618078033</v>
      </c>
      <c r="I7" s="84">
        <v>58526.313522825803</v>
      </c>
      <c r="J7" s="84">
        <v>60067.597426660424</v>
      </c>
      <c r="K7" s="84">
        <v>54417.634375409558</v>
      </c>
      <c r="L7" s="84">
        <v>57943.635013754698</v>
      </c>
      <c r="M7" s="84">
        <v>62204.87225386066</v>
      </c>
      <c r="N7" s="84">
        <v>64632.636013825337</v>
      </c>
      <c r="O7" s="84">
        <v>67402.75076873666</v>
      </c>
      <c r="P7" s="84">
        <v>69228.755230638548</v>
      </c>
      <c r="Q7" s="84">
        <v>73233.283662690679</v>
      </c>
      <c r="R7" s="84">
        <v>76166.749923686555</v>
      </c>
      <c r="S7" s="84">
        <v>80782.463992477278</v>
      </c>
      <c r="T7" s="84">
        <v>85044.262547380524</v>
      </c>
      <c r="U7" s="84">
        <v>87101.745100441665</v>
      </c>
      <c r="V7" s="84">
        <v>26765.584651178309</v>
      </c>
      <c r="W7" s="84">
        <v>31220.310014243991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4794.6132506141266</v>
      </c>
      <c r="C8" s="13">
        <f t="shared" si="3"/>
        <v>4916.8489010312842</v>
      </c>
      <c r="D8" s="13">
        <f t="shared" ref="D8:V8" si="4">SUM(D9:D11)</f>
        <v>4939.2469091679222</v>
      </c>
      <c r="E8" s="13">
        <f t="shared" si="4"/>
        <v>5034.9711062189817</v>
      </c>
      <c r="F8" s="13">
        <f t="shared" si="4"/>
        <v>5150.4246235819783</v>
      </c>
      <c r="G8" s="13">
        <f t="shared" si="4"/>
        <v>5438.1786163117658</v>
      </c>
      <c r="H8" s="13">
        <f t="shared" si="4"/>
        <v>5773.9185586664034</v>
      </c>
      <c r="I8" s="13">
        <f t="shared" si="4"/>
        <v>5592.1519604314408</v>
      </c>
      <c r="J8" s="13">
        <f t="shared" si="4"/>
        <v>5743.549017443429</v>
      </c>
      <c r="K8" s="13">
        <f t="shared" si="4"/>
        <v>4793.0820922065668</v>
      </c>
      <c r="L8" s="13">
        <f t="shared" si="4"/>
        <v>5732.1788759563906</v>
      </c>
      <c r="M8" s="13">
        <f t="shared" si="4"/>
        <v>5728.4848268976257</v>
      </c>
      <c r="N8" s="13">
        <f t="shared" si="4"/>
        <v>5348.2246836522445</v>
      </c>
      <c r="O8" s="13">
        <f t="shared" si="4"/>
        <v>5515.0654446167273</v>
      </c>
      <c r="P8" s="13">
        <f t="shared" si="4"/>
        <v>5998.4616315278627</v>
      </c>
      <c r="Q8" s="13">
        <f t="shared" si="4"/>
        <v>6083.0282989525758</v>
      </c>
      <c r="R8" s="13">
        <f t="shared" si="4"/>
        <v>5960.7712649502091</v>
      </c>
      <c r="S8" s="13">
        <f t="shared" si="4"/>
        <v>6489.3799521383107</v>
      </c>
      <c r="T8" s="13">
        <f t="shared" si="4"/>
        <v>6499.5751507358127</v>
      </c>
      <c r="U8" s="13">
        <f t="shared" si="4"/>
        <v>5975.1864870041118</v>
      </c>
      <c r="V8" s="13">
        <f t="shared" si="4"/>
        <v>5825.5569309242101</v>
      </c>
      <c r="W8" s="13">
        <f t="shared" ref="W8" si="5">SUM(W9:W11)</f>
        <v>5898.0101844968203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60.437128158298485</v>
      </c>
      <c r="C10" s="102">
        <v>84.126733011733819</v>
      </c>
      <c r="D10" s="102">
        <v>62.840377273238289</v>
      </c>
      <c r="E10" s="102">
        <v>68.451741480162823</v>
      </c>
      <c r="F10" s="102">
        <v>65.353494945079575</v>
      </c>
      <c r="G10" s="102">
        <v>64.420070321135029</v>
      </c>
      <c r="H10" s="102">
        <v>60.827256812865251</v>
      </c>
      <c r="I10" s="102">
        <v>62.426869886836613</v>
      </c>
      <c r="J10" s="102">
        <v>76.983544053431743</v>
      </c>
      <c r="K10" s="102">
        <v>75.824756680064667</v>
      </c>
      <c r="L10" s="102">
        <v>86.903551146329235</v>
      </c>
      <c r="M10" s="102">
        <v>75.03357323080003</v>
      </c>
      <c r="N10" s="102">
        <v>60.93597988108818</v>
      </c>
      <c r="O10" s="102">
        <v>64.88593370860265</v>
      </c>
      <c r="P10" s="102">
        <v>76.890519923564383</v>
      </c>
      <c r="Q10" s="102">
        <v>73.535087180938206</v>
      </c>
      <c r="R10" s="102">
        <v>86.120706600120513</v>
      </c>
      <c r="S10" s="102">
        <v>73.271290511301146</v>
      </c>
      <c r="T10" s="102">
        <v>62.997563135128026</v>
      </c>
      <c r="U10" s="102">
        <v>63.186411764508634</v>
      </c>
      <c r="V10" s="102">
        <v>50.922584764559048</v>
      </c>
      <c r="W10" s="102">
        <v>58.585734269942193</v>
      </c>
      <c r="DA10" s="175" t="s">
        <v>195</v>
      </c>
    </row>
    <row r="11" spans="1:105" ht="11.45" customHeight="1" x14ac:dyDescent="0.25">
      <c r="A11" s="85" t="s">
        <v>174</v>
      </c>
      <c r="B11" s="86">
        <v>4734.1761224558286</v>
      </c>
      <c r="C11" s="86">
        <v>4832.7221680195507</v>
      </c>
      <c r="D11" s="86">
        <v>4876.4065318946841</v>
      </c>
      <c r="E11" s="86">
        <v>4966.5193647388187</v>
      </c>
      <c r="F11" s="86">
        <v>5085.0711286368987</v>
      </c>
      <c r="G11" s="86">
        <v>5373.7585459906304</v>
      </c>
      <c r="H11" s="86">
        <v>5713.0913018535384</v>
      </c>
      <c r="I11" s="86">
        <v>5529.7250905446044</v>
      </c>
      <c r="J11" s="86">
        <v>5666.5654733899974</v>
      </c>
      <c r="K11" s="86">
        <v>4717.2573355265022</v>
      </c>
      <c r="L11" s="86">
        <v>5645.2753248100616</v>
      </c>
      <c r="M11" s="86">
        <v>5653.4512536668253</v>
      </c>
      <c r="N11" s="86">
        <v>5287.2887037711562</v>
      </c>
      <c r="O11" s="86">
        <v>5450.1795109081249</v>
      </c>
      <c r="P11" s="86">
        <v>5921.5711116042985</v>
      </c>
      <c r="Q11" s="86">
        <v>6009.493211771638</v>
      </c>
      <c r="R11" s="86">
        <v>5874.6505583500884</v>
      </c>
      <c r="S11" s="86">
        <v>6416.1086616270095</v>
      </c>
      <c r="T11" s="86">
        <v>6436.5775876006846</v>
      </c>
      <c r="U11" s="86">
        <v>5912.0000752396036</v>
      </c>
      <c r="V11" s="86">
        <v>5774.6343461596507</v>
      </c>
      <c r="W11" s="86">
        <v>5839.4244502268784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444.64779040585466</v>
      </c>
      <c r="C13" s="54">
        <f t="shared" si="6"/>
        <v>434.13470509889942</v>
      </c>
      <c r="D13" s="54">
        <f t="shared" ref="D13:V13" si="7">SUM(D14,D18)</f>
        <v>444.78311695038281</v>
      </c>
      <c r="E13" s="54">
        <f t="shared" si="7"/>
        <v>447.86876957278264</v>
      </c>
      <c r="F13" s="54">
        <f t="shared" si="7"/>
        <v>478.38477769811607</v>
      </c>
      <c r="G13" s="54">
        <f t="shared" si="7"/>
        <v>497.72535276846844</v>
      </c>
      <c r="H13" s="54">
        <f t="shared" si="7"/>
        <v>515.45837407807267</v>
      </c>
      <c r="I13" s="54">
        <f t="shared" si="7"/>
        <v>524.97188842222204</v>
      </c>
      <c r="J13" s="54">
        <f t="shared" si="7"/>
        <v>539.59393998946325</v>
      </c>
      <c r="K13" s="54">
        <f t="shared" si="7"/>
        <v>476.25334953048502</v>
      </c>
      <c r="L13" s="54">
        <f t="shared" si="7"/>
        <v>496.70959247831081</v>
      </c>
      <c r="M13" s="54">
        <f t="shared" si="7"/>
        <v>523.60388172374371</v>
      </c>
      <c r="N13" s="54">
        <f t="shared" si="7"/>
        <v>516.31407615915418</v>
      </c>
      <c r="O13" s="54">
        <f t="shared" si="7"/>
        <v>528.21929516342323</v>
      </c>
      <c r="P13" s="54">
        <f t="shared" si="7"/>
        <v>533.50012055539287</v>
      </c>
      <c r="Q13" s="54">
        <f t="shared" si="7"/>
        <v>556.65873646354817</v>
      </c>
      <c r="R13" s="54">
        <f t="shared" si="7"/>
        <v>575.18304218554306</v>
      </c>
      <c r="S13" s="54">
        <f t="shared" si="7"/>
        <v>603.44740670734893</v>
      </c>
      <c r="T13" s="54">
        <f t="shared" si="7"/>
        <v>619.4362803981071</v>
      </c>
      <c r="U13" s="54">
        <f t="shared" si="7"/>
        <v>616.58980555062692</v>
      </c>
      <c r="V13" s="54">
        <f t="shared" si="7"/>
        <v>335.58640577780659</v>
      </c>
      <c r="W13" s="54">
        <f t="shared" ref="W13" si="8">SUM(W14,W18)</f>
        <v>401.78838223044971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380.29760889404599</v>
      </c>
      <c r="C14" s="11">
        <f t="shared" si="9"/>
        <v>370.61655679304192</v>
      </c>
      <c r="D14" s="11">
        <f t="shared" ref="D14:V14" si="10">SUM(D15:D17)</f>
        <v>377.76712131998579</v>
      </c>
      <c r="E14" s="11">
        <f t="shared" si="10"/>
        <v>372.86689260451323</v>
      </c>
      <c r="F14" s="11">
        <f t="shared" si="10"/>
        <v>399.21442461810454</v>
      </c>
      <c r="G14" s="11">
        <f t="shared" si="10"/>
        <v>409.09801472544228</v>
      </c>
      <c r="H14" s="11">
        <f t="shared" si="10"/>
        <v>418.00867471988607</v>
      </c>
      <c r="I14" s="11">
        <f t="shared" si="10"/>
        <v>428.87236645253165</v>
      </c>
      <c r="J14" s="11">
        <f t="shared" si="10"/>
        <v>438.40373559318175</v>
      </c>
      <c r="K14" s="11">
        <f t="shared" si="10"/>
        <v>400.71779493084603</v>
      </c>
      <c r="L14" s="11">
        <f t="shared" si="10"/>
        <v>407.96893747127041</v>
      </c>
      <c r="M14" s="11">
        <f t="shared" si="10"/>
        <v>439.98897229968611</v>
      </c>
      <c r="N14" s="11">
        <f t="shared" si="10"/>
        <v>444.48570932959581</v>
      </c>
      <c r="O14" s="11">
        <f t="shared" si="10"/>
        <v>454.68203827669345</v>
      </c>
      <c r="P14" s="11">
        <f t="shared" si="10"/>
        <v>464.57196652094774</v>
      </c>
      <c r="Q14" s="11">
        <f t="shared" si="10"/>
        <v>486.77841230345189</v>
      </c>
      <c r="R14" s="11">
        <f t="shared" si="10"/>
        <v>511.59112697191961</v>
      </c>
      <c r="S14" s="11">
        <f t="shared" si="10"/>
        <v>533.41422922482161</v>
      </c>
      <c r="T14" s="11">
        <f t="shared" si="10"/>
        <v>549.77424565675688</v>
      </c>
      <c r="U14" s="11">
        <f t="shared" si="10"/>
        <v>555.25681435626768</v>
      </c>
      <c r="V14" s="11">
        <f t="shared" si="10"/>
        <v>245.73948076568985</v>
      </c>
      <c r="W14" s="11">
        <f t="shared" ref="W14" si="11">SUM(W15:W17)</f>
        <v>309.61656006496742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138.92784046964417</v>
      </c>
      <c r="C16" s="84">
        <v>135.38995028008262</v>
      </c>
      <c r="D16" s="84">
        <v>138.78947062414898</v>
      </c>
      <c r="E16" s="84">
        <v>139.79828165945094</v>
      </c>
      <c r="F16" s="84">
        <v>143.43087447605114</v>
      </c>
      <c r="G16" s="84">
        <v>147.32967229951714</v>
      </c>
      <c r="H16" s="84">
        <v>160.57632802239755</v>
      </c>
      <c r="I16" s="84">
        <v>166.7156759753525</v>
      </c>
      <c r="J16" s="84">
        <v>162.95191056915755</v>
      </c>
      <c r="K16" s="84">
        <v>147.34891138584564</v>
      </c>
      <c r="L16" s="84">
        <v>146.27353616687532</v>
      </c>
      <c r="M16" s="84">
        <v>163.17369051677568</v>
      </c>
      <c r="N16" s="84">
        <v>162.35750646131973</v>
      </c>
      <c r="O16" s="84">
        <v>164.78530736177945</v>
      </c>
      <c r="P16" s="84">
        <v>171.17573691885121</v>
      </c>
      <c r="Q16" s="84">
        <v>175.82654206995144</v>
      </c>
      <c r="R16" s="84">
        <v>194.74411936274632</v>
      </c>
      <c r="S16" s="84">
        <v>208.4420580305063</v>
      </c>
      <c r="T16" s="84">
        <v>214.10260549777865</v>
      </c>
      <c r="U16" s="84">
        <v>212.51498879549698</v>
      </c>
      <c r="V16" s="84">
        <v>90.039214991262114</v>
      </c>
      <c r="W16" s="84">
        <v>117.80397883426186</v>
      </c>
      <c r="DA16" s="171" t="s">
        <v>200</v>
      </c>
    </row>
    <row r="17" spans="1:105" ht="11.45" customHeight="1" x14ac:dyDescent="0.25">
      <c r="A17" s="83" t="s">
        <v>174</v>
      </c>
      <c r="B17" s="84">
        <v>241.36976842440185</v>
      </c>
      <c r="C17" s="84">
        <v>235.22660651295928</v>
      </c>
      <c r="D17" s="84">
        <v>238.97765069583681</v>
      </c>
      <c r="E17" s="84">
        <v>233.06861094506229</v>
      </c>
      <c r="F17" s="84">
        <v>255.78355014205337</v>
      </c>
      <c r="G17" s="84">
        <v>261.76834242592514</v>
      </c>
      <c r="H17" s="84">
        <v>257.43234669748853</v>
      </c>
      <c r="I17" s="84">
        <v>262.15669047717915</v>
      </c>
      <c r="J17" s="84">
        <v>275.45182502402417</v>
      </c>
      <c r="K17" s="84">
        <v>253.36888354500041</v>
      </c>
      <c r="L17" s="84">
        <v>261.69540130439509</v>
      </c>
      <c r="M17" s="84">
        <v>276.81528178291046</v>
      </c>
      <c r="N17" s="84">
        <v>282.12820286827605</v>
      </c>
      <c r="O17" s="84">
        <v>289.89673091491403</v>
      </c>
      <c r="P17" s="84">
        <v>293.39622960209653</v>
      </c>
      <c r="Q17" s="84">
        <v>310.95187023350041</v>
      </c>
      <c r="R17" s="84">
        <v>316.84700760917332</v>
      </c>
      <c r="S17" s="84">
        <v>324.97217119431531</v>
      </c>
      <c r="T17" s="84">
        <v>335.67164015897828</v>
      </c>
      <c r="U17" s="84">
        <v>342.74182556077074</v>
      </c>
      <c r="V17" s="84">
        <v>155.70026577442772</v>
      </c>
      <c r="W17" s="84">
        <v>191.81258123070555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64.350181511808671</v>
      </c>
      <c r="C18" s="13">
        <f t="shared" si="12"/>
        <v>63.518148305857466</v>
      </c>
      <c r="D18" s="13">
        <f t="shared" ref="D18:V18" si="13">SUM(D19:D21)</f>
        <v>67.015995630397043</v>
      </c>
      <c r="E18" s="13">
        <f t="shared" si="13"/>
        <v>75.001876968269428</v>
      </c>
      <c r="F18" s="13">
        <f t="shared" si="13"/>
        <v>79.170353080011509</v>
      </c>
      <c r="G18" s="13">
        <f t="shared" si="13"/>
        <v>88.627338043026143</v>
      </c>
      <c r="H18" s="13">
        <f t="shared" si="13"/>
        <v>97.449699358186606</v>
      </c>
      <c r="I18" s="13">
        <f t="shared" si="13"/>
        <v>96.099521969690429</v>
      </c>
      <c r="J18" s="13">
        <f t="shared" si="13"/>
        <v>101.19020439628152</v>
      </c>
      <c r="K18" s="13">
        <f t="shared" si="13"/>
        <v>75.535554599638971</v>
      </c>
      <c r="L18" s="13">
        <f t="shared" si="13"/>
        <v>88.740655007040402</v>
      </c>
      <c r="M18" s="13">
        <f t="shared" si="13"/>
        <v>83.614909424057558</v>
      </c>
      <c r="N18" s="13">
        <f t="shared" si="13"/>
        <v>71.828366829558362</v>
      </c>
      <c r="O18" s="13">
        <f t="shared" si="13"/>
        <v>73.537256886729764</v>
      </c>
      <c r="P18" s="13">
        <f t="shared" si="13"/>
        <v>68.928154034445086</v>
      </c>
      <c r="Q18" s="13">
        <f t="shared" si="13"/>
        <v>69.880324160096237</v>
      </c>
      <c r="R18" s="13">
        <f t="shared" si="13"/>
        <v>63.591915213623409</v>
      </c>
      <c r="S18" s="13">
        <f t="shared" si="13"/>
        <v>70.033177482527336</v>
      </c>
      <c r="T18" s="13">
        <f t="shared" si="13"/>
        <v>69.662034741350212</v>
      </c>
      <c r="U18" s="13">
        <f t="shared" si="13"/>
        <v>61.33299119435928</v>
      </c>
      <c r="V18" s="13">
        <f t="shared" si="13"/>
        <v>89.846925012116756</v>
      </c>
      <c r="W18" s="13">
        <f t="shared" ref="W18" si="14">SUM(W19:W21)</f>
        <v>92.171822165482283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2.3370405048788352</v>
      </c>
      <c r="C20" s="102">
        <v>3.0887066314650604</v>
      </c>
      <c r="D20" s="102">
        <v>2.4519674842730041</v>
      </c>
      <c r="E20" s="102">
        <v>2.6437856784433369</v>
      </c>
      <c r="F20" s="102">
        <v>2.8473573897970743</v>
      </c>
      <c r="G20" s="102">
        <v>2.8635017797040621</v>
      </c>
      <c r="H20" s="102">
        <v>3.1280513897348019</v>
      </c>
      <c r="I20" s="102">
        <v>3.2588217965398409</v>
      </c>
      <c r="J20" s="102">
        <v>4.093167574339363</v>
      </c>
      <c r="K20" s="102">
        <v>3.8627755881962433</v>
      </c>
      <c r="L20" s="102">
        <v>4.3728551002494429</v>
      </c>
      <c r="M20" s="102">
        <v>3.6021130213821655</v>
      </c>
      <c r="N20" s="102">
        <v>2.7006270990619052</v>
      </c>
      <c r="O20" s="102">
        <v>2.8609494518862237</v>
      </c>
      <c r="P20" s="102">
        <v>2.9310465252127802</v>
      </c>
      <c r="Q20" s="102">
        <v>2.8409693330687937</v>
      </c>
      <c r="R20" s="102">
        <v>3.061942677711766</v>
      </c>
      <c r="S20" s="102">
        <v>2.9038904463702955</v>
      </c>
      <c r="T20" s="102">
        <v>2.4527218641926121</v>
      </c>
      <c r="U20" s="102">
        <v>2.3448796682917443</v>
      </c>
      <c r="V20" s="102">
        <v>2.3180740681003749</v>
      </c>
      <c r="W20" s="102">
        <v>2.8159996965946497</v>
      </c>
      <c r="DA20" s="175" t="s">
        <v>204</v>
      </c>
    </row>
    <row r="21" spans="1:105" ht="11.45" customHeight="1" x14ac:dyDescent="0.25">
      <c r="A21" s="85" t="s">
        <v>174</v>
      </c>
      <c r="B21" s="86">
        <v>62.013141006929835</v>
      </c>
      <c r="C21" s="86">
        <v>60.429441674392407</v>
      </c>
      <c r="D21" s="86">
        <v>64.564028146124045</v>
      </c>
      <c r="E21" s="86">
        <v>72.358091289826092</v>
      </c>
      <c r="F21" s="86">
        <v>76.322995690214441</v>
      </c>
      <c r="G21" s="86">
        <v>85.763836263322077</v>
      </c>
      <c r="H21" s="86">
        <v>94.321647968451799</v>
      </c>
      <c r="I21" s="86">
        <v>92.840700173150594</v>
      </c>
      <c r="J21" s="86">
        <v>97.097036821942154</v>
      </c>
      <c r="K21" s="86">
        <v>71.672779011442728</v>
      </c>
      <c r="L21" s="86">
        <v>84.367799906790964</v>
      </c>
      <c r="M21" s="86">
        <v>80.012796402675392</v>
      </c>
      <c r="N21" s="86">
        <v>69.127739730496458</v>
      </c>
      <c r="O21" s="86">
        <v>70.676307434843537</v>
      </c>
      <c r="P21" s="86">
        <v>65.997107509232308</v>
      </c>
      <c r="Q21" s="86">
        <v>67.039354827027438</v>
      </c>
      <c r="R21" s="86">
        <v>60.529972535911639</v>
      </c>
      <c r="S21" s="86">
        <v>67.129287036157038</v>
      </c>
      <c r="T21" s="86">
        <v>67.2093128771576</v>
      </c>
      <c r="U21" s="86">
        <v>58.988111526067534</v>
      </c>
      <c r="V21" s="86">
        <v>87.528850944016384</v>
      </c>
      <c r="W21" s="86">
        <v>89.355822468887638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213742</v>
      </c>
      <c r="C23" s="54">
        <f t="shared" si="15"/>
        <v>209351</v>
      </c>
      <c r="D23" s="54">
        <f t="shared" ref="D23:V23" si="16">SUM(D24,D28)</f>
        <v>214604</v>
      </c>
      <c r="E23" s="54">
        <f t="shared" si="16"/>
        <v>217110</v>
      </c>
      <c r="F23" s="54">
        <f t="shared" si="16"/>
        <v>225291</v>
      </c>
      <c r="G23" s="54">
        <f t="shared" si="16"/>
        <v>229020</v>
      </c>
      <c r="H23" s="54">
        <f t="shared" si="16"/>
        <v>242963</v>
      </c>
      <c r="I23" s="54">
        <f t="shared" si="16"/>
        <v>249083</v>
      </c>
      <c r="J23" s="54">
        <f t="shared" si="16"/>
        <v>248199</v>
      </c>
      <c r="K23" s="54">
        <f t="shared" si="16"/>
        <v>224156</v>
      </c>
      <c r="L23" s="54">
        <f t="shared" si="16"/>
        <v>224163</v>
      </c>
      <c r="M23" s="54">
        <f t="shared" si="16"/>
        <v>243725</v>
      </c>
      <c r="N23" s="54">
        <f t="shared" si="16"/>
        <v>245191</v>
      </c>
      <c r="O23" s="54">
        <f t="shared" si="16"/>
        <v>249583</v>
      </c>
      <c r="P23" s="54">
        <f t="shared" si="16"/>
        <v>255428</v>
      </c>
      <c r="Q23" s="54">
        <f t="shared" si="16"/>
        <v>262809</v>
      </c>
      <c r="R23" s="54">
        <f t="shared" si="16"/>
        <v>276456</v>
      </c>
      <c r="S23" s="54">
        <f t="shared" si="16"/>
        <v>285518</v>
      </c>
      <c r="T23" s="54">
        <f t="shared" si="16"/>
        <v>289605</v>
      </c>
      <c r="U23" s="54">
        <f t="shared" si="16"/>
        <v>288074</v>
      </c>
      <c r="V23" s="54">
        <f t="shared" si="16"/>
        <v>130853</v>
      </c>
      <c r="W23" s="54">
        <f t="shared" ref="W23" si="17">SUM(W24,W28)</f>
        <v>154196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199820</v>
      </c>
      <c r="C24" s="11">
        <f t="shared" si="18"/>
        <v>194732</v>
      </c>
      <c r="D24" s="11">
        <f t="shared" ref="D24:V24" si="19">SUM(D25:D27)</f>
        <v>200077</v>
      </c>
      <c r="E24" s="11">
        <f t="shared" si="19"/>
        <v>200973</v>
      </c>
      <c r="F24" s="11">
        <f t="shared" si="19"/>
        <v>208051</v>
      </c>
      <c r="G24" s="11">
        <f t="shared" si="19"/>
        <v>210484</v>
      </c>
      <c r="H24" s="11">
        <f t="shared" si="19"/>
        <v>223223</v>
      </c>
      <c r="I24" s="11">
        <f t="shared" si="19"/>
        <v>230028</v>
      </c>
      <c r="J24" s="11">
        <f t="shared" si="19"/>
        <v>227724</v>
      </c>
      <c r="K24" s="11">
        <f t="shared" si="19"/>
        <v>208291</v>
      </c>
      <c r="L24" s="11">
        <f t="shared" si="19"/>
        <v>206175</v>
      </c>
      <c r="M24" s="11">
        <f t="shared" si="19"/>
        <v>225904</v>
      </c>
      <c r="N24" s="11">
        <f t="shared" si="19"/>
        <v>228737</v>
      </c>
      <c r="O24" s="11">
        <f t="shared" si="19"/>
        <v>232653</v>
      </c>
      <c r="P24" s="11">
        <f t="shared" si="19"/>
        <v>239163</v>
      </c>
      <c r="Q24" s="11">
        <f t="shared" si="19"/>
        <v>246590</v>
      </c>
      <c r="R24" s="11">
        <f t="shared" si="19"/>
        <v>261368</v>
      </c>
      <c r="S24" s="11">
        <f t="shared" si="19"/>
        <v>269840</v>
      </c>
      <c r="T24" s="11">
        <f t="shared" si="19"/>
        <v>274595</v>
      </c>
      <c r="U24" s="11">
        <f t="shared" si="19"/>
        <v>274403</v>
      </c>
      <c r="V24" s="11">
        <f t="shared" si="19"/>
        <v>113612</v>
      </c>
      <c r="W24" s="11">
        <f t="shared" ref="W24" si="20">SUM(W25:W27)</f>
        <v>135743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152396</v>
      </c>
      <c r="C26" s="84">
        <v>148515</v>
      </c>
      <c r="D26" s="84">
        <v>153123</v>
      </c>
      <c r="E26" s="84">
        <v>155180</v>
      </c>
      <c r="F26" s="84">
        <v>157795</v>
      </c>
      <c r="G26" s="84">
        <v>160601</v>
      </c>
      <c r="H26" s="84">
        <v>174477</v>
      </c>
      <c r="I26" s="84">
        <v>180494</v>
      </c>
      <c r="J26" s="84">
        <v>175370</v>
      </c>
      <c r="K26" s="84">
        <v>158987</v>
      </c>
      <c r="L26" s="84">
        <v>154971</v>
      </c>
      <c r="M26" s="84">
        <v>171747</v>
      </c>
      <c r="N26" s="84">
        <v>173307</v>
      </c>
      <c r="O26" s="84">
        <v>175648</v>
      </c>
      <c r="P26" s="84">
        <v>181677</v>
      </c>
      <c r="Q26" s="84">
        <v>186229</v>
      </c>
      <c r="R26" s="84">
        <v>200810</v>
      </c>
      <c r="S26" s="84">
        <v>208063</v>
      </c>
      <c r="T26" s="84">
        <v>211283</v>
      </c>
      <c r="U26" s="84">
        <v>209956</v>
      </c>
      <c r="V26" s="84">
        <v>87308</v>
      </c>
      <c r="W26" s="84">
        <v>101860</v>
      </c>
      <c r="DA26" s="171" t="s">
        <v>209</v>
      </c>
    </row>
    <row r="27" spans="1:105" ht="11.45" customHeight="1" x14ac:dyDescent="0.25">
      <c r="A27" s="83" t="s">
        <v>174</v>
      </c>
      <c r="B27" s="84">
        <v>47424</v>
      </c>
      <c r="C27" s="84">
        <v>46217</v>
      </c>
      <c r="D27" s="84">
        <v>46954</v>
      </c>
      <c r="E27" s="84">
        <v>45793</v>
      </c>
      <c r="F27" s="84">
        <v>50256</v>
      </c>
      <c r="G27" s="84">
        <v>49883</v>
      </c>
      <c r="H27" s="84">
        <v>48746</v>
      </c>
      <c r="I27" s="84">
        <v>49534</v>
      </c>
      <c r="J27" s="84">
        <v>52354</v>
      </c>
      <c r="K27" s="84">
        <v>49304</v>
      </c>
      <c r="L27" s="84">
        <v>51204</v>
      </c>
      <c r="M27" s="84">
        <v>54157</v>
      </c>
      <c r="N27" s="84">
        <v>55430</v>
      </c>
      <c r="O27" s="84">
        <v>57005</v>
      </c>
      <c r="P27" s="84">
        <v>57486</v>
      </c>
      <c r="Q27" s="84">
        <v>60361</v>
      </c>
      <c r="R27" s="84">
        <v>60558</v>
      </c>
      <c r="S27" s="84">
        <v>61777</v>
      </c>
      <c r="T27" s="84">
        <v>63312</v>
      </c>
      <c r="U27" s="84">
        <v>64447</v>
      </c>
      <c r="V27" s="84">
        <v>26304</v>
      </c>
      <c r="W27" s="84">
        <v>33883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13922</v>
      </c>
      <c r="C28" s="13">
        <f t="shared" si="21"/>
        <v>14619</v>
      </c>
      <c r="D28" s="13">
        <f t="shared" ref="D28:V28" si="22">SUM(D29:D31)</f>
        <v>14527</v>
      </c>
      <c r="E28" s="13">
        <f t="shared" si="22"/>
        <v>16137</v>
      </c>
      <c r="F28" s="13">
        <f t="shared" si="22"/>
        <v>17240</v>
      </c>
      <c r="G28" s="13">
        <f t="shared" si="22"/>
        <v>18536</v>
      </c>
      <c r="H28" s="13">
        <f t="shared" si="22"/>
        <v>19740</v>
      </c>
      <c r="I28" s="13">
        <f t="shared" si="22"/>
        <v>19055</v>
      </c>
      <c r="J28" s="13">
        <f t="shared" si="22"/>
        <v>20475</v>
      </c>
      <c r="K28" s="13">
        <f t="shared" si="22"/>
        <v>15865</v>
      </c>
      <c r="L28" s="13">
        <f t="shared" si="22"/>
        <v>17988</v>
      </c>
      <c r="M28" s="13">
        <f t="shared" si="22"/>
        <v>17821</v>
      </c>
      <c r="N28" s="13">
        <f t="shared" si="22"/>
        <v>16454</v>
      </c>
      <c r="O28" s="13">
        <f t="shared" si="22"/>
        <v>16930</v>
      </c>
      <c r="P28" s="13">
        <f t="shared" si="22"/>
        <v>16265</v>
      </c>
      <c r="Q28" s="13">
        <f t="shared" si="22"/>
        <v>16219</v>
      </c>
      <c r="R28" s="13">
        <f t="shared" si="22"/>
        <v>15088</v>
      </c>
      <c r="S28" s="13">
        <f t="shared" si="22"/>
        <v>15678</v>
      </c>
      <c r="T28" s="13">
        <f t="shared" si="22"/>
        <v>15010</v>
      </c>
      <c r="U28" s="13">
        <f t="shared" si="22"/>
        <v>13671</v>
      </c>
      <c r="V28" s="13">
        <f t="shared" si="22"/>
        <v>17241</v>
      </c>
      <c r="W28" s="13">
        <f t="shared" ref="W28" si="23">SUM(W29:W31)</f>
        <v>18453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2958</v>
      </c>
      <c r="C30" s="102">
        <v>3935</v>
      </c>
      <c r="D30" s="102">
        <v>3112</v>
      </c>
      <c r="E30" s="102">
        <v>3344</v>
      </c>
      <c r="F30" s="102">
        <v>3746</v>
      </c>
      <c r="G30" s="102">
        <v>3785</v>
      </c>
      <c r="H30" s="102">
        <v>4051</v>
      </c>
      <c r="I30" s="102">
        <v>4051</v>
      </c>
      <c r="J30" s="102">
        <v>5114</v>
      </c>
      <c r="K30" s="102">
        <v>4601</v>
      </c>
      <c r="L30" s="102">
        <v>5007</v>
      </c>
      <c r="M30" s="102">
        <v>4908</v>
      </c>
      <c r="N30" s="102">
        <v>4680</v>
      </c>
      <c r="O30" s="102">
        <v>4810</v>
      </c>
      <c r="P30" s="102">
        <v>4914</v>
      </c>
      <c r="Q30" s="102">
        <v>4713</v>
      </c>
      <c r="R30" s="102">
        <v>4779</v>
      </c>
      <c r="S30" s="102">
        <v>4231</v>
      </c>
      <c r="T30" s="102">
        <v>3561</v>
      </c>
      <c r="U30" s="102">
        <v>3412</v>
      </c>
      <c r="V30" s="102">
        <v>3459</v>
      </c>
      <c r="W30" s="102">
        <v>3787</v>
      </c>
      <c r="DA30" s="175" t="s">
        <v>213</v>
      </c>
    </row>
    <row r="31" spans="1:105" ht="11.45" customHeight="1" x14ac:dyDescent="0.25">
      <c r="A31" s="85" t="s">
        <v>174</v>
      </c>
      <c r="B31" s="86">
        <v>10964</v>
      </c>
      <c r="C31" s="86">
        <v>10684</v>
      </c>
      <c r="D31" s="86">
        <v>11415</v>
      </c>
      <c r="E31" s="86">
        <v>12793</v>
      </c>
      <c r="F31" s="86">
        <v>13494</v>
      </c>
      <c r="G31" s="86">
        <v>14751</v>
      </c>
      <c r="H31" s="86">
        <v>15689</v>
      </c>
      <c r="I31" s="86">
        <v>15004</v>
      </c>
      <c r="J31" s="86">
        <v>15361</v>
      </c>
      <c r="K31" s="86">
        <v>11264</v>
      </c>
      <c r="L31" s="86">
        <v>12981</v>
      </c>
      <c r="M31" s="86">
        <v>12913</v>
      </c>
      <c r="N31" s="86">
        <v>11774</v>
      </c>
      <c r="O31" s="86">
        <v>12120</v>
      </c>
      <c r="P31" s="86">
        <v>11351</v>
      </c>
      <c r="Q31" s="86">
        <v>11506</v>
      </c>
      <c r="R31" s="86">
        <v>10309</v>
      </c>
      <c r="S31" s="86">
        <v>11447</v>
      </c>
      <c r="T31" s="86">
        <v>11449</v>
      </c>
      <c r="U31" s="86">
        <v>10259</v>
      </c>
      <c r="V31" s="86">
        <v>13782</v>
      </c>
      <c r="W31" s="86">
        <v>14666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20132089</v>
      </c>
      <c r="C34" s="11">
        <f t="shared" si="24"/>
        <v>19757496</v>
      </c>
      <c r="D34" s="11">
        <f t="shared" ref="D34:V34" si="25">SUM(D35:D37)</f>
        <v>20400405</v>
      </c>
      <c r="E34" s="11">
        <f t="shared" si="25"/>
        <v>20531963</v>
      </c>
      <c r="F34" s="11">
        <f t="shared" si="25"/>
        <v>22476417</v>
      </c>
      <c r="G34" s="11">
        <f t="shared" si="25"/>
        <v>23450221</v>
      </c>
      <c r="H34" s="11">
        <f t="shared" si="25"/>
        <v>24524625</v>
      </c>
      <c r="I34" s="11">
        <f t="shared" si="25"/>
        <v>25383122</v>
      </c>
      <c r="J34" s="11">
        <f t="shared" si="25"/>
        <v>25323013</v>
      </c>
      <c r="K34" s="11">
        <f t="shared" si="25"/>
        <v>23312952</v>
      </c>
      <c r="L34" s="11">
        <f t="shared" si="25"/>
        <v>24376473</v>
      </c>
      <c r="M34" s="11">
        <f t="shared" si="25"/>
        <v>27039354</v>
      </c>
      <c r="N34" s="11">
        <f t="shared" si="25"/>
        <v>27966129</v>
      </c>
      <c r="O34" s="11">
        <f t="shared" si="25"/>
        <v>29172054</v>
      </c>
      <c r="P34" s="11">
        <f t="shared" si="25"/>
        <v>30602862</v>
      </c>
      <c r="Q34" s="11">
        <f t="shared" si="25"/>
        <v>32499353</v>
      </c>
      <c r="R34" s="11">
        <f t="shared" si="25"/>
        <v>35365088</v>
      </c>
      <c r="S34" s="11">
        <f t="shared" si="25"/>
        <v>38332805</v>
      </c>
      <c r="T34" s="11">
        <f t="shared" si="25"/>
        <v>40075452</v>
      </c>
      <c r="U34" s="11">
        <f t="shared" si="25"/>
        <v>40776508</v>
      </c>
      <c r="V34" s="11">
        <f t="shared" si="25"/>
        <v>11736390</v>
      </c>
      <c r="W34" s="11">
        <f t="shared" ref="W34" si="26">SUM(W35:W37)</f>
        <v>14629451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12258346</v>
      </c>
      <c r="C36" s="84">
        <v>12037097</v>
      </c>
      <c r="D36" s="84">
        <v>12510251</v>
      </c>
      <c r="E36" s="84">
        <v>12785621</v>
      </c>
      <c r="F36" s="84">
        <v>13611364</v>
      </c>
      <c r="G36" s="84">
        <v>14119213</v>
      </c>
      <c r="H36" s="84">
        <v>15321047</v>
      </c>
      <c r="I36" s="84">
        <v>15955098</v>
      </c>
      <c r="J36" s="84">
        <v>15589457</v>
      </c>
      <c r="K36" s="84">
        <v>14284868</v>
      </c>
      <c r="L36" s="84">
        <v>14710611</v>
      </c>
      <c r="M36" s="84">
        <v>16793464</v>
      </c>
      <c r="N36" s="84">
        <v>17258402</v>
      </c>
      <c r="O36" s="84">
        <v>18005240</v>
      </c>
      <c r="P36" s="84">
        <v>19292405</v>
      </c>
      <c r="Q36" s="84">
        <v>20657803</v>
      </c>
      <c r="R36" s="84">
        <v>23186031</v>
      </c>
      <c r="S36" s="84">
        <v>25357709</v>
      </c>
      <c r="T36" s="84">
        <v>26309446</v>
      </c>
      <c r="U36" s="84">
        <v>26770380</v>
      </c>
      <c r="V36" s="84">
        <v>7949339</v>
      </c>
      <c r="W36" s="84">
        <v>9945926</v>
      </c>
      <c r="DA36" s="171" t="s">
        <v>217</v>
      </c>
    </row>
    <row r="37" spans="1:105" ht="11.45" customHeight="1" x14ac:dyDescent="0.25">
      <c r="A37" s="83" t="s">
        <v>174</v>
      </c>
      <c r="B37" s="84">
        <v>7873743</v>
      </c>
      <c r="C37" s="84">
        <v>7720399</v>
      </c>
      <c r="D37" s="84">
        <v>7890154</v>
      </c>
      <c r="E37" s="84">
        <v>7746342</v>
      </c>
      <c r="F37" s="84">
        <v>8865053</v>
      </c>
      <c r="G37" s="84">
        <v>9331008</v>
      </c>
      <c r="H37" s="84">
        <v>9203578</v>
      </c>
      <c r="I37" s="84">
        <v>9428024</v>
      </c>
      <c r="J37" s="84">
        <v>9733556</v>
      </c>
      <c r="K37" s="84">
        <v>9028084</v>
      </c>
      <c r="L37" s="84">
        <v>9665862</v>
      </c>
      <c r="M37" s="84">
        <v>10245890</v>
      </c>
      <c r="N37" s="84">
        <v>10707727</v>
      </c>
      <c r="O37" s="84">
        <v>11166814</v>
      </c>
      <c r="P37" s="84">
        <v>11310457</v>
      </c>
      <c r="Q37" s="84">
        <v>11841550</v>
      </c>
      <c r="R37" s="84">
        <v>12179057</v>
      </c>
      <c r="S37" s="84">
        <v>12975096</v>
      </c>
      <c r="T37" s="84">
        <v>13766006</v>
      </c>
      <c r="U37" s="84">
        <v>14006128</v>
      </c>
      <c r="V37" s="84">
        <v>3787051</v>
      </c>
      <c r="W37" s="84">
        <v>4683525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619096.74499949429</v>
      </c>
      <c r="C38" s="13">
        <f t="shared" si="27"/>
        <v>639162.5595386863</v>
      </c>
      <c r="D38" s="13">
        <f t="shared" ref="D38:V38" si="28">SUM(D39:D41)</f>
        <v>654428.41598343127</v>
      </c>
      <c r="E38" s="13">
        <f t="shared" si="28"/>
        <v>680695.90392419253</v>
      </c>
      <c r="F38" s="13">
        <f t="shared" si="28"/>
        <v>708558.86303392611</v>
      </c>
      <c r="G38" s="13">
        <f t="shared" si="28"/>
        <v>709689.73122932133</v>
      </c>
      <c r="H38" s="13">
        <f t="shared" si="28"/>
        <v>765229.67462970444</v>
      </c>
      <c r="I38" s="13">
        <f t="shared" si="28"/>
        <v>733710.04604877171</v>
      </c>
      <c r="J38" s="13">
        <f t="shared" si="28"/>
        <v>759747.1498260817</v>
      </c>
      <c r="K38" s="13">
        <f t="shared" si="28"/>
        <v>624756.60359153594</v>
      </c>
      <c r="L38" s="13">
        <f t="shared" si="28"/>
        <v>754108.33806359721</v>
      </c>
      <c r="M38" s="13">
        <f t="shared" si="28"/>
        <v>787083.97729655425</v>
      </c>
      <c r="N38" s="13">
        <f t="shared" si="28"/>
        <v>768728.27933153999</v>
      </c>
      <c r="O38" s="13">
        <f t="shared" si="28"/>
        <v>798843.28899580392</v>
      </c>
      <c r="P38" s="13">
        <f t="shared" si="28"/>
        <v>840064.43619025918</v>
      </c>
      <c r="Q38" s="13">
        <f t="shared" si="28"/>
        <v>844328.85607112921</v>
      </c>
      <c r="R38" s="13">
        <f t="shared" si="28"/>
        <v>851003.86974899855</v>
      </c>
      <c r="S38" s="13">
        <f t="shared" si="28"/>
        <v>915146.75547421561</v>
      </c>
      <c r="T38" s="13">
        <f t="shared" si="28"/>
        <v>904813.78632047435</v>
      </c>
      <c r="U38" s="13">
        <f t="shared" si="28"/>
        <v>835067.33326533937</v>
      </c>
      <c r="V38" s="13">
        <f t="shared" si="28"/>
        <v>752892.83490296314</v>
      </c>
      <c r="W38" s="13">
        <f t="shared" ref="W38" si="29">SUM(W39:W41)</f>
        <v>847970.05591946351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47553.031202999191</v>
      </c>
      <c r="C40" s="102">
        <v>63948.629207167447</v>
      </c>
      <c r="D40" s="102">
        <v>50712.824125624429</v>
      </c>
      <c r="E40" s="102">
        <v>57408.137624552823</v>
      </c>
      <c r="F40" s="102">
        <v>60044.946681125046</v>
      </c>
      <c r="G40" s="102">
        <v>57460.168171965459</v>
      </c>
      <c r="H40" s="102">
        <v>56654.343122306906</v>
      </c>
      <c r="I40" s="102">
        <v>55724.077936102381</v>
      </c>
      <c r="J40" s="102">
        <v>69839.979990163396</v>
      </c>
      <c r="K40" s="102">
        <v>62696.724117833954</v>
      </c>
      <c r="L40" s="102">
        <v>72204.879810889615</v>
      </c>
      <c r="M40" s="102">
        <v>76023.464960642043</v>
      </c>
      <c r="N40" s="102">
        <v>77041.327502422442</v>
      </c>
      <c r="O40" s="102">
        <v>79567.227670639404</v>
      </c>
      <c r="P40" s="102">
        <v>89423.758291249978</v>
      </c>
      <c r="Q40" s="102">
        <v>85662.384041108991</v>
      </c>
      <c r="R40" s="102">
        <v>98320.813577933557</v>
      </c>
      <c r="S40" s="102">
        <v>80930.966044262226</v>
      </c>
      <c r="T40" s="102">
        <v>67698.258038180269</v>
      </c>
      <c r="U40" s="102">
        <v>66508.890600490427</v>
      </c>
      <c r="V40" s="102">
        <v>60598.789708521443</v>
      </c>
      <c r="W40" s="102">
        <v>66841.795023163839</v>
      </c>
      <c r="DA40" s="175" t="s">
        <v>221</v>
      </c>
    </row>
    <row r="41" spans="1:105" ht="11.45" customHeight="1" x14ac:dyDescent="0.25">
      <c r="A41" s="85" t="s">
        <v>174</v>
      </c>
      <c r="B41" s="86">
        <v>571543.71379649511</v>
      </c>
      <c r="C41" s="86">
        <v>575213.93033151887</v>
      </c>
      <c r="D41" s="86">
        <v>603715.5918578069</v>
      </c>
      <c r="E41" s="86">
        <v>623287.76629963971</v>
      </c>
      <c r="F41" s="86">
        <v>648513.91635280102</v>
      </c>
      <c r="G41" s="86">
        <v>652229.56305735593</v>
      </c>
      <c r="H41" s="86">
        <v>708575.33150739758</v>
      </c>
      <c r="I41" s="86">
        <v>677985.9681126693</v>
      </c>
      <c r="J41" s="86">
        <v>689907.16983591835</v>
      </c>
      <c r="K41" s="86">
        <v>562059.87947370193</v>
      </c>
      <c r="L41" s="86">
        <v>681903.45825270761</v>
      </c>
      <c r="M41" s="86">
        <v>711060.51233591221</v>
      </c>
      <c r="N41" s="86">
        <v>691686.95182911749</v>
      </c>
      <c r="O41" s="86">
        <v>719276.06132516451</v>
      </c>
      <c r="P41" s="86">
        <v>750640.6778990092</v>
      </c>
      <c r="Q41" s="86">
        <v>758666.4720300202</v>
      </c>
      <c r="R41" s="86">
        <v>752683.05617106496</v>
      </c>
      <c r="S41" s="86">
        <v>834215.78942995344</v>
      </c>
      <c r="T41" s="86">
        <v>837115.52828229405</v>
      </c>
      <c r="U41" s="86">
        <v>768558.44266484899</v>
      </c>
      <c r="V41" s="86">
        <v>692294.04519444169</v>
      </c>
      <c r="W41" s="86">
        <v>781128.26089629962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273.13349775648931</v>
      </c>
      <c r="C43" s="54">
        <f t="shared" si="30"/>
        <v>267.07736581795984</v>
      </c>
      <c r="D43" s="54">
        <f t="shared" ref="D43:V43" si="31">SUM(D44,D48)</f>
        <v>274.0485964985856</v>
      </c>
      <c r="E43" s="54">
        <f t="shared" si="31"/>
        <v>276.06434922710213</v>
      </c>
      <c r="F43" s="54">
        <f t="shared" si="31"/>
        <v>293.11599810323906</v>
      </c>
      <c r="G43" s="54">
        <f t="shared" si="31"/>
        <v>302.99599951593916</v>
      </c>
      <c r="H43" s="54">
        <f t="shared" si="31"/>
        <v>314.69796513463274</v>
      </c>
      <c r="I43" s="54">
        <f t="shared" si="31"/>
        <v>320.43246541518437</v>
      </c>
      <c r="J43" s="54">
        <f t="shared" si="31"/>
        <v>328.27082194072534</v>
      </c>
      <c r="K43" s="54">
        <f t="shared" si="31"/>
        <v>303.23002929585414</v>
      </c>
      <c r="L43" s="54">
        <f t="shared" si="31"/>
        <v>301.15068764684742</v>
      </c>
      <c r="M43" s="54">
        <f t="shared" si="31"/>
        <v>318.85297150853546</v>
      </c>
      <c r="N43" s="54">
        <f t="shared" si="31"/>
        <v>318.74610648536407</v>
      </c>
      <c r="O43" s="54">
        <f t="shared" si="31"/>
        <v>323.02299271979888</v>
      </c>
      <c r="P43" s="54">
        <f t="shared" si="31"/>
        <v>326.72104385208661</v>
      </c>
      <c r="Q43" s="54">
        <f t="shared" si="31"/>
        <v>339.69805755001312</v>
      </c>
      <c r="R43" s="54">
        <f t="shared" si="31"/>
        <v>351.04387381719931</v>
      </c>
      <c r="S43" s="54">
        <f t="shared" si="31"/>
        <v>365.49794202853116</v>
      </c>
      <c r="T43" s="54">
        <f t="shared" si="31"/>
        <v>374.27095567802075</v>
      </c>
      <c r="U43" s="54">
        <f t="shared" si="31"/>
        <v>373.38923866563027</v>
      </c>
      <c r="V43" s="54">
        <f t="shared" si="31"/>
        <v>371.30111327147557</v>
      </c>
      <c r="W43" s="54">
        <f t="shared" ref="W43" si="32">SUM(W44,W48)</f>
        <v>356.80116702741583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236.42777198372102</v>
      </c>
      <c r="C44" s="11">
        <f t="shared" si="33"/>
        <v>230.408838179062</v>
      </c>
      <c r="D44" s="11">
        <f t="shared" ref="D44:V44" si="34">SUM(D45:D47)</f>
        <v>235.35780654599884</v>
      </c>
      <c r="E44" s="11">
        <f t="shared" si="34"/>
        <v>233.24432991261028</v>
      </c>
      <c r="F44" s="11">
        <f t="shared" si="34"/>
        <v>247.88905834103463</v>
      </c>
      <c r="G44" s="11">
        <f t="shared" si="34"/>
        <v>252.77614643441981</v>
      </c>
      <c r="H44" s="11">
        <f t="shared" si="34"/>
        <v>259.9609636590169</v>
      </c>
      <c r="I44" s="11">
        <f t="shared" si="34"/>
        <v>266.57515268282646</v>
      </c>
      <c r="J44" s="11">
        <f t="shared" si="34"/>
        <v>271.57916992231026</v>
      </c>
      <c r="K44" s="11">
        <f t="shared" si="34"/>
        <v>249.91783991460451</v>
      </c>
      <c r="L44" s="11">
        <f t="shared" si="34"/>
        <v>250.74234396594278</v>
      </c>
      <c r="M44" s="11">
        <f t="shared" si="34"/>
        <v>270.92947978277329</v>
      </c>
      <c r="N44" s="11">
        <f t="shared" si="34"/>
        <v>274.44711671914911</v>
      </c>
      <c r="O44" s="11">
        <f t="shared" si="34"/>
        <v>280.11474010859195</v>
      </c>
      <c r="P44" s="11">
        <f t="shared" si="34"/>
        <v>286.29107176178087</v>
      </c>
      <c r="Q44" s="11">
        <f t="shared" si="34"/>
        <v>298.97340988388589</v>
      </c>
      <c r="R44" s="11">
        <f t="shared" si="34"/>
        <v>313.73321669983864</v>
      </c>
      <c r="S44" s="11">
        <f t="shared" si="34"/>
        <v>324.86491921026186</v>
      </c>
      <c r="T44" s="11">
        <f t="shared" si="34"/>
        <v>333.88651885663046</v>
      </c>
      <c r="U44" s="11">
        <f t="shared" si="34"/>
        <v>336.67537442151684</v>
      </c>
      <c r="V44" s="11">
        <f t="shared" si="34"/>
        <v>320.91352295593549</v>
      </c>
      <c r="W44" s="11">
        <f t="shared" ref="W44" si="35">SUM(W45:W47)</f>
        <v>305.15167149035403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103.95849824070426</v>
      </c>
      <c r="C46" s="84">
        <v>101.3110728159335</v>
      </c>
      <c r="D46" s="84">
        <v>104.20138196499326</v>
      </c>
      <c r="E46" s="84">
        <v>105.33092209138125</v>
      </c>
      <c r="F46" s="84">
        <v>107.50917007287819</v>
      </c>
      <c r="G46" s="84">
        <v>109.84491434272928</v>
      </c>
      <c r="H46" s="84">
        <v>119.4825774918699</v>
      </c>
      <c r="I46" s="84">
        <v>123.82587314392158</v>
      </c>
      <c r="J46" s="84">
        <v>121.13664118667809</v>
      </c>
      <c r="K46" s="84">
        <v>111.033332872351</v>
      </c>
      <c r="L46" s="84">
        <v>107.31377253737136</v>
      </c>
      <c r="M46" s="84">
        <v>119.22919967072846</v>
      </c>
      <c r="N46" s="84">
        <v>119.61471448451223</v>
      </c>
      <c r="O46" s="84">
        <v>121.32643927293735</v>
      </c>
      <c r="P46" s="84">
        <v>125.71565276736746</v>
      </c>
      <c r="Q46" s="84">
        <v>128.94242396839292</v>
      </c>
      <c r="R46" s="84">
        <v>140.7103595569815</v>
      </c>
      <c r="S46" s="84">
        <v>147.85345789221029</v>
      </c>
      <c r="T46" s="84">
        <v>150.9038598970929</v>
      </c>
      <c r="U46" s="84">
        <v>149.87247587079221</v>
      </c>
      <c r="V46" s="84">
        <v>142.94190932141194</v>
      </c>
      <c r="W46" s="84">
        <v>136.01134277203164</v>
      </c>
      <c r="DA46" s="171" t="s">
        <v>226</v>
      </c>
    </row>
    <row r="47" spans="1:105" ht="11.45" customHeight="1" x14ac:dyDescent="0.25">
      <c r="A47" s="83" t="s">
        <v>174</v>
      </c>
      <c r="B47" s="84">
        <v>132.46927374301677</v>
      </c>
      <c r="C47" s="84">
        <v>129.0977653631285</v>
      </c>
      <c r="D47" s="84">
        <v>131.15642458100558</v>
      </c>
      <c r="E47" s="84">
        <v>127.91340782122904</v>
      </c>
      <c r="F47" s="84">
        <v>140.37988826815644</v>
      </c>
      <c r="G47" s="84">
        <v>142.93123209169053</v>
      </c>
      <c r="H47" s="84">
        <v>140.47838616714697</v>
      </c>
      <c r="I47" s="84">
        <v>142.74927953890489</v>
      </c>
      <c r="J47" s="84">
        <v>150.44252873563218</v>
      </c>
      <c r="K47" s="84">
        <v>138.88450704225352</v>
      </c>
      <c r="L47" s="84">
        <v>143.42857142857142</v>
      </c>
      <c r="M47" s="84">
        <v>151.70028011204482</v>
      </c>
      <c r="N47" s="84">
        <v>154.83240223463687</v>
      </c>
      <c r="O47" s="84">
        <v>158.78830083565461</v>
      </c>
      <c r="P47" s="84">
        <v>160.57541899441341</v>
      </c>
      <c r="Q47" s="84">
        <v>170.03098591549295</v>
      </c>
      <c r="R47" s="84">
        <v>173.02285714285713</v>
      </c>
      <c r="S47" s="84">
        <v>177.01146131805157</v>
      </c>
      <c r="T47" s="84">
        <v>182.98265895953756</v>
      </c>
      <c r="U47" s="84">
        <v>186.80289855072465</v>
      </c>
      <c r="V47" s="84">
        <v>177.97161363452352</v>
      </c>
      <c r="W47" s="84">
        <v>169.14032871832239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36.705725772768261</v>
      </c>
      <c r="C48" s="13">
        <f t="shared" si="36"/>
        <v>36.668527638897856</v>
      </c>
      <c r="D48" s="13">
        <f t="shared" ref="D48:V48" si="37">SUM(D49:D51)</f>
        <v>38.690789952586762</v>
      </c>
      <c r="E48" s="13">
        <f t="shared" si="37"/>
        <v>42.82001931449183</v>
      </c>
      <c r="F48" s="13">
        <f t="shared" si="37"/>
        <v>45.226939762204438</v>
      </c>
      <c r="G48" s="13">
        <f t="shared" si="37"/>
        <v>50.219853081519318</v>
      </c>
      <c r="H48" s="13">
        <f t="shared" si="37"/>
        <v>54.73700147561582</v>
      </c>
      <c r="I48" s="13">
        <f t="shared" si="37"/>
        <v>53.857312732357919</v>
      </c>
      <c r="J48" s="13">
        <f t="shared" si="37"/>
        <v>56.691652018415105</v>
      </c>
      <c r="K48" s="13">
        <f t="shared" si="37"/>
        <v>53.312189381249595</v>
      </c>
      <c r="L48" s="13">
        <f t="shared" si="37"/>
        <v>50.408343680904636</v>
      </c>
      <c r="M48" s="13">
        <f t="shared" si="37"/>
        <v>47.923491725762197</v>
      </c>
      <c r="N48" s="13">
        <f t="shared" si="37"/>
        <v>44.298989766214973</v>
      </c>
      <c r="O48" s="13">
        <f t="shared" si="37"/>
        <v>42.90825261120694</v>
      </c>
      <c r="P48" s="13">
        <f t="shared" si="37"/>
        <v>40.429972090305718</v>
      </c>
      <c r="Q48" s="13">
        <f t="shared" si="37"/>
        <v>40.724647666127218</v>
      </c>
      <c r="R48" s="13">
        <f t="shared" si="37"/>
        <v>37.310657117360684</v>
      </c>
      <c r="S48" s="13">
        <f t="shared" si="37"/>
        <v>40.633022818269296</v>
      </c>
      <c r="T48" s="13">
        <f t="shared" si="37"/>
        <v>40.384436821390267</v>
      </c>
      <c r="U48" s="13">
        <f t="shared" si="37"/>
        <v>36.713864244113445</v>
      </c>
      <c r="V48" s="13">
        <f t="shared" si="37"/>
        <v>50.387590315540095</v>
      </c>
      <c r="W48" s="13">
        <f t="shared" ref="W48" si="38">SUM(W49:W51)</f>
        <v>51.649495537061803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2.549962532892867</v>
      </c>
      <c r="C50" s="102">
        <v>3.3850385423246476</v>
      </c>
      <c r="D50" s="102">
        <v>3.130042289035361</v>
      </c>
      <c r="E50" s="102">
        <v>2.9664367599746968</v>
      </c>
      <c r="F50" s="102">
        <v>3.1895565846343423</v>
      </c>
      <c r="G50" s="102">
        <v>3.2421460751498863</v>
      </c>
      <c r="H50" s="102">
        <v>3.465759645550464</v>
      </c>
      <c r="I50" s="102">
        <v>3.6767107256689555</v>
      </c>
      <c r="J50" s="102">
        <v>4.4433526986872129</v>
      </c>
      <c r="K50" s="102">
        <v>4.4794663855092427</v>
      </c>
      <c r="L50" s="102">
        <v>4.9911970091518221</v>
      </c>
      <c r="M50" s="102">
        <v>4.7362007558625354</v>
      </c>
      <c r="N50" s="102">
        <v>4.5272751203028454</v>
      </c>
      <c r="O50" s="102">
        <v>4.3095264965572637</v>
      </c>
      <c r="P50" s="102">
        <v>4.280290561643298</v>
      </c>
      <c r="Q50" s="102">
        <v>4.0813355642163867</v>
      </c>
      <c r="R50" s="102">
        <v>4.0829213394373918</v>
      </c>
      <c r="S50" s="102">
        <v>3.9439202541667351</v>
      </c>
      <c r="T50" s="102">
        <v>3.6889240008774489</v>
      </c>
      <c r="U50" s="102">
        <v>3.4339277475881622</v>
      </c>
      <c r="V50" s="102">
        <v>3.3500476534240535</v>
      </c>
      <c r="W50" s="102">
        <v>3.2468552730354032</v>
      </c>
      <c r="DA50" s="175" t="s">
        <v>230</v>
      </c>
    </row>
    <row r="51" spans="1:105" ht="11.45" customHeight="1" x14ac:dyDescent="0.25">
      <c r="A51" s="85" t="s">
        <v>174</v>
      </c>
      <c r="B51" s="86">
        <v>34.155763239875391</v>
      </c>
      <c r="C51" s="86">
        <v>33.283489096573206</v>
      </c>
      <c r="D51" s="86">
        <v>35.560747663551403</v>
      </c>
      <c r="E51" s="86">
        <v>39.853582554517132</v>
      </c>
      <c r="F51" s="86">
        <v>42.037383177570092</v>
      </c>
      <c r="G51" s="86">
        <v>46.977707006369428</v>
      </c>
      <c r="H51" s="86">
        <v>51.271241830065357</v>
      </c>
      <c r="I51" s="86">
        <v>50.180602006688964</v>
      </c>
      <c r="J51" s="86">
        <v>52.248299319727892</v>
      </c>
      <c r="K51" s="86">
        <v>48.832722995740355</v>
      </c>
      <c r="L51" s="86">
        <v>45.417146671752818</v>
      </c>
      <c r="M51" s="86">
        <v>43.187290969899664</v>
      </c>
      <c r="N51" s="86">
        <v>39.771714645912127</v>
      </c>
      <c r="O51" s="86">
        <v>38.598726114649679</v>
      </c>
      <c r="P51" s="86">
        <v>36.14968152866242</v>
      </c>
      <c r="Q51" s="86">
        <v>36.64331210191083</v>
      </c>
      <c r="R51" s="86">
        <v>33.227735777923293</v>
      </c>
      <c r="S51" s="86">
        <v>36.689102564102562</v>
      </c>
      <c r="T51" s="86">
        <v>36.695512820512818</v>
      </c>
      <c r="U51" s="86">
        <v>33.279936496525281</v>
      </c>
      <c r="V51" s="86">
        <v>47.037542662116039</v>
      </c>
      <c r="W51" s="86">
        <v>48.402640264026402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8.1139540606143203</v>
      </c>
      <c r="C53" s="54">
        <f t="shared" si="39"/>
        <v>2.8464469220685609</v>
      </c>
      <c r="D53" s="54">
        <f t="shared" ref="D53:V53" si="40">SUM(D54,D58)</f>
        <v>16.015971176435013</v>
      </c>
      <c r="E53" s="54">
        <f t="shared" si="40"/>
        <v>11.033423228388662</v>
      </c>
      <c r="F53" s="54">
        <f t="shared" si="40"/>
        <v>25.96757328108081</v>
      </c>
      <c r="G53" s="54">
        <f t="shared" si="40"/>
        <v>18.845627421653308</v>
      </c>
      <c r="H53" s="54">
        <f t="shared" si="40"/>
        <v>20.606616610745018</v>
      </c>
      <c r="I53" s="54">
        <f t="shared" si="40"/>
        <v>14.670081685679136</v>
      </c>
      <c r="J53" s="54">
        <f t="shared" si="40"/>
        <v>18.451100351846705</v>
      </c>
      <c r="K53" s="54">
        <f t="shared" si="40"/>
        <v>0.18980696013867293</v>
      </c>
      <c r="L53" s="54">
        <f t="shared" si="40"/>
        <v>10.459535539767115</v>
      </c>
      <c r="M53" s="54">
        <f t="shared" si="40"/>
        <v>27.867430422798503</v>
      </c>
      <c r="N53" s="54">
        <f t="shared" si="40"/>
        <v>11.236474148869092</v>
      </c>
      <c r="O53" s="54">
        <f t="shared" si="40"/>
        <v>13.377637613750236</v>
      </c>
      <c r="P53" s="54">
        <f t="shared" si="40"/>
        <v>13.98075549805467</v>
      </c>
      <c r="Q53" s="54">
        <f t="shared" si="40"/>
        <v>21.965712937873402</v>
      </c>
      <c r="R53" s="54">
        <f t="shared" si="40"/>
        <v>22.595052370953503</v>
      </c>
      <c r="S53" s="54">
        <f t="shared" si="40"/>
        <v>23.491280695936794</v>
      </c>
      <c r="T53" s="54">
        <f t="shared" si="40"/>
        <v>17.817754145298839</v>
      </c>
      <c r="U53" s="54">
        <f t="shared" si="40"/>
        <v>10.745645412553777</v>
      </c>
      <c r="V53" s="54">
        <f t="shared" si="40"/>
        <v>14.940094329764232</v>
      </c>
      <c r="W53" s="54">
        <f t="shared" ref="W53" si="41">SUM(W54,W58)</f>
        <v>2.4992454920870282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7.8441359561423871</v>
      </c>
      <c r="C54" s="11">
        <f t="shared" si="42"/>
        <v>1.6613608013089651</v>
      </c>
      <c r="D54" s="11">
        <f t="shared" ref="D54:V54" si="43">SUM(D55:D57)</f>
        <v>12.629262972904815</v>
      </c>
      <c r="E54" s="11">
        <f t="shared" si="43"/>
        <v>5.5668179725794538</v>
      </c>
      <c r="F54" s="11">
        <f t="shared" si="43"/>
        <v>22.333676701987667</v>
      </c>
      <c r="G54" s="11">
        <f t="shared" si="43"/>
        <v>12.622901836504109</v>
      </c>
      <c r="H54" s="11">
        <f t="shared" si="43"/>
        <v>14.865111830565059</v>
      </c>
      <c r="I54" s="11">
        <f t="shared" si="43"/>
        <v>14.294483629777625</v>
      </c>
      <c r="J54" s="11">
        <f t="shared" si="43"/>
        <v>14.386948799955199</v>
      </c>
      <c r="K54" s="11">
        <f t="shared" si="43"/>
        <v>3.2809950491152762E-4</v>
      </c>
      <c r="L54" s="11">
        <f t="shared" si="43"/>
        <v>9.7944397423128038</v>
      </c>
      <c r="M54" s="11">
        <f t="shared" si="43"/>
        <v>27.867430422798503</v>
      </c>
      <c r="N54" s="11">
        <f t="shared" si="43"/>
        <v>11.197931542343817</v>
      </c>
      <c r="O54" s="11">
        <f t="shared" si="43"/>
        <v>13.347917995410851</v>
      </c>
      <c r="P54" s="11">
        <f t="shared" si="43"/>
        <v>13.856626259156904</v>
      </c>
      <c r="Q54" s="11">
        <f t="shared" si="43"/>
        <v>20.362632728072992</v>
      </c>
      <c r="R54" s="11">
        <f t="shared" si="43"/>
        <v>22.440101421920765</v>
      </c>
      <c r="S54" s="11">
        <f t="shared" si="43"/>
        <v>18.811997116391215</v>
      </c>
      <c r="T54" s="11">
        <f t="shared" si="43"/>
        <v>16.701894252336583</v>
      </c>
      <c r="U54" s="11">
        <f t="shared" si="43"/>
        <v>10.745645412553777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3.4486983397546487</v>
      </c>
      <c r="C56" s="84">
        <v>0.72961033575923917</v>
      </c>
      <c r="D56" s="84">
        <v>6.2673449095897427</v>
      </c>
      <c r="E56" s="84">
        <v>4.5065758869179966</v>
      </c>
      <c r="F56" s="84">
        <v>5.5639374096222811</v>
      </c>
      <c r="G56" s="84">
        <v>5.7682991675320174</v>
      </c>
      <c r="H56" s="84">
        <v>13.014698909670631</v>
      </c>
      <c r="I56" s="84">
        <v>7.7203314125817091</v>
      </c>
      <c r="J56" s="84">
        <v>2.3904407577899116</v>
      </c>
      <c r="K56" s="84">
        <v>3.2809950491152762E-4</v>
      </c>
      <c r="L56" s="84">
        <v>0.94711651055690993</v>
      </c>
      <c r="M56" s="84">
        <v>15.292462893887102</v>
      </c>
      <c r="N56" s="84">
        <v>3.7625505743137708</v>
      </c>
      <c r="O56" s="84">
        <v>5.0887605489551202</v>
      </c>
      <c r="P56" s="84">
        <v>7.7662492549601083</v>
      </c>
      <c r="Q56" s="84">
        <v>6.6038069615554589</v>
      </c>
      <c r="R56" s="84">
        <v>15.144971349118583</v>
      </c>
      <c r="S56" s="84">
        <v>10.520134095758781</v>
      </c>
      <c r="T56" s="84">
        <v>6.4274377654126011</v>
      </c>
      <c r="U56" s="84">
        <v>2.6221469759286933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4.3954376163877384</v>
      </c>
      <c r="C57" s="84">
        <v>0.93175046554972596</v>
      </c>
      <c r="D57" s="84">
        <v>6.3619180633150734</v>
      </c>
      <c r="E57" s="84">
        <v>1.0602420856614572</v>
      </c>
      <c r="F57" s="84">
        <v>16.769739292365387</v>
      </c>
      <c r="G57" s="84">
        <v>6.8546026689720918</v>
      </c>
      <c r="H57" s="84">
        <v>1.8504129208944278</v>
      </c>
      <c r="I57" s="84">
        <v>6.5741522171959161</v>
      </c>
      <c r="J57" s="84">
        <v>11.996508042165289</v>
      </c>
      <c r="K57" s="84">
        <v>0</v>
      </c>
      <c r="L57" s="84">
        <v>8.8473232317558939</v>
      </c>
      <c r="M57" s="84">
        <v>12.574967528911401</v>
      </c>
      <c r="N57" s="84">
        <v>7.4353809680300458</v>
      </c>
      <c r="O57" s="84">
        <v>8.2591574464557311</v>
      </c>
      <c r="P57" s="84">
        <v>6.090377004196796</v>
      </c>
      <c r="Q57" s="84">
        <v>13.758825766517532</v>
      </c>
      <c r="R57" s="84">
        <v>7.2951300728021806</v>
      </c>
      <c r="S57" s="84">
        <v>8.2918630206324337</v>
      </c>
      <c r="T57" s="84">
        <v>10.274456486923981</v>
      </c>
      <c r="U57" s="84">
        <v>8.1234984366250842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0.26981810447193288</v>
      </c>
      <c r="C58" s="13">
        <f t="shared" si="45"/>
        <v>1.1850861207595957</v>
      </c>
      <c r="D58" s="13">
        <f t="shared" ref="D58:V58" si="46">SUM(D59:D61)</f>
        <v>3.3867082035301976</v>
      </c>
      <c r="E58" s="13">
        <f t="shared" si="46"/>
        <v>5.466605255809208</v>
      </c>
      <c r="F58" s="13">
        <f t="shared" si="46"/>
        <v>3.6338965790931437</v>
      </c>
      <c r="G58" s="13">
        <f t="shared" si="46"/>
        <v>6.2227255851491989</v>
      </c>
      <c r="H58" s="13">
        <f t="shared" si="46"/>
        <v>5.7415047801799597</v>
      </c>
      <c r="I58" s="13">
        <f t="shared" si="46"/>
        <v>0.37559805590151196</v>
      </c>
      <c r="J58" s="13">
        <f t="shared" si="46"/>
        <v>4.0641515518915039</v>
      </c>
      <c r="K58" s="13">
        <f t="shared" si="46"/>
        <v>0.1894788606337614</v>
      </c>
      <c r="L58" s="13">
        <f t="shared" si="46"/>
        <v>0.66509579745431147</v>
      </c>
      <c r="M58" s="13">
        <f t="shared" si="46"/>
        <v>0</v>
      </c>
      <c r="N58" s="13">
        <f t="shared" si="46"/>
        <v>3.8542606525276621E-2</v>
      </c>
      <c r="O58" s="13">
        <f t="shared" si="46"/>
        <v>2.9719618339385884E-2</v>
      </c>
      <c r="P58" s="13">
        <f t="shared" si="46"/>
        <v>0.12412923889776639</v>
      </c>
      <c r="Q58" s="13">
        <f t="shared" si="46"/>
        <v>1.6030802098004102</v>
      </c>
      <c r="R58" s="13">
        <f t="shared" si="46"/>
        <v>0.15495094903273721</v>
      </c>
      <c r="S58" s="13">
        <f t="shared" si="46"/>
        <v>4.6792835795455803</v>
      </c>
      <c r="T58" s="13">
        <f t="shared" si="46"/>
        <v>1.1158598929622556</v>
      </c>
      <c r="U58" s="13">
        <f t="shared" si="46"/>
        <v>0</v>
      </c>
      <c r="V58" s="13">
        <f t="shared" si="46"/>
        <v>14.940094329764232</v>
      </c>
      <c r="W58" s="13">
        <f t="shared" ref="W58" si="47">SUM(W59:W61)</f>
        <v>2.4992454920870282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0.26981810447193288</v>
      </c>
      <c r="C60" s="102">
        <v>0.94791062750978083</v>
      </c>
      <c r="D60" s="102">
        <v>0</v>
      </c>
      <c r="E60" s="102">
        <v>6.4320728291479001E-2</v>
      </c>
      <c r="F60" s="102">
        <v>0.34064631948818358</v>
      </c>
      <c r="G60" s="102">
        <v>0.17295211979786296</v>
      </c>
      <c r="H60" s="102">
        <v>0.33852031993203108</v>
      </c>
      <c r="I60" s="102">
        <v>0.35678824272590415</v>
      </c>
      <c r="J60" s="102">
        <v>0.88700460230057698</v>
      </c>
      <c r="K60" s="102">
        <v>0.1894788606337614</v>
      </c>
      <c r="L60" s="102">
        <v>0.66509579745431147</v>
      </c>
      <c r="M60" s="102">
        <v>0</v>
      </c>
      <c r="N60" s="102">
        <v>3.8542606525276621E-2</v>
      </c>
      <c r="O60" s="102">
        <v>2.9719618339385884E-2</v>
      </c>
      <c r="P60" s="102">
        <v>0.12412923889776639</v>
      </c>
      <c r="Q60" s="102">
        <v>0</v>
      </c>
      <c r="R60" s="102">
        <v>0.15495094903273721</v>
      </c>
      <c r="S60" s="102">
        <v>0.10846715681431074</v>
      </c>
      <c r="T60" s="102">
        <v>0</v>
      </c>
      <c r="U60" s="102">
        <v>0</v>
      </c>
      <c r="V60" s="102">
        <v>7.3038527621474669E-2</v>
      </c>
      <c r="W60" s="102">
        <v>2.4698253624664213E-2</v>
      </c>
      <c r="DA60" s="175" t="s">
        <v>239</v>
      </c>
    </row>
    <row r="61" spans="1:105" ht="11.45" customHeight="1" x14ac:dyDescent="0.25">
      <c r="A61" s="85" t="s">
        <v>174</v>
      </c>
      <c r="B61" s="86">
        <v>0</v>
      </c>
      <c r="C61" s="86">
        <v>0.23717549324981491</v>
      </c>
      <c r="D61" s="86">
        <v>3.3867082035301976</v>
      </c>
      <c r="E61" s="86">
        <v>5.4022845275177289</v>
      </c>
      <c r="F61" s="86">
        <v>3.2932502596049602</v>
      </c>
      <c r="G61" s="86">
        <v>6.0497734653513362</v>
      </c>
      <c r="H61" s="86">
        <v>5.4029844602479287</v>
      </c>
      <c r="I61" s="86">
        <v>1.8809813175607815E-2</v>
      </c>
      <c r="J61" s="86">
        <v>3.1771469495909272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1.6030802098004102</v>
      </c>
      <c r="R61" s="86">
        <v>0</v>
      </c>
      <c r="S61" s="86">
        <v>4.5708164227312693</v>
      </c>
      <c r="T61" s="86">
        <v>1.1158598929622556</v>
      </c>
      <c r="U61" s="86">
        <v>0</v>
      </c>
      <c r="V61" s="86">
        <v>14.867055802142758</v>
      </c>
      <c r="W61" s="86">
        <v>2.4745472384623639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100.75112100890802</v>
      </c>
      <c r="C66" s="14">
        <f t="shared" si="48"/>
        <v>101.45993467945689</v>
      </c>
      <c r="D66" s="14">
        <f t="shared" ref="D66:V66" si="49">IF(D34=0,0,D34/D24)</f>
        <v>101.96276933380649</v>
      </c>
      <c r="E66" s="14">
        <f t="shared" si="49"/>
        <v>102.16279301199664</v>
      </c>
      <c r="F66" s="14">
        <f t="shared" si="49"/>
        <v>108.03320820375774</v>
      </c>
      <c r="G66" s="14">
        <f t="shared" si="49"/>
        <v>111.41094334961328</v>
      </c>
      <c r="H66" s="14">
        <f t="shared" si="49"/>
        <v>109.86603083015639</v>
      </c>
      <c r="I66" s="14">
        <f t="shared" si="49"/>
        <v>110.34796633453318</v>
      </c>
      <c r="J66" s="14">
        <f t="shared" si="49"/>
        <v>111.20045757144614</v>
      </c>
      <c r="K66" s="14">
        <f t="shared" si="49"/>
        <v>111.92491274226923</v>
      </c>
      <c r="L66" s="14">
        <f t="shared" si="49"/>
        <v>118.23195343761368</v>
      </c>
      <c r="M66" s="14">
        <f t="shared" si="49"/>
        <v>119.69400276223529</v>
      </c>
      <c r="N66" s="14">
        <f t="shared" si="49"/>
        <v>122.26324993332955</v>
      </c>
      <c r="O66" s="14">
        <f t="shared" si="49"/>
        <v>125.38868615491741</v>
      </c>
      <c r="P66" s="14">
        <f t="shared" si="49"/>
        <v>127.95817914978487</v>
      </c>
      <c r="Q66" s="14">
        <f t="shared" si="49"/>
        <v>131.79509712478202</v>
      </c>
      <c r="R66" s="14">
        <f t="shared" si="49"/>
        <v>135.30764286370174</v>
      </c>
      <c r="S66" s="14">
        <f t="shared" si="49"/>
        <v>142.05753409427808</v>
      </c>
      <c r="T66" s="14">
        <f t="shared" si="49"/>
        <v>145.94385185454942</v>
      </c>
      <c r="U66" s="14">
        <f t="shared" si="49"/>
        <v>148.60080975791081</v>
      </c>
      <c r="V66" s="14">
        <f t="shared" si="49"/>
        <v>103.30238003027848</v>
      </c>
      <c r="W66" s="14">
        <f t="shared" ref="W66" si="50">IF(W34=0,0,W34/W24)</f>
        <v>107.77315220674363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80.437452426572875</v>
      </c>
      <c r="C68" s="87">
        <f t="shared" si="48"/>
        <v>81.049705416961245</v>
      </c>
      <c r="D68" s="87">
        <f t="shared" ref="D68:V68" si="53">IF(D36=0,0,D36/D26)</f>
        <v>81.700665478079713</v>
      </c>
      <c r="E68" s="87">
        <f t="shared" si="53"/>
        <v>82.392196159298877</v>
      </c>
      <c r="F68" s="87">
        <f t="shared" si="53"/>
        <v>86.25979276909915</v>
      </c>
      <c r="G68" s="87">
        <f t="shared" si="53"/>
        <v>87.914851090590972</v>
      </c>
      <c r="H68" s="87">
        <f t="shared" si="53"/>
        <v>87.811270253385828</v>
      </c>
      <c r="I68" s="87">
        <f t="shared" si="53"/>
        <v>88.396833135727505</v>
      </c>
      <c r="J68" s="87">
        <f t="shared" si="53"/>
        <v>88.894662713120837</v>
      </c>
      <c r="K68" s="87">
        <f t="shared" si="53"/>
        <v>89.849283274733153</v>
      </c>
      <c r="L68" s="87">
        <f t="shared" si="53"/>
        <v>94.924927889734207</v>
      </c>
      <c r="M68" s="87">
        <f t="shared" si="53"/>
        <v>97.78024652541238</v>
      </c>
      <c r="N68" s="87">
        <f t="shared" si="53"/>
        <v>99.582832776517975</v>
      </c>
      <c r="O68" s="87">
        <f t="shared" si="53"/>
        <v>102.50751503006012</v>
      </c>
      <c r="P68" s="87">
        <f t="shared" si="53"/>
        <v>106.19068456656593</v>
      </c>
      <c r="Q68" s="87">
        <f t="shared" si="53"/>
        <v>110.92688571597334</v>
      </c>
      <c r="R68" s="87">
        <f t="shared" si="53"/>
        <v>115.46253174642698</v>
      </c>
      <c r="S68" s="87">
        <f t="shared" si="53"/>
        <v>121.87514839255418</v>
      </c>
      <c r="T68" s="87">
        <f t="shared" si="53"/>
        <v>124.52230420810004</v>
      </c>
      <c r="U68" s="87">
        <f t="shared" si="53"/>
        <v>127.5047152736764</v>
      </c>
      <c r="V68" s="87">
        <f t="shared" si="53"/>
        <v>91.04937691849544</v>
      </c>
      <c r="W68" s="87">
        <f t="shared" ref="W68" si="54">IF(W36=0,0,W36/W26)</f>
        <v>97.643098370312188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166.02865637651823</v>
      </c>
      <c r="C69" s="87">
        <f t="shared" si="48"/>
        <v>167.0467360495056</v>
      </c>
      <c r="D69" s="87">
        <f t="shared" ref="D69:V69" si="55">IF(D37=0,0,D37/D27)</f>
        <v>168.04008178216978</v>
      </c>
      <c r="E69" s="87">
        <f t="shared" si="55"/>
        <v>169.15995894569039</v>
      </c>
      <c r="F69" s="87">
        <f t="shared" si="55"/>
        <v>176.39790273798152</v>
      </c>
      <c r="G69" s="87">
        <f t="shared" si="55"/>
        <v>187.05787542850268</v>
      </c>
      <c r="H69" s="87">
        <f t="shared" si="55"/>
        <v>188.80683543265087</v>
      </c>
      <c r="I69" s="87">
        <f t="shared" si="55"/>
        <v>190.33439657608915</v>
      </c>
      <c r="J69" s="87">
        <f t="shared" si="55"/>
        <v>185.91809603850709</v>
      </c>
      <c r="K69" s="87">
        <f t="shared" si="55"/>
        <v>183.11057926334578</v>
      </c>
      <c r="L69" s="87">
        <f t="shared" si="55"/>
        <v>188.771619404734</v>
      </c>
      <c r="M69" s="87">
        <f t="shared" si="55"/>
        <v>189.18865520615986</v>
      </c>
      <c r="N69" s="87">
        <f t="shared" si="55"/>
        <v>193.17566299837634</v>
      </c>
      <c r="O69" s="87">
        <f t="shared" si="55"/>
        <v>195.89183404964476</v>
      </c>
      <c r="P69" s="87">
        <f t="shared" si="55"/>
        <v>196.75150471419127</v>
      </c>
      <c r="Q69" s="87">
        <f t="shared" si="55"/>
        <v>196.17882407514787</v>
      </c>
      <c r="R69" s="87">
        <f t="shared" si="55"/>
        <v>201.11392384160641</v>
      </c>
      <c r="S69" s="87">
        <f t="shared" si="55"/>
        <v>210.03117665150461</v>
      </c>
      <c r="T69" s="87">
        <f t="shared" si="55"/>
        <v>217.43122946676775</v>
      </c>
      <c r="U69" s="87">
        <f t="shared" si="55"/>
        <v>217.32785079212377</v>
      </c>
      <c r="V69" s="87">
        <f t="shared" si="55"/>
        <v>143.97243765206812</v>
      </c>
      <c r="W69" s="87">
        <f t="shared" ref="W69" si="56">IF(W37=0,0,W37/W27)</f>
        <v>138.22639671811822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44.468951659208038</v>
      </c>
      <c r="C70" s="15">
        <f t="shared" si="48"/>
        <v>43.721359842580632</v>
      </c>
      <c r="D70" s="15">
        <f t="shared" ref="D70:V70" si="57">IF(D38=0,0,D38/D28)</f>
        <v>45.049109656737883</v>
      </c>
      <c r="E70" s="15">
        <f t="shared" si="57"/>
        <v>42.182307983156257</v>
      </c>
      <c r="F70" s="15">
        <f t="shared" si="57"/>
        <v>41.099702032130288</v>
      </c>
      <c r="G70" s="15">
        <f t="shared" si="57"/>
        <v>38.287102461659543</v>
      </c>
      <c r="H70" s="15">
        <f t="shared" si="57"/>
        <v>38.765434378404478</v>
      </c>
      <c r="I70" s="15">
        <f t="shared" si="57"/>
        <v>38.504856785556115</v>
      </c>
      <c r="J70" s="15">
        <f t="shared" si="57"/>
        <v>37.106087903593732</v>
      </c>
      <c r="K70" s="15">
        <f t="shared" si="57"/>
        <v>39.379552700380458</v>
      </c>
      <c r="L70" s="15">
        <f t="shared" si="57"/>
        <v>41.922856241027198</v>
      </c>
      <c r="M70" s="15">
        <f t="shared" si="57"/>
        <v>44.166094904694141</v>
      </c>
      <c r="N70" s="15">
        <f t="shared" si="57"/>
        <v>46.71984194308618</v>
      </c>
      <c r="O70" s="15">
        <f t="shared" si="57"/>
        <v>47.185073183449731</v>
      </c>
      <c r="P70" s="15">
        <f t="shared" si="57"/>
        <v>51.648597367983967</v>
      </c>
      <c r="Q70" s="15">
        <f t="shared" si="57"/>
        <v>52.058009499422234</v>
      </c>
      <c r="R70" s="15">
        <f t="shared" si="57"/>
        <v>56.402695502982404</v>
      </c>
      <c r="S70" s="15">
        <f t="shared" si="57"/>
        <v>58.371396573173591</v>
      </c>
      <c r="T70" s="15">
        <f t="shared" si="57"/>
        <v>60.280731933409349</v>
      </c>
      <c r="U70" s="15">
        <f t="shared" si="57"/>
        <v>61.083119981372199</v>
      </c>
      <c r="V70" s="15">
        <f t="shared" si="57"/>
        <v>43.668745136764869</v>
      </c>
      <c r="W70" s="15">
        <f t="shared" ref="W70" si="58">IF(W38=0,0,W38/W28)</f>
        <v>45.952964608435678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16.076075457403377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13.985273542904691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13.626760295117139</v>
      </c>
      <c r="L72" s="41">
        <f t="shared" si="61"/>
        <v>14.42078686057312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18.175765763019093</v>
      </c>
      <c r="R72" s="41">
        <f t="shared" si="61"/>
        <v>20.573511943488921</v>
      </c>
      <c r="S72" s="41">
        <f t="shared" si="61"/>
        <v>19.128094078057725</v>
      </c>
      <c r="T72" s="41">
        <f t="shared" si="61"/>
        <v>19.011024442061295</v>
      </c>
      <c r="U72" s="41">
        <f t="shared" si="61"/>
        <v>19.492640855946785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49.89878191350337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58.746980790650376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2080.3014400812881</v>
      </c>
      <c r="C75" s="62">
        <f t="shared" si="65"/>
        <v>2073.7168921996999</v>
      </c>
      <c r="D75" s="62">
        <f t="shared" ref="D75:V75" si="66">IF(D13=0,0,D13*1000000/D23)</f>
        <v>2072.5760794318039</v>
      </c>
      <c r="E75" s="62">
        <f t="shared" si="66"/>
        <v>2062.8656882353766</v>
      </c>
      <c r="F75" s="62">
        <f t="shared" si="66"/>
        <v>2123.4082928217995</v>
      </c>
      <c r="G75" s="62">
        <f t="shared" si="66"/>
        <v>2173.2833497880902</v>
      </c>
      <c r="H75" s="62">
        <f t="shared" si="66"/>
        <v>2121.5509113654039</v>
      </c>
      <c r="I75" s="62">
        <f t="shared" si="66"/>
        <v>2107.6182976045015</v>
      </c>
      <c r="J75" s="62">
        <f t="shared" si="66"/>
        <v>2174.0375262972984</v>
      </c>
      <c r="K75" s="62">
        <f t="shared" si="66"/>
        <v>2124.6513567804791</v>
      </c>
      <c r="L75" s="62">
        <f t="shared" si="66"/>
        <v>2215.8411177505245</v>
      </c>
      <c r="M75" s="62">
        <f t="shared" si="66"/>
        <v>2148.3388315673146</v>
      </c>
      <c r="N75" s="62">
        <f t="shared" si="66"/>
        <v>2105.7627570308623</v>
      </c>
      <c r="O75" s="62">
        <f t="shared" si="66"/>
        <v>2116.407348110341</v>
      </c>
      <c r="P75" s="62">
        <f t="shared" si="66"/>
        <v>2088.6516770103235</v>
      </c>
      <c r="Q75" s="62">
        <f t="shared" si="66"/>
        <v>2118.1113906431979</v>
      </c>
      <c r="R75" s="62">
        <f t="shared" si="66"/>
        <v>2080.5590842142801</v>
      </c>
      <c r="S75" s="62">
        <f t="shared" si="66"/>
        <v>2113.5179102800839</v>
      </c>
      <c r="T75" s="62">
        <f t="shared" si="66"/>
        <v>2138.900503783108</v>
      </c>
      <c r="U75" s="62">
        <f t="shared" si="66"/>
        <v>2140.386864314818</v>
      </c>
      <c r="V75" s="62">
        <f t="shared" si="66"/>
        <v>2564.6061288453957</v>
      </c>
      <c r="W75" s="62">
        <f t="shared" ref="W75" si="67">IF(W13=0,0,W13*1000000/W23)</f>
        <v>2605.6991246883817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1903.2009253030028</v>
      </c>
      <c r="C76" s="14">
        <f t="shared" si="65"/>
        <v>1903.2134255953924</v>
      </c>
      <c r="D76" s="14">
        <f t="shared" ref="D76:V76" si="68">IF(D14=0,0,D14*1000000/D24)</f>
        <v>1888.1086847562979</v>
      </c>
      <c r="E76" s="14">
        <f t="shared" si="68"/>
        <v>1855.3083877163263</v>
      </c>
      <c r="F76" s="14">
        <f t="shared" si="68"/>
        <v>1918.8296360897305</v>
      </c>
      <c r="G76" s="14">
        <f t="shared" si="68"/>
        <v>1943.6062347990455</v>
      </c>
      <c r="H76" s="14">
        <f t="shared" si="68"/>
        <v>1872.6057562163669</v>
      </c>
      <c r="I76" s="14">
        <f t="shared" si="68"/>
        <v>1864.4354880820233</v>
      </c>
      <c r="J76" s="14">
        <f t="shared" si="68"/>
        <v>1925.1538511232093</v>
      </c>
      <c r="K76" s="14">
        <f t="shared" si="68"/>
        <v>1923.8363392121889</v>
      </c>
      <c r="L76" s="14">
        <f t="shared" si="68"/>
        <v>1978.7507577119941</v>
      </c>
      <c r="M76" s="14">
        <f t="shared" si="68"/>
        <v>1947.681193337374</v>
      </c>
      <c r="N76" s="14">
        <f t="shared" si="68"/>
        <v>1943.2173602416567</v>
      </c>
      <c r="O76" s="14">
        <f t="shared" si="68"/>
        <v>1954.3355911021713</v>
      </c>
      <c r="P76" s="14">
        <f t="shared" si="68"/>
        <v>1942.4909644089921</v>
      </c>
      <c r="Q76" s="14">
        <f t="shared" si="68"/>
        <v>1974.0395486574957</v>
      </c>
      <c r="R76" s="14">
        <f t="shared" si="68"/>
        <v>1957.3594585868186</v>
      </c>
      <c r="S76" s="14">
        <f t="shared" si="68"/>
        <v>1976.7796813846044</v>
      </c>
      <c r="T76" s="14">
        <f t="shared" si="68"/>
        <v>2002.1276631284506</v>
      </c>
      <c r="U76" s="14">
        <f t="shared" si="68"/>
        <v>2023.5085416568613</v>
      </c>
      <c r="V76" s="14">
        <f t="shared" si="68"/>
        <v>2162.9711717572955</v>
      </c>
      <c r="W76" s="14">
        <f t="shared" ref="W76" si="69">IF(W14=0,0,W14*1000000/W24)</f>
        <v>2280.9025884573598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911.6239302189307</v>
      </c>
      <c r="C78" s="39">
        <f t="shared" si="65"/>
        <v>911.62475359446933</v>
      </c>
      <c r="D78" s="39">
        <f t="shared" ref="D78:V78" si="72">IF(D16=0,0,D16*1000000/D26)</f>
        <v>906.39205491107782</v>
      </c>
      <c r="E78" s="39">
        <f t="shared" si="72"/>
        <v>900.87821664809223</v>
      </c>
      <c r="F78" s="39">
        <f t="shared" si="72"/>
        <v>908.96970421148421</v>
      </c>
      <c r="G78" s="39">
        <f t="shared" si="72"/>
        <v>917.36460108914116</v>
      </c>
      <c r="H78" s="39">
        <f t="shared" si="72"/>
        <v>920.32948768260314</v>
      </c>
      <c r="I78" s="39">
        <f t="shared" si="72"/>
        <v>923.66325736784881</v>
      </c>
      <c r="J78" s="39">
        <f t="shared" si="72"/>
        <v>929.18920322265808</v>
      </c>
      <c r="K78" s="39">
        <f t="shared" si="72"/>
        <v>926.7984890956219</v>
      </c>
      <c r="L78" s="39">
        <f t="shared" si="72"/>
        <v>943.87682964474197</v>
      </c>
      <c r="M78" s="39">
        <f t="shared" si="72"/>
        <v>950.08175116174175</v>
      </c>
      <c r="N78" s="39">
        <f t="shared" si="72"/>
        <v>936.82024650660242</v>
      </c>
      <c r="O78" s="39">
        <f t="shared" si="72"/>
        <v>938.15646840145894</v>
      </c>
      <c r="P78" s="39">
        <f t="shared" si="72"/>
        <v>942.19816993263441</v>
      </c>
      <c r="Q78" s="39">
        <f t="shared" si="72"/>
        <v>944.14157875492776</v>
      </c>
      <c r="R78" s="39">
        <f t="shared" si="72"/>
        <v>969.79293542525932</v>
      </c>
      <c r="S78" s="39">
        <f t="shared" si="72"/>
        <v>1001.8218425693483</v>
      </c>
      <c r="T78" s="39">
        <f t="shared" si="72"/>
        <v>1013.3451602721404</v>
      </c>
      <c r="U78" s="39">
        <f t="shared" si="72"/>
        <v>1012.1882146521032</v>
      </c>
      <c r="V78" s="39">
        <f t="shared" si="72"/>
        <v>1031.2825284196419</v>
      </c>
      <c r="W78" s="39">
        <f t="shared" ref="W78" si="73">IF(W16=0,0,W16*1000000/W26)</f>
        <v>1156.528360831159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5089.6121884362738</v>
      </c>
      <c r="C79" s="39">
        <f t="shared" si="65"/>
        <v>5089.6121884362738</v>
      </c>
      <c r="D79" s="39">
        <f t="shared" ref="D79:V79" si="74">IF(D17=0,0,D17*1000000/D27)</f>
        <v>5089.6121884362738</v>
      </c>
      <c r="E79" s="39">
        <f t="shared" si="74"/>
        <v>5089.6121884362738</v>
      </c>
      <c r="F79" s="39">
        <f t="shared" si="74"/>
        <v>5089.6121884362738</v>
      </c>
      <c r="G79" s="39">
        <f t="shared" si="74"/>
        <v>5247.6463409563403</v>
      </c>
      <c r="H79" s="39">
        <f t="shared" si="74"/>
        <v>5281.0968427663502</v>
      </c>
      <c r="I79" s="39">
        <f t="shared" si="74"/>
        <v>5292.4595323854146</v>
      </c>
      <c r="J79" s="39">
        <f t="shared" si="74"/>
        <v>5261.3329454105551</v>
      </c>
      <c r="K79" s="39">
        <f t="shared" si="74"/>
        <v>5138.9113164246392</v>
      </c>
      <c r="L79" s="39">
        <f t="shared" si="74"/>
        <v>5110.8390224278392</v>
      </c>
      <c r="M79" s="39">
        <f t="shared" si="74"/>
        <v>5111.3481504313468</v>
      </c>
      <c r="N79" s="39">
        <f t="shared" si="74"/>
        <v>5089.8106236383919</v>
      </c>
      <c r="O79" s="39">
        <f t="shared" si="74"/>
        <v>5085.4614667996493</v>
      </c>
      <c r="P79" s="39">
        <f t="shared" si="74"/>
        <v>5103.7857844013588</v>
      </c>
      <c r="Q79" s="39">
        <f t="shared" si="74"/>
        <v>5151.536095053104</v>
      </c>
      <c r="R79" s="39">
        <f t="shared" si="74"/>
        <v>5232.1247004388069</v>
      </c>
      <c r="S79" s="39">
        <f t="shared" si="74"/>
        <v>5260.4071287747111</v>
      </c>
      <c r="T79" s="39">
        <f t="shared" si="74"/>
        <v>5301.8644199990249</v>
      </c>
      <c r="U79" s="39">
        <f t="shared" si="74"/>
        <v>5318.1967440031458</v>
      </c>
      <c r="V79" s="39">
        <f t="shared" si="74"/>
        <v>5919.2619287723428</v>
      </c>
      <c r="W79" s="39">
        <f t="shared" ref="W79" si="75">IF(W17=0,0,W17*1000000/W27)</f>
        <v>5661.0271000414823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4622.1937589289373</v>
      </c>
      <c r="C80" s="15">
        <f t="shared" si="65"/>
        <v>4344.9037763087399</v>
      </c>
      <c r="D80" s="15">
        <f t="shared" ref="D80:V80" si="76">IF(D18=0,0,D18*1000000/D28)</f>
        <v>4613.2027005160762</v>
      </c>
      <c r="E80" s="15">
        <f t="shared" si="76"/>
        <v>4647.8203487804067</v>
      </c>
      <c r="F80" s="15">
        <f t="shared" si="76"/>
        <v>4592.2478584693445</v>
      </c>
      <c r="G80" s="15">
        <f t="shared" si="76"/>
        <v>4781.3626479837158</v>
      </c>
      <c r="H80" s="15">
        <f t="shared" si="76"/>
        <v>4936.6615682971933</v>
      </c>
      <c r="I80" s="15">
        <f t="shared" si="76"/>
        <v>5043.2706360372831</v>
      </c>
      <c r="J80" s="15">
        <f t="shared" si="76"/>
        <v>4942.1345248489142</v>
      </c>
      <c r="K80" s="15">
        <f t="shared" si="76"/>
        <v>4761.1443176576722</v>
      </c>
      <c r="L80" s="15">
        <f t="shared" si="76"/>
        <v>4933.3252727952186</v>
      </c>
      <c r="M80" s="15">
        <f t="shared" si="76"/>
        <v>4691.931396894538</v>
      </c>
      <c r="N80" s="15">
        <f t="shared" si="76"/>
        <v>4365.4045721136717</v>
      </c>
      <c r="O80" s="15">
        <f t="shared" si="76"/>
        <v>4343.606431584747</v>
      </c>
      <c r="P80" s="15">
        <f t="shared" si="76"/>
        <v>4237.8207214537406</v>
      </c>
      <c r="Q80" s="15">
        <f t="shared" si="76"/>
        <v>4308.5470226337166</v>
      </c>
      <c r="R80" s="15">
        <f t="shared" si="76"/>
        <v>4214.7345714225485</v>
      </c>
      <c r="S80" s="15">
        <f t="shared" si="76"/>
        <v>4466.971391920355</v>
      </c>
      <c r="T80" s="15">
        <f t="shared" si="76"/>
        <v>4641.0416216755639</v>
      </c>
      <c r="U80" s="15">
        <f t="shared" si="76"/>
        <v>4486.3573399428924</v>
      </c>
      <c r="V80" s="15">
        <f t="shared" si="76"/>
        <v>5211.236297901326</v>
      </c>
      <c r="W80" s="15">
        <f t="shared" ref="W80" si="77">IF(W18=0,0,W18*1000000/W28)</f>
        <v>4994.9505319179689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790.07454525991727</v>
      </c>
      <c r="C82" s="41">
        <f t="shared" si="65"/>
        <v>784.93179960992643</v>
      </c>
      <c r="D82" s="41">
        <f t="shared" ref="D82:V82" si="80">IF(D20=0,0,D20*1000000/D30)</f>
        <v>787.90728929081115</v>
      </c>
      <c r="E82" s="41">
        <f t="shared" si="80"/>
        <v>790.60576508472991</v>
      </c>
      <c r="F82" s="41">
        <f t="shared" si="80"/>
        <v>760.10608376857294</v>
      </c>
      <c r="G82" s="41">
        <f t="shared" si="80"/>
        <v>756.5394398161327</v>
      </c>
      <c r="H82" s="41">
        <f t="shared" si="80"/>
        <v>772.16770914213816</v>
      </c>
      <c r="I82" s="41">
        <f t="shared" si="80"/>
        <v>804.4487278548113</v>
      </c>
      <c r="J82" s="41">
        <f t="shared" si="80"/>
        <v>800.38474273354768</v>
      </c>
      <c r="K82" s="41">
        <f t="shared" si="80"/>
        <v>839.55131236606019</v>
      </c>
      <c r="L82" s="41">
        <f t="shared" si="80"/>
        <v>873.3483323845503</v>
      </c>
      <c r="M82" s="41">
        <f t="shared" si="80"/>
        <v>733.92685847232383</v>
      </c>
      <c r="N82" s="41">
        <f t="shared" si="80"/>
        <v>577.05707244912503</v>
      </c>
      <c r="O82" s="41">
        <f t="shared" si="80"/>
        <v>594.79198583913171</v>
      </c>
      <c r="P82" s="41">
        <f t="shared" si="80"/>
        <v>596.46856434936512</v>
      </c>
      <c r="Q82" s="41">
        <f t="shared" si="80"/>
        <v>602.79425696346141</v>
      </c>
      <c r="R82" s="41">
        <f t="shared" si="80"/>
        <v>640.7078212412149</v>
      </c>
      <c r="S82" s="41">
        <f t="shared" si="80"/>
        <v>686.33666896012653</v>
      </c>
      <c r="T82" s="41">
        <f t="shared" si="80"/>
        <v>688.77334012710253</v>
      </c>
      <c r="U82" s="41">
        <f t="shared" si="80"/>
        <v>687.24492036686524</v>
      </c>
      <c r="V82" s="41">
        <f t="shared" si="80"/>
        <v>670.1572905754191</v>
      </c>
      <c r="W82" s="41">
        <f t="shared" ref="W82" si="81">IF(W20=0,0,W20*1000000/W30)</f>
        <v>743.59643427373896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5656.0690447765264</v>
      </c>
      <c r="C83" s="40">
        <f t="shared" si="65"/>
        <v>5656.0690447765264</v>
      </c>
      <c r="D83" s="40">
        <f t="shared" ref="D83:V83" si="82">IF(D21=0,0,D21*1000000/D31)</f>
        <v>5656.0690447765255</v>
      </c>
      <c r="E83" s="40">
        <f t="shared" si="82"/>
        <v>5656.0690447765255</v>
      </c>
      <c r="F83" s="40">
        <f t="shared" si="82"/>
        <v>5656.0690447765255</v>
      </c>
      <c r="G83" s="40">
        <f t="shared" si="82"/>
        <v>5814.1031972965948</v>
      </c>
      <c r="H83" s="40">
        <f t="shared" si="82"/>
        <v>6011.9604798554274</v>
      </c>
      <c r="I83" s="40">
        <f t="shared" si="82"/>
        <v>6187.7299502233136</v>
      </c>
      <c r="J83" s="40">
        <f t="shared" si="82"/>
        <v>6321.0101439972759</v>
      </c>
      <c r="K83" s="40">
        <f t="shared" si="82"/>
        <v>6362.9952957601845</v>
      </c>
      <c r="L83" s="40">
        <f t="shared" si="82"/>
        <v>6499.3297825122072</v>
      </c>
      <c r="M83" s="40">
        <f t="shared" si="82"/>
        <v>6196.2980254530621</v>
      </c>
      <c r="N83" s="40">
        <f t="shared" si="82"/>
        <v>5871.2196135974564</v>
      </c>
      <c r="O83" s="40">
        <f t="shared" si="82"/>
        <v>5831.3785012247145</v>
      </c>
      <c r="P83" s="40">
        <f t="shared" si="82"/>
        <v>5814.2108632924237</v>
      </c>
      <c r="Q83" s="40">
        <f t="shared" si="82"/>
        <v>5826.4692184101723</v>
      </c>
      <c r="R83" s="40">
        <f t="shared" si="82"/>
        <v>5871.5658682618723</v>
      </c>
      <c r="S83" s="40">
        <f t="shared" si="82"/>
        <v>5864.3563410637762</v>
      </c>
      <c r="T83" s="40">
        <f t="shared" si="82"/>
        <v>5870.3216767540916</v>
      </c>
      <c r="U83" s="40">
        <f t="shared" si="82"/>
        <v>5749.8890268123141</v>
      </c>
      <c r="V83" s="40">
        <f t="shared" si="82"/>
        <v>6350.9542115815111</v>
      </c>
      <c r="W83" s="40">
        <f t="shared" ref="W83" si="83">IF(W21=0,0,W21*1000000/W31)</f>
        <v>6092.7193828506506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312960.75039662502</v>
      </c>
      <c r="C86" s="11">
        <f t="shared" si="84"/>
        <v>315457.50549731264</v>
      </c>
      <c r="D86" s="11">
        <f t="shared" ref="D86:V86" si="85">IF(D4=0,0,D4*1000000/D24)</f>
        <v>313889.63813590683</v>
      </c>
      <c r="E86" s="11">
        <f t="shared" si="85"/>
        <v>307693.88984764047</v>
      </c>
      <c r="F86" s="11">
        <f t="shared" si="85"/>
        <v>333065.05789464473</v>
      </c>
      <c r="G86" s="11">
        <f t="shared" si="85"/>
        <v>354235.14588610642</v>
      </c>
      <c r="H86" s="11">
        <f t="shared" si="85"/>
        <v>335568.55303317797</v>
      </c>
      <c r="I86" s="11">
        <f t="shared" si="85"/>
        <v>331778.31908629119</v>
      </c>
      <c r="J86" s="11">
        <f t="shared" si="85"/>
        <v>337477.13785121869</v>
      </c>
      <c r="K86" s="11">
        <f t="shared" si="85"/>
        <v>335039.1915353908</v>
      </c>
      <c r="L86" s="11">
        <f t="shared" si="85"/>
        <v>359043.97293821856</v>
      </c>
      <c r="M86" s="11">
        <f t="shared" si="85"/>
        <v>357430.08422859741</v>
      </c>
      <c r="N86" s="11">
        <f t="shared" si="85"/>
        <v>365560.51248264068</v>
      </c>
      <c r="O86" s="11">
        <f t="shared" si="85"/>
        <v>374753.94105693616</v>
      </c>
      <c r="P86" s="11">
        <f t="shared" si="85"/>
        <v>376784.07217612467</v>
      </c>
      <c r="Q86" s="11">
        <f t="shared" si="85"/>
        <v>385804.12120620051</v>
      </c>
      <c r="R86" s="11">
        <f t="shared" si="85"/>
        <v>387901.30675609969</v>
      </c>
      <c r="S86" s="11">
        <f t="shared" si="85"/>
        <v>403219.25588328426</v>
      </c>
      <c r="T86" s="11">
        <f t="shared" si="85"/>
        <v>416139.99742336647</v>
      </c>
      <c r="U86" s="11">
        <f t="shared" si="85"/>
        <v>424440.94671773579</v>
      </c>
      <c r="V86" s="11">
        <f t="shared" si="85"/>
        <v>317108.80388718867</v>
      </c>
      <c r="W86" s="11">
        <f t="shared" ref="W86" si="86">IF(W4=0,0,W4*1000000/W24)</f>
        <v>326306.03221346712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101914.606822645</v>
      </c>
      <c r="C88" s="36">
        <f t="shared" si="84"/>
        <v>103293.67892713918</v>
      </c>
      <c r="D88" s="36">
        <f t="shared" ref="D88:V88" si="89">IF(D6=0,0,D6*1000000/D26)</f>
        <v>102529.91714279076</v>
      </c>
      <c r="E88" s="36">
        <f t="shared" si="89"/>
        <v>100491.5590508317</v>
      </c>
      <c r="F88" s="36">
        <f t="shared" si="89"/>
        <v>103756.05334848767</v>
      </c>
      <c r="G88" s="36">
        <f t="shared" si="89"/>
        <v>106644.58566889015</v>
      </c>
      <c r="H88" s="36">
        <f t="shared" si="89"/>
        <v>102570.88610904044</v>
      </c>
      <c r="I88" s="36">
        <f t="shared" si="89"/>
        <v>98573.856526840696</v>
      </c>
      <c r="J88" s="36">
        <f t="shared" si="89"/>
        <v>95706.48522193369</v>
      </c>
      <c r="K88" s="36">
        <f t="shared" si="89"/>
        <v>96662.078463575803</v>
      </c>
      <c r="L88" s="36">
        <f t="shared" si="89"/>
        <v>103775.90714896668</v>
      </c>
      <c r="M88" s="36">
        <f t="shared" si="89"/>
        <v>107949.5624011856</v>
      </c>
      <c r="N88" s="36">
        <f t="shared" si="89"/>
        <v>109543.05902194629</v>
      </c>
      <c r="O88" s="36">
        <f t="shared" si="89"/>
        <v>112639.35757869555</v>
      </c>
      <c r="P88" s="36">
        <f t="shared" si="89"/>
        <v>114951.55591087461</v>
      </c>
      <c r="Q88" s="36">
        <f t="shared" si="89"/>
        <v>117608.7214426663</v>
      </c>
      <c r="R88" s="36">
        <f t="shared" si="89"/>
        <v>125582.58463493707</v>
      </c>
      <c r="S88" s="36">
        <f t="shared" si="89"/>
        <v>134681.41868120784</v>
      </c>
      <c r="T88" s="36">
        <f t="shared" si="89"/>
        <v>138324.90093897184</v>
      </c>
      <c r="U88" s="36">
        <f t="shared" si="89"/>
        <v>139867.99139698409</v>
      </c>
      <c r="V88" s="36">
        <f t="shared" si="89"/>
        <v>106081.69670652137</v>
      </c>
      <c r="W88" s="36">
        <f t="shared" ref="W88" si="90">IF(W6=0,0,W6*1000000/W26)</f>
        <v>128347.23852845738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991152.97576985939</v>
      </c>
      <c r="C89" s="36">
        <f t="shared" si="84"/>
        <v>997230.67777308368</v>
      </c>
      <c r="D89" s="36">
        <f t="shared" ref="D89:V89" si="91">IF(D7=0,0,D7*1000000/D27)</f>
        <v>1003160.7238289025</v>
      </c>
      <c r="E89" s="36">
        <f t="shared" si="91"/>
        <v>1009846.1334885635</v>
      </c>
      <c r="F89" s="36">
        <f t="shared" si="91"/>
        <v>1053054.9968543879</v>
      </c>
      <c r="G89" s="36">
        <f t="shared" si="91"/>
        <v>1151366.2639312351</v>
      </c>
      <c r="H89" s="36">
        <f t="shared" si="91"/>
        <v>1169539.2158962383</v>
      </c>
      <c r="I89" s="36">
        <f t="shared" si="91"/>
        <v>1181538.2065414828</v>
      </c>
      <c r="J89" s="36">
        <f t="shared" si="91"/>
        <v>1147335.3979955767</v>
      </c>
      <c r="K89" s="36">
        <f t="shared" si="91"/>
        <v>1103716.4200756443</v>
      </c>
      <c r="L89" s="36">
        <f t="shared" si="91"/>
        <v>1131623.2132988574</v>
      </c>
      <c r="M89" s="36">
        <f t="shared" si="91"/>
        <v>1148602.6230009168</v>
      </c>
      <c r="N89" s="36">
        <f t="shared" si="91"/>
        <v>1166022.659459234</v>
      </c>
      <c r="O89" s="36">
        <f t="shared" si="91"/>
        <v>1182400.6800936174</v>
      </c>
      <c r="P89" s="36">
        <f t="shared" si="91"/>
        <v>1204271.5657836439</v>
      </c>
      <c r="Q89" s="36">
        <f t="shared" si="91"/>
        <v>1213254.9769336272</v>
      </c>
      <c r="R89" s="36">
        <f t="shared" si="91"/>
        <v>1257748.76851426</v>
      </c>
      <c r="S89" s="36">
        <f t="shared" si="91"/>
        <v>1307646.2760004092</v>
      </c>
      <c r="T89" s="36">
        <f t="shared" si="91"/>
        <v>1343256.6108696696</v>
      </c>
      <c r="U89" s="36">
        <f t="shared" si="91"/>
        <v>1351525.208317558</v>
      </c>
      <c r="V89" s="36">
        <f t="shared" si="91"/>
        <v>1017548.078283847</v>
      </c>
      <c r="W89" s="36">
        <f t="shared" ref="W89" si="92">IF(W7=0,0,W7*1000000/W27)</f>
        <v>921415.16436690942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344391.12560078484</v>
      </c>
      <c r="C90" s="13">
        <f t="shared" si="84"/>
        <v>336332.7793304114</v>
      </c>
      <c r="D90" s="13">
        <f t="shared" ref="D90:V90" si="93">IF(D8=0,0,D8*1000000/D28)</f>
        <v>340004.60584896553</v>
      </c>
      <c r="E90" s="13">
        <f t="shared" si="93"/>
        <v>312014.07363320206</v>
      </c>
      <c r="F90" s="13">
        <f t="shared" si="93"/>
        <v>298748.52804999874</v>
      </c>
      <c r="G90" s="13">
        <f t="shared" si="93"/>
        <v>293384.69013334945</v>
      </c>
      <c r="H90" s="13">
        <f t="shared" si="93"/>
        <v>292498.40722727479</v>
      </c>
      <c r="I90" s="13">
        <f t="shared" si="93"/>
        <v>293474.25664819946</v>
      </c>
      <c r="J90" s="13">
        <f t="shared" si="93"/>
        <v>280515.21452715161</v>
      </c>
      <c r="K90" s="13">
        <f t="shared" si="93"/>
        <v>302116.74076309905</v>
      </c>
      <c r="L90" s="13">
        <f t="shared" si="93"/>
        <v>318666.82654860965</v>
      </c>
      <c r="M90" s="13">
        <f t="shared" si="93"/>
        <v>321445.75651745842</v>
      </c>
      <c r="N90" s="13">
        <f t="shared" si="93"/>
        <v>325041.00423314964</v>
      </c>
      <c r="O90" s="13">
        <f t="shared" si="93"/>
        <v>325756.96660465014</v>
      </c>
      <c r="P90" s="13">
        <f t="shared" si="93"/>
        <v>368795.67362605978</v>
      </c>
      <c r="Q90" s="13">
        <f t="shared" si="93"/>
        <v>375055.693874627</v>
      </c>
      <c r="R90" s="13">
        <f t="shared" si="93"/>
        <v>395067.0244532217</v>
      </c>
      <c r="S90" s="13">
        <f t="shared" si="93"/>
        <v>413916.31280382129</v>
      </c>
      <c r="T90" s="13">
        <f t="shared" si="93"/>
        <v>433016.33249405818</v>
      </c>
      <c r="U90" s="13">
        <f t="shared" si="93"/>
        <v>437070.18411265541</v>
      </c>
      <c r="V90" s="13">
        <f t="shared" si="93"/>
        <v>337889.73556778667</v>
      </c>
      <c r="W90" s="13">
        <f t="shared" ref="W90" si="94">IF(W8=0,0,W8*1000000/W28)</f>
        <v>319623.3774723254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20431.753941277377</v>
      </c>
      <c r="C92" s="34">
        <f t="shared" si="84"/>
        <v>21379.093522676954</v>
      </c>
      <c r="D92" s="34">
        <f t="shared" ref="D92:V92" si="97">IF(D10=0,0,D10*1000000/D30)</f>
        <v>20192.923288315644</v>
      </c>
      <c r="E92" s="34">
        <f t="shared" si="97"/>
        <v>20470.018385216157</v>
      </c>
      <c r="F92" s="34">
        <f t="shared" si="97"/>
        <v>17446.207940491076</v>
      </c>
      <c r="G92" s="34">
        <f t="shared" si="97"/>
        <v>17019.83363834479</v>
      </c>
      <c r="H92" s="34">
        <f t="shared" si="97"/>
        <v>15015.368257927734</v>
      </c>
      <c r="I92" s="34">
        <f t="shared" si="97"/>
        <v>15410.236950589142</v>
      </c>
      <c r="J92" s="34">
        <f t="shared" si="97"/>
        <v>15053.489255657361</v>
      </c>
      <c r="K92" s="34">
        <f t="shared" si="97"/>
        <v>16480.060134767369</v>
      </c>
      <c r="L92" s="34">
        <f t="shared" si="97"/>
        <v>17356.411253510931</v>
      </c>
      <c r="M92" s="34">
        <f t="shared" si="97"/>
        <v>15288.014105704979</v>
      </c>
      <c r="N92" s="34">
        <f t="shared" si="97"/>
        <v>13020.508521600039</v>
      </c>
      <c r="O92" s="34">
        <f t="shared" si="97"/>
        <v>13489.799107817598</v>
      </c>
      <c r="P92" s="34">
        <f t="shared" si="97"/>
        <v>15647.236451681805</v>
      </c>
      <c r="Q92" s="34">
        <f t="shared" si="97"/>
        <v>15602.607082736728</v>
      </c>
      <c r="R92" s="34">
        <f t="shared" si="97"/>
        <v>18020.654237313352</v>
      </c>
      <c r="S92" s="34">
        <f t="shared" si="97"/>
        <v>17317.724063176825</v>
      </c>
      <c r="T92" s="34">
        <f t="shared" si="97"/>
        <v>17690.975325787145</v>
      </c>
      <c r="U92" s="34">
        <f t="shared" si="97"/>
        <v>18518.878008355405</v>
      </c>
      <c r="V92" s="34">
        <f t="shared" si="97"/>
        <v>14721.764892905188</v>
      </c>
      <c r="W92" s="34">
        <f t="shared" ref="W92" si="98">IF(W10=0,0,W10*1000000/W30)</f>
        <v>15470.222938986584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431792.7875278939</v>
      </c>
      <c r="C93" s="35">
        <f t="shared" si="84"/>
        <v>452332.662674986</v>
      </c>
      <c r="D93" s="35">
        <f t="shared" ref="D93:V93" si="99">IF(D11=0,0,D11*1000000/D31)</f>
        <v>427192.86306567531</v>
      </c>
      <c r="E93" s="35">
        <f t="shared" si="99"/>
        <v>388221.63407635572</v>
      </c>
      <c r="F93" s="35">
        <f t="shared" si="99"/>
        <v>376839.41964109225</v>
      </c>
      <c r="G93" s="35">
        <f t="shared" si="99"/>
        <v>364297.91512376314</v>
      </c>
      <c r="H93" s="35">
        <f t="shared" si="99"/>
        <v>364146.30007352529</v>
      </c>
      <c r="I93" s="35">
        <f t="shared" si="99"/>
        <v>368550.0593538126</v>
      </c>
      <c r="J93" s="35">
        <f t="shared" si="99"/>
        <v>368893.00653538166</v>
      </c>
      <c r="K93" s="35">
        <f t="shared" si="99"/>
        <v>418790.60152046365</v>
      </c>
      <c r="L93" s="35">
        <f t="shared" si="99"/>
        <v>434887.55294738937</v>
      </c>
      <c r="M93" s="35">
        <f t="shared" si="99"/>
        <v>437810.83045510919</v>
      </c>
      <c r="N93" s="35">
        <f t="shared" si="99"/>
        <v>449064.77864541841</v>
      </c>
      <c r="O93" s="35">
        <f t="shared" si="99"/>
        <v>449684.77812773309</v>
      </c>
      <c r="P93" s="35">
        <f t="shared" si="99"/>
        <v>521678.36416212656</v>
      </c>
      <c r="Q93" s="35">
        <f t="shared" si="99"/>
        <v>522292.12687047088</v>
      </c>
      <c r="R93" s="35">
        <f t="shared" si="99"/>
        <v>569856.49028519623</v>
      </c>
      <c r="S93" s="35">
        <f t="shared" si="99"/>
        <v>560505.69246326631</v>
      </c>
      <c r="T93" s="35">
        <f t="shared" si="99"/>
        <v>562195.61425457976</v>
      </c>
      <c r="U93" s="35">
        <f t="shared" si="99"/>
        <v>576274.49802510999</v>
      </c>
      <c r="V93" s="35">
        <f t="shared" si="99"/>
        <v>418998.28371496522</v>
      </c>
      <c r="W93" s="35">
        <f t="shared" ref="W93" si="100">IF(W11=0,0,W11*1000000/W31)</f>
        <v>398160.6743643037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782.55505734620851</v>
      </c>
      <c r="C95" s="62">
        <f t="shared" si="101"/>
        <v>783.85901163445578</v>
      </c>
      <c r="D95" s="62">
        <f t="shared" ref="D95:V95" si="102">IF(D23=0,0,D23/D43)</f>
        <v>783.08738939703926</v>
      </c>
      <c r="E95" s="62">
        <f t="shared" si="102"/>
        <v>786.44707513970297</v>
      </c>
      <c r="F95" s="62">
        <f t="shared" si="102"/>
        <v>768.60697286352047</v>
      </c>
      <c r="G95" s="62">
        <f t="shared" si="102"/>
        <v>755.85156360439794</v>
      </c>
      <c r="H95" s="62">
        <f t="shared" si="102"/>
        <v>772.05138551199911</v>
      </c>
      <c r="I95" s="62">
        <f t="shared" si="102"/>
        <v>777.33384373915771</v>
      </c>
      <c r="J95" s="62">
        <f t="shared" si="102"/>
        <v>756.07999069992388</v>
      </c>
      <c r="K95" s="62">
        <f t="shared" si="102"/>
        <v>739.22757756058672</v>
      </c>
      <c r="L95" s="62">
        <f t="shared" si="102"/>
        <v>744.35493324481752</v>
      </c>
      <c r="M95" s="62">
        <f t="shared" si="102"/>
        <v>764.38051948176894</v>
      </c>
      <c r="N95" s="62">
        <f t="shared" si="102"/>
        <v>769.2360628450798</v>
      </c>
      <c r="O95" s="62">
        <f t="shared" si="102"/>
        <v>772.64778552930068</v>
      </c>
      <c r="P95" s="62">
        <f t="shared" si="102"/>
        <v>781.79231122816054</v>
      </c>
      <c r="Q95" s="62">
        <f t="shared" si="102"/>
        <v>773.65470351948397</v>
      </c>
      <c r="R95" s="62">
        <f t="shared" si="102"/>
        <v>787.52549359103818</v>
      </c>
      <c r="S95" s="62">
        <f t="shared" si="102"/>
        <v>781.17539709077801</v>
      </c>
      <c r="T95" s="62">
        <f t="shared" si="102"/>
        <v>773.78432818907402</v>
      </c>
      <c r="U95" s="62">
        <f t="shared" si="102"/>
        <v>771.51125466143924</v>
      </c>
      <c r="V95" s="62">
        <f t="shared" si="102"/>
        <v>352.41747283511984</v>
      </c>
      <c r="W95" s="62">
        <f t="shared" ref="W95" si="103">IF(W23=0,0,W23/W43)</f>
        <v>432.16226360647499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845.16297862739407</v>
      </c>
      <c r="C96" s="11">
        <f t="shared" si="104"/>
        <v>845.15855181155951</v>
      </c>
      <c r="D96" s="11">
        <f t="shared" ref="D96:V96" si="105">IF(D24=0,0,D24/D44)</f>
        <v>850.09714755689026</v>
      </c>
      <c r="E96" s="11">
        <f t="shared" si="105"/>
        <v>861.64152447049241</v>
      </c>
      <c r="F96" s="11">
        <f t="shared" si="105"/>
        <v>839.29077544750999</v>
      </c>
      <c r="G96" s="11">
        <f t="shared" si="105"/>
        <v>832.68932994279953</v>
      </c>
      <c r="H96" s="11">
        <f t="shared" si="105"/>
        <v>858.67892185841799</v>
      </c>
      <c r="I96" s="11">
        <f t="shared" si="105"/>
        <v>862.90112819963156</v>
      </c>
      <c r="J96" s="11">
        <f t="shared" si="105"/>
        <v>838.5179175013468</v>
      </c>
      <c r="K96" s="11">
        <f t="shared" si="105"/>
        <v>833.43790131657602</v>
      </c>
      <c r="L96" s="11">
        <f t="shared" si="105"/>
        <v>822.25840573622395</v>
      </c>
      <c r="M96" s="11">
        <f t="shared" si="105"/>
        <v>833.81107209568347</v>
      </c>
      <c r="N96" s="11">
        <f t="shared" si="105"/>
        <v>833.4465405736953</v>
      </c>
      <c r="O96" s="11">
        <f t="shared" si="105"/>
        <v>830.56321816484035</v>
      </c>
      <c r="P96" s="11">
        <f t="shared" si="105"/>
        <v>835.38406743960377</v>
      </c>
      <c r="Q96" s="11">
        <f t="shared" si="105"/>
        <v>824.78906768253955</v>
      </c>
      <c r="R96" s="11">
        <f t="shared" si="105"/>
        <v>833.08998246768817</v>
      </c>
      <c r="S96" s="11">
        <f t="shared" si="105"/>
        <v>830.62215722145072</v>
      </c>
      <c r="T96" s="11">
        <f t="shared" si="105"/>
        <v>822.42014724143439</v>
      </c>
      <c r="U96" s="11">
        <f t="shared" si="105"/>
        <v>815.0373352119542</v>
      </c>
      <c r="V96" s="11">
        <f t="shared" si="105"/>
        <v>354.02683861222022</v>
      </c>
      <c r="W96" s="11">
        <f t="shared" ref="W96" si="106">IF(W24=0,0,W24/W44)</f>
        <v>444.83780585908045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1465.9311415517386</v>
      </c>
      <c r="C98" s="36">
        <f t="shared" si="104"/>
        <v>1465.9305826306736</v>
      </c>
      <c r="D98" s="36">
        <f t="shared" ref="D98:V98" si="109">IF(D26=0,0,D26/D46)</f>
        <v>1469.4910673204131</v>
      </c>
      <c r="E98" s="36">
        <f t="shared" si="109"/>
        <v>1473.2615733238479</v>
      </c>
      <c r="F98" s="36">
        <f t="shared" si="109"/>
        <v>1467.7352628899853</v>
      </c>
      <c r="G98" s="36">
        <f t="shared" si="109"/>
        <v>1462.0704195635826</v>
      </c>
      <c r="H98" s="36">
        <f t="shared" si="109"/>
        <v>1460.271477754756</v>
      </c>
      <c r="I98" s="36">
        <f t="shared" si="109"/>
        <v>1457.6436686233872</v>
      </c>
      <c r="J98" s="36">
        <f t="shared" si="109"/>
        <v>1447.7040000617599</v>
      </c>
      <c r="K98" s="36">
        <f t="shared" si="109"/>
        <v>1431.8853256686327</v>
      </c>
      <c r="L98" s="36">
        <f t="shared" si="109"/>
        <v>1444.092368908495</v>
      </c>
      <c r="M98" s="36">
        <f t="shared" si="109"/>
        <v>1440.477672200336</v>
      </c>
      <c r="N98" s="36">
        <f t="shared" si="109"/>
        <v>1448.8769274489207</v>
      </c>
      <c r="O98" s="36">
        <f t="shared" si="109"/>
        <v>1447.7306105131813</v>
      </c>
      <c r="P98" s="36">
        <f t="shared" si="109"/>
        <v>1445.1422396556068</v>
      </c>
      <c r="Q98" s="36">
        <f t="shared" si="109"/>
        <v>1444.2802785036017</v>
      </c>
      <c r="R98" s="36">
        <f t="shared" si="109"/>
        <v>1427.1159609870856</v>
      </c>
      <c r="S98" s="36">
        <f t="shared" si="109"/>
        <v>1407.2244434870393</v>
      </c>
      <c r="T98" s="36">
        <f t="shared" si="109"/>
        <v>1400.1166049965982</v>
      </c>
      <c r="U98" s="36">
        <f t="shared" si="109"/>
        <v>1400.8976550237742</v>
      </c>
      <c r="V98" s="36">
        <f t="shared" si="109"/>
        <v>610.79357631696143</v>
      </c>
      <c r="W98" s="36">
        <f t="shared" ref="W98" si="110">IF(W26=0,0,W26/W46)</f>
        <v>748.90812724882335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357.99999999999994</v>
      </c>
      <c r="C99" s="36">
        <f t="shared" si="104"/>
        <v>357.99999999999994</v>
      </c>
      <c r="D99" s="36">
        <f t="shared" ref="D99:V99" si="111">IF(D27=0,0,D27/D47)</f>
        <v>358</v>
      </c>
      <c r="E99" s="36">
        <f t="shared" si="111"/>
        <v>358</v>
      </c>
      <c r="F99" s="36">
        <f t="shared" si="111"/>
        <v>358</v>
      </c>
      <c r="G99" s="36">
        <f t="shared" si="111"/>
        <v>349.00000000000006</v>
      </c>
      <c r="H99" s="36">
        <f t="shared" si="111"/>
        <v>347</v>
      </c>
      <c r="I99" s="36">
        <f t="shared" si="111"/>
        <v>347.00000000000006</v>
      </c>
      <c r="J99" s="36">
        <f t="shared" si="111"/>
        <v>348</v>
      </c>
      <c r="K99" s="36">
        <f t="shared" si="111"/>
        <v>355</v>
      </c>
      <c r="L99" s="36">
        <f t="shared" si="111"/>
        <v>357.00000000000006</v>
      </c>
      <c r="M99" s="36">
        <f t="shared" si="111"/>
        <v>357</v>
      </c>
      <c r="N99" s="36">
        <f t="shared" si="111"/>
        <v>358</v>
      </c>
      <c r="O99" s="36">
        <f t="shared" si="111"/>
        <v>358.99999999999994</v>
      </c>
      <c r="P99" s="36">
        <f t="shared" si="111"/>
        <v>358</v>
      </c>
      <c r="Q99" s="36">
        <f t="shared" si="111"/>
        <v>355</v>
      </c>
      <c r="R99" s="36">
        <f t="shared" si="111"/>
        <v>350</v>
      </c>
      <c r="S99" s="36">
        <f t="shared" si="111"/>
        <v>349</v>
      </c>
      <c r="T99" s="36">
        <f t="shared" si="111"/>
        <v>346</v>
      </c>
      <c r="U99" s="36">
        <f t="shared" si="111"/>
        <v>345</v>
      </c>
      <c r="V99" s="36">
        <f t="shared" si="111"/>
        <v>147.7988509674189</v>
      </c>
      <c r="W99" s="36">
        <f t="shared" ref="W99" si="112">IF(W27=0,0,W27/W47)</f>
        <v>200.32478508674893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379.28687437447815</v>
      </c>
      <c r="C100" s="13">
        <f t="shared" si="104"/>
        <v>398.67976549165314</v>
      </c>
      <c r="D100" s="13">
        <f t="shared" ref="D100:V100" si="113">IF(D28=0,0,D28/D48)</f>
        <v>375.46403208107063</v>
      </c>
      <c r="E100" s="13">
        <f t="shared" si="113"/>
        <v>376.85643907541771</v>
      </c>
      <c r="F100" s="13">
        <f t="shared" si="113"/>
        <v>381.1887359756152</v>
      </c>
      <c r="G100" s="13">
        <f t="shared" si="113"/>
        <v>369.09705749061948</v>
      </c>
      <c r="H100" s="13">
        <f t="shared" si="113"/>
        <v>360.63356537339286</v>
      </c>
      <c r="I100" s="13">
        <f t="shared" si="113"/>
        <v>353.80525008169593</v>
      </c>
      <c r="J100" s="13">
        <f t="shared" si="113"/>
        <v>361.16428558739341</v>
      </c>
      <c r="K100" s="13">
        <f t="shared" si="113"/>
        <v>297.5867279909512</v>
      </c>
      <c r="L100" s="13">
        <f t="shared" si="113"/>
        <v>356.84568637818779</v>
      </c>
      <c r="M100" s="13">
        <f t="shared" si="113"/>
        <v>371.86355497589875</v>
      </c>
      <c r="N100" s="13">
        <f t="shared" si="113"/>
        <v>371.4305921384418</v>
      </c>
      <c r="O100" s="13">
        <f t="shared" si="113"/>
        <v>394.56279316250129</v>
      </c>
      <c r="P100" s="13">
        <f t="shared" si="113"/>
        <v>402.30054979187122</v>
      </c>
      <c r="Q100" s="13">
        <f t="shared" si="113"/>
        <v>398.26004470236768</v>
      </c>
      <c r="R100" s="13">
        <f t="shared" si="113"/>
        <v>404.38848215781059</v>
      </c>
      <c r="S100" s="13">
        <f t="shared" si="113"/>
        <v>385.84380173042172</v>
      </c>
      <c r="T100" s="13">
        <f t="shared" si="113"/>
        <v>371.67783387410549</v>
      </c>
      <c r="U100" s="13">
        <f t="shared" si="113"/>
        <v>372.36614236791905</v>
      </c>
      <c r="V100" s="13">
        <f t="shared" si="113"/>
        <v>342.16758316943532</v>
      </c>
      <c r="W100" s="13">
        <f t="shared" ref="W100" si="114">IF(W28=0,0,W28/W48)</f>
        <v>357.27357659783524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1160.0170441109285</v>
      </c>
      <c r="C102" s="34">
        <f t="shared" si="104"/>
        <v>1162.4683000795821</v>
      </c>
      <c r="D102" s="34">
        <f t="shared" ref="D102:V102" si="117">IF(D30=0,0,D30/D50)</f>
        <v>994.23576828384603</v>
      </c>
      <c r="E102" s="34">
        <f t="shared" si="117"/>
        <v>1127.2783715195478</v>
      </c>
      <c r="F102" s="34">
        <f t="shared" si="117"/>
        <v>1174.4579224730855</v>
      </c>
      <c r="G102" s="34">
        <f t="shared" si="117"/>
        <v>1167.4366028757718</v>
      </c>
      <c r="H102" s="34">
        <f t="shared" si="117"/>
        <v>1168.8635145835633</v>
      </c>
      <c r="I102" s="34">
        <f t="shared" si="117"/>
        <v>1101.8000333063856</v>
      </c>
      <c r="J102" s="34">
        <f t="shared" si="117"/>
        <v>1150.9327183302216</v>
      </c>
      <c r="K102" s="34">
        <f t="shared" si="117"/>
        <v>1027.131270564706</v>
      </c>
      <c r="L102" s="34">
        <f t="shared" si="117"/>
        <v>1003.1661725271917</v>
      </c>
      <c r="M102" s="34">
        <f t="shared" si="117"/>
        <v>1036.2736406231954</v>
      </c>
      <c r="N102" s="34">
        <f t="shared" si="117"/>
        <v>1033.7343933467287</v>
      </c>
      <c r="O102" s="34">
        <f t="shared" si="117"/>
        <v>1116.1319007650952</v>
      </c>
      <c r="P102" s="34">
        <f t="shared" si="117"/>
        <v>1148.0529018369741</v>
      </c>
      <c r="Q102" s="34">
        <f t="shared" si="117"/>
        <v>1154.7690519059029</v>
      </c>
      <c r="R102" s="34">
        <f t="shared" si="117"/>
        <v>1170.4854447816829</v>
      </c>
      <c r="S102" s="34">
        <f t="shared" si="117"/>
        <v>1072.7904539981421</v>
      </c>
      <c r="T102" s="34">
        <f t="shared" si="117"/>
        <v>965.32213706570781</v>
      </c>
      <c r="U102" s="34">
        <f t="shared" si="117"/>
        <v>993.61438294572065</v>
      </c>
      <c r="V102" s="34">
        <f t="shared" si="117"/>
        <v>1032.5226258989442</v>
      </c>
      <c r="W102" s="34">
        <f t="shared" ref="W102" si="118">IF(W30=0,0,W30/W50)</f>
        <v>1166.3593482131494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321</v>
      </c>
      <c r="C103" s="35">
        <f t="shared" si="104"/>
        <v>321.00000000000006</v>
      </c>
      <c r="D103" s="35">
        <f t="shared" ref="D103:V103" si="119">IF(D31=0,0,D31/D51)</f>
        <v>321</v>
      </c>
      <c r="E103" s="35">
        <f t="shared" si="119"/>
        <v>321</v>
      </c>
      <c r="F103" s="35">
        <f t="shared" si="119"/>
        <v>321</v>
      </c>
      <c r="G103" s="35">
        <f t="shared" si="119"/>
        <v>314</v>
      </c>
      <c r="H103" s="35">
        <f t="shared" si="119"/>
        <v>306</v>
      </c>
      <c r="I103" s="35">
        <f t="shared" si="119"/>
        <v>299</v>
      </c>
      <c r="J103" s="35">
        <f t="shared" si="119"/>
        <v>294</v>
      </c>
      <c r="K103" s="35">
        <f t="shared" si="119"/>
        <v>230.66499897993711</v>
      </c>
      <c r="L103" s="35">
        <f t="shared" si="119"/>
        <v>285.81716270770329</v>
      </c>
      <c r="M103" s="35">
        <f t="shared" si="119"/>
        <v>299</v>
      </c>
      <c r="N103" s="35">
        <f t="shared" si="119"/>
        <v>296.03953726471212</v>
      </c>
      <c r="O103" s="35">
        <f t="shared" si="119"/>
        <v>314</v>
      </c>
      <c r="P103" s="35">
        <f t="shared" si="119"/>
        <v>314</v>
      </c>
      <c r="Q103" s="35">
        <f t="shared" si="119"/>
        <v>314</v>
      </c>
      <c r="R103" s="35">
        <f t="shared" si="119"/>
        <v>310.25285830186965</v>
      </c>
      <c r="S103" s="35">
        <f t="shared" si="119"/>
        <v>312</v>
      </c>
      <c r="T103" s="35">
        <f t="shared" si="119"/>
        <v>312</v>
      </c>
      <c r="U103" s="35">
        <f t="shared" si="119"/>
        <v>308.26380936968224</v>
      </c>
      <c r="V103" s="35">
        <f t="shared" si="119"/>
        <v>293</v>
      </c>
      <c r="W103" s="35">
        <f t="shared" ref="W103" si="120">IF(W31=0,0,W31/W51)</f>
        <v>303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0.24835972616328045</v>
      </c>
      <c r="C108" s="43">
        <f t="shared" si="127"/>
        <v>0.24972721627839467</v>
      </c>
      <c r="D108" s="43">
        <f t="shared" ref="D108:V108" si="128">IF(D6=0,0,D6/D$4)</f>
        <v>0.24998669185087583</v>
      </c>
      <c r="E108" s="43">
        <f t="shared" si="128"/>
        <v>0.25217889881319333</v>
      </c>
      <c r="F108" s="43">
        <f t="shared" si="128"/>
        <v>0.23626957551040925</v>
      </c>
      <c r="G108" s="43">
        <f t="shared" si="128"/>
        <v>0.22970810545430936</v>
      </c>
      <c r="H108" s="43">
        <f t="shared" si="128"/>
        <v>0.23891427363016482</v>
      </c>
      <c r="I108" s="43">
        <f t="shared" si="128"/>
        <v>0.23312873737960335</v>
      </c>
      <c r="J108" s="43">
        <f t="shared" si="128"/>
        <v>0.21839541090554371</v>
      </c>
      <c r="K108" s="43">
        <f t="shared" si="128"/>
        <v>0.22021739792304973</v>
      </c>
      <c r="L108" s="43">
        <f t="shared" si="128"/>
        <v>0.2172517731748152</v>
      </c>
      <c r="M108" s="43">
        <f t="shared" si="128"/>
        <v>0.2296122326765786</v>
      </c>
      <c r="N108" s="43">
        <f t="shared" si="128"/>
        <v>0.2270415122375147</v>
      </c>
      <c r="O108" s="43">
        <f t="shared" si="128"/>
        <v>0.22692299568894536</v>
      </c>
      <c r="P108" s="43">
        <f t="shared" si="128"/>
        <v>0.23175455345907611</v>
      </c>
      <c r="Q108" s="43">
        <f t="shared" si="128"/>
        <v>0.23022077775473099</v>
      </c>
      <c r="R108" s="43">
        <f t="shared" si="128"/>
        <v>0.24873740316884299</v>
      </c>
      <c r="S108" s="43">
        <f t="shared" si="128"/>
        <v>0.25754608150072705</v>
      </c>
      <c r="T108" s="43">
        <f t="shared" si="128"/>
        <v>0.25576012612622345</v>
      </c>
      <c r="U108" s="43">
        <f t="shared" si="128"/>
        <v>0.25213927436055233</v>
      </c>
      <c r="V108" s="43">
        <f t="shared" si="128"/>
        <v>0.25707627150145296</v>
      </c>
      <c r="W108" s="43">
        <f t="shared" ref="W108" si="129">IF(W6=0,0,W6/W$4)</f>
        <v>0.29515330818557539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0.75164027383671961</v>
      </c>
      <c r="C109" s="43">
        <f t="shared" si="130"/>
        <v>0.75027278372160533</v>
      </c>
      <c r="D109" s="43">
        <f t="shared" ref="D109:V109" si="131">IF(D7=0,0,D7/D$4)</f>
        <v>0.75001330814912426</v>
      </c>
      <c r="E109" s="43">
        <f t="shared" si="131"/>
        <v>0.74782110118680667</v>
      </c>
      <c r="F109" s="43">
        <f t="shared" si="131"/>
        <v>0.76373042448959072</v>
      </c>
      <c r="G109" s="43">
        <f t="shared" si="131"/>
        <v>0.77029189454569069</v>
      </c>
      <c r="H109" s="43">
        <f t="shared" si="131"/>
        <v>0.76108572636983518</v>
      </c>
      <c r="I109" s="43">
        <f t="shared" si="131"/>
        <v>0.76687126262039673</v>
      </c>
      <c r="J109" s="43">
        <f t="shared" si="131"/>
        <v>0.78160458909445629</v>
      </c>
      <c r="K109" s="43">
        <f t="shared" si="131"/>
        <v>0.77978260207695016</v>
      </c>
      <c r="L109" s="43">
        <f t="shared" si="131"/>
        <v>0.78274822682518486</v>
      </c>
      <c r="M109" s="43">
        <f t="shared" si="131"/>
        <v>0.77038776732342151</v>
      </c>
      <c r="N109" s="43">
        <f t="shared" si="131"/>
        <v>0.77295848776248532</v>
      </c>
      <c r="O109" s="43">
        <f t="shared" si="131"/>
        <v>0.77307700431105464</v>
      </c>
      <c r="P109" s="43">
        <f t="shared" si="131"/>
        <v>0.76824544654092397</v>
      </c>
      <c r="Q109" s="43">
        <f t="shared" si="131"/>
        <v>0.76977922224526896</v>
      </c>
      <c r="R109" s="43">
        <f t="shared" si="131"/>
        <v>0.75126259683115704</v>
      </c>
      <c r="S109" s="43">
        <f t="shared" si="131"/>
        <v>0.742453918499273</v>
      </c>
      <c r="T109" s="43">
        <f t="shared" si="131"/>
        <v>0.74423987387377655</v>
      </c>
      <c r="U109" s="43">
        <f t="shared" si="131"/>
        <v>0.74786072563944761</v>
      </c>
      <c r="V109" s="43">
        <f t="shared" si="131"/>
        <v>0.74292372849854704</v>
      </c>
      <c r="W109" s="43">
        <f t="shared" ref="W109" si="132">IF(W7=0,0,W7/W$4)</f>
        <v>0.70484669181442461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1.2605214435295128E-2</v>
      </c>
      <c r="C112" s="44">
        <f t="shared" si="139"/>
        <v>1.7109887797058125E-2</v>
      </c>
      <c r="D112" s="44">
        <f t="shared" ref="D112:V112" si="140">IF(D10=0,0,D10/D$8)</f>
        <v>1.2722663683120984E-2</v>
      </c>
      <c r="E112" s="44">
        <f t="shared" si="140"/>
        <v>1.359526003944971E-2</v>
      </c>
      <c r="F112" s="44">
        <f t="shared" si="140"/>
        <v>1.2688952799318519E-2</v>
      </c>
      <c r="G112" s="44">
        <f t="shared" si="140"/>
        <v>1.1845890851747243E-2</v>
      </c>
      <c r="H112" s="44">
        <f t="shared" si="140"/>
        <v>1.0534831102105893E-2</v>
      </c>
      <c r="I112" s="44">
        <f t="shared" si="140"/>
        <v>1.1163299983361023E-2</v>
      </c>
      <c r="J112" s="44">
        <f t="shared" si="140"/>
        <v>1.3403479942389121E-2</v>
      </c>
      <c r="K112" s="44">
        <f t="shared" si="140"/>
        <v>1.5819624037600743E-2</v>
      </c>
      <c r="L112" s="44">
        <f t="shared" si="140"/>
        <v>1.5160648860914993E-2</v>
      </c>
      <c r="M112" s="44">
        <f t="shared" si="140"/>
        <v>1.3098328004376674E-2</v>
      </c>
      <c r="N112" s="44">
        <f t="shared" si="140"/>
        <v>1.13936836025886E-2</v>
      </c>
      <c r="O112" s="44">
        <f t="shared" si="140"/>
        <v>1.1765215546433455E-2</v>
      </c>
      <c r="P112" s="44">
        <f t="shared" si="140"/>
        <v>1.281837321746437E-2</v>
      </c>
      <c r="Q112" s="44">
        <f t="shared" si="140"/>
        <v>1.2088565689165059E-2</v>
      </c>
      <c r="R112" s="44">
        <f t="shared" si="140"/>
        <v>1.4447913327343536E-2</v>
      </c>
      <c r="S112" s="44">
        <f t="shared" si="140"/>
        <v>1.1290953997408886E-2</v>
      </c>
      <c r="T112" s="44">
        <f t="shared" si="140"/>
        <v>9.6925663099681394E-3</v>
      </c>
      <c r="U112" s="44">
        <f t="shared" si="140"/>
        <v>1.0574801623671089E-2</v>
      </c>
      <c r="V112" s="44">
        <f t="shared" si="140"/>
        <v>8.7412388838298254E-3</v>
      </c>
      <c r="W112" s="44">
        <f t="shared" ref="W112" si="141">IF(W10=0,0,W10/W$8)</f>
        <v>9.9331354876153622E-3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0.98739478556470495</v>
      </c>
      <c r="C113" s="45">
        <f t="shared" si="142"/>
        <v>0.98289011220294198</v>
      </c>
      <c r="D113" s="45">
        <f t="shared" ref="D113:V113" si="143">IF(D11=0,0,D11/D$8)</f>
        <v>0.98727733631687908</v>
      </c>
      <c r="E113" s="45">
        <f t="shared" si="143"/>
        <v>0.98640473996055023</v>
      </c>
      <c r="F113" s="45">
        <f t="shared" si="143"/>
        <v>0.98731104720068152</v>
      </c>
      <c r="G113" s="45">
        <f t="shared" si="143"/>
        <v>0.98815410914825264</v>
      </c>
      <c r="H113" s="45">
        <f t="shared" si="143"/>
        <v>0.98946516889789415</v>
      </c>
      <c r="I113" s="45">
        <f t="shared" si="143"/>
        <v>0.98883670001663904</v>
      </c>
      <c r="J113" s="45">
        <f t="shared" si="143"/>
        <v>0.98659652005761089</v>
      </c>
      <c r="K113" s="45">
        <f t="shared" si="143"/>
        <v>0.98418037596239927</v>
      </c>
      <c r="L113" s="45">
        <f t="shared" si="143"/>
        <v>0.98483935113908505</v>
      </c>
      <c r="M113" s="45">
        <f t="shared" si="143"/>
        <v>0.98690167199562329</v>
      </c>
      <c r="N113" s="45">
        <f t="shared" si="143"/>
        <v>0.98860631639741137</v>
      </c>
      <c r="O113" s="45">
        <f t="shared" si="143"/>
        <v>0.98823478445356661</v>
      </c>
      <c r="P113" s="45">
        <f t="shared" si="143"/>
        <v>0.98718162678253563</v>
      </c>
      <c r="Q113" s="45">
        <f t="shared" si="143"/>
        <v>0.98791143431083506</v>
      </c>
      <c r="R113" s="45">
        <f t="shared" si="143"/>
        <v>0.98555208667265648</v>
      </c>
      <c r="S113" s="45">
        <f t="shared" si="143"/>
        <v>0.98870904600259113</v>
      </c>
      <c r="T113" s="45">
        <f t="shared" si="143"/>
        <v>0.99030743369003182</v>
      </c>
      <c r="U113" s="45">
        <f t="shared" si="143"/>
        <v>0.98942519837632903</v>
      </c>
      <c r="V113" s="45">
        <f t="shared" si="143"/>
        <v>0.99125876111617017</v>
      </c>
      <c r="W113" s="45">
        <f t="shared" ref="W113" si="144">IF(W11=0,0,W11/W$8)</f>
        <v>0.99006686451238468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0.36531347350214499</v>
      </c>
      <c r="C118" s="43">
        <f t="shared" si="151"/>
        <v>0.36531004295009539</v>
      </c>
      <c r="D118" s="43">
        <f t="shared" ref="D118:V118" si="152">IF(D16=0,0,D16/D$14)</f>
        <v>0.36739425638524015</v>
      </c>
      <c r="E118" s="43">
        <f t="shared" si="152"/>
        <v>0.37492811625871553</v>
      </c>
      <c r="F118" s="43">
        <f t="shared" si="152"/>
        <v>0.35928279548831338</v>
      </c>
      <c r="G118" s="43">
        <f t="shared" si="152"/>
        <v>0.3601329436868434</v>
      </c>
      <c r="H118" s="43">
        <f t="shared" si="152"/>
        <v>0.3841459226414432</v>
      </c>
      <c r="I118" s="43">
        <f t="shared" si="152"/>
        <v>0.38873028205188614</v>
      </c>
      <c r="J118" s="43">
        <f t="shared" si="152"/>
        <v>0.37169370910737248</v>
      </c>
      <c r="K118" s="43">
        <f t="shared" si="152"/>
        <v>0.36771242318119268</v>
      </c>
      <c r="L118" s="43">
        <f t="shared" si="152"/>
        <v>0.35854086606085311</v>
      </c>
      <c r="M118" s="43">
        <f t="shared" si="152"/>
        <v>0.37085859144132027</v>
      </c>
      <c r="N118" s="43">
        <f t="shared" si="152"/>
        <v>0.36527047563845999</v>
      </c>
      <c r="O118" s="43">
        <f t="shared" si="152"/>
        <v>0.36241877507705844</v>
      </c>
      <c r="P118" s="43">
        <f t="shared" si="152"/>
        <v>0.36845903165604121</v>
      </c>
      <c r="Q118" s="43">
        <f t="shared" si="152"/>
        <v>0.36120447749096823</v>
      </c>
      <c r="R118" s="43">
        <f t="shared" si="152"/>
        <v>0.38066359851748466</v>
      </c>
      <c r="S118" s="43">
        <f t="shared" si="152"/>
        <v>0.39076958695575564</v>
      </c>
      <c r="T118" s="43">
        <f t="shared" si="152"/>
        <v>0.38943731393239966</v>
      </c>
      <c r="U118" s="43">
        <f t="shared" si="152"/>
        <v>0.38273278832583879</v>
      </c>
      <c r="V118" s="43">
        <f t="shared" si="152"/>
        <v>0.36640109562660633</v>
      </c>
      <c r="W118" s="43">
        <f t="shared" ref="W118" si="153">IF(W16=0,0,W16/W$14)</f>
        <v>0.38048345608368889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0.63468652649785506</v>
      </c>
      <c r="C119" s="43">
        <f t="shared" si="154"/>
        <v>0.6346899570499045</v>
      </c>
      <c r="D119" s="43">
        <f t="shared" ref="D119:V119" si="155">IF(D17=0,0,D17/D$14)</f>
        <v>0.63260574361475985</v>
      </c>
      <c r="E119" s="43">
        <f t="shared" si="155"/>
        <v>0.62507188374128442</v>
      </c>
      <c r="F119" s="43">
        <f t="shared" si="155"/>
        <v>0.64071720451168657</v>
      </c>
      <c r="G119" s="43">
        <f t="shared" si="155"/>
        <v>0.63986705631315655</v>
      </c>
      <c r="H119" s="43">
        <f t="shared" si="155"/>
        <v>0.6158540773585568</v>
      </c>
      <c r="I119" s="43">
        <f t="shared" si="155"/>
        <v>0.61126971794811391</v>
      </c>
      <c r="J119" s="43">
        <f t="shared" si="155"/>
        <v>0.62830629089262746</v>
      </c>
      <c r="K119" s="43">
        <f t="shared" si="155"/>
        <v>0.63228757681880743</v>
      </c>
      <c r="L119" s="43">
        <f t="shared" si="155"/>
        <v>0.64145913393914689</v>
      </c>
      <c r="M119" s="43">
        <f t="shared" si="155"/>
        <v>0.62914140855867973</v>
      </c>
      <c r="N119" s="43">
        <f t="shared" si="155"/>
        <v>0.63472952436153995</v>
      </c>
      <c r="O119" s="43">
        <f t="shared" si="155"/>
        <v>0.63758122492294156</v>
      </c>
      <c r="P119" s="43">
        <f t="shared" si="155"/>
        <v>0.63154096834395879</v>
      </c>
      <c r="Q119" s="43">
        <f t="shared" si="155"/>
        <v>0.63879552250903171</v>
      </c>
      <c r="R119" s="43">
        <f t="shared" si="155"/>
        <v>0.61933640148251545</v>
      </c>
      <c r="S119" s="43">
        <f t="shared" si="155"/>
        <v>0.6092304130442443</v>
      </c>
      <c r="T119" s="43">
        <f t="shared" si="155"/>
        <v>0.61056268606760045</v>
      </c>
      <c r="U119" s="43">
        <f t="shared" si="155"/>
        <v>0.61726721167416121</v>
      </c>
      <c r="V119" s="43">
        <f t="shared" si="155"/>
        <v>0.63359890437339361</v>
      </c>
      <c r="W119" s="43">
        <f t="shared" ref="W119" si="156">IF(W17=0,0,W17/W$14)</f>
        <v>0.61951654391631106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3.631754332270179E-2</v>
      </c>
      <c r="C122" s="44">
        <f t="shared" si="163"/>
        <v>4.8627151669977581E-2</v>
      </c>
      <c r="D122" s="44">
        <f t="shared" ref="D122:V122" si="164">IF(D20=0,0,D20/D$18)</f>
        <v>3.6587794618406645E-2</v>
      </c>
      <c r="E122" s="44">
        <f t="shared" si="164"/>
        <v>3.5249593547663167E-2</v>
      </c>
      <c r="F122" s="44">
        <f t="shared" si="164"/>
        <v>3.5964944944977886E-2</v>
      </c>
      <c r="G122" s="44">
        <f t="shared" si="164"/>
        <v>3.2309463907331963E-2</v>
      </c>
      <c r="H122" s="44">
        <f t="shared" si="164"/>
        <v>3.2099138430764375E-2</v>
      </c>
      <c r="I122" s="44">
        <f t="shared" si="164"/>
        <v>3.3910905379609127E-2</v>
      </c>
      <c r="J122" s="44">
        <f t="shared" si="164"/>
        <v>4.0450235264963816E-2</v>
      </c>
      <c r="K122" s="44">
        <f t="shared" si="164"/>
        <v>5.1138508331210503E-2</v>
      </c>
      <c r="L122" s="44">
        <f t="shared" si="164"/>
        <v>4.9276795397808527E-2</v>
      </c>
      <c r="M122" s="44">
        <f t="shared" si="164"/>
        <v>4.3079793378879995E-2</v>
      </c>
      <c r="N122" s="44">
        <f t="shared" si="164"/>
        <v>3.7598336399186513E-2</v>
      </c>
      <c r="O122" s="44">
        <f t="shared" si="164"/>
        <v>3.890476165425881E-2</v>
      </c>
      <c r="P122" s="44">
        <f t="shared" si="164"/>
        <v>4.2523212267487454E-2</v>
      </c>
      <c r="Q122" s="44">
        <f t="shared" si="164"/>
        <v>4.0654781831866091E-2</v>
      </c>
      <c r="R122" s="44">
        <f t="shared" si="164"/>
        <v>4.8149873571598306E-2</v>
      </c>
      <c r="S122" s="44">
        <f t="shared" si="164"/>
        <v>4.1464496553719712E-2</v>
      </c>
      <c r="T122" s="44">
        <f t="shared" si="164"/>
        <v>3.5208874867054631E-2</v>
      </c>
      <c r="U122" s="44">
        <f t="shared" si="164"/>
        <v>3.8231946993438008E-2</v>
      </c>
      <c r="V122" s="44">
        <f t="shared" si="164"/>
        <v>2.5800260473997961E-2</v>
      </c>
      <c r="W122" s="44">
        <f t="shared" ref="W122" si="165">IF(W20=0,0,W20/W$18)</f>
        <v>3.0551633139452267E-2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0.96368245667729824</v>
      </c>
      <c r="C123" s="45">
        <f t="shared" si="166"/>
        <v>0.95137284833002245</v>
      </c>
      <c r="D123" s="45">
        <f t="shared" ref="D123:V123" si="167">IF(D21=0,0,D21/D$18)</f>
        <v>0.96341220538159344</v>
      </c>
      <c r="E123" s="45">
        <f t="shared" si="167"/>
        <v>0.96475040645233678</v>
      </c>
      <c r="F123" s="45">
        <f t="shared" si="167"/>
        <v>0.96403505505502218</v>
      </c>
      <c r="G123" s="45">
        <f t="shared" si="167"/>
        <v>0.96769053609266797</v>
      </c>
      <c r="H123" s="45">
        <f t="shared" si="167"/>
        <v>0.9679008615692356</v>
      </c>
      <c r="I123" s="45">
        <f t="shared" si="167"/>
        <v>0.96608909462039094</v>
      </c>
      <c r="J123" s="45">
        <f t="shared" si="167"/>
        <v>0.95954976473503617</v>
      </c>
      <c r="K123" s="45">
        <f t="shared" si="167"/>
        <v>0.94886149166878953</v>
      </c>
      <c r="L123" s="45">
        <f t="shared" si="167"/>
        <v>0.95072320460219151</v>
      </c>
      <c r="M123" s="45">
        <f t="shared" si="167"/>
        <v>0.95692020662111998</v>
      </c>
      <c r="N123" s="45">
        <f t="shared" si="167"/>
        <v>0.96240166360081347</v>
      </c>
      <c r="O123" s="45">
        <f t="shared" si="167"/>
        <v>0.96109523834574118</v>
      </c>
      <c r="P123" s="45">
        <f t="shared" si="167"/>
        <v>0.95747678773251255</v>
      </c>
      <c r="Q123" s="45">
        <f t="shared" si="167"/>
        <v>0.95934521816813378</v>
      </c>
      <c r="R123" s="45">
        <f t="shared" si="167"/>
        <v>0.95185012642840161</v>
      </c>
      <c r="S123" s="45">
        <f t="shared" si="167"/>
        <v>0.95853550344628025</v>
      </c>
      <c r="T123" s="45">
        <f t="shared" si="167"/>
        <v>0.9647911251329454</v>
      </c>
      <c r="U123" s="45">
        <f t="shared" si="167"/>
        <v>0.96176805300656198</v>
      </c>
      <c r="V123" s="45">
        <f t="shared" si="167"/>
        <v>0.97419973952600203</v>
      </c>
      <c r="W123" s="45">
        <f t="shared" ref="W123" si="168">IF(W21=0,0,W21/W$18)</f>
        <v>0.96944836686054781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3301.9012037833181</v>
      </c>
      <c r="C3" s="79">
        <f t="shared" si="0"/>
        <v>3214.6149613069633</v>
      </c>
      <c r="D3" s="79">
        <f t="shared" ref="D3" si="1">SUM(D4:D5)</f>
        <v>3355.9401547721413</v>
      </c>
      <c r="E3" s="79">
        <f t="shared" ref="E3" si="2">SUM(E4:E5)</f>
        <v>3306.0332760103179</v>
      </c>
      <c r="F3" s="79">
        <f t="shared" ref="F3" si="3">SUM(F4:F5)</f>
        <v>3541.8815993121229</v>
      </c>
      <c r="G3" s="79">
        <f t="shared" ref="G3" si="4">SUM(G4:G5)</f>
        <v>3646.8185726569209</v>
      </c>
      <c r="H3" s="79">
        <f t="shared" ref="H3" si="5">SUM(H4:H5)</f>
        <v>3696.6895958727437</v>
      </c>
      <c r="I3" s="79">
        <f t="shared" ref="I3" si="6">SUM(I4:I5)</f>
        <v>3719.5471195184864</v>
      </c>
      <c r="J3" s="79">
        <f t="shared" ref="J3" si="7">SUM(J4:J5)</f>
        <v>3770.457179707651</v>
      </c>
      <c r="K3" s="79">
        <f t="shared" ref="K3" si="8">SUM(K4:K5)</f>
        <v>3494.0885640584693</v>
      </c>
      <c r="L3" s="79">
        <f t="shared" ref="L3" si="9">SUM(L4:L5)</f>
        <v>3409.9312123817699</v>
      </c>
      <c r="M3" s="79">
        <f t="shared" ref="M3" si="10">SUM(M4:M5)</f>
        <v>3549.1545141874453</v>
      </c>
      <c r="N3" s="79">
        <f t="shared" ref="N3" si="11">SUM(N4:N5)</f>
        <v>3410.9701633705931</v>
      </c>
      <c r="O3" s="79">
        <f t="shared" ref="O3" si="12">SUM(O4:O5)</f>
        <v>3484.7377472055036</v>
      </c>
      <c r="P3" s="79">
        <f t="shared" ref="P3" si="13">SUM(P4:P5)</f>
        <v>3616.6881341358544</v>
      </c>
      <c r="Q3" s="79">
        <f t="shared" ref="Q3" si="14">SUM(Q4:Q5)</f>
        <v>3801.3543422183993</v>
      </c>
      <c r="R3" s="79">
        <f t="shared" ref="R3" si="15">SUM(R4:R5)</f>
        <v>3900.2018056749785</v>
      </c>
      <c r="S3" s="79">
        <f t="shared" ref="S3" si="16">SUM(S4:S5)</f>
        <v>4013.353998280309</v>
      </c>
      <c r="T3" s="79">
        <f t="shared" ref="T3" si="17">SUM(T4:T5)</f>
        <v>4061.4701633705931</v>
      </c>
      <c r="U3" s="79">
        <f t="shared" ref="U3" si="18">SUM(U4:U5)</f>
        <v>3971.777128116938</v>
      </c>
      <c r="V3" s="79">
        <f t="shared" ref="V3:W3" si="19">SUM(V4:V5)</f>
        <v>2215.22407566638</v>
      </c>
      <c r="W3" s="79">
        <f t="shared" si="19"/>
        <v>2436.0425623387791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3301.9012037833181</v>
      </c>
      <c r="C5" s="96">
        <f t="shared" si="23"/>
        <v>3214.6149613069633</v>
      </c>
      <c r="D5" s="96">
        <f t="shared" ref="D5:V5" si="24">SUM(D8:D9,D12:D13)</f>
        <v>3355.9401547721413</v>
      </c>
      <c r="E5" s="96">
        <f t="shared" si="24"/>
        <v>3306.0332760103179</v>
      </c>
      <c r="F5" s="96">
        <f t="shared" si="24"/>
        <v>3541.8815993121229</v>
      </c>
      <c r="G5" s="96">
        <f t="shared" si="24"/>
        <v>3646.8185726569209</v>
      </c>
      <c r="H5" s="96">
        <f t="shared" si="24"/>
        <v>3696.6895958727437</v>
      </c>
      <c r="I5" s="96">
        <f t="shared" si="24"/>
        <v>3719.5471195184864</v>
      </c>
      <c r="J5" s="96">
        <f t="shared" si="24"/>
        <v>3770.457179707651</v>
      </c>
      <c r="K5" s="96">
        <f t="shared" si="24"/>
        <v>3494.0885640584693</v>
      </c>
      <c r="L5" s="96">
        <f t="shared" si="24"/>
        <v>3409.9312123817699</v>
      </c>
      <c r="M5" s="96">
        <f t="shared" si="24"/>
        <v>3549.1545141874453</v>
      </c>
      <c r="N5" s="96">
        <f t="shared" si="24"/>
        <v>3410.9701633705931</v>
      </c>
      <c r="O5" s="96">
        <f t="shared" si="24"/>
        <v>3484.7377472055036</v>
      </c>
      <c r="P5" s="96">
        <f t="shared" si="24"/>
        <v>3616.6881341358544</v>
      </c>
      <c r="Q5" s="96">
        <f t="shared" si="24"/>
        <v>3801.3543422183993</v>
      </c>
      <c r="R5" s="96">
        <f t="shared" si="24"/>
        <v>3900.2018056749785</v>
      </c>
      <c r="S5" s="96">
        <f t="shared" si="24"/>
        <v>4013.353998280309</v>
      </c>
      <c r="T5" s="96">
        <f t="shared" si="24"/>
        <v>4061.4701633705931</v>
      </c>
      <c r="U5" s="96">
        <f t="shared" si="24"/>
        <v>3971.777128116938</v>
      </c>
      <c r="V5" s="96">
        <f t="shared" si="24"/>
        <v>2215.22407566638</v>
      </c>
      <c r="W5" s="96">
        <f t="shared" ref="W5" si="25">SUM(W8:W9,W12:W13)</f>
        <v>2436.0425623387791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2783.9581929864771</v>
      </c>
      <c r="C6" s="21">
        <f t="shared" si="26"/>
        <v>2706.9599077263574</v>
      </c>
      <c r="D6" s="21">
        <f t="shared" ref="D6:V6" si="27">SUM(D7:D9)</f>
        <v>2807.6445065959119</v>
      </c>
      <c r="E6" s="21">
        <f t="shared" si="27"/>
        <v>2704.1107104732509</v>
      </c>
      <c r="F6" s="21">
        <f t="shared" si="27"/>
        <v>2909.9596450638865</v>
      </c>
      <c r="G6" s="21">
        <f t="shared" si="27"/>
        <v>2947.0824906144098</v>
      </c>
      <c r="H6" s="21">
        <f t="shared" si="27"/>
        <v>2918.3871267214145</v>
      </c>
      <c r="I6" s="21">
        <f t="shared" si="27"/>
        <v>2952.2962731603943</v>
      </c>
      <c r="J6" s="21">
        <f t="shared" si="27"/>
        <v>2978.3945342309239</v>
      </c>
      <c r="K6" s="21">
        <f t="shared" si="27"/>
        <v>2863.6352825286972</v>
      </c>
      <c r="L6" s="21">
        <f t="shared" si="27"/>
        <v>2717.4036089308329</v>
      </c>
      <c r="M6" s="21">
        <f t="shared" si="27"/>
        <v>2904.480583180637</v>
      </c>
      <c r="N6" s="21">
        <f t="shared" si="27"/>
        <v>2879.8466815920292</v>
      </c>
      <c r="O6" s="21">
        <f t="shared" si="27"/>
        <v>2948.6957442669222</v>
      </c>
      <c r="P6" s="21">
        <f t="shared" si="27"/>
        <v>3098.5521036173877</v>
      </c>
      <c r="Q6" s="21">
        <f t="shared" si="27"/>
        <v>3278.5428696644899</v>
      </c>
      <c r="R6" s="21">
        <f t="shared" si="27"/>
        <v>3422.439632600669</v>
      </c>
      <c r="S6" s="21">
        <f t="shared" si="27"/>
        <v>3493.8377343931097</v>
      </c>
      <c r="T6" s="21">
        <f t="shared" si="27"/>
        <v>3550.2714866691458</v>
      </c>
      <c r="U6" s="21">
        <f t="shared" si="27"/>
        <v>3531.3104332538123</v>
      </c>
      <c r="V6" s="21">
        <f t="shared" si="27"/>
        <v>1554.5669517974166</v>
      </c>
      <c r="W6" s="21">
        <f t="shared" ref="W6" si="28">SUM(W7:W9)</f>
        <v>1810.8210518033557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593.96733429025426</v>
      </c>
      <c r="C8" s="96">
        <v>577.53272010887383</v>
      </c>
      <c r="D8" s="96">
        <v>603.46294065344409</v>
      </c>
      <c r="E8" s="96">
        <v>596.28530756112536</v>
      </c>
      <c r="F8" s="96">
        <v>608.34566432695067</v>
      </c>
      <c r="G8" s="96">
        <v>617.66867436655434</v>
      </c>
      <c r="H8" s="96">
        <v>628.86456964245122</v>
      </c>
      <c r="I8" s="96">
        <v>650.45640889523656</v>
      </c>
      <c r="J8" s="96">
        <v>633.35074654378332</v>
      </c>
      <c r="K8" s="96">
        <v>583.88715545457399</v>
      </c>
      <c r="L8" s="96">
        <v>547.4750008375654</v>
      </c>
      <c r="M8" s="96">
        <v>592.89377234369147</v>
      </c>
      <c r="N8" s="96">
        <v>579.92813651540712</v>
      </c>
      <c r="O8" s="96">
        <v>594.38221133631259</v>
      </c>
      <c r="P8" s="96">
        <v>632.41330151122088</v>
      </c>
      <c r="Q8" s="96">
        <v>677.22929312301551</v>
      </c>
      <c r="R8" s="96">
        <v>743.35902123802066</v>
      </c>
      <c r="S8" s="96">
        <v>777.53004362277522</v>
      </c>
      <c r="T8" s="96">
        <v>777.62199588169324</v>
      </c>
      <c r="U8" s="96">
        <v>747.29729154030122</v>
      </c>
      <c r="V8" s="96">
        <v>261.13522771229782</v>
      </c>
      <c r="W8" s="96">
        <v>339.42183982137027</v>
      </c>
      <c r="DA8" s="171" t="s">
        <v>281</v>
      </c>
    </row>
    <row r="9" spans="1:105" ht="11.45" customHeight="1" x14ac:dyDescent="0.25">
      <c r="A9" s="83" t="s">
        <v>174</v>
      </c>
      <c r="B9" s="96">
        <v>2189.9908586962229</v>
      </c>
      <c r="C9" s="96">
        <v>2129.4271876174835</v>
      </c>
      <c r="D9" s="96">
        <v>2204.1815659424678</v>
      </c>
      <c r="E9" s="96">
        <v>2107.8254029121254</v>
      </c>
      <c r="F9" s="96">
        <v>2301.6139807369359</v>
      </c>
      <c r="G9" s="96">
        <v>2329.4138162478557</v>
      </c>
      <c r="H9" s="96">
        <v>2289.522557078963</v>
      </c>
      <c r="I9" s="96">
        <v>2301.8398642651578</v>
      </c>
      <c r="J9" s="96">
        <v>2345.0437876871406</v>
      </c>
      <c r="K9" s="96">
        <v>2279.7481270741232</v>
      </c>
      <c r="L9" s="96">
        <v>2169.9286080932675</v>
      </c>
      <c r="M9" s="96">
        <v>2311.5868108369455</v>
      </c>
      <c r="N9" s="96">
        <v>2299.9185450766222</v>
      </c>
      <c r="O9" s="96">
        <v>2354.3135329306097</v>
      </c>
      <c r="P9" s="96">
        <v>2466.1388021061666</v>
      </c>
      <c r="Q9" s="96">
        <v>2601.3135765414745</v>
      </c>
      <c r="R9" s="96">
        <v>2679.0806113626486</v>
      </c>
      <c r="S9" s="96">
        <v>2716.3076907703344</v>
      </c>
      <c r="T9" s="96">
        <v>2772.6494907874526</v>
      </c>
      <c r="U9" s="96">
        <v>2784.0131417135112</v>
      </c>
      <c r="V9" s="96">
        <v>1293.4317240851187</v>
      </c>
      <c r="W9" s="96">
        <v>1471.3992119819854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517.94301079684089</v>
      </c>
      <c r="C10" s="22">
        <f t="shared" si="29"/>
        <v>507.65505358060608</v>
      </c>
      <c r="D10" s="22">
        <f t="shared" ref="D10:V10" si="30">SUM(D11:D13)</f>
        <v>548.29564817622941</v>
      </c>
      <c r="E10" s="22">
        <f t="shared" si="30"/>
        <v>601.92256553706716</v>
      </c>
      <c r="F10" s="22">
        <f t="shared" si="30"/>
        <v>631.92195424823626</v>
      </c>
      <c r="G10" s="22">
        <f t="shared" si="30"/>
        <v>699.73608204251093</v>
      </c>
      <c r="H10" s="22">
        <f t="shared" si="30"/>
        <v>778.30246915132909</v>
      </c>
      <c r="I10" s="22">
        <f t="shared" si="30"/>
        <v>767.25084635809174</v>
      </c>
      <c r="J10" s="22">
        <f t="shared" si="30"/>
        <v>792.06264547672697</v>
      </c>
      <c r="K10" s="22">
        <f t="shared" si="30"/>
        <v>630.4532815297722</v>
      </c>
      <c r="L10" s="22">
        <f t="shared" si="30"/>
        <v>692.52760345093725</v>
      </c>
      <c r="M10" s="22">
        <f t="shared" si="30"/>
        <v>644.67393100680863</v>
      </c>
      <c r="N10" s="22">
        <f t="shared" si="30"/>
        <v>531.12348177856381</v>
      </c>
      <c r="O10" s="22">
        <f t="shared" si="30"/>
        <v>536.04200293858116</v>
      </c>
      <c r="P10" s="22">
        <f t="shared" si="30"/>
        <v>518.1360305184669</v>
      </c>
      <c r="Q10" s="22">
        <f t="shared" si="30"/>
        <v>522.81147255390931</v>
      </c>
      <c r="R10" s="22">
        <f t="shared" si="30"/>
        <v>477.76217307430932</v>
      </c>
      <c r="S10" s="22">
        <f t="shared" si="30"/>
        <v>519.51626388719933</v>
      </c>
      <c r="T10" s="22">
        <f t="shared" si="30"/>
        <v>511.19867670144731</v>
      </c>
      <c r="U10" s="22">
        <f t="shared" si="30"/>
        <v>440.46669486312555</v>
      </c>
      <c r="V10" s="22">
        <f t="shared" si="30"/>
        <v>660.65712386896371</v>
      </c>
      <c r="W10" s="22">
        <f t="shared" ref="W10" si="31">SUM(W11:W13)</f>
        <v>625.22151053542325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11.663570445896717</v>
      </c>
      <c r="C12" s="97">
        <v>15.420533840261411</v>
      </c>
      <c r="D12" s="97">
        <v>12.464654490654141</v>
      </c>
      <c r="E12" s="97">
        <v>13.099135983460329</v>
      </c>
      <c r="F12" s="97">
        <v>13.959032160795584</v>
      </c>
      <c r="G12" s="97">
        <v>13.896094004565862</v>
      </c>
      <c r="H12" s="97">
        <v>14.251919994511024</v>
      </c>
      <c r="I12" s="97">
        <v>14.868990995121131</v>
      </c>
      <c r="J12" s="97">
        <v>18.754529409535166</v>
      </c>
      <c r="K12" s="97">
        <v>18.202836927522618</v>
      </c>
      <c r="L12" s="97">
        <v>19.516790958001533</v>
      </c>
      <c r="M12" s="97">
        <v>15.155249022082186</v>
      </c>
      <c r="N12" s="97">
        <v>11.552027463651473</v>
      </c>
      <c r="O12" s="97">
        <v>12.154850480561224</v>
      </c>
      <c r="P12" s="97">
        <v>12.607109938264408</v>
      </c>
      <c r="Q12" s="97">
        <v>12.657753558485886</v>
      </c>
      <c r="R12" s="97">
        <v>13.14095046860157</v>
      </c>
      <c r="S12" s="97">
        <v>12.123468349404662</v>
      </c>
      <c r="T12" s="97">
        <v>9.9489165361241358</v>
      </c>
      <c r="U12" s="97">
        <v>9.0682205615921294</v>
      </c>
      <c r="V12" s="97">
        <v>7.7140635297067393</v>
      </c>
      <c r="W12" s="97">
        <v>9.041813578416674</v>
      </c>
      <c r="DA12" s="175" t="s">
        <v>285</v>
      </c>
    </row>
    <row r="13" spans="1:105" ht="11.45" customHeight="1" x14ac:dyDescent="0.25">
      <c r="A13" s="85" t="s">
        <v>174</v>
      </c>
      <c r="B13" s="98">
        <v>506.27944035094413</v>
      </c>
      <c r="C13" s="98">
        <v>492.23451974034469</v>
      </c>
      <c r="D13" s="98">
        <v>535.83099368557521</v>
      </c>
      <c r="E13" s="98">
        <v>588.82342955360684</v>
      </c>
      <c r="F13" s="98">
        <v>617.96292208744069</v>
      </c>
      <c r="G13" s="98">
        <v>685.83998803794509</v>
      </c>
      <c r="H13" s="98">
        <v>764.05054915681808</v>
      </c>
      <c r="I13" s="98">
        <v>752.38185536297055</v>
      </c>
      <c r="J13" s="98">
        <v>773.3081160671918</v>
      </c>
      <c r="K13" s="98">
        <v>612.25044460224956</v>
      </c>
      <c r="L13" s="98">
        <v>673.01081249293577</v>
      </c>
      <c r="M13" s="98">
        <v>629.51868198472641</v>
      </c>
      <c r="N13" s="98">
        <v>519.57145431491233</v>
      </c>
      <c r="O13" s="98">
        <v>523.88715245801995</v>
      </c>
      <c r="P13" s="98">
        <v>505.52892058020251</v>
      </c>
      <c r="Q13" s="98">
        <v>510.15371899542345</v>
      </c>
      <c r="R13" s="98">
        <v>464.62122260570777</v>
      </c>
      <c r="S13" s="98">
        <v>507.39279553779471</v>
      </c>
      <c r="T13" s="98">
        <v>501.24976016532315</v>
      </c>
      <c r="U13" s="98">
        <v>431.39847430153344</v>
      </c>
      <c r="V13" s="98">
        <v>652.94306033925693</v>
      </c>
      <c r="W13" s="98">
        <v>616.17969695700663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742.58801573476615</v>
      </c>
      <c r="C17" s="62">
        <f>IF(C3=0,0,C3/TrAvia_act!C13*100)</f>
        <v>740.46486575512267</v>
      </c>
      <c r="D17" s="62">
        <f>IF(D3=0,0,D3/TrAvia_act!D13*100)</f>
        <v>754.51158708132994</v>
      </c>
      <c r="E17" s="62">
        <f>IF(E3=0,0,E3/TrAvia_act!E13*100)</f>
        <v>738.17008476923013</v>
      </c>
      <c r="F17" s="62">
        <f>IF(F3=0,0,F3/TrAvia_act!F13*100)</f>
        <v>740.38342447995319</v>
      </c>
      <c r="G17" s="62">
        <f>IF(G3=0,0,G3/TrAvia_act!G13*100)</f>
        <v>732.69696879462469</v>
      </c>
      <c r="H17" s="62">
        <f>IF(H3=0,0,H3/TrAvia_act!H13*100)</f>
        <v>717.16549420396711</v>
      </c>
      <c r="I17" s="62">
        <f>IF(I3=0,0,I3/TrAvia_act!I13*100)</f>
        <v>708.52310410323264</v>
      </c>
      <c r="J17" s="62">
        <f>IF(J3=0,0,J3/TrAvia_act!J13*100)</f>
        <v>698.75825139572123</v>
      </c>
      <c r="K17" s="62">
        <f>IF(K3=0,0,K3/TrAvia_act!K13*100)</f>
        <v>733.6617301491151</v>
      </c>
      <c r="L17" s="62">
        <f>IF(L3=0,0,L3/TrAvia_act!L13*100)</f>
        <v>686.50399831581012</v>
      </c>
      <c r="M17" s="62">
        <f>IF(M3=0,0,M3/TrAvia_act!M13*100)</f>
        <v>677.8319714711356</v>
      </c>
      <c r="N17" s="62">
        <f>IF(N3=0,0,N3/TrAvia_act!N13*100)</f>
        <v>660.63861530654049</v>
      </c>
      <c r="O17" s="62">
        <f>IF(O3=0,0,O3/TrAvia_act!O13*100)</f>
        <v>659.71420944162537</v>
      </c>
      <c r="P17" s="62">
        <f>IF(P3=0,0,P3/TrAvia_act!P13*100)</f>
        <v>677.91702284354722</v>
      </c>
      <c r="Q17" s="62">
        <f>IF(Q3=0,0,Q3/TrAvia_act!Q13*100)</f>
        <v>682.88775388102158</v>
      </c>
      <c r="R17" s="62">
        <f>IF(R3=0,0,R3/TrAvia_act!R13*100)</f>
        <v>678.08011009073664</v>
      </c>
      <c r="S17" s="62">
        <f>IF(S3=0,0,S3/TrAvia_act!S13*100)</f>
        <v>665.07104905442839</v>
      </c>
      <c r="T17" s="62">
        <f>IF(T3=0,0,T3/TrAvia_act!T13*100)</f>
        <v>655.67198627118137</v>
      </c>
      <c r="U17" s="62">
        <f>IF(U3=0,0,U3/TrAvia_act!U13*100)</f>
        <v>644.15225363157958</v>
      </c>
      <c r="V17" s="62">
        <f>IF(V3=0,0,V3/TrAvia_act!V13*100)</f>
        <v>660.10542665816172</v>
      </c>
      <c r="W17" s="62">
        <f>IF(W3=0,0,W3/TrAvia_act!W13*100)</f>
        <v>606.29990066302184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732.04725138361584</v>
      </c>
      <c r="C18" s="14">
        <f>IF(C6=0,0,C6/TrAvia_act!C14*100)</f>
        <v>730.39367996664168</v>
      </c>
      <c r="D18" s="14">
        <f>IF(D6=0,0,D6/TrAvia_act!D14*100)</f>
        <v>743.22098143043809</v>
      </c>
      <c r="E18" s="14">
        <f>IF(E6=0,0,E6/TrAvia_act!E14*100)</f>
        <v>725.22145680051187</v>
      </c>
      <c r="F18" s="14">
        <f>IF(F6=0,0,F6/TrAvia_act!F14*100)</f>
        <v>728.92146816779086</v>
      </c>
      <c r="G18" s="14">
        <f>IF(G6=0,0,G6/TrAvia_act!G14*100)</f>
        <v>720.38542953875822</v>
      </c>
      <c r="H18" s="14">
        <f>IF(H6=0,0,H6/TrAvia_act!H14*100)</f>
        <v>698.16424950440796</v>
      </c>
      <c r="I18" s="14">
        <f>IF(I6=0,0,I6/TrAvia_act!I14*100)</f>
        <v>688.38575392037058</v>
      </c>
      <c r="J18" s="14">
        <f>IF(J6=0,0,J6/TrAvia_act!J14*100)</f>
        <v>679.37252637708707</v>
      </c>
      <c r="K18" s="14">
        <f>IF(K6=0,0,K6/TrAvia_act!K14*100)</f>
        <v>714.62643255533237</v>
      </c>
      <c r="L18" s="14">
        <f>IF(L6=0,0,L6/TrAvia_act!L14*100)</f>
        <v>666.08100748410413</v>
      </c>
      <c r="M18" s="14">
        <f>IF(M6=0,0,M6/TrAvia_act!M14*100)</f>
        <v>660.12576815273724</v>
      </c>
      <c r="N18" s="14">
        <f>IF(N6=0,0,N6/TrAvia_act!N14*100)</f>
        <v>647.9053479437199</v>
      </c>
      <c r="O18" s="14">
        <f>IF(O6=0,0,O6/TrAvia_act!O14*100)</f>
        <v>648.51819426227587</v>
      </c>
      <c r="P18" s="14">
        <f>IF(P6=0,0,P6/TrAvia_act!P14*100)</f>
        <v>666.96923768810154</v>
      </c>
      <c r="Q18" s="14">
        <f>IF(Q6=0,0,Q6/TrAvia_act!Q14*100)</f>
        <v>673.51854289312337</v>
      </c>
      <c r="R18" s="14">
        <f>IF(R6=0,0,R6/TrAvia_act!R14*100)</f>
        <v>668.97947445998625</v>
      </c>
      <c r="S18" s="14">
        <f>IF(S6=0,0,S6/TrAvia_act!S14*100)</f>
        <v>654.99522565614552</v>
      </c>
      <c r="T18" s="14">
        <f>IF(T6=0,0,T6/TrAvia_act!T14*100)</f>
        <v>645.76897057591589</v>
      </c>
      <c r="U18" s="14">
        <f>IF(U6=0,0,U6/TrAvia_act!U14*100)</f>
        <v>635.97786500788959</v>
      </c>
      <c r="V18" s="14">
        <f>IF(V6=0,0,V6/TrAvia_act!V14*100)</f>
        <v>632.60773033034957</v>
      </c>
      <c r="W18" s="14">
        <f>IF(W6=0,0,W6/TrAvia_act!W14*100)</f>
        <v>584.85923731708272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427.5365774652177</v>
      </c>
      <c r="C20" s="87">
        <f>IF(C8=0,0,C8/TrAvia_act!C16*100)</f>
        <v>426.56985907308911</v>
      </c>
      <c r="D20" s="87">
        <f>IF(D8=0,0,D8/TrAvia_act!D16*100)</f>
        <v>434.8045553741332</v>
      </c>
      <c r="E20" s="87">
        <f>IF(E8=0,0,E8/TrAvia_act!E16*100)</f>
        <v>426.53264438090758</v>
      </c>
      <c r="F20" s="87">
        <f>IF(F8=0,0,F8/TrAvia_act!F16*100)</f>
        <v>424.1385730577324</v>
      </c>
      <c r="G20" s="87">
        <f>IF(G8=0,0,G8/TrAvia_act!G16*100)</f>
        <v>419.242549532623</v>
      </c>
      <c r="H20" s="87">
        <f>IF(H8=0,0,H8/TrAvia_act!H16*100)</f>
        <v>391.62968626031585</v>
      </c>
      <c r="I20" s="87">
        <f>IF(I8=0,0,I8/TrAvia_act!I16*100)</f>
        <v>390.15911676560103</v>
      </c>
      <c r="J20" s="87">
        <f>IF(J8=0,0,J8/TrAvia_act!J16*100)</f>
        <v>388.67340943203385</v>
      </c>
      <c r="K20" s="87">
        <f>IF(K8=0,0,K8/TrAvia_act!K16*100)</f>
        <v>396.26160109565785</v>
      </c>
      <c r="L20" s="87">
        <f>IF(L8=0,0,L8/TrAvia_act!L16*100)</f>
        <v>374.28164737398686</v>
      </c>
      <c r="M20" s="87">
        <f>IF(M8=0,0,M8/TrAvia_act!M16*100)</f>
        <v>363.35132855424195</v>
      </c>
      <c r="N20" s="87">
        <f>IF(N8=0,0,N8/TrAvia_act!N16*100)</f>
        <v>357.19206900579616</v>
      </c>
      <c r="O20" s="87">
        <f>IF(O8=0,0,O8/TrAvia_act!O16*100)</f>
        <v>360.70097562240215</v>
      </c>
      <c r="P20" s="87">
        <f>IF(P8=0,0,P8/TrAvia_act!P16*100)</f>
        <v>369.45265310061274</v>
      </c>
      <c r="Q20" s="87">
        <f>IF(Q8=0,0,Q8/TrAvia_act!Q16*100)</f>
        <v>385.16897685082398</v>
      </c>
      <c r="R20" s="87">
        <f>IF(R8=0,0,R8/TrAvia_act!R16*100)</f>
        <v>381.7106383856343</v>
      </c>
      <c r="S20" s="87">
        <f>IF(S8=0,0,S8/TrAvia_act!S16*100)</f>
        <v>373.01974993404679</v>
      </c>
      <c r="T20" s="87">
        <f>IF(T8=0,0,T8/TrAvia_act!T16*100)</f>
        <v>363.20062246498964</v>
      </c>
      <c r="U20" s="87">
        <f>IF(U8=0,0,U8/TrAvia_act!U16*100)</f>
        <v>351.64451024178106</v>
      </c>
      <c r="V20" s="87">
        <f>IF(V8=0,0,V8/TrAvia_act!V16*100)</f>
        <v>290.02388319094047</v>
      </c>
      <c r="W20" s="87">
        <f>IF(W8=0,0,W8/TrAvia_act!W16*100)</f>
        <v>288.12425792417594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907.31779418437736</v>
      </c>
      <c r="C21" s="87">
        <f>IF(C9=0,0,C9/TrAvia_act!C17*100)</f>
        <v>905.26629584318187</v>
      </c>
      <c r="D21" s="87">
        <f>IF(D9=0,0,D9/TrAvia_act!D17*100)</f>
        <v>922.33795065124332</v>
      </c>
      <c r="E21" s="87">
        <f>IF(E9=0,0,E9/TrAvia_act!E17*100)</f>
        <v>904.37978514788972</v>
      </c>
      <c r="F21" s="87">
        <f>IF(F9=0,0,F9/TrAvia_act!F17*100)</f>
        <v>899.828772983524</v>
      </c>
      <c r="G21" s="87">
        <f>IF(G9=0,0,G9/TrAvia_act!G17*100)</f>
        <v>889.87606165823138</v>
      </c>
      <c r="H21" s="87">
        <f>IF(H9=0,0,H9/TrAvia_act!H17*100)</f>
        <v>889.36863857648984</v>
      </c>
      <c r="I21" s="87">
        <f>IF(I9=0,0,I9/TrAvia_act!I17*100)</f>
        <v>878.03971742065221</v>
      </c>
      <c r="J21" s="87">
        <f>IF(J9=0,0,J9/TrAvia_act!J17*100)</f>
        <v>851.34443653898904</v>
      </c>
      <c r="K21" s="87">
        <f>IF(K9=0,0,K9/TrAvia_act!K17*100)</f>
        <v>899.77431134286098</v>
      </c>
      <c r="L21" s="87">
        <f>IF(L9=0,0,L9/TrAvia_act!L17*100)</f>
        <v>829.18102392226649</v>
      </c>
      <c r="M21" s="87">
        <f>IF(M9=0,0,M9/TrAvia_act!M17*100)</f>
        <v>835.06473918220433</v>
      </c>
      <c r="N21" s="87">
        <f>IF(N9=0,0,N9/TrAvia_act!N17*100)</f>
        <v>815.20334432869163</v>
      </c>
      <c r="O21" s="87">
        <f>IF(O9=0,0,O9/TrAvia_act!O17*100)</f>
        <v>812.12144942110808</v>
      </c>
      <c r="P21" s="87">
        <f>IF(P9=0,0,P9/TrAvia_act!P17*100)</f>
        <v>840.54890734306298</v>
      </c>
      <c r="Q21" s="87">
        <f>IF(Q9=0,0,Q9/TrAvia_act!Q17*100)</f>
        <v>836.56469877093593</v>
      </c>
      <c r="R21" s="87">
        <f>IF(R9=0,0,R9/TrAvia_act!R17*100)</f>
        <v>845.54392089044438</v>
      </c>
      <c r="S21" s="87">
        <f>IF(S9=0,0,S9/TrAvia_act!S17*100)</f>
        <v>835.85855391480061</v>
      </c>
      <c r="T21" s="87">
        <f>IF(T9=0,0,T9/TrAvia_act!T17*100)</f>
        <v>826.0005192795827</v>
      </c>
      <c r="U21" s="87">
        <f>IF(U9=0,0,U9/TrAvia_act!U17*100)</f>
        <v>812.27703597554773</v>
      </c>
      <c r="V21" s="87">
        <f>IF(V9=0,0,V9/TrAvia_act!V17*100)</f>
        <v>830.71902135285404</v>
      </c>
      <c r="W21" s="87">
        <f>IF(W9=0,0,W9/TrAvia_act!W17*100)</f>
        <v>767.10255528663015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804.88197333490825</v>
      </c>
      <c r="C22" s="15">
        <f>IF(C10=0,0,C10/TrAvia_act!C18*100)</f>
        <v>799.22835775392332</v>
      </c>
      <c r="D22" s="15">
        <f>IF(D10=0,0,D10/TrAvia_act!D18*100)</f>
        <v>818.15638642475687</v>
      </c>
      <c r="E22" s="15">
        <f>IF(E10=0,0,E10/TrAvia_act!E18*100)</f>
        <v>802.54333607106753</v>
      </c>
      <c r="F22" s="15">
        <f>IF(F10=0,0,F10/TrAvia_act!F18*100)</f>
        <v>798.18003793617083</v>
      </c>
      <c r="G22" s="15">
        <f>IF(G10=0,0,G10/TrAvia_act!G18*100)</f>
        <v>789.52623140143089</v>
      </c>
      <c r="H22" s="15">
        <f>IF(H10=0,0,H10/TrAvia_act!H18*100)</f>
        <v>798.67098028758062</v>
      </c>
      <c r="I22" s="15">
        <f>IF(I10=0,0,I10/TrAvia_act!I18*100)</f>
        <v>798.39194892153671</v>
      </c>
      <c r="J22" s="15">
        <f>IF(J10=0,0,J10/TrAvia_act!J18*100)</f>
        <v>782.74636384253938</v>
      </c>
      <c r="K22" s="15">
        <f>IF(K10=0,0,K10/TrAvia_act!K18*100)</f>
        <v>834.6444066921373</v>
      </c>
      <c r="L22" s="15">
        <f>IF(L10=0,0,L10/TrAvia_act!L18*100)</f>
        <v>780.39496485122208</v>
      </c>
      <c r="M22" s="15">
        <f>IF(M10=0,0,M10/TrAvia_act!M18*100)</f>
        <v>771.00356317712397</v>
      </c>
      <c r="N22" s="15">
        <f>IF(N10=0,0,N10/TrAvia_act!N18*100)</f>
        <v>739.43416121219559</v>
      </c>
      <c r="O22" s="15">
        <f>IF(O10=0,0,O10/TrAvia_act!O18*100)</f>
        <v>728.93935078956304</v>
      </c>
      <c r="P22" s="15">
        <f>IF(P10=0,0,P10/TrAvia_act!P18*100)</f>
        <v>751.70449256415839</v>
      </c>
      <c r="Q22" s="15">
        <f>IF(Q10=0,0,Q10/TrAvia_act!Q18*100)</f>
        <v>748.15261497091103</v>
      </c>
      <c r="R22" s="15">
        <f>IF(R10=0,0,R10/TrAvia_act!R18*100)</f>
        <v>751.29388927722914</v>
      </c>
      <c r="S22" s="15">
        <f>IF(S10=0,0,S10/TrAvia_act!S18*100)</f>
        <v>741.81449787397423</v>
      </c>
      <c r="T22" s="15">
        <f>IF(T10=0,0,T10/TrAvia_act!T18*100)</f>
        <v>733.82679475196028</v>
      </c>
      <c r="U22" s="15">
        <f>IF(U10=0,0,U10/TrAvia_act!U18*100)</f>
        <v>718.15622601435211</v>
      </c>
      <c r="V22" s="15">
        <f>IF(V10=0,0,V10/TrAvia_act!V18*100)</f>
        <v>735.31411762825223</v>
      </c>
      <c r="W22" s="15">
        <f>IF(W10=0,0,W10/TrAvia_act!W18*100)</f>
        <v>678.32174285642418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499.07438153287035</v>
      </c>
      <c r="C24" s="101">
        <f>IF(C12=0,0,C12/TrAvia_act!C20*100)</f>
        <v>499.25537385682429</v>
      </c>
      <c r="D24" s="101">
        <f>IF(D12=0,0,D12/TrAvia_act!D20*100)</f>
        <v>508.35317232397347</v>
      </c>
      <c r="E24" s="101">
        <f>IF(E12=0,0,E12/TrAvia_act!E20*100)</f>
        <v>495.46890620774946</v>
      </c>
      <c r="F24" s="101">
        <f>IF(F12=0,0,F12/TrAvia_act!F20*100)</f>
        <v>490.24517297389269</v>
      </c>
      <c r="G24" s="101">
        <f>IF(G12=0,0,G12/TrAvia_act!G20*100)</f>
        <v>485.28323268588991</v>
      </c>
      <c r="H24" s="101">
        <f>IF(H12=0,0,H12/TrAvia_act!H20*100)</f>
        <v>455.61655544665814</v>
      </c>
      <c r="I24" s="101">
        <f>IF(I12=0,0,I12/TrAvia_act!I20*100)</f>
        <v>456.26891936554375</v>
      </c>
      <c r="J24" s="101">
        <f>IF(J12=0,0,J12/TrAvia_act!J20*100)</f>
        <v>458.19109696631824</v>
      </c>
      <c r="K24" s="101">
        <f>IF(K12=0,0,K12/TrAvia_act!K20*100)</f>
        <v>471.23723633198659</v>
      </c>
      <c r="L24" s="101">
        <f>IF(L12=0,0,L12/TrAvia_act!L20*100)</f>
        <v>446.31689160905938</v>
      </c>
      <c r="M24" s="101">
        <f>IF(M12=0,0,M12/TrAvia_act!M20*100)</f>
        <v>420.73219058148743</v>
      </c>
      <c r="N24" s="101">
        <f>IF(N12=0,0,N12/TrAvia_act!N20*100)</f>
        <v>427.75351945717375</v>
      </c>
      <c r="O24" s="101">
        <f>IF(O12=0,0,O12/TrAvia_act!O20*100)</f>
        <v>424.85373072731267</v>
      </c>
      <c r="P24" s="101">
        <f>IF(P12=0,0,P12/TrAvia_act!P20*100)</f>
        <v>430.12316010061255</v>
      </c>
      <c r="Q24" s="101">
        <f>IF(Q12=0,0,Q12/TrAvia_act!Q20*100)</f>
        <v>445.54347740223852</v>
      </c>
      <c r="R24" s="101">
        <f>IF(R12=0,0,R12/TrAvia_act!R20*100)</f>
        <v>429.17036181820333</v>
      </c>
      <c r="S24" s="101">
        <f>IF(S12=0,0,S12/TrAvia_act!S20*100)</f>
        <v>417.49055528449207</v>
      </c>
      <c r="T24" s="101">
        <f>IF(T12=0,0,T12/TrAvia_act!T20*100)</f>
        <v>405.62758792053756</v>
      </c>
      <c r="U24" s="101">
        <f>IF(U12=0,0,U12/TrAvia_act!U20*100)</f>
        <v>386.72434599590224</v>
      </c>
      <c r="V24" s="101">
        <f>IF(V12=0,0,V12/TrAvia_act!V20*100)</f>
        <v>332.77899252064424</v>
      </c>
      <c r="W24" s="101">
        <f>IF(W12=0,0,W12/TrAvia_act!W20*100)</f>
        <v>321.08716451038032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816.40670369263898</v>
      </c>
      <c r="C25" s="88">
        <f>IF(C13=0,0,C13/TrAvia_act!C21*100)</f>
        <v>814.5607606183363</v>
      </c>
      <c r="D25" s="88">
        <f>IF(D13=0,0,D13/TrAvia_act!D21*100)</f>
        <v>829.92187611476118</v>
      </c>
      <c r="E25" s="88">
        <f>IF(E13=0,0,E13/TrAvia_act!E21*100)</f>
        <v>813.76307619158888</v>
      </c>
      <c r="F25" s="88">
        <f>IF(F13=0,0,F13/TrAvia_act!F21*100)</f>
        <v>809.66806464944784</v>
      </c>
      <c r="G25" s="88">
        <f>IF(G13=0,0,G13/TrAvia_act!G21*100)</f>
        <v>799.68436338621757</v>
      </c>
      <c r="H25" s="88">
        <f>IF(H13=0,0,H13/TrAvia_act!H21*100)</f>
        <v>810.04792177971035</v>
      </c>
      <c r="I25" s="88">
        <f>IF(I13=0,0,I13/TrAvia_act!I21*100)</f>
        <v>810.40088448251311</v>
      </c>
      <c r="J25" s="88">
        <f>IF(J13=0,0,J13/TrAvia_act!J21*100)</f>
        <v>796.42813146326455</v>
      </c>
      <c r="K25" s="88">
        <f>IF(K13=0,0,K13/TrAvia_act!K21*100)</f>
        <v>854.23008992647306</v>
      </c>
      <c r="L25" s="88">
        <f>IF(L13=0,0,L13/TrAvia_act!L21*100)</f>
        <v>797.71051661472029</v>
      </c>
      <c r="M25" s="88">
        <f>IF(M13=0,0,M13/TrAvia_act!M21*100)</f>
        <v>786.77250425867783</v>
      </c>
      <c r="N25" s="88">
        <f>IF(N13=0,0,N13/TrAvia_act!N21*100)</f>
        <v>751.61065057317023</v>
      </c>
      <c r="O25" s="88">
        <f>IF(O13=0,0,O13/TrAvia_act!O21*100)</f>
        <v>741.24861848645867</v>
      </c>
      <c r="P25" s="88">
        <f>IF(P13=0,0,P13/TrAvia_act!P21*100)</f>
        <v>765.98647980062503</v>
      </c>
      <c r="Q25" s="88">
        <f>IF(Q13=0,0,Q13/TrAvia_act!Q21*100)</f>
        <v>760.97647465686975</v>
      </c>
      <c r="R25" s="88">
        <f>IF(R13=0,0,R13/TrAvia_act!R21*100)</f>
        <v>767.58868894257978</v>
      </c>
      <c r="S25" s="88">
        <f>IF(S13=0,0,S13/TrAvia_act!S21*100)</f>
        <v>755.84415973985222</v>
      </c>
      <c r="T25" s="88">
        <f>IF(T13=0,0,T13/TrAvia_act!T21*100)</f>
        <v>745.80402433437575</v>
      </c>
      <c r="U25" s="88">
        <f>IF(U13=0,0,U13/TrAvia_act!U21*100)</f>
        <v>731.33121766560271</v>
      </c>
      <c r="V25" s="88">
        <f>IF(V13=0,0,V13/TrAvia_act!V21*100)</f>
        <v>745.97467383283765</v>
      </c>
      <c r="W25" s="88">
        <f>IF(W13=0,0,W13/TrAvia_act!W21*100)</f>
        <v>689.5797945025364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44.517819069424178</v>
      </c>
      <c r="C28" s="14">
        <f>IF(C6=0,0,C6/TrAvia_act!C4*1000)</f>
        <v>44.066000442470973</v>
      </c>
      <c r="D28" s="14">
        <f>IF(D6=0,0,D6/TrAvia_act!D4*1000)</f>
        <v>44.706222163482856</v>
      </c>
      <c r="E28" s="14">
        <f>IF(E6=0,0,E6/TrAvia_act!E4*1000)</f>
        <v>43.728832328132796</v>
      </c>
      <c r="F28" s="14">
        <f>IF(F6=0,0,F6/TrAvia_act!F4*1000)</f>
        <v>41.994081406907121</v>
      </c>
      <c r="G28" s="14">
        <f>IF(G6=0,0,G6/TrAvia_act!G4*1000)</f>
        <v>39.525880719924196</v>
      </c>
      <c r="H28" s="14">
        <f>IF(H6=0,0,H6/TrAvia_act!H4*1000)</f>
        <v>38.960337033642467</v>
      </c>
      <c r="I28" s="14">
        <f>IF(I6=0,0,I6/TrAvia_act!I4*1000)</f>
        <v>38.683987327255977</v>
      </c>
      <c r="J28" s="14">
        <f>IF(J6=0,0,J6/TrAvia_act!J4*1000)</f>
        <v>38.755118163848984</v>
      </c>
      <c r="K28" s="14">
        <f>IF(K6=0,0,K6/TrAvia_act!K4*1000)</f>
        <v>41.034730701536198</v>
      </c>
      <c r="L28" s="14">
        <f>IF(L6=0,0,L6/TrAvia_act!L4*1000)</f>
        <v>36.708826706402675</v>
      </c>
      <c r="M28" s="14">
        <f>IF(M6=0,0,M6/TrAvia_act!M4*1000)</f>
        <v>35.971077998185066</v>
      </c>
      <c r="N28" s="14">
        <f>IF(N6=0,0,N6/TrAvia_act!N4*1000)</f>
        <v>34.44083474353468</v>
      </c>
      <c r="O28" s="14">
        <f>IF(O6=0,0,O6/TrAvia_act!O4*1000)</f>
        <v>33.820116339524198</v>
      </c>
      <c r="P28" s="14">
        <f>IF(P6=0,0,P6/TrAvia_act!P4*1000)</f>
        <v>34.385257058909893</v>
      </c>
      <c r="Q28" s="14">
        <f>IF(Q6=0,0,Q6/TrAvia_act!Q4*1000)</f>
        <v>34.461846500457433</v>
      </c>
      <c r="R28" s="14">
        <f>IF(R6=0,0,R6/TrAvia_act!R4*1000)</f>
        <v>33.756867510581095</v>
      </c>
      <c r="S28" s="14">
        <f>IF(S6=0,0,S6/TrAvia_act!S4*1000)</f>
        <v>32.11109674424327</v>
      </c>
      <c r="T28" s="14">
        <f>IF(T6=0,0,T6/TrAvia_act!T4*1000)</f>
        <v>31.069157686966093</v>
      </c>
      <c r="U28" s="14">
        <f>IF(U6=0,0,U6/TrAvia_act!U4*1000)</f>
        <v>30.320039857134354</v>
      </c>
      <c r="V28" s="14">
        <f>IF(V6=0,0,V6/TrAvia_act!V4*1000)</f>
        <v>43.149615115136825</v>
      </c>
      <c r="W28" s="14">
        <f>IF(W6=0,0,W6/TrAvia_act!W4*1000)</f>
        <v>40.882080519033536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38.243053396600132</v>
      </c>
      <c r="C30" s="87">
        <f>IF(C8=0,0,C8/TrAvia_act!C6*1000)</f>
        <v>37.647186808268579</v>
      </c>
      <c r="D30" s="87">
        <f>IF(D8=0,0,D8/TrAvia_act!D6*1000)</f>
        <v>38.437892608593494</v>
      </c>
      <c r="E30" s="87">
        <f>IF(E8=0,0,E8/TrAvia_act!E6*1000)</f>
        <v>38.237437217756714</v>
      </c>
      <c r="F30" s="87">
        <f>IF(F8=0,0,F8/TrAvia_act!F6*1000)</f>
        <v>37.157264646726986</v>
      </c>
      <c r="G30" s="87">
        <f>IF(G8=0,0,G8/TrAvia_act!G6*1000)</f>
        <v>36.063553700296517</v>
      </c>
      <c r="H30" s="87">
        <f>IF(H8=0,0,H8/TrAvia_act!H6*1000)</f>
        <v>35.139439873230025</v>
      </c>
      <c r="I30" s="87">
        <f>IF(I8=0,0,I8/TrAvia_act!I6*1000)</f>
        <v>36.558947106360911</v>
      </c>
      <c r="J30" s="87">
        <f>IF(J8=0,0,J8/TrAvia_act!J6*1000)</f>
        <v>37.735283537631993</v>
      </c>
      <c r="K30" s="87">
        <f>IF(K8=0,0,K8/TrAvia_act!K6*1000)</f>
        <v>37.993664011730985</v>
      </c>
      <c r="L30" s="87">
        <f>IF(L8=0,0,L8/TrAvia_act!L6*1000)</f>
        <v>34.042176495788659</v>
      </c>
      <c r="M30" s="87">
        <f>IF(M8=0,0,M8/TrAvia_act!M6*1000)</f>
        <v>31.97914459688149</v>
      </c>
      <c r="N30" s="87">
        <f>IF(N8=0,0,N8/TrAvia_act!N6*1000)</f>
        <v>30.547326788562039</v>
      </c>
      <c r="O30" s="87">
        <f>IF(O8=0,0,O8/TrAvia_act!O6*1000)</f>
        <v>30.042248172665083</v>
      </c>
      <c r="P30" s="87">
        <f>IF(P8=0,0,P8/TrAvia_act!P6*1000)</f>
        <v>30.282114136675471</v>
      </c>
      <c r="Q30" s="87">
        <f>IF(Q8=0,0,Q8/TrAvia_act!Q6*1000)</f>
        <v>30.920669949518736</v>
      </c>
      <c r="R30" s="87">
        <f>IF(R8=0,0,R8/TrAvia_act!R6*1000)</f>
        <v>29.477039476385311</v>
      </c>
      <c r="S30" s="87">
        <f>IF(S8=0,0,S8/TrAvia_act!S6*1000)</f>
        <v>27.74691095868495</v>
      </c>
      <c r="T30" s="87">
        <f>IF(T8=0,0,T8/TrAvia_act!T6*1000)</f>
        <v>26.607472008608678</v>
      </c>
      <c r="U30" s="87">
        <f>IF(U8=0,0,U8/TrAvia_act!U6*1000)</f>
        <v>25.447597084854998</v>
      </c>
      <c r="V30" s="87">
        <f>IF(V8=0,0,V8/TrAvia_act!V6*1000)</f>
        <v>28.19492644303163</v>
      </c>
      <c r="W30" s="87">
        <f>IF(W8=0,0,W8/TrAvia_act!W6*1000)</f>
        <v>25.96268369723111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46.591150074276456</v>
      </c>
      <c r="C31" s="87">
        <f>IF(C9=0,0,C9/TrAvia_act!C7*1000)</f>
        <v>46.20249332273778</v>
      </c>
      <c r="D31" s="87">
        <f>IF(D9=0,0,D9/TrAvia_act!D7*1000)</f>
        <v>46.795517049096141</v>
      </c>
      <c r="E31" s="87">
        <f>IF(E9=0,0,E9/TrAvia_act!E7*1000)</f>
        <v>45.580630799297964</v>
      </c>
      <c r="F31" s="87">
        <f>IF(F9=0,0,F9/TrAvia_act!F7*1000)</f>
        <v>43.490411271614477</v>
      </c>
      <c r="G31" s="87">
        <f>IF(G9=0,0,G9/TrAvia_act!G7*1000)</f>
        <v>40.558378381880011</v>
      </c>
      <c r="H31" s="87">
        <f>IF(H9=0,0,H9/TrAvia_act!H7*1000)</f>
        <v>40.159764165260896</v>
      </c>
      <c r="I31" s="87">
        <f>IF(I9=0,0,I9/TrAvia_act!I7*1000)</f>
        <v>39.329999203989139</v>
      </c>
      <c r="J31" s="87">
        <f>IF(J9=0,0,J9/TrAvia_act!J7*1000)</f>
        <v>39.040079646107429</v>
      </c>
      <c r="K31" s="87">
        <f>IF(K9=0,0,K9/TrAvia_act!K7*1000)</f>
        <v>41.893554419269357</v>
      </c>
      <c r="L31" s="87">
        <f>IF(L9=0,0,L9/TrAvia_act!L7*1000)</f>
        <v>37.448955481963957</v>
      </c>
      <c r="M31" s="87">
        <f>IF(M9=0,0,M9/TrAvia_act!M7*1000)</f>
        <v>37.160864206958962</v>
      </c>
      <c r="N31" s="87">
        <f>IF(N9=0,0,N9/TrAvia_act!N7*1000)</f>
        <v>35.584476928724591</v>
      </c>
      <c r="O31" s="87">
        <f>IF(O9=0,0,O9/TrAvia_act!O7*1000)</f>
        <v>34.929042302864119</v>
      </c>
      <c r="P31" s="87">
        <f>IF(P9=0,0,P9/TrAvia_act!P7*1000)</f>
        <v>35.623041233229173</v>
      </c>
      <c r="Q31" s="87">
        <f>IF(Q9=0,0,Q9/TrAvia_act!Q7*1000)</f>
        <v>35.520919538757973</v>
      </c>
      <c r="R31" s="87">
        <f>IF(R9=0,0,R9/TrAvia_act!R7*1000)</f>
        <v>35.173886427435711</v>
      </c>
      <c r="S31" s="87">
        <f>IF(S9=0,0,S9/TrAvia_act!S7*1000)</f>
        <v>33.624967059970906</v>
      </c>
      <c r="T31" s="87">
        <f>IF(T9=0,0,T9/TrAvia_act!T7*1000)</f>
        <v>32.602428520592234</v>
      </c>
      <c r="U31" s="87">
        <f>IF(U9=0,0,U9/TrAvia_act!U7*1000)</f>
        <v>31.962771107549194</v>
      </c>
      <c r="V31" s="87">
        <f>IF(V9=0,0,V9/TrAvia_act!V7*1000)</f>
        <v>48.324433818342825</v>
      </c>
      <c r="W31" s="87">
        <f>IF(W9=0,0,W9/TrAvia_act!W7*1000)</f>
        <v>47.129551606331667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108.02602498345392</v>
      </c>
      <c r="C32" s="15">
        <f>IF(C10=0,0,C10/TrAvia_act!C8*1000)</f>
        <v>103.24804845520634</v>
      </c>
      <c r="D32" s="15">
        <f>IF(D10=0,0,D10/TrAvia_act!D8*1000)</f>
        <v>111.00794478577639</v>
      </c>
      <c r="E32" s="15">
        <f>IF(E10=0,0,E10/TrAvia_act!E8*1000)</f>
        <v>119.5483653905378</v>
      </c>
      <c r="F32" s="15">
        <f>IF(F10=0,0,F10/TrAvia_act!F8*1000)</f>
        <v>122.69317588978751</v>
      </c>
      <c r="G32" s="15">
        <f>IF(G10=0,0,G10/TrAvia_act!G8*1000)</f>
        <v>128.67103701663257</v>
      </c>
      <c r="H32" s="15">
        <f>IF(H10=0,0,H10/TrAvia_act!H8*1000)</f>
        <v>134.79623261799054</v>
      </c>
      <c r="I32" s="15">
        <f>IF(I10=0,0,I10/TrAvia_act!I8*1000)</f>
        <v>137.20135858019449</v>
      </c>
      <c r="J32" s="15">
        <f>IF(J10=0,0,J10/TrAvia_act!J8*1000)</f>
        <v>137.90474201076643</v>
      </c>
      <c r="K32" s="15">
        <f>IF(K10=0,0,K10/TrAvia_act!K8*1000)</f>
        <v>131.53400450930596</v>
      </c>
      <c r="L32" s="15">
        <f>IF(L10=0,0,L10/TrAvia_act!L8*1000)</f>
        <v>120.8140252488879</v>
      </c>
      <c r="M32" s="15">
        <f>IF(M10=0,0,M10/TrAvia_act!M8*1000)</f>
        <v>112.53829773272604</v>
      </c>
      <c r="N32" s="15">
        <f>IF(N10=0,0,N10/TrAvia_act!N8*1000)</f>
        <v>99.308371131458401</v>
      </c>
      <c r="O32" s="15">
        <f>IF(O10=0,0,O10/TrAvia_act!O8*1000)</f>
        <v>97.19594596321852</v>
      </c>
      <c r="P32" s="15">
        <f>IF(P10=0,0,P10/TrAvia_act!P8*1000)</f>
        <v>86.378151990695144</v>
      </c>
      <c r="Q32" s="15">
        <f>IF(Q10=0,0,Q10/TrAvia_act!Q8*1000)</f>
        <v>85.945921481892682</v>
      </c>
      <c r="R32" s="15">
        <f>IF(R10=0,0,R10/TrAvia_act!R8*1000)</f>
        <v>80.151066336597665</v>
      </c>
      <c r="S32" s="15">
        <f>IF(S10=0,0,S10/TrAvia_act!S8*1000)</f>
        <v>80.056379456717423</v>
      </c>
      <c r="T32" s="15">
        <f>IF(T10=0,0,T10/TrAvia_act!T8*1000)</f>
        <v>78.6510910091677</v>
      </c>
      <c r="U32" s="15">
        <f>IF(U10=0,0,U10/TrAvia_act!U8*1000)</f>
        <v>73.715974525837836</v>
      </c>
      <c r="V32" s="15">
        <f>IF(V10=0,0,V10/TrAvia_act!V8*1000)</f>
        <v>113.40668912906017</v>
      </c>
      <c r="W32" s="15">
        <f>IF(W10=0,0,W10/TrAvia_act!W8*1000)</f>
        <v>106.00549863051195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192.98684105815209</v>
      </c>
      <c r="C34" s="101">
        <f>IF(C12=0,0,C12/TrAvia_act!C10*1000)</f>
        <v>183.30123241693681</v>
      </c>
      <c r="D34" s="101">
        <f>IF(D12=0,0,D12/TrAvia_act!D10*1000)</f>
        <v>198.35422751292805</v>
      </c>
      <c r="E34" s="101">
        <f>IF(E12=0,0,E12/TrAvia_act!E10*1000)</f>
        <v>191.36307857494657</v>
      </c>
      <c r="F34" s="101">
        <f>IF(F12=0,0,F12/TrAvia_act!F10*1000)</f>
        <v>213.59274163571797</v>
      </c>
      <c r="G34" s="101">
        <f>IF(G12=0,0,G12/TrAvia_act!G10*1000)</f>
        <v>215.71063079089518</v>
      </c>
      <c r="H34" s="101">
        <f>IF(H12=0,0,H12/TrAvia_act!H10*1000)</f>
        <v>234.3015408101829</v>
      </c>
      <c r="I34" s="101">
        <f>IF(I12=0,0,I12/TrAvia_act!I10*1000)</f>
        <v>238.18254899011714</v>
      </c>
      <c r="J34" s="101">
        <f>IF(J12=0,0,J12/TrAvia_act!J10*1000)</f>
        <v>243.61738135254288</v>
      </c>
      <c r="K34" s="101">
        <f>IF(K12=0,0,K12/TrAvia_act!K10*1000)</f>
        <v>240.06456102889658</v>
      </c>
      <c r="L34" s="101">
        <f>IF(L12=0,0,L12/TrAvia_act!L10*1000)</f>
        <v>224.57990151793601</v>
      </c>
      <c r="M34" s="101">
        <f>IF(M12=0,0,M12/TrAvia_act!M10*1000)</f>
        <v>201.97957220383594</v>
      </c>
      <c r="N34" s="101">
        <f>IF(N12=0,0,N12/TrAvia_act!N10*1000)</f>
        <v>189.57646182426797</v>
      </c>
      <c r="O34" s="101">
        <f>IF(O12=0,0,O12/TrAvia_act!O10*1000)</f>
        <v>187.32643249225094</v>
      </c>
      <c r="P34" s="101">
        <f>IF(P12=0,0,P12/TrAvia_act!P10*1000)</f>
        <v>163.96182456298814</v>
      </c>
      <c r="Q34" s="101">
        <f>IF(Q12=0,0,Q12/TrAvia_act!Q10*1000)</f>
        <v>172.13216226072598</v>
      </c>
      <c r="R34" s="101">
        <f>IF(R12=0,0,R12/TrAvia_act!R10*1000)</f>
        <v>152.58758302597556</v>
      </c>
      <c r="S34" s="101">
        <f>IF(S12=0,0,S12/TrAvia_act!S10*1000)</f>
        <v>165.46000848087664</v>
      </c>
      <c r="T34" s="101">
        <f>IF(T12=0,0,T12/TrAvia_act!T10*1000)</f>
        <v>157.92541871475228</v>
      </c>
      <c r="U34" s="101">
        <f>IF(U12=0,0,U12/TrAvia_act!U10*1000)</f>
        <v>143.5153588937564</v>
      </c>
      <c r="V34" s="101">
        <f>IF(V12=0,0,V12/TrAvia_act!V10*1000)</f>
        <v>151.48609532239516</v>
      </c>
      <c r="W34" s="101">
        <f>IF(W12=0,0,W12/TrAvia_act!W10*1000)</f>
        <v>154.33473167299087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106.94140379558046</v>
      </c>
      <c r="C35" s="88">
        <f>IF(C13=0,0,C13/TrAvia_act!C11*1000)</f>
        <v>101.85450407178328</v>
      </c>
      <c r="D35" s="88">
        <f>IF(D13=0,0,D13/TrAvia_act!D11*1000)</f>
        <v>109.88234680207904</v>
      </c>
      <c r="E35" s="88">
        <f>IF(E13=0,0,E13/TrAvia_act!E11*1000)</f>
        <v>118.55856915290053</v>
      </c>
      <c r="F35" s="88">
        <f>IF(F13=0,0,F13/TrAvia_act!F11*1000)</f>
        <v>121.52493179639977</v>
      </c>
      <c r="G35" s="88">
        <f>IF(G13=0,0,G13/TrAvia_act!G11*1000)</f>
        <v>127.62761522838636</v>
      </c>
      <c r="H35" s="88">
        <f>IF(H13=0,0,H13/TrAvia_act!H11*1000)</f>
        <v>133.73680005935344</v>
      </c>
      <c r="I35" s="88">
        <f>IF(I13=0,0,I13/TrAvia_act!I11*1000)</f>
        <v>136.06134898993162</v>
      </c>
      <c r="J35" s="88">
        <f>IF(J13=0,0,J13/TrAvia_act!J11*1000)</f>
        <v>136.46857513578922</v>
      </c>
      <c r="K35" s="88">
        <f>IF(K13=0,0,K13/TrAvia_act!K11*1000)</f>
        <v>129.78949441474876</v>
      </c>
      <c r="L35" s="88">
        <f>IF(L13=0,0,L13/TrAvia_act!L11*1000)</f>
        <v>119.21664998962289</v>
      </c>
      <c r="M35" s="88">
        <f>IF(M13=0,0,M13/TrAvia_act!M11*1000)</f>
        <v>111.35121782051644</v>
      </c>
      <c r="N35" s="88">
        <f>IF(N13=0,0,N13/TrAvia_act!N11*1000)</f>
        <v>98.268031769161439</v>
      </c>
      <c r="O35" s="88">
        <f>IF(O13=0,0,O13/TrAvia_act!O11*1000)</f>
        <v>96.12291694420324</v>
      </c>
      <c r="P35" s="88">
        <f>IF(P13=0,0,P13/TrAvia_act!P11*1000)</f>
        <v>85.370742164952631</v>
      </c>
      <c r="Q35" s="88">
        <f>IF(Q13=0,0,Q13/TrAvia_act!Q11*1000)</f>
        <v>84.891304643811523</v>
      </c>
      <c r="R35" s="88">
        <f>IF(R13=0,0,R13/TrAvia_act!R11*1000)</f>
        <v>79.089167600838181</v>
      </c>
      <c r="S35" s="88">
        <f>IF(S13=0,0,S13/TrAvia_act!S11*1000)</f>
        <v>79.081078936890862</v>
      </c>
      <c r="T35" s="88">
        <f>IF(T13=0,0,T13/TrAvia_act!T11*1000)</f>
        <v>77.875198945930876</v>
      </c>
      <c r="U35" s="88">
        <f>IF(U13=0,0,U13/TrAvia_act!U11*1000)</f>
        <v>72.969971043860241</v>
      </c>
      <c r="V35" s="88">
        <f>IF(V13=0,0,V13/TrAvia_act!V11*1000)</f>
        <v>113.07089266586873</v>
      </c>
      <c r="W35" s="88">
        <f>IF(W13=0,0,W13/TrAvia_act!W11*1000)</f>
        <v>105.52062146005953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15448.069185201402</v>
      </c>
      <c r="C37" s="62">
        <f>IF(C3=0,0,C3/TrAvia_act!C23*1000000)</f>
        <v>15355.145001967812</v>
      </c>
      <c r="D37" s="62">
        <f>IF(D3=0,0,D3/TrAvia_act!D23*1000000)</f>
        <v>15637.826670388908</v>
      </c>
      <c r="E37" s="62">
        <f>IF(E3=0,0,E3/TrAvia_act!E23*1000000)</f>
        <v>15227.457399522444</v>
      </c>
      <c r="F37" s="62">
        <f>IF(F3=0,0,F3/TrAvia_act!F23*1000000)</f>
        <v>15721.363034085351</v>
      </c>
      <c r="G37" s="62">
        <f>IF(G3=0,0,G3/TrAvia_act!G23*1000000)</f>
        <v>15923.581227215616</v>
      </c>
      <c r="H37" s="62">
        <f>IF(H3=0,0,H3/TrAvia_act!H23*1000000)</f>
        <v>15215.031078282469</v>
      </c>
      <c r="I37" s="62">
        <f>IF(I3=0,0,I3/TrAvia_act!I23*1000000)</f>
        <v>14932.962584835121</v>
      </c>
      <c r="J37" s="62">
        <f>IF(J3=0,0,J3/TrAvia_act!J23*1000000)</f>
        <v>15191.266603441798</v>
      </c>
      <c r="K37" s="62">
        <f>IF(K3=0,0,K3/TrAvia_act!K23*1000000)</f>
        <v>15587.753903792311</v>
      </c>
      <c r="L37" s="62">
        <f>IF(L3=0,0,L3/TrAvia_act!L23*1000000)</f>
        <v>15211.837869683086</v>
      </c>
      <c r="M37" s="62">
        <f>IF(M3=0,0,M3/TrAvia_act!M23*1000000)</f>
        <v>14562.127455892687</v>
      </c>
      <c r="N37" s="62">
        <f>IF(N3=0,0,N3/TrAvia_act!N23*1000000)</f>
        <v>13911.481919689521</v>
      </c>
      <c r="O37" s="62">
        <f>IF(O3=0,0,O3/TrAvia_act!O23*1000000)</f>
        <v>13962.240005150607</v>
      </c>
      <c r="P37" s="62">
        <f>IF(P3=0,0,P3/TrAvia_act!P23*1000000)</f>
        <v>14159.325266360205</v>
      </c>
      <c r="Q37" s="62">
        <f>IF(Q3=0,0,Q3/TrAvia_act!Q23*1000000)</f>
        <v>14464.323300261403</v>
      </c>
      <c r="R37" s="62">
        <f>IF(R3=0,0,R3/TrAvia_act!R23*1000000)</f>
        <v>14107.857328743014</v>
      </c>
      <c r="S37" s="62">
        <f>IF(S3=0,0,S3/TrAvia_act!S23*1000000)</f>
        <v>14056.395737852987</v>
      </c>
      <c r="T37" s="62">
        <f>IF(T3=0,0,T3/TrAvia_act!T23*1000000)</f>
        <v>14024.17141751901</v>
      </c>
      <c r="U37" s="62">
        <f>IF(U3=0,0,U3/TrAvia_act!U23*1000000)</f>
        <v>13787.350222918201</v>
      </c>
      <c r="V37" s="62">
        <f>IF(V3=0,0,V3/TrAvia_act!V23*1000000)</f>
        <v>16929.104228916265</v>
      </c>
      <c r="W37" s="62">
        <f>IF(W3=0,0,W3/TrAvia_act!W23*1000000)</f>
        <v>15798.35120456289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13932.330061988174</v>
      </c>
      <c r="C38" s="14">
        <f>IF(C6=0,0,C6/TrAvia_act!C24*1000000)</f>
        <v>13900.950576825368</v>
      </c>
      <c r="D38" s="14">
        <f>IF(D6=0,0,D6/TrAvia_act!D24*1000000)</f>
        <v>14032.819897319092</v>
      </c>
      <c r="E38" s="14">
        <f>IF(E6=0,0,E6/TrAvia_act!E24*1000000)</f>
        <v>13455.094517538429</v>
      </c>
      <c r="F38" s="14">
        <f>IF(F6=0,0,F6/TrAvia_act!F24*1000000)</f>
        <v>13986.761155023944</v>
      </c>
      <c r="G38" s="14">
        <f>IF(G6=0,0,G6/TrAvia_act!G24*1000000)</f>
        <v>14001.456123099189</v>
      </c>
      <c r="H38" s="14">
        <f>IF(H6=0,0,H6/TrAvia_act!H24*1000000)</f>
        <v>13073.863924064341</v>
      </c>
      <c r="I38" s="14">
        <f>IF(I6=0,0,I6/TrAvia_act!I24*1000000)</f>
        <v>12834.508290992375</v>
      </c>
      <c r="J38" s="14">
        <f>IF(J6=0,0,J6/TrAvia_act!J24*1000000)</f>
        <v>13078.966355021534</v>
      </c>
      <c r="K38" s="14">
        <f>IF(K6=0,0,K6/TrAvia_act!K24*1000000)</f>
        <v>13748.242999115166</v>
      </c>
      <c r="L38" s="14">
        <f>IF(L6=0,0,L6/TrAvia_act!L24*1000000)</f>
        <v>13180.082982567397</v>
      </c>
      <c r="M38" s="14">
        <f>IF(M6=0,0,M6/TrAvia_act!M24*1000000)</f>
        <v>12857.145438684738</v>
      </c>
      <c r="N38" s="14">
        <f>IF(N6=0,0,N6/TrAvia_act!N24*1000000)</f>
        <v>12590.209199176474</v>
      </c>
      <c r="O38" s="14">
        <f>IF(O6=0,0,O6/TrAvia_act!O24*1000000)</f>
        <v>12674.221885240777</v>
      </c>
      <c r="P38" s="14">
        <f>IF(P6=0,0,P6/TrAvia_act!P24*1000000)</f>
        <v>12955.817177478906</v>
      </c>
      <c r="Q38" s="14">
        <f>IF(Q6=0,0,Q6/TrAvia_act!Q24*1000000)</f>
        <v>13295.522404251955</v>
      </c>
      <c r="R38" s="14">
        <f>IF(R6=0,0,R6/TrAvia_act!R24*1000000)</f>
        <v>13094.333019346932</v>
      </c>
      <c r="S38" s="14">
        <f>IF(S6=0,0,S6/TrAvia_act!S24*1000000)</f>
        <v>12947.812534809924</v>
      </c>
      <c r="T38" s="14">
        <f>IF(T6=0,0,T6/TrAvia_act!T24*1000000)</f>
        <v>12929.119199800236</v>
      </c>
      <c r="U38" s="14">
        <f>IF(U6=0,0,U6/TrAvia_act!U24*1000000)</f>
        <v>12869.066421481588</v>
      </c>
      <c r="V38" s="14">
        <f>IF(V6=0,0,V6/TrAvia_act!V24*1000000)</f>
        <v>13683.122837353594</v>
      </c>
      <c r="W38" s="14">
        <f>IF(W6=0,0,W6/TrAvia_act!W24*1000000)</f>
        <v>13340.069482797313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3897.5257506119206</v>
      </c>
      <c r="C40" s="87">
        <f>IF(C8=0,0,C8/TrAvia_act!C26*1000000)</f>
        <v>3888.7164266833238</v>
      </c>
      <c r="D40" s="87">
        <f>IF(D8=0,0,D8/TrAvia_act!D26*1000000)</f>
        <v>3941.0339443025805</v>
      </c>
      <c r="E40" s="87">
        <f>IF(E8=0,0,E8/TrAvia_act!E26*1000000)</f>
        <v>3842.5396801206689</v>
      </c>
      <c r="F40" s="87">
        <f>IF(F8=0,0,F8/TrAvia_act!F26*1000000)</f>
        <v>3855.2911329696803</v>
      </c>
      <c r="G40" s="87">
        <f>IF(G8=0,0,G8/TrAvia_act!G26*1000000)</f>
        <v>3845.9827421158916</v>
      </c>
      <c r="H40" s="87">
        <f>IF(H8=0,0,H8/TrAvia_act!H26*1000000)</f>
        <v>3604.2834851725511</v>
      </c>
      <c r="I40" s="87">
        <f>IF(I8=0,0,I8/TrAvia_act!I26*1000000)</f>
        <v>3603.7564068347788</v>
      </c>
      <c r="J40" s="87">
        <f>IF(J8=0,0,J8/TrAvia_act!J26*1000000)</f>
        <v>3611.5113562398546</v>
      </c>
      <c r="K40" s="87">
        <f>IF(K8=0,0,K8/TrAvia_act!K26*1000000)</f>
        <v>3672.546531820677</v>
      </c>
      <c r="L40" s="87">
        <f>IF(L8=0,0,L8/TrAvia_act!L26*1000000)</f>
        <v>3532.7577471756999</v>
      </c>
      <c r="M40" s="87">
        <f>IF(M8=0,0,M8/TrAvia_act!M26*1000000)</f>
        <v>3452.1346651975955</v>
      </c>
      <c r="N40" s="87">
        <f>IF(N8=0,0,N8/TrAvia_act!N26*1000000)</f>
        <v>3346.2476213621326</v>
      </c>
      <c r="O40" s="87">
        <f>IF(O8=0,0,O8/TrAvia_act!O26*1000000)</f>
        <v>3383.9395343887354</v>
      </c>
      <c r="P40" s="87">
        <f>IF(P8=0,0,P8/TrAvia_act!P26*1000000)</f>
        <v>3480.9761362815375</v>
      </c>
      <c r="Q40" s="87">
        <f>IF(Q8=0,0,Q8/TrAvia_act!Q26*1000000)</f>
        <v>3636.5404589135715</v>
      </c>
      <c r="R40" s="87">
        <f>IF(R8=0,0,R8/TrAvia_act!R26*1000000)</f>
        <v>3701.8028048305396</v>
      </c>
      <c r="S40" s="87">
        <f>IF(S8=0,0,S8/TrAvia_act!S26*1000000)</f>
        <v>3736.9933319368424</v>
      </c>
      <c r="T40" s="87">
        <f>IF(T8=0,0,T8/TrAvia_act!T26*1000000)</f>
        <v>3680.4759298272611</v>
      </c>
      <c r="U40" s="87">
        <f>IF(U8=0,0,U8/TrAvia_act!U26*1000000)</f>
        <v>3559.3042901384156</v>
      </c>
      <c r="V40" s="87">
        <f>IF(V8=0,0,V8/TrAvia_act!V26*1000000)</f>
        <v>2990.9656355923607</v>
      </c>
      <c r="W40" s="87">
        <f>IF(W8=0,0,W8/TrAvia_act!W26*1000000)</f>
        <v>3332.2387573274132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46178.957040659217</v>
      </c>
      <c r="C41" s="87">
        <f>IF(C9=0,0,C9/TrAvia_act!C27*1000000)</f>
        <v>46074.543731040168</v>
      </c>
      <c r="D41" s="87">
        <f>IF(D9=0,0,D9/TrAvia_act!D27*1000000)</f>
        <v>46943.424754919019</v>
      </c>
      <c r="E41" s="87">
        <f>IF(E9=0,0,E9/TrAvia_act!E27*1000000)</f>
        <v>46029.423774640782</v>
      </c>
      <c r="F41" s="87">
        <f>IF(F9=0,0,F9/TrAvia_act!F27*1000000)</f>
        <v>45797.794904826005</v>
      </c>
      <c r="G41" s="87">
        <f>IF(G9=0,0,G9/TrAvia_act!G27*1000000)</f>
        <v>46697.548588654565</v>
      </c>
      <c r="H41" s="87">
        <f>IF(H9=0,0,H9/TrAvia_act!H27*1000000)</f>
        <v>46968.419092417076</v>
      </c>
      <c r="I41" s="87">
        <f>IF(I9=0,0,I9/TrAvia_act!I27*1000000)</f>
        <v>46469.896722759273</v>
      </c>
      <c r="J41" s="87">
        <f>IF(J9=0,0,J9/TrAvia_act!J27*1000000)</f>
        <v>44792.065318545683</v>
      </c>
      <c r="K41" s="87">
        <f>IF(K9=0,0,K9/TrAvia_act!K27*1000000)</f>
        <v>46238.603907880155</v>
      </c>
      <c r="L41" s="87">
        <f>IF(L9=0,0,L9/TrAvia_act!L27*1000000)</f>
        <v>42378.107337185917</v>
      </c>
      <c r="M41" s="87">
        <f>IF(M9=0,0,M9/TrAvia_act!M27*1000000)</f>
        <v>42683.066101093958</v>
      </c>
      <c r="N41" s="87">
        <f>IF(N9=0,0,N9/TrAvia_act!N27*1000000)</f>
        <v>41492.306423897207</v>
      </c>
      <c r="O41" s="87">
        <f>IF(O9=0,0,O9/TrAvia_act!O27*1000000)</f>
        <v>41300.123373925264</v>
      </c>
      <c r="P41" s="87">
        <f>IF(P9=0,0,P9/TrAvia_act!P27*1000000)</f>
        <v>42899.815643916198</v>
      </c>
      <c r="Q41" s="87">
        <f>IF(Q9=0,0,Q9/TrAvia_act!Q27*1000000)</f>
        <v>43095.932415657036</v>
      </c>
      <c r="R41" s="87">
        <f>IF(R9=0,0,R9/TrAvia_act!R27*1000000)</f>
        <v>44239.912337967711</v>
      </c>
      <c r="S41" s="87">
        <f>IF(S9=0,0,S9/TrAvia_act!S27*1000000)</f>
        <v>43969.562956607384</v>
      </c>
      <c r="T41" s="87">
        <f>IF(T9=0,0,T9/TrAvia_act!T27*1000000)</f>
        <v>43793.427640691378</v>
      </c>
      <c r="U41" s="87">
        <f>IF(U9=0,0,U9/TrAvia_act!U27*1000000)</f>
        <v>43198.490879536846</v>
      </c>
      <c r="V41" s="87">
        <f>IF(V9=0,0,V9/TrAvia_act!V27*1000000)</f>
        <v>49172.43476600969</v>
      </c>
      <c r="W41" s="87">
        <f>IF(W9=0,0,W9/TrAvia_act!W27*1000000)</f>
        <v>43425.883539886825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37203.204338230207</v>
      </c>
      <c r="C42" s="15">
        <f>IF(C10=0,0,C10/TrAvia_act!C28*1000000)</f>
        <v>34725.703097380538</v>
      </c>
      <c r="D42" s="15">
        <f>IF(D10=0,0,D10/TrAvia_act!D28*1000000)</f>
        <v>37743.212512991624</v>
      </c>
      <c r="E42" s="15">
        <f>IF(E10=0,0,E10/TrAvia_act!E28*1000000)</f>
        <v>37300.772481692213</v>
      </c>
      <c r="F42" s="15">
        <f>IF(F10=0,0,F10/TrAvia_act!F28*1000000)</f>
        <v>36654.405698853618</v>
      </c>
      <c r="G42" s="15">
        <f>IF(G10=0,0,G10/TrAvia_act!G28*1000000)</f>
        <v>37750.112324261485</v>
      </c>
      <c r="H42" s="15">
        <f>IF(H10=0,0,H10/TrAvia_act!H28*1000000)</f>
        <v>39427.683340999451</v>
      </c>
      <c r="I42" s="15">
        <f>IF(I10=0,0,I10/TrAvia_act!I28*1000000)</f>
        <v>40265.06672044564</v>
      </c>
      <c r="J42" s="15">
        <f>IF(J10=0,0,J10/TrAvia_act!J28*1000000)</f>
        <v>38684.378289461631</v>
      </c>
      <c r="K42" s="15">
        <f>IF(K10=0,0,K10/TrAvia_act!K28*1000000)</f>
        <v>39738.624741870291</v>
      </c>
      <c r="L42" s="15">
        <f>IF(L10=0,0,L10/TrAvia_act!L28*1000000)</f>
        <v>38499.422028626708</v>
      </c>
      <c r="M42" s="15">
        <f>IF(M10=0,0,M10/TrAvia_act!M28*1000000)</f>
        <v>36174.958251883101</v>
      </c>
      <c r="N42" s="15">
        <f>IF(N10=0,0,N10/TrAvia_act!N28*1000000)</f>
        <v>32279.292681327574</v>
      </c>
      <c r="O42" s="15">
        <f>IF(O10=0,0,O10/TrAvia_act!O28*1000000)</f>
        <v>31662.256523247557</v>
      </c>
      <c r="P42" s="15">
        <f>IF(P10=0,0,P10/TrAvia_act!P28*1000000)</f>
        <v>31855.888749982594</v>
      </c>
      <c r="Q42" s="15">
        <f>IF(Q10=0,0,Q10/TrAvia_act!Q28*1000000)</f>
        <v>32234.507217085476</v>
      </c>
      <c r="R42" s="15">
        <f>IF(R10=0,0,R10/TrAvia_act!R28*1000000)</f>
        <v>31665.043284352421</v>
      </c>
      <c r="S42" s="15">
        <f>IF(S10=0,0,S10/TrAvia_act!S28*1000000)</f>
        <v>33136.641401148059</v>
      </c>
      <c r="T42" s="15">
        <f>IF(T10=0,0,T10/TrAvia_act!T28*1000000)</f>
        <v>34057.206975446192</v>
      </c>
      <c r="U42" s="15">
        <f>IF(U10=0,0,U10/TrAvia_act!U28*1000000)</f>
        <v>32219.054558051754</v>
      </c>
      <c r="V42" s="15">
        <f>IF(V10=0,0,V10/TrAvia_act!V28*1000000)</f>
        <v>38318.956201436326</v>
      </c>
      <c r="W42" s="15">
        <f>IF(W10=0,0,W10/TrAvia_act!W28*1000000)</f>
        <v>33881.835502922193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3943.0596504045693</v>
      </c>
      <c r="C44" s="101">
        <f>IF(C12=0,0,C12/TrAvia_act!C30*1000000)</f>
        <v>3918.8141906636374</v>
      </c>
      <c r="D44" s="101">
        <f>IF(D12=0,0,D12/TrAvia_act!D30*1000000)</f>
        <v>4005.3517000816646</v>
      </c>
      <c r="E44" s="101">
        <f>IF(E12=0,0,E12/TrAvia_act!E30*1000000)</f>
        <v>3917.2057366807198</v>
      </c>
      <c r="F44" s="101">
        <f>IF(F12=0,0,F12/TrAvia_act!F30*1000000)</f>
        <v>3726.3833851563222</v>
      </c>
      <c r="G44" s="101">
        <f>IF(G12=0,0,G12/TrAvia_act!G30*1000000)</f>
        <v>3671.3590500834512</v>
      </c>
      <c r="H44" s="101">
        <f>IF(H12=0,0,H12/TrAvia_act!H30*1000000)</f>
        <v>3518.1239186647799</v>
      </c>
      <c r="I44" s="101">
        <f>IF(I12=0,0,I12/TrAvia_act!I30*1000000)</f>
        <v>3670.4495174330118</v>
      </c>
      <c r="J44" s="101">
        <f>IF(J12=0,0,J12/TrAvia_act!J30*1000000)</f>
        <v>3667.2916326818863</v>
      </c>
      <c r="K44" s="101">
        <f>IF(K12=0,0,K12/TrAvia_act!K30*1000000)</f>
        <v>3956.2784019827473</v>
      </c>
      <c r="L44" s="101">
        <f>IF(L12=0,0,L12/TrAvia_act!L30*1000000)</f>
        <v>3897.901130018281</v>
      </c>
      <c r="M44" s="101">
        <f>IF(M12=0,0,M12/TrAvia_act!M30*1000000)</f>
        <v>3087.8665489165005</v>
      </c>
      <c r="N44" s="101">
        <f>IF(N12=0,0,N12/TrAvia_act!N30*1000000)</f>
        <v>2468.3819366776652</v>
      </c>
      <c r="O44" s="101">
        <f>IF(O12=0,0,O12/TrAvia_act!O30*1000000)</f>
        <v>2526.9959419046204</v>
      </c>
      <c r="P44" s="101">
        <f>IF(P12=0,0,P12/TrAvia_act!P30*1000000)</f>
        <v>2565.5494379862448</v>
      </c>
      <c r="Q44" s="101">
        <f>IF(Q12=0,0,Q12/TrAvia_act!Q30*1000000)</f>
        <v>2685.7104940559911</v>
      </c>
      <c r="R44" s="101">
        <f>IF(R12=0,0,R12/TrAvia_act!R30*1000000)</f>
        <v>2749.7280746184492</v>
      </c>
      <c r="S44" s="101">
        <f>IF(S12=0,0,S12/TrAvia_act!S30*1000000)</f>
        <v>2865.3907703627187</v>
      </c>
      <c r="T44" s="101">
        <f>IF(T12=0,0,T12/TrAvia_act!T30*1000000)</f>
        <v>2793.8546857972865</v>
      </c>
      <c r="U44" s="101">
        <f>IF(U12=0,0,U12/TrAvia_act!U30*1000000)</f>
        <v>2657.7434236788185</v>
      </c>
      <c r="V44" s="101">
        <f>IF(V12=0,0,V12/TrAvia_act!V30*1000000)</f>
        <v>2230.142679880526</v>
      </c>
      <c r="W44" s="101">
        <f>IF(W12=0,0,W12/TrAvia_act!W30*1000000)</f>
        <v>2387.5927062098426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46176.526847039779</v>
      </c>
      <c r="C45" s="88">
        <f>IF(C13=0,0,C13/TrAvia_act!C31*1000000)</f>
        <v>46072.119032229944</v>
      </c>
      <c r="D45" s="88">
        <f>IF(D13=0,0,D13/TrAvia_act!D31*1000000)</f>
        <v>46940.954330755601</v>
      </c>
      <c r="E45" s="88">
        <f>IF(E13=0,0,E13/TrAvia_act!E31*1000000)</f>
        <v>46027.001450293661</v>
      </c>
      <c r="F45" s="88">
        <f>IF(F13=0,0,F13/TrAvia_act!F31*1000000)</f>
        <v>45795.384770078606</v>
      </c>
      <c r="G45" s="88">
        <f>IF(G13=0,0,G13/TrAvia_act!G31*1000000)</f>
        <v>46494.474139918995</v>
      </c>
      <c r="H45" s="88">
        <f>IF(H13=0,0,H13/TrAvia_act!H31*1000000)</f>
        <v>48699.760925286384</v>
      </c>
      <c r="I45" s="88">
        <f>IF(I13=0,0,I13/TrAvia_act!I31*1000000)</f>
        <v>50145.418245999106</v>
      </c>
      <c r="J45" s="88">
        <f>IF(J13=0,0,J13/TrAvia_act!J31*1000000)</f>
        <v>50342.302979440909</v>
      </c>
      <c r="K45" s="88">
        <f>IF(K13=0,0,K13/TrAvia_act!K31*1000000)</f>
        <v>54354.620436989484</v>
      </c>
      <c r="L45" s="88">
        <f>IF(L13=0,0,L13/TrAvia_act!L31*1000000)</f>
        <v>51845.837184572512</v>
      </c>
      <c r="M45" s="88">
        <f>IF(M13=0,0,M13/TrAvia_act!M31*1000000)</f>
        <v>48750.76914618806</v>
      </c>
      <c r="N45" s="88">
        <f>IF(N13=0,0,N13/TrAvia_act!N31*1000000)</f>
        <v>44128.711934339422</v>
      </c>
      <c r="O45" s="88">
        <f>IF(O13=0,0,O13/TrAvia_act!O31*1000000)</f>
        <v>43225.012579044545</v>
      </c>
      <c r="P45" s="88">
        <f>IF(P13=0,0,P13/TrAvia_act!P31*1000000)</f>
        <v>44536.069119919171</v>
      </c>
      <c r="Q45" s="88">
        <f>IF(Q13=0,0,Q13/TrAvia_act!Q31*1000000)</f>
        <v>44338.060055225396</v>
      </c>
      <c r="R45" s="88">
        <f>IF(R13=0,0,R13/TrAvia_act!R31*1000000)</f>
        <v>45069.475468591299</v>
      </c>
      <c r="S45" s="88">
        <f>IF(S13=0,0,S13/TrAvia_act!S31*1000000)</f>
        <v>44325.394910264236</v>
      </c>
      <c r="T45" s="88">
        <f>IF(T13=0,0,T13/TrAvia_act!T31*1000000)</f>
        <v>43781.095306605217</v>
      </c>
      <c r="U45" s="88">
        <f>IF(U13=0,0,U13/TrAvia_act!U31*1000000)</f>
        <v>42050.733434207374</v>
      </c>
      <c r="V45" s="88">
        <f>IF(V13=0,0,V13/TrAvia_act!V31*1000000)</f>
        <v>47376.509965118043</v>
      </c>
      <c r="W45" s="88">
        <f>IF(W13=0,0,W13/TrAvia_act!W31*1000000)</f>
        <v>42014.161799877722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0.84313794422335175</v>
      </c>
      <c r="C48" s="16">
        <f t="shared" si="35"/>
        <v>0.84207904844248938</v>
      </c>
      <c r="D48" s="16">
        <f t="shared" ref="D48:V48" si="36">IF(D6=0,0,D6/D$3)</f>
        <v>0.83661936062937414</v>
      </c>
      <c r="E48" s="16">
        <f t="shared" si="36"/>
        <v>0.81793209103343933</v>
      </c>
      <c r="F48" s="16">
        <f t="shared" si="36"/>
        <v>0.82158580502212053</v>
      </c>
      <c r="G48" s="16">
        <f t="shared" si="36"/>
        <v>0.80812424086874379</v>
      </c>
      <c r="H48" s="16">
        <f t="shared" si="36"/>
        <v>0.78945961001965559</v>
      </c>
      <c r="I48" s="16">
        <f t="shared" si="36"/>
        <v>0.79372466009856157</v>
      </c>
      <c r="J48" s="16">
        <f t="shared" si="36"/>
        <v>0.78992928238528859</v>
      </c>
      <c r="K48" s="16">
        <f t="shared" si="36"/>
        <v>0.81956574083013933</v>
      </c>
      <c r="L48" s="16">
        <f t="shared" si="36"/>
        <v>0.79690862943618734</v>
      </c>
      <c r="M48" s="16">
        <f t="shared" si="36"/>
        <v>0.81835844891233145</v>
      </c>
      <c r="N48" s="16">
        <f t="shared" si="36"/>
        <v>0.84428961370517308</v>
      </c>
      <c r="O48" s="16">
        <f t="shared" si="36"/>
        <v>0.84617436323050521</v>
      </c>
      <c r="P48" s="16">
        <f t="shared" si="36"/>
        <v>0.85673743178791761</v>
      </c>
      <c r="Q48" s="16">
        <f t="shared" si="36"/>
        <v>0.86246705108558586</v>
      </c>
      <c r="R48" s="16">
        <f t="shared" si="36"/>
        <v>0.87750321730041181</v>
      </c>
      <c r="S48" s="16">
        <f t="shared" si="36"/>
        <v>0.8705530924733258</v>
      </c>
      <c r="T48" s="16">
        <f t="shared" si="36"/>
        <v>0.87413457291602847</v>
      </c>
      <c r="U48" s="16">
        <f t="shared" si="36"/>
        <v>0.88910085318106569</v>
      </c>
      <c r="V48" s="16">
        <f t="shared" si="36"/>
        <v>0.70176510307643447</v>
      </c>
      <c r="W48" s="16">
        <f t="shared" ref="W48" si="37">IF(W6=0,0,W6/W$3)</f>
        <v>0.74334540775216784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0.17988646468576544</v>
      </c>
      <c r="C50" s="103">
        <f t="shared" si="41"/>
        <v>0.17965844340936771</v>
      </c>
      <c r="D50" s="103">
        <f t="shared" ref="D50:V50" si="42">IF(D8=0,0,D8/D$3)</f>
        <v>0.17981933908902423</v>
      </c>
      <c r="E50" s="103">
        <f t="shared" si="42"/>
        <v>0.18036276642705651</v>
      </c>
      <c r="F50" s="103">
        <f t="shared" si="42"/>
        <v>0.17175776413449251</v>
      </c>
      <c r="G50" s="103">
        <f t="shared" si="42"/>
        <v>0.16937192296806433</v>
      </c>
      <c r="H50" s="103">
        <f t="shared" si="42"/>
        <v>0.17011560027776254</v>
      </c>
      <c r="I50" s="103">
        <f t="shared" si="42"/>
        <v>0.17487516302238465</v>
      </c>
      <c r="J50" s="103">
        <f t="shared" si="42"/>
        <v>0.16797717527530476</v>
      </c>
      <c r="K50" s="103">
        <f t="shared" si="42"/>
        <v>0.16710714246360567</v>
      </c>
      <c r="L50" s="103">
        <f t="shared" si="42"/>
        <v>0.16055309234674117</v>
      </c>
      <c r="M50" s="103">
        <f t="shared" si="42"/>
        <v>0.16705211620785984</v>
      </c>
      <c r="N50" s="103">
        <f t="shared" si="42"/>
        <v>0.17001853101592182</v>
      </c>
      <c r="O50" s="103">
        <f t="shared" si="42"/>
        <v>0.1705672720459272</v>
      </c>
      <c r="P50" s="103">
        <f t="shared" si="42"/>
        <v>0.17485978277812589</v>
      </c>
      <c r="Q50" s="103">
        <f t="shared" si="42"/>
        <v>0.17815473964150291</v>
      </c>
      <c r="R50" s="103">
        <f t="shared" si="42"/>
        <v>0.19059501489292119</v>
      </c>
      <c r="S50" s="103">
        <f t="shared" si="42"/>
        <v>0.19373572427349814</v>
      </c>
      <c r="T50" s="103">
        <f t="shared" si="42"/>
        <v>0.19146318072083257</v>
      </c>
      <c r="U50" s="103">
        <f t="shared" si="42"/>
        <v>0.18815186941131384</v>
      </c>
      <c r="V50" s="103">
        <f t="shared" si="42"/>
        <v>0.11788208271153949</v>
      </c>
      <c r="W50" s="103">
        <f t="shared" ref="W50" si="43">IF(W8=0,0,W8/W$3)</f>
        <v>0.1393332961701213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0.66325147953758623</v>
      </c>
      <c r="C51" s="103">
        <f t="shared" si="44"/>
        <v>0.66242060503312161</v>
      </c>
      <c r="D51" s="103">
        <f t="shared" ref="D51:V51" si="45">IF(D9=0,0,D9/D$3)</f>
        <v>0.65680002154035</v>
      </c>
      <c r="E51" s="103">
        <f t="shared" si="45"/>
        <v>0.63756932460638271</v>
      </c>
      <c r="F51" s="103">
        <f t="shared" si="45"/>
        <v>0.64982804088762813</v>
      </c>
      <c r="G51" s="103">
        <f t="shared" si="45"/>
        <v>0.63875231790067943</v>
      </c>
      <c r="H51" s="103">
        <f t="shared" si="45"/>
        <v>0.61934400974189296</v>
      </c>
      <c r="I51" s="103">
        <f t="shared" si="45"/>
        <v>0.61884949707617687</v>
      </c>
      <c r="J51" s="103">
        <f t="shared" si="45"/>
        <v>0.62195210710998383</v>
      </c>
      <c r="K51" s="103">
        <f t="shared" si="45"/>
        <v>0.65245859836653364</v>
      </c>
      <c r="L51" s="103">
        <f t="shared" si="45"/>
        <v>0.63635553708944614</v>
      </c>
      <c r="M51" s="103">
        <f t="shared" si="45"/>
        <v>0.65130633270447158</v>
      </c>
      <c r="N51" s="103">
        <f t="shared" si="45"/>
        <v>0.67427108268925129</v>
      </c>
      <c r="O51" s="103">
        <f t="shared" si="45"/>
        <v>0.67560709118457796</v>
      </c>
      <c r="P51" s="103">
        <f t="shared" si="45"/>
        <v>0.68187764900979175</v>
      </c>
      <c r="Q51" s="103">
        <f t="shared" si="45"/>
        <v>0.684312311444083</v>
      </c>
      <c r="R51" s="103">
        <f t="shared" si="45"/>
        <v>0.68690820240749062</v>
      </c>
      <c r="S51" s="103">
        <f t="shared" si="45"/>
        <v>0.67681736819982763</v>
      </c>
      <c r="T51" s="103">
        <f t="shared" si="45"/>
        <v>0.6826713921951959</v>
      </c>
      <c r="U51" s="103">
        <f t="shared" si="45"/>
        <v>0.7009489837697519</v>
      </c>
      <c r="V51" s="103">
        <f t="shared" si="45"/>
        <v>0.58388302036489503</v>
      </c>
      <c r="W51" s="103">
        <f t="shared" ref="W51" si="46">IF(W9=0,0,W9/W$3)</f>
        <v>0.6040121115820466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0.15686205577664827</v>
      </c>
      <c r="C52" s="17">
        <f t="shared" si="47"/>
        <v>0.15792095155751071</v>
      </c>
      <c r="D52" s="17">
        <f t="shared" ref="D52:V52" si="48">IF(D10=0,0,D10/D$3)</f>
        <v>0.1633806393706258</v>
      </c>
      <c r="E52" s="17">
        <f t="shared" si="48"/>
        <v>0.18206790896656075</v>
      </c>
      <c r="F52" s="17">
        <f t="shared" si="48"/>
        <v>0.17841419497787936</v>
      </c>
      <c r="G52" s="17">
        <f t="shared" si="48"/>
        <v>0.19187575913125621</v>
      </c>
      <c r="H52" s="17">
        <f t="shared" si="48"/>
        <v>0.21054038998034438</v>
      </c>
      <c r="I52" s="17">
        <f t="shared" si="48"/>
        <v>0.20627533990143834</v>
      </c>
      <c r="J52" s="17">
        <f t="shared" si="48"/>
        <v>0.21007071761471136</v>
      </c>
      <c r="K52" s="17">
        <f t="shared" si="48"/>
        <v>0.18043425916986069</v>
      </c>
      <c r="L52" s="17">
        <f t="shared" si="48"/>
        <v>0.20309137056381274</v>
      </c>
      <c r="M52" s="17">
        <f t="shared" si="48"/>
        <v>0.18164155108766863</v>
      </c>
      <c r="N52" s="17">
        <f t="shared" si="48"/>
        <v>0.15571038629482689</v>
      </c>
      <c r="O52" s="17">
        <f t="shared" si="48"/>
        <v>0.15382563676949473</v>
      </c>
      <c r="P52" s="17">
        <f t="shared" si="48"/>
        <v>0.14326256821208241</v>
      </c>
      <c r="Q52" s="17">
        <f t="shared" si="48"/>
        <v>0.13753294891441409</v>
      </c>
      <c r="R52" s="17">
        <f t="shared" si="48"/>
        <v>0.12249678269958819</v>
      </c>
      <c r="S52" s="17">
        <f t="shared" si="48"/>
        <v>0.1294469075266742</v>
      </c>
      <c r="T52" s="17">
        <f t="shared" si="48"/>
        <v>0.12586542708397153</v>
      </c>
      <c r="U52" s="17">
        <f t="shared" si="48"/>
        <v>0.1108991468189343</v>
      </c>
      <c r="V52" s="17">
        <f t="shared" si="48"/>
        <v>0.29823489692356558</v>
      </c>
      <c r="W52" s="17">
        <f t="shared" ref="W52" si="49">IF(W10=0,0,W10/W$3)</f>
        <v>0.25665459224783199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3.5323802034211678E-3</v>
      </c>
      <c r="C54" s="104">
        <f t="shared" si="53"/>
        <v>4.7970080478913395E-3</v>
      </c>
      <c r="D54" s="104">
        <f t="shared" ref="D54:V54" si="54">IF(D12=0,0,D12/D$3)</f>
        <v>3.7142064267532966E-3</v>
      </c>
      <c r="E54" s="104">
        <f t="shared" si="54"/>
        <v>3.9621912091786964E-3</v>
      </c>
      <c r="F54" s="104">
        <f t="shared" si="54"/>
        <v>3.9411346114750423E-3</v>
      </c>
      <c r="G54" s="104">
        <f t="shared" si="54"/>
        <v>3.8104703394777721E-3</v>
      </c>
      <c r="H54" s="104">
        <f t="shared" si="54"/>
        <v>3.8553196379871647E-3</v>
      </c>
      <c r="I54" s="104">
        <f t="shared" si="54"/>
        <v>3.9975272573092163E-3</v>
      </c>
      <c r="J54" s="104">
        <f t="shared" si="54"/>
        <v>4.974073040922144E-3</v>
      </c>
      <c r="K54" s="104">
        <f t="shared" si="54"/>
        <v>5.2096094857937937E-3</v>
      </c>
      <c r="L54" s="104">
        <f t="shared" si="54"/>
        <v>5.7235145644974573E-3</v>
      </c>
      <c r="M54" s="104">
        <f t="shared" si="54"/>
        <v>4.270101220304824E-3</v>
      </c>
      <c r="N54" s="104">
        <f t="shared" si="54"/>
        <v>3.3867277960110305E-3</v>
      </c>
      <c r="O54" s="104">
        <f t="shared" si="54"/>
        <v>3.4880244547264702E-3</v>
      </c>
      <c r="P54" s="104">
        <f t="shared" si="54"/>
        <v>3.4858161585106262E-3</v>
      </c>
      <c r="Q54" s="104">
        <f t="shared" si="54"/>
        <v>3.3298010179969328E-3</v>
      </c>
      <c r="R54" s="104">
        <f t="shared" si="54"/>
        <v>3.3693001345419778E-3</v>
      </c>
      <c r="S54" s="104">
        <f t="shared" si="54"/>
        <v>3.0207822072509613E-3</v>
      </c>
      <c r="T54" s="104">
        <f t="shared" si="54"/>
        <v>2.4495850359436302E-3</v>
      </c>
      <c r="U54" s="104">
        <f t="shared" si="54"/>
        <v>2.2831645052277818E-3</v>
      </c>
      <c r="V54" s="104">
        <f t="shared" si="54"/>
        <v>3.4822949129361585E-3</v>
      </c>
      <c r="W54" s="104">
        <f t="shared" ref="W54" si="55">IF(W12=0,0,W12/W$3)</f>
        <v>3.7116812810264986E-3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0.15332967557322708</v>
      </c>
      <c r="C55" s="105">
        <f t="shared" si="56"/>
        <v>0.15312394350961936</v>
      </c>
      <c r="D55" s="105">
        <f t="shared" ref="D55:V55" si="57">IF(D13=0,0,D13/D$3)</f>
        <v>0.1596664329438725</v>
      </c>
      <c r="E55" s="105">
        <f t="shared" si="57"/>
        <v>0.17810571775738204</v>
      </c>
      <c r="F55" s="105">
        <f t="shared" si="57"/>
        <v>0.17447306036640431</v>
      </c>
      <c r="G55" s="105">
        <f t="shared" si="57"/>
        <v>0.18806528879177845</v>
      </c>
      <c r="H55" s="105">
        <f t="shared" si="57"/>
        <v>0.20668507034235722</v>
      </c>
      <c r="I55" s="105">
        <f t="shared" si="57"/>
        <v>0.20227781264412911</v>
      </c>
      <c r="J55" s="105">
        <f t="shared" si="57"/>
        <v>0.20509664457378923</v>
      </c>
      <c r="K55" s="105">
        <f t="shared" si="57"/>
        <v>0.17522464968406687</v>
      </c>
      <c r="L55" s="105">
        <f t="shared" si="57"/>
        <v>0.19736785599931528</v>
      </c>
      <c r="M55" s="105">
        <f t="shared" si="57"/>
        <v>0.17737144986736381</v>
      </c>
      <c r="N55" s="105">
        <f t="shared" si="57"/>
        <v>0.15232365849881585</v>
      </c>
      <c r="O55" s="105">
        <f t="shared" si="57"/>
        <v>0.15033761231476828</v>
      </c>
      <c r="P55" s="105">
        <f t="shared" si="57"/>
        <v>0.13977675205357179</v>
      </c>
      <c r="Q55" s="105">
        <f t="shared" si="57"/>
        <v>0.13420314789641716</v>
      </c>
      <c r="R55" s="105">
        <f t="shared" si="57"/>
        <v>0.11912748256504621</v>
      </c>
      <c r="S55" s="105">
        <f t="shared" si="57"/>
        <v>0.12642612531942324</v>
      </c>
      <c r="T55" s="105">
        <f t="shared" si="57"/>
        <v>0.12341584204802789</v>
      </c>
      <c r="U55" s="105">
        <f t="shared" si="57"/>
        <v>0.10861598231370653</v>
      </c>
      <c r="V55" s="105">
        <f t="shared" si="57"/>
        <v>0.29475260201062942</v>
      </c>
      <c r="W55" s="105">
        <f t="shared" ref="W55" si="58">IF(W13=0,0,W13/W$3)</f>
        <v>0.25294291096680555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642.8644869061618</v>
      </c>
      <c r="C57" s="62">
        <v>642.47346794588361</v>
      </c>
      <c r="D57" s="62">
        <v>643.1370170157594</v>
      </c>
      <c r="E57" s="62">
        <v>643.15689711345817</v>
      </c>
      <c r="F57" s="62">
        <v>647.75078905838393</v>
      </c>
      <c r="G57" s="62">
        <v>656.00098499269063</v>
      </c>
      <c r="H57" s="62">
        <v>652.42771956540571</v>
      </c>
      <c r="I57" s="62">
        <v>651.80006547998244</v>
      </c>
      <c r="J57" s="62">
        <v>658.1832262017607</v>
      </c>
      <c r="K57" s="62">
        <v>650.20681108119265</v>
      </c>
      <c r="L57" s="62">
        <v>656.56131863605765</v>
      </c>
      <c r="M57" s="62">
        <v>647.94929077553661</v>
      </c>
      <c r="N57" s="62">
        <v>645.51112514824752</v>
      </c>
      <c r="O57" s="62">
        <v>637.16460057505219</v>
      </c>
      <c r="P57" s="62">
        <v>631.45552994367711</v>
      </c>
      <c r="Q57" s="62">
        <v>632.57736410824464</v>
      </c>
      <c r="R57" s="62">
        <v>622.4999566840122</v>
      </c>
      <c r="S57" s="62">
        <v>614.81294955773092</v>
      </c>
      <c r="T57" s="62">
        <v>613.42167565264754</v>
      </c>
      <c r="U57" s="62">
        <v>612.78255690288017</v>
      </c>
      <c r="V57" s="62">
        <v>661.43990520541001</v>
      </c>
      <c r="W57" s="62">
        <v>639.3596712549421</v>
      </c>
      <c r="DA57" s="172" t="s">
        <v>313</v>
      </c>
    </row>
    <row r="58" spans="1:105" ht="11.45" customHeight="1" x14ac:dyDescent="0.25">
      <c r="A58" s="10" t="s">
        <v>33</v>
      </c>
      <c r="B58" s="14">
        <v>623.38983723169974</v>
      </c>
      <c r="C58" s="14">
        <v>623.3911923101258</v>
      </c>
      <c r="D58" s="14">
        <v>622.77746731254263</v>
      </c>
      <c r="E58" s="14">
        <v>620.00252827634563</v>
      </c>
      <c r="F58" s="14">
        <v>625.86153873729461</v>
      </c>
      <c r="G58" s="14">
        <v>631.69508845783628</v>
      </c>
      <c r="H58" s="14">
        <v>622.59986656150977</v>
      </c>
      <c r="I58" s="14">
        <v>620.73757312986515</v>
      </c>
      <c r="J58" s="14">
        <v>626.2536566021754</v>
      </c>
      <c r="K58" s="14">
        <v>622.74491657356009</v>
      </c>
      <c r="L58" s="14">
        <v>624.29859631797524</v>
      </c>
      <c r="M58" s="14">
        <v>620.36832415137621</v>
      </c>
      <c r="N58" s="14">
        <v>623.79649320427575</v>
      </c>
      <c r="O58" s="14">
        <v>617.32472187425174</v>
      </c>
      <c r="P58" s="14">
        <v>613.12929065349431</v>
      </c>
      <c r="Q58" s="14">
        <v>615.25002490048541</v>
      </c>
      <c r="R58" s="14">
        <v>606.7424135985184</v>
      </c>
      <c r="S58" s="14">
        <v>597.99073307481797</v>
      </c>
      <c r="T58" s="14">
        <v>597.04992368379965</v>
      </c>
      <c r="U58" s="14">
        <v>598.91526297326141</v>
      </c>
      <c r="V58" s="14">
        <v>622.36736400530287</v>
      </c>
      <c r="W58" s="14">
        <v>604.87847523497862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367.62844760238164</v>
      </c>
      <c r="C60" s="87">
        <v>367.62837276007457</v>
      </c>
      <c r="D60" s="87">
        <v>368.24394151804228</v>
      </c>
      <c r="E60" s="87">
        <v>368.92771078767322</v>
      </c>
      <c r="F60" s="87">
        <v>367.74396235353316</v>
      </c>
      <c r="G60" s="87">
        <v>366.96696943338532</v>
      </c>
      <c r="H60" s="87">
        <v>365.9785325232213</v>
      </c>
      <c r="I60" s="87">
        <v>365.1861044992454</v>
      </c>
      <c r="J60" s="87">
        <v>364.4076853117499</v>
      </c>
      <c r="K60" s="87">
        <v>363.96557658507544</v>
      </c>
      <c r="L60" s="87">
        <v>361.28473232833153</v>
      </c>
      <c r="M60" s="87">
        <v>360.43667287985227</v>
      </c>
      <c r="N60" s="87">
        <v>362.01467769513005</v>
      </c>
      <c r="O60" s="87">
        <v>361.93352763614246</v>
      </c>
      <c r="P60" s="87">
        <v>361.42679486906383</v>
      </c>
      <c r="Q60" s="87">
        <v>360.9655793923904</v>
      </c>
      <c r="R60" s="87">
        <v>357.73459905619575</v>
      </c>
      <c r="S60" s="87">
        <v>354.17303241323566</v>
      </c>
      <c r="T60" s="87">
        <v>352.76328130909792</v>
      </c>
      <c r="U60" s="87">
        <v>352.5604684329731</v>
      </c>
      <c r="V60" s="87">
        <v>350.15099173973658</v>
      </c>
      <c r="W60" s="87">
        <v>339.36581264710537</v>
      </c>
      <c r="DA60" s="171" t="s">
        <v>316</v>
      </c>
    </row>
    <row r="61" spans="1:105" ht="11.45" customHeight="1" x14ac:dyDescent="0.25">
      <c r="A61" s="83" t="s">
        <v>174</v>
      </c>
      <c r="B61" s="87">
        <v>770.60122069808165</v>
      </c>
      <c r="C61" s="87">
        <v>770.60122069808165</v>
      </c>
      <c r="D61" s="87">
        <v>770.60122069808153</v>
      </c>
      <c r="E61" s="87">
        <v>770.60122069808165</v>
      </c>
      <c r="F61" s="87">
        <v>770.60122069808165</v>
      </c>
      <c r="G61" s="87">
        <v>780.69059594696955</v>
      </c>
      <c r="H61" s="87">
        <v>782.67031629602047</v>
      </c>
      <c r="I61" s="87">
        <v>783.25273061716427</v>
      </c>
      <c r="J61" s="87">
        <v>781.15661029612966</v>
      </c>
      <c r="K61" s="87">
        <v>773.24032667658662</v>
      </c>
      <c r="L61" s="87">
        <v>771.30908161851573</v>
      </c>
      <c r="M61" s="87">
        <v>773.58965841772942</v>
      </c>
      <c r="N61" s="87">
        <v>774.44517834415228</v>
      </c>
      <c r="O61" s="87">
        <v>762.49612931716899</v>
      </c>
      <c r="P61" s="87">
        <v>759.97971289186523</v>
      </c>
      <c r="Q61" s="87">
        <v>759.03418906161346</v>
      </c>
      <c r="R61" s="87">
        <v>759.79043486088688</v>
      </c>
      <c r="S61" s="87">
        <v>754.37908818654694</v>
      </c>
      <c r="T61" s="87">
        <v>752.86411935417732</v>
      </c>
      <c r="U61" s="87">
        <v>751.66605816958179</v>
      </c>
      <c r="V61" s="87">
        <v>779.78616059278011</v>
      </c>
      <c r="W61" s="87">
        <v>767.94623587425451</v>
      </c>
      <c r="DA61" s="171" t="s">
        <v>317</v>
      </c>
    </row>
    <row r="62" spans="1:105" ht="11.45" customHeight="1" x14ac:dyDescent="0.25">
      <c r="A62" s="12" t="s">
        <v>34</v>
      </c>
      <c r="B62" s="15">
        <v>757.95604579924895</v>
      </c>
      <c r="C62" s="15">
        <v>753.81498970822474</v>
      </c>
      <c r="D62" s="15">
        <v>757.90317710048475</v>
      </c>
      <c r="E62" s="15">
        <v>758.26731711221953</v>
      </c>
      <c r="F62" s="15">
        <v>758.12675850017752</v>
      </c>
      <c r="G62" s="15">
        <v>768.19541887835737</v>
      </c>
      <c r="H62" s="15">
        <v>780.37374080524125</v>
      </c>
      <c r="I62" s="15">
        <v>790.42556880256961</v>
      </c>
      <c r="J62" s="15">
        <v>796.51719510572218</v>
      </c>
      <c r="K62" s="15">
        <v>795.89277142197602</v>
      </c>
      <c r="L62" s="15">
        <v>804.88328609273822</v>
      </c>
      <c r="M62" s="15">
        <v>793.08275134596386</v>
      </c>
      <c r="N62" s="15">
        <v>779.88482746769876</v>
      </c>
      <c r="O62" s="15">
        <v>759.83488865415791</v>
      </c>
      <c r="P62" s="15">
        <v>754.97337465077806</v>
      </c>
      <c r="Q62" s="15">
        <v>753.27764377026676</v>
      </c>
      <c r="R62" s="15">
        <v>749.26794595333558</v>
      </c>
      <c r="S62" s="15">
        <v>742.94093063248488</v>
      </c>
      <c r="T62" s="15">
        <v>742.62788707285608</v>
      </c>
      <c r="U62" s="15">
        <v>738.32525914451469</v>
      </c>
      <c r="V62" s="15">
        <v>768.30684567572064</v>
      </c>
      <c r="W62" s="15">
        <v>755.18627691170877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426.90762996151426</v>
      </c>
      <c r="C64" s="101">
        <v>428.70897855339291</v>
      </c>
      <c r="D64" s="101">
        <v>428.00004916092257</v>
      </c>
      <c r="E64" s="101">
        <v>425.33043536481574</v>
      </c>
      <c r="F64" s="101">
        <v>428.28637704044257</v>
      </c>
      <c r="G64" s="101">
        <v>429.110209962672</v>
      </c>
      <c r="H64" s="101">
        <v>427.59782574791035</v>
      </c>
      <c r="I64" s="101">
        <v>425.36392494424456</v>
      </c>
      <c r="J64" s="101">
        <v>430.08695389168173</v>
      </c>
      <c r="K64" s="101">
        <v>428.97431731828777</v>
      </c>
      <c r="L64" s="101">
        <v>426.72859338507391</v>
      </c>
      <c r="M64" s="101">
        <v>420.94326547238114</v>
      </c>
      <c r="N64" s="101">
        <v>434.73541405874005</v>
      </c>
      <c r="O64" s="101">
        <v>427.63366702771492</v>
      </c>
      <c r="P64" s="101">
        <v>427.52529183792819</v>
      </c>
      <c r="Q64" s="101">
        <v>425.50009344676329</v>
      </c>
      <c r="R64" s="101">
        <v>411.00441666502684</v>
      </c>
      <c r="S64" s="101">
        <v>395.73213171186063</v>
      </c>
      <c r="T64" s="101">
        <v>395.4348271412415</v>
      </c>
      <c r="U64" s="101">
        <v>395.4311804255114</v>
      </c>
      <c r="V64" s="101">
        <v>400.72096975596594</v>
      </c>
      <c r="W64" s="101">
        <v>378.97212658278835</v>
      </c>
      <c r="DA64" s="175" t="s">
        <v>320</v>
      </c>
    </row>
    <row r="65" spans="1:105" ht="11.45" customHeight="1" x14ac:dyDescent="0.25">
      <c r="A65" s="85" t="s">
        <v>174</v>
      </c>
      <c r="B65" s="88">
        <v>770.43200725397196</v>
      </c>
      <c r="C65" s="88">
        <v>770.43200725397196</v>
      </c>
      <c r="D65" s="88">
        <v>770.43200725397196</v>
      </c>
      <c r="E65" s="88">
        <v>770.43200725397185</v>
      </c>
      <c r="F65" s="88">
        <v>770.43200725397196</v>
      </c>
      <c r="G65" s="88">
        <v>779.51687022085821</v>
      </c>
      <c r="H65" s="88">
        <v>792.07308252718769</v>
      </c>
      <c r="I65" s="88">
        <v>803.23967769950161</v>
      </c>
      <c r="J65" s="88">
        <v>811.96422037741115</v>
      </c>
      <c r="K65" s="88">
        <v>815.66769388094963</v>
      </c>
      <c r="L65" s="88">
        <v>824.48336667462922</v>
      </c>
      <c r="M65" s="88">
        <v>809.83617764904557</v>
      </c>
      <c r="N65" s="88">
        <v>793.3688479594947</v>
      </c>
      <c r="O65" s="88">
        <v>773.28226497336198</v>
      </c>
      <c r="P65" s="88">
        <v>769.51591449136015</v>
      </c>
      <c r="Q65" s="88">
        <v>767.16808127432932</v>
      </c>
      <c r="R65" s="88">
        <v>766.3791966816716</v>
      </c>
      <c r="S65" s="88">
        <v>757.96054961843117</v>
      </c>
      <c r="T65" s="88">
        <v>755.29827414773467</v>
      </c>
      <c r="U65" s="88">
        <v>751.95589305979956</v>
      </c>
      <c r="V65" s="88">
        <v>778.04182194445468</v>
      </c>
      <c r="W65" s="88">
        <v>767.0424593507405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1.1551237171437669</v>
      </c>
      <c r="C67" s="59">
        <f t="shared" ref="C67:W67" si="60">IF(C3=0,0,C17/C57)</f>
        <v>1.152522092659386</v>
      </c>
      <c r="D67" s="59">
        <f t="shared" si="60"/>
        <v>1.1731739382415947</v>
      </c>
      <c r="E67" s="59">
        <f t="shared" si="60"/>
        <v>1.1477294079908014</v>
      </c>
      <c r="F67" s="59">
        <f t="shared" si="60"/>
        <v>1.1430065960339879</v>
      </c>
      <c r="G67" s="59">
        <f t="shared" si="60"/>
        <v>1.1169144339055963</v>
      </c>
      <c r="H67" s="59">
        <f t="shared" si="60"/>
        <v>1.0992259720075725</v>
      </c>
      <c r="I67" s="59">
        <f t="shared" si="60"/>
        <v>1.0870252116060768</v>
      </c>
      <c r="J67" s="59">
        <f t="shared" si="60"/>
        <v>1.061647005846853</v>
      </c>
      <c r="K67" s="59">
        <f t="shared" si="60"/>
        <v>1.128351345519051</v>
      </c>
      <c r="L67" s="59">
        <f t="shared" si="60"/>
        <v>1.0456053057495915</v>
      </c>
      <c r="M67" s="59">
        <f t="shared" si="60"/>
        <v>1.0461188570170856</v>
      </c>
      <c r="N67" s="59">
        <f t="shared" si="60"/>
        <v>1.0234349023106593</v>
      </c>
      <c r="O67" s="59">
        <f t="shared" si="60"/>
        <v>1.0353905550405997</v>
      </c>
      <c r="P67" s="59">
        <f t="shared" si="60"/>
        <v>1.0735784084494664</v>
      </c>
      <c r="Q67" s="59">
        <f t="shared" si="60"/>
        <v>1.0795323902297711</v>
      </c>
      <c r="R67" s="59">
        <f t="shared" si="60"/>
        <v>1.0892853932115814</v>
      </c>
      <c r="S67" s="59">
        <f t="shared" si="60"/>
        <v>1.0817453495942968</v>
      </c>
      <c r="T67" s="59">
        <f t="shared" si="60"/>
        <v>1.0688764552924899</v>
      </c>
      <c r="U67" s="59">
        <f t="shared" si="60"/>
        <v>1.0511922155344104</v>
      </c>
      <c r="V67" s="59">
        <f t="shared" si="60"/>
        <v>0.99798246441325023</v>
      </c>
      <c r="W67" s="59">
        <f t="shared" si="60"/>
        <v>0.9482923742640349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1.1743009071730033</v>
      </c>
      <c r="C68" s="23">
        <f t="shared" ref="C68:W68" si="62">IF(C6=0,0,C18/C58)</f>
        <v>1.1716458124151425</v>
      </c>
      <c r="D68" s="23">
        <f t="shared" si="62"/>
        <v>1.1933973536930336</v>
      </c>
      <c r="E68" s="23">
        <f t="shared" si="62"/>
        <v>1.1697072571892293</v>
      </c>
      <c r="F68" s="23">
        <f t="shared" si="62"/>
        <v>1.1646688972746664</v>
      </c>
      <c r="G68" s="23">
        <f t="shared" si="62"/>
        <v>1.1404005551118699</v>
      </c>
      <c r="H68" s="23">
        <f t="shared" si="62"/>
        <v>1.1213690959495777</v>
      </c>
      <c r="I68" s="23">
        <f t="shared" si="62"/>
        <v>1.1089803223114265</v>
      </c>
      <c r="J68" s="23">
        <f t="shared" si="62"/>
        <v>1.0848200552841725</v>
      </c>
      <c r="K68" s="23">
        <f t="shared" si="62"/>
        <v>1.1475427796140332</v>
      </c>
      <c r="L68" s="23">
        <f t="shared" si="62"/>
        <v>1.0669269663788381</v>
      </c>
      <c r="M68" s="23">
        <f t="shared" si="62"/>
        <v>1.0640868375343739</v>
      </c>
      <c r="N68" s="23">
        <f t="shared" si="62"/>
        <v>1.0386485897277227</v>
      </c>
      <c r="O68" s="23">
        <f t="shared" si="62"/>
        <v>1.0505300877847854</v>
      </c>
      <c r="P68" s="23">
        <f t="shared" si="62"/>
        <v>1.087811735396335</v>
      </c>
      <c r="Q68" s="23">
        <f t="shared" si="62"/>
        <v>1.0947070550741753</v>
      </c>
      <c r="R68" s="23">
        <f t="shared" si="62"/>
        <v>1.1025757544990915</v>
      </c>
      <c r="S68" s="23">
        <f t="shared" si="62"/>
        <v>1.0953267156636612</v>
      </c>
      <c r="T68" s="23">
        <f t="shared" si="62"/>
        <v>1.0815996199974696</v>
      </c>
      <c r="U68" s="23">
        <f t="shared" si="62"/>
        <v>1.0618828811452128</v>
      </c>
      <c r="V68" s="23">
        <f t="shared" si="62"/>
        <v>1.0164538934997231</v>
      </c>
      <c r="W68" s="23">
        <f t="shared" si="62"/>
        <v>0.96690370258237579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1.1629583625901314</v>
      </c>
      <c r="C70" s="91">
        <f t="shared" ref="C70:W70" si="64">IF(C8=0,0,C20/C60)</f>
        <v>1.1603289916675761</v>
      </c>
      <c r="D70" s="91">
        <f t="shared" si="64"/>
        <v>1.1807514159817609</v>
      </c>
      <c r="E70" s="91">
        <f t="shared" si="64"/>
        <v>1.1561415201646033</v>
      </c>
      <c r="F70" s="91">
        <f t="shared" si="64"/>
        <v>1.1533529207203785</v>
      </c>
      <c r="G70" s="91">
        <f t="shared" si="64"/>
        <v>1.1424530937483384</v>
      </c>
      <c r="H70" s="91">
        <f t="shared" si="64"/>
        <v>1.0700892305355834</v>
      </c>
      <c r="I70" s="91">
        <f t="shared" si="64"/>
        <v>1.0683843441978698</v>
      </c>
      <c r="J70" s="91">
        <f t="shared" si="64"/>
        <v>1.0665894960462337</v>
      </c>
      <c r="K70" s="91">
        <f t="shared" si="64"/>
        <v>1.088733733595362</v>
      </c>
      <c r="L70" s="91">
        <f t="shared" si="64"/>
        <v>1.0359741607731263</v>
      </c>
      <c r="M70" s="91">
        <f t="shared" si="64"/>
        <v>1.0080864570497277</v>
      </c>
      <c r="N70" s="91">
        <f t="shared" si="64"/>
        <v>0.9866784166873056</v>
      </c>
      <c r="O70" s="91">
        <f t="shared" si="64"/>
        <v>0.99659453485342919</v>
      </c>
      <c r="P70" s="91">
        <f t="shared" si="64"/>
        <v>1.0222060410171208</v>
      </c>
      <c r="Q70" s="91">
        <f t="shared" si="64"/>
        <v>1.0670518155752549</v>
      </c>
      <c r="R70" s="91">
        <f t="shared" si="64"/>
        <v>1.0670218631149855</v>
      </c>
      <c r="S70" s="91">
        <f t="shared" si="64"/>
        <v>1.053213304786067</v>
      </c>
      <c r="T70" s="91">
        <f t="shared" si="64"/>
        <v>1.0295873797214918</v>
      </c>
      <c r="U70" s="91">
        <f t="shared" si="64"/>
        <v>0.99740198271444558</v>
      </c>
      <c r="V70" s="91">
        <f t="shared" si="64"/>
        <v>0.82828234114073873</v>
      </c>
      <c r="W70" s="91">
        <f t="shared" si="64"/>
        <v>0.84900790588410346</v>
      </c>
      <c r="DA70" s="171"/>
    </row>
    <row r="71" spans="1:105" ht="11.45" customHeight="1" x14ac:dyDescent="0.25">
      <c r="A71" s="83" t="s">
        <v>174</v>
      </c>
      <c r="B71" s="91">
        <f t="shared" si="61"/>
        <v>1.1774154644635071</v>
      </c>
      <c r="C71" s="91">
        <f t="shared" ref="C71:W71" si="65">IF(C9=0,0,C21/C61)</f>
        <v>1.1747532595693375</v>
      </c>
      <c r="D71" s="91">
        <f t="shared" si="65"/>
        <v>1.1969069421090517</v>
      </c>
      <c r="E71" s="91">
        <f t="shared" si="65"/>
        <v>1.1736028452285854</v>
      </c>
      <c r="F71" s="91">
        <f t="shared" si="65"/>
        <v>1.1676970511004072</v>
      </c>
      <c r="G71" s="91">
        <f t="shared" si="65"/>
        <v>1.139857539309566</v>
      </c>
      <c r="H71" s="91">
        <f t="shared" si="65"/>
        <v>1.1363260111683016</v>
      </c>
      <c r="I71" s="91">
        <f t="shared" si="65"/>
        <v>1.1210171163128924</v>
      </c>
      <c r="J71" s="91">
        <f t="shared" si="65"/>
        <v>1.0898511582923835</v>
      </c>
      <c r="K71" s="91">
        <f t="shared" si="65"/>
        <v>1.1636412125711573</v>
      </c>
      <c r="L71" s="91">
        <f t="shared" si="65"/>
        <v>1.0750308063044094</v>
      </c>
      <c r="M71" s="91">
        <f t="shared" si="65"/>
        <v>1.0794672990978365</v>
      </c>
      <c r="N71" s="91">
        <f t="shared" si="65"/>
        <v>1.0526288588582664</v>
      </c>
      <c r="O71" s="91">
        <f t="shared" si="65"/>
        <v>1.0650827174013062</v>
      </c>
      <c r="P71" s="91">
        <f t="shared" si="65"/>
        <v>1.106014927878294</v>
      </c>
      <c r="Q71" s="91">
        <f t="shared" si="65"/>
        <v>1.1021436330887449</v>
      </c>
      <c r="R71" s="91">
        <f t="shared" si="65"/>
        <v>1.1128646559564264</v>
      </c>
      <c r="S71" s="91">
        <f t="shared" si="65"/>
        <v>1.1080086484424194</v>
      </c>
      <c r="T71" s="91">
        <f t="shared" si="65"/>
        <v>1.0971442230347535</v>
      </c>
      <c r="U71" s="91">
        <f t="shared" si="65"/>
        <v>1.0806355124688782</v>
      </c>
      <c r="V71" s="91">
        <f t="shared" si="65"/>
        <v>1.0653164461412801</v>
      </c>
      <c r="W71" s="91">
        <f t="shared" si="65"/>
        <v>0.99890138065894174</v>
      </c>
      <c r="DA71" s="171"/>
    </row>
    <row r="72" spans="1:105" ht="11.45" customHeight="1" x14ac:dyDescent="0.25">
      <c r="A72" s="12" t="s">
        <v>34</v>
      </c>
      <c r="B72" s="24">
        <f t="shared" si="61"/>
        <v>1.0619111461617499</v>
      </c>
      <c r="C72" s="24">
        <f t="shared" ref="C72:W72" si="66">IF(C10=0,0,C22/C62)</f>
        <v>1.06024471344524</v>
      </c>
      <c r="D72" s="24">
        <f t="shared" si="66"/>
        <v>1.0794998769562931</v>
      </c>
      <c r="E72" s="24">
        <f t="shared" si="66"/>
        <v>1.0583910422612812</v>
      </c>
      <c r="F72" s="24">
        <f t="shared" si="66"/>
        <v>1.0528319030912876</v>
      </c>
      <c r="G72" s="24">
        <f t="shared" si="66"/>
        <v>1.0277674300039679</v>
      </c>
      <c r="H72" s="24">
        <f t="shared" si="66"/>
        <v>1.0234467647046388</v>
      </c>
      <c r="I72" s="24">
        <f t="shared" si="66"/>
        <v>1.0100785961808341</v>
      </c>
      <c r="J72" s="24">
        <f t="shared" si="66"/>
        <v>0.98271119399832296</v>
      </c>
      <c r="K72" s="24">
        <f t="shared" si="66"/>
        <v>1.0486895178114584</v>
      </c>
      <c r="L72" s="24">
        <f t="shared" si="66"/>
        <v>0.96957531400559538</v>
      </c>
      <c r="M72" s="24">
        <f t="shared" si="66"/>
        <v>0.97216029710472374</v>
      </c>
      <c r="N72" s="24">
        <f t="shared" si="66"/>
        <v>0.94813251286494793</v>
      </c>
      <c r="O72" s="24">
        <f t="shared" si="66"/>
        <v>0.95933914285073441</v>
      </c>
      <c r="P72" s="24">
        <f t="shared" si="66"/>
        <v>0.99567020216026592</v>
      </c>
      <c r="Q72" s="24">
        <f t="shared" si="66"/>
        <v>0.9931963614721071</v>
      </c>
      <c r="R72" s="24">
        <f t="shared" si="66"/>
        <v>1.0027038969634765</v>
      </c>
      <c r="S72" s="24">
        <f t="shared" si="66"/>
        <v>0.99848381922160123</v>
      </c>
      <c r="T72" s="24">
        <f t="shared" si="66"/>
        <v>0.98814871825567152</v>
      </c>
      <c r="U72" s="24">
        <f t="shared" si="66"/>
        <v>0.97268272637247699</v>
      </c>
      <c r="V72" s="24">
        <f t="shared" si="66"/>
        <v>0.95705787572613454</v>
      </c>
      <c r="W72" s="24">
        <f t="shared" si="66"/>
        <v>0.89821778228066096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1.1690453543260915</v>
      </c>
      <c r="C74" s="93">
        <f t="shared" ref="C74:W74" si="68">IF(C12=0,0,C24/C64)</f>
        <v>1.1645554416459354</v>
      </c>
      <c r="D74" s="93">
        <f t="shared" si="68"/>
        <v>1.1877409204054534</v>
      </c>
      <c r="E74" s="93">
        <f t="shared" si="68"/>
        <v>1.1649034844703139</v>
      </c>
      <c r="F74" s="93">
        <f t="shared" si="68"/>
        <v>1.1446667446244723</v>
      </c>
      <c r="G74" s="93">
        <f t="shared" si="68"/>
        <v>1.1309058172447222</v>
      </c>
      <c r="H74" s="93">
        <f t="shared" si="68"/>
        <v>1.0655258937524772</v>
      </c>
      <c r="I74" s="93">
        <f t="shared" si="68"/>
        <v>1.0726554195336384</v>
      </c>
      <c r="J74" s="93">
        <f t="shared" si="68"/>
        <v>1.065345258256112</v>
      </c>
      <c r="K74" s="93">
        <f t="shared" si="68"/>
        <v>1.0985208608242643</v>
      </c>
      <c r="L74" s="93">
        <f t="shared" si="68"/>
        <v>1.0459034115070636</v>
      </c>
      <c r="M74" s="93">
        <f t="shared" si="68"/>
        <v>0.99949856688963334</v>
      </c>
      <c r="N74" s="93">
        <f t="shared" si="68"/>
        <v>0.98393989912995006</v>
      </c>
      <c r="O74" s="93">
        <f t="shared" si="68"/>
        <v>0.99349925762458247</v>
      </c>
      <c r="P74" s="93">
        <f t="shared" si="68"/>
        <v>1.0060765253244226</v>
      </c>
      <c r="Q74" s="93">
        <f t="shared" si="68"/>
        <v>1.0471054748616242</v>
      </c>
      <c r="R74" s="93">
        <f t="shared" si="68"/>
        <v>1.0441989049669556</v>
      </c>
      <c r="S74" s="93">
        <f t="shared" si="68"/>
        <v>1.0549827063031467</v>
      </c>
      <c r="T74" s="93">
        <f t="shared" si="68"/>
        <v>1.0257760826303126</v>
      </c>
      <c r="U74" s="93">
        <f t="shared" si="68"/>
        <v>0.97798141658874749</v>
      </c>
      <c r="V74" s="93">
        <f t="shared" si="68"/>
        <v>0.83045065678320373</v>
      </c>
      <c r="W74" s="93">
        <f t="shared" si="68"/>
        <v>0.84725799600524776</v>
      </c>
      <c r="DA74" s="175"/>
    </row>
    <row r="75" spans="1:105" ht="11.45" customHeight="1" x14ac:dyDescent="0.25">
      <c r="A75" s="85" t="s">
        <v>174</v>
      </c>
      <c r="B75" s="94">
        <f t="shared" si="61"/>
        <v>1.0596739180171568</v>
      </c>
      <c r="C75" s="94">
        <f t="shared" ref="C75:W75" si="69">IF(C13=0,0,C25/C65)</f>
        <v>1.0572779336124043</v>
      </c>
      <c r="D75" s="94">
        <f t="shared" si="69"/>
        <v>1.0772162478981464</v>
      </c>
      <c r="E75" s="94">
        <f t="shared" si="69"/>
        <v>1.0562425607057275</v>
      </c>
      <c r="F75" s="94">
        <f t="shared" si="69"/>
        <v>1.050927345990367</v>
      </c>
      <c r="G75" s="94">
        <f t="shared" si="69"/>
        <v>1.0258717853786095</v>
      </c>
      <c r="H75" s="94">
        <f t="shared" si="69"/>
        <v>1.0226934100514717</v>
      </c>
      <c r="I75" s="94">
        <f t="shared" si="69"/>
        <v>1.0089154046816031</v>
      </c>
      <c r="J75" s="94">
        <f t="shared" si="69"/>
        <v>0.98086604246314546</v>
      </c>
      <c r="K75" s="94">
        <f t="shared" si="69"/>
        <v>1.0472770913140417</v>
      </c>
      <c r="L75" s="94">
        <f t="shared" si="69"/>
        <v>0.96752772567396805</v>
      </c>
      <c r="M75" s="94">
        <f t="shared" si="69"/>
        <v>0.97152056918805285</v>
      </c>
      <c r="N75" s="94">
        <f t="shared" si="69"/>
        <v>0.94736597297243963</v>
      </c>
      <c r="O75" s="94">
        <f t="shared" si="69"/>
        <v>0.95857444566117544</v>
      </c>
      <c r="P75" s="94">
        <f t="shared" si="69"/>
        <v>0.99541343509046465</v>
      </c>
      <c r="Q75" s="94">
        <f t="shared" si="69"/>
        <v>0.99192926977987039</v>
      </c>
      <c r="R75" s="94">
        <f t="shared" si="69"/>
        <v>1.0015781903607837</v>
      </c>
      <c r="S75" s="94">
        <f t="shared" si="69"/>
        <v>0.99720778359817752</v>
      </c>
      <c r="T75" s="94">
        <f t="shared" si="69"/>
        <v>0.98742980073127795</v>
      </c>
      <c r="U75" s="94">
        <f t="shared" si="69"/>
        <v>0.97257196122199063</v>
      </c>
      <c r="V75" s="94">
        <f t="shared" si="69"/>
        <v>0.95878480152715195</v>
      </c>
      <c r="W75" s="94">
        <f t="shared" si="69"/>
        <v>0.89901124259304754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9939.5763742799991</v>
      </c>
      <c r="C3" s="79">
        <f t="shared" si="0"/>
        <v>9676.9013940000004</v>
      </c>
      <c r="D3" s="79">
        <f t="shared" ref="D3" si="1">SUM(D4:D5)</f>
        <v>10102.16672028</v>
      </c>
      <c r="E3" s="79">
        <f t="shared" ref="E3" si="2">SUM(E4:E5)</f>
        <v>9952.1823862800011</v>
      </c>
      <c r="F3" s="79">
        <f t="shared" ref="F3" si="3">SUM(F4:F5)</f>
        <v>10662.158763719999</v>
      </c>
      <c r="G3" s="79">
        <f t="shared" ref="G3" si="4">SUM(G4:G5)</f>
        <v>10978.051500000001</v>
      </c>
      <c r="H3" s="79">
        <f t="shared" ref="H3" si="5">SUM(H4:H5)</f>
        <v>11128.1787</v>
      </c>
      <c r="I3" s="79">
        <f t="shared" ref="I3" si="6">SUM(I4:I5)</f>
        <v>11196.98691372</v>
      </c>
      <c r="J3" s="79">
        <f t="shared" ref="J3" si="7">SUM(J4:J5)</f>
        <v>11350.241936279999</v>
      </c>
      <c r="K3" s="79">
        <f t="shared" ref="K3" si="8">SUM(K4:K5)</f>
        <v>10518.286950000002</v>
      </c>
      <c r="L3" s="79">
        <f t="shared" ref="L3" si="9">SUM(L4:L5)</f>
        <v>10264.9473</v>
      </c>
      <c r="M3" s="79">
        <f t="shared" ref="M3" si="10">SUM(M4:M5)</f>
        <v>10684.052486279998</v>
      </c>
      <c r="N3" s="79">
        <f t="shared" ref="N3" si="11">SUM(N4:N5)</f>
        <v>10268.074863720001</v>
      </c>
      <c r="O3" s="79">
        <f t="shared" ref="O3" si="12">SUM(O4:O5)</f>
        <v>10490.1381</v>
      </c>
      <c r="P3" s="79">
        <f t="shared" ref="P3" si="13">SUM(P4:P5)</f>
        <v>10887.349563720001</v>
      </c>
      <c r="Q3" s="79">
        <f t="shared" ref="Q3" si="14">SUM(Q4:Q5)</f>
        <v>11443.251948839999</v>
      </c>
      <c r="R3" s="79">
        <f t="shared" ref="R3" si="15">SUM(R4:R5)</f>
        <v>11740.813377480001</v>
      </c>
      <c r="S3" s="79">
        <f t="shared" ref="S3" si="16">SUM(S4:S5)</f>
        <v>12081.43646388</v>
      </c>
      <c r="T3" s="79">
        <f t="shared" ref="T3" si="17">SUM(T4:T5)</f>
        <v>12226.280998320002</v>
      </c>
      <c r="U3" s="79">
        <f t="shared" ref="U3" si="18">SUM(U4:U5)</f>
        <v>11956.277229119998</v>
      </c>
      <c r="V3" s="79">
        <f t="shared" ref="V3:W3" si="19">SUM(V4:V5)</f>
        <v>6668.5094150400018</v>
      </c>
      <c r="W3" s="79">
        <f t="shared" si="19"/>
        <v>7333.2413370000022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9939.5763742799991</v>
      </c>
      <c r="C5" s="96">
        <f t="shared" si="23"/>
        <v>9676.9013940000004</v>
      </c>
      <c r="D5" s="96">
        <f t="shared" ref="D5:V5" si="24">SUM(D8:D9,D12:D13)</f>
        <v>10102.16672028</v>
      </c>
      <c r="E5" s="96">
        <f t="shared" si="24"/>
        <v>9952.1823862800011</v>
      </c>
      <c r="F5" s="96">
        <f t="shared" si="24"/>
        <v>10662.158763719999</v>
      </c>
      <c r="G5" s="96">
        <f t="shared" si="24"/>
        <v>10978.051500000001</v>
      </c>
      <c r="H5" s="96">
        <f t="shared" si="24"/>
        <v>11128.1787</v>
      </c>
      <c r="I5" s="96">
        <f t="shared" si="24"/>
        <v>11196.98691372</v>
      </c>
      <c r="J5" s="96">
        <f t="shared" si="24"/>
        <v>11350.241936279999</v>
      </c>
      <c r="K5" s="96">
        <f t="shared" si="24"/>
        <v>10518.286950000002</v>
      </c>
      <c r="L5" s="96">
        <f t="shared" si="24"/>
        <v>10264.9473</v>
      </c>
      <c r="M5" s="96">
        <f t="shared" si="24"/>
        <v>10684.052486279998</v>
      </c>
      <c r="N5" s="96">
        <f t="shared" si="24"/>
        <v>10268.074863720001</v>
      </c>
      <c r="O5" s="96">
        <f t="shared" si="24"/>
        <v>10490.1381</v>
      </c>
      <c r="P5" s="96">
        <f t="shared" si="24"/>
        <v>10887.349563720001</v>
      </c>
      <c r="Q5" s="96">
        <f t="shared" si="24"/>
        <v>11443.251948839999</v>
      </c>
      <c r="R5" s="96">
        <f t="shared" si="24"/>
        <v>11740.813377480001</v>
      </c>
      <c r="S5" s="96">
        <f t="shared" si="24"/>
        <v>12081.43646388</v>
      </c>
      <c r="T5" s="96">
        <f t="shared" si="24"/>
        <v>12226.280998320002</v>
      </c>
      <c r="U5" s="96">
        <f t="shared" si="24"/>
        <v>11956.277229119998</v>
      </c>
      <c r="V5" s="96">
        <f t="shared" si="24"/>
        <v>6668.5094150400018</v>
      </c>
      <c r="W5" s="96">
        <f t="shared" ref="W5" si="25">SUM(W8:W9,W12:W13)</f>
        <v>7333.2413370000022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8380.433990661435</v>
      </c>
      <c r="C6" s="21">
        <f t="shared" si="26"/>
        <v>8148.7159177313179</v>
      </c>
      <c r="D6" s="21">
        <f t="shared" ref="D6:V6" si="27">SUM(D7:D9)</f>
        <v>8451.6682624919958</v>
      </c>
      <c r="E6" s="21">
        <f t="shared" si="27"/>
        <v>8140.2093495561639</v>
      </c>
      <c r="F6" s="21">
        <f t="shared" si="27"/>
        <v>8759.878291164554</v>
      </c>
      <c r="G6" s="21">
        <f t="shared" si="27"/>
        <v>8871.6295346554743</v>
      </c>
      <c r="H6" s="21">
        <f t="shared" si="27"/>
        <v>8785.2476167310379</v>
      </c>
      <c r="I6" s="21">
        <f t="shared" si="27"/>
        <v>8887.3246322204486</v>
      </c>
      <c r="J6" s="21">
        <f t="shared" si="27"/>
        <v>8965.8884676250691</v>
      </c>
      <c r="K6" s="21">
        <f t="shared" si="27"/>
        <v>8620.4276364407378</v>
      </c>
      <c r="L6" s="21">
        <f t="shared" si="27"/>
        <v>8180.2250840776906</v>
      </c>
      <c r="M6" s="21">
        <f t="shared" si="27"/>
        <v>8743.3846207700371</v>
      </c>
      <c r="N6" s="21">
        <f t="shared" si="27"/>
        <v>8669.2289601859593</v>
      </c>
      <c r="O6" s="21">
        <f t="shared" si="27"/>
        <v>8876.4859269675617</v>
      </c>
      <c r="P6" s="21">
        <f t="shared" si="27"/>
        <v>9327.5999041987779</v>
      </c>
      <c r="Q6" s="21">
        <f t="shared" si="27"/>
        <v>9869.4277631454188</v>
      </c>
      <c r="R6" s="21">
        <f t="shared" si="27"/>
        <v>10302.601512462415</v>
      </c>
      <c r="S6" s="21">
        <f t="shared" si="27"/>
        <v>10517.531875150735</v>
      </c>
      <c r="T6" s="21">
        <f t="shared" si="27"/>
        <v>10687.414918817809</v>
      </c>
      <c r="U6" s="21">
        <f t="shared" si="27"/>
        <v>10630.336285279938</v>
      </c>
      <c r="V6" s="21">
        <f t="shared" si="27"/>
        <v>4679.7271970117208</v>
      </c>
      <c r="W6" s="21">
        <f t="shared" ref="W6" si="28">SUM(W7:W9)</f>
        <v>5451.1312717973196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1787.9952544433877</v>
      </c>
      <c r="C8" s="96">
        <v>1738.5370414719803</v>
      </c>
      <c r="D8" s="96">
        <v>1816.5649430078849</v>
      </c>
      <c r="E8" s="96">
        <v>1795.0031471760858</v>
      </c>
      <c r="F8" s="96">
        <v>1831.3085501035321</v>
      </c>
      <c r="G8" s="96">
        <v>1859.3736929974432</v>
      </c>
      <c r="H8" s="96">
        <v>1893.0767995487113</v>
      </c>
      <c r="I8" s="96">
        <v>1958.0749118962929</v>
      </c>
      <c r="J8" s="96">
        <v>1906.5815791476202</v>
      </c>
      <c r="K8" s="96">
        <v>1757.6808758267343</v>
      </c>
      <c r="L8" s="96">
        <v>1648.0690317913316</v>
      </c>
      <c r="M8" s="96">
        <v>1784.7935775089204</v>
      </c>
      <c r="N8" s="96">
        <v>1745.7630046911866</v>
      </c>
      <c r="O8" s="96">
        <v>1789.2742391020456</v>
      </c>
      <c r="P8" s="96">
        <v>1903.7595797416027</v>
      </c>
      <c r="Q8" s="96">
        <v>2038.6695715977112</v>
      </c>
      <c r="R8" s="96">
        <v>2237.7405005358091</v>
      </c>
      <c r="S8" s="96">
        <v>2340.6058435940413</v>
      </c>
      <c r="T8" s="96">
        <v>2340.8826483250241</v>
      </c>
      <c r="U8" s="96">
        <v>2249.5959118588507</v>
      </c>
      <c r="V8" s="96">
        <v>786.09777842642518</v>
      </c>
      <c r="W8" s="96">
        <v>1021.7646870951976</v>
      </c>
      <c r="DA8" s="171" t="s">
        <v>328</v>
      </c>
    </row>
    <row r="9" spans="1:105" ht="11.45" customHeight="1" x14ac:dyDescent="0.25">
      <c r="A9" s="83" t="s">
        <v>174</v>
      </c>
      <c r="B9" s="96">
        <v>6592.4387362180478</v>
      </c>
      <c r="C9" s="96">
        <v>6410.1788762593378</v>
      </c>
      <c r="D9" s="96">
        <v>6635.1033194841111</v>
      </c>
      <c r="E9" s="96">
        <v>6345.2062023800781</v>
      </c>
      <c r="F9" s="96">
        <v>6928.5697410610219</v>
      </c>
      <c r="G9" s="96">
        <v>7012.2558416580314</v>
      </c>
      <c r="H9" s="96">
        <v>6892.1708171823275</v>
      </c>
      <c r="I9" s="96">
        <v>6929.2497203241564</v>
      </c>
      <c r="J9" s="96">
        <v>7059.3068884774493</v>
      </c>
      <c r="K9" s="96">
        <v>6862.7467606140035</v>
      </c>
      <c r="L9" s="96">
        <v>6532.1560522863592</v>
      </c>
      <c r="M9" s="96">
        <v>6958.5910432611172</v>
      </c>
      <c r="N9" s="96">
        <v>6923.4659554947721</v>
      </c>
      <c r="O9" s="96">
        <v>7087.211687865517</v>
      </c>
      <c r="P9" s="96">
        <v>7423.8403244571755</v>
      </c>
      <c r="Q9" s="96">
        <v>7830.7581915477076</v>
      </c>
      <c r="R9" s="96">
        <v>8064.8610119266059</v>
      </c>
      <c r="S9" s="96">
        <v>8176.9260315566935</v>
      </c>
      <c r="T9" s="96">
        <v>8346.5322704927858</v>
      </c>
      <c r="U9" s="96">
        <v>8380.7403734210875</v>
      </c>
      <c r="V9" s="96">
        <v>3893.6294185852953</v>
      </c>
      <c r="W9" s="96">
        <v>4429.3665847021221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1559.1423836185645</v>
      </c>
      <c r="C10" s="22">
        <f t="shared" si="29"/>
        <v>1528.1854762686817</v>
      </c>
      <c r="D10" s="22">
        <f t="shared" ref="D10:V10" si="30">SUM(D11:D13)</f>
        <v>1650.4984577880043</v>
      </c>
      <c r="E10" s="22">
        <f t="shared" si="30"/>
        <v>1811.9730367238365</v>
      </c>
      <c r="F10" s="22">
        <f t="shared" si="30"/>
        <v>1902.2804725554449</v>
      </c>
      <c r="G10" s="22">
        <f t="shared" si="30"/>
        <v>2106.4219653445261</v>
      </c>
      <c r="H10" s="22">
        <f t="shared" si="30"/>
        <v>2342.9310832689621</v>
      </c>
      <c r="I10" s="22">
        <f t="shared" si="30"/>
        <v>2309.6622814995499</v>
      </c>
      <c r="J10" s="22">
        <f t="shared" si="30"/>
        <v>2384.3534686549306</v>
      </c>
      <c r="K10" s="22">
        <f t="shared" si="30"/>
        <v>1897.8593135592635</v>
      </c>
      <c r="L10" s="22">
        <f t="shared" si="30"/>
        <v>2084.7222159223088</v>
      </c>
      <c r="M10" s="22">
        <f t="shared" si="30"/>
        <v>1940.6678655099613</v>
      </c>
      <c r="N10" s="22">
        <f t="shared" si="30"/>
        <v>1598.8459035340431</v>
      </c>
      <c r="O10" s="22">
        <f t="shared" si="30"/>
        <v>1613.652173032438</v>
      </c>
      <c r="P10" s="22">
        <f t="shared" si="30"/>
        <v>1559.7496595212222</v>
      </c>
      <c r="Q10" s="22">
        <f t="shared" si="30"/>
        <v>1573.824185694581</v>
      </c>
      <c r="R10" s="22">
        <f t="shared" si="30"/>
        <v>1438.2118650175858</v>
      </c>
      <c r="S10" s="22">
        <f t="shared" si="30"/>
        <v>1563.9045887292641</v>
      </c>
      <c r="T10" s="22">
        <f t="shared" si="30"/>
        <v>1538.8660795021926</v>
      </c>
      <c r="U10" s="22">
        <f t="shared" si="30"/>
        <v>1325.9409438400598</v>
      </c>
      <c r="V10" s="22">
        <f t="shared" si="30"/>
        <v>1988.7822180282812</v>
      </c>
      <c r="W10" s="22">
        <f t="shared" ref="W10" si="31">SUM(W11:W13)</f>
        <v>1882.1100652026826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35.110362814899418</v>
      </c>
      <c r="C12" s="97">
        <v>46.420173865668929</v>
      </c>
      <c r="D12" s="97">
        <v>37.521532556597251</v>
      </c>
      <c r="E12" s="97">
        <v>39.432449563061681</v>
      </c>
      <c r="F12" s="97">
        <v>42.021002936738832</v>
      </c>
      <c r="G12" s="97">
        <v>41.831539626009466</v>
      </c>
      <c r="H12" s="97">
        <v>42.902685877140478</v>
      </c>
      <c r="I12" s="97">
        <v>44.760260387330305</v>
      </c>
      <c r="J12" s="97">
        <v>56.456932423194303</v>
      </c>
      <c r="K12" s="97">
        <v>54.796167469021071</v>
      </c>
      <c r="L12" s="97">
        <v>58.751575375348843</v>
      </c>
      <c r="M12" s="97">
        <v>45.621985559465003</v>
      </c>
      <c r="N12" s="97">
        <v>34.77517455248271</v>
      </c>
      <c r="O12" s="97">
        <v>36.589858226257874</v>
      </c>
      <c r="P12" s="97">
        <v>37.951299032568791</v>
      </c>
      <c r="Q12" s="97">
        <v>38.103751988442816</v>
      </c>
      <c r="R12" s="97">
        <v>39.558324092375621</v>
      </c>
      <c r="S12" s="97">
        <v>36.495388308121676</v>
      </c>
      <c r="T12" s="97">
        <v>29.949314978726623</v>
      </c>
      <c r="U12" s="97">
        <v>27.298147784189954</v>
      </c>
      <c r="V12" s="97">
        <v>23.221716412860669</v>
      </c>
      <c r="W12" s="97">
        <v>27.218654599792643</v>
      </c>
      <c r="DA12" s="175" t="s">
        <v>332</v>
      </c>
    </row>
    <row r="13" spans="1:105" ht="11.45" customHeight="1" x14ac:dyDescent="0.25">
      <c r="A13" s="85" t="s">
        <v>174</v>
      </c>
      <c r="B13" s="98">
        <v>1524.0320208036651</v>
      </c>
      <c r="C13" s="98">
        <v>1481.7653024030128</v>
      </c>
      <c r="D13" s="98">
        <v>1612.976925231407</v>
      </c>
      <c r="E13" s="98">
        <v>1772.5405871607747</v>
      </c>
      <c r="F13" s="98">
        <v>1860.2594696187061</v>
      </c>
      <c r="G13" s="98">
        <v>2064.5904257185166</v>
      </c>
      <c r="H13" s="98">
        <v>2300.0283973918217</v>
      </c>
      <c r="I13" s="98">
        <v>2264.9020211122197</v>
      </c>
      <c r="J13" s="98">
        <v>2327.8965362317363</v>
      </c>
      <c r="K13" s="98">
        <v>1843.0631460902423</v>
      </c>
      <c r="L13" s="98">
        <v>2025.9706405469601</v>
      </c>
      <c r="M13" s="98">
        <v>1895.0458799504963</v>
      </c>
      <c r="N13" s="98">
        <v>1564.0707289815605</v>
      </c>
      <c r="O13" s="98">
        <v>1577.0623148061802</v>
      </c>
      <c r="P13" s="98">
        <v>1521.7983604886533</v>
      </c>
      <c r="Q13" s="98">
        <v>1535.7204337061382</v>
      </c>
      <c r="R13" s="98">
        <v>1398.6535409252101</v>
      </c>
      <c r="S13" s="98">
        <v>1527.4092004211425</v>
      </c>
      <c r="T13" s="98">
        <v>1508.9167645234661</v>
      </c>
      <c r="U13" s="98">
        <v>1298.6427960558699</v>
      </c>
      <c r="V13" s="98">
        <v>1965.5605016154207</v>
      </c>
      <c r="W13" s="98">
        <v>1854.8914106028899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3.0102585634274077</v>
      </c>
      <c r="C19" s="98">
        <f>IF(C5=0,0,C5/TrAvia_ene!C5)</f>
        <v>3.0102831942478332</v>
      </c>
      <c r="D19" s="98">
        <f>IF(D5=0,0,D5/TrAvia_ene!D5)</f>
        <v>3.0102344661643432</v>
      </c>
      <c r="E19" s="98">
        <f>IF(E5=0,0,E5/TrAvia_ene!E5)</f>
        <v>3.0103092000000005</v>
      </c>
      <c r="F19" s="98">
        <f>IF(F5=0,0,F5/TrAvia_ene!F5)</f>
        <v>3.0103092000000005</v>
      </c>
      <c r="G19" s="98">
        <f>IF(G5=0,0,G5/TrAvia_ene!G5)</f>
        <v>3.0103092000000009</v>
      </c>
      <c r="H19" s="98">
        <f>IF(H5=0,0,H5/TrAvia_ene!H5)</f>
        <v>3.0103091999999996</v>
      </c>
      <c r="I19" s="98">
        <f>IF(I5=0,0,I5/TrAvia_ene!I5)</f>
        <v>3.0103092000000005</v>
      </c>
      <c r="J19" s="98">
        <f>IF(J5=0,0,J5/TrAvia_ene!J5)</f>
        <v>3.0103092000000009</v>
      </c>
      <c r="K19" s="98">
        <f>IF(K5=0,0,K5/TrAvia_ene!K5)</f>
        <v>3.0103092000000005</v>
      </c>
      <c r="L19" s="98">
        <f>IF(L5=0,0,L5/TrAvia_ene!L5)</f>
        <v>3.0103092000000014</v>
      </c>
      <c r="M19" s="98">
        <f>IF(M5=0,0,M5/TrAvia_ene!M5)</f>
        <v>3.0103092</v>
      </c>
      <c r="N19" s="98">
        <f>IF(N5=0,0,N5/TrAvia_ene!N5)</f>
        <v>3.0103092000000005</v>
      </c>
      <c r="O19" s="98">
        <f>IF(O5=0,0,O5/TrAvia_ene!O5)</f>
        <v>3.0103091999999996</v>
      </c>
      <c r="P19" s="98">
        <f>IF(P5=0,0,P5/TrAvia_ene!P5)</f>
        <v>3.0103092000000014</v>
      </c>
      <c r="Q19" s="98">
        <f>IF(Q5=0,0,Q5/TrAvia_ene!Q5)</f>
        <v>3.0103092000000009</v>
      </c>
      <c r="R19" s="98">
        <f>IF(R5=0,0,R5/TrAvia_ene!R5)</f>
        <v>3.0103092</v>
      </c>
      <c r="S19" s="98">
        <f>IF(S5=0,0,S5/TrAvia_ene!S5)</f>
        <v>3.0103092000000005</v>
      </c>
      <c r="T19" s="98">
        <f>IF(T5=0,0,T5/TrAvia_ene!T5)</f>
        <v>3.0103092000000005</v>
      </c>
      <c r="U19" s="98">
        <f>IF(U5=0,0,U5/TrAvia_ene!U5)</f>
        <v>3.0103092</v>
      </c>
      <c r="V19" s="98">
        <f>IF(V5=0,0,V5/TrAvia_ene!V5)</f>
        <v>3.0103092000000009</v>
      </c>
      <c r="W19" s="98">
        <f>IF(W5=0,0,W5/TrAvia_ene!W5)</f>
        <v>3.0103092000000009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22353.819334641463</v>
      </c>
      <c r="C21" s="54">
        <f>IF(C3=0,0,C3/TrAvia_act!C13*1000)</f>
        <v>22290.089413136237</v>
      </c>
      <c r="D21" s="54">
        <f>IF(D3=0,0,D3/TrAvia_act!D13*1000)</f>
        <v>22712.567845525788</v>
      </c>
      <c r="E21" s="54">
        <f>IF(E3=0,0,E3/TrAvia_act!E13*1000)</f>
        <v>22221.20197345594</v>
      </c>
      <c r="F21" s="54">
        <f>IF(F3=0,0,F3/TrAvia_act!F13*1000)</f>
        <v>22287.830342395086</v>
      </c>
      <c r="G21" s="54">
        <f>IF(G3=0,0,G3/TrAvia_act!G13*1000)</f>
        <v>22056.444259745724</v>
      </c>
      <c r="H21" s="54">
        <f>IF(H3=0,0,H3/TrAvia_act!H13*1000)</f>
        <v>21588.898851247486</v>
      </c>
      <c r="I21" s="54">
        <f>IF(I3=0,0,I3/TrAvia_act!I13*1000)</f>
        <v>21328.736186945189</v>
      </c>
      <c r="J21" s="54">
        <f>IF(J3=0,0,J3/TrAvia_act!J13*1000)</f>
        <v>21034.783927524531</v>
      </c>
      <c r="K21" s="54">
        <f>IF(K3=0,0,K3/TrAvia_act!K13*1000)</f>
        <v>22085.486559557994</v>
      </c>
      <c r="L21" s="54">
        <f>IF(L3=0,0,L3/TrAvia_act!L13*1000)</f>
        <v>20665.893019668682</v>
      </c>
      <c r="M21" s="54">
        <f>IF(M3=0,0,M3/TrAvia_act!M13*1000)</f>
        <v>20404.838197736972</v>
      </c>
      <c r="N21" s="54">
        <f>IF(N3=0,0,N3/TrAvia_act!N13*1000)</f>
        <v>19887.2650153254</v>
      </c>
      <c r="O21" s="54">
        <f>IF(O3=0,0,O3/TrAvia_act!O13*1000)</f>
        <v>19859.437540528517</v>
      </c>
      <c r="P21" s="54">
        <f>IF(P3=0,0,P3/TrAvia_act!P13*1000)</f>
        <v>20407.398507025413</v>
      </c>
      <c r="Q21" s="54">
        <f>IF(Q3=0,0,Q3/TrAvia_act!Q13*1000)</f>
        <v>20557.032880753755</v>
      </c>
      <c r="R21" s="54">
        <f>IF(R3=0,0,R3/TrAvia_act!R13*1000)</f>
        <v>20412.307937431575</v>
      </c>
      <c r="S21" s="54">
        <f>IF(S3=0,0,S3/TrAvia_act!S13*1000)</f>
        <v>20020.694976221974</v>
      </c>
      <c r="T21" s="54">
        <f>IF(T3=0,0,T3/TrAvia_act!T13*1000)</f>
        <v>19737.754124544113</v>
      </c>
      <c r="U21" s="54">
        <f>IF(U3=0,0,U3/TrAvia_act!U13*1000)</f>
        <v>19390.974553078777</v>
      </c>
      <c r="V21" s="54">
        <f>IF(V3=0,0,V3/TrAvia_act!V13*1000)</f>
        <v>19871.214388389901</v>
      </c>
      <c r="W21" s="54">
        <f>IF(W3=0,0,W3/TrAvia_act!W13*1000)</f>
        <v>18251.501689249813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22036.515073110259</v>
      </c>
      <c r="C22" s="11">
        <f>IF(C6=0,0,C6/TrAvia_act!C14*1000)</f>
        <v>21986.918199884116</v>
      </c>
      <c r="D22" s="11">
        <f>IF(D6=0,0,D6/TrAvia_act!D14*1000)</f>
        <v>22372.694142783937</v>
      </c>
      <c r="E22" s="11">
        <f>IF(E6=0,0,E6/TrAvia_act!E14*1000)</f>
        <v>21831.408234439834</v>
      </c>
      <c r="F22" s="11">
        <f>IF(F6=0,0,F6/TrAvia_act!F14*1000)</f>
        <v>21942.790017030085</v>
      </c>
      <c r="G22" s="11">
        <f>IF(G6=0,0,G6/TrAvia_act!G14*1000)</f>
        <v>21685.828860864764</v>
      </c>
      <c r="H22" s="11">
        <f>IF(H6=0,0,H6/TrAvia_act!H14*1000)</f>
        <v>21016.90263394214</v>
      </c>
      <c r="I22" s="11">
        <f>IF(I6=0,0,I6/TrAvia_act!I14*1000)</f>
        <v>20722.539681754279</v>
      </c>
      <c r="J22" s="11">
        <f>IF(J6=0,0,J6/TrAvia_act!J14*1000)</f>
        <v>20451.213663801886</v>
      </c>
      <c r="K22" s="11">
        <f>IF(K6=0,0,K6/TrAvia_act!K14*1000)</f>
        <v>21512.465244844967</v>
      </c>
      <c r="L22" s="11">
        <f>IF(L6=0,0,L6/TrAvia_act!L14*1000)</f>
        <v>20051.097847746682</v>
      </c>
      <c r="M22" s="11">
        <f>IF(M6=0,0,M6/TrAvia_act!M14*1000)</f>
        <v>19871.826730272522</v>
      </c>
      <c r="N22" s="11">
        <f>IF(N6=0,0,N6/TrAvia_act!N14*1000)</f>
        <v>19503.954296441818</v>
      </c>
      <c r="O22" s="11">
        <f>IF(O6=0,0,O6/TrAvia_act!O14*1000)</f>
        <v>19522.402865551157</v>
      </c>
      <c r="P22" s="11">
        <f>IF(P6=0,0,P6/TrAvia_act!P14*1000)</f>
        <v>20077.836323294796</v>
      </c>
      <c r="Q22" s="11">
        <f>IF(Q6=0,0,Q6/TrAvia_act!Q14*1000)</f>
        <v>20274.99066041765</v>
      </c>
      <c r="R22" s="11">
        <f>IF(R6=0,0,R6/TrAvia_act!R14*1000)</f>
        <v>20138.350665780621</v>
      </c>
      <c r="S22" s="11">
        <f>IF(S6=0,0,S6/TrAvia_act!S14*1000)</f>
        <v>19717.381537487712</v>
      </c>
      <c r="T22" s="11">
        <f>IF(T6=0,0,T6/TrAvia_act!T14*1000)</f>
        <v>19439.642731992091</v>
      </c>
      <c r="U22" s="11">
        <f>IF(U6=0,0,U6/TrAvia_act!U14*1000)</f>
        <v>19144.900180296085</v>
      </c>
      <c r="V22" s="11">
        <f>IF(V6=0,0,V6/TrAvia_act!V14*1000)</f>
        <v>19043.44870604571</v>
      </c>
      <c r="W22" s="11">
        <f>IF(W6=0,0,W6/TrAvia_act!W14*1000)</f>
        <v>17606.07142800598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12869.956434931169</v>
      </c>
      <c r="C24" s="84">
        <f>IF(C8=0,0,C8/TrAvia_act!C16*1000)</f>
        <v>12840.960779403866</v>
      </c>
      <c r="D24" s="84">
        <f>IF(D8=0,0,D8/TrAvia_act!D16*1000)</f>
        <v>13088.636586324781</v>
      </c>
      <c r="E24" s="84">
        <f>IF(E8=0,0,E8/TrAvia_act!E16*1000)</f>
        <v>12839.951434801747</v>
      </c>
      <c r="F24" s="84">
        <f>IF(F8=0,0,F8/TrAvia_act!F16*1000)</f>
        <v>12767.882485505645</v>
      </c>
      <c r="G24" s="84">
        <f>IF(G8=0,0,G8/TrAvia_act!G16*1000)</f>
        <v>12620.497038895111</v>
      </c>
      <c r="H24" s="84">
        <f>IF(H8=0,0,H8/TrAvia_act!H16*1000)</f>
        <v>11789.264475425423</v>
      </c>
      <c r="I24" s="84">
        <f>IF(I8=0,0,I8/TrAvia_act!I16*1000)</f>
        <v>11744.995786633632</v>
      </c>
      <c r="J24" s="84">
        <f>IF(J8=0,0,J8/TrAvia_act!J16*1000)</f>
        <v>11700.271402086189</v>
      </c>
      <c r="K24" s="84">
        <f>IF(K8=0,0,K8/TrAvia_act!K16*1000)</f>
        <v>11928.69943384989</v>
      </c>
      <c r="L24" s="84">
        <f>IF(L8=0,0,L8/TrAvia_act!L16*1000)</f>
        <v>11267.03486481069</v>
      </c>
      <c r="M24" s="84">
        <f>IF(M8=0,0,M8/TrAvia_act!M16*1000)</f>
        <v>10937.998471790574</v>
      </c>
      <c r="N24" s="84">
        <f>IF(N8=0,0,N8/TrAvia_act!N16*1000)</f>
        <v>10752.585714951834</v>
      </c>
      <c r="O24" s="84">
        <f>IF(O8=0,0,O8/TrAvia_act!O16*1000)</f>
        <v>10858.214653650928</v>
      </c>
      <c r="P24" s="84">
        <f>IF(P8=0,0,P8/TrAvia_act!P16*1000)</f>
        <v>11121.667205931833</v>
      </c>
      <c r="Q24" s="84">
        <f>IF(Q8=0,0,Q8/TrAvia_act!Q16*1000)</f>
        <v>11594.777145686228</v>
      </c>
      <c r="R24" s="84">
        <f>IF(R8=0,0,R8/TrAvia_act!R16*1000)</f>
        <v>11490.670464701483</v>
      </c>
      <c r="S24" s="84">
        <f>IF(S8=0,0,S8/TrAvia_act!S16*1000)</f>
        <v>11229.047850081601</v>
      </c>
      <c r="T24" s="84">
        <f>IF(T8=0,0,T8/TrAvia_act!T16*1000)</f>
        <v>10933.461752520854</v>
      </c>
      <c r="U24" s="84">
        <f>IF(U8=0,0,U8/TrAvia_act!U16*1000)</f>
        <v>10585.587043103276</v>
      </c>
      <c r="V24" s="84">
        <f>IF(V8=0,0,V8/TrAvia_act!V16*1000)</f>
        <v>8730.6156378941359</v>
      </c>
      <c r="W24" s="84">
        <f>IF(W8=0,0,W8/TrAvia_act!W16*1000)</f>
        <v>8673.4310437231998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27312.611596935887</v>
      </c>
      <c r="C25" s="84">
        <f>IF(C9=0,0,C9/TrAvia_act!C17*1000)</f>
        <v>27251.079166957177</v>
      </c>
      <c r="D25" s="84">
        <f>IF(D9=0,0,D9/TrAvia_act!D17*1000)</f>
        <v>27764.534885017598</v>
      </c>
      <c r="E25" s="84">
        <f>IF(E9=0,0,E9/TrAvia_act!E17*1000)</f>
        <v>27224.627875247163</v>
      </c>
      <c r="F25" s="84">
        <f>IF(F9=0,0,F9/TrAvia_act!F17*1000)</f>
        <v>27087.628337370144</v>
      </c>
      <c r="G25" s="84">
        <f>IF(G9=0,0,G9/TrAvia_act!G17*1000)</f>
        <v>26788.02095269542</v>
      </c>
      <c r="H25" s="84">
        <f>IF(H9=0,0,H9/TrAvia_act!H17*1000)</f>
        <v>26772.745948982825</v>
      </c>
      <c r="I25" s="84">
        <f>IF(I9=0,0,I9/TrAvia_act!I17*1000)</f>
        <v>26431.710393167901</v>
      </c>
      <c r="J25" s="84">
        <f>IF(J9=0,0,J9/TrAvia_act!J17*1000)</f>
        <v>25628.099896821361</v>
      </c>
      <c r="K25" s="84">
        <f>IF(K9=0,0,K9/TrAvia_act!K17*1000)</f>
        <v>27085.988873590795</v>
      </c>
      <c r="L25" s="84">
        <f>IF(L9=0,0,L9/TrAvia_act!L17*1000)</f>
        <v>24960.912647786194</v>
      </c>
      <c r="M25" s="84">
        <f>IF(M9=0,0,M9/TrAvia_act!M17*1000)</f>
        <v>25138.030669557906</v>
      </c>
      <c r="N25" s="84">
        <f>IF(N9=0,0,N9/TrAvia_act!N17*1000)</f>
        <v>24540.141273034289</v>
      </c>
      <c r="O25" s="84">
        <f>IF(O9=0,0,O9/TrAvia_act!O17*1000)</f>
        <v>24447.366707096964</v>
      </c>
      <c r="P25" s="84">
        <f>IF(P9=0,0,P9/TrAvia_act!P17*1000)</f>
        <v>25303.12108824771</v>
      </c>
      <c r="Q25" s="84">
        <f>IF(Q9=0,0,Q9/TrAvia_act!Q17*1000)</f>
        <v>25183.184091053783</v>
      </c>
      <c r="R25" s="84">
        <f>IF(R9=0,0,R9/TrAvia_act!R17*1000)</f>
        <v>25453.486440605768</v>
      </c>
      <c r="S25" s="84">
        <f>IF(S9=0,0,S9/TrAvia_act!S17*1000)</f>
        <v>25161.926947484208</v>
      </c>
      <c r="T25" s="84">
        <f>IF(T9=0,0,T9/TrAvia_act!T17*1000)</f>
        <v>24865.169623921054</v>
      </c>
      <c r="U25" s="84">
        <f>IF(U9=0,0,U9/TrAvia_act!U17*1000)</f>
        <v>24452.050343459232</v>
      </c>
      <c r="V25" s="84">
        <f>IF(V9=0,0,V9/TrAvia_act!V17*1000)</f>
        <v>25007.211125934937</v>
      </c>
      <c r="W25" s="84">
        <f>IF(W9=0,0,W9/TrAvia_act!W17*1000)</f>
        <v>23092.158795228519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24229.028527797578</v>
      </c>
      <c r="C26" s="13">
        <f>IF(C10=0,0,C10/TrAvia_act!C18*1000)</f>
        <v>24059.036937129298</v>
      </c>
      <c r="D26" s="13">
        <f>IF(D10=0,0,D10/TrAvia_act!D18*1000)</f>
        <v>24628.425531282759</v>
      </c>
      <c r="E26" s="13">
        <f>IF(E10=0,0,E10/TrAvia_act!E18*1000)</f>
        <v>24159.035879734271</v>
      </c>
      <c r="F26" s="13">
        <f>IF(F10=0,0,F10/TrAvia_act!F18*1000)</f>
        <v>24027.687114556044</v>
      </c>
      <c r="G26" s="13">
        <f>IF(G10=0,0,G10/TrAvia_act!G18*1000)</f>
        <v>23767.180780290571</v>
      </c>
      <c r="H26" s="13">
        <f>IF(H10=0,0,H10/TrAvia_act!H18*1000)</f>
        <v>24042.465997327225</v>
      </c>
      <c r="I26" s="13">
        <f>IF(I10=0,0,I10/TrAvia_act!I18*1000)</f>
        <v>24034.06629044432</v>
      </c>
      <c r="J26" s="13">
        <f>IF(J10=0,0,J10/TrAvia_act!J18*1000)</f>
        <v>23563.085803417449</v>
      </c>
      <c r="K26" s="13">
        <f>IF(K10=0,0,K10/TrAvia_act!K18*1000)</f>
        <v>25125.37736193883</v>
      </c>
      <c r="L26" s="13">
        <f>IF(L10=0,0,L10/TrAvia_act!L18*1000)</f>
        <v>23492.301423253113</v>
      </c>
      <c r="M26" s="13">
        <f>IF(M10=0,0,M10/TrAvia_act!M18*1000)</f>
        <v>23209.591194648776</v>
      </c>
      <c r="N26" s="13">
        <f>IF(N10=0,0,N10/TrAvia_act!N18*1000)</f>
        <v>22259.254582913556</v>
      </c>
      <c r="O26" s="13">
        <f>IF(O10=0,0,O10/TrAvia_act!O18*1000)</f>
        <v>21943.328339238491</v>
      </c>
      <c r="P26" s="13">
        <f>IF(P10=0,0,P10/TrAvia_act!P18*1000)</f>
        <v>22628.629496472182</v>
      </c>
      <c r="Q26" s="13">
        <f>IF(Q10=0,0,Q10/TrAvia_act!Q18*1000)</f>
        <v>22521.706998509915</v>
      </c>
      <c r="R26" s="13">
        <f>IF(R10=0,0,R10/TrAvia_act!R18*1000)</f>
        <v>22616.269067950245</v>
      </c>
      <c r="S26" s="13">
        <f>IF(S10=0,0,S10/TrAvia_act!S18*1000)</f>
        <v>22330.910076434051</v>
      </c>
      <c r="T26" s="13">
        <f>IF(T10=0,0,T10/TrAvia_act!T18*1000)</f>
        <v>22090.455514483379</v>
      </c>
      <c r="U26" s="13">
        <f>IF(U10=0,0,U10/TrAvia_act!U18*1000)</f>
        <v>21618.722942082841</v>
      </c>
      <c r="V26" s="13">
        <f>IF(V10=0,0,V10/TrAvia_act!V18*1000)</f>
        <v>22135.228531862096</v>
      </c>
      <c r="W26" s="13">
        <f>IF(W10=0,0,W10/TrAvia_act!W18*1000)</f>
        <v>20419.581830807288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15023.429307965602</v>
      </c>
      <c r="C28" s="102">
        <f>IF(C12=0,0,C12/TrAvia_act!C20*1000)</f>
        <v>15029.000615591172</v>
      </c>
      <c r="D28" s="102">
        <f>IF(D12=0,0,D12/TrAvia_act!D20*1000)</f>
        <v>15302.622403136065</v>
      </c>
      <c r="E28" s="102">
        <f>IF(E12=0,0,E12/TrAvia_act!E20*1000)</f>
        <v>14915.146066711253</v>
      </c>
      <c r="F28" s="102">
        <f>IF(F12=0,0,F12/TrAvia_act!F20*1000)</f>
        <v>14757.895544589008</v>
      </c>
      <c r="G28" s="102">
        <f>IF(G12=0,0,G12/TrAvia_act!G20*1000)</f>
        <v>14608.525799600753</v>
      </c>
      <c r="H28" s="102">
        <f>IF(H12=0,0,H12/TrAvia_act!H20*1000)</f>
        <v>13715.467085333848</v>
      </c>
      <c r="I28" s="102">
        <f>IF(I12=0,0,I12/TrAvia_act!I20*1000)</f>
        <v>13735.105256401548</v>
      </c>
      <c r="J28" s="102">
        <f>IF(J12=0,0,J12/TrAvia_act!J20*1000)</f>
        <v>13792.968745558004</v>
      </c>
      <c r="K28" s="102">
        <f>IF(K12=0,0,K12/TrAvia_act!K20*1000)</f>
        <v>14185.697879127536</v>
      </c>
      <c r="L28" s="102">
        <f>IF(L12=0,0,L12/TrAvia_act!L20*1000)</f>
        <v>13435.518449261546</v>
      </c>
      <c r="M28" s="102">
        <f>IF(M12=0,0,M12/TrAvia_act!M20*1000)</f>
        <v>12665.339840436047</v>
      </c>
      <c r="N28" s="102">
        <f>IF(N12=0,0,N12/TrAvia_act!N20*1000)</f>
        <v>12876.703549543096</v>
      </c>
      <c r="O28" s="102">
        <f>IF(O12=0,0,O12/TrAvia_act!O20*1000)</f>
        <v>12789.410942627519</v>
      </c>
      <c r="P28" s="102">
        <f>IF(P12=0,0,P12/TrAvia_act!P20*1000)</f>
        <v>12948.037059839473</v>
      </c>
      <c r="Q28" s="102">
        <f>IF(Q12=0,0,Q12/TrAvia_act!Q20*1000)</f>
        <v>13412.236290239511</v>
      </c>
      <c r="R28" s="102">
        <f>IF(R12=0,0,R12/TrAvia_act!R20*1000)</f>
        <v>12919.354885486664</v>
      </c>
      <c r="S28" s="102">
        <f>IF(S12=0,0,S12/TrAvia_act!S20*1000)</f>
        <v>12567.756594860153</v>
      </c>
      <c r="T28" s="102">
        <f>IF(T12=0,0,T12/TrAvia_act!T20*1000)</f>
        <v>12210.644596910033</v>
      </c>
      <c r="U28" s="102">
        <f>IF(U12=0,0,U12/TrAvia_act!U20*1000)</f>
        <v>11641.598566154476</v>
      </c>
      <c r="V28" s="102">
        <f>IF(V12=0,0,V12/TrAvia_act!V20*1000)</f>
        <v>10017.676627516264</v>
      </c>
      <c r="W28" s="102">
        <f>IF(W12=0,0,W12/TrAvia_act!W20*1000)</f>
        <v>9665.7164532751176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24575.952710303092</v>
      </c>
      <c r="C29" s="86">
        <f>IF(C13=0,0,C13/TrAvia_act!C21*1000)</f>
        <v>24520.585683831097</v>
      </c>
      <c r="D29" s="86">
        <f>IF(D13=0,0,D13/TrAvia_act!D21*1000)</f>
        <v>24982.594357044283</v>
      </c>
      <c r="E29" s="86">
        <f>IF(E13=0,0,E13/TrAvia_act!E21*1000)</f>
        <v>24496.784748798407</v>
      </c>
      <c r="F29" s="86">
        <f>IF(F13=0,0,F13/TrAvia_act!F21*1000)</f>
        <v>24373.512239604279</v>
      </c>
      <c r="G29" s="86">
        <f>IF(G13=0,0,G13/TrAvia_act!G21*1000)</f>
        <v>24072.971961976746</v>
      </c>
      <c r="H29" s="86">
        <f>IF(H13=0,0,H13/TrAvia_act!H21*1000)</f>
        <v>24384.947113743423</v>
      </c>
      <c r="I29" s="86">
        <f>IF(I13=0,0,I13/TrAvia_act!I21*1000)</f>
        <v>24395.572382458467</v>
      </c>
      <c r="J29" s="86">
        <f>IF(J13=0,0,J13/TrAvia_act!J21*1000)</f>
        <v>23974.949312826757</v>
      </c>
      <c r="K29" s="86">
        <f>IF(K13=0,0,K13/TrAvia_act!K21*1000)</f>
        <v>25714.966986224896</v>
      </c>
      <c r="L29" s="86">
        <f>IF(L13=0,0,L13/TrAvia_act!L21*1000)</f>
        <v>24013.553071020466</v>
      </c>
      <c r="M29" s="86">
        <f>IF(M13=0,0,M13/TrAvia_act!M21*1000)</f>
        <v>23684.285078769371</v>
      </c>
      <c r="N29" s="86">
        <f>IF(N13=0,0,N13/TrAvia_act!N21*1000)</f>
        <v>22625.804562384001</v>
      </c>
      <c r="O29" s="86">
        <f>IF(O13=0,0,O13/TrAvia_act!O21*1000)</f>
        <v>22313.875357170764</v>
      </c>
      <c r="P29" s="86">
        <f>IF(P13=0,0,P13/TrAvia_act!P21*1000)</f>
        <v>23058.561472194364</v>
      </c>
      <c r="Q29" s="86">
        <f>IF(Q13=0,0,Q13/TrAvia_act!Q21*1000)</f>
        <v>22907.744826431423</v>
      </c>
      <c r="R29" s="86">
        <f>IF(R13=0,0,R13/TrAvia_act!R21*1000)</f>
        <v>23106.79292139786</v>
      </c>
      <c r="S29" s="86">
        <f>IF(S13=0,0,S13/TrAvia_act!S21*1000)</f>
        <v>22753.246278311468</v>
      </c>
      <c r="T29" s="86">
        <f>IF(T13=0,0,T13/TrAvia_act!T21*1000)</f>
        <v>22451.007158507953</v>
      </c>
      <c r="U29" s="86">
        <f>IF(U13=0,0,U13/TrAvia_act!U21*1000)</f>
        <v>22015.330927859668</v>
      </c>
      <c r="V29" s="86">
        <f>IF(V13=0,0,V13/TrAvia_act!V21*1000)</f>
        <v>22456.144236059914</v>
      </c>
      <c r="W29" s="86">
        <f>IF(W13=0,0,W13/TrAvia_act!W21*1000)</f>
        <v>20758.483995250954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134.01014607884611</v>
      </c>
      <c r="C32" s="14">
        <f>IF(C6=0,0,C6/TrAvia_act!C4*1000)</f>
        <v>132.65114056968793</v>
      </c>
      <c r="D32" s="14">
        <f>IF(D6=0,0,D6/TrAvia_act!D4*1000)</f>
        <v>134.57621080851635</v>
      </c>
      <c r="E32" s="14">
        <f>IF(E6=0,0,E6/TrAvia_act!E4*1000)</f>
        <v>131.63730626263555</v>
      </c>
      <c r="F32" s="14">
        <f>IF(F6=0,0,F6/TrAvia_act!F4*1000)</f>
        <v>126.41516960476149</v>
      </c>
      <c r="G32" s="14">
        <f>IF(G6=0,0,G6/TrAvia_act!G4*1000)</f>
        <v>118.98512236929047</v>
      </c>
      <c r="H32" s="14">
        <f>IF(H6=0,0,H6/TrAvia_act!H4*1000)</f>
        <v>117.28266100747462</v>
      </c>
      <c r="I32" s="14">
        <f>IF(I6=0,0,I6/TrAvia_act!I4*1000)</f>
        <v>116.45076294392207</v>
      </c>
      <c r="J32" s="14">
        <f>IF(J6=0,0,J6/TrAvia_act!J4*1000)</f>
        <v>116.66488875572176</v>
      </c>
      <c r="K32" s="14">
        <f>IF(K6=0,0,K6/TrAvia_act!K4*1000)</f>
        <v>123.52722735035687</v>
      </c>
      <c r="L32" s="14">
        <f>IF(L6=0,0,L6/TrAvia_act!L4*1000)</f>
        <v>110.5049187554897</v>
      </c>
      <c r="M32" s="14">
        <f>IF(M6=0,0,M6/TrAvia_act!M4*1000)</f>
        <v>108.28406703185411</v>
      </c>
      <c r="N32" s="14">
        <f>IF(N6=0,0,N6/TrAvia_act!N4*1000)</f>
        <v>103.67756168414212</v>
      </c>
      <c r="O32" s="14">
        <f>IF(O6=0,0,O6/TrAvia_act!O4*1000)</f>
        <v>101.80900736194</v>
      </c>
      <c r="P32" s="14">
        <f>IF(P6=0,0,P6/TrAvia_act!P4*1000)</f>
        <v>103.51025566880142</v>
      </c>
      <c r="Q32" s="14">
        <f>IF(Q6=0,0,Q6/TrAvia_act!Q4*1000)</f>
        <v>103.74081356931487</v>
      </c>
      <c r="R32" s="14">
        <f>IF(R6=0,0,R6/TrAvia_act!R4*1000)</f>
        <v>101.61860883028338</v>
      </c>
      <c r="S32" s="14">
        <f>IF(S6=0,0,S6/TrAvia_act!S4*1000)</f>
        <v>96.664329951285566</v>
      </c>
      <c r="T32" s="14">
        <f>IF(T6=0,0,T6/TrAvia_act!T4*1000)</f>
        <v>93.52777122132477</v>
      </c>
      <c r="U32" s="14">
        <f>IF(U6=0,0,U6/TrAvia_act!U4*1000)</f>
        <v>91.272694926298243</v>
      </c>
      <c r="V32" s="14">
        <f>IF(V6=0,0,V6/TrAvia_act!V4*1000)</f>
        <v>129.89368335755546</v>
      </c>
      <c r="W32" s="14">
        <f>IF(W6=0,0,W6/TrAvia_act!W4*1000)</f>
        <v>123.06770310158747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115.12147897872717</v>
      </c>
      <c r="C34" s="87">
        <f>IF(C8=0,0,C8/TrAvia_act!C6*1000)</f>
        <v>113.32869375963961</v>
      </c>
      <c r="D34" s="87">
        <f>IF(D8=0,0,D8/TrAvia_act!D6*1000)</f>
        <v>115.7070691371118</v>
      </c>
      <c r="E34" s="87">
        <f>IF(E8=0,0,E8/TrAvia_act!E6*1000)</f>
        <v>115.10650904103549</v>
      </c>
      <c r="F34" s="87">
        <f>IF(F8=0,0,F8/TrAvia_act!F6*1000)</f>
        <v>111.85485561287705</v>
      </c>
      <c r="G34" s="87">
        <f>IF(G8=0,0,G8/TrAvia_act!G6*1000)</f>
        <v>108.56244748869666</v>
      </c>
      <c r="H34" s="87">
        <f>IF(H8=0,0,H8/TrAvia_act!H6*1000)</f>
        <v>105.78057913323114</v>
      </c>
      <c r="I34" s="87">
        <f>IF(I8=0,0,I8/TrAvia_act!I6*1000)</f>
        <v>110.05373481659166</v>
      </c>
      <c r="J34" s="87">
        <f>IF(J8=0,0,J8/TrAvia_act!J6*1000)</f>
        <v>113.59487119794221</v>
      </c>
      <c r="K34" s="87">
        <f>IF(K8=0,0,K8/TrAvia_act!K6*1000)</f>
        <v>114.37267631622271</v>
      </c>
      <c r="L34" s="87">
        <f>IF(L8=0,0,L8/TrAvia_act!L6*1000)</f>
        <v>102.4774770932964</v>
      </c>
      <c r="M34" s="87">
        <f>IF(M8=0,0,M8/TrAvia_act!M6*1000)</f>
        <v>96.267113188122678</v>
      </c>
      <c r="N34" s="87">
        <f>IF(N8=0,0,N8/TrAvia_act!N6*1000)</f>
        <v>91.956898867014786</v>
      </c>
      <c r="O34" s="87">
        <f>IF(O8=0,0,O8/TrAvia_act!O6*1000)</f>
        <v>90.436456062856877</v>
      </c>
      <c r="P34" s="87">
        <f>IF(P8=0,0,P8/TrAvia_act!P6*1000)</f>
        <v>91.158526781084262</v>
      </c>
      <c r="Q34" s="87">
        <f>IF(Q8=0,0,Q8/TrAvia_act!Q6*1000)</f>
        <v>93.080777219199831</v>
      </c>
      <c r="R34" s="87">
        <f>IF(R8=0,0,R8/TrAvia_act!R6*1000)</f>
        <v>88.735003124525889</v>
      </c>
      <c r="S34" s="87">
        <f>IF(S8=0,0,S8/TrAvia_act!S6*1000)</f>
        <v>83.526781330510119</v>
      </c>
      <c r="T34" s="87">
        <f>IF(T8=0,0,T8/TrAvia_act!T6*1000)</f>
        <v>80.096717776257208</v>
      </c>
      <c r="U34" s="87">
        <f>IF(U8=0,0,U8/TrAvia_act!U6*1000)</f>
        <v>76.605135622432172</v>
      </c>
      <c r="V34" s="87">
        <f>IF(V8=0,0,V8/TrAvia_act!V6*1000)</f>
        <v>84.875446464781405</v>
      </c>
      <c r="W34" s="87">
        <f>IF(W8=0,0,W8/TrAvia_act!W6*1000)</f>
        <v>78.155705590464848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140.25140849102223</v>
      </c>
      <c r="C35" s="87">
        <f>IF(C9=0,0,C9/TrAvia_act!C7*1000)</f>
        <v>139.08258918178527</v>
      </c>
      <c r="D35" s="87">
        <f>IF(D9=0,0,D9/TrAvia_act!D7*1000)</f>
        <v>140.86547828317035</v>
      </c>
      <c r="E35" s="87">
        <f>IF(E9=0,0,E9/TrAvia_act!E7*1000)</f>
        <v>137.21179223693002</v>
      </c>
      <c r="F35" s="87">
        <f>IF(F9=0,0,F9/TrAvia_act!F7*1000)</f>
        <v>130.91958516272476</v>
      </c>
      <c r="G35" s="87">
        <f>IF(G9=0,0,G9/TrAvia_act!G7*1000)</f>
        <v>122.09325958005455</v>
      </c>
      <c r="H35" s="87">
        <f>IF(H9=0,0,H9/TrAvia_act!H7*1000)</f>
        <v>120.8933075365152</v>
      </c>
      <c r="I35" s="87">
        <f>IF(I9=0,0,I9/TrAvia_act!I7*1000)</f>
        <v>118.39545843976121</v>
      </c>
      <c r="J35" s="87">
        <f>IF(J9=0,0,J9/TrAvia_act!J7*1000)</f>
        <v>117.52271092740999</v>
      </c>
      <c r="K35" s="87">
        <f>IF(K9=0,0,K9/TrAvia_act!K7*1000)</f>
        <v>126.11255228902724</v>
      </c>
      <c r="L35" s="87">
        <f>IF(L9=0,0,L9/TrAvia_act!L7*1000)</f>
        <v>112.73293521774654</v>
      </c>
      <c r="M35" s="87">
        <f>IF(M9=0,0,M9/TrAvia_act!M7*1000)</f>
        <v>111.86569140215929</v>
      </c>
      <c r="N35" s="87">
        <f>IF(N9=0,0,N9/TrAvia_act!N7*1000)</f>
        <v>107.12027827572743</v>
      </c>
      <c r="O35" s="87">
        <f>IF(O9=0,0,O9/TrAvia_act!O7*1000)</f>
        <v>105.14721739150103</v>
      </c>
      <c r="P35" s="87">
        <f>IF(P9=0,0,P9/TrAvia_act!P7*1000)</f>
        <v>107.23636875636916</v>
      </c>
      <c r="Q35" s="87">
        <f>IF(Q9=0,0,Q9/TrAvia_act!Q7*1000)</f>
        <v>106.92895087998293</v>
      </c>
      <c r="R35" s="87">
        <f>IF(R9=0,0,R9/TrAvia_act!R7*1000)</f>
        <v>105.88427391226486</v>
      </c>
      <c r="S35" s="87">
        <f>IF(S9=0,0,S9/TrAvia_act!S7*1000)</f>
        <v>101.22154769032738</v>
      </c>
      <c r="T35" s="87">
        <f>IF(T9=0,0,T9/TrAvia_act!T7*1000)</f>
        <v>98.143390517881201</v>
      </c>
      <c r="U35" s="87">
        <f>IF(U9=0,0,U9/TrAvia_act!U7*1000)</f>
        <v>96.217823922549528</v>
      </c>
      <c r="V35" s="87">
        <f>IF(V9=0,0,V9/TrAvia_act!V7*1000)</f>
        <v>145.47148770814857</v>
      </c>
      <c r="W35" s="87">
        <f>IF(W9=0,0,W9/TrAvia_act!W7*1000)</f>
        <v>141.87452279241504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325.18626677946526</v>
      </c>
      <c r="C36" s="15">
        <f>IF(C10=0,0,C10/TrAvia_act!C8*1000)</f>
        <v>310.80586510359359</v>
      </c>
      <c r="D36" s="15">
        <f>IF(D10=0,0,D10/TrAvia_act!D8*1000)</f>
        <v>334.15994141221245</v>
      </c>
      <c r="E36" s="15">
        <f>IF(E10=0,0,E10/TrAvia_act!E8*1000)</f>
        <v>359.87754418009757</v>
      </c>
      <c r="F36" s="15">
        <f>IF(F10=0,0,F10/TrAvia_act!F8*1000)</f>
        <v>369.34439615824556</v>
      </c>
      <c r="G36" s="15">
        <f>IF(G10=0,0,G10/TrAvia_act!G8*1000)</f>
        <v>387.33960650470971</v>
      </c>
      <c r="H36" s="15">
        <f>IF(H10=0,0,H10/TrAvia_act!H8*1000)</f>
        <v>405.77833917527693</v>
      </c>
      <c r="I36" s="15">
        <f>IF(I10=0,0,I10/TrAvia_act!I8*1000)</f>
        <v>413.01851198645841</v>
      </c>
      <c r="J36" s="15">
        <f>IF(J10=0,0,J10/TrAvia_act!J8*1000)</f>
        <v>415.13591359863676</v>
      </c>
      <c r="K36" s="15">
        <f>IF(K10=0,0,K10/TrAvia_act!K8*1000)</f>
        <v>395.95802388720523</v>
      </c>
      <c r="L36" s="15">
        <f>IF(L10=0,0,L10/TrAvia_act!L8*1000)</f>
        <v>363.68757169575969</v>
      </c>
      <c r="M36" s="15">
        <f>IF(M10=0,0,M10/TrAvia_act!M8*1000)</f>
        <v>338.77507301716435</v>
      </c>
      <c r="N36" s="15">
        <f>IF(N10=0,0,N10/TrAvia_act!N8*1000)</f>
        <v>298.94890325404367</v>
      </c>
      <c r="O36" s="15">
        <f>IF(O10=0,0,O10/TrAvia_act!O8*1000)</f>
        <v>292.5898503357796</v>
      </c>
      <c r="P36" s="15">
        <f>IF(P10=0,0,P10/TrAvia_act!P8*1000)</f>
        <v>260.02494561658801</v>
      </c>
      <c r="Q36" s="15">
        <f>IF(Q10=0,0,Q10/TrAvia_act!Q8*1000)</f>
        <v>258.72379813941927</v>
      </c>
      <c r="R36" s="15">
        <f>IF(R10=0,0,R10/TrAvia_act!R8*1000)</f>
        <v>241.27949238287025</v>
      </c>
      <c r="S36" s="15">
        <f>IF(S10=0,0,S10/TrAvia_act!S8*1000)</f>
        <v>240.99445559724748</v>
      </c>
      <c r="T36" s="15">
        <f>IF(T10=0,0,T10/TrAvia_act!T8*1000)</f>
        <v>236.76410285493486</v>
      </c>
      <c r="U36" s="15">
        <f>IF(U10=0,0,U10/TrAvia_act!U8*1000)</f>
        <v>221.9078763020953</v>
      </c>
      <c r="V36" s="15">
        <f>IF(V10=0,0,V10/TrAvia_act!V8*1000)</f>
        <v>341.38919962674987</v>
      </c>
      <c r="W36" s="15">
        <f>IF(W10=0,0,W10/TrAvia_act!W8*1000)</f>
        <v>319.1093277780177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580.94029092410631</v>
      </c>
      <c r="C38" s="101">
        <f>IF(C12=0,0,C12/TrAvia_act!C10*1000)</f>
        <v>551.78861942962101</v>
      </c>
      <c r="D38" s="101">
        <f>IF(D12=0,0,D12/TrAvia_act!D10*1000)</f>
        <v>597.09273216881968</v>
      </c>
      <c r="E38" s="101">
        <f>IF(E12=0,0,E12/TrAvia_act!E10*1000)</f>
        <v>576.06203597448473</v>
      </c>
      <c r="F38" s="101">
        <f>IF(F12=0,0,F12/TrAvia_act!F10*1000)</f>
        <v>642.98019519922502</v>
      </c>
      <c r="G38" s="101">
        <f>IF(G12=0,0,G12/TrAvia_act!G10*1000)</f>
        <v>649.35569640763515</v>
      </c>
      <c r="H38" s="101">
        <f>IF(H12=0,0,H12/TrAvia_act!H10*1000)</f>
        <v>705.32008387506892</v>
      </c>
      <c r="I38" s="101">
        <f>IF(I12=0,0,I12/TrAvia_act!I10*1000)</f>
        <v>717.00311850440062</v>
      </c>
      <c r="J38" s="101">
        <f>IF(J12=0,0,J12/TrAvia_act!J10*1000)</f>
        <v>733.36364436546864</v>
      </c>
      <c r="K38" s="101">
        <f>IF(K12=0,0,K12/TrAvia_act!K10*1000)</f>
        <v>722.66855665924891</v>
      </c>
      <c r="L38" s="101">
        <f>IF(L12=0,0,L12/TrAvia_act!L10*1000)</f>
        <v>676.05494367453684</v>
      </c>
      <c r="M38" s="101">
        <f>IF(M12=0,0,M12/TrAvia_act!M10*1000)</f>
        <v>608.02096441727144</v>
      </c>
      <c r="N38" s="101">
        <f>IF(N12=0,0,N12/TrAvia_act!N10*1000)</f>
        <v>570.68376713304281</v>
      </c>
      <c r="O38" s="101">
        <f>IF(O12=0,0,O12/TrAvia_act!O10*1000)</f>
        <v>563.91048313460192</v>
      </c>
      <c r="P38" s="101">
        <f>IF(P12=0,0,P12/TrAvia_act!P10*1000)</f>
        <v>493.57578893074935</v>
      </c>
      <c r="Q38" s="101">
        <f>IF(Q12=0,0,Q12/TrAvia_act!Q10*1000)</f>
        <v>518.17103166935635</v>
      </c>
      <c r="R38" s="101">
        <f>IF(R12=0,0,R12/TrAvia_act!R10*1000)</f>
        <v>459.33580498885811</v>
      </c>
      <c r="S38" s="101">
        <f>IF(S12=0,0,S12/TrAvia_act!S10*1000)</f>
        <v>498.08578576206105</v>
      </c>
      <c r="T38" s="101">
        <f>IF(T12=0,0,T12/TrAvia_act!T10*1000)</f>
        <v>475.40434087087101</v>
      </c>
      <c r="U38" s="101">
        <f>IF(U12=0,0,U12/TrAvia_act!U10*1000)</f>
        <v>432.02560521917678</v>
      </c>
      <c r="V38" s="101">
        <f>IF(V12=0,0,V12/TrAvia_act!V10*1000)</f>
        <v>456.0199864210831</v>
      </c>
      <c r="W38" s="101">
        <f>IF(W12=0,0,W12/TrAvia_act!W10*1000)</f>
        <v>464.59526263473595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321.92127656059438</v>
      </c>
      <c r="C39" s="88">
        <f>IF(C13=0,0,C13/TrAvia_act!C11*1000)</f>
        <v>306.61090186573671</v>
      </c>
      <c r="D39" s="88">
        <f>IF(D13=0,0,D13/TrAvia_act!D11*1000)</f>
        <v>330.77162756664165</v>
      </c>
      <c r="E39" s="88">
        <f>IF(E13=0,0,E13/TrAvia_act!E11*1000)</f>
        <v>356.8979514598127</v>
      </c>
      <c r="F39" s="88">
        <f>IF(F13=0,0,F13/TrAvia_act!F11*1000)</f>
        <v>365.82762021607476</v>
      </c>
      <c r="G39" s="88">
        <f>IF(G13=0,0,G13/TrAvia_act!G11*1000)</f>
        <v>384.1985842960716</v>
      </c>
      <c r="H39" s="88">
        <f>IF(H13=0,0,H13/TrAvia_act!H11*1000)</f>
        <v>402.5891195972323</v>
      </c>
      <c r="I39" s="88">
        <f>IF(I13=0,0,I13/TrAvia_act!I11*1000)</f>
        <v>409.58673062880183</v>
      </c>
      <c r="J39" s="88">
        <f>IF(J13=0,0,J13/TrAvia_act!J11*1000)</f>
        <v>410.8126072421577</v>
      </c>
      <c r="K39" s="88">
        <f>IF(K13=0,0,K13/TrAvia_act!K11*1000)</f>
        <v>390.7065091000668</v>
      </c>
      <c r="L39" s="88">
        <f>IF(L13=0,0,L13/TrAvia_act!L11*1000)</f>
        <v>358.87897825694182</v>
      </c>
      <c r="M39" s="88">
        <f>IF(M13=0,0,M13/TrAvia_act!M11*1000)</f>
        <v>335.20159543630461</v>
      </c>
      <c r="N39" s="88">
        <f>IF(N13=0,0,N13/TrAvia_act!N11*1000)</f>
        <v>295.81716010059893</v>
      </c>
      <c r="O39" s="88">
        <f>IF(O13=0,0,O13/TrAvia_act!O11*1000)</f>
        <v>289.35970120797094</v>
      </c>
      <c r="P39" s="88">
        <f>IF(P13=0,0,P13/TrAvia_act!P11*1000)</f>
        <v>256.9923305499849</v>
      </c>
      <c r="Q39" s="88">
        <f>IF(Q13=0,0,Q13/TrAvia_act!Q11*1000)</f>
        <v>255.54907536926856</v>
      </c>
      <c r="R39" s="88">
        <f>IF(R13=0,0,R13/TrAvia_act!R11*1000)</f>
        <v>238.08284884914514</v>
      </c>
      <c r="S39" s="88">
        <f>IF(S13=0,0,S13/TrAvia_act!S11*1000)</f>
        <v>238.05849946964881</v>
      </c>
      <c r="T39" s="88">
        <f>IF(T13=0,0,T13/TrAvia_act!T11*1000)</f>
        <v>234.42842783876608</v>
      </c>
      <c r="U39" s="88">
        <f>IF(U13=0,0,U13/TrAvia_act!U11*1000)</f>
        <v>219.66217515706612</v>
      </c>
      <c r="V39" s="88">
        <f>IF(V13=0,0,V13/TrAvia_act!V11*1000)</f>
        <v>340.37834844427721</v>
      </c>
      <c r="W39" s="88">
        <f>IF(W13=0,0,W13/TrAvia_act!W11*1000)</f>
        <v>317.64969757093473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46502.682553171573</v>
      </c>
      <c r="C41" s="54">
        <f>IF(C3=0,0,C3/TrAvia_act!C23*1000000)</f>
        <v>46223.334944662318</v>
      </c>
      <c r="D41" s="54">
        <f>IF(D3=0,0,D3/TrAvia_act!D23*1000000)</f>
        <v>47073.524819108679</v>
      </c>
      <c r="E41" s="54">
        <f>IF(E3=0,0,E3/TrAvia_act!E23*1000000)</f>
        <v>45839.355102390495</v>
      </c>
      <c r="F41" s="54">
        <f>IF(F3=0,0,F3/TrAvia_act!F23*1000000)</f>
        <v>47326.163778047056</v>
      </c>
      <c r="G41" s="54">
        <f>IF(G3=0,0,G3/TrAvia_act!G23*1000000)</f>
        <v>47934.903065234488</v>
      </c>
      <c r="H41" s="54">
        <f>IF(H3=0,0,H3/TrAvia_act!H23*1000000)</f>
        <v>45801.948033239627</v>
      </c>
      <c r="I41" s="54">
        <f>IF(I3=0,0,I3/TrAvia_act!I23*1000000)</f>
        <v>44952.834652384947</v>
      </c>
      <c r="J41" s="54">
        <f>IF(J3=0,0,J3/TrAvia_act!J23*1000000)</f>
        <v>45730.409615993616</v>
      </c>
      <c r="K41" s="54">
        <f>IF(K3=0,0,K3/TrAvia_act!K23*1000000)</f>
        <v>46923.958983921919</v>
      </c>
      <c r="L41" s="54">
        <f>IF(L3=0,0,L3/TrAvia_act!L23*1000000)</f>
        <v>45792.335488015415</v>
      </c>
      <c r="M41" s="54">
        <f>IF(M3=0,0,M3/TrAvia_act!M23*1000000)</f>
        <v>43836.506252046354</v>
      </c>
      <c r="N41" s="54">
        <f>IF(N3=0,0,N3/TrAvia_act!N23*1000000)</f>
        <v>41877.862008475029</v>
      </c>
      <c r="O41" s="54">
        <f>IF(O3=0,0,O3/TrAvia_act!O23*1000000)</f>
        <v>42030.659540112909</v>
      </c>
      <c r="P41" s="54">
        <f>IF(P3=0,0,P3/TrAvia_act!P23*1000000)</f>
        <v>42623.947115116593</v>
      </c>
      <c r="Q41" s="54">
        <f>IF(Q3=0,0,Q3/TrAvia_act!Q23*1000000)</f>
        <v>43542.085502551279</v>
      </c>
      <c r="R41" s="54">
        <f>IF(R3=0,0,R3/TrAvia_act!R23*1000000)</f>
        <v>42469.012709002527</v>
      </c>
      <c r="S41" s="54">
        <f>IF(S3=0,0,S3/TrAvia_act!S23*1000000)</f>
        <v>42314.097408499641</v>
      </c>
      <c r="T41" s="54">
        <f>IF(T3=0,0,T3/TrAvia_act!T23*1000000)</f>
        <v>42217.092240534526</v>
      </c>
      <c r="U41" s="54">
        <f>IF(U3=0,0,U3/TrAvia_act!U23*1000000)</f>
        <v>41504.187219672713</v>
      </c>
      <c r="V41" s="54">
        <f>IF(V3=0,0,V3/TrAvia_act!V23*1000000)</f>
        <v>50961.83820806555</v>
      </c>
      <c r="W41" s="54">
        <f>IF(W3=0,0,W3/TrAvia_act!W23*1000000)</f>
        <v>47557.921975926758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41939.915877597014</v>
      </c>
      <c r="C42" s="11">
        <f>IF(C6=0,0,C6/TrAvia_act!C24*1000000)</f>
        <v>41845.797905487118</v>
      </c>
      <c r="D42" s="11">
        <f>IF(D6=0,0,D6/TrAvia_act!D24*1000000)</f>
        <v>42242.078112386713</v>
      </c>
      <c r="E42" s="11">
        <f>IF(E6=0,0,E6/TrAvia_act!E24*1000000)</f>
        <v>40503.994813015495</v>
      </c>
      <c r="F42" s="11">
        <f>IF(F6=0,0,F6/TrAvia_act!F24*1000000)</f>
        <v>42104.475783171212</v>
      </c>
      <c r="G42" s="11">
        <f>IF(G6=0,0,G6/TrAvia_act!G24*1000000)</f>
        <v>42148.712180761831</v>
      </c>
      <c r="H42" s="11">
        <f>IF(H6=0,0,H6/TrAvia_act!H24*1000000)</f>
        <v>39356.372850158979</v>
      </c>
      <c r="I42" s="11">
        <f>IF(I6=0,0,I6/TrAvia_act!I24*1000000)</f>
        <v>38635.838385850628</v>
      </c>
      <c r="J42" s="11">
        <f>IF(J6=0,0,J6/TrAvia_act!J24*1000000)</f>
        <v>39371.73274501181</v>
      </c>
      <c r="K42" s="11">
        <f>IF(K6=0,0,K6/TrAvia_act!K24*1000000)</f>
        <v>41386.462384071987</v>
      </c>
      <c r="L42" s="11">
        <f>IF(L6=0,0,L6/TrAvia_act!L24*1000000)</f>
        <v>39676.125059186081</v>
      </c>
      <c r="M42" s="11">
        <f>IF(M6=0,0,M6/TrAvia_act!M24*1000000)</f>
        <v>38703.983199810697</v>
      </c>
      <c r="N42" s="11">
        <f>IF(N6=0,0,N6/TrAvia_act!N24*1000000)</f>
        <v>37900.422582205589</v>
      </c>
      <c r="O42" s="11">
        <f>IF(O6=0,0,O6/TrAvia_act!O24*1000000)</f>
        <v>38153.326743981648</v>
      </c>
      <c r="P42" s="11">
        <f>IF(P6=0,0,P6/TrAvia_act!P24*1000000)</f>
        <v>39001.015642882798</v>
      </c>
      <c r="Q42" s="11">
        <f>IF(Q6=0,0,Q6/TrAvia_act!Q24*1000000)</f>
        <v>40023.633412325798</v>
      </c>
      <c r="R42" s="11">
        <f>IF(R6=0,0,R6/TrAvia_act!R24*1000000)</f>
        <v>39417.991156003853</v>
      </c>
      <c r="S42" s="11">
        <f>IF(S6=0,0,S6/TrAvia_act!S24*1000000)</f>
        <v>38976.919193413632</v>
      </c>
      <c r="T42" s="11">
        <f>IF(T6=0,0,T6/TrAvia_act!T24*1000000)</f>
        <v>38920.646475055299</v>
      </c>
      <c r="U42" s="11">
        <f>IF(U6=0,0,U6/TrAvia_act!U24*1000000)</f>
        <v>38739.869043997111</v>
      </c>
      <c r="V42" s="11">
        <f>IF(V6=0,0,V6/TrAvia_act!V24*1000000)</f>
        <v>41190.430562015645</v>
      </c>
      <c r="W42" s="11">
        <f>IF(W6=0,0,W6/TrAvia_act!W24*1000000)</f>
        <v>40157.733892704004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11732.56026695837</v>
      </c>
      <c r="C44" s="84">
        <f>IF(C8=0,0,C8/TrAvia_act!C26*1000000)</f>
        <v>11706.137706440293</v>
      </c>
      <c r="D44" s="84">
        <f>IF(D8=0,0,D8/TrAvia_act!D26*1000000)</f>
        <v>11863.436211463235</v>
      </c>
      <c r="E44" s="84">
        <f>IF(E8=0,0,E8/TrAvia_act!E26*1000000)</f>
        <v>11567.232550432309</v>
      </c>
      <c r="F44" s="84">
        <f>IF(F8=0,0,F8/TrAvia_act!F26*1000000)</f>
        <v>11605.618366257057</v>
      </c>
      <c r="G44" s="84">
        <f>IF(G8=0,0,G8/TrAvia_act!G26*1000000)</f>
        <v>11577.597231632699</v>
      </c>
      <c r="H44" s="84">
        <f>IF(H8=0,0,H8/TrAvia_act!H26*1000000)</f>
        <v>10850.007734822992</v>
      </c>
      <c r="I44" s="84">
        <f>IF(I8=0,0,I8/TrAvia_act!I26*1000000)</f>
        <v>10848.421066053681</v>
      </c>
      <c r="J44" s="84">
        <f>IF(J8=0,0,J8/TrAvia_act!J26*1000000)</f>
        <v>10871.765861593318</v>
      </c>
      <c r="K44" s="84">
        <f>IF(K8=0,0,K8/TrAvia_act!K26*1000000)</f>
        <v>11055.500612167878</v>
      </c>
      <c r="L44" s="84">
        <f>IF(L8=0,0,L8/TrAvia_act!L26*1000000)</f>
        <v>10634.693147694288</v>
      </c>
      <c r="M44" s="84">
        <f>IF(M8=0,0,M8/TrAvia_act!M26*1000000)</f>
        <v>10391.992742283244</v>
      </c>
      <c r="N44" s="84">
        <f>IF(N8=0,0,N8/TrAvia_act!N26*1000000)</f>
        <v>10073.240000064548</v>
      </c>
      <c r="O44" s="84">
        <f>IF(O8=0,0,O8/TrAvia_act!O26*1000000)</f>
        <v>10186.704312614123</v>
      </c>
      <c r="P44" s="84">
        <f>IF(P8=0,0,P8/TrAvia_act!P26*1000000)</f>
        <v>10478.814488028769</v>
      </c>
      <c r="Q44" s="84">
        <f>IF(Q8=0,0,Q8/TrAvia_act!Q26*1000000)</f>
        <v>10947.111199639752</v>
      </c>
      <c r="R44" s="84">
        <f>IF(R8=0,0,R8/TrAvia_act!R26*1000000)</f>
        <v>11143.571039967179</v>
      </c>
      <c r="S44" s="84">
        <f>IF(S8=0,0,S8/TrAvia_act!S26*1000000)</f>
        <v>11249.505407468128</v>
      </c>
      <c r="T44" s="84">
        <f>IF(T8=0,0,T8/TrAvia_act!T26*1000000)</f>
        <v>11079.370551937564</v>
      </c>
      <c r="U44" s="84">
        <f>IF(U8=0,0,U8/TrAvia_act!U26*1000000)</f>
        <v>10714.606450203142</v>
      </c>
      <c r="V44" s="84">
        <f>IF(V8=0,0,V8/TrAvia_act!V26*1000000)</f>
        <v>9003.7313697075315</v>
      </c>
      <c r="W44" s="84">
        <f>IF(W8=0,0,W8/TrAvia_act!W26*1000000)</f>
        <v>10031.068987779281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139010.60088179083</v>
      </c>
      <c r="C45" s="84">
        <f>IF(C9=0,0,C9/TrAvia_act!C27*1000000)</f>
        <v>138697.42467618707</v>
      </c>
      <c r="D45" s="84">
        <f>IF(D9=0,0,D9/TrAvia_act!D27*1000000)</f>
        <v>141310.71515704968</v>
      </c>
      <c r="E45" s="84">
        <f>IF(E9=0,0,E9/TrAvia_act!E27*1000000)</f>
        <v>138562.79785949987</v>
      </c>
      <c r="F45" s="84">
        <f>IF(F9=0,0,F9/TrAvia_act!F27*1000000)</f>
        <v>137865.52334171088</v>
      </c>
      <c r="G45" s="84">
        <f>IF(G9=0,0,G9/TrAvia_act!G27*1000000)</f>
        <v>140574.06013387389</v>
      </c>
      <c r="H45" s="84">
        <f>IF(H9=0,0,H9/TrAvia_act!H27*1000000)</f>
        <v>141389.4641033588</v>
      </c>
      <c r="I45" s="84">
        <f>IF(I9=0,0,I9/TrAvia_act!I27*1000000)</f>
        <v>139888.75762757211</v>
      </c>
      <c r="J45" s="84">
        <f>IF(J9=0,0,J9/TrAvia_act!J27*1000000)</f>
        <v>134837.96631541906</v>
      </c>
      <c r="K45" s="84">
        <f>IF(K9=0,0,K9/TrAvia_act!K27*1000000)</f>
        <v>139192.4947390476</v>
      </c>
      <c r="L45" s="84">
        <f>IF(L9=0,0,L9/TrAvia_act!L27*1000000)</f>
        <v>127571.20639571828</v>
      </c>
      <c r="M45" s="84">
        <f>IF(M9=0,0,M9/TrAvia_act!M27*1000000)</f>
        <v>128489.22656833129</v>
      </c>
      <c r="N45" s="84">
        <f>IF(N9=0,0,N9/TrAvia_act!N27*1000000)</f>
        <v>124904.6717570769</v>
      </c>
      <c r="O45" s="84">
        <f>IF(O9=0,0,O9/TrAvia_act!O27*1000000)</f>
        <v>124326.14135366226</v>
      </c>
      <c r="P45" s="84">
        <f>IF(P9=0,0,P9/TrAvia_act!P27*1000000)</f>
        <v>129141.70971118491</v>
      </c>
      <c r="Q45" s="84">
        <f>IF(Q9=0,0,Q9/TrAvia_act!Q27*1000000)</f>
        <v>129732.08183343065</v>
      </c>
      <c r="R45" s="84">
        <f>IF(R9=0,0,R9/TrAvia_act!R27*1000000)</f>
        <v>133175.81511817771</v>
      </c>
      <c r="S45" s="84">
        <f>IF(S9=0,0,S9/TrAvia_act!S27*1000000)</f>
        <v>132361.97988825443</v>
      </c>
      <c r="T45" s="84">
        <f>IF(T9=0,0,T9/TrAvia_act!T27*1000000)</f>
        <v>131831.7581263076</v>
      </c>
      <c r="U45" s="84">
        <f>IF(U9=0,0,U9/TrAvia_act!U27*1000000)</f>
        <v>130040.81452078589</v>
      </c>
      <c r="V45" s="84">
        <f>IF(V9=0,0,V9/TrAvia_act!V27*1000000)</f>
        <v>148024.23276251883</v>
      </c>
      <c r="W45" s="84">
        <f>IF(W9=0,0,W9/TrAvia_act!W27*1000000)</f>
        <v>130725.33673824993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111991.26444609715</v>
      </c>
      <c r="C46" s="13">
        <f>IF(C10=0,0,C10/TrAvia_act!C28*1000000)</f>
        <v>104534.20044248455</v>
      </c>
      <c r="D46" s="13">
        <f>IF(D10=0,0,D10/TrAvia_act!D28*1000000)</f>
        <v>113615.91917037271</v>
      </c>
      <c r="E46" s="13">
        <f>IF(E10=0,0,E10/TrAvia_act!E28*1000000)</f>
        <v>112286.85856874491</v>
      </c>
      <c r="F46" s="13">
        <f>IF(F10=0,0,F10/TrAvia_act!F28*1000000)</f>
        <v>110341.09469579147</v>
      </c>
      <c r="G46" s="13">
        <f>IF(G10=0,0,G10/TrAvia_act!G28*1000000)</f>
        <v>113639.51043075777</v>
      </c>
      <c r="H46" s="13">
        <f>IF(H10=0,0,H10/TrAvia_act!H28*1000000)</f>
        <v>118689.51789609737</v>
      </c>
      <c r="I46" s="13">
        <f>IF(I10=0,0,I10/TrAvia_act!I28*1000000)</f>
        <v>121210.30078717133</v>
      </c>
      <c r="J46" s="13">
        <f>IF(J10=0,0,J10/TrAvia_act!J28*1000000)</f>
        <v>116451.93986104667</v>
      </c>
      <c r="K46" s="13">
        <f>IF(K10=0,0,K10/TrAvia_act!K28*1000000)</f>
        <v>119625.54765579978</v>
      </c>
      <c r="L46" s="13">
        <f>IF(L10=0,0,L10/TrAvia_act!L28*1000000)</f>
        <v>115895.16432745768</v>
      </c>
      <c r="M46" s="13">
        <f>IF(M10=0,0,M10/TrAvia_act!M28*1000000)</f>
        <v>108897.80963525959</v>
      </c>
      <c r="N46" s="13">
        <f>IF(N10=0,0,N10/TrAvia_act!N28*1000000)</f>
        <v>97170.651728093057</v>
      </c>
      <c r="O46" s="13">
        <f>IF(O10=0,0,O10/TrAvia_act!O28*1000000)</f>
        <v>95313.18210469214</v>
      </c>
      <c r="P46" s="13">
        <f>IF(P10=0,0,P10/TrAvia_act!P28*1000000)</f>
        <v>95896.074978249133</v>
      </c>
      <c r="Q46" s="13">
        <f>IF(Q10=0,0,Q10/TrAvia_act!Q28*1000000)</f>
        <v>97035.833633058835</v>
      </c>
      <c r="R46" s="13">
        <f>IF(R10=0,0,R10/TrAvia_act!R28*1000000)</f>
        <v>95321.571117284315</v>
      </c>
      <c r="S46" s="13">
        <f>IF(S10=0,0,S10/TrAvia_act!S28*1000000)</f>
        <v>99751.536466976919</v>
      </c>
      <c r="T46" s="13">
        <f>IF(T10=0,0,T10/TrAvia_act!T28*1000000)</f>
        <v>102522.72348448985</v>
      </c>
      <c r="U46" s="13">
        <f>IF(U10=0,0,U10/TrAvia_act!U28*1000000)</f>
        <v>96989.316351405141</v>
      </c>
      <c r="V46" s="13">
        <f>IF(V10=0,0,V10/TrAvia_act!V28*1000000)</f>
        <v>115351.90638758084</v>
      </c>
      <c r="W46" s="13">
        <f>IF(W10=0,0,W10/TrAvia_act!W28*1000000)</f>
        <v>101994.80112733337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11869.629078735434</v>
      </c>
      <c r="C48" s="102">
        <f>IF(C12=0,0,C12/TrAvia_act!C30*1000000)</f>
        <v>11796.740499534671</v>
      </c>
      <c r="D48" s="102">
        <f>IF(D12=0,0,D12/TrAvia_act!D30*1000000)</f>
        <v>12057.047736695775</v>
      </c>
      <c r="E48" s="102">
        <f>IF(E12=0,0,E12/TrAvia_act!E30*1000000)</f>
        <v>11792.000467422751</v>
      </c>
      <c r="F48" s="102">
        <f>IF(F12=0,0,F12/TrAvia_act!F30*1000000)</f>
        <v>11217.566187063223</v>
      </c>
      <c r="G48" s="102">
        <f>IF(G12=0,0,G12/TrAvia_act!G30*1000000)</f>
        <v>11051.925924969477</v>
      </c>
      <c r="H48" s="102">
        <f>IF(H12=0,0,H12/TrAvia_act!H30*1000000)</f>
        <v>10590.640799096638</v>
      </c>
      <c r="I48" s="102">
        <f>IF(I12=0,0,I12/TrAvia_act!I30*1000000)</f>
        <v>11049.187950464158</v>
      </c>
      <c r="J48" s="102">
        <f>IF(J12=0,0,J12/TrAvia_act!J30*1000000)</f>
        <v>11039.681740945307</v>
      </c>
      <c r="K48" s="102">
        <f>IF(K12=0,0,K12/TrAvia_act!K30*1000000)</f>
        <v>11909.62127124996</v>
      </c>
      <c r="L48" s="102">
        <f>IF(L12=0,0,L12/TrAvia_act!L30*1000000)</f>
        <v>11733.887632384429</v>
      </c>
      <c r="M48" s="102">
        <f>IF(M12=0,0,M12/TrAvia_act!M30*1000000)</f>
        <v>9295.4330805755926</v>
      </c>
      <c r="N48" s="102">
        <f>IF(N12=0,0,N12/TrAvia_act!N30*1000000)</f>
        <v>7430.5928530945966</v>
      </c>
      <c r="O48" s="102">
        <f>IF(O12=0,0,O12/TrAvia_act!O30*1000000)</f>
        <v>7607.0391322781443</v>
      </c>
      <c r="P48" s="102">
        <f>IF(P12=0,0,P12/TrAvia_act!P30*1000000)</f>
        <v>7723.0970762248253</v>
      </c>
      <c r="Q48" s="102">
        <f>IF(Q12=0,0,Q12/TrAvia_act!Q30*1000000)</f>
        <v>8084.8190087932999</v>
      </c>
      <c r="R48" s="102">
        <f>IF(R12=0,0,R12/TrAvia_act!R30*1000000)</f>
        <v>8277.5317205222054</v>
      </c>
      <c r="S48" s="102">
        <f>IF(S12=0,0,S12/TrAvia_act!S30*1000000)</f>
        <v>8625.7121976179806</v>
      </c>
      <c r="T48" s="102">
        <f>IF(T12=0,0,T12/TrAvia_act!T30*1000000)</f>
        <v>8410.3664641186824</v>
      </c>
      <c r="U48" s="102">
        <f>IF(U12=0,0,U12/TrAvia_act!U30*1000000)</f>
        <v>8000.6294795398453</v>
      </c>
      <c r="V48" s="102">
        <f>IF(V12=0,0,V12/TrAvia_act!V30*1000000)</f>
        <v>6713.4190265570014</v>
      </c>
      <c r="W48" s="102">
        <f>IF(W12=0,0,W12/TrAvia_act!W30*1000000)</f>
        <v>7187.3922893563886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139003.28537063708</v>
      </c>
      <c r="C49" s="86">
        <f>IF(C13=0,0,C13/TrAvia_act!C31*1000000)</f>
        <v>138690.12564610754</v>
      </c>
      <c r="D49" s="86">
        <f>IF(D13=0,0,D13/TrAvia_act!D31*1000000)</f>
        <v>141303.2786010869</v>
      </c>
      <c r="E49" s="86">
        <f>IF(E13=0,0,E13/TrAvia_act!E31*1000000)</f>
        <v>138555.50591423237</v>
      </c>
      <c r="F49" s="86">
        <f>IF(F13=0,0,F13/TrAvia_act!F31*1000000)</f>
        <v>137858.26809090754</v>
      </c>
      <c r="G49" s="86">
        <f>IF(G13=0,0,G13/TrAvia_act!G31*1000000)</f>
        <v>139962.74325256029</v>
      </c>
      <c r="H49" s="86">
        <f>IF(H13=0,0,H13/TrAvia_act!H31*1000000)</f>
        <v>146601.33835119009</v>
      </c>
      <c r="I49" s="86">
        <f>IF(I13=0,0,I13/TrAvia_act!I31*1000000)</f>
        <v>150953.21388377898</v>
      </c>
      <c r="J49" s="86">
        <f>IF(J13=0,0,J13/TrAvia_act!J31*1000000)</f>
        <v>151545.89780819844</v>
      </c>
      <c r="K49" s="86">
        <f>IF(K13=0,0,K13/TrAvia_act!K31*1000000)</f>
        <v>163624.21396397747</v>
      </c>
      <c r="L49" s="86">
        <f>IF(L13=0,0,L13/TrAvia_act!L31*1000000)</f>
        <v>156072.00065842079</v>
      </c>
      <c r="M49" s="86">
        <f>IF(M13=0,0,M13/TrAvia_act!M31*1000000)</f>
        <v>146754.88886784608</v>
      </c>
      <c r="N49" s="86">
        <f>IF(N13=0,0,N13/TrAvia_act!N31*1000000)</f>
        <v>132841.06752009175</v>
      </c>
      <c r="O49" s="86">
        <f>IF(O13=0,0,O13/TrAvia_act!O31*1000000)</f>
        <v>130120.65303681356</v>
      </c>
      <c r="P49" s="86">
        <f>IF(P13=0,0,P13/TrAvia_act!P31*1000000)</f>
        <v>134067.33860352862</v>
      </c>
      <c r="Q49" s="86">
        <f>IF(Q13=0,0,Q13/TrAvia_act!Q31*1000000)</f>
        <v>133471.27009439754</v>
      </c>
      <c r="R49" s="86">
        <f>IF(R13=0,0,R13/TrAvia_act!R31*1000000)</f>
        <v>135673.05664227472</v>
      </c>
      <c r="S49" s="86">
        <f>IF(S13=0,0,S13/TrAvia_act!S31*1000000)</f>
        <v>133433.1440920016</v>
      </c>
      <c r="T49" s="86">
        <f>IF(T13=0,0,T13/TrAvia_act!T31*1000000)</f>
        <v>131794.63398755054</v>
      </c>
      <c r="U49" s="86">
        <f>IF(U13=0,0,U13/TrAvia_act!U31*1000000)</f>
        <v>126585.70972374205</v>
      </c>
      <c r="V49" s="86">
        <f>IF(V13=0,0,V13/TrAvia_act!V31*1000000)</f>
        <v>142617.94381188657</v>
      </c>
      <c r="W49" s="86">
        <f>IF(W13=0,0,W13/TrAvia_act!W31*1000000)</f>
        <v>126475.61779646052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0.84313794422335175</v>
      </c>
      <c r="C52" s="16">
        <f t="shared" si="35"/>
        <v>0.84207904844248926</v>
      </c>
      <c r="D52" s="16">
        <f t="shared" ref="D52:V52" si="36">IF(D6=0,0,D6/D$3)</f>
        <v>0.83661936062937425</v>
      </c>
      <c r="E52" s="16">
        <f t="shared" si="36"/>
        <v>0.81793209103343922</v>
      </c>
      <c r="F52" s="16">
        <f t="shared" si="36"/>
        <v>0.82158580502212064</v>
      </c>
      <c r="G52" s="16">
        <f t="shared" si="36"/>
        <v>0.80812424086874368</v>
      </c>
      <c r="H52" s="16">
        <f t="shared" si="36"/>
        <v>0.78945961001965559</v>
      </c>
      <c r="I52" s="16">
        <f t="shared" si="36"/>
        <v>0.79372466009856157</v>
      </c>
      <c r="J52" s="16">
        <f t="shared" si="36"/>
        <v>0.7899292823852887</v>
      </c>
      <c r="K52" s="16">
        <f t="shared" si="36"/>
        <v>0.81956574083013933</v>
      </c>
      <c r="L52" s="16">
        <f t="shared" si="36"/>
        <v>0.79690862943618723</v>
      </c>
      <c r="M52" s="16">
        <f t="shared" si="36"/>
        <v>0.81835844891233145</v>
      </c>
      <c r="N52" s="16">
        <f t="shared" si="36"/>
        <v>0.84428961370517319</v>
      </c>
      <c r="O52" s="16">
        <f t="shared" si="36"/>
        <v>0.84617436323050521</v>
      </c>
      <c r="P52" s="16">
        <f t="shared" si="36"/>
        <v>0.8567374317879175</v>
      </c>
      <c r="Q52" s="16">
        <f t="shared" si="36"/>
        <v>0.86246705108558597</v>
      </c>
      <c r="R52" s="16">
        <f t="shared" si="36"/>
        <v>0.87750321730041181</v>
      </c>
      <c r="S52" s="16">
        <f t="shared" si="36"/>
        <v>0.87055309247332568</v>
      </c>
      <c r="T52" s="16">
        <f t="shared" si="36"/>
        <v>0.87413457291602847</v>
      </c>
      <c r="U52" s="16">
        <f t="shared" si="36"/>
        <v>0.88910085318106569</v>
      </c>
      <c r="V52" s="16">
        <f t="shared" si="36"/>
        <v>0.70176510307643447</v>
      </c>
      <c r="W52" s="16">
        <f t="shared" ref="W52" si="37">IF(W6=0,0,W6/W$3)</f>
        <v>0.74334540775216795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0.17988646468576547</v>
      </c>
      <c r="C54" s="103">
        <f t="shared" si="41"/>
        <v>0.17965844340936768</v>
      </c>
      <c r="D54" s="103">
        <f t="shared" ref="D54:V54" si="42">IF(D8=0,0,D8/D$3)</f>
        <v>0.17981933908902423</v>
      </c>
      <c r="E54" s="103">
        <f t="shared" si="42"/>
        <v>0.18036276642705651</v>
      </c>
      <c r="F54" s="103">
        <f t="shared" si="42"/>
        <v>0.17175776413449254</v>
      </c>
      <c r="G54" s="103">
        <f t="shared" si="42"/>
        <v>0.16937192296806433</v>
      </c>
      <c r="H54" s="103">
        <f t="shared" si="42"/>
        <v>0.17011560027776254</v>
      </c>
      <c r="I54" s="103">
        <f t="shared" si="42"/>
        <v>0.17487516302238468</v>
      </c>
      <c r="J54" s="103">
        <f t="shared" si="42"/>
        <v>0.16797717527530479</v>
      </c>
      <c r="K54" s="103">
        <f t="shared" si="42"/>
        <v>0.16710714246360564</v>
      </c>
      <c r="L54" s="103">
        <f t="shared" si="42"/>
        <v>0.16055309234674117</v>
      </c>
      <c r="M54" s="103">
        <f t="shared" si="42"/>
        <v>0.16705211620785987</v>
      </c>
      <c r="N54" s="103">
        <f t="shared" si="42"/>
        <v>0.17001853101592185</v>
      </c>
      <c r="O54" s="103">
        <f t="shared" si="42"/>
        <v>0.17056727204592717</v>
      </c>
      <c r="P54" s="103">
        <f t="shared" si="42"/>
        <v>0.17485978277812586</v>
      </c>
      <c r="Q54" s="103">
        <f t="shared" si="42"/>
        <v>0.17815473964150294</v>
      </c>
      <c r="R54" s="103">
        <f t="shared" si="42"/>
        <v>0.19059501489292119</v>
      </c>
      <c r="S54" s="103">
        <f t="shared" si="42"/>
        <v>0.19373572427349808</v>
      </c>
      <c r="T54" s="103">
        <f t="shared" si="42"/>
        <v>0.1914631807208326</v>
      </c>
      <c r="U54" s="103">
        <f t="shared" si="42"/>
        <v>0.18815186941131382</v>
      </c>
      <c r="V54" s="103">
        <f t="shared" si="42"/>
        <v>0.11788208271153947</v>
      </c>
      <c r="W54" s="103">
        <f t="shared" ref="W54" si="43">IF(W8=0,0,W8/W$3)</f>
        <v>0.1393332961701213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0.66325147953758634</v>
      </c>
      <c r="C55" s="103">
        <f t="shared" si="44"/>
        <v>0.66242060503312161</v>
      </c>
      <c r="D55" s="103">
        <f t="shared" ref="D55:V55" si="45">IF(D9=0,0,D9/D$3)</f>
        <v>0.65680002154035</v>
      </c>
      <c r="E55" s="103">
        <f t="shared" si="45"/>
        <v>0.63756932460638271</v>
      </c>
      <c r="F55" s="103">
        <f t="shared" si="45"/>
        <v>0.64982804088762813</v>
      </c>
      <c r="G55" s="103">
        <f t="shared" si="45"/>
        <v>0.63875231790067943</v>
      </c>
      <c r="H55" s="103">
        <f t="shared" si="45"/>
        <v>0.61934400974189308</v>
      </c>
      <c r="I55" s="103">
        <f t="shared" si="45"/>
        <v>0.61884949707617687</v>
      </c>
      <c r="J55" s="103">
        <f t="shared" si="45"/>
        <v>0.62195210710998394</v>
      </c>
      <c r="K55" s="103">
        <f t="shared" si="45"/>
        <v>0.65245859836653364</v>
      </c>
      <c r="L55" s="103">
        <f t="shared" si="45"/>
        <v>0.63635553708944603</v>
      </c>
      <c r="M55" s="103">
        <f t="shared" si="45"/>
        <v>0.65130633270447158</v>
      </c>
      <c r="N55" s="103">
        <f t="shared" si="45"/>
        <v>0.67427108268925129</v>
      </c>
      <c r="O55" s="103">
        <f t="shared" si="45"/>
        <v>0.67560709118457807</v>
      </c>
      <c r="P55" s="103">
        <f t="shared" si="45"/>
        <v>0.68187764900979164</v>
      </c>
      <c r="Q55" s="103">
        <f t="shared" si="45"/>
        <v>0.684312311444083</v>
      </c>
      <c r="R55" s="103">
        <f t="shared" si="45"/>
        <v>0.68690820240749062</v>
      </c>
      <c r="S55" s="103">
        <f t="shared" si="45"/>
        <v>0.67681736819982763</v>
      </c>
      <c r="T55" s="103">
        <f t="shared" si="45"/>
        <v>0.6826713921951959</v>
      </c>
      <c r="U55" s="103">
        <f t="shared" si="45"/>
        <v>0.7009489837697519</v>
      </c>
      <c r="V55" s="103">
        <f t="shared" si="45"/>
        <v>0.58388302036489503</v>
      </c>
      <c r="W55" s="103">
        <f t="shared" ref="W55" si="46">IF(W9=0,0,W9/W$3)</f>
        <v>0.6040121115820466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0.15686205577664827</v>
      </c>
      <c r="C56" s="17">
        <f t="shared" si="47"/>
        <v>0.15792095155751068</v>
      </c>
      <c r="D56" s="17">
        <f t="shared" ref="D56:V56" si="48">IF(D10=0,0,D10/D$3)</f>
        <v>0.1633806393706258</v>
      </c>
      <c r="E56" s="17">
        <f t="shared" si="48"/>
        <v>0.18206790896656075</v>
      </c>
      <c r="F56" s="17">
        <f t="shared" si="48"/>
        <v>0.17841419497787936</v>
      </c>
      <c r="G56" s="17">
        <f t="shared" si="48"/>
        <v>0.19187575913125621</v>
      </c>
      <c r="H56" s="17">
        <f t="shared" si="48"/>
        <v>0.21054038998034441</v>
      </c>
      <c r="I56" s="17">
        <f t="shared" si="48"/>
        <v>0.20627533990143831</v>
      </c>
      <c r="J56" s="17">
        <f t="shared" si="48"/>
        <v>0.21007071761471138</v>
      </c>
      <c r="K56" s="17">
        <f t="shared" si="48"/>
        <v>0.18043425916986067</v>
      </c>
      <c r="L56" s="17">
        <f t="shared" si="48"/>
        <v>0.20309137056381271</v>
      </c>
      <c r="M56" s="17">
        <f t="shared" si="48"/>
        <v>0.18164155108766863</v>
      </c>
      <c r="N56" s="17">
        <f t="shared" si="48"/>
        <v>0.15571038629482686</v>
      </c>
      <c r="O56" s="17">
        <f t="shared" si="48"/>
        <v>0.15382563676949476</v>
      </c>
      <c r="P56" s="17">
        <f t="shared" si="48"/>
        <v>0.14326256821208239</v>
      </c>
      <c r="Q56" s="17">
        <f t="shared" si="48"/>
        <v>0.13753294891441409</v>
      </c>
      <c r="R56" s="17">
        <f t="shared" si="48"/>
        <v>0.12249678269958819</v>
      </c>
      <c r="S56" s="17">
        <f t="shared" si="48"/>
        <v>0.1294469075266742</v>
      </c>
      <c r="T56" s="17">
        <f t="shared" si="48"/>
        <v>0.1258654270839715</v>
      </c>
      <c r="U56" s="17">
        <f t="shared" si="48"/>
        <v>0.11089914681893431</v>
      </c>
      <c r="V56" s="17">
        <f t="shared" si="48"/>
        <v>0.29823489692356553</v>
      </c>
      <c r="W56" s="17">
        <f t="shared" ref="W56" si="49">IF(W10=0,0,W10/W$3)</f>
        <v>0.2566545922478321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3.5323802034211678E-3</v>
      </c>
      <c r="C58" s="104">
        <f t="shared" si="53"/>
        <v>4.7970080478913404E-3</v>
      </c>
      <c r="D58" s="104">
        <f t="shared" ref="D58:V58" si="54">IF(D12=0,0,D12/D$3)</f>
        <v>3.714206426753297E-3</v>
      </c>
      <c r="E58" s="104">
        <f t="shared" si="54"/>
        <v>3.9621912091786964E-3</v>
      </c>
      <c r="F58" s="104">
        <f t="shared" si="54"/>
        <v>3.9411346114750423E-3</v>
      </c>
      <c r="G58" s="104">
        <f t="shared" si="54"/>
        <v>3.8104703394777717E-3</v>
      </c>
      <c r="H58" s="104">
        <f t="shared" si="54"/>
        <v>3.8553196379871647E-3</v>
      </c>
      <c r="I58" s="104">
        <f t="shared" si="54"/>
        <v>3.9975272573092172E-3</v>
      </c>
      <c r="J58" s="104">
        <f t="shared" si="54"/>
        <v>4.974073040922144E-3</v>
      </c>
      <c r="K58" s="104">
        <f t="shared" si="54"/>
        <v>5.2096094857937928E-3</v>
      </c>
      <c r="L58" s="104">
        <f t="shared" si="54"/>
        <v>5.7235145644974564E-3</v>
      </c>
      <c r="M58" s="104">
        <f t="shared" si="54"/>
        <v>4.270101220304824E-3</v>
      </c>
      <c r="N58" s="104">
        <f t="shared" si="54"/>
        <v>3.3867277960110314E-3</v>
      </c>
      <c r="O58" s="104">
        <f t="shared" si="54"/>
        <v>3.4880244547264706E-3</v>
      </c>
      <c r="P58" s="104">
        <f t="shared" si="54"/>
        <v>3.4858161585106257E-3</v>
      </c>
      <c r="Q58" s="104">
        <f t="shared" si="54"/>
        <v>3.3298010179969328E-3</v>
      </c>
      <c r="R58" s="104">
        <f t="shared" si="54"/>
        <v>3.3693001345419778E-3</v>
      </c>
      <c r="S58" s="104">
        <f t="shared" si="54"/>
        <v>3.0207822072509613E-3</v>
      </c>
      <c r="T58" s="104">
        <f t="shared" si="54"/>
        <v>2.4495850359436298E-3</v>
      </c>
      <c r="U58" s="104">
        <f t="shared" si="54"/>
        <v>2.2831645052277818E-3</v>
      </c>
      <c r="V58" s="104">
        <f t="shared" si="54"/>
        <v>3.4822949129361576E-3</v>
      </c>
      <c r="W58" s="104">
        <f t="shared" ref="W58" si="55">IF(W12=0,0,W12/W$3)</f>
        <v>3.7116812810264986E-3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0.1533296755732271</v>
      </c>
      <c r="C59" s="105">
        <f t="shared" si="56"/>
        <v>0.15312394350961936</v>
      </c>
      <c r="D59" s="105">
        <f t="shared" ref="D59:V59" si="57">IF(D13=0,0,D13/D$3)</f>
        <v>0.1596664329438725</v>
      </c>
      <c r="E59" s="105">
        <f t="shared" si="57"/>
        <v>0.17810571775738204</v>
      </c>
      <c r="F59" s="105">
        <f t="shared" si="57"/>
        <v>0.17447306036640431</v>
      </c>
      <c r="G59" s="105">
        <f t="shared" si="57"/>
        <v>0.18806528879177842</v>
      </c>
      <c r="H59" s="105">
        <f t="shared" si="57"/>
        <v>0.20668507034235725</v>
      </c>
      <c r="I59" s="105">
        <f t="shared" si="57"/>
        <v>0.20227781264412911</v>
      </c>
      <c r="J59" s="105">
        <f t="shared" si="57"/>
        <v>0.20509664457378923</v>
      </c>
      <c r="K59" s="105">
        <f t="shared" si="57"/>
        <v>0.17522464968406687</v>
      </c>
      <c r="L59" s="105">
        <f t="shared" si="57"/>
        <v>0.19736785599931528</v>
      </c>
      <c r="M59" s="105">
        <f t="shared" si="57"/>
        <v>0.17737144986736381</v>
      </c>
      <c r="N59" s="105">
        <f t="shared" si="57"/>
        <v>0.15232365849881585</v>
      </c>
      <c r="O59" s="105">
        <f t="shared" si="57"/>
        <v>0.1503376123147683</v>
      </c>
      <c r="P59" s="105">
        <f t="shared" si="57"/>
        <v>0.13977675205357176</v>
      </c>
      <c r="Q59" s="105">
        <f t="shared" si="57"/>
        <v>0.13420314789641716</v>
      </c>
      <c r="R59" s="105">
        <f t="shared" si="57"/>
        <v>0.11912748256504621</v>
      </c>
      <c r="S59" s="105">
        <f t="shared" si="57"/>
        <v>0.12642612531942324</v>
      </c>
      <c r="T59" s="105">
        <f t="shared" si="57"/>
        <v>0.12341584204802789</v>
      </c>
      <c r="U59" s="105">
        <f t="shared" si="57"/>
        <v>0.10861598231370653</v>
      </c>
      <c r="V59" s="105">
        <f t="shared" si="57"/>
        <v>0.29475260201062942</v>
      </c>
      <c r="W59" s="105">
        <f t="shared" ref="W59" si="58">IF(W13=0,0,W13/W$3)</f>
        <v>0.2529429109668056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26889643</v>
      </c>
      <c r="C4" s="11">
        <f t="shared" si="0"/>
        <v>26452120</v>
      </c>
      <c r="D4" s="11">
        <f t="shared" ref="D4" si="1">SUM(D5:D7)</f>
        <v>27324451</v>
      </c>
      <c r="E4" s="11">
        <f t="shared" ref="E4" si="2">SUM(E5:E7)</f>
        <v>27513646</v>
      </c>
      <c r="F4" s="11">
        <f t="shared" ref="F4" si="3">SUM(F5:F7)</f>
        <v>30189889</v>
      </c>
      <c r="G4" s="11">
        <f t="shared" ref="G4" si="4">SUM(G5:G7)</f>
        <v>32226778</v>
      </c>
      <c r="H4" s="11">
        <f t="shared" ref="H4" si="5">SUM(H5:H7)</f>
        <v>34053681</v>
      </c>
      <c r="I4" s="11">
        <f t="shared" ref="I4" si="6">SUM(I5:I7)</f>
        <v>34282739</v>
      </c>
      <c r="J4" s="11">
        <f t="shared" ref="J4" si="7">SUM(J5:J7)</f>
        <v>34248820</v>
      </c>
      <c r="K4" s="11">
        <f t="shared" ref="K4" si="8">SUM(K5:K7)</f>
        <v>32048122</v>
      </c>
      <c r="L4" s="11">
        <f t="shared" ref="L4" si="9">SUM(L5:L7)</f>
        <v>32318532</v>
      </c>
      <c r="M4" s="11">
        <f t="shared" ref="M4" si="10">SUM(M5:M7)</f>
        <v>34634583</v>
      </c>
      <c r="N4" s="11">
        <f t="shared" ref="N4" si="11">SUM(N5:N7)</f>
        <v>35020908</v>
      </c>
      <c r="O4" s="11">
        <f t="shared" ref="O4" si="12">SUM(O5:O7)</f>
        <v>36218494</v>
      </c>
      <c r="P4" s="11">
        <f t="shared" ref="P4" si="13">SUM(P5:P7)</f>
        <v>37969341</v>
      </c>
      <c r="Q4" s="11">
        <f t="shared" ref="Q4" si="14">SUM(Q5:Q7)</f>
        <v>39710426</v>
      </c>
      <c r="R4" s="11">
        <f t="shared" ref="R4" si="15">SUM(R5:R7)</f>
        <v>42851508</v>
      </c>
      <c r="S4" s="11">
        <f t="shared" ref="S4" si="16">SUM(S5:S7)</f>
        <v>45545293</v>
      </c>
      <c r="T4" s="11">
        <f t="shared" ref="T4" si="17">SUM(T5:T7)</f>
        <v>47578600</v>
      </c>
      <c r="U4" s="11">
        <f t="shared" ref="U4" si="18">SUM(U5:U7)</f>
        <v>48647729</v>
      </c>
      <c r="V4" s="11">
        <f t="shared" ref="V4:W4" si="19">SUM(V5:V7)</f>
        <v>20422376</v>
      </c>
      <c r="W4" s="11">
        <f t="shared" si="19"/>
        <v>24355545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15970997</v>
      </c>
      <c r="C6" s="84">
        <v>15782149</v>
      </c>
      <c r="D6" s="84">
        <v>16489910</v>
      </c>
      <c r="E6" s="84">
        <v>16933059</v>
      </c>
      <c r="F6" s="84">
        <v>18124990</v>
      </c>
      <c r="G6" s="84">
        <v>19433003</v>
      </c>
      <c r="H6" s="84">
        <v>21892963</v>
      </c>
      <c r="I6" s="84">
        <v>22402282</v>
      </c>
      <c r="J6" s="84">
        <v>21864876</v>
      </c>
      <c r="K6" s="84">
        <v>20339799</v>
      </c>
      <c r="L6" s="84">
        <v>20270447</v>
      </c>
      <c r="M6" s="84">
        <v>22043278</v>
      </c>
      <c r="N6" s="84">
        <v>22297051</v>
      </c>
      <c r="O6" s="84">
        <v>22925929</v>
      </c>
      <c r="P6" s="84">
        <v>24444787</v>
      </c>
      <c r="Q6" s="84">
        <v>25516105</v>
      </c>
      <c r="R6" s="84">
        <v>28367594</v>
      </c>
      <c r="S6" s="84">
        <v>30286660</v>
      </c>
      <c r="T6" s="84">
        <v>31367701</v>
      </c>
      <c r="U6" s="84">
        <v>31943962</v>
      </c>
      <c r="V6" s="84">
        <v>12965506</v>
      </c>
      <c r="W6" s="84">
        <v>15009734</v>
      </c>
      <c r="DA6" s="171" t="s">
        <v>363</v>
      </c>
    </row>
    <row r="7" spans="1:105" ht="11.45" customHeight="1" x14ac:dyDescent="0.25">
      <c r="A7" s="85" t="s">
        <v>174</v>
      </c>
      <c r="B7" s="86">
        <v>10918646</v>
      </c>
      <c r="C7" s="86">
        <v>10669971</v>
      </c>
      <c r="D7" s="86">
        <v>10834541</v>
      </c>
      <c r="E7" s="86">
        <v>10580587</v>
      </c>
      <c r="F7" s="86">
        <v>12064899</v>
      </c>
      <c r="G7" s="86">
        <v>12793775</v>
      </c>
      <c r="H7" s="86">
        <v>12160718</v>
      </c>
      <c r="I7" s="86">
        <v>11880457</v>
      </c>
      <c r="J7" s="86">
        <v>12383944</v>
      </c>
      <c r="K7" s="86">
        <v>11708323</v>
      </c>
      <c r="L7" s="86">
        <v>12048085</v>
      </c>
      <c r="M7" s="86">
        <v>12591305</v>
      </c>
      <c r="N7" s="86">
        <v>12723857</v>
      </c>
      <c r="O7" s="86">
        <v>13292565</v>
      </c>
      <c r="P7" s="86">
        <v>13524554</v>
      </c>
      <c r="Q7" s="86">
        <v>14194321</v>
      </c>
      <c r="R7" s="86">
        <v>14483914</v>
      </c>
      <c r="S7" s="86">
        <v>15258633</v>
      </c>
      <c r="T7" s="86">
        <v>16210899</v>
      </c>
      <c r="U7" s="86">
        <v>16703767</v>
      </c>
      <c r="V7" s="86">
        <v>7456870</v>
      </c>
      <c r="W7" s="86">
        <v>9345811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134.56932739465518</v>
      </c>
      <c r="C12" s="14">
        <f>IF(C4=0,0,C4/TrAvia_act!C24)</f>
        <v>135.83858841895528</v>
      </c>
      <c r="D12" s="14">
        <f>IF(D4=0,0,D4/TrAvia_act!D24)</f>
        <v>136.56967567486518</v>
      </c>
      <c r="E12" s="14">
        <f>IF(E4=0,0,E4/TrAvia_act!E24)</f>
        <v>136.90220079314136</v>
      </c>
      <c r="F12" s="14">
        <f>IF(F4=0,0,F4/TrAvia_act!F24)</f>
        <v>145.10811772113567</v>
      </c>
      <c r="G12" s="14">
        <f>IF(G4=0,0,G4/TrAvia_act!G24)</f>
        <v>153.10797020201059</v>
      </c>
      <c r="H12" s="14">
        <f>IF(H4=0,0,H4/TrAvia_act!H24)</f>
        <v>152.55453515094771</v>
      </c>
      <c r="I12" s="14">
        <f>IF(I4=0,0,I4/TrAvia_act!I24)</f>
        <v>149.03724329212096</v>
      </c>
      <c r="J12" s="14">
        <f>IF(J4=0,0,J4/TrAvia_act!J24)</f>
        <v>150.39618134232668</v>
      </c>
      <c r="K12" s="14">
        <f>IF(K4=0,0,K4/TrAvia_act!K24)</f>
        <v>153.86225040928318</v>
      </c>
      <c r="L12" s="14">
        <f>IF(L4=0,0,L4/TrAvia_act!L24)</f>
        <v>156.75291378683158</v>
      </c>
      <c r="M12" s="14">
        <f>IF(M4=0,0,M4/TrAvia_act!M24)</f>
        <v>153.31549242155961</v>
      </c>
      <c r="N12" s="14">
        <f>IF(N4=0,0,N4/TrAvia_act!N24)</f>
        <v>153.10556665515418</v>
      </c>
      <c r="O12" s="14">
        <f>IF(O4=0,0,O4/TrAvia_act!O24)</f>
        <v>155.67602394983086</v>
      </c>
      <c r="P12" s="14">
        <f>IF(P4=0,0,P4/TrAvia_act!P24)</f>
        <v>158.75926042071725</v>
      </c>
      <c r="Q12" s="14">
        <f>IF(Q4=0,0,Q4/TrAvia_act!Q24)</f>
        <v>161.03826594752422</v>
      </c>
      <c r="R12" s="14">
        <f>IF(R4=0,0,R4/TrAvia_act!R24)</f>
        <v>163.95085855957882</v>
      </c>
      <c r="S12" s="14">
        <f>IF(S4=0,0,S4/TrAvia_act!S24)</f>
        <v>168.78629187666766</v>
      </c>
      <c r="T12" s="14">
        <f>IF(T4=0,0,T4/TrAvia_act!T24)</f>
        <v>173.26826781259675</v>
      </c>
      <c r="U12" s="14">
        <f>IF(U4=0,0,U4/TrAvia_act!U24)</f>
        <v>177.28570387349993</v>
      </c>
      <c r="V12" s="14">
        <f>IF(V4=0,0,V4/TrAvia_act!V24)</f>
        <v>179.75544836813012</v>
      </c>
      <c r="W12" s="14">
        <f>IF(W4=0,0,W4/TrAvia_act!W24)</f>
        <v>179.42394819622373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104.79931887976062</v>
      </c>
      <c r="C14" s="87">
        <f>IF(C6=0,0,C6/TrAvia_act!C26)</f>
        <v>106.26636366696967</v>
      </c>
      <c r="D14" s="87">
        <f>IF(D6=0,0,D6/TrAvia_act!D26)</f>
        <v>107.6906147345598</v>
      </c>
      <c r="E14" s="87">
        <f>IF(E6=0,0,E6/TrAvia_act!E26)</f>
        <v>109.1188233019719</v>
      </c>
      <c r="F14" s="87">
        <f>IF(F6=0,0,F6/TrAvia_act!F26)</f>
        <v>114.86415919389081</v>
      </c>
      <c r="G14" s="87">
        <f>IF(G6=0,0,G6/TrAvia_act!G26)</f>
        <v>121.00175590438415</v>
      </c>
      <c r="H14" s="87">
        <f>IF(H6=0,0,H6/TrAvia_act!H26)</f>
        <v>125.47764461791526</v>
      </c>
      <c r="I14" s="87">
        <f>IF(I6=0,0,I6/TrAvia_act!I26)</f>
        <v>124.11649140691658</v>
      </c>
      <c r="J14" s="87">
        <f>IF(J6=0,0,J6/TrAvia_act!J26)</f>
        <v>124.67854251012146</v>
      </c>
      <c r="K14" s="87">
        <f>IF(K6=0,0,K6/TrAvia_act!K26)</f>
        <v>127.9337241409675</v>
      </c>
      <c r="L14" s="87">
        <f>IF(L6=0,0,L6/TrAvia_act!L26)</f>
        <v>130.80154996741325</v>
      </c>
      <c r="M14" s="87">
        <f>IF(M6=0,0,M6/TrAvia_act!M26)</f>
        <v>128.34738306928213</v>
      </c>
      <c r="N14" s="87">
        <f>IF(N6=0,0,N6/TrAvia_act!N26)</f>
        <v>128.6563785652051</v>
      </c>
      <c r="O14" s="87">
        <f>IF(O6=0,0,O6/TrAvia_act!O26)</f>
        <v>130.52200423574422</v>
      </c>
      <c r="P14" s="87">
        <f>IF(P6=0,0,P6/TrAvia_act!P26)</f>
        <v>134.5508072017922</v>
      </c>
      <c r="Q14" s="87">
        <f>IF(Q6=0,0,Q6/TrAvia_act!Q26)</f>
        <v>137.0146701104554</v>
      </c>
      <c r="R14" s="87">
        <f>IF(R6=0,0,R6/TrAvia_act!R26)</f>
        <v>141.26584333449529</v>
      </c>
      <c r="S14" s="87">
        <f>IF(S6=0,0,S6/TrAvia_act!S26)</f>
        <v>145.56485295319206</v>
      </c>
      <c r="T14" s="87">
        <f>IF(T6=0,0,T6/TrAvia_act!T26)</f>
        <v>148.46296673182414</v>
      </c>
      <c r="U14" s="87">
        <f>IF(U6=0,0,U6/TrAvia_act!U26)</f>
        <v>152.14598296785994</v>
      </c>
      <c r="V14" s="87">
        <f>IF(V6=0,0,V6/TrAvia_act!V26)</f>
        <v>148.50306959270628</v>
      </c>
      <c r="W14" s="87">
        <f>IF(W6=0,0,W6/TrAvia_act!W26)</f>
        <v>147.35650893383075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230.23460695006747</v>
      </c>
      <c r="C15" s="88">
        <f>IF(C7=0,0,C7/TrAvia_act!C27)</f>
        <v>230.86680225890905</v>
      </c>
      <c r="D15" s="88">
        <f>IF(D7=0,0,D7/TrAvia_act!D27)</f>
        <v>230.7479873919155</v>
      </c>
      <c r="E15" s="88">
        <f>IF(E7=0,0,E7/TrAvia_act!E27)</f>
        <v>231.05249710654468</v>
      </c>
      <c r="F15" s="88">
        <f>IF(F7=0,0,F7/TrAvia_act!F27)</f>
        <v>240.0688276026743</v>
      </c>
      <c r="G15" s="88">
        <f>IF(G7=0,0,G7/TrAvia_act!G27)</f>
        <v>256.47565302808573</v>
      </c>
      <c r="H15" s="88">
        <f>IF(H7=0,0,H7/TrAvia_act!H27)</f>
        <v>249.4710950642104</v>
      </c>
      <c r="I15" s="88">
        <f>IF(I7=0,0,I7/TrAvia_act!I27)</f>
        <v>239.8444906528849</v>
      </c>
      <c r="J15" s="88">
        <f>IF(J7=0,0,J7/TrAvia_act!J27)</f>
        <v>236.54246093899224</v>
      </c>
      <c r="K15" s="88">
        <f>IF(K7=0,0,K7/TrAvia_act!K27)</f>
        <v>237.47207123154308</v>
      </c>
      <c r="L15" s="88">
        <f>IF(L7=0,0,L7/TrAvia_act!L27)</f>
        <v>235.29577767361926</v>
      </c>
      <c r="M15" s="88">
        <f>IF(M7=0,0,M7/TrAvia_act!M27)</f>
        <v>232.49635319533948</v>
      </c>
      <c r="N15" s="88">
        <f>IF(N7=0,0,N7/TrAvia_act!N27)</f>
        <v>229.54820494317156</v>
      </c>
      <c r="O15" s="88">
        <f>IF(O7=0,0,O7/TrAvia_act!O27)</f>
        <v>233.18244013683011</v>
      </c>
      <c r="P15" s="88">
        <f>IF(P7=0,0,P7/TrAvia_act!P27)</f>
        <v>235.26691716243954</v>
      </c>
      <c r="Q15" s="88">
        <f>IF(Q7=0,0,Q7/TrAvia_act!Q27)</f>
        <v>235.1571544540349</v>
      </c>
      <c r="R15" s="88">
        <f>IF(R7=0,0,R7/TrAvia_act!R27)</f>
        <v>239.17424617721852</v>
      </c>
      <c r="S15" s="88">
        <f>IF(S7=0,0,S7/TrAvia_act!S27)</f>
        <v>246.99537044531135</v>
      </c>
      <c r="T15" s="88">
        <f>IF(T7=0,0,T7/TrAvia_act!T27)</f>
        <v>256.04781084154661</v>
      </c>
      <c r="U15" s="88">
        <f>IF(U7=0,0,U7/TrAvia_act!U27)</f>
        <v>259.18610641302155</v>
      </c>
      <c r="V15" s="88">
        <f>IF(V7=0,0,V7/TrAvia_act!V27)</f>
        <v>283.48806265206815</v>
      </c>
      <c r="W15" s="88">
        <f>IF(W7=0,0,W7/TrAvia_act!W27)</f>
        <v>275.82595992090427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0.74869305628192984</v>
      </c>
      <c r="C18" s="25">
        <f>IF(TrAvia_act!C34=0,0,(TrAvia_act!C34/TrAvia_act!C24)/TrAvia_png!C12)</f>
        <v>0.74691540791437505</v>
      </c>
      <c r="D18" s="25">
        <f>IF(TrAvia_act!D34=0,0,(TrAvia_act!D34/TrAvia_act!D24)/TrAvia_png!D12)</f>
        <v>0.74659889781500099</v>
      </c>
      <c r="E18" s="25">
        <f>IF(TrAvia_act!E34=0,0,(TrAvia_act!E34/TrAvia_act!E24)/TrAvia_png!E12)</f>
        <v>0.74624653526471929</v>
      </c>
      <c r="F18" s="25">
        <f>IF(TrAvia_act!F34=0,0,(TrAvia_act!F34/TrAvia_act!F24)/TrAvia_png!F12)</f>
        <v>0.74450147862418448</v>
      </c>
      <c r="G18" s="25">
        <f>IF(TrAvia_act!G34=0,0,(TrAvia_act!G34/TrAvia_act!G24)/TrAvia_png!G12)</f>
        <v>0.72766259785573362</v>
      </c>
      <c r="H18" s="25">
        <f>IF(TrAvia_act!H34=0,0,(TrAvia_act!H34/TrAvia_act!H24)/TrAvia_png!H12)</f>
        <v>0.72017544887438156</v>
      </c>
      <c r="I18" s="25">
        <f>IF(TrAvia_act!I34=0,0,(TrAvia_act!I34/TrAvia_act!I24)/TrAvia_png!I12)</f>
        <v>0.74040531008913835</v>
      </c>
      <c r="J18" s="25">
        <f>IF(TrAvia_act!J34=0,0,(TrAvia_act!J34/TrAvia_act!J24)/TrAvia_png!J12)</f>
        <v>0.73938351744673247</v>
      </c>
      <c r="K18" s="25">
        <f>IF(TrAvia_act!K34=0,0,(TrAvia_act!K34/TrAvia_act!K24)/TrAvia_png!K12)</f>
        <v>0.72743582291655029</v>
      </c>
      <c r="L18" s="25">
        <f>IF(TrAvia_act!L34=0,0,(TrAvia_act!L34/TrAvia_act!L24)/TrAvia_png!L12)</f>
        <v>0.75425681463502114</v>
      </c>
      <c r="M18" s="25">
        <f>IF(TrAvia_act!M34=0,0,(TrAvia_act!M34/TrAvia_act!M24)/TrAvia_png!M12)</f>
        <v>0.78070389933668316</v>
      </c>
      <c r="N18" s="25">
        <f>IF(TrAvia_act!N34=0,0,(TrAvia_act!N34/TrAvia_act!N24)/TrAvia_png!N12)</f>
        <v>0.79855522306845961</v>
      </c>
      <c r="O18" s="25">
        <f>IF(TrAvia_act!O34=0,0,(TrAvia_act!O34/TrAvia_act!O24)/TrAvia_png!O12)</f>
        <v>0.80544635566569944</v>
      </c>
      <c r="P18" s="25">
        <f>IF(TrAvia_act!P34=0,0,(TrAvia_act!P34/TrAvia_act!P24)/TrAvia_png!P12)</f>
        <v>0.80598875814041648</v>
      </c>
      <c r="Q18" s="25">
        <f>IF(TrAvia_act!Q34=0,0,(TrAvia_act!Q34/TrAvia_act!Q24)/TrAvia_png!Q12)</f>
        <v>0.81840857108911391</v>
      </c>
      <c r="R18" s="25">
        <f>IF(TrAvia_act!R34=0,0,(TrAvia_act!R34/TrAvia_act!R24)/TrAvia_png!R12)</f>
        <v>0.82529389630815331</v>
      </c>
      <c r="S18" s="25">
        <f>IF(TrAvia_act!S34=0,0,(TrAvia_act!S34/TrAvia_act!S24)/TrAvia_png!S12)</f>
        <v>0.84164141835688699</v>
      </c>
      <c r="T18" s="25">
        <f>IF(TrAvia_act!T34=0,0,(TrAvia_act!T34/TrAvia_act!T24)/TrAvia_png!T12)</f>
        <v>0.8422999415703698</v>
      </c>
      <c r="U18" s="25">
        <f>IF(TrAvia_act!U34=0,0,(TrAvia_act!U34/TrAvia_act!U24)/TrAvia_png!U12)</f>
        <v>0.83819962078805366</v>
      </c>
      <c r="V18" s="25">
        <f>IF(TrAvia_act!V34=0,0,(TrAvia_act!V34/TrAvia_act!V24)/TrAvia_png!V12)</f>
        <v>0.57468288704507253</v>
      </c>
      <c r="W18" s="25">
        <f>IF(TrAvia_act!W34=0,0,(TrAvia_act!W34/TrAvia_act!W24)/TrAvia_png!W12)</f>
        <v>0.60066202583436346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0.76753793141405013</v>
      </c>
      <c r="C20" s="89">
        <f>IF(TrAvia_act!C36=0,0,(TrAvia_act!C36/TrAvia_act!C26)/TrAvia_png!C14)</f>
        <v>0.7627032921815653</v>
      </c>
      <c r="D20" s="89">
        <f>IF(TrAvia_act!D36=0,0,(TrAvia_act!D36/TrAvia_act!D26)/TrAvia_png!D14)</f>
        <v>0.75866096297675367</v>
      </c>
      <c r="E20" s="89">
        <f>IF(TrAvia_act!E36=0,0,(TrAvia_act!E36/TrAvia_act!E26)/TrAvia_png!E14)</f>
        <v>0.75506859097343249</v>
      </c>
      <c r="F20" s="89">
        <f>IF(TrAvia_act!F36=0,0,(TrAvia_act!F36/TrAvia_act!F26)/TrAvia_png!F14)</f>
        <v>0.75097222122605312</v>
      </c>
      <c r="G20" s="89">
        <f>IF(TrAvia_act!G36=0,0,(TrAvia_act!G36/TrAvia_act!G26)/TrAvia_png!G14)</f>
        <v>0.72655847374695515</v>
      </c>
      <c r="H20" s="89">
        <f>IF(TrAvia_act!H36=0,0,(TrAvia_act!H36/TrAvia_act!H26)/TrAvia_png!H14)</f>
        <v>0.69981605504928679</v>
      </c>
      <c r="I20" s="89">
        <f>IF(TrAvia_act!I36=0,0,(TrAvia_act!I36/TrAvia_act!I26)/TrAvia_png!I14)</f>
        <v>0.71220860446270606</v>
      </c>
      <c r="J20" s="89">
        <f>IF(TrAvia_act!J36=0,0,(TrAvia_act!J36/TrAvia_act!J26)/TrAvia_png!J14)</f>
        <v>0.71299087175248566</v>
      </c>
      <c r="K20" s="89">
        <f>IF(TrAvia_act!K36=0,0,(TrAvia_act!K36/TrAvia_act!K26)/TrAvia_png!K14)</f>
        <v>0.70231116836503649</v>
      </c>
      <c r="L20" s="89">
        <f>IF(TrAvia_act!L36=0,0,(TrAvia_act!L36/TrAvia_act!L26)/TrAvia_png!L14)</f>
        <v>0.7257171487140861</v>
      </c>
      <c r="M20" s="89">
        <f>IF(TrAvia_act!M36=0,0,(TrAvia_act!M36/TrAvia_act!M26)/TrAvia_png!M14)</f>
        <v>0.76184059376286961</v>
      </c>
      <c r="N20" s="89">
        <f>IF(TrAvia_act!N36=0,0,(TrAvia_act!N36/TrAvia_act!N26)/TrAvia_png!N14)</f>
        <v>0.77402173049700607</v>
      </c>
      <c r="O20" s="89">
        <f>IF(TrAvia_act!O36=0,0,(TrAvia_act!O36/TrAvia_act!O26)/TrAvia_png!O14)</f>
        <v>0.7853657751448152</v>
      </c>
      <c r="P20" s="89">
        <f>IF(TrAvia_act!P36=0,0,(TrAvia_act!P36/TrAvia_act!P26)/TrAvia_png!P14)</f>
        <v>0.7892236901061972</v>
      </c>
      <c r="Q20" s="89">
        <f>IF(TrAvia_act!Q36=0,0,(TrAvia_act!Q36/TrAvia_act!Q26)/TrAvia_png!Q14)</f>
        <v>0.80959860448920395</v>
      </c>
      <c r="R20" s="89">
        <f>IF(TrAvia_act!R36=0,0,(TrAvia_act!R36/TrAvia_act!R26)/TrAvia_png!R14)</f>
        <v>0.81734217572346823</v>
      </c>
      <c r="S20" s="89">
        <f>IF(TrAvia_act!S36=0,0,(TrAvia_act!S36/TrAvia_act!S26)/TrAvia_png!S14)</f>
        <v>0.83725669981437378</v>
      </c>
      <c r="T20" s="89">
        <f>IF(TrAvia_act!T36=0,0,(TrAvia_act!T36/TrAvia_act!T26)/TrAvia_png!T14)</f>
        <v>0.83874320276133729</v>
      </c>
      <c r="U20" s="89">
        <f>IF(TrAvia_act!U36=0,0,(TrAvia_act!U36/TrAvia_act!U26)/TrAvia_png!U14)</f>
        <v>0.8380419435760661</v>
      </c>
      <c r="V20" s="89">
        <f>IF(TrAvia_act!V36=0,0,(TrAvia_act!V36/TrAvia_act!V26)/TrAvia_png!V14)</f>
        <v>0.61311444381731028</v>
      </c>
      <c r="W20" s="89">
        <f>IF(TrAvia_act!W36=0,0,(TrAvia_act!W36/TrAvia_act!W26)/TrAvia_png!W14)</f>
        <v>0.66263172951632576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0.72112815087145421</v>
      </c>
      <c r="C21" s="90">
        <f>IF(TrAvia_act!C37=0,0,(TrAvia_act!C37/TrAvia_act!C27)/TrAvia_png!C15)</f>
        <v>0.72356325991888826</v>
      </c>
      <c r="D21" s="90">
        <f>IF(TrAvia_act!D37=0,0,(TrAvia_act!D37/TrAvia_act!D27)/TrAvia_png!D15)</f>
        <v>0.72824072565695208</v>
      </c>
      <c r="E21" s="90">
        <f>IF(TrAvia_act!E37=0,0,(TrAvia_act!E37/TrAvia_act!E27)/TrAvia_png!E15)</f>
        <v>0.7321278110562297</v>
      </c>
      <c r="F21" s="90">
        <f>IF(TrAvia_act!F37=0,0,(TrAvia_act!F37/TrAvia_act!F27)/TrAvia_png!F15)</f>
        <v>0.73478053981222713</v>
      </c>
      <c r="G21" s="90">
        <f>IF(TrAvia_act!G37=0,0,(TrAvia_act!G37/TrAvia_act!G27)/TrAvia_png!G15)</f>
        <v>0.72933969840801471</v>
      </c>
      <c r="H21" s="90">
        <f>IF(TrAvia_act!H37=0,0,(TrAvia_act!H37/TrAvia_act!H27)/TrAvia_png!H15)</f>
        <v>0.75682850305384919</v>
      </c>
      <c r="I21" s="90">
        <f>IF(TrAvia_act!I37=0,0,(TrAvia_act!I37/TrAvia_act!I27)/TrAvia_png!I15)</f>
        <v>0.79357418658221646</v>
      </c>
      <c r="J21" s="90">
        <f>IF(TrAvia_act!J37=0,0,(TrAvia_act!J37/TrAvia_act!J27)/TrAvia_png!J15)</f>
        <v>0.78598191335490541</v>
      </c>
      <c r="K21" s="90">
        <f>IF(TrAvia_act!K37=0,0,(TrAvia_act!K37/TrAvia_act!K27)/TrAvia_png!K15)</f>
        <v>0.7710825880017147</v>
      </c>
      <c r="L21" s="90">
        <f>IF(TrAvia_act!L37=0,0,(TrAvia_act!L37/TrAvia_act!L27)/TrAvia_png!L15)</f>
        <v>0.80227372233844629</v>
      </c>
      <c r="M21" s="90">
        <f>IF(TrAvia_act!M37=0,0,(TrAvia_act!M37/TrAvia_act!M27)/TrAvia_png!M15)</f>
        <v>0.81372740950997535</v>
      </c>
      <c r="N21" s="90">
        <f>IF(TrAvia_act!N37=0,0,(TrAvia_act!N37/TrAvia_act!N27)/TrAvia_png!N15)</f>
        <v>0.84154726039439154</v>
      </c>
      <c r="O21" s="90">
        <f>IF(TrAvia_act!O37=0,0,(TrAvia_act!O37/TrAvia_act!O27)/TrAvia_png!O15)</f>
        <v>0.84007969868870302</v>
      </c>
      <c r="P21" s="90">
        <f>IF(TrAvia_act!P37=0,0,(TrAvia_act!P37/TrAvia_act!P27)/TrAvia_png!P15)</f>
        <v>0.83629057194788081</v>
      </c>
      <c r="Q21" s="90">
        <f>IF(TrAvia_act!Q37=0,0,(TrAvia_act!Q37/TrAvia_act!Q27)/TrAvia_png!Q15)</f>
        <v>0.83424561132582531</v>
      </c>
      <c r="R21" s="90">
        <f>IF(TrAvia_act!R37=0,0,(TrAvia_act!R37/TrAvia_act!R27)/TrAvia_png!R15)</f>
        <v>0.84086780686491247</v>
      </c>
      <c r="S21" s="90">
        <f>IF(TrAvia_act!S37=0,0,(TrAvia_act!S37/TrAvia_act!S27)/TrAvia_png!S15)</f>
        <v>0.85034458853555239</v>
      </c>
      <c r="T21" s="90">
        <f>IF(TrAvia_act!T37=0,0,(TrAvia_act!T37/TrAvia_act!T27)/TrAvia_png!T15)</f>
        <v>0.84918214591306751</v>
      </c>
      <c r="U21" s="90">
        <f>IF(TrAvia_act!U37=0,0,(TrAvia_act!U37/TrAvia_act!U27)/TrAvia_png!U15)</f>
        <v>0.83850115964859906</v>
      </c>
      <c r="V21" s="90">
        <f>IF(TrAvia_act!V37=0,0,(TrAvia_act!V37/TrAvia_act!V27)/TrAvia_png!V15)</f>
        <v>0.50786067076400687</v>
      </c>
      <c r="W21" s="90">
        <f>IF(TrAvia_act!W37=0,0,(TrAvia_act!W37/TrAvia_act!W27)/TrAvia_png!W15)</f>
        <v>0.50113628448082248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5.4399265089340954E-2</v>
      </c>
      <c r="C24" s="23">
        <f>IF(TrAvia_ene!C6=0,0,TrAvia_ene!C6/(C12*TrAvia_act!C14))</f>
        <v>5.3769233652071771E-2</v>
      </c>
      <c r="D24" s="23">
        <f>IF(TrAvia_ene!D6=0,0,TrAvia_ene!D6/(D12*TrAvia_act!D14))</f>
        <v>5.4420644828932795E-2</v>
      </c>
      <c r="E24" s="23">
        <f>IF(TrAvia_ene!E6=0,0,TrAvia_ene!E6/(E12*TrAvia_act!E14))</f>
        <v>5.2973688706167581E-2</v>
      </c>
      <c r="F24" s="23">
        <f>IF(TrAvia_ene!F6=0,0,TrAvia_ene!F6/(F12*TrAvia_act!F14))</f>
        <v>5.0232990380911002E-2</v>
      </c>
      <c r="G24" s="23">
        <f>IF(TrAvia_ene!G6=0,0,TrAvia_ene!G6/(G12*TrAvia_act!G14))</f>
        <v>4.7050811828298816E-2</v>
      </c>
      <c r="H24" s="23">
        <f>IF(TrAvia_ene!H6=0,0,TrAvia_ene!H6/(H12*TrAvia_act!H14))</f>
        <v>4.5764896390238237E-2</v>
      </c>
      <c r="I24" s="23">
        <f>IF(TrAvia_ene!I6=0,0,TrAvia_ene!I6/(I12*TrAvia_act!I14))</f>
        <v>4.6188841038283142E-2</v>
      </c>
      <c r="J24" s="23">
        <f>IF(TrAvia_ene!J6=0,0,TrAvia_ene!J6/(J12*TrAvia_act!J14))</f>
        <v>4.5172192559246059E-2</v>
      </c>
      <c r="K24" s="23">
        <f>IF(TrAvia_ene!K6=0,0,TrAvia_ene!K6/(K12*TrAvia_act!K14))</f>
        <v>4.6445858594579337E-2</v>
      </c>
      <c r="L24" s="23">
        <f>IF(TrAvia_ene!L6=0,0,TrAvia_ene!L6/(L12*TrAvia_act!L14))</f>
        <v>4.2492416338104452E-2</v>
      </c>
      <c r="M24" s="23">
        <f>IF(TrAvia_ene!M6=0,0,TrAvia_ene!M6/(M12*TrAvia_act!M14))</f>
        <v>4.3056690340049983E-2</v>
      </c>
      <c r="N24" s="23">
        <f>IF(TrAvia_ene!N6=0,0,TrAvia_ene!N6/(N12*TrAvia_act!N14))</f>
        <v>4.2317556578659425E-2</v>
      </c>
      <c r="O24" s="23">
        <f>IF(TrAvia_ene!O6=0,0,TrAvia_ene!O6/(O12*TrAvia_act!O14))</f>
        <v>4.1658193587425604E-2</v>
      </c>
      <c r="P24" s="23">
        <f>IF(TrAvia_ene!P6=0,0,TrAvia_ene!P6/(P12*TrAvia_act!P14))</f>
        <v>4.2011359584355028E-2</v>
      </c>
      <c r="Q24" s="23">
        <f>IF(TrAvia_ene!Q6=0,0,TrAvia_ene!Q6/(Q12*TrAvia_act!Q14))</f>
        <v>4.1823509395747936E-2</v>
      </c>
      <c r="R24" s="23">
        <f>IF(TrAvia_ene!R6=0,0,TrAvia_ene!R6/(R12*TrAvia_act!R14))</f>
        <v>4.0803657897093774E-2</v>
      </c>
      <c r="S24" s="23">
        <f>IF(TrAvia_ene!S6=0,0,TrAvia_ene!S6/(S12*TrAvia_act!S14))</f>
        <v>3.8806186116983443E-2</v>
      </c>
      <c r="T24" s="23">
        <f>IF(TrAvia_ene!T6=0,0,TrAvia_ene!T6/(T12*TrAvia_act!T14))</f>
        <v>3.7269892446455677E-2</v>
      </c>
      <c r="U24" s="23">
        <f>IF(TrAvia_ene!U6=0,0,TrAvia_ene!U6/(U12*TrAvia_act!U14))</f>
        <v>3.5873048481206586E-2</v>
      </c>
      <c r="V24" s="23">
        <f>IF(TrAvia_ene!V6=0,0,TrAvia_ene!V6/(V12*TrAvia_act!V14))</f>
        <v>3.5192687402431373E-2</v>
      </c>
      <c r="W24" s="23">
        <f>IF(TrAvia_ene!W6=0,0,TrAvia_ene!W6/(W12*TrAvia_act!W14))</f>
        <v>3.2596498025863417E-2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4.079574009023313E-2</v>
      </c>
      <c r="C26" s="93">
        <f>IF(TrAvia_ene!C8=0,0,TrAvia_ene!C8/(C14*TrAvia_act!C16))</f>
        <v>4.0141569199631702E-2</v>
      </c>
      <c r="D26" s="93">
        <f>IF(TrAvia_ene!D8=0,0,TrAvia_ene!D8/(D14*TrAvia_act!D16))</f>
        <v>4.0375343426709662E-2</v>
      </c>
      <c r="E26" s="93">
        <f>IF(TrAvia_ene!E8=0,0,TrAvia_ene!E8/(E14*TrAvia_act!E16))</f>
        <v>3.9088823676235486E-2</v>
      </c>
      <c r="F26" s="93">
        <f>IF(TrAvia_ene!F8=0,0,TrAvia_ene!F8/(F14*TrAvia_act!F16))</f>
        <v>3.6925232033587267E-2</v>
      </c>
      <c r="G26" s="93">
        <f>IF(TrAvia_ene!G8=0,0,TrAvia_ene!G8/(G14*TrAvia_act!G16))</f>
        <v>3.4647641796529745E-2</v>
      </c>
      <c r="H26" s="93">
        <f>IF(TrAvia_ene!H8=0,0,TrAvia_ene!H8/(H14*TrAvia_act!H16))</f>
        <v>3.1211112342190105E-2</v>
      </c>
      <c r="I26" s="93">
        <f>IF(TrAvia_ene!I8=0,0,TrAvia_ene!I8/(I14*TrAvia_act!I16))</f>
        <v>3.1434913470641243E-2</v>
      </c>
      <c r="J26" s="93">
        <f>IF(TrAvia_ene!J8=0,0,TrAvia_ene!J8/(J14*TrAvia_act!J16))</f>
        <v>3.1174041788343907E-2</v>
      </c>
      <c r="K26" s="93">
        <f>IF(TrAvia_ene!K8=0,0,TrAvia_ene!K8/(K14*TrAvia_act!K16))</f>
        <v>3.0973975295132149E-2</v>
      </c>
      <c r="L26" s="93">
        <f>IF(TrAvia_ene!L8=0,0,TrAvia_ene!L8/(L14*TrAvia_act!L16))</f>
        <v>2.8614465766440236E-2</v>
      </c>
      <c r="M26" s="93">
        <f>IF(TrAvia_ene!M8=0,0,TrAvia_ene!M8/(M14*TrAvia_act!M16))</f>
        <v>2.8309991202399836E-2</v>
      </c>
      <c r="N26" s="93">
        <f>IF(TrAvia_ene!N8=0,0,TrAvia_ene!N8/(N14*TrAvia_act!N16))</f>
        <v>2.7763261564584262E-2</v>
      </c>
      <c r="O26" s="93">
        <f>IF(TrAvia_ene!O8=0,0,TrAvia_ene!O8/(O14*TrAvia_act!O16))</f>
        <v>2.7635261788572972E-2</v>
      </c>
      <c r="P26" s="93">
        <f>IF(TrAvia_ene!P8=0,0,TrAvia_ene!P8/(P14*TrAvia_act!P16))</f>
        <v>2.7458226433865029E-2</v>
      </c>
      <c r="Q26" s="93">
        <f>IF(TrAvia_ene!Q8=0,0,TrAvia_ene!Q8/(Q14*TrAvia_act!Q16))</f>
        <v>2.8111513645970691E-2</v>
      </c>
      <c r="R26" s="93">
        <f>IF(TrAvia_ene!R8=0,0,TrAvia_ene!R8/(R14*TrAvia_act!R16))</f>
        <v>2.7020731223881458E-2</v>
      </c>
      <c r="S26" s="93">
        <f>IF(TrAvia_ene!S8=0,0,TrAvia_ene!S8/(S14*TrAvia_act!S16))</f>
        <v>2.5625674217800039E-2</v>
      </c>
      <c r="T26" s="93">
        <f>IF(TrAvia_ene!T8=0,0,TrAvia_ene!T8/(T14*TrAvia_act!T16))</f>
        <v>2.4464055276563115E-2</v>
      </c>
      <c r="U26" s="93">
        <f>IF(TrAvia_ene!U8=0,0,TrAvia_ene!U8/(U14*TrAvia_act!U16))</f>
        <v>2.3112309860725284E-2</v>
      </c>
      <c r="V26" s="93">
        <f>IF(TrAvia_ene!V8=0,0,TrAvia_ene!V8/(V14*TrAvia_act!V16))</f>
        <v>1.9529824129991248E-2</v>
      </c>
      <c r="W26" s="93">
        <f>IF(TrAvia_ene!W8=0,0,TrAvia_ene!W8/(W14*TrAvia_act!W16))</f>
        <v>1.9552869432700515E-2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3.9408401986290163E-2</v>
      </c>
      <c r="C27" s="94">
        <f>IF(TrAvia_ene!C9=0,0,TrAvia_ene!C9/(C15*TrAvia_act!C17))</f>
        <v>3.9211627093442281E-2</v>
      </c>
      <c r="D27" s="94">
        <f>IF(TrAvia_ene!D9=0,0,TrAvia_ene!D9/(D15*TrAvia_act!D17))</f>
        <v>3.9971657437890974E-2</v>
      </c>
      <c r="E27" s="94">
        <f>IF(TrAvia_ene!E9=0,0,TrAvia_ene!E9/(E15*TrAvia_act!E17))</f>
        <v>3.9141744688907444E-2</v>
      </c>
      <c r="F27" s="94">
        <f>IF(TrAvia_ene!F9=0,0,TrAvia_ene!F9/(F15*TrAvia_act!F17))</f>
        <v>3.7482116356763524E-2</v>
      </c>
      <c r="G27" s="94">
        <f>IF(TrAvia_ene!G9=0,0,TrAvia_ene!G9/(G15*TrAvia_act!G17))</f>
        <v>3.4696317219661557E-2</v>
      </c>
      <c r="H27" s="94">
        <f>IF(TrAvia_ene!H9=0,0,TrAvia_ene!H9/(H15*TrAvia_act!H17))</f>
        <v>3.5650167741781015E-2</v>
      </c>
      <c r="I27" s="94">
        <f>IF(TrAvia_ene!I9=0,0,TrAvia_ene!I9/(I15*TrAvia_act!I17))</f>
        <v>3.6608709044369747E-2</v>
      </c>
      <c r="J27" s="94">
        <f>IF(TrAvia_ene!J9=0,0,TrAvia_ene!J9/(J15*TrAvia_act!J17))</f>
        <v>3.5991188776824438E-2</v>
      </c>
      <c r="K27" s="94">
        <f>IF(TrAvia_ene!K9=0,0,TrAvia_ene!K9/(K15*TrAvia_act!K17))</f>
        <v>3.7889689792849436E-2</v>
      </c>
      <c r="L27" s="94">
        <f>IF(TrAvia_ene!L9=0,0,TrAvia_ene!L9/(L15*TrAvia_act!L17))</f>
        <v>3.5239944894907137E-2</v>
      </c>
      <c r="M27" s="94">
        <f>IF(TrAvia_ene!M9=0,0,TrAvia_ene!M9/(M15*TrAvia_act!M17))</f>
        <v>3.5917326345355501E-2</v>
      </c>
      <c r="N27" s="94">
        <f>IF(TrAvia_ene!N9=0,0,TrAvia_ene!N9/(N15*TrAvia_act!N17))</f>
        <v>3.5513383540965122E-2</v>
      </c>
      <c r="O27" s="94">
        <f>IF(TrAvia_ene!O9=0,0,TrAvia_ene!O9/(O15*TrAvia_act!O17))</f>
        <v>3.4827727548633593E-2</v>
      </c>
      <c r="P27" s="94">
        <f>IF(TrAvia_ene!P9=0,0,TrAvia_ene!P9/(P15*TrAvia_act!P17))</f>
        <v>3.5727458729894766E-2</v>
      </c>
      <c r="Q27" s="94">
        <f>IF(TrAvia_ene!Q9=0,0,TrAvia_ene!Q9/(Q15*TrAvia_act!Q17))</f>
        <v>3.5574707506271321E-2</v>
      </c>
      <c r="R27" s="94">
        <f>IF(TrAvia_ene!R9=0,0,TrAvia_ene!R9/(R15*TrAvia_act!R17))</f>
        <v>3.5352632417786752E-2</v>
      </c>
      <c r="S27" s="94">
        <f>IF(TrAvia_ene!S9=0,0,TrAvia_ene!S9/(S15*TrAvia_act!S17))</f>
        <v>3.3841061571632691E-2</v>
      </c>
      <c r="T27" s="94">
        <f>IF(TrAvia_ene!T9=0,0,TrAvia_ene!T9/(T15*TrAvia_act!T17))</f>
        <v>3.2259620442166063E-2</v>
      </c>
      <c r="U27" s="94">
        <f>IF(TrAvia_ene!U9=0,0,TrAvia_ene!U9/(U15*TrAvia_act!U17))</f>
        <v>3.1339528465355232E-2</v>
      </c>
      <c r="V27" s="94">
        <f>IF(TrAvia_ene!V9=0,0,TrAvia_ene!V9/(V15*TrAvia_act!V17))</f>
        <v>2.9303492132309497E-2</v>
      </c>
      <c r="W27" s="94">
        <f>IF(TrAvia_ene!W9=0,0,TrAvia_ene!W9/(W15*TrAvia_act!W17))</f>
        <v>2.7811107972092408E-2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41285.409</v>
      </c>
      <c r="C3" s="54">
        <f t="shared" si="0"/>
        <v>41806.741000000002</v>
      </c>
      <c r="D3" s="54">
        <f t="shared" si="0"/>
        <v>40996.849000000002</v>
      </c>
      <c r="E3" s="54">
        <f t="shared" si="0"/>
        <v>39045.567999999999</v>
      </c>
      <c r="F3" s="54">
        <f t="shared" si="0"/>
        <v>43065.902000000002</v>
      </c>
      <c r="G3" s="54">
        <f t="shared" si="0"/>
        <v>42251.942000000003</v>
      </c>
      <c r="H3" s="54">
        <f t="shared" si="0"/>
        <v>42235.853000000003</v>
      </c>
      <c r="I3" s="54">
        <f t="shared" si="0"/>
        <v>46510.224999999999</v>
      </c>
      <c r="J3" s="54">
        <f t="shared" si="0"/>
        <v>46259.752999999997</v>
      </c>
      <c r="K3" s="54">
        <f t="shared" si="0"/>
        <v>37887.330999999998</v>
      </c>
      <c r="L3" s="54">
        <f t="shared" si="0"/>
        <v>46591.43</v>
      </c>
      <c r="M3" s="54">
        <f t="shared" si="0"/>
        <v>46492.169000000002</v>
      </c>
      <c r="N3" s="54">
        <f t="shared" si="0"/>
        <v>47564.614000000001</v>
      </c>
      <c r="O3" s="54">
        <f t="shared" si="0"/>
        <v>48652.112999999998</v>
      </c>
      <c r="P3" s="54">
        <f t="shared" si="0"/>
        <v>49325.353999999999</v>
      </c>
      <c r="Q3" s="54">
        <f t="shared" si="0"/>
        <v>48569.54</v>
      </c>
      <c r="R3" s="54">
        <f t="shared" ref="R3:V3" si="1">SUM(R4:R5)</f>
        <v>48819.076000000001</v>
      </c>
      <c r="S3" s="54">
        <f t="shared" si="1"/>
        <v>49056.726000000002</v>
      </c>
      <c r="T3" s="54">
        <f t="shared" si="1"/>
        <v>46930.373</v>
      </c>
      <c r="U3" s="54">
        <f t="shared" si="1"/>
        <v>47048.671000000002</v>
      </c>
      <c r="V3" s="54">
        <f t="shared" si="1"/>
        <v>45204.724999999999</v>
      </c>
      <c r="W3" s="54">
        <f t="shared" ref="W3" si="2">SUM(W4:W5)</f>
        <v>47428.392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14.409000000000001</v>
      </c>
      <c r="C4" s="56">
        <v>13.741</v>
      </c>
      <c r="D4" s="56">
        <v>13.849</v>
      </c>
      <c r="E4" s="56">
        <v>14.568</v>
      </c>
      <c r="F4" s="56">
        <v>16.902000000000001</v>
      </c>
      <c r="G4" s="56">
        <v>18.942</v>
      </c>
      <c r="H4" s="56">
        <v>20.853000000000002</v>
      </c>
      <c r="I4" s="56">
        <v>24.225000000000001</v>
      </c>
      <c r="J4" s="56">
        <v>25.753</v>
      </c>
      <c r="K4" s="56">
        <v>24.331</v>
      </c>
      <c r="L4" s="56">
        <v>29.43</v>
      </c>
      <c r="M4" s="56">
        <v>30.169</v>
      </c>
      <c r="N4" s="56">
        <v>31.614000000000001</v>
      </c>
      <c r="O4" s="56">
        <v>25.113</v>
      </c>
      <c r="P4" s="56">
        <v>30.353999999999999</v>
      </c>
      <c r="Q4" s="56">
        <v>34.54</v>
      </c>
      <c r="R4" s="56">
        <v>21.076000000000001</v>
      </c>
      <c r="S4" s="56">
        <v>41.725999999999999</v>
      </c>
      <c r="T4" s="56">
        <v>38.372999999999998</v>
      </c>
      <c r="U4" s="56">
        <v>55.670999999999999</v>
      </c>
      <c r="V4" s="56">
        <v>38.725000000000001</v>
      </c>
      <c r="W4" s="56">
        <v>34.392000000000003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41271</v>
      </c>
      <c r="C5" s="58">
        <v>41793</v>
      </c>
      <c r="D5" s="58">
        <v>40983</v>
      </c>
      <c r="E5" s="58">
        <v>39031</v>
      </c>
      <c r="F5" s="58">
        <v>43049</v>
      </c>
      <c r="G5" s="58">
        <v>42233</v>
      </c>
      <c r="H5" s="58">
        <v>42215</v>
      </c>
      <c r="I5" s="58">
        <v>46486</v>
      </c>
      <c r="J5" s="58">
        <v>46234</v>
      </c>
      <c r="K5" s="58">
        <v>37863</v>
      </c>
      <c r="L5" s="58">
        <v>46562</v>
      </c>
      <c r="M5" s="58">
        <v>46462</v>
      </c>
      <c r="N5" s="58">
        <v>47533</v>
      </c>
      <c r="O5" s="58">
        <v>48627</v>
      </c>
      <c r="P5" s="58">
        <v>49295</v>
      </c>
      <c r="Q5" s="58">
        <v>48535</v>
      </c>
      <c r="R5" s="58">
        <v>48798</v>
      </c>
      <c r="S5" s="58">
        <v>49015</v>
      </c>
      <c r="T5" s="58">
        <v>46892</v>
      </c>
      <c r="U5" s="58">
        <v>46993</v>
      </c>
      <c r="V5" s="58">
        <v>45166</v>
      </c>
      <c r="W5" s="58">
        <v>47394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47.823999999999998</v>
      </c>
      <c r="C7" s="59">
        <f t="shared" si="3"/>
        <v>49.03</v>
      </c>
      <c r="D7" s="59">
        <f t="shared" si="3"/>
        <v>49.433</v>
      </c>
      <c r="E7" s="59">
        <f t="shared" si="3"/>
        <v>46.801000000000002</v>
      </c>
      <c r="F7" s="59">
        <f t="shared" si="3"/>
        <v>49.457999999999998</v>
      </c>
      <c r="G7" s="59">
        <f t="shared" si="3"/>
        <v>51.061</v>
      </c>
      <c r="H7" s="59">
        <f t="shared" si="3"/>
        <v>52.290999999999997</v>
      </c>
      <c r="I7" s="59">
        <f t="shared" si="3"/>
        <v>57.106000000000002</v>
      </c>
      <c r="J7" s="59">
        <f t="shared" si="3"/>
        <v>55.682000000000002</v>
      </c>
      <c r="K7" s="59">
        <f t="shared" si="3"/>
        <v>48.853999999999999</v>
      </c>
      <c r="L7" s="59">
        <f t="shared" si="3"/>
        <v>49.344000000000001</v>
      </c>
      <c r="M7" s="59">
        <f t="shared" si="3"/>
        <v>57.109000000000002</v>
      </c>
      <c r="N7" s="59">
        <f t="shared" si="3"/>
        <v>55.432000000000002</v>
      </c>
      <c r="O7" s="59">
        <f t="shared" si="3"/>
        <v>57.758000000000003</v>
      </c>
      <c r="P7" s="59">
        <f t="shared" si="3"/>
        <v>54.243000000000002</v>
      </c>
      <c r="Q7" s="59">
        <f t="shared" si="3"/>
        <v>56.272000000000006</v>
      </c>
      <c r="R7" s="59">
        <f t="shared" ref="R7:V7" si="4">SUM(R8:R9)</f>
        <v>54.286999999999999</v>
      </c>
      <c r="S7" s="59">
        <f t="shared" si="4"/>
        <v>53.561999999999998</v>
      </c>
      <c r="T7" s="59">
        <f t="shared" si="4"/>
        <v>52.494999999999997</v>
      </c>
      <c r="U7" s="59">
        <f t="shared" si="4"/>
        <v>50.344000000000001</v>
      </c>
      <c r="V7" s="59">
        <f t="shared" si="4"/>
        <v>42.893999999999998</v>
      </c>
      <c r="W7" s="59">
        <f t="shared" ref="W7" si="5">SUM(W8:W9)</f>
        <v>46.5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6.0000000000000001E-3</v>
      </c>
      <c r="C8" s="60">
        <v>5.0000000000000001E-3</v>
      </c>
      <c r="D8" s="60">
        <v>5.0000000000000001E-3</v>
      </c>
      <c r="E8" s="60">
        <v>5.0000000000000001E-3</v>
      </c>
      <c r="F8" s="60">
        <v>6.0000000000000001E-3</v>
      </c>
      <c r="G8" s="60">
        <v>7.0000000000000001E-3</v>
      </c>
      <c r="H8" s="60">
        <v>7.0000000000000001E-3</v>
      </c>
      <c r="I8" s="60">
        <v>8.0000000000000002E-3</v>
      </c>
      <c r="J8" s="60">
        <v>8.9999999999999993E-3</v>
      </c>
      <c r="K8" s="60">
        <v>8.0000000000000002E-3</v>
      </c>
      <c r="L8" s="60">
        <v>0.01</v>
      </c>
      <c r="M8" s="60">
        <v>1.0999999999999999E-2</v>
      </c>
      <c r="N8" s="60">
        <v>1.0999999999999999E-2</v>
      </c>
      <c r="O8" s="60">
        <v>8.9999999999999993E-3</v>
      </c>
      <c r="P8" s="60">
        <v>1.0999999999999999E-2</v>
      </c>
      <c r="Q8" s="60">
        <v>1.0999999999999999E-2</v>
      </c>
      <c r="R8" s="60">
        <v>7.0000000000000001E-3</v>
      </c>
      <c r="S8" s="60">
        <v>1.2999999999999999E-2</v>
      </c>
      <c r="T8" s="60">
        <v>1.2E-2</v>
      </c>
      <c r="U8" s="60">
        <v>1.7999999999999999E-2</v>
      </c>
      <c r="V8" s="60">
        <v>1.2E-2</v>
      </c>
      <c r="W8" s="60">
        <v>1.0999999999999999E-2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47.817999999999998</v>
      </c>
      <c r="C9" s="61">
        <v>49.024999999999999</v>
      </c>
      <c r="D9" s="61">
        <v>49.427999999999997</v>
      </c>
      <c r="E9" s="61">
        <v>46.795999999999999</v>
      </c>
      <c r="F9" s="61">
        <v>49.451999999999998</v>
      </c>
      <c r="G9" s="61">
        <v>51.054000000000002</v>
      </c>
      <c r="H9" s="61">
        <v>52.283999999999999</v>
      </c>
      <c r="I9" s="61">
        <v>57.097999999999999</v>
      </c>
      <c r="J9" s="61">
        <v>55.673000000000002</v>
      </c>
      <c r="K9" s="61">
        <v>48.845999999999997</v>
      </c>
      <c r="L9" s="61">
        <v>49.334000000000003</v>
      </c>
      <c r="M9" s="61">
        <v>57.097999999999999</v>
      </c>
      <c r="N9" s="61">
        <v>55.420999999999999</v>
      </c>
      <c r="O9" s="61">
        <v>57.749000000000002</v>
      </c>
      <c r="P9" s="61">
        <v>54.231999999999999</v>
      </c>
      <c r="Q9" s="61">
        <v>56.261000000000003</v>
      </c>
      <c r="R9" s="61">
        <v>54.28</v>
      </c>
      <c r="S9" s="61">
        <v>53.548999999999999</v>
      </c>
      <c r="T9" s="61">
        <v>52.482999999999997</v>
      </c>
      <c r="U9" s="61">
        <v>50.326000000000001</v>
      </c>
      <c r="V9" s="61">
        <v>42.881999999999998</v>
      </c>
      <c r="W9" s="61">
        <v>46.488999999999997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863.27804031448647</v>
      </c>
      <c r="C13" s="62">
        <f t="shared" si="6"/>
        <v>852.67674892922707</v>
      </c>
      <c r="D13" s="62">
        <f t="shared" si="6"/>
        <v>829.34171504865174</v>
      </c>
      <c r="E13" s="62">
        <f t="shared" si="6"/>
        <v>834.28918185508849</v>
      </c>
      <c r="F13" s="62">
        <f t="shared" ref="F13:V13" si="7">IF(F3=0,0,F3/F7)</f>
        <v>870.75704638278955</v>
      </c>
      <c r="G13" s="62">
        <f t="shared" si="7"/>
        <v>827.47972033450196</v>
      </c>
      <c r="H13" s="62">
        <f t="shared" si="7"/>
        <v>807.7078847220364</v>
      </c>
      <c r="I13" s="62">
        <f t="shared" si="7"/>
        <v>814.4542604980212</v>
      </c>
      <c r="J13" s="62">
        <f t="shared" si="7"/>
        <v>830.78468804999807</v>
      </c>
      <c r="K13" s="62">
        <f t="shared" si="7"/>
        <v>775.52157448724768</v>
      </c>
      <c r="L13" s="62">
        <f t="shared" si="7"/>
        <v>944.21672341115436</v>
      </c>
      <c r="M13" s="62">
        <f t="shared" si="7"/>
        <v>814.09530897056504</v>
      </c>
      <c r="N13" s="62">
        <f t="shared" si="7"/>
        <v>858.07140279982684</v>
      </c>
      <c r="O13" s="62">
        <f t="shared" si="7"/>
        <v>842.34414280272858</v>
      </c>
      <c r="P13" s="62">
        <f t="shared" si="7"/>
        <v>909.34044945891628</v>
      </c>
      <c r="Q13" s="62">
        <f t="shared" si="7"/>
        <v>863.12091270969574</v>
      </c>
      <c r="R13" s="62">
        <f t="shared" si="7"/>
        <v>899.27746974413765</v>
      </c>
      <c r="S13" s="62">
        <f t="shared" si="7"/>
        <v>915.88674806765994</v>
      </c>
      <c r="T13" s="62">
        <f t="shared" si="7"/>
        <v>893.99700923897512</v>
      </c>
      <c r="U13" s="62">
        <f t="shared" si="7"/>
        <v>934.54375893850317</v>
      </c>
      <c r="V13" s="62">
        <f t="shared" si="7"/>
        <v>1053.8705879610202</v>
      </c>
      <c r="W13" s="62">
        <f t="shared" ref="W13" si="8">IF(W3=0,0,W3/W7)</f>
        <v>1019.9654193548387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2401.5</v>
      </c>
      <c r="C14" s="63">
        <f t="shared" si="6"/>
        <v>2748.2</v>
      </c>
      <c r="D14" s="63">
        <f t="shared" si="6"/>
        <v>2769.8</v>
      </c>
      <c r="E14" s="63">
        <f t="shared" si="6"/>
        <v>2913.6</v>
      </c>
      <c r="F14" s="63">
        <f t="shared" ref="F14:V14" si="9">IF(F4=0,0,F4/F8)</f>
        <v>2817</v>
      </c>
      <c r="G14" s="63">
        <f t="shared" si="9"/>
        <v>2706</v>
      </c>
      <c r="H14" s="63">
        <f t="shared" si="9"/>
        <v>2979</v>
      </c>
      <c r="I14" s="63">
        <f t="shared" si="9"/>
        <v>3028.125</v>
      </c>
      <c r="J14" s="63">
        <f t="shared" si="9"/>
        <v>2861.4444444444448</v>
      </c>
      <c r="K14" s="63">
        <f t="shared" si="9"/>
        <v>3041.375</v>
      </c>
      <c r="L14" s="63">
        <f t="shared" si="9"/>
        <v>2943</v>
      </c>
      <c r="M14" s="63">
        <f t="shared" si="9"/>
        <v>2742.636363636364</v>
      </c>
      <c r="N14" s="63">
        <f t="shared" si="9"/>
        <v>2874.0000000000005</v>
      </c>
      <c r="O14" s="63">
        <f t="shared" si="9"/>
        <v>2790.3333333333335</v>
      </c>
      <c r="P14" s="63">
        <f t="shared" si="9"/>
        <v>2759.4545454545455</v>
      </c>
      <c r="Q14" s="63">
        <f t="shared" si="9"/>
        <v>3140</v>
      </c>
      <c r="R14" s="63">
        <f t="shared" si="9"/>
        <v>3010.8571428571427</v>
      </c>
      <c r="S14" s="63">
        <f t="shared" si="9"/>
        <v>3209.6923076923076</v>
      </c>
      <c r="T14" s="63">
        <f t="shared" si="9"/>
        <v>3197.7499999999995</v>
      </c>
      <c r="U14" s="63">
        <f t="shared" si="9"/>
        <v>3092.8333333333335</v>
      </c>
      <c r="V14" s="63">
        <f t="shared" si="9"/>
        <v>3227.0833333333335</v>
      </c>
      <c r="W14" s="63">
        <f t="shared" ref="W14" si="10">IF(W4=0,0,W4/W8)</f>
        <v>3126.545454545455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863.08503074156181</v>
      </c>
      <c r="C15" s="64">
        <f t="shared" si="6"/>
        <v>852.48342682304951</v>
      </c>
      <c r="D15" s="64">
        <f t="shared" si="6"/>
        <v>829.14542364651618</v>
      </c>
      <c r="E15" s="64">
        <f t="shared" si="6"/>
        <v>834.06701427472433</v>
      </c>
      <c r="F15" s="64">
        <f t="shared" ref="F15:V15" si="11">IF(F5=0,0,F5/F9)</f>
        <v>870.52090916444229</v>
      </c>
      <c r="G15" s="64">
        <f t="shared" si="11"/>
        <v>827.22215693187604</v>
      </c>
      <c r="H15" s="64">
        <f t="shared" si="11"/>
        <v>807.41718307704082</v>
      </c>
      <c r="I15" s="64">
        <f t="shared" si="11"/>
        <v>814.14410312094992</v>
      </c>
      <c r="J15" s="64">
        <f t="shared" si="11"/>
        <v>830.45641513839735</v>
      </c>
      <c r="K15" s="64">
        <f t="shared" si="11"/>
        <v>775.15047291487542</v>
      </c>
      <c r="L15" s="64">
        <f t="shared" si="11"/>
        <v>943.81157011391736</v>
      </c>
      <c r="M15" s="64">
        <f t="shared" si="11"/>
        <v>813.72377316193217</v>
      </c>
      <c r="N15" s="64">
        <f t="shared" si="11"/>
        <v>857.67127983977196</v>
      </c>
      <c r="O15" s="64">
        <f t="shared" si="11"/>
        <v>842.04055481480191</v>
      </c>
      <c r="P15" s="64">
        <f t="shared" si="11"/>
        <v>908.96518660569404</v>
      </c>
      <c r="Q15" s="64">
        <f t="shared" si="11"/>
        <v>862.67574341017757</v>
      </c>
      <c r="R15" s="64">
        <f t="shared" si="11"/>
        <v>899.0051584377303</v>
      </c>
      <c r="S15" s="64">
        <f t="shared" si="11"/>
        <v>915.3298847784273</v>
      </c>
      <c r="T15" s="64">
        <f t="shared" si="11"/>
        <v>893.47026656250603</v>
      </c>
      <c r="U15" s="64">
        <f t="shared" si="11"/>
        <v>933.7718078130589</v>
      </c>
      <c r="V15" s="64">
        <f t="shared" si="11"/>
        <v>1053.2624411174852</v>
      </c>
      <c r="W15" s="64">
        <f t="shared" ref="W15" si="12">IF(W5=0,0,W5/W9)</f>
        <v>1019.4669706812365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3.4900950115330094E-4</v>
      </c>
      <c r="C18" s="66">
        <f t="shared" si="16"/>
        <v>3.2867905202177801E-4</v>
      </c>
      <c r="D18" s="66">
        <f t="shared" si="16"/>
        <v>3.3780644946639678E-4</v>
      </c>
      <c r="E18" s="66">
        <f t="shared" si="16"/>
        <v>3.7310252472188394E-4</v>
      </c>
      <c r="F18" s="66">
        <f t="shared" ref="F18:V18" si="17">IF(F4=0,0,F4/F$3)</f>
        <v>3.9246826874774388E-4</v>
      </c>
      <c r="G18" s="66">
        <f t="shared" si="17"/>
        <v>4.4831075456839355E-4</v>
      </c>
      <c r="H18" s="66">
        <f t="shared" si="17"/>
        <v>4.9372744999372925E-4</v>
      </c>
      <c r="I18" s="66">
        <f t="shared" si="17"/>
        <v>5.2085321023495374E-4</v>
      </c>
      <c r="J18" s="66">
        <f t="shared" si="17"/>
        <v>5.5670422624176142E-4</v>
      </c>
      <c r="K18" s="66">
        <f t="shared" si="17"/>
        <v>6.4219356069183128E-4</v>
      </c>
      <c r="L18" s="66">
        <f t="shared" si="17"/>
        <v>6.3166123040224345E-4</v>
      </c>
      <c r="M18" s="66">
        <f t="shared" si="17"/>
        <v>6.4890498010535924E-4</v>
      </c>
      <c r="N18" s="66">
        <f t="shared" si="17"/>
        <v>6.646537697120805E-4</v>
      </c>
      <c r="O18" s="66">
        <f t="shared" si="17"/>
        <v>5.161749089911059E-4</v>
      </c>
      <c r="P18" s="66">
        <f t="shared" si="17"/>
        <v>6.153833178774551E-4</v>
      </c>
      <c r="Q18" s="66">
        <f t="shared" si="17"/>
        <v>7.111452980612952E-4</v>
      </c>
      <c r="R18" s="66">
        <f t="shared" si="17"/>
        <v>4.3171648721905347E-4</v>
      </c>
      <c r="S18" s="66">
        <f t="shared" si="17"/>
        <v>8.5056634231970554E-4</v>
      </c>
      <c r="T18" s="66">
        <f t="shared" si="17"/>
        <v>8.1765810810836717E-4</v>
      </c>
      <c r="U18" s="66">
        <f t="shared" si="17"/>
        <v>1.1832640288606663E-3</v>
      </c>
      <c r="V18" s="66">
        <f t="shared" si="17"/>
        <v>8.5665823650071988E-4</v>
      </c>
      <c r="W18" s="66">
        <f t="shared" ref="W18" si="18">IF(W4=0,0,W4/W$3)</f>
        <v>7.2513527340332354E-4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0.99965099049884676</v>
      </c>
      <c r="C19" s="67">
        <f t="shared" si="19"/>
        <v>0.99967132094797817</v>
      </c>
      <c r="D19" s="67">
        <f t="shared" si="19"/>
        <v>0.99966219355053354</v>
      </c>
      <c r="E19" s="67">
        <f t="shared" si="19"/>
        <v>0.99962689747527811</v>
      </c>
      <c r="F19" s="67">
        <f t="shared" ref="F19:V19" si="20">IF(F5=0,0,F5/F$3)</f>
        <v>0.99960753173125216</v>
      </c>
      <c r="G19" s="67">
        <f t="shared" si="20"/>
        <v>0.99955168924543158</v>
      </c>
      <c r="H19" s="67">
        <f t="shared" si="20"/>
        <v>0.99950627255000624</v>
      </c>
      <c r="I19" s="67">
        <f t="shared" si="20"/>
        <v>0.99947914678976513</v>
      </c>
      <c r="J19" s="67">
        <f t="shared" si="20"/>
        <v>0.99944329577375834</v>
      </c>
      <c r="K19" s="67">
        <f t="shared" si="20"/>
        <v>0.99935780643930816</v>
      </c>
      <c r="L19" s="67">
        <f t="shared" si="20"/>
        <v>0.99936833876959774</v>
      </c>
      <c r="M19" s="67">
        <f t="shared" si="20"/>
        <v>0.99935109501989461</v>
      </c>
      <c r="N19" s="67">
        <f t="shared" si="20"/>
        <v>0.99933534623028786</v>
      </c>
      <c r="O19" s="67">
        <f t="shared" si="20"/>
        <v>0.99948382509100897</v>
      </c>
      <c r="P19" s="67">
        <f t="shared" si="20"/>
        <v>0.99938461668212253</v>
      </c>
      <c r="Q19" s="67">
        <f t="shared" si="20"/>
        <v>0.99928885470193873</v>
      </c>
      <c r="R19" s="67">
        <f t="shared" si="20"/>
        <v>0.99956828351278093</v>
      </c>
      <c r="S19" s="67">
        <f t="shared" si="20"/>
        <v>0.99914943365768027</v>
      </c>
      <c r="T19" s="67">
        <f t="shared" si="20"/>
        <v>0.99918234189189159</v>
      </c>
      <c r="U19" s="67">
        <f t="shared" si="20"/>
        <v>0.99881673597113929</v>
      </c>
      <c r="V19" s="67">
        <f t="shared" si="20"/>
        <v>0.99914334176349928</v>
      </c>
      <c r="W19" s="67">
        <f t="shared" ref="W19" si="21">IF(W5=0,0,W5/W$3)</f>
        <v>0.99927486472659666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1.2546002007360322E-4</v>
      </c>
      <c r="C22" s="66">
        <f t="shared" si="25"/>
        <v>1.0197838058331633E-4</v>
      </c>
      <c r="D22" s="66">
        <f t="shared" si="25"/>
        <v>1.011470070600611E-4</v>
      </c>
      <c r="E22" s="66">
        <f t="shared" si="25"/>
        <v>1.0683532403153778E-4</v>
      </c>
      <c r="F22" s="66">
        <f t="shared" ref="F22:V22" si="26">IF(F8=0,0,F8/F$7)</f>
        <v>1.2131505519835012E-4</v>
      </c>
      <c r="G22" s="66">
        <f t="shared" si="26"/>
        <v>1.3709093045572942E-4</v>
      </c>
      <c r="H22" s="66">
        <f t="shared" si="26"/>
        <v>1.3386624849400471E-4</v>
      </c>
      <c r="I22" s="66">
        <f t="shared" si="26"/>
        <v>1.4009035828109131E-4</v>
      </c>
      <c r="J22" s="66">
        <f t="shared" si="26"/>
        <v>1.6163212528285621E-4</v>
      </c>
      <c r="K22" s="66">
        <f t="shared" si="26"/>
        <v>1.6375322389159538E-4</v>
      </c>
      <c r="L22" s="66">
        <f t="shared" si="26"/>
        <v>2.0265888456549936E-4</v>
      </c>
      <c r="M22" s="66">
        <f t="shared" si="26"/>
        <v>1.9261412386839199E-4</v>
      </c>
      <c r="N22" s="66">
        <f t="shared" si="26"/>
        <v>1.9844133352576128E-4</v>
      </c>
      <c r="O22" s="66">
        <f t="shared" si="26"/>
        <v>1.5582257003358841E-4</v>
      </c>
      <c r="P22" s="66">
        <f t="shared" si="26"/>
        <v>2.0279114355769407E-4</v>
      </c>
      <c r="Q22" s="66">
        <f t="shared" si="26"/>
        <v>1.9547910150696614E-4</v>
      </c>
      <c r="R22" s="66">
        <f t="shared" si="26"/>
        <v>1.289443144767624E-4</v>
      </c>
      <c r="S22" s="66">
        <f t="shared" si="26"/>
        <v>2.4270938351816587E-4</v>
      </c>
      <c r="T22" s="66">
        <f t="shared" si="26"/>
        <v>2.2859319935231929E-4</v>
      </c>
      <c r="U22" s="66">
        <f t="shared" si="26"/>
        <v>3.5754012394724293E-4</v>
      </c>
      <c r="V22" s="66">
        <f t="shared" si="26"/>
        <v>2.7975940691005738E-4</v>
      </c>
      <c r="W22" s="66">
        <f t="shared" ref="W22" si="27">IF(W8=0,0,W8/W$7)</f>
        <v>2.3655913978494621E-4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0.99987453997992637</v>
      </c>
      <c r="C23" s="67">
        <f t="shared" si="28"/>
        <v>0.99989802161941665</v>
      </c>
      <c r="D23" s="67">
        <f t="shared" si="28"/>
        <v>0.9998988529929399</v>
      </c>
      <c r="E23" s="67">
        <f t="shared" si="28"/>
        <v>0.99989316467596845</v>
      </c>
      <c r="F23" s="67">
        <f t="shared" ref="F23:V23" si="29">IF(F9=0,0,F9/F$7)</f>
        <v>0.9998786849448017</v>
      </c>
      <c r="G23" s="67">
        <f t="shared" si="29"/>
        <v>0.99986290906954434</v>
      </c>
      <c r="H23" s="67">
        <f t="shared" si="29"/>
        <v>0.99986613375150601</v>
      </c>
      <c r="I23" s="67">
        <f t="shared" si="29"/>
        <v>0.99985990964171889</v>
      </c>
      <c r="J23" s="67">
        <f t="shared" si="29"/>
        <v>0.99983836787471714</v>
      </c>
      <c r="K23" s="67">
        <f t="shared" si="29"/>
        <v>0.99983624677610838</v>
      </c>
      <c r="L23" s="67">
        <f t="shared" si="29"/>
        <v>0.9997973411154345</v>
      </c>
      <c r="M23" s="67">
        <f t="shared" si="29"/>
        <v>0.9998073858761316</v>
      </c>
      <c r="N23" s="67">
        <f t="shared" si="29"/>
        <v>0.99980155866647424</v>
      </c>
      <c r="O23" s="67">
        <f t="shared" si="29"/>
        <v>0.99984417742996645</v>
      </c>
      <c r="P23" s="67">
        <f t="shared" si="29"/>
        <v>0.9997972088564423</v>
      </c>
      <c r="Q23" s="67">
        <f t="shared" si="29"/>
        <v>0.99980452089849303</v>
      </c>
      <c r="R23" s="67">
        <f t="shared" si="29"/>
        <v>0.99987105568552326</v>
      </c>
      <c r="S23" s="67">
        <f t="shared" si="29"/>
        <v>0.99975729061648189</v>
      </c>
      <c r="T23" s="67">
        <f t="shared" si="29"/>
        <v>0.99977140680064769</v>
      </c>
      <c r="U23" s="67">
        <f t="shared" si="29"/>
        <v>0.99964245987605271</v>
      </c>
      <c r="V23" s="67">
        <f t="shared" si="29"/>
        <v>0.99972024059308995</v>
      </c>
      <c r="W23" s="67">
        <f t="shared" ref="W23" si="30">IF(W9=0,0,W9/W$7)</f>
        <v>0.99976344086021496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243.97394668959589</v>
      </c>
      <c r="C3" s="62">
        <f t="shared" ref="C3:V3" si="0">SUM(C4,C10)</f>
        <v>253.23877901977642</v>
      </c>
      <c r="D3" s="62">
        <f t="shared" si="0"/>
        <v>262.50361134995705</v>
      </c>
      <c r="E3" s="62">
        <f t="shared" si="0"/>
        <v>247.0621668099742</v>
      </c>
      <c r="F3" s="62">
        <f t="shared" si="0"/>
        <v>250.15047291487531</v>
      </c>
      <c r="G3" s="62">
        <f t="shared" si="0"/>
        <v>271.76844368013752</v>
      </c>
      <c r="H3" s="62">
        <f t="shared" si="0"/>
        <v>285.15098882201198</v>
      </c>
      <c r="I3" s="62">
        <f t="shared" si="0"/>
        <v>308.82777300085979</v>
      </c>
      <c r="J3" s="62">
        <f t="shared" si="0"/>
        <v>316.76698194325019</v>
      </c>
      <c r="K3" s="62">
        <f t="shared" si="0"/>
        <v>321.92605331040409</v>
      </c>
      <c r="L3" s="62">
        <f t="shared" si="0"/>
        <v>361.13499570077391</v>
      </c>
      <c r="M3" s="62">
        <f t="shared" si="0"/>
        <v>365.26225279449699</v>
      </c>
      <c r="N3" s="62">
        <f t="shared" si="0"/>
        <v>336.37145313843507</v>
      </c>
      <c r="O3" s="62">
        <f t="shared" si="0"/>
        <v>357.00773860705067</v>
      </c>
      <c r="P3" s="62">
        <f t="shared" si="0"/>
        <v>310.57609630266552</v>
      </c>
      <c r="Q3" s="62">
        <f t="shared" si="0"/>
        <v>339.49011177987956</v>
      </c>
      <c r="R3" s="62">
        <f t="shared" si="0"/>
        <v>314.29845227858982</v>
      </c>
      <c r="S3" s="62">
        <f t="shared" si="0"/>
        <v>304.5380911435941</v>
      </c>
      <c r="T3" s="62">
        <f t="shared" si="0"/>
        <v>305.7774720550301</v>
      </c>
      <c r="U3" s="62">
        <f t="shared" si="0"/>
        <v>280.54608770421328</v>
      </c>
      <c r="V3" s="62">
        <f t="shared" si="0"/>
        <v>211.92897678417884</v>
      </c>
      <c r="W3" s="62">
        <f t="shared" ref="W3" si="1">SUM(W4,W10)</f>
        <v>237.37979363714533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0.28288372402280343</v>
      </c>
      <c r="C4" s="71">
        <f t="shared" ref="C4:V4" si="2">SUM(C5:C9)</f>
        <v>0.24352752332015293</v>
      </c>
      <c r="D4" s="71">
        <f t="shared" si="2"/>
        <v>0.26538927181296607</v>
      </c>
      <c r="E4" s="71">
        <f t="shared" si="2"/>
        <v>0.25930176608648303</v>
      </c>
      <c r="F4" s="71">
        <f t="shared" si="2"/>
        <v>0.29367614268320891</v>
      </c>
      <c r="G4" s="71">
        <f t="shared" si="2"/>
        <v>0.37206647254624958</v>
      </c>
      <c r="H4" s="71">
        <f t="shared" si="2"/>
        <v>0.38627118285864825</v>
      </c>
      <c r="I4" s="71">
        <f t="shared" si="2"/>
        <v>0.43703710361843984</v>
      </c>
      <c r="J4" s="71">
        <f t="shared" si="2"/>
        <v>0.54044272264223758</v>
      </c>
      <c r="K4" s="71">
        <f t="shared" si="2"/>
        <v>0.54397426054004516</v>
      </c>
      <c r="L4" s="71">
        <f t="shared" si="2"/>
        <v>0.75955060925916085</v>
      </c>
      <c r="M4" s="71">
        <f t="shared" si="2"/>
        <v>0.75233566970031684</v>
      </c>
      <c r="N4" s="71">
        <f t="shared" si="2"/>
        <v>0.69319290320889004</v>
      </c>
      <c r="O4" s="71">
        <f t="shared" si="2"/>
        <v>0.55915194711339022</v>
      </c>
      <c r="P4" s="71">
        <f t="shared" si="2"/>
        <v>0.6386138863818297</v>
      </c>
      <c r="Q4" s="71">
        <f t="shared" si="2"/>
        <v>0.67471337885924632</v>
      </c>
      <c r="R4" s="71">
        <f t="shared" si="2"/>
        <v>0.42450630078255935</v>
      </c>
      <c r="S4" s="71">
        <f t="shared" si="2"/>
        <v>0.83591080415185826</v>
      </c>
      <c r="T4" s="71">
        <f t="shared" si="2"/>
        <v>0.77334297676520691</v>
      </c>
      <c r="U4" s="71">
        <f t="shared" si="2"/>
        <v>1.0747280529116692</v>
      </c>
      <c r="V4" s="71">
        <f t="shared" si="2"/>
        <v>0.58950727835940908</v>
      </c>
      <c r="W4" s="71">
        <f t="shared" ref="W4" si="3">SUM(W5:W9)</f>
        <v>0.56620376487856028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0.28288372402280343</v>
      </c>
      <c r="C5" s="73">
        <v>0.24352752332015293</v>
      </c>
      <c r="D5" s="73">
        <v>0.26538927181296607</v>
      </c>
      <c r="E5" s="73">
        <v>0.25930176608648303</v>
      </c>
      <c r="F5" s="73">
        <v>0.29367614268320891</v>
      </c>
      <c r="G5" s="73">
        <v>0.37206647254624958</v>
      </c>
      <c r="H5" s="73">
        <v>0.38627118285864825</v>
      </c>
      <c r="I5" s="73">
        <v>0.43703710361843984</v>
      </c>
      <c r="J5" s="73">
        <v>0.54044272264223758</v>
      </c>
      <c r="K5" s="73">
        <v>0.54397426054004516</v>
      </c>
      <c r="L5" s="73">
        <v>0.75955060925916085</v>
      </c>
      <c r="M5" s="73">
        <v>0.75233566970031684</v>
      </c>
      <c r="N5" s="73">
        <v>0.69319290320889004</v>
      </c>
      <c r="O5" s="73">
        <v>0.55915194711339022</v>
      </c>
      <c r="P5" s="73">
        <v>0.6386138863818297</v>
      </c>
      <c r="Q5" s="73">
        <v>0.67471337885924632</v>
      </c>
      <c r="R5" s="73">
        <v>0.42450630078255935</v>
      </c>
      <c r="S5" s="73">
        <v>0.83591080415185826</v>
      </c>
      <c r="T5" s="73">
        <v>0.76977809291807153</v>
      </c>
      <c r="U5" s="73">
        <v>1.0639697410036664</v>
      </c>
      <c r="V5" s="73">
        <v>0.58533842611742093</v>
      </c>
      <c r="W5" s="73">
        <v>0.56394098187324859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3.5648838471353745E-3</v>
      </c>
      <c r="U7" s="73">
        <v>1.0758311908002794E-2</v>
      </c>
      <c r="V7" s="73">
        <v>4.1688522419881819E-3</v>
      </c>
      <c r="W7" s="73">
        <v>2.2627830053117003E-3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243.69106296557308</v>
      </c>
      <c r="C10" s="71">
        <f t="shared" ref="C10:V10" si="4">SUM(C11:C15)</f>
        <v>252.99525149645626</v>
      </c>
      <c r="D10" s="71">
        <f t="shared" si="4"/>
        <v>262.23822207814408</v>
      </c>
      <c r="E10" s="71">
        <f t="shared" si="4"/>
        <v>246.80286504388772</v>
      </c>
      <c r="F10" s="71">
        <f t="shared" si="4"/>
        <v>249.8567967721921</v>
      </c>
      <c r="G10" s="71">
        <f t="shared" si="4"/>
        <v>271.39637720759129</v>
      </c>
      <c r="H10" s="71">
        <f t="shared" si="4"/>
        <v>284.76471763915333</v>
      </c>
      <c r="I10" s="71">
        <f t="shared" si="4"/>
        <v>308.39073589724137</v>
      </c>
      <c r="J10" s="71">
        <f t="shared" si="4"/>
        <v>316.22653922060795</v>
      </c>
      <c r="K10" s="71">
        <f t="shared" si="4"/>
        <v>321.38207904986405</v>
      </c>
      <c r="L10" s="71">
        <f t="shared" si="4"/>
        <v>360.37544509151473</v>
      </c>
      <c r="M10" s="71">
        <f t="shared" si="4"/>
        <v>364.50991712479669</v>
      </c>
      <c r="N10" s="71">
        <f t="shared" si="4"/>
        <v>335.67826023522616</v>
      </c>
      <c r="O10" s="71">
        <f t="shared" si="4"/>
        <v>356.44858665993729</v>
      </c>
      <c r="P10" s="71">
        <f t="shared" si="4"/>
        <v>309.93748241628367</v>
      </c>
      <c r="Q10" s="71">
        <f t="shared" si="4"/>
        <v>338.81539840102033</v>
      </c>
      <c r="R10" s="71">
        <f t="shared" si="4"/>
        <v>313.87394597780724</v>
      </c>
      <c r="S10" s="71">
        <f t="shared" si="4"/>
        <v>303.70218033944224</v>
      </c>
      <c r="T10" s="71">
        <f t="shared" si="4"/>
        <v>305.0041290782649</v>
      </c>
      <c r="U10" s="71">
        <f t="shared" si="4"/>
        <v>279.47135965130161</v>
      </c>
      <c r="V10" s="71">
        <f t="shared" si="4"/>
        <v>211.33946950581944</v>
      </c>
      <c r="W10" s="71">
        <f t="shared" ref="W10" si="5">SUM(W11:W15)</f>
        <v>236.81358987226676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243.69106296557308</v>
      </c>
      <c r="C11" s="73">
        <v>252.99525149645626</v>
      </c>
      <c r="D11" s="73">
        <v>262.23822207814408</v>
      </c>
      <c r="E11" s="73">
        <v>246.80286504388772</v>
      </c>
      <c r="F11" s="73">
        <v>249.8567967721921</v>
      </c>
      <c r="G11" s="73">
        <v>271.39637720759129</v>
      </c>
      <c r="H11" s="73">
        <v>284.76471763915333</v>
      </c>
      <c r="I11" s="73">
        <v>308.39073589724137</v>
      </c>
      <c r="J11" s="73">
        <v>316.22653922060795</v>
      </c>
      <c r="K11" s="73">
        <v>321.38207904986405</v>
      </c>
      <c r="L11" s="73">
        <v>360.37544509151473</v>
      </c>
      <c r="M11" s="73">
        <v>364.50991712479669</v>
      </c>
      <c r="N11" s="73">
        <v>335.67826023522616</v>
      </c>
      <c r="O11" s="73">
        <v>356.44858665993729</v>
      </c>
      <c r="P11" s="73">
        <v>309.93748241628367</v>
      </c>
      <c r="Q11" s="73">
        <v>338.81539840102033</v>
      </c>
      <c r="R11" s="73">
        <v>313.87394597780724</v>
      </c>
      <c r="S11" s="73">
        <v>303.70218033944224</v>
      </c>
      <c r="T11" s="73">
        <v>303.59814968008277</v>
      </c>
      <c r="U11" s="73">
        <v>276.67377746449938</v>
      </c>
      <c r="V11" s="73">
        <v>209.84492812590321</v>
      </c>
      <c r="W11" s="73">
        <v>235.86718541537525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1.4059793981820996</v>
      </c>
      <c r="U13" s="73">
        <v>2.7975821868022295</v>
      </c>
      <c r="V13" s="73">
        <v>1.494541379916223</v>
      </c>
      <c r="W13" s="73">
        <v>0.94640445689150676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510.1496041518817</v>
      </c>
      <c r="C19" s="62">
        <f>IF(C3=0,0,C3/TrNavi_act!C7*100)</f>
        <v>516.49761170666204</v>
      </c>
      <c r="D19" s="62">
        <f>IF(D3=0,0,D3/TrNavi_act!D7*100)</f>
        <v>531.0290926101128</v>
      </c>
      <c r="E19" s="62">
        <f>IF(E3=0,0,E3/TrNavi_act!E7*100)</f>
        <v>527.89933294154866</v>
      </c>
      <c r="F19" s="62">
        <f>IF(F3=0,0,F3/TrNavi_act!F7*100)</f>
        <v>505.7836404926914</v>
      </c>
      <c r="G19" s="62">
        <f>IF(G3=0,0,G3/TrNavi_act!G7*100)</f>
        <v>532.24269732307926</v>
      </c>
      <c r="H19" s="62">
        <f>IF(H3=0,0,H3/TrNavi_act!H7*100)</f>
        <v>545.31561611369455</v>
      </c>
      <c r="I19" s="62">
        <f>IF(I3=0,0,I3/TrNavi_act!I7*100)</f>
        <v>540.79741708552478</v>
      </c>
      <c r="J19" s="62">
        <f>IF(J3=0,0,J3/TrNavi_act!J7*100)</f>
        <v>568.88578345470739</v>
      </c>
      <c r="K19" s="62">
        <f>IF(K3=0,0,K3/TrNavi_act!K7*100)</f>
        <v>658.95536355345325</v>
      </c>
      <c r="L19" s="62">
        <f>IF(L3=0,0,L3/TrNavi_act!L7*100)</f>
        <v>731.87215406285247</v>
      </c>
      <c r="M19" s="62">
        <f>IF(M3=0,0,M3/TrNavi_act!M7*100)</f>
        <v>639.58789822006509</v>
      </c>
      <c r="N19" s="62">
        <f>IF(N3=0,0,N3/TrNavi_act!N7*100)</f>
        <v>606.81817927990153</v>
      </c>
      <c r="O19" s="62">
        <f>IF(O3=0,0,O3/TrNavi_act!O7*100)</f>
        <v>618.10959279589088</v>
      </c>
      <c r="P19" s="62">
        <f>IF(P3=0,0,P3/TrNavi_act!P7*100)</f>
        <v>572.56437937183694</v>
      </c>
      <c r="Q19" s="62">
        <f>IF(Q3=0,0,Q3/TrNavi_act!Q7*100)</f>
        <v>603.3020183748215</v>
      </c>
      <c r="R19" s="62">
        <f>IF(R3=0,0,R3/TrNavi_act!R7*100)</f>
        <v>578.95712100243122</v>
      </c>
      <c r="S19" s="62">
        <f>IF(S3=0,0,S3/TrNavi_act!S7*100)</f>
        <v>568.57117199431332</v>
      </c>
      <c r="T19" s="62">
        <f>IF(T3=0,0,T3/TrNavi_act!T7*100)</f>
        <v>582.48875522436435</v>
      </c>
      <c r="U19" s="62">
        <f>IF(U3=0,0,U3/TrNavi_act!U7*100)</f>
        <v>557.25823872599176</v>
      </c>
      <c r="V19" s="62">
        <f>IF(V3=0,0,V3/TrNavi_act!V7*100)</f>
        <v>494.07604043497662</v>
      </c>
      <c r="W19" s="62">
        <f>IF(W3=0,0,W3/TrNavi_act!W7*100)</f>
        <v>510.49417986482865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4714.7287337133903</v>
      </c>
      <c r="C20" s="63">
        <f>IF(C4=0,0,C4/TrNavi_act!C8*100)</f>
        <v>4870.5504664030586</v>
      </c>
      <c r="D20" s="63">
        <f>IF(D4=0,0,D4/TrNavi_act!D8*100)</f>
        <v>5307.7854362593216</v>
      </c>
      <c r="E20" s="63">
        <f>IF(E4=0,0,E4/TrNavi_act!E8*100)</f>
        <v>5186.0353217296606</v>
      </c>
      <c r="F20" s="63">
        <f>IF(F4=0,0,F4/TrNavi_act!F8*100)</f>
        <v>4894.6023780534815</v>
      </c>
      <c r="G20" s="63">
        <f>IF(G4=0,0,G4/TrNavi_act!G8*100)</f>
        <v>5315.2353220892801</v>
      </c>
      <c r="H20" s="63">
        <f>IF(H4=0,0,H4/TrNavi_act!H8*100)</f>
        <v>5518.1597551235463</v>
      </c>
      <c r="I20" s="63">
        <f>IF(I4=0,0,I4/TrNavi_act!I8*100)</f>
        <v>5462.9637952304975</v>
      </c>
      <c r="J20" s="63">
        <f>IF(J4=0,0,J4/TrNavi_act!J8*100)</f>
        <v>6004.9191404693065</v>
      </c>
      <c r="K20" s="63">
        <f>IF(K4=0,0,K4/TrNavi_act!K8*100)</f>
        <v>6799.6782567505652</v>
      </c>
      <c r="L20" s="63">
        <f>IF(L4=0,0,L4/TrNavi_act!L8*100)</f>
        <v>7595.5060925916086</v>
      </c>
      <c r="M20" s="63">
        <f>IF(M4=0,0,M4/TrNavi_act!M8*100)</f>
        <v>6839.4151790937894</v>
      </c>
      <c r="N20" s="63">
        <f>IF(N4=0,0,N4/TrNavi_act!N8*100)</f>
        <v>6301.7536655353642</v>
      </c>
      <c r="O20" s="63">
        <f>IF(O4=0,0,O4/TrNavi_act!O8*100)</f>
        <v>6212.7994123710032</v>
      </c>
      <c r="P20" s="63">
        <f>IF(P4=0,0,P4/TrNavi_act!P8*100)</f>
        <v>5805.5807852893613</v>
      </c>
      <c r="Q20" s="63">
        <f>IF(Q4=0,0,Q4/TrNavi_act!Q8*100)</f>
        <v>6133.7579896295128</v>
      </c>
      <c r="R20" s="63">
        <f>IF(R4=0,0,R4/TrNavi_act!R8*100)</f>
        <v>6064.3757254651337</v>
      </c>
      <c r="S20" s="63">
        <f>IF(S4=0,0,S4/TrNavi_act!S8*100)</f>
        <v>6430.0831088604482</v>
      </c>
      <c r="T20" s="63">
        <f>IF(T4=0,0,T4/TrNavi_act!T8*100)</f>
        <v>6444.524806376724</v>
      </c>
      <c r="U20" s="63">
        <f>IF(U4=0,0,U4/TrNavi_act!U8*100)</f>
        <v>5970.7114050648297</v>
      </c>
      <c r="V20" s="63">
        <f>IF(V4=0,0,V4/TrNavi_act!V8*100)</f>
        <v>4912.5606529950755</v>
      </c>
      <c r="W20" s="63">
        <f>IF(W4=0,0,W4/TrNavi_act!W8*100)</f>
        <v>5147.3069534414581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509.62203138059533</v>
      </c>
      <c r="C21" s="64">
        <f>IF(C10=0,0,C10/TrNavi_act!C9*100)</f>
        <v>516.05354716258296</v>
      </c>
      <c r="D21" s="64">
        <f>IF(D10=0,0,D10/TrNavi_act!D9*100)</f>
        <v>530.54588912791155</v>
      </c>
      <c r="E21" s="64">
        <f>IF(E10=0,0,E10/TrNavi_act!E9*100)</f>
        <v>527.40162630115344</v>
      </c>
      <c r="F21" s="64">
        <f>IF(F10=0,0,F10/TrNavi_act!F9*100)</f>
        <v>505.25114610570273</v>
      </c>
      <c r="G21" s="64">
        <f>IF(G10=0,0,G10/TrNavi_act!G9*100)</f>
        <v>531.5869025102661</v>
      </c>
      <c r="H21" s="64">
        <f>IF(H10=0,0,H10/TrNavi_act!H9*100)</f>
        <v>544.64983099830408</v>
      </c>
      <c r="I21" s="64">
        <f>IF(I10=0,0,I10/TrNavi_act!I9*100)</f>
        <v>540.10777242152335</v>
      </c>
      <c r="J21" s="64">
        <f>IF(J10=0,0,J10/TrNavi_act!J9*100)</f>
        <v>568.00700379107991</v>
      </c>
      <c r="K21" s="64">
        <f>IF(K10=0,0,K10/TrNavi_act!K9*100)</f>
        <v>657.94963569148774</v>
      </c>
      <c r="L21" s="64">
        <f>IF(L10=0,0,L10/TrNavi_act!L9*100)</f>
        <v>730.48089571393916</v>
      </c>
      <c r="M21" s="64">
        <f>IF(M10=0,0,M10/TrNavi_act!M9*100)</f>
        <v>638.39349386107517</v>
      </c>
      <c r="N21" s="64">
        <f>IF(N10=0,0,N10/TrNavi_act!N9*100)</f>
        <v>605.68784438250157</v>
      </c>
      <c r="O21" s="64">
        <f>IF(O10=0,0,O10/TrNavi_act!O9*100)</f>
        <v>617.23767798565734</v>
      </c>
      <c r="P21" s="64">
        <f>IF(P10=0,0,P10/TrNavi_act!P9*100)</f>
        <v>571.50295474311042</v>
      </c>
      <c r="Q21" s="64">
        <f>IF(Q10=0,0,Q10/TrNavi_act!Q9*100)</f>
        <v>602.22071843909691</v>
      </c>
      <c r="R21" s="64">
        <f>IF(R10=0,0,R10/TrNavi_act!R9*100)</f>
        <v>578.24971624503917</v>
      </c>
      <c r="S21" s="64">
        <f>IF(S10=0,0,S10/TrNavi_act!S9*100)</f>
        <v>567.14818267277121</v>
      </c>
      <c r="T21" s="64">
        <f>IF(T10=0,0,T10/TrNavi_act!T9*100)</f>
        <v>581.14842725885512</v>
      </c>
      <c r="U21" s="64">
        <f>IF(U10=0,0,U10/TrNavi_act!U9*100)</f>
        <v>555.32201973393796</v>
      </c>
      <c r="V21" s="64">
        <f>IF(V10=0,0,V10/TrNavi_act!V9*100)</f>
        <v>492.83958188941614</v>
      </c>
      <c r="W21" s="64">
        <f>IF(W10=0,0,W10/TrNavi_act!W9*100)</f>
        <v>509.39703988527771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5.9094472502281832</v>
      </c>
      <c r="C23" s="62">
        <f>IF(C3=0,0,C3/TrNavi_act!C3*1000)</f>
        <v>6.0573671365528448</v>
      </c>
      <c r="D23" s="62">
        <f>IF(D3=0,0,D3/TrNavi_act!D3*1000)</f>
        <v>6.4030192015478322</v>
      </c>
      <c r="E23" s="62">
        <f>IF(E3=0,0,E3/TrNavi_act!E3*1000)</f>
        <v>6.3275341982468847</v>
      </c>
      <c r="F23" s="62">
        <f>IF(F3=0,0,F3/TrNavi_act!F3*1000)</f>
        <v>5.8085506467477517</v>
      </c>
      <c r="G23" s="62">
        <f>IF(G3=0,0,G3/TrNavi_act!G3*1000)</f>
        <v>6.4320935515848605</v>
      </c>
      <c r="H23" s="62">
        <f>IF(H3=0,0,H3/TrNavi_act!H3*1000)</f>
        <v>6.7513964692985358</v>
      </c>
      <c r="I23" s="62">
        <f>IF(I3=0,0,I3/TrNavi_act!I3*1000)</f>
        <v>6.6399973984400162</v>
      </c>
      <c r="J23" s="62">
        <f>IF(J3=0,0,J3/TrNavi_act!J3*1000)</f>
        <v>6.8475718394616205</v>
      </c>
      <c r="K23" s="62">
        <f>IF(K3=0,0,K3/TrNavi_act!K3*1000)</f>
        <v>8.4969314230765978</v>
      </c>
      <c r="L23" s="62">
        <f>IF(L3=0,0,L3/TrNavi_act!L3*1000)</f>
        <v>7.7511034905083172</v>
      </c>
      <c r="M23" s="62">
        <f>IF(M3=0,0,M3/TrNavi_act!M3*1000)</f>
        <v>7.8564253002370563</v>
      </c>
      <c r="N23" s="62">
        <f>IF(N3=0,0,N3/TrNavi_act!N3*1000)</f>
        <v>7.0718844294297236</v>
      </c>
      <c r="O23" s="62">
        <f>IF(O3=0,0,O3/TrNavi_act!O3*1000)</f>
        <v>7.337969855637116</v>
      </c>
      <c r="P23" s="62">
        <f>IF(P3=0,0,P3/TrNavi_act!P3*1000)</f>
        <v>6.2964798246083653</v>
      </c>
      <c r="Q23" s="62">
        <f>IF(Q3=0,0,Q3/TrNavi_act!Q3*1000)</f>
        <v>6.9897740802132278</v>
      </c>
      <c r="R23" s="62">
        <f>IF(R3=0,0,R3/TrNavi_act!R3*1000)</f>
        <v>6.4380254201982403</v>
      </c>
      <c r="S23" s="62">
        <f>IF(S3=0,0,S3/TrNavi_act!S3*1000)</f>
        <v>6.2078763907643175</v>
      </c>
      <c r="T23" s="62">
        <f>IF(T3=0,0,T3/TrNavi_act!T3*1000)</f>
        <v>6.5155559717164424</v>
      </c>
      <c r="U23" s="62">
        <f>IF(U3=0,0,U3/TrNavi_act!U3*1000)</f>
        <v>5.9628908052304661</v>
      </c>
      <c r="V23" s="62">
        <f>IF(V3=0,0,V3/TrNavi_act!V3*1000)</f>
        <v>4.6882040933592419</v>
      </c>
      <c r="W23" s="62">
        <f>IF(W3=0,0,W3/TrNavi_act!W3*1000)</f>
        <v>5.0050145836094408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19.63243278664747</v>
      </c>
      <c r="C24" s="63">
        <f>IF(C4=0,0,C4/TrNavi_act!C4*1000)</f>
        <v>17.722692913190667</v>
      </c>
      <c r="D24" s="63">
        <f>IF(D4=0,0,D4/TrNavi_act!D4*1000)</f>
        <v>19.163063890025711</v>
      </c>
      <c r="E24" s="63">
        <f>IF(E4=0,0,E4/TrNavi_act!E4*1000)</f>
        <v>17.799407337073244</v>
      </c>
      <c r="F24" s="63">
        <f>IF(F4=0,0,F4/TrNavi_act!F4*1000)</f>
        <v>17.375230309029043</v>
      </c>
      <c r="G24" s="63">
        <f>IF(G4=0,0,G4/TrNavi_act!G4*1000)</f>
        <v>19.642406955244937</v>
      </c>
      <c r="H24" s="63">
        <f>IF(H4=0,0,H4/TrNavi_act!H4*1000)</f>
        <v>18.523530564362357</v>
      </c>
      <c r="I24" s="63">
        <f>IF(I4=0,0,I4/TrNavi_act!I4*1000)</f>
        <v>18.040747311390703</v>
      </c>
      <c r="J24" s="63">
        <f>IF(J4=0,0,J4/TrNavi_act!J4*1000)</f>
        <v>20.985621971895998</v>
      </c>
      <c r="K24" s="63">
        <f>IF(K4=0,0,K4/TrNavi_act!K4*1000)</f>
        <v>22.357250443469038</v>
      </c>
      <c r="L24" s="63">
        <f>IF(L4=0,0,L4/TrNavi_act!L4*1000)</f>
        <v>25.80871930883999</v>
      </c>
      <c r="M24" s="63">
        <f>IF(M4=0,0,M4/TrNavi_act!M4*1000)</f>
        <v>24.93737511022297</v>
      </c>
      <c r="N24" s="63">
        <f>IF(N4=0,0,N4/TrNavi_act!N4*1000)</f>
        <v>21.926769887040233</v>
      </c>
      <c r="O24" s="63">
        <f>IF(O4=0,0,O4/TrNavi_act!O4*1000)</f>
        <v>22.265438104304152</v>
      </c>
      <c r="P24" s="63">
        <f>IF(P4=0,0,P4/TrNavi_act!P4*1000)</f>
        <v>21.038870869797382</v>
      </c>
      <c r="Q24" s="63">
        <f>IF(Q4=0,0,Q4/TrNavi_act!Q4*1000)</f>
        <v>19.534261113469782</v>
      </c>
      <c r="R24" s="63">
        <f>IF(R4=0,0,R4/TrNavi_act!R4*1000)</f>
        <v>20.141692009041535</v>
      </c>
      <c r="S24" s="63">
        <f>IF(S4=0,0,S4/TrNavi_act!S4*1000)</f>
        <v>20.033331835111401</v>
      </c>
      <c r="T24" s="63">
        <f>IF(T4=0,0,T4/TrNavi_act!T4*1000)</f>
        <v>20.153310316243374</v>
      </c>
      <c r="U24" s="63">
        <f>IF(U4=0,0,U4/TrNavi_act!U4*1000)</f>
        <v>19.304989184883855</v>
      </c>
      <c r="V24" s="63">
        <f>IF(V4=0,0,V4/TrNavi_act!V4*1000)</f>
        <v>15.222912288170667</v>
      </c>
      <c r="W24" s="63">
        <f>IF(W4=0,0,W4/TrNavi_act!W4*1000)</f>
        <v>16.463240430290771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5.9046561257438173</v>
      </c>
      <c r="C25" s="64">
        <f>IF(C10=0,0,C10/TrNavi_act!C5*1000)</f>
        <v>6.0535317277165142</v>
      </c>
      <c r="D25" s="64">
        <f>IF(D10=0,0,D10/TrNavi_act!D5*1000)</f>
        <v>6.3987073195750455</v>
      </c>
      <c r="E25" s="64">
        <f>IF(E10=0,0,E10/TrNavi_act!E5*1000)</f>
        <v>6.3232524158716847</v>
      </c>
      <c r="F25" s="64">
        <f>IF(F10=0,0,F10/TrNavi_act!F5*1000)</f>
        <v>5.8040093096748375</v>
      </c>
      <c r="G25" s="64">
        <f>IF(G10=0,0,G10/TrNavi_act!G5*1000)</f>
        <v>6.4261685697817175</v>
      </c>
      <c r="H25" s="64">
        <f>IF(H10=0,0,H10/TrNavi_act!H5*1000)</f>
        <v>6.7455813724778713</v>
      </c>
      <c r="I25" s="64">
        <f>IF(I10=0,0,I10/TrNavi_act!I5*1000)</f>
        <v>6.6340561867495884</v>
      </c>
      <c r="J25" s="64">
        <f>IF(J10=0,0,J10/TrNavi_act!J5*1000)</f>
        <v>6.8396967431026505</v>
      </c>
      <c r="K25" s="64">
        <f>IF(K10=0,0,K10/TrNavi_act!K5*1000)</f>
        <v>8.4880246956095409</v>
      </c>
      <c r="L25" s="64">
        <f>IF(L10=0,0,L10/TrNavi_act!L5*1000)</f>
        <v>7.7396899852135803</v>
      </c>
      <c r="M25" s="64">
        <f>IF(M10=0,0,M10/TrNavi_act!M5*1000)</f>
        <v>7.8453341897636069</v>
      </c>
      <c r="N25" s="64">
        <f>IF(N10=0,0,N10/TrNavi_act!N5*1000)</f>
        <v>7.0620045070840503</v>
      </c>
      <c r="O25" s="64">
        <f>IF(O10=0,0,O10/TrNavi_act!O5*1000)</f>
        <v>7.3302606917954494</v>
      </c>
      <c r="P25" s="64">
        <f>IF(P10=0,0,P10/TrNavi_act!P5*1000)</f>
        <v>6.2874020167620177</v>
      </c>
      <c r="Q25" s="64">
        <f>IF(Q10=0,0,Q10/TrNavi_act!Q5*1000)</f>
        <v>6.9808467786343948</v>
      </c>
      <c r="R25" s="64">
        <f>IF(R10=0,0,R10/TrNavi_act!R5*1000)</f>
        <v>6.432106766215977</v>
      </c>
      <c r="S25" s="64">
        <f>IF(S10=0,0,S10/TrNavi_act!S5*1000)</f>
        <v>6.1961069129744413</v>
      </c>
      <c r="T25" s="64">
        <f>IF(T10=0,0,T10/TrNavi_act!T5*1000)</f>
        <v>6.5043958261167125</v>
      </c>
      <c r="U25" s="64">
        <f>IF(U10=0,0,U10/TrNavi_act!U5*1000)</f>
        <v>5.9470848775626504</v>
      </c>
      <c r="V25" s="64">
        <f>IF(V10=0,0,V10/TrNavi_act!V5*1000)</f>
        <v>4.6791717111504108</v>
      </c>
      <c r="W25" s="64">
        <f>IF(W10=0,0,W10/TrNavi_act!W5*1000)</f>
        <v>4.9966997905276358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1.1594833295159659E-3</v>
      </c>
      <c r="C28" s="77">
        <f t="shared" si="8"/>
        <v>9.6165178280667235E-4</v>
      </c>
      <c r="D28" s="77">
        <f t="shared" si="8"/>
        <v>1.0109928410057642E-3</v>
      </c>
      <c r="E28" s="77">
        <f t="shared" si="8"/>
        <v>1.0495405647677446E-3</v>
      </c>
      <c r="F28" s="77">
        <f t="shared" si="8"/>
        <v>1.1739979511577623E-3</v>
      </c>
      <c r="G28" s="77">
        <f t="shared" si="8"/>
        <v>1.3690569350434207E-3</v>
      </c>
      <c r="H28" s="77">
        <f t="shared" si="8"/>
        <v>1.3546198259889407E-3</v>
      </c>
      <c r="I28" s="77">
        <f t="shared" si="8"/>
        <v>1.415148318338659E-3</v>
      </c>
      <c r="J28" s="77">
        <f t="shared" si="8"/>
        <v>1.7061207557896915E-3</v>
      </c>
      <c r="K28" s="77">
        <f t="shared" si="8"/>
        <v>1.6897491052566042E-3</v>
      </c>
      <c r="L28" s="77">
        <f t="shared" si="8"/>
        <v>2.1032318061152476E-3</v>
      </c>
      <c r="M28" s="77">
        <f t="shared" si="8"/>
        <v>2.0597137096550577E-3</v>
      </c>
      <c r="N28" s="77">
        <f t="shared" si="8"/>
        <v>2.0607958753372678E-3</v>
      </c>
      <c r="O28" s="77">
        <f t="shared" si="8"/>
        <v>1.5662180021504648E-3</v>
      </c>
      <c r="P28" s="77">
        <f t="shared" si="8"/>
        <v>2.0562235599725026E-3</v>
      </c>
      <c r="Q28" s="77">
        <f t="shared" si="8"/>
        <v>1.9874316083076985E-3</v>
      </c>
      <c r="R28" s="77">
        <f t="shared" si="8"/>
        <v>1.3506471244289896E-3</v>
      </c>
      <c r="S28" s="77">
        <f t="shared" si="8"/>
        <v>2.7448481108319363E-3</v>
      </c>
      <c r="T28" s="77">
        <f t="shared" si="8"/>
        <v>2.5291038334767516E-3</v>
      </c>
      <c r="U28" s="77">
        <f t="shared" si="8"/>
        <v>3.8308431306473315E-3</v>
      </c>
      <c r="V28" s="77">
        <f t="shared" ref="V28:W28" si="9">IF(V4=0,0,V4/V$3)</f>
        <v>2.7816265963466758E-3</v>
      </c>
      <c r="W28" s="77">
        <f t="shared" si="9"/>
        <v>2.3852230899823329E-3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0.99884051667048401</v>
      </c>
      <c r="C29" s="78">
        <f t="shared" si="10"/>
        <v>0.99903834821719328</v>
      </c>
      <c r="D29" s="78">
        <f t="shared" si="10"/>
        <v>0.99898900715899419</v>
      </c>
      <c r="E29" s="78">
        <f t="shared" si="10"/>
        <v>0.99895045943523231</v>
      </c>
      <c r="F29" s="78">
        <f t="shared" si="10"/>
        <v>0.9988260020488422</v>
      </c>
      <c r="G29" s="78">
        <f t="shared" si="10"/>
        <v>0.99863094306495659</v>
      </c>
      <c r="H29" s="78">
        <f t="shared" si="10"/>
        <v>0.99864538017401105</v>
      </c>
      <c r="I29" s="78">
        <f t="shared" si="10"/>
        <v>0.99858485168166145</v>
      </c>
      <c r="J29" s="78">
        <f t="shared" si="10"/>
        <v>0.99829387924421031</v>
      </c>
      <c r="K29" s="78">
        <f t="shared" si="10"/>
        <v>0.99831025089474346</v>
      </c>
      <c r="L29" s="78">
        <f t="shared" si="10"/>
        <v>0.99789676819388473</v>
      </c>
      <c r="M29" s="78">
        <f t="shared" si="10"/>
        <v>0.99794028629034504</v>
      </c>
      <c r="N29" s="78">
        <f t="shared" si="10"/>
        <v>0.99793920412466264</v>
      </c>
      <c r="O29" s="78">
        <f t="shared" si="10"/>
        <v>0.9984337819978496</v>
      </c>
      <c r="P29" s="78">
        <f t="shared" si="10"/>
        <v>0.99794377644002741</v>
      </c>
      <c r="Q29" s="78">
        <f t="shared" si="10"/>
        <v>0.99801256839169239</v>
      </c>
      <c r="R29" s="78">
        <f t="shared" si="10"/>
        <v>0.99864935287557088</v>
      </c>
      <c r="S29" s="78">
        <f t="shared" si="10"/>
        <v>0.99725515188916802</v>
      </c>
      <c r="T29" s="78">
        <f t="shared" si="10"/>
        <v>0.99747089616652329</v>
      </c>
      <c r="U29" s="78">
        <f t="shared" si="10"/>
        <v>0.9961691568693527</v>
      </c>
      <c r="V29" s="78">
        <f t="shared" ref="V29:W29" si="11">IF(V10=0,0,V10/V$3)</f>
        <v>0.99721837340365338</v>
      </c>
      <c r="W29" s="78">
        <f t="shared" si="11"/>
        <v>0.99761477691001765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756.90935892000005</v>
      </c>
      <c r="C3" s="54">
        <f t="shared" ref="C3:V3" si="1">SUM(C4:C5)</f>
        <v>785.65274892000002</v>
      </c>
      <c r="D3" s="54">
        <f t="shared" si="1"/>
        <v>814.39613892000023</v>
      </c>
      <c r="E3" s="54">
        <f t="shared" si="1"/>
        <v>766.49031107999997</v>
      </c>
      <c r="F3" s="54">
        <f t="shared" si="1"/>
        <v>776.07153000000005</v>
      </c>
      <c r="G3" s="54">
        <f t="shared" si="1"/>
        <v>843.13952891999998</v>
      </c>
      <c r="H3" s="54">
        <f t="shared" si="1"/>
        <v>884.65778855999986</v>
      </c>
      <c r="I3" s="54">
        <f t="shared" si="1"/>
        <v>958.11308892</v>
      </c>
      <c r="J3" s="54">
        <f t="shared" si="1"/>
        <v>982.74383999999998</v>
      </c>
      <c r="K3" s="54">
        <f t="shared" si="1"/>
        <v>998.74943999999994</v>
      </c>
      <c r="L3" s="54">
        <f t="shared" si="1"/>
        <v>1120.3920000000003</v>
      </c>
      <c r="M3" s="54">
        <f t="shared" si="1"/>
        <v>1133.1964800000001</v>
      </c>
      <c r="N3" s="54">
        <f t="shared" si="1"/>
        <v>1043.56512</v>
      </c>
      <c r="O3" s="54">
        <f t="shared" si="1"/>
        <v>1107.5875199999998</v>
      </c>
      <c r="P3" s="54">
        <f t="shared" si="1"/>
        <v>963.53711999999996</v>
      </c>
      <c r="Q3" s="54">
        <f t="shared" si="1"/>
        <v>1053.2405051999997</v>
      </c>
      <c r="R3" s="54">
        <f t="shared" si="1"/>
        <v>975.08542715999977</v>
      </c>
      <c r="S3" s="54">
        <f t="shared" si="1"/>
        <v>944.80469927999991</v>
      </c>
      <c r="T3" s="54">
        <f t="shared" si="1"/>
        <v>944.27678123999988</v>
      </c>
      <c r="U3" s="54">
        <f t="shared" si="1"/>
        <v>861.6588084</v>
      </c>
      <c r="V3" s="54">
        <f t="shared" si="1"/>
        <v>652.84281504</v>
      </c>
      <c r="W3" s="54">
        <f t="shared" ref="W3" si="2">SUM(W4:W5)</f>
        <v>733.50837144000002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0.87762378362235705</v>
      </c>
      <c r="C4" s="56">
        <v>0.75552436666588085</v>
      </c>
      <c r="D4" s="56">
        <v>0.823348666190856</v>
      </c>
      <c r="E4" s="56">
        <v>0.80446267397990745</v>
      </c>
      <c r="F4" s="56">
        <v>0.91110638617186979</v>
      </c>
      <c r="G4" s="56">
        <v>1.1543060192771686</v>
      </c>
      <c r="H4" s="56">
        <v>1.198374979598908</v>
      </c>
      <c r="I4" s="56">
        <v>1.3558721265633957</v>
      </c>
      <c r="J4" s="56">
        <v>1.6766796630484637</v>
      </c>
      <c r="K4" s="56">
        <v>1.6876359726155343</v>
      </c>
      <c r="L4" s="56">
        <v>2.3564440897170749</v>
      </c>
      <c r="M4" s="56">
        <v>2.3340603255888532</v>
      </c>
      <c r="N4" s="56">
        <v>2.1505746949418407</v>
      </c>
      <c r="O4" s="56">
        <v>1.7347235127811877</v>
      </c>
      <c r="P4" s="56">
        <v>1.9812477270520525</v>
      </c>
      <c r="Q4" s="56">
        <v>2.0932434711844481</v>
      </c>
      <c r="R4" s="56">
        <v>1.3169963282662669</v>
      </c>
      <c r="S4" s="56">
        <v>2.5933453939238431</v>
      </c>
      <c r="T4" s="56">
        <v>2.3881740272971719</v>
      </c>
      <c r="U4" s="56">
        <v>3.3008797271209049</v>
      </c>
      <c r="V4" s="56">
        <v>1.8159649375490978</v>
      </c>
      <c r="W4" s="56">
        <v>1.7495811042540255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756.03173513637773</v>
      </c>
      <c r="C5" s="58">
        <v>784.89722455333413</v>
      </c>
      <c r="D5" s="58">
        <v>813.57279025380933</v>
      </c>
      <c r="E5" s="58">
        <v>765.68584840602011</v>
      </c>
      <c r="F5" s="58">
        <v>775.16042361382813</v>
      </c>
      <c r="G5" s="58">
        <v>841.98522290072276</v>
      </c>
      <c r="H5" s="58">
        <v>883.45941358040091</v>
      </c>
      <c r="I5" s="58">
        <v>956.75721679343656</v>
      </c>
      <c r="J5" s="58">
        <v>981.06716033695147</v>
      </c>
      <c r="K5" s="58">
        <v>997.06180402738437</v>
      </c>
      <c r="L5" s="58">
        <v>1118.0355559102832</v>
      </c>
      <c r="M5" s="58">
        <v>1130.8624196744113</v>
      </c>
      <c r="N5" s="58">
        <v>1041.414545305058</v>
      </c>
      <c r="O5" s="58">
        <v>1105.8527964872187</v>
      </c>
      <c r="P5" s="58">
        <v>961.55587227294791</v>
      </c>
      <c r="Q5" s="58">
        <v>1051.1472617288152</v>
      </c>
      <c r="R5" s="58">
        <v>973.76843083173355</v>
      </c>
      <c r="S5" s="58">
        <v>942.21135388607604</v>
      </c>
      <c r="T5" s="58">
        <v>941.88860721270271</v>
      </c>
      <c r="U5" s="58">
        <v>858.3579286728791</v>
      </c>
      <c r="V5" s="58">
        <v>651.02685010245091</v>
      </c>
      <c r="W5" s="58">
        <v>731.75879033574597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3.1024188000000001</v>
      </c>
      <c r="C9" s="79">
        <f>IF(C3=0,0,C3/TrNavi_ene!C3)</f>
        <v>3.1024188000000006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3.1024188000000006</v>
      </c>
      <c r="G9" s="79">
        <f>IF(G3=0,0,G3/TrNavi_ene!G3)</f>
        <v>3.1024188000000006</v>
      </c>
      <c r="H9" s="79">
        <f>IF(H3=0,0,H3/TrNavi_ene!H3)</f>
        <v>3.1024188000000001</v>
      </c>
      <c r="I9" s="79">
        <f>IF(I3=0,0,I3/TrNavi_ene!I3)</f>
        <v>3.1024188000000006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3.1024187999999997</v>
      </c>
      <c r="Q9" s="79">
        <f>IF(Q3=0,0,Q3/TrNavi_ene!Q3)</f>
        <v>3.1024187999999997</v>
      </c>
      <c r="R9" s="79">
        <f>IF(R3=0,0,R3/TrNavi_ene!R3)</f>
        <v>3.1024187999999997</v>
      </c>
      <c r="S9" s="79">
        <f>IF(S3=0,0,S3/TrNavi_ene!S3)</f>
        <v>3.1024188000000001</v>
      </c>
      <c r="T9" s="79">
        <f>IF(T3=0,0,T3/TrNavi_ene!T3)</f>
        <v>3.0881175610937763</v>
      </c>
      <c r="U9" s="79">
        <f>IF(U3=0,0,U3/TrNavi_ene!U3)</f>
        <v>3.0713627677049211</v>
      </c>
      <c r="V9" s="79">
        <f>IF(V3=0,0,V3/TrNavi_ene!V3)</f>
        <v>3.0804792480304974</v>
      </c>
      <c r="W9" s="79">
        <f>IF(W3=0,0,W3/TrNavi_ene!W3)</f>
        <v>3.0900202591010264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3.1024188000000001</v>
      </c>
      <c r="C10" s="80">
        <f>IF(C4=0,0,C4/TrNavi_ene!C4)</f>
        <v>3.1024188000000001</v>
      </c>
      <c r="D10" s="80">
        <f>IF(D4=0,0,D4/TrNavi_ene!D4)</f>
        <v>3.1024188000000001</v>
      </c>
      <c r="E10" s="80">
        <f>IF(E4=0,0,E4/TrNavi_ene!E4)</f>
        <v>3.1024188000000001</v>
      </c>
      <c r="F10" s="80">
        <f>IF(F4=0,0,F4/TrNavi_ene!F4)</f>
        <v>3.1024188000000001</v>
      </c>
      <c r="G10" s="80">
        <f>IF(G4=0,0,G4/TrNavi_ene!G4)</f>
        <v>3.1024188000000001</v>
      </c>
      <c r="H10" s="80">
        <f>IF(H4=0,0,H4/TrNavi_ene!H4)</f>
        <v>3.1024187999999997</v>
      </c>
      <c r="I10" s="80">
        <f>IF(I4=0,0,I4/TrNavi_ene!I4)</f>
        <v>3.1024187999999997</v>
      </c>
      <c r="J10" s="80">
        <f>IF(J4=0,0,J4/TrNavi_ene!J4)</f>
        <v>3.1024188000000001</v>
      </c>
      <c r="K10" s="80">
        <f>IF(K4=0,0,K4/TrNavi_ene!K4)</f>
        <v>3.1024188000000001</v>
      </c>
      <c r="L10" s="80">
        <f>IF(L4=0,0,L4/TrNavi_ene!L4)</f>
        <v>3.1024188000000001</v>
      </c>
      <c r="M10" s="80">
        <f>IF(M4=0,0,M4/TrNavi_ene!M4)</f>
        <v>3.1024187999999997</v>
      </c>
      <c r="N10" s="80">
        <f>IF(N4=0,0,N4/TrNavi_ene!N4)</f>
        <v>3.1024187999999997</v>
      </c>
      <c r="O10" s="80">
        <f>IF(O4=0,0,O4/TrNavi_ene!O4)</f>
        <v>3.1024188000000001</v>
      </c>
      <c r="P10" s="80">
        <f>IF(P4=0,0,P4/TrNavi_ene!P4)</f>
        <v>3.1024188000000001</v>
      </c>
      <c r="Q10" s="80">
        <f>IF(Q4=0,0,Q4/TrNavi_ene!Q4)</f>
        <v>3.1024187999999997</v>
      </c>
      <c r="R10" s="80">
        <f>IF(R4=0,0,R4/TrNavi_ene!R4)</f>
        <v>3.1024188000000001</v>
      </c>
      <c r="S10" s="80">
        <f>IF(S4=0,0,S4/TrNavi_ene!S4)</f>
        <v>3.1024188000000001</v>
      </c>
      <c r="T10" s="80">
        <f>IF(T4=0,0,T4/TrNavi_ene!T4)</f>
        <v>3.0881175610937763</v>
      </c>
      <c r="U10" s="80">
        <f>IF(U4=0,0,U4/TrNavi_ene!U4)</f>
        <v>3.0713627677049211</v>
      </c>
      <c r="V10" s="80">
        <f>IF(V4=0,0,V4/TrNavi_ene!V4)</f>
        <v>3.0804792480304979</v>
      </c>
      <c r="W10" s="80">
        <f>IF(W4=0,0,W4/TrNavi_ene!W4)</f>
        <v>3.0900202591010264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3.1024188000000001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3.1024188000000001</v>
      </c>
      <c r="K11" s="81">
        <f>IF(K5=0,0,K5/TrNavi_ene!K10)</f>
        <v>3.1024188000000001</v>
      </c>
      <c r="L11" s="81">
        <f>IF(L5=0,0,L5/TrNavi_ene!L10)</f>
        <v>3.1024188000000006</v>
      </c>
      <c r="M11" s="81">
        <f>IF(M5=0,0,M5/TrNavi_ene!M10)</f>
        <v>3.1024188000000001</v>
      </c>
      <c r="N11" s="81">
        <f>IF(N5=0,0,N5/TrNavi_ene!N10)</f>
        <v>3.1024187999999997</v>
      </c>
      <c r="O11" s="81">
        <f>IF(O5=0,0,O5/TrNavi_ene!O10)</f>
        <v>3.1024188000000001</v>
      </c>
      <c r="P11" s="81">
        <f>IF(P5=0,0,P5/TrNavi_ene!P10)</f>
        <v>3.1024188000000001</v>
      </c>
      <c r="Q11" s="81">
        <f>IF(Q5=0,0,Q5/TrNavi_ene!Q10)</f>
        <v>3.1024187999999993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3.0881175610937763</v>
      </c>
      <c r="U11" s="81">
        <f>IF(U5=0,0,U5/TrNavi_ene!U10)</f>
        <v>3.0713627677049211</v>
      </c>
      <c r="V11" s="81">
        <f>IF(V5=0,0,V5/TrNavi_ene!V10)</f>
        <v>3.0804792480304974</v>
      </c>
      <c r="W11" s="81">
        <f>IF(W5=0,0,W5/TrNavi_ene!W10)</f>
        <v>3.0900202591010264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15826.977227333558</v>
      </c>
      <c r="C13" s="54">
        <f>IF(C3=0,0,C3/TrNavi_act!C7*1000)</f>
        <v>16023.919007138487</v>
      </c>
      <c r="D13" s="54">
        <f>IF(D3=0,0,D3/TrNavi_act!D7*1000)</f>
        <v>16474.74640260555</v>
      </c>
      <c r="E13" s="54">
        <f>IF(E3=0,0,E3/TrNavi_act!E7*1000)</f>
        <v>16377.648150253197</v>
      </c>
      <c r="F13" s="54">
        <f>IF(F3=0,0,F3/TrNavi_act!F7*1000)</f>
        <v>15691.526749969673</v>
      </c>
      <c r="G13" s="54">
        <f>IF(G3=0,0,G3/TrNavi_act!G7*1000)</f>
        <v>16512.397503378314</v>
      </c>
      <c r="H13" s="54">
        <f>IF(H3=0,0,H3/TrNavi_act!H7*1000)</f>
        <v>16917.974193647085</v>
      </c>
      <c r="I13" s="54">
        <f>IF(I3=0,0,I3/TrNavi_act!I7*1000)</f>
        <v>16777.800737575733</v>
      </c>
      <c r="J13" s="54">
        <f>IF(J3=0,0,J3/TrNavi_act!J7*1000)</f>
        <v>17649.219496426136</v>
      </c>
      <c r="K13" s="54">
        <f>IF(K3=0,0,K3/TrNavi_act!K7*1000)</f>
        <v>20443.555082490686</v>
      </c>
      <c r="L13" s="54">
        <f>IF(L3=0,0,L3/TrNavi_act!L7*1000)</f>
        <v>22705.739299610901</v>
      </c>
      <c r="M13" s="54">
        <f>IF(M3=0,0,M3/TrNavi_act!M7*1000)</f>
        <v>19842.695196904166</v>
      </c>
      <c r="N13" s="54">
        <f>IF(N3=0,0,N3/TrNavi_act!N7*1000)</f>
        <v>18826.041275797372</v>
      </c>
      <c r="O13" s="54">
        <f>IF(O3=0,0,O3/TrNavi_act!O7*1000)</f>
        <v>19176.348211503166</v>
      </c>
      <c r="P13" s="54">
        <f>IF(P3=0,0,P3/TrNavi_act!P7*1000)</f>
        <v>17763.344947735193</v>
      </c>
      <c r="Q13" s="54">
        <f>IF(Q3=0,0,Q3/TrNavi_act!Q7*1000)</f>
        <v>18716.955238839913</v>
      </c>
      <c r="R13" s="54">
        <f>IF(R3=0,0,R3/TrNavi_act!R7*1000)</f>
        <v>17961.674565918172</v>
      </c>
      <c r="S13" s="54">
        <f>IF(S3=0,0,S3/TrNavi_act!S7*1000)</f>
        <v>17639.458931331912</v>
      </c>
      <c r="T13" s="54">
        <f>IF(T3=0,0,T3/TrNavi_act!T7*1000)</f>
        <v>17987.93754148014</v>
      </c>
      <c r="U13" s="54">
        <f>IF(U3=0,0,U3/TrNavi_act!U7*1000)</f>
        <v>17115.422064198316</v>
      </c>
      <c r="V13" s="54">
        <f>IF(V3=0,0,V3/TrNavi_act!V7*1000)</f>
        <v>15219.909895090224</v>
      </c>
      <c r="W13" s="54">
        <f>IF(W3=0,0,W3/TrNavi_act!W7*1000)</f>
        <v>15774.373579354839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146270.63060372617</v>
      </c>
      <c r="C14" s="56">
        <f>IF(C4=0,0,C4/TrNavi_act!C8*1000)</f>
        <v>151104.87333317616</v>
      </c>
      <c r="D14" s="56">
        <f>IF(D4=0,0,D4/TrNavi_act!D8*1000)</f>
        <v>164669.7332381712</v>
      </c>
      <c r="E14" s="56">
        <f>IF(E4=0,0,E4/TrNavi_act!E8*1000)</f>
        <v>160892.53479598148</v>
      </c>
      <c r="F14" s="56">
        <f>IF(F4=0,0,F4/TrNavi_act!F8*1000)</f>
        <v>151851.06436197829</v>
      </c>
      <c r="G14" s="56">
        <f>IF(G4=0,0,G4/TrNavi_act!G8*1000)</f>
        <v>164900.85989673834</v>
      </c>
      <c r="H14" s="56">
        <f>IF(H4=0,0,H4/TrNavi_act!H8*1000)</f>
        <v>171196.42565698686</v>
      </c>
      <c r="I14" s="56">
        <f>IF(I4=0,0,I4/TrNavi_act!I8*1000)</f>
        <v>169484.01582042448</v>
      </c>
      <c r="J14" s="56">
        <f>IF(J4=0,0,J4/TrNavi_act!J8*1000)</f>
        <v>186297.7403387182</v>
      </c>
      <c r="K14" s="56">
        <f>IF(K4=0,0,K4/TrNavi_act!K8*1000)</f>
        <v>210954.49657694178</v>
      </c>
      <c r="L14" s="56">
        <f>IF(L4=0,0,L4/TrNavi_act!L8*1000)</f>
        <v>235644.40897170748</v>
      </c>
      <c r="M14" s="56">
        <f>IF(M4=0,0,M4/TrNavi_act!M8*1000)</f>
        <v>212187.30232625938</v>
      </c>
      <c r="N14" s="56">
        <f>IF(N4=0,0,N4/TrNavi_act!N8*1000)</f>
        <v>195506.79044925826</v>
      </c>
      <c r="O14" s="56">
        <f>IF(O4=0,0,O4/TrNavi_act!O8*1000)</f>
        <v>192747.05697568753</v>
      </c>
      <c r="P14" s="56">
        <f>IF(P4=0,0,P4/TrNavi_act!P8*1000)</f>
        <v>180113.42973200479</v>
      </c>
      <c r="Q14" s="56">
        <f>IF(Q4=0,0,Q4/TrNavi_act!Q8*1000)</f>
        <v>190294.861016768</v>
      </c>
      <c r="R14" s="56">
        <f>IF(R4=0,0,R4/TrNavi_act!R8*1000)</f>
        <v>188142.33260946671</v>
      </c>
      <c r="S14" s="56">
        <f>IF(S4=0,0,S4/TrNavi_act!S8*1000)</f>
        <v>199488.10722491101</v>
      </c>
      <c r="T14" s="56">
        <f>IF(T4=0,0,T4/TrNavi_act!T8*1000)</f>
        <v>199014.50227476432</v>
      </c>
      <c r="U14" s="56">
        <f>IF(U4=0,0,U4/TrNavi_act!U8*1000)</f>
        <v>183382.2070622725</v>
      </c>
      <c r="V14" s="56">
        <f>IF(V4=0,0,V4/TrNavi_act!V8*1000)</f>
        <v>151330.41146242482</v>
      </c>
      <c r="W14" s="56">
        <f>IF(W4=0,0,W4/TrNavi_act!W8*1000)</f>
        <v>159052.82765945687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15810.609710493491</v>
      </c>
      <c r="C15" s="58">
        <f>IF(C5=0,0,C5/TrNavi_act!C9*1000)</f>
        <v>16010.142265238841</v>
      </c>
      <c r="D15" s="58">
        <f>IF(D5=0,0,D5/TrNavi_act!D9*1000)</f>
        <v>16459.755406931487</v>
      </c>
      <c r="E15" s="58">
        <f>IF(E5=0,0,E5/TrNavi_act!E9*1000)</f>
        <v>16362.207205872728</v>
      </c>
      <c r="F15" s="58">
        <f>IF(F5=0,0,F5/TrNavi_act!F9*1000)</f>
        <v>15675.00654399879</v>
      </c>
      <c r="G15" s="58">
        <f>IF(G5=0,0,G5/TrNavi_act!G9*1000)</f>
        <v>16492.05200181617</v>
      </c>
      <c r="H15" s="58">
        <f>IF(H5=0,0,H5/TrNavi_act!H9*1000)</f>
        <v>16897.318751059614</v>
      </c>
      <c r="I15" s="58">
        <f>IF(I5=0,0,I5/TrNavi_act!I9*1000)</f>
        <v>16756.405071866557</v>
      </c>
      <c r="J15" s="58">
        <f>IF(J5=0,0,J5/TrNavi_act!J9*1000)</f>
        <v>17621.956070931177</v>
      </c>
      <c r="K15" s="58">
        <f>IF(K5=0,0,K5/TrNavi_act!K9*1000)</f>
        <v>20412.353192224222</v>
      </c>
      <c r="L15" s="58">
        <f>IF(L5=0,0,L5/TrNavi_act!L9*1000)</f>
        <v>22662.576639037641</v>
      </c>
      <c r="M15" s="58">
        <f>IF(M5=0,0,M5/TrNavi_act!M9*1000)</f>
        <v>19805.639771522845</v>
      </c>
      <c r="N15" s="58">
        <f>IF(N5=0,0,N5/TrNavi_act!N9*1000)</f>
        <v>18790.97355343747</v>
      </c>
      <c r="O15" s="58">
        <f>IF(O5=0,0,O5/TrNavi_act!O9*1000)</f>
        <v>19149.297762510498</v>
      </c>
      <c r="P15" s="58">
        <f>IF(P5=0,0,P5/TrNavi_act!P9*1000)</f>
        <v>17730.415110505754</v>
      </c>
      <c r="Q15" s="58">
        <f>IF(Q5=0,0,Q5/TrNavi_act!Q9*1000)</f>
        <v>18683.408786349606</v>
      </c>
      <c r="R15" s="58">
        <f>IF(R5=0,0,R5/TrNavi_act!R9*1000)</f>
        <v>17939.727907732748</v>
      </c>
      <c r="S15" s="58">
        <f>IF(S5=0,0,S5/TrNavi_act!S9*1000)</f>
        <v>17595.311843098396</v>
      </c>
      <c r="T15" s="58">
        <f>IF(T5=0,0,T5/TrNavi_act!T9*1000)</f>
        <v>17946.546638200991</v>
      </c>
      <c r="U15" s="58">
        <f>IF(U5=0,0,U5/TrNavi_act!U9*1000)</f>
        <v>17055.953754975144</v>
      </c>
      <c r="V15" s="58">
        <f>IF(V5=0,0,V5/TrNavi_act!V9*1000)</f>
        <v>15181.821046183735</v>
      </c>
      <c r="W15" s="58">
        <f>IF(W5=0,0,W5/TrNavi_act!W9*1000)</f>
        <v>15740.471731716019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18.33358024671622</v>
      </c>
      <c r="C17" s="62">
        <f>IF(C3=0,0,C3/TrNavi_act!C3*1000)</f>
        <v>18.792489682943714</v>
      </c>
      <c r="D17" s="62">
        <f>IF(D3=0,0,D3/TrNavi_act!D3*1000)</f>
        <v>19.864847147642987</v>
      </c>
      <c r="E17" s="62">
        <f>IF(E3=0,0,E3/TrNavi_act!E3*1000)</f>
        <v>19.630661054284062</v>
      </c>
      <c r="F17" s="62">
        <f>IF(F3=0,0,F3/TrNavi_act!F3*1000)</f>
        <v>18.020556727222388</v>
      </c>
      <c r="G17" s="62">
        <f>IF(G3=0,0,G3/TrNavi_act!G3*1000)</f>
        <v>19.955047957795642</v>
      </c>
      <c r="H17" s="62">
        <f>IF(H3=0,0,H3/TrNavi_act!H3*1000)</f>
        <v>20.945659332605398</v>
      </c>
      <c r="I17" s="62">
        <f>IF(I3=0,0,I3/TrNavi_act!I3*1000)</f>
        <v>20.600052760871399</v>
      </c>
      <c r="J17" s="62">
        <f>IF(J3=0,0,J3/TrNavi_act!J3*1000)</f>
        <v>21.244035609096311</v>
      </c>
      <c r="K17" s="62">
        <f>IF(K3=0,0,K3/TrNavi_act!K3*1000)</f>
        <v>26.361039789263593</v>
      </c>
      <c r="L17" s="62">
        <f>IF(L3=0,0,L3/TrNavi_act!L3*1000)</f>
        <v>24.047169189698625</v>
      </c>
      <c r="M17" s="62">
        <f>IF(M3=0,0,M3/TrNavi_act!M3*1000)</f>
        <v>24.37392155225109</v>
      </c>
      <c r="N17" s="62">
        <f>IF(N3=0,0,N3/TrNavi_act!N3*1000)</f>
        <v>21.93994720529005</v>
      </c>
      <c r="O17" s="62">
        <f>IF(O3=0,0,O3/TrNavi_act!O3*1000)</f>
        <v>22.765455633961878</v>
      </c>
      <c r="P17" s="62">
        <f>IF(P3=0,0,P3/TrNavi_act!P3*1000)</f>
        <v>19.534317381685693</v>
      </c>
      <c r="Q17" s="62">
        <f>IF(Q3=0,0,Q3/TrNavi_act!Q3*1000)</f>
        <v>21.685206514206222</v>
      </c>
      <c r="R17" s="62">
        <f>IF(R3=0,0,R3/TrNavi_act!R3*1000)</f>
        <v>19.973451098500917</v>
      </c>
      <c r="S17" s="62">
        <f>IF(S3=0,0,S3/TrNavi_act!S3*1000)</f>
        <v>19.259432422783366</v>
      </c>
      <c r="T17" s="62">
        <f>IF(T3=0,0,T3/TrNavi_act!T3*1000)</f>
        <v>20.12080281654697</v>
      </c>
      <c r="U17" s="62">
        <f>IF(U3=0,0,U3/TrNavi_act!U3*1000)</f>
        <v>18.314200807074869</v>
      </c>
      <c r="V17" s="62">
        <f>IF(V3=0,0,V3/TrNavi_act!V3*1000)</f>
        <v>14.441915420124777</v>
      </c>
      <c r="W17" s="62">
        <f>IF(W3=0,0,W3/TrNavi_act!W3*1000)</f>
        <v>15.465596460449261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60.908028567031508</v>
      </c>
      <c r="C18" s="63">
        <f>IF(C4=0,0,C4/TrNavi_act!C4*1000)</f>
        <v>54.983215680509488</v>
      </c>
      <c r="D18" s="63">
        <f>IF(D4=0,0,D4/TrNavi_act!D4*1000)</f>
        <v>59.451849678016892</v>
      </c>
      <c r="E18" s="63">
        <f>IF(E4=0,0,E4/TrNavi_act!E4*1000)</f>
        <v>55.221215951393972</v>
      </c>
      <c r="F18" s="63">
        <f>IF(F4=0,0,F4/TrNavi_act!F4*1000)</f>
        <v>53.905241165061511</v>
      </c>
      <c r="G18" s="63">
        <f>IF(G4=0,0,G4/TrNavi_act!G4*1000)</f>
        <v>60.938972615202644</v>
      </c>
      <c r="H18" s="63">
        <f>IF(H4=0,0,H4/TrNavi_act!H4*1000)</f>
        <v>57.467749465252382</v>
      </c>
      <c r="I18" s="63">
        <f>IF(I4=0,0,I4/TrNavi_act!I4*1000)</f>
        <v>55.969953624907973</v>
      </c>
      <c r="J18" s="63">
        <f>IF(J4=0,0,J4/TrNavi_act!J4*1000)</f>
        <v>65.106188135303228</v>
      </c>
      <c r="K18" s="63">
        <f>IF(K4=0,0,K4/TrNavi_act!K4*1000)</f>
        <v>69.361554092126681</v>
      </c>
      <c r="L18" s="63">
        <f>IF(L4=0,0,L4/TrNavi_act!L4*1000)</f>
        <v>80.069455987668192</v>
      </c>
      <c r="M18" s="63">
        <f>IF(M4=0,0,M4/TrNavi_act!M4*1000)</f>
        <v>77.366181364607826</v>
      </c>
      <c r="N18" s="63">
        <f>IF(N4=0,0,N4/TrNavi_act!N4*1000)</f>
        <v>68.026023120827503</v>
      </c>
      <c r="O18" s="63">
        <f>IF(O4=0,0,O4/TrNavi_act!O4*1000)</f>
        <v>69.076713765029581</v>
      </c>
      <c r="P18" s="63">
        <f>IF(P4=0,0,P4/TrNavi_act!P4*1000)</f>
        <v>65.271388517231756</v>
      </c>
      <c r="Q18" s="63">
        <f>IF(Q4=0,0,Q4/TrNavi_act!Q4*1000)</f>
        <v>60.603458922537584</v>
      </c>
      <c r="R18" s="63">
        <f>IF(R4=0,0,R4/TrNavi_act!R4*1000)</f>
        <v>62.487963952660223</v>
      </c>
      <c r="S18" s="63">
        <f>IF(S4=0,0,S4/TrNavi_act!S4*1000)</f>
        <v>62.151785311888105</v>
      </c>
      <c r="T18" s="63">
        <f>IF(T4=0,0,T4/TrNavi_act!T4*1000)</f>
        <v>62.235791501763529</v>
      </c>
      <c r="U18" s="63">
        <f>IF(U4=0,0,U4/TrNavi_act!U4*1000)</f>
        <v>59.29262501339845</v>
      </c>
      <c r="V18" s="63">
        <f>IF(V4=0,0,V4/TrNavi_act!V4*1000)</f>
        <v>46.893865398298203</v>
      </c>
      <c r="W18" s="63">
        <f>IF(W4=0,0,W4/TrNavi_act!W4*1000)</f>
        <v>50.871746460049586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18.318716172042784</v>
      </c>
      <c r="C19" s="64">
        <f>IF(C5=0,0,C5/TrNavi_act!C5*1000)</f>
        <v>18.780590638464194</v>
      </c>
      <c r="D19" s="64">
        <f>IF(D5=0,0,D5/TrNavi_act!D5*1000)</f>
        <v>19.851469883947232</v>
      </c>
      <c r="E19" s="64">
        <f>IF(E5=0,0,E5/TrNavi_act!E5*1000)</f>
        <v>19.617377172145734</v>
      </c>
      <c r="F19" s="64">
        <f>IF(F5=0,0,F5/TrNavi_act!F5*1000)</f>
        <v>18.006467597710241</v>
      </c>
      <c r="G19" s="64">
        <f>IF(G5=0,0,G5/TrNavi_act!G5*1000)</f>
        <v>19.936666182859913</v>
      </c>
      <c r="H19" s="64">
        <f>IF(H5=0,0,H5/TrNavi_act!H5*1000)</f>
        <v>20.927618466905148</v>
      </c>
      <c r="I19" s="64">
        <f>IF(I5=0,0,I5/TrNavi_act!I5*1000)</f>
        <v>20.581620634028233</v>
      </c>
      <c r="J19" s="64">
        <f>IF(J5=0,0,J5/TrNavi_act!J5*1000)</f>
        <v>21.219603762100434</v>
      </c>
      <c r="K19" s="64">
        <f>IF(K5=0,0,K5/TrNavi_act!K5*1000)</f>
        <v>26.33340739052332</v>
      </c>
      <c r="L19" s="64">
        <f>IF(L5=0,0,L5/TrNavi_act!L5*1000)</f>
        <v>24.011759716298336</v>
      </c>
      <c r="M19" s="64">
        <f>IF(M5=0,0,M5/TrNavi_act!M5*1000)</f>
        <v>24.339512282605384</v>
      </c>
      <c r="N19" s="64">
        <f>IF(N5=0,0,N5/TrNavi_act!N5*1000)</f>
        <v>21.909295548462289</v>
      </c>
      <c r="O19" s="64">
        <f>IF(O5=0,0,O5/TrNavi_act!O5*1000)</f>
        <v>22.741538579127205</v>
      </c>
      <c r="P19" s="64">
        <f>IF(P5=0,0,P5/TrNavi_act!P5*1000)</f>
        <v>19.506154219960397</v>
      </c>
      <c r="Q19" s="64">
        <f>IF(Q5=0,0,Q5/TrNavi_act!Q5*1000)</f>
        <v>21.657510285954778</v>
      </c>
      <c r="R19" s="64">
        <f>IF(R5=0,0,R5/TrNavi_act!R5*1000)</f>
        <v>19.955088955115652</v>
      </c>
      <c r="S19" s="64">
        <f>IF(S5=0,0,S5/TrNavi_act!S5*1000)</f>
        <v>19.222918573621872</v>
      </c>
      <c r="T19" s="64">
        <f>IF(T5=0,0,T5/TrNavi_act!T5*1000)</f>
        <v>20.086338974936083</v>
      </c>
      <c r="U19" s="64">
        <f>IF(U5=0,0,U5/TrNavi_act!U5*1000)</f>
        <v>18.2656550693269</v>
      </c>
      <c r="V19" s="64">
        <f>IF(V5=0,0,V5/TrNavi_act!V5*1000)</f>
        <v>14.414091354170193</v>
      </c>
      <c r="W19" s="64">
        <f>IF(W5=0,0,W5/TrNavi_act!W5*1000)</f>
        <v>15.43990358137625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1.1594833295159662E-3</v>
      </c>
      <c r="C22" s="77">
        <f t="shared" si="5"/>
        <v>9.6165178280667224E-4</v>
      </c>
      <c r="D22" s="77">
        <f t="shared" si="5"/>
        <v>1.0109928410057642E-3</v>
      </c>
      <c r="E22" s="77">
        <f t="shared" si="5"/>
        <v>1.0495405647677446E-3</v>
      </c>
      <c r="F22" s="77">
        <f t="shared" si="5"/>
        <v>1.1739979511577621E-3</v>
      </c>
      <c r="G22" s="77">
        <f t="shared" si="5"/>
        <v>1.3690569350434205E-3</v>
      </c>
      <c r="H22" s="77">
        <f t="shared" si="5"/>
        <v>1.3546198259889407E-3</v>
      </c>
      <c r="I22" s="77">
        <f t="shared" si="5"/>
        <v>1.4151483183386586E-3</v>
      </c>
      <c r="J22" s="77">
        <f t="shared" si="5"/>
        <v>1.7061207557896917E-3</v>
      </c>
      <c r="K22" s="77">
        <f t="shared" si="5"/>
        <v>1.6897491052566042E-3</v>
      </c>
      <c r="L22" s="77">
        <f t="shared" si="5"/>
        <v>2.1032318061152476E-3</v>
      </c>
      <c r="M22" s="77">
        <f t="shared" si="5"/>
        <v>2.0597137096550573E-3</v>
      </c>
      <c r="N22" s="77">
        <f t="shared" si="5"/>
        <v>2.0607958753372678E-3</v>
      </c>
      <c r="O22" s="77">
        <f t="shared" si="5"/>
        <v>1.5662180021504648E-3</v>
      </c>
      <c r="P22" s="77">
        <f t="shared" si="5"/>
        <v>2.0562235599725026E-3</v>
      </c>
      <c r="Q22" s="77">
        <f t="shared" si="5"/>
        <v>1.9874316083076985E-3</v>
      </c>
      <c r="R22" s="77">
        <f t="shared" si="5"/>
        <v>1.3506471244289899E-3</v>
      </c>
      <c r="S22" s="77">
        <f t="shared" si="5"/>
        <v>2.7448481108319359E-3</v>
      </c>
      <c r="T22" s="77">
        <f t="shared" si="5"/>
        <v>2.529103833476752E-3</v>
      </c>
      <c r="U22" s="77">
        <f t="shared" si="5"/>
        <v>3.8308431306473311E-3</v>
      </c>
      <c r="V22" s="77">
        <f t="shared" ref="V22:W22" si="6">IF(V4=0,0,V4/V$3)</f>
        <v>2.7816265963466762E-3</v>
      </c>
      <c r="W22" s="77">
        <f t="shared" si="6"/>
        <v>2.3852230899823325E-3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0.99884051667048412</v>
      </c>
      <c r="C23" s="78">
        <f t="shared" si="7"/>
        <v>0.99903834821719328</v>
      </c>
      <c r="D23" s="78">
        <f t="shared" si="7"/>
        <v>0.99898900715899419</v>
      </c>
      <c r="E23" s="78">
        <f t="shared" si="7"/>
        <v>0.99895045943523231</v>
      </c>
      <c r="F23" s="78">
        <f t="shared" si="7"/>
        <v>0.9988260020488422</v>
      </c>
      <c r="G23" s="78">
        <f t="shared" si="7"/>
        <v>0.99863094306495648</v>
      </c>
      <c r="H23" s="78">
        <f t="shared" si="7"/>
        <v>0.99864538017401105</v>
      </c>
      <c r="I23" s="78">
        <f t="shared" si="7"/>
        <v>0.99858485168166133</v>
      </c>
      <c r="J23" s="78">
        <f t="shared" si="7"/>
        <v>0.99829387924421031</v>
      </c>
      <c r="K23" s="78">
        <f t="shared" si="7"/>
        <v>0.99831025089474335</v>
      </c>
      <c r="L23" s="78">
        <f t="shared" si="7"/>
        <v>0.99789676819388473</v>
      </c>
      <c r="M23" s="78">
        <f t="shared" si="7"/>
        <v>0.99794028629034504</v>
      </c>
      <c r="N23" s="78">
        <f t="shared" si="7"/>
        <v>0.99793920412466264</v>
      </c>
      <c r="O23" s="78">
        <f t="shared" si="7"/>
        <v>0.9984337819978496</v>
      </c>
      <c r="P23" s="78">
        <f t="shared" si="7"/>
        <v>0.99794377644002752</v>
      </c>
      <c r="Q23" s="78">
        <f t="shared" si="7"/>
        <v>0.99801256839169228</v>
      </c>
      <c r="R23" s="78">
        <f t="shared" si="7"/>
        <v>0.99864935287557111</v>
      </c>
      <c r="S23" s="78">
        <f t="shared" si="7"/>
        <v>0.99725515188916802</v>
      </c>
      <c r="T23" s="78">
        <f t="shared" si="7"/>
        <v>0.99747089616652329</v>
      </c>
      <c r="U23" s="78">
        <f t="shared" si="7"/>
        <v>0.9961691568693527</v>
      </c>
      <c r="V23" s="78">
        <f t="shared" ref="V23:W23" si="8">IF(V5=0,0,V5/V$3)</f>
        <v>0.99721837340365338</v>
      </c>
      <c r="W23" s="78">
        <f t="shared" si="8"/>
        <v>0.99761477691001765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1425829.755079</v>
      </c>
      <c r="C3" s="54">
        <f t="shared" si="0"/>
        <v>1405452.462202</v>
      </c>
      <c r="D3" s="54">
        <f t="shared" si="0"/>
        <v>1418649.3495829999</v>
      </c>
      <c r="E3" s="54">
        <f t="shared" si="0"/>
        <v>1431216.3752230001</v>
      </c>
      <c r="F3" s="54">
        <f t="shared" si="0"/>
        <v>1521083.40711</v>
      </c>
      <c r="G3" s="54">
        <f t="shared" si="0"/>
        <v>1625727.0990980002</v>
      </c>
      <c r="H3" s="54">
        <f t="shared" si="0"/>
        <v>1699342.068885</v>
      </c>
      <c r="I3" s="54">
        <f t="shared" si="0"/>
        <v>1803464.1262359999</v>
      </c>
      <c r="J3" s="54">
        <f t="shared" si="0"/>
        <v>1909604.3617489999</v>
      </c>
      <c r="K3" s="54">
        <f t="shared" si="0"/>
        <v>1660241.7556649998</v>
      </c>
      <c r="L3" s="54">
        <f t="shared" si="0"/>
        <v>1788410.1642399998</v>
      </c>
      <c r="M3" s="54">
        <f t="shared" si="0"/>
        <v>1937410.9227120001</v>
      </c>
      <c r="N3" s="54">
        <f t="shared" si="0"/>
        <v>1958327.812832</v>
      </c>
      <c r="O3" s="54">
        <f t="shared" si="0"/>
        <v>1927767.1762099999</v>
      </c>
      <c r="P3" s="54">
        <f t="shared" si="0"/>
        <v>2007574.2927380002</v>
      </c>
      <c r="Q3" s="54">
        <f t="shared" si="0"/>
        <v>2104049.0564859998</v>
      </c>
      <c r="R3" s="54">
        <f t="shared" ref="R3:W3" si="1">SUM(R4:R5)</f>
        <v>2114921.9767519999</v>
      </c>
      <c r="S3" s="54">
        <f t="shared" si="1"/>
        <v>2132013.3135879999</v>
      </c>
      <c r="T3" s="54">
        <f t="shared" si="1"/>
        <v>2096649.2812340001</v>
      </c>
      <c r="U3" s="54">
        <f t="shared" si="1"/>
        <v>2066155.7260350001</v>
      </c>
      <c r="V3" s="54">
        <f t="shared" si="1"/>
        <v>1887579.855827</v>
      </c>
      <c r="W3" s="54">
        <f t="shared" si="1"/>
        <v>2031079.475135</v>
      </c>
      <c r="DA3" s="172" t="s">
        <v>387</v>
      </c>
    </row>
    <row r="4" spans="1:105" ht="11.45" customHeight="1" x14ac:dyDescent="0.25">
      <c r="A4" s="55" t="s">
        <v>170</v>
      </c>
      <c r="B4" s="56">
        <v>94601.033876000001</v>
      </c>
      <c r="C4" s="56">
        <v>92289.525219000003</v>
      </c>
      <c r="D4" s="56">
        <v>94843.520669000005</v>
      </c>
      <c r="E4" s="56">
        <v>92337.272712999998</v>
      </c>
      <c r="F4" s="56">
        <v>97763.616949999996</v>
      </c>
      <c r="G4" s="56">
        <v>91424.384980999996</v>
      </c>
      <c r="H4" s="56">
        <v>89925.031071000005</v>
      </c>
      <c r="I4" s="56">
        <v>93735.807945000008</v>
      </c>
      <c r="J4" s="56">
        <v>91687.35349400001</v>
      </c>
      <c r="K4" s="56">
        <v>98345.730855000002</v>
      </c>
      <c r="L4" s="56">
        <v>112488.31358799999</v>
      </c>
      <c r="M4" s="56">
        <v>107291.387323</v>
      </c>
      <c r="N4" s="56">
        <v>107789.28956599999</v>
      </c>
      <c r="O4" s="56">
        <v>107857.71390300001</v>
      </c>
      <c r="P4" s="56">
        <v>114307.331582</v>
      </c>
      <c r="Q4" s="56">
        <v>113170.423711</v>
      </c>
      <c r="R4" s="56">
        <v>110628.708033</v>
      </c>
      <c r="S4" s="56">
        <v>109779.36668399999</v>
      </c>
      <c r="T4" s="56">
        <v>114695.40207000001</v>
      </c>
      <c r="U4" s="56">
        <v>116240.583388</v>
      </c>
      <c r="V4" s="56">
        <v>111879.74024299999</v>
      </c>
      <c r="W4" s="56">
        <v>113799.67384</v>
      </c>
      <c r="DA4" s="181" t="s">
        <v>388</v>
      </c>
    </row>
    <row r="5" spans="1:105" ht="11.45" customHeight="1" x14ac:dyDescent="0.25">
      <c r="A5" s="57" t="s">
        <v>171</v>
      </c>
      <c r="B5" s="58">
        <v>1331228.7212030001</v>
      </c>
      <c r="C5" s="58">
        <v>1313162.936983</v>
      </c>
      <c r="D5" s="58">
        <v>1323805.828914</v>
      </c>
      <c r="E5" s="58">
        <v>1338879.1025100001</v>
      </c>
      <c r="F5" s="58">
        <v>1423319.7901600001</v>
      </c>
      <c r="G5" s="58">
        <v>1534302.7141170001</v>
      </c>
      <c r="H5" s="58">
        <v>1609417.0378139999</v>
      </c>
      <c r="I5" s="58">
        <v>1709728.3182909999</v>
      </c>
      <c r="J5" s="58">
        <v>1817917.008255</v>
      </c>
      <c r="K5" s="58">
        <v>1561896.0248099999</v>
      </c>
      <c r="L5" s="58">
        <v>1675921.8506519999</v>
      </c>
      <c r="M5" s="58">
        <v>1830119.5353890001</v>
      </c>
      <c r="N5" s="58">
        <v>1850538.523266</v>
      </c>
      <c r="O5" s="58">
        <v>1819909.4623069998</v>
      </c>
      <c r="P5" s="58">
        <v>1893266.9611560002</v>
      </c>
      <c r="Q5" s="58">
        <v>1990878.6327750001</v>
      </c>
      <c r="R5" s="58">
        <v>2004293.268719</v>
      </c>
      <c r="S5" s="58">
        <v>2022233.9469039999</v>
      </c>
      <c r="T5" s="58">
        <v>1981953.879164</v>
      </c>
      <c r="U5" s="58">
        <v>1949915.142647</v>
      </c>
      <c r="V5" s="58">
        <v>1775700.115584</v>
      </c>
      <c r="W5" s="58">
        <v>1917279.8012949999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58.803791999999994</v>
      </c>
      <c r="C7" s="59">
        <f t="shared" si="2"/>
        <v>55.935611999999999</v>
      </c>
      <c r="D7" s="59">
        <f t="shared" si="2"/>
        <v>55.373305999999999</v>
      </c>
      <c r="E7" s="59">
        <f t="shared" si="2"/>
        <v>56.057968000000002</v>
      </c>
      <c r="F7" s="59">
        <f t="shared" si="2"/>
        <v>58.845199999999998</v>
      </c>
      <c r="G7" s="59">
        <f t="shared" si="2"/>
        <v>59.889591999999993</v>
      </c>
      <c r="H7" s="59">
        <f t="shared" si="2"/>
        <v>60.399879999999996</v>
      </c>
      <c r="I7" s="59">
        <f t="shared" si="2"/>
        <v>61.741090999999997</v>
      </c>
      <c r="J7" s="59">
        <f t="shared" si="2"/>
        <v>63.64896499999999</v>
      </c>
      <c r="K7" s="59">
        <f t="shared" si="2"/>
        <v>55.721050999999996</v>
      </c>
      <c r="L7" s="59">
        <f t="shared" si="2"/>
        <v>58.890446000000004</v>
      </c>
      <c r="M7" s="59">
        <f t="shared" si="2"/>
        <v>60.844754999999999</v>
      </c>
      <c r="N7" s="59">
        <f t="shared" si="2"/>
        <v>59.144164999999994</v>
      </c>
      <c r="O7" s="59">
        <f t="shared" si="2"/>
        <v>56.476825000000005</v>
      </c>
      <c r="P7" s="59">
        <f t="shared" si="2"/>
        <v>57.543849999999999</v>
      </c>
      <c r="Q7" s="59">
        <f t="shared" si="2"/>
        <v>58.03639299999999</v>
      </c>
      <c r="R7" s="59">
        <f t="shared" si="2"/>
        <v>56.707966999999996</v>
      </c>
      <c r="S7" s="59">
        <f t="shared" si="2"/>
        <v>56.661124999999998</v>
      </c>
      <c r="T7" s="59">
        <f t="shared" si="2"/>
        <v>56.294405000000005</v>
      </c>
      <c r="U7" s="59">
        <f t="shared" si="2"/>
        <v>56.925601999999998</v>
      </c>
      <c r="V7" s="59">
        <f t="shared" si="2"/>
        <v>52.565179000000001</v>
      </c>
      <c r="W7" s="59">
        <f t="shared" si="2"/>
        <v>54.541207999999997</v>
      </c>
      <c r="DA7" s="172" t="s">
        <v>961</v>
      </c>
    </row>
    <row r="8" spans="1:105" ht="11.45" customHeight="1" x14ac:dyDescent="0.25">
      <c r="A8" s="55" t="s">
        <v>170</v>
      </c>
      <c r="B8" s="60">
        <v>13.113504000000001</v>
      </c>
      <c r="C8" s="60">
        <v>12.45664</v>
      </c>
      <c r="D8" s="60">
        <v>12.419763</v>
      </c>
      <c r="E8" s="60">
        <v>11.958328</v>
      </c>
      <c r="F8" s="60">
        <v>12.562559</v>
      </c>
      <c r="G8" s="60">
        <v>11.407321</v>
      </c>
      <c r="H8" s="60">
        <v>10.980371</v>
      </c>
      <c r="I8" s="60">
        <v>10.994764</v>
      </c>
      <c r="J8" s="60">
        <v>10.553664999999999</v>
      </c>
      <c r="K8" s="60">
        <v>10.856620000000001</v>
      </c>
      <c r="L8" s="60">
        <v>12.451721000000001</v>
      </c>
      <c r="M8" s="60">
        <v>11.633823</v>
      </c>
      <c r="N8" s="60">
        <v>11.385</v>
      </c>
      <c r="O8" s="60">
        <v>11.111465000000001</v>
      </c>
      <c r="P8" s="60">
        <v>11.551581000000001</v>
      </c>
      <c r="Q8" s="60">
        <v>11.060601999999999</v>
      </c>
      <c r="R8" s="60">
        <v>10.586146999999999</v>
      </c>
      <c r="S8" s="60">
        <v>10.502202</v>
      </c>
      <c r="T8" s="60">
        <v>10.954067</v>
      </c>
      <c r="U8" s="60">
        <v>11.418189</v>
      </c>
      <c r="V8" s="60">
        <v>10.206799</v>
      </c>
      <c r="W8" s="60">
        <v>10.769828</v>
      </c>
      <c r="DA8" s="181" t="s">
        <v>962</v>
      </c>
    </row>
    <row r="9" spans="1:105" ht="11.45" customHeight="1" x14ac:dyDescent="0.25">
      <c r="A9" s="57" t="s">
        <v>171</v>
      </c>
      <c r="B9" s="61">
        <v>45.690287999999995</v>
      </c>
      <c r="C9" s="61">
        <v>43.478971999999999</v>
      </c>
      <c r="D9" s="61">
        <v>42.953543000000003</v>
      </c>
      <c r="E9" s="61">
        <v>44.099640000000001</v>
      </c>
      <c r="F9" s="61">
        <v>46.282640999999998</v>
      </c>
      <c r="G9" s="61">
        <v>48.482270999999997</v>
      </c>
      <c r="H9" s="61">
        <v>49.419508999999998</v>
      </c>
      <c r="I9" s="61">
        <v>50.746327000000001</v>
      </c>
      <c r="J9" s="61">
        <v>53.095299999999995</v>
      </c>
      <c r="K9" s="61">
        <v>44.864430999999996</v>
      </c>
      <c r="L9" s="61">
        <v>46.438725000000005</v>
      </c>
      <c r="M9" s="61">
        <v>49.210932</v>
      </c>
      <c r="N9" s="61">
        <v>47.759164999999996</v>
      </c>
      <c r="O9" s="61">
        <v>45.365360000000003</v>
      </c>
      <c r="P9" s="61">
        <v>45.992269</v>
      </c>
      <c r="Q9" s="61">
        <v>46.975790999999994</v>
      </c>
      <c r="R9" s="61">
        <v>46.12182</v>
      </c>
      <c r="S9" s="61">
        <v>46.158923000000001</v>
      </c>
      <c r="T9" s="61">
        <v>45.340338000000003</v>
      </c>
      <c r="U9" s="61">
        <v>45.507413</v>
      </c>
      <c r="V9" s="61">
        <v>42.358379999999997</v>
      </c>
      <c r="W9" s="61">
        <v>43.771380000000001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24247.241658820236</v>
      </c>
      <c r="C13" s="62">
        <f t="shared" si="3"/>
        <v>25126.255205753358</v>
      </c>
      <c r="D13" s="62">
        <f t="shared" si="3"/>
        <v>25619.73362368864</v>
      </c>
      <c r="E13" s="62">
        <f t="shared" si="3"/>
        <v>25531.007032274163</v>
      </c>
      <c r="F13" s="62">
        <f t="shared" si="3"/>
        <v>25848.895187882787</v>
      </c>
      <c r="G13" s="62">
        <f t="shared" si="3"/>
        <v>27145.402812194821</v>
      </c>
      <c r="H13" s="62">
        <f t="shared" si="3"/>
        <v>28134.858362053037</v>
      </c>
      <c r="I13" s="62">
        <f t="shared" si="3"/>
        <v>29210.111078795158</v>
      </c>
      <c r="J13" s="62">
        <f t="shared" si="3"/>
        <v>30002.127477626702</v>
      </c>
      <c r="K13" s="62">
        <f t="shared" si="3"/>
        <v>29795.592973739851</v>
      </c>
      <c r="L13" s="62">
        <f t="shared" si="3"/>
        <v>30368.426217047156</v>
      </c>
      <c r="M13" s="62">
        <f t="shared" si="3"/>
        <v>31841.872363723054</v>
      </c>
      <c r="N13" s="62">
        <f t="shared" si="3"/>
        <v>33111.090719295811</v>
      </c>
      <c r="O13" s="62">
        <f t="shared" si="3"/>
        <v>34133.773918948165</v>
      </c>
      <c r="P13" s="62">
        <f t="shared" si="3"/>
        <v>34887.729839730921</v>
      </c>
      <c r="Q13" s="62">
        <f t="shared" si="3"/>
        <v>36253.959760834899</v>
      </c>
      <c r="R13" s="62">
        <f t="shared" si="3"/>
        <v>37294.970859244524</v>
      </c>
      <c r="S13" s="62">
        <f t="shared" si="3"/>
        <v>37627.444100130379</v>
      </c>
      <c r="T13" s="62">
        <f t="shared" si="3"/>
        <v>37244.3634715386</v>
      </c>
      <c r="U13" s="62">
        <f t="shared" si="3"/>
        <v>36295.720263704898</v>
      </c>
      <c r="V13" s="62">
        <f t="shared" si="3"/>
        <v>35909.320423449906</v>
      </c>
      <c r="W13" s="62">
        <f t="shared" si="3"/>
        <v>37239.356252157086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7214.0164730952156</v>
      </c>
      <c r="C14" s="63">
        <f t="shared" si="3"/>
        <v>7408.8618776010226</v>
      </c>
      <c r="D14" s="63">
        <f t="shared" si="3"/>
        <v>7636.5000418284963</v>
      </c>
      <c r="E14" s="63">
        <f t="shared" si="3"/>
        <v>7721.5872246521421</v>
      </c>
      <c r="F14" s="63">
        <f t="shared" si="3"/>
        <v>7782.1419147165789</v>
      </c>
      <c r="G14" s="63">
        <f t="shared" si="3"/>
        <v>8014.53601428416</v>
      </c>
      <c r="H14" s="63">
        <f t="shared" si="3"/>
        <v>8189.6168236027734</v>
      </c>
      <c r="I14" s="63">
        <f t="shared" si="3"/>
        <v>8525.4952216345901</v>
      </c>
      <c r="J14" s="63">
        <f t="shared" si="3"/>
        <v>8687.7263485244239</v>
      </c>
      <c r="K14" s="63">
        <f t="shared" si="3"/>
        <v>9058.5956637517011</v>
      </c>
      <c r="L14" s="63">
        <f t="shared" si="3"/>
        <v>9033.9571203048945</v>
      </c>
      <c r="M14" s="63">
        <f t="shared" si="3"/>
        <v>9222.3671722528361</v>
      </c>
      <c r="N14" s="63">
        <f t="shared" si="3"/>
        <v>9467.6582842336411</v>
      </c>
      <c r="O14" s="63">
        <f t="shared" si="3"/>
        <v>9706.8850869799808</v>
      </c>
      <c r="P14" s="63">
        <f t="shared" si="3"/>
        <v>9895.3841540824578</v>
      </c>
      <c r="Q14" s="63">
        <f t="shared" si="3"/>
        <v>10231.850283646405</v>
      </c>
      <c r="R14" s="63">
        <f t="shared" si="3"/>
        <v>10450.327964744871</v>
      </c>
      <c r="S14" s="63">
        <f t="shared" si="3"/>
        <v>10452.985639011704</v>
      </c>
      <c r="T14" s="63">
        <f t="shared" si="3"/>
        <v>10470.577007608224</v>
      </c>
      <c r="U14" s="63">
        <f t="shared" si="3"/>
        <v>10180.299466754317</v>
      </c>
      <c r="V14" s="63">
        <f t="shared" si="3"/>
        <v>10961.295528892064</v>
      </c>
      <c r="W14" s="63">
        <f t="shared" si="3"/>
        <v>10566.526581483009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29135.923179188543</v>
      </c>
      <c r="C15" s="64">
        <f t="shared" si="3"/>
        <v>30202.253562549733</v>
      </c>
      <c r="D15" s="64">
        <f t="shared" si="3"/>
        <v>30819.479289845771</v>
      </c>
      <c r="E15" s="64">
        <f t="shared" si="3"/>
        <v>30360.318191032853</v>
      </c>
      <c r="F15" s="64">
        <f t="shared" si="3"/>
        <v>30752.778134679051</v>
      </c>
      <c r="G15" s="64">
        <f t="shared" si="3"/>
        <v>31646.675835729729</v>
      </c>
      <c r="H15" s="64">
        <f t="shared" si="3"/>
        <v>32566.431160091048</v>
      </c>
      <c r="I15" s="64">
        <f t="shared" si="3"/>
        <v>33691.666360227406</v>
      </c>
      <c r="J15" s="64">
        <f t="shared" si="3"/>
        <v>34238.755751544864</v>
      </c>
      <c r="K15" s="64">
        <f t="shared" si="3"/>
        <v>34813.681796387878</v>
      </c>
      <c r="L15" s="64">
        <f t="shared" si="3"/>
        <v>36088.885959982748</v>
      </c>
      <c r="M15" s="64">
        <f t="shared" si="3"/>
        <v>37189.288253857907</v>
      </c>
      <c r="N15" s="64">
        <f t="shared" si="3"/>
        <v>38747.296425010783</v>
      </c>
      <c r="O15" s="64">
        <f t="shared" si="3"/>
        <v>40116.720385487955</v>
      </c>
      <c r="P15" s="64">
        <f t="shared" si="3"/>
        <v>41164.895803596904</v>
      </c>
      <c r="Q15" s="64">
        <f t="shared" si="3"/>
        <v>42380.949642231681</v>
      </c>
      <c r="R15" s="64">
        <f t="shared" si="3"/>
        <v>43456.508626914554</v>
      </c>
      <c r="S15" s="64">
        <f t="shared" si="3"/>
        <v>43810.249795126285</v>
      </c>
      <c r="T15" s="64">
        <f t="shared" si="3"/>
        <v>43712.816590912931</v>
      </c>
      <c r="U15" s="64">
        <f t="shared" si="3"/>
        <v>42848.296884004369</v>
      </c>
      <c r="V15" s="64">
        <f t="shared" si="3"/>
        <v>41920.869390755739</v>
      </c>
      <c r="W15" s="64">
        <f t="shared" si="3"/>
        <v>43802.132838740748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6.6348057009624192E-2</v>
      </c>
      <c r="C18" s="66">
        <f t="shared" si="4"/>
        <v>6.566534813593404E-2</v>
      </c>
      <c r="D18" s="66">
        <f t="shared" si="4"/>
        <v>6.685480150318926E-2</v>
      </c>
      <c r="E18" s="66">
        <f t="shared" si="4"/>
        <v>6.4516640748057949E-2</v>
      </c>
      <c r="F18" s="66">
        <f t="shared" si="4"/>
        <v>6.4272357776715944E-2</v>
      </c>
      <c r="G18" s="66">
        <f t="shared" si="4"/>
        <v>5.6235997438761308E-2</v>
      </c>
      <c r="H18" s="66">
        <f t="shared" si="4"/>
        <v>5.2917557163757546E-2</v>
      </c>
      <c r="I18" s="66">
        <f t="shared" si="4"/>
        <v>5.197542140227402E-2</v>
      </c>
      <c r="J18" s="66">
        <f t="shared" si="4"/>
        <v>4.8013795595870906E-2</v>
      </c>
      <c r="K18" s="66">
        <f t="shared" si="4"/>
        <v>5.9235789317687783E-2</v>
      </c>
      <c r="L18" s="66">
        <f t="shared" si="4"/>
        <v>6.2898498251268253E-2</v>
      </c>
      <c r="M18" s="66">
        <f t="shared" si="4"/>
        <v>5.5378745967227666E-2</v>
      </c>
      <c r="N18" s="66">
        <f t="shared" si="4"/>
        <v>5.5041494513690475E-2</v>
      </c>
      <c r="O18" s="66">
        <f t="shared" si="4"/>
        <v>5.5949554092444308E-2</v>
      </c>
      <c r="P18" s="66">
        <f t="shared" si="4"/>
        <v>5.6938033125590412E-2</v>
      </c>
      <c r="Q18" s="66">
        <f t="shared" si="4"/>
        <v>5.3786970109911514E-2</v>
      </c>
      <c r="R18" s="66">
        <f t="shared" si="4"/>
        <v>5.2308647434312683E-2</v>
      </c>
      <c r="S18" s="66">
        <f t="shared" si="4"/>
        <v>5.1490938627981882E-2</v>
      </c>
      <c r="T18" s="66">
        <f t="shared" si="4"/>
        <v>5.4704142984989407E-2</v>
      </c>
      <c r="U18" s="66">
        <f t="shared" si="4"/>
        <v>5.625935253731737E-2</v>
      </c>
      <c r="V18" s="66">
        <f t="shared" si="4"/>
        <v>5.9271526922490089E-2</v>
      </c>
      <c r="W18" s="66">
        <f t="shared" si="4"/>
        <v>5.6029158500770171E-2</v>
      </c>
      <c r="DA18" s="181"/>
    </row>
    <row r="19" spans="1:105" ht="11.45" customHeight="1" x14ac:dyDescent="0.25">
      <c r="A19" s="57" t="s">
        <v>171</v>
      </c>
      <c r="B19" s="67">
        <f t="shared" si="4"/>
        <v>0.93365194299037579</v>
      </c>
      <c r="C19" s="67">
        <f t="shared" si="4"/>
        <v>0.93433465186406606</v>
      </c>
      <c r="D19" s="67">
        <f t="shared" si="4"/>
        <v>0.93314519849681077</v>
      </c>
      <c r="E19" s="67">
        <f t="shared" si="4"/>
        <v>0.93548335925194204</v>
      </c>
      <c r="F19" s="67">
        <f t="shared" si="4"/>
        <v>0.93572764222328408</v>
      </c>
      <c r="G19" s="67">
        <f t="shared" si="4"/>
        <v>0.9437640025612386</v>
      </c>
      <c r="H19" s="67">
        <f t="shared" si="4"/>
        <v>0.94708244283624243</v>
      </c>
      <c r="I19" s="67">
        <f t="shared" si="4"/>
        <v>0.94802457859772593</v>
      </c>
      <c r="J19" s="67">
        <f t="shared" si="4"/>
        <v>0.95198620440412918</v>
      </c>
      <c r="K19" s="67">
        <f t="shared" si="4"/>
        <v>0.9407642106823122</v>
      </c>
      <c r="L19" s="67">
        <f t="shared" si="4"/>
        <v>0.93710150174873175</v>
      </c>
      <c r="M19" s="67">
        <f t="shared" si="4"/>
        <v>0.94462125403277231</v>
      </c>
      <c r="N19" s="67">
        <f t="shared" si="4"/>
        <v>0.94495850548630955</v>
      </c>
      <c r="O19" s="67">
        <f t="shared" si="4"/>
        <v>0.9440504459075556</v>
      </c>
      <c r="P19" s="67">
        <f t="shared" si="4"/>
        <v>0.94306196687440957</v>
      </c>
      <c r="Q19" s="67">
        <f t="shared" si="4"/>
        <v>0.9462130298900886</v>
      </c>
      <c r="R19" s="67">
        <f t="shared" si="4"/>
        <v>0.94769135256568737</v>
      </c>
      <c r="S19" s="67">
        <f t="shared" si="4"/>
        <v>0.94850906137201807</v>
      </c>
      <c r="T19" s="67">
        <f t="shared" si="4"/>
        <v>0.94529585701501051</v>
      </c>
      <c r="U19" s="67">
        <f t="shared" si="4"/>
        <v>0.9437406474626826</v>
      </c>
      <c r="V19" s="67">
        <f t="shared" si="4"/>
        <v>0.94072847307750995</v>
      </c>
      <c r="W19" s="67">
        <f t="shared" si="4"/>
        <v>0.94397084149922983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0.22300439400234601</v>
      </c>
      <c r="C22" s="66">
        <f t="shared" si="5"/>
        <v>0.22269605274006835</v>
      </c>
      <c r="D22" s="66">
        <f t="shared" si="5"/>
        <v>0.22429152053879536</v>
      </c>
      <c r="E22" s="66">
        <f t="shared" si="5"/>
        <v>0.21332075397381509</v>
      </c>
      <c r="F22" s="66">
        <f t="shared" si="5"/>
        <v>0.21348485517935192</v>
      </c>
      <c r="G22" s="66">
        <f t="shared" si="5"/>
        <v>0.19047251148413236</v>
      </c>
      <c r="H22" s="66">
        <f t="shared" si="5"/>
        <v>0.18179458303559545</v>
      </c>
      <c r="I22" s="66">
        <f t="shared" si="5"/>
        <v>0.17807855063656067</v>
      </c>
      <c r="J22" s="66">
        <f t="shared" si="5"/>
        <v>0.16581047311609859</v>
      </c>
      <c r="K22" s="66">
        <f t="shared" si="5"/>
        <v>0.19483875133654607</v>
      </c>
      <c r="L22" s="66">
        <f t="shared" si="5"/>
        <v>0.21143872810880054</v>
      </c>
      <c r="M22" s="66">
        <f t="shared" si="5"/>
        <v>0.19120502662883596</v>
      </c>
      <c r="N22" s="66">
        <f t="shared" si="5"/>
        <v>0.19249574324026725</v>
      </c>
      <c r="O22" s="66">
        <f t="shared" si="5"/>
        <v>0.19674379712386453</v>
      </c>
      <c r="P22" s="66">
        <f t="shared" si="5"/>
        <v>0.20074397177109285</v>
      </c>
      <c r="Q22" s="66">
        <f t="shared" si="5"/>
        <v>0.19058045182098068</v>
      </c>
      <c r="R22" s="66">
        <f t="shared" si="5"/>
        <v>0.18667830218635767</v>
      </c>
      <c r="S22" s="66">
        <f t="shared" si="5"/>
        <v>0.18535110271813349</v>
      </c>
      <c r="T22" s="66">
        <f t="shared" si="5"/>
        <v>0.19458535888246797</v>
      </c>
      <c r="U22" s="66">
        <f t="shared" si="5"/>
        <v>0.20058090909605136</v>
      </c>
      <c r="V22" s="66">
        <f t="shared" si="5"/>
        <v>0.19417415091461973</v>
      </c>
      <c r="W22" s="66">
        <f t="shared" si="5"/>
        <v>0.19746221975868231</v>
      </c>
      <c r="DA22" s="181"/>
    </row>
    <row r="23" spans="1:105" ht="11.45" customHeight="1" x14ac:dyDescent="0.25">
      <c r="A23" s="57" t="s">
        <v>171</v>
      </c>
      <c r="B23" s="67">
        <f t="shared" si="5"/>
        <v>0.77699560599765405</v>
      </c>
      <c r="C23" s="67">
        <f t="shared" si="5"/>
        <v>0.77730394725993168</v>
      </c>
      <c r="D23" s="67">
        <f t="shared" si="5"/>
        <v>0.77570847946120469</v>
      </c>
      <c r="E23" s="67">
        <f t="shared" si="5"/>
        <v>0.78667924602618489</v>
      </c>
      <c r="F23" s="67">
        <f t="shared" si="5"/>
        <v>0.7865151448206481</v>
      </c>
      <c r="G23" s="67">
        <f t="shared" si="5"/>
        <v>0.80952748851586775</v>
      </c>
      <c r="H23" s="67">
        <f t="shared" si="5"/>
        <v>0.81820541696440463</v>
      </c>
      <c r="I23" s="67">
        <f t="shared" si="5"/>
        <v>0.82192144936343936</v>
      </c>
      <c r="J23" s="67">
        <f t="shared" si="5"/>
        <v>0.83418952688390147</v>
      </c>
      <c r="K23" s="67">
        <f t="shared" si="5"/>
        <v>0.80516124866345395</v>
      </c>
      <c r="L23" s="67">
        <f t="shared" si="5"/>
        <v>0.78856127189119951</v>
      </c>
      <c r="M23" s="67">
        <f t="shared" si="5"/>
        <v>0.80879497337116402</v>
      </c>
      <c r="N23" s="67">
        <f t="shared" si="5"/>
        <v>0.80750425675973281</v>
      </c>
      <c r="O23" s="67">
        <f t="shared" si="5"/>
        <v>0.80325620287613542</v>
      </c>
      <c r="P23" s="67">
        <f t="shared" si="5"/>
        <v>0.79925602822890718</v>
      </c>
      <c r="Q23" s="67">
        <f t="shared" si="5"/>
        <v>0.8094195481790194</v>
      </c>
      <c r="R23" s="67">
        <f t="shared" si="5"/>
        <v>0.81332169781364239</v>
      </c>
      <c r="S23" s="67">
        <f t="shared" si="5"/>
        <v>0.81464889728186662</v>
      </c>
      <c r="T23" s="67">
        <f t="shared" si="5"/>
        <v>0.80541464111753203</v>
      </c>
      <c r="U23" s="67">
        <f t="shared" si="5"/>
        <v>0.79941909090394869</v>
      </c>
      <c r="V23" s="67">
        <f t="shared" si="5"/>
        <v>0.80582584908538024</v>
      </c>
      <c r="W23" s="67">
        <f t="shared" si="5"/>
        <v>0.80253778024131772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13160.27274290628</v>
      </c>
      <c r="C3" s="62">
        <f t="shared" ref="C3:W3" si="0">SUM(C4,C10)</f>
        <v>14389.196990541701</v>
      </c>
      <c r="D3" s="62">
        <f t="shared" si="0"/>
        <v>14266.351418744627</v>
      </c>
      <c r="E3" s="62">
        <f t="shared" si="0"/>
        <v>13387.759157351677</v>
      </c>
      <c r="F3" s="62">
        <f t="shared" si="0"/>
        <v>14583.703525365429</v>
      </c>
      <c r="G3" s="62">
        <f t="shared" si="0"/>
        <v>15618.524935511612</v>
      </c>
      <c r="H3" s="62">
        <f t="shared" si="0"/>
        <v>16655.612897678413</v>
      </c>
      <c r="I3" s="62">
        <f t="shared" si="0"/>
        <v>17072.327343078243</v>
      </c>
      <c r="J3" s="62">
        <f t="shared" si="0"/>
        <v>16397.043078245923</v>
      </c>
      <c r="K3" s="62">
        <f t="shared" si="0"/>
        <v>14637.900085984518</v>
      </c>
      <c r="L3" s="62">
        <f t="shared" si="0"/>
        <v>13859.893035253657</v>
      </c>
      <c r="M3" s="62">
        <f t="shared" si="0"/>
        <v>14919.198452278586</v>
      </c>
      <c r="N3" s="62">
        <f t="shared" si="0"/>
        <v>13829.793637145311</v>
      </c>
      <c r="O3" s="62">
        <f t="shared" si="0"/>
        <v>13135.267239896824</v>
      </c>
      <c r="P3" s="62">
        <f t="shared" si="0"/>
        <v>12937.835597592428</v>
      </c>
      <c r="Q3" s="62">
        <f t="shared" si="0"/>
        <v>11949.157093723128</v>
      </c>
      <c r="R3" s="62">
        <f t="shared" si="0"/>
        <v>11869.820206362854</v>
      </c>
      <c r="S3" s="62">
        <f t="shared" si="0"/>
        <v>11656.368013757521</v>
      </c>
      <c r="T3" s="62">
        <f t="shared" si="0"/>
        <v>11215.607308684437</v>
      </c>
      <c r="U3" s="62">
        <f t="shared" si="0"/>
        <v>11425.70834049871</v>
      </c>
      <c r="V3" s="62">
        <f t="shared" si="0"/>
        <v>11880.701805674977</v>
      </c>
      <c r="W3" s="62">
        <f t="shared" si="0"/>
        <v>11424.664058469472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2625.1041922412469</v>
      </c>
      <c r="C4" s="71">
        <f t="shared" ref="C4:W4" si="1">SUM(C5:C9)</f>
        <v>2853.1417812739364</v>
      </c>
      <c r="D4" s="71">
        <f t="shared" si="1"/>
        <v>2862.5182767525175</v>
      </c>
      <c r="E4" s="71">
        <f t="shared" si="1"/>
        <v>2610.628736785995</v>
      </c>
      <c r="F4" s="71">
        <f t="shared" si="1"/>
        <v>2836.4654064880397</v>
      </c>
      <c r="G4" s="71">
        <f t="shared" si="1"/>
        <v>2752.5455808295396</v>
      </c>
      <c r="H4" s="71">
        <f t="shared" si="1"/>
        <v>2799.261875288963</v>
      </c>
      <c r="I4" s="71">
        <f t="shared" si="1"/>
        <v>2826.7574658944473</v>
      </c>
      <c r="J4" s="71">
        <f t="shared" si="1"/>
        <v>2554.1657490782327</v>
      </c>
      <c r="K4" s="71">
        <f t="shared" si="1"/>
        <v>2671.6214179352887</v>
      </c>
      <c r="L4" s="71">
        <f t="shared" si="1"/>
        <v>2661.9365950388656</v>
      </c>
      <c r="M4" s="71">
        <f t="shared" si="1"/>
        <v>2609.7491781395338</v>
      </c>
      <c r="N4" s="71">
        <f t="shared" si="1"/>
        <v>2416.9325280748485</v>
      </c>
      <c r="O4" s="71">
        <f t="shared" si="1"/>
        <v>2327.9278379476864</v>
      </c>
      <c r="P4" s="71">
        <f t="shared" si="1"/>
        <v>2332.7764172465513</v>
      </c>
      <c r="Q4" s="71">
        <f t="shared" si="1"/>
        <v>2062.6228754647959</v>
      </c>
      <c r="R4" s="71">
        <f t="shared" si="1"/>
        <v>1998.8930853099987</v>
      </c>
      <c r="S4" s="71">
        <f t="shared" si="1"/>
        <v>1941.3165142550276</v>
      </c>
      <c r="T4" s="71">
        <f t="shared" si="1"/>
        <v>1956.4021177649922</v>
      </c>
      <c r="U4" s="71">
        <f t="shared" si="1"/>
        <v>2047.8182797663605</v>
      </c>
      <c r="V4" s="71">
        <f t="shared" si="1"/>
        <v>1897.0034559588594</v>
      </c>
      <c r="W4" s="71">
        <f t="shared" si="1"/>
        <v>1840.8605699921814</v>
      </c>
      <c r="DA4" s="186" t="s">
        <v>969</v>
      </c>
    </row>
    <row r="5" spans="1:105" ht="11.45" customHeight="1" x14ac:dyDescent="0.25">
      <c r="A5" s="72" t="s">
        <v>145</v>
      </c>
      <c r="B5" s="73">
        <v>994.85707168648446</v>
      </c>
      <c r="C5" s="73">
        <v>1012.2230954707015</v>
      </c>
      <c r="D5" s="73">
        <v>985.38783389517971</v>
      </c>
      <c r="E5" s="73">
        <v>910.65063967305105</v>
      </c>
      <c r="F5" s="73">
        <v>889.28004476087858</v>
      </c>
      <c r="G5" s="73">
        <v>846.13658797370567</v>
      </c>
      <c r="H5" s="73">
        <v>813.97389924510026</v>
      </c>
      <c r="I5" s="73">
        <v>832.52204124930608</v>
      </c>
      <c r="J5" s="73">
        <v>751.93867717467458</v>
      </c>
      <c r="K5" s="73">
        <v>794.60810994225994</v>
      </c>
      <c r="L5" s="73">
        <v>877.91100656364165</v>
      </c>
      <c r="M5" s="73">
        <v>798.09227622920298</v>
      </c>
      <c r="N5" s="73">
        <v>804.48881475554651</v>
      </c>
      <c r="O5" s="73">
        <v>736.49900078982887</v>
      </c>
      <c r="P5" s="73">
        <v>753.50595074195428</v>
      </c>
      <c r="Q5" s="73">
        <v>1091.0807734210568</v>
      </c>
      <c r="R5" s="73">
        <v>1086.7422278772549</v>
      </c>
      <c r="S5" s="73">
        <v>1109.9653045051832</v>
      </c>
      <c r="T5" s="73">
        <v>1090.7522212319873</v>
      </c>
      <c r="U5" s="73">
        <v>1092.323196366207</v>
      </c>
      <c r="V5" s="73">
        <v>942.44568821715245</v>
      </c>
      <c r="W5" s="73">
        <v>1002.9513016342618</v>
      </c>
      <c r="DA5" s="187" t="s">
        <v>970</v>
      </c>
    </row>
    <row r="6" spans="1:105" ht="11.45" customHeight="1" x14ac:dyDescent="0.25">
      <c r="A6" s="72" t="s">
        <v>146</v>
      </c>
      <c r="B6" s="73">
        <v>1630.2471205547622</v>
      </c>
      <c r="C6" s="73">
        <v>1840.9186858032349</v>
      </c>
      <c r="D6" s="73">
        <v>1877.1304428573376</v>
      </c>
      <c r="E6" s="73">
        <v>1699.9780971129439</v>
      </c>
      <c r="F6" s="73">
        <v>1947.1853617271613</v>
      </c>
      <c r="G6" s="73">
        <v>1906.408992855834</v>
      </c>
      <c r="H6" s="73">
        <v>1985.287976043863</v>
      </c>
      <c r="I6" s="73">
        <v>1994.2354246451412</v>
      </c>
      <c r="J6" s="73">
        <v>1802.2270719035582</v>
      </c>
      <c r="K6" s="73">
        <v>1877.0133079930288</v>
      </c>
      <c r="L6" s="73">
        <v>1784.0255884752237</v>
      </c>
      <c r="M6" s="73">
        <v>1811.6569019103308</v>
      </c>
      <c r="N6" s="73">
        <v>1612.4437133193019</v>
      </c>
      <c r="O6" s="73">
        <v>1591.3730936124718</v>
      </c>
      <c r="P6" s="73">
        <v>1579.1761427719414</v>
      </c>
      <c r="Q6" s="73">
        <v>971.42167116705423</v>
      </c>
      <c r="R6" s="73">
        <v>911.97346411753301</v>
      </c>
      <c r="S6" s="73">
        <v>830.59221731432547</v>
      </c>
      <c r="T6" s="73">
        <v>860.50447885770802</v>
      </c>
      <c r="U6" s="73">
        <v>936.35522928146963</v>
      </c>
      <c r="V6" s="73">
        <v>898.67231607270912</v>
      </c>
      <c r="W6" s="73">
        <v>792.02638547203742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2.9081113085424608</v>
      </c>
      <c r="U7" s="73">
        <v>8.4836960663861252</v>
      </c>
      <c r="V7" s="73">
        <v>37.734237145875831</v>
      </c>
      <c r="W7" s="73">
        <v>26.762469212028876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5.574354538554796E-2</v>
      </c>
      <c r="P8" s="73">
        <v>9.4323732655422834E-2</v>
      </c>
      <c r="Q8" s="73">
        <v>0.12043087668528231</v>
      </c>
      <c r="R8" s="73">
        <v>0.17739331521082075</v>
      </c>
      <c r="S8" s="73">
        <v>0.75899243551903428</v>
      </c>
      <c r="T8" s="73">
        <v>2.2373063667545767</v>
      </c>
      <c r="U8" s="73">
        <v>10.656158052297787</v>
      </c>
      <c r="V8" s="73">
        <v>18.151214523121961</v>
      </c>
      <c r="W8" s="73">
        <v>19.120413673853253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10535.168550665032</v>
      </c>
      <c r="C10" s="71">
        <f t="shared" ref="C10:W10" si="2">SUM(C11:C15)</f>
        <v>11536.055209267764</v>
      </c>
      <c r="D10" s="71">
        <f t="shared" si="2"/>
        <v>11403.833141992109</v>
      </c>
      <c r="E10" s="71">
        <f t="shared" si="2"/>
        <v>10777.130420565682</v>
      </c>
      <c r="F10" s="71">
        <f t="shared" si="2"/>
        <v>11747.238118877389</v>
      </c>
      <c r="G10" s="71">
        <f t="shared" si="2"/>
        <v>12865.979354682073</v>
      </c>
      <c r="H10" s="71">
        <f t="shared" si="2"/>
        <v>13856.35102238945</v>
      </c>
      <c r="I10" s="71">
        <f t="shared" si="2"/>
        <v>14245.569877183794</v>
      </c>
      <c r="J10" s="71">
        <f t="shared" si="2"/>
        <v>13842.87732916769</v>
      </c>
      <c r="K10" s="71">
        <f t="shared" si="2"/>
        <v>11966.27866804923</v>
      </c>
      <c r="L10" s="71">
        <f t="shared" si="2"/>
        <v>11197.956440214792</v>
      </c>
      <c r="M10" s="71">
        <f t="shared" si="2"/>
        <v>12309.449274139053</v>
      </c>
      <c r="N10" s="71">
        <f t="shared" si="2"/>
        <v>11412.861109070462</v>
      </c>
      <c r="O10" s="71">
        <f t="shared" si="2"/>
        <v>10807.339401949137</v>
      </c>
      <c r="P10" s="71">
        <f t="shared" si="2"/>
        <v>10605.059180345876</v>
      </c>
      <c r="Q10" s="71">
        <f t="shared" si="2"/>
        <v>9886.5342182583317</v>
      </c>
      <c r="R10" s="71">
        <f t="shared" si="2"/>
        <v>9870.927121052855</v>
      </c>
      <c r="S10" s="71">
        <f t="shared" si="2"/>
        <v>9715.0514995024932</v>
      </c>
      <c r="T10" s="71">
        <f t="shared" si="2"/>
        <v>9259.2051909194452</v>
      </c>
      <c r="U10" s="71">
        <f t="shared" si="2"/>
        <v>9377.8900607323485</v>
      </c>
      <c r="V10" s="71">
        <f t="shared" si="2"/>
        <v>9983.6983497161164</v>
      </c>
      <c r="W10" s="71">
        <f t="shared" si="2"/>
        <v>9583.8034884772915</v>
      </c>
      <c r="DA10" s="186" t="s">
        <v>975</v>
      </c>
    </row>
    <row r="11" spans="1:105" ht="11.45" customHeight="1" x14ac:dyDescent="0.25">
      <c r="A11" s="72" t="s">
        <v>145</v>
      </c>
      <c r="B11" s="73">
        <v>739.72538747086651</v>
      </c>
      <c r="C11" s="73">
        <v>759.41869300737244</v>
      </c>
      <c r="D11" s="73">
        <v>727.57674048143235</v>
      </c>
      <c r="E11" s="73">
        <v>698.34187967346588</v>
      </c>
      <c r="F11" s="73">
        <v>686.77085807661047</v>
      </c>
      <c r="G11" s="73">
        <v>741.23804659207235</v>
      </c>
      <c r="H11" s="73">
        <v>756.92988407390271</v>
      </c>
      <c r="I11" s="73">
        <v>791.91192263719381</v>
      </c>
      <c r="J11" s="73">
        <v>772.0510046825915</v>
      </c>
      <c r="K11" s="73">
        <v>667.47271550915912</v>
      </c>
      <c r="L11" s="73">
        <v>689.41487477771625</v>
      </c>
      <c r="M11" s="73">
        <v>709.38837725317012</v>
      </c>
      <c r="N11" s="73">
        <v>717.43723855485757</v>
      </c>
      <c r="O11" s="73">
        <v>642.00486851369624</v>
      </c>
      <c r="P11" s="73">
        <v>631.18880420215567</v>
      </c>
      <c r="Q11" s="73">
        <v>967.95190069760224</v>
      </c>
      <c r="R11" s="73">
        <v>1001.9710997237768</v>
      </c>
      <c r="S11" s="73">
        <v>1041.6763120038449</v>
      </c>
      <c r="T11" s="73">
        <v>963.90788194943991</v>
      </c>
      <c r="U11" s="73">
        <v>934.20406072751598</v>
      </c>
      <c r="V11" s="73">
        <v>938.06488787914964</v>
      </c>
      <c r="W11" s="73">
        <v>985.14009991345927</v>
      </c>
      <c r="DA11" s="187" t="s">
        <v>976</v>
      </c>
    </row>
    <row r="12" spans="1:105" ht="11.45" customHeight="1" x14ac:dyDescent="0.25">
      <c r="A12" s="72" t="s">
        <v>146</v>
      </c>
      <c r="B12" s="73">
        <v>9795.4431631941661</v>
      </c>
      <c r="C12" s="73">
        <v>10776.636516260392</v>
      </c>
      <c r="D12" s="73">
        <v>10676.256401510676</v>
      </c>
      <c r="E12" s="73">
        <v>10078.788540892216</v>
      </c>
      <c r="F12" s="73">
        <v>11060.467260800779</v>
      </c>
      <c r="G12" s="73">
        <v>12124.741308090001</v>
      </c>
      <c r="H12" s="73">
        <v>13099.421138315547</v>
      </c>
      <c r="I12" s="73">
        <v>13453.657954546601</v>
      </c>
      <c r="J12" s="73">
        <v>13070.826324485099</v>
      </c>
      <c r="K12" s="73">
        <v>11298.805952540071</v>
      </c>
      <c r="L12" s="73">
        <v>10508.541565437075</v>
      </c>
      <c r="M12" s="73">
        <v>11600.060896885883</v>
      </c>
      <c r="N12" s="73">
        <v>10695.423870515604</v>
      </c>
      <c r="O12" s="73">
        <v>10165.075745596474</v>
      </c>
      <c r="P12" s="73">
        <v>9973.4415700397458</v>
      </c>
      <c r="Q12" s="73">
        <v>8918.0050700195297</v>
      </c>
      <c r="R12" s="73">
        <v>8868.0800182556395</v>
      </c>
      <c r="S12" s="73">
        <v>8669.5769142419922</v>
      </c>
      <c r="T12" s="73">
        <v>8270.9452201964614</v>
      </c>
      <c r="U12" s="73">
        <v>8356.0359143126825</v>
      </c>
      <c r="V12" s="73">
        <v>8751.5151301869628</v>
      </c>
      <c r="W12" s="73">
        <v>8359.7900375718127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13.763427814415399</v>
      </c>
      <c r="U13" s="73">
        <v>38.850697742728237</v>
      </c>
      <c r="V13" s="73">
        <v>198.59069836573207</v>
      </c>
      <c r="W13" s="73">
        <v>139.32953422735201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0.25878783896526886</v>
      </c>
      <c r="P14" s="73">
        <v>0.42880610397398378</v>
      </c>
      <c r="Q14" s="73">
        <v>0.5772475411994985</v>
      </c>
      <c r="R14" s="73">
        <v>0.87600307343922224</v>
      </c>
      <c r="S14" s="73">
        <v>3.7982732566563735</v>
      </c>
      <c r="T14" s="73">
        <v>10.588660959126763</v>
      </c>
      <c r="U14" s="73">
        <v>48.799387949421899</v>
      </c>
      <c r="V14" s="73">
        <v>95.527633284272753</v>
      </c>
      <c r="W14" s="73">
        <v>99.543816764667838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22379.972949544277</v>
      </c>
      <c r="C19" s="62">
        <f>IF(C3=0,0,C3/MBunk_act!C7*100)</f>
        <v>25724.572371786515</v>
      </c>
      <c r="D19" s="62">
        <f>IF(D3=0,0,D3/MBunk_act!D7*100)</f>
        <v>25763.950988847639</v>
      </c>
      <c r="E19" s="62">
        <f>IF(E3=0,0,E3/MBunk_act!E7*100)</f>
        <v>23881.991508061219</v>
      </c>
      <c r="F19" s="62">
        <f>IF(F3=0,0,F3/MBunk_act!F7*100)</f>
        <v>24783.165874812948</v>
      </c>
      <c r="G19" s="62">
        <f>IF(G3=0,0,G3/MBunk_act!G7*100)</f>
        <v>26078.863478501597</v>
      </c>
      <c r="H19" s="62">
        <f>IF(H3=0,0,H3/MBunk_act!H7*100)</f>
        <v>27575.572828420212</v>
      </c>
      <c r="I19" s="62">
        <f>IF(I3=0,0,I3/MBunk_act!I7*100)</f>
        <v>27651.483099121531</v>
      </c>
      <c r="J19" s="62">
        <f>IF(J3=0,0,J3/MBunk_act!J7*100)</f>
        <v>25761.680615302896</v>
      </c>
      <c r="K19" s="62">
        <f>IF(K3=0,0,K3/MBunk_act!K7*100)</f>
        <v>26269.9640858973</v>
      </c>
      <c r="L19" s="62">
        <f>IF(L3=0,0,L3/MBunk_act!L7*100)</f>
        <v>23535.045116237798</v>
      </c>
      <c r="M19" s="62">
        <f>IF(M3=0,0,M3/MBunk_act!M7*100)</f>
        <v>24520.106050683557</v>
      </c>
      <c r="N19" s="62">
        <f>IF(N3=0,0,N3/MBunk_act!N7*100)</f>
        <v>23383.191963476555</v>
      </c>
      <c r="O19" s="62">
        <f>IF(O3=0,0,O3/MBunk_act!O7*100)</f>
        <v>23257.800416182785</v>
      </c>
      <c r="P19" s="62">
        <f>IF(P3=0,0,P3/MBunk_act!P7*100)</f>
        <v>22483.437582977898</v>
      </c>
      <c r="Q19" s="62">
        <f>IF(Q3=0,0,Q3/MBunk_act!Q7*100)</f>
        <v>20589.076053922112</v>
      </c>
      <c r="R19" s="62">
        <f>IF(R3=0,0,R3/MBunk_act!R7*100)</f>
        <v>20931.486057969341</v>
      </c>
      <c r="S19" s="62">
        <f>IF(S3=0,0,S3/MBunk_act!S7*100)</f>
        <v>20572.07302847856</v>
      </c>
      <c r="T19" s="62">
        <f>IF(T3=0,0,T3/MBunk_act!T7*100)</f>
        <v>19923.129676358487</v>
      </c>
      <c r="U19" s="62">
        <f>IF(U3=0,0,U3/MBunk_act!U7*100)</f>
        <v>20071.299975885559</v>
      </c>
      <c r="V19" s="62">
        <f>IF(V3=0,0,V3/MBunk_act!V7*100)</f>
        <v>22601.847899490604</v>
      </c>
      <c r="W19" s="62">
        <f>IF(W3=0,0,W3/MBunk_act!W7*100)</f>
        <v>20946.848222484314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20018.327612827561</v>
      </c>
      <c r="C20" s="63">
        <f>IF(C4=0,0,C4/MBunk_act!C8*100)</f>
        <v>22904.585676987826</v>
      </c>
      <c r="D20" s="63">
        <f>IF(D4=0,0,D4/MBunk_act!D8*100)</f>
        <v>23048.09098814943</v>
      </c>
      <c r="E20" s="63">
        <f>IF(E4=0,0,E4/MBunk_act!E8*100)</f>
        <v>21831.051437843111</v>
      </c>
      <c r="F20" s="63">
        <f>IF(F4=0,0,F4/MBunk_act!F8*100)</f>
        <v>22578.723065006416</v>
      </c>
      <c r="G20" s="63">
        <f>IF(G4=0,0,G4/MBunk_act!G8*100)</f>
        <v>24129.640787960117</v>
      </c>
      <c r="H20" s="63">
        <f>IF(H4=0,0,H4/MBunk_act!H8*100)</f>
        <v>25493.326912988305</v>
      </c>
      <c r="I20" s="63">
        <f>IF(I4=0,0,I4/MBunk_act!I8*100)</f>
        <v>25710.033120260221</v>
      </c>
      <c r="J20" s="63">
        <f>IF(J4=0,0,J4/MBunk_act!J8*100)</f>
        <v>24201.694378950186</v>
      </c>
      <c r="K20" s="63">
        <f>IF(K4=0,0,K4/MBunk_act!K8*100)</f>
        <v>24608.224456002772</v>
      </c>
      <c r="L20" s="63">
        <f>IF(L4=0,0,L4/MBunk_act!L8*100)</f>
        <v>21378.061675481367</v>
      </c>
      <c r="M20" s="63">
        <f>IF(M4=0,0,M4/MBunk_act!M8*100)</f>
        <v>22432.429805228545</v>
      </c>
      <c r="N20" s="63">
        <f>IF(N4=0,0,N4/MBunk_act!N8*100)</f>
        <v>21229.095547429501</v>
      </c>
      <c r="O20" s="63">
        <f>IF(O4=0,0,O4/MBunk_act!O8*100)</f>
        <v>20950.683262267274</v>
      </c>
      <c r="P20" s="63">
        <f>IF(P4=0,0,P4/MBunk_act!P8*100)</f>
        <v>20194.434140630197</v>
      </c>
      <c r="Q20" s="63">
        <f>IF(Q4=0,0,Q4/MBunk_act!Q8*100)</f>
        <v>18648.378049086263</v>
      </c>
      <c r="R20" s="63">
        <f>IF(R4=0,0,R4/MBunk_act!R8*100)</f>
        <v>18882.15878081042</v>
      </c>
      <c r="S20" s="63">
        <f>IF(S4=0,0,S4/MBunk_act!S8*100)</f>
        <v>18484.852169621452</v>
      </c>
      <c r="T20" s="63">
        <f>IF(T4=0,0,T4/MBunk_act!T8*100)</f>
        <v>17860.05250620607</v>
      </c>
      <c r="U20" s="63">
        <f>IF(U4=0,0,U4/MBunk_act!U8*100)</f>
        <v>17934.702953037129</v>
      </c>
      <c r="V20" s="63">
        <f>IF(V4=0,0,V4/MBunk_act!V8*100)</f>
        <v>18585.684463452835</v>
      </c>
      <c r="W20" s="63">
        <f>IF(W4=0,0,W4/MBunk_act!W8*100)</f>
        <v>17092.757377296846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23057.785389019726</v>
      </c>
      <c r="C21" s="64">
        <f>IF(C10=0,0,C10/MBunk_act!C9*100)</f>
        <v>26532.493015860091</v>
      </c>
      <c r="D21" s="64">
        <f>IF(D10=0,0,D10/MBunk_act!D9*100)</f>
        <v>26549.225850803759</v>
      </c>
      <c r="E21" s="64">
        <f>IF(E10=0,0,E10/MBunk_act!E9*100)</f>
        <v>24438.13695659575</v>
      </c>
      <c r="F21" s="64">
        <f>IF(F10=0,0,F10/MBunk_act!F9*100)</f>
        <v>25381.520727992574</v>
      </c>
      <c r="G21" s="64">
        <f>IF(G10=0,0,G10/MBunk_act!G9*100)</f>
        <v>26537.493168754561</v>
      </c>
      <c r="H21" s="64">
        <f>IF(H10=0,0,H10/MBunk_act!H9*100)</f>
        <v>28038.220740698682</v>
      </c>
      <c r="I21" s="64">
        <f>IF(I10=0,0,I10/MBunk_act!I9*100)</f>
        <v>28072.120130357005</v>
      </c>
      <c r="J21" s="64">
        <f>IF(J10=0,0,J10/MBunk_act!J9*100)</f>
        <v>26071.756500420361</v>
      </c>
      <c r="K21" s="64">
        <f>IF(K10=0,0,K10/MBunk_act!K9*100)</f>
        <v>26672.083878761845</v>
      </c>
      <c r="L21" s="64">
        <f>IF(L10=0,0,L10/MBunk_act!L9*100)</f>
        <v>24113.401994164979</v>
      </c>
      <c r="M21" s="64">
        <f>IF(M10=0,0,M10/MBunk_act!M9*100)</f>
        <v>25013.647931193525</v>
      </c>
      <c r="N21" s="64">
        <f>IF(N10=0,0,N10/MBunk_act!N9*100)</f>
        <v>23896.693145850564</v>
      </c>
      <c r="O21" s="64">
        <f>IF(O10=0,0,O10/MBunk_act!O9*100)</f>
        <v>23822.889098530544</v>
      </c>
      <c r="P21" s="64">
        <f>IF(P10=0,0,P10/MBunk_act!P9*100)</f>
        <v>23058.351785918359</v>
      </c>
      <c r="Q21" s="64">
        <f>IF(Q10=0,0,Q10/MBunk_act!Q9*100)</f>
        <v>21046.019679069021</v>
      </c>
      <c r="R21" s="64">
        <f>IF(R10=0,0,R10/MBunk_act!R9*100)</f>
        <v>21401.859512596977</v>
      </c>
      <c r="S21" s="64">
        <f>IF(S10=0,0,S10/MBunk_act!S9*100)</f>
        <v>21046.963118057356</v>
      </c>
      <c r="T21" s="64">
        <f>IF(T10=0,0,T10/MBunk_act!T9*100)</f>
        <v>20421.561901279703</v>
      </c>
      <c r="U21" s="64">
        <f>IF(U10=0,0,U10/MBunk_act!U9*100)</f>
        <v>20607.389966844188</v>
      </c>
      <c r="V21" s="64">
        <f>IF(V10=0,0,V10/MBunk_act!V9*100)</f>
        <v>23569.594374752098</v>
      </c>
      <c r="W21" s="64">
        <f>IF(W10=0,0,W10/MBunk_act!W9*100)</f>
        <v>21895.136704571094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9.229904689551887</v>
      </c>
      <c r="C23" s="62">
        <f>IF(C3=0,0,C3/MBunk_act!C3*1000)</f>
        <v>10.238124289168308</v>
      </c>
      <c r="D23" s="62">
        <f>IF(D3=0,0,D3/MBunk_act!D3*1000)</f>
        <v>10.056291516249665</v>
      </c>
      <c r="E23" s="62">
        <f>IF(E3=0,0,E3/MBunk_act!E3*1000)</f>
        <v>9.3541126199493831</v>
      </c>
      <c r="F23" s="62">
        <f>IF(F3=0,0,F3/MBunk_act!F3*1000)</f>
        <v>9.587707983136772</v>
      </c>
      <c r="G23" s="62">
        <f>IF(G3=0,0,G3/MBunk_act!G3*1000)</f>
        <v>9.6071013051189311</v>
      </c>
      <c r="H23" s="62">
        <f>IF(H3=0,0,H3/MBunk_act!H3*1000)</f>
        <v>9.8012126002428488</v>
      </c>
      <c r="I23" s="62">
        <f>IF(I3=0,0,I3/MBunk_act!I3*1000)</f>
        <v>9.4664080614177788</v>
      </c>
      <c r="J23" s="62">
        <f>IF(J3=0,0,J3/MBunk_act!J3*1000)</f>
        <v>8.5866179438488128</v>
      </c>
      <c r="K23" s="62">
        <f>IF(K3=0,0,K3/MBunk_act!K3*1000)</f>
        <v>8.8167280674864106</v>
      </c>
      <c r="L23" s="62">
        <f>IF(L3=0,0,L3/MBunk_act!L3*1000)</f>
        <v>7.7498402281467333</v>
      </c>
      <c r="M23" s="62">
        <f>IF(M3=0,0,M3/MBunk_act!M3*1000)</f>
        <v>7.7005854965422609</v>
      </c>
      <c r="N23" s="62">
        <f>IF(N3=0,0,N3/MBunk_act!N3*1000)</f>
        <v>7.062042190549092</v>
      </c>
      <c r="O23" s="62">
        <f>IF(O3=0,0,O3/MBunk_act!O3*1000)</f>
        <v>6.8137207656584478</v>
      </c>
      <c r="P23" s="62">
        <f>IF(P3=0,0,P3/MBunk_act!P3*1000)</f>
        <v>6.4445114905049694</v>
      </c>
      <c r="Q23" s="62">
        <f>IF(Q3=0,0,Q3/MBunk_act!Q3*1000)</f>
        <v>5.6791247603701658</v>
      </c>
      <c r="R23" s="62">
        <f>IF(R3=0,0,R3/MBunk_act!R3*1000)</f>
        <v>5.612415179775085</v>
      </c>
      <c r="S23" s="62">
        <f>IF(S3=0,0,S3/MBunk_act!S3*1000)</f>
        <v>5.4673054523007778</v>
      </c>
      <c r="T23" s="62">
        <f>IF(T3=0,0,T3/MBunk_act!T3*1000)</f>
        <v>5.3493006241288956</v>
      </c>
      <c r="U23" s="62">
        <f>IF(U3=0,0,U3/MBunk_act!U3*1000)</f>
        <v>5.5299357141994827</v>
      </c>
      <c r="V23" s="62">
        <f>IF(V3=0,0,V3/MBunk_act!V3*1000)</f>
        <v>6.2941452617217708</v>
      </c>
      <c r="W23" s="62">
        <f>IF(W3=0,0,W3/MBunk_act!W3*1000)</f>
        <v>5.6249222141886435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27.749212505247556</v>
      </c>
      <c r="C24" s="63">
        <f>IF(C4=0,0,C4/MBunk_act!C4*1000)</f>
        <v>30.915120372583186</v>
      </c>
      <c r="D24" s="63">
        <f>IF(D4=0,0,D4/MBunk_act!D4*1000)</f>
        <v>30.181484792646923</v>
      </c>
      <c r="E24" s="63">
        <f>IF(E4=0,0,E4/MBunk_act!E4*1000)</f>
        <v>28.272751187922506</v>
      </c>
      <c r="F24" s="63">
        <f>IF(F4=0,0,F4/MBunk_act!F4*1000)</f>
        <v>29.013507222617545</v>
      </c>
      <c r="G24" s="63">
        <f>IF(G4=0,0,G4/MBunk_act!G4*1000)</f>
        <v>30.10734588372215</v>
      </c>
      <c r="H24" s="63">
        <f>IF(H4=0,0,H4/MBunk_act!H4*1000)</f>
        <v>31.128839678451879</v>
      </c>
      <c r="I24" s="63">
        <f>IF(I4=0,0,I4/MBunk_act!I4*1000)</f>
        <v>30.156644806999076</v>
      </c>
      <c r="J24" s="63">
        <f>IF(J4=0,0,J4/MBunk_act!J4*1000)</f>
        <v>27.857339662938102</v>
      </c>
      <c r="K24" s="63">
        <f>IF(K4=0,0,K4/MBunk_act!K4*1000)</f>
        <v>27.165606424485286</v>
      </c>
      <c r="L24" s="63">
        <f>IF(L4=0,0,L4/MBunk_act!L4*1000)</f>
        <v>23.66411683251366</v>
      </c>
      <c r="M24" s="63">
        <f>IF(M4=0,0,M4/MBunk_act!M4*1000)</f>
        <v>24.323939164687111</v>
      </c>
      <c r="N24" s="63">
        <f>IF(N4=0,0,N4/MBunk_act!N4*1000)</f>
        <v>22.422752184436163</v>
      </c>
      <c r="O24" s="63">
        <f>IF(O4=0,0,O4/MBunk_act!O4*1000)</f>
        <v>21.583322635980107</v>
      </c>
      <c r="P24" s="63">
        <f>IF(P4=0,0,P4/MBunk_act!P4*1000)</f>
        <v>20.407933462895166</v>
      </c>
      <c r="Q24" s="63">
        <f>IF(Q4=0,0,Q4/MBunk_act!Q4*1000)</f>
        <v>18.225812079064539</v>
      </c>
      <c r="R24" s="63">
        <f>IF(R4=0,0,R4/MBunk_act!R4*1000)</f>
        <v>18.068484400213176</v>
      </c>
      <c r="S24" s="63">
        <f>IF(S4=0,0,S4/MBunk_act!S4*1000)</f>
        <v>17.683801363539551</v>
      </c>
      <c r="T24" s="63">
        <f>IF(T4=0,0,T4/MBunk_act!T4*1000)</f>
        <v>17.057371807903653</v>
      </c>
      <c r="U24" s="63">
        <f>IF(U4=0,0,U4/MBunk_act!U4*1000)</f>
        <v>17.617068153649384</v>
      </c>
      <c r="V24" s="63">
        <f>IF(V4=0,0,V4/MBunk_act!V4*1000)</f>
        <v>16.955737042637171</v>
      </c>
      <c r="W24" s="63">
        <f>IF(W4=0,0,W4/MBunk_act!W4*1000)</f>
        <v>16.17632553657749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7.9138681301471978</v>
      </c>
      <c r="C25" s="64">
        <f>IF(C10=0,0,C10/MBunk_act!C5*1000)</f>
        <v>8.7849381705608618</v>
      </c>
      <c r="D25" s="64">
        <f>IF(D10=0,0,D10/MBunk_act!D5*1000)</f>
        <v>8.6144303740884567</v>
      </c>
      <c r="E25" s="64">
        <f>IF(E10=0,0,E10/MBunk_act!E5*1000)</f>
        <v>8.0493678632833738</v>
      </c>
      <c r="F25" s="64">
        <f>IF(F10=0,0,F10/MBunk_act!F5*1000)</f>
        <v>8.2534074212210893</v>
      </c>
      <c r="G25" s="64">
        <f>IF(G10=0,0,G10/MBunk_act!G5*1000)</f>
        <v>8.3855547124457228</v>
      </c>
      <c r="H25" s="64">
        <f>IF(H10=0,0,H10/MBunk_act!H5*1000)</f>
        <v>8.6095466226764437</v>
      </c>
      <c r="I25" s="64">
        <f>IF(I10=0,0,I10/MBunk_act!I5*1000)</f>
        <v>8.3320664018850064</v>
      </c>
      <c r="J25" s="64">
        <f>IF(J10=0,0,J10/MBunk_act!J5*1000)</f>
        <v>7.6146915762977132</v>
      </c>
      <c r="K25" s="64">
        <f>IF(K10=0,0,K10/MBunk_act!K5*1000)</f>
        <v>7.6613798088799756</v>
      </c>
      <c r="L25" s="64">
        <f>IF(L10=0,0,L10/MBunk_act!L5*1000)</f>
        <v>6.681669814053885</v>
      </c>
      <c r="M25" s="64">
        <f>IF(M10=0,0,M10/MBunk_act!M5*1000)</f>
        <v>6.7260356693163352</v>
      </c>
      <c r="N25" s="64">
        <f>IF(N10=0,0,N10/MBunk_act!N5*1000)</f>
        <v>6.1673188456125727</v>
      </c>
      <c r="O25" s="64">
        <f>IF(O10=0,0,O10/MBunk_act!O5*1000)</f>
        <v>5.9383939837585453</v>
      </c>
      <c r="P25" s="64">
        <f>IF(P10=0,0,P10/MBunk_act!P5*1000)</f>
        <v>5.6014600148468165</v>
      </c>
      <c r="Q25" s="64">
        <f>IF(Q10=0,0,Q10/MBunk_act!Q5*1000)</f>
        <v>4.9659150766402655</v>
      </c>
      <c r="R25" s="64">
        <f>IF(R10=0,0,R10/MBunk_act!R5*1000)</f>
        <v>4.9248916189603529</v>
      </c>
      <c r="S25" s="64">
        <f>IF(S10=0,0,S10/MBunk_act!S5*1000)</f>
        <v>4.8041184920152507</v>
      </c>
      <c r="T25" s="64">
        <f>IF(T10=0,0,T10/MBunk_act!T5*1000)</f>
        <v>4.6717561333087296</v>
      </c>
      <c r="U25" s="64">
        <f>IF(U10=0,0,U10/MBunk_act!U5*1000)</f>
        <v>4.8093836781029919</v>
      </c>
      <c r="V25" s="64">
        <f>IF(V10=0,0,V10/MBunk_act!V5*1000)</f>
        <v>5.6224011374987342</v>
      </c>
      <c r="W25" s="64">
        <f>IF(W10=0,0,W10/MBunk_act!W5*1000)</f>
        <v>4.9986462497565798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0.19947186836657657</v>
      </c>
      <c r="C28" s="77">
        <f t="shared" si="3"/>
        <v>0.19828360006116824</v>
      </c>
      <c r="D28" s="77">
        <f t="shared" si="3"/>
        <v>0.20064823813266236</v>
      </c>
      <c r="E28" s="77">
        <f t="shared" si="3"/>
        <v>0.19500117279540463</v>
      </c>
      <c r="F28" s="77">
        <f t="shared" si="3"/>
        <v>0.19449554782532275</v>
      </c>
      <c r="G28" s="77">
        <f t="shared" si="3"/>
        <v>0.17623595007817397</v>
      </c>
      <c r="H28" s="77">
        <f t="shared" si="3"/>
        <v>0.1680671790636504</v>
      </c>
      <c r="I28" s="77">
        <f t="shared" si="3"/>
        <v>0.16557540217505962</v>
      </c>
      <c r="J28" s="77">
        <f t="shared" si="3"/>
        <v>0.15576989929768881</v>
      </c>
      <c r="K28" s="77">
        <f t="shared" si="3"/>
        <v>0.18251398098374166</v>
      </c>
      <c r="L28" s="77">
        <f t="shared" si="3"/>
        <v>0.19206039961982635</v>
      </c>
      <c r="M28" s="77">
        <f t="shared" si="3"/>
        <v>0.17492556228722533</v>
      </c>
      <c r="N28" s="77">
        <f t="shared" si="3"/>
        <v>0.1747627326544651</v>
      </c>
      <c r="O28" s="77">
        <f t="shared" si="3"/>
        <v>0.17722729164404666</v>
      </c>
      <c r="P28" s="77">
        <f t="shared" si="3"/>
        <v>0.1803065435211321</v>
      </c>
      <c r="Q28" s="77">
        <f t="shared" si="3"/>
        <v>0.17261660042517044</v>
      </c>
      <c r="R28" s="77">
        <f t="shared" si="3"/>
        <v>0.16840129425368092</v>
      </c>
      <c r="S28" s="77">
        <f t="shared" si="3"/>
        <v>0.16654557508511858</v>
      </c>
      <c r="T28" s="77">
        <f t="shared" si="3"/>
        <v>0.17443568269817333</v>
      </c>
      <c r="U28" s="77">
        <f t="shared" si="3"/>
        <v>0.17922899996561414</v>
      </c>
      <c r="V28" s="77">
        <f t="shared" si="3"/>
        <v>0.15967099309341559</v>
      </c>
      <c r="W28" s="77">
        <f t="shared" si="3"/>
        <v>0.16113038953014044</v>
      </c>
      <c r="DA28" s="184"/>
    </row>
    <row r="29" spans="1:105" ht="11.45" customHeight="1" x14ac:dyDescent="0.25">
      <c r="A29" s="57" t="s">
        <v>171</v>
      </c>
      <c r="B29" s="78">
        <f>IF(B10=0,0,B10/B$3)</f>
        <v>0.8005281316334234</v>
      </c>
      <c r="C29" s="78">
        <f t="shared" ref="C29:W29" si="4">IF(C10=0,0,C10/C$3)</f>
        <v>0.8017163999388317</v>
      </c>
      <c r="D29" s="78">
        <f t="shared" si="4"/>
        <v>0.79935176186733758</v>
      </c>
      <c r="E29" s="78">
        <f t="shared" si="4"/>
        <v>0.80499882720459537</v>
      </c>
      <c r="F29" s="78">
        <f t="shared" si="4"/>
        <v>0.80550445217467725</v>
      </c>
      <c r="G29" s="78">
        <f t="shared" si="4"/>
        <v>0.82376404992182606</v>
      </c>
      <c r="H29" s="78">
        <f t="shared" si="4"/>
        <v>0.83193282093634957</v>
      </c>
      <c r="I29" s="78">
        <f t="shared" si="4"/>
        <v>0.83442459782494027</v>
      </c>
      <c r="J29" s="78">
        <f t="shared" si="4"/>
        <v>0.84423010070231119</v>
      </c>
      <c r="K29" s="78">
        <f t="shared" si="4"/>
        <v>0.81748601901625839</v>
      </c>
      <c r="L29" s="78">
        <f t="shared" si="4"/>
        <v>0.80793960038017365</v>
      </c>
      <c r="M29" s="78">
        <f t="shared" si="4"/>
        <v>0.82507443771277467</v>
      </c>
      <c r="N29" s="78">
        <f t="shared" si="4"/>
        <v>0.82523726734553482</v>
      </c>
      <c r="O29" s="78">
        <f t="shared" si="4"/>
        <v>0.82277270835595329</v>
      </c>
      <c r="P29" s="78">
        <f t="shared" si="4"/>
        <v>0.81969345647886782</v>
      </c>
      <c r="Q29" s="78">
        <f t="shared" si="4"/>
        <v>0.82738339957482954</v>
      </c>
      <c r="R29" s="78">
        <f t="shared" si="4"/>
        <v>0.831598705746319</v>
      </c>
      <c r="S29" s="78">
        <f t="shared" si="4"/>
        <v>0.83345442491488142</v>
      </c>
      <c r="T29" s="78">
        <f t="shared" si="4"/>
        <v>0.82556431730182667</v>
      </c>
      <c r="U29" s="78">
        <f t="shared" si="4"/>
        <v>0.82077100003438574</v>
      </c>
      <c r="V29" s="78">
        <f t="shared" si="4"/>
        <v>0.8403290069065843</v>
      </c>
      <c r="W29" s="78">
        <f t="shared" si="4"/>
        <v>0.83886961046985964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42379.803333360025</v>
      </c>
      <c r="C3" s="62">
        <f t="shared" ref="C3:W3" si="1">SUM(C4:C5)</f>
        <v>46355.416924320009</v>
      </c>
      <c r="D3" s="62">
        <f t="shared" si="1"/>
        <v>45974.598690240011</v>
      </c>
      <c r="E3" s="62">
        <f t="shared" si="1"/>
        <v>43142.152084919995</v>
      </c>
      <c r="F3" s="62">
        <f t="shared" si="1"/>
        <v>47023.958070719993</v>
      </c>
      <c r="G3" s="62">
        <f t="shared" si="1"/>
        <v>50372.932830840022</v>
      </c>
      <c r="H3" s="62">
        <f t="shared" si="1"/>
        <v>53738.354703239995</v>
      </c>
      <c r="I3" s="62">
        <f t="shared" si="1"/>
        <v>55083.563188920001</v>
      </c>
      <c r="J3" s="62">
        <f t="shared" si="1"/>
        <v>52909.295909040018</v>
      </c>
      <c r="K3" s="62">
        <f t="shared" si="1"/>
        <v>47220.085861920001</v>
      </c>
      <c r="L3" s="62">
        <f t="shared" si="1"/>
        <v>44683.499463840017</v>
      </c>
      <c r="M3" s="62">
        <f t="shared" si="1"/>
        <v>48127.251121919995</v>
      </c>
      <c r="N3" s="62">
        <f t="shared" si="1"/>
        <v>44598.173399999992</v>
      </c>
      <c r="O3" s="62">
        <f t="shared" si="1"/>
        <v>42369.244789680015</v>
      </c>
      <c r="P3" s="62">
        <f t="shared" si="1"/>
        <v>41730.955840799979</v>
      </c>
      <c r="Q3" s="62">
        <f t="shared" si="1"/>
        <v>38424.201957360005</v>
      </c>
      <c r="R3" s="62">
        <f t="shared" si="1"/>
        <v>38161.584009000006</v>
      </c>
      <c r="S3" s="62">
        <f t="shared" si="1"/>
        <v>37452.774648959996</v>
      </c>
      <c r="T3" s="62">
        <f t="shared" si="1"/>
        <v>35976.81771612</v>
      </c>
      <c r="U3" s="62">
        <f t="shared" si="1"/>
        <v>36523.851495119998</v>
      </c>
      <c r="V3" s="62">
        <f t="shared" si="1"/>
        <v>37354.414506839996</v>
      </c>
      <c r="W3" s="62">
        <f t="shared" si="1"/>
        <v>36084.675244679995</v>
      </c>
      <c r="DA3" s="172" t="s">
        <v>985</v>
      </c>
    </row>
    <row r="4" spans="1:105" ht="11.45" customHeight="1" x14ac:dyDescent="0.25">
      <c r="A4" s="55" t="s">
        <v>170</v>
      </c>
      <c r="B4" s="63">
        <v>8365.4912444010752</v>
      </c>
      <c r="C4" s="63">
        <v>9101.7304953914063</v>
      </c>
      <c r="D4" s="63">
        <v>9137.0880983678871</v>
      </c>
      <c r="E4" s="63">
        <v>8331.2983777599384</v>
      </c>
      <c r="F4" s="63">
        <v>9066.2419148813824</v>
      </c>
      <c r="G4" s="63">
        <v>8800.1103209545527</v>
      </c>
      <c r="H4" s="63">
        <v>8956.3437995738823</v>
      </c>
      <c r="I4" s="63">
        <v>9043.2142488872196</v>
      </c>
      <c r="J4" s="63">
        <v>8171.1414935331431</v>
      </c>
      <c r="K4" s="63">
        <v>8545.9388144360655</v>
      </c>
      <c r="L4" s="63">
        <v>8502.8863033840262</v>
      </c>
      <c r="M4" s="63">
        <v>8345.3051925483469</v>
      </c>
      <c r="N4" s="63">
        <v>7720.0518316525076</v>
      </c>
      <c r="O4" s="63">
        <v>7441.2320180527749</v>
      </c>
      <c r="P4" s="63">
        <v>7454.9002031337868</v>
      </c>
      <c r="Q4" s="63">
        <v>6531.9751664171763</v>
      </c>
      <c r="R4" s="63">
        <v>6325.9637258278535</v>
      </c>
      <c r="S4" s="63">
        <v>6135.2747577073396</v>
      </c>
      <c r="T4" s="63">
        <v>6175.976103405148</v>
      </c>
      <c r="U4" s="63">
        <v>6446.6281235709293</v>
      </c>
      <c r="V4" s="63">
        <v>5876.951419067901</v>
      </c>
      <c r="W4" s="63">
        <v>5721.4543625291935</v>
      </c>
      <c r="DA4" s="181" t="s">
        <v>986</v>
      </c>
    </row>
    <row r="5" spans="1:105" ht="11.45" customHeight="1" x14ac:dyDescent="0.25">
      <c r="A5" s="57" t="s">
        <v>171</v>
      </c>
      <c r="B5" s="64">
        <v>34014.312088958948</v>
      </c>
      <c r="C5" s="64">
        <v>37253.686428928602</v>
      </c>
      <c r="D5" s="64">
        <v>36837.510591872124</v>
      </c>
      <c r="E5" s="64">
        <v>34810.853707160059</v>
      </c>
      <c r="F5" s="64">
        <v>37957.716155838607</v>
      </c>
      <c r="G5" s="64">
        <v>41572.822509885467</v>
      </c>
      <c r="H5" s="64">
        <v>44782.010903666116</v>
      </c>
      <c r="I5" s="64">
        <v>46040.348940032782</v>
      </c>
      <c r="J5" s="64">
        <v>44738.154415506877</v>
      </c>
      <c r="K5" s="64">
        <v>38674.147047483937</v>
      </c>
      <c r="L5" s="64">
        <v>36180.613160455992</v>
      </c>
      <c r="M5" s="64">
        <v>39781.94592937165</v>
      </c>
      <c r="N5" s="64">
        <v>36878.121568347487</v>
      </c>
      <c r="O5" s="64">
        <v>34928.01277162724</v>
      </c>
      <c r="P5" s="64">
        <v>34276.055637666192</v>
      </c>
      <c r="Q5" s="64">
        <v>31892.226790942826</v>
      </c>
      <c r="R5" s="64">
        <v>31835.620283172153</v>
      </c>
      <c r="S5" s="64">
        <v>31317.499891252653</v>
      </c>
      <c r="T5" s="64">
        <v>29800.841612714848</v>
      </c>
      <c r="U5" s="64">
        <v>30077.223371549069</v>
      </c>
      <c r="V5" s="64">
        <v>31477.463087772092</v>
      </c>
      <c r="W5" s="64">
        <v>30363.220882150799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3.2202830565349654</v>
      </c>
      <c r="C9" s="79">
        <f>IF(C3=0,0,C3/MBunk_ene!C3)</f>
        <v>3.2215430058251564</v>
      </c>
      <c r="D9" s="79">
        <f>IF(D3=0,0,D3/MBunk_ene!D3)</f>
        <v>3.2225898087603371</v>
      </c>
      <c r="E9" s="79">
        <f>IF(E3=0,0,E3/MBunk_ene!E3)</f>
        <v>3.2225073350852123</v>
      </c>
      <c r="F9" s="79">
        <f>IF(F3=0,0,F3/MBunk_ene!F3)</f>
        <v>3.2244181314390579</v>
      </c>
      <c r="G9" s="79">
        <f>IF(G3=0,0,G3/MBunk_ene!G3)</f>
        <v>3.2252042391216995</v>
      </c>
      <c r="H9" s="79">
        <f>IF(H3=0,0,H3/MBunk_ene!H3)</f>
        <v>3.2264411422968684</v>
      </c>
      <c r="I9" s="79">
        <f>IF(I3=0,0,I3/MBunk_ene!I3)</f>
        <v>3.2264823700942524</v>
      </c>
      <c r="J9" s="79">
        <f>IF(J3=0,0,J3/MBunk_ene!J3)</f>
        <v>3.2267583646977891</v>
      </c>
      <c r="K9" s="79">
        <f>IF(K3=0,0,K3/MBunk_ene!K3)</f>
        <v>3.2258784104649165</v>
      </c>
      <c r="L9" s="79">
        <f>IF(L3=0,0,L3/MBunk_ene!L3)</f>
        <v>3.2239425910563848</v>
      </c>
      <c r="M9" s="79">
        <f>IF(M3=0,0,M3/MBunk_ene!M3)</f>
        <v>3.2258603755330832</v>
      </c>
      <c r="N9" s="79">
        <f>IF(N3=0,0,N3/MBunk_ene!N3)</f>
        <v>3.2247895066354557</v>
      </c>
      <c r="O9" s="79">
        <f>IF(O3=0,0,O3/MBunk_ene!O3)</f>
        <v>3.2256096519291542</v>
      </c>
      <c r="P9" s="79">
        <f>IF(P3=0,0,P3/MBunk_ene!P3)</f>
        <v>3.2254974586758234</v>
      </c>
      <c r="Q9" s="79">
        <f>IF(Q3=0,0,Q3/MBunk_ene!Q3)</f>
        <v>3.2156412084952981</v>
      </c>
      <c r="R9" s="79">
        <f>IF(R3=0,0,R3/MBunk_ene!R3)</f>
        <v>3.2150094395316424</v>
      </c>
      <c r="S9" s="79">
        <f>IF(S3=0,0,S3/MBunk_ene!S3)</f>
        <v>3.213074141512696</v>
      </c>
      <c r="T9" s="79">
        <f>IF(T3=0,0,T3/MBunk_ene!T3)</f>
        <v>3.2077458425512573</v>
      </c>
      <c r="U9" s="79">
        <f>IF(U3=0,0,U3/MBunk_ene!U3)</f>
        <v>3.1966378281913856</v>
      </c>
      <c r="V9" s="79">
        <f>IF(V3=0,0,V3/MBunk_ene!V3)</f>
        <v>3.1441252476345429</v>
      </c>
      <c r="W9" s="79">
        <f>IF(W3=0,0,W3/MBunk_ene!W3)</f>
        <v>3.1584889551241782</v>
      </c>
      <c r="DA9" s="172"/>
    </row>
    <row r="10" spans="1:105" ht="11.45" customHeight="1" x14ac:dyDescent="0.25">
      <c r="A10" s="55" t="s">
        <v>170</v>
      </c>
      <c r="B10" s="80">
        <f>IF(B4=0,0,B4/MBunk_ene!B4)</f>
        <v>3.1867273189102763</v>
      </c>
      <c r="C10" s="80">
        <f>IF(C4=0,0,C4/MBunk_ene!C4)</f>
        <v>3.1900729767896272</v>
      </c>
      <c r="D10" s="80">
        <f>IF(D4=0,0,D4/MBunk_ene!D4)</f>
        <v>3.1919754618069276</v>
      </c>
      <c r="E10" s="80">
        <f>IF(E4=0,0,E4/MBunk_ene!E4)</f>
        <v>3.1912995748360569</v>
      </c>
      <c r="F10" s="80">
        <f>IF(F4=0,0,F4/MBunk_ene!F4)</f>
        <v>3.1963167589294592</v>
      </c>
      <c r="G10" s="80">
        <f>IF(G4=0,0,G4/MBunk_ene!G4)</f>
        <v>3.1970806885975156</v>
      </c>
      <c r="H10" s="80">
        <f>IF(H4=0,0,H4/MBunk_ene!H4)</f>
        <v>3.1995376633525345</v>
      </c>
      <c r="I10" s="80">
        <f>IF(I4=0,0,I4/MBunk_ene!I4)</f>
        <v>3.199147559702562</v>
      </c>
      <c r="J10" s="80">
        <f>IF(J4=0,0,J4/MBunk_ene!J4)</f>
        <v>3.1991430064716861</v>
      </c>
      <c r="K10" s="80">
        <f>IF(K4=0,0,K4/MBunk_ene!K4)</f>
        <v>3.1987836139750034</v>
      </c>
      <c r="L10" s="80">
        <f>IF(L4=0,0,L4/MBunk_ene!L4)</f>
        <v>3.1942482473966964</v>
      </c>
      <c r="M10" s="80">
        <f>IF(M4=0,0,M4/MBunk_ene!M4)</f>
        <v>3.1977422437575544</v>
      </c>
      <c r="N10" s="80">
        <f>IF(N4=0,0,N4/MBunk_ene!N4)</f>
        <v>3.1941528122846425</v>
      </c>
      <c r="O10" s="80">
        <f>IF(O4=0,0,O4/MBunk_ene!O4)</f>
        <v>3.1965045895121067</v>
      </c>
      <c r="P10" s="80">
        <f>IF(P4=0,0,P4/MBunk_ene!P4)</f>
        <v>3.1957199789995467</v>
      </c>
      <c r="Q10" s="80">
        <f>IF(Q4=0,0,Q4/MBunk_ene!Q4)</f>
        <v>3.1668295955193684</v>
      </c>
      <c r="R10" s="80">
        <f>IF(R4=0,0,R4/MBunk_ene!R4)</f>
        <v>3.1647334078634777</v>
      </c>
      <c r="S10" s="80">
        <f>IF(S4=0,0,S4/MBunk_ene!S4)</f>
        <v>3.1603680866340986</v>
      </c>
      <c r="T10" s="80">
        <f>IF(T4=0,0,T4/MBunk_ene!T4)</f>
        <v>3.15680301474046</v>
      </c>
      <c r="U10" s="80">
        <f>IF(U4=0,0,U4/MBunk_ene!U4)</f>
        <v>3.1480469665044875</v>
      </c>
      <c r="V10" s="80">
        <f>IF(V4=0,0,V4/MBunk_ene!V4)</f>
        <v>3.0980182985999556</v>
      </c>
      <c r="W10" s="80">
        <f>IF(W4=0,0,W4/MBunk_ene!W4)</f>
        <v>3.108032436456333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3.2286443188240965</v>
      </c>
      <c r="C11" s="81">
        <f>IF(C5=0,0,C5/MBunk_ene!C10)</f>
        <v>3.2293262950926214</v>
      </c>
      <c r="D11" s="81">
        <f>IF(D5=0,0,D5/MBunk_ene!D10)</f>
        <v>3.2302744290624603</v>
      </c>
      <c r="E11" s="81">
        <f>IF(E5=0,0,E5/MBunk_ene!E10)</f>
        <v>3.2300670353521497</v>
      </c>
      <c r="F11" s="81">
        <f>IF(F5=0,0,F5/MBunk_ene!F10)</f>
        <v>3.2312034345198062</v>
      </c>
      <c r="G11" s="81">
        <f>IF(G5=0,0,G5/MBunk_ene!G10)</f>
        <v>3.2312209870565862</v>
      </c>
      <c r="H11" s="81">
        <f>IF(H5=0,0,H5/MBunk_ene!H10)</f>
        <v>3.2318761866891355</v>
      </c>
      <c r="I11" s="81">
        <f>IF(I5=0,0,I5/MBunk_ene!I10)</f>
        <v>3.231906433857211</v>
      </c>
      <c r="J11" s="81">
        <f>IF(J5=0,0,J5/MBunk_ene!J10)</f>
        <v>3.2318537072665645</v>
      </c>
      <c r="K11" s="81">
        <f>IF(K5=0,0,K5/MBunk_ene!K10)</f>
        <v>3.2319276627533768</v>
      </c>
      <c r="L11" s="81">
        <f>IF(L5=0,0,L5/MBunk_ene!L10)</f>
        <v>3.2310014200914323</v>
      </c>
      <c r="M11" s="81">
        <f>IF(M5=0,0,M5/MBunk_ene!M10)</f>
        <v>3.2318217528179445</v>
      </c>
      <c r="N11" s="81">
        <f>IF(N5=0,0,N5/MBunk_ene!N10)</f>
        <v>3.2312775224293504</v>
      </c>
      <c r="O11" s="81">
        <f>IF(O5=0,0,O5/MBunk_ene!O10)</f>
        <v>3.2318789549005804</v>
      </c>
      <c r="P11" s="81">
        <f>IF(P5=0,0,P5/MBunk_ene!P10)</f>
        <v>3.2320475590734334</v>
      </c>
      <c r="Q11" s="81">
        <f>IF(Q5=0,0,Q5/MBunk_ene!Q10)</f>
        <v>3.2258247518169356</v>
      </c>
      <c r="R11" s="81">
        <f>IF(R5=0,0,R5/MBunk_ene!R10)</f>
        <v>3.2251904904933077</v>
      </c>
      <c r="S11" s="81">
        <f>IF(S5=0,0,S5/MBunk_ene!S10)</f>
        <v>3.223606163369944</v>
      </c>
      <c r="T11" s="81">
        <f>IF(T5=0,0,T5/MBunk_ene!T10)</f>
        <v>3.2185096882765598</v>
      </c>
      <c r="U11" s="81">
        <f>IF(U5=0,0,U5/MBunk_ene!U10)</f>
        <v>3.2072484510657877</v>
      </c>
      <c r="V11" s="81">
        <f>IF(V5=0,0,V5/MBunk_ene!V10)</f>
        <v>3.1528860333272335</v>
      </c>
      <c r="W11" s="81">
        <f>IF(W5=0,0,W5/MBunk_ene!W10)</f>
        <v>3.1681806621616171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72069.847695128279</v>
      </c>
      <c r="C13" s="62">
        <f>IF(C3=0,0,C3/MBunk_act!C7*100)</f>
        <v>82872.816202171889</v>
      </c>
      <c r="D13" s="62">
        <f>IF(D3=0,0,D3/MBunk_act!D7*100)</f>
        <v>83026.645890061191</v>
      </c>
      <c r="E13" s="62">
        <f>IF(E3=0,0,E3/MBunk_act!E7*100)</f>
        <v>76959.892811170022</v>
      </c>
      <c r="F13" s="62">
        <f>IF(F3=0,0,F3/MBunk_act!F7*100)</f>
        <v>79911.289401208574</v>
      </c>
      <c r="G13" s="62">
        <f>IF(G3=0,0,G3/MBunk_act!G7*100)</f>
        <v>84109.66104233943</v>
      </c>
      <c r="H13" s="62">
        <f>IF(H3=0,0,H3/MBunk_act!H7*100)</f>
        <v>88970.9626960186</v>
      </c>
      <c r="I13" s="62">
        <f>IF(I3=0,0,I3/MBunk_act!I7*100)</f>
        <v>89217.022726274794</v>
      </c>
      <c r="J13" s="62">
        <f>IF(J3=0,0,J3/MBunk_act!J7*100)</f>
        <v>83126.718414101517</v>
      </c>
      <c r="K13" s="62">
        <f>IF(K3=0,0,K3/MBunk_act!K7*100)</f>
        <v>84743.709988384828</v>
      </c>
      <c r="L13" s="62">
        <f>IF(L3=0,0,L3/MBunk_act!L7*100)</f>
        <v>75875.634332672591</v>
      </c>
      <c r="M13" s="62">
        <f>IF(M3=0,0,M3/MBunk_act!M7*100)</f>
        <v>79098.438512769091</v>
      </c>
      <c r="N13" s="62">
        <f>IF(N3=0,0,N3/MBunk_act!N7*100)</f>
        <v>75405.87207546171</v>
      </c>
      <c r="O13" s="62">
        <f>IF(O3=0,0,O3/MBunk_act!O7*100)</f>
        <v>75020.585505081093</v>
      </c>
      <c r="P13" s="62">
        <f>IF(P3=0,0,P3/MBunk_act!P7*100)</f>
        <v>72520.270786191715</v>
      </c>
      <c r="Q13" s="62">
        <f>IF(Q3=0,0,Q3/MBunk_act!Q7*100)</f>
        <v>66207.08140383572</v>
      </c>
      <c r="R13" s="62">
        <f>IF(R3=0,0,R3/MBunk_act!R7*100)</f>
        <v>67294.925259796408</v>
      </c>
      <c r="S13" s="62">
        <f>IF(S3=0,0,S3/MBunk_act!S7*100)</f>
        <v>66099.595885115225</v>
      </c>
      <c r="T13" s="62">
        <f>IF(T3=0,0,T3/MBunk_act!T7*100)</f>
        <v>63908.336389948519</v>
      </c>
      <c r="U13" s="62">
        <f>IF(U3=0,0,U3/MBunk_act!U7*100)</f>
        <v>64160.676763892625</v>
      </c>
      <c r="V13" s="62">
        <f>IF(V3=0,0,V3/MBunk_act!V7*100)</f>
        <v>71063.040623984169</v>
      </c>
      <c r="W13" s="62">
        <f>IF(W3=0,0,W3/MBunk_act!W7*100)</f>
        <v>66160.38875537923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63792.951482693526</v>
      </c>
      <c r="C14" s="63">
        <f>IF(C4=0,0,C4/MBunk_act!C8*100)</f>
        <v>73067.299812721612</v>
      </c>
      <c r="D14" s="63">
        <f>IF(D4=0,0,D4/MBunk_act!D8*100)</f>
        <v>73568.940875666362</v>
      </c>
      <c r="E14" s="63">
        <f>IF(E4=0,0,E4/MBunk_act!E8*100)</f>
        <v>69669.425171812807</v>
      </c>
      <c r="F14" s="63">
        <f>IF(F4=0,0,F4/MBunk_act!F8*100)</f>
        <v>72168.750927907138</v>
      </c>
      <c r="G14" s="63">
        <f>IF(G4=0,0,G4/MBunk_act!G8*100)</f>
        <v>77144.408585982223</v>
      </c>
      <c r="H14" s="63">
        <f>IF(H4=0,0,H4/MBunk_act!H8*100)</f>
        <v>81566.859622264878</v>
      </c>
      <c r="I14" s="63">
        <f>IF(I4=0,0,I4/MBunk_act!I8*100)</f>
        <v>82250.18971655253</v>
      </c>
      <c r="J14" s="63">
        <f>IF(J4=0,0,J4/MBunk_act!J8*100)</f>
        <v>77424.681317183597</v>
      </c>
      <c r="K14" s="63">
        <f>IF(K4=0,0,K4/MBunk_act!K8*100)</f>
        <v>78716.385158880614</v>
      </c>
      <c r="L14" s="63">
        <f>IF(L4=0,0,L4/MBunk_act!L8*100)</f>
        <v>68286.836039644841</v>
      </c>
      <c r="M14" s="63">
        <f>IF(M4=0,0,M4/MBunk_act!M8*100)</f>
        <v>71733.128418305379</v>
      </c>
      <c r="N14" s="63">
        <f>IF(N4=0,0,N4/MBunk_act!N8*100)</f>
        <v>67808.975245081325</v>
      </c>
      <c r="O14" s="63">
        <f>IF(O4=0,0,O4/MBunk_act!O8*100)</f>
        <v>66968.955201251811</v>
      </c>
      <c r="P14" s="63">
        <f>IF(P4=0,0,P4/MBunk_act!P8*100)</f>
        <v>64535.756647802467</v>
      </c>
      <c r="Q14" s="63">
        <f>IF(Q4=0,0,Q4/MBunk_act!Q8*100)</f>
        <v>59056.235514280117</v>
      </c>
      <c r="R14" s="63">
        <f>IF(R4=0,0,R4/MBunk_act!R8*100)</f>
        <v>59756.998706213446</v>
      </c>
      <c r="S14" s="63">
        <f>IF(S4=0,0,S4/MBunk_act!S8*100)</f>
        <v>58418.936883020717</v>
      </c>
      <c r="T14" s="63">
        <f>IF(T4=0,0,T4/MBunk_act!T8*100)</f>
        <v>56380.667595014231</v>
      </c>
      <c r="U14" s="63">
        <f>IF(U4=0,0,U4/MBunk_act!U8*100)</f>
        <v>56459.287226467612</v>
      </c>
      <c r="V14" s="63">
        <f>IF(V4=0,0,V4/MBunk_act!V8*100)</f>
        <v>57578.790559781781</v>
      </c>
      <c r="W14" s="63">
        <f>IF(W4=0,0,W4/MBunk_act!W8*100)</f>
        <v>53124.844357116875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74445.387800923796</v>
      </c>
      <c r="C15" s="64">
        <f>IF(C5=0,0,C5/MBunk_act!C9*100)</f>
        <v>85682.077370478321</v>
      </c>
      <c r="D15" s="64">
        <f>IF(D5=0,0,D5/MBunk_act!D9*100)</f>
        <v>85761.285377255423</v>
      </c>
      <c r="E15" s="64">
        <f>IF(E5=0,0,E5/MBunk_act!E9*100)</f>
        <v>78936.820588921037</v>
      </c>
      <c r="F15" s="64">
        <f>IF(F5=0,0,F5/MBunk_act!F9*100)</f>
        <v>82012.85694962526</v>
      </c>
      <c r="G15" s="64">
        <f>IF(G5=0,0,G5/MBunk_act!G9*100)</f>
        <v>85748.504870750519</v>
      </c>
      <c r="H15" s="64">
        <f>IF(H5=0,0,H5/MBunk_act!H9*100)</f>
        <v>90616.05792899747</v>
      </c>
      <c r="I15" s="64">
        <f>IF(I5=0,0,I5/MBunk_act!I9*100)</f>
        <v>90726.465661313341</v>
      </c>
      <c r="J15" s="64">
        <f>IF(J5=0,0,J5/MBunk_act!J9*100)</f>
        <v>84260.102900834696</v>
      </c>
      <c r="K15" s="64">
        <f>IF(K5=0,0,K5/MBunk_act!K9*100)</f>
        <v>86202.245711048789</v>
      </c>
      <c r="L15" s="64">
        <f>IF(L5=0,0,L5/MBunk_act!L9*100)</f>
        <v>77910.436086382615</v>
      </c>
      <c r="M15" s="64">
        <f>IF(M5=0,0,M5/MBunk_act!M9*100)</f>
        <v>80839.651501360815</v>
      </c>
      <c r="N15" s="64">
        <f>IF(N5=0,0,N5/MBunk_act!N9*100)</f>
        <v>77216.847422578445</v>
      </c>
      <c r="O15" s="64">
        <f>IF(O5=0,0,O5/MBunk_act!O9*100)</f>
        <v>76992.693922471328</v>
      </c>
      <c r="P15" s="64">
        <f>IF(P5=0,0,P5/MBunk_act!P9*100)</f>
        <v>74525.689605933978</v>
      </c>
      <c r="Q15" s="64">
        <f>IF(Q5=0,0,Q5/MBunk_act!Q9*100)</f>
        <v>67890.771207967162</v>
      </c>
      <c r="R15" s="64">
        <f>IF(R5=0,0,R5/MBunk_act!R9*100)</f>
        <v>69025.073778901511</v>
      </c>
      <c r="S15" s="64">
        <f>IF(S5=0,0,S5/MBunk_act!S9*100)</f>
        <v>67847.120027589568</v>
      </c>
      <c r="T15" s="64">
        <f>IF(T5=0,0,T5/MBunk_act!T9*100)</f>
        <v>65726.994829008225</v>
      </c>
      <c r="U15" s="64">
        <f>IF(U5=0,0,U5/MBunk_act!U9*100)</f>
        <v>66093.019551669684</v>
      </c>
      <c r="V15" s="64">
        <f>IF(V5=0,0,V5/MBunk_act!V9*100)</f>
        <v>74312.24491534401</v>
      </c>
      <c r="W15" s="64">
        <f>IF(W5=0,0,W5/MBunk_act!W9*100)</f>
        <v>69367.748702807177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29.722905685196558</v>
      </c>
      <c r="C17" s="62">
        <f>IF(C3=0,0,C3/MBunk_act!C3*1000)</f>
        <v>32.982557696538819</v>
      </c>
      <c r="D17" s="62">
        <f>IF(D3=0,0,D3/MBunk_act!D3*1000)</f>
        <v>32.407302554189208</v>
      </c>
      <c r="E17" s="62">
        <f>IF(E3=0,0,E3/MBunk_act!E3*1000)</f>
        <v>30.143696531000035</v>
      </c>
      <c r="F17" s="62">
        <f>IF(F3=0,0,F3/MBunk_act!F3*1000)</f>
        <v>30.914779459769207</v>
      </c>
      <c r="G17" s="62">
        <f>IF(G3=0,0,G3/MBunk_act!G3*1000)</f>
        <v>30.984863854941192</v>
      </c>
      <c r="H17" s="62">
        <f>IF(H3=0,0,H3/MBunk_act!H3*1000)</f>
        <v>31.623035577821998</v>
      </c>
      <c r="I17" s="62">
        <f>IF(I3=0,0,I3/MBunk_act!I3*1000)</f>
        <v>30.543198718282579</v>
      </c>
      <c r="J17" s="62">
        <f>IF(J3=0,0,J3/MBunk_act!J3*1000)</f>
        <v>27.706941274778288</v>
      </c>
      <c r="K17" s="62">
        <f>IF(K3=0,0,K3/MBunk_act!K3*1000)</f>
        <v>28.441692723844476</v>
      </c>
      <c r="L17" s="62">
        <f>IF(L3=0,0,L3/MBunk_act!L3*1000)</f>
        <v>24.985039985404384</v>
      </c>
      <c r="M17" s="62">
        <f>IF(M3=0,0,M3/MBunk_act!M3*1000)</f>
        <v>24.84101362170043</v>
      </c>
      <c r="N17" s="62">
        <f>IF(N3=0,0,N3/MBunk_act!N3*1000)</f>
        <v>22.773599551499579</v>
      </c>
      <c r="O17" s="62">
        <f>IF(O3=0,0,O3/MBunk_act!O3*1000)</f>
        <v>21.978403467257994</v>
      </c>
      <c r="P17" s="62">
        <f>IF(P3=0,0,P3/MBunk_act!P3*1000)</f>
        <v>20.786755435030919</v>
      </c>
      <c r="Q17" s="62">
        <f>IF(Q3=0,0,Q3/MBunk_act!Q3*1000)</f>
        <v>18.262027607632291</v>
      </c>
      <c r="R17" s="62">
        <f>IF(R3=0,0,R3/MBunk_act!R3*1000)</f>
        <v>18.043967781547583</v>
      </c>
      <c r="S17" s="62">
        <f>IF(S3=0,0,S3/MBunk_act!S3*1000)</f>
        <v>17.566857772539006</v>
      </c>
      <c r="T17" s="62">
        <f>IF(T3=0,0,T3/MBunk_act!T3*1000)</f>
        <v>17.159196837606313</v>
      </c>
      <c r="U17" s="62">
        <f>IF(U3=0,0,U3/MBunk_act!U3*1000)</f>
        <v>17.677201691476615</v>
      </c>
      <c r="V17" s="62">
        <f>IF(V3=0,0,V3/MBunk_act!V3*1000)</f>
        <v>19.789581029658748</v>
      </c>
      <c r="W17" s="62">
        <f>IF(W3=0,0,W3/MBunk_act!W3*1000)</f>
        <v>17.766254686947466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88.429173568719051</v>
      </c>
      <c r="C18" s="63">
        <f>IF(C4=0,0,C4/MBunk_act!C4*1000)</f>
        <v>98.621490074776091</v>
      </c>
      <c r="D18" s="63">
        <f>IF(D4=0,0,D4/MBunk_act!D4*1000)</f>
        <v>96.338558859027913</v>
      </c>
      <c r="E18" s="63">
        <f>IF(E4=0,0,E4/MBunk_act!E4*1000)</f>
        <v>90.226818845462716</v>
      </c>
      <c r="F18" s="63">
        <f>IF(F4=0,0,F4/MBunk_act!F4*1000)</f>
        <v>92.736359370973361</v>
      </c>
      <c r="G18" s="63">
        <f>IF(G4=0,0,G4/MBunk_act!G4*1000)</f>
        <v>96.255614109774001</v>
      </c>
      <c r="H18" s="63">
        <f>IF(H4=0,0,H4/MBunk_act!H4*1000)</f>
        <v>99.597894967669589</v>
      </c>
      <c r="I18" s="63">
        <f>IF(I4=0,0,I4/MBunk_act!I4*1000)</f>
        <v>96.475556643128044</v>
      </c>
      <c r="J18" s="63">
        <f>IF(J4=0,0,J4/MBunk_act!J4*1000)</f>
        <v>89.119613361594745</v>
      </c>
      <c r="K18" s="63">
        <f>IF(K4=0,0,K4/MBunk_act!K4*1000)</f>
        <v>86.896896694337599</v>
      </c>
      <c r="L18" s="63">
        <f>IF(L4=0,0,L4/MBunk_act!L4*1000)</f>
        <v>75.58906371844742</v>
      </c>
      <c r="M18" s="63">
        <f>IF(M4=0,0,M4/MBunk_act!M4*1000)</f>
        <v>77.781687801508824</v>
      </c>
      <c r="N18" s="63">
        <f>IF(N4=0,0,N4/MBunk_act!N4*1000)</f>
        <v>71.621696949078384</v>
      </c>
      <c r="O18" s="63">
        <f>IF(O4=0,0,O4/MBunk_act!O4*1000)</f>
        <v>68.99118986283095</v>
      </c>
      <c r="P18" s="63">
        <f>IF(P4=0,0,P4/MBunk_act!P4*1000)</f>
        <v>65.218040697467487</v>
      </c>
      <c r="Q18" s="63">
        <f>IF(Q4=0,0,Q4/MBunk_act!Q4*1000)</f>
        <v>57.718041094355982</v>
      </c>
      <c r="R18" s="63">
        <f>IF(R4=0,0,R4/MBunk_act!R4*1000)</f>
        <v>57.181936210814726</v>
      </c>
      <c r="S18" s="63">
        <f>IF(S4=0,0,S4/MBunk_act!S4*1000)</f>
        <v>55.887321479706955</v>
      </c>
      <c r="T18" s="63">
        <f>IF(T4=0,0,T4/MBunk_act!T4*1000)</f>
        <v>53.846762746739174</v>
      </c>
      <c r="U18" s="63">
        <f>IF(U4=0,0,U4/MBunk_act!U4*1000)</f>
        <v>55.459357959798766</v>
      </c>
      <c r="V18" s="63">
        <f>IF(V4=0,0,V4/MBunk_act!V4*1000)</f>
        <v>52.529183624339048</v>
      </c>
      <c r="W18" s="63">
        <f>IF(W4=0,0,W4/MBunk_act!W4*1000)</f>
        <v>50.276544470359738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25.551065378322829</v>
      </c>
      <c r="C19" s="64">
        <f>IF(C5=0,0,C5/MBunk_act!C5*1000)</f>
        <v>28.369431834955058</v>
      </c>
      <c r="D19" s="64">
        <f>IF(D5=0,0,D5/MBunk_act!D5*1000)</f>
        <v>27.826974158356908</v>
      </c>
      <c r="E19" s="64">
        <f>IF(E5=0,0,E5/MBunk_act!E5*1000)</f>
        <v>25.9999977906146</v>
      </c>
      <c r="F19" s="64">
        <f>IF(F5=0,0,F5/MBunk_act!F5*1000)</f>
        <v>26.668438405940844</v>
      </c>
      <c r="G19" s="64">
        <f>IF(G5=0,0,G5/MBunk_act!G5*1000)</f>
        <v>27.095580374965877</v>
      </c>
      <c r="H19" s="64">
        <f>IF(H5=0,0,H5/MBunk_act!H5*1000)</f>
        <v>27.824988708017869</v>
      </c>
      <c r="I19" s="64">
        <f>IF(I5=0,0,I5/MBunk_act!I5*1000)</f>
        <v>26.928459011577655</v>
      </c>
      <c r="J19" s="64">
        <f>IF(J5=0,0,J5/MBunk_act!J5*1000)</f>
        <v>24.609569200549245</v>
      </c>
      <c r="K19" s="64">
        <f>IF(K5=0,0,K5/MBunk_act!K5*1000)</f>
        <v>24.761025339179373</v>
      </c>
      <c r="L19" s="64">
        <f>IF(L5=0,0,L5/MBunk_act!L5*1000)</f>
        <v>21.588484657790161</v>
      </c>
      <c r="M19" s="64">
        <f>IF(M5=0,0,M5/MBunk_act!M5*1000)</f>
        <v>21.737348386325934</v>
      </c>
      <c r="N19" s="64">
        <f>IF(N5=0,0,N5/MBunk_act!N5*1000)</f>
        <v>19.928318759482835</v>
      </c>
      <c r="O19" s="64">
        <f>IF(O5=0,0,O5/MBunk_act!O5*1000)</f>
        <v>19.192170542017461</v>
      </c>
      <c r="P19" s="64">
        <f>IF(P5=0,0,P5/MBunk_act!P5*1000)</f>
        <v>18.104185168233087</v>
      </c>
      <c r="Q19" s="64">
        <f>IF(Q5=0,0,Q5/MBunk_act!Q5*1000)</f>
        <v>16.019171769647063</v>
      </c>
      <c r="R19" s="64">
        <f>IF(R5=0,0,R5/MBunk_act!R5*1000)</f>
        <v>15.883713616181124</v>
      </c>
      <c r="S19" s="64">
        <f>IF(S5=0,0,S5/MBunk_act!S5*1000)</f>
        <v>15.486585980419886</v>
      </c>
      <c r="T19" s="64">
        <f>IF(T5=0,0,T5/MBunk_act!T5*1000)</f>
        <v>15.036092376319584</v>
      </c>
      <c r="U19" s="64">
        <f>IF(U5=0,0,U5/MBunk_act!U5*1000)</f>
        <v>15.4248883521769</v>
      </c>
      <c r="V19" s="64">
        <f>IF(V5=0,0,V5/MBunk_act!V5*1000)</f>
        <v>17.726790020182911</v>
      </c>
      <c r="W19" s="64">
        <f>IF(W5=0,0,W5/MBunk_act!W5*1000)</f>
        <v>15.836614385465484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0.19739334745369214</v>
      </c>
      <c r="C22" s="77">
        <f t="shared" si="2"/>
        <v>0.19634664294468365</v>
      </c>
      <c r="D22" s="77">
        <f t="shared" si="2"/>
        <v>0.1987420958240492</v>
      </c>
      <c r="E22" s="77">
        <f t="shared" si="2"/>
        <v>0.19311272097323304</v>
      </c>
      <c r="F22" s="77">
        <f t="shared" si="2"/>
        <v>0.19280048483469922</v>
      </c>
      <c r="G22" s="77">
        <f t="shared" si="2"/>
        <v>0.17469918518555716</v>
      </c>
      <c r="H22" s="77">
        <f t="shared" si="2"/>
        <v>0.16666576133626745</v>
      </c>
      <c r="I22" s="77">
        <f t="shared" si="2"/>
        <v>0.16417264471203002</v>
      </c>
      <c r="J22" s="77">
        <f t="shared" si="2"/>
        <v>0.15443678380412981</v>
      </c>
      <c r="K22" s="77">
        <f t="shared" si="2"/>
        <v>0.18098100963699904</v>
      </c>
      <c r="L22" s="77">
        <f t="shared" si="2"/>
        <v>0.19029141417773154</v>
      </c>
      <c r="M22" s="77">
        <f t="shared" si="2"/>
        <v>0.17340082797181411</v>
      </c>
      <c r="N22" s="77">
        <f t="shared" si="2"/>
        <v>0.17310242198512346</v>
      </c>
      <c r="O22" s="77">
        <f t="shared" si="2"/>
        <v>0.1756281485542375</v>
      </c>
      <c r="P22" s="77">
        <f t="shared" si="2"/>
        <v>0.17864197100046289</v>
      </c>
      <c r="Q22" s="77">
        <f t="shared" si="2"/>
        <v>0.16999637815941684</v>
      </c>
      <c r="R22" s="77">
        <f t="shared" si="2"/>
        <v>0.16576784979197776</v>
      </c>
      <c r="S22" s="77">
        <f t="shared" si="2"/>
        <v>0.16381362436328081</v>
      </c>
      <c r="T22" s="77">
        <f t="shared" si="2"/>
        <v>0.17166543611882329</v>
      </c>
      <c r="U22" s="77">
        <f t="shared" si="2"/>
        <v>0.17650460889734676</v>
      </c>
      <c r="V22" s="77">
        <f t="shared" si="2"/>
        <v>0.15732950165747525</v>
      </c>
      <c r="W22" s="77">
        <f t="shared" si="2"/>
        <v>0.15855634902444396</v>
      </c>
      <c r="DA22" s="184"/>
    </row>
    <row r="23" spans="1:105" ht="11.45" customHeight="1" x14ac:dyDescent="0.25">
      <c r="A23" s="57" t="s">
        <v>171</v>
      </c>
      <c r="B23" s="78">
        <f t="shared" si="2"/>
        <v>0.80260665254630781</v>
      </c>
      <c r="C23" s="78">
        <f t="shared" si="2"/>
        <v>0.80365335705531638</v>
      </c>
      <c r="D23" s="78">
        <f t="shared" si="2"/>
        <v>0.80125790417595077</v>
      </c>
      <c r="E23" s="78">
        <f t="shared" si="2"/>
        <v>0.80688727902676705</v>
      </c>
      <c r="F23" s="78">
        <f t="shared" si="2"/>
        <v>0.80719951516530064</v>
      </c>
      <c r="G23" s="78">
        <f t="shared" si="2"/>
        <v>0.82530081481444284</v>
      </c>
      <c r="H23" s="78">
        <f t="shared" si="2"/>
        <v>0.83333423866373257</v>
      </c>
      <c r="I23" s="78">
        <f t="shared" si="2"/>
        <v>0.83582735528796992</v>
      </c>
      <c r="J23" s="78">
        <f t="shared" si="2"/>
        <v>0.84556321619587027</v>
      </c>
      <c r="K23" s="78">
        <f t="shared" si="2"/>
        <v>0.81901899036300096</v>
      </c>
      <c r="L23" s="78">
        <f t="shared" si="2"/>
        <v>0.80970858582226846</v>
      </c>
      <c r="M23" s="78">
        <f t="shared" si="2"/>
        <v>0.82659917202818589</v>
      </c>
      <c r="N23" s="78">
        <f t="shared" si="2"/>
        <v>0.82689757801487662</v>
      </c>
      <c r="O23" s="78">
        <f t="shared" si="2"/>
        <v>0.82437185144576253</v>
      </c>
      <c r="P23" s="78">
        <f t="shared" si="2"/>
        <v>0.82135802899953714</v>
      </c>
      <c r="Q23" s="78">
        <f t="shared" si="2"/>
        <v>0.83000362184058307</v>
      </c>
      <c r="R23" s="78">
        <f t="shared" si="2"/>
        <v>0.83423215020802222</v>
      </c>
      <c r="S23" s="78">
        <f t="shared" si="2"/>
        <v>0.83618637563671905</v>
      </c>
      <c r="T23" s="78">
        <f t="shared" si="2"/>
        <v>0.82833456388117666</v>
      </c>
      <c r="U23" s="78">
        <f t="shared" si="2"/>
        <v>0.82349539110265324</v>
      </c>
      <c r="V23" s="78">
        <f t="shared" si="2"/>
        <v>0.84267049834252472</v>
      </c>
      <c r="W23" s="78">
        <f t="shared" si="2"/>
        <v>0.84144365097555596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CCDA3C-CA7C-4C04-B7D6-E027C5D60BA1}"/>
</file>

<file path=customXml/itemProps2.xml><?xml version="1.0" encoding="utf-8"?>
<ds:datastoreItem xmlns:ds="http://schemas.openxmlformats.org/officeDocument/2006/customXml" ds:itemID="{8A1881CC-C032-4967-9A67-32154820CFBB}"/>
</file>

<file path=customXml/itemProps3.xml><?xml version="1.0" encoding="utf-8"?>
<ds:datastoreItem xmlns:ds="http://schemas.openxmlformats.org/officeDocument/2006/customXml" ds:itemID="{60B1D440-B876-4EB5-B198-880FDAE7B4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2024-05-20T16:54:18Z</dcterms:created>
  <dcterms:modified xsi:type="dcterms:W3CDTF">2024-05-20T16:54:18Z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