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E4" i="29" s="1"/>
  <c r="D12" i="29"/>
  <c r="D11" i="29" s="1"/>
  <c r="W11" i="29"/>
  <c r="V11" i="29"/>
  <c r="T9" i="29"/>
  <c r="S9" i="29"/>
  <c r="R9" i="29"/>
  <c r="Q9" i="29"/>
  <c r="L9" i="29"/>
  <c r="K9" i="29"/>
  <c r="J9" i="29"/>
  <c r="I9" i="29"/>
  <c r="D9" i="29"/>
  <c r="V8" i="29"/>
  <c r="U8" i="29"/>
  <c r="P8" i="29"/>
  <c r="O8" i="29"/>
  <c r="N8" i="29"/>
  <c r="H8" i="29"/>
  <c r="G8" i="29"/>
  <c r="F8" i="29"/>
  <c r="T7" i="29"/>
  <c r="S7" i="29"/>
  <c r="R7" i="29"/>
  <c r="L7" i="29"/>
  <c r="K7" i="29"/>
  <c r="J7" i="29"/>
  <c r="G7" i="29"/>
  <c r="D7" i="29"/>
  <c r="W6" i="29"/>
  <c r="V6" i="29"/>
  <c r="P6" i="29"/>
  <c r="O6" i="29"/>
  <c r="N6" i="29"/>
  <c r="H6" i="29"/>
  <c r="G6" i="29"/>
  <c r="F6" i="29"/>
  <c r="T5" i="29"/>
  <c r="S5" i="29"/>
  <c r="R5" i="29"/>
  <c r="Q5" i="29"/>
  <c r="L5" i="29"/>
  <c r="K5" i="29"/>
  <c r="J5" i="29"/>
  <c r="D5" i="29"/>
  <c r="W4" i="29"/>
  <c r="V4" i="29"/>
  <c r="U4" i="29"/>
  <c r="P4" i="29"/>
  <c r="N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W8" i="29"/>
  <c r="U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U15" i="24"/>
  <c r="W3" i="31"/>
  <c r="W3" i="29"/>
  <c r="U19" i="25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29" i="12" l="1"/>
  <c r="G29" i="13"/>
  <c r="G16" i="12"/>
  <c r="F16" i="12"/>
  <c r="E4" i="13"/>
  <c r="E19" i="24"/>
  <c r="I4" i="23"/>
  <c r="I4" i="26" s="1"/>
  <c r="O29" i="13"/>
  <c r="O29" i="16" s="1"/>
  <c r="K4" i="24"/>
  <c r="D16" i="14"/>
  <c r="D16" i="17" s="1"/>
  <c r="O29" i="12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J29" i="24"/>
  <c r="P16" i="13"/>
  <c r="P16" i="16" s="1"/>
  <c r="C29" i="12"/>
  <c r="C29" i="15" s="1"/>
  <c r="G16" i="24"/>
  <c r="I4" i="12"/>
  <c r="I4" i="15" s="1"/>
  <c r="L16" i="13"/>
  <c r="L16" i="16" s="1"/>
  <c r="B29" i="13"/>
  <c r="L4" i="24"/>
  <c r="Q29" i="23"/>
  <c r="G16" i="25"/>
  <c r="Q4" i="24"/>
  <c r="Q4" i="27" s="1"/>
  <c r="D4" i="23"/>
  <c r="C29" i="13"/>
  <c r="C29" i="16" s="1"/>
  <c r="B29" i="12"/>
  <c r="H19" i="24"/>
  <c r="H19" i="27" s="1"/>
  <c r="Q4" i="12"/>
  <c r="B4" i="14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K16" i="26" s="1"/>
  <c r="E29" i="13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P4" i="16" s="1"/>
  <c r="G29" i="23"/>
  <c r="G29" i="26" s="1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Q19" i="27" s="1"/>
  <c r="K15" i="23"/>
  <c r="K15" i="26" s="1"/>
  <c r="K15" i="24"/>
  <c r="P27" i="23"/>
  <c r="P27" i="26" s="1"/>
  <c r="P27" i="24"/>
  <c r="P27" i="27" s="1"/>
  <c r="P16" i="12"/>
  <c r="F4" i="13"/>
  <c r="L29" i="13"/>
  <c r="L29" i="16" s="1"/>
  <c r="L15" i="23"/>
  <c r="L15" i="26" s="1"/>
  <c r="L15" i="24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Q3" i="13" l="1"/>
  <c r="Q3" i="12"/>
  <c r="G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8" i="4"/>
  <c r="B10" i="4"/>
  <c r="B9" i="4"/>
  <c r="B29" i="4"/>
  <c r="B14" i="4"/>
  <c r="B24" i="4"/>
  <c r="B30" i="4"/>
  <c r="B28" i="4"/>
  <c r="B21" i="4"/>
  <c r="B7" i="4"/>
  <c r="B20" i="4"/>
  <c r="B33" i="4"/>
  <c r="B17" i="4"/>
  <c r="B43" i="4"/>
  <c r="B11" i="4"/>
  <c r="B22" i="4"/>
  <c r="B44" i="4"/>
  <c r="B23" i="4"/>
  <c r="B13" i="4"/>
  <c r="B42" i="4"/>
  <c r="B39" i="4"/>
  <c r="B27" i="4"/>
  <c r="B26" i="4"/>
  <c r="B34" i="4"/>
  <c r="B38" i="4"/>
  <c r="B4" i="4"/>
  <c r="B45" i="4"/>
  <c r="B25" i="4"/>
  <c r="B15" i="4"/>
  <c r="B16" i="4"/>
  <c r="B35" i="4"/>
  <c r="B36" i="4"/>
  <c r="B12" i="4"/>
  <c r="B37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<sst xmlns="http://schemas.openxmlformats.org/spreadsheetml/2006/main" count="2099" uniqueCount="1055">
  <si>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</si>
  <si>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</si>
  <si>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</si>
  <si>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</si>
  <si>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</si>
  <si>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</si>
  <si>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</si>
  <si>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</si>
  <si>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</si>
  <si>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</si>
  <si>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</si>
  <si>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</si>
  <si>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</si>
  <si>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</si>
  <si>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</si>
  <si>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</si>
  <si>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</si>
  <si>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</si>
  <si>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</si>
  <si>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</si>
  <si>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</si>
  <si>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</si>
  <si>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</si>
  <si>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</si>
  <si>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</si>
  <si>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</si>
  <si>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</si>
  <si>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</si>
  <si>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</si>
  <si>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</si>
  <si>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</si>
  <si>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</si>
  <si>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</si>
  <si>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</si>
  <si>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</si>
  <si>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</si>
  <si>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</si>
  <si>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</si>
  <si>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</si>
  <si>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</si>
  <si>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</si>
  <si>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</si>
  <si>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</si>
  <si>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</si>
  <si>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</si>
  <si>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</si>
  <si>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</si>
  <si>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</si>
  <si>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</si>
  <si>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</si>
  <si>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</si>
  <si>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</si>
  <si>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</si>
  <si>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</si>
  <si>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</si>
  <si>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</si>
  <si>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</si>
  <si>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</si>
  <si>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</si>
  <si>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</si>
  <si>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</si>
  <si>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</si>
  <si>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</si>
  <si>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</si>
  <si>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</si>
  <si>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</si>
  <si>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</si>
  <si>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</si>
  <si>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</si>
  <si>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</si>
  <si>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</si>
  <si>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</si>
  <si>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</si>
  <si>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</si>
  <si>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</si>
  <si>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</si>
  <si>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</si>
  <si>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</si>
  <si>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</si>
  <si>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</si>
  <si>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</si>
  <si>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</si>
  <si>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</si>
  <si>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</si>
  <si>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</si>
  <si>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</si>
  <si>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</si>
  <si>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</si>
  <si>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</si>
  <si>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</si>
  <si>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</si>
  <si>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</si>
  <si>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</si>
  <si>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</si>
  <si>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</si>
  <si>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</si>
  <si>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</si>
  <si>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</si>
  <si>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</si>
  <si>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</si>
  <si>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</si>
  <si>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</si>
  <si>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</si>
  <si>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</si>
  <si>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</si>
  <si>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</si>
  <si>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</si>
  <si>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</si>
  <si>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</si>
  <si>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</si>
  <si>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</si>
  <si>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</si>
  <si>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</si>
  <si>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</si>
  <si>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</si>
  <si>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</si>
  <si>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</si>
  <si>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</si>
  <si>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</si>
  <si>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</si>
  <si>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</si>
  <si>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</si>
  <si>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</si>
  <si>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</si>
  <si>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</si>
  <si>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</si>
  <si>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</si>
  <si>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</si>
  <si>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</si>
  <si>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</si>
  <si>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</si>
  <si>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</si>
  <si>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</si>
  <si>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</si>
  <si>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</si>
  <si>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</si>
  <si>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</si>
  <si>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</si>
  <si>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</si>
  <si>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</si>
  <si>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</si>
  <si>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</si>
  <si>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</si>
  <si>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</si>
  <si>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</si>
  <si>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</si>
  <si>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</si>
  <si>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</si>
  <si>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</si>
  <si>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</si>
  <si>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</si>
  <si>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</si>
  <si>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</si>
  <si>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</si>
  <si>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</si>
  <si>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</si>
  <si>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</si>
  <si>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</si>
  <si>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</si>
  <si>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</si>
  <si>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</si>
  <si>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</si>
  <si>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</si>
  <si>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</si>
  <si>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</si>
  <si>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</si>
  <si>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</si>
  <si>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</si>
  <si>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</si>
  <si>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</si>
  <si>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</si>
  <si>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</si>
  <si>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</si>
  <si>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</si>
  <si>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</si>
  <si>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</si>
  <si>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</si>
  <si>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</si>
  <si>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</si>
  <si>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</si>
  <si>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</si>
  <si>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</si>
  <si>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</si>
  <si>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</si>
  <si>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BG</t>
  </si>
  <si>
    <t>Bulgaria</t>
  </si>
  <si>
    <t>BG - Services sector summary</t>
  </si>
  <si>
    <t>Macro.number.BG.Population</t>
  </si>
  <si>
    <t>Macro.Meuro2015.BG.GDP</t>
  </si>
  <si>
    <t>Macro.Meuro2015.BG.VA</t>
  </si>
  <si>
    <t>Macro.number.BG.Employees</t>
  </si>
  <si>
    <t>NUM.number.BG.Ser.Bld</t>
  </si>
  <si>
    <t>SurfaceArea.ksqm.BG.Ser.Bld</t>
  </si>
  <si>
    <t>NUM.number.BG.Ser.BldNew</t>
  </si>
  <si>
    <t>SurfaceArea.ksqm.BG.Ser.BldNew</t>
  </si>
  <si>
    <t>HDD.Celsius.BG.Actual</t>
  </si>
  <si>
    <t>HDD.Celsius.BG.Mean</t>
  </si>
  <si>
    <t>HDD.ratio.BG.Relative</t>
  </si>
  <si>
    <t>FEC.ktoe.BG.ES.Ser</t>
  </si>
  <si>
    <t>FEC.ktoe.BG.ES.Ser.Solids</t>
  </si>
  <si>
    <t>FEC.ktoe.BG.ES.Ser.LPG</t>
  </si>
  <si>
    <t>FEC.ktoe.BG.ES.Ser.Oil</t>
  </si>
  <si>
    <t>FEC.ktoe.BG.ES.Ser.NG</t>
  </si>
  <si>
    <t>FEC.ktoe.BG.ES.Ser.Biomass_Waste</t>
  </si>
  <si>
    <t>FEC.ktoe.BG.ES.Ser.Biogas</t>
  </si>
  <si>
    <t>FEC.ktoe.BG.ES.Ser.LiqBio</t>
  </si>
  <si>
    <t>FEC.ktoe.BG.ES.Ser.Solar</t>
  </si>
  <si>
    <t>FEC.ktoe.BG.ES.Ser.Geo</t>
  </si>
  <si>
    <t>FEC.ktoe.BG.ES.Ser.Ambient</t>
  </si>
  <si>
    <t>FEC.ktoe.BG.ES.Ser.Steam_Distr</t>
  </si>
  <si>
    <t>FEC.ktoe.BG.ES.Ser.Elec</t>
  </si>
  <si>
    <t>FEC.ktoe.BG.Ser</t>
  </si>
  <si>
    <t>FEC.ktoe.BG.Ser.Bld.Thermal</t>
  </si>
  <si>
    <t>FEC.ktoe.BG.Ser.Bld.Thermal.SH</t>
  </si>
  <si>
    <t>FEC.ktoe.BG.Ser.Bld.Thermal.SC</t>
  </si>
  <si>
    <t>FEC.ktoe.BG.Ser.Bld.Thermal.HW</t>
  </si>
  <si>
    <t>FEC.ktoe.BG.Ser.Bld.Thermal.CA</t>
  </si>
  <si>
    <t>FEC.ktoe.BG.Ser.SEU</t>
  </si>
  <si>
    <t>EMI.ktCO2.BG.ES.Ser</t>
  </si>
  <si>
    <t>EMI.ktCO2.BG.ES.Ser.Solids</t>
  </si>
  <si>
    <t>EMI.ktCO2.BG.ES.Ser.LPG</t>
  </si>
  <si>
    <t>EMI.ktCO2.BG.ES.Ser.Oil</t>
  </si>
  <si>
    <t>EMI.ktCO2.BG.ES.Ser.NG</t>
  </si>
  <si>
    <t>EMI.ktCO2.BG.ES.Ser.Biomass_Waste</t>
  </si>
  <si>
    <t>EMI.ktCO2.BG.ES.Ser.Biogas</t>
  </si>
  <si>
    <t>EMI.ktCO2.BG.ES.Ser.LiqBio</t>
  </si>
  <si>
    <t>EMI.ktCO2.BG.ES.Ser.Solar</t>
  </si>
  <si>
    <t>EMI.ktCO2.BG.ES.Ser.Geo</t>
  </si>
  <si>
    <t>EMI.ktCO2.BG.ES.Ser.Ambient</t>
  </si>
  <si>
    <t>EMI.ktCO2.BG.ES.Ser.Steam_Distr</t>
  </si>
  <si>
    <t>EMI.ktCO2.BG.ES.Ser.Elec</t>
  </si>
  <si>
    <t>EMI.ktCO2.BG.Ser</t>
  </si>
  <si>
    <t>EMI.ktCO2.BG.Ser.Bld.Thermal</t>
  </si>
  <si>
    <t>EMI.ktCO2.BG.Ser.Bld.Thermal.SH</t>
  </si>
  <si>
    <t>EMI.ktCO2.BG.Ser.Bld.Thermal.SC</t>
  </si>
  <si>
    <t>EMI.ktCO2.BG.Ser.Bld.Thermal.HW</t>
  </si>
  <si>
    <t>EMI.ktCO2.BG.Ser.Bld.Thermal.CA</t>
  </si>
  <si>
    <t>EMI.ktCO2.BG.Ser.SEU</t>
  </si>
  <si>
    <t>Eff.ratio.BG.Ser.Bld.Thermal</t>
  </si>
  <si>
    <t>Eff.ratio.BG.Ser.Bld.Thermal.SH</t>
  </si>
  <si>
    <t>Eff.ratio.BG.Ser.Bld.Thermal.SC</t>
  </si>
  <si>
    <t>Eff.ratio.BG.Ser.Bld.Thermal.HW</t>
  </si>
  <si>
    <t>Eff.ratio.BG.Ser.Bld.Thermal.CA</t>
  </si>
  <si>
    <t>BG - Number of buildings</t>
  </si>
  <si>
    <t>NUM.number.BG.Ser.Bld.Thermal</t>
  </si>
  <si>
    <t>NUM.number.BG.Ser.Bld.Thermal.SH</t>
  </si>
  <si>
    <t>NUM.number.BG.Ser.Bld.Thermal.SH.Solids</t>
  </si>
  <si>
    <t>NUM.number.BG.Ser.Bld.Thermal.SH.LPG</t>
  </si>
  <si>
    <t>NUM.number.BG.Ser.Bld.Thermal.SH.Oil</t>
  </si>
  <si>
    <t>NUM.number.BG.Ser.Bld.Thermal.SH.GasHP</t>
  </si>
  <si>
    <t>NUM.number.BG.Ser.Bld.Thermal.SH.GasTH</t>
  </si>
  <si>
    <t>NUM.number.BG.Ser.Bld.Thermal.SH.Biomass</t>
  </si>
  <si>
    <t>NUM.number.BG.Ser.Bld.Thermal.SH.Geo</t>
  </si>
  <si>
    <t>NUM.number.BG.Ser.Bld.Thermal.SH.DistrHeat</t>
  </si>
  <si>
    <t>NUM.number.BG.Ser.Bld.Thermal.SH.AdvElc</t>
  </si>
  <si>
    <t>NUM.number.BG.Ser.Bld.Thermal.SH.ConvElc</t>
  </si>
  <si>
    <t>NUM.number.BG.Ser.Bld.Thermal.SC</t>
  </si>
  <si>
    <t>NUM.number.BG.Ser.Bld.Thermal.SC.GasHP</t>
  </si>
  <si>
    <t>NUM.number.BG.Ser.Bld.Thermal.SC.AC</t>
  </si>
  <si>
    <t>NUM.number.BG.Ser.Bld.Thermal.HW</t>
  </si>
  <si>
    <t>NUM.number.BG.Ser.Bld.Thermal.HW.Solids</t>
  </si>
  <si>
    <t>NUM.number.BG.Ser.Bld.Thermal.HW.LPG</t>
  </si>
  <si>
    <t>NUM.number.BG.Ser.Bld.Thermal.HW.Oil</t>
  </si>
  <si>
    <t>NUM.number.BG.Ser.Bld.Thermal.HW.Gas</t>
  </si>
  <si>
    <t>NUM.number.BG.Ser.Bld.Thermal.HW.Biomass</t>
  </si>
  <si>
    <t>NUM.number.BG.Ser.Bld.Thermal.HW.DistrHeat</t>
  </si>
  <si>
    <t>NUM.number.BG.Ser.Bld.Thermal.HW.Elc</t>
  </si>
  <si>
    <t>NUM.number.BG.Ser.Bld.Thermal.HW.Solar</t>
  </si>
  <si>
    <t>NUM.number.BG.Ser.Bld.Thermal.CA</t>
  </si>
  <si>
    <t>NUM.number.BG.Ser.Bld.Thermal.CA.LPG</t>
  </si>
  <si>
    <t>NUM.number.BG.Ser.Bld.Thermal.CA.Gas</t>
  </si>
  <si>
    <t>NUM.number.BG.Ser.Bld.Thermal.CA.Biomass</t>
  </si>
  <si>
    <t>NUM.number.BG.Ser.Bld.Thermal.CA.Elc</t>
  </si>
  <si>
    <t>BG - Final energy consumption</t>
  </si>
  <si>
    <t>FEC.ktoe.BG.Ser.Bld.Thermal.SH.Solids.Solids</t>
  </si>
  <si>
    <t>FEC.ktoe.BG.Ser.Bld.Thermal.SH.LPG.LPG</t>
  </si>
  <si>
    <t>FEC.ktoe.BG.Ser.Bld.Thermal.SH.Oil.Oil_LiqBio</t>
  </si>
  <si>
    <t>FEC.ktoe.BG.Ser.Bld.Thermal.SH.GasHP.NG_Biogas</t>
  </si>
  <si>
    <t>FEC.ktoe.BG.Ser.Bld.Thermal.SH.GasTH.NG_Biogas</t>
  </si>
  <si>
    <t>FEC.ktoe.BG.Ser.Bld.Thermal.SH.Biomass.Biomass_Waste</t>
  </si>
  <si>
    <t>FEC.ktoe.BG.Ser.Bld.Thermal.SH.Geo.Geo</t>
  </si>
  <si>
    <t>FEC.ktoe.BG.Ser.Bld.Thermal.SH.DistrHeat.Steam_Distr</t>
  </si>
  <si>
    <t>FEC.ktoe.BG.Ser.Bld.Thermal.SH.AdvElc.Elec</t>
  </si>
  <si>
    <t>FEC.ktoe.BG.Ser.Bld.Thermal.SH.ConvElc.Elec</t>
  </si>
  <si>
    <t>FEC.ktoe.BG.Ser.Bld.Thermal.SH.TotalCirculation.Elec</t>
  </si>
  <si>
    <t>FEC.ktoe.BG.Ser.Bld.Thermal.SC.GasHP.NG_Biogas</t>
  </si>
  <si>
    <t>FEC.ktoe.BG.Ser.Bld.Thermal.SC.AC.Elec</t>
  </si>
  <si>
    <t>FEC.ktoe.BG.Ser.Bld.Thermal.HW.Solids.Solids</t>
  </si>
  <si>
    <t>FEC.ktoe.BG.Ser.Bld.Thermal.HW.LPG.LPG</t>
  </si>
  <si>
    <t>FEC.ktoe.BG.Ser.Bld.Thermal.HW.Oil.Oil_LiqBio</t>
  </si>
  <si>
    <t>FEC.ktoe.BG.Ser.Bld.Thermal.HW.Gas.NG_Biogas</t>
  </si>
  <si>
    <t>FEC.ktoe.BG.Ser.Bld.Thermal.HW.Biomass.Biomass_Waste</t>
  </si>
  <si>
    <t>FEC.ktoe.BG.Ser.Bld.Thermal.HW.DistrHeat.Steam_Distr</t>
  </si>
  <si>
    <t>FEC.ktoe.BG.Ser.Bld.Thermal.HW.Elc.Elec</t>
  </si>
  <si>
    <t>FEC.ktoe.BG.Ser.Bld.Thermal.HW.TotalSolar.Solar</t>
  </si>
  <si>
    <t>FEC.ktoe.BG.Ser.Bld.Thermal.CA.LPG</t>
  </si>
  <si>
    <t>FEC.ktoe.BG.Ser.Bld.Thermal.CA.Gas.NG_Biogas</t>
  </si>
  <si>
    <t>FEC.ktoe.BG.Ser.Bld.Thermal.CA.Biomass.Biomass_Waste</t>
  </si>
  <si>
    <t>FEC.ktoe.BG.Ser.Bld.Thermal.CA.Elc.Elec</t>
  </si>
  <si>
    <t>BG - Thermal energy service</t>
  </si>
  <si>
    <t>TES.ktoe.BG.Ser.Bld.Thermal</t>
  </si>
  <si>
    <t>TES.ktoe.BG.Ser.Bld.Thermal.SH</t>
  </si>
  <si>
    <t>TES.ktoe.BG.Ser.Bld.Thermal.SH.Solids.Solids</t>
  </si>
  <si>
    <t>TES.ktoe.BG.Ser.Bld.Thermal.SH.LPG.LPG</t>
  </si>
  <si>
    <t>TES.ktoe.BG.Ser.Bld.Thermal.SH.Oil.Oil_LiqBio</t>
  </si>
  <si>
    <t>TES.ktoe.BG.Ser.Bld.Thermal.SH.GasHP.NG_Biogas</t>
  </si>
  <si>
    <t>TES.ktoe.BG.Ser.Bld.Thermal.SH.GasTH.NG_Biogas</t>
  </si>
  <si>
    <t>TES.ktoe.BG.Ser.Bld.Thermal.SH.Biomass.Biomass_Waste</t>
  </si>
  <si>
    <t>TES.ktoe.BG.Ser.Bld.Thermal.SH.Geo.Geo</t>
  </si>
  <si>
    <t>TES.ktoe.BG.Ser.Bld.Thermal.SH.DistrHeat.Steam_Distr</t>
  </si>
  <si>
    <t>TES.ktoe.BG.Ser.Bld.Thermal.SH.AdvElc.Elec</t>
  </si>
  <si>
    <t>TES.ktoe.BG.Ser.Bld.Thermal.SH.ConvElc.Elec</t>
  </si>
  <si>
    <t>TES.ktoe.BG.Ser.Bld.Thermal.SH.TotalCirculation.Elec</t>
  </si>
  <si>
    <t>TES.ktoe.BG.Ser.Bld.Thermal.SC</t>
  </si>
  <si>
    <t>TES.ktoe.BG.Ser.Bld.Thermal.SC.GasHP.NG_Biogas</t>
  </si>
  <si>
    <t>TES.ktoe.BG.Ser.Bld.Thermal.SC.AC.Elec</t>
  </si>
  <si>
    <t>TES.ktoe.BG.Ser.Bld.Thermal.HW</t>
  </si>
  <si>
    <t>TES.ktoe.BG.Ser.Bld.Thermal.HW.Solids.Solids</t>
  </si>
  <si>
    <t>TES.ktoe.BG.Ser.Bld.Thermal.HW.LPG.LPG</t>
  </si>
  <si>
    <t>TES.ktoe.BG.Ser.Bld.Thermal.HW.Oil.Oil_LiqBio</t>
  </si>
  <si>
    <t>TES.ktoe.BG.Ser.Bld.Thermal.HW.Gas.NG_Biogas</t>
  </si>
  <si>
    <t>TES.ktoe.BG.Ser.Bld.Thermal.HW.Biomass.Biomass_Waste</t>
  </si>
  <si>
    <t>TES.ktoe.BG.Ser.Bld.Thermal.HW.DistrHeat.Steam_Distr</t>
  </si>
  <si>
    <t>TES.ktoe.BG.Ser.Bld.Thermal.HW.Elc.Elec</t>
  </si>
  <si>
    <t>TES.ktoe.BG.Ser.Bld.Thermal.HW.TotalSolar.Solar</t>
  </si>
  <si>
    <t>TES.ktoe.BG.Ser.Bld.Thermal.CA</t>
  </si>
  <si>
    <t>TES.ktoe.BG.Ser.Bld.Thermal.CA.LPG</t>
  </si>
  <si>
    <t>TES.ktoe.BG.Ser.Bld.Thermal.CA.Gas.NG_Biogas</t>
  </si>
  <si>
    <t>TES.ktoe.BG.Ser.Bld.Thermal.CA.Biomass.Biomass_Waste</t>
  </si>
  <si>
    <t>TES.ktoe.BG.Ser.Bld.Thermal.CA.Elc.Elec</t>
  </si>
  <si>
    <t>BG - System efficiency indicator of total stock</t>
  </si>
  <si>
    <t>Eff.ratio.BG.Ser.Bld.Thermal.SH.Solids.Solids</t>
  </si>
  <si>
    <t>Eff.ratio.BG.Ser.Bld.Thermal.SH.LPG.LPG</t>
  </si>
  <si>
    <t>Eff.ratio.BG.Ser.Bld.Thermal.SH.Oil.Oil_LiqBio</t>
  </si>
  <si>
    <t>Eff.ratio.BG.Ser.Bld.Thermal.SH.GasHP.NG_Biogas</t>
  </si>
  <si>
    <t>Eff.ratio.BG.Ser.Bld.Thermal.SH.GasTH.NG_Biogas</t>
  </si>
  <si>
    <t>Eff.ratio.BG.Ser.Bld.Thermal.SH.Biomass.Biomass_Waste</t>
  </si>
  <si>
    <t>Eff.ratio.BG.Ser.Bld.Thermal.SH.Geo.Geo</t>
  </si>
  <si>
    <t>Eff.ratio.BG.Ser.Bld.Thermal.SH.DistrHeat.Steam_Distr</t>
  </si>
  <si>
    <t>Eff.ratio.BG.Ser.Bld.Thermal.SH.AdvElc.Elec</t>
  </si>
  <si>
    <t>Eff.ratio.BG.Ser.Bld.Thermal.SH.ConvElc.Elec</t>
  </si>
  <si>
    <t>Eff.ratio.BG.Ser.Bld.Thermal.SH.TotalCirculation.Elec</t>
  </si>
  <si>
    <t>Eff.ratio.BG.Ser.Bld.Thermal.SC.GasHP.NG_Biogas</t>
  </si>
  <si>
    <t>Eff.ratio.BG.Ser.Bld.Thermal.SC.AC.Elec</t>
  </si>
  <si>
    <t>Eff.ratio.BG.Ser.Bld.Thermal.HW.Solids.Solids</t>
  </si>
  <si>
    <t>Eff.ratio.BG.Ser.Bld.Thermal.HW.LPG.LPG</t>
  </si>
  <si>
    <t>Eff.ratio.BG.Ser.Bld.Thermal.HW.Oil.Oil_LiqBio</t>
  </si>
  <si>
    <t>Eff.ratio.BG.Ser.Bld.Thermal.HW.Gas.NG_Biogas</t>
  </si>
  <si>
    <t>Eff.ratio.BG.Ser.Bld.Thermal.HW.Biomass.Biomass_Waste</t>
  </si>
  <si>
    <t>Eff.ratio.BG.Ser.Bld.Thermal.HW.DistrHeat.Steam_Distr</t>
  </si>
  <si>
    <t>Eff.ratio.BG.Ser.Bld.Thermal.HW.Elc.Elec</t>
  </si>
  <si>
    <t>Eff.ratio.BG.Ser.Bld.Thermal.HW.TotalSolar.Solar</t>
  </si>
  <si>
    <t>Eff.ratio.BG.Ser.Bld.Thermal.CA.LPG</t>
  </si>
  <si>
    <t>Eff.ratio.BG.Ser.Bld.Thermal.CA.Gas.NG_Biogas</t>
  </si>
  <si>
    <t>Eff.ratio.BG.Ser.Bld.Thermal.CA.Biomass.Biomass_Waste</t>
  </si>
  <si>
    <t>Eff.ratio.BG.Ser.Bld.Thermal.CA.Elc.Elec</t>
  </si>
  <si>
    <t>BG - CO2 emissions</t>
  </si>
  <si>
    <t>EMI.ktCO2.BG.Ser.Bld.Thermal.SH.Solids.Solids</t>
  </si>
  <si>
    <t>EMI.ktCO2.BG.Ser.Bld.Thermal.SH.LPG.LPG</t>
  </si>
  <si>
    <t>EMI.ktCO2.BG.Ser.Bld.Thermal.SH.Oil.Oil_LiqBio</t>
  </si>
  <si>
    <t>EMI.ktCO2.BG.Ser.Bld.Thermal.SH.GasHP.NG_Biogas</t>
  </si>
  <si>
    <t>EMI.ktCO2.BG.Ser.Bld.Thermal.SH.GasTH.NG_Biogas</t>
  </si>
  <si>
    <t>EMI.ktCO2.BG.Ser.Bld.Thermal.SH.Biomass.Biomass_Waste</t>
  </si>
  <si>
    <t>EMI.ktCO2.BG.Ser.Bld.Thermal.SH.Geo.Geo</t>
  </si>
  <si>
    <t>EMI.ktCO2.BG.Ser.Bld.Thermal.SH.DistrHeat.Steam_Distr</t>
  </si>
  <si>
    <t>EMI.ktCO2.BG.Ser.Bld.Thermal.SH.AdvElc.Elec</t>
  </si>
  <si>
    <t>EMI.ktCO2.BG.Ser.Bld.Thermal.SH.ConvElc.Elec</t>
  </si>
  <si>
    <t>EMI.ktCO2.BG.Ser.Bld.Thermal.SH.TotalCirculation.Elec</t>
  </si>
  <si>
    <t>EMI.ktCO2.BG.Ser.Bld.Thermal.SC.GasHP.NG_Biogas</t>
  </si>
  <si>
    <t>EMI.ktCO2.BG.Ser.Bld.Thermal.SC.AC.Elec</t>
  </si>
  <si>
    <t>EMI.ktCO2.BG.Ser.Bld.Thermal.HW.Solids.Solids</t>
  </si>
  <si>
    <t>EMI.ktCO2.BG.Ser.Bld.Thermal.HW.LPG.LPG</t>
  </si>
  <si>
    <t>EMI.ktCO2.BG.Ser.Bld.Thermal.HW.Oil.Oil_LiqBio</t>
  </si>
  <si>
    <t>EMI.ktCO2.BG.Ser.Bld.Thermal.HW.Gas.NG_Biogas</t>
  </si>
  <si>
    <t>EMI.ktCO2.BG.Ser.Bld.Thermal.HW.Biomass.Biomass_Waste</t>
  </si>
  <si>
    <t>EMI.ktCO2.BG.Ser.Bld.Thermal.HW.DistrHeat.Steam_Distr</t>
  </si>
  <si>
    <t>EMI.ktCO2.BG.Ser.Bld.Thermal.HW.Elc.Elec</t>
  </si>
  <si>
    <t>EMI.ktCO2.BG.Ser.Bld.Thermal.HW.TotalSolar.Solar</t>
  </si>
  <si>
    <t>EMI.ktCO2.BG.Ser.Bld.Thermal.CA.LPG</t>
  </si>
  <si>
    <t>EMI.ktCO2.BG.Ser.Bld.Thermal.CA.Gas.NG_Biogas</t>
  </si>
  <si>
    <t>EMI.ktCO2.BG.Ser.Bld.Thermal.CA.Biomass.Biomass_Waste</t>
  </si>
  <si>
    <t>EMI.ktCO2.BG.Ser.Bld.Thermal.CA.Elc.Elec</t>
  </si>
  <si>
    <t>BG - Final energy consumption per building</t>
  </si>
  <si>
    <t>FEC_per_building.kWh.BG.Ser.Bld.Thermal</t>
  </si>
  <si>
    <t>FEC_per_building.kWh.BG.Ser.Bld.Thermal.SH</t>
  </si>
  <si>
    <t>FEC_per_building.kWh.BG.Ser.Bld.Thermal.SH.Solids.Solids</t>
  </si>
  <si>
    <t>FEC_per_building.kWh.BG.Ser.Bld.Thermal.SH.LPG.LPG</t>
  </si>
  <si>
    <t>FEC_per_building.kWh.BG.Ser.Bld.Thermal.SH.Oil.Oil_LiqBio</t>
  </si>
  <si>
    <t>FEC_per_building.kWh.BG.Ser.Bld.Thermal.SH.GasHP.NG_Biogas</t>
  </si>
  <si>
    <t>FEC_per_building.kWh.BG.Ser.Bld.Thermal.SH.GasTH.NG_Biogas</t>
  </si>
  <si>
    <t>FEC_per_building.kWh.BG.Ser.Bld.Thermal.SH.Biomass.Biomass_Waste</t>
  </si>
  <si>
    <t>FEC_per_building.kWh.BG.Ser.Bld.Thermal.SH.Geo.Geo</t>
  </si>
  <si>
    <t>FEC_per_building.kWh.BG.Ser.Bld.Thermal.SH.DistrHeat.Steam_Distr</t>
  </si>
  <si>
    <t>FEC_per_building.kWh.BG.Ser.Bld.Thermal.SH.AdvElc.Elec</t>
  </si>
  <si>
    <t>FEC_per_building.kWh.BG.Ser.Bld.Thermal.SH.ConvElc.Elec</t>
  </si>
  <si>
    <t>FEC_per_building.kWh.BG.Ser.Bld.Thermal.SH.TotalCirculation.Elec</t>
  </si>
  <si>
    <t>FEC_per_building.kWh.BG.Ser.Bld.Thermal.SC</t>
  </si>
  <si>
    <t>FEC_per_building.kWh.BG.Ser.Bld.Thermal.SC.GasHP.NG_Biogas</t>
  </si>
  <si>
    <t>FEC_per_building.kWh.BG.Ser.Bld.Thermal.SC.AC.Elec</t>
  </si>
  <si>
    <t>FEC_per_building.kWh.BG.Ser.Bld.Thermal.HW</t>
  </si>
  <si>
    <t>FEC_per_building.kWh.BG.Ser.Bld.Thermal.HW.Solids.Solids</t>
  </si>
  <si>
    <t>FEC_per_building.kWh.BG.Ser.Bld.Thermal.HW.LPG.LPG</t>
  </si>
  <si>
    <t>FEC_per_building.kWh.BG.Ser.Bld.Thermal.HW.Oil.Oil_LiqBio</t>
  </si>
  <si>
    <t>FEC_per_building.kWh.BG.Ser.Bld.Thermal.HW.Gas.NG_Biogas</t>
  </si>
  <si>
    <t>FEC_per_building.kWh.BG.Ser.Bld.Thermal.HW.Biomass.Biomass_Waste</t>
  </si>
  <si>
    <t>FEC_per_building.kWh.BG.Ser.Bld.Thermal.HW.DistrHeat.Steam_Distr</t>
  </si>
  <si>
    <t>FEC_per_building.kWh.BG.Ser.Bld.Thermal.HW.Elc.Elec</t>
  </si>
  <si>
    <t>FEC_per_building.kWh.BG.Ser.Bld.Thermal.HW.TotalSolar.Solar</t>
  </si>
  <si>
    <t>FEC_per_building.kWh.BG.Ser.Bld.Thermal.CA</t>
  </si>
  <si>
    <t>FEC_per_building.kWh.BG.Ser.Bld.Thermal.CA.LPG</t>
  </si>
  <si>
    <t>FEC_per_building.kWh.BG.Ser.Bld.Thermal.CA.Gas.NG_Biogas</t>
  </si>
  <si>
    <t>FEC_per_building.kWh.BG.Ser.Bld.Thermal.CA.Biomass.Biomass_Waste</t>
  </si>
  <si>
    <t>FEC_per_building.kWh.BG.Ser.Bld.Thermal.CA.Elc.Elec</t>
  </si>
  <si>
    <t>BG - Thermal energy service per building</t>
  </si>
  <si>
    <t>TES_per_building.kWh.BG.Ser.Bld.Thermal</t>
  </si>
  <si>
    <t>TES_per_building.kWh.BG.Ser.Bld.Thermal.SH</t>
  </si>
  <si>
    <t>TES_per_building.kWh.BG.Ser.Bld.Thermal.SH.Solids.Solids</t>
  </si>
  <si>
    <t>TES_per_building.kWh.BG.Ser.Bld.Thermal.SH.LPG.LPG</t>
  </si>
  <si>
    <t>TES_per_building.kWh.BG.Ser.Bld.Thermal.SH.Oil.Oil_LiqBio</t>
  </si>
  <si>
    <t>TES_per_building.kWh.BG.Ser.Bld.Thermal.SH.GasHP.NG_Biogas</t>
  </si>
  <si>
    <t>TES_per_building.kWh.BG.Ser.Bld.Thermal.SH.GasTH.NG_Biogas</t>
  </si>
  <si>
    <t>TES_per_building.kWh.BG.Ser.Bld.Thermal.SH.Biomass.Biomass_Waste</t>
  </si>
  <si>
    <t>TES_per_building.kWh.BG.Ser.Bld.Thermal.SH.Geo.Geo</t>
  </si>
  <si>
    <t>TES_per_building.kWh.BG.Ser.Bld.Thermal.SH.DistrHeat.Steam_Distr</t>
  </si>
  <si>
    <t>TES_per_building.kWh.BG.Ser.Bld.Thermal.SH.AdvElc.Elec</t>
  </si>
  <si>
    <t>TES_per_building.kWh.BG.Ser.Bld.Thermal.SH.ConvElc.Elec</t>
  </si>
  <si>
    <t>TES_per_building.kWh.BG.Ser.Bld.Thermal.SH.TotalCirculation.Elec</t>
  </si>
  <si>
    <t>TES_per_building.kWh.BG.Ser.Bld.Thermal.SC</t>
  </si>
  <si>
    <t>TES_per_building.kWh.BG.Ser.Bld.Thermal.SC.GasHP.NG_Biogas</t>
  </si>
  <si>
    <t>TES_per_building.kWh.BG.Ser.Bld.Thermal.SC.AC.Elec</t>
  </si>
  <si>
    <t>TES_per_building.kWh.BG.Ser.Bld.Thermal.HW</t>
  </si>
  <si>
    <t>TES_per_building.kWh.BG.Ser.Bld.Thermal.HW.Solids.Solids</t>
  </si>
  <si>
    <t>TES_per_building.kWh.BG.Ser.Bld.Thermal.HW.LPG.LPG</t>
  </si>
  <si>
    <t>TES_per_building.kWh.BG.Ser.Bld.Thermal.HW.Oil.Oil_LiqBio</t>
  </si>
  <si>
    <t>TES_per_building.kWh.BG.Ser.Bld.Thermal.HW.Gas.NG_Biogas</t>
  </si>
  <si>
    <t>TES_per_building.kWh.BG.Ser.Bld.Thermal.HW.Biomass.Biomass_Waste</t>
  </si>
  <si>
    <t>TES_per_building.kWh.BG.Ser.Bld.Thermal.HW.DistrHeat.Steam_Distr</t>
  </si>
  <si>
    <t>TES_per_building.kWh.BG.Ser.Bld.Thermal.HW.Elc.Elec</t>
  </si>
  <si>
    <t>TES_per_building.kWh.BG.Ser.Bld.Thermal.HW.TotalSolar.Solar</t>
  </si>
  <si>
    <t>TES_per_building.kWh.BG.Ser.Bld.Thermal.CA</t>
  </si>
  <si>
    <t>TES_per_building.kWh.BG.Ser.Bld.Thermal.CA.LPG</t>
  </si>
  <si>
    <t>TES_per_building.kWh.BG.Ser.Bld.Thermal.CA.Gas.NG_Biogas</t>
  </si>
  <si>
    <t>TES_per_building.kWh.BG.Ser.Bld.Thermal.CA.Biomass.Biomass_Waste</t>
  </si>
  <si>
    <t>TES_per_building.kWh.BG.Ser.Bld.Thermal.CA.Elc.Elec</t>
  </si>
  <si>
    <t>BG - CO2 emissions per building</t>
  </si>
  <si>
    <t>EMI_per_building.kgCO2.BG.Ser.Bld.Thermal</t>
  </si>
  <si>
    <t>EMI_per_building.kgCO2.BG.Ser.Bld.Thermal.SH</t>
  </si>
  <si>
    <t>EMI_per_building.kgCO2.BG.Ser.Bld.Thermal.SH.Solids.Solids</t>
  </si>
  <si>
    <t>EMI_per_building.kgCO2.BG.Ser.Bld.Thermal.SH.LPG.LPG</t>
  </si>
  <si>
    <t>EMI_per_building.kgCO2.BG.Ser.Bld.Thermal.SH.Oil.Oil_LiqBio</t>
  </si>
  <si>
    <t>EMI_per_building.kgCO2.BG.Ser.Bld.Thermal.SH.GasHP.NG_Biogas</t>
  </si>
  <si>
    <t>EMI_per_building.kgCO2.BG.Ser.Bld.Thermal.SH.GasTH.NG_Biogas</t>
  </si>
  <si>
    <t>EMI_per_building.kgCO2.BG.Ser.Bld.Thermal.SH.Biomass.Biomass_Waste</t>
  </si>
  <si>
    <t>EMI_per_building.kgCO2.BG.Ser.Bld.Thermal.SH.Geo.Geo</t>
  </si>
  <si>
    <t>EMI_per_building.kgCO2.BG.Ser.Bld.Thermal.SH.DistrHeat.Steam_Distr</t>
  </si>
  <si>
    <t>EMI_per_building.kgCO2.BG.Ser.Bld.Thermal.SH.AdvElc.Elec</t>
  </si>
  <si>
    <t>EMI_per_building.kgCO2.BG.Ser.Bld.Thermal.SH.ConvElc.Elec</t>
  </si>
  <si>
    <t>EMI_per_building.kgCO2.BG.Ser.Bld.Thermal.SH.TotalCirculation.Elec</t>
  </si>
  <si>
    <t>EMI_per_building.kgCO2.BG.Ser.Bld.Thermal.SC</t>
  </si>
  <si>
    <t>EMI_per_building.kgCO2.BG.Ser.Bld.Thermal.SC.GasHP.NG_Biogas</t>
  </si>
  <si>
    <t>EMI_per_building.kgCO2.BG.Ser.Bld.Thermal.SC.AC.Elec</t>
  </si>
  <si>
    <t>EMI_per_building.kgCO2.BG.Ser.Bld.Thermal.HW</t>
  </si>
  <si>
    <t>EMI_per_building.kgCO2.BG.Ser.Bld.Thermal.HW.Solids.Solids</t>
  </si>
  <si>
    <t>EMI_per_building.kgCO2.BG.Ser.Bld.Thermal.HW.LPG.LPG</t>
  </si>
  <si>
    <t>EMI_per_building.kgCO2.BG.Ser.Bld.Thermal.HW.Oil.Oil_LiqBio</t>
  </si>
  <si>
    <t>EMI_per_building.kgCO2.BG.Ser.Bld.Thermal.HW.Gas.NG_Biogas</t>
  </si>
  <si>
    <t>EMI_per_building.kgCO2.BG.Ser.Bld.Thermal.HW.Biomass.Biomass_Waste</t>
  </si>
  <si>
    <t>EMI_per_building.kgCO2.BG.Ser.Bld.Thermal.HW.DistrHeat.Steam_Distr</t>
  </si>
  <si>
    <t>EMI_per_building.kgCO2.BG.Ser.Bld.Thermal.HW.Elc.Elec</t>
  </si>
  <si>
    <t>EMI_per_building.kgCO2.BG.Ser.Bld.Thermal.HW.TotalSolar.Solar</t>
  </si>
  <si>
    <t>EMI_per_building.kgCO2.BG.Ser.Bld.Thermal.CA</t>
  </si>
  <si>
    <t>EMI_per_building.kgCO2.BG.Ser.Bld.Thermal.CA.LPG</t>
  </si>
  <si>
    <t>EMI_per_building.kgCO2.BG.Ser.Bld.Thermal.CA.Gas.NG_Biogas</t>
  </si>
  <si>
    <t>EMI_per_building.kgCO2.BG.Ser.Bld.Thermal.CA.Biomass.Biomass_Waste</t>
  </si>
  <si>
    <t>EMI_per_building.kgCO2.BG.Ser.Bld.Thermal.CA.Elc.Elec</t>
  </si>
  <si>
    <t>BG - Final energy consumption per useful surface area</t>
  </si>
  <si>
    <t>FEC_per_sqm.kWh.BG.Ser.Bld.Thermal</t>
  </si>
  <si>
    <t>FEC_per_sqm.kWh.BG.Ser.Bld.Thermal.SH</t>
  </si>
  <si>
    <t>FEC_per_sqm.kWh.BG.Ser.Bld.Thermal.SH.Solids.Solids</t>
  </si>
  <si>
    <t>FEC_per_sqm.kWh.BG.Ser.Bld.Thermal.SH.LPG.LPG</t>
  </si>
  <si>
    <t>FEC_per_sqm.kWh.BG.Ser.Bld.Thermal.SH.Oil.Oil_LiqBio</t>
  </si>
  <si>
    <t>FEC_per_sqm.kWh.BG.Ser.Bld.Thermal.SH.GasHP.NG_Biogas</t>
  </si>
  <si>
    <t>FEC_per_sqm.kWh.BG.Ser.Bld.Thermal.SH.GasTH.NG_Biogas</t>
  </si>
  <si>
    <t>FEC_per_sqm.kWh.BG.Ser.Bld.Thermal.SH.Biomass.Biomass_Waste</t>
  </si>
  <si>
    <t>FEC_per_sqm.kWh.BG.Ser.Bld.Thermal.SH.Geo.Geo</t>
  </si>
  <si>
    <t>FEC_per_sqm.kWh.BG.Ser.Bld.Thermal.SH.DistrHeat.Steam_Distr</t>
  </si>
  <si>
    <t>FEC_per_sqm.kWh.BG.Ser.Bld.Thermal.SH.AdvElc.Elec</t>
  </si>
  <si>
    <t>FEC_per_sqm.kWh.BG.Ser.Bld.Thermal.SH.ConvElc.Elec</t>
  </si>
  <si>
    <t>FEC_per_sqm.kWh.BG.Ser.Bld.Thermal.SH.TotalCirculation.Elec</t>
  </si>
  <si>
    <t>FEC_per_sqm.kWh.BG.Ser.Bld.Thermal.SC</t>
  </si>
  <si>
    <t>FEC_per_sqm.kWh.BG.Ser.Bld.Thermal.SC.GasHP.NG_Biogas</t>
  </si>
  <si>
    <t>FEC_per_sqm.kWh.BG.Ser.Bld.Thermal.SC.AC.Elec</t>
  </si>
  <si>
    <t>FEC_per_sqm.kWh.BG.Ser.Bld.Thermal.HW</t>
  </si>
  <si>
    <t>FEC_per_sqm.kWh.BG.Ser.Bld.Thermal.HW.Solids.Solids</t>
  </si>
  <si>
    <t>FEC_per_sqm.kWh.BG.Ser.Bld.Thermal.HW.LPG.LPG</t>
  </si>
  <si>
    <t>FEC_per_sqm.kWh.BG.Ser.Bld.Thermal.HW.Oil.Oil_LiqBio</t>
  </si>
  <si>
    <t>FEC_per_sqm.kWh.BG.Ser.Bld.Thermal.HW.Gas.NG_Biogas</t>
  </si>
  <si>
    <t>FEC_per_sqm.kWh.BG.Ser.Bld.Thermal.HW.Biomass.Biomass_Waste</t>
  </si>
  <si>
    <t>FEC_per_sqm.kWh.BG.Ser.Bld.Thermal.HW.DistrHeat.Steam_Distr</t>
  </si>
  <si>
    <t>FEC_per_sqm.kWh.BG.Ser.Bld.Thermal.HW.Elc.Elec</t>
  </si>
  <si>
    <t>FEC_per_sqm.kWh.BG.Ser.Bld.Thermal.HW.TotalSolar.Solar</t>
  </si>
  <si>
    <t>FEC_per_sqm.kWh.BG.Ser.Bld.Thermal.CA</t>
  </si>
  <si>
    <t>FEC_per_sqm.kWh.BG.Ser.Bld.Thermal.CA.LPG</t>
  </si>
  <si>
    <t>FEC_per_sqm.kWh.BG.Ser.Bld.Thermal.CA.Gas.NG_Biogas</t>
  </si>
  <si>
    <t>FEC_per_sqm.kWh.BG.Ser.Bld.Thermal.CA.Biomass.Biomass_Waste</t>
  </si>
  <si>
    <t>FEC_per_sqm.kWh.BG.Ser.Bld.Thermal.CA.Elc.Elec</t>
  </si>
  <si>
    <t>BG - Thermal energy service per useful surface area</t>
  </si>
  <si>
    <t>TES_per_sqm.kWh.BG.Ser.Bld.Thermal</t>
  </si>
  <si>
    <t>TES_per_sqm.kWh.BG.Ser.Bld.Thermal.SH</t>
  </si>
  <si>
    <t>TES_per_sqm.kWh.BG.Ser.Bld.Thermal.SH.Solids.Solids</t>
  </si>
  <si>
    <t>TES_per_sqm.kWh.BG.Ser.Bld.Thermal.SH.LPG.LPG</t>
  </si>
  <si>
    <t>TES_per_sqm.kWh.BG.Ser.Bld.Thermal.SH.Oil.Oil_LiqBio</t>
  </si>
  <si>
    <t>TES_per_sqm.kWh.BG.Ser.Bld.Thermal.SH.GasHP.NG_Biogas</t>
  </si>
  <si>
    <t>TES_per_sqm.kWh.BG.Ser.Bld.Thermal.SH.GasTH.NG_Biogas</t>
  </si>
  <si>
    <t>TES_per_sqm.kWh.BG.Ser.Bld.Thermal.SH.Biomass.Biomass_Waste</t>
  </si>
  <si>
    <t>TES_per_sqm.kWh.BG.Ser.Bld.Thermal.SH.Geo.Geo</t>
  </si>
  <si>
    <t>TES_per_sqm.kWh.BG.Ser.Bld.Thermal.SH.DistrHeat.Steam_Distr</t>
  </si>
  <si>
    <t>TES_per_sqm.kWh.BG.Ser.Bld.Thermal.SH.AdvElc.Elec</t>
  </si>
  <si>
    <t>TES_per_sqm.kWh.BG.Ser.Bld.Thermal.SH.ConvElc.Elec</t>
  </si>
  <si>
    <t>TES_per_sqm.kWh.BG.Ser.Bld.Thermal.SH.TotalCirculation.Elec</t>
  </si>
  <si>
    <t>TES_per_sqm.kWh.BG.Ser.Bld.Thermal.SC</t>
  </si>
  <si>
    <t>TES_per_sqm.kWh.BG.Ser.Bld.Thermal.SC.GasHP.NG_Biogas</t>
  </si>
  <si>
    <t>TES_per_sqm.kWh.BG.Ser.Bld.Thermal.SC.AC.Elec</t>
  </si>
  <si>
    <t>TES_per_sqm.kWh.BG.Ser.Bld.Thermal.HW</t>
  </si>
  <si>
    <t>TES_per_sqm.kWh.BG.Ser.Bld.Thermal.HW.Solids.Solids</t>
  </si>
  <si>
    <t>TES_per_sqm.kWh.BG.Ser.Bld.Thermal.HW.LPG.LPG</t>
  </si>
  <si>
    <t>TES_per_sqm.kWh.BG.Ser.Bld.Thermal.HW.Oil.Oil_LiqBio</t>
  </si>
  <si>
    <t>TES_per_sqm.kWh.BG.Ser.Bld.Thermal.HW.Gas.NG_Biogas</t>
  </si>
  <si>
    <t>TES_per_sqm.kWh.BG.Ser.Bld.Thermal.HW.Biomass.Biomass_Waste</t>
  </si>
  <si>
    <t>TES_per_sqm.kWh.BG.Ser.Bld.Thermal.HW.DistrHeat.Steam_Distr</t>
  </si>
  <si>
    <t>TES_per_sqm.kWh.BG.Ser.Bld.Thermal.HW.Elc.Elec</t>
  </si>
  <si>
    <t>TES_per_sqm.kWh.BG.Ser.Bld.Thermal.HW.TotalSolar.Solar</t>
  </si>
  <si>
    <t>TES_per_sqm.kWh.BG.Ser.Bld.Thermal.CA</t>
  </si>
  <si>
    <t>TES_per_sqm.kWh.BG.Ser.Bld.Thermal.CA.LPG</t>
  </si>
  <si>
    <t>TES_per_sqm.kWh.BG.Ser.Bld.Thermal.CA.Gas.NG_Biogas</t>
  </si>
  <si>
    <t>TES_per_sqm.kWh.BG.Ser.Bld.Thermal.CA.Biomass.Biomass_Waste</t>
  </si>
  <si>
    <t>TES_per_sqm.kWh.BG.Ser.Bld.Thermal.CA.Elc.Elec</t>
  </si>
  <si>
    <t>BG - CO2 emissions per useful surface area</t>
  </si>
  <si>
    <t>EMI_per_sqm.kgCO2.BG.Ser.Bld.Thermal</t>
  </si>
  <si>
    <t>EMI_per_sqm.kgCO2.BG.Ser.Bld.Thermal.SH</t>
  </si>
  <si>
    <t>EMI_per_sqm.kgCO2.BG.Ser.Bld.Thermal.SH.Solids.Solids</t>
  </si>
  <si>
    <t>EMI_per_sqm.kgCO2.BG.Ser.Bld.Thermal.SH.LPG.LPG</t>
  </si>
  <si>
    <t>EMI_per_sqm.kgCO2.BG.Ser.Bld.Thermal.SH.Oil.Oil_LiqBio</t>
  </si>
  <si>
    <t>EMI_per_sqm.kgCO2.BG.Ser.Bld.Thermal.SH.GasHP.NG_Biogas</t>
  </si>
  <si>
    <t>EMI_per_sqm.kgCO2.BG.Ser.Bld.Thermal.SH.GasTH.NG_Biogas</t>
  </si>
  <si>
    <t>EMI_per_sqm.kgCO2.BG.Ser.Bld.Thermal.SH.Biomass.Biomass_Waste</t>
  </si>
  <si>
    <t>EMI_per_sqm.kgCO2.BG.Ser.Bld.Thermal.SH.Geo.Geo</t>
  </si>
  <si>
    <t>EMI_per_sqm.kgCO2.BG.Ser.Bld.Thermal.SH.DistrHeat.Steam_Distr</t>
  </si>
  <si>
    <t>EMI_per_sqm.kgCO2.BG.Ser.Bld.Thermal.SH.AdvElc.Elec</t>
  </si>
  <si>
    <t>EMI_per_sqm.kgCO2.BG.Ser.Bld.Thermal.SH.ConvElc.Elec</t>
  </si>
  <si>
    <t>EMI_per_sqm.kgCO2.BG.Ser.Bld.Thermal.SH.TotalCirculation.Elec</t>
  </si>
  <si>
    <t>EMI_per_sqm.kgCO2.BG.Ser.Bld.Thermal.SC</t>
  </si>
  <si>
    <t>EMI_per_sqm.kgCO2.BG.Ser.Bld.Thermal.SC.GasHP.NG_Biogas</t>
  </si>
  <si>
    <t>EMI_per_sqm.kgCO2.BG.Ser.Bld.Thermal.SC.AC.Elec</t>
  </si>
  <si>
    <t>EMI_per_sqm.kgCO2.BG.Ser.Bld.Thermal.HW</t>
  </si>
  <si>
    <t>EMI_per_sqm.kgCO2.BG.Ser.Bld.Thermal.HW.Solids.Solids</t>
  </si>
  <si>
    <t>EMI_per_sqm.kgCO2.BG.Ser.Bld.Thermal.HW.LPG.LPG</t>
  </si>
  <si>
    <t>EMI_per_sqm.kgCO2.BG.Ser.Bld.Thermal.HW.Oil.Oil_LiqBio</t>
  </si>
  <si>
    <t>EMI_per_sqm.kgCO2.BG.Ser.Bld.Thermal.HW.Gas.NG_Biogas</t>
  </si>
  <si>
    <t>EMI_per_sqm.kgCO2.BG.Ser.Bld.Thermal.HW.Biomass.Biomass_Waste</t>
  </si>
  <si>
    <t>EMI_per_sqm.kgCO2.BG.Ser.Bld.Thermal.HW.DistrHeat.Steam_Distr</t>
  </si>
  <si>
    <t>EMI_per_sqm.kgCO2.BG.Ser.Bld.Thermal.HW.Elc.Elec</t>
  </si>
  <si>
    <t>EMI_per_sqm.kgCO2.BG.Ser.Bld.Thermal.HW.TotalSolar.Solar</t>
  </si>
  <si>
    <t>EMI_per_sqm.kgCO2.BG.Ser.Bld.Thermal.CA</t>
  </si>
  <si>
    <t>EMI_per_sqm.kgCO2.BG.Ser.Bld.Thermal.CA.LPG</t>
  </si>
  <si>
    <t>EMI_per_sqm.kgCO2.BG.Ser.Bld.Thermal.CA.Gas.NG_Biogas</t>
  </si>
  <si>
    <t>EMI_per_sqm.kgCO2.BG.Ser.Bld.Thermal.CA.Biomass.Biomass_Waste</t>
  </si>
  <si>
    <t>EMI_per_sqm.kgCO2.BG.Ser.Bld.Thermal.CA.Elc.Elec</t>
  </si>
  <si>
    <t>BG - Number of new and renovated buildings</t>
  </si>
  <si>
    <t>NUM.number.BG.Ser.BldNew.Thermal</t>
  </si>
  <si>
    <t>NUM.number.BG.Ser.BldNew.Thermal.SH</t>
  </si>
  <si>
    <t>NUM.number.BG.Ser.BldNew.Thermal.SH.Solids</t>
  </si>
  <si>
    <t>NUM.number.BG.Ser.BldNew.Thermal.SH.LPG</t>
  </si>
  <si>
    <t>NUM.number.BG.Ser.BldNew.Thermal.SH.Oil</t>
  </si>
  <si>
    <t>NUM.number.BG.Ser.BldNew.Thermal.SH.GasHP</t>
  </si>
  <si>
    <t>NUM.number.BG.Ser.BldNew.Thermal.SH.GasTH</t>
  </si>
  <si>
    <t>NUM.number.BG.Ser.BldNew.Thermal.SH.Biomass</t>
  </si>
  <si>
    <t>NUM.number.BG.Ser.BldNew.Thermal.SH.Geo</t>
  </si>
  <si>
    <t>NUM.number.BG.Ser.BldNew.Thermal.SH.DistrHeat</t>
  </si>
  <si>
    <t>NUM.number.BG.Ser.BldNew.Thermal.SH.AdvElc</t>
  </si>
  <si>
    <t>NUM.number.BG.Ser.BldNew.Thermal.SH.ConvElc</t>
  </si>
  <si>
    <t>NUM.number.BG.Ser.BldNew.Thermal.SC</t>
  </si>
  <si>
    <t>NUM.number.BG.Ser.BldNew.Thermal.SC.GasHP</t>
  </si>
  <si>
    <t>NUM.number.BG.Ser.BldNew.Thermal.SC.AC</t>
  </si>
  <si>
    <t>NUM.number.BG.Ser.BldNew.Thermal.HW</t>
  </si>
  <si>
    <t>NUM.number.BG.Ser.BldNew.Thermal.HW.Solids</t>
  </si>
  <si>
    <t>NUM.number.BG.Ser.BldNew.Thermal.HW.LPG</t>
  </si>
  <si>
    <t>NUM.number.BG.Ser.BldNew.Thermal.HW.Oil</t>
  </si>
  <si>
    <t>NUM.number.BG.Ser.BldNew.Thermal.HW.Gas</t>
  </si>
  <si>
    <t>NUM.number.BG.Ser.BldNew.Thermal.HW.Biomass</t>
  </si>
  <si>
    <t>NUM.number.BG.Ser.BldNew.Thermal.HW.DistrHeat</t>
  </si>
  <si>
    <t>NUM.number.BG.Ser.BldNew.Thermal.HW.Elc</t>
  </si>
  <si>
    <t>NUM.number.BG.Ser.BldNew.Thermal.HW.Solar</t>
  </si>
  <si>
    <t>NUM.number.BG.Ser.BldNew.Thermal.CA</t>
  </si>
  <si>
    <t>NUM.number.BG.Ser.BldNew.Thermal.CA.LPG</t>
  </si>
  <si>
    <t>NUM.number.BG.Ser.BldNew.Thermal.CA.Gas</t>
  </si>
  <si>
    <t>NUM.number.BG.Ser.BldNew.Thermal.CA.Biomass</t>
  </si>
  <si>
    <t>NUM.number.BG.Ser.BldNew.Thermal.CA.Elc</t>
  </si>
  <si>
    <t>BG - Final energy consumption in new and renovated buildings</t>
  </si>
  <si>
    <t>FEC.ktoe.BG.Ser.BldNew.Thermal</t>
  </si>
  <si>
    <t>FEC.ktoe.BG.Ser.BldNew.Thermal.SH</t>
  </si>
  <si>
    <t>FEC.ktoe.BG.Ser.BldNew.Thermal.SH.Solids.Solids</t>
  </si>
  <si>
    <t>FEC.ktoe.BG.Ser.BldNew.Thermal.SH.LPG.LPG</t>
  </si>
  <si>
    <t>FEC.ktoe.BG.Ser.BldNew.Thermal.SH.Oil.Oil_LiqBio</t>
  </si>
  <si>
    <t>FEC.ktoe.BG.Ser.BldNew.Thermal.SH.GasHP.NG_Biogas</t>
  </si>
  <si>
    <t>FEC.ktoe.BG.Ser.BldNew.Thermal.SH.GasTH.NG_Biogas</t>
  </si>
  <si>
    <t>FEC.ktoe.BG.Ser.BldNew.Thermal.SH.Biomass.Biomass_Waste</t>
  </si>
  <si>
    <t>FEC.ktoe.BG.Ser.BldNew.Thermal.SH.Geo.Geo</t>
  </si>
  <si>
    <t>FEC.ktoe.BG.Ser.BldNew.Thermal.SH.DistrHeat.Steam_Distr</t>
  </si>
  <si>
    <t>FEC.ktoe.BG.Ser.BldNew.Thermal.SH.AdvElc.Elec</t>
  </si>
  <si>
    <t>FEC.ktoe.BG.Ser.BldNew.Thermal.SH.ConvElc.Elec</t>
  </si>
  <si>
    <t>FEC.ktoe.BG.Ser.BldNew.Thermal.SH.TotalCirculation.Elec</t>
  </si>
  <si>
    <t>FEC.ktoe.BG.Ser.BldNew.Thermal.SC</t>
  </si>
  <si>
    <t>FEC.ktoe.BG.Ser.BldNew.Thermal.SC.GasHP.NG_Biogas</t>
  </si>
  <si>
    <t>FEC.ktoe.BG.Ser.BldNew.Thermal.SC.AC.Elec</t>
  </si>
  <si>
    <t>FEC.ktoe.BG.Ser.BldNew.Thermal.HW</t>
  </si>
  <si>
    <t>FEC.ktoe.BG.Ser.BldNew.Thermal.HW.Solids.Solids</t>
  </si>
  <si>
    <t>FEC.ktoe.BG.Ser.BldNew.Thermal.HW.LPG.LPG</t>
  </si>
  <si>
    <t>FEC.ktoe.BG.Ser.BldNew.Thermal.HW.Oil.Oil_LiqBio</t>
  </si>
  <si>
    <t>FEC.ktoe.BG.Ser.BldNew.Thermal.HW.Gas.NG_Biogas</t>
  </si>
  <si>
    <t>FEC.ktoe.BG.Ser.BldNew.Thermal.HW.Biomass.Biomass_Waste</t>
  </si>
  <si>
    <t>FEC.ktoe.BG.Ser.BldNew.Thermal.HW.DistrHeat.Steam_Distr</t>
  </si>
  <si>
    <t>FEC.ktoe.BG.Ser.BldNew.Thermal.HW.Elc.Elec</t>
  </si>
  <si>
    <t>FEC.ktoe.BG.Ser.BldNew.Thermal.HW.TotalSolar.Solar</t>
  </si>
  <si>
    <t>FEC.ktoe.BG.Ser.BldNew.Thermal.CA</t>
  </si>
  <si>
    <t>FEC.ktoe.BG.Ser.BldNew.Thermal.CA.LPG</t>
  </si>
  <si>
    <t>FEC.ktoe.BG.Ser.BldNew.Thermal.CA.Gas.NG_Biogas</t>
  </si>
  <si>
    <t>FEC.ktoe.BG.Ser.BldNew.Thermal.CA.Biomass.Biomass_Waste</t>
  </si>
  <si>
    <t>FEC.ktoe.BG.Ser.BldNew.Thermal.CA.Elc.Elec</t>
  </si>
  <si>
    <t>BG - Thermal energy service in new and renovated buildings</t>
  </si>
  <si>
    <t>TES.ktoe.BG.Ser.BldNew.Thermal</t>
  </si>
  <si>
    <t>TES.ktoe.BG.Ser.BldNew.Thermal.SH</t>
  </si>
  <si>
    <t>TES.ktoe.BG.Ser.BldNew.Thermal.SH.Solids.Solids</t>
  </si>
  <si>
    <t>TES.ktoe.BG.Ser.BldNew.Thermal.SH.LPG.LPG</t>
  </si>
  <si>
    <t>TES.ktoe.BG.Ser.BldNew.Thermal.SH.Oil.Oil_LiqBio</t>
  </si>
  <si>
    <t>TES.ktoe.BG.Ser.BldNew.Thermal.SH.GasHP.NG_Biogas</t>
  </si>
  <si>
    <t>TES.ktoe.BG.Ser.BldNew.Thermal.SH.GasTH.NG_Biogas</t>
  </si>
  <si>
    <t>TES.ktoe.BG.Ser.BldNew.Thermal.SH.Biomass.Biomass_Waste</t>
  </si>
  <si>
    <t>TES.ktoe.BG.Ser.BldNew.Thermal.SH.Geo.Geo</t>
  </si>
  <si>
    <t>TES.ktoe.BG.Ser.BldNew.Thermal.SH.DistrHeat.Steam_Distr</t>
  </si>
  <si>
    <t>TES.ktoe.BG.Ser.BldNew.Thermal.SH.AdvElc.Elec</t>
  </si>
  <si>
    <t>TES.ktoe.BG.Ser.BldNew.Thermal.SH.ConvElc.Elec</t>
  </si>
  <si>
    <t>TES.ktoe.BG.Ser.BldNew.Thermal.SH.TotalCirculation.Elec</t>
  </si>
  <si>
    <t>TES.ktoe.BG.Ser.BldNew.Thermal.SC</t>
  </si>
  <si>
    <t>TES.ktoe.BG.Ser.BldNew.Thermal.SC.GasHP.NG_Biogas</t>
  </si>
  <si>
    <t>TES.ktoe.BG.Ser.BldNew.Thermal.SC.AC.Elec</t>
  </si>
  <si>
    <t>TES.ktoe.BG.Ser.BldNew.Thermal.HW</t>
  </si>
  <si>
    <t>TES.ktoe.BG.Ser.BldNew.Thermal.HW.Solids.Solids</t>
  </si>
  <si>
    <t>TES.ktoe.BG.Ser.BldNew.Thermal.HW.LPG.LPG</t>
  </si>
  <si>
    <t>TES.ktoe.BG.Ser.BldNew.Thermal.HW.Oil.Oil_LiqBio</t>
  </si>
  <si>
    <t>TES.ktoe.BG.Ser.BldNew.Thermal.HW.Gas.NG_Biogas</t>
  </si>
  <si>
    <t>TES.ktoe.BG.Ser.BldNew.Thermal.HW.Biomass.Biomass_Waste</t>
  </si>
  <si>
    <t>TES.ktoe.BG.Ser.BldNew.Thermal.HW.DistrHeat.Steam_Distr</t>
  </si>
  <si>
    <t>TES.ktoe.BG.Ser.BldNew.Thermal.HW.Elc.Elec</t>
  </si>
  <si>
    <t>TES.ktoe.BG.Ser.BldNew.Thermal.HW.TotalSolar.Solar</t>
  </si>
  <si>
    <t>TES.ktoe.BG.Ser.BldNew.Thermal.CA</t>
  </si>
  <si>
    <t>TES.ktoe.BG.Ser.BldNew.Thermal.CA.LPG</t>
  </si>
  <si>
    <t>TES.ktoe.BG.Ser.BldNew.Thermal.CA.Gas.NG_Biogas</t>
  </si>
  <si>
    <t>TES.ktoe.BG.Ser.BldNew.Thermal.CA.Biomass.Biomass_Waste</t>
  </si>
  <si>
    <t>TES.ktoe.BG.Ser.BldNew.Thermal.CA.Elc.Elec</t>
  </si>
  <si>
    <t>BG - System efficiency indicator of new and renovated buildings</t>
  </si>
  <si>
    <t>Eff.ratio.BG.Ser.BldNew.Thermal</t>
  </si>
  <si>
    <t>Eff.ratio.BG.Ser.BldNew.Thermal.SH</t>
  </si>
  <si>
    <t>Eff.ratio.BG.Ser.BldNew.Thermal.SH.Solids.Solids</t>
  </si>
  <si>
    <t>Eff.ratio.BG.Ser.BldNew.Thermal.SH.LPG.LPG</t>
  </si>
  <si>
    <t>Eff.ratio.BG.Ser.BldNew.Thermal.SH.Oil.Oil_LiqBio</t>
  </si>
  <si>
    <t>Eff.ratio.BG.Ser.BldNew.Thermal.SH.GasHP.NG_Biogas</t>
  </si>
  <si>
    <t>Eff.ratio.BG.Ser.BldNew.Thermal.SH.GasTH.NG_Biogas</t>
  </si>
  <si>
    <t>Eff.ratio.BG.Ser.BldNew.Thermal.SH.Biomass.Biomass_Waste</t>
  </si>
  <si>
    <t>Eff.ratio.BG.Ser.BldNew.Thermal.SH.Geo.Geo</t>
  </si>
  <si>
    <t>Eff.ratio.BG.Ser.BldNew.Thermal.SH.DistrHeat.Steam_Distr</t>
  </si>
  <si>
    <t>Eff.ratio.BG.Ser.BldNew.Thermal.SH.AdvElc.Elec</t>
  </si>
  <si>
    <t>Eff.ratio.BG.Ser.BldNew.Thermal.SH.ConvElc.Elec</t>
  </si>
  <si>
    <t>Eff.ratio.BG.Ser.BldNew.Thermal.SH.TotalCirculation.Elec</t>
  </si>
  <si>
    <t>Eff.ratio.BG.Ser.BldNew.Thermal.SC</t>
  </si>
  <si>
    <t>Eff.ratio.BG.Ser.BldNew.Thermal.SC.GasHP.NG_Biogas</t>
  </si>
  <si>
    <t>Eff.ratio.BG.Ser.BldNew.Thermal.SC.AC.Elec</t>
  </si>
  <si>
    <t>Eff.ratio.BG.Ser.BldNew.Thermal.HW</t>
  </si>
  <si>
    <t>Eff.ratio.BG.Ser.BldNew.Thermal.HW.Solids.Solids</t>
  </si>
  <si>
    <t>Eff.ratio.BG.Ser.BldNew.Thermal.HW.LPG.LPG</t>
  </si>
  <si>
    <t>Eff.ratio.BG.Ser.BldNew.Thermal.HW.Oil.Oil_LiqBio</t>
  </si>
  <si>
    <t>Eff.ratio.BG.Ser.BldNew.Thermal.HW.Gas.NG_Biogas</t>
  </si>
  <si>
    <t>Eff.ratio.BG.Ser.BldNew.Thermal.HW.Biomass.Biomass_Waste</t>
  </si>
  <si>
    <t>Eff.ratio.BG.Ser.BldNew.Thermal.HW.DistrHeat.Steam_Distr</t>
  </si>
  <si>
    <t>Eff.ratio.BG.Ser.BldNew.Thermal.HW.Elc.Elec</t>
  </si>
  <si>
    <t>Eff.ratio.BG.Ser.BldNew.Thermal.HW.TotalSolar.Solar</t>
  </si>
  <si>
    <t>Eff.ratio.BG.Ser.BldNew.Thermal.CA</t>
  </si>
  <si>
    <t>Eff.ratio.BG.Ser.BldNew.Thermal.CA.LPG</t>
  </si>
  <si>
    <t>Eff.ratio.BG.Ser.BldNew.Thermal.CA.Gas.NG_Biogas</t>
  </si>
  <si>
    <t>Eff.ratio.BG.Ser.BldNew.Thermal.CA.Biomass.Biomass_Waste</t>
  </si>
  <si>
    <t>Eff.ratio.BG.Ser.BldNew.Thermal.CA.Elc.Elec</t>
  </si>
  <si>
    <t>BG - CO2 emissions in new and renovated buildings</t>
  </si>
  <si>
    <t>EMI.ktCO2.BG.Ser.BldNew.Thermal</t>
  </si>
  <si>
    <t>EMI.ktCO2.BG.Ser.BldNew.Thermal.SH</t>
  </si>
  <si>
    <t>EMI.ktCO2.BG.Ser.BldNew.Thermal.SH.Solids.Solids</t>
  </si>
  <si>
    <t>EMI.ktCO2.BG.Ser.BldNew.Thermal.SH.LPG.LPG</t>
  </si>
  <si>
    <t>EMI.ktCO2.BG.Ser.BldNew.Thermal.SH.Oil.Oil_LiqBio</t>
  </si>
  <si>
    <t>EMI.ktCO2.BG.Ser.BldNew.Thermal.SH.GasHP.NG_Biogas</t>
  </si>
  <si>
    <t>EMI.ktCO2.BG.Ser.BldNew.Thermal.SH.GasTH.NG_Biogas</t>
  </si>
  <si>
    <t>EMI.ktCO2.BG.Ser.BldNew.Thermal.SH.Biomass.Biomass_Waste</t>
  </si>
  <si>
    <t>EMI.ktCO2.BG.Ser.BldNew.Thermal.SH.Geo.Geo</t>
  </si>
  <si>
    <t>EMI.ktCO2.BG.Ser.BldNew.Thermal.SH.DistrHeat.Steam_Distr</t>
  </si>
  <si>
    <t>EMI.ktCO2.BG.Ser.BldNew.Thermal.SH.AdvElc.Elec</t>
  </si>
  <si>
    <t>EMI.ktCO2.BG.Ser.BldNew.Thermal.SH.ConvElc.Elec</t>
  </si>
  <si>
    <t>EMI.ktCO2.BG.Ser.BldNew.Thermal.SH.TotalCirculation.Elec</t>
  </si>
  <si>
    <t>EMI.ktCO2.BG.Ser.BldNew.Thermal.SC</t>
  </si>
  <si>
    <t>EMI.ktCO2.BG.Ser.BldNew.Thermal.SC.GasHP.NG_Biogas</t>
  </si>
  <si>
    <t>EMI.ktCO2.BG.Ser.BldNew.Thermal.SC.AC.Elec</t>
  </si>
  <si>
    <t>EMI.ktCO2.BG.Ser.BldNew.Thermal.HW</t>
  </si>
  <si>
    <t>EMI.ktCO2.BG.Ser.BldNew.Thermal.HW.Solids.Solids</t>
  </si>
  <si>
    <t>EMI.ktCO2.BG.Ser.BldNew.Thermal.HW.LPG.LPG</t>
  </si>
  <si>
    <t>EMI.ktCO2.BG.Ser.BldNew.Thermal.HW.Oil.Oil_LiqBio</t>
  </si>
  <si>
    <t>EMI.ktCO2.BG.Ser.BldNew.Thermal.HW.Gas.NG_Biogas</t>
  </si>
  <si>
    <t>EMI.ktCO2.BG.Ser.BldNew.Thermal.HW.Biomass.Biomass_Waste</t>
  </si>
  <si>
    <t>EMI.ktCO2.BG.Ser.BldNew.Thermal.HW.DistrHeat.Steam_Distr</t>
  </si>
  <si>
    <t>EMI.ktCO2.BG.Ser.BldNew.Thermal.HW.Elc.Elec</t>
  </si>
  <si>
    <t>EMI.ktCO2.BG.Ser.BldNew.Thermal.HW.TotalSolar.Solar</t>
  </si>
  <si>
    <t>EMI.ktCO2.BG.Ser.BldNew.Thermal.CA</t>
  </si>
  <si>
    <t>EMI.ktCO2.BG.Ser.BldNew.Thermal.CA.LPG</t>
  </si>
  <si>
    <t>EMI.ktCO2.BG.Ser.BldNew.Thermal.CA.Gas.NG_Biogas</t>
  </si>
  <si>
    <t>EMI.ktCO2.BG.Ser.BldNew.Thermal.CA.Biomass.Biomass_Waste</t>
  </si>
  <si>
    <t>EMI.ktCO2.BG.Ser.BldNew.Thermal.CA.Elc.Elec</t>
  </si>
  <si>
    <t>BG - Final energy consumption of new and renovated buildings (per building)</t>
  </si>
  <si>
    <t>FEC_per_building.kWh.BG.Ser.BldNew.Thermal</t>
  </si>
  <si>
    <t>FEC_per_building.kWh.BG.Ser.BldNew.Thermal.SH</t>
  </si>
  <si>
    <t>FEC_per_building.kWh.BG.Ser.BldNew.Thermal.SH.Solids.Solids</t>
  </si>
  <si>
    <t>FEC_per_building.kWh.BG.Ser.BldNew.Thermal.SH.LPG.LPG</t>
  </si>
  <si>
    <t>FEC_per_building.kWh.BG.Ser.BldNew.Thermal.SH.Oil.Oil_LiqBio</t>
  </si>
  <si>
    <t>FEC_per_building.kWh.BG.Ser.BldNew.Thermal.SH.GasHP.NG_Biogas</t>
  </si>
  <si>
    <t>FEC_per_building.kWh.BG.Ser.BldNew.Thermal.SH.GasTH.NG_Biogas</t>
  </si>
  <si>
    <t>FEC_per_building.kWh.BG.Ser.BldNew.Thermal.SH.Biomass.Biomass_Waste</t>
  </si>
  <si>
    <t>FEC_per_building.kWh.BG.Ser.BldNew.Thermal.SH.Geo.Geo</t>
  </si>
  <si>
    <t>FEC_per_building.kWh.BG.Ser.BldNew.Thermal.SH.DistrHeat.Steam_Distr</t>
  </si>
  <si>
    <t>FEC_per_building.kWh.BG.Ser.BldNew.Thermal.SH.AdvElc.Elec</t>
  </si>
  <si>
    <t>FEC_per_building.kWh.BG.Ser.BldNew.Thermal.SH.ConvElc.Elec</t>
  </si>
  <si>
    <t>FEC_per_building.kWh.BG.Ser.BldNew.Thermal.SH.TotalCirculation.Elec</t>
  </si>
  <si>
    <t>FEC_per_building.kWh.BG.Ser.BldNew.Thermal.SC</t>
  </si>
  <si>
    <t>FEC_per_building.kWh.BG.Ser.BldNew.Thermal.SC.GasHP.NG_Biogas</t>
  </si>
  <si>
    <t>FEC_per_building.kWh.BG.Ser.BldNew.Thermal.SC.AC.Elec</t>
  </si>
  <si>
    <t>FEC_per_building.kWh.BG.Ser.BldNew.Thermal.HW</t>
  </si>
  <si>
    <t>FEC_per_building.kWh.BG.Ser.BldNew.Thermal.HW.Solids.Solids</t>
  </si>
  <si>
    <t>FEC_per_building.kWh.BG.Ser.BldNew.Thermal.HW.LPG.LPG</t>
  </si>
  <si>
    <t>FEC_per_building.kWh.BG.Ser.BldNew.Thermal.HW.Oil.Oil_LiqBio</t>
  </si>
  <si>
    <t>FEC_per_building.kWh.BG.Ser.BldNew.Thermal.HW.Gas.NG_Biogas</t>
  </si>
  <si>
    <t>FEC_per_building.kWh.BG.Ser.BldNew.Thermal.HW.Biomass.Biomass_Waste</t>
  </si>
  <si>
    <t>FEC_per_building.kWh.BG.Ser.BldNew.Thermal.HW.DistrHeat.Steam_Distr</t>
  </si>
  <si>
    <t>FEC_per_building.kWh.BG.Ser.BldNew.Thermal.HW.Elc.Elec</t>
  </si>
  <si>
    <t>FEC_per_building.kWh.BG.Ser.BldNew.Thermal.HW.TotalSolar.Solar</t>
  </si>
  <si>
    <t>FEC_per_building.kWh.BG.Ser.BldNew.Thermal.CA</t>
  </si>
  <si>
    <t>FEC_per_building.kWh.BG.Ser.BldNew.Thermal.CA.LPG</t>
  </si>
  <si>
    <t>FEC_per_building.kWh.BG.Ser.BldNew.Thermal.CA.Gas.NG_Biogas</t>
  </si>
  <si>
    <t>FEC_per_building.kWh.BG.Ser.BldNew.Thermal.CA.Biomass.Biomass_Waste</t>
  </si>
  <si>
    <t>FEC_per_building.kWh.BG.Ser.BldNew.Thermal.CA.Elc.Elec</t>
  </si>
  <si>
    <t>BG - Thermal energy service of new and renovated buildings (per building)</t>
  </si>
  <si>
    <t>TES_per_building.kWh.BG.Ser.BldNew.Thermal</t>
  </si>
  <si>
    <t>TES_per_building.kWh.BG.Ser.BldNew.Thermal.SH</t>
  </si>
  <si>
    <t>TES_per_building.kWh.BG.Ser.BldNew.Thermal.SH.Solids.Solids</t>
  </si>
  <si>
    <t>TES_per_building.kWh.BG.Ser.BldNew.Thermal.SH.LPG.LPG</t>
  </si>
  <si>
    <t>TES_per_building.kWh.BG.Ser.BldNew.Thermal.SH.Oil.Oil_LiqBio</t>
  </si>
  <si>
    <t>TES_per_building.kWh.BG.Ser.BldNew.Thermal.SH.GasHP.NG_Biogas</t>
  </si>
  <si>
    <t>TES_per_building.kWh.BG.Ser.BldNew.Thermal.SH.GasTH.NG_Biogas</t>
  </si>
  <si>
    <t>TES_per_building.kWh.BG.Ser.BldNew.Thermal.SH.Biomass.Biomass_Waste</t>
  </si>
  <si>
    <t>TES_per_building.kWh.BG.Ser.BldNew.Thermal.SH.Geo.Geo</t>
  </si>
  <si>
    <t>TES_per_building.kWh.BG.Ser.BldNew.Thermal.SH.DistrHeat.Steam_Distr</t>
  </si>
  <si>
    <t>TES_per_building.kWh.BG.Ser.BldNew.Thermal.SH.AdvElc.Elec</t>
  </si>
  <si>
    <t>TES_per_building.kWh.BG.Ser.BldNew.Thermal.SH.ConvElc.Elec</t>
  </si>
  <si>
    <t>TES_per_building.kWh.BG.Ser.BldNew.Thermal.SH.TotalCirculation.Elec</t>
  </si>
  <si>
    <t>TES_per_building.kWh.BG.Ser.BldNew.Thermal.SC</t>
  </si>
  <si>
    <t>TES_per_building.kWh.BG.Ser.BldNew.Thermal.SC.GasHP.NG_Biogas</t>
  </si>
  <si>
    <t>TES_per_building.kWh.BG.Ser.BldNew.Thermal.SC.AC.Elec</t>
  </si>
  <si>
    <t>TES_per_building.kWh.BG.Ser.BldNew.Thermal.HW</t>
  </si>
  <si>
    <t>TES_per_building.kWh.BG.Ser.BldNew.Thermal.HW.Solids.Solids</t>
  </si>
  <si>
    <t>TES_per_building.kWh.BG.Ser.BldNew.Thermal.HW.LPG.LPG</t>
  </si>
  <si>
    <t>TES_per_building.kWh.BG.Ser.BldNew.Thermal.HW.Oil.Oil_LiqBio</t>
  </si>
  <si>
    <t>TES_per_building.kWh.BG.Ser.BldNew.Thermal.HW.Gas.NG_Biogas</t>
  </si>
  <si>
    <t>TES_per_building.kWh.BG.Ser.BldNew.Thermal.HW.Biomass.Biomass_Waste</t>
  </si>
  <si>
    <t>TES_per_building.kWh.BG.Ser.BldNew.Thermal.HW.DistrHeat.Steam_Distr</t>
  </si>
  <si>
    <t>TES_per_building.kWh.BG.Ser.BldNew.Thermal.HW.Elc.Elec</t>
  </si>
  <si>
    <t>TES_per_building.kWh.BG.Ser.BldNew.Thermal.HW.TotalSolar.Solar</t>
  </si>
  <si>
    <t>TES_per_building.kWh.BG.Ser.BldNew.Thermal.CA</t>
  </si>
  <si>
    <t>TES_per_building.kWh.BG.Ser.BldNew.Thermal.CA.LPG</t>
  </si>
  <si>
    <t>TES_per_building.kWh.BG.Ser.BldNew.Thermal.CA.Gas.NG_Biogas</t>
  </si>
  <si>
    <t>TES_per_building.kWh.BG.Ser.BldNew.Thermal.CA.Biomass.Biomass_Waste</t>
  </si>
  <si>
    <t>TES_per_building.kWh.BG.Ser.BldNew.Thermal.CA.Elc.Elec</t>
  </si>
  <si>
    <t>BG - CO2 emissions in new and renovated buildings (per building)</t>
  </si>
  <si>
    <t>EMI_per_building.kgCO2.BG.Ser.BldNew.Thermal</t>
  </si>
  <si>
    <t>EMI_per_building.kgCO2.BG.Ser.BldNew.Thermal.SH</t>
  </si>
  <si>
    <t>EMI_per_building.kgCO2.BG.Ser.BldNew.Thermal.SH.Solids.Solids</t>
  </si>
  <si>
    <t>EMI_per_building.kgCO2.BG.Ser.BldNew.Thermal.SH.LPG.LPG</t>
  </si>
  <si>
    <t>EMI_per_building.kgCO2.BG.Ser.BldNew.Thermal.SH.Oil.Oil_LiqBio</t>
  </si>
  <si>
    <t>EMI_per_building.kgCO2.BG.Ser.BldNew.Thermal.SH.GasHP.NG_Biogas</t>
  </si>
  <si>
    <t>EMI_per_building.kgCO2.BG.Ser.BldNew.Thermal.SH.GasTH.NG_Biogas</t>
  </si>
  <si>
    <t>EMI_per_building.kgCO2.BG.Ser.BldNew.Thermal.SH.Biomass.Biomass_Waste</t>
  </si>
  <si>
    <t>EMI_per_building.kgCO2.BG.Ser.BldNew.Thermal.SH.Geo.Geo</t>
  </si>
  <si>
    <t>EMI_per_building.kgCO2.BG.Ser.BldNew.Thermal.SH.DistrHeat.Steam_Distr</t>
  </si>
  <si>
    <t>EMI_per_building.kgCO2.BG.Ser.BldNew.Thermal.SH.AdvElc.Elec</t>
  </si>
  <si>
    <t>EMI_per_building.kgCO2.BG.Ser.BldNew.Thermal.SH.ConvElc.Elec</t>
  </si>
  <si>
    <t>EMI_per_building.kgCO2.BG.Ser.BldNew.Thermal.SH.TotalCirculation.Elec</t>
  </si>
  <si>
    <t>EMI_per_building.kgCO2.BG.Ser.BldNew.Thermal.SC</t>
  </si>
  <si>
    <t>EMI_per_building.kgCO2.BG.Ser.BldNew.Thermal.SC.GasHP.NG_Biogas</t>
  </si>
  <si>
    <t>EMI_per_building.kgCO2.BG.Ser.BldNew.Thermal.SC.AC.Elec</t>
  </si>
  <si>
    <t>EMI_per_building.kgCO2.BG.Ser.BldNew.Thermal.HW</t>
  </si>
  <si>
    <t>EMI_per_building.kgCO2.BG.Ser.BldNew.Thermal.HW.Solids.Solids</t>
  </si>
  <si>
    <t>EMI_per_building.kgCO2.BG.Ser.BldNew.Thermal.HW.LPG.LPG</t>
  </si>
  <si>
    <t>EMI_per_building.kgCO2.BG.Ser.BldNew.Thermal.HW.Oil.Oil_LiqBio</t>
  </si>
  <si>
    <t>EMI_per_building.kgCO2.BG.Ser.BldNew.Thermal.HW.Gas.NG_Biogas</t>
  </si>
  <si>
    <t>EMI_per_building.kgCO2.BG.Ser.BldNew.Thermal.HW.Biomass.Biomass_Waste</t>
  </si>
  <si>
    <t>EMI_per_building.kgCO2.BG.Ser.BldNew.Thermal.HW.DistrHeat.Steam_Distr</t>
  </si>
  <si>
    <t>EMI_per_building.kgCO2.BG.Ser.BldNew.Thermal.HW.Elc.Elec</t>
  </si>
  <si>
    <t>EMI_per_building.kgCO2.BG.Ser.BldNew.Thermal.HW.TotalSolar.Solar</t>
  </si>
  <si>
    <t>EMI_per_building.kgCO2.BG.Ser.BldNew.Thermal.CA</t>
  </si>
  <si>
    <t>EMI_per_building.kgCO2.BG.Ser.BldNew.Thermal.CA.LPG</t>
  </si>
  <si>
    <t>EMI_per_building.kgCO2.BG.Ser.BldNew.Thermal.CA.Gas.NG_Biogas</t>
  </si>
  <si>
    <t>EMI_per_building.kgCO2.BG.Ser.BldNew.Thermal.CA.Biomass.Biomass_Waste</t>
  </si>
  <si>
    <t>EMI_per_building.kgCO2.BG.Ser.BldNew.Thermal.CA.Elc.Elec</t>
  </si>
  <si>
    <t>BG - Final energy consumption in new and renovated buildings per surface area</t>
  </si>
  <si>
    <t>FEC_per_sqm.kWh.BG.Ser.BldNew.Thermal</t>
  </si>
  <si>
    <t>FEC_per_sqm.kWh.BG.Ser.BldNew.Thermal.SH</t>
  </si>
  <si>
    <t>FEC_per_sqm.kWh.BG.Ser.BldNew.Thermal.SH.Solids.Solids</t>
  </si>
  <si>
    <t>FEC_per_sqm.kWh.BG.Ser.BldNew.Thermal.SH.LPG.LPG</t>
  </si>
  <si>
    <t>FEC_per_sqm.kWh.BG.Ser.BldNew.Thermal.SH.Oil.Oil_LiqBio</t>
  </si>
  <si>
    <t>FEC_per_sqm.kWh.BG.Ser.BldNew.Thermal.SH.GasHP.NG_Biogas</t>
  </si>
  <si>
    <t>FEC_per_sqm.kWh.BG.Ser.BldNew.Thermal.SH.GasTH.NG_Biogas</t>
  </si>
  <si>
    <t>FEC_per_sqm.kWh.BG.Ser.BldNew.Thermal.SH.Biomass.Biomass_Waste</t>
  </si>
  <si>
    <t>FEC_per_sqm.kWh.BG.Ser.BldNew.Thermal.SH.Geo.Geo</t>
  </si>
  <si>
    <t>FEC_per_sqm.kWh.BG.Ser.BldNew.Thermal.SH.DistrHeat.Steam_Distr</t>
  </si>
  <si>
    <t>FEC_per_sqm.kWh.BG.Ser.BldNew.Thermal.SH.AdvElc.Elec</t>
  </si>
  <si>
    <t>FEC_per_sqm.kWh.BG.Ser.BldNew.Thermal.SH.ConvElc.Elec</t>
  </si>
  <si>
    <t>FEC_per_sqm.kWh.BG.Ser.BldNew.Thermal.SH.TotalCirculation.Elec</t>
  </si>
  <si>
    <t>FEC_per_sqm.kWh.BG.Ser.BldNew.Thermal.SC</t>
  </si>
  <si>
    <t>FEC_per_sqm.kWh.BG.Ser.BldNew.Thermal.SC.GasHP.NG_Biogas</t>
  </si>
  <si>
    <t>FEC_per_sqm.kWh.BG.Ser.BldNew.Thermal.SC.AC.Elec</t>
  </si>
  <si>
    <t>FEC_per_sqm.kWh.BG.Ser.BldNew.Thermal.HW</t>
  </si>
  <si>
    <t>FEC_per_sqm.kWh.BG.Ser.BldNew.Thermal.HW.Solids.Solids</t>
  </si>
  <si>
    <t>FEC_per_sqm.kWh.BG.Ser.BldNew.Thermal.HW.LPG.LPG</t>
  </si>
  <si>
    <t>FEC_per_sqm.kWh.BG.Ser.BldNew.Thermal.HW.Oil.Oil_LiqBio</t>
  </si>
  <si>
    <t>FEC_per_sqm.kWh.BG.Ser.BldNew.Thermal.HW.Gas.NG_Biogas</t>
  </si>
  <si>
    <t>FEC_per_sqm.kWh.BG.Ser.BldNew.Thermal.HW.Biomass.Biomass_Waste</t>
  </si>
  <si>
    <t>FEC_per_sqm.kWh.BG.Ser.BldNew.Thermal.HW.DistrHeat.Steam_Distr</t>
  </si>
  <si>
    <t>FEC_per_sqm.kWh.BG.Ser.BldNew.Thermal.HW.Elc.Elec</t>
  </si>
  <si>
    <t>FEC_per_sqm.kWh.BG.Ser.BldNew.Thermal.HW.TotalSolar.Solar</t>
  </si>
  <si>
    <t>FEC_per_sqm.kWh.BG.Ser.BldNew.Thermal.CA</t>
  </si>
  <si>
    <t>FEC_per_sqm.kWh.BG.Ser.BldNew.Thermal.CA.LPG</t>
  </si>
  <si>
    <t>FEC_per_sqm.kWh.BG.Ser.BldNew.Thermal.CA.Gas.NG_Biogas</t>
  </si>
  <si>
    <t>FEC_per_sqm.kWh.BG.Ser.BldNew.Thermal.CA.Biomass.Biomass_Waste</t>
  </si>
  <si>
    <t>FEC_per_sqm.kWh.BG.Ser.BldNew.Thermal.CA.Elc.Elec</t>
  </si>
  <si>
    <t>BG - Thermal energy service in new and renovated buildings per surface area</t>
  </si>
  <si>
    <t>TES_per_sqm.kWh.BG.Ser.BldNew.Thermal</t>
  </si>
  <si>
    <t>TES_per_sqm.kWh.BG.Ser.BldNew.Thermal.SH</t>
  </si>
  <si>
    <t>TES_per_sqm.kWh.BG.Ser.BldNew.Thermal.SH.Solids.Solids</t>
  </si>
  <si>
    <t>TES_per_sqm.kWh.BG.Ser.BldNew.Thermal.SH.LPG.LPG</t>
  </si>
  <si>
    <t>TES_per_sqm.kWh.BG.Ser.BldNew.Thermal.SH.Oil.Oil_LiqBio</t>
  </si>
  <si>
    <t>TES_per_sqm.kWh.BG.Ser.BldNew.Thermal.SH.GasHP.NG_Biogas</t>
  </si>
  <si>
    <t>TES_per_sqm.kWh.BG.Ser.BldNew.Thermal.SH.GasTH.NG_Biogas</t>
  </si>
  <si>
    <t>TES_per_sqm.kWh.BG.Ser.BldNew.Thermal.SH.Biomass.Biomass_Waste</t>
  </si>
  <si>
    <t>TES_per_sqm.kWh.BG.Ser.BldNew.Thermal.SH.Geo.Geo</t>
  </si>
  <si>
    <t>TES_per_sqm.kWh.BG.Ser.BldNew.Thermal.SH.DistrHeat.Steam_Distr</t>
  </si>
  <si>
    <t>TES_per_sqm.kWh.BG.Ser.BldNew.Thermal.SH.AdvElc.Elec</t>
  </si>
  <si>
    <t>TES_per_sqm.kWh.BG.Ser.BldNew.Thermal.SH.ConvElc.Elec</t>
  </si>
  <si>
    <t>TES_per_sqm.kWh.BG.Ser.BldNew.Thermal.SH.TotalCirculation.Elec</t>
  </si>
  <si>
    <t>TES_per_sqm.kWh.BG.Ser.BldNew.Thermal.SC</t>
  </si>
  <si>
    <t>TES_per_sqm.kWh.BG.Ser.BldNew.Thermal.SC.GasHP.NG_Biogas</t>
  </si>
  <si>
    <t>TES_per_sqm.kWh.BG.Ser.BldNew.Thermal.SC.AC.Elec</t>
  </si>
  <si>
    <t>TES_per_sqm.kWh.BG.Ser.BldNew.Thermal.HW</t>
  </si>
  <si>
    <t>TES_per_sqm.kWh.BG.Ser.BldNew.Thermal.HW.Solids.Solids</t>
  </si>
  <si>
    <t>TES_per_sqm.kWh.BG.Ser.BldNew.Thermal.HW.LPG.LPG</t>
  </si>
  <si>
    <t>TES_per_sqm.kWh.BG.Ser.BldNew.Thermal.HW.Oil.Oil_LiqBio</t>
  </si>
  <si>
    <t>TES_per_sqm.kWh.BG.Ser.BldNew.Thermal.HW.Gas.NG_Biogas</t>
  </si>
  <si>
    <t>TES_per_sqm.kWh.BG.Ser.BldNew.Thermal.HW.Biomass.Biomass_Waste</t>
  </si>
  <si>
    <t>TES_per_sqm.kWh.BG.Ser.BldNew.Thermal.HW.DistrHeat.Steam_Distr</t>
  </si>
  <si>
    <t>TES_per_sqm.kWh.BG.Ser.BldNew.Thermal.HW.Elc.Elec</t>
  </si>
  <si>
    <t>TES_per_sqm.kWh.BG.Ser.BldNew.Thermal.HW.TotalSolar.Solar</t>
  </si>
  <si>
    <t>TES_per_sqm.kWh.BG.Ser.BldNew.Thermal.CA</t>
  </si>
  <si>
    <t>TES_per_sqm.kWh.BG.Ser.BldNew.Thermal.CA.LPG</t>
  </si>
  <si>
    <t>TES_per_sqm.kWh.BG.Ser.BldNew.Thermal.CA.Gas.NG_Biogas</t>
  </si>
  <si>
    <t>TES_per_sqm.kWh.BG.Ser.BldNew.Thermal.CA.Biomass.Biomass_Waste</t>
  </si>
  <si>
    <t>TES_per_sqm.kWh.BG.Ser.BldNew.Thermal.CA.Elc.Elec</t>
  </si>
  <si>
    <t>BG - CO2 emissions in new and renovated buildings per surface area</t>
  </si>
  <si>
    <t>EMI_per_sqm.kgCO2.BG.Ser.BldNew.Thermal</t>
  </si>
  <si>
    <t>EMI_per_sqm.kgCO2.BG.Ser.BldNew.Thermal.SH</t>
  </si>
  <si>
    <t>EMI_per_sqm.kgCO2.BG.Ser.BldNew.Thermal.SH.Solids.Solids</t>
  </si>
  <si>
    <t>EMI_per_sqm.kgCO2.BG.Ser.BldNew.Thermal.SH.LPG.LPG</t>
  </si>
  <si>
    <t>EMI_per_sqm.kgCO2.BG.Ser.BldNew.Thermal.SH.Oil.Oil_LiqBio</t>
  </si>
  <si>
    <t>EMI_per_sqm.kgCO2.BG.Ser.BldNew.Thermal.SH.GasHP.NG_Biogas</t>
  </si>
  <si>
    <t>EMI_per_sqm.kgCO2.BG.Ser.BldNew.Thermal.SH.GasTH.NG_Biogas</t>
  </si>
  <si>
    <t>EMI_per_sqm.kgCO2.BG.Ser.BldNew.Thermal.SH.Biomass.Biomass_Waste</t>
  </si>
  <si>
    <t>EMI_per_sqm.kgCO2.BG.Ser.BldNew.Thermal.SH.Geo.Geo</t>
  </si>
  <si>
    <t>EMI_per_sqm.kgCO2.BG.Ser.BldNew.Thermal.SH.DistrHeat.Steam_Distr</t>
  </si>
  <si>
    <t>EMI_per_sqm.kgCO2.BG.Ser.BldNew.Thermal.SH.AdvElc.Elec</t>
  </si>
  <si>
    <t>EMI_per_sqm.kgCO2.BG.Ser.BldNew.Thermal.SH.ConvElc.Elec</t>
  </si>
  <si>
    <t>EMI_per_sqm.kgCO2.BG.Ser.BldNew.Thermal.SH.TotalCirculation.Elec</t>
  </si>
  <si>
    <t>EMI_per_sqm.kgCO2.BG.Ser.BldNew.Thermal.SC</t>
  </si>
  <si>
    <t>EMI_per_sqm.kgCO2.BG.Ser.BldNew.Thermal.SC.GasHP.NG_Biogas</t>
  </si>
  <si>
    <t>EMI_per_sqm.kgCO2.BG.Ser.BldNew.Thermal.SC.AC.Elec</t>
  </si>
  <si>
    <t>EMI_per_sqm.kgCO2.BG.Ser.BldNew.Thermal.HW</t>
  </si>
  <si>
    <t>EMI_per_sqm.kgCO2.BG.Ser.BldNew.Thermal.HW.Solids.Solids</t>
  </si>
  <si>
    <t>EMI_per_sqm.kgCO2.BG.Ser.BldNew.Thermal.HW.LPG.LPG</t>
  </si>
  <si>
    <t>EMI_per_sqm.kgCO2.BG.Ser.BldNew.Thermal.HW.Oil.Oil_LiqBio</t>
  </si>
  <si>
    <t>EMI_per_sqm.kgCO2.BG.Ser.BldNew.Thermal.HW.Gas.NG_Biogas</t>
  </si>
  <si>
    <t>EMI_per_sqm.kgCO2.BG.Ser.BldNew.Thermal.HW.Biomass.Biomass_Waste</t>
  </si>
  <si>
    <t>EMI_per_sqm.kgCO2.BG.Ser.BldNew.Thermal.HW.DistrHeat.Steam_Distr</t>
  </si>
  <si>
    <t>EMI_per_sqm.kgCO2.BG.Ser.BldNew.Thermal.HW.Elc.Elec</t>
  </si>
  <si>
    <t>EMI_per_sqm.kgCO2.BG.Ser.BldNew.Thermal.HW.TotalSolar.Solar</t>
  </si>
  <si>
    <t>EMI_per_sqm.kgCO2.BG.Ser.BldNew.Thermal.CA</t>
  </si>
  <si>
    <t>EMI_per_sqm.kgCO2.BG.Ser.BldNew.Thermal.CA.LPG</t>
  </si>
  <si>
    <t>EMI_per_sqm.kgCO2.BG.Ser.BldNew.Thermal.CA.Gas.NG_Biogas</t>
  </si>
  <si>
    <t>EMI_per_sqm.kgCO2.BG.Ser.BldNew.Thermal.CA.Biomass.Biomass_Waste</t>
  </si>
  <si>
    <t>EMI_per_sqm.kgCO2.BG.Ser.BldNew.Thermal.CA.Elc.Elec</t>
  </si>
  <si>
    <t>FEC.ktoe.BG.Ser.SEU.VE</t>
  </si>
  <si>
    <t>FEC.ktoe.BG.Ser.SEU.SL</t>
  </si>
  <si>
    <t>FEC.ktoe.BG.Ser.SEU.BL</t>
  </si>
  <si>
    <t>FEC.ktoe.BG.Ser.SEU.CR</t>
  </si>
  <si>
    <t>FEC.ktoe.BG.Ser.SEU.BT</t>
  </si>
  <si>
    <t>FEC.ktoe.BG.Ser.SEU.IT</t>
  </si>
  <si>
    <t>Size.MW.BG.Ser.SEU</t>
  </si>
  <si>
    <t>Size.MW.BG.Ser.SEU.VE</t>
  </si>
  <si>
    <t>Size.MW.BG.Ser.SEU.SL</t>
  </si>
  <si>
    <t>Size.MW.BG.Ser.SEU.BL</t>
  </si>
  <si>
    <t>Size.MW.BG.Ser.SEU.CR</t>
  </si>
  <si>
    <t>Size.MW.BG.Ser.SEU.BT</t>
  </si>
  <si>
    <t>Size.MW.BG.Ser.SEU.IT</t>
  </si>
  <si>
    <t>NUM.Msqm.BG.Ser.SEU.VE</t>
  </si>
  <si>
    <t>NUM.k.BG.Ser.SEU.SL</t>
  </si>
  <si>
    <t>NUM.M.BG.Ser.SEU.BL</t>
  </si>
  <si>
    <t>NUM.k.BG.Ser.SEU.CR</t>
  </si>
  <si>
    <t>NUM.Msqm.BG.Ser.SEU.BT</t>
  </si>
  <si>
    <t>NUM.k.BG.Ser.SEU.IT</t>
  </si>
  <si>
    <t>NUM.Msqm.BG.Ser.SEUnew.VE</t>
  </si>
  <si>
    <t>NUM.k.BG.Ser.SEUnew.SL</t>
  </si>
  <si>
    <t>NUM.M.BG.Ser.SEUnew.BL</t>
  </si>
  <si>
    <t>NUM.k.BG.Ser.SEUnew.CR</t>
  </si>
  <si>
    <t>NUM.Msqm.BG.Ser.SEUnew.BT</t>
  </si>
  <si>
    <t>NUM.k.BG.Ser.SEUnew.IT</t>
  </si>
  <si>
    <t>NUM.Msqm.BG.Ser.SEUrepl.VE</t>
  </si>
  <si>
    <t>NUM.k.BG.Ser.SEUrepl.SL</t>
  </si>
  <si>
    <t>NUM.M.BG.Ser.SEUrepl.BL</t>
  </si>
  <si>
    <t>NUM.k.BG.Ser.SEUrepl.CR</t>
  </si>
  <si>
    <t>NUM.Msqm.BG.Ser.SEUrepl.BT</t>
  </si>
  <si>
    <t>NUM.k.BG.Ser.SEUrepl.IT</t>
  </si>
  <si>
    <t>Op.hours.BG.Ser.SEU.VE</t>
  </si>
  <si>
    <t>Op.hours.BG.Ser.SEU.SL</t>
  </si>
  <si>
    <t>Op.hours.BG.Ser.SEU.BL</t>
  </si>
  <si>
    <t>Op.hours.BG.Ser.SEU.CR</t>
  </si>
  <si>
    <t>Op.hours.BG.Ser.SEU.BT</t>
  </si>
  <si>
    <t>Op.hours.BG.Ser.SEU.IT</t>
  </si>
  <si>
    <t>Size_per_appl.W.BG.Ser.SEU.VE</t>
  </si>
  <si>
    <t>Size_per_appl.W.BG.Ser.SEU.SL</t>
  </si>
  <si>
    <t>Size_per_appl.W.BG.Ser.SEU.BL</t>
  </si>
  <si>
    <t>Size_per_appl.W.BG.Ser.SEU.CR</t>
  </si>
  <si>
    <t>Size_per_appl.W.BG.Ser.SEU.BT</t>
  </si>
  <si>
    <t>Size_per_appl.W.BG.Ser.SEU.IT</t>
  </si>
  <si>
    <t>Size_per_appl.W.BG.Ser.SEUnew.VE</t>
  </si>
  <si>
    <t>Size_per_appl.W.BG.Ser.SEUnew.SL</t>
  </si>
  <si>
    <t>Size_per_appl.W.BG.Ser.SEUnew.BL</t>
  </si>
  <si>
    <t>Size_per_appl.W.BG.Ser.SEUnew.CR</t>
  </si>
  <si>
    <t>Size_per_appl.W.BG.Ser.SEUnew.BT</t>
  </si>
  <si>
    <t>Size_per_appl.W.BG.Ser.SEUnew.IT</t>
  </si>
  <si>
    <t>NUM.sqm_per_building.BG.Ser.SEU.VE</t>
  </si>
  <si>
    <t>NUM.number_per_capita.BG.Ser.SEU.SL</t>
  </si>
  <si>
    <t>NUM.number_per_building.BG.Ser.SEU.BL</t>
  </si>
  <si>
    <t>NUM.number_per_capita.BG.Ser.SEU.CR</t>
  </si>
  <si>
    <t>NUM.sqm_per_building.BG.Ser.SEU.BT</t>
  </si>
  <si>
    <t>NUM.number_per_capita.BG.Ser.SEU.IT</t>
  </si>
  <si>
    <t>Lumens_per_sqm.lumen.BG.Ser.SEU.BL</t>
  </si>
  <si>
    <t>BG - Services / specific electric uses</t>
  </si>
  <si>
    <t>BG - Ventilation and others</t>
  </si>
  <si>
    <t>BG - Street lighting</t>
  </si>
  <si>
    <t>BG - Building lighting</t>
  </si>
  <si>
    <t>BG - Commercial refrigeration</t>
  </si>
  <si>
    <t>BG - Miscellaneous building technologies</t>
  </si>
  <si>
    <t>BG - ICT and multimedia</t>
  </si>
  <si>
    <t>BG - Agriculture, forestry and fishing</t>
  </si>
  <si>
    <t>VA.Meuro2015.BG.AGR.AGR</t>
  </si>
  <si>
    <t>OUTPUT.index.BG.AGR.AGR</t>
  </si>
  <si>
    <t>CAP.index.BG.AGR.AGR</t>
  </si>
  <si>
    <t>NEWCAP.index.BG.AGR.AGR</t>
  </si>
  <si>
    <t>CAPOUT.index.BG.AGR.AGR</t>
  </si>
  <si>
    <t>CAPIDLE.index.BG.AGR.AGR</t>
  </si>
  <si>
    <t>FEC.ktoe.BG.ES.AGR</t>
  </si>
  <si>
    <t>FEC.ktoe.BG.ES.AGR.Solids</t>
  </si>
  <si>
    <t>FEC.ktoe.BG.ES.AGR.LPG</t>
  </si>
  <si>
    <t>FEC.ktoe.BG.ES.AGR.Diesel</t>
  </si>
  <si>
    <t>FEC.ktoe.BG.ES.AGR.RFO</t>
  </si>
  <si>
    <t>FEC.ktoe.BG.ES.AGR.NG</t>
  </si>
  <si>
    <t>FEC.ktoe.BG.ES.AGR.Biomass_Waste</t>
  </si>
  <si>
    <t>FEC.ktoe.BG.ES.AGR.Biogas</t>
  </si>
  <si>
    <t>FEC.ktoe.BG.ES.AGR.LiqBio</t>
  </si>
  <si>
    <t>FEC.ktoe.BG.ES.AGR.Solar</t>
  </si>
  <si>
    <t>FEC.ktoe.BG.ES.AGR.Geo</t>
  </si>
  <si>
    <t>FEC.ktoe.BG.ES.AGR.Ambient</t>
  </si>
  <si>
    <t>FEC.ktoe.BG.ES.AGR.Steam_Distr</t>
  </si>
  <si>
    <t>FEC.ktoe.BG.ES.AGR.Elec</t>
  </si>
  <si>
    <t>BG - Agriculture, forestry and fishing / final energy consumption</t>
  </si>
  <si>
    <t>FEC.ktoe.BG.AGR.AGR.LIGHT.GENERIC.ELEC</t>
  </si>
  <si>
    <t>FEC.ktoe.BG.AGR.AGR.FANS.GENERIC.ELEC</t>
  </si>
  <si>
    <t>FEC.ktoe.BG.AGR.AGR.MOTOR.GENERIC.ELEC</t>
  </si>
  <si>
    <t>FEC.ktoe.BG.AGR.AGR.LOW_ENTH.THERM.DIESEL_LIQBIO</t>
  </si>
  <si>
    <t>FEC.ktoe.BG.AGR.AGR.LOW_ENTH.THERM.NG_BIOGAS</t>
  </si>
  <si>
    <t>FEC.ktoe.BG.AGR.AGR.LOW_ENTH.THERM.SOLAR_GEO</t>
  </si>
  <si>
    <t>FEC.ktoe.BG.AGR.AGR.LOW_ENTH.HP.AMBIENT</t>
  </si>
  <si>
    <t>FEC.ktoe.BG.AGR.AGR.LOW_ENTH.THERM.STEAM_DISTR</t>
  </si>
  <si>
    <t>FEC.ktoe.BG.AGR.AGR.LOW_ENTH.THERM.ELEC</t>
  </si>
  <si>
    <t>FEC.ktoe.BG.AGR.AGR.FARM_DRIVES.MECH.DIESEL_LIQBIO</t>
  </si>
  <si>
    <t>FEC.ktoe.BG.AGR.AGR.HEAT_USE.THERM.SOLIDS</t>
  </si>
  <si>
    <t>FEC.ktoe.BG.AGR.AGR.HEAT_USE.THERM.LPG</t>
  </si>
  <si>
    <t>FEC.ktoe.BG.AGR.AGR.HEAT_USE.THERM.DIESEL_LIQBIO</t>
  </si>
  <si>
    <t>FEC.ktoe.BG.AGR.AGR.HEAT_USE.THERM.RFO</t>
  </si>
  <si>
    <t>FEC.ktoe.BG.AGR.AGR.HEAT_USE.THERM.NG_BIOGAS</t>
  </si>
  <si>
    <t>FEC.ktoe.BG.AGR.AGR.HEAT_USE.THERM.BIOMASS_WASTE</t>
  </si>
  <si>
    <t>FEC.ktoe.BG.AGR.AGR.HEAT_USE.THERM.SOLAR_GEO</t>
  </si>
  <si>
    <t>FEC.ktoe.BG.AGR.AGR.FARM_PUMP.MECH.DIESEL_LIQBIO</t>
  </si>
  <si>
    <t>FEC.ktoe.BG.AGR.AGR.FARM_PUMP_ELEC.MECH.ELEC</t>
  </si>
  <si>
    <t>FEC.ktoe.BG.AGR.AGR.GENERIC.MECH.ELEC</t>
  </si>
  <si>
    <t>BG - Agriculture, forestry and fishing / useful energy demand</t>
  </si>
  <si>
    <t>UED.ktoe.BG.AGR.AGR.LIGHT.GENERIC.ELEC</t>
  </si>
  <si>
    <t>UED.ktoe.BG.AGR.AGR.FANS.GENERIC.ELEC</t>
  </si>
  <si>
    <t>UED.ktoe.BG.AGR.AGR.MOTOR.GENERIC.ELEC</t>
  </si>
  <si>
    <t>UED.ktoe.BG.AGR.AGR.LOW_ENTH.THERM.DIESEL_LIQBIO</t>
  </si>
  <si>
    <t>UED.ktoe.BG.AGR.AGR.LOW_ENTH.THERM.NG_BIOGAS</t>
  </si>
  <si>
    <t>UED.ktoe.BG.AGR.AGR.LOW_ENTH.THERM.SOLAR_GEO</t>
  </si>
  <si>
    <t>UED.ktoe.BG.AGR.AGR.LOW_ENTH.HP.AMBIENT</t>
  </si>
  <si>
    <t>UED.ktoe.BG.AGR.AGR.LOW_ENTH.THERM.STEAM_DISTR</t>
  </si>
  <si>
    <t>UED.ktoe.BG.AGR.AGR.LOW_ENTH.THERM.ELEC</t>
  </si>
  <si>
    <t>UED.ktoe.BG.AGR.AGR.FARM_DRIVES.MECH.DIESEL_LIQBIO</t>
  </si>
  <si>
    <t>UED.ktoe.BG.AGR.AGR.HEAT_USE.THERM.SOLIDS</t>
  </si>
  <si>
    <t>UED.ktoe.BG.AGR.AGR.HEAT_USE.THERM.LPG</t>
  </si>
  <si>
    <t>UED.ktoe.BG.AGR.AGR.HEAT_USE.THERM.DIESEL_LIQBIO</t>
  </si>
  <si>
    <t>UED.ktoe.BG.AGR.AGR.HEAT_USE.THERM.RFO</t>
  </si>
  <si>
    <t>UED.ktoe.BG.AGR.AGR.HEAT_USE.THERM.NG_BIOGAS</t>
  </si>
  <si>
    <t>UED.ktoe.BG.AGR.AGR.HEAT_USE.THERM.BIOMASS_WASTE</t>
  </si>
  <si>
    <t>UED.ktoe.BG.AGR.AGR.HEAT_USE.THERM.SOLAR_GEO</t>
  </si>
  <si>
    <t>UED.ktoe.BG.AGR.AGR.FARM_PUMP.MECH.DIESEL_LIQBIO</t>
  </si>
  <si>
    <t>UED.ktoe.BG.AGR.AGR.FARM_PUMP_ELEC.MECH.ELEC</t>
  </si>
  <si>
    <t>UED.ktoe.BG.AGR.AGR.GENERIC.MECH.ELEC</t>
  </si>
  <si>
    <t>BG - Agriculture, forestry and fishing / CO2 emissions</t>
  </si>
  <si>
    <t>FUEL_EMI.ktCO2.BG.AGR.AGR.LIGHT.GENERIC.ELEC</t>
  </si>
  <si>
    <t>FUEL_EMI.ktCO2.BG.AGR.AGR.FANS.GENERIC.ELEC</t>
  </si>
  <si>
    <t>FUEL_EMI.ktCO2.BG.AGR.AGR.MOTOR.GENERIC.ELEC</t>
  </si>
  <si>
    <t>FUEL_EMI.ktCO2.BG.AGR.AGR.LOW_ENTH.THERM.DIESEL_LIQBIO</t>
  </si>
  <si>
    <t>FUEL_EMI.ktCO2.BG.AGR.AGR.LOW_ENTH.THERM.NG_BIOGAS</t>
  </si>
  <si>
    <t>FUEL_EMI.ktCO2.BG.AGR.AGR.LOW_ENTH.THERM.SOLAR_GEO</t>
  </si>
  <si>
    <t>FUEL_EMI.ktCO2.BG.AGR.AGR.LOW_ENTH.HP.AMBIENT</t>
  </si>
  <si>
    <t>FUEL_EMI.ktCO2.BG.AGR.AGR.LOW_ENTH.THERM.STEAM_DISTR</t>
  </si>
  <si>
    <t>FUEL_EMI.ktCO2.BG.AGR.AGR.LOW_ENTH.THERM.ELEC</t>
  </si>
  <si>
    <t>FUEL_EMI.ktCO2.BG.AGR.AGR.FARM_DRIVES.MECH.DIESEL_LIQBIO</t>
  </si>
  <si>
    <t>FUEL_EMI.ktCO2.BG.AGR.AGR.HEAT_USE.THERM.SOLIDS</t>
  </si>
  <si>
    <t>FUEL_EMI.ktCO2.BG.AGR.AGR.HEAT_USE.THERM.LPG</t>
  </si>
  <si>
    <t>FUEL_EMI.ktCO2.BG.AGR.AGR.HEAT_USE.THERM.DIESEL_LIQBIO</t>
  </si>
  <si>
    <t>FUEL_EMI.ktCO2.BG.AGR.AGR.HEAT_USE.THERM.RFO</t>
  </si>
  <si>
    <t>FUEL_EMI.ktCO2.BG.AGR.AGR.HEAT_USE.THERM.NG_BIOGAS</t>
  </si>
  <si>
    <t>FUEL_EMI.ktCO2.BG.AGR.AGR.HEAT_USE.THERM.BIOMASS_WASTE</t>
  </si>
  <si>
    <t>FUEL_EMI.ktCO2.BG.AGR.AGR.HEAT_USE.THERM.SOLAR_GEO</t>
  </si>
  <si>
    <t>FUEL_EMI.ktCO2.BG.AGR.AGR.FARM_PUMP.MECH.DIESEL_LIQBIO</t>
  </si>
  <si>
    <t>FUEL_EMI.ktCO2.BG.AGR.AGR.FARM_PUMP_ELEC.MECH.ELEC</t>
  </si>
  <si>
    <t>FUEL_EMI.ktCO2.BG.AGR.AGR.GENERIC.MECH.ELEC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</si>
</sst>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45432.782476851855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8190876</v>
      </c>
      <c r="C3" s="34">
        <v>8149468</v>
      </c>
      <c r="D3" s="34">
        <v>7868815</v>
      </c>
      <c r="E3" s="34">
        <v>7805506</v>
      </c>
      <c r="F3" s="34">
        <v>7745147</v>
      </c>
      <c r="G3" s="34">
        <v>7688573</v>
      </c>
      <c r="H3" s="34">
        <v>7629371</v>
      </c>
      <c r="I3" s="34">
        <v>7572673</v>
      </c>
      <c r="J3" s="34">
        <v>7518002</v>
      </c>
      <c r="K3" s="34">
        <v>7467119</v>
      </c>
      <c r="L3" s="34">
        <v>7421766</v>
      </c>
      <c r="M3" s="34">
        <v>7369431</v>
      </c>
      <c r="N3" s="34">
        <v>7327224</v>
      </c>
      <c r="O3" s="34">
        <v>7284552</v>
      </c>
      <c r="P3" s="34">
        <v>7245677</v>
      </c>
      <c r="Q3" s="34">
        <v>7202198</v>
      </c>
      <c r="R3" s="34">
        <v>7153784</v>
      </c>
      <c r="S3" s="34">
        <v>7101859</v>
      </c>
      <c r="T3" s="34">
        <v>7050034</v>
      </c>
      <c r="U3" s="34">
        <v>7000039</v>
      </c>
      <c r="V3" s="34">
        <v>6951482</v>
      </c>
      <c r="W3" s="34">
        <v>6916548</v>
      </c>
      <c r="DA3" s="88" t="s">
        <v>187</v>
      </c>
    </row>
    <row r="4" spans="1:105" ht="12" customHeight="1" x14ac:dyDescent="0.25">
      <c r="A4" s="35" t="s">
        <v>178</v>
      </c>
      <c r="B4" s="36">
        <v>27403.499449652711</v>
      </c>
      <c r="C4" s="36">
        <v>28451.094733829421</v>
      </c>
      <c r="D4" s="36">
        <v>30122.01637225334</v>
      </c>
      <c r="E4" s="36">
        <v>31699.268152844761</v>
      </c>
      <c r="F4" s="36">
        <v>33763.165476838367</v>
      </c>
      <c r="G4" s="36">
        <v>36145.877187706741</v>
      </c>
      <c r="H4" s="36">
        <v>38604.546350807024</v>
      </c>
      <c r="I4" s="36">
        <v>41173.255209324147</v>
      </c>
      <c r="J4" s="36">
        <v>43697.294633848745</v>
      </c>
      <c r="K4" s="36">
        <v>42234.550482532868</v>
      </c>
      <c r="L4" s="36">
        <v>42891.388117214803</v>
      </c>
      <c r="M4" s="36">
        <v>43787.963559205731</v>
      </c>
      <c r="N4" s="36">
        <v>44115.657266947164</v>
      </c>
      <c r="O4" s="36">
        <v>43876.641871237647</v>
      </c>
      <c r="P4" s="36">
        <v>44292.802948413067</v>
      </c>
      <c r="Q4" s="36">
        <v>45797.8</v>
      </c>
      <c r="R4" s="36">
        <v>47183.713367659017</v>
      </c>
      <c r="S4" s="36">
        <v>48479.459264799581</v>
      </c>
      <c r="T4" s="36">
        <v>49785.884499880412</v>
      </c>
      <c r="U4" s="36">
        <v>51794.91064589173</v>
      </c>
      <c r="V4" s="36">
        <v>49740.590030518819</v>
      </c>
      <c r="W4" s="36">
        <v>53551.856150240412</v>
      </c>
      <c r="DA4" s="89" t="s">
        <v>188</v>
      </c>
    </row>
    <row r="5" spans="1:105" ht="12" customHeight="1" x14ac:dyDescent="0.25">
      <c r="A5" s="35" t="s">
        <v>147</v>
      </c>
      <c r="B5" s="36">
        <v>14649.900454528381</v>
      </c>
      <c r="C5" s="36">
        <v>15027.908291235382</v>
      </c>
      <c r="D5" s="36">
        <v>16535.867146036639</v>
      </c>
      <c r="E5" s="36">
        <v>17112.936761499062</v>
      </c>
      <c r="F5" s="36">
        <v>18356.839258114374</v>
      </c>
      <c r="G5" s="36">
        <v>19487.536723506073</v>
      </c>
      <c r="H5" s="36">
        <v>20805.947465014913</v>
      </c>
      <c r="I5" s="36">
        <v>22465.7991324658</v>
      </c>
      <c r="J5" s="36">
        <v>23747.633767042869</v>
      </c>
      <c r="K5" s="36">
        <v>24011.462957031068</v>
      </c>
      <c r="L5" s="36">
        <v>25819.894148713127</v>
      </c>
      <c r="M5" s="36">
        <v>25467.377398720684</v>
      </c>
      <c r="N5" s="36">
        <v>25434.267729133993</v>
      </c>
      <c r="O5" s="36">
        <v>25687.35501884099</v>
      </c>
      <c r="P5" s="36">
        <v>26017.587034195869</v>
      </c>
      <c r="Q5" s="36">
        <v>26688.800000000003</v>
      </c>
      <c r="R5" s="36">
        <v>27137.486106412794</v>
      </c>
      <c r="S5" s="36">
        <v>28244.150106277324</v>
      </c>
      <c r="T5" s="36">
        <v>30452.909845556402</v>
      </c>
      <c r="U5" s="36">
        <v>31988.90770533447</v>
      </c>
      <c r="V5" s="36">
        <v>30579.280363939008</v>
      </c>
      <c r="W5" s="36">
        <v>33198.907382671205</v>
      </c>
      <c r="DA5" s="89" t="s">
        <v>189</v>
      </c>
    </row>
    <row r="6" spans="1:105" ht="12" customHeight="1" x14ac:dyDescent="0.25">
      <c r="A6" s="37" t="s">
        <v>70</v>
      </c>
      <c r="B6" s="38">
        <v>1609010</v>
      </c>
      <c r="C6" s="38">
        <v>1615170</v>
      </c>
      <c r="D6" s="38">
        <v>1617980</v>
      </c>
      <c r="E6" s="38">
        <v>1719159.9999999998</v>
      </c>
      <c r="F6" s="38">
        <v>1789980</v>
      </c>
      <c r="G6" s="38">
        <v>1854340</v>
      </c>
      <c r="H6" s="38">
        <v>1916300</v>
      </c>
      <c r="I6" s="38">
        <v>1978449.9999999998</v>
      </c>
      <c r="J6" s="38">
        <v>1989040</v>
      </c>
      <c r="K6" s="38">
        <v>2027920</v>
      </c>
      <c r="L6" s="38">
        <v>2003290</v>
      </c>
      <c r="M6" s="38">
        <v>1981520</v>
      </c>
      <c r="N6" s="38">
        <v>1958800.0000000002</v>
      </c>
      <c r="O6" s="38">
        <v>1961370.0000000002</v>
      </c>
      <c r="P6" s="38">
        <v>1962980</v>
      </c>
      <c r="Q6" s="38">
        <v>1975170</v>
      </c>
      <c r="R6" s="38">
        <v>2019110</v>
      </c>
      <c r="S6" s="38">
        <v>2034630</v>
      </c>
      <c r="T6" s="38">
        <v>2059139.9999999998</v>
      </c>
      <c r="U6" s="38">
        <v>2093720.0000000002</v>
      </c>
      <c r="V6" s="38">
        <v>2045700</v>
      </c>
      <c r="W6" s="38">
        <v>2081159.9999999998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58824.826828655401</v>
      </c>
      <c r="C8" s="34">
        <v>60914.027566257399</v>
      </c>
      <c r="D8" s="34">
        <v>63613.739296077998</v>
      </c>
      <c r="E8" s="34">
        <v>66683.498033002557</v>
      </c>
      <c r="F8" s="34">
        <v>69887.477037776174</v>
      </c>
      <c r="G8" s="34">
        <v>72987.127231166203</v>
      </c>
      <c r="H8" s="34">
        <v>76224.420158856388</v>
      </c>
      <c r="I8" s="34">
        <v>79869.243688850067</v>
      </c>
      <c r="J8" s="34">
        <v>82645.136224764268</v>
      </c>
      <c r="K8" s="34">
        <v>83587.297048423919</v>
      </c>
      <c r="L8" s="34">
        <v>84917.025412549119</v>
      </c>
      <c r="M8" s="34">
        <v>87374.145910783744</v>
      </c>
      <c r="N8" s="34">
        <v>88621.888505161842</v>
      </c>
      <c r="O8" s="34">
        <v>89985.776124600263</v>
      </c>
      <c r="P8" s="34">
        <v>91548.27889433461</v>
      </c>
      <c r="Q8" s="34">
        <v>93527.200824091473</v>
      </c>
      <c r="R8" s="34">
        <v>94844.894983847335</v>
      </c>
      <c r="S8" s="34">
        <v>96173.240587353677</v>
      </c>
      <c r="T8" s="34">
        <v>97476.899884091574</v>
      </c>
      <c r="U8" s="34">
        <v>98725.872463854044</v>
      </c>
      <c r="V8" s="34">
        <v>99861.017777777772</v>
      </c>
      <c r="W8" s="34">
        <v>100897.1229406209</v>
      </c>
      <c r="DA8" s="88" t="s">
        <v>191</v>
      </c>
    </row>
    <row r="9" spans="1:105" ht="12" customHeight="1" x14ac:dyDescent="0.25">
      <c r="A9" s="39" t="s">
        <v>68</v>
      </c>
      <c r="B9" s="40">
        <v>52942.344145789866</v>
      </c>
      <c r="C9" s="40">
        <v>54822.624809631656</v>
      </c>
      <c r="D9" s="40">
        <v>57252.365366470192</v>
      </c>
      <c r="E9" s="40">
        <v>60015.148229702296</v>
      </c>
      <c r="F9" s="40">
        <v>62898.729333998555</v>
      </c>
      <c r="G9" s="40">
        <v>65688.41450804958</v>
      </c>
      <c r="H9" s="40">
        <v>68601.978142970751</v>
      </c>
      <c r="I9" s="40">
        <v>71882.319319965056</v>
      </c>
      <c r="J9" s="40">
        <v>74380.62260228784</v>
      </c>
      <c r="K9" s="40">
        <v>75228.567343581526</v>
      </c>
      <c r="L9" s="40">
        <v>76425.322871294207</v>
      </c>
      <c r="M9" s="40">
        <v>78636.731319705359</v>
      </c>
      <c r="N9" s="40">
        <v>79759.699654645665</v>
      </c>
      <c r="O9" s="40">
        <v>80987.198512140239</v>
      </c>
      <c r="P9" s="40">
        <v>82393.451004901159</v>
      </c>
      <c r="Q9" s="40">
        <v>84174.480741682317</v>
      </c>
      <c r="R9" s="40">
        <v>85360.405485462601</v>
      </c>
      <c r="S9" s="40">
        <v>86555.916528618312</v>
      </c>
      <c r="T9" s="40">
        <v>87729.209895682419</v>
      </c>
      <c r="U9" s="40">
        <v>88853.285217468641</v>
      </c>
      <c r="V9" s="40">
        <v>89874.915999999997</v>
      </c>
      <c r="W9" s="40">
        <v>90807.410646558812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2324.7723909203678</v>
      </c>
      <c r="D10" s="41">
        <v>2943.4065435982643</v>
      </c>
      <c r="E10" s="41">
        <v>3324.4778398969192</v>
      </c>
      <c r="F10" s="41">
        <v>3470.8828484348569</v>
      </c>
      <c r="G10" s="41">
        <v>3379.3190034872359</v>
      </c>
      <c r="H10" s="41">
        <v>3529.1464784763075</v>
      </c>
      <c r="I10" s="41">
        <v>3949.4420472157371</v>
      </c>
      <c r="J10" s="41">
        <v>3095.5969225605913</v>
      </c>
      <c r="K10" s="41">
        <v>1272.8894995007722</v>
      </c>
      <c r="L10" s="41">
        <v>1663.938394448825</v>
      </c>
      <c r="M10" s="41">
        <v>2796.552560282083</v>
      </c>
      <c r="N10" s="41">
        <v>1597.0384941260793</v>
      </c>
      <c r="O10" s="41">
        <v>1718.4055509101906</v>
      </c>
      <c r="P10" s="41">
        <v>1922.2427329299426</v>
      </c>
      <c r="Q10" s="41">
        <v>2345.044376170405</v>
      </c>
      <c r="R10" s="41">
        <v>1802.2910552174988</v>
      </c>
      <c r="S10" s="41">
        <v>1819.7699298475143</v>
      </c>
      <c r="T10" s="41">
        <v>1801.9662427863486</v>
      </c>
      <c r="U10" s="41">
        <v>1754.0342371930235</v>
      </c>
      <c r="V10" s="41">
        <v>1646.6783318711566</v>
      </c>
      <c r="W10" s="41">
        <v>1553.5197627279629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2092.2951518283312</v>
      </c>
      <c r="D11" s="42">
        <v>2649.0658892384376</v>
      </c>
      <c r="E11" s="42">
        <v>2992.0300559072275</v>
      </c>
      <c r="F11" s="42">
        <v>3123.7945635913711</v>
      </c>
      <c r="G11" s="42">
        <v>3041.3871031385124</v>
      </c>
      <c r="H11" s="42">
        <v>3176.2318306286766</v>
      </c>
      <c r="I11" s="42">
        <v>3554.4978424941633</v>
      </c>
      <c r="J11" s="42">
        <v>2786.0372303045319</v>
      </c>
      <c r="K11" s="42">
        <v>1145.600549550695</v>
      </c>
      <c r="L11" s="42">
        <v>1497.5445550039424</v>
      </c>
      <c r="M11" s="42">
        <v>2516.8973042538746</v>
      </c>
      <c r="N11" s="42">
        <v>1437.3346447134713</v>
      </c>
      <c r="O11" s="42">
        <v>1546.5649958191714</v>
      </c>
      <c r="P11" s="42">
        <v>1730.0184596369484</v>
      </c>
      <c r="Q11" s="42">
        <v>2110.5399385533647</v>
      </c>
      <c r="R11" s="42">
        <v>1622.0619496957488</v>
      </c>
      <c r="S11" s="42">
        <v>1637.7929368627629</v>
      </c>
      <c r="T11" s="42">
        <v>1621.7696185077136</v>
      </c>
      <c r="U11" s="42">
        <v>1578.6308134737212</v>
      </c>
      <c r="V11" s="42">
        <v>1482.0104986840411</v>
      </c>
      <c r="W11" s="42">
        <v>1398.1677864551666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2481.29</v>
      </c>
      <c r="C13" s="43">
        <v>2525.98</v>
      </c>
      <c r="D13" s="43">
        <v>2522.88</v>
      </c>
      <c r="E13" s="43">
        <v>2891.31</v>
      </c>
      <c r="F13" s="43">
        <v>2537.4</v>
      </c>
      <c r="G13" s="43">
        <v>2692.51</v>
      </c>
      <c r="H13" s="43">
        <v>2660.51</v>
      </c>
      <c r="I13" s="43">
        <v>2393.19</v>
      </c>
      <c r="J13" s="43">
        <v>2466.8200000000002</v>
      </c>
      <c r="K13" s="43">
        <v>2437.31</v>
      </c>
      <c r="L13" s="43">
        <v>2516.8200000000002</v>
      </c>
      <c r="M13" s="43">
        <v>2798.59</v>
      </c>
      <c r="N13" s="43">
        <v>2614</v>
      </c>
      <c r="O13" s="43">
        <v>2387.56</v>
      </c>
      <c r="P13" s="43">
        <v>2365.02</v>
      </c>
      <c r="Q13" s="43">
        <v>2371.11</v>
      </c>
      <c r="R13" s="43">
        <v>2420.17</v>
      </c>
      <c r="S13" s="43">
        <v>2527.59</v>
      </c>
      <c r="T13" s="43">
        <v>2352.1</v>
      </c>
      <c r="U13" s="43">
        <v>2152.56</v>
      </c>
      <c r="V13" s="43">
        <v>2247.42</v>
      </c>
      <c r="W13" s="43">
        <v>2503.0700000000002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2493.4352380952378</v>
      </c>
      <c r="C14" s="44">
        <f t="shared" ref="C14:W14" si="0">AVERAGE($B$13:$V$13)</f>
        <v>2493.4352380952378</v>
      </c>
      <c r="D14" s="44">
        <f t="shared" si="0"/>
        <v>2493.4352380952378</v>
      </c>
      <c r="E14" s="44">
        <f t="shared" si="0"/>
        <v>2493.4352380952378</v>
      </c>
      <c r="F14" s="44">
        <f t="shared" si="0"/>
        <v>2493.4352380952378</v>
      </c>
      <c r="G14" s="44">
        <f t="shared" si="0"/>
        <v>2493.4352380952378</v>
      </c>
      <c r="H14" s="44">
        <f t="shared" si="0"/>
        <v>2493.4352380952378</v>
      </c>
      <c r="I14" s="44">
        <f t="shared" si="0"/>
        <v>2493.4352380952378</v>
      </c>
      <c r="J14" s="44">
        <f t="shared" si="0"/>
        <v>2493.4352380952378</v>
      </c>
      <c r="K14" s="44">
        <f t="shared" si="0"/>
        <v>2493.4352380952378</v>
      </c>
      <c r="L14" s="44">
        <f t="shared" si="0"/>
        <v>2493.4352380952378</v>
      </c>
      <c r="M14" s="44">
        <f t="shared" si="0"/>
        <v>2493.4352380952378</v>
      </c>
      <c r="N14" s="44">
        <f t="shared" si="0"/>
        <v>2493.4352380952378</v>
      </c>
      <c r="O14" s="44">
        <f t="shared" si="0"/>
        <v>2493.4352380952378</v>
      </c>
      <c r="P14" s="44">
        <f t="shared" si="0"/>
        <v>2493.4352380952378</v>
      </c>
      <c r="Q14" s="44">
        <f t="shared" si="0"/>
        <v>2493.4352380952378</v>
      </c>
      <c r="R14" s="44">
        <f t="shared" si="0"/>
        <v>2493.4352380952378</v>
      </c>
      <c r="S14" s="44">
        <f t="shared" si="0"/>
        <v>2493.4352380952378</v>
      </c>
      <c r="T14" s="44">
        <f t="shared" si="0"/>
        <v>2493.4352380952378</v>
      </c>
      <c r="U14" s="44">
        <f t="shared" si="0"/>
        <v>2493.4352380952378</v>
      </c>
      <c r="V14" s="44">
        <f t="shared" si="0"/>
        <v>2493.4352380952378</v>
      </c>
      <c r="W14" s="44">
        <f t="shared" si="0"/>
        <v>2493.4352380952378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0.99512911427989781</v>
      </c>
      <c r="C15" s="46">
        <f t="shared" ref="C15:W15" si="1">C13/C14</f>
        <v>1.0130521785396855</v>
      </c>
      <c r="D15" s="46">
        <f t="shared" si="1"/>
        <v>1.0118089138450035</v>
      </c>
      <c r="E15" s="46">
        <f t="shared" si="1"/>
        <v>1.1595689175423314</v>
      </c>
      <c r="F15" s="46">
        <f t="shared" si="1"/>
        <v>1.0176322052536433</v>
      </c>
      <c r="G15" s="46">
        <f t="shared" si="1"/>
        <v>1.079839555831752</v>
      </c>
      <c r="H15" s="46">
        <f t="shared" si="1"/>
        <v>1.0670058557576143</v>
      </c>
      <c r="I15" s="46">
        <f t="shared" si="1"/>
        <v>0.95979633376328788</v>
      </c>
      <c r="J15" s="46">
        <f t="shared" si="1"/>
        <v>0.98932587552762374</v>
      </c>
      <c r="K15" s="46">
        <f t="shared" si="1"/>
        <v>0.97749079774050496</v>
      </c>
      <c r="L15" s="46">
        <f t="shared" si="1"/>
        <v>1.0093785318934636</v>
      </c>
      <c r="M15" s="46">
        <f t="shared" si="1"/>
        <v>1.1223832715775179</v>
      </c>
      <c r="N15" s="46">
        <f t="shared" si="1"/>
        <v>1.0483528748061099</v>
      </c>
      <c r="O15" s="46">
        <f t="shared" si="1"/>
        <v>0.95753840465649431</v>
      </c>
      <c r="P15" s="46">
        <f t="shared" si="1"/>
        <v>0.94849866716677367</v>
      </c>
      <c r="Q15" s="46">
        <f t="shared" si="1"/>
        <v>0.95094108071213301</v>
      </c>
      <c r="R15" s="46">
        <f t="shared" si="1"/>
        <v>0.97061674713829516</v>
      </c>
      <c r="S15" s="46">
        <f t="shared" si="1"/>
        <v>1.0136978740746656</v>
      </c>
      <c r="T15" s="46">
        <f t="shared" si="1"/>
        <v>0.94331706076184063</v>
      </c>
      <c r="U15" s="46">
        <f t="shared" si="1"/>
        <v>0.86329091973704675</v>
      </c>
      <c r="V15" s="46">
        <f t="shared" si="1"/>
        <v>0.90133481939431825</v>
      </c>
      <c r="W15" s="46">
        <f t="shared" si="1"/>
        <v>1.0038640513928576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3345.6127830103533</v>
      </c>
      <c r="C19" s="34">
        <f t="shared" si="2"/>
        <v>3491.1597583829302</v>
      </c>
      <c r="D19" s="34">
        <f t="shared" ref="D19:W19" si="3">D4*1000000/D3</f>
        <v>3828.0244702986843</v>
      </c>
      <c r="E19" s="34">
        <f t="shared" si="3"/>
        <v>4061.1419878281768</v>
      </c>
      <c r="F19" s="34">
        <f t="shared" si="3"/>
        <v>4359.2672258949206</v>
      </c>
      <c r="G19" s="34">
        <f t="shared" si="3"/>
        <v>4701.246536607865</v>
      </c>
      <c r="H19" s="34">
        <f t="shared" si="3"/>
        <v>5059.9907057615919</v>
      </c>
      <c r="I19" s="34">
        <f t="shared" si="3"/>
        <v>5437.0834722856971</v>
      </c>
      <c r="J19" s="34">
        <f t="shared" si="3"/>
        <v>5812.354749819001</v>
      </c>
      <c r="K19" s="34">
        <f t="shared" si="3"/>
        <v>5656.0703642908147</v>
      </c>
      <c r="L19" s="34">
        <f t="shared" si="3"/>
        <v>5779.1350626272515</v>
      </c>
      <c r="M19" s="34">
        <f t="shared" si="3"/>
        <v>5941.8377835691435</v>
      </c>
      <c r="N19" s="34">
        <f t="shared" si="3"/>
        <v>6020.7873086652144</v>
      </c>
      <c r="O19" s="34">
        <f t="shared" si="3"/>
        <v>6023.2450631470056</v>
      </c>
      <c r="P19" s="34">
        <f t="shared" si="3"/>
        <v>6112.9971634690683</v>
      </c>
      <c r="Q19" s="34">
        <f t="shared" si="3"/>
        <v>6358.8643355819986</v>
      </c>
      <c r="R19" s="34">
        <f t="shared" si="3"/>
        <v>6595.6301403088237</v>
      </c>
      <c r="S19" s="34">
        <f t="shared" si="3"/>
        <v>6826.3055158937377</v>
      </c>
      <c r="T19" s="34">
        <f t="shared" si="3"/>
        <v>7061.7935317589117</v>
      </c>
      <c r="U19" s="34">
        <f t="shared" si="3"/>
        <v>7399.2317251220647</v>
      </c>
      <c r="V19" s="34">
        <f t="shared" si="3"/>
        <v>7155.3936312456572</v>
      </c>
      <c r="W19" s="34">
        <f t="shared" si="3"/>
        <v>7742.5698701491565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9104.9157273903711</v>
      </c>
      <c r="C20" s="36">
        <f t="shared" si="4"/>
        <v>9304.226979968289</v>
      </c>
      <c r="D20" s="36">
        <f t="shared" ref="D20:W20" si="5">D5*1000000/D6</f>
        <v>10220.068941542317</v>
      </c>
      <c r="E20" s="36">
        <f t="shared" si="5"/>
        <v>9954.2432126730873</v>
      </c>
      <c r="F20" s="36">
        <f t="shared" si="5"/>
        <v>10255.332047349342</v>
      </c>
      <c r="G20" s="36">
        <f t="shared" si="5"/>
        <v>10509.149737106503</v>
      </c>
      <c r="H20" s="36">
        <f t="shared" si="5"/>
        <v>10857.353997294218</v>
      </c>
      <c r="I20" s="36">
        <f t="shared" si="5"/>
        <v>11355.252410961008</v>
      </c>
      <c r="J20" s="36">
        <f t="shared" si="5"/>
        <v>11939.243940314358</v>
      </c>
      <c r="K20" s="36">
        <f t="shared" si="5"/>
        <v>11840.438950762884</v>
      </c>
      <c r="L20" s="36">
        <f t="shared" si="5"/>
        <v>12888.745088685675</v>
      </c>
      <c r="M20" s="36">
        <f t="shared" si="5"/>
        <v>12852.445293875753</v>
      </c>
      <c r="N20" s="36">
        <f t="shared" si="5"/>
        <v>12984.616974236264</v>
      </c>
      <c r="O20" s="36">
        <f t="shared" si="5"/>
        <v>13096.639093511671</v>
      </c>
      <c r="P20" s="36">
        <f t="shared" si="5"/>
        <v>13254.127415559949</v>
      </c>
      <c r="Q20" s="36">
        <f t="shared" si="5"/>
        <v>13512.153384265661</v>
      </c>
      <c r="R20" s="36">
        <f t="shared" si="5"/>
        <v>13440.320788076329</v>
      </c>
      <c r="S20" s="36">
        <f t="shared" si="5"/>
        <v>13881.713189266513</v>
      </c>
      <c r="T20" s="36">
        <f t="shared" si="5"/>
        <v>14789.140051456628</v>
      </c>
      <c r="U20" s="36">
        <f t="shared" si="5"/>
        <v>15278.503193041317</v>
      </c>
      <c r="V20" s="36">
        <f t="shared" si="5"/>
        <v>14948.076630952244</v>
      </c>
      <c r="W20" s="36">
        <f t="shared" si="5"/>
        <v>15952.11679191951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1788.5633300428894</v>
      </c>
      <c r="C21" s="36">
        <f t="shared" si="6"/>
        <v>1844.0354991559427</v>
      </c>
      <c r="D21" s="36">
        <f t="shared" ref="D21:W21" si="7">D5*1000000/D3</f>
        <v>2101.4431202203432</v>
      </c>
      <c r="E21" s="36">
        <f t="shared" si="7"/>
        <v>2192.4186287857651</v>
      </c>
      <c r="F21" s="36">
        <f t="shared" si="7"/>
        <v>2370.1085670955472</v>
      </c>
      <c r="G21" s="36">
        <f t="shared" si="7"/>
        <v>2534.6103527281425</v>
      </c>
      <c r="H21" s="36">
        <f t="shared" si="7"/>
        <v>2727.0855572516939</v>
      </c>
      <c r="I21" s="36">
        <f t="shared" si="7"/>
        <v>2966.6934162436173</v>
      </c>
      <c r="J21" s="36">
        <f t="shared" si="7"/>
        <v>3158.7692803277878</v>
      </c>
      <c r="K21" s="36">
        <f t="shared" si="7"/>
        <v>3215.626127965962</v>
      </c>
      <c r="L21" s="36">
        <f t="shared" si="7"/>
        <v>3478.9420939319734</v>
      </c>
      <c r="M21" s="36">
        <f t="shared" si="7"/>
        <v>3455.8132641069146</v>
      </c>
      <c r="N21" s="36">
        <f t="shared" si="7"/>
        <v>3471.2010618392442</v>
      </c>
      <c r="O21" s="36">
        <f t="shared" si="7"/>
        <v>3526.2779397883342</v>
      </c>
      <c r="P21" s="36">
        <f t="shared" si="7"/>
        <v>3590.7737861066494</v>
      </c>
      <c r="Q21" s="36">
        <f t="shared" si="7"/>
        <v>3705.6465262410175</v>
      </c>
      <c r="R21" s="36">
        <f t="shared" si="7"/>
        <v>3793.4449944830312</v>
      </c>
      <c r="S21" s="36">
        <f t="shared" si="7"/>
        <v>3977.0080068158668</v>
      </c>
      <c r="T21" s="36">
        <f t="shared" si="7"/>
        <v>4319.5408483925612</v>
      </c>
      <c r="U21" s="36">
        <f t="shared" si="7"/>
        <v>4569.8184974875812</v>
      </c>
      <c r="V21" s="36">
        <f t="shared" si="7"/>
        <v>4398.9584327398106</v>
      </c>
      <c r="W21" s="36">
        <f t="shared" si="7"/>
        <v>4799.9243817394463</v>
      </c>
      <c r="DA21" s="89"/>
    </row>
    <row r="22" spans="1:105" ht="12" customHeight="1" x14ac:dyDescent="0.25">
      <c r="A22" s="51" t="s">
        <v>152</v>
      </c>
      <c r="B22" s="52">
        <v>0.1229362297580614</v>
      </c>
      <c r="C22" s="52">
        <v>0.12352851775405597</v>
      </c>
      <c r="D22" s="52">
        <v>0.1380900985229242</v>
      </c>
      <c r="E22" s="52">
        <v>0.14246955727760485</v>
      </c>
      <c r="F22" s="52">
        <v>0.15049066180439866</v>
      </c>
      <c r="G22" s="52">
        <v>0.15774414714994875</v>
      </c>
      <c r="H22" s="52">
        <v>0.16492794948897019</v>
      </c>
      <c r="I22" s="52">
        <v>0.1741205090397028</v>
      </c>
      <c r="J22" s="52">
        <v>0.1829874694539165</v>
      </c>
      <c r="K22" s="52">
        <v>0.19055992251218185</v>
      </c>
      <c r="L22" s="52">
        <v>0.20341639304808332</v>
      </c>
      <c r="M22" s="52">
        <v>0.19829988749542385</v>
      </c>
      <c r="N22" s="52">
        <v>0.19978941991196555</v>
      </c>
      <c r="O22" s="52">
        <v>0.20219035883760064</v>
      </c>
      <c r="P22" s="52">
        <v>0.20322628992953748</v>
      </c>
      <c r="Q22" s="52">
        <v>0.20671723748911916</v>
      </c>
      <c r="R22" s="52">
        <v>0.20823427212220924</v>
      </c>
      <c r="S22" s="52">
        <v>0.21270219355655737</v>
      </c>
      <c r="T22" s="52">
        <v>0.22624340905419174</v>
      </c>
      <c r="U22" s="52">
        <v>0.23487132785774353</v>
      </c>
      <c r="V22" s="52">
        <v>0.23951480339167094</v>
      </c>
      <c r="W22" s="52">
        <v>0.24804806231600071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27.352566709405107</v>
      </c>
      <c r="C23" s="53">
        <f t="shared" si="8"/>
        <v>26.515567341909012</v>
      </c>
      <c r="D23" s="53">
        <f t="shared" ref="D23:W23" si="9">D6/D8</f>
        <v>25.434442589036014</v>
      </c>
      <c r="E23" s="53">
        <f t="shared" si="9"/>
        <v>25.780891085665068</v>
      </c>
      <c r="F23" s="53">
        <f t="shared" si="9"/>
        <v>25.612313906144657</v>
      </c>
      <c r="G23" s="53">
        <f t="shared" si="9"/>
        <v>25.406397954626978</v>
      </c>
      <c r="H23" s="53">
        <f t="shared" si="9"/>
        <v>25.140237157676147</v>
      </c>
      <c r="I23" s="53">
        <f t="shared" si="9"/>
        <v>24.771112240746007</v>
      </c>
      <c r="J23" s="53">
        <f t="shared" si="9"/>
        <v>24.06723602693987</v>
      </c>
      <c r="K23" s="53">
        <f t="shared" si="9"/>
        <v>24.261102722644356</v>
      </c>
      <c r="L23" s="53">
        <f t="shared" si="9"/>
        <v>23.591146654837392</v>
      </c>
      <c r="M23" s="53">
        <f t="shared" si="9"/>
        <v>22.678562168988712</v>
      </c>
      <c r="N23" s="53">
        <f t="shared" si="9"/>
        <v>22.102891656229019</v>
      </c>
      <c r="O23" s="53">
        <f t="shared" si="9"/>
        <v>21.796444776829588</v>
      </c>
      <c r="P23" s="53">
        <f t="shared" si="9"/>
        <v>21.442019704878117</v>
      </c>
      <c r="Q23" s="53">
        <f t="shared" si="9"/>
        <v>21.118669035278344</v>
      </c>
      <c r="R23" s="53">
        <f t="shared" si="9"/>
        <v>21.288546951777075</v>
      </c>
      <c r="S23" s="53">
        <f t="shared" si="9"/>
        <v>21.155884813426407</v>
      </c>
      <c r="T23" s="53">
        <f t="shared" si="9"/>
        <v>21.12438949585486</v>
      </c>
      <c r="U23" s="53">
        <f t="shared" si="9"/>
        <v>21.207409443421859</v>
      </c>
      <c r="V23" s="53">
        <f t="shared" si="9"/>
        <v>20.485471163055109</v>
      </c>
      <c r="W23" s="53">
        <f t="shared" si="9"/>
        <v>20.626554448185662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6.4635753423430984</v>
      </c>
      <c r="C24" s="54">
        <f t="shared" si="10"/>
        <v>6.7271415520168496</v>
      </c>
      <c r="D24" s="54">
        <f t="shared" ref="D24:W24" si="11">D9*1000/D3</f>
        <v>7.2758560680954112</v>
      </c>
      <c r="E24" s="54">
        <f t="shared" si="11"/>
        <v>7.6888222531252035</v>
      </c>
      <c r="F24" s="54">
        <f t="shared" si="11"/>
        <v>8.1210504247367492</v>
      </c>
      <c r="G24" s="54">
        <f t="shared" si="11"/>
        <v>8.54364190962999</v>
      </c>
      <c r="H24" s="54">
        <f t="shared" si="11"/>
        <v>8.9918262125371484</v>
      </c>
      <c r="I24" s="54">
        <f t="shared" si="11"/>
        <v>9.4923310857295764</v>
      </c>
      <c r="J24" s="54">
        <f t="shared" si="11"/>
        <v>9.8936689032921041</v>
      </c>
      <c r="K24" s="54">
        <f t="shared" si="11"/>
        <v>10.07464422939845</v>
      </c>
      <c r="L24" s="54">
        <f t="shared" si="11"/>
        <v>10.297457892271758</v>
      </c>
      <c r="M24" s="54">
        <f t="shared" si="11"/>
        <v>10.67066525484876</v>
      </c>
      <c r="N24" s="54">
        <f t="shared" si="11"/>
        <v>10.885391200630098</v>
      </c>
      <c r="O24" s="54">
        <f t="shared" si="11"/>
        <v>11.117663586194491</v>
      </c>
      <c r="P24" s="54">
        <f t="shared" si="11"/>
        <v>11.371394419721049</v>
      </c>
      <c r="Q24" s="54">
        <f t="shared" si="11"/>
        <v>11.6873322202031</v>
      </c>
      <c r="R24" s="54">
        <f t="shared" si="11"/>
        <v>11.932203360551927</v>
      </c>
      <c r="S24" s="54">
        <f t="shared" si="11"/>
        <v>12.187783019716148</v>
      </c>
      <c r="T24" s="54">
        <f t="shared" si="11"/>
        <v>12.443799547020967</v>
      </c>
      <c r="U24" s="54">
        <f t="shared" si="11"/>
        <v>12.693255740070681</v>
      </c>
      <c r="V24" s="54">
        <f t="shared" si="11"/>
        <v>12.928885667833132</v>
      </c>
      <c r="W24" s="54">
        <f t="shared" si="11"/>
        <v>13.129007511631352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32.90367626415614</v>
      </c>
      <c r="C25" s="54">
        <f t="shared" si="12"/>
        <v>33.942324838643394</v>
      </c>
      <c r="D25" s="54">
        <f t="shared" ref="D25:W25" si="13">D9*1000/D6</f>
        <v>35.385088422891627</v>
      </c>
      <c r="E25" s="54">
        <f t="shared" si="13"/>
        <v>34.909576903663591</v>
      </c>
      <c r="F25" s="54">
        <f t="shared" si="13"/>
        <v>35.139347553603145</v>
      </c>
      <c r="G25" s="54">
        <f t="shared" si="13"/>
        <v>35.424147949162275</v>
      </c>
      <c r="H25" s="54">
        <f t="shared" si="13"/>
        <v>35.799184962151415</v>
      </c>
      <c r="I25" s="54">
        <f t="shared" si="13"/>
        <v>36.332643897983296</v>
      </c>
      <c r="J25" s="54">
        <f t="shared" si="13"/>
        <v>37.395237201005429</v>
      </c>
      <c r="K25" s="54">
        <f t="shared" si="13"/>
        <v>37.0964176809645</v>
      </c>
      <c r="L25" s="54">
        <f t="shared" si="13"/>
        <v>38.149904842181712</v>
      </c>
      <c r="M25" s="54">
        <f t="shared" si="13"/>
        <v>39.685055573350432</v>
      </c>
      <c r="N25" s="54">
        <f t="shared" si="13"/>
        <v>40.718654101820327</v>
      </c>
      <c r="O25" s="54">
        <f t="shared" si="13"/>
        <v>41.29113757839685</v>
      </c>
      <c r="P25" s="54">
        <f t="shared" si="13"/>
        <v>41.973657910371557</v>
      </c>
      <c r="Q25" s="54">
        <f t="shared" si="13"/>
        <v>42.616322008577654</v>
      </c>
      <c r="R25" s="54">
        <f t="shared" si="13"/>
        <v>42.276253143940949</v>
      </c>
      <c r="S25" s="54">
        <f t="shared" si="13"/>
        <v>42.54135470754796</v>
      </c>
      <c r="T25" s="54">
        <f t="shared" si="13"/>
        <v>42.604781557194961</v>
      </c>
      <c r="U25" s="54">
        <f t="shared" si="13"/>
        <v>42.437998021449204</v>
      </c>
      <c r="V25" s="54">
        <f t="shared" si="13"/>
        <v>43.933575793127048</v>
      </c>
      <c r="W25" s="54">
        <f t="shared" si="13"/>
        <v>43.633075134328365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899.99999999999989</v>
      </c>
      <c r="H26" s="55">
        <f t="shared" si="15"/>
        <v>900.00000000000011</v>
      </c>
      <c r="I26" s="55">
        <f t="shared" si="15"/>
        <v>899.99999999999989</v>
      </c>
      <c r="J26" s="55">
        <f t="shared" si="15"/>
        <v>900</v>
      </c>
      <c r="K26" s="55">
        <f t="shared" si="15"/>
        <v>900</v>
      </c>
      <c r="L26" s="55">
        <f t="shared" si="15"/>
        <v>899.99999999999989</v>
      </c>
      <c r="M26" s="55">
        <f t="shared" si="15"/>
        <v>899.99999999999977</v>
      </c>
      <c r="N26" s="55">
        <f t="shared" si="15"/>
        <v>900.00000000000011</v>
      </c>
      <c r="O26" s="55">
        <f t="shared" si="15"/>
        <v>900.00000000000011</v>
      </c>
      <c r="P26" s="55">
        <f t="shared" si="15"/>
        <v>900.00000000000011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899.99999999999989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899.99999999999989</v>
      </c>
      <c r="J27" s="57">
        <f t="shared" si="17"/>
        <v>899.99999999999989</v>
      </c>
      <c r="K27" s="57">
        <f t="shared" si="17"/>
        <v>899.99999999999989</v>
      </c>
      <c r="L27" s="57">
        <f t="shared" si="17"/>
        <v>900</v>
      </c>
      <c r="M27" s="57">
        <f t="shared" si="17"/>
        <v>900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899.99999999999989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658.39656061908863</v>
      </c>
      <c r="C31" s="80">
        <f t="shared" ref="C31:W31" si="18">SUM(C32:C33,C36:C37,C44:C45)</f>
        <v>773.15683576956144</v>
      </c>
      <c r="D31" s="80">
        <f t="shared" si="18"/>
        <v>747.41195184866706</v>
      </c>
      <c r="E31" s="80">
        <f t="shared" si="18"/>
        <v>762.99406706792774</v>
      </c>
      <c r="F31" s="80">
        <f t="shared" si="18"/>
        <v>706.77446259673252</v>
      </c>
      <c r="G31" s="80">
        <f t="shared" si="18"/>
        <v>828.40472914875318</v>
      </c>
      <c r="H31" s="80">
        <f t="shared" si="18"/>
        <v>944.8226139294926</v>
      </c>
      <c r="I31" s="80">
        <f t="shared" si="18"/>
        <v>898.4331040412726</v>
      </c>
      <c r="J31" s="80">
        <f t="shared" si="18"/>
        <v>959.25578785897972</v>
      </c>
      <c r="K31" s="80">
        <f t="shared" si="18"/>
        <v>944.22983169198631</v>
      </c>
      <c r="L31" s="80">
        <f t="shared" si="18"/>
        <v>995.00987454613835</v>
      </c>
      <c r="M31" s="80">
        <f t="shared" si="18"/>
        <v>1053.951993802588</v>
      </c>
      <c r="N31" s="80">
        <f t="shared" si="18"/>
        <v>1025.5734608582279</v>
      </c>
      <c r="O31" s="80">
        <f t="shared" si="18"/>
        <v>964.10072202104266</v>
      </c>
      <c r="P31" s="80">
        <f t="shared" si="18"/>
        <v>928.0624677600083</v>
      </c>
      <c r="Q31" s="80">
        <f t="shared" si="18"/>
        <v>1001.6620931869768</v>
      </c>
      <c r="R31" s="80">
        <f t="shared" si="18"/>
        <v>1073.8808711893478</v>
      </c>
      <c r="S31" s="80">
        <f t="shared" si="18"/>
        <v>1078.4474467777559</v>
      </c>
      <c r="T31" s="80">
        <f t="shared" si="18"/>
        <v>1135.3313031338657</v>
      </c>
      <c r="U31" s="80">
        <f t="shared" si="18"/>
        <v>1159.0820397540519</v>
      </c>
      <c r="V31" s="80">
        <f t="shared" si="18"/>
        <v>952.19623298604131</v>
      </c>
      <c r="W31" s="80">
        <f t="shared" si="18"/>
        <v>1165.3200082769431</v>
      </c>
      <c r="DA31" s="103" t="s">
        <v>198</v>
      </c>
    </row>
    <row r="32" spans="1:105" ht="12" customHeight="1" x14ac:dyDescent="0.25">
      <c r="A32" s="58" t="s">
        <v>29</v>
      </c>
      <c r="B32" s="59">
        <v>2.8149613069647463</v>
      </c>
      <c r="C32" s="59">
        <v>3.1125537403267409</v>
      </c>
      <c r="D32" s="59">
        <v>5.0740326741186585</v>
      </c>
      <c r="E32" s="59">
        <v>6.4040412725709368</v>
      </c>
      <c r="F32" s="59">
        <v>4.5505588993981076</v>
      </c>
      <c r="G32" s="59">
        <v>6.0177128116938938</v>
      </c>
      <c r="H32" s="59">
        <v>6.177214101461737</v>
      </c>
      <c r="I32" s="59">
        <v>2.9129836629406705</v>
      </c>
      <c r="J32" s="59">
        <v>5.5129836629406705</v>
      </c>
      <c r="K32" s="59">
        <v>4.580825451418745</v>
      </c>
      <c r="L32" s="59">
        <v>4.2755803955288041</v>
      </c>
      <c r="M32" s="59">
        <v>4.7995700773860701</v>
      </c>
      <c r="N32" s="59">
        <v>3.6009458297506445</v>
      </c>
      <c r="O32" s="59">
        <v>4.7784178847807386</v>
      </c>
      <c r="P32" s="59">
        <v>2.1204643164230443</v>
      </c>
      <c r="Q32" s="59">
        <v>5.5542562338779007</v>
      </c>
      <c r="R32" s="59">
        <v>5.9650902837489257</v>
      </c>
      <c r="S32" s="59">
        <v>3.9016337059329329</v>
      </c>
      <c r="T32" s="59">
        <v>2.5331040412725714</v>
      </c>
      <c r="U32" s="59">
        <v>3.8332760103181416</v>
      </c>
      <c r="V32" s="59">
        <v>3.2777300085984509</v>
      </c>
      <c r="W32" s="59">
        <v>2.5301805674978501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94.437231298366299</v>
      </c>
      <c r="C33" s="55">
        <f t="shared" ref="C33:W33" si="19">SUM(C34:C35)</f>
        <v>173.17291487532242</v>
      </c>
      <c r="D33" s="55">
        <f t="shared" si="19"/>
        <v>108.03714531384351</v>
      </c>
      <c r="E33" s="55">
        <f t="shared" si="19"/>
        <v>63.936629406706778</v>
      </c>
      <c r="F33" s="55">
        <f t="shared" si="19"/>
        <v>37.634995700773857</v>
      </c>
      <c r="G33" s="55">
        <f t="shared" si="19"/>
        <v>34.111951848667239</v>
      </c>
      <c r="H33" s="55">
        <f t="shared" si="19"/>
        <v>64.691659501289763</v>
      </c>
      <c r="I33" s="55">
        <f t="shared" si="19"/>
        <v>47.671281169389495</v>
      </c>
      <c r="J33" s="55">
        <f t="shared" si="19"/>
        <v>60.695528804815126</v>
      </c>
      <c r="K33" s="55">
        <f t="shared" si="19"/>
        <v>65.066380051590713</v>
      </c>
      <c r="L33" s="55">
        <f t="shared" si="19"/>
        <v>45.521668099742037</v>
      </c>
      <c r="M33" s="55">
        <f t="shared" si="19"/>
        <v>35.528374892519345</v>
      </c>
      <c r="N33" s="55">
        <f t="shared" si="19"/>
        <v>35.72897678417884</v>
      </c>
      <c r="O33" s="55">
        <f t="shared" si="19"/>
        <v>23.789767841788475</v>
      </c>
      <c r="P33" s="55">
        <f t="shared" si="19"/>
        <v>16.552020636285469</v>
      </c>
      <c r="Q33" s="55">
        <f t="shared" si="19"/>
        <v>38.745571797076522</v>
      </c>
      <c r="R33" s="55">
        <f t="shared" si="19"/>
        <v>39.053740326741185</v>
      </c>
      <c r="S33" s="55">
        <f t="shared" si="19"/>
        <v>35.544883920894236</v>
      </c>
      <c r="T33" s="55">
        <f t="shared" si="19"/>
        <v>26.309544282029229</v>
      </c>
      <c r="U33" s="55">
        <f t="shared" si="19"/>
        <v>30.68263112639724</v>
      </c>
      <c r="V33" s="55">
        <f t="shared" si="19"/>
        <v>26.605846947549441</v>
      </c>
      <c r="W33" s="55">
        <f t="shared" si="19"/>
        <v>28.773946689595874</v>
      </c>
      <c r="DA33" s="101"/>
    </row>
    <row r="34" spans="1:105" ht="12" customHeight="1" x14ac:dyDescent="0.25">
      <c r="A34" s="61" t="s">
        <v>52</v>
      </c>
      <c r="B34" s="55">
        <v>1.129750644883921</v>
      </c>
      <c r="C34" s="55">
        <v>4.519002579535683</v>
      </c>
      <c r="D34" s="55">
        <v>1.129750644883921</v>
      </c>
      <c r="E34" s="55">
        <v>1.129750644883921</v>
      </c>
      <c r="F34" s="55">
        <v>2.4959587274290631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5.4934651762682716</v>
      </c>
      <c r="M34" s="55">
        <v>6.592175408426483</v>
      </c>
      <c r="N34" s="55">
        <v>12.085640584694749</v>
      </c>
      <c r="O34" s="55">
        <v>8.7895098882201186</v>
      </c>
      <c r="P34" s="55">
        <v>5.4934651762682716</v>
      </c>
      <c r="Q34" s="55">
        <v>5.4934651762682716</v>
      </c>
      <c r="R34" s="55">
        <v>6.592175408426483</v>
      </c>
      <c r="S34" s="55">
        <v>8.4093723129836633</v>
      </c>
      <c r="T34" s="55">
        <v>10.14643164230438</v>
      </c>
      <c r="U34" s="55">
        <v>10.426569217540839</v>
      </c>
      <c r="V34" s="55">
        <v>8.6236457437661223</v>
      </c>
      <c r="W34" s="55">
        <v>10.36835769561479</v>
      </c>
      <c r="DA34" s="101" t="s">
        <v>200</v>
      </c>
    </row>
    <row r="35" spans="1:105" ht="12" customHeight="1" x14ac:dyDescent="0.25">
      <c r="A35" s="61" t="s">
        <v>170</v>
      </c>
      <c r="B35" s="55">
        <v>93.307480653482372</v>
      </c>
      <c r="C35" s="55">
        <v>168.65391229578674</v>
      </c>
      <c r="D35" s="55">
        <v>106.90739466895958</v>
      </c>
      <c r="E35" s="55">
        <v>62.806878761822858</v>
      </c>
      <c r="F35" s="55">
        <v>35.139036973344794</v>
      </c>
      <c r="G35" s="55">
        <v>34.111951848667239</v>
      </c>
      <c r="H35" s="55">
        <v>64.691659501289763</v>
      </c>
      <c r="I35" s="55">
        <v>47.671281169389495</v>
      </c>
      <c r="J35" s="55">
        <v>60.695528804815126</v>
      </c>
      <c r="K35" s="55">
        <v>65.066380051590713</v>
      </c>
      <c r="L35" s="55">
        <v>40.028202923473764</v>
      </c>
      <c r="M35" s="55">
        <v>28.93619948409286</v>
      </c>
      <c r="N35" s="55">
        <v>23.643336199484089</v>
      </c>
      <c r="O35" s="55">
        <v>15.000257953568356</v>
      </c>
      <c r="P35" s="55">
        <v>11.058555460017198</v>
      </c>
      <c r="Q35" s="55">
        <v>33.252106620808249</v>
      </c>
      <c r="R35" s="55">
        <v>32.4615649183147</v>
      </c>
      <c r="S35" s="55">
        <v>27.135511607910573</v>
      </c>
      <c r="T35" s="55">
        <v>16.163112639724851</v>
      </c>
      <c r="U35" s="55">
        <v>20.256061908856402</v>
      </c>
      <c r="V35" s="55">
        <v>17.982201203783319</v>
      </c>
      <c r="W35" s="55">
        <v>18.405588993981084</v>
      </c>
      <c r="DA35" s="101" t="s">
        <v>201</v>
      </c>
    </row>
    <row r="36" spans="1:105" ht="12" customHeight="1" x14ac:dyDescent="0.25">
      <c r="A36" s="60" t="s">
        <v>153</v>
      </c>
      <c r="B36" s="55">
        <v>12.25262252794497</v>
      </c>
      <c r="C36" s="55">
        <v>17.54110060189166</v>
      </c>
      <c r="D36" s="55">
        <v>19.92699914015477</v>
      </c>
      <c r="E36" s="55">
        <v>28.031212381771279</v>
      </c>
      <c r="F36" s="55">
        <v>31.29853826311264</v>
      </c>
      <c r="G36" s="55">
        <v>43.572656921754081</v>
      </c>
      <c r="H36" s="55">
        <v>64.509716251074806</v>
      </c>
      <c r="I36" s="55">
        <v>70.185726569217536</v>
      </c>
      <c r="J36" s="55">
        <v>81.213069647463456</v>
      </c>
      <c r="K36" s="55">
        <v>66.035769561478929</v>
      </c>
      <c r="L36" s="55">
        <v>80.138521066208071</v>
      </c>
      <c r="M36" s="55">
        <v>82.566380051590698</v>
      </c>
      <c r="N36" s="55">
        <v>81.664058469475492</v>
      </c>
      <c r="O36" s="55">
        <v>77.988907996560613</v>
      </c>
      <c r="P36" s="55">
        <v>83.169733447979354</v>
      </c>
      <c r="Q36" s="55">
        <v>89.059759243336202</v>
      </c>
      <c r="R36" s="55">
        <v>89.617110920034392</v>
      </c>
      <c r="S36" s="55">
        <v>94.721410146173667</v>
      </c>
      <c r="T36" s="55">
        <v>97.792003439380892</v>
      </c>
      <c r="U36" s="55">
        <v>89.542304385210656</v>
      </c>
      <c r="V36" s="55">
        <v>84.90696474634565</v>
      </c>
      <c r="W36" s="55">
        <v>105.4628546861565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9.6971625107480648</v>
      </c>
      <c r="C37" s="55">
        <f t="shared" ref="C37:W37" si="20">SUM(C38:C42)</f>
        <v>8.7895098882201186</v>
      </c>
      <c r="D37" s="55">
        <f t="shared" si="20"/>
        <v>7.9774720550300948</v>
      </c>
      <c r="E37" s="55">
        <f t="shared" si="20"/>
        <v>12.94548581255374</v>
      </c>
      <c r="F37" s="55">
        <f t="shared" si="20"/>
        <v>8.9567497850386903</v>
      </c>
      <c r="G37" s="55">
        <f t="shared" si="20"/>
        <v>46.216680997420454</v>
      </c>
      <c r="H37" s="55">
        <f t="shared" si="20"/>
        <v>50.874204643164234</v>
      </c>
      <c r="I37" s="55">
        <f t="shared" si="20"/>
        <v>47.601977644024061</v>
      </c>
      <c r="J37" s="55">
        <f t="shared" si="20"/>
        <v>53.573086844368014</v>
      </c>
      <c r="K37" s="55">
        <f t="shared" si="20"/>
        <v>47.506534823731712</v>
      </c>
      <c r="L37" s="55">
        <f t="shared" si="20"/>
        <v>47.67360275150471</v>
      </c>
      <c r="M37" s="55">
        <f t="shared" si="20"/>
        <v>50.539810834049888</v>
      </c>
      <c r="N37" s="55">
        <f t="shared" si="20"/>
        <v>89.73439380911438</v>
      </c>
      <c r="O37" s="55">
        <f t="shared" si="20"/>
        <v>71.128288907996591</v>
      </c>
      <c r="P37" s="55">
        <f t="shared" si="20"/>
        <v>49.918830610490112</v>
      </c>
      <c r="Q37" s="55">
        <f t="shared" si="20"/>
        <v>63.509114359415292</v>
      </c>
      <c r="R37" s="55">
        <f t="shared" si="20"/>
        <v>63.174806534823723</v>
      </c>
      <c r="S37" s="55">
        <f t="shared" si="20"/>
        <v>109.49337919174548</v>
      </c>
      <c r="T37" s="55">
        <f t="shared" si="20"/>
        <v>150.42932072226998</v>
      </c>
      <c r="U37" s="55">
        <f t="shared" si="20"/>
        <v>165.38667239896819</v>
      </c>
      <c r="V37" s="55">
        <f t="shared" si="20"/>
        <v>141.13766122098025</v>
      </c>
      <c r="W37" s="55">
        <f t="shared" si="20"/>
        <v>173.26087704213234</v>
      </c>
      <c r="DA37" s="101"/>
    </row>
    <row r="38" spans="1:105" ht="12" customHeight="1" x14ac:dyDescent="0.25">
      <c r="A38" s="61" t="s">
        <v>171</v>
      </c>
      <c r="B38" s="55">
        <v>9.6971625107480648</v>
      </c>
      <c r="C38" s="55">
        <v>8.7895098882201186</v>
      </c>
      <c r="D38" s="55">
        <v>7.9774720550300948</v>
      </c>
      <c r="E38" s="55">
        <v>12.94548581255374</v>
      </c>
      <c r="F38" s="55">
        <v>8.9567497850386903</v>
      </c>
      <c r="G38" s="55">
        <v>13.542562338779017</v>
      </c>
      <c r="H38" s="55">
        <v>18.200085984522797</v>
      </c>
      <c r="I38" s="55">
        <v>14.92785898538262</v>
      </c>
      <c r="J38" s="55">
        <v>20.898968185726574</v>
      </c>
      <c r="K38" s="55">
        <v>14.689079965606183</v>
      </c>
      <c r="L38" s="55">
        <v>10.150902837489234</v>
      </c>
      <c r="M38" s="55">
        <v>10.365950128976799</v>
      </c>
      <c r="N38" s="55">
        <v>49.10670679277731</v>
      </c>
      <c r="O38" s="55">
        <v>27.300085984522809</v>
      </c>
      <c r="P38" s="55">
        <v>5.6845227858985368</v>
      </c>
      <c r="Q38" s="55">
        <v>14.163542562338762</v>
      </c>
      <c r="R38" s="55">
        <v>8.5984522785898463</v>
      </c>
      <c r="S38" s="55">
        <v>58.639552880481503</v>
      </c>
      <c r="T38" s="55">
        <v>97.351504729148743</v>
      </c>
      <c r="U38" s="55">
        <v>112.54720550300945</v>
      </c>
      <c r="V38" s="55">
        <v>85.509028374892537</v>
      </c>
      <c r="W38" s="55">
        <v>117.11332760103173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0.14333619948409279</v>
      </c>
      <c r="L39" s="55">
        <v>1.0748065348237319</v>
      </c>
      <c r="M39" s="55">
        <v>1.337575236457438</v>
      </c>
      <c r="N39" s="55">
        <v>2.3903697334479789E-2</v>
      </c>
      <c r="O39" s="55">
        <v>0.28658641444539978</v>
      </c>
      <c r="P39" s="55">
        <v>0.5493551160791057</v>
      </c>
      <c r="Q39" s="55">
        <v>3.7737747205503012</v>
      </c>
      <c r="R39" s="55">
        <v>7.2131556319862424</v>
      </c>
      <c r="S39" s="55">
        <v>2.7185726569217539</v>
      </c>
      <c r="T39" s="55">
        <v>3.9839208942390369</v>
      </c>
      <c r="U39" s="55">
        <v>2.603439380911436</v>
      </c>
      <c r="V39" s="55">
        <v>4.0263972484952708</v>
      </c>
      <c r="W39" s="55">
        <v>3.1208942390369732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3.7737747205503012</v>
      </c>
      <c r="M41" s="55">
        <v>5.8755803955288046</v>
      </c>
      <c r="N41" s="55">
        <v>7.1653482373172821</v>
      </c>
      <c r="O41" s="55">
        <v>10.103181427343079</v>
      </c>
      <c r="P41" s="55">
        <v>10.24651762682717</v>
      </c>
      <c r="Q41" s="55">
        <v>12.13336199484093</v>
      </c>
      <c r="R41" s="55">
        <v>12.73052450558899</v>
      </c>
      <c r="S41" s="55">
        <v>13.50257953568358</v>
      </c>
      <c r="T41" s="55">
        <v>14.46122098022356</v>
      </c>
      <c r="U41" s="55">
        <v>15.125709372312979</v>
      </c>
      <c r="V41" s="55">
        <v>15.89475494411006</v>
      </c>
      <c r="W41" s="55">
        <v>16.92244196044712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32.67411865864144</v>
      </c>
      <c r="H42" s="55">
        <v>32.67411865864144</v>
      </c>
      <c r="I42" s="55">
        <v>32.67411865864144</v>
      </c>
      <c r="J42" s="55">
        <v>32.67411865864144</v>
      </c>
      <c r="K42" s="55">
        <v>32.67411865864144</v>
      </c>
      <c r="L42" s="55">
        <v>32.67411865864144</v>
      </c>
      <c r="M42" s="55">
        <v>32.960705073086842</v>
      </c>
      <c r="N42" s="55">
        <v>33.438435081685299</v>
      </c>
      <c r="O42" s="55">
        <v>33.438435081685299</v>
      </c>
      <c r="P42" s="55">
        <v>33.438435081685299</v>
      </c>
      <c r="Q42" s="55">
        <v>33.438435081685299</v>
      </c>
      <c r="R42" s="55">
        <v>34.632674118658642</v>
      </c>
      <c r="S42" s="55">
        <v>34.632674118658642</v>
      </c>
      <c r="T42" s="55">
        <v>34.632674118658642</v>
      </c>
      <c r="U42" s="55">
        <v>35.110318142734307</v>
      </c>
      <c r="V42" s="55">
        <v>35.707480653482371</v>
      </c>
      <c r="W42" s="55">
        <v>36.104213241616513</v>
      </c>
      <c r="DA42" s="101" t="s">
        <v>207</v>
      </c>
    </row>
    <row r="43" spans="1:105" ht="12" customHeight="1" x14ac:dyDescent="0.25">
      <c r="A43" s="61" t="s">
        <v>157</v>
      </c>
      <c r="B43" s="55">
        <v>1.0403291067628446</v>
      </c>
      <c r="C43" s="55">
        <v>1.3859069613885104</v>
      </c>
      <c r="D43" s="55">
        <v>4.7612318194549967</v>
      </c>
      <c r="E43" s="55">
        <v>9.2975500199878205</v>
      </c>
      <c r="F43" s="55">
        <v>12.777300085984514</v>
      </c>
      <c r="G43" s="55">
        <v>16.749785038693041</v>
      </c>
      <c r="H43" s="55">
        <v>22.57093723129838</v>
      </c>
      <c r="I43" s="55">
        <v>24.703353396388621</v>
      </c>
      <c r="J43" s="55">
        <v>27.575236457437676</v>
      </c>
      <c r="K43" s="55">
        <v>32.287188306104909</v>
      </c>
      <c r="L43" s="55">
        <v>37.790197764402421</v>
      </c>
      <c r="M43" s="55">
        <v>42.45915735167673</v>
      </c>
      <c r="N43" s="55">
        <v>46.964746345657822</v>
      </c>
      <c r="O43" s="55">
        <v>64.488392089423883</v>
      </c>
      <c r="P43" s="55">
        <v>65.004299226139281</v>
      </c>
      <c r="Q43" s="55">
        <v>74.858211521926052</v>
      </c>
      <c r="R43" s="55">
        <v>81.184694754944104</v>
      </c>
      <c r="S43" s="55">
        <v>87.409028374892557</v>
      </c>
      <c r="T43" s="55">
        <v>92.39595872742899</v>
      </c>
      <c r="U43" s="55">
        <v>105.53748925193455</v>
      </c>
      <c r="V43" s="55">
        <v>111.59845227859</v>
      </c>
      <c r="W43" s="55">
        <v>130.88736027515048</v>
      </c>
      <c r="DA43" s="101" t="s">
        <v>208</v>
      </c>
    </row>
    <row r="44" spans="1:105" ht="12" customHeight="1" x14ac:dyDescent="0.25">
      <c r="A44" s="60" t="s">
        <v>169</v>
      </c>
      <c r="B44" s="55">
        <v>99.383748925193473</v>
      </c>
      <c r="C44" s="55">
        <v>128.23637145313839</v>
      </c>
      <c r="D44" s="55">
        <v>121.3576096302665</v>
      </c>
      <c r="E44" s="55">
        <v>136.7153912295787</v>
      </c>
      <c r="F44" s="55">
        <v>123.81771281169389</v>
      </c>
      <c r="G44" s="55">
        <v>166.06956147893379</v>
      </c>
      <c r="H44" s="55">
        <v>162.00920034393809</v>
      </c>
      <c r="I44" s="55">
        <v>124.12820292347379</v>
      </c>
      <c r="J44" s="55">
        <v>110.8006018916595</v>
      </c>
      <c r="K44" s="55">
        <v>115.4581255374033</v>
      </c>
      <c r="L44" s="55">
        <v>114.7177128116939</v>
      </c>
      <c r="M44" s="55">
        <v>148.39492691315559</v>
      </c>
      <c r="N44" s="55">
        <v>109.51083404987099</v>
      </c>
      <c r="O44" s="55">
        <v>102.7276010318143</v>
      </c>
      <c r="P44" s="55">
        <v>101.89165950128979</v>
      </c>
      <c r="Q44" s="55">
        <v>112.52029234737751</v>
      </c>
      <c r="R44" s="55">
        <v>146.7469475494411</v>
      </c>
      <c r="S44" s="55">
        <v>111.7023215821152</v>
      </c>
      <c r="T44" s="55">
        <v>133.5406706792777</v>
      </c>
      <c r="U44" s="55">
        <v>120.5928632846088</v>
      </c>
      <c r="V44" s="55">
        <v>98.495270851246772</v>
      </c>
      <c r="W44" s="55">
        <v>123.8050730868444</v>
      </c>
      <c r="DA44" s="101" t="s">
        <v>209</v>
      </c>
    </row>
    <row r="45" spans="1:105" ht="12" customHeight="1" x14ac:dyDescent="0.25">
      <c r="A45" s="62" t="s">
        <v>24</v>
      </c>
      <c r="B45" s="63">
        <v>439.810834049871</v>
      </c>
      <c r="C45" s="63">
        <v>442.30438521066208</v>
      </c>
      <c r="D45" s="63">
        <v>485.03869303525357</v>
      </c>
      <c r="E45" s="63">
        <v>514.96130696474631</v>
      </c>
      <c r="F45" s="63">
        <v>500.51590713671533</v>
      </c>
      <c r="G45" s="63">
        <v>532.4161650902837</v>
      </c>
      <c r="H45" s="63">
        <v>596.56061908856395</v>
      </c>
      <c r="I45" s="63">
        <v>605.932932072227</v>
      </c>
      <c r="J45" s="63">
        <v>647.46051700773296</v>
      </c>
      <c r="K45" s="63">
        <v>645.58219626636287</v>
      </c>
      <c r="L45" s="63">
        <v>702.68278942146082</v>
      </c>
      <c r="M45" s="63">
        <v>732.12293103388652</v>
      </c>
      <c r="N45" s="63">
        <v>705.33425191583751</v>
      </c>
      <c r="O45" s="63">
        <v>683.68773835810202</v>
      </c>
      <c r="P45" s="63">
        <v>674.40975924754048</v>
      </c>
      <c r="Q45" s="63">
        <v>692.27309920589335</v>
      </c>
      <c r="R45" s="63">
        <v>729.32317557455838</v>
      </c>
      <c r="S45" s="63">
        <v>723.08381823089439</v>
      </c>
      <c r="T45" s="63">
        <v>724.72665996963542</v>
      </c>
      <c r="U45" s="63">
        <v>749.04429254854881</v>
      </c>
      <c r="V45" s="63">
        <v>597.7727592113207</v>
      </c>
      <c r="W45" s="63">
        <v>731.48707620471612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658.39656061908863</v>
      </c>
      <c r="C47" s="82">
        <f t="shared" ref="C47:W47" si="22">SUM(C48,C53)</f>
        <v>773.15683576956144</v>
      </c>
      <c r="D47" s="82">
        <f t="shared" si="22"/>
        <v>747.41195184866706</v>
      </c>
      <c r="E47" s="82">
        <f t="shared" si="22"/>
        <v>762.99406706792774</v>
      </c>
      <c r="F47" s="82">
        <f t="shared" si="22"/>
        <v>706.77446259673252</v>
      </c>
      <c r="G47" s="82">
        <f t="shared" si="22"/>
        <v>828.40472914875329</v>
      </c>
      <c r="H47" s="82">
        <f t="shared" si="22"/>
        <v>944.82261392949272</v>
      </c>
      <c r="I47" s="82">
        <f t="shared" si="22"/>
        <v>898.4331040412726</v>
      </c>
      <c r="J47" s="82">
        <f t="shared" si="22"/>
        <v>959.2557878589796</v>
      </c>
      <c r="K47" s="82">
        <f t="shared" si="22"/>
        <v>944.22983169198619</v>
      </c>
      <c r="L47" s="82">
        <f t="shared" si="22"/>
        <v>995.00987454613835</v>
      </c>
      <c r="M47" s="82">
        <f t="shared" si="22"/>
        <v>1053.9519938025878</v>
      </c>
      <c r="N47" s="82">
        <f t="shared" si="22"/>
        <v>1025.5734608582279</v>
      </c>
      <c r="O47" s="82">
        <f t="shared" si="22"/>
        <v>964.10072202104288</v>
      </c>
      <c r="P47" s="82">
        <f t="shared" si="22"/>
        <v>928.0624677600083</v>
      </c>
      <c r="Q47" s="82">
        <f t="shared" si="22"/>
        <v>1001.6620931869768</v>
      </c>
      <c r="R47" s="82">
        <f t="shared" si="22"/>
        <v>1073.8808711893475</v>
      </c>
      <c r="S47" s="82">
        <f t="shared" si="22"/>
        <v>1078.4474467777559</v>
      </c>
      <c r="T47" s="82">
        <f t="shared" si="22"/>
        <v>1135.331303133866</v>
      </c>
      <c r="U47" s="82">
        <f t="shared" si="22"/>
        <v>1159.0820397540513</v>
      </c>
      <c r="V47" s="82">
        <f t="shared" si="22"/>
        <v>952.19623298604131</v>
      </c>
      <c r="W47" s="82">
        <f t="shared" si="22"/>
        <v>1165.3200082769429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438.86456365302615</v>
      </c>
      <c r="C48" s="64">
        <f t="shared" ref="C48:W48" si="24">SUM(C49:C52)</f>
        <v>544.9429882598979</v>
      </c>
      <c r="D48" s="64">
        <f t="shared" si="24"/>
        <v>508.03954174690637</v>
      </c>
      <c r="E48" s="64">
        <f t="shared" si="24"/>
        <v>511.37442709653004</v>
      </c>
      <c r="F48" s="64">
        <f t="shared" si="24"/>
        <v>441.42842277117001</v>
      </c>
      <c r="G48" s="64">
        <f t="shared" si="24"/>
        <v>547.32456731540958</v>
      </c>
      <c r="H48" s="64">
        <f t="shared" si="24"/>
        <v>645.22140423925339</v>
      </c>
      <c r="I48" s="64">
        <f t="shared" si="24"/>
        <v>581.82157339051275</v>
      </c>
      <c r="J48" s="64">
        <f t="shared" si="24"/>
        <v>628.84856458605884</v>
      </c>
      <c r="K48" s="64">
        <f t="shared" si="24"/>
        <v>604.98396658146078</v>
      </c>
      <c r="L48" s="64">
        <f t="shared" si="24"/>
        <v>648.47257124181749</v>
      </c>
      <c r="M48" s="64">
        <f t="shared" si="24"/>
        <v>697.41307435116403</v>
      </c>
      <c r="N48" s="64">
        <f t="shared" si="24"/>
        <v>663.7030659976374</v>
      </c>
      <c r="O48" s="64">
        <f t="shared" si="24"/>
        <v>595.68265682388051</v>
      </c>
      <c r="P48" s="64">
        <f t="shared" si="24"/>
        <v>550.6515318893745</v>
      </c>
      <c r="Q48" s="64">
        <f t="shared" si="24"/>
        <v>608.52343851523347</v>
      </c>
      <c r="R48" s="64">
        <f t="shared" si="24"/>
        <v>676.29144819054727</v>
      </c>
      <c r="S48" s="64">
        <f t="shared" si="24"/>
        <v>680.27894739475119</v>
      </c>
      <c r="T48" s="64">
        <f t="shared" si="24"/>
        <v>741.07626332291886</v>
      </c>
      <c r="U48" s="64">
        <f t="shared" si="24"/>
        <v>775.33770875603477</v>
      </c>
      <c r="V48" s="64">
        <f t="shared" si="24"/>
        <v>625.34532981705502</v>
      </c>
      <c r="W48" s="64">
        <f t="shared" si="24"/>
        <v>806.22048753220679</v>
      </c>
      <c r="DA48" s="108" t="s">
        <v>212</v>
      </c>
    </row>
    <row r="49" spans="1:105" ht="12" customHeight="1" x14ac:dyDescent="0.25">
      <c r="A49" s="61" t="s">
        <v>32</v>
      </c>
      <c r="B49" s="65">
        <v>262.43233578603116</v>
      </c>
      <c r="C49" s="65">
        <v>360.97843548159852</v>
      </c>
      <c r="D49" s="65">
        <v>324.51937024942919</v>
      </c>
      <c r="E49" s="65">
        <v>321.00179127232053</v>
      </c>
      <c r="F49" s="65">
        <v>246.20624797097332</v>
      </c>
      <c r="G49" s="65">
        <v>346.57469551082369</v>
      </c>
      <c r="H49" s="65">
        <v>432.19952723544043</v>
      </c>
      <c r="I49" s="65">
        <v>345.07885769800271</v>
      </c>
      <c r="J49" s="65">
        <v>390.90005167153197</v>
      </c>
      <c r="K49" s="65">
        <v>360.84155734965958</v>
      </c>
      <c r="L49" s="65">
        <v>386.01958554046143</v>
      </c>
      <c r="M49" s="65">
        <v>433.40808175190148</v>
      </c>
      <c r="N49" s="65">
        <v>370.54490957307689</v>
      </c>
      <c r="O49" s="65">
        <v>320.92885740299573</v>
      </c>
      <c r="P49" s="65">
        <v>278.72348854314436</v>
      </c>
      <c r="Q49" s="65">
        <v>323.1336964759949</v>
      </c>
      <c r="R49" s="65">
        <v>388.00848375155704</v>
      </c>
      <c r="S49" s="65">
        <v>381.31651417455896</v>
      </c>
      <c r="T49" s="65">
        <v>438.33448920621396</v>
      </c>
      <c r="U49" s="65">
        <v>465.92535957999894</v>
      </c>
      <c r="V49" s="65">
        <v>350.85645412828933</v>
      </c>
      <c r="W49" s="65">
        <v>503.3772433760775</v>
      </c>
      <c r="DA49" s="109" t="s">
        <v>213</v>
      </c>
    </row>
    <row r="50" spans="1:105" ht="12" customHeight="1" x14ac:dyDescent="0.25">
      <c r="A50" s="61" t="s">
        <v>31</v>
      </c>
      <c r="B50" s="65">
        <v>12.338525268310052</v>
      </c>
      <c r="C50" s="65">
        <v>12.24466714874081</v>
      </c>
      <c r="D50" s="65">
        <v>9.6115750947370984</v>
      </c>
      <c r="E50" s="65">
        <v>11.717954105485344</v>
      </c>
      <c r="F50" s="65">
        <v>10.4339662387105</v>
      </c>
      <c r="G50" s="65">
        <v>11.374058172167691</v>
      </c>
      <c r="H50" s="65">
        <v>14.253094635009228</v>
      </c>
      <c r="I50" s="65">
        <v>28.620564596188935</v>
      </c>
      <c r="J50" s="65">
        <v>19.204281060960792</v>
      </c>
      <c r="K50" s="65">
        <v>17.448688956313596</v>
      </c>
      <c r="L50" s="65">
        <v>22.354146670320915</v>
      </c>
      <c r="M50" s="65">
        <v>19.067864685758426</v>
      </c>
      <c r="N50" s="65">
        <v>40.168330868246173</v>
      </c>
      <c r="O50" s="65">
        <v>19.492763824413192</v>
      </c>
      <c r="P50" s="65">
        <v>17.913316496692726</v>
      </c>
      <c r="Q50" s="65">
        <v>25.676505527384819</v>
      </c>
      <c r="R50" s="65">
        <v>23.580720569743846</v>
      </c>
      <c r="S50" s="65">
        <v>24.426759507271061</v>
      </c>
      <c r="T50" s="65">
        <v>18.075147498122622</v>
      </c>
      <c r="U50" s="65">
        <v>19.807950948207143</v>
      </c>
      <c r="V50" s="65">
        <v>19.058603382891228</v>
      </c>
      <c r="W50" s="65">
        <v>26.288656853832993</v>
      </c>
      <c r="DA50" s="109" t="s">
        <v>214</v>
      </c>
    </row>
    <row r="51" spans="1:105" ht="12" customHeight="1" x14ac:dyDescent="0.25">
      <c r="A51" s="61" t="s">
        <v>35</v>
      </c>
      <c r="B51" s="65">
        <v>82.254160584952729</v>
      </c>
      <c r="C51" s="65">
        <v>84.545582953140695</v>
      </c>
      <c r="D51" s="65">
        <v>86.692294682473801</v>
      </c>
      <c r="E51" s="65">
        <v>88.70217637784782</v>
      </c>
      <c r="F51" s="65">
        <v>89.878629478739597</v>
      </c>
      <c r="G51" s="65">
        <v>93.76282700685752</v>
      </c>
      <c r="H51" s="65">
        <v>99.284023733626881</v>
      </c>
      <c r="I51" s="65">
        <v>104.61144002874059</v>
      </c>
      <c r="J51" s="65">
        <v>108.59160918738868</v>
      </c>
      <c r="K51" s="65">
        <v>113.22334190396128</v>
      </c>
      <c r="L51" s="65">
        <v>119.09453060598277</v>
      </c>
      <c r="M51" s="65">
        <v>121.6419481154914</v>
      </c>
      <c r="N51" s="65">
        <v>121.92496709372271</v>
      </c>
      <c r="O51" s="65">
        <v>123.50089409399533</v>
      </c>
      <c r="P51" s="65">
        <v>123.24359431482419</v>
      </c>
      <c r="Q51" s="65">
        <v>126.65114286564597</v>
      </c>
      <c r="R51" s="65">
        <v>128.47626080629379</v>
      </c>
      <c r="S51" s="65">
        <v>130.99450564815598</v>
      </c>
      <c r="T51" s="65">
        <v>132.49915467701408</v>
      </c>
      <c r="U51" s="65">
        <v>134.50563166737729</v>
      </c>
      <c r="V51" s="65">
        <v>120.01119972039771</v>
      </c>
      <c r="W51" s="65">
        <v>127.73313269174203</v>
      </c>
      <c r="DA51" s="109" t="s">
        <v>215</v>
      </c>
    </row>
    <row r="52" spans="1:105" ht="12" customHeight="1" x14ac:dyDescent="0.25">
      <c r="A52" s="66" t="s">
        <v>34</v>
      </c>
      <c r="B52" s="67">
        <v>81.839542013732199</v>
      </c>
      <c r="C52" s="67">
        <v>87.174302676417824</v>
      </c>
      <c r="D52" s="67">
        <v>87.216301720266287</v>
      </c>
      <c r="E52" s="67">
        <v>89.952505340876371</v>
      </c>
      <c r="F52" s="67">
        <v>94.909579082746589</v>
      </c>
      <c r="G52" s="67">
        <v>95.612986625560623</v>
      </c>
      <c r="H52" s="67">
        <v>99.484758635176775</v>
      </c>
      <c r="I52" s="67">
        <v>103.51071106758047</v>
      </c>
      <c r="J52" s="67">
        <v>110.15262266617745</v>
      </c>
      <c r="K52" s="67">
        <v>113.47037837152629</v>
      </c>
      <c r="L52" s="67">
        <v>121.00430842505236</v>
      </c>
      <c r="M52" s="67">
        <v>123.2951797980128</v>
      </c>
      <c r="N52" s="67">
        <v>131.06485846259153</v>
      </c>
      <c r="O52" s="67">
        <v>131.7601415024763</v>
      </c>
      <c r="P52" s="67">
        <v>130.77113253471322</v>
      </c>
      <c r="Q52" s="67">
        <v>133.06209364620787</v>
      </c>
      <c r="R52" s="67">
        <v>136.22598306295259</v>
      </c>
      <c r="S52" s="67">
        <v>143.54116806476515</v>
      </c>
      <c r="T52" s="67">
        <v>152.16747194156812</v>
      </c>
      <c r="U52" s="67">
        <v>155.09876656045145</v>
      </c>
      <c r="V52" s="67">
        <v>135.4190725854767</v>
      </c>
      <c r="W52" s="67">
        <v>148.82145461055433</v>
      </c>
      <c r="DA52" s="110" t="s">
        <v>216</v>
      </c>
    </row>
    <row r="53" spans="1:105" ht="12" customHeight="1" x14ac:dyDescent="0.25">
      <c r="A53" s="78" t="s">
        <v>33</v>
      </c>
      <c r="B53" s="68">
        <v>219.53199696606245</v>
      </c>
      <c r="C53" s="68">
        <v>228.21384750966359</v>
      </c>
      <c r="D53" s="68">
        <v>239.37241010176075</v>
      </c>
      <c r="E53" s="68">
        <v>251.61963997139767</v>
      </c>
      <c r="F53" s="68">
        <v>265.34603982556251</v>
      </c>
      <c r="G53" s="68">
        <v>281.08016183334371</v>
      </c>
      <c r="H53" s="68">
        <v>299.60120969023933</v>
      </c>
      <c r="I53" s="68">
        <v>316.61153065075985</v>
      </c>
      <c r="J53" s="68">
        <v>330.40722327292076</v>
      </c>
      <c r="K53" s="68">
        <v>339.24586511052541</v>
      </c>
      <c r="L53" s="68">
        <v>346.53730330432086</v>
      </c>
      <c r="M53" s="68">
        <v>356.53891945142391</v>
      </c>
      <c r="N53" s="68">
        <v>361.87039486059052</v>
      </c>
      <c r="O53" s="68">
        <v>368.41806519716232</v>
      </c>
      <c r="P53" s="68">
        <v>377.41093587063381</v>
      </c>
      <c r="Q53" s="68">
        <v>393.13865467174332</v>
      </c>
      <c r="R53" s="68">
        <v>397.58942299880039</v>
      </c>
      <c r="S53" s="68">
        <v>398.16849938300481</v>
      </c>
      <c r="T53" s="68">
        <v>394.25503981094704</v>
      </c>
      <c r="U53" s="68">
        <v>383.74433099801655</v>
      </c>
      <c r="V53" s="68">
        <v>326.85090316898629</v>
      </c>
      <c r="W53" s="68">
        <v>359.09952074473614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0.66656569900724105</v>
      </c>
      <c r="C56" s="70">
        <f t="shared" ref="C56:W56" si="28">IF(C48=0,0,C48/C$47)</f>
        <v>0.7048285199696761</v>
      </c>
      <c r="D56" s="70">
        <f t="shared" si="28"/>
        <v>0.67973162656859965</v>
      </c>
      <c r="E56" s="70">
        <f t="shared" si="28"/>
        <v>0.67022071228111324</v>
      </c>
      <c r="F56" s="70">
        <f t="shared" si="28"/>
        <v>0.62456758999092166</v>
      </c>
      <c r="G56" s="70">
        <f t="shared" si="28"/>
        <v>0.66069705791977529</v>
      </c>
      <c r="H56" s="70">
        <f t="shared" si="28"/>
        <v>0.68290216039156215</v>
      </c>
      <c r="I56" s="70">
        <f t="shared" si="28"/>
        <v>0.64759587639124305</v>
      </c>
      <c r="J56" s="70">
        <f t="shared" si="28"/>
        <v>0.65555879103906534</v>
      </c>
      <c r="K56" s="70">
        <f t="shared" si="28"/>
        <v>0.64071685332942374</v>
      </c>
      <c r="L56" s="70">
        <f t="shared" si="28"/>
        <v>0.65172475955337661</v>
      </c>
      <c r="M56" s="70">
        <f t="shared" si="28"/>
        <v>0.6617123725293641</v>
      </c>
      <c r="N56" s="70">
        <f t="shared" si="28"/>
        <v>0.64715312098875155</v>
      </c>
      <c r="O56" s="70">
        <f t="shared" si="28"/>
        <v>0.61786351074932488</v>
      </c>
      <c r="P56" s="70">
        <f t="shared" si="28"/>
        <v>0.59333455561287696</v>
      </c>
      <c r="Q56" s="70">
        <f t="shared" si="28"/>
        <v>0.607513694143203</v>
      </c>
      <c r="R56" s="70">
        <f t="shared" si="28"/>
        <v>0.6297639396831225</v>
      </c>
      <c r="S56" s="70">
        <f t="shared" si="28"/>
        <v>0.63079471273943455</v>
      </c>
      <c r="T56" s="70">
        <f t="shared" si="28"/>
        <v>0.6527400955803111</v>
      </c>
      <c r="U56" s="70">
        <f t="shared" si="28"/>
        <v>0.66892392614465479</v>
      </c>
      <c r="V56" s="70">
        <f t="shared" si="28"/>
        <v>0.656739974549156</v>
      </c>
      <c r="W56" s="70">
        <f t="shared" si="28"/>
        <v>0.69184471373171974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0.39859311467129582</v>
      </c>
      <c r="C57" s="71">
        <f t="shared" ref="C57:W57" si="30">IF(C49=0,0,C49/C$47)</f>
        <v>0.46688901757209289</v>
      </c>
      <c r="D57" s="71">
        <f t="shared" si="30"/>
        <v>0.434190769155825</v>
      </c>
      <c r="E57" s="71">
        <f t="shared" si="30"/>
        <v>0.42071335168552815</v>
      </c>
      <c r="F57" s="71">
        <f t="shared" si="30"/>
        <v>0.34835192978874269</v>
      </c>
      <c r="G57" s="71">
        <f t="shared" si="30"/>
        <v>0.418363975139247</v>
      </c>
      <c r="H57" s="71">
        <f t="shared" si="30"/>
        <v>0.45743986316958885</v>
      </c>
      <c r="I57" s="71">
        <f t="shared" si="30"/>
        <v>0.38408965135611289</v>
      </c>
      <c r="J57" s="71">
        <f t="shared" si="30"/>
        <v>0.4075034590554884</v>
      </c>
      <c r="K57" s="71">
        <f t="shared" si="30"/>
        <v>0.38215437093642729</v>
      </c>
      <c r="L57" s="71">
        <f t="shared" si="30"/>
        <v>0.38795553231724417</v>
      </c>
      <c r="M57" s="71">
        <f t="shared" si="30"/>
        <v>0.41122184340502482</v>
      </c>
      <c r="N57" s="71">
        <f t="shared" si="30"/>
        <v>0.3613050880460526</v>
      </c>
      <c r="O57" s="71">
        <f t="shared" si="30"/>
        <v>0.33287897215783951</v>
      </c>
      <c r="P57" s="71">
        <f t="shared" si="30"/>
        <v>0.30032837036915999</v>
      </c>
      <c r="Q57" s="71">
        <f t="shared" si="30"/>
        <v>0.32259750935356268</v>
      </c>
      <c r="R57" s="71">
        <f t="shared" si="30"/>
        <v>0.3613142706619113</v>
      </c>
      <c r="S57" s="71">
        <f t="shared" si="30"/>
        <v>0.35357913388721651</v>
      </c>
      <c r="T57" s="71">
        <f t="shared" si="30"/>
        <v>0.386085090753928</v>
      </c>
      <c r="U57" s="71">
        <f t="shared" si="30"/>
        <v>0.40197789595537592</v>
      </c>
      <c r="V57" s="71">
        <f t="shared" si="30"/>
        <v>0.36847074371216576</v>
      </c>
      <c r="W57" s="71">
        <f t="shared" si="30"/>
        <v>0.43196481636008083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1.8740263856646164E-2</v>
      </c>
      <c r="C58" s="72">
        <f t="shared" ref="C58:W58" si="32">IF(C50=0,0,C50/C$47)</f>
        <v>1.5837235839159441E-2</v>
      </c>
      <c r="D58" s="72">
        <f t="shared" si="32"/>
        <v>1.2859809200218959E-2</v>
      </c>
      <c r="E58" s="72">
        <f t="shared" si="32"/>
        <v>1.5357857434613733E-2</v>
      </c>
      <c r="F58" s="72">
        <f t="shared" si="32"/>
        <v>1.4762794626698128E-2</v>
      </c>
      <c r="G58" s="72">
        <f t="shared" si="32"/>
        <v>1.3730073926370956E-2</v>
      </c>
      <c r="H58" s="72">
        <f t="shared" si="32"/>
        <v>1.5085471521189546E-2</v>
      </c>
      <c r="I58" s="72">
        <f t="shared" si="32"/>
        <v>3.1856088636371252E-2</v>
      </c>
      <c r="J58" s="72">
        <f t="shared" si="32"/>
        <v>2.0019979346514005E-2</v>
      </c>
      <c r="K58" s="72">
        <f t="shared" si="32"/>
        <v>1.8479281601436914E-2</v>
      </c>
      <c r="L58" s="72">
        <f t="shared" si="32"/>
        <v>2.2466256106772293E-2</v>
      </c>
      <c r="M58" s="72">
        <f t="shared" si="32"/>
        <v>1.8091777232625988E-2</v>
      </c>
      <c r="N58" s="72">
        <f t="shared" si="32"/>
        <v>3.9166702729058742E-2</v>
      </c>
      <c r="O58" s="72">
        <f t="shared" si="32"/>
        <v>2.021859685319034E-2</v>
      </c>
      <c r="P58" s="72">
        <f t="shared" si="32"/>
        <v>1.9301843484661862E-2</v>
      </c>
      <c r="Q58" s="72">
        <f t="shared" si="32"/>
        <v>2.5633899597508152E-2</v>
      </c>
      <c r="R58" s="72">
        <f t="shared" si="32"/>
        <v>2.1958413826319172E-2</v>
      </c>
      <c r="S58" s="72">
        <f t="shared" si="32"/>
        <v>2.2649930305138805E-2</v>
      </c>
      <c r="T58" s="72">
        <f t="shared" si="32"/>
        <v>1.5920592912597068E-2</v>
      </c>
      <c r="U58" s="72">
        <f t="shared" si="32"/>
        <v>1.7089343350027444E-2</v>
      </c>
      <c r="V58" s="72">
        <f t="shared" si="32"/>
        <v>2.0015415649276797E-2</v>
      </c>
      <c r="W58" s="72">
        <f t="shared" si="32"/>
        <v>2.2559174018391515E-2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0.12493103017975876</v>
      </c>
      <c r="C59" s="72">
        <f t="shared" ref="C59:W59" si="34">IF(C51=0,0,C51/C$47)</f>
        <v>0.10935114202151272</v>
      </c>
      <c r="D59" s="72">
        <f t="shared" si="34"/>
        <v>0.11598997643541417</v>
      </c>
      <c r="E59" s="72">
        <f t="shared" si="34"/>
        <v>0.11625539464378411</v>
      </c>
      <c r="F59" s="72">
        <f t="shared" si="34"/>
        <v>0.12716734154276038</v>
      </c>
      <c r="G59" s="72">
        <f t="shared" si="34"/>
        <v>0.11318480412733244</v>
      </c>
      <c r="H59" s="72">
        <f t="shared" si="34"/>
        <v>0.10508218396753567</v>
      </c>
      <c r="I59" s="72">
        <f t="shared" si="34"/>
        <v>0.11643765079245667</v>
      </c>
      <c r="J59" s="72">
        <f t="shared" si="34"/>
        <v>0.11320401769976368</v>
      </c>
      <c r="K59" s="72">
        <f t="shared" si="34"/>
        <v>0.11991078665781391</v>
      </c>
      <c r="L59" s="72">
        <f t="shared" si="34"/>
        <v>0.11969180774241692</v>
      </c>
      <c r="M59" s="72">
        <f t="shared" si="34"/>
        <v>0.11541507471949974</v>
      </c>
      <c r="N59" s="72">
        <f t="shared" si="34"/>
        <v>0.11888467452316148</v>
      </c>
      <c r="O59" s="72">
        <f t="shared" si="34"/>
        <v>0.12809957639602279</v>
      </c>
      <c r="P59" s="72">
        <f t="shared" si="34"/>
        <v>0.13279665819509714</v>
      </c>
      <c r="Q59" s="72">
        <f t="shared" si="34"/>
        <v>0.12644098616398816</v>
      </c>
      <c r="R59" s="72">
        <f t="shared" si="34"/>
        <v>0.11963734921919543</v>
      </c>
      <c r="S59" s="72">
        <f t="shared" si="34"/>
        <v>0.12146582203847625</v>
      </c>
      <c r="T59" s="72">
        <f t="shared" si="34"/>
        <v>0.11670527740341113</v>
      </c>
      <c r="U59" s="72">
        <f t="shared" si="34"/>
        <v>0.11604496235306898</v>
      </c>
      <c r="V59" s="72">
        <f t="shared" si="34"/>
        <v>0.12603620510453858</v>
      </c>
      <c r="W59" s="72">
        <f t="shared" si="34"/>
        <v>0.10961206517050186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0.12430129029954028</v>
      </c>
      <c r="C60" s="73">
        <f t="shared" ref="C60:W60" si="36">IF(C52=0,0,C52/C$47)</f>
        <v>0.11275112453691094</v>
      </c>
      <c r="D60" s="73">
        <f t="shared" si="36"/>
        <v>0.11669107177714157</v>
      </c>
      <c r="E60" s="73">
        <f t="shared" si="36"/>
        <v>0.11789410851718732</v>
      </c>
      <c r="F60" s="73">
        <f t="shared" si="36"/>
        <v>0.13428552403272043</v>
      </c>
      <c r="G60" s="73">
        <f t="shared" si="36"/>
        <v>0.11541820472682476</v>
      </c>
      <c r="H60" s="73">
        <f t="shared" si="36"/>
        <v>0.10529464173324794</v>
      </c>
      <c r="I60" s="73">
        <f t="shared" si="36"/>
        <v>0.11521248560630214</v>
      </c>
      <c r="J60" s="73">
        <f t="shared" si="36"/>
        <v>0.11483133493729934</v>
      </c>
      <c r="K60" s="73">
        <f t="shared" si="36"/>
        <v>0.12017241413374563</v>
      </c>
      <c r="L60" s="73">
        <f t="shared" si="36"/>
        <v>0.12161116338694328</v>
      </c>
      <c r="M60" s="73">
        <f t="shared" si="36"/>
        <v>0.1169836771722136</v>
      </c>
      <c r="N60" s="73">
        <f t="shared" si="36"/>
        <v>0.12779665569047866</v>
      </c>
      <c r="O60" s="73">
        <f t="shared" si="36"/>
        <v>0.13666636534227225</v>
      </c>
      <c r="P60" s="73">
        <f t="shared" si="36"/>
        <v>0.140907683563958</v>
      </c>
      <c r="Q60" s="73">
        <f t="shared" si="36"/>
        <v>0.13284129902814404</v>
      </c>
      <c r="R60" s="73">
        <f t="shared" si="36"/>
        <v>0.12685390597569654</v>
      </c>
      <c r="S60" s="73">
        <f t="shared" si="36"/>
        <v>0.13309982650860297</v>
      </c>
      <c r="T60" s="73">
        <f t="shared" si="36"/>
        <v>0.13402913451037488</v>
      </c>
      <c r="U60" s="73">
        <f t="shared" si="36"/>
        <v>0.13381172448618242</v>
      </c>
      <c r="V60" s="73">
        <f t="shared" si="36"/>
        <v>0.14221761008317482</v>
      </c>
      <c r="W60" s="73">
        <f t="shared" si="36"/>
        <v>0.12770865818274557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0.33343430099275895</v>
      </c>
      <c r="C61" s="70">
        <f t="shared" ref="C61:W61" si="38">IF(C53=0,0,C53/C$47)</f>
        <v>0.29517148003032401</v>
      </c>
      <c r="D61" s="70">
        <f t="shared" si="38"/>
        <v>0.32026837343140041</v>
      </c>
      <c r="E61" s="70">
        <f t="shared" si="38"/>
        <v>0.3297792877188867</v>
      </c>
      <c r="F61" s="70">
        <f t="shared" si="38"/>
        <v>0.3754324100090784</v>
      </c>
      <c r="G61" s="70">
        <f t="shared" si="38"/>
        <v>0.33930294208022477</v>
      </c>
      <c r="H61" s="70">
        <f t="shared" si="38"/>
        <v>0.3170978396084379</v>
      </c>
      <c r="I61" s="70">
        <f t="shared" si="38"/>
        <v>0.352404123608757</v>
      </c>
      <c r="J61" s="70">
        <f t="shared" si="38"/>
        <v>0.34444120896093461</v>
      </c>
      <c r="K61" s="70">
        <f t="shared" si="38"/>
        <v>0.35928314667057626</v>
      </c>
      <c r="L61" s="70">
        <f t="shared" si="38"/>
        <v>0.34827524044662334</v>
      </c>
      <c r="M61" s="70">
        <f t="shared" si="38"/>
        <v>0.33828762747063601</v>
      </c>
      <c r="N61" s="70">
        <f t="shared" si="38"/>
        <v>0.3528468790112485</v>
      </c>
      <c r="O61" s="70">
        <f t="shared" si="38"/>
        <v>0.38213648925067506</v>
      </c>
      <c r="P61" s="70">
        <f t="shared" si="38"/>
        <v>0.40666544438712304</v>
      </c>
      <c r="Q61" s="70">
        <f t="shared" si="38"/>
        <v>0.39248630585679706</v>
      </c>
      <c r="R61" s="70">
        <f t="shared" si="38"/>
        <v>0.37023606031687767</v>
      </c>
      <c r="S61" s="70">
        <f t="shared" si="38"/>
        <v>0.36920528726056551</v>
      </c>
      <c r="T61" s="70">
        <f t="shared" si="38"/>
        <v>0.34725990441968879</v>
      </c>
      <c r="U61" s="70">
        <f t="shared" si="38"/>
        <v>0.33107607385534532</v>
      </c>
      <c r="V61" s="70">
        <f t="shared" si="38"/>
        <v>0.34326002545084394</v>
      </c>
      <c r="W61" s="70">
        <f t="shared" si="38"/>
        <v>0.30815528626828032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335.84810584788113</v>
      </c>
      <c r="C65" s="80">
        <v>591.25569528540314</v>
      </c>
      <c r="D65" s="80">
        <v>404.62436771955885</v>
      </c>
      <c r="E65" s="80">
        <v>292.16735926159095</v>
      </c>
      <c r="F65" s="80">
        <v>209.91033967249763</v>
      </c>
      <c r="G65" s="80">
        <v>235.13095416141738</v>
      </c>
      <c r="H65" s="80">
        <v>384.05193619061288</v>
      </c>
      <c r="I65" s="80">
        <v>326.95928965522694</v>
      </c>
      <c r="J65" s="80">
        <v>404.48942578981439</v>
      </c>
      <c r="K65" s="80">
        <v>377.97381639483149</v>
      </c>
      <c r="L65" s="80">
        <v>345.8601287554564</v>
      </c>
      <c r="M65" s="80">
        <v>322.24489523088289</v>
      </c>
      <c r="N65" s="80">
        <v>313.686735850498</v>
      </c>
      <c r="O65" s="80">
        <v>273.26704794223753</v>
      </c>
      <c r="P65" s="80">
        <v>253.21777651233543</v>
      </c>
      <c r="Q65" s="80">
        <v>352.20162553875059</v>
      </c>
      <c r="R65" s="80">
        <v>355.48624755366279</v>
      </c>
      <c r="S65" s="80">
        <v>346.98289694705966</v>
      </c>
      <c r="T65" s="80">
        <v>317.49378118821534</v>
      </c>
      <c r="U65" s="80">
        <v>316.39433985215464</v>
      </c>
      <c r="V65" s="80">
        <v>290.73822264378805</v>
      </c>
      <c r="W65" s="80">
        <v>342.2749676747743</v>
      </c>
      <c r="DA65" s="103" t="s">
        <v>218</v>
      </c>
    </row>
    <row r="66" spans="1:105" ht="12" customHeight="1" x14ac:dyDescent="0.25">
      <c r="A66" s="58" t="s">
        <v>29</v>
      </c>
      <c r="B66" s="59">
        <v>12.072595007881112</v>
      </c>
      <c r="C66" s="59">
        <v>13.148398925403288</v>
      </c>
      <c r="D66" s="59">
        <v>21.163973399558895</v>
      </c>
      <c r="E66" s="59">
        <v>26.623418021590936</v>
      </c>
      <c r="F66" s="59">
        <v>19.053325032497639</v>
      </c>
      <c r="G66" s="59">
        <v>25.225002121417376</v>
      </c>
      <c r="H66" s="59">
        <v>25.794597550612881</v>
      </c>
      <c r="I66" s="59">
        <v>12.231137175226923</v>
      </c>
      <c r="J66" s="59">
        <v>23.189639149814354</v>
      </c>
      <c r="K66" s="59">
        <v>19.554186154831452</v>
      </c>
      <c r="L66" s="59">
        <v>18.009910035456404</v>
      </c>
      <c r="M66" s="59">
        <v>20.058963470882901</v>
      </c>
      <c r="N66" s="59">
        <v>15.142390930497967</v>
      </c>
      <c r="O66" s="59">
        <v>19.933278542237524</v>
      </c>
      <c r="P66" s="59">
        <v>8.9158447923354078</v>
      </c>
      <c r="Q66" s="59">
        <v>22.703542818750538</v>
      </c>
      <c r="R66" s="59">
        <v>24.756995793662732</v>
      </c>
      <c r="S66" s="59">
        <v>16.456802187059704</v>
      </c>
      <c r="T66" s="59">
        <v>10.561442028215355</v>
      </c>
      <c r="U66" s="59">
        <v>15.541831532154639</v>
      </c>
      <c r="V66" s="59">
        <v>12.618320403787999</v>
      </c>
      <c r="W66" s="59">
        <v>9.9797029547741936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294.99661476000006</v>
      </c>
      <c r="C67" s="55">
        <f t="shared" ref="C67:W67" si="39">SUM(C68:C69)</f>
        <v>536.90685047999989</v>
      </c>
      <c r="D67" s="55">
        <f t="shared" si="39"/>
        <v>336.65596235999999</v>
      </c>
      <c r="E67" s="55">
        <f t="shared" si="39"/>
        <v>199.70437535999997</v>
      </c>
      <c r="F67" s="55">
        <f t="shared" si="39"/>
        <v>117.34317071999999</v>
      </c>
      <c r="G67" s="55">
        <f t="shared" si="39"/>
        <v>107.56272204000001</v>
      </c>
      <c r="H67" s="55">
        <f t="shared" si="39"/>
        <v>206.73725256</v>
      </c>
      <c r="I67" s="55">
        <f t="shared" si="39"/>
        <v>149.87628287999996</v>
      </c>
      <c r="J67" s="55">
        <f t="shared" si="39"/>
        <v>190.54695096</v>
      </c>
      <c r="K67" s="55">
        <f t="shared" si="39"/>
        <v>203.31515808</v>
      </c>
      <c r="L67" s="55">
        <f t="shared" si="39"/>
        <v>139.62127715999998</v>
      </c>
      <c r="M67" s="55">
        <f t="shared" si="39"/>
        <v>108.25444764</v>
      </c>
      <c r="N67" s="55">
        <f t="shared" si="39"/>
        <v>106.73222903999999</v>
      </c>
      <c r="O67" s="55">
        <f t="shared" si="39"/>
        <v>70.153827840000005</v>
      </c>
      <c r="P67" s="55">
        <f t="shared" si="39"/>
        <v>48.953294280000009</v>
      </c>
      <c r="Q67" s="55">
        <f t="shared" si="39"/>
        <v>120.31498332</v>
      </c>
      <c r="R67" s="55">
        <f t="shared" si="39"/>
        <v>120.23704764000001</v>
      </c>
      <c r="S67" s="55">
        <f t="shared" si="39"/>
        <v>108.04493915999998</v>
      </c>
      <c r="T67" s="55">
        <f t="shared" si="39"/>
        <v>77.238989999999987</v>
      </c>
      <c r="U67" s="55">
        <f t="shared" si="39"/>
        <v>90.536009399999998</v>
      </c>
      <c r="V67" s="55">
        <f t="shared" si="39"/>
        <v>78.690864959999999</v>
      </c>
      <c r="W67" s="55">
        <f t="shared" si="39"/>
        <v>84.584660040000017</v>
      </c>
      <c r="DA67" s="101"/>
    </row>
    <row r="68" spans="1:105" ht="12" customHeight="1" x14ac:dyDescent="0.25">
      <c r="A68" s="61" t="s">
        <v>52</v>
      </c>
      <c r="B68" s="55">
        <v>2.9846552400000008</v>
      </c>
      <c r="C68" s="55">
        <v>11.93862096</v>
      </c>
      <c r="D68" s="55">
        <v>2.9846552400000008</v>
      </c>
      <c r="E68" s="55">
        <v>2.9846552400000008</v>
      </c>
      <c r="F68" s="55">
        <v>6.5940004800000018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14.513025240000001</v>
      </c>
      <c r="M68" s="55">
        <v>17.415675720000003</v>
      </c>
      <c r="N68" s="55">
        <v>31.92870095999999</v>
      </c>
      <c r="O68" s="55">
        <v>23.220749519999998</v>
      </c>
      <c r="P68" s="55">
        <v>14.513025240000001</v>
      </c>
      <c r="Q68" s="55">
        <v>14.513025240000001</v>
      </c>
      <c r="R68" s="55">
        <v>17.415675720000003</v>
      </c>
      <c r="S68" s="55">
        <v>22.216475160000005</v>
      </c>
      <c r="T68" s="55">
        <v>26.805561479999991</v>
      </c>
      <c r="U68" s="55">
        <v>27.545648759999995</v>
      </c>
      <c r="V68" s="55">
        <v>22.782557880000002</v>
      </c>
      <c r="W68" s="55">
        <v>27.391861440000007</v>
      </c>
      <c r="DA68" s="101" t="s">
        <v>220</v>
      </c>
    </row>
    <row r="69" spans="1:105" ht="12" customHeight="1" x14ac:dyDescent="0.25">
      <c r="A69" s="61" t="s">
        <v>170</v>
      </c>
      <c r="B69" s="55">
        <v>292.01195952000006</v>
      </c>
      <c r="C69" s="55">
        <v>524.96822951999991</v>
      </c>
      <c r="D69" s="55">
        <v>333.67130711999999</v>
      </c>
      <c r="E69" s="55">
        <v>196.71972011999998</v>
      </c>
      <c r="F69" s="55">
        <v>110.74917023999998</v>
      </c>
      <c r="G69" s="55">
        <v>107.56272204000001</v>
      </c>
      <c r="H69" s="55">
        <v>206.73725256</v>
      </c>
      <c r="I69" s="55">
        <v>149.87628287999996</v>
      </c>
      <c r="J69" s="55">
        <v>190.54695096</v>
      </c>
      <c r="K69" s="55">
        <v>203.31515808</v>
      </c>
      <c r="L69" s="55">
        <v>125.10825191999997</v>
      </c>
      <c r="M69" s="55">
        <v>90.838771919999999</v>
      </c>
      <c r="N69" s="55">
        <v>74.803528080000007</v>
      </c>
      <c r="O69" s="55">
        <v>46.933078320000007</v>
      </c>
      <c r="P69" s="55">
        <v>34.440269040000004</v>
      </c>
      <c r="Q69" s="55">
        <v>105.80195807999999</v>
      </c>
      <c r="R69" s="55">
        <v>102.82137192000002</v>
      </c>
      <c r="S69" s="55">
        <v>85.828463999999983</v>
      </c>
      <c r="T69" s="55">
        <v>50.433428519999993</v>
      </c>
      <c r="U69" s="55">
        <v>62.990360640000006</v>
      </c>
      <c r="V69" s="55">
        <v>55.90830708</v>
      </c>
      <c r="W69" s="55">
        <v>57.19279860000001</v>
      </c>
      <c r="DA69" s="101" t="s">
        <v>221</v>
      </c>
    </row>
    <row r="70" spans="1:105" ht="12" customHeight="1" x14ac:dyDescent="0.25">
      <c r="A70" s="60" t="s">
        <v>153</v>
      </c>
      <c r="B70" s="55">
        <v>28.778896080000003</v>
      </c>
      <c r="C70" s="55">
        <v>41.200445880000004</v>
      </c>
      <c r="D70" s="55">
        <v>46.804431960000002</v>
      </c>
      <c r="E70" s="55">
        <v>65.839565880000009</v>
      </c>
      <c r="F70" s="55">
        <v>73.513843920000014</v>
      </c>
      <c r="G70" s="55">
        <v>102.34323000000001</v>
      </c>
      <c r="H70" s="55">
        <v>151.52008608000003</v>
      </c>
      <c r="I70" s="55">
        <v>164.85186960000001</v>
      </c>
      <c r="J70" s="55">
        <v>190.75283568000003</v>
      </c>
      <c r="K70" s="55">
        <v>155.10447216</v>
      </c>
      <c r="L70" s="55">
        <v>188.22894156000001</v>
      </c>
      <c r="M70" s="55">
        <v>193.93148411999999</v>
      </c>
      <c r="N70" s="55">
        <v>191.81211588000002</v>
      </c>
      <c r="O70" s="55">
        <v>183.17994156</v>
      </c>
      <c r="P70" s="55">
        <v>195.34863744</v>
      </c>
      <c r="Q70" s="55">
        <v>209.18309940000003</v>
      </c>
      <c r="R70" s="55">
        <v>210.49220412000003</v>
      </c>
      <c r="S70" s="55">
        <v>222.48115559999997</v>
      </c>
      <c r="T70" s="55">
        <v>229.69334916</v>
      </c>
      <c r="U70" s="55">
        <v>210.31649892000002</v>
      </c>
      <c r="V70" s="55">
        <v>199.42903728000002</v>
      </c>
      <c r="W70" s="55">
        <v>247.71060468000007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335.84810584788113</v>
      </c>
      <c r="C81" s="82">
        <f t="shared" ref="C81:W81" si="42">C82+C87</f>
        <v>591.25569528540325</v>
      </c>
      <c r="D81" s="82">
        <f t="shared" si="42"/>
        <v>404.6243677195589</v>
      </c>
      <c r="E81" s="82">
        <f t="shared" si="42"/>
        <v>292.16735926159095</v>
      </c>
      <c r="F81" s="82">
        <f t="shared" si="42"/>
        <v>209.9103396724976</v>
      </c>
      <c r="G81" s="82">
        <f t="shared" si="42"/>
        <v>235.13095416141743</v>
      </c>
      <c r="H81" s="82">
        <f t="shared" si="42"/>
        <v>384.05193619061293</v>
      </c>
      <c r="I81" s="82">
        <f t="shared" si="42"/>
        <v>326.95928965522683</v>
      </c>
      <c r="J81" s="82">
        <f t="shared" si="42"/>
        <v>404.48942578981428</v>
      </c>
      <c r="K81" s="82">
        <f t="shared" si="42"/>
        <v>377.97381639483137</v>
      </c>
      <c r="L81" s="82">
        <f t="shared" si="42"/>
        <v>345.86012875545623</v>
      </c>
      <c r="M81" s="82">
        <f t="shared" si="42"/>
        <v>322.24489523088289</v>
      </c>
      <c r="N81" s="82">
        <f t="shared" si="42"/>
        <v>313.686735850498</v>
      </c>
      <c r="O81" s="82">
        <f t="shared" si="42"/>
        <v>273.26704794223758</v>
      </c>
      <c r="P81" s="82">
        <f t="shared" si="42"/>
        <v>253.21777651233535</v>
      </c>
      <c r="Q81" s="82">
        <f t="shared" si="42"/>
        <v>352.2016255387507</v>
      </c>
      <c r="R81" s="82">
        <f t="shared" si="42"/>
        <v>355.48624755366274</v>
      </c>
      <c r="S81" s="82">
        <f t="shared" si="42"/>
        <v>346.98289694705971</v>
      </c>
      <c r="T81" s="82">
        <f t="shared" si="42"/>
        <v>317.49378118821517</v>
      </c>
      <c r="U81" s="82">
        <f t="shared" si="42"/>
        <v>316.39433985215453</v>
      </c>
      <c r="V81" s="82">
        <f t="shared" si="42"/>
        <v>290.73822264378799</v>
      </c>
      <c r="W81" s="82">
        <f t="shared" si="42"/>
        <v>342.27496767477442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335.84810584788113</v>
      </c>
      <c r="C82" s="64">
        <f t="shared" ref="C82:W82" si="44">SUM(C83:C86)</f>
        <v>591.25569528540325</v>
      </c>
      <c r="D82" s="64">
        <f t="shared" si="44"/>
        <v>404.6243677195589</v>
      </c>
      <c r="E82" s="64">
        <f t="shared" si="44"/>
        <v>292.16735926159095</v>
      </c>
      <c r="F82" s="64">
        <f t="shared" si="44"/>
        <v>209.9103396724976</v>
      </c>
      <c r="G82" s="64">
        <f t="shared" si="44"/>
        <v>235.13095416141743</v>
      </c>
      <c r="H82" s="64">
        <f t="shared" si="44"/>
        <v>384.05193619061293</v>
      </c>
      <c r="I82" s="64">
        <f t="shared" si="44"/>
        <v>326.95928965522683</v>
      </c>
      <c r="J82" s="64">
        <f t="shared" si="44"/>
        <v>404.48942578981428</v>
      </c>
      <c r="K82" s="64">
        <f t="shared" si="44"/>
        <v>377.97381639483137</v>
      </c>
      <c r="L82" s="64">
        <f t="shared" si="44"/>
        <v>345.86012875545623</v>
      </c>
      <c r="M82" s="64">
        <f t="shared" si="44"/>
        <v>322.24489523088289</v>
      </c>
      <c r="N82" s="64">
        <f t="shared" si="44"/>
        <v>313.686735850498</v>
      </c>
      <c r="O82" s="64">
        <f t="shared" si="44"/>
        <v>273.26704794223758</v>
      </c>
      <c r="P82" s="64">
        <f t="shared" si="44"/>
        <v>253.21777651233535</v>
      </c>
      <c r="Q82" s="64">
        <f t="shared" si="44"/>
        <v>352.2016255387507</v>
      </c>
      <c r="R82" s="64">
        <f t="shared" si="44"/>
        <v>355.48624755366274</v>
      </c>
      <c r="S82" s="64">
        <f t="shared" si="44"/>
        <v>346.98289694705971</v>
      </c>
      <c r="T82" s="64">
        <f t="shared" si="44"/>
        <v>317.49378118821517</v>
      </c>
      <c r="U82" s="64">
        <f t="shared" si="44"/>
        <v>316.39433985215453</v>
      </c>
      <c r="V82" s="64">
        <f t="shared" si="44"/>
        <v>290.73822264378799</v>
      </c>
      <c r="W82" s="64">
        <f t="shared" si="44"/>
        <v>342.27496767477442</v>
      </c>
      <c r="DA82" s="108" t="s">
        <v>232</v>
      </c>
    </row>
    <row r="83" spans="1:105" ht="12" customHeight="1" x14ac:dyDescent="0.25">
      <c r="A83" s="61" t="s">
        <v>32</v>
      </c>
      <c r="B83" s="65">
        <v>283.31195994931431</v>
      </c>
      <c r="C83" s="65">
        <v>524.33789186657248</v>
      </c>
      <c r="D83" s="65">
        <v>344.22522868244351</v>
      </c>
      <c r="E83" s="65">
        <v>226.96893662053347</v>
      </c>
      <c r="F83" s="65">
        <v>139.95405064387984</v>
      </c>
      <c r="G83" s="65">
        <v>166.11977412606251</v>
      </c>
      <c r="H83" s="65">
        <v>300.32246967494143</v>
      </c>
      <c r="I83" s="65">
        <v>230.69943077864338</v>
      </c>
      <c r="J83" s="65">
        <v>302.26700023047903</v>
      </c>
      <c r="K83" s="65">
        <v>273.13812249787782</v>
      </c>
      <c r="L83" s="65">
        <v>224.51982137550797</v>
      </c>
      <c r="M83" s="65">
        <v>196.71044809927869</v>
      </c>
      <c r="N83" s="65">
        <v>173.43410532169509</v>
      </c>
      <c r="O83" s="65">
        <v>146.14982631997</v>
      </c>
      <c r="P83" s="65">
        <v>137.09398383623648</v>
      </c>
      <c r="Q83" s="65">
        <v>237.75493538265323</v>
      </c>
      <c r="R83" s="65">
        <v>243.50737528874055</v>
      </c>
      <c r="S83" s="65">
        <v>227.6686403850064</v>
      </c>
      <c r="T83" s="65">
        <v>198.37071995860572</v>
      </c>
      <c r="U83" s="65">
        <v>196.96889277787125</v>
      </c>
      <c r="V83" s="65">
        <v>191.47033283181548</v>
      </c>
      <c r="W83" s="65">
        <v>231.94009492714954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42.759914734414039</v>
      </c>
      <c r="C85" s="65">
        <v>47.10371897204093</v>
      </c>
      <c r="D85" s="65">
        <v>47.588238635252807</v>
      </c>
      <c r="E85" s="65">
        <v>48.584293914136381</v>
      </c>
      <c r="F85" s="65">
        <v>45.169757646972691</v>
      </c>
      <c r="G85" s="65">
        <v>47.685846162881646</v>
      </c>
      <c r="H85" s="65">
        <v>54.146725957680218</v>
      </c>
      <c r="I85" s="65">
        <v>61.571420582632015</v>
      </c>
      <c r="J85" s="65">
        <v>65.232904068821625</v>
      </c>
      <c r="K85" s="65">
        <v>67.309645206095809</v>
      </c>
      <c r="L85" s="65">
        <v>68.887196710865283</v>
      </c>
      <c r="M85" s="65">
        <v>69.713721677340942</v>
      </c>
      <c r="N85" s="65">
        <v>68.351838045611245</v>
      </c>
      <c r="O85" s="65">
        <v>63.090097068926163</v>
      </c>
      <c r="P85" s="65">
        <v>60.433732738213486</v>
      </c>
      <c r="Q85" s="65">
        <v>60.047312341176742</v>
      </c>
      <c r="R85" s="65">
        <v>57.103992164352675</v>
      </c>
      <c r="S85" s="65">
        <v>58.15579595178211</v>
      </c>
      <c r="T85" s="65">
        <v>54.617097972737128</v>
      </c>
      <c r="U85" s="65">
        <v>55.730931663107803</v>
      </c>
      <c r="V85" s="65">
        <v>46.133136180900259</v>
      </c>
      <c r="W85" s="65">
        <v>48.088586533126055</v>
      </c>
      <c r="DA85" s="109" t="s">
        <v>235</v>
      </c>
    </row>
    <row r="86" spans="1:105" ht="12" customHeight="1" x14ac:dyDescent="0.25">
      <c r="A86" s="66" t="s">
        <v>34</v>
      </c>
      <c r="B86" s="67">
        <v>9.776231164152783</v>
      </c>
      <c r="C86" s="67">
        <v>19.814084446789842</v>
      </c>
      <c r="D86" s="67">
        <v>12.81090040186257</v>
      </c>
      <c r="E86" s="67">
        <v>16.614128726921095</v>
      </c>
      <c r="F86" s="67">
        <v>24.786531381645069</v>
      </c>
      <c r="G86" s="67">
        <v>21.325333872473262</v>
      </c>
      <c r="H86" s="67">
        <v>29.582740557991283</v>
      </c>
      <c r="I86" s="67">
        <v>34.688438293951435</v>
      </c>
      <c r="J86" s="67">
        <v>36.989521490513681</v>
      </c>
      <c r="K86" s="67">
        <v>37.526048690857778</v>
      </c>
      <c r="L86" s="67">
        <v>52.453110669083031</v>
      </c>
      <c r="M86" s="67">
        <v>55.820725454263282</v>
      </c>
      <c r="N86" s="67">
        <v>71.900792483191637</v>
      </c>
      <c r="O86" s="67">
        <v>64.027124553341451</v>
      </c>
      <c r="P86" s="67">
        <v>55.690059937885394</v>
      </c>
      <c r="Q86" s="67">
        <v>54.399377814920719</v>
      </c>
      <c r="R86" s="67">
        <v>54.87488010056952</v>
      </c>
      <c r="S86" s="67">
        <v>61.158460610271227</v>
      </c>
      <c r="T86" s="67">
        <v>64.505963256872292</v>
      </c>
      <c r="U86" s="67">
        <v>63.694515411175452</v>
      </c>
      <c r="V86" s="67">
        <v>53.13475363107225</v>
      </c>
      <c r="W86" s="67">
        <v>62.246286214498809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0.84357170701935558</v>
      </c>
      <c r="C91" s="71">
        <f t="shared" ref="C91:W91" si="50">IF(C83=0,0,C83/C$81)</f>
        <v>0.88682087301242984</v>
      </c>
      <c r="D91" s="71">
        <f t="shared" si="50"/>
        <v>0.85072787539336381</v>
      </c>
      <c r="E91" s="71">
        <f t="shared" si="50"/>
        <v>0.77684563119632299</v>
      </c>
      <c r="F91" s="71">
        <f t="shared" si="50"/>
        <v>0.66673252428744745</v>
      </c>
      <c r="G91" s="71">
        <f t="shared" si="50"/>
        <v>0.70649895807432173</v>
      </c>
      <c r="H91" s="71">
        <f t="shared" si="50"/>
        <v>0.78198400105418342</v>
      </c>
      <c r="I91" s="71">
        <f t="shared" si="50"/>
        <v>0.70559068996605701</v>
      </c>
      <c r="J91" s="71">
        <f t="shared" si="50"/>
        <v>0.74728035137201998</v>
      </c>
      <c r="K91" s="71">
        <f t="shared" si="50"/>
        <v>0.72263768189846722</v>
      </c>
      <c r="L91" s="71">
        <f t="shared" si="50"/>
        <v>0.64916364364814338</v>
      </c>
      <c r="M91" s="71">
        <f t="shared" si="50"/>
        <v>0.61043774784497074</v>
      </c>
      <c r="N91" s="71">
        <f t="shared" si="50"/>
        <v>0.55288950886451627</v>
      </c>
      <c r="O91" s="71">
        <f t="shared" si="50"/>
        <v>0.53482418542781174</v>
      </c>
      <c r="P91" s="71">
        <f t="shared" si="50"/>
        <v>0.54140742298776967</v>
      </c>
      <c r="Q91" s="71">
        <f t="shared" si="50"/>
        <v>0.67505348681729593</v>
      </c>
      <c r="R91" s="71">
        <f t="shared" si="50"/>
        <v>0.6849980188107887</v>
      </c>
      <c r="S91" s="71">
        <f t="shared" si="50"/>
        <v>0.65613793183513169</v>
      </c>
      <c r="T91" s="71">
        <f t="shared" si="50"/>
        <v>0.6248019070364359</v>
      </c>
      <c r="U91" s="71">
        <f t="shared" si="50"/>
        <v>0.62254240347634326</v>
      </c>
      <c r="V91" s="71">
        <f t="shared" si="50"/>
        <v>0.65856608426200858</v>
      </c>
      <c r="W91" s="71">
        <f t="shared" si="50"/>
        <v>0.67764258807128497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0.12731920767116578</v>
      </c>
      <c r="C93" s="72">
        <f t="shared" ref="C93:W93" si="54">IF(C85=0,0,C85/C$81)</f>
        <v>7.9667256227111072E-2</v>
      </c>
      <c r="D93" s="72">
        <f t="shared" si="54"/>
        <v>0.11761090639067921</v>
      </c>
      <c r="E93" s="72">
        <f t="shared" si="54"/>
        <v>0.16628925981644863</v>
      </c>
      <c r="F93" s="72">
        <f t="shared" si="54"/>
        <v>0.21518595852613362</v>
      </c>
      <c r="G93" s="72">
        <f t="shared" si="54"/>
        <v>0.20280548060101566</v>
      </c>
      <c r="H93" s="72">
        <f t="shared" si="54"/>
        <v>0.14098803014706343</v>
      </c>
      <c r="I93" s="72">
        <f t="shared" si="54"/>
        <v>0.18831525064651952</v>
      </c>
      <c r="J93" s="72">
        <f t="shared" si="54"/>
        <v>0.16127221111267998</v>
      </c>
      <c r="K93" s="72">
        <f t="shared" si="54"/>
        <v>0.17808017986035352</v>
      </c>
      <c r="L93" s="72">
        <f t="shared" si="54"/>
        <v>0.19917646176432394</v>
      </c>
      <c r="M93" s="72">
        <f t="shared" si="54"/>
        <v>0.21633770684681372</v>
      </c>
      <c r="N93" s="72">
        <f t="shared" si="54"/>
        <v>0.217898400645756</v>
      </c>
      <c r="O93" s="72">
        <f t="shared" si="54"/>
        <v>0.23087341684264093</v>
      </c>
      <c r="P93" s="72">
        <f t="shared" si="54"/>
        <v>0.23866307322728383</v>
      </c>
      <c r="Q93" s="72">
        <f t="shared" si="54"/>
        <v>0.17049129812880459</v>
      </c>
      <c r="R93" s="72">
        <f t="shared" si="54"/>
        <v>0.16063629059442727</v>
      </c>
      <c r="S93" s="72">
        <f t="shared" si="54"/>
        <v>0.16760421468455008</v>
      </c>
      <c r="T93" s="72">
        <f t="shared" si="54"/>
        <v>0.17202572525462878</v>
      </c>
      <c r="U93" s="72">
        <f t="shared" si="54"/>
        <v>0.17614389590265705</v>
      </c>
      <c r="V93" s="72">
        <f t="shared" si="54"/>
        <v>0.15867585541864754</v>
      </c>
      <c r="W93" s="72">
        <f t="shared" si="54"/>
        <v>0.14049694273529012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2.9109085309478637E-2</v>
      </c>
      <c r="C94" s="73">
        <f t="shared" ref="C94:W94" si="56">IF(C86=0,0,C86/C$81)</f>
        <v>3.3511870760459139E-2</v>
      </c>
      <c r="D94" s="73">
        <f t="shared" si="56"/>
        <v>3.1661218215956972E-2</v>
      </c>
      <c r="E94" s="73">
        <f t="shared" si="56"/>
        <v>5.6865108987228435E-2</v>
      </c>
      <c r="F94" s="73">
        <f t="shared" si="56"/>
        <v>0.11808151718641897</v>
      </c>
      <c r="G94" s="73">
        <f t="shared" si="56"/>
        <v>9.0695561324662582E-2</v>
      </c>
      <c r="H94" s="73">
        <f t="shared" si="56"/>
        <v>7.7027968798753191E-2</v>
      </c>
      <c r="I94" s="73">
        <f t="shared" si="56"/>
        <v>0.1060940593874235</v>
      </c>
      <c r="J94" s="73">
        <f t="shared" si="56"/>
        <v>9.1447437515300156E-2</v>
      </c>
      <c r="K94" s="73">
        <f t="shared" si="56"/>
        <v>9.9282138241179319E-2</v>
      </c>
      <c r="L94" s="73">
        <f t="shared" si="56"/>
        <v>0.15165989458753285</v>
      </c>
      <c r="M94" s="73">
        <f t="shared" si="56"/>
        <v>0.17322454530821565</v>
      </c>
      <c r="N94" s="73">
        <f t="shared" si="56"/>
        <v>0.22921209048972763</v>
      </c>
      <c r="O94" s="73">
        <f t="shared" si="56"/>
        <v>0.23430239772954742</v>
      </c>
      <c r="P94" s="73">
        <f t="shared" si="56"/>
        <v>0.2199295037849465</v>
      </c>
      <c r="Q94" s="73">
        <f t="shared" si="56"/>
        <v>0.1544552150538995</v>
      </c>
      <c r="R94" s="73">
        <f t="shared" si="56"/>
        <v>0.15436569059478408</v>
      </c>
      <c r="S94" s="73">
        <f t="shared" si="56"/>
        <v>0.17625785348031828</v>
      </c>
      <c r="T94" s="73">
        <f t="shared" si="56"/>
        <v>0.20317236770893529</v>
      </c>
      <c r="U94" s="73">
        <f t="shared" si="56"/>
        <v>0.20131370062099962</v>
      </c>
      <c r="V94" s="73">
        <f t="shared" si="56"/>
        <v>0.18275806031934394</v>
      </c>
      <c r="W94" s="73">
        <f t="shared" si="56"/>
        <v>0.18186046919342488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130168.71298752322</v>
      </c>
      <c r="C99" s="82">
        <f t="shared" ref="C99:W99" si="60">C47*11630*1000/C$8</f>
        <v>147614.83289246348</v>
      </c>
      <c r="D99" s="82">
        <f t="shared" si="60"/>
        <v>136643.45306825746</v>
      </c>
      <c r="E99" s="82">
        <f t="shared" si="60"/>
        <v>133070.71856980756</v>
      </c>
      <c r="F99" s="82">
        <f t="shared" si="60"/>
        <v>117614.59060193245</v>
      </c>
      <c r="G99" s="82">
        <f t="shared" si="60"/>
        <v>132000.63306349784</v>
      </c>
      <c r="H99" s="82">
        <f t="shared" si="60"/>
        <v>144157.04280989914</v>
      </c>
      <c r="I99" s="82">
        <f t="shared" si="60"/>
        <v>130823.53753975354</v>
      </c>
      <c r="J99" s="82">
        <f t="shared" si="60"/>
        <v>134988.52228229542</v>
      </c>
      <c r="K99" s="82">
        <f t="shared" si="60"/>
        <v>131376.3374381641</v>
      </c>
      <c r="L99" s="82">
        <f t="shared" si="60"/>
        <v>136273.78944036202</v>
      </c>
      <c r="M99" s="82">
        <f t="shared" si="60"/>
        <v>140287.05585791916</v>
      </c>
      <c r="N99" s="82">
        <f t="shared" si="60"/>
        <v>134587.73617859057</v>
      </c>
      <c r="O99" s="82">
        <f t="shared" si="60"/>
        <v>124602.93037400901</v>
      </c>
      <c r="P99" s="82">
        <f t="shared" si="60"/>
        <v>117898.08208744857</v>
      </c>
      <c r="Q99" s="82">
        <f t="shared" si="60"/>
        <v>124555.53080942645</v>
      </c>
      <c r="R99" s="82">
        <f t="shared" si="60"/>
        <v>131680.61954266601</v>
      </c>
      <c r="S99" s="82">
        <f t="shared" si="60"/>
        <v>130414.07078960963</v>
      </c>
      <c r="T99" s="82">
        <f t="shared" si="60"/>
        <v>135456.73971112579</v>
      </c>
      <c r="U99" s="82">
        <f t="shared" si="60"/>
        <v>136540.94702758914</v>
      </c>
      <c r="V99" s="82">
        <f t="shared" si="60"/>
        <v>110894.54560007484</v>
      </c>
      <c r="W99" s="82">
        <f t="shared" si="60"/>
        <v>134321.68630057713</v>
      </c>
      <c r="DA99" s="107"/>
    </row>
    <row r="100" spans="1:105" ht="12" customHeight="1" x14ac:dyDescent="0.25">
      <c r="A100" s="77" t="s">
        <v>36</v>
      </c>
      <c r="B100" s="64">
        <f t="shared" si="59"/>
        <v>86765.999161401342</v>
      </c>
      <c r="C100" s="64">
        <f t="shared" ref="C100:W100" si="61">C48*11630*1000/C$8</f>
        <v>104043.1441931661</v>
      </c>
      <c r="D100" s="64">
        <f t="shared" si="61"/>
        <v>92880.876614036737</v>
      </c>
      <c r="E100" s="64">
        <f t="shared" si="61"/>
        <v>89186.751783615997</v>
      </c>
      <c r="F100" s="64">
        <f t="shared" si="61"/>
        <v>73458.261400017858</v>
      </c>
      <c r="G100" s="64">
        <f t="shared" si="61"/>
        <v>87212.429908600825</v>
      </c>
      <c r="H100" s="64">
        <f t="shared" si="61"/>
        <v>98445.155970539039</v>
      </c>
      <c r="I100" s="64">
        <f t="shared" si="61"/>
        <v>84720.78344565937</v>
      </c>
      <c r="J100" s="64">
        <f t="shared" si="61"/>
        <v>88492.912471531527</v>
      </c>
      <c r="K100" s="64">
        <f t="shared" si="61"/>
        <v>84175.033525325081</v>
      </c>
      <c r="L100" s="64">
        <f t="shared" si="61"/>
        <v>88813.00265644741</v>
      </c>
      <c r="M100" s="64">
        <f t="shared" si="61"/>
        <v>92829.680566903102</v>
      </c>
      <c r="N100" s="64">
        <f t="shared" si="61"/>
        <v>87098.873514785591</v>
      </c>
      <c r="O100" s="64">
        <f t="shared" si="61"/>
        <v>76987.604010538882</v>
      </c>
      <c r="P100" s="64">
        <f t="shared" si="61"/>
        <v>69953.006142966784</v>
      </c>
      <c r="Q100" s="64">
        <f t="shared" si="61"/>
        <v>75669.190648002186</v>
      </c>
      <c r="R100" s="64">
        <f t="shared" si="61"/>
        <v>82927.70574310371</v>
      </c>
      <c r="S100" s="64">
        <f t="shared" si="61"/>
        <v>82264.5063209121</v>
      </c>
      <c r="T100" s="64">
        <f t="shared" si="61"/>
        <v>88418.04522603759</v>
      </c>
      <c r="U100" s="64">
        <f t="shared" si="61"/>
        <v>91335.506365204245</v>
      </c>
      <c r="V100" s="64">
        <f t="shared" si="61"/>
        <v>72828.881055033373</v>
      </c>
      <c r="W100" s="64">
        <f t="shared" si="61"/>
        <v>92929.748606584646</v>
      </c>
      <c r="DA100" s="108"/>
    </row>
    <row r="101" spans="1:105" ht="12" customHeight="1" x14ac:dyDescent="0.25">
      <c r="A101" s="61" t="s">
        <v>32</v>
      </c>
      <c r="B101" s="65">
        <f t="shared" si="59"/>
        <v>51884.352742450836</v>
      </c>
      <c r="C101" s="65">
        <f t="shared" ref="C101:W101" si="62">C49*11630*1000/C$8</f>
        <v>68919.744308230933</v>
      </c>
      <c r="D101" s="65">
        <f t="shared" si="62"/>
        <v>59329.325987814576</v>
      </c>
      <c r="E101" s="65">
        <f t="shared" si="62"/>
        <v>55984.628020705393</v>
      </c>
      <c r="F101" s="65">
        <f t="shared" si="62"/>
        <v>40971.269607496084</v>
      </c>
      <c r="G101" s="65">
        <f t="shared" si="62"/>
        <v>55224.309569342084</v>
      </c>
      <c r="H101" s="65">
        <f t="shared" si="62"/>
        <v>65943.177937892833</v>
      </c>
      <c r="I101" s="65">
        <f t="shared" si="62"/>
        <v>50247.966922817286</v>
      </c>
      <c r="J101" s="65">
        <f t="shared" si="62"/>
        <v>55008.289762824257</v>
      </c>
      <c r="K101" s="65">
        <f t="shared" si="62"/>
        <v>50206.041589613407</v>
      </c>
      <c r="L101" s="65">
        <f t="shared" si="62"/>
        <v>52868.170523223693</v>
      </c>
      <c r="M101" s="65">
        <f t="shared" si="62"/>
        <v>57689.101715757191</v>
      </c>
      <c r="N101" s="65">
        <f t="shared" si="62"/>
        <v>48627.233869924567</v>
      </c>
      <c r="O101" s="65">
        <f t="shared" si="62"/>
        <v>41477.695390754961</v>
      </c>
      <c r="P101" s="65">
        <f t="shared" si="62"/>
        <v>35408.138862972883</v>
      </c>
      <c r="Q101" s="65">
        <f t="shared" si="62"/>
        <v>40181.304015331909</v>
      </c>
      <c r="R101" s="65">
        <f t="shared" si="62"/>
        <v>47578.087010366988</v>
      </c>
      <c r="S101" s="65">
        <f t="shared" si="62"/>
        <v>46111.694196496319</v>
      </c>
      <c r="T101" s="65">
        <f t="shared" si="62"/>
        <v>52297.827644601202</v>
      </c>
      <c r="U101" s="65">
        <f t="shared" si="62"/>
        <v>54886.442597904723</v>
      </c>
      <c r="V101" s="65">
        <f t="shared" si="62"/>
        <v>40861.395690882251</v>
      </c>
      <c r="W101" s="65">
        <f t="shared" si="62"/>
        <v>58022.242556005185</v>
      </c>
      <c r="DA101" s="109"/>
    </row>
    <row r="102" spans="1:105" ht="12" customHeight="1" x14ac:dyDescent="0.25">
      <c r="A102" s="61" t="s">
        <v>31</v>
      </c>
      <c r="B102" s="65">
        <f t="shared" si="59"/>
        <v>2439.3960272662298</v>
      </c>
      <c r="C102" s="65">
        <f t="shared" ref="C102:W102" si="63">C50*11630*1000/C$8</f>
        <v>2337.8109218760546</v>
      </c>
      <c r="D102" s="65">
        <f t="shared" si="63"/>
        <v>1757.2087349168646</v>
      </c>
      <c r="E102" s="65">
        <f t="shared" si="63"/>
        <v>2043.681124516711</v>
      </c>
      <c r="F102" s="65">
        <f t="shared" si="63"/>
        <v>1736.3200461595086</v>
      </c>
      <c r="G102" s="65">
        <f t="shared" si="63"/>
        <v>1812.3784502895915</v>
      </c>
      <c r="H102" s="65">
        <f t="shared" si="63"/>
        <v>2174.6769638876362</v>
      </c>
      <c r="I102" s="65">
        <f t="shared" si="63"/>
        <v>4167.5262075900309</v>
      </c>
      <c r="J102" s="65">
        <f t="shared" si="63"/>
        <v>2702.4674281080006</v>
      </c>
      <c r="K102" s="65">
        <f t="shared" si="63"/>
        <v>2427.7403352852339</v>
      </c>
      <c r="L102" s="65">
        <f t="shared" si="63"/>
        <v>3061.5618542075354</v>
      </c>
      <c r="M102" s="65">
        <f t="shared" si="63"/>
        <v>2538.0421632024318</v>
      </c>
      <c r="N102" s="65">
        <f t="shared" si="63"/>
        <v>5271.357853883841</v>
      </c>
      <c r="O102" s="65">
        <f t="shared" si="63"/>
        <v>2519.2964159582334</v>
      </c>
      <c r="P102" s="65">
        <f t="shared" si="63"/>
        <v>2275.6503275937484</v>
      </c>
      <c r="Q102" s="65">
        <f t="shared" si="63"/>
        <v>3192.8439710831713</v>
      </c>
      <c r="R102" s="65">
        <f t="shared" si="63"/>
        <v>2891.4975368239516</v>
      </c>
      <c r="S102" s="65">
        <f t="shared" si="63"/>
        <v>2953.8696141940964</v>
      </c>
      <c r="T102" s="65">
        <f t="shared" si="63"/>
        <v>2156.5516102084553</v>
      </c>
      <c r="U102" s="65">
        <f t="shared" si="63"/>
        <v>2333.3951250923801</v>
      </c>
      <c r="V102" s="65">
        <f t="shared" si="63"/>
        <v>2219.6004234231773</v>
      </c>
      <c r="W102" s="65">
        <f t="shared" si="63"/>
        <v>3030.1862956985151</v>
      </c>
      <c r="DA102" s="109"/>
    </row>
    <row r="103" spans="1:105" ht="12" customHeight="1" x14ac:dyDescent="0.25">
      <c r="A103" s="61" t="s">
        <v>35</v>
      </c>
      <c r="B103" s="65">
        <f t="shared" si="59"/>
        <v>16262.11141070462</v>
      </c>
      <c r="C103" s="65">
        <f t="shared" ref="C103:W103" si="64">C51*11630*1000/C$8</f>
        <v>16141.850556105639</v>
      </c>
      <c r="D103" s="65">
        <f t="shared" si="64"/>
        <v>15849.270901440801</v>
      </c>
      <c r="E103" s="65">
        <f t="shared" si="64"/>
        <v>15470.188902864909</v>
      </c>
      <c r="F103" s="65">
        <f t="shared" si="64"/>
        <v>14956.734813487878</v>
      </c>
      <c r="G103" s="65">
        <f t="shared" si="64"/>
        <v>14940.465797975883</v>
      </c>
      <c r="H103" s="65">
        <f t="shared" si="64"/>
        <v>15148.336892765738</v>
      </c>
      <c r="I103" s="65">
        <f t="shared" si="64"/>
        <v>15232.785379487666</v>
      </c>
      <c r="J103" s="65">
        <f t="shared" si="64"/>
        <v>15281.243065709918</v>
      </c>
      <c r="K103" s="65">
        <f t="shared" si="64"/>
        <v>15753.439970432666</v>
      </c>
      <c r="L103" s="65">
        <f t="shared" si="64"/>
        <v>16310.856206026416</v>
      </c>
      <c r="M103" s="65">
        <f t="shared" si="64"/>
        <v>16191.241034020371</v>
      </c>
      <c r="N103" s="65">
        <f t="shared" si="64"/>
        <v>16000.419210400865</v>
      </c>
      <c r="O103" s="65">
        <f t="shared" si="64"/>
        <v>15961.582598613677</v>
      </c>
      <c r="P103" s="65">
        <f t="shared" si="64"/>
        <v>15656.471308824415</v>
      </c>
      <c r="Q103" s="65">
        <f t="shared" si="64"/>
        <v>15748.924147722893</v>
      </c>
      <c r="R103" s="65">
        <f t="shared" si="64"/>
        <v>15753.920265625944</v>
      </c>
      <c r="S103" s="65">
        <f t="shared" si="64"/>
        <v>15840.852313843967</v>
      </c>
      <c r="T103" s="65">
        <f t="shared" si="64"/>
        <v>15808.516384148592</v>
      </c>
      <c r="U103" s="65">
        <f t="shared" si="64"/>
        <v>15844.889057468969</v>
      </c>
      <c r="V103" s="65">
        <f t="shared" si="64"/>
        <v>13976.727694225639</v>
      </c>
      <c r="W103" s="65">
        <f t="shared" si="64"/>
        <v>14723.277432590568</v>
      </c>
      <c r="DA103" s="109"/>
    </row>
    <row r="104" spans="1:105" ht="12" customHeight="1" x14ac:dyDescent="0.25">
      <c r="A104" s="66" t="s">
        <v>34</v>
      </c>
      <c r="B104" s="67">
        <f t="shared" si="59"/>
        <v>16180.138980979662</v>
      </c>
      <c r="C104" s="67">
        <f t="shared" ref="C104:W104" si="65">C52*11630*1000/C$8</f>
        <v>16643.738406953446</v>
      </c>
      <c r="D104" s="67">
        <f t="shared" si="65"/>
        <v>15945.070989864505</v>
      </c>
      <c r="E104" s="67">
        <f t="shared" si="65"/>
        <v>15688.253735528988</v>
      </c>
      <c r="F104" s="67">
        <f t="shared" si="65"/>
        <v>15793.936932874372</v>
      </c>
      <c r="G104" s="67">
        <f t="shared" si="65"/>
        <v>15235.276090993268</v>
      </c>
      <c r="H104" s="67">
        <f t="shared" si="65"/>
        <v>15178.964175992818</v>
      </c>
      <c r="I104" s="67">
        <f t="shared" si="65"/>
        <v>15072.504935764384</v>
      </c>
      <c r="J104" s="67">
        <f t="shared" si="65"/>
        <v>15500.91221488936</v>
      </c>
      <c r="K104" s="67">
        <f t="shared" si="65"/>
        <v>15787.811629993766</v>
      </c>
      <c r="L104" s="67">
        <f t="shared" si="65"/>
        <v>16572.41407298977</v>
      </c>
      <c r="M104" s="67">
        <f t="shared" si="65"/>
        <v>16411.295653923109</v>
      </c>
      <c r="N104" s="67">
        <f t="shared" si="65"/>
        <v>17199.862580576315</v>
      </c>
      <c r="O104" s="67">
        <f t="shared" si="65"/>
        <v>17029.029605212025</v>
      </c>
      <c r="P104" s="67">
        <f t="shared" si="65"/>
        <v>16612.745643575749</v>
      </c>
      <c r="Q104" s="67">
        <f t="shared" si="65"/>
        <v>16546.118513864225</v>
      </c>
      <c r="R104" s="67">
        <f t="shared" si="65"/>
        <v>16704.200930286821</v>
      </c>
      <c r="S104" s="67">
        <f t="shared" si="65"/>
        <v>17358.090196377711</v>
      </c>
      <c r="T104" s="67">
        <f t="shared" si="65"/>
        <v>18155.149587079319</v>
      </c>
      <c r="U104" s="67">
        <f t="shared" si="65"/>
        <v>18270.779584738186</v>
      </c>
      <c r="V104" s="67">
        <f t="shared" si="65"/>
        <v>15771.157246502291</v>
      </c>
      <c r="W104" s="67">
        <f t="shared" si="65"/>
        <v>17154.042322290385</v>
      </c>
      <c r="DA104" s="110"/>
    </row>
    <row r="105" spans="1:105" ht="12" customHeight="1" x14ac:dyDescent="0.25">
      <c r="A105" s="78" t="s">
        <v>33</v>
      </c>
      <c r="B105" s="68">
        <f t="shared" si="59"/>
        <v>43402.713826121864</v>
      </c>
      <c r="C105" s="68">
        <f t="shared" ref="C105:W105" si="66">C53*11630*1000/C$8</f>
        <v>43571.688699297403</v>
      </c>
      <c r="D105" s="68">
        <f t="shared" si="66"/>
        <v>43762.576454220711</v>
      </c>
      <c r="E105" s="68">
        <f t="shared" si="66"/>
        <v>43883.966786191573</v>
      </c>
      <c r="F105" s="68">
        <f t="shared" si="66"/>
        <v>44156.329201914603</v>
      </c>
      <c r="G105" s="68">
        <f t="shared" si="66"/>
        <v>44788.203154897012</v>
      </c>
      <c r="H105" s="68">
        <f t="shared" si="66"/>
        <v>45711.886839360115</v>
      </c>
      <c r="I105" s="68">
        <f t="shared" si="66"/>
        <v>46102.754094094169</v>
      </c>
      <c r="J105" s="68">
        <f t="shared" si="66"/>
        <v>46495.609810763897</v>
      </c>
      <c r="K105" s="68">
        <f t="shared" si="66"/>
        <v>47201.303912839037</v>
      </c>
      <c r="L105" s="68">
        <f t="shared" si="66"/>
        <v>47460.786783914606</v>
      </c>
      <c r="M105" s="68">
        <f t="shared" si="66"/>
        <v>47457.375291016062</v>
      </c>
      <c r="N105" s="68">
        <f t="shared" si="66"/>
        <v>47488.862663804975</v>
      </c>
      <c r="O105" s="68">
        <f t="shared" si="66"/>
        <v>47615.326363470107</v>
      </c>
      <c r="P105" s="68">
        <f t="shared" si="66"/>
        <v>47945.075944481781</v>
      </c>
      <c r="Q105" s="68">
        <f t="shared" si="66"/>
        <v>48886.340161424254</v>
      </c>
      <c r="R105" s="68">
        <f t="shared" si="66"/>
        <v>48752.91379956231</v>
      </c>
      <c r="S105" s="68">
        <f t="shared" si="66"/>
        <v>48149.564468697557</v>
      </c>
      <c r="T105" s="68">
        <f t="shared" si="66"/>
        <v>47038.694485088214</v>
      </c>
      <c r="U105" s="68">
        <f t="shared" si="66"/>
        <v>45205.440662384892</v>
      </c>
      <c r="V105" s="68">
        <f t="shared" si="66"/>
        <v>38065.664545041465</v>
      </c>
      <c r="W105" s="68">
        <f t="shared" si="66"/>
        <v>41391.937693992491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53569.603745403176</v>
      </c>
      <c r="C107" s="85">
        <f t="shared" ref="C107:W107" si="68">SUM(C108:C111)</f>
        <v>61850.221556842807</v>
      </c>
      <c r="D107" s="85">
        <f t="shared" si="68"/>
        <v>58446.954677162284</v>
      </c>
      <c r="E107" s="85">
        <f t="shared" si="68"/>
        <v>59830.119109427906</v>
      </c>
      <c r="F107" s="85">
        <f t="shared" si="68"/>
        <v>51855.300163248685</v>
      </c>
      <c r="G107" s="85">
        <f t="shared" si="68"/>
        <v>62741.858254606064</v>
      </c>
      <c r="H107" s="85">
        <f t="shared" si="68"/>
        <v>70200.918268704278</v>
      </c>
      <c r="I107" s="85">
        <f t="shared" si="68"/>
        <v>65563.406005733515</v>
      </c>
      <c r="J107" s="85">
        <f t="shared" si="68"/>
        <v>65537.774068447441</v>
      </c>
      <c r="K107" s="85">
        <f t="shared" si="68"/>
        <v>63792.993433080963</v>
      </c>
      <c r="L107" s="85">
        <f t="shared" si="68"/>
        <v>70025.632247134621</v>
      </c>
      <c r="M107" s="85">
        <f t="shared" si="68"/>
        <v>73305.944611110855</v>
      </c>
      <c r="N107" s="85">
        <f t="shared" si="68"/>
        <v>74623.373274939819</v>
      </c>
      <c r="O107" s="85">
        <f t="shared" si="68"/>
        <v>66948.309423227576</v>
      </c>
      <c r="P107" s="85">
        <f t="shared" si="68"/>
        <v>62517.186360717904</v>
      </c>
      <c r="Q107" s="85">
        <f t="shared" si="68"/>
        <v>69477.689372278823</v>
      </c>
      <c r="R107" s="85">
        <f t="shared" si="68"/>
        <v>75386.693149231171</v>
      </c>
      <c r="S107" s="85">
        <f t="shared" si="68"/>
        <v>75074.050632775354</v>
      </c>
      <c r="T107" s="85">
        <f t="shared" si="68"/>
        <v>77886.185569198569</v>
      </c>
      <c r="U107" s="85">
        <f t="shared" si="68"/>
        <v>82168.283942443435</v>
      </c>
      <c r="V107" s="85">
        <f t="shared" si="68"/>
        <v>70807.423099000065</v>
      </c>
      <c r="W107" s="85">
        <f t="shared" si="68"/>
        <v>89526.129331871503</v>
      </c>
      <c r="DA107" s="117"/>
    </row>
    <row r="108" spans="1:105" ht="12" customHeight="1" x14ac:dyDescent="0.25">
      <c r="A108" s="61" t="s">
        <v>32</v>
      </c>
      <c r="B108" s="65">
        <v>29110.084177517278</v>
      </c>
      <c r="C108" s="65">
        <v>37172.121787263008</v>
      </c>
      <c r="D108" s="65">
        <v>35080.607427015122</v>
      </c>
      <c r="E108" s="65">
        <v>36117.248984173828</v>
      </c>
      <c r="F108" s="65">
        <v>28715.539102318715</v>
      </c>
      <c r="G108" s="65">
        <v>39595.968069364004</v>
      </c>
      <c r="H108" s="65">
        <v>46083.636692909844</v>
      </c>
      <c r="I108" s="65">
        <v>36827.690206074069</v>
      </c>
      <c r="J108" s="65">
        <v>39532.157749718528</v>
      </c>
      <c r="K108" s="65">
        <v>37779.887840739837</v>
      </c>
      <c r="L108" s="65">
        <v>41351.187897254829</v>
      </c>
      <c r="M108" s="65">
        <v>45719.205716190787</v>
      </c>
      <c r="N108" s="65">
        <v>39450.5857922754</v>
      </c>
      <c r="O108" s="65">
        <v>38284.326063883054</v>
      </c>
      <c r="P108" s="65">
        <v>34550.726727062894</v>
      </c>
      <c r="Q108" s="65">
        <v>38500.876651813938</v>
      </c>
      <c r="R108" s="65">
        <v>44629.366834993365</v>
      </c>
      <c r="S108" s="65">
        <v>43151.914895144546</v>
      </c>
      <c r="T108" s="65">
        <v>47362.265579404171</v>
      </c>
      <c r="U108" s="65">
        <v>50528.525905390306</v>
      </c>
      <c r="V108" s="65">
        <v>42121.161578583982</v>
      </c>
      <c r="W108" s="65">
        <v>56120.994741749797</v>
      </c>
      <c r="DA108" s="109"/>
    </row>
    <row r="109" spans="1:105" ht="12" customHeight="1" x14ac:dyDescent="0.25">
      <c r="A109" s="61" t="s">
        <v>31</v>
      </c>
      <c r="B109" s="65">
        <v>3837.9369135961447</v>
      </c>
      <c r="C109" s="65">
        <v>3883.7553114108296</v>
      </c>
      <c r="D109" s="65">
        <v>3065.6386799441511</v>
      </c>
      <c r="E109" s="65">
        <v>3764.6472350108379</v>
      </c>
      <c r="F109" s="65">
        <v>3379.4255508493807</v>
      </c>
      <c r="G109" s="65">
        <v>3683.9138418462762</v>
      </c>
      <c r="H109" s="65">
        <v>4613.9154376519773</v>
      </c>
      <c r="I109" s="65">
        <v>9253.3718594108504</v>
      </c>
      <c r="J109" s="65">
        <v>6240.3600955052298</v>
      </c>
      <c r="K109" s="65">
        <v>5689.8179424429591</v>
      </c>
      <c r="L109" s="65">
        <v>7306.5349914350682</v>
      </c>
      <c r="M109" s="65">
        <v>6222.0089519890444</v>
      </c>
      <c r="N109" s="65">
        <v>13277.698628077918</v>
      </c>
      <c r="O109" s="65">
        <v>6540.2192512346237</v>
      </c>
      <c r="P109" s="65">
        <v>6106.948898249505</v>
      </c>
      <c r="Q109" s="65">
        <v>8862.5580069172138</v>
      </c>
      <c r="R109" s="65">
        <v>8306.074904657482</v>
      </c>
      <c r="S109" s="65">
        <v>8756.096516447702</v>
      </c>
      <c r="T109" s="65">
        <v>6568.0902605967467</v>
      </c>
      <c r="U109" s="65">
        <v>7277.5702403482455</v>
      </c>
      <c r="V109" s="65">
        <v>7062.393945722637</v>
      </c>
      <c r="W109" s="65">
        <v>9898.5959168021163</v>
      </c>
      <c r="DA109" s="109"/>
    </row>
    <row r="110" spans="1:105" ht="12" customHeight="1" x14ac:dyDescent="0.25">
      <c r="A110" s="61" t="s">
        <v>35</v>
      </c>
      <c r="B110" s="65">
        <v>9270.9044034478902</v>
      </c>
      <c r="C110" s="65">
        <v>9204.659575275251</v>
      </c>
      <c r="D110" s="65">
        <v>9085.9965413629307</v>
      </c>
      <c r="E110" s="65">
        <v>8923.7011845421748</v>
      </c>
      <c r="F110" s="65">
        <v>8711.5599871113773</v>
      </c>
      <c r="G110" s="65">
        <v>8733.7909813965234</v>
      </c>
      <c r="H110" s="65">
        <v>8862.8848727092627</v>
      </c>
      <c r="I110" s="65">
        <v>8922.6252843256243</v>
      </c>
      <c r="J110" s="65">
        <v>8983.5823579250937</v>
      </c>
      <c r="K110" s="65">
        <v>9294.6322620599658</v>
      </c>
      <c r="L110" s="65">
        <v>9864.8629695985601</v>
      </c>
      <c r="M110" s="65">
        <v>9965.2962103175141</v>
      </c>
      <c r="N110" s="65">
        <v>10006.138407259916</v>
      </c>
      <c r="O110" s="65">
        <v>10234.158689281237</v>
      </c>
      <c r="P110" s="65">
        <v>10137.972164946954</v>
      </c>
      <c r="Q110" s="65">
        <v>10366.382548802569</v>
      </c>
      <c r="R110" s="65">
        <v>10524.137558486957</v>
      </c>
      <c r="S110" s="65">
        <v>10785.139432608579</v>
      </c>
      <c r="T110" s="65">
        <v>11010.232639098416</v>
      </c>
      <c r="U110" s="65">
        <v>11245.18405371381</v>
      </c>
      <c r="V110" s="65">
        <v>10174.465513713996</v>
      </c>
      <c r="W110" s="65">
        <v>10912.887540594036</v>
      </c>
      <c r="DA110" s="109"/>
    </row>
    <row r="111" spans="1:105" ht="12" customHeight="1" x14ac:dyDescent="0.25">
      <c r="A111" s="74" t="s">
        <v>34</v>
      </c>
      <c r="B111" s="68">
        <v>11350.678250841869</v>
      </c>
      <c r="C111" s="68">
        <v>11589.684882893725</v>
      </c>
      <c r="D111" s="68">
        <v>11214.712028840075</v>
      </c>
      <c r="E111" s="68">
        <v>11024.521705701069</v>
      </c>
      <c r="F111" s="68">
        <v>11048.775522969212</v>
      </c>
      <c r="G111" s="68">
        <v>10728.185361999258</v>
      </c>
      <c r="H111" s="68">
        <v>10640.481265433189</v>
      </c>
      <c r="I111" s="68">
        <v>10559.718655922976</v>
      </c>
      <c r="J111" s="68">
        <v>10781.67386529858</v>
      </c>
      <c r="K111" s="68">
        <v>11028.655387838196</v>
      </c>
      <c r="L111" s="68">
        <v>11503.046388846164</v>
      </c>
      <c r="M111" s="68">
        <v>11399.433732613512</v>
      </c>
      <c r="N111" s="68">
        <v>11888.950447326588</v>
      </c>
      <c r="O111" s="68">
        <v>11889.605418828669</v>
      </c>
      <c r="P111" s="68">
        <v>11721.538570458555</v>
      </c>
      <c r="Q111" s="68">
        <v>11747.872164745098</v>
      </c>
      <c r="R111" s="68">
        <v>11927.113851093365</v>
      </c>
      <c r="S111" s="68">
        <v>12380.899788574525</v>
      </c>
      <c r="T111" s="68">
        <v>12945.597090099232</v>
      </c>
      <c r="U111" s="68">
        <v>13117.003742991079</v>
      </c>
      <c r="V111" s="68">
        <v>11449.402060979446</v>
      </c>
      <c r="W111" s="68">
        <v>12593.651132725552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5709.2918747748708</v>
      </c>
      <c r="C113" s="82">
        <f t="shared" ref="C113:W113" si="70">C81*1000000/C$8</f>
        <v>9706.3963574282243</v>
      </c>
      <c r="D113" s="82">
        <f t="shared" si="70"/>
        <v>6360.6442915784601</v>
      </c>
      <c r="E113" s="82">
        <f t="shared" si="70"/>
        <v>4381.4042136330854</v>
      </c>
      <c r="F113" s="82">
        <f t="shared" si="70"/>
        <v>3003.5472529511271</v>
      </c>
      <c r="G113" s="82">
        <f t="shared" si="70"/>
        <v>3221.5400589299293</v>
      </c>
      <c r="H113" s="82">
        <f t="shared" si="70"/>
        <v>5038.436965348179</v>
      </c>
      <c r="I113" s="82">
        <f t="shared" si="70"/>
        <v>4093.6820552473955</v>
      </c>
      <c r="J113" s="82">
        <f t="shared" si="70"/>
        <v>4894.2919603853315</v>
      </c>
      <c r="K113" s="82">
        <f t="shared" si="70"/>
        <v>4521.9049992233031</v>
      </c>
      <c r="L113" s="82">
        <f t="shared" si="70"/>
        <v>4072.918558736334</v>
      </c>
      <c r="M113" s="82">
        <f t="shared" si="70"/>
        <v>3688.1035216060559</v>
      </c>
      <c r="N113" s="82">
        <f t="shared" si="70"/>
        <v>3539.607890800331</v>
      </c>
      <c r="O113" s="82">
        <f t="shared" si="70"/>
        <v>3036.7804747703003</v>
      </c>
      <c r="P113" s="82">
        <f t="shared" si="70"/>
        <v>2765.9479737964307</v>
      </c>
      <c r="Q113" s="82">
        <f t="shared" si="70"/>
        <v>3765.7667762470642</v>
      </c>
      <c r="R113" s="82">
        <f t="shared" si="70"/>
        <v>3748.0799321271238</v>
      </c>
      <c r="S113" s="82">
        <f t="shared" si="70"/>
        <v>3607.8944083400916</v>
      </c>
      <c r="T113" s="82">
        <f t="shared" si="70"/>
        <v>3257.1181640546902</v>
      </c>
      <c r="U113" s="82">
        <f t="shared" si="70"/>
        <v>3204.7763362941591</v>
      </c>
      <c r="V113" s="82">
        <f t="shared" si="70"/>
        <v>2911.4285945970641</v>
      </c>
      <c r="W113" s="82">
        <f t="shared" si="70"/>
        <v>3392.3164278550053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5709.2918747748708</v>
      </c>
      <c r="C114" s="64">
        <f t="shared" ref="C114:W114" si="72">C82*1000000/C$8</f>
        <v>9706.3963574282243</v>
      </c>
      <c r="D114" s="64">
        <f t="shared" si="72"/>
        <v>6360.6442915784601</v>
      </c>
      <c r="E114" s="64">
        <f t="shared" si="72"/>
        <v>4381.4042136330854</v>
      </c>
      <c r="F114" s="64">
        <f t="shared" si="72"/>
        <v>3003.5472529511271</v>
      </c>
      <c r="G114" s="64">
        <f t="shared" si="72"/>
        <v>3221.5400589299293</v>
      </c>
      <c r="H114" s="64">
        <f t="shared" si="72"/>
        <v>5038.436965348179</v>
      </c>
      <c r="I114" s="64">
        <f t="shared" si="72"/>
        <v>4093.6820552473955</v>
      </c>
      <c r="J114" s="64">
        <f t="shared" si="72"/>
        <v>4894.2919603853315</v>
      </c>
      <c r="K114" s="64">
        <f t="shared" si="72"/>
        <v>4521.9049992233031</v>
      </c>
      <c r="L114" s="64">
        <f t="shared" si="72"/>
        <v>4072.918558736334</v>
      </c>
      <c r="M114" s="64">
        <f t="shared" si="72"/>
        <v>3688.1035216060559</v>
      </c>
      <c r="N114" s="64">
        <f t="shared" si="72"/>
        <v>3539.607890800331</v>
      </c>
      <c r="O114" s="64">
        <f t="shared" si="72"/>
        <v>3036.7804747703003</v>
      </c>
      <c r="P114" s="64">
        <f t="shared" si="72"/>
        <v>2765.9479737964307</v>
      </c>
      <c r="Q114" s="64">
        <f t="shared" si="72"/>
        <v>3765.7667762470642</v>
      </c>
      <c r="R114" s="64">
        <f t="shared" si="72"/>
        <v>3748.0799321271238</v>
      </c>
      <c r="S114" s="64">
        <f t="shared" si="72"/>
        <v>3607.8944083400916</v>
      </c>
      <c r="T114" s="64">
        <f t="shared" si="72"/>
        <v>3257.1181640546902</v>
      </c>
      <c r="U114" s="64">
        <f t="shared" si="72"/>
        <v>3204.7763362941591</v>
      </c>
      <c r="V114" s="64">
        <f t="shared" si="72"/>
        <v>2911.4285945970641</v>
      </c>
      <c r="W114" s="64">
        <f t="shared" si="72"/>
        <v>3392.3164278550053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4816.1970926755748</v>
      </c>
      <c r="C115" s="65">
        <f t="shared" ref="C115:W115" si="74">C83*1000000/C$8</f>
        <v>8607.8348914991675</v>
      </c>
      <c r="D115" s="65">
        <f t="shared" si="74"/>
        <v>5411.1774043074711</v>
      </c>
      <c r="E115" s="65">
        <f t="shared" si="74"/>
        <v>3403.674721866023</v>
      </c>
      <c r="F115" s="65">
        <f t="shared" si="74"/>
        <v>2002.562641776733</v>
      </c>
      <c r="G115" s="65">
        <f t="shared" si="74"/>
        <v>2276.0146950286839</v>
      </c>
      <c r="H115" s="65">
        <f t="shared" si="74"/>
        <v>3939.9770972222668</v>
      </c>
      <c r="I115" s="65">
        <f t="shared" si="74"/>
        <v>2888.4639458636761</v>
      </c>
      <c r="J115" s="65">
        <f t="shared" si="74"/>
        <v>3657.408215874003</v>
      </c>
      <c r="K115" s="65">
        <f t="shared" si="74"/>
        <v>3267.6989464038184</v>
      </c>
      <c r="L115" s="65">
        <f t="shared" si="74"/>
        <v>2643.9906518714233</v>
      </c>
      <c r="M115" s="65">
        <f t="shared" si="74"/>
        <v>2251.3576075483061</v>
      </c>
      <c r="N115" s="65">
        <f t="shared" si="74"/>
        <v>1957.0120683175614</v>
      </c>
      <c r="O115" s="65">
        <f t="shared" si="74"/>
        <v>1624.1436437421098</v>
      </c>
      <c r="P115" s="65">
        <f t="shared" si="74"/>
        <v>1497.5047646113687</v>
      </c>
      <c r="Q115" s="65">
        <f t="shared" si="74"/>
        <v>2542.0939928463085</v>
      </c>
      <c r="R115" s="65">
        <f t="shared" si="74"/>
        <v>2567.4273278515552</v>
      </c>
      <c r="S115" s="65">
        <f t="shared" si="74"/>
        <v>2367.2763753678041</v>
      </c>
      <c r="T115" s="65">
        <f t="shared" si="74"/>
        <v>2035.0536403443848</v>
      </c>
      <c r="U115" s="65">
        <f t="shared" si="74"/>
        <v>1995.1091630006752</v>
      </c>
      <c r="V115" s="65">
        <f t="shared" si="74"/>
        <v>1917.3681291522314</v>
      </c>
      <c r="W115" s="65">
        <f t="shared" si="74"/>
        <v>2298.7780837284022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726.90251785976113</v>
      </c>
      <c r="C117" s="65">
        <f t="shared" ref="C117:W117" si="78">C85*1000000/C$8</f>
        <v>773.28196564913196</v>
      </c>
      <c r="D117" s="65">
        <f t="shared" si="78"/>
        <v>748.08114036124232</v>
      </c>
      <c r="E117" s="65">
        <f t="shared" si="78"/>
        <v>728.5804636417148</v>
      </c>
      <c r="F117" s="65">
        <f t="shared" si="78"/>
        <v>646.32119460482386</v>
      </c>
      <c r="G117" s="65">
        <f t="shared" si="78"/>
        <v>653.34597992670865</v>
      </c>
      <c r="H117" s="65">
        <f t="shared" si="78"/>
        <v>710.35930276458782</v>
      </c>
      <c r="I117" s="65">
        <f t="shared" si="78"/>
        <v>770.90276230107247</v>
      </c>
      <c r="J117" s="65">
        <f t="shared" si="78"/>
        <v>789.31328628235542</v>
      </c>
      <c r="K117" s="65">
        <f t="shared" si="78"/>
        <v>805.26165557311765</v>
      </c>
      <c r="L117" s="65">
        <f t="shared" si="78"/>
        <v>811.22950758335298</v>
      </c>
      <c r="M117" s="65">
        <f t="shared" si="78"/>
        <v>797.87585847791217</v>
      </c>
      <c r="N117" s="65">
        <f t="shared" si="78"/>
        <v>771.27489831848993</v>
      </c>
      <c r="O117" s="65">
        <f t="shared" si="78"/>
        <v>701.1118844112367</v>
      </c>
      <c r="P117" s="65">
        <f t="shared" si="78"/>
        <v>660.12964381303493</v>
      </c>
      <c r="Q117" s="65">
        <f t="shared" si="78"/>
        <v>642.03046613268555</v>
      </c>
      <c r="R117" s="65">
        <f t="shared" si="78"/>
        <v>602.07765714831396</v>
      </c>
      <c r="S117" s="65">
        <f t="shared" si="78"/>
        <v>604.69830897462055</v>
      </c>
      <c r="T117" s="65">
        <f t="shared" si="78"/>
        <v>560.30811441153298</v>
      </c>
      <c r="U117" s="65">
        <f t="shared" si="78"/>
        <v>564.5017893714969</v>
      </c>
      <c r="V117" s="65">
        <f t="shared" si="78"/>
        <v>461.97342273799995</v>
      </c>
      <c r="W117" s="65">
        <f t="shared" si="78"/>
        <v>476.61008690432863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166.19226423953495</v>
      </c>
      <c r="C118" s="67">
        <f t="shared" ref="C118:W118" si="80">C86*1000000/C$8</f>
        <v>325.27950027992597</v>
      </c>
      <c r="D118" s="67">
        <f t="shared" si="80"/>
        <v>201.38574690974664</v>
      </c>
      <c r="E118" s="67">
        <f t="shared" si="80"/>
        <v>249.14902812534729</v>
      </c>
      <c r="F118" s="67">
        <f t="shared" si="80"/>
        <v>354.66341656956996</v>
      </c>
      <c r="G118" s="67">
        <f t="shared" si="80"/>
        <v>292.17938397453656</v>
      </c>
      <c r="H118" s="67">
        <f t="shared" si="80"/>
        <v>388.10056536132419</v>
      </c>
      <c r="I118" s="67">
        <f t="shared" si="80"/>
        <v>434.31534708264707</v>
      </c>
      <c r="J118" s="67">
        <f t="shared" si="80"/>
        <v>447.57045822897351</v>
      </c>
      <c r="K118" s="67">
        <f t="shared" si="80"/>
        <v>448.94439724636783</v>
      </c>
      <c r="L118" s="67">
        <f t="shared" si="80"/>
        <v>617.69839928155864</v>
      </c>
      <c r="M118" s="67">
        <f t="shared" si="80"/>
        <v>638.87005557983798</v>
      </c>
      <c r="N118" s="67">
        <f t="shared" si="80"/>
        <v>811.3209241642794</v>
      </c>
      <c r="O118" s="67">
        <f t="shared" si="80"/>
        <v>711.52494661695482</v>
      </c>
      <c r="P118" s="67">
        <f t="shared" si="80"/>
        <v>608.31356537202726</v>
      </c>
      <c r="Q118" s="67">
        <f t="shared" si="80"/>
        <v>581.64231726807009</v>
      </c>
      <c r="R118" s="67">
        <f t="shared" si="80"/>
        <v>578.57494712725486</v>
      </c>
      <c r="S118" s="67">
        <f t="shared" si="80"/>
        <v>635.91972399766757</v>
      </c>
      <c r="T118" s="67">
        <f t="shared" si="80"/>
        <v>661.75640929877159</v>
      </c>
      <c r="U118" s="67">
        <f t="shared" si="80"/>
        <v>645.16538392198629</v>
      </c>
      <c r="V118" s="67">
        <f t="shared" si="80"/>
        <v>532.08704270683302</v>
      </c>
      <c r="W118" s="67">
        <f t="shared" si="80"/>
        <v>616.9282572222744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0.61740317939235012</v>
      </c>
      <c r="C121" s="86">
        <f t="shared" ref="C121:W121" si="84">IF(C107=0,"",C107/C100)</f>
        <v>0.59446705534015698</v>
      </c>
      <c r="D121" s="86">
        <f t="shared" si="84"/>
        <v>0.62926790538418986</v>
      </c>
      <c r="E121" s="86">
        <f t="shared" si="84"/>
        <v>0.67084088065666014</v>
      </c>
      <c r="F121" s="86">
        <f t="shared" si="84"/>
        <v>0.70591515746431865</v>
      </c>
      <c r="G121" s="86">
        <f t="shared" si="84"/>
        <v>0.7194141743368454</v>
      </c>
      <c r="H121" s="86">
        <f t="shared" si="84"/>
        <v>0.71309672453272144</v>
      </c>
      <c r="I121" s="86">
        <f t="shared" si="84"/>
        <v>0.7738762950390613</v>
      </c>
      <c r="J121" s="86">
        <f t="shared" si="84"/>
        <v>0.74059913091380247</v>
      </c>
      <c r="K121" s="86">
        <f t="shared" si="84"/>
        <v>0.75786121800460071</v>
      </c>
      <c r="L121" s="86">
        <f t="shared" si="84"/>
        <v>0.78846148821262818</v>
      </c>
      <c r="M121" s="86">
        <f t="shared" si="84"/>
        <v>0.78968218099467302</v>
      </c>
      <c r="N121" s="86">
        <f t="shared" si="84"/>
        <v>0.85676622743314845</v>
      </c>
      <c r="O121" s="86">
        <f t="shared" si="84"/>
        <v>0.86959855789333285</v>
      </c>
      <c r="P121" s="86">
        <f t="shared" si="84"/>
        <v>0.89370264135537092</v>
      </c>
      <c r="Q121" s="86">
        <f t="shared" si="84"/>
        <v>0.91817672129565941</v>
      </c>
      <c r="R121" s="86">
        <f t="shared" si="84"/>
        <v>0.90906522101029363</v>
      </c>
      <c r="S121" s="86">
        <f t="shared" si="84"/>
        <v>0.9125934621173446</v>
      </c>
      <c r="T121" s="86">
        <f t="shared" si="84"/>
        <v>0.88088563109583917</v>
      </c>
      <c r="U121" s="86">
        <f t="shared" si="84"/>
        <v>0.89963133957887365</v>
      </c>
      <c r="V121" s="86">
        <f t="shared" si="84"/>
        <v>0.97224373178951096</v>
      </c>
      <c r="W121" s="86">
        <f t="shared" si="84"/>
        <v>0.96337427652879737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0.56105709407260151</v>
      </c>
      <c r="C122" s="75">
        <f t="shared" ref="C122:W122" si="86">IF(C108=0,"",C108/C101)</f>
        <v>0.53935373905360851</v>
      </c>
      <c r="D122" s="75">
        <f t="shared" si="86"/>
        <v>0.59128612777802658</v>
      </c>
      <c r="E122" s="75">
        <f t="shared" si="86"/>
        <v>0.64512796210445833</v>
      </c>
      <c r="F122" s="75">
        <f t="shared" si="86"/>
        <v>0.70087013112878815</v>
      </c>
      <c r="G122" s="75">
        <f t="shared" si="86"/>
        <v>0.71700250085780715</v>
      </c>
      <c r="H122" s="75">
        <f t="shared" si="86"/>
        <v>0.69883857790888892</v>
      </c>
      <c r="I122" s="75">
        <f t="shared" si="86"/>
        <v>0.73291901068639742</v>
      </c>
      <c r="J122" s="75">
        <f t="shared" si="86"/>
        <v>0.7186581862509599</v>
      </c>
      <c r="K122" s="75">
        <f t="shared" si="86"/>
        <v>0.75249684389688498</v>
      </c>
      <c r="L122" s="75">
        <f t="shared" si="86"/>
        <v>0.78215658851085579</v>
      </c>
      <c r="M122" s="75">
        <f t="shared" si="86"/>
        <v>0.79251027241602989</v>
      </c>
      <c r="N122" s="75">
        <f t="shared" si="86"/>
        <v>0.81128583003104304</v>
      </c>
      <c r="O122" s="75">
        <f t="shared" si="86"/>
        <v>0.923009962419858</v>
      </c>
      <c r="P122" s="75">
        <f t="shared" si="86"/>
        <v>0.97578488552510156</v>
      </c>
      <c r="Q122" s="75">
        <f t="shared" si="86"/>
        <v>0.95817887436214677</v>
      </c>
      <c r="R122" s="75">
        <f t="shared" si="86"/>
        <v>0.93802356587537639</v>
      </c>
      <c r="S122" s="75">
        <f t="shared" si="86"/>
        <v>0.93581282681266864</v>
      </c>
      <c r="T122" s="75">
        <f t="shared" si="86"/>
        <v>0.90562586846364856</v>
      </c>
      <c r="U122" s="75">
        <f t="shared" si="86"/>
        <v>0.92060121796487537</v>
      </c>
      <c r="V122" s="75">
        <f t="shared" si="86"/>
        <v>1.0308302216897314</v>
      </c>
      <c r="W122" s="75">
        <f t="shared" si="86"/>
        <v>0.96723243138318493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1.5733144068030744</v>
      </c>
      <c r="C123" s="76">
        <f t="shared" ref="C123:W123" si="88">IF(C109=0,"",C109/C102)</f>
        <v>1.6612786239762196</v>
      </c>
      <c r="D123" s="76">
        <f t="shared" si="88"/>
        <v>1.7446070116930017</v>
      </c>
      <c r="E123" s="76">
        <f t="shared" si="88"/>
        <v>1.8420913076158594</v>
      </c>
      <c r="F123" s="76">
        <f t="shared" si="88"/>
        <v>1.9463148849339074</v>
      </c>
      <c r="G123" s="76">
        <f t="shared" si="88"/>
        <v>2.0326405013575619</v>
      </c>
      <c r="H123" s="76">
        <f t="shared" si="88"/>
        <v>2.1216555443727847</v>
      </c>
      <c r="I123" s="76">
        <f t="shared" si="88"/>
        <v>2.2203512104035044</v>
      </c>
      <c r="J123" s="76">
        <f t="shared" si="88"/>
        <v>2.3091342491680318</v>
      </c>
      <c r="K123" s="76">
        <f t="shared" si="88"/>
        <v>2.3436682497489856</v>
      </c>
      <c r="L123" s="76">
        <f t="shared" si="88"/>
        <v>2.386538420379658</v>
      </c>
      <c r="M123" s="76">
        <f t="shared" si="88"/>
        <v>2.4514994440195923</v>
      </c>
      <c r="N123" s="76">
        <f t="shared" si="88"/>
        <v>2.5188384086455353</v>
      </c>
      <c r="O123" s="76">
        <f t="shared" si="88"/>
        <v>2.596049916876098</v>
      </c>
      <c r="P123" s="76">
        <f t="shared" si="88"/>
        <v>2.6836060110812086</v>
      </c>
      <c r="Q123" s="76">
        <f t="shared" si="88"/>
        <v>2.7757566881386295</v>
      </c>
      <c r="R123" s="76">
        <f t="shared" si="88"/>
        <v>2.8725858482940136</v>
      </c>
      <c r="S123" s="76">
        <f t="shared" si="88"/>
        <v>2.9642799649559435</v>
      </c>
      <c r="T123" s="76">
        <f t="shared" si="88"/>
        <v>3.0456448292289493</v>
      </c>
      <c r="U123" s="76">
        <f t="shared" si="88"/>
        <v>3.1188760797895827</v>
      </c>
      <c r="V123" s="76">
        <f t="shared" si="88"/>
        <v>3.1818312301592844</v>
      </c>
      <c r="W123" s="76">
        <f t="shared" si="88"/>
        <v>3.2666624922875585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0.57009229424816688</v>
      </c>
      <c r="C124" s="76">
        <f t="shared" ref="C124:W124" si="90">IF(C110=0,"",C110/C103)</f>
        <v>0.57023570768926479</v>
      </c>
      <c r="D124" s="76">
        <f t="shared" si="90"/>
        <v>0.57327536376054722</v>
      </c>
      <c r="E124" s="76">
        <f t="shared" si="90"/>
        <v>0.5768320762320881</v>
      </c>
      <c r="F124" s="76">
        <f t="shared" si="90"/>
        <v>0.58245065488861603</v>
      </c>
      <c r="G124" s="76">
        <f t="shared" si="90"/>
        <v>0.58457287071864705</v>
      </c>
      <c r="H124" s="76">
        <f t="shared" si="90"/>
        <v>0.58507312950914336</v>
      </c>
      <c r="I124" s="76">
        <f t="shared" si="90"/>
        <v>0.58575139490514661</v>
      </c>
      <c r="J124" s="76">
        <f t="shared" si="90"/>
        <v>0.5878829568573285</v>
      </c>
      <c r="K124" s="76">
        <f t="shared" si="90"/>
        <v>0.59000651791004921</v>
      </c>
      <c r="L124" s="76">
        <f t="shared" si="90"/>
        <v>0.60480350295490692</v>
      </c>
      <c r="M124" s="76">
        <f t="shared" si="90"/>
        <v>0.61547451423759569</v>
      </c>
      <c r="N124" s="76">
        <f t="shared" si="90"/>
        <v>0.62536726542486809</v>
      </c>
      <c r="O124" s="76">
        <f t="shared" si="90"/>
        <v>0.64117443405455998</v>
      </c>
      <c r="P124" s="76">
        <f t="shared" si="90"/>
        <v>0.64752599516041109</v>
      </c>
      <c r="Q124" s="76">
        <f t="shared" si="90"/>
        <v>0.65822798126190885</v>
      </c>
      <c r="R124" s="76">
        <f t="shared" si="90"/>
        <v>0.6680329328218042</v>
      </c>
      <c r="S124" s="76">
        <f t="shared" si="90"/>
        <v>0.68084338007387435</v>
      </c>
      <c r="T124" s="76">
        <f t="shared" si="90"/>
        <v>0.69647475901903877</v>
      </c>
      <c r="U124" s="76">
        <f t="shared" si="90"/>
        <v>0.70970418365997034</v>
      </c>
      <c r="V124" s="76">
        <f t="shared" si="90"/>
        <v>0.72795762615576221</v>
      </c>
      <c r="W124" s="76">
        <f t="shared" si="90"/>
        <v>0.74119961337126739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0.70151920599600548</v>
      </c>
      <c r="C125" s="56">
        <f t="shared" ref="C125:W125" si="92">IF(C111=0,"",C111/C104)</f>
        <v>0.69633904351992038</v>
      </c>
      <c r="D125" s="56">
        <f t="shared" si="92"/>
        <v>0.70333409214475828</v>
      </c>
      <c r="E125" s="56">
        <f t="shared" si="92"/>
        <v>0.70272459201332105</v>
      </c>
      <c r="F125" s="56">
        <f t="shared" si="92"/>
        <v>0.69955803736126621</v>
      </c>
      <c r="G125" s="56">
        <f t="shared" si="92"/>
        <v>0.70416743995479714</v>
      </c>
      <c r="H125" s="56">
        <f t="shared" si="92"/>
        <v>0.70100180368448772</v>
      </c>
      <c r="I125" s="56">
        <f t="shared" si="92"/>
        <v>0.70059480497277093</v>
      </c>
      <c r="J125" s="56">
        <f t="shared" si="92"/>
        <v>0.69555092731525003</v>
      </c>
      <c r="K125" s="56">
        <f t="shared" si="92"/>
        <v>0.69855504019859849</v>
      </c>
      <c r="L125" s="56">
        <f t="shared" si="92"/>
        <v>0.69410807249827178</v>
      </c>
      <c r="M125" s="56">
        <f t="shared" si="92"/>
        <v>0.694609004249368</v>
      </c>
      <c r="N125" s="56">
        <f t="shared" si="92"/>
        <v>0.69122357179485239</v>
      </c>
      <c r="O125" s="56">
        <f t="shared" si="92"/>
        <v>0.69819629740908151</v>
      </c>
      <c r="P125" s="56">
        <f t="shared" si="92"/>
        <v>0.70557503388919618</v>
      </c>
      <c r="Q125" s="56">
        <f t="shared" si="92"/>
        <v>0.71000773715608234</v>
      </c>
      <c r="R125" s="56">
        <f t="shared" si="92"/>
        <v>0.71401882082656254</v>
      </c>
      <c r="S125" s="56">
        <f t="shared" si="92"/>
        <v>0.71326393909153518</v>
      </c>
      <c r="T125" s="56">
        <f t="shared" si="92"/>
        <v>0.71305372770447306</v>
      </c>
      <c r="U125" s="56">
        <f t="shared" si="92"/>
        <v>0.71792249926477569</v>
      </c>
      <c r="V125" s="56">
        <f t="shared" si="92"/>
        <v>0.72597095330583183</v>
      </c>
      <c r="W125" s="56">
        <f t="shared" si="92"/>
        <v>0.73415063902232836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144.63190331947024</v>
      </c>
      <c r="C129" s="82">
        <f t="shared" ref="C129:W129" si="94">IF(C99=0,0,C99/C$26)</f>
        <v>164.01648099162611</v>
      </c>
      <c r="D129" s="82">
        <f t="shared" si="94"/>
        <v>151.82605896473049</v>
      </c>
      <c r="E129" s="82">
        <f t="shared" si="94"/>
        <v>147.85635396645287</v>
      </c>
      <c r="F129" s="82">
        <f t="shared" si="94"/>
        <v>130.68287844659162</v>
      </c>
      <c r="G129" s="82">
        <f t="shared" si="94"/>
        <v>146.66737007055318</v>
      </c>
      <c r="H129" s="82">
        <f t="shared" si="94"/>
        <v>160.17449201099902</v>
      </c>
      <c r="I129" s="82">
        <f t="shared" si="94"/>
        <v>145.35948615528173</v>
      </c>
      <c r="J129" s="82">
        <f t="shared" si="94"/>
        <v>149.98724698032825</v>
      </c>
      <c r="K129" s="82">
        <f t="shared" si="94"/>
        <v>145.97370826462679</v>
      </c>
      <c r="L129" s="82">
        <f t="shared" si="94"/>
        <v>151.41532160040225</v>
      </c>
      <c r="M129" s="82">
        <f t="shared" si="94"/>
        <v>155.8745065087991</v>
      </c>
      <c r="N129" s="82">
        <f t="shared" si="94"/>
        <v>149.54192908732284</v>
      </c>
      <c r="O129" s="82">
        <f t="shared" si="94"/>
        <v>138.44770041556555</v>
      </c>
      <c r="P129" s="82">
        <f t="shared" si="94"/>
        <v>130.99786898605396</v>
      </c>
      <c r="Q129" s="82">
        <f t="shared" si="94"/>
        <v>138.39503423269605</v>
      </c>
      <c r="R129" s="82">
        <f t="shared" si="94"/>
        <v>146.31179949185113</v>
      </c>
      <c r="S129" s="82">
        <f t="shared" si="94"/>
        <v>144.90452309956626</v>
      </c>
      <c r="T129" s="82">
        <f t="shared" si="94"/>
        <v>150.50748856791753</v>
      </c>
      <c r="U129" s="82">
        <f t="shared" si="94"/>
        <v>151.71216336398794</v>
      </c>
      <c r="V129" s="82">
        <f t="shared" si="94"/>
        <v>123.21616177786093</v>
      </c>
      <c r="W129" s="82">
        <f t="shared" si="94"/>
        <v>149.24631811175237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96.406665734890368</v>
      </c>
      <c r="C130" s="64">
        <f t="shared" ref="C130:W130" si="96">IF(C100=0,0,C100/C$26)</f>
        <v>115.60349354796234</v>
      </c>
      <c r="D130" s="64">
        <f t="shared" si="96"/>
        <v>103.20097401559637</v>
      </c>
      <c r="E130" s="64">
        <f t="shared" si="96"/>
        <v>99.096390870684459</v>
      </c>
      <c r="F130" s="64">
        <f t="shared" si="96"/>
        <v>81.620290444464288</v>
      </c>
      <c r="G130" s="64">
        <f t="shared" si="96"/>
        <v>96.902699898445377</v>
      </c>
      <c r="H130" s="64">
        <f t="shared" si="96"/>
        <v>109.38350663393226</v>
      </c>
      <c r="I130" s="64">
        <f t="shared" si="96"/>
        <v>94.134203828510422</v>
      </c>
      <c r="J130" s="64">
        <f t="shared" si="96"/>
        <v>98.325458301701701</v>
      </c>
      <c r="K130" s="64">
        <f t="shared" si="96"/>
        <v>93.527815028138974</v>
      </c>
      <c r="L130" s="64">
        <f t="shared" si="96"/>
        <v>98.681114062719359</v>
      </c>
      <c r="M130" s="64">
        <f t="shared" si="96"/>
        <v>103.14408951878126</v>
      </c>
      <c r="N130" s="64">
        <f t="shared" si="96"/>
        <v>96.77652612753954</v>
      </c>
      <c r="O130" s="64">
        <f t="shared" si="96"/>
        <v>85.541782233932082</v>
      </c>
      <c r="P130" s="64">
        <f t="shared" si="96"/>
        <v>77.725562381074198</v>
      </c>
      <c r="Q130" s="64">
        <f t="shared" si="96"/>
        <v>84.0768784977802</v>
      </c>
      <c r="R130" s="64">
        <f t="shared" si="96"/>
        <v>92.141895270115228</v>
      </c>
      <c r="S130" s="64">
        <f t="shared" si="96"/>
        <v>91.405007023235669</v>
      </c>
      <c r="T130" s="64">
        <f t="shared" si="96"/>
        <v>98.242272473375081</v>
      </c>
      <c r="U130" s="64">
        <f t="shared" si="96"/>
        <v>101.48389596133806</v>
      </c>
      <c r="V130" s="64">
        <f t="shared" si="96"/>
        <v>80.920978950037082</v>
      </c>
      <c r="W130" s="64">
        <f t="shared" si="96"/>
        <v>103.2552762295385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57.649280824945365</v>
      </c>
      <c r="C131" s="65">
        <f t="shared" ref="C131:W131" si="98">IF(C101=0,0,C101/C$26)</f>
        <v>76.577493675812164</v>
      </c>
      <c r="D131" s="65">
        <f t="shared" si="98"/>
        <v>65.921473319793975</v>
      </c>
      <c r="E131" s="65">
        <f t="shared" si="98"/>
        <v>62.205142245228224</v>
      </c>
      <c r="F131" s="65">
        <f t="shared" si="98"/>
        <v>45.523632897217873</v>
      </c>
      <c r="G131" s="65">
        <f t="shared" si="98"/>
        <v>61.360343965935655</v>
      </c>
      <c r="H131" s="65">
        <f t="shared" si="98"/>
        <v>73.2701977087698</v>
      </c>
      <c r="I131" s="65">
        <f t="shared" si="98"/>
        <v>55.831074358685882</v>
      </c>
      <c r="J131" s="65">
        <f t="shared" si="98"/>
        <v>61.120321958693616</v>
      </c>
      <c r="K131" s="65">
        <f t="shared" si="98"/>
        <v>55.784490655126007</v>
      </c>
      <c r="L131" s="65">
        <f t="shared" si="98"/>
        <v>58.742411692470775</v>
      </c>
      <c r="M131" s="65">
        <f t="shared" si="98"/>
        <v>64.099001906396893</v>
      </c>
      <c r="N131" s="65">
        <f t="shared" si="98"/>
        <v>54.030259855471733</v>
      </c>
      <c r="O131" s="65">
        <f t="shared" si="98"/>
        <v>46.086328211949954</v>
      </c>
      <c r="P131" s="65">
        <f t="shared" si="98"/>
        <v>39.342376514414312</v>
      </c>
      <c r="Q131" s="65">
        <f t="shared" si="98"/>
        <v>44.645893350368787</v>
      </c>
      <c r="R131" s="65">
        <f t="shared" si="98"/>
        <v>52.864541122629987</v>
      </c>
      <c r="S131" s="65">
        <f t="shared" si="98"/>
        <v>51.235215773884796</v>
      </c>
      <c r="T131" s="65">
        <f t="shared" si="98"/>
        <v>58.10869738289022</v>
      </c>
      <c r="U131" s="65">
        <f t="shared" si="98"/>
        <v>60.984936219894145</v>
      </c>
      <c r="V131" s="65">
        <f t="shared" si="98"/>
        <v>45.401550767646945</v>
      </c>
      <c r="W131" s="65">
        <f t="shared" si="98"/>
        <v>64.469158395561323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2.7104400302958105</v>
      </c>
      <c r="C132" s="65">
        <f t="shared" ref="C132:W132" si="100">IF(C102=0,0,C102/C$26)</f>
        <v>2.5975676909733942</v>
      </c>
      <c r="D132" s="65">
        <f t="shared" si="100"/>
        <v>1.9524541499076273</v>
      </c>
      <c r="E132" s="65">
        <f t="shared" si="100"/>
        <v>2.2707568050185678</v>
      </c>
      <c r="F132" s="65">
        <f t="shared" si="100"/>
        <v>1.9292444957327872</v>
      </c>
      <c r="G132" s="65">
        <f t="shared" si="100"/>
        <v>2.0137538336551017</v>
      </c>
      <c r="H132" s="65">
        <f t="shared" si="100"/>
        <v>2.4163077376529287</v>
      </c>
      <c r="I132" s="65">
        <f t="shared" si="100"/>
        <v>4.6305846751000352</v>
      </c>
      <c r="J132" s="65">
        <f t="shared" si="100"/>
        <v>3.0027415867866671</v>
      </c>
      <c r="K132" s="65">
        <f t="shared" si="100"/>
        <v>2.6974892614280375</v>
      </c>
      <c r="L132" s="65">
        <f t="shared" si="100"/>
        <v>3.4017353935639285</v>
      </c>
      <c r="M132" s="65">
        <f t="shared" si="100"/>
        <v>2.8200468480027028</v>
      </c>
      <c r="N132" s="65">
        <f t="shared" si="100"/>
        <v>5.8570642820931562</v>
      </c>
      <c r="O132" s="65">
        <f t="shared" si="100"/>
        <v>2.7992182399535923</v>
      </c>
      <c r="P132" s="65">
        <f t="shared" si="100"/>
        <v>2.5285003639930537</v>
      </c>
      <c r="Q132" s="65">
        <f t="shared" si="100"/>
        <v>3.5476044123146346</v>
      </c>
      <c r="R132" s="65">
        <f t="shared" si="100"/>
        <v>3.2127750409155018</v>
      </c>
      <c r="S132" s="65">
        <f t="shared" si="100"/>
        <v>3.2820773491045516</v>
      </c>
      <c r="T132" s="65">
        <f t="shared" si="100"/>
        <v>2.3961684557871723</v>
      </c>
      <c r="U132" s="65">
        <f t="shared" si="100"/>
        <v>2.5926612501026449</v>
      </c>
      <c r="V132" s="65">
        <f t="shared" si="100"/>
        <v>2.4662226926924191</v>
      </c>
      <c r="W132" s="65">
        <f t="shared" si="100"/>
        <v>3.3668736618872388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18.069012678560686</v>
      </c>
      <c r="C133" s="65">
        <f t="shared" ref="C133:W133" si="102">IF(C103=0,0,C103/C$26)</f>
        <v>17.935389506784045</v>
      </c>
      <c r="D133" s="65">
        <f t="shared" si="102"/>
        <v>17.610301001600892</v>
      </c>
      <c r="E133" s="65">
        <f t="shared" si="102"/>
        <v>17.189098780961011</v>
      </c>
      <c r="F133" s="65">
        <f t="shared" si="102"/>
        <v>16.618594237208754</v>
      </c>
      <c r="G133" s="65">
        <f t="shared" si="102"/>
        <v>16.600517553306538</v>
      </c>
      <c r="H133" s="65">
        <f t="shared" si="102"/>
        <v>16.831485436406371</v>
      </c>
      <c r="I133" s="65">
        <f t="shared" si="102"/>
        <v>16.92531708831963</v>
      </c>
      <c r="J133" s="65">
        <f t="shared" si="102"/>
        <v>16.979158961899909</v>
      </c>
      <c r="K133" s="65">
        <f t="shared" si="102"/>
        <v>17.503822189369629</v>
      </c>
      <c r="L133" s="65">
        <f t="shared" si="102"/>
        <v>18.123173562251576</v>
      </c>
      <c r="M133" s="65">
        <f t="shared" si="102"/>
        <v>17.990267815578196</v>
      </c>
      <c r="N133" s="65">
        <f t="shared" si="102"/>
        <v>17.778243567112071</v>
      </c>
      <c r="O133" s="65">
        <f t="shared" si="102"/>
        <v>17.735091776237418</v>
      </c>
      <c r="P133" s="65">
        <f t="shared" si="102"/>
        <v>17.396079232027127</v>
      </c>
      <c r="Q133" s="65">
        <f t="shared" si="102"/>
        <v>17.498804608580993</v>
      </c>
      <c r="R133" s="65">
        <f t="shared" si="102"/>
        <v>17.504355850695493</v>
      </c>
      <c r="S133" s="65">
        <f t="shared" si="102"/>
        <v>17.600947015382186</v>
      </c>
      <c r="T133" s="65">
        <f t="shared" si="102"/>
        <v>17.565018204609544</v>
      </c>
      <c r="U133" s="65">
        <f t="shared" si="102"/>
        <v>17.605432286076635</v>
      </c>
      <c r="V133" s="65">
        <f t="shared" si="102"/>
        <v>15.529697438028489</v>
      </c>
      <c r="W133" s="65">
        <f t="shared" si="102"/>
        <v>16.359197147322853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17.97793220108851</v>
      </c>
      <c r="C134" s="67">
        <f t="shared" ref="C134:W134" si="104">IF(C104=0,0,C104/C$26)</f>
        <v>18.493042674392719</v>
      </c>
      <c r="D134" s="67">
        <f t="shared" si="104"/>
        <v>17.716745544293897</v>
      </c>
      <c r="E134" s="67">
        <f t="shared" si="104"/>
        <v>17.431393039476657</v>
      </c>
      <c r="F134" s="67">
        <f t="shared" si="104"/>
        <v>17.548818814304859</v>
      </c>
      <c r="G134" s="67">
        <f t="shared" si="104"/>
        <v>16.928084545548078</v>
      </c>
      <c r="H134" s="67">
        <f t="shared" si="104"/>
        <v>16.865515751103128</v>
      </c>
      <c r="I134" s="67">
        <f t="shared" si="104"/>
        <v>16.747227706404875</v>
      </c>
      <c r="J134" s="67">
        <f t="shared" si="104"/>
        <v>17.223235794321511</v>
      </c>
      <c r="K134" s="67">
        <f t="shared" si="104"/>
        <v>17.542012922215296</v>
      </c>
      <c r="L134" s="67">
        <f t="shared" si="104"/>
        <v>18.41379341443308</v>
      </c>
      <c r="M134" s="67">
        <f t="shared" si="104"/>
        <v>18.23477294880346</v>
      </c>
      <c r="N134" s="67">
        <f t="shared" si="104"/>
        <v>19.11095842286257</v>
      </c>
      <c r="O134" s="67">
        <f t="shared" si="104"/>
        <v>18.921144005791135</v>
      </c>
      <c r="P134" s="67">
        <f t="shared" si="104"/>
        <v>18.45860627063972</v>
      </c>
      <c r="Q134" s="67">
        <f t="shared" si="104"/>
        <v>18.384576126515807</v>
      </c>
      <c r="R134" s="67">
        <f t="shared" si="104"/>
        <v>18.560223255874245</v>
      </c>
      <c r="S134" s="67">
        <f t="shared" si="104"/>
        <v>19.286766884864122</v>
      </c>
      <c r="T134" s="67">
        <f t="shared" si="104"/>
        <v>20.17238843008813</v>
      </c>
      <c r="U134" s="67">
        <f t="shared" si="104"/>
        <v>20.300866205264654</v>
      </c>
      <c r="V134" s="67">
        <f t="shared" si="104"/>
        <v>17.523508051669211</v>
      </c>
      <c r="W134" s="67">
        <f t="shared" si="104"/>
        <v>19.060047024767094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48.225237584579844</v>
      </c>
      <c r="C135" s="68">
        <f t="shared" ref="C135:W135" si="106">IF(C105=0,0,C105/C$26)</f>
        <v>48.412987443663788</v>
      </c>
      <c r="D135" s="68">
        <f t="shared" si="106"/>
        <v>48.62508494913412</v>
      </c>
      <c r="E135" s="68">
        <f t="shared" si="106"/>
        <v>48.75996309576842</v>
      </c>
      <c r="F135" s="68">
        <f t="shared" si="106"/>
        <v>49.062588002127335</v>
      </c>
      <c r="G135" s="68">
        <f t="shared" si="106"/>
        <v>49.764670172107799</v>
      </c>
      <c r="H135" s="68">
        <f t="shared" si="106"/>
        <v>50.790985377066789</v>
      </c>
      <c r="I135" s="68">
        <f t="shared" si="106"/>
        <v>51.225282326771307</v>
      </c>
      <c r="J135" s="68">
        <f t="shared" si="106"/>
        <v>51.66178867862655</v>
      </c>
      <c r="K135" s="68">
        <f t="shared" si="106"/>
        <v>52.445893236487819</v>
      </c>
      <c r="L135" s="68">
        <f t="shared" si="106"/>
        <v>52.734207537682899</v>
      </c>
      <c r="M135" s="68">
        <f t="shared" si="106"/>
        <v>52.730416990017858</v>
      </c>
      <c r="N135" s="68">
        <f t="shared" si="106"/>
        <v>52.765402959783302</v>
      </c>
      <c r="O135" s="68">
        <f t="shared" si="106"/>
        <v>52.905918181633446</v>
      </c>
      <c r="P135" s="68">
        <f t="shared" si="106"/>
        <v>53.272306604979754</v>
      </c>
      <c r="Q135" s="68">
        <f t="shared" si="106"/>
        <v>54.318155734915841</v>
      </c>
      <c r="R135" s="68">
        <f t="shared" si="106"/>
        <v>54.169904221735898</v>
      </c>
      <c r="S135" s="68">
        <f t="shared" si="106"/>
        <v>53.499516076330622</v>
      </c>
      <c r="T135" s="68">
        <f t="shared" si="106"/>
        <v>52.265216094542453</v>
      </c>
      <c r="U135" s="68">
        <f t="shared" si="106"/>
        <v>50.228267402649884</v>
      </c>
      <c r="V135" s="68">
        <f t="shared" si="106"/>
        <v>42.295182827823851</v>
      </c>
      <c r="W135" s="68">
        <f t="shared" si="106"/>
        <v>45.991041882213878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59.521781939336854</v>
      </c>
      <c r="C137" s="85">
        <f t="shared" ref="C137:W137" si="108">IF(C107=0,0,C107/C$26)</f>
        <v>68.722468396492019</v>
      </c>
      <c r="D137" s="85">
        <f t="shared" si="108"/>
        <v>64.941060752402535</v>
      </c>
      <c r="E137" s="85">
        <f t="shared" si="108"/>
        <v>66.477910121586575</v>
      </c>
      <c r="F137" s="85">
        <f t="shared" si="108"/>
        <v>57.617000181387425</v>
      </c>
      <c r="G137" s="85">
        <f t="shared" si="108"/>
        <v>69.713175838451193</v>
      </c>
      <c r="H137" s="85">
        <f t="shared" si="108"/>
        <v>78.001020298560292</v>
      </c>
      <c r="I137" s="85">
        <f t="shared" si="108"/>
        <v>72.848228895259467</v>
      </c>
      <c r="J137" s="85">
        <f t="shared" si="108"/>
        <v>72.819748964941596</v>
      </c>
      <c r="K137" s="85">
        <f t="shared" si="108"/>
        <v>70.881103814534399</v>
      </c>
      <c r="L137" s="85">
        <f t="shared" si="108"/>
        <v>77.806258052371817</v>
      </c>
      <c r="M137" s="85">
        <f t="shared" si="108"/>
        <v>81.451049567900967</v>
      </c>
      <c r="N137" s="85">
        <f t="shared" si="108"/>
        <v>82.91485919437757</v>
      </c>
      <c r="O137" s="85">
        <f t="shared" si="108"/>
        <v>74.387010470252847</v>
      </c>
      <c r="P137" s="85">
        <f t="shared" si="108"/>
        <v>69.463540400797669</v>
      </c>
      <c r="Q137" s="85">
        <f t="shared" si="108"/>
        <v>77.197432635865354</v>
      </c>
      <c r="R137" s="85">
        <f t="shared" si="108"/>
        <v>83.762992388034633</v>
      </c>
      <c r="S137" s="85">
        <f t="shared" si="108"/>
        <v>83.415611814194833</v>
      </c>
      <c r="T137" s="85">
        <f t="shared" si="108"/>
        <v>86.540206187998393</v>
      </c>
      <c r="U137" s="85">
        <f t="shared" si="108"/>
        <v>91.29809326938161</v>
      </c>
      <c r="V137" s="85">
        <f t="shared" si="108"/>
        <v>78.674914554444513</v>
      </c>
      <c r="W137" s="85">
        <f t="shared" si="108"/>
        <v>99.473477035412785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32.344537975019193</v>
      </c>
      <c r="C138" s="65">
        <f t="shared" ref="C138:W138" si="110">IF(C108=0,0,C108/C$26)</f>
        <v>41.302357541403346</v>
      </c>
      <c r="D138" s="65">
        <f t="shared" si="110"/>
        <v>38.978452696683469</v>
      </c>
      <c r="E138" s="65">
        <f t="shared" si="110"/>
        <v>40.130276649082035</v>
      </c>
      <c r="F138" s="65">
        <f t="shared" si="110"/>
        <v>31.906154558131906</v>
      </c>
      <c r="G138" s="65">
        <f t="shared" si="110"/>
        <v>43.99552007707112</v>
      </c>
      <c r="H138" s="65">
        <f t="shared" si="110"/>
        <v>51.204040769899819</v>
      </c>
      <c r="I138" s="65">
        <f t="shared" si="110"/>
        <v>40.919655784526746</v>
      </c>
      <c r="J138" s="65">
        <f t="shared" si="110"/>
        <v>43.924619721909473</v>
      </c>
      <c r="K138" s="65">
        <f t="shared" si="110"/>
        <v>41.977653156377599</v>
      </c>
      <c r="L138" s="65">
        <f t="shared" si="110"/>
        <v>45.945764330283147</v>
      </c>
      <c r="M138" s="65">
        <f t="shared" si="110"/>
        <v>50.799117462434218</v>
      </c>
      <c r="N138" s="65">
        <f t="shared" si="110"/>
        <v>43.833984213639326</v>
      </c>
      <c r="O138" s="65">
        <f t="shared" si="110"/>
        <v>42.538140070981164</v>
      </c>
      <c r="P138" s="65">
        <f t="shared" si="110"/>
        <v>38.38969636340321</v>
      </c>
      <c r="Q138" s="65">
        <f t="shared" si="110"/>
        <v>42.778751835348821</v>
      </c>
      <c r="R138" s="65">
        <f t="shared" si="110"/>
        <v>49.588185372214852</v>
      </c>
      <c r="S138" s="65">
        <f t="shared" si="110"/>
        <v>47.946572105716164</v>
      </c>
      <c r="T138" s="65">
        <f t="shared" si="110"/>
        <v>52.624739532671292</v>
      </c>
      <c r="U138" s="65">
        <f t="shared" si="110"/>
        <v>56.142806561544795</v>
      </c>
      <c r="V138" s="65">
        <f t="shared" si="110"/>
        <v>46.801290642871095</v>
      </c>
      <c r="W138" s="65">
        <f t="shared" si="110"/>
        <v>62.35666082416644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4.2643743484401604</v>
      </c>
      <c r="C139" s="65">
        <f t="shared" ref="C139:W139" si="112">IF(C109=0,0,C109/C$26)</f>
        <v>4.3152836793453666</v>
      </c>
      <c r="D139" s="65">
        <f t="shared" si="112"/>
        <v>3.4062651999379456</v>
      </c>
      <c r="E139" s="65">
        <f t="shared" si="112"/>
        <v>4.1829413722342652</v>
      </c>
      <c r="F139" s="65">
        <f t="shared" si="112"/>
        <v>3.7549172787215341</v>
      </c>
      <c r="G139" s="65">
        <f t="shared" si="112"/>
        <v>4.0932376020514187</v>
      </c>
      <c r="H139" s="65">
        <f t="shared" si="112"/>
        <v>5.1265727085021959</v>
      </c>
      <c r="I139" s="65">
        <f t="shared" si="112"/>
        <v>10.28152428823428</v>
      </c>
      <c r="J139" s="65">
        <f t="shared" si="112"/>
        <v>6.933733439450255</v>
      </c>
      <c r="K139" s="65">
        <f t="shared" si="112"/>
        <v>6.3220199360477327</v>
      </c>
      <c r="L139" s="65">
        <f t="shared" si="112"/>
        <v>8.1183722127056317</v>
      </c>
      <c r="M139" s="65">
        <f t="shared" si="112"/>
        <v>6.9133432799878287</v>
      </c>
      <c r="N139" s="65">
        <f t="shared" si="112"/>
        <v>14.75299847564213</v>
      </c>
      <c r="O139" s="65">
        <f t="shared" si="112"/>
        <v>7.266910279149581</v>
      </c>
      <c r="P139" s="65">
        <f t="shared" si="112"/>
        <v>6.7854987758327825</v>
      </c>
      <c r="Q139" s="65">
        <f t="shared" si="112"/>
        <v>9.8472866743524605</v>
      </c>
      <c r="R139" s="65">
        <f t="shared" si="112"/>
        <v>9.2289721162860907</v>
      </c>
      <c r="S139" s="65">
        <f t="shared" si="112"/>
        <v>9.728996129386335</v>
      </c>
      <c r="T139" s="65">
        <f t="shared" si="112"/>
        <v>7.2978780673297177</v>
      </c>
      <c r="U139" s="65">
        <f t="shared" si="112"/>
        <v>8.0861891559424954</v>
      </c>
      <c r="V139" s="65">
        <f t="shared" si="112"/>
        <v>7.8471043841362631</v>
      </c>
      <c r="W139" s="65">
        <f t="shared" si="112"/>
        <v>10.998439907557907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10.301004892719877</v>
      </c>
      <c r="C140" s="65">
        <f t="shared" ref="C140:W140" si="114">IF(C110=0,0,C110/C$26)</f>
        <v>10.227399528083614</v>
      </c>
      <c r="D140" s="65">
        <f t="shared" si="114"/>
        <v>10.095551712625479</v>
      </c>
      <c r="E140" s="65">
        <f t="shared" si="114"/>
        <v>9.9152235383801948</v>
      </c>
      <c r="F140" s="65">
        <f t="shared" si="114"/>
        <v>9.679511096790419</v>
      </c>
      <c r="G140" s="65">
        <f t="shared" si="114"/>
        <v>9.7042122015516945</v>
      </c>
      <c r="H140" s="65">
        <f t="shared" si="114"/>
        <v>9.8476498585658465</v>
      </c>
      <c r="I140" s="65">
        <f t="shared" si="114"/>
        <v>9.9140280936951388</v>
      </c>
      <c r="J140" s="65">
        <f t="shared" si="114"/>
        <v>9.9817581754723257</v>
      </c>
      <c r="K140" s="65">
        <f t="shared" si="114"/>
        <v>10.327369180066629</v>
      </c>
      <c r="L140" s="65">
        <f t="shared" si="114"/>
        <v>10.960958855109512</v>
      </c>
      <c r="M140" s="65">
        <f t="shared" si="114"/>
        <v>11.07255134479724</v>
      </c>
      <c r="N140" s="65">
        <f t="shared" si="114"/>
        <v>11.117931563622127</v>
      </c>
      <c r="O140" s="65">
        <f t="shared" si="114"/>
        <v>11.371287432534707</v>
      </c>
      <c r="P140" s="65">
        <f t="shared" si="114"/>
        <v>11.264413516607725</v>
      </c>
      <c r="Q140" s="65">
        <f t="shared" si="114"/>
        <v>11.518202832002855</v>
      </c>
      <c r="R140" s="65">
        <f t="shared" si="114"/>
        <v>11.693486176096618</v>
      </c>
      <c r="S140" s="65">
        <f t="shared" si="114"/>
        <v>11.983488258453978</v>
      </c>
      <c r="T140" s="65">
        <f t="shared" si="114"/>
        <v>12.233591821220461</v>
      </c>
      <c r="U140" s="65">
        <f t="shared" si="114"/>
        <v>12.494648948570902</v>
      </c>
      <c r="V140" s="65">
        <f t="shared" si="114"/>
        <v>11.304961681904441</v>
      </c>
      <c r="W140" s="65">
        <f t="shared" si="114"/>
        <v>12.125430600660041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12.61186472315763</v>
      </c>
      <c r="C141" s="68">
        <f t="shared" ref="C141:W141" si="116">IF(C111=0,0,C111/C$26)</f>
        <v>12.877427647659697</v>
      </c>
      <c r="D141" s="68">
        <f t="shared" si="116"/>
        <v>12.460791143155639</v>
      </c>
      <c r="E141" s="68">
        <f t="shared" si="116"/>
        <v>12.249468561890078</v>
      </c>
      <c r="F141" s="68">
        <f t="shared" si="116"/>
        <v>12.276417247743568</v>
      </c>
      <c r="G141" s="68">
        <f t="shared" si="116"/>
        <v>11.920205957776956</v>
      </c>
      <c r="H141" s="68">
        <f t="shared" si="116"/>
        <v>11.822756961592431</v>
      </c>
      <c r="I141" s="68">
        <f t="shared" si="116"/>
        <v>11.733020728803307</v>
      </c>
      <c r="J141" s="68">
        <f t="shared" si="116"/>
        <v>11.979637628109534</v>
      </c>
      <c r="K141" s="68">
        <f t="shared" si="116"/>
        <v>12.254061542042441</v>
      </c>
      <c r="L141" s="68">
        <f t="shared" si="116"/>
        <v>12.781162654273517</v>
      </c>
      <c r="M141" s="68">
        <f t="shared" si="116"/>
        <v>12.666037480681682</v>
      </c>
      <c r="N141" s="68">
        <f t="shared" si="116"/>
        <v>13.209944941473985</v>
      </c>
      <c r="O141" s="68">
        <f t="shared" si="116"/>
        <v>13.210672687587408</v>
      </c>
      <c r="P141" s="68">
        <f t="shared" si="116"/>
        <v>13.023931744953948</v>
      </c>
      <c r="Q141" s="68">
        <f t="shared" si="116"/>
        <v>13.05319129416122</v>
      </c>
      <c r="R141" s="68">
        <f t="shared" si="116"/>
        <v>13.252348723437072</v>
      </c>
      <c r="S141" s="68">
        <f t="shared" si="116"/>
        <v>13.756555320638361</v>
      </c>
      <c r="T141" s="68">
        <f t="shared" si="116"/>
        <v>14.383996766776923</v>
      </c>
      <c r="U141" s="68">
        <f t="shared" si="116"/>
        <v>14.574448603323424</v>
      </c>
      <c r="V141" s="68">
        <f t="shared" si="116"/>
        <v>12.721557845532718</v>
      </c>
      <c r="W141" s="68">
        <f t="shared" si="116"/>
        <v>13.992945703028392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6.3436576386387449</v>
      </c>
      <c r="C143" s="82">
        <f t="shared" ref="C143:W143" si="118">IF(C113=0,0,C113/C$26)</f>
        <v>10.784884841586917</v>
      </c>
      <c r="D143" s="82">
        <f t="shared" si="118"/>
        <v>7.0673825461982887</v>
      </c>
      <c r="E143" s="82">
        <f t="shared" si="118"/>
        <v>4.8682269040367618</v>
      </c>
      <c r="F143" s="82">
        <f t="shared" si="118"/>
        <v>3.3372747255012523</v>
      </c>
      <c r="G143" s="82">
        <f t="shared" si="118"/>
        <v>3.5794889543665884</v>
      </c>
      <c r="H143" s="82">
        <f t="shared" si="118"/>
        <v>5.5982632948313089</v>
      </c>
      <c r="I143" s="82">
        <f t="shared" si="118"/>
        <v>4.5485356169415514</v>
      </c>
      <c r="J143" s="82">
        <f t="shared" si="118"/>
        <v>5.4381021782059236</v>
      </c>
      <c r="K143" s="82">
        <f t="shared" si="118"/>
        <v>5.0243388880258921</v>
      </c>
      <c r="L143" s="82">
        <f t="shared" si="118"/>
        <v>4.5254650652625941</v>
      </c>
      <c r="M143" s="82">
        <f t="shared" si="118"/>
        <v>4.097892801784508</v>
      </c>
      <c r="N143" s="82">
        <f t="shared" si="118"/>
        <v>3.9328976564448119</v>
      </c>
      <c r="O143" s="82">
        <f t="shared" si="118"/>
        <v>3.3742005275225555</v>
      </c>
      <c r="P143" s="82">
        <f t="shared" si="118"/>
        <v>3.0732755264404781</v>
      </c>
      <c r="Q143" s="82">
        <f t="shared" si="118"/>
        <v>4.1841853069411821</v>
      </c>
      <c r="R143" s="82">
        <f t="shared" si="118"/>
        <v>4.1645332579190262</v>
      </c>
      <c r="S143" s="82">
        <f t="shared" si="118"/>
        <v>4.0087715648223243</v>
      </c>
      <c r="T143" s="82">
        <f t="shared" si="118"/>
        <v>3.6190201822829886</v>
      </c>
      <c r="U143" s="82">
        <f t="shared" si="118"/>
        <v>3.5608625958823996</v>
      </c>
      <c r="V143" s="82">
        <f t="shared" si="118"/>
        <v>3.2349206606634047</v>
      </c>
      <c r="W143" s="82">
        <f t="shared" si="118"/>
        <v>3.7692404753944504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6.3436576386387449</v>
      </c>
      <c r="C144" s="64">
        <f t="shared" ref="C144:W144" si="120">IF(C114=0,0,C114/C$26)</f>
        <v>10.784884841586917</v>
      </c>
      <c r="D144" s="64">
        <f t="shared" si="120"/>
        <v>7.0673825461982887</v>
      </c>
      <c r="E144" s="64">
        <f t="shared" si="120"/>
        <v>4.8682269040367618</v>
      </c>
      <c r="F144" s="64">
        <f t="shared" si="120"/>
        <v>3.3372747255012523</v>
      </c>
      <c r="G144" s="64">
        <f t="shared" si="120"/>
        <v>3.5794889543665884</v>
      </c>
      <c r="H144" s="64">
        <f t="shared" si="120"/>
        <v>5.5982632948313089</v>
      </c>
      <c r="I144" s="64">
        <f t="shared" si="120"/>
        <v>4.5485356169415514</v>
      </c>
      <c r="J144" s="64">
        <f t="shared" si="120"/>
        <v>5.4381021782059236</v>
      </c>
      <c r="K144" s="64">
        <f t="shared" si="120"/>
        <v>5.0243388880258921</v>
      </c>
      <c r="L144" s="64">
        <f t="shared" si="120"/>
        <v>4.5254650652625941</v>
      </c>
      <c r="M144" s="64">
        <f t="shared" si="120"/>
        <v>4.097892801784508</v>
      </c>
      <c r="N144" s="64">
        <f t="shared" si="120"/>
        <v>3.9328976564448119</v>
      </c>
      <c r="O144" s="64">
        <f t="shared" si="120"/>
        <v>3.3742005275225555</v>
      </c>
      <c r="P144" s="64">
        <f t="shared" si="120"/>
        <v>3.0732755264404781</v>
      </c>
      <c r="Q144" s="64">
        <f t="shared" si="120"/>
        <v>4.1841853069411821</v>
      </c>
      <c r="R144" s="64">
        <f t="shared" si="120"/>
        <v>4.1645332579190262</v>
      </c>
      <c r="S144" s="64">
        <f t="shared" si="120"/>
        <v>4.0087715648223243</v>
      </c>
      <c r="T144" s="64">
        <f t="shared" si="120"/>
        <v>3.6190201822829886</v>
      </c>
      <c r="U144" s="64">
        <f t="shared" si="120"/>
        <v>3.5608625958823996</v>
      </c>
      <c r="V144" s="64">
        <f t="shared" si="120"/>
        <v>3.2349206606634047</v>
      </c>
      <c r="W144" s="64">
        <f t="shared" si="120"/>
        <v>3.7692404753944504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5.3513301029728604</v>
      </c>
      <c r="C145" s="65">
        <f t="shared" ref="C145:W145" si="122">IF(C115=0,0,C115/C$26)</f>
        <v>9.5642609905546312</v>
      </c>
      <c r="D145" s="65">
        <f t="shared" si="122"/>
        <v>6.012419338119412</v>
      </c>
      <c r="E145" s="65">
        <f t="shared" si="122"/>
        <v>3.7818608020733593</v>
      </c>
      <c r="F145" s="65">
        <f t="shared" si="122"/>
        <v>2.2250696019741478</v>
      </c>
      <c r="G145" s="65">
        <f t="shared" si="122"/>
        <v>2.5289052166985382</v>
      </c>
      <c r="H145" s="65">
        <f t="shared" si="122"/>
        <v>4.3777523302469623</v>
      </c>
      <c r="I145" s="65">
        <f t="shared" si="122"/>
        <v>3.209404384292974</v>
      </c>
      <c r="J145" s="65">
        <f t="shared" si="122"/>
        <v>4.0637869065266701</v>
      </c>
      <c r="K145" s="65">
        <f t="shared" si="122"/>
        <v>3.6307766071153535</v>
      </c>
      <c r="L145" s="65">
        <f t="shared" si="122"/>
        <v>2.9377673909682485</v>
      </c>
      <c r="M145" s="65">
        <f t="shared" si="122"/>
        <v>2.5015084528314517</v>
      </c>
      <c r="N145" s="65">
        <f t="shared" si="122"/>
        <v>2.1744578536861789</v>
      </c>
      <c r="O145" s="65">
        <f t="shared" si="122"/>
        <v>1.804604048602344</v>
      </c>
      <c r="P145" s="65">
        <f t="shared" si="122"/>
        <v>1.6638941829015206</v>
      </c>
      <c r="Q145" s="65">
        <f t="shared" si="122"/>
        <v>2.824548880940343</v>
      </c>
      <c r="R145" s="65">
        <f t="shared" si="122"/>
        <v>2.8526970309461723</v>
      </c>
      <c r="S145" s="65">
        <f t="shared" si="122"/>
        <v>2.6303070837420046</v>
      </c>
      <c r="T145" s="65">
        <f t="shared" si="122"/>
        <v>2.2611707114937607</v>
      </c>
      <c r="U145" s="65">
        <f t="shared" si="122"/>
        <v>2.2167879588896393</v>
      </c>
      <c r="V145" s="65">
        <f t="shared" si="122"/>
        <v>2.130409032391368</v>
      </c>
      <c r="W145" s="65">
        <f t="shared" si="122"/>
        <v>2.5541978708093356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0.80766946428862341</v>
      </c>
      <c r="C147" s="65">
        <f t="shared" ref="C147:W147" si="126">IF(C117=0,0,C117/C$26)</f>
        <v>0.85920218405459114</v>
      </c>
      <c r="D147" s="65">
        <f t="shared" si="126"/>
        <v>0.83120126706804698</v>
      </c>
      <c r="E147" s="65">
        <f t="shared" si="126"/>
        <v>0.80953384849079435</v>
      </c>
      <c r="F147" s="65">
        <f t="shared" si="126"/>
        <v>0.71813466067202647</v>
      </c>
      <c r="G147" s="65">
        <f t="shared" si="126"/>
        <v>0.725939977696343</v>
      </c>
      <c r="H147" s="65">
        <f t="shared" si="126"/>
        <v>0.78928811418287526</v>
      </c>
      <c r="I147" s="65">
        <f t="shared" si="126"/>
        <v>0.85655862477896949</v>
      </c>
      <c r="J147" s="65">
        <f t="shared" si="126"/>
        <v>0.87701476253595045</v>
      </c>
      <c r="K147" s="65">
        <f t="shared" si="126"/>
        <v>0.8947351728590196</v>
      </c>
      <c r="L147" s="65">
        <f t="shared" si="126"/>
        <v>0.90136611953705903</v>
      </c>
      <c r="M147" s="65">
        <f t="shared" si="126"/>
        <v>0.88652873164212487</v>
      </c>
      <c r="N147" s="65">
        <f t="shared" si="126"/>
        <v>0.85697210924276646</v>
      </c>
      <c r="O147" s="65">
        <f t="shared" si="126"/>
        <v>0.77901320490137405</v>
      </c>
      <c r="P147" s="65">
        <f t="shared" si="126"/>
        <v>0.7334773820144832</v>
      </c>
      <c r="Q147" s="65">
        <f t="shared" si="126"/>
        <v>0.71336718459187287</v>
      </c>
      <c r="R147" s="65">
        <f t="shared" si="126"/>
        <v>0.66897517460923772</v>
      </c>
      <c r="S147" s="65">
        <f t="shared" si="126"/>
        <v>0.67188700997180062</v>
      </c>
      <c r="T147" s="65">
        <f t="shared" si="126"/>
        <v>0.62256457156836986</v>
      </c>
      <c r="U147" s="65">
        <f t="shared" si="126"/>
        <v>0.62722421041277443</v>
      </c>
      <c r="V147" s="65">
        <f t="shared" si="126"/>
        <v>0.51330380304222212</v>
      </c>
      <c r="W147" s="65">
        <f t="shared" si="126"/>
        <v>0.52956676322703178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0.18465807137726103</v>
      </c>
      <c r="C148" s="67">
        <f t="shared" ref="C148:W148" si="128">IF(C118=0,0,C118/C$26)</f>
        <v>0.36142166697769557</v>
      </c>
      <c r="D148" s="67">
        <f t="shared" si="128"/>
        <v>0.22376194101082961</v>
      </c>
      <c r="E148" s="67">
        <f t="shared" si="128"/>
        <v>0.27683225347260815</v>
      </c>
      <c r="F148" s="67">
        <f t="shared" si="128"/>
        <v>0.39407046285507774</v>
      </c>
      <c r="G148" s="67">
        <f t="shared" si="128"/>
        <v>0.32464375997170736</v>
      </c>
      <c r="H148" s="67">
        <f t="shared" si="128"/>
        <v>0.43122285040147124</v>
      </c>
      <c r="I148" s="67">
        <f t="shared" si="128"/>
        <v>0.48257260786960793</v>
      </c>
      <c r="J148" s="67">
        <f t="shared" si="128"/>
        <v>0.49730050914330387</v>
      </c>
      <c r="K148" s="67">
        <f t="shared" si="128"/>
        <v>0.49882710805151981</v>
      </c>
      <c r="L148" s="67">
        <f t="shared" si="128"/>
        <v>0.68633155475728747</v>
      </c>
      <c r="M148" s="67">
        <f t="shared" si="128"/>
        <v>0.70985561731093128</v>
      </c>
      <c r="N148" s="67">
        <f t="shared" si="128"/>
        <v>0.90146769351586586</v>
      </c>
      <c r="O148" s="67">
        <f t="shared" si="128"/>
        <v>0.79058327401883854</v>
      </c>
      <c r="P148" s="67">
        <f t="shared" si="128"/>
        <v>0.67590396152447463</v>
      </c>
      <c r="Q148" s="67">
        <f t="shared" si="128"/>
        <v>0.6462692414089668</v>
      </c>
      <c r="R148" s="67">
        <f t="shared" si="128"/>
        <v>0.64286105236361646</v>
      </c>
      <c r="S148" s="67">
        <f t="shared" si="128"/>
        <v>0.70657747110851954</v>
      </c>
      <c r="T148" s="67">
        <f t="shared" si="128"/>
        <v>0.73528489922085727</v>
      </c>
      <c r="U148" s="67">
        <f t="shared" si="128"/>
        <v>0.71685042657998488</v>
      </c>
      <c r="V148" s="67">
        <f t="shared" si="128"/>
        <v>0.59120782522981441</v>
      </c>
      <c r="W148" s="67">
        <f t="shared" si="128"/>
        <v>0.6854758413580827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4758.921324292578</v>
      </c>
      <c r="C153" s="82">
        <f t="shared" ref="C153:W153" si="132">IF(C99=0,0,C99/C$23)</f>
        <v>5567.100676708953</v>
      </c>
      <c r="D153" s="82">
        <f t="shared" si="132"/>
        <v>5372.3785213661467</v>
      </c>
      <c r="E153" s="82">
        <f t="shared" si="132"/>
        <v>5161.6027594871921</v>
      </c>
      <c r="F153" s="82">
        <f t="shared" si="132"/>
        <v>4592.1110850400555</v>
      </c>
      <c r="G153" s="82">
        <f t="shared" si="132"/>
        <v>5195.5666166938108</v>
      </c>
      <c r="H153" s="82">
        <f t="shared" si="132"/>
        <v>5734.1162657203977</v>
      </c>
      <c r="I153" s="82">
        <f t="shared" si="132"/>
        <v>5281.2944476736848</v>
      </c>
      <c r="J153" s="82">
        <f t="shared" si="132"/>
        <v>5608.8086779551604</v>
      </c>
      <c r="K153" s="82">
        <f t="shared" si="132"/>
        <v>5415.1016522238542</v>
      </c>
      <c r="L153" s="82">
        <f t="shared" si="132"/>
        <v>5776.4801107036874</v>
      </c>
      <c r="M153" s="82">
        <f t="shared" si="132"/>
        <v>6185.8884532702659</v>
      </c>
      <c r="N153" s="82">
        <f t="shared" si="132"/>
        <v>6089.1460842256429</v>
      </c>
      <c r="O153" s="82">
        <f t="shared" si="132"/>
        <v>5716.6630452717891</v>
      </c>
      <c r="P153" s="82">
        <f t="shared" si="132"/>
        <v>5498.4597398082997</v>
      </c>
      <c r="Q153" s="82">
        <f t="shared" si="132"/>
        <v>5897.8873432487035</v>
      </c>
      <c r="R153" s="82">
        <f t="shared" si="132"/>
        <v>6185.5146732630283</v>
      </c>
      <c r="S153" s="82">
        <f t="shared" si="132"/>
        <v>6164.4347159067256</v>
      </c>
      <c r="T153" s="82">
        <f t="shared" si="132"/>
        <v>6412.338673158144</v>
      </c>
      <c r="U153" s="82">
        <f t="shared" si="132"/>
        <v>6438.360488670698</v>
      </c>
      <c r="V153" s="82">
        <f t="shared" si="132"/>
        <v>5413.3265824058562</v>
      </c>
      <c r="W153" s="82">
        <f t="shared" si="132"/>
        <v>6512.0758116919642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3172.1337190475469</v>
      </c>
      <c r="C154" s="64">
        <f t="shared" ref="C154:W154" si="134">IF(C100=0,0,C100/C$23)</f>
        <v>3923.8513304869539</v>
      </c>
      <c r="D154" s="64">
        <f t="shared" si="134"/>
        <v>3651.7755908704189</v>
      </c>
      <c r="E154" s="64">
        <f t="shared" si="134"/>
        <v>3459.4130779756656</v>
      </c>
      <c r="F154" s="64">
        <f t="shared" si="134"/>
        <v>2868.0837533540644</v>
      </c>
      <c r="G154" s="64">
        <f t="shared" si="134"/>
        <v>3432.6955778758011</v>
      </c>
      <c r="H154" s="64">
        <f t="shared" si="134"/>
        <v>3915.8403857968569</v>
      </c>
      <c r="I154" s="64">
        <f t="shared" si="134"/>
        <v>3420.1445063214455</v>
      </c>
      <c r="J154" s="64">
        <f t="shared" si="134"/>
        <v>3676.9038360897034</v>
      </c>
      <c r="K154" s="64">
        <f t="shared" si="134"/>
        <v>3469.5468910718319</v>
      </c>
      <c r="L154" s="64">
        <f t="shared" si="134"/>
        <v>3764.6751112132229</v>
      </c>
      <c r="M154" s="64">
        <f t="shared" si="134"/>
        <v>4093.2789246154657</v>
      </c>
      <c r="N154" s="64">
        <f t="shared" si="134"/>
        <v>3940.6098925630599</v>
      </c>
      <c r="O154" s="64">
        <f t="shared" si="134"/>
        <v>3532.1174989225538</v>
      </c>
      <c r="P154" s="64">
        <f t="shared" si="134"/>
        <v>3262.4261662744525</v>
      </c>
      <c r="Q154" s="64">
        <f t="shared" si="134"/>
        <v>3583.0473275374602</v>
      </c>
      <c r="R154" s="64">
        <f t="shared" si="134"/>
        <v>3895.4140896018866</v>
      </c>
      <c r="S154" s="64">
        <f t="shared" si="134"/>
        <v>3888.4928258213813</v>
      </c>
      <c r="T154" s="64">
        <f t="shared" si="134"/>
        <v>4185.5905584105731</v>
      </c>
      <c r="U154" s="64">
        <f t="shared" si="134"/>
        <v>4306.7733760162209</v>
      </c>
      <c r="V154" s="64">
        <f t="shared" si="134"/>
        <v>3555.1479619554921</v>
      </c>
      <c r="W154" s="64">
        <f t="shared" si="134"/>
        <v>4505.3452257392828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1896.8732731254263</v>
      </c>
      <c r="C155" s="65">
        <f t="shared" ref="C155:W155" si="136">IF(C101=0,0,C101/C$23)</f>
        <v>2599.2181656735766</v>
      </c>
      <c r="D155" s="65">
        <f t="shared" si="136"/>
        <v>2332.637162388201</v>
      </c>
      <c r="E155" s="65">
        <f t="shared" si="136"/>
        <v>2171.5551970131278</v>
      </c>
      <c r="F155" s="65">
        <f t="shared" si="136"/>
        <v>1599.6707582779804</v>
      </c>
      <c r="G155" s="65">
        <f t="shared" si="136"/>
        <v>2173.6379028607912</v>
      </c>
      <c r="H155" s="65">
        <f t="shared" si="136"/>
        <v>2623.0133599896531</v>
      </c>
      <c r="I155" s="65">
        <f t="shared" si="136"/>
        <v>2028.4905431159605</v>
      </c>
      <c r="J155" s="65">
        <f t="shared" si="136"/>
        <v>2285.608937447169</v>
      </c>
      <c r="K155" s="65">
        <f t="shared" si="136"/>
        <v>2069.4047654624151</v>
      </c>
      <c r="L155" s="65">
        <f t="shared" si="136"/>
        <v>2241.0174162680223</v>
      </c>
      <c r="M155" s="65">
        <f t="shared" si="136"/>
        <v>2543.772452851656</v>
      </c>
      <c r="N155" s="65">
        <f t="shared" si="136"/>
        <v>2200.0394620864226</v>
      </c>
      <c r="O155" s="65">
        <f t="shared" si="136"/>
        <v>1902.9569186827778</v>
      </c>
      <c r="P155" s="65">
        <f t="shared" si="136"/>
        <v>1651.3434531970622</v>
      </c>
      <c r="Q155" s="65">
        <f t="shared" si="136"/>
        <v>1902.6437673799323</v>
      </c>
      <c r="R155" s="65">
        <f t="shared" si="136"/>
        <v>2234.9147228385814</v>
      </c>
      <c r="S155" s="65">
        <f t="shared" si="136"/>
        <v>2179.61548775459</v>
      </c>
      <c r="T155" s="65">
        <f t="shared" si="136"/>
        <v>2475.7083585711844</v>
      </c>
      <c r="U155" s="65">
        <f t="shared" si="136"/>
        <v>2588.0786026380733</v>
      </c>
      <c r="V155" s="65">
        <f t="shared" si="136"/>
        <v>1994.6524717759223</v>
      </c>
      <c r="W155" s="65">
        <f t="shared" si="136"/>
        <v>2812.9876321204433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89.183441290262905</v>
      </c>
      <c r="C156" s="65">
        <f t="shared" ref="C156:W156" si="138">IF(C102=0,0,C102/C$23)</f>
        <v>88.167486357383808</v>
      </c>
      <c r="D156" s="65">
        <f t="shared" si="138"/>
        <v>69.087762736123096</v>
      </c>
      <c r="E156" s="65">
        <f t="shared" si="138"/>
        <v>79.271159314313138</v>
      </c>
      <c r="F156" s="65">
        <f t="shared" si="138"/>
        <v>67.79239285143025</v>
      </c>
      <c r="G156" s="65">
        <f t="shared" si="138"/>
        <v>71.335513736591039</v>
      </c>
      <c r="H156" s="65">
        <f t="shared" si="138"/>
        <v>86.501847625714831</v>
      </c>
      <c r="I156" s="65">
        <f t="shared" si="138"/>
        <v>168.24138403986828</v>
      </c>
      <c r="J156" s="65">
        <f t="shared" si="138"/>
        <v>112.28823389121087</v>
      </c>
      <c r="K156" s="65">
        <f t="shared" si="138"/>
        <v>100.06718833185091</v>
      </c>
      <c r="L156" s="65">
        <f t="shared" si="138"/>
        <v>129.77588156274544</v>
      </c>
      <c r="M156" s="65">
        <f t="shared" si="138"/>
        <v>111.91371588243898</v>
      </c>
      <c r="N156" s="65">
        <f t="shared" si="138"/>
        <v>238.49177455467785</v>
      </c>
      <c r="O156" s="65">
        <f t="shared" si="138"/>
        <v>115.58290545788169</v>
      </c>
      <c r="P156" s="65">
        <f t="shared" si="138"/>
        <v>106.13040930449438</v>
      </c>
      <c r="Q156" s="65">
        <f t="shared" si="138"/>
        <v>151.18585199425138</v>
      </c>
      <c r="R156" s="65">
        <f t="shared" si="138"/>
        <v>135.82409092427898</v>
      </c>
      <c r="S156" s="65">
        <f t="shared" si="138"/>
        <v>139.62401668586546</v>
      </c>
      <c r="T156" s="65">
        <f t="shared" si="138"/>
        <v>102.08823363305365</v>
      </c>
      <c r="U156" s="65">
        <f t="shared" si="138"/>
        <v>110.02735300214404</v>
      </c>
      <c r="V156" s="65">
        <f t="shared" si="138"/>
        <v>108.34998159213225</v>
      </c>
      <c r="W156" s="65">
        <f t="shared" si="138"/>
        <v>146.9070514569172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594.53694358829352</v>
      </c>
      <c r="C157" s="65">
        <f t="shared" ref="C157:W157" si="140">IF(C103=0,0,C103/C$23)</f>
        <v>608.76881674686024</v>
      </c>
      <c r="D157" s="65">
        <f t="shared" si="140"/>
        <v>623.14205809538453</v>
      </c>
      <c r="E157" s="65">
        <f t="shared" si="140"/>
        <v>600.06416579862855</v>
      </c>
      <c r="F157" s="65">
        <f t="shared" si="140"/>
        <v>583.96655875358465</v>
      </c>
      <c r="G157" s="65">
        <f t="shared" si="140"/>
        <v>588.05918984099617</v>
      </c>
      <c r="H157" s="65">
        <f t="shared" si="140"/>
        <v>602.55346032566956</v>
      </c>
      <c r="I157" s="65">
        <f t="shared" si="140"/>
        <v>614.94151863036882</v>
      </c>
      <c r="J157" s="65">
        <f t="shared" si="140"/>
        <v>634.93967685382427</v>
      </c>
      <c r="K157" s="65">
        <f t="shared" si="140"/>
        <v>649.3290989501902</v>
      </c>
      <c r="L157" s="65">
        <f t="shared" si="140"/>
        <v>691.39734683824099</v>
      </c>
      <c r="M157" s="65">
        <f t="shared" si="140"/>
        <v>713.94477804067833</v>
      </c>
      <c r="N157" s="65">
        <f t="shared" si="140"/>
        <v>723.90615034714881</v>
      </c>
      <c r="O157" s="65">
        <f t="shared" si="140"/>
        <v>732.30211449811384</v>
      </c>
      <c r="P157" s="65">
        <f t="shared" si="140"/>
        <v>730.17707866682565</v>
      </c>
      <c r="Q157" s="65">
        <f t="shared" si="140"/>
        <v>745.73469196447036</v>
      </c>
      <c r="R157" s="65">
        <f t="shared" si="140"/>
        <v>740.01857906562645</v>
      </c>
      <c r="S157" s="65">
        <f t="shared" si="140"/>
        <v>748.76813017013126</v>
      </c>
      <c r="T157" s="65">
        <f t="shared" si="140"/>
        <v>748.35376365554248</v>
      </c>
      <c r="U157" s="65">
        <f t="shared" si="140"/>
        <v>747.13930052327805</v>
      </c>
      <c r="V157" s="65">
        <f t="shared" si="140"/>
        <v>682.27513943795543</v>
      </c>
      <c r="W157" s="65">
        <f t="shared" si="140"/>
        <v>713.80207826642845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591.54006104356426</v>
      </c>
      <c r="C158" s="67">
        <f t="shared" ref="C158:W158" si="142">IF(C104=0,0,C104/C$23)</f>
        <v>627.69686170913224</v>
      </c>
      <c r="D158" s="67">
        <f t="shared" si="142"/>
        <v>626.90860765071068</v>
      </c>
      <c r="E158" s="67">
        <f t="shared" si="142"/>
        <v>608.52255584959653</v>
      </c>
      <c r="F158" s="67">
        <f t="shared" si="142"/>
        <v>616.65404347106823</v>
      </c>
      <c r="G158" s="67">
        <f t="shared" si="142"/>
        <v>599.66297143742247</v>
      </c>
      <c r="H158" s="67">
        <f t="shared" si="142"/>
        <v>603.77171785581891</v>
      </c>
      <c r="I158" s="67">
        <f t="shared" si="142"/>
        <v>608.47106053524794</v>
      </c>
      <c r="J158" s="67">
        <f t="shared" si="142"/>
        <v>644.0669878975001</v>
      </c>
      <c r="K158" s="67">
        <f t="shared" si="142"/>
        <v>650.74583832737517</v>
      </c>
      <c r="L158" s="67">
        <f t="shared" si="142"/>
        <v>702.48446654421423</v>
      </c>
      <c r="M158" s="67">
        <f t="shared" si="142"/>
        <v>723.64797784069242</v>
      </c>
      <c r="N158" s="67">
        <f t="shared" si="142"/>
        <v>778.17250557481077</v>
      </c>
      <c r="O158" s="67">
        <f t="shared" si="142"/>
        <v>781.27556028378081</v>
      </c>
      <c r="P158" s="67">
        <f t="shared" si="142"/>
        <v>774.77522510607082</v>
      </c>
      <c r="Q158" s="67">
        <f t="shared" si="142"/>
        <v>783.48301619880692</v>
      </c>
      <c r="R158" s="67">
        <f t="shared" si="142"/>
        <v>784.6566967733994</v>
      </c>
      <c r="S158" s="67">
        <f t="shared" si="142"/>
        <v>820.4851912107946</v>
      </c>
      <c r="T158" s="67">
        <f t="shared" si="142"/>
        <v>859.44020255079181</v>
      </c>
      <c r="U158" s="67">
        <f t="shared" si="142"/>
        <v>861.52811985272626</v>
      </c>
      <c r="V158" s="67">
        <f t="shared" si="142"/>
        <v>769.87036914948135</v>
      </c>
      <c r="W158" s="67">
        <f t="shared" si="142"/>
        <v>831.6484638954945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1586.7876052450301</v>
      </c>
      <c r="C159" s="68">
        <f t="shared" ref="C159:W159" si="144">IF(C105=0,0,C105/C$23)</f>
        <v>1643.2493462220002</v>
      </c>
      <c r="D159" s="68">
        <f t="shared" si="144"/>
        <v>1720.6029304957278</v>
      </c>
      <c r="E159" s="68">
        <f t="shared" si="144"/>
        <v>1702.1896815115265</v>
      </c>
      <c r="F159" s="68">
        <f t="shared" si="144"/>
        <v>1724.0273316859921</v>
      </c>
      <c r="G159" s="68">
        <f t="shared" si="144"/>
        <v>1762.8710388180095</v>
      </c>
      <c r="H159" s="68">
        <f t="shared" si="144"/>
        <v>1818.2758799235417</v>
      </c>
      <c r="I159" s="68">
        <f t="shared" si="144"/>
        <v>1861.1499413522395</v>
      </c>
      <c r="J159" s="68">
        <f t="shared" si="144"/>
        <v>1931.904841865457</v>
      </c>
      <c r="K159" s="68">
        <f t="shared" si="144"/>
        <v>1945.554761152023</v>
      </c>
      <c r="L159" s="68">
        <f t="shared" si="144"/>
        <v>2011.8049994904643</v>
      </c>
      <c r="M159" s="68">
        <f t="shared" si="144"/>
        <v>2092.6095286548007</v>
      </c>
      <c r="N159" s="68">
        <f t="shared" si="144"/>
        <v>2148.536191662583</v>
      </c>
      <c r="O159" s="68">
        <f t="shared" si="144"/>
        <v>2184.5455463492344</v>
      </c>
      <c r="P159" s="68">
        <f t="shared" si="144"/>
        <v>2236.0335735338472</v>
      </c>
      <c r="Q159" s="68">
        <f t="shared" si="144"/>
        <v>2314.8400157112424</v>
      </c>
      <c r="R159" s="68">
        <f t="shared" si="144"/>
        <v>2290.1005836611421</v>
      </c>
      <c r="S159" s="68">
        <f t="shared" si="144"/>
        <v>2275.9418900853457</v>
      </c>
      <c r="T159" s="68">
        <f t="shared" si="144"/>
        <v>2226.7481147475714</v>
      </c>
      <c r="U159" s="68">
        <f t="shared" si="144"/>
        <v>2131.5871126544771</v>
      </c>
      <c r="V159" s="68">
        <f t="shared" si="144"/>
        <v>1858.1786204503644</v>
      </c>
      <c r="W159" s="68">
        <f t="shared" si="144"/>
        <v>2006.7305859526809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1958.4854435976354</v>
      </c>
      <c r="C161" s="85">
        <f t="shared" ref="C161:W161" si="146">IF(C107=0,0,C107/C$23)</f>
        <v>2332.6003460271368</v>
      </c>
      <c r="D161" s="85">
        <f t="shared" si="146"/>
        <v>2297.945177000141</v>
      </c>
      <c r="E161" s="85">
        <f t="shared" si="146"/>
        <v>2320.7157157843626</v>
      </c>
      <c r="F161" s="85">
        <f t="shared" si="146"/>
        <v>2024.6237943697881</v>
      </c>
      <c r="G161" s="85">
        <f t="shared" si="146"/>
        <v>2469.52985490726</v>
      </c>
      <c r="H161" s="85">
        <f t="shared" si="146"/>
        <v>2792.3729529046868</v>
      </c>
      <c r="I161" s="85">
        <f t="shared" si="146"/>
        <v>2646.7687590502401</v>
      </c>
      <c r="J161" s="85">
        <f t="shared" si="146"/>
        <v>2723.1117854616609</v>
      </c>
      <c r="K161" s="85">
        <f t="shared" si="146"/>
        <v>2629.4350327917741</v>
      </c>
      <c r="L161" s="85">
        <f t="shared" si="146"/>
        <v>2968.3013408242191</v>
      </c>
      <c r="M161" s="85">
        <f t="shared" si="146"/>
        <v>3232.3894286098707</v>
      </c>
      <c r="N161" s="85">
        <f t="shared" si="146"/>
        <v>3376.1814714369971</v>
      </c>
      <c r="O161" s="85">
        <f t="shared" si="146"/>
        <v>3071.524283372858</v>
      </c>
      <c r="P161" s="85">
        <f t="shared" si="146"/>
        <v>2915.6388820263546</v>
      </c>
      <c r="Q161" s="85">
        <f t="shared" si="146"/>
        <v>3289.8706474455198</v>
      </c>
      <c r="R161" s="85">
        <f t="shared" si="146"/>
        <v>3541.1854702905507</v>
      </c>
      <c r="S161" s="85">
        <f t="shared" si="146"/>
        <v>3548.6131303347911</v>
      </c>
      <c r="T161" s="85">
        <f t="shared" si="146"/>
        <v>3687.0265805542836</v>
      </c>
      <c r="U161" s="85">
        <f t="shared" si="146"/>
        <v>3874.5083015281007</v>
      </c>
      <c r="V161" s="85">
        <f t="shared" si="146"/>
        <v>3456.4703215954819</v>
      </c>
      <c r="W161" s="85">
        <f t="shared" si="146"/>
        <v>4340.3336973590531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1064.2542064437357</v>
      </c>
      <c r="C162" s="65">
        <f t="shared" ref="C162:W162" si="148">IF(C108=0,0,C108/C$23)</f>
        <v>1401.8980362721052</v>
      </c>
      <c r="D162" s="65">
        <f t="shared" si="148"/>
        <v>1379.2559952596432</v>
      </c>
      <c r="E162" s="65">
        <f t="shared" si="148"/>
        <v>1400.9309788464248</v>
      </c>
      <c r="F162" s="65">
        <f t="shared" si="148"/>
        <v>1121.1614541171762</v>
      </c>
      <c r="G162" s="65">
        <f t="shared" si="148"/>
        <v>1558.5038123105066</v>
      </c>
      <c r="H162" s="65">
        <f t="shared" si="148"/>
        <v>1833.0629263311855</v>
      </c>
      <c r="I162" s="65">
        <f t="shared" si="148"/>
        <v>1486.7192820472628</v>
      </c>
      <c r="J162" s="65">
        <f t="shared" si="148"/>
        <v>1642.5715734647661</v>
      </c>
      <c r="K162" s="65">
        <f t="shared" si="148"/>
        <v>1557.2205547556409</v>
      </c>
      <c r="L162" s="65">
        <f t="shared" si="148"/>
        <v>1752.8265371016089</v>
      </c>
      <c r="M162" s="65">
        <f t="shared" si="148"/>
        <v>2015.9657995738585</v>
      </c>
      <c r="N162" s="65">
        <f t="shared" si="148"/>
        <v>1784.8608410998327</v>
      </c>
      <c r="O162" s="65">
        <f t="shared" si="148"/>
        <v>1756.4481939999996</v>
      </c>
      <c r="P162" s="65">
        <f t="shared" si="148"/>
        <v>1611.3559824405213</v>
      </c>
      <c r="Q162" s="65">
        <f t="shared" si="148"/>
        <v>1823.0730633402577</v>
      </c>
      <c r="R162" s="65">
        <f t="shared" si="148"/>
        <v>2096.4026777444246</v>
      </c>
      <c r="S162" s="65">
        <f t="shared" si="148"/>
        <v>2039.7121309602962</v>
      </c>
      <c r="T162" s="65">
        <f t="shared" si="148"/>
        <v>2242.0655322937428</v>
      </c>
      <c r="U162" s="65">
        <f t="shared" si="148"/>
        <v>2382.5883137774431</v>
      </c>
      <c r="V162" s="65">
        <f t="shared" si="148"/>
        <v>2056.1480496747445</v>
      </c>
      <c r="W162" s="65">
        <f t="shared" si="148"/>
        <v>2720.8128668666845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140.31359303024678</v>
      </c>
      <c r="C163" s="65">
        <f t="shared" ref="C163:W163" si="150">IF(C109=0,0,C109/C$23)</f>
        <v>146.4707604152367</v>
      </c>
      <c r="D163" s="65">
        <f t="shared" si="150"/>
        <v>120.53099529162284</v>
      </c>
      <c r="E163" s="65">
        <f t="shared" si="150"/>
        <v>146.0247135175282</v>
      </c>
      <c r="F163" s="65">
        <f t="shared" si="150"/>
        <v>131.94534329202571</v>
      </c>
      <c r="G163" s="65">
        <f t="shared" si="150"/>
        <v>144.99945440614366</v>
      </c>
      <c r="H163" s="65">
        <f t="shared" si="150"/>
        <v>183.52712461358766</v>
      </c>
      <c r="I163" s="65">
        <f t="shared" si="150"/>
        <v>373.55496069288233</v>
      </c>
      <c r="J163" s="65">
        <f t="shared" si="150"/>
        <v>259.28860665678553</v>
      </c>
      <c r="K163" s="65">
        <f t="shared" si="150"/>
        <v>234.52429213501114</v>
      </c>
      <c r="L163" s="65">
        <f t="shared" si="150"/>
        <v>309.71512738813203</v>
      </c>
      <c r="M163" s="65">
        <f t="shared" si="150"/>
        <v>274.35641226396575</v>
      </c>
      <c r="N163" s="65">
        <f t="shared" si="150"/>
        <v>600.72224189435451</v>
      </c>
      <c r="O163" s="65">
        <f t="shared" si="150"/>
        <v>300.05899210623164</v>
      </c>
      <c r="P163" s="65">
        <f t="shared" si="150"/>
        <v>284.81220436805017</v>
      </c>
      <c r="Q163" s="65">
        <f t="shared" si="150"/>
        <v>419.65513982498021</v>
      </c>
      <c r="R163" s="65">
        <f t="shared" si="150"/>
        <v>390.16636144648317</v>
      </c>
      <c r="S163" s="65">
        <f t="shared" si="150"/>
        <v>413.8846752885853</v>
      </c>
      <c r="T163" s="65">
        <f t="shared" si="150"/>
        <v>310.92450088962676</v>
      </c>
      <c r="U163" s="65">
        <f t="shared" si="150"/>
        <v>343.16167940095158</v>
      </c>
      <c r="V163" s="65">
        <f t="shared" si="150"/>
        <v>344.75135521703004</v>
      </c>
      <c r="W163" s="65">
        <f t="shared" si="150"/>
        <v>479.89575484686969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338.94093018554321</v>
      </c>
      <c r="C164" s="65">
        <f t="shared" ref="C164:W164" si="152">IF(C110=0,0,C110/C$23)</f>
        <v>347.14171703680216</v>
      </c>
      <c r="D164" s="65">
        <f t="shared" si="152"/>
        <v>357.23199002912759</v>
      </c>
      <c r="E164" s="65">
        <f t="shared" si="152"/>
        <v>346.13625863009889</v>
      </c>
      <c r="F164" s="65">
        <f t="shared" si="152"/>
        <v>340.13170457907688</v>
      </c>
      <c r="G164" s="65">
        <f t="shared" si="152"/>
        <v>343.76344875783298</v>
      </c>
      <c r="H164" s="65">
        <f t="shared" si="152"/>
        <v>352.53783872930296</v>
      </c>
      <c r="I164" s="65">
        <f t="shared" si="152"/>
        <v>360.20285232282771</v>
      </c>
      <c r="J164" s="65">
        <f t="shared" si="152"/>
        <v>373.27021465486285</v>
      </c>
      <c r="K164" s="65">
        <f t="shared" si="152"/>
        <v>383.10840064927152</v>
      </c>
      <c r="L164" s="65">
        <f t="shared" si="152"/>
        <v>418.15953730149693</v>
      </c>
      <c r="M164" s="65">
        <f t="shared" si="152"/>
        <v>439.41481545705454</v>
      </c>
      <c r="N164" s="65">
        <f t="shared" si="152"/>
        <v>452.70720966683984</v>
      </c>
      <c r="O164" s="65">
        <f t="shared" si="152"/>
        <v>469.53339382028577</v>
      </c>
      <c r="P164" s="65">
        <f t="shared" si="152"/>
        <v>472.8086395070581</v>
      </c>
      <c r="Q164" s="65">
        <f t="shared" si="152"/>
        <v>490.86344084874474</v>
      </c>
      <c r="R164" s="65">
        <f t="shared" si="152"/>
        <v>494.35678171583464</v>
      </c>
      <c r="S164" s="65">
        <f t="shared" si="152"/>
        <v>509.79382463662688</v>
      </c>
      <c r="T164" s="65">
        <f t="shared" si="152"/>
        <v>521.20950720298458</v>
      </c>
      <c r="U164" s="65">
        <f t="shared" si="152"/>
        <v>530.24788735815423</v>
      </c>
      <c r="V164" s="65">
        <f t="shared" si="152"/>
        <v>496.66739089034564</v>
      </c>
      <c r="W164" s="65">
        <f t="shared" si="152"/>
        <v>529.06982443468394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414.97671393810981</v>
      </c>
      <c r="C165" s="68">
        <f t="shared" ref="C165:W165" si="154">IF(C111=0,0,C111/C$23)</f>
        <v>437.08983230299293</v>
      </c>
      <c r="D165" s="68">
        <f t="shared" si="154"/>
        <v>440.9261964197471</v>
      </c>
      <c r="E165" s="68">
        <f t="shared" si="154"/>
        <v>427.62376479031116</v>
      </c>
      <c r="F165" s="68">
        <f t="shared" si="154"/>
        <v>431.38529238150943</v>
      </c>
      <c r="G165" s="68">
        <f t="shared" si="154"/>
        <v>422.26313943277643</v>
      </c>
      <c r="H165" s="68">
        <f t="shared" si="154"/>
        <v>423.2450632306107</v>
      </c>
      <c r="I165" s="68">
        <f t="shared" si="154"/>
        <v>426.2916639872671</v>
      </c>
      <c r="J165" s="68">
        <f t="shared" si="154"/>
        <v>447.98139068524614</v>
      </c>
      <c r="K165" s="68">
        <f t="shared" si="154"/>
        <v>454.58178525185025</v>
      </c>
      <c r="L165" s="68">
        <f t="shared" si="154"/>
        <v>487.6001390329813</v>
      </c>
      <c r="M165" s="68">
        <f t="shared" si="154"/>
        <v>502.65240131499212</v>
      </c>
      <c r="N165" s="68">
        <f t="shared" si="154"/>
        <v>537.89117877597039</v>
      </c>
      <c r="O165" s="68">
        <f t="shared" si="154"/>
        <v>545.48370344634145</v>
      </c>
      <c r="P165" s="68">
        <f t="shared" si="154"/>
        <v>546.66205571072555</v>
      </c>
      <c r="Q165" s="68">
        <f t="shared" si="154"/>
        <v>556.27900343153715</v>
      </c>
      <c r="R165" s="68">
        <f t="shared" si="154"/>
        <v>560.25964938380832</v>
      </c>
      <c r="S165" s="68">
        <f t="shared" si="154"/>
        <v>585.22249944928274</v>
      </c>
      <c r="T165" s="68">
        <f t="shared" si="154"/>
        <v>612.82704016792945</v>
      </c>
      <c r="U165" s="68">
        <f t="shared" si="154"/>
        <v>618.51042099155245</v>
      </c>
      <c r="V165" s="68">
        <f t="shared" si="154"/>
        <v>558.90352581336163</v>
      </c>
      <c r="W165" s="68">
        <f t="shared" si="154"/>
        <v>610.55525121081507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208.72965727241044</v>
      </c>
      <c r="C167" s="82">
        <f t="shared" ref="C167:W167" si="156">IF(C113=0,0,C113/C$23)</f>
        <v>366.06406464050428</v>
      </c>
      <c r="D167" s="82">
        <f t="shared" si="156"/>
        <v>250.07995631562744</v>
      </c>
      <c r="E167" s="82">
        <f t="shared" si="156"/>
        <v>169.94774149095548</v>
      </c>
      <c r="F167" s="82">
        <f t="shared" si="156"/>
        <v>117.26965646124404</v>
      </c>
      <c r="G167" s="82">
        <f t="shared" si="156"/>
        <v>126.8003463018742</v>
      </c>
      <c r="H167" s="82">
        <f t="shared" si="156"/>
        <v>200.41326315848923</v>
      </c>
      <c r="I167" s="82">
        <f t="shared" si="156"/>
        <v>165.26032482763117</v>
      </c>
      <c r="J167" s="82">
        <f t="shared" si="156"/>
        <v>203.35912087731484</v>
      </c>
      <c r="K167" s="82">
        <f t="shared" si="156"/>
        <v>186.3849739609212</v>
      </c>
      <c r="L167" s="82">
        <f t="shared" si="156"/>
        <v>172.64606160638562</v>
      </c>
      <c r="M167" s="82">
        <f t="shared" si="156"/>
        <v>162.62510357245088</v>
      </c>
      <c r="N167" s="82">
        <f t="shared" si="156"/>
        <v>160.14229929063609</v>
      </c>
      <c r="O167" s="82">
        <f t="shared" si="156"/>
        <v>139.32457819903308</v>
      </c>
      <c r="P167" s="82">
        <f t="shared" si="156"/>
        <v>128.99661561112967</v>
      </c>
      <c r="Q167" s="82">
        <f t="shared" si="156"/>
        <v>178.31458838416478</v>
      </c>
      <c r="R167" s="82">
        <f t="shared" si="156"/>
        <v>176.06086223814586</v>
      </c>
      <c r="S167" s="82">
        <f t="shared" si="156"/>
        <v>170.5385730806386</v>
      </c>
      <c r="T167" s="82">
        <f t="shared" si="156"/>
        <v>154.18756431724663</v>
      </c>
      <c r="U167" s="82">
        <f t="shared" si="156"/>
        <v>151.11587979870973</v>
      </c>
      <c r="V167" s="82">
        <f t="shared" si="156"/>
        <v>142.1216320300083</v>
      </c>
      <c r="W167" s="82">
        <f t="shared" si="156"/>
        <v>164.46355286223763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208.72965727241044</v>
      </c>
      <c r="C168" s="64">
        <f t="shared" ref="C168:W168" si="158">IF(C114=0,0,C114/C$23)</f>
        <v>366.06406464050428</v>
      </c>
      <c r="D168" s="64">
        <f t="shared" si="158"/>
        <v>250.07995631562744</v>
      </c>
      <c r="E168" s="64">
        <f t="shared" si="158"/>
        <v>169.94774149095548</v>
      </c>
      <c r="F168" s="64">
        <f t="shared" si="158"/>
        <v>117.26965646124404</v>
      </c>
      <c r="G168" s="64">
        <f t="shared" si="158"/>
        <v>126.8003463018742</v>
      </c>
      <c r="H168" s="64">
        <f t="shared" si="158"/>
        <v>200.41326315848923</v>
      </c>
      <c r="I168" s="64">
        <f t="shared" si="158"/>
        <v>165.26032482763117</v>
      </c>
      <c r="J168" s="64">
        <f t="shared" si="158"/>
        <v>203.35912087731484</v>
      </c>
      <c r="K168" s="64">
        <f t="shared" si="158"/>
        <v>186.3849739609212</v>
      </c>
      <c r="L168" s="64">
        <f t="shared" si="158"/>
        <v>172.64606160638562</v>
      </c>
      <c r="M168" s="64">
        <f t="shared" si="158"/>
        <v>162.62510357245088</v>
      </c>
      <c r="N168" s="64">
        <f t="shared" si="158"/>
        <v>160.14229929063609</v>
      </c>
      <c r="O168" s="64">
        <f t="shared" si="158"/>
        <v>139.32457819903308</v>
      </c>
      <c r="P168" s="64">
        <f t="shared" si="158"/>
        <v>128.99661561112967</v>
      </c>
      <c r="Q168" s="64">
        <f t="shared" si="158"/>
        <v>178.31458838416478</v>
      </c>
      <c r="R168" s="64">
        <f t="shared" si="158"/>
        <v>176.06086223814586</v>
      </c>
      <c r="S168" s="64">
        <f t="shared" si="158"/>
        <v>170.5385730806386</v>
      </c>
      <c r="T168" s="64">
        <f t="shared" si="158"/>
        <v>154.18756431724663</v>
      </c>
      <c r="U168" s="64">
        <f t="shared" si="158"/>
        <v>151.11587979870973</v>
      </c>
      <c r="V168" s="64">
        <f t="shared" si="158"/>
        <v>142.1216320300083</v>
      </c>
      <c r="W168" s="64">
        <f t="shared" si="158"/>
        <v>164.46355286223763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176.0784332908523</v>
      </c>
      <c r="C169" s="65">
        <f t="shared" ref="C169:W169" si="160">IF(C115=0,0,C115/C$23)</f>
        <v>324.63325338297057</v>
      </c>
      <c r="D169" s="65">
        <f t="shared" si="160"/>
        <v>212.74998991485896</v>
      </c>
      <c r="E169" s="65">
        <f t="shared" si="160"/>
        <v>132.02316050893083</v>
      </c>
      <c r="F169" s="65">
        <f t="shared" si="160"/>
        <v>78.187494074726985</v>
      </c>
      <c r="G169" s="65">
        <f t="shared" si="160"/>
        <v>89.584312545737291</v>
      </c>
      <c r="H169" s="65">
        <f t="shared" si="160"/>
        <v>156.71996538900038</v>
      </c>
      <c r="I169" s="65">
        <f t="shared" si="160"/>
        <v>116.60614661914298</v>
      </c>
      <c r="J169" s="65">
        <f t="shared" si="160"/>
        <v>151.96627530390492</v>
      </c>
      <c r="K169" s="65">
        <f t="shared" si="160"/>
        <v>134.68880552382629</v>
      </c>
      <c r="L169" s="65">
        <f t="shared" si="160"/>
        <v>112.07554641390311</v>
      </c>
      <c r="M169" s="65">
        <f t="shared" si="160"/>
        <v>99.272501967822024</v>
      </c>
      <c r="N169" s="65">
        <f t="shared" si="160"/>
        <v>88.54099720323417</v>
      </c>
      <c r="O169" s="65">
        <f t="shared" si="160"/>
        <v>74.514154045371356</v>
      </c>
      <c r="P169" s="65">
        <f t="shared" si="160"/>
        <v>69.83972523216562</v>
      </c>
      <c r="Q169" s="65">
        <f t="shared" si="160"/>
        <v>120.37188463912132</v>
      </c>
      <c r="R169" s="65">
        <f t="shared" si="160"/>
        <v>120.60134182324913</v>
      </c>
      <c r="S169" s="65">
        <f t="shared" si="160"/>
        <v>111.89682663924468</v>
      </c>
      <c r="T169" s="65">
        <f t="shared" si="160"/>
        <v>96.336684226718788</v>
      </c>
      <c r="U169" s="65">
        <f t="shared" si="160"/>
        <v>94.076043013330917</v>
      </c>
      <c r="V169" s="65">
        <f t="shared" si="160"/>
        <v>93.596486694928615</v>
      </c>
      <c r="W169" s="65">
        <f t="shared" si="160"/>
        <v>111.4475076049653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26.57529458139728</v>
      </c>
      <c r="C171" s="65">
        <f t="shared" ref="C171:W171" si="164">IF(C117=0,0,C117/C$23)</f>
        <v>29.163319633252804</v>
      </c>
      <c r="D171" s="65">
        <f t="shared" si="164"/>
        <v>29.412130332422404</v>
      </c>
      <c r="E171" s="65">
        <f t="shared" si="164"/>
        <v>28.260484140008135</v>
      </c>
      <c r="F171" s="65">
        <f t="shared" si="164"/>
        <v>25.234783431643198</v>
      </c>
      <c r="G171" s="65">
        <f t="shared" si="164"/>
        <v>25.715805172126817</v>
      </c>
      <c r="H171" s="65">
        <f t="shared" si="164"/>
        <v>28.255871188060436</v>
      </c>
      <c r="I171" s="65">
        <f t="shared" si="164"/>
        <v>31.121039491840595</v>
      </c>
      <c r="J171" s="65">
        <f t="shared" si="164"/>
        <v>32.79617507381532</v>
      </c>
      <c r="K171" s="65">
        <f t="shared" si="164"/>
        <v>33.19146968622816</v>
      </c>
      <c r="L171" s="65">
        <f t="shared" si="164"/>
        <v>34.387031688305385</v>
      </c>
      <c r="M171" s="65">
        <f t="shared" si="164"/>
        <v>35.181941982589599</v>
      </c>
      <c r="N171" s="65">
        <f t="shared" si="164"/>
        <v>34.894750891163596</v>
      </c>
      <c r="O171" s="65">
        <f t="shared" si="164"/>
        <v>32.166341418970497</v>
      </c>
      <c r="P171" s="65">
        <f t="shared" si="164"/>
        <v>30.78672871767083</v>
      </c>
      <c r="Q171" s="65">
        <f t="shared" si="164"/>
        <v>30.401085648919711</v>
      </c>
      <c r="R171" s="65">
        <f t="shared" si="164"/>
        <v>28.281763828792229</v>
      </c>
      <c r="S171" s="65">
        <f t="shared" si="164"/>
        <v>28.582983614604185</v>
      </c>
      <c r="T171" s="65">
        <f t="shared" si="164"/>
        <v>26.524227576919067</v>
      </c>
      <c r="U171" s="65">
        <f t="shared" si="164"/>
        <v>26.618139800502355</v>
      </c>
      <c r="V171" s="65">
        <f t="shared" si="164"/>
        <v>22.551271535855822</v>
      </c>
      <c r="W171" s="65">
        <f t="shared" si="164"/>
        <v>23.106626368528161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6.0759294001608337</v>
      </c>
      <c r="C172" s="67">
        <f t="shared" ref="C172:W172" si="166">IF(C118=0,0,C118/C$23)</f>
        <v>12.267491624280938</v>
      </c>
      <c r="D172" s="67">
        <f t="shared" si="166"/>
        <v>7.917836068346066</v>
      </c>
      <c r="E172" s="67">
        <f t="shared" si="166"/>
        <v>9.664096842016507</v>
      </c>
      <c r="F172" s="67">
        <f t="shared" si="166"/>
        <v>13.847378954873834</v>
      </c>
      <c r="G172" s="67">
        <f t="shared" si="166"/>
        <v>11.500228584010086</v>
      </c>
      <c r="H172" s="67">
        <f t="shared" si="166"/>
        <v>15.437426581428419</v>
      </c>
      <c r="I172" s="67">
        <f t="shared" si="166"/>
        <v>17.533138716647599</v>
      </c>
      <c r="J172" s="67">
        <f t="shared" si="166"/>
        <v>18.596670499594619</v>
      </c>
      <c r="K172" s="67">
        <f t="shared" si="166"/>
        <v>18.504698750866787</v>
      </c>
      <c r="L172" s="67">
        <f t="shared" si="166"/>
        <v>26.183483504177143</v>
      </c>
      <c r="M172" s="67">
        <f t="shared" si="166"/>
        <v>28.170659622039285</v>
      </c>
      <c r="N172" s="67">
        <f t="shared" si="166"/>
        <v>36.706551196238323</v>
      </c>
      <c r="O172" s="67">
        <f t="shared" si="166"/>
        <v>32.644082734691288</v>
      </c>
      <c r="P172" s="67">
        <f t="shared" si="166"/>
        <v>28.370161661293235</v>
      </c>
      <c r="Q172" s="67">
        <f t="shared" si="166"/>
        <v>27.541618096123738</v>
      </c>
      <c r="R172" s="67">
        <f t="shared" si="166"/>
        <v>27.177756586104525</v>
      </c>
      <c r="S172" s="67">
        <f t="shared" si="166"/>
        <v>30.058762826789753</v>
      </c>
      <c r="T172" s="67">
        <f t="shared" si="166"/>
        <v>31.326652513608735</v>
      </c>
      <c r="U172" s="67">
        <f t="shared" si="166"/>
        <v>30.421696984876409</v>
      </c>
      <c r="V172" s="67">
        <f t="shared" si="166"/>
        <v>25.97387379922386</v>
      </c>
      <c r="W172" s="67">
        <f t="shared" si="166"/>
        <v>29.909418888744174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58824.826828655401</v>
      </c>
      <c r="C3" s="125">
        <f t="shared" si="0"/>
        <v>60914.027566257399</v>
      </c>
      <c r="D3" s="125">
        <f t="shared" si="0"/>
        <v>63613.739296078005</v>
      </c>
      <c r="E3" s="125">
        <f t="shared" si="0"/>
        <v>66683.498033002557</v>
      </c>
      <c r="F3" s="125">
        <f t="shared" si="0"/>
        <v>69887.477037776174</v>
      </c>
      <c r="G3" s="125">
        <f t="shared" si="0"/>
        <v>72987.127231166203</v>
      </c>
      <c r="H3" s="125">
        <f t="shared" si="0"/>
        <v>76224.420158856403</v>
      </c>
      <c r="I3" s="125">
        <f t="shared" si="0"/>
        <v>79869.243688850096</v>
      </c>
      <c r="J3" s="125">
        <f t="shared" si="0"/>
        <v>82645.136224764283</v>
      </c>
      <c r="K3" s="125">
        <f t="shared" si="0"/>
        <v>83587.297048423919</v>
      </c>
      <c r="L3" s="125">
        <f t="shared" si="0"/>
        <v>84917.025412549148</v>
      </c>
      <c r="M3" s="125">
        <f t="shared" si="0"/>
        <v>87374.145910783758</v>
      </c>
      <c r="N3" s="125">
        <f t="shared" si="0"/>
        <v>88621.888505161798</v>
      </c>
      <c r="O3" s="125">
        <f t="shared" si="0"/>
        <v>89985.776124600277</v>
      </c>
      <c r="P3" s="125">
        <f t="shared" si="0"/>
        <v>91548.278894334624</v>
      </c>
      <c r="Q3" s="125">
        <f t="shared" si="0"/>
        <v>93527.200824091444</v>
      </c>
      <c r="R3" s="125">
        <f t="shared" si="0"/>
        <v>94844.894983847335</v>
      </c>
      <c r="S3" s="125">
        <f t="shared" si="0"/>
        <v>96173.240587353648</v>
      </c>
      <c r="T3" s="125">
        <f t="shared" si="0"/>
        <v>97476.899884091603</v>
      </c>
      <c r="U3" s="125">
        <f t="shared" si="0"/>
        <v>98725.87246385403</v>
      </c>
      <c r="V3" s="125">
        <f t="shared" si="0"/>
        <v>99861.017777777728</v>
      </c>
      <c r="W3" s="125">
        <f t="shared" si="0"/>
        <v>100897.12294062087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58824.826828655401</v>
      </c>
      <c r="C4" s="140">
        <f t="shared" si="1"/>
        <v>60914.027566257399</v>
      </c>
      <c r="D4" s="140">
        <f t="shared" si="1"/>
        <v>63613.739296078005</v>
      </c>
      <c r="E4" s="140">
        <f t="shared" si="1"/>
        <v>66683.498033002557</v>
      </c>
      <c r="F4" s="140">
        <f t="shared" si="1"/>
        <v>69887.477037776174</v>
      </c>
      <c r="G4" s="140">
        <f t="shared" si="1"/>
        <v>72987.127231166203</v>
      </c>
      <c r="H4" s="140">
        <f t="shared" si="1"/>
        <v>76224.420158856403</v>
      </c>
      <c r="I4" s="140">
        <f t="shared" si="1"/>
        <v>79869.243688850096</v>
      </c>
      <c r="J4" s="140">
        <f t="shared" si="1"/>
        <v>82645.136224764283</v>
      </c>
      <c r="K4" s="140">
        <f t="shared" si="1"/>
        <v>83587.297048423919</v>
      </c>
      <c r="L4" s="140">
        <f t="shared" si="1"/>
        <v>84917.025412549148</v>
      </c>
      <c r="M4" s="140">
        <f t="shared" si="1"/>
        <v>87374.145910783758</v>
      </c>
      <c r="N4" s="140">
        <f t="shared" si="1"/>
        <v>88621.888505161798</v>
      </c>
      <c r="O4" s="140">
        <f t="shared" si="1"/>
        <v>89985.776124600277</v>
      </c>
      <c r="P4" s="140">
        <f t="shared" si="1"/>
        <v>91548.278894334624</v>
      </c>
      <c r="Q4" s="140">
        <f t="shared" si="1"/>
        <v>93527.200824091444</v>
      </c>
      <c r="R4" s="140">
        <f t="shared" ref="R4:W4" si="2">SUM(R5:R14)</f>
        <v>94844.894983847335</v>
      </c>
      <c r="S4" s="140">
        <f t="shared" si="2"/>
        <v>96173.240587353648</v>
      </c>
      <c r="T4" s="140">
        <f t="shared" si="2"/>
        <v>97476.899884091603</v>
      </c>
      <c r="U4" s="140">
        <f t="shared" si="2"/>
        <v>98725.87246385403</v>
      </c>
      <c r="V4" s="140">
        <f t="shared" si="2"/>
        <v>99861.017777777728</v>
      </c>
      <c r="W4" s="140">
        <f t="shared" si="2"/>
        <v>100897.12294062087</v>
      </c>
      <c r="DA4" s="170" t="s">
        <v>245</v>
      </c>
    </row>
    <row r="5" spans="1:105" ht="12" customHeight="1" x14ac:dyDescent="0.25">
      <c r="A5" s="132" t="s">
        <v>29</v>
      </c>
      <c r="B5" s="141">
        <v>508.53661219372583</v>
      </c>
      <c r="C5" s="141">
        <v>576.50280895780429</v>
      </c>
      <c r="D5" s="141">
        <v>789.38453061850441</v>
      </c>
      <c r="E5" s="141">
        <v>919.41623806537893</v>
      </c>
      <c r="F5" s="141">
        <v>940.81825148003304</v>
      </c>
      <c r="G5" s="141">
        <v>873.11634080397448</v>
      </c>
      <c r="H5" s="141">
        <v>784.25482333973173</v>
      </c>
      <c r="I5" s="141">
        <v>741.56436789378404</v>
      </c>
      <c r="J5" s="141">
        <v>733.70526023089042</v>
      </c>
      <c r="K5" s="141">
        <v>715.91518830768325</v>
      </c>
      <c r="L5" s="141">
        <v>688.20010294114718</v>
      </c>
      <c r="M5" s="141">
        <v>694.46099694629288</v>
      </c>
      <c r="N5" s="141">
        <v>694.09623868152494</v>
      </c>
      <c r="O5" s="141">
        <v>702.52351864456705</v>
      </c>
      <c r="P5" s="141">
        <v>686.37088568321064</v>
      </c>
      <c r="Q5" s="141">
        <v>699.54208047082886</v>
      </c>
      <c r="R5" s="141">
        <v>685.4890175051712</v>
      </c>
      <c r="S5" s="141">
        <v>628.62696628686695</v>
      </c>
      <c r="T5" s="141">
        <v>545.35094824295822</v>
      </c>
      <c r="U5" s="141">
        <v>510.42976073898092</v>
      </c>
      <c r="V5" s="141">
        <v>506.91874523924099</v>
      </c>
      <c r="W5" s="141">
        <v>411.64302952574332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16520.828595626532</v>
      </c>
      <c r="C7" s="141">
        <v>15592.728655030342</v>
      </c>
      <c r="D7" s="141">
        <v>12359.71947597619</v>
      </c>
      <c r="E7" s="141">
        <v>8588.7160302154771</v>
      </c>
      <c r="F7" s="141">
        <v>6229.6073573949698</v>
      </c>
      <c r="G7" s="141">
        <v>5633.2924758262534</v>
      </c>
      <c r="H7" s="141">
        <v>5776.1239496557855</v>
      </c>
      <c r="I7" s="141">
        <v>5814.1950286526026</v>
      </c>
      <c r="J7" s="141">
        <v>5824.5192028676584</v>
      </c>
      <c r="K7" s="141">
        <v>5515.9738772603596</v>
      </c>
      <c r="L7" s="141">
        <v>4561.2874062899418</v>
      </c>
      <c r="M7" s="141">
        <v>3210.7022961946595</v>
      </c>
      <c r="N7" s="141">
        <v>2322.4599786037616</v>
      </c>
      <c r="O7" s="141">
        <v>2176.2528530179179</v>
      </c>
      <c r="P7" s="141">
        <v>2558.5589586793167</v>
      </c>
      <c r="Q7" s="141">
        <v>3688.3952061704667</v>
      </c>
      <c r="R7" s="141">
        <v>3822.9512172381183</v>
      </c>
      <c r="S7" s="141">
        <v>3543.5606177687014</v>
      </c>
      <c r="T7" s="141">
        <v>2772.0340433165375</v>
      </c>
      <c r="U7" s="141">
        <v>2501.2578866594677</v>
      </c>
      <c r="V7" s="141">
        <v>2429.7095608353188</v>
      </c>
      <c r="W7" s="141">
        <v>2234.3861828323761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1260.1882667075845</v>
      </c>
      <c r="C9" s="141">
        <v>1472.9387233037771</v>
      </c>
      <c r="D9" s="141">
        <v>1936.4515353208221</v>
      </c>
      <c r="E9" s="141">
        <v>2508.3350678191637</v>
      </c>
      <c r="F9" s="141">
        <v>3200.5420346656556</v>
      </c>
      <c r="G9" s="141">
        <v>4064.6385857168734</v>
      </c>
      <c r="H9" s="141">
        <v>5210.057570948331</v>
      </c>
      <c r="I9" s="141">
        <v>5877.7348914993299</v>
      </c>
      <c r="J9" s="141">
        <v>6069.5358671829617</v>
      </c>
      <c r="K9" s="141">
        <v>6240.3110677086042</v>
      </c>
      <c r="L9" s="141">
        <v>6524.6580917333658</v>
      </c>
      <c r="M9" s="141">
        <v>6593.8684395801674</v>
      </c>
      <c r="N9" s="141">
        <v>7088.8337912340257</v>
      </c>
      <c r="O9" s="141">
        <v>7502.8579845150407</v>
      </c>
      <c r="P9" s="141">
        <v>8351.253091186305</v>
      </c>
      <c r="Q9" s="141">
        <v>8958.6556784322202</v>
      </c>
      <c r="R9" s="141">
        <v>9205.7858465237496</v>
      </c>
      <c r="S9" s="141">
        <v>9214.2243734476942</v>
      </c>
      <c r="T9" s="141">
        <v>9125.8698919708168</v>
      </c>
      <c r="U9" s="141">
        <v>8922.9032646551095</v>
      </c>
      <c r="V9" s="141">
        <v>9390.9224102315857</v>
      </c>
      <c r="W9" s="141">
        <v>9922.8588636908917</v>
      </c>
      <c r="DA9" s="171" t="s">
        <v>250</v>
      </c>
    </row>
    <row r="10" spans="1:105" ht="12" customHeight="1" x14ac:dyDescent="0.25">
      <c r="A10" s="132" t="s">
        <v>128</v>
      </c>
      <c r="B10" s="141">
        <v>1383.9155996919835</v>
      </c>
      <c r="C10" s="141">
        <v>1191.1435114920698</v>
      </c>
      <c r="D10" s="141">
        <v>1296.3874331053271</v>
      </c>
      <c r="E10" s="141">
        <v>1496.7294547341733</v>
      </c>
      <c r="F10" s="141">
        <v>1620.2575440598466</v>
      </c>
      <c r="G10" s="141">
        <v>1791.9277295070206</v>
      </c>
      <c r="H10" s="141">
        <v>1949.3806515638728</v>
      </c>
      <c r="I10" s="141">
        <v>1992.9121572083443</v>
      </c>
      <c r="J10" s="141">
        <v>1839.1943275313847</v>
      </c>
      <c r="K10" s="141">
        <v>1427.698627106719</v>
      </c>
      <c r="L10" s="141">
        <v>1587.769064758701</v>
      </c>
      <c r="M10" s="141">
        <v>2230.652871087651</v>
      </c>
      <c r="N10" s="141">
        <v>2844.4169820524739</v>
      </c>
      <c r="O10" s="141">
        <v>3017.1469372931415</v>
      </c>
      <c r="P10" s="141">
        <v>2909.2034253672546</v>
      </c>
      <c r="Q10" s="141">
        <v>2880.4700644888494</v>
      </c>
      <c r="R10" s="141">
        <v>3453.9078592298506</v>
      </c>
      <c r="S10" s="141">
        <v>6009.3438339234881</v>
      </c>
      <c r="T10" s="141">
        <v>8464.9630939983526</v>
      </c>
      <c r="U10" s="141">
        <v>9841.4923384618705</v>
      </c>
      <c r="V10" s="141">
        <v>9936.2979618699792</v>
      </c>
      <c r="W10" s="141">
        <v>9939.6449739097043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5231.4818894156815</v>
      </c>
      <c r="H11" s="141">
        <v>6610.8418480586924</v>
      </c>
      <c r="I11" s="141">
        <v>7751.0183252833276</v>
      </c>
      <c r="J11" s="141">
        <v>7748.8850970470621</v>
      </c>
      <c r="K11" s="141">
        <v>7746.220453047049</v>
      </c>
      <c r="L11" s="141">
        <v>7483.5432353242513</v>
      </c>
      <c r="M11" s="141">
        <v>7398.1958070252103</v>
      </c>
      <c r="N11" s="141">
        <v>7834.0567288779312</v>
      </c>
      <c r="O11" s="141">
        <v>8212.1305334644821</v>
      </c>
      <c r="P11" s="141">
        <v>8483.1856117363041</v>
      </c>
      <c r="Q11" s="141">
        <v>8180.0560836584091</v>
      </c>
      <c r="R11" s="141">
        <v>7732.053954529878</v>
      </c>
      <c r="S11" s="141">
        <v>7417.923531117337</v>
      </c>
      <c r="T11" s="141">
        <v>7228.4385663952889</v>
      </c>
      <c r="U11" s="141">
        <v>7135.2464086028449</v>
      </c>
      <c r="V11" s="141">
        <v>7110.1217566668311</v>
      </c>
      <c r="W11" s="141">
        <v>7010.7588304491937</v>
      </c>
      <c r="DA11" s="171" t="s">
        <v>252</v>
      </c>
    </row>
    <row r="12" spans="1:105" ht="12" customHeight="1" x14ac:dyDescent="0.25">
      <c r="A12" s="132" t="s">
        <v>169</v>
      </c>
      <c r="B12" s="141">
        <v>19139.014146645906</v>
      </c>
      <c r="C12" s="141">
        <v>21344.286882265224</v>
      </c>
      <c r="D12" s="141">
        <v>22513.996413804758</v>
      </c>
      <c r="E12" s="141">
        <v>25302.505025558185</v>
      </c>
      <c r="F12" s="141">
        <v>26683.785776029639</v>
      </c>
      <c r="G12" s="141">
        <v>23968.501193005995</v>
      </c>
      <c r="H12" s="141">
        <v>23180.994163130046</v>
      </c>
      <c r="I12" s="141">
        <v>21991.289025168335</v>
      </c>
      <c r="J12" s="141">
        <v>19948.628383772146</v>
      </c>
      <c r="K12" s="141">
        <v>19260.299357212501</v>
      </c>
      <c r="L12" s="141">
        <v>18519.633653540965</v>
      </c>
      <c r="M12" s="141">
        <v>19182.545031082929</v>
      </c>
      <c r="N12" s="141">
        <v>18774.750889933202</v>
      </c>
      <c r="O12" s="141">
        <v>17690.437244558736</v>
      </c>
      <c r="P12" s="141">
        <v>17179.785999942644</v>
      </c>
      <c r="Q12" s="141">
        <v>17673.008822393036</v>
      </c>
      <c r="R12" s="141">
        <v>18175.076643512672</v>
      </c>
      <c r="S12" s="141">
        <v>17118.718708086704</v>
      </c>
      <c r="T12" s="141">
        <v>16468.650865459484</v>
      </c>
      <c r="U12" s="141">
        <v>15359.868783445592</v>
      </c>
      <c r="V12" s="141">
        <v>15056.80933811399</v>
      </c>
      <c r="W12" s="141">
        <v>14593.369752625104</v>
      </c>
      <c r="DA12" s="171" t="s">
        <v>253</v>
      </c>
    </row>
    <row r="13" spans="1:105" ht="12" customHeight="1" x14ac:dyDescent="0.25">
      <c r="A13" s="132" t="s">
        <v>77</v>
      </c>
      <c r="B13" s="141">
        <v>2604.8419781659031</v>
      </c>
      <c r="C13" s="141">
        <v>3433.2109298963464</v>
      </c>
      <c r="D13" s="141">
        <v>6946.1997717973463</v>
      </c>
      <c r="E13" s="141">
        <v>10331.615427841389</v>
      </c>
      <c r="F13" s="141">
        <v>13703.133772888803</v>
      </c>
      <c r="G13" s="141">
        <v>15402.220937092301</v>
      </c>
      <c r="H13" s="141">
        <v>17130.168205259404</v>
      </c>
      <c r="I13" s="141">
        <v>19406.386304754978</v>
      </c>
      <c r="J13" s="141">
        <v>21916.04555150805</v>
      </c>
      <c r="K13" s="141">
        <v>22981.971817780079</v>
      </c>
      <c r="L13" s="141">
        <v>23995.902237225557</v>
      </c>
      <c r="M13" s="141">
        <v>26718.109182803059</v>
      </c>
      <c r="N13" s="141">
        <v>30314.530982111701</v>
      </c>
      <c r="O13" s="141">
        <v>35218.472429553229</v>
      </c>
      <c r="P13" s="141">
        <v>38272.30502774792</v>
      </c>
      <c r="Q13" s="141">
        <v>39636.089837486921</v>
      </c>
      <c r="R13" s="141">
        <v>40037.178813460872</v>
      </c>
      <c r="S13" s="141">
        <v>40428.692711286501</v>
      </c>
      <c r="T13" s="141">
        <v>41215.628095880136</v>
      </c>
      <c r="U13" s="141">
        <v>42764.977095193775</v>
      </c>
      <c r="V13" s="141">
        <v>43635.21435486769</v>
      </c>
      <c r="W13" s="141">
        <v>43685.38802041181</v>
      </c>
      <c r="DA13" s="171" t="s">
        <v>254</v>
      </c>
    </row>
    <row r="14" spans="1:105" ht="12" customHeight="1" x14ac:dyDescent="0.25">
      <c r="A14" s="60" t="s">
        <v>76</v>
      </c>
      <c r="B14" s="142">
        <v>17407.501629623766</v>
      </c>
      <c r="C14" s="142">
        <v>17303.216055311834</v>
      </c>
      <c r="D14" s="142">
        <v>17771.600135455061</v>
      </c>
      <c r="E14" s="142">
        <v>17536.18078876879</v>
      </c>
      <c r="F14" s="142">
        <v>17509.332301257229</v>
      </c>
      <c r="G14" s="142">
        <v>16021.948079798098</v>
      </c>
      <c r="H14" s="142">
        <v>15582.598946900542</v>
      </c>
      <c r="I14" s="142">
        <v>16294.143588389381</v>
      </c>
      <c r="J14" s="142">
        <v>18564.62253462413</v>
      </c>
      <c r="K14" s="142">
        <v>19698.906660000921</v>
      </c>
      <c r="L14" s="142">
        <v>21556.031620735219</v>
      </c>
      <c r="M14" s="142">
        <v>21345.611286063784</v>
      </c>
      <c r="N14" s="142">
        <v>18748.742913667189</v>
      </c>
      <c r="O14" s="142">
        <v>15465.954623553156</v>
      </c>
      <c r="P14" s="142">
        <v>13107.615893991671</v>
      </c>
      <c r="Q14" s="142">
        <v>11810.98305099071</v>
      </c>
      <c r="R14" s="142">
        <v>11732.451631847012</v>
      </c>
      <c r="S14" s="142">
        <v>11812.149845436361</v>
      </c>
      <c r="T14" s="142">
        <v>11655.964378828032</v>
      </c>
      <c r="U14" s="142">
        <v>11689.696926096398</v>
      </c>
      <c r="V14" s="142">
        <v>11795.023649953082</v>
      </c>
      <c r="W14" s="142">
        <v>13099.07328717605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38812.483220865732</v>
      </c>
      <c r="C15" s="144">
        <f t="shared" si="3"/>
        <v>40177.600581049221</v>
      </c>
      <c r="D15" s="144">
        <f t="shared" si="3"/>
        <v>38895.939388825602</v>
      </c>
      <c r="E15" s="144">
        <f t="shared" si="3"/>
        <v>38815.701816392379</v>
      </c>
      <c r="F15" s="144">
        <f t="shared" si="3"/>
        <v>38675.010963630142</v>
      </c>
      <c r="G15" s="144">
        <f t="shared" si="3"/>
        <v>41562.958214275801</v>
      </c>
      <c r="H15" s="144">
        <f t="shared" si="3"/>
        <v>43511.653006696462</v>
      </c>
      <c r="I15" s="144">
        <f t="shared" si="3"/>
        <v>44168.713795705728</v>
      </c>
      <c r="J15" s="144">
        <f t="shared" si="3"/>
        <v>42164.468138632103</v>
      </c>
      <c r="K15" s="144">
        <f t="shared" si="3"/>
        <v>40906.418570642913</v>
      </c>
      <c r="L15" s="144">
        <f t="shared" si="3"/>
        <v>39365.091554588369</v>
      </c>
      <c r="M15" s="144">
        <f t="shared" si="3"/>
        <v>39310.425441916916</v>
      </c>
      <c r="N15" s="144">
        <f t="shared" si="3"/>
        <v>39558.614609382916</v>
      </c>
      <c r="O15" s="144">
        <f t="shared" si="3"/>
        <v>39301.349071493882</v>
      </c>
      <c r="P15" s="144">
        <f t="shared" si="3"/>
        <v>40168.357972595033</v>
      </c>
      <c r="Q15" s="144">
        <f t="shared" si="3"/>
        <v>42080.127935613811</v>
      </c>
      <c r="R15" s="144">
        <f t="shared" ref="R15:W15" si="4">SUM(R5:R12)</f>
        <v>43075.264538539443</v>
      </c>
      <c r="S15" s="144">
        <f t="shared" si="4"/>
        <v>43932.398030630793</v>
      </c>
      <c r="T15" s="144">
        <f t="shared" si="4"/>
        <v>44605.307409383437</v>
      </c>
      <c r="U15" s="144">
        <f t="shared" si="4"/>
        <v>44271.198442563866</v>
      </c>
      <c r="V15" s="144">
        <f t="shared" si="4"/>
        <v>44430.779772956943</v>
      </c>
      <c r="W15" s="144">
        <f t="shared" si="4"/>
        <v>44112.661633033014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7708.7445586513131</v>
      </c>
      <c r="C16" s="140">
        <f t="shared" si="5"/>
        <v>8747.8700377532496</v>
      </c>
      <c r="D16" s="140">
        <f t="shared" si="5"/>
        <v>9726.9557504630957</v>
      </c>
      <c r="E16" s="140">
        <f t="shared" si="5"/>
        <v>11275.467674386602</v>
      </c>
      <c r="F16" s="140">
        <f t="shared" si="5"/>
        <v>13480.52954846996</v>
      </c>
      <c r="G16" s="140">
        <f t="shared" si="5"/>
        <v>15154.429259788754</v>
      </c>
      <c r="H16" s="140">
        <f t="shared" si="5"/>
        <v>17097.925058103527</v>
      </c>
      <c r="I16" s="140">
        <f t="shared" si="5"/>
        <v>20002.281465697397</v>
      </c>
      <c r="J16" s="140">
        <f t="shared" si="5"/>
        <v>21900.962159205155</v>
      </c>
      <c r="K16" s="140">
        <f t="shared" si="5"/>
        <v>23287.475318807981</v>
      </c>
      <c r="L16" s="140">
        <f t="shared" si="5"/>
        <v>24258.119224524311</v>
      </c>
      <c r="M16" s="140">
        <f t="shared" si="5"/>
        <v>25627.065115640067</v>
      </c>
      <c r="N16" s="140">
        <f t="shared" si="5"/>
        <v>26494.806573607439</v>
      </c>
      <c r="O16" s="140">
        <f t="shared" si="5"/>
        <v>27179.797763071914</v>
      </c>
      <c r="P16" s="140">
        <f t="shared" si="5"/>
        <v>27842.16443306677</v>
      </c>
      <c r="Q16" s="140">
        <f t="shared" si="5"/>
        <v>28656.536259671557</v>
      </c>
      <c r="R16" s="140">
        <f t="shared" ref="R16:W16" si="6">SUM(R17:R18)</f>
        <v>29330.454905820883</v>
      </c>
      <c r="S16" s="140">
        <f t="shared" si="6"/>
        <v>29462.75757665631</v>
      </c>
      <c r="T16" s="140">
        <f t="shared" si="6"/>
        <v>29759.239474165101</v>
      </c>
      <c r="U16" s="140">
        <f t="shared" si="6"/>
        <v>30125.210868111735</v>
      </c>
      <c r="V16" s="140">
        <f t="shared" si="6"/>
        <v>29144.619310259943</v>
      </c>
      <c r="W16" s="140">
        <f t="shared" si="6"/>
        <v>30403.231195851229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7708.7445586513131</v>
      </c>
      <c r="C18" s="141">
        <v>8747.8700377532496</v>
      </c>
      <c r="D18" s="141">
        <v>9726.9557504630957</v>
      </c>
      <c r="E18" s="141">
        <v>11275.467674386602</v>
      </c>
      <c r="F18" s="141">
        <v>13480.52954846996</v>
      </c>
      <c r="G18" s="141">
        <v>15154.429259788754</v>
      </c>
      <c r="H18" s="141">
        <v>17097.925058103527</v>
      </c>
      <c r="I18" s="141">
        <v>20002.281465697397</v>
      </c>
      <c r="J18" s="141">
        <v>21900.962159205155</v>
      </c>
      <c r="K18" s="141">
        <v>23287.475318807981</v>
      </c>
      <c r="L18" s="141">
        <v>24258.119224524311</v>
      </c>
      <c r="M18" s="141">
        <v>25627.065115640067</v>
      </c>
      <c r="N18" s="141">
        <v>26494.806573607439</v>
      </c>
      <c r="O18" s="141">
        <v>27179.797763071914</v>
      </c>
      <c r="P18" s="141">
        <v>27842.16443306677</v>
      </c>
      <c r="Q18" s="141">
        <v>28656.536259671557</v>
      </c>
      <c r="R18" s="141">
        <v>29330.454905820883</v>
      </c>
      <c r="S18" s="141">
        <v>29462.75757665631</v>
      </c>
      <c r="T18" s="141">
        <v>29759.239474165101</v>
      </c>
      <c r="U18" s="141">
        <v>30125.210868111735</v>
      </c>
      <c r="V18" s="141">
        <v>29144.619310259943</v>
      </c>
      <c r="W18" s="141">
        <v>30403.231195851229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58824.826828655408</v>
      </c>
      <c r="C19" s="140">
        <f t="shared" si="7"/>
        <v>60914.027566257399</v>
      </c>
      <c r="D19" s="140">
        <f t="shared" si="7"/>
        <v>63613.739296077998</v>
      </c>
      <c r="E19" s="140">
        <f t="shared" si="7"/>
        <v>66683.498033002572</v>
      </c>
      <c r="F19" s="140">
        <f t="shared" si="7"/>
        <v>69887.477037776174</v>
      </c>
      <c r="G19" s="140">
        <f t="shared" si="7"/>
        <v>72987.127231166203</v>
      </c>
      <c r="H19" s="140">
        <f t="shared" si="7"/>
        <v>76224.420158856403</v>
      </c>
      <c r="I19" s="140">
        <f t="shared" si="7"/>
        <v>79869.243688850052</v>
      </c>
      <c r="J19" s="140">
        <f t="shared" si="7"/>
        <v>82645.136224764297</v>
      </c>
      <c r="K19" s="140">
        <f t="shared" si="7"/>
        <v>83587.297048423905</v>
      </c>
      <c r="L19" s="140">
        <f t="shared" si="7"/>
        <v>84917.025412549119</v>
      </c>
      <c r="M19" s="140">
        <f t="shared" si="7"/>
        <v>87374.145910783729</v>
      </c>
      <c r="N19" s="140">
        <f t="shared" si="7"/>
        <v>88621.888505161885</v>
      </c>
      <c r="O19" s="140">
        <f t="shared" si="7"/>
        <v>89985.776124600263</v>
      </c>
      <c r="P19" s="140">
        <f t="shared" si="7"/>
        <v>91548.27889433461</v>
      </c>
      <c r="Q19" s="140">
        <f t="shared" si="7"/>
        <v>93527.200824091502</v>
      </c>
      <c r="R19" s="140">
        <f t="shared" ref="R19:W19" si="8">SUM(R20:R26)</f>
        <v>94844.894983847364</v>
      </c>
      <c r="S19" s="140">
        <f t="shared" si="8"/>
        <v>96173.240587353648</v>
      </c>
      <c r="T19" s="140">
        <f t="shared" si="8"/>
        <v>97476.899884091545</v>
      </c>
      <c r="U19" s="140">
        <f t="shared" si="8"/>
        <v>98725.87246385403</v>
      </c>
      <c r="V19" s="140">
        <f t="shared" si="8"/>
        <v>99861.017777777757</v>
      </c>
      <c r="W19" s="140">
        <f t="shared" si="8"/>
        <v>100897.12294062089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6793.193885419164</v>
      </c>
      <c r="C22" s="141">
        <v>6661.0356529031351</v>
      </c>
      <c r="D22" s="141">
        <v>6367.6101590570461</v>
      </c>
      <c r="E22" s="141">
        <v>5869.2134747489163</v>
      </c>
      <c r="F22" s="141">
        <v>5122.0792396365396</v>
      </c>
      <c r="G22" s="141">
        <v>4610.42852057653</v>
      </c>
      <c r="H22" s="141">
        <v>4329.9584475227339</v>
      </c>
      <c r="I22" s="141">
        <v>4230.2449814615975</v>
      </c>
      <c r="J22" s="141">
        <v>4120.9605417278281</v>
      </c>
      <c r="K22" s="141">
        <v>3947.2198369571975</v>
      </c>
      <c r="L22" s="141">
        <v>3717.7547893283272</v>
      </c>
      <c r="M22" s="141">
        <v>3456.0676584712874</v>
      </c>
      <c r="N22" s="141">
        <v>3035.6941363001379</v>
      </c>
      <c r="O22" s="141">
        <v>2499.4689160934472</v>
      </c>
      <c r="P22" s="141">
        <v>2074.2445473326579</v>
      </c>
      <c r="Q22" s="141">
        <v>1834.2691660619644</v>
      </c>
      <c r="R22" s="141">
        <v>1593.5640191371785</v>
      </c>
      <c r="S22" s="141">
        <v>1326.6175122106633</v>
      </c>
      <c r="T22" s="141">
        <v>1034.0987481352997</v>
      </c>
      <c r="U22" s="141">
        <v>933.45397387185483</v>
      </c>
      <c r="V22" s="141">
        <v>895.79822994738186</v>
      </c>
      <c r="W22" s="141">
        <v>854.38615070720937</v>
      </c>
      <c r="DA22" s="171" t="s">
        <v>262</v>
      </c>
    </row>
    <row r="23" spans="1:105" ht="12" customHeight="1" x14ac:dyDescent="0.25">
      <c r="A23" s="132" t="s">
        <v>153</v>
      </c>
      <c r="B23" s="141">
        <v>1832.6840551116175</v>
      </c>
      <c r="C23" s="141">
        <v>2215.1467749997632</v>
      </c>
      <c r="D23" s="141">
        <v>3093.4430981184623</v>
      </c>
      <c r="E23" s="141">
        <v>4199.7228857491591</v>
      </c>
      <c r="F23" s="141">
        <v>5532.149509035049</v>
      </c>
      <c r="G23" s="141">
        <v>7097.4093871986852</v>
      </c>
      <c r="H23" s="141">
        <v>8836.4037144803988</v>
      </c>
      <c r="I23" s="141">
        <v>10533.99955988179</v>
      </c>
      <c r="J23" s="141">
        <v>11757.525263178055</v>
      </c>
      <c r="K23" s="141">
        <v>12505.650774744565</v>
      </c>
      <c r="L23" s="141">
        <v>12909.602941279018</v>
      </c>
      <c r="M23" s="141">
        <v>13164.767606955063</v>
      </c>
      <c r="N23" s="141">
        <v>13351.135226114518</v>
      </c>
      <c r="O23" s="141">
        <v>13504.577185042912</v>
      </c>
      <c r="P23" s="141">
        <v>13720.49100955981</v>
      </c>
      <c r="Q23" s="141">
        <v>13895.002208935448</v>
      </c>
      <c r="R23" s="141">
        <v>14059.24149814984</v>
      </c>
      <c r="S23" s="141">
        <v>14223.796047942902</v>
      </c>
      <c r="T23" s="141">
        <v>14335.931164238636</v>
      </c>
      <c r="U23" s="141">
        <v>14289.503872416602</v>
      </c>
      <c r="V23" s="141">
        <v>14034.564694331797</v>
      </c>
      <c r="W23" s="141">
        <v>13833.301381604566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21239.185220770651</v>
      </c>
      <c r="C25" s="141">
        <v>21595.819295439243</v>
      </c>
      <c r="D25" s="141">
        <v>22524.363013291924</v>
      </c>
      <c r="E25" s="141">
        <v>23505.307814686308</v>
      </c>
      <c r="F25" s="141">
        <v>24363.34011855473</v>
      </c>
      <c r="G25" s="141">
        <v>24773.034397171239</v>
      </c>
      <c r="H25" s="141">
        <v>24787.868921238667</v>
      </c>
      <c r="I25" s="141">
        <v>24588.800358492932</v>
      </c>
      <c r="J25" s="141">
        <v>24209.36618346447</v>
      </c>
      <c r="K25" s="141">
        <v>23605.836413925226</v>
      </c>
      <c r="L25" s="141">
        <v>22997.494341466936</v>
      </c>
      <c r="M25" s="141">
        <v>22743.320434488276</v>
      </c>
      <c r="N25" s="141">
        <v>22733.452502756485</v>
      </c>
      <c r="O25" s="141">
        <v>22905.89149326929</v>
      </c>
      <c r="P25" s="141">
        <v>23264.100885917785</v>
      </c>
      <c r="Q25" s="141">
        <v>23631.510636590632</v>
      </c>
      <c r="R25" s="141">
        <v>24035.732581200537</v>
      </c>
      <c r="S25" s="141">
        <v>24346.867403432523</v>
      </c>
      <c r="T25" s="141">
        <v>24624.108927780613</v>
      </c>
      <c r="U25" s="141">
        <v>24816.70182541036</v>
      </c>
      <c r="V25" s="141">
        <v>25212.049092432044</v>
      </c>
      <c r="W25" s="141">
        <v>25399.013511890396</v>
      </c>
      <c r="DA25" s="171" t="s">
        <v>265</v>
      </c>
    </row>
    <row r="26" spans="1:105" ht="12" customHeight="1" x14ac:dyDescent="0.25">
      <c r="A26" s="132" t="s">
        <v>24</v>
      </c>
      <c r="B26" s="142">
        <v>28959.763667353971</v>
      </c>
      <c r="C26" s="142">
        <v>30442.025842915256</v>
      </c>
      <c r="D26" s="142">
        <v>31628.323025610563</v>
      </c>
      <c r="E26" s="142">
        <v>33109.253857818177</v>
      </c>
      <c r="F26" s="142">
        <v>34869.908170549861</v>
      </c>
      <c r="G26" s="142">
        <v>36506.254926219757</v>
      </c>
      <c r="H26" s="142">
        <v>38270.189075614595</v>
      </c>
      <c r="I26" s="142">
        <v>40516.198789013739</v>
      </c>
      <c r="J26" s="142">
        <v>42557.284236393942</v>
      </c>
      <c r="K26" s="142">
        <v>43528.590022796918</v>
      </c>
      <c r="L26" s="142">
        <v>45292.173340474845</v>
      </c>
      <c r="M26" s="142">
        <v>48009.990210869109</v>
      </c>
      <c r="N26" s="142">
        <v>49501.606639990743</v>
      </c>
      <c r="O26" s="142">
        <v>51075.838530194604</v>
      </c>
      <c r="P26" s="142">
        <v>52489.442451524359</v>
      </c>
      <c r="Q26" s="142">
        <v>54166.418812503456</v>
      </c>
      <c r="R26" s="142">
        <v>55156.356885359804</v>
      </c>
      <c r="S26" s="142">
        <v>56275.959623767558</v>
      </c>
      <c r="T26" s="142">
        <v>57482.761043936996</v>
      </c>
      <c r="U26" s="142">
        <v>58686.212792155224</v>
      </c>
      <c r="V26" s="142">
        <v>59718.60576106653</v>
      </c>
      <c r="W26" s="142">
        <v>60810.421896418717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6805.2860547468599</v>
      </c>
      <c r="M27" s="151">
        <v>10322.687437342423</v>
      </c>
      <c r="N27" s="151">
        <v>12136.523483723795</v>
      </c>
      <c r="O27" s="151">
        <v>17051.271184393026</v>
      </c>
      <c r="P27" s="151">
        <v>17693.631005811385</v>
      </c>
      <c r="Q27" s="151">
        <v>19698.218393653744</v>
      </c>
      <c r="R27" s="151">
        <v>21018.242461180569</v>
      </c>
      <c r="S27" s="151">
        <v>22431.648438677825</v>
      </c>
      <c r="T27" s="151">
        <v>22680.586128847972</v>
      </c>
      <c r="U27" s="151">
        <v>23058.391425850699</v>
      </c>
      <c r="V27" s="151">
        <v>26918.217460239255</v>
      </c>
      <c r="W27" s="151">
        <v>26826.847856161367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58824.826828655408</v>
      </c>
      <c r="C29" s="140">
        <f t="shared" si="9"/>
        <v>60914.027566257399</v>
      </c>
      <c r="D29" s="140">
        <f t="shared" si="9"/>
        <v>63613.739296077991</v>
      </c>
      <c r="E29" s="140">
        <f t="shared" si="9"/>
        <v>66683.498033002543</v>
      </c>
      <c r="F29" s="140">
        <f t="shared" si="9"/>
        <v>69887.477037776174</v>
      </c>
      <c r="G29" s="140">
        <f t="shared" si="9"/>
        <v>72987.127231166218</v>
      </c>
      <c r="H29" s="140">
        <f t="shared" si="9"/>
        <v>76224.420158856374</v>
      </c>
      <c r="I29" s="140">
        <f t="shared" si="9"/>
        <v>79869.243688850067</v>
      </c>
      <c r="J29" s="140">
        <f t="shared" si="9"/>
        <v>82645.136224764297</v>
      </c>
      <c r="K29" s="140">
        <f t="shared" si="9"/>
        <v>83587.297048423919</v>
      </c>
      <c r="L29" s="140">
        <f t="shared" si="9"/>
        <v>84917.025412549134</v>
      </c>
      <c r="M29" s="140">
        <f t="shared" si="9"/>
        <v>87374.145910783744</v>
      </c>
      <c r="N29" s="140">
        <f t="shared" si="9"/>
        <v>88621.888505161842</v>
      </c>
      <c r="O29" s="140">
        <f t="shared" si="9"/>
        <v>89985.776124600263</v>
      </c>
      <c r="P29" s="140">
        <f t="shared" si="9"/>
        <v>91548.278894334595</v>
      </c>
      <c r="Q29" s="140">
        <f t="shared" si="9"/>
        <v>93527.200824091458</v>
      </c>
      <c r="R29" s="140">
        <f t="shared" ref="R29:W29" si="10">SUM(R30:R33)</f>
        <v>94844.894983847364</v>
      </c>
      <c r="S29" s="140">
        <f t="shared" si="10"/>
        <v>96173.240587353634</v>
      </c>
      <c r="T29" s="140">
        <f t="shared" si="10"/>
        <v>97476.899884091661</v>
      </c>
      <c r="U29" s="140">
        <f t="shared" si="10"/>
        <v>98725.872463854015</v>
      </c>
      <c r="V29" s="140">
        <f t="shared" si="10"/>
        <v>99861.017777777786</v>
      </c>
      <c r="W29" s="140">
        <f t="shared" si="10"/>
        <v>100897.12294062086</v>
      </c>
      <c r="DA29" s="170" t="s">
        <v>268</v>
      </c>
    </row>
    <row r="30" spans="1:105" ht="12" customHeight="1" x14ac:dyDescent="0.25">
      <c r="A30" s="132" t="s">
        <v>52</v>
      </c>
      <c r="B30" s="141">
        <v>1238.338688374668</v>
      </c>
      <c r="C30" s="141">
        <v>1246.8048231004909</v>
      </c>
      <c r="D30" s="141">
        <v>1081.7725077082721</v>
      </c>
      <c r="E30" s="141">
        <v>917.79700913684451</v>
      </c>
      <c r="F30" s="141">
        <v>763.86257869707072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2648.5428667997121</v>
      </c>
      <c r="M30" s="141">
        <v>3418.6173443160878</v>
      </c>
      <c r="N30" s="141">
        <v>3961.363342947051</v>
      </c>
      <c r="O30" s="141">
        <v>4023.8187238146679</v>
      </c>
      <c r="P30" s="141">
        <v>3999.7989297865079</v>
      </c>
      <c r="Q30" s="141">
        <v>3959.6953872555796</v>
      </c>
      <c r="R30" s="141">
        <v>4039.8923219191288</v>
      </c>
      <c r="S30" s="141">
        <v>4330.5964167139127</v>
      </c>
      <c r="T30" s="141">
        <v>4824.1915086135959</v>
      </c>
      <c r="U30" s="141">
        <v>5086.9946502325502</v>
      </c>
      <c r="V30" s="141">
        <v>5153.2694463807493</v>
      </c>
      <c r="W30" s="141">
        <v>5308.9604379873681</v>
      </c>
      <c r="DA30" s="171" t="s">
        <v>269</v>
      </c>
    </row>
    <row r="31" spans="1:105" ht="12" customHeight="1" x14ac:dyDescent="0.25">
      <c r="A31" s="132" t="s">
        <v>153</v>
      </c>
      <c r="B31" s="141">
        <v>1686.0816392621125</v>
      </c>
      <c r="C31" s="141">
        <v>1914.3185952902365</v>
      </c>
      <c r="D31" s="141">
        <v>2600.1940681413389</v>
      </c>
      <c r="E31" s="141">
        <v>3445.7436074423927</v>
      </c>
      <c r="F31" s="141">
        <v>4555.9256691837145</v>
      </c>
      <c r="G31" s="141">
        <v>5834.5276043469112</v>
      </c>
      <c r="H31" s="141">
        <v>7330.4110000287819</v>
      </c>
      <c r="I31" s="141">
        <v>8498.4410281503042</v>
      </c>
      <c r="J31" s="141">
        <v>9134.0008803604815</v>
      </c>
      <c r="K31" s="141">
        <v>9324.9719125141037</v>
      </c>
      <c r="L31" s="141">
        <v>9316.4666210516134</v>
      </c>
      <c r="M31" s="141">
        <v>9361.5124328237835</v>
      </c>
      <c r="N31" s="141">
        <v>9401.5862640524501</v>
      </c>
      <c r="O31" s="141">
        <v>9543.3143243763407</v>
      </c>
      <c r="P31" s="141">
        <v>9646.2931432157093</v>
      </c>
      <c r="Q31" s="141">
        <v>9612.2039244478019</v>
      </c>
      <c r="R31" s="141">
        <v>9350.9521214010001</v>
      </c>
      <c r="S31" s="141">
        <v>8949.3695193028198</v>
      </c>
      <c r="T31" s="141">
        <v>8493.44919656616</v>
      </c>
      <c r="U31" s="141">
        <v>8134.7020555471745</v>
      </c>
      <c r="V31" s="141">
        <v>7902.4162069444719</v>
      </c>
      <c r="W31" s="141">
        <v>7973.3860529955982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1920.2675769305074</v>
      </c>
      <c r="K32" s="141">
        <v>2377.6313529935937</v>
      </c>
      <c r="L32" s="141">
        <v>2469.2578282226973</v>
      </c>
      <c r="M32" s="141">
        <v>2239.8183541222375</v>
      </c>
      <c r="N32" s="141">
        <v>1983.6927766665422</v>
      </c>
      <c r="O32" s="141">
        <v>1809.6151866521261</v>
      </c>
      <c r="P32" s="141">
        <v>1722.2673331953245</v>
      </c>
      <c r="Q32" s="141">
        <v>1936.915111826992</v>
      </c>
      <c r="R32" s="141">
        <v>2674.6257549956681</v>
      </c>
      <c r="S32" s="141">
        <v>4218.1348327143414</v>
      </c>
      <c r="T32" s="141">
        <v>6001.7392632718938</v>
      </c>
      <c r="U32" s="141">
        <v>7326.1902155746557</v>
      </c>
      <c r="V32" s="141">
        <v>7913.0104484709091</v>
      </c>
      <c r="W32" s="141">
        <v>8081.8414363341644</v>
      </c>
      <c r="DA32" s="171" t="s">
        <v>271</v>
      </c>
    </row>
    <row r="33" spans="1:105" ht="12" customHeight="1" x14ac:dyDescent="0.25">
      <c r="A33" s="62" t="s">
        <v>24</v>
      </c>
      <c r="B33" s="153">
        <v>55900.406501018624</v>
      </c>
      <c r="C33" s="153">
        <v>57752.90414786667</v>
      </c>
      <c r="D33" s="153">
        <v>59931.772720228379</v>
      </c>
      <c r="E33" s="153">
        <v>62319.957416423305</v>
      </c>
      <c r="F33" s="153">
        <v>64567.688789895386</v>
      </c>
      <c r="G33" s="153">
        <v>67152.599626819312</v>
      </c>
      <c r="H33" s="153">
        <v>68894.009158827597</v>
      </c>
      <c r="I33" s="153">
        <v>71370.802660699759</v>
      </c>
      <c r="J33" s="153">
        <v>71590.867767473304</v>
      </c>
      <c r="K33" s="153">
        <v>71884.69378291622</v>
      </c>
      <c r="L33" s="153">
        <v>70482.758096475111</v>
      </c>
      <c r="M33" s="153">
        <v>72354.197779521637</v>
      </c>
      <c r="N33" s="153">
        <v>73275.246121495802</v>
      </c>
      <c r="O33" s="153">
        <v>74609.027889757126</v>
      </c>
      <c r="P33" s="153">
        <v>76179.919488137049</v>
      </c>
      <c r="Q33" s="153">
        <v>78018.386400561081</v>
      </c>
      <c r="R33" s="153">
        <v>78779.424785531563</v>
      </c>
      <c r="S33" s="153">
        <v>78675.139818622556</v>
      </c>
      <c r="T33" s="153">
        <v>78157.519915640005</v>
      </c>
      <c r="U33" s="153">
        <v>78177.985542499635</v>
      </c>
      <c r="V33" s="153">
        <v>78892.321675981657</v>
      </c>
      <c r="W33" s="153">
        <v>79532.935013303722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438.86456365302604</v>
      </c>
      <c r="C3" s="126">
        <f t="shared" si="0"/>
        <v>544.9429882598979</v>
      </c>
      <c r="D3" s="126">
        <f t="shared" si="0"/>
        <v>508.03954174690637</v>
      </c>
      <c r="E3" s="126">
        <f t="shared" si="0"/>
        <v>511.3744270965301</v>
      </c>
      <c r="F3" s="126">
        <f t="shared" si="0"/>
        <v>441.42842277117001</v>
      </c>
      <c r="G3" s="126">
        <f t="shared" si="0"/>
        <v>547.32456731540958</v>
      </c>
      <c r="H3" s="126">
        <f t="shared" si="0"/>
        <v>645.22140423925339</v>
      </c>
      <c r="I3" s="126">
        <f t="shared" si="0"/>
        <v>581.82157339051275</v>
      </c>
      <c r="J3" s="126">
        <f t="shared" si="0"/>
        <v>628.84856458605896</v>
      </c>
      <c r="K3" s="126">
        <f t="shared" si="0"/>
        <v>604.98396658146078</v>
      </c>
      <c r="L3" s="126">
        <f t="shared" si="0"/>
        <v>648.47257124181749</v>
      </c>
      <c r="M3" s="126">
        <f t="shared" si="0"/>
        <v>697.41307435116403</v>
      </c>
      <c r="N3" s="126">
        <f t="shared" si="0"/>
        <v>663.7030659976374</v>
      </c>
      <c r="O3" s="126">
        <f t="shared" si="0"/>
        <v>595.68265682388051</v>
      </c>
      <c r="P3" s="126">
        <f t="shared" si="0"/>
        <v>550.6515318893745</v>
      </c>
      <c r="Q3" s="126">
        <f t="shared" si="0"/>
        <v>608.52343851523347</v>
      </c>
      <c r="R3" s="126">
        <f t="shared" ref="R3:W3" si="1">SUM(R4,R16,R19,R29)</f>
        <v>676.29144819054727</v>
      </c>
      <c r="S3" s="126">
        <f t="shared" si="1"/>
        <v>680.27894739475119</v>
      </c>
      <c r="T3" s="126">
        <f t="shared" si="1"/>
        <v>741.07626332291886</v>
      </c>
      <c r="U3" s="126">
        <f t="shared" si="1"/>
        <v>775.33770875603477</v>
      </c>
      <c r="V3" s="126">
        <f t="shared" si="1"/>
        <v>625.34532981705502</v>
      </c>
      <c r="W3" s="126">
        <f t="shared" si="1"/>
        <v>806.22048753220679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262.4323357860311</v>
      </c>
      <c r="C4" s="131">
        <f t="shared" si="2"/>
        <v>360.97843548159852</v>
      </c>
      <c r="D4" s="131">
        <f t="shared" si="2"/>
        <v>324.51937024942919</v>
      </c>
      <c r="E4" s="131">
        <f t="shared" si="2"/>
        <v>321.00179127232059</v>
      </c>
      <c r="F4" s="131">
        <f t="shared" si="2"/>
        <v>246.20624797097335</v>
      </c>
      <c r="G4" s="131">
        <f t="shared" si="2"/>
        <v>346.57469551082369</v>
      </c>
      <c r="H4" s="131">
        <f t="shared" si="2"/>
        <v>432.19952723544043</v>
      </c>
      <c r="I4" s="131">
        <f t="shared" si="2"/>
        <v>345.07885769800271</v>
      </c>
      <c r="J4" s="131">
        <f t="shared" si="2"/>
        <v>390.90005167153203</v>
      </c>
      <c r="K4" s="131">
        <f t="shared" si="2"/>
        <v>360.84155734965958</v>
      </c>
      <c r="L4" s="131">
        <f t="shared" si="2"/>
        <v>386.01958554046138</v>
      </c>
      <c r="M4" s="131">
        <f t="shared" si="2"/>
        <v>433.40808175190148</v>
      </c>
      <c r="N4" s="131">
        <f t="shared" si="2"/>
        <v>370.54490957307689</v>
      </c>
      <c r="O4" s="131">
        <f t="shared" si="2"/>
        <v>320.92885740299573</v>
      </c>
      <c r="P4" s="131">
        <f t="shared" si="2"/>
        <v>278.72348854314436</v>
      </c>
      <c r="Q4" s="131">
        <f t="shared" si="2"/>
        <v>323.1336964759949</v>
      </c>
      <c r="R4" s="131">
        <f t="shared" ref="R4:W4" si="3">SUM(R5:R15)</f>
        <v>388.00848375155715</v>
      </c>
      <c r="S4" s="131">
        <f t="shared" si="3"/>
        <v>381.31651417455902</v>
      </c>
      <c r="T4" s="131">
        <f t="shared" si="3"/>
        <v>438.33448920621402</v>
      </c>
      <c r="U4" s="131">
        <f t="shared" si="3"/>
        <v>465.92535957999894</v>
      </c>
      <c r="V4" s="131">
        <f t="shared" si="3"/>
        <v>350.85645412828933</v>
      </c>
      <c r="W4" s="131">
        <f t="shared" si="3"/>
        <v>503.37724337607744</v>
      </c>
      <c r="DA4" s="156" t="s">
        <v>213</v>
      </c>
    </row>
    <row r="5" spans="1:105" ht="12" customHeight="1" x14ac:dyDescent="0.25">
      <c r="A5" s="132" t="s">
        <v>29</v>
      </c>
      <c r="B5" s="133">
        <v>2.8149613069647463</v>
      </c>
      <c r="C5" s="133">
        <v>3.1125537403267414</v>
      </c>
      <c r="D5" s="133">
        <v>5.0740326741186585</v>
      </c>
      <c r="E5" s="133">
        <v>6.4040412725709359</v>
      </c>
      <c r="F5" s="133">
        <v>4.5505588993981068</v>
      </c>
      <c r="G5" s="133">
        <v>6.0177128116938947</v>
      </c>
      <c r="H5" s="133">
        <v>6.1772141014617388</v>
      </c>
      <c r="I5" s="133">
        <v>2.91298366294067</v>
      </c>
      <c r="J5" s="133">
        <v>5.5129836629406688</v>
      </c>
      <c r="K5" s="133">
        <v>4.5808254514187441</v>
      </c>
      <c r="L5" s="133">
        <v>4.2755803955288023</v>
      </c>
      <c r="M5" s="133">
        <v>4.7995700773860674</v>
      </c>
      <c r="N5" s="133">
        <v>3.6009458297506449</v>
      </c>
      <c r="O5" s="133">
        <v>4.7784178847807377</v>
      </c>
      <c r="P5" s="133">
        <v>2.1204643164230417</v>
      </c>
      <c r="Q5" s="133">
        <v>5.5542562338778998</v>
      </c>
      <c r="R5" s="133">
        <v>5.9650902837489337</v>
      </c>
      <c r="S5" s="133">
        <v>3.901633705932932</v>
      </c>
      <c r="T5" s="133">
        <v>2.5331040412725705</v>
      </c>
      <c r="U5" s="133">
        <v>3.833276010318142</v>
      </c>
      <c r="V5" s="133">
        <v>3.2777300085984518</v>
      </c>
      <c r="W5" s="133">
        <v>2.5301805674978519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81.837930962239142</v>
      </c>
      <c r="C7" s="133">
        <v>156.38774088328225</v>
      </c>
      <c r="D7" s="133">
        <v>95.13840371804821</v>
      </c>
      <c r="E7" s="133">
        <v>52.163476773471061</v>
      </c>
      <c r="F7" s="133">
        <v>26.978884405413385</v>
      </c>
      <c r="G7" s="133">
        <v>26.631813690522748</v>
      </c>
      <c r="H7" s="133">
        <v>57.399359855331674</v>
      </c>
      <c r="I7" s="133">
        <v>40.356455352891452</v>
      </c>
      <c r="J7" s="133">
        <v>53.428449875165043</v>
      </c>
      <c r="K7" s="133">
        <v>58.058106610668816</v>
      </c>
      <c r="L7" s="133">
        <v>33.356076549165017</v>
      </c>
      <c r="M7" s="133">
        <v>22.307000088105948</v>
      </c>
      <c r="N7" s="133">
        <v>17.805858179674981</v>
      </c>
      <c r="O7" s="133">
        <v>10.809044821986408</v>
      </c>
      <c r="P7" s="133">
        <v>7.7782625092149367</v>
      </c>
      <c r="Q7" s="133">
        <v>29.824232072338546</v>
      </c>
      <c r="R7" s="133">
        <v>29.351851535999511</v>
      </c>
      <c r="S7" s="133">
        <v>24.580302235402922</v>
      </c>
      <c r="T7" s="133">
        <v>14.685761640206245</v>
      </c>
      <c r="U7" s="133">
        <v>18.431672945744221</v>
      </c>
      <c r="V7" s="133">
        <v>16.402440462163117</v>
      </c>
      <c r="W7" s="133">
        <v>16.858509855606432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6.438247884152835</v>
      </c>
      <c r="C9" s="133">
        <v>10.389207586045426</v>
      </c>
      <c r="D9" s="133">
        <v>11.121634033019996</v>
      </c>
      <c r="E9" s="133">
        <v>15.736745835870394</v>
      </c>
      <c r="F9" s="133">
        <v>15.271767882339759</v>
      </c>
      <c r="G9" s="133">
        <v>24.233118342735111</v>
      </c>
      <c r="H9" s="133">
        <v>38.783660496731386</v>
      </c>
      <c r="I9" s="133">
        <v>38.994245756104213</v>
      </c>
      <c r="J9" s="133">
        <v>47.404995452085345</v>
      </c>
      <c r="K9" s="133">
        <v>30.79213978827201</v>
      </c>
      <c r="L9" s="133">
        <v>44.119155399286186</v>
      </c>
      <c r="M9" s="133">
        <v>46.130430086845848</v>
      </c>
      <c r="N9" s="133">
        <v>43.420917747367</v>
      </c>
      <c r="O9" s="133">
        <v>39.482608218045492</v>
      </c>
      <c r="P9" s="133">
        <v>44.550722903061846</v>
      </c>
      <c r="Q9" s="133">
        <v>53.324254341285823</v>
      </c>
      <c r="R9" s="133">
        <v>57.860625530953008</v>
      </c>
      <c r="S9" s="133">
        <v>58.453784519741738</v>
      </c>
      <c r="T9" s="133">
        <v>62.913077241993307</v>
      </c>
      <c r="U9" s="133">
        <v>54.376186820697455</v>
      </c>
      <c r="V9" s="133">
        <v>57.015789348436805</v>
      </c>
      <c r="W9" s="133">
        <v>74.333035500599394</v>
      </c>
      <c r="DA9" s="157" t="s">
        <v>278</v>
      </c>
    </row>
    <row r="10" spans="1:105" ht="12" customHeight="1" x14ac:dyDescent="0.25">
      <c r="A10" s="132" t="s">
        <v>128</v>
      </c>
      <c r="B10" s="133">
        <v>9.6971625107480648</v>
      </c>
      <c r="C10" s="133">
        <v>8.7895098882201186</v>
      </c>
      <c r="D10" s="133">
        <v>7.9774720550300948</v>
      </c>
      <c r="E10" s="133">
        <v>12.945485812553741</v>
      </c>
      <c r="F10" s="133">
        <v>8.9567497850386886</v>
      </c>
      <c r="G10" s="133">
        <v>13.542562338779017</v>
      </c>
      <c r="H10" s="133">
        <v>18.200085984522804</v>
      </c>
      <c r="I10" s="133">
        <v>14.927858985382619</v>
      </c>
      <c r="J10" s="133">
        <v>16.217626827171106</v>
      </c>
      <c r="K10" s="133">
        <v>10.074544282029223</v>
      </c>
      <c r="L10" s="133">
        <v>5.7370937231298162</v>
      </c>
      <c r="M10" s="133">
        <v>6.3532244196044845</v>
      </c>
      <c r="N10" s="133">
        <v>45.629122957867558</v>
      </c>
      <c r="O10" s="133">
        <v>24.09000859845229</v>
      </c>
      <c r="P10" s="133">
        <v>2.6751074806534851</v>
      </c>
      <c r="Q10" s="133">
        <v>11.154127257093709</v>
      </c>
      <c r="R10" s="133">
        <v>5.2546001719690345</v>
      </c>
      <c r="S10" s="133">
        <v>51.06781703883491</v>
      </c>
      <c r="T10" s="133">
        <v>84.48251042989871</v>
      </c>
      <c r="U10" s="133">
        <v>96.634512014704583</v>
      </c>
      <c r="V10" s="133">
        <v>70.934574625448164</v>
      </c>
      <c r="W10" s="133">
        <v>102.16130748322924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32.674118658641447</v>
      </c>
      <c r="H11" s="133">
        <v>32.67411865864144</v>
      </c>
      <c r="I11" s="133">
        <v>32.67411865864144</v>
      </c>
      <c r="J11" s="133">
        <v>32.674118658641447</v>
      </c>
      <c r="K11" s="133">
        <v>32.674118658641447</v>
      </c>
      <c r="L11" s="133">
        <v>32.674118658641433</v>
      </c>
      <c r="M11" s="133">
        <v>32.960705073086842</v>
      </c>
      <c r="N11" s="133">
        <v>33.438435081685306</v>
      </c>
      <c r="O11" s="133">
        <v>33.438435081685313</v>
      </c>
      <c r="P11" s="133">
        <v>33.438435081685299</v>
      </c>
      <c r="Q11" s="133">
        <v>33.438435081685299</v>
      </c>
      <c r="R11" s="133">
        <v>34.63267411865862</v>
      </c>
      <c r="S11" s="133">
        <v>34.632674118658642</v>
      </c>
      <c r="T11" s="133">
        <v>34.632674118658649</v>
      </c>
      <c r="U11" s="133">
        <v>35.110318142734315</v>
      </c>
      <c r="V11" s="133">
        <v>35.707480653482399</v>
      </c>
      <c r="W11" s="133">
        <v>36.10421324161652</v>
      </c>
      <c r="DA11" s="157" t="s">
        <v>280</v>
      </c>
    </row>
    <row r="12" spans="1:105" ht="12" customHeight="1" x14ac:dyDescent="0.25">
      <c r="A12" s="132" t="s">
        <v>169</v>
      </c>
      <c r="B12" s="133">
        <v>74.329314559252126</v>
      </c>
      <c r="C12" s="133">
        <v>103.02121629149792</v>
      </c>
      <c r="D12" s="133">
        <v>95.603514260338827</v>
      </c>
      <c r="E12" s="133">
        <v>110.11729134410226</v>
      </c>
      <c r="F12" s="133">
        <v>96.585248706436133</v>
      </c>
      <c r="G12" s="133">
        <v>138.54666646953626</v>
      </c>
      <c r="H12" s="133">
        <v>134.54635108158428</v>
      </c>
      <c r="I12" s="133">
        <v>96.742157420027453</v>
      </c>
      <c r="J12" s="133">
        <v>83.380429024983712</v>
      </c>
      <c r="K12" s="133">
        <v>88.25486493166963</v>
      </c>
      <c r="L12" s="133">
        <v>87.584955016393096</v>
      </c>
      <c r="M12" s="133">
        <v>121.1005879259389</v>
      </c>
      <c r="N12" s="133">
        <v>82.355643508493444</v>
      </c>
      <c r="O12" s="133">
        <v>75.357643627139282</v>
      </c>
      <c r="P12" s="133">
        <v>74.112497899148252</v>
      </c>
      <c r="Q12" s="133">
        <v>84.054511570502441</v>
      </c>
      <c r="R12" s="133">
        <v>117.5174305738644</v>
      </c>
      <c r="S12" s="133">
        <v>81.479815068731469</v>
      </c>
      <c r="T12" s="133">
        <v>102.72366887856548</v>
      </c>
      <c r="U12" s="133">
        <v>89.636314676362645</v>
      </c>
      <c r="V12" s="133">
        <v>69.705468467907082</v>
      </c>
      <c r="W12" s="133">
        <v>93.300283481434732</v>
      </c>
      <c r="DA12" s="157" t="s">
        <v>281</v>
      </c>
    </row>
    <row r="13" spans="1:105" ht="12" customHeight="1" x14ac:dyDescent="0.25">
      <c r="A13" s="132" t="s">
        <v>77</v>
      </c>
      <c r="B13" s="133">
        <v>5.7831450399349071</v>
      </c>
      <c r="C13" s="133">
        <v>6.1907412239672759</v>
      </c>
      <c r="D13" s="133">
        <v>14.24046862882795</v>
      </c>
      <c r="E13" s="133">
        <v>22.875960997683269</v>
      </c>
      <c r="F13" s="133">
        <v>27.217437275397167</v>
      </c>
      <c r="G13" s="133">
        <v>33.057147607487217</v>
      </c>
      <c r="H13" s="133">
        <v>41.201965890992447</v>
      </c>
      <c r="I13" s="133">
        <v>41.06092154733571</v>
      </c>
      <c r="J13" s="133">
        <v>41.64364202800018</v>
      </c>
      <c r="K13" s="133">
        <v>46.014143475623627</v>
      </c>
      <c r="L13" s="133">
        <v>50.604530298794714</v>
      </c>
      <c r="M13" s="133">
        <v>50.995020329267284</v>
      </c>
      <c r="N13" s="133">
        <v>49.805787954192446</v>
      </c>
      <c r="O13" s="133">
        <v>59.782548258242265</v>
      </c>
      <c r="P13" s="133">
        <v>55.172737300248585</v>
      </c>
      <c r="Q13" s="133">
        <v>59.183394911945811</v>
      </c>
      <c r="R13" s="133">
        <v>59.874961199190295</v>
      </c>
      <c r="S13" s="133">
        <v>59.3537633605116</v>
      </c>
      <c r="T13" s="133">
        <v>57.311612669940935</v>
      </c>
      <c r="U13" s="133">
        <v>60.582755373332787</v>
      </c>
      <c r="V13" s="133">
        <v>60.514275349176863</v>
      </c>
      <c r="W13" s="133">
        <v>68.22141412167872</v>
      </c>
      <c r="DA13" s="157" t="s">
        <v>282</v>
      </c>
    </row>
    <row r="14" spans="1:105" ht="12" customHeight="1" x14ac:dyDescent="0.25">
      <c r="A14" s="60" t="s">
        <v>76</v>
      </c>
      <c r="B14" s="65">
        <v>80.522232982223883</v>
      </c>
      <c r="C14" s="65">
        <v>71.366435376796005</v>
      </c>
      <c r="D14" s="65">
        <v>94.155795727134986</v>
      </c>
      <c r="E14" s="65">
        <v>99.779078613556422</v>
      </c>
      <c r="F14" s="65">
        <v>65.936660610601095</v>
      </c>
      <c r="G14" s="65">
        <v>70.813482201956887</v>
      </c>
      <c r="H14" s="65">
        <v>101.79564700193772</v>
      </c>
      <c r="I14" s="65">
        <v>76.264989403547617</v>
      </c>
      <c r="J14" s="65">
        <v>109.3496313658157</v>
      </c>
      <c r="K14" s="65">
        <v>89.250874767095468</v>
      </c>
      <c r="L14" s="65">
        <v>126.6101289558969</v>
      </c>
      <c r="M14" s="65">
        <v>147.66348532999709</v>
      </c>
      <c r="N14" s="65">
        <v>93.409360140581327</v>
      </c>
      <c r="O14" s="65">
        <v>72.286684738668555</v>
      </c>
      <c r="P14" s="65">
        <v>58.04710365807243</v>
      </c>
      <c r="Q14" s="65">
        <v>45.410492108562892</v>
      </c>
      <c r="R14" s="65">
        <v>76.238291353154381</v>
      </c>
      <c r="S14" s="65">
        <v>66.500360094547361</v>
      </c>
      <c r="T14" s="65">
        <v>77.563679177500134</v>
      </c>
      <c r="U14" s="65">
        <v>105.85863992698253</v>
      </c>
      <c r="V14" s="65">
        <v>35.974190132387804</v>
      </c>
      <c r="W14" s="65">
        <v>108.16686626883815</v>
      </c>
      <c r="DA14" s="109" t="s">
        <v>283</v>
      </c>
    </row>
    <row r="15" spans="1:105" ht="12" customHeight="1" x14ac:dyDescent="0.25">
      <c r="A15" s="134" t="s">
        <v>80</v>
      </c>
      <c r="B15" s="135">
        <v>1.0093405405154425</v>
      </c>
      <c r="C15" s="135">
        <v>1.7210304914627623</v>
      </c>
      <c r="D15" s="135">
        <v>1.2080491529104653</v>
      </c>
      <c r="E15" s="135">
        <v>0.97971062251245988</v>
      </c>
      <c r="F15" s="135">
        <v>0.70894040634898903</v>
      </c>
      <c r="G15" s="135">
        <v>1.0580733894710932</v>
      </c>
      <c r="H15" s="135">
        <v>1.4211241642369901</v>
      </c>
      <c r="I15" s="135">
        <v>1.1451269111315452</v>
      </c>
      <c r="J15" s="135">
        <v>1.2881747767288274</v>
      </c>
      <c r="K15" s="135">
        <v>1.1419393842406227</v>
      </c>
      <c r="L15" s="135">
        <v>1.0579465436254023</v>
      </c>
      <c r="M15" s="135">
        <v>1.098058421669057</v>
      </c>
      <c r="N15" s="135">
        <v>1.0788381734642054</v>
      </c>
      <c r="O15" s="135">
        <v>0.9034661739954114</v>
      </c>
      <c r="P15" s="135">
        <v>0.82815739463647098</v>
      </c>
      <c r="Q15" s="135">
        <v>1.1899928987025117</v>
      </c>
      <c r="R15" s="135">
        <v>1.3129589840188867</v>
      </c>
      <c r="S15" s="135">
        <v>1.3463640321973918</v>
      </c>
      <c r="T15" s="135">
        <v>1.4884010081779331</v>
      </c>
      <c r="U15" s="135">
        <v>1.4616836691222839</v>
      </c>
      <c r="V15" s="135">
        <v>1.3245050806885774</v>
      </c>
      <c r="W15" s="135">
        <v>1.7014328555764835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12.338525268310052</v>
      </c>
      <c r="C16" s="131">
        <f t="shared" si="4"/>
        <v>12.24466714874081</v>
      </c>
      <c r="D16" s="131">
        <f t="shared" si="4"/>
        <v>9.6115750947370984</v>
      </c>
      <c r="E16" s="131">
        <f t="shared" si="4"/>
        <v>11.717954105485344</v>
      </c>
      <c r="F16" s="131">
        <f t="shared" si="4"/>
        <v>10.4339662387105</v>
      </c>
      <c r="G16" s="131">
        <f t="shared" si="4"/>
        <v>11.374058172167691</v>
      </c>
      <c r="H16" s="131">
        <f t="shared" si="4"/>
        <v>14.253094635009228</v>
      </c>
      <c r="I16" s="131">
        <f t="shared" si="4"/>
        <v>28.620564596188935</v>
      </c>
      <c r="J16" s="131">
        <f t="shared" si="4"/>
        <v>19.204281060960792</v>
      </c>
      <c r="K16" s="131">
        <f t="shared" si="4"/>
        <v>17.448688956313596</v>
      </c>
      <c r="L16" s="131">
        <f t="shared" si="4"/>
        <v>22.354146670320915</v>
      </c>
      <c r="M16" s="131">
        <f t="shared" si="4"/>
        <v>19.067864685758426</v>
      </c>
      <c r="N16" s="131">
        <f t="shared" si="4"/>
        <v>40.168330868246173</v>
      </c>
      <c r="O16" s="131">
        <f t="shared" si="4"/>
        <v>19.492763824413192</v>
      </c>
      <c r="P16" s="131">
        <f t="shared" si="4"/>
        <v>17.913316496692726</v>
      </c>
      <c r="Q16" s="131">
        <f t="shared" si="4"/>
        <v>25.676505527384819</v>
      </c>
      <c r="R16" s="131">
        <f t="shared" ref="R16:W16" si="5">SUM(R17:R18)</f>
        <v>23.580720569743846</v>
      </c>
      <c r="S16" s="131">
        <f t="shared" si="5"/>
        <v>24.426759507271061</v>
      </c>
      <c r="T16" s="131">
        <f t="shared" si="5"/>
        <v>18.075147498122622</v>
      </c>
      <c r="U16" s="131">
        <f t="shared" si="5"/>
        <v>19.807950948207143</v>
      </c>
      <c r="V16" s="131">
        <f t="shared" si="5"/>
        <v>19.058603382891228</v>
      </c>
      <c r="W16" s="131">
        <f t="shared" si="5"/>
        <v>26.288656853832993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12.338525268310052</v>
      </c>
      <c r="C18" s="133">
        <v>12.24466714874081</v>
      </c>
      <c r="D18" s="133">
        <v>9.6115750947370984</v>
      </c>
      <c r="E18" s="133">
        <v>11.717954105485344</v>
      </c>
      <c r="F18" s="133">
        <v>10.4339662387105</v>
      </c>
      <c r="G18" s="133">
        <v>11.374058172167691</v>
      </c>
      <c r="H18" s="133">
        <v>14.253094635009228</v>
      </c>
      <c r="I18" s="133">
        <v>28.620564596188935</v>
      </c>
      <c r="J18" s="133">
        <v>19.204281060960792</v>
      </c>
      <c r="K18" s="133">
        <v>17.448688956313596</v>
      </c>
      <c r="L18" s="133">
        <v>22.354146670320915</v>
      </c>
      <c r="M18" s="133">
        <v>19.067864685758426</v>
      </c>
      <c r="N18" s="133">
        <v>40.168330868246173</v>
      </c>
      <c r="O18" s="133">
        <v>19.492763824413192</v>
      </c>
      <c r="P18" s="133">
        <v>17.913316496692726</v>
      </c>
      <c r="Q18" s="133">
        <v>25.676505527384819</v>
      </c>
      <c r="R18" s="133">
        <v>23.580720569743846</v>
      </c>
      <c r="S18" s="133">
        <v>24.426759507271061</v>
      </c>
      <c r="T18" s="133">
        <v>18.075147498122622</v>
      </c>
      <c r="U18" s="133">
        <v>19.807950948207143</v>
      </c>
      <c r="V18" s="133">
        <v>19.058603382891228</v>
      </c>
      <c r="W18" s="133">
        <v>26.288656853832993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82.254160584952729</v>
      </c>
      <c r="C19" s="131">
        <f t="shared" si="6"/>
        <v>84.545582953140695</v>
      </c>
      <c r="D19" s="131">
        <f t="shared" si="6"/>
        <v>86.692294682473801</v>
      </c>
      <c r="E19" s="131">
        <f t="shared" si="6"/>
        <v>88.70217637784782</v>
      </c>
      <c r="F19" s="131">
        <f t="shared" si="6"/>
        <v>89.878629478739597</v>
      </c>
      <c r="G19" s="131">
        <f t="shared" si="6"/>
        <v>93.76282700685752</v>
      </c>
      <c r="H19" s="131">
        <f t="shared" si="6"/>
        <v>99.284023733626881</v>
      </c>
      <c r="I19" s="131">
        <f t="shared" si="6"/>
        <v>104.61144002874059</v>
      </c>
      <c r="J19" s="131">
        <f t="shared" si="6"/>
        <v>108.59160918738868</v>
      </c>
      <c r="K19" s="131">
        <f t="shared" si="6"/>
        <v>113.22334190396128</v>
      </c>
      <c r="L19" s="131">
        <f t="shared" si="6"/>
        <v>119.09453060598278</v>
      </c>
      <c r="M19" s="131">
        <f t="shared" si="6"/>
        <v>121.6419481154914</v>
      </c>
      <c r="N19" s="131">
        <f t="shared" si="6"/>
        <v>121.92496709372271</v>
      </c>
      <c r="O19" s="131">
        <f t="shared" si="6"/>
        <v>123.5008940939953</v>
      </c>
      <c r="P19" s="131">
        <f t="shared" si="6"/>
        <v>123.24359431482418</v>
      </c>
      <c r="Q19" s="131">
        <f t="shared" si="6"/>
        <v>126.65114286564592</v>
      </c>
      <c r="R19" s="131">
        <f t="shared" ref="R19:W19" si="7">SUM(R20:R27)</f>
        <v>128.47626080629379</v>
      </c>
      <c r="S19" s="131">
        <f t="shared" si="7"/>
        <v>130.99450564815598</v>
      </c>
      <c r="T19" s="131">
        <f t="shared" si="7"/>
        <v>132.49915467701405</v>
      </c>
      <c r="U19" s="131">
        <f t="shared" si="7"/>
        <v>134.50563166737729</v>
      </c>
      <c r="V19" s="131">
        <f t="shared" si="7"/>
        <v>120.01119972039771</v>
      </c>
      <c r="W19" s="131">
        <f t="shared" si="7"/>
        <v>127.73313269174201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11.469549691243227</v>
      </c>
      <c r="C22" s="133">
        <v>12.266171412504498</v>
      </c>
      <c r="D22" s="133">
        <v>11.768990950911377</v>
      </c>
      <c r="E22" s="133">
        <v>10.643401988351799</v>
      </c>
      <c r="F22" s="133">
        <v>8.1601525679314051</v>
      </c>
      <c r="G22" s="133">
        <v>7.4801381581444888</v>
      </c>
      <c r="H22" s="133">
        <v>7.2922996459580869</v>
      </c>
      <c r="I22" s="133">
        <v>7.3148258164980335</v>
      </c>
      <c r="J22" s="133">
        <v>7.2670789296500784</v>
      </c>
      <c r="K22" s="133">
        <v>7.0082734409218883</v>
      </c>
      <c r="L22" s="133">
        <v>6.6721263743087187</v>
      </c>
      <c r="M22" s="133">
        <v>6.6291993959869115</v>
      </c>
      <c r="N22" s="133">
        <v>5.8374780198091036</v>
      </c>
      <c r="O22" s="133">
        <v>4.1912131315819554</v>
      </c>
      <c r="P22" s="133">
        <v>3.2802929508022562</v>
      </c>
      <c r="Q22" s="133">
        <v>3.4278745484697239</v>
      </c>
      <c r="R22" s="133">
        <v>3.1097133823151646</v>
      </c>
      <c r="S22" s="133">
        <v>2.5552093725076697</v>
      </c>
      <c r="T22" s="133">
        <v>1.4773509995185972</v>
      </c>
      <c r="U22" s="133">
        <v>1.824388963112185</v>
      </c>
      <c r="V22" s="133">
        <v>1.5797607416202064</v>
      </c>
      <c r="W22" s="133">
        <v>1.5470791383746336</v>
      </c>
      <c r="DA22" s="157" t="s">
        <v>289</v>
      </c>
    </row>
    <row r="23" spans="1:105" ht="12" customHeight="1" x14ac:dyDescent="0.25">
      <c r="A23" s="132" t="s">
        <v>153</v>
      </c>
      <c r="B23" s="133">
        <v>2.9228594189828914</v>
      </c>
      <c r="C23" s="133">
        <v>3.7989123779506473</v>
      </c>
      <c r="D23" s="133">
        <v>4.6218386612048983</v>
      </c>
      <c r="E23" s="133">
        <v>6.491714646534839</v>
      </c>
      <c r="F23" s="133">
        <v>8.2812955944505209</v>
      </c>
      <c r="G23" s="133">
        <v>10.260272109051805</v>
      </c>
      <c r="H23" s="133">
        <v>13.131196229794382</v>
      </c>
      <c r="I23" s="133">
        <v>16.422869143012782</v>
      </c>
      <c r="J23" s="133">
        <v>18.059775752911477</v>
      </c>
      <c r="K23" s="133">
        <v>19.37556210716286</v>
      </c>
      <c r="L23" s="133">
        <v>20.724529140340664</v>
      </c>
      <c r="M23" s="133">
        <v>21.15767971143649</v>
      </c>
      <c r="N23" s="133">
        <v>21.243934669079142</v>
      </c>
      <c r="O23" s="133">
        <v>21.355719472337348</v>
      </c>
      <c r="P23" s="133">
        <v>21.521435230082332</v>
      </c>
      <c r="Q23" s="133">
        <v>21.808083507426147</v>
      </c>
      <c r="R23" s="133">
        <v>21.737721386983061</v>
      </c>
      <c r="S23" s="133">
        <v>21.930792478940379</v>
      </c>
      <c r="T23" s="133">
        <v>22.157995807851471</v>
      </c>
      <c r="U23" s="133">
        <v>21.931692484101642</v>
      </c>
      <c r="V23" s="133">
        <v>18.382317956895118</v>
      </c>
      <c r="W23" s="133">
        <v>18.972303711230005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25.054434365941347</v>
      </c>
      <c r="C25" s="133">
        <v>25.215155161640475</v>
      </c>
      <c r="D25" s="133">
        <v>25.754095369927654</v>
      </c>
      <c r="E25" s="133">
        <v>26.598099885476422</v>
      </c>
      <c r="F25" s="133">
        <v>27.232464105257733</v>
      </c>
      <c r="G25" s="133">
        <v>27.522895009397555</v>
      </c>
      <c r="H25" s="133">
        <v>27.462849262353842</v>
      </c>
      <c r="I25" s="133">
        <v>27.386045503446276</v>
      </c>
      <c r="J25" s="133">
        <v>27.420172866675809</v>
      </c>
      <c r="K25" s="133">
        <v>27.203260605733647</v>
      </c>
      <c r="L25" s="133">
        <v>27.132757795300822</v>
      </c>
      <c r="M25" s="133">
        <v>27.294338987216634</v>
      </c>
      <c r="N25" s="133">
        <v>27.155190541377589</v>
      </c>
      <c r="O25" s="133">
        <v>27.369957404675095</v>
      </c>
      <c r="P25" s="133">
        <v>27.779161602141592</v>
      </c>
      <c r="Q25" s="133">
        <v>28.465780776875047</v>
      </c>
      <c r="R25" s="133">
        <v>29.229516975576637</v>
      </c>
      <c r="S25" s="133">
        <v>30.222506513383767</v>
      </c>
      <c r="T25" s="133">
        <v>30.817001800712234</v>
      </c>
      <c r="U25" s="133">
        <v>30.956548608246013</v>
      </c>
      <c r="V25" s="133">
        <v>28.789802383339644</v>
      </c>
      <c r="W25" s="133">
        <v>30.50478960540979</v>
      </c>
      <c r="DA25" s="157" t="s">
        <v>292</v>
      </c>
    </row>
    <row r="26" spans="1:105" ht="12" customHeight="1" x14ac:dyDescent="0.25">
      <c r="A26" s="132" t="s">
        <v>24</v>
      </c>
      <c r="B26" s="65">
        <v>42.80731710878527</v>
      </c>
      <c r="C26" s="65">
        <v>43.265344001045072</v>
      </c>
      <c r="D26" s="65">
        <v>44.547369700429869</v>
      </c>
      <c r="E26" s="65">
        <v>44.968959857484755</v>
      </c>
      <c r="F26" s="65">
        <v>46.20471721109994</v>
      </c>
      <c r="G26" s="65">
        <v>48.49952173026368</v>
      </c>
      <c r="H26" s="65">
        <v>51.397678595520574</v>
      </c>
      <c r="I26" s="65">
        <v>53.487699565783494</v>
      </c>
      <c r="J26" s="65">
        <v>55.844581638151311</v>
      </c>
      <c r="K26" s="65">
        <v>59.636245750142891</v>
      </c>
      <c r="L26" s="65">
        <v>60.791342575482268</v>
      </c>
      <c r="M26" s="65">
        <v>60.685149625322559</v>
      </c>
      <c r="N26" s="65">
        <v>60.52301562613961</v>
      </c>
      <c r="O26" s="65">
        <v>60.480822658057832</v>
      </c>
      <c r="P26" s="65">
        <v>60.416186904970836</v>
      </c>
      <c r="Q26" s="65">
        <v>60.81604203803407</v>
      </c>
      <c r="R26" s="65">
        <v>61.66878455582993</v>
      </c>
      <c r="S26" s="65">
        <v>62.783417747640598</v>
      </c>
      <c r="T26" s="65">
        <v>63.585585088708207</v>
      </c>
      <c r="U26" s="65">
        <v>64.667292239604464</v>
      </c>
      <c r="V26" s="65">
        <v>55.364563694432675</v>
      </c>
      <c r="W26" s="65">
        <v>59.786518276280461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3.7737747205503016</v>
      </c>
      <c r="M27" s="146">
        <v>5.8755803955288037</v>
      </c>
      <c r="N27" s="146">
        <v>7.1653482373172803</v>
      </c>
      <c r="O27" s="146">
        <v>10.103181427343074</v>
      </c>
      <c r="P27" s="146">
        <v>10.246517626827163</v>
      </c>
      <c r="Q27" s="146">
        <v>12.133361994840936</v>
      </c>
      <c r="R27" s="146">
        <v>12.730524505588999</v>
      </c>
      <c r="S27" s="146">
        <v>13.502579535683576</v>
      </c>
      <c r="T27" s="146">
        <v>14.461220980223549</v>
      </c>
      <c r="U27" s="146">
        <v>15.125709372312985</v>
      </c>
      <c r="V27" s="146">
        <v>15.894754944110069</v>
      </c>
      <c r="W27" s="146">
        <v>16.922441960447124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81.839542013732199</v>
      </c>
      <c r="C29" s="131">
        <f t="shared" si="8"/>
        <v>87.174302676417824</v>
      </c>
      <c r="D29" s="131">
        <f t="shared" si="8"/>
        <v>87.216301720266287</v>
      </c>
      <c r="E29" s="131">
        <f t="shared" si="8"/>
        <v>89.952505340876371</v>
      </c>
      <c r="F29" s="131">
        <f t="shared" si="8"/>
        <v>94.909579082746589</v>
      </c>
      <c r="G29" s="131">
        <f t="shared" si="8"/>
        <v>95.612986625560623</v>
      </c>
      <c r="H29" s="131">
        <f t="shared" si="8"/>
        <v>99.484758635176775</v>
      </c>
      <c r="I29" s="131">
        <f t="shared" si="8"/>
        <v>103.51071106758047</v>
      </c>
      <c r="J29" s="131">
        <f t="shared" si="8"/>
        <v>110.15262266617745</v>
      </c>
      <c r="K29" s="131">
        <f t="shared" si="8"/>
        <v>113.47037837152629</v>
      </c>
      <c r="L29" s="131">
        <f t="shared" si="8"/>
        <v>121.00430842505236</v>
      </c>
      <c r="M29" s="131">
        <f t="shared" si="8"/>
        <v>123.2951797980128</v>
      </c>
      <c r="N29" s="131">
        <f t="shared" si="8"/>
        <v>131.06485846259153</v>
      </c>
      <c r="O29" s="131">
        <f t="shared" si="8"/>
        <v>131.7601415024763</v>
      </c>
      <c r="P29" s="131">
        <f t="shared" si="8"/>
        <v>130.77113253471322</v>
      </c>
      <c r="Q29" s="131">
        <f t="shared" si="8"/>
        <v>133.06209364620787</v>
      </c>
      <c r="R29" s="131">
        <f t="shared" ref="R29:W29" si="9">SUM(R30:R33)</f>
        <v>136.22598306295259</v>
      </c>
      <c r="S29" s="131">
        <f t="shared" si="9"/>
        <v>143.54116806476515</v>
      </c>
      <c r="T29" s="131">
        <f t="shared" si="9"/>
        <v>152.16747194156812</v>
      </c>
      <c r="U29" s="131">
        <f t="shared" si="9"/>
        <v>155.09876656045145</v>
      </c>
      <c r="V29" s="131">
        <f t="shared" si="9"/>
        <v>135.4190725854767</v>
      </c>
      <c r="W29" s="131">
        <f t="shared" si="9"/>
        <v>148.82145461055433</v>
      </c>
      <c r="DA29" s="156" t="s">
        <v>216</v>
      </c>
    </row>
    <row r="30" spans="1:105" ht="12" customHeight="1" x14ac:dyDescent="0.25">
      <c r="A30" s="132" t="s">
        <v>52</v>
      </c>
      <c r="B30" s="133">
        <v>1.129750644883921</v>
      </c>
      <c r="C30" s="133">
        <v>4.5190025795356821</v>
      </c>
      <c r="D30" s="133">
        <v>1.129750644883921</v>
      </c>
      <c r="E30" s="133">
        <v>1.1297506448839207</v>
      </c>
      <c r="F30" s="133">
        <v>2.4959587274290636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5.4934651762682734</v>
      </c>
      <c r="M30" s="133">
        <v>6.5921754084264848</v>
      </c>
      <c r="N30" s="133">
        <v>12.085640584694749</v>
      </c>
      <c r="O30" s="133">
        <v>8.7895098882201221</v>
      </c>
      <c r="P30" s="133">
        <v>5.4934651762682742</v>
      </c>
      <c r="Q30" s="133">
        <v>5.4934651762682707</v>
      </c>
      <c r="R30" s="133">
        <v>6.5921754084264803</v>
      </c>
      <c r="S30" s="133">
        <v>8.4093723129836597</v>
      </c>
      <c r="T30" s="133">
        <v>10.146431642304384</v>
      </c>
      <c r="U30" s="133">
        <v>10.426569217540838</v>
      </c>
      <c r="V30" s="133">
        <v>8.6236457437661223</v>
      </c>
      <c r="W30" s="133">
        <v>10.368357695614794</v>
      </c>
      <c r="DA30" s="157" t="s">
        <v>295</v>
      </c>
    </row>
    <row r="31" spans="1:105" ht="12" customHeight="1" x14ac:dyDescent="0.25">
      <c r="A31" s="132" t="s">
        <v>153</v>
      </c>
      <c r="B31" s="133">
        <v>2.8915152248092433</v>
      </c>
      <c r="C31" s="133">
        <v>3.3529806378955884</v>
      </c>
      <c r="D31" s="133">
        <v>4.183526445929874</v>
      </c>
      <c r="E31" s="133">
        <v>5.8027518993660472</v>
      </c>
      <c r="F31" s="133">
        <v>7.7454747863223581</v>
      </c>
      <c r="G31" s="133">
        <v>9.0792664699671768</v>
      </c>
      <c r="H31" s="133">
        <v>12.594859524549049</v>
      </c>
      <c r="I31" s="133">
        <v>14.768611670100526</v>
      </c>
      <c r="J31" s="133">
        <v>15.748298442466613</v>
      </c>
      <c r="K31" s="133">
        <v>16.011403865528134</v>
      </c>
      <c r="L31" s="133">
        <v>16.369643061404958</v>
      </c>
      <c r="M31" s="133">
        <v>16.615845489765803</v>
      </c>
      <c r="N31" s="133">
        <v>17.02310975036383</v>
      </c>
      <c r="O31" s="133">
        <v>17.437166720623193</v>
      </c>
      <c r="P31" s="133">
        <v>17.646930430914271</v>
      </c>
      <c r="Q31" s="133">
        <v>17.701196115174561</v>
      </c>
      <c r="R31" s="133">
        <v>17.231919634084573</v>
      </c>
      <c r="S31" s="133">
        <v>17.055405804413315</v>
      </c>
      <c r="T31" s="133">
        <v>16.704851283775085</v>
      </c>
      <c r="U31" s="133">
        <v>15.837864461322928</v>
      </c>
      <c r="V31" s="133">
        <v>13.535254689508978</v>
      </c>
      <c r="W31" s="133">
        <v>15.278409713364148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4.6813413585554589</v>
      </c>
      <c r="K32" s="133">
        <v>4.614535683576956</v>
      </c>
      <c r="L32" s="133">
        <v>4.4138091143594131</v>
      </c>
      <c r="M32" s="133">
        <v>4.0127257093723152</v>
      </c>
      <c r="N32" s="133">
        <v>3.4775838349097152</v>
      </c>
      <c r="O32" s="133">
        <v>3.210077386070509</v>
      </c>
      <c r="P32" s="133">
        <v>3.0094153052450539</v>
      </c>
      <c r="Q32" s="133">
        <v>3.009415305245053</v>
      </c>
      <c r="R32" s="133">
        <v>3.3438521066208069</v>
      </c>
      <c r="S32" s="133">
        <v>7.5717358416466194</v>
      </c>
      <c r="T32" s="133">
        <v>12.868994299249959</v>
      </c>
      <c r="U32" s="133">
        <v>15.912693488304816</v>
      </c>
      <c r="V32" s="133">
        <v>14.574453749444332</v>
      </c>
      <c r="W32" s="133">
        <v>14.952020117802375</v>
      </c>
      <c r="DA32" s="157" t="s">
        <v>297</v>
      </c>
    </row>
    <row r="33" spans="1:105" ht="12" customHeight="1" x14ac:dyDescent="0.25">
      <c r="A33" s="62" t="s">
        <v>24</v>
      </c>
      <c r="B33" s="68">
        <v>77.818276144039032</v>
      </c>
      <c r="C33" s="68">
        <v>79.30231945898656</v>
      </c>
      <c r="D33" s="68">
        <v>81.903024629452489</v>
      </c>
      <c r="E33" s="68">
        <v>83.0200027966264</v>
      </c>
      <c r="F33" s="68">
        <v>84.668145568995172</v>
      </c>
      <c r="G33" s="68">
        <v>86.533720155593443</v>
      </c>
      <c r="H33" s="68">
        <v>86.889899110627724</v>
      </c>
      <c r="I33" s="68">
        <v>88.742099397479947</v>
      </c>
      <c r="J33" s="68">
        <v>89.722982865155373</v>
      </c>
      <c r="K33" s="68">
        <v>92.844438822421196</v>
      </c>
      <c r="L33" s="68">
        <v>94.727391073019717</v>
      </c>
      <c r="M33" s="68">
        <v>96.07443319044819</v>
      </c>
      <c r="N33" s="68">
        <v>98.478524292623248</v>
      </c>
      <c r="O33" s="68">
        <v>102.32338750756249</v>
      </c>
      <c r="P33" s="68">
        <v>104.62132162228561</v>
      </c>
      <c r="Q33" s="68">
        <v>106.85801704952</v>
      </c>
      <c r="R33" s="68">
        <v>109.05803591382072</v>
      </c>
      <c r="S33" s="68">
        <v>110.50465410572154</v>
      </c>
      <c r="T33" s="68">
        <v>112.44719471623871</v>
      </c>
      <c r="U33" s="68">
        <v>112.92163939328287</v>
      </c>
      <c r="V33" s="68">
        <v>98.685718402757274</v>
      </c>
      <c r="W33" s="68">
        <v>108.222667083773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270.95637692201478</v>
      </c>
      <c r="C3" s="126">
        <f t="shared" si="0"/>
        <v>323.95065355912737</v>
      </c>
      <c r="D3" s="126">
        <f t="shared" si="0"/>
        <v>319.69297828741941</v>
      </c>
      <c r="E3" s="126">
        <f t="shared" si="0"/>
        <v>343.05087101873124</v>
      </c>
      <c r="F3" s="126">
        <f t="shared" si="0"/>
        <v>311.61101456973631</v>
      </c>
      <c r="G3" s="126">
        <f t="shared" si="0"/>
        <v>393.75305168948654</v>
      </c>
      <c r="H3" s="126">
        <f t="shared" si="0"/>
        <v>460.10526996141459</v>
      </c>
      <c r="I3" s="126">
        <f t="shared" si="0"/>
        <v>450.25792358924747</v>
      </c>
      <c r="J3" s="126">
        <f t="shared" si="0"/>
        <v>465.7247004088274</v>
      </c>
      <c r="K3" s="126">
        <f t="shared" si="0"/>
        <v>458.49388578668061</v>
      </c>
      <c r="L3" s="126">
        <f t="shared" si="0"/>
        <v>511.29564858639316</v>
      </c>
      <c r="M3" s="126">
        <f t="shared" si="0"/>
        <v>550.73467760782728</v>
      </c>
      <c r="N3" s="126">
        <f t="shared" si="0"/>
        <v>568.63837199060958</v>
      </c>
      <c r="O3" s="126">
        <f t="shared" si="0"/>
        <v>518.00477933611558</v>
      </c>
      <c r="P3" s="126">
        <f t="shared" si="0"/>
        <v>492.11872851591545</v>
      </c>
      <c r="Q3" s="126">
        <f t="shared" si="0"/>
        <v>558.73205560747749</v>
      </c>
      <c r="R3" s="126">
        <f t="shared" ref="R3:W3" si="1">SUM(R4,R16,R19,R29)</f>
        <v>614.79303481671138</v>
      </c>
      <c r="S3" s="126">
        <f t="shared" si="1"/>
        <v>620.81811980851887</v>
      </c>
      <c r="T3" s="126">
        <f t="shared" si="1"/>
        <v>652.80343190735584</v>
      </c>
      <c r="U3" s="126">
        <f t="shared" si="1"/>
        <v>697.51810155420617</v>
      </c>
      <c r="V3" s="126">
        <f t="shared" si="1"/>
        <v>607.98807711847599</v>
      </c>
      <c r="W3" s="126">
        <f t="shared" si="1"/>
        <v>776.69207889903373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147.23952370679584</v>
      </c>
      <c r="C4" s="131">
        <f t="shared" si="2"/>
        <v>194.695068894722</v>
      </c>
      <c r="D4" s="131">
        <f t="shared" si="2"/>
        <v>191.88380182374874</v>
      </c>
      <c r="E4" s="131">
        <f t="shared" si="2"/>
        <v>207.08723143539285</v>
      </c>
      <c r="F4" s="131">
        <f t="shared" si="2"/>
        <v>172.558605300143</v>
      </c>
      <c r="G4" s="131">
        <f t="shared" si="2"/>
        <v>248.49492341529364</v>
      </c>
      <c r="H4" s="131">
        <f t="shared" si="2"/>
        <v>302.03770298610925</v>
      </c>
      <c r="I4" s="131">
        <f t="shared" si="2"/>
        <v>252.91485499281234</v>
      </c>
      <c r="J4" s="131">
        <f t="shared" si="2"/>
        <v>280.92352213966973</v>
      </c>
      <c r="K4" s="131">
        <f t="shared" si="2"/>
        <v>271.53213305245578</v>
      </c>
      <c r="L4" s="131">
        <f t="shared" si="2"/>
        <v>301.92776212470193</v>
      </c>
      <c r="M4" s="131">
        <f t="shared" si="2"/>
        <v>343.48035693650831</v>
      </c>
      <c r="N4" s="131">
        <f t="shared" si="2"/>
        <v>300.61783452677133</v>
      </c>
      <c r="O4" s="131">
        <f t="shared" si="2"/>
        <v>296.22053261098711</v>
      </c>
      <c r="P4" s="131">
        <f t="shared" si="2"/>
        <v>271.97416736122921</v>
      </c>
      <c r="Q4" s="131">
        <f t="shared" si="2"/>
        <v>309.61988155784815</v>
      </c>
      <c r="R4" s="131">
        <f t="shared" ref="R4:W4" si="3">SUM(R5:R15)</f>
        <v>363.9611015185335</v>
      </c>
      <c r="S4" s="131">
        <f t="shared" si="3"/>
        <v>356.84088504004706</v>
      </c>
      <c r="T4" s="131">
        <f t="shared" si="3"/>
        <v>396.96705246494741</v>
      </c>
      <c r="U4" s="131">
        <f t="shared" si="3"/>
        <v>428.93145351006956</v>
      </c>
      <c r="V4" s="131">
        <f t="shared" si="3"/>
        <v>361.67343639033732</v>
      </c>
      <c r="W4" s="131">
        <f t="shared" si="3"/>
        <v>486.88279501360842</v>
      </c>
      <c r="DA4" s="156" t="s">
        <v>301</v>
      </c>
    </row>
    <row r="5" spans="1:105" ht="12" customHeight="1" x14ac:dyDescent="0.25">
      <c r="A5" s="132" t="s">
        <v>29</v>
      </c>
      <c r="B5" s="133">
        <v>1.3109117429086314</v>
      </c>
      <c r="C5" s="133">
        <v>1.4854042598204751</v>
      </c>
      <c r="D5" s="133">
        <v>2.52168506201251</v>
      </c>
      <c r="E5" s="133">
        <v>3.250034873123298</v>
      </c>
      <c r="F5" s="133">
        <v>2.3319060479885887</v>
      </c>
      <c r="G5" s="133">
        <v>3.0971229553723187</v>
      </c>
      <c r="H5" s="133">
        <v>3.1916117057366105</v>
      </c>
      <c r="I5" s="133">
        <v>1.5096729002277478</v>
      </c>
      <c r="J5" s="133">
        <v>2.8833567611315187</v>
      </c>
      <c r="K5" s="133">
        <v>2.4213804196093212</v>
      </c>
      <c r="L5" s="133">
        <v>2.2845166949698195</v>
      </c>
      <c r="M5" s="133">
        <v>2.6159427318011685</v>
      </c>
      <c r="N5" s="133">
        <v>2.0074644473672754</v>
      </c>
      <c r="O5" s="133">
        <v>2.7274787934239382</v>
      </c>
      <c r="P5" s="133">
        <v>1.2213236512096695</v>
      </c>
      <c r="Q5" s="133">
        <v>3.2498153712139519</v>
      </c>
      <c r="R5" s="133">
        <v>3.5509641819145723</v>
      </c>
      <c r="S5" s="133">
        <v>2.3676063888613581</v>
      </c>
      <c r="T5" s="133">
        <v>1.5647369702319052</v>
      </c>
      <c r="U5" s="133">
        <v>2.399341223737494</v>
      </c>
      <c r="V5" s="133">
        <v>2.0679532643528593</v>
      </c>
      <c r="W5" s="133">
        <v>1.5984595287958583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32.490932073530949</v>
      </c>
      <c r="C7" s="133">
        <v>62.268539248525009</v>
      </c>
      <c r="D7" s="133">
        <v>37.890929828995638</v>
      </c>
      <c r="E7" s="133">
        <v>20.775234403949529</v>
      </c>
      <c r="F7" s="133">
        <v>10.744925034685824</v>
      </c>
      <c r="G7" s="133">
        <v>10.606696605474479</v>
      </c>
      <c r="H7" s="133">
        <v>22.956866687038897</v>
      </c>
      <c r="I7" s="133">
        <v>16.159142568070962</v>
      </c>
      <c r="J7" s="133">
        <v>21.400371935237786</v>
      </c>
      <c r="K7" s="133">
        <v>23.514936480200099</v>
      </c>
      <c r="L7" s="133">
        <v>13.797110806422019</v>
      </c>
      <c r="M7" s="133">
        <v>9.3821674597955749</v>
      </c>
      <c r="N7" s="133">
        <v>8.0309366413608281</v>
      </c>
      <c r="O7" s="133">
        <v>5.753466066334795</v>
      </c>
      <c r="P7" s="133">
        <v>4.2127535656825472</v>
      </c>
      <c r="Q7" s="133">
        <v>16.871210861134855</v>
      </c>
      <c r="R7" s="133">
        <v>16.795201451714597</v>
      </c>
      <c r="S7" s="133">
        <v>14.15450177627668</v>
      </c>
      <c r="T7" s="133">
        <v>8.4637261991838368</v>
      </c>
      <c r="U7" s="133">
        <v>10.622576957710487</v>
      </c>
      <c r="V7" s="133">
        <v>9.4619634389446166</v>
      </c>
      <c r="W7" s="133">
        <v>9.7455269933102961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2.8096797450266422</v>
      </c>
      <c r="C9" s="133">
        <v>4.689040004426924</v>
      </c>
      <c r="D9" s="133">
        <v>5.2395916203967543</v>
      </c>
      <c r="E9" s="133">
        <v>7.6677024530839226</v>
      </c>
      <c r="F9" s="133">
        <v>7.6440483213947701</v>
      </c>
      <c r="G9" s="133">
        <v>12.407573966634496</v>
      </c>
      <c r="H9" s="133">
        <v>20.259453135936923</v>
      </c>
      <c r="I9" s="133">
        <v>20.607863202403106</v>
      </c>
      <c r="J9" s="133">
        <v>25.227066155134477</v>
      </c>
      <c r="K9" s="133">
        <v>16.506420740531841</v>
      </c>
      <c r="L9" s="133">
        <v>23.865958635695105</v>
      </c>
      <c r="M9" s="133">
        <v>25.146383411241768</v>
      </c>
      <c r="N9" s="133">
        <v>24.005459018199591</v>
      </c>
      <c r="O9" s="133">
        <v>22.131881991141761</v>
      </c>
      <c r="P9" s="133">
        <v>25.391561741185438</v>
      </c>
      <c r="Q9" s="133">
        <v>30.857196791049805</v>
      </c>
      <c r="R9" s="133">
        <v>33.924752486781799</v>
      </c>
      <c r="S9" s="133">
        <v>34.731330647911648</v>
      </c>
      <c r="T9" s="133">
        <v>37.904431594413133</v>
      </c>
      <c r="U9" s="133">
        <v>33.205011883718377</v>
      </c>
      <c r="V9" s="133">
        <v>35.472484926311743</v>
      </c>
      <c r="W9" s="133">
        <v>47.027454700092051</v>
      </c>
      <c r="DA9" s="157" t="s">
        <v>306</v>
      </c>
    </row>
    <row r="10" spans="1:105" ht="12" customHeight="1" x14ac:dyDescent="0.25">
      <c r="A10" s="132" t="s">
        <v>128</v>
      </c>
      <c r="B10" s="133">
        <v>3.8005727549948345</v>
      </c>
      <c r="C10" s="133">
        <v>3.4448398460788621</v>
      </c>
      <c r="D10" s="133">
        <v>3.1811747985817473</v>
      </c>
      <c r="E10" s="133">
        <v>5.3437123482210023</v>
      </c>
      <c r="F10" s="133">
        <v>3.7805029145499627</v>
      </c>
      <c r="G10" s="133">
        <v>5.8436620835369659</v>
      </c>
      <c r="H10" s="133">
        <v>7.9962505767290342</v>
      </c>
      <c r="I10" s="133">
        <v>6.6401685624702251</v>
      </c>
      <c r="J10" s="133">
        <v>7.2688114088806994</v>
      </c>
      <c r="K10" s="133">
        <v>4.5528763484366896</v>
      </c>
      <c r="L10" s="133">
        <v>2.6179625419839359</v>
      </c>
      <c r="M10" s="133">
        <v>2.9651322255890289</v>
      </c>
      <c r="N10" s="133">
        <v>21.574264004329191</v>
      </c>
      <c r="O10" s="133">
        <v>11.469875485532368</v>
      </c>
      <c r="P10" s="133">
        <v>1.2737481714251848</v>
      </c>
      <c r="Q10" s="133">
        <v>5.3115177102581503</v>
      </c>
      <c r="R10" s="133">
        <v>2.5037760387033634</v>
      </c>
      <c r="S10" s="133">
        <v>24.36560706169837</v>
      </c>
      <c r="T10" s="133">
        <v>40.338505638559077</v>
      </c>
      <c r="U10" s="133">
        <v>46.159592143510004</v>
      </c>
      <c r="V10" s="133">
        <v>33.888850346573051</v>
      </c>
      <c r="W10" s="133">
        <v>48.814309388455463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26.118488199731026</v>
      </c>
      <c r="H11" s="133">
        <v>26.14921456836932</v>
      </c>
      <c r="I11" s="133">
        <v>26.188091991735682</v>
      </c>
      <c r="J11" s="133">
        <v>26.189458532953878</v>
      </c>
      <c r="K11" s="133">
        <v>26.193330058302216</v>
      </c>
      <c r="L11" s="133">
        <v>26.193823867600052</v>
      </c>
      <c r="M11" s="133">
        <v>26.423628557165795</v>
      </c>
      <c r="N11" s="133">
        <v>26.875499454069804</v>
      </c>
      <c r="O11" s="133">
        <v>26.961589878368343</v>
      </c>
      <c r="P11" s="133">
        <v>27.050243625722121</v>
      </c>
      <c r="Q11" s="133">
        <v>27.088017575897922</v>
      </c>
      <c r="R11" s="133">
        <v>28.100374531550305</v>
      </c>
      <c r="S11" s="133">
        <v>28.203826631007665</v>
      </c>
      <c r="T11" s="133">
        <v>28.377922426500096</v>
      </c>
      <c r="U11" s="133">
        <v>29.023695974820285</v>
      </c>
      <c r="V11" s="133">
        <v>29.863578689537828</v>
      </c>
      <c r="W11" s="133">
        <v>30.639219143846127</v>
      </c>
      <c r="DA11" s="157" t="s">
        <v>308</v>
      </c>
    </row>
    <row r="12" spans="1:105" ht="12" customHeight="1" x14ac:dyDescent="0.25">
      <c r="A12" s="132" t="s">
        <v>169</v>
      </c>
      <c r="B12" s="133">
        <v>50.442691833051235</v>
      </c>
      <c r="C12" s="133">
        <v>70.313988646438006</v>
      </c>
      <c r="D12" s="133">
        <v>65.511497936999845</v>
      </c>
      <c r="E12" s="133">
        <v>75.881490395299707</v>
      </c>
      <c r="F12" s="133">
        <v>66.811442339562305</v>
      </c>
      <c r="G12" s="133">
        <v>95.945097758295958</v>
      </c>
      <c r="H12" s="133">
        <v>93.272732319606973</v>
      </c>
      <c r="I12" s="133">
        <v>67.19273597248862</v>
      </c>
      <c r="J12" s="133">
        <v>58.010224780755117</v>
      </c>
      <c r="K12" s="133">
        <v>61.589615575075044</v>
      </c>
      <c r="L12" s="133">
        <v>61.387258171316411</v>
      </c>
      <c r="M12" s="133">
        <v>85.536754608388264</v>
      </c>
      <c r="N12" s="133">
        <v>58.592991052103201</v>
      </c>
      <c r="O12" s="133">
        <v>53.963276174427847</v>
      </c>
      <c r="P12" s="133">
        <v>53.233333707423057</v>
      </c>
      <c r="Q12" s="133">
        <v>60.810845203082074</v>
      </c>
      <c r="R12" s="133">
        <v>85.796547527899932</v>
      </c>
      <c r="S12" s="133">
        <v>59.94570649454505</v>
      </c>
      <c r="T12" s="133">
        <v>76.164641551847751</v>
      </c>
      <c r="U12" s="133">
        <v>66.862405678818348</v>
      </c>
      <c r="V12" s="133">
        <v>52.255168358658878</v>
      </c>
      <c r="W12" s="133">
        <v>70.072160621240812</v>
      </c>
      <c r="DA12" s="157" t="s">
        <v>309</v>
      </c>
    </row>
    <row r="13" spans="1:105" ht="12" customHeight="1" x14ac:dyDescent="0.25">
      <c r="A13" s="132" t="s">
        <v>77</v>
      </c>
      <c r="B13" s="133">
        <v>6.8234741466977518</v>
      </c>
      <c r="C13" s="133">
        <v>7.5766481853557863</v>
      </c>
      <c r="D13" s="133">
        <v>19.001700448282946</v>
      </c>
      <c r="E13" s="133">
        <v>32.173511017671089</v>
      </c>
      <c r="F13" s="133">
        <v>39.994737361381681</v>
      </c>
      <c r="G13" s="133">
        <v>49.806932646180258</v>
      </c>
      <c r="H13" s="133">
        <v>63.772903122290828</v>
      </c>
      <c r="I13" s="133">
        <v>65.764274943724331</v>
      </c>
      <c r="J13" s="133">
        <v>69.218878485437855</v>
      </c>
      <c r="K13" s="133">
        <v>78.301331781728535</v>
      </c>
      <c r="L13" s="133">
        <v>88.394728063197135</v>
      </c>
      <c r="M13" s="133">
        <v>93.454177680944014</v>
      </c>
      <c r="N13" s="133">
        <v>96.770534299850269</v>
      </c>
      <c r="O13" s="133">
        <v>124.27094034766615</v>
      </c>
      <c r="P13" s="133">
        <v>120.17703652638787</v>
      </c>
      <c r="Q13" s="133">
        <v>134.04160643387186</v>
      </c>
      <c r="R13" s="133">
        <v>141.0596559541344</v>
      </c>
      <c r="S13" s="133">
        <v>146.76279173540416</v>
      </c>
      <c r="T13" s="133">
        <v>149.70757139736992</v>
      </c>
      <c r="U13" s="133">
        <v>166.12024462526733</v>
      </c>
      <c r="V13" s="133">
        <v>172.11272762776687</v>
      </c>
      <c r="W13" s="133">
        <v>199.1087743968292</v>
      </c>
      <c r="DA13" s="157" t="s">
        <v>310</v>
      </c>
    </row>
    <row r="14" spans="1:105" ht="12" customHeight="1" x14ac:dyDescent="0.25">
      <c r="A14" s="60" t="s">
        <v>76</v>
      </c>
      <c r="B14" s="65">
        <v>48.551920870070354</v>
      </c>
      <c r="C14" s="65">
        <v>43.195578212614151</v>
      </c>
      <c r="D14" s="65">
        <v>57.329172975568852</v>
      </c>
      <c r="E14" s="65">
        <v>61.015835321531853</v>
      </c>
      <c r="F14" s="65">
        <v>40.542102874230856</v>
      </c>
      <c r="G14" s="65">
        <v>43.611275810597036</v>
      </c>
      <c r="H14" s="65">
        <v>63.017546706163756</v>
      </c>
      <c r="I14" s="65">
        <v>47.707777940560106</v>
      </c>
      <c r="J14" s="65">
        <v>69.437179303409536</v>
      </c>
      <c r="K14" s="65">
        <v>57.310302264331362</v>
      </c>
      <c r="L14" s="65">
        <v>82.328456799892024</v>
      </c>
      <c r="M14" s="65">
        <v>96.858111839913619</v>
      </c>
      <c r="N14" s="65">
        <v>61.681847436027006</v>
      </c>
      <c r="O14" s="65">
        <v>48.038557700096469</v>
      </c>
      <c r="P14" s="65">
        <v>38.586008977556844</v>
      </c>
      <c r="Q14" s="65">
        <v>30.199678712637091</v>
      </c>
      <c r="R14" s="65">
        <v>50.916870361815668</v>
      </c>
      <c r="S14" s="65">
        <v>44.963150272144667</v>
      </c>
      <c r="T14" s="65">
        <v>52.957115678663762</v>
      </c>
      <c r="U14" s="65">
        <v>73.076901353364974</v>
      </c>
      <c r="V14" s="65">
        <v>25.22620465750288</v>
      </c>
      <c r="W14" s="65">
        <v>78.175457385462167</v>
      </c>
      <c r="DA14" s="109" t="s">
        <v>311</v>
      </c>
    </row>
    <row r="15" spans="1:105" ht="12" customHeight="1" x14ac:dyDescent="0.25">
      <c r="A15" s="134" t="s">
        <v>80</v>
      </c>
      <c r="B15" s="135">
        <v>1.0093405405154425</v>
      </c>
      <c r="C15" s="135">
        <v>1.7210304914627623</v>
      </c>
      <c r="D15" s="135">
        <v>1.2080491529104653</v>
      </c>
      <c r="E15" s="135">
        <v>0.97971062251245988</v>
      </c>
      <c r="F15" s="135">
        <v>0.70894040634898903</v>
      </c>
      <c r="G15" s="135">
        <v>1.0580733894710932</v>
      </c>
      <c r="H15" s="135">
        <v>1.4211241642369901</v>
      </c>
      <c r="I15" s="135">
        <v>1.1451269111315452</v>
      </c>
      <c r="J15" s="135">
        <v>1.2881747767288274</v>
      </c>
      <c r="K15" s="135">
        <v>1.1419393842406227</v>
      </c>
      <c r="L15" s="135">
        <v>1.0579465436254023</v>
      </c>
      <c r="M15" s="135">
        <v>1.098058421669057</v>
      </c>
      <c r="N15" s="135">
        <v>1.0788381734642054</v>
      </c>
      <c r="O15" s="135">
        <v>0.9034661739954114</v>
      </c>
      <c r="P15" s="135">
        <v>0.82815739463647098</v>
      </c>
      <c r="Q15" s="135">
        <v>1.1899928987025117</v>
      </c>
      <c r="R15" s="135">
        <v>1.3129589840188867</v>
      </c>
      <c r="S15" s="135">
        <v>1.3463640321973918</v>
      </c>
      <c r="T15" s="135">
        <v>1.4884010081779331</v>
      </c>
      <c r="U15" s="135">
        <v>1.4616836691222839</v>
      </c>
      <c r="V15" s="135">
        <v>1.3245050806885774</v>
      </c>
      <c r="W15" s="135">
        <v>1.7014328555764835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19.412379563335975</v>
      </c>
      <c r="C16" s="131">
        <f t="shared" si="4"/>
        <v>20.341803791906955</v>
      </c>
      <c r="D16" s="131">
        <f t="shared" si="4"/>
        <v>16.768421303692172</v>
      </c>
      <c r="E16" s="131">
        <f t="shared" si="4"/>
        <v>21.585541400756121</v>
      </c>
      <c r="F16" s="131">
        <f t="shared" si="4"/>
        <v>20.3077837993001</v>
      </c>
      <c r="G16" s="131">
        <f t="shared" si="4"/>
        <v>23.119371305545005</v>
      </c>
      <c r="H16" s="131">
        <f t="shared" si="4"/>
        <v>30.240157256837328</v>
      </c>
      <c r="I16" s="131">
        <f t="shared" si="4"/>
        <v>63.547705243579799</v>
      </c>
      <c r="J16" s="131">
        <f t="shared" si="4"/>
        <v>44.345263128513565</v>
      </c>
      <c r="K16" s="131">
        <f t="shared" si="4"/>
        <v>40.893938306657937</v>
      </c>
      <c r="L16" s="131">
        <f t="shared" si="4"/>
        <v>53.349029883522896</v>
      </c>
      <c r="M16" s="131">
        <f t="shared" si="4"/>
        <v>46.74485967577759</v>
      </c>
      <c r="N16" s="131">
        <f t="shared" si="4"/>
        <v>101.17753460212047</v>
      </c>
      <c r="O16" s="131">
        <f t="shared" si="4"/>
        <v>50.604187906053284</v>
      </c>
      <c r="P16" s="131">
        <f t="shared" si="4"/>
        <v>48.072283828924782</v>
      </c>
      <c r="Q16" s="131">
        <f t="shared" si="4"/>
        <v>71.271731945666872</v>
      </c>
      <c r="R16" s="131">
        <f t="shared" ref="R16:W16" si="5">SUM(R17:R18)</f>
        <v>67.737644201221713</v>
      </c>
      <c r="S16" s="131">
        <f t="shared" si="5"/>
        <v>72.407753816200696</v>
      </c>
      <c r="T16" s="131">
        <f t="shared" si="5"/>
        <v>55.050479515207755</v>
      </c>
      <c r="U16" s="131">
        <f t="shared" si="5"/>
        <v>61.778544402008649</v>
      </c>
      <c r="V16" s="131">
        <f t="shared" si="5"/>
        <v>60.641259446902659</v>
      </c>
      <c r="W16" s="131">
        <f t="shared" si="5"/>
        <v>85.876169317034481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19.412379563335975</v>
      </c>
      <c r="C18" s="133">
        <v>20.341803791906955</v>
      </c>
      <c r="D18" s="133">
        <v>16.768421303692172</v>
      </c>
      <c r="E18" s="133">
        <v>21.585541400756121</v>
      </c>
      <c r="F18" s="133">
        <v>20.3077837993001</v>
      </c>
      <c r="G18" s="133">
        <v>23.119371305545005</v>
      </c>
      <c r="H18" s="133">
        <v>30.240157256837328</v>
      </c>
      <c r="I18" s="133">
        <v>63.547705243579799</v>
      </c>
      <c r="J18" s="133">
        <v>44.345263128513565</v>
      </c>
      <c r="K18" s="133">
        <v>40.893938306657937</v>
      </c>
      <c r="L18" s="133">
        <v>53.349029883522896</v>
      </c>
      <c r="M18" s="133">
        <v>46.74485967577759</v>
      </c>
      <c r="N18" s="133">
        <v>101.17753460212047</v>
      </c>
      <c r="O18" s="133">
        <v>50.604187906053284</v>
      </c>
      <c r="P18" s="133">
        <v>48.072283828924782</v>
      </c>
      <c r="Q18" s="133">
        <v>71.271731945666872</v>
      </c>
      <c r="R18" s="133">
        <v>67.737644201221713</v>
      </c>
      <c r="S18" s="133">
        <v>72.407753816200696</v>
      </c>
      <c r="T18" s="133">
        <v>55.050479515207755</v>
      </c>
      <c r="U18" s="133">
        <v>61.778544402008649</v>
      </c>
      <c r="V18" s="133">
        <v>60.641259446902659</v>
      </c>
      <c r="W18" s="133">
        <v>85.876169317034481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46.892463119332845</v>
      </c>
      <c r="C19" s="131">
        <f t="shared" si="6"/>
        <v>48.210910327285617</v>
      </c>
      <c r="D19" s="131">
        <f t="shared" si="6"/>
        <v>49.698556769331709</v>
      </c>
      <c r="E19" s="131">
        <f t="shared" si="6"/>
        <v>51.166260566338842</v>
      </c>
      <c r="F19" s="131">
        <f t="shared" si="6"/>
        <v>52.349866600383166</v>
      </c>
      <c r="G19" s="131">
        <f t="shared" si="6"/>
        <v>54.811204950094599</v>
      </c>
      <c r="H19" s="131">
        <f t="shared" si="6"/>
        <v>58.088414476093142</v>
      </c>
      <c r="I19" s="131">
        <f t="shared" si="6"/>
        <v>61.276296919870873</v>
      </c>
      <c r="J19" s="131">
        <f t="shared" si="6"/>
        <v>63.839156298977521</v>
      </c>
      <c r="K19" s="131">
        <f t="shared" si="6"/>
        <v>66.802509702895151</v>
      </c>
      <c r="L19" s="131">
        <f t="shared" si="6"/>
        <v>72.028789293268801</v>
      </c>
      <c r="M19" s="131">
        <f t="shared" si="6"/>
        <v>74.867518927296885</v>
      </c>
      <c r="N19" s="131">
        <f t="shared" si="6"/>
        <v>76.247883258418412</v>
      </c>
      <c r="O19" s="131">
        <f t="shared" si="6"/>
        <v>79.185615875949566</v>
      </c>
      <c r="P19" s="131">
        <f t="shared" si="6"/>
        <v>79.803431055852542</v>
      </c>
      <c r="Q19" s="131">
        <f t="shared" si="6"/>
        <v>83.365326092967749</v>
      </c>
      <c r="R19" s="131">
        <f t="shared" ref="R19:W19" si="7">SUM(R20:R27)</f>
        <v>85.826373304407511</v>
      </c>
      <c r="S19" s="131">
        <f t="shared" si="7"/>
        <v>89.186741996596723</v>
      </c>
      <c r="T19" s="131">
        <f t="shared" si="7"/>
        <v>92.282316823899691</v>
      </c>
      <c r="U19" s="131">
        <f t="shared" si="7"/>
        <v>95.459209520164649</v>
      </c>
      <c r="V19" s="131">
        <f t="shared" si="7"/>
        <v>87.36306806056578</v>
      </c>
      <c r="W19" s="131">
        <f t="shared" si="7"/>
        <v>94.675748565819987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5.0400847465093142</v>
      </c>
      <c r="C22" s="133">
        <v>5.4013155965764712</v>
      </c>
      <c r="D22" s="133">
        <v>5.1903924378613668</v>
      </c>
      <c r="E22" s="133">
        <v>4.6965623927819813</v>
      </c>
      <c r="F22" s="133">
        <v>3.6022380478145153</v>
      </c>
      <c r="G22" s="133">
        <v>3.3031367001093894</v>
      </c>
      <c r="H22" s="133">
        <v>3.2258815385432245</v>
      </c>
      <c r="I22" s="133">
        <v>3.2584816984423841</v>
      </c>
      <c r="J22" s="133">
        <v>3.2634530891005702</v>
      </c>
      <c r="K22" s="133">
        <v>3.1754911731556725</v>
      </c>
      <c r="L22" s="133">
        <v>3.0470170117363278</v>
      </c>
      <c r="M22" s="133">
        <v>3.06847713141177</v>
      </c>
      <c r="N22" s="133">
        <v>2.746712660180151</v>
      </c>
      <c r="O22" s="133">
        <v>1.9997769740571356</v>
      </c>
      <c r="P22" s="133">
        <v>1.5681098176300363</v>
      </c>
      <c r="Q22" s="133">
        <v>1.6402980641515148</v>
      </c>
      <c r="R22" s="133">
        <v>1.4916206991983643</v>
      </c>
      <c r="S22" s="133">
        <v>1.2305275697041607</v>
      </c>
      <c r="T22" s="133">
        <v>0.71317208876694493</v>
      </c>
      <c r="U22" s="133">
        <v>0.88118284333856667</v>
      </c>
      <c r="V22" s="133">
        <v>0.76302513350110124</v>
      </c>
      <c r="W22" s="133">
        <v>0.74756282089391624</v>
      </c>
      <c r="DA22" s="157" t="s">
        <v>319</v>
      </c>
    </row>
    <row r="23" spans="1:105" ht="12" customHeight="1" x14ac:dyDescent="0.25">
      <c r="A23" s="132" t="s">
        <v>153</v>
      </c>
      <c r="B23" s="133">
        <v>1.3121712519355913</v>
      </c>
      <c r="C23" s="133">
        <v>1.7458757254466415</v>
      </c>
      <c r="D23" s="133">
        <v>2.1896045214272659</v>
      </c>
      <c r="E23" s="133">
        <v>3.1477922797348654</v>
      </c>
      <c r="F23" s="133">
        <v>4.0905052168632681</v>
      </c>
      <c r="G23" s="133">
        <v>5.1474826818806765</v>
      </c>
      <c r="H23" s="133">
        <v>6.676907495995744</v>
      </c>
      <c r="I23" s="133">
        <v>8.4462402921162276</v>
      </c>
      <c r="J23" s="133">
        <v>9.3695077957743784</v>
      </c>
      <c r="K23" s="133">
        <v>10.122765701939549</v>
      </c>
      <c r="L23" s="133">
        <v>10.872917569219826</v>
      </c>
      <c r="M23" s="133">
        <v>11.171824797430693</v>
      </c>
      <c r="N23" s="133">
        <v>11.312220692957425</v>
      </c>
      <c r="O23" s="133">
        <v>11.476428833265606</v>
      </c>
      <c r="P23" s="133">
        <v>11.718341134769506</v>
      </c>
      <c r="Q23" s="133">
        <v>12.071060559133027</v>
      </c>
      <c r="R23" s="133">
        <v>12.297668770773122</v>
      </c>
      <c r="S23" s="133">
        <v>12.75491004945907</v>
      </c>
      <c r="T23" s="133">
        <v>13.303952255910161</v>
      </c>
      <c r="U23" s="133">
        <v>13.596309734167306</v>
      </c>
      <c r="V23" s="133">
        <v>11.716185129526435</v>
      </c>
      <c r="W23" s="133">
        <v>12.476139030241576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16.836668288685946</v>
      </c>
      <c r="C25" s="133">
        <v>16.996936521104093</v>
      </c>
      <c r="D25" s="133">
        <v>17.430534631061281</v>
      </c>
      <c r="E25" s="133">
        <v>18.076829554780929</v>
      </c>
      <c r="F25" s="133">
        <v>18.583281941889833</v>
      </c>
      <c r="G25" s="133">
        <v>18.850243138370889</v>
      </c>
      <c r="H25" s="133">
        <v>18.873523331459378</v>
      </c>
      <c r="I25" s="133">
        <v>18.886053229037657</v>
      </c>
      <c r="J25" s="133">
        <v>18.978162640384113</v>
      </c>
      <c r="K25" s="133">
        <v>18.900023451035636</v>
      </c>
      <c r="L25" s="133">
        <v>18.916541264391309</v>
      </c>
      <c r="M25" s="133">
        <v>19.134681437809505</v>
      </c>
      <c r="N25" s="133">
        <v>19.174248327309314</v>
      </c>
      <c r="O25" s="133">
        <v>19.462323713741412</v>
      </c>
      <c r="P25" s="133">
        <v>19.82907844270327</v>
      </c>
      <c r="Q25" s="133">
        <v>20.421419135322729</v>
      </c>
      <c r="R25" s="133">
        <v>21.111177847068539</v>
      </c>
      <c r="S25" s="133">
        <v>22.009949560495016</v>
      </c>
      <c r="T25" s="133">
        <v>22.639664989269441</v>
      </c>
      <c r="U25" s="133">
        <v>22.931687486175619</v>
      </c>
      <c r="V25" s="133">
        <v>21.479977308824289</v>
      </c>
      <c r="W25" s="133">
        <v>22.923905115402555</v>
      </c>
      <c r="DA25" s="157" t="s">
        <v>322</v>
      </c>
    </row>
    <row r="26" spans="1:105" ht="12" customHeight="1" x14ac:dyDescent="0.25">
      <c r="A26" s="132" t="s">
        <v>24</v>
      </c>
      <c r="B26" s="65">
        <v>23.703538832201993</v>
      </c>
      <c r="C26" s="65">
        <v>24.066782484158409</v>
      </c>
      <c r="D26" s="65">
        <v>24.888025178981795</v>
      </c>
      <c r="E26" s="65">
        <v>25.245076339041066</v>
      </c>
      <c r="F26" s="65">
        <v>26.073841393815549</v>
      </c>
      <c r="G26" s="65">
        <v>27.510342429733644</v>
      </c>
      <c r="H26" s="65">
        <v>29.312102110094795</v>
      </c>
      <c r="I26" s="65">
        <v>30.685521700274602</v>
      </c>
      <c r="J26" s="65">
        <v>32.228032773718461</v>
      </c>
      <c r="K26" s="65">
        <v>34.604229376764295</v>
      </c>
      <c r="L26" s="65">
        <v>35.418538727371029</v>
      </c>
      <c r="M26" s="65">
        <v>35.616955165116124</v>
      </c>
      <c r="N26" s="65">
        <v>35.849353340654247</v>
      </c>
      <c r="O26" s="65">
        <v>36.143904927542337</v>
      </c>
      <c r="P26" s="65">
        <v>36.441384033922567</v>
      </c>
      <c r="Q26" s="65">
        <v>37.099186339519541</v>
      </c>
      <c r="R26" s="65">
        <v>38.19538148177849</v>
      </c>
      <c r="S26" s="65">
        <v>39.688775281254898</v>
      </c>
      <c r="T26" s="65">
        <v>41.164306509729606</v>
      </c>
      <c r="U26" s="65">
        <v>42.924320084170176</v>
      </c>
      <c r="V26" s="65">
        <v>37.50912554460389</v>
      </c>
      <c r="W26" s="65">
        <v>41.605699638834821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3.7737747205503016</v>
      </c>
      <c r="M27" s="146">
        <v>5.8755803955288037</v>
      </c>
      <c r="N27" s="146">
        <v>7.1653482373172803</v>
      </c>
      <c r="O27" s="146">
        <v>10.103181427343074</v>
      </c>
      <c r="P27" s="146">
        <v>10.246517626827163</v>
      </c>
      <c r="Q27" s="146">
        <v>12.133361994840936</v>
      </c>
      <c r="R27" s="146">
        <v>12.730524505588999</v>
      </c>
      <c r="S27" s="146">
        <v>13.502579535683576</v>
      </c>
      <c r="T27" s="146">
        <v>14.461220980223549</v>
      </c>
      <c r="U27" s="146">
        <v>15.125709372312985</v>
      </c>
      <c r="V27" s="146">
        <v>15.894754944110069</v>
      </c>
      <c r="W27" s="146">
        <v>16.922441960447124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57.412010532550141</v>
      </c>
      <c r="C29" s="131">
        <f t="shared" si="8"/>
        <v>60.702870545212818</v>
      </c>
      <c r="D29" s="131">
        <f t="shared" si="8"/>
        <v>61.342198390646807</v>
      </c>
      <c r="E29" s="131">
        <f t="shared" si="8"/>
        <v>63.211837616243436</v>
      </c>
      <c r="F29" s="131">
        <f t="shared" si="8"/>
        <v>66.394758869910078</v>
      </c>
      <c r="G29" s="131">
        <f t="shared" si="8"/>
        <v>67.327552018553305</v>
      </c>
      <c r="H29" s="131">
        <f t="shared" si="8"/>
        <v>69.738995242374841</v>
      </c>
      <c r="I29" s="131">
        <f t="shared" si="8"/>
        <v>72.519066432984403</v>
      </c>
      <c r="J29" s="131">
        <f t="shared" si="8"/>
        <v>76.616758841666552</v>
      </c>
      <c r="K29" s="131">
        <f t="shared" si="8"/>
        <v>79.265304724671736</v>
      </c>
      <c r="L29" s="131">
        <f t="shared" si="8"/>
        <v>83.99006728489951</v>
      </c>
      <c r="M29" s="131">
        <f t="shared" si="8"/>
        <v>85.641942068244475</v>
      </c>
      <c r="N29" s="131">
        <f t="shared" si="8"/>
        <v>90.595119603299281</v>
      </c>
      <c r="O29" s="131">
        <f t="shared" si="8"/>
        <v>91.994442943125605</v>
      </c>
      <c r="P29" s="131">
        <f t="shared" si="8"/>
        <v>92.268846269908849</v>
      </c>
      <c r="Q29" s="131">
        <f t="shared" si="8"/>
        <v>94.475116010994753</v>
      </c>
      <c r="R29" s="131">
        <f t="shared" ref="R29:W29" si="9">SUM(R30:R33)</f>
        <v>97.267915792548706</v>
      </c>
      <c r="S29" s="131">
        <f t="shared" si="9"/>
        <v>102.38273895567443</v>
      </c>
      <c r="T29" s="131">
        <f t="shared" si="9"/>
        <v>108.50358310330105</v>
      </c>
      <c r="U29" s="131">
        <f t="shared" si="9"/>
        <v>111.3488941219633</v>
      </c>
      <c r="V29" s="131">
        <f t="shared" si="9"/>
        <v>98.310313220670167</v>
      </c>
      <c r="W29" s="131">
        <f t="shared" si="9"/>
        <v>109.25736600257086</v>
      </c>
      <c r="DA29" s="156" t="s">
        <v>325</v>
      </c>
    </row>
    <row r="30" spans="1:105" ht="12" customHeight="1" x14ac:dyDescent="0.25">
      <c r="A30" s="132" t="s">
        <v>52</v>
      </c>
      <c r="B30" s="133">
        <v>0.61133523979688975</v>
      </c>
      <c r="C30" s="133">
        <v>2.4486043409773757</v>
      </c>
      <c r="D30" s="133">
        <v>0.61224491000955072</v>
      </c>
      <c r="E30" s="133">
        <v>0.61233512083896924</v>
      </c>
      <c r="F30" s="133">
        <v>1.3530191665414799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3.0629513310000549</v>
      </c>
      <c r="M30" s="133">
        <v>3.6763341453464737</v>
      </c>
      <c r="N30" s="133">
        <v>6.7406300546897597</v>
      </c>
      <c r="O30" s="133">
        <v>4.902331530293865</v>
      </c>
      <c r="P30" s="133">
        <v>3.0639989479184346</v>
      </c>
      <c r="Q30" s="133">
        <v>3.0640485598077909</v>
      </c>
      <c r="R30" s="133">
        <v>3.6784327821870408</v>
      </c>
      <c r="S30" s="133">
        <v>4.7018870243507704</v>
      </c>
      <c r="T30" s="133">
        <v>5.6986829179660488</v>
      </c>
      <c r="U30" s="133">
        <v>5.8859683632827826</v>
      </c>
      <c r="V30" s="133">
        <v>4.8977376304487787</v>
      </c>
      <c r="W30" s="133">
        <v>5.9436674079464318</v>
      </c>
      <c r="DA30" s="157" t="s">
        <v>326</v>
      </c>
    </row>
    <row r="31" spans="1:105" ht="12" customHeight="1" x14ac:dyDescent="0.25">
      <c r="A31" s="132" t="s">
        <v>153</v>
      </c>
      <c r="B31" s="133">
        <v>1.5729206894515522</v>
      </c>
      <c r="C31" s="133">
        <v>1.8286341441270839</v>
      </c>
      <c r="D31" s="133">
        <v>2.2909126289347466</v>
      </c>
      <c r="E31" s="133">
        <v>3.1879829801659723</v>
      </c>
      <c r="F31" s="133">
        <v>4.2674588390619403</v>
      </c>
      <c r="G31" s="133">
        <v>5.0143262306084386</v>
      </c>
      <c r="H31" s="133">
        <v>6.9709610466973668</v>
      </c>
      <c r="I31" s="133">
        <v>8.1875702763088221</v>
      </c>
      <c r="J31" s="133">
        <v>8.7416130350516674</v>
      </c>
      <c r="K31" s="133">
        <v>8.896937590528708</v>
      </c>
      <c r="L31" s="133">
        <v>9.1039901666221965</v>
      </c>
      <c r="M31" s="133">
        <v>9.2486244831139732</v>
      </c>
      <c r="N31" s="133">
        <v>9.4854680459352974</v>
      </c>
      <c r="O31" s="133">
        <v>9.7299211203244766</v>
      </c>
      <c r="P31" s="133">
        <v>9.8612688098016967</v>
      </c>
      <c r="Q31" s="133">
        <v>9.9042439643056603</v>
      </c>
      <c r="R31" s="133">
        <v>9.6583685495164069</v>
      </c>
      <c r="S31" s="133">
        <v>9.5820146464413973</v>
      </c>
      <c r="T31" s="133">
        <v>9.4122940129086867</v>
      </c>
      <c r="U31" s="133">
        <v>8.9533533060856367</v>
      </c>
      <c r="V31" s="133">
        <v>7.6811630132269428</v>
      </c>
      <c r="W31" s="133">
        <v>8.7223004288546395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2.613565956555385</v>
      </c>
      <c r="K32" s="133">
        <v>2.5765626688100327</v>
      </c>
      <c r="L32" s="133">
        <v>2.4645899618333713</v>
      </c>
      <c r="M32" s="133">
        <v>2.2406345872820723</v>
      </c>
      <c r="N32" s="133">
        <v>1.941820893083317</v>
      </c>
      <c r="O32" s="133">
        <v>1.7924500551538316</v>
      </c>
      <c r="P32" s="133">
        <v>1.6804039221217706</v>
      </c>
      <c r="Q32" s="133">
        <v>1.6806468613600425</v>
      </c>
      <c r="R32" s="133">
        <v>1.8690044747493677</v>
      </c>
      <c r="S32" s="133">
        <v>4.2418889791582455</v>
      </c>
      <c r="T32" s="133">
        <v>7.228305118779593</v>
      </c>
      <c r="U32" s="133">
        <v>8.9584766411229193</v>
      </c>
      <c r="V32" s="133">
        <v>8.2210035948009157</v>
      </c>
      <c r="W32" s="133">
        <v>8.4399451798151848</v>
      </c>
      <c r="DA32" s="157" t="s">
        <v>328</v>
      </c>
    </row>
    <row r="33" spans="1:105" ht="12" customHeight="1" x14ac:dyDescent="0.25">
      <c r="A33" s="62" t="s">
        <v>24</v>
      </c>
      <c r="B33" s="68">
        <v>55.227754603301698</v>
      </c>
      <c r="C33" s="68">
        <v>56.425632060108356</v>
      </c>
      <c r="D33" s="68">
        <v>58.439040851702508</v>
      </c>
      <c r="E33" s="68">
        <v>59.411519515238496</v>
      </c>
      <c r="F33" s="68">
        <v>60.774280864306654</v>
      </c>
      <c r="G33" s="68">
        <v>62.313225787944866</v>
      </c>
      <c r="H33" s="68">
        <v>62.768034195677473</v>
      </c>
      <c r="I33" s="68">
        <v>64.331496156675584</v>
      </c>
      <c r="J33" s="68">
        <v>65.261579850059505</v>
      </c>
      <c r="K33" s="68">
        <v>67.791804465333001</v>
      </c>
      <c r="L33" s="68">
        <v>69.35853582544388</v>
      </c>
      <c r="M33" s="68">
        <v>70.476348852501957</v>
      </c>
      <c r="N33" s="68">
        <v>72.427200609590898</v>
      </c>
      <c r="O33" s="68">
        <v>75.569740237353429</v>
      </c>
      <c r="P33" s="68">
        <v>77.663174590066944</v>
      </c>
      <c r="Q33" s="68">
        <v>79.826176625521256</v>
      </c>
      <c r="R33" s="68">
        <v>82.062109986095891</v>
      </c>
      <c r="S33" s="68">
        <v>83.856948305724018</v>
      </c>
      <c r="T33" s="68">
        <v>86.164301053646724</v>
      </c>
      <c r="U33" s="68">
        <v>87.551095811471967</v>
      </c>
      <c r="V33" s="68">
        <v>77.510408982193525</v>
      </c>
      <c r="W33" s="68">
        <v>86.151452985954606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0.61740317939235034</v>
      </c>
      <c r="C3" s="127">
        <f>IF(SER_hh_tes!C3=0,"",SER_hh_tes!C3/SER_hh_fec!C3)</f>
        <v>0.5944670553401572</v>
      </c>
      <c r="D3" s="127">
        <f>IF(SER_hh_tes!D3=0,"",SER_hh_tes!D3/SER_hh_fec!D3)</f>
        <v>0.62926790538418975</v>
      </c>
      <c r="E3" s="127">
        <f>IF(SER_hh_tes!E3=0,"",SER_hh_tes!E3/SER_hh_fec!E3)</f>
        <v>0.67084088065666003</v>
      </c>
      <c r="F3" s="127">
        <f>IF(SER_hh_tes!F3=0,"",SER_hh_tes!F3/SER_hh_fec!F3)</f>
        <v>0.70591515746431865</v>
      </c>
      <c r="G3" s="127">
        <f>IF(SER_hh_tes!G3=0,"",SER_hh_tes!G3/SER_hh_fec!G3)</f>
        <v>0.7194141743368454</v>
      </c>
      <c r="H3" s="127">
        <f>IF(SER_hh_tes!H3=0,"",SER_hh_tes!H3/SER_hh_fec!H3)</f>
        <v>0.71309672453272144</v>
      </c>
      <c r="I3" s="127">
        <f>IF(SER_hh_tes!I3=0,"",SER_hh_tes!I3/SER_hh_fec!I3)</f>
        <v>0.77387629503906163</v>
      </c>
      <c r="J3" s="127">
        <f>IF(SER_hh_tes!J3=0,"",SER_hh_tes!J3/SER_hh_fec!J3)</f>
        <v>0.74059913091380236</v>
      </c>
      <c r="K3" s="127">
        <f>IF(SER_hh_tes!K3=0,"",SER_hh_tes!K3/SER_hh_fec!K3)</f>
        <v>0.75786121800460082</v>
      </c>
      <c r="L3" s="127">
        <f>IF(SER_hh_tes!L3=0,"",SER_hh_tes!L3/SER_hh_fec!L3)</f>
        <v>0.78846148821262851</v>
      </c>
      <c r="M3" s="127">
        <f>IF(SER_hh_tes!M3=0,"",SER_hh_tes!M3/SER_hh_fec!M3)</f>
        <v>0.78968218099467302</v>
      </c>
      <c r="N3" s="127">
        <f>IF(SER_hh_tes!N3=0,"",SER_hh_tes!N3/SER_hh_fec!N3)</f>
        <v>0.85676622743314823</v>
      </c>
      <c r="O3" s="127">
        <f>IF(SER_hh_tes!O3=0,"",SER_hh_tes!O3/SER_hh_fec!O3)</f>
        <v>0.86959855789333285</v>
      </c>
      <c r="P3" s="127">
        <f>IF(SER_hh_tes!P3=0,"",SER_hh_tes!P3/SER_hh_fec!P3)</f>
        <v>0.89370264135537125</v>
      </c>
      <c r="Q3" s="127">
        <f>IF(SER_hh_tes!Q3=0,"",SER_hh_tes!Q3/SER_hh_fec!Q3)</f>
        <v>0.91817672129565886</v>
      </c>
      <c r="R3" s="127">
        <f>IF(SER_hh_tes!R3=0,"",SER_hh_tes!R3/SER_hh_fec!R3)</f>
        <v>0.90906522101029363</v>
      </c>
      <c r="S3" s="127">
        <f>IF(SER_hh_tes!S3=0,"",SER_hh_tes!S3/SER_hh_fec!S3)</f>
        <v>0.91259346211734449</v>
      </c>
      <c r="T3" s="127">
        <f>IF(SER_hh_tes!T3=0,"",SER_hh_tes!T3/SER_hh_fec!T3)</f>
        <v>0.88088563109583939</v>
      </c>
      <c r="U3" s="127">
        <f>IF(SER_hh_tes!U3=0,"",SER_hh_tes!U3/SER_hh_fec!U3)</f>
        <v>0.89963133957887365</v>
      </c>
      <c r="V3" s="127">
        <f>IF(SER_hh_tes!V3=0,"",SER_hh_tes!V3/SER_hh_fec!V3)</f>
        <v>0.97224373178951073</v>
      </c>
      <c r="W3" s="127">
        <f>IF(SER_hh_tes!W3=0,"",SER_hh_tes!W3/SER_hh_fec!W3)</f>
        <v>0.96337427652879704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0.56105709407260163</v>
      </c>
      <c r="C4" s="136">
        <f>IF(SER_hh_tes!C4=0,"",SER_hh_tes!C4/SER_hh_fec!C4)</f>
        <v>0.53935373905360862</v>
      </c>
      <c r="D4" s="136">
        <f>IF(SER_hh_tes!D4=0,"",SER_hh_tes!D4/SER_hh_fec!D4)</f>
        <v>0.59128612777802669</v>
      </c>
      <c r="E4" s="136">
        <f>IF(SER_hh_tes!E4=0,"",SER_hh_tes!E4/SER_hh_fec!E4)</f>
        <v>0.64512796210445822</v>
      </c>
      <c r="F4" s="136">
        <f>IF(SER_hh_tes!F4=0,"",SER_hh_tes!F4/SER_hh_fec!F4)</f>
        <v>0.70087013112878804</v>
      </c>
      <c r="G4" s="136">
        <f>IF(SER_hh_tes!G4=0,"",SER_hh_tes!G4/SER_hh_fec!G4)</f>
        <v>0.71700250085780726</v>
      </c>
      <c r="H4" s="136">
        <f>IF(SER_hh_tes!H4=0,"",SER_hh_tes!H4/SER_hh_fec!H4)</f>
        <v>0.69883857790888881</v>
      </c>
      <c r="I4" s="136">
        <f>IF(SER_hh_tes!I4=0,"",SER_hh_tes!I4/SER_hh_fec!I4)</f>
        <v>0.73291901068639764</v>
      </c>
      <c r="J4" s="136">
        <f>IF(SER_hh_tes!J4=0,"",SER_hh_tes!J4/SER_hh_fec!J4)</f>
        <v>0.7186581862509599</v>
      </c>
      <c r="K4" s="136">
        <f>IF(SER_hh_tes!K4=0,"",SER_hh_tes!K4/SER_hh_fec!K4)</f>
        <v>0.75249684389688531</v>
      </c>
      <c r="L4" s="136">
        <f>IF(SER_hh_tes!L4=0,"",SER_hh_tes!L4/SER_hh_fec!L4)</f>
        <v>0.78215658851085623</v>
      </c>
      <c r="M4" s="136">
        <f>IF(SER_hh_tes!M4=0,"",SER_hh_tes!M4/SER_hh_fec!M4)</f>
        <v>0.79251027241602967</v>
      </c>
      <c r="N4" s="136">
        <f>IF(SER_hh_tes!N4=0,"",SER_hh_tes!N4/SER_hh_fec!N4)</f>
        <v>0.81128583003104271</v>
      </c>
      <c r="O4" s="136">
        <f>IF(SER_hh_tes!O4=0,"",SER_hh_tes!O4/SER_hh_fec!O4)</f>
        <v>0.92300996241985811</v>
      </c>
      <c r="P4" s="136">
        <f>IF(SER_hh_tes!P4=0,"",SER_hh_tes!P4/SER_hh_fec!P4)</f>
        <v>0.97578488552510201</v>
      </c>
      <c r="Q4" s="136">
        <f>IF(SER_hh_tes!Q4=0,"",SER_hh_tes!Q4/SER_hh_fec!Q4)</f>
        <v>0.95817887436214599</v>
      </c>
      <c r="R4" s="136">
        <f>IF(SER_hh_tes!R4=0,"",SER_hh_tes!R4/SER_hh_fec!R4)</f>
        <v>0.93802356587537594</v>
      </c>
      <c r="S4" s="136">
        <f>IF(SER_hh_tes!S4=0,"",SER_hh_tes!S4/SER_hh_fec!S4)</f>
        <v>0.93581282681266853</v>
      </c>
      <c r="T4" s="136">
        <f>IF(SER_hh_tes!T4=0,"",SER_hh_tes!T4/SER_hh_fec!T4)</f>
        <v>0.90562586846364868</v>
      </c>
      <c r="U4" s="136">
        <f>IF(SER_hh_tes!U4=0,"",SER_hh_tes!U4/SER_hh_fec!U4)</f>
        <v>0.92060121796487537</v>
      </c>
      <c r="V4" s="136">
        <f>IF(SER_hh_tes!V4=0,"",SER_hh_tes!V4/SER_hh_fec!V4)</f>
        <v>1.0308302216897307</v>
      </c>
      <c r="W4" s="136">
        <f>IF(SER_hh_tes!W4=0,"",SER_hh_tes!W4/SER_hh_fec!W4)</f>
        <v>0.9672324313831846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0.46569440925002697</v>
      </c>
      <c r="C5" s="137">
        <f>IF(SER_hh_tes!C5=0,"",SER_hh_tes!C5/SER_hh_fec!C5)</f>
        <v>0.47723007656874844</v>
      </c>
      <c r="D5" s="137">
        <f>IF(SER_hh_tes!D5=0,"",SER_hh_tes!D5/SER_hh_fec!D5)</f>
        <v>0.4969784831845841</v>
      </c>
      <c r="E5" s="137">
        <f>IF(SER_hh_tes!E5=0,"",SER_hh_tes!E5/SER_hh_fec!E5)</f>
        <v>0.50749749022441171</v>
      </c>
      <c r="F5" s="137">
        <f>IF(SER_hh_tes!F5=0,"",SER_hh_tes!F5/SER_hh_fec!F5)</f>
        <v>0.51244387767336119</v>
      </c>
      <c r="G5" s="137">
        <f>IF(SER_hh_tes!G5=0,"",SER_hh_tes!G5/SER_hh_fec!G5)</f>
        <v>0.51466779028634402</v>
      </c>
      <c r="H5" s="137">
        <f>IF(SER_hh_tes!H5=0,"",SER_hh_tes!H5/SER_hh_fec!H5)</f>
        <v>0.51667493684270493</v>
      </c>
      <c r="I5" s="137">
        <f>IF(SER_hh_tes!I5=0,"",SER_hh_tes!I5/SER_hh_fec!I5)</f>
        <v>0.51825656265566777</v>
      </c>
      <c r="J5" s="137">
        <f>IF(SER_hh_tes!J5=0,"",SER_hh_tes!J5/SER_hh_fec!J5)</f>
        <v>0.52301202713768136</v>
      </c>
      <c r="K5" s="137">
        <f>IF(SER_hh_tes!K5=0,"",SER_hh_tes!K5/SER_hh_fec!K5)</f>
        <v>0.52859041351584057</v>
      </c>
      <c r="L5" s="137">
        <f>IF(SER_hh_tes!L5=0,"",SER_hh_tes!L5/SER_hh_fec!L5)</f>
        <v>0.53431732855704406</v>
      </c>
      <c r="M5" s="137">
        <f>IF(SER_hh_tes!M5=0,"",SER_hh_tes!M5/SER_hh_fec!M5)</f>
        <v>0.54503688655919325</v>
      </c>
      <c r="N5" s="137">
        <f>IF(SER_hh_tes!N5=0,"",SER_hh_tes!N5/SER_hh_fec!N5)</f>
        <v>0.5574825454972997</v>
      </c>
      <c r="O5" s="137">
        <f>IF(SER_hh_tes!O5=0,"",SER_hh_tes!O5/SER_hh_fec!O5)</f>
        <v>0.57079118218416158</v>
      </c>
      <c r="P5" s="137">
        <f>IF(SER_hh_tes!P5=0,"",SER_hh_tes!P5/SER_hh_fec!P5)</f>
        <v>0.57596991458450475</v>
      </c>
      <c r="Q5" s="137">
        <f>IF(SER_hh_tes!Q5=0,"",SER_hh_tes!Q5/SER_hh_fec!Q5)</f>
        <v>0.58510360962316976</v>
      </c>
      <c r="R5" s="137">
        <f>IF(SER_hh_tes!R5=0,"",SER_hh_tes!R5/SER_hh_fec!R5)</f>
        <v>0.59529093659968313</v>
      </c>
      <c r="S5" s="137">
        <f>IF(SER_hh_tes!S5=0,"",SER_hh_tes!S5/SER_hh_fec!S5)</f>
        <v>0.60682436315359656</v>
      </c>
      <c r="T5" s="137">
        <f>IF(SER_hh_tes!T5=0,"",SER_hh_tes!T5/SER_hh_fec!T5)</f>
        <v>0.61771523977586762</v>
      </c>
      <c r="U5" s="137">
        <f>IF(SER_hh_tes!U5=0,"",SER_hh_tes!U5/SER_hh_fec!U5)</f>
        <v>0.62592446181258965</v>
      </c>
      <c r="V5" s="137">
        <f>IF(SER_hh_tes!V5=0,"",SER_hh_tes!V5/SER_hh_fec!V5)</f>
        <v>0.63091019056725495</v>
      </c>
      <c r="W5" s="137">
        <f>IF(SER_hh_tes!W5=0,"",SER_hh_tes!W5/SER_hh_fec!W5)</f>
        <v>0.63175709644178013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0.39701556101806385</v>
      </c>
      <c r="C7" s="137">
        <f>IF(SER_hh_tes!C7=0,"",SER_hh_tes!C7/SER_hh_fec!C7)</f>
        <v>0.39816764982236197</v>
      </c>
      <c r="D7" s="137">
        <f>IF(SER_hh_tes!D7=0,"",SER_hh_tes!D7/SER_hh_fec!D7)</f>
        <v>0.39827165842816792</v>
      </c>
      <c r="E7" s="137">
        <f>IF(SER_hh_tes!E7=0,"",SER_hh_tes!E7/SER_hh_fec!E7)</f>
        <v>0.39827165842816775</v>
      </c>
      <c r="F7" s="137">
        <f>IF(SER_hh_tes!F7=0,"",SER_hh_tes!F7/SER_hh_fec!F7)</f>
        <v>0.39827165842816786</v>
      </c>
      <c r="G7" s="137">
        <f>IF(SER_hh_tes!G7=0,"",SER_hh_tes!G7/SER_hh_fec!G7)</f>
        <v>0.39827165842816781</v>
      </c>
      <c r="H7" s="137">
        <f>IF(SER_hh_tes!H7=0,"",SER_hh_tes!H7/SER_hh_fec!H7)</f>
        <v>0.39994987304560498</v>
      </c>
      <c r="I7" s="137">
        <f>IF(SER_hh_tes!I7=0,"",SER_hh_tes!I7/SER_hh_fec!I7)</f>
        <v>0.40041035385217982</v>
      </c>
      <c r="J7" s="137">
        <f>IF(SER_hh_tes!J7=0,"",SER_hh_tes!J7/SER_hh_fec!J7)</f>
        <v>0.40054263197303136</v>
      </c>
      <c r="K7" s="137">
        <f>IF(SER_hh_tes!K7=0,"",SER_hh_tes!K7/SER_hh_fec!K7)</f>
        <v>0.40502417066213747</v>
      </c>
      <c r="L7" s="137">
        <f>IF(SER_hh_tes!L7=0,"",SER_hh_tes!L7/SER_hh_fec!L7)</f>
        <v>0.41363110514768842</v>
      </c>
      <c r="M7" s="137">
        <f>IF(SER_hh_tes!M7=0,"",SER_hh_tes!M7/SER_hh_fec!M7)</f>
        <v>0.42059297183569427</v>
      </c>
      <c r="N7" s="137">
        <f>IF(SER_hh_tes!N7=0,"",SER_hh_tes!N7/SER_hh_fec!N7)</f>
        <v>0.45102777750571865</v>
      </c>
      <c r="O7" s="137">
        <f>IF(SER_hh_tes!O7=0,"",SER_hh_tes!O7/SER_hh_fec!O7)</f>
        <v>0.53228256160357601</v>
      </c>
      <c r="P7" s="137">
        <f>IF(SER_hh_tes!P7=0,"",SER_hh_tes!P7/SER_hh_fec!P7)</f>
        <v>0.54160598985849118</v>
      </c>
      <c r="Q7" s="137">
        <f>IF(SER_hh_tes!Q7=0,"",SER_hh_tes!Q7/SER_hh_fec!Q7)</f>
        <v>0.56568802241793881</v>
      </c>
      <c r="R7" s="137">
        <f>IF(SER_hh_tes!R7=0,"",SER_hh_tes!R7/SER_hh_fec!R7)</f>
        <v>0.57220245309280027</v>
      </c>
      <c r="S7" s="137">
        <f>IF(SER_hh_tes!S7=0,"",SER_hh_tes!S7/SER_hh_fec!S7)</f>
        <v>0.57584734478528921</v>
      </c>
      <c r="T7" s="137">
        <f>IF(SER_hh_tes!T7=0,"",SER_hh_tes!T7/SER_hh_fec!T7)</f>
        <v>0.57632191006097344</v>
      </c>
      <c r="U7" s="137">
        <f>IF(SER_hh_tes!U7=0,"",SER_hh_tes!U7/SER_hh_fec!U7)</f>
        <v>0.57632191006097389</v>
      </c>
      <c r="V7" s="137">
        <f>IF(SER_hh_tes!V7=0,"",SER_hh_tes!V7/SER_hh_fec!V7)</f>
        <v>0.57686314794260773</v>
      </c>
      <c r="W7" s="137">
        <f>IF(SER_hh_tes!W7=0,"",SER_hh_tes!W7/SER_hh_fec!W7)</f>
        <v>0.57807760453213153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0.43640440622710641</v>
      </c>
      <c r="C9" s="137">
        <f>IF(SER_hh_tes!C9=0,"",SER_hh_tes!C9/SER_hh_fec!C9)</f>
        <v>0.45133759871399121</v>
      </c>
      <c r="D9" s="137">
        <f>IF(SER_hh_tes!D9=0,"",SER_hh_tes!D9/SER_hh_fec!D9)</f>
        <v>0.4711170683049335</v>
      </c>
      <c r="E9" s="137">
        <f>IF(SER_hh_tes!E9=0,"",SER_hh_tes!E9/SER_hh_fec!E9)</f>
        <v>0.48724828710178025</v>
      </c>
      <c r="F9" s="137">
        <f>IF(SER_hh_tes!F9=0,"",SER_hh_tes!F9/SER_hh_fec!F9)</f>
        <v>0.50053460609719791</v>
      </c>
      <c r="G9" s="137">
        <f>IF(SER_hh_tes!G9=0,"",SER_hh_tes!G9/SER_hh_fec!G9)</f>
        <v>0.51200897016847136</v>
      </c>
      <c r="H9" s="137">
        <f>IF(SER_hh_tes!H9=0,"",SER_hh_tes!H9/SER_hh_fec!H9)</f>
        <v>0.52237083546160767</v>
      </c>
      <c r="I9" s="137">
        <f>IF(SER_hh_tes!I9=0,"",SER_hh_tes!I9/SER_hh_fec!I9)</f>
        <v>0.52848472390768375</v>
      </c>
      <c r="J9" s="137">
        <f>IF(SER_hh_tes!J9=0,"",SER_hh_tes!J9/SER_hh_fec!J9)</f>
        <v>0.53216050153686367</v>
      </c>
      <c r="K9" s="137">
        <f>IF(SER_hh_tes!K9=0,"",SER_hh_tes!K9/SER_hh_fec!K9)</f>
        <v>0.53605955461460786</v>
      </c>
      <c r="L9" s="137">
        <f>IF(SER_hh_tes!L9=0,"",SER_hh_tes!L9/SER_hh_fec!L9)</f>
        <v>0.54094323474019268</v>
      </c>
      <c r="M9" s="137">
        <f>IF(SER_hh_tes!M9=0,"",SER_hh_tes!M9/SER_hh_fec!M9)</f>
        <v>0.54511487024727068</v>
      </c>
      <c r="N9" s="137">
        <f>IF(SER_hh_tes!N9=0,"",SER_hh_tes!N9/SER_hh_fec!N9)</f>
        <v>0.55285471297195832</v>
      </c>
      <c r="O9" s="137">
        <f>IF(SER_hh_tes!O9=0,"",SER_hh_tes!O9/SER_hh_fec!O9)</f>
        <v>0.56054761805291276</v>
      </c>
      <c r="P9" s="137">
        <f>IF(SER_hh_tes!P9=0,"",SER_hh_tes!P9/SER_hh_fec!P9)</f>
        <v>0.56994724409826236</v>
      </c>
      <c r="Q9" s="137">
        <f>IF(SER_hh_tes!Q9=0,"",SER_hh_tes!Q9/SER_hh_fec!Q9)</f>
        <v>0.57867094762465154</v>
      </c>
      <c r="R9" s="137">
        <f>IF(SER_hh_tes!R9=0,"",SER_hh_tes!R9/SER_hh_fec!R9)</f>
        <v>0.58631845361978463</v>
      </c>
      <c r="S9" s="137">
        <f>IF(SER_hh_tes!S9=0,"",SER_hh_tes!S9/SER_hh_fec!S9)</f>
        <v>0.5941673568831416</v>
      </c>
      <c r="T9" s="137">
        <f>IF(SER_hh_tes!T9=0,"",SER_hh_tes!T9/SER_hh_fec!T9)</f>
        <v>0.60248891416668193</v>
      </c>
      <c r="U9" s="137">
        <f>IF(SER_hh_tes!U9=0,"",SER_hh_tes!U9/SER_hh_fec!U9)</f>
        <v>0.61065355673449695</v>
      </c>
      <c r="V9" s="137">
        <f>IF(SER_hh_tes!V9=0,"",SER_hh_tes!V9/SER_hh_fec!V9)</f>
        <v>0.62215195705756354</v>
      </c>
      <c r="W9" s="137">
        <f>IF(SER_hh_tes!W9=0,"",SER_hh_tes!W9/SER_hh_fec!W9)</f>
        <v>0.63265887614279981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0.39192627232784699</v>
      </c>
      <c r="C10" s="137">
        <f>IF(SER_hh_tes!C10=0,"",SER_hh_tes!C10/SER_hh_fec!C10)</f>
        <v>0.39192627232784699</v>
      </c>
      <c r="D10" s="137">
        <f>IF(SER_hh_tes!D10=0,"",SER_hh_tes!D10/SER_hh_fec!D10)</f>
        <v>0.39876978278800707</v>
      </c>
      <c r="E10" s="137">
        <f>IF(SER_hh_tes!E10=0,"",SER_hh_tes!E10/SER_hh_fec!E10)</f>
        <v>0.41278577147247703</v>
      </c>
      <c r="F10" s="137">
        <f>IF(SER_hh_tes!F10=0,"",SER_hh_tes!F10/SER_hh_fec!F10)</f>
        <v>0.4220842387341105</v>
      </c>
      <c r="G10" s="137">
        <f>IF(SER_hh_tes!G10=0,"",SER_hh_tes!G10/SER_hh_fec!G10)</f>
        <v>0.43150342877165032</v>
      </c>
      <c r="H10" s="137">
        <f>IF(SER_hh_tes!H10=0,"",SER_hh_tes!H10/SER_hh_fec!H10)</f>
        <v>0.43935235160586472</v>
      </c>
      <c r="I10" s="137">
        <f>IF(SER_hh_tes!I10=0,"",SER_hh_tes!I10/SER_hh_fec!I10)</f>
        <v>0.44481720848061923</v>
      </c>
      <c r="J10" s="137">
        <f>IF(SER_hh_tes!J10=0,"",SER_hh_tes!J10/SER_hh_fec!J10)</f>
        <v>0.44820438195695134</v>
      </c>
      <c r="K10" s="137">
        <f>IF(SER_hh_tes!K10=0,"",SER_hh_tes!K10/SER_hh_fec!K10)</f>
        <v>0.45191883830993951</v>
      </c>
      <c r="L10" s="137">
        <f>IF(SER_hh_tes!L10=0,"",SER_hh_tes!L10/SER_hh_fec!L10)</f>
        <v>0.45632208019006032</v>
      </c>
      <c r="M10" s="137">
        <f>IF(SER_hh_tes!M10=0,"",SER_hh_tes!M10/SER_hh_fec!M10)</f>
        <v>0.46671296805435708</v>
      </c>
      <c r="N10" s="137">
        <f>IF(SER_hh_tes!N10=0,"",SER_hh_tes!N10/SER_hh_fec!N10)</f>
        <v>0.47281785416410832</v>
      </c>
      <c r="O10" s="137">
        <f>IF(SER_hh_tes!O10=0,"",SER_hh_tes!O10/SER_hh_fec!O10)</f>
        <v>0.47612583609742976</v>
      </c>
      <c r="P10" s="137">
        <f>IF(SER_hh_tes!P10=0,"",SER_hh_tes!P10/SER_hh_fec!P10)</f>
        <v>0.47614840922729162</v>
      </c>
      <c r="Q10" s="137">
        <f>IF(SER_hh_tes!Q10=0,"",SER_hh_tes!Q10/SER_hh_fec!Q10)</f>
        <v>0.47619303490375509</v>
      </c>
      <c r="R10" s="137">
        <f>IF(SER_hh_tes!R10=0,"",SER_hh_tes!R10/SER_hh_fec!R10)</f>
        <v>0.4764922081150722</v>
      </c>
      <c r="S10" s="137">
        <f>IF(SER_hh_tes!S10=0,"",SER_hh_tes!S10/SER_hh_fec!S10)</f>
        <v>0.4771225494751295</v>
      </c>
      <c r="T10" s="137">
        <f>IF(SER_hh_tes!T10=0,"",SER_hh_tes!T10/SER_hh_fec!T10)</f>
        <v>0.4774775919097583</v>
      </c>
      <c r="U10" s="137">
        <f>IF(SER_hh_tes!U10=0,"",SER_hh_tes!U10/SER_hh_fec!U10)</f>
        <v>0.47767191225103967</v>
      </c>
      <c r="V10" s="137">
        <f>IF(SER_hh_tes!V10=0,"",SER_hh_tes!V10/SER_hh_fec!V10)</f>
        <v>0.47774798855867451</v>
      </c>
      <c r="W10" s="137">
        <f>IF(SER_hh_tes!W10=0,"",SER_hh_tes!W10/SER_hh_fec!W10)</f>
        <v>0.47781602047789767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>
        <f>IF(SER_hh_tes!G11=0,"",SER_hh_tes!G11/SER_hh_fec!G11)</f>
        <v>0.79936320463913635</v>
      </c>
      <c r="H11" s="137">
        <f>IF(SER_hh_tes!H11=0,"",SER_hh_tes!H11/SER_hh_fec!H11)</f>
        <v>0.80030359323719802</v>
      </c>
      <c r="I11" s="137">
        <f>IF(SER_hh_tes!I11=0,"",SER_hh_tes!I11/SER_hh_fec!I11)</f>
        <v>0.8014934470102264</v>
      </c>
      <c r="J11" s="137">
        <f>IF(SER_hh_tes!J11=0,"",SER_hh_tes!J11/SER_hh_fec!J11)</f>
        <v>0.80153527036382521</v>
      </c>
      <c r="K11" s="137">
        <f>IF(SER_hh_tes!K11=0,"",SER_hh_tes!K11/SER_hh_fec!K11)</f>
        <v>0.80165375941593353</v>
      </c>
      <c r="L11" s="137">
        <f>IF(SER_hh_tes!L11=0,"",SER_hh_tes!L11/SER_hh_fec!L11)</f>
        <v>0.80166887257944397</v>
      </c>
      <c r="M11" s="137">
        <f>IF(SER_hh_tes!M11=0,"",SER_hh_tes!M11/SER_hh_fec!M11)</f>
        <v>0.80167061046097832</v>
      </c>
      <c r="N11" s="137">
        <f>IF(SER_hh_tes!N11=0,"",SER_hh_tes!N11/SER_hh_fec!N11)</f>
        <v>0.80373077832191631</v>
      </c>
      <c r="O11" s="137">
        <f>IF(SER_hh_tes!O11=0,"",SER_hh_tes!O11/SER_hh_fec!O11)</f>
        <v>0.80630537321812568</v>
      </c>
      <c r="P11" s="137">
        <f>IF(SER_hh_tes!P11=0,"",SER_hh_tes!P11/SER_hh_fec!P11)</f>
        <v>0.80895662609934516</v>
      </c>
      <c r="Q11" s="137">
        <f>IF(SER_hh_tes!Q11=0,"",SER_hh_tes!Q11/SER_hh_fec!Q11)</f>
        <v>0.81008628273798644</v>
      </c>
      <c r="R11" s="137">
        <f>IF(SER_hh_tes!R11=0,"",SER_hh_tes!R11/SER_hh_fec!R11)</f>
        <v>0.81138333226226422</v>
      </c>
      <c r="S11" s="137">
        <f>IF(SER_hh_tes!S11=0,"",SER_hh_tes!S11/SER_hh_fec!S11)</f>
        <v>0.81437045647631978</v>
      </c>
      <c r="T11" s="137">
        <f>IF(SER_hh_tes!T11=0,"",SER_hh_tes!T11/SER_hh_fec!T11)</f>
        <v>0.81939737974813931</v>
      </c>
      <c r="U11" s="137">
        <f>IF(SER_hh_tes!U11=0,"",SER_hh_tes!U11/SER_hh_fec!U11)</f>
        <v>0.82664292179951127</v>
      </c>
      <c r="V11" s="137">
        <f>IF(SER_hh_tes!V11=0,"",SER_hh_tes!V11/SER_hh_fec!V11)</f>
        <v>0.8363395608708496</v>
      </c>
      <c r="W11" s="137">
        <f>IF(SER_hh_tes!W11=0,"",SER_hh_tes!W11/SER_hh_fec!W11)</f>
        <v>0.8486327880572393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0.67863792545591817</v>
      </c>
      <c r="C12" s="137">
        <f>IF(SER_hh_tes!C12=0,"",SER_hh_tes!C12/SER_hh_fec!C12)</f>
        <v>0.68251949625099539</v>
      </c>
      <c r="D12" s="137">
        <f>IF(SER_hh_tes!D12=0,"",SER_hh_tes!D12/SER_hh_fec!D12)</f>
        <v>0.68524152531260374</v>
      </c>
      <c r="E12" s="137">
        <f>IF(SER_hh_tes!E12=0,"",SER_hh_tes!E12/SER_hh_fec!E12)</f>
        <v>0.68909695715434816</v>
      </c>
      <c r="F12" s="137">
        <f>IF(SER_hh_tes!F12=0,"",SER_hh_tes!F12/SER_hh_fec!F12)</f>
        <v>0.69173546928093388</v>
      </c>
      <c r="G12" s="137">
        <f>IF(SER_hh_tes!G12=0,"",SER_hh_tes!G12/SER_hh_fec!G12)</f>
        <v>0.69251105207495145</v>
      </c>
      <c r="H12" s="137">
        <f>IF(SER_hh_tes!H12=0,"",SER_hh_tes!H12/SER_hh_fec!H12)</f>
        <v>0.69323866139669299</v>
      </c>
      <c r="I12" s="137">
        <f>IF(SER_hh_tes!I12=0,"",SER_hh_tes!I12/SER_hh_fec!I12)</f>
        <v>0.69455486381967391</v>
      </c>
      <c r="J12" s="137">
        <f>IF(SER_hh_tes!J12=0,"",SER_hh_tes!J12/SER_hh_fec!J12)</f>
        <v>0.69572950702104464</v>
      </c>
      <c r="K12" s="137">
        <f>IF(SER_hh_tes!K12=0,"",SER_hh_tes!K12/SER_hh_fec!K12)</f>
        <v>0.69786085586058211</v>
      </c>
      <c r="L12" s="137">
        <f>IF(SER_hh_tes!L12=0,"",SER_hh_tes!L12/SER_hh_fec!L12)</f>
        <v>0.7008881623542158</v>
      </c>
      <c r="M12" s="137">
        <f>IF(SER_hh_tes!M12=0,"",SER_hh_tes!M12/SER_hh_fec!M12)</f>
        <v>0.70632815309451435</v>
      </c>
      <c r="N12" s="137">
        <f>IF(SER_hh_tes!N12=0,"",SER_hh_tes!N12/SER_hh_fec!N12)</f>
        <v>0.71146297394981106</v>
      </c>
      <c r="O12" s="137">
        <f>IF(SER_hh_tes!O12=0,"",SER_hh_tes!O12/SER_hh_fec!O12)</f>
        <v>0.71609558867620338</v>
      </c>
      <c r="P12" s="137">
        <f>IF(SER_hh_tes!P12=0,"",SER_hh_tes!P12/SER_hh_fec!P12)</f>
        <v>0.71827741901052355</v>
      </c>
      <c r="Q12" s="137">
        <f>IF(SER_hh_tes!Q12=0,"",SER_hh_tes!Q12/SER_hh_fec!Q12)</f>
        <v>0.72346914004819041</v>
      </c>
      <c r="R12" s="137">
        <f>IF(SER_hh_tes!R12=0,"",SER_hh_tes!R12/SER_hh_fec!R12)</f>
        <v>0.73007508000247989</v>
      </c>
      <c r="S12" s="137">
        <f>IF(SER_hh_tes!S12=0,"",SER_hh_tes!S12/SER_hh_fec!S12)</f>
        <v>0.73571235334761698</v>
      </c>
      <c r="T12" s="137">
        <f>IF(SER_hh_tes!T12=0,"",SER_hh_tes!T12/SER_hh_fec!T12)</f>
        <v>0.74145172561822714</v>
      </c>
      <c r="U12" s="137">
        <f>IF(SER_hh_tes!U12=0,"",SER_hh_tes!U12/SER_hh_fec!U12)</f>
        <v>0.74592988255071757</v>
      </c>
      <c r="V12" s="137">
        <f>IF(SER_hh_tes!V12=0,"",SER_hh_tes!V12/SER_hh_fec!V12)</f>
        <v>0.74965665545620064</v>
      </c>
      <c r="W12" s="137">
        <f>IF(SER_hh_tes!W12=0,"",SER_hh_tes!W12/SER_hh_fec!W12)</f>
        <v>0.75103909663022683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1.1798898522480346</v>
      </c>
      <c r="C13" s="137">
        <f>IF(SER_hh_tes!C13=0,"",SER_hh_tes!C13/SER_hh_fec!C13)</f>
        <v>1.2238676939076394</v>
      </c>
      <c r="D13" s="137">
        <f>IF(SER_hh_tes!D13=0,"",SER_hh_tes!D13/SER_hh_fec!D13)</f>
        <v>1.3343451640219557</v>
      </c>
      <c r="E13" s="137">
        <f>IF(SER_hh_tes!E13=0,"",SER_hh_tes!E13/SER_hh_fec!E13)</f>
        <v>1.4064331995027188</v>
      </c>
      <c r="F13" s="137">
        <f>IF(SER_hh_tes!F13=0,"",SER_hh_tes!F13/SER_hh_fec!F13)</f>
        <v>1.4694527246154208</v>
      </c>
      <c r="G13" s="137">
        <f>IF(SER_hh_tes!G13=0,"",SER_hh_tes!G13/SER_hh_fec!G13)</f>
        <v>1.50669178229096</v>
      </c>
      <c r="H13" s="137">
        <f>IF(SER_hh_tes!H13=0,"",SER_hh_tes!H13/SER_hh_fec!H13)</f>
        <v>1.5478121430179823</v>
      </c>
      <c r="I13" s="137">
        <f>IF(SER_hh_tes!I13=0,"",SER_hh_tes!I13/SER_hh_fec!I13)</f>
        <v>1.6016268623662084</v>
      </c>
      <c r="J13" s="137">
        <f>IF(SER_hh_tes!J13=0,"",SER_hh_tes!J13/SER_hh_fec!J13)</f>
        <v>1.6621715852541608</v>
      </c>
      <c r="K13" s="137">
        <f>IF(SER_hh_tes!K13=0,"",SER_hh_tes!K13/SER_hh_fec!K13)</f>
        <v>1.7016796547176698</v>
      </c>
      <c r="L13" s="137">
        <f>IF(SER_hh_tes!L13=0,"",SER_hh_tes!L13/SER_hh_fec!L13)</f>
        <v>1.7467749930938989</v>
      </c>
      <c r="M13" s="137">
        <f>IF(SER_hh_tes!M13=0,"",SER_hh_tes!M13/SER_hh_fec!M13)</f>
        <v>1.8326137940042821</v>
      </c>
      <c r="N13" s="137">
        <f>IF(SER_hh_tes!N13=0,"",SER_hh_tes!N13/SER_hh_fec!N13)</f>
        <v>1.9429576014107517</v>
      </c>
      <c r="O13" s="137">
        <f>IF(SER_hh_tes!O13=0,"",SER_hh_tes!O13/SER_hh_fec!O13)</f>
        <v>2.0787160127543212</v>
      </c>
      <c r="P13" s="137">
        <f>IF(SER_hh_tes!P13=0,"",SER_hh_tes!P13/SER_hh_fec!P13)</f>
        <v>2.1781960150424946</v>
      </c>
      <c r="Q13" s="137">
        <f>IF(SER_hh_tes!Q13=0,"",SER_hh_tes!Q13/SER_hh_fec!Q13)</f>
        <v>2.2648515961833811</v>
      </c>
      <c r="R13" s="137">
        <f>IF(SER_hh_tes!R13=0,"",SER_hh_tes!R13/SER_hh_fec!R13)</f>
        <v>2.3559039225906337</v>
      </c>
      <c r="S13" s="137">
        <f>IF(SER_hh_tes!S13=0,"",SER_hh_tes!S13/SER_hh_fec!S13)</f>
        <v>2.4726787894471793</v>
      </c>
      <c r="T13" s="137">
        <f>IF(SER_hh_tes!T13=0,"",SER_hh_tes!T13/SER_hh_fec!T13)</f>
        <v>2.6121681876156533</v>
      </c>
      <c r="U13" s="137">
        <f>IF(SER_hh_tes!U13=0,"",SER_hh_tes!U13/SER_hh_fec!U13)</f>
        <v>2.7420384497465404</v>
      </c>
      <c r="V13" s="137">
        <f>IF(SER_hh_tes!V13=0,"",SER_hh_tes!V13/SER_hh_fec!V13)</f>
        <v>2.8441673743038223</v>
      </c>
      <c r="W13" s="137">
        <f>IF(SER_hh_tes!W13=0,"",SER_hh_tes!W13/SER_hh_fec!W13)</f>
        <v>2.9185670945152458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0.60296292181550271</v>
      </c>
      <c r="C14" s="138">
        <f>IF(SER_hh_tes!C14=0,"",SER_hh_tes!C14/SER_hh_fec!C14)</f>
        <v>0.60526461752717309</v>
      </c>
      <c r="D14" s="138">
        <f>IF(SER_hh_tes!D14=0,"",SER_hh_tes!D14/SER_hh_fec!D14)</f>
        <v>0.60887566753415501</v>
      </c>
      <c r="E14" s="138">
        <f>IF(SER_hh_tes!E14=0,"",SER_hh_tes!E14/SER_hh_fec!E14)</f>
        <v>0.6115093080569094</v>
      </c>
      <c r="F14" s="138">
        <f>IF(SER_hh_tes!F14=0,"",SER_hh_tes!F14/SER_hh_fec!F14)</f>
        <v>0.6148643637514245</v>
      </c>
      <c r="G14" s="138">
        <f>IF(SER_hh_tes!G14=0,"",SER_hh_tes!G14/SER_hh_fec!G14)</f>
        <v>0.61586119555905505</v>
      </c>
      <c r="H14" s="138">
        <f>IF(SER_hh_tes!H14=0,"",SER_hh_tes!H14/SER_hh_fec!H14)</f>
        <v>0.61905934646659488</v>
      </c>
      <c r="I14" s="138">
        <f>IF(SER_hh_tes!I14=0,"",SER_hh_tes!I14/SER_hh_fec!I14)</f>
        <v>0.62555280363470278</v>
      </c>
      <c r="J14" s="138">
        <f>IF(SER_hh_tes!J14=0,"",SER_hh_tes!J14/SER_hh_fec!J14)</f>
        <v>0.63500149416248164</v>
      </c>
      <c r="K14" s="138">
        <f>IF(SER_hh_tes!K14=0,"",SER_hh_tes!K14/SER_hh_fec!K14)</f>
        <v>0.64212594457909133</v>
      </c>
      <c r="L14" s="138">
        <f>IF(SER_hh_tes!L14=0,"",SER_hh_tes!L14/SER_hh_fec!L14)</f>
        <v>0.65025174114284445</v>
      </c>
      <c r="M14" s="138">
        <f>IF(SER_hh_tes!M14=0,"",SER_hh_tes!M14/SER_hh_fec!M14)</f>
        <v>0.65593813950318147</v>
      </c>
      <c r="N14" s="138">
        <f>IF(SER_hh_tes!N14=0,"",SER_hh_tes!N14/SER_hh_fec!N14)</f>
        <v>0.66033904250276065</v>
      </c>
      <c r="O14" s="138">
        <f>IF(SER_hh_tes!O14=0,"",SER_hh_tes!O14/SER_hh_fec!O14)</f>
        <v>0.6645561056474768</v>
      </c>
      <c r="P14" s="138">
        <f>IF(SER_hh_tes!P14=0,"",SER_hh_tes!P14/SER_hh_fec!P14)</f>
        <v>0.66473616332088614</v>
      </c>
      <c r="Q14" s="138">
        <f>IF(SER_hh_tes!Q14=0,"",SER_hh_tes!Q14/SER_hh_fec!Q14)</f>
        <v>0.66503746844316725</v>
      </c>
      <c r="R14" s="138">
        <f>IF(SER_hh_tes!R14=0,"",SER_hh_tes!R14/SER_hh_fec!R14)</f>
        <v>0.66786478891501244</v>
      </c>
      <c r="S14" s="138">
        <f>IF(SER_hh_tes!S14=0,"",SER_hh_tes!S14/SER_hh_fec!S14)</f>
        <v>0.6761339368421162</v>
      </c>
      <c r="T14" s="138">
        <f>IF(SER_hh_tes!T14=0,"",SER_hh_tes!T14/SER_hh_fec!T14)</f>
        <v>0.68275662320600305</v>
      </c>
      <c r="U14" s="138">
        <f>IF(SER_hh_tes!U14=0,"",SER_hh_tes!U14/SER_hh_fec!U14)</f>
        <v>0.69032533767457038</v>
      </c>
      <c r="V14" s="138">
        <f>IF(SER_hh_tes!V14=0,"",SER_hh_tes!V14/SER_hh_fec!V14)</f>
        <v>0.7012306479914765</v>
      </c>
      <c r="W14" s="138">
        <f>IF(SER_hh_tes!W14=0,"",SER_hh_tes!W14/SER_hh_fec!W14)</f>
        <v>0.72273016758352526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1.5733144068030744</v>
      </c>
      <c r="C16" s="136">
        <f>IF(SER_hh_tes!C16=0,"",SER_hh_tes!C16/SER_hh_fec!C16)</f>
        <v>1.6612786239762198</v>
      </c>
      <c r="D16" s="136">
        <f>IF(SER_hh_tes!D16=0,"",SER_hh_tes!D16/SER_hh_fec!D16)</f>
        <v>1.7446070116930019</v>
      </c>
      <c r="E16" s="136">
        <f>IF(SER_hh_tes!E16=0,"",SER_hh_tes!E16/SER_hh_fec!E16)</f>
        <v>1.8420913076158592</v>
      </c>
      <c r="F16" s="136">
        <f>IF(SER_hh_tes!F16=0,"",SER_hh_tes!F16/SER_hh_fec!F16)</f>
        <v>1.9463148849339074</v>
      </c>
      <c r="G16" s="136">
        <f>IF(SER_hh_tes!G16=0,"",SER_hh_tes!G16/SER_hh_fec!G16)</f>
        <v>2.0326405013575615</v>
      </c>
      <c r="H16" s="136">
        <f>IF(SER_hh_tes!H16=0,"",SER_hh_tes!H16/SER_hh_fec!H16)</f>
        <v>2.1216555443727851</v>
      </c>
      <c r="I16" s="136">
        <f>IF(SER_hh_tes!I16=0,"",SER_hh_tes!I16/SER_hh_fec!I16)</f>
        <v>2.2203512104035048</v>
      </c>
      <c r="J16" s="136">
        <f>IF(SER_hh_tes!J16=0,"",SER_hh_tes!J16/SER_hh_fec!J16)</f>
        <v>2.3091342491680327</v>
      </c>
      <c r="K16" s="136">
        <f>IF(SER_hh_tes!K16=0,"",SER_hh_tes!K16/SER_hh_fec!K16)</f>
        <v>2.3436682497489856</v>
      </c>
      <c r="L16" s="136">
        <f>IF(SER_hh_tes!L16=0,"",SER_hh_tes!L16/SER_hh_fec!L16)</f>
        <v>2.3865384203796594</v>
      </c>
      <c r="M16" s="136">
        <f>IF(SER_hh_tes!M16=0,"",SER_hh_tes!M16/SER_hh_fec!M16)</f>
        <v>2.4514994440195919</v>
      </c>
      <c r="N16" s="136">
        <f>IF(SER_hh_tes!N16=0,"",SER_hh_tes!N16/SER_hh_fec!N16)</f>
        <v>2.518838408645534</v>
      </c>
      <c r="O16" s="136">
        <f>IF(SER_hh_tes!O16=0,"",SER_hh_tes!O16/SER_hh_fec!O16)</f>
        <v>2.5960499168760984</v>
      </c>
      <c r="P16" s="136">
        <f>IF(SER_hh_tes!P16=0,"",SER_hh_tes!P16/SER_hh_fec!P16)</f>
        <v>2.683606011081209</v>
      </c>
      <c r="Q16" s="136">
        <f>IF(SER_hh_tes!Q16=0,"",SER_hh_tes!Q16/SER_hh_fec!Q16)</f>
        <v>2.7757566881386282</v>
      </c>
      <c r="R16" s="136">
        <f>IF(SER_hh_tes!R16=0,"",SER_hh_tes!R16/SER_hh_fec!R16)</f>
        <v>2.8725858482940132</v>
      </c>
      <c r="S16" s="136">
        <f>IF(SER_hh_tes!S16=0,"",SER_hh_tes!S16/SER_hh_fec!S16)</f>
        <v>2.9642799649559426</v>
      </c>
      <c r="T16" s="136">
        <f>IF(SER_hh_tes!T16=0,"",SER_hh_tes!T16/SER_hh_fec!T16)</f>
        <v>3.0456448292289502</v>
      </c>
      <c r="U16" s="136">
        <f>IF(SER_hh_tes!U16=0,"",SER_hh_tes!U16/SER_hh_fec!U16)</f>
        <v>3.1188760797895831</v>
      </c>
      <c r="V16" s="136">
        <f>IF(SER_hh_tes!V16=0,"",SER_hh_tes!V16/SER_hh_fec!V16)</f>
        <v>3.1818312301592826</v>
      </c>
      <c r="W16" s="136">
        <f>IF(SER_hh_tes!W16=0,"",SER_hh_tes!W16/SER_hh_fec!W16)</f>
        <v>3.266662492287558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1.5733144068030744</v>
      </c>
      <c r="C18" s="137">
        <f>IF(SER_hh_tes!C18=0,"",SER_hh_tes!C18/SER_hh_fec!C18)</f>
        <v>1.6612786239762198</v>
      </c>
      <c r="D18" s="137">
        <f>IF(SER_hh_tes!D18=0,"",SER_hh_tes!D18/SER_hh_fec!D18)</f>
        <v>1.7446070116930019</v>
      </c>
      <c r="E18" s="137">
        <f>IF(SER_hh_tes!E18=0,"",SER_hh_tes!E18/SER_hh_fec!E18)</f>
        <v>1.8420913076158592</v>
      </c>
      <c r="F18" s="137">
        <f>IF(SER_hh_tes!F18=0,"",SER_hh_tes!F18/SER_hh_fec!F18)</f>
        <v>1.9463148849339074</v>
      </c>
      <c r="G18" s="137">
        <f>IF(SER_hh_tes!G18=0,"",SER_hh_tes!G18/SER_hh_fec!G18)</f>
        <v>2.0326405013575615</v>
      </c>
      <c r="H18" s="137">
        <f>IF(SER_hh_tes!H18=0,"",SER_hh_tes!H18/SER_hh_fec!H18)</f>
        <v>2.1216555443727851</v>
      </c>
      <c r="I18" s="137">
        <f>IF(SER_hh_tes!I18=0,"",SER_hh_tes!I18/SER_hh_fec!I18)</f>
        <v>2.2203512104035048</v>
      </c>
      <c r="J18" s="137">
        <f>IF(SER_hh_tes!J18=0,"",SER_hh_tes!J18/SER_hh_fec!J18)</f>
        <v>2.3091342491680327</v>
      </c>
      <c r="K18" s="137">
        <f>IF(SER_hh_tes!K18=0,"",SER_hh_tes!K18/SER_hh_fec!K18)</f>
        <v>2.3436682497489856</v>
      </c>
      <c r="L18" s="137">
        <f>IF(SER_hh_tes!L18=0,"",SER_hh_tes!L18/SER_hh_fec!L18)</f>
        <v>2.3865384203796594</v>
      </c>
      <c r="M18" s="137">
        <f>IF(SER_hh_tes!M18=0,"",SER_hh_tes!M18/SER_hh_fec!M18)</f>
        <v>2.4514994440195919</v>
      </c>
      <c r="N18" s="137">
        <f>IF(SER_hh_tes!N18=0,"",SER_hh_tes!N18/SER_hh_fec!N18)</f>
        <v>2.518838408645534</v>
      </c>
      <c r="O18" s="137">
        <f>IF(SER_hh_tes!O18=0,"",SER_hh_tes!O18/SER_hh_fec!O18)</f>
        <v>2.5960499168760984</v>
      </c>
      <c r="P18" s="137">
        <f>IF(SER_hh_tes!P18=0,"",SER_hh_tes!P18/SER_hh_fec!P18)</f>
        <v>2.683606011081209</v>
      </c>
      <c r="Q18" s="137">
        <f>IF(SER_hh_tes!Q18=0,"",SER_hh_tes!Q18/SER_hh_fec!Q18)</f>
        <v>2.7757566881386282</v>
      </c>
      <c r="R18" s="137">
        <f>IF(SER_hh_tes!R18=0,"",SER_hh_tes!R18/SER_hh_fec!R18)</f>
        <v>2.8725858482940132</v>
      </c>
      <c r="S18" s="137">
        <f>IF(SER_hh_tes!S18=0,"",SER_hh_tes!S18/SER_hh_fec!S18)</f>
        <v>2.9642799649559426</v>
      </c>
      <c r="T18" s="137">
        <f>IF(SER_hh_tes!T18=0,"",SER_hh_tes!T18/SER_hh_fec!T18)</f>
        <v>3.0456448292289502</v>
      </c>
      <c r="U18" s="137">
        <f>IF(SER_hh_tes!U18=0,"",SER_hh_tes!U18/SER_hh_fec!U18)</f>
        <v>3.1188760797895831</v>
      </c>
      <c r="V18" s="137">
        <f>IF(SER_hh_tes!V18=0,"",SER_hh_tes!V18/SER_hh_fec!V18)</f>
        <v>3.1818312301592826</v>
      </c>
      <c r="W18" s="137">
        <f>IF(SER_hh_tes!W18=0,"",SER_hh_tes!W18/SER_hh_fec!W18)</f>
        <v>3.266662492287558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0.57009229424816688</v>
      </c>
      <c r="C19" s="136">
        <f>IF(SER_hh_tes!C19=0,"",SER_hh_tes!C19/SER_hh_fec!C19)</f>
        <v>0.57023570768926468</v>
      </c>
      <c r="D19" s="136">
        <f>IF(SER_hh_tes!D19=0,"",SER_hh_tes!D19/SER_hh_fec!D19)</f>
        <v>0.57327536376054711</v>
      </c>
      <c r="E19" s="136">
        <f>IF(SER_hh_tes!E19=0,"",SER_hh_tes!E19/SER_hh_fec!E19)</f>
        <v>0.5768320762320881</v>
      </c>
      <c r="F19" s="136">
        <f>IF(SER_hh_tes!F19=0,"",SER_hh_tes!F19/SER_hh_fec!F19)</f>
        <v>0.58245065488861625</v>
      </c>
      <c r="G19" s="136">
        <f>IF(SER_hh_tes!G19=0,"",SER_hh_tes!G19/SER_hh_fec!G19)</f>
        <v>0.58457287071864716</v>
      </c>
      <c r="H19" s="136">
        <f>IF(SER_hh_tes!H19=0,"",SER_hh_tes!H19/SER_hh_fec!H19)</f>
        <v>0.58507312950914336</v>
      </c>
      <c r="I19" s="136">
        <f>IF(SER_hh_tes!I19=0,"",SER_hh_tes!I19/SER_hh_fec!I19)</f>
        <v>0.58575139490514649</v>
      </c>
      <c r="J19" s="136">
        <f>IF(SER_hh_tes!J19=0,"",SER_hh_tes!J19/SER_hh_fec!J19)</f>
        <v>0.58788295685732872</v>
      </c>
      <c r="K19" s="136">
        <f>IF(SER_hh_tes!K19=0,"",SER_hh_tes!K19/SER_hh_fec!K19)</f>
        <v>0.5900065179100491</v>
      </c>
      <c r="L19" s="136">
        <f>IF(SER_hh_tes!L19=0,"",SER_hh_tes!L19/SER_hh_fec!L19)</f>
        <v>0.60480350295490726</v>
      </c>
      <c r="M19" s="136">
        <f>IF(SER_hh_tes!M19=0,"",SER_hh_tes!M19/SER_hh_fec!M19)</f>
        <v>0.61547451423759569</v>
      </c>
      <c r="N19" s="136">
        <f>IF(SER_hh_tes!N19=0,"",SER_hh_tes!N19/SER_hh_fec!N19)</f>
        <v>0.6253672654248682</v>
      </c>
      <c r="O19" s="136">
        <f>IF(SER_hh_tes!O19=0,"",SER_hh_tes!O19/SER_hh_fec!O19)</f>
        <v>0.64117443405455987</v>
      </c>
      <c r="P19" s="136">
        <f>IF(SER_hh_tes!P19=0,"",SER_hh_tes!P19/SER_hh_fec!P19)</f>
        <v>0.64752599516041132</v>
      </c>
      <c r="Q19" s="136">
        <f>IF(SER_hh_tes!Q19=0,"",SER_hh_tes!Q19/SER_hh_fec!Q19)</f>
        <v>0.65822798126190907</v>
      </c>
      <c r="R19" s="136">
        <f>IF(SER_hh_tes!R19=0,"",SER_hh_tes!R19/SER_hh_fec!R19)</f>
        <v>0.66803293282180465</v>
      </c>
      <c r="S19" s="136">
        <f>IF(SER_hh_tes!S19=0,"",SER_hh_tes!S19/SER_hh_fec!S19)</f>
        <v>0.68084338007387424</v>
      </c>
      <c r="T19" s="136">
        <f>IF(SER_hh_tes!T19=0,"",SER_hh_tes!T19/SER_hh_fec!T19)</f>
        <v>0.69647475901903866</v>
      </c>
      <c r="U19" s="136">
        <f>IF(SER_hh_tes!U19=0,"",SER_hh_tes!U19/SER_hh_fec!U19)</f>
        <v>0.70970418365997034</v>
      </c>
      <c r="V19" s="136">
        <f>IF(SER_hh_tes!V19=0,"",SER_hh_tes!V19/SER_hh_fec!V19)</f>
        <v>0.72795762615576209</v>
      </c>
      <c r="W19" s="136">
        <f>IF(SER_hh_tes!W19=0,"",SER_hh_tes!W19/SER_hh_fec!W19)</f>
        <v>0.7411996133712675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0.43943178958083406</v>
      </c>
      <c r="C22" s="137">
        <f>IF(SER_hh_tes!C22=0,"",SER_hh_tes!C22/SER_hh_fec!C22)</f>
        <v>0.44034241940155916</v>
      </c>
      <c r="D22" s="137">
        <f>IF(SER_hh_tes!D22=0,"",SER_hh_tes!D22/SER_hh_fec!D22)</f>
        <v>0.44102272314683266</v>
      </c>
      <c r="E22" s="137">
        <f>IF(SER_hh_tes!E22=0,"",SER_hh_tes!E22/SER_hh_fec!E22)</f>
        <v>0.4412651516800668</v>
      </c>
      <c r="F22" s="137">
        <f>IF(SER_hh_tes!F22=0,"",SER_hh_tes!F22/SER_hh_fec!F22)</f>
        <v>0.44144248748129483</v>
      </c>
      <c r="G22" s="137">
        <f>IF(SER_hh_tes!G22=0,"",SER_hh_tes!G22/SER_hh_fec!G22)</f>
        <v>0.44158765924836346</v>
      </c>
      <c r="H22" s="137">
        <f>IF(SER_hh_tes!H22=0,"",SER_hh_tes!H22/SER_hh_fec!H22)</f>
        <v>0.44236820964032086</v>
      </c>
      <c r="I22" s="137">
        <f>IF(SER_hh_tes!I22=0,"",SER_hh_tes!I22/SER_hh_fec!I22)</f>
        <v>0.44546265081160596</v>
      </c>
      <c r="J22" s="137">
        <f>IF(SER_hh_tes!J22=0,"",SER_hh_tes!J22/SER_hh_fec!J22)</f>
        <v>0.44907357147113175</v>
      </c>
      <c r="K22" s="137">
        <f>IF(SER_hh_tes!K22=0,"",SER_hh_tes!K22/SER_hh_fec!K22)</f>
        <v>0.4531060609898177</v>
      </c>
      <c r="L22" s="137">
        <f>IF(SER_hh_tes!L22=0,"",SER_hh_tes!L22/SER_hh_fec!L22)</f>
        <v>0.45667855205335811</v>
      </c>
      <c r="M22" s="137">
        <f>IF(SER_hh_tes!M22=0,"",SER_hh_tes!M22/SER_hh_fec!M22)</f>
        <v>0.46287295767107567</v>
      </c>
      <c r="N22" s="137">
        <f>IF(SER_hh_tes!N22=0,"",SER_hh_tes!N22/SER_hh_fec!N22)</f>
        <v>0.47053070707236233</v>
      </c>
      <c r="O22" s="137">
        <f>IF(SER_hh_tes!O22=0,"",SER_hh_tes!O22/SER_hh_fec!O22)</f>
        <v>0.47713559565564934</v>
      </c>
      <c r="P22" s="137">
        <f>IF(SER_hh_tes!P22=0,"",SER_hh_tes!P22/SER_hh_fec!P22)</f>
        <v>0.47803956571821615</v>
      </c>
      <c r="Q22" s="137">
        <f>IF(SER_hh_tes!Q22=0,"",SER_hh_tes!Q22/SER_hh_fec!Q22)</f>
        <v>0.47851753060326513</v>
      </c>
      <c r="R22" s="137">
        <f>IF(SER_hh_tes!R22=0,"",SER_hh_tes!R22/SER_hh_fec!R22)</f>
        <v>0.47966500954112395</v>
      </c>
      <c r="S22" s="137">
        <f>IF(SER_hh_tes!S22=0,"",SER_hh_tes!S22/SER_hh_fec!S22)</f>
        <v>0.48157602384517206</v>
      </c>
      <c r="T22" s="137">
        <f>IF(SER_hh_tes!T22=0,"",SER_hh_tes!T22/SER_hh_fec!T22)</f>
        <v>0.48273706722325022</v>
      </c>
      <c r="U22" s="137">
        <f>IF(SER_hh_tes!U22=0,"",SER_hh_tes!U22/SER_hh_fec!U22)</f>
        <v>0.4830016302200032</v>
      </c>
      <c r="V22" s="137">
        <f>IF(SER_hh_tes!V22=0,"",SER_hh_tes!V22/SER_hh_fec!V22)</f>
        <v>0.4830004401290165</v>
      </c>
      <c r="W22" s="137">
        <f>IF(SER_hh_tes!W22=0,"",SER_hh_tes!W22/SER_hh_fec!W22)</f>
        <v>0.48320916645499351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0.44893409632140502</v>
      </c>
      <c r="C23" s="137">
        <f>IF(SER_hh_tes!C23=0,"",SER_hh_tes!C23/SER_hh_fec!C23)</f>
        <v>0.45957251753947209</v>
      </c>
      <c r="D23" s="137">
        <f>IF(SER_hh_tes!D23=0,"",SER_hh_tes!D23/SER_hh_fec!D23)</f>
        <v>0.47375182950597483</v>
      </c>
      <c r="E23" s="137">
        <f>IF(SER_hh_tes!E23=0,"",SER_hh_tes!E23/SER_hh_fec!E23)</f>
        <v>0.48489381482827509</v>
      </c>
      <c r="F23" s="137">
        <f>IF(SER_hh_tes!F23=0,"",SER_hh_tes!F23/SER_hh_fec!F23)</f>
        <v>0.49394508023652794</v>
      </c>
      <c r="G23" s="137">
        <f>IF(SER_hh_tes!G23=0,"",SER_hh_tes!G23/SER_hh_fec!G23)</f>
        <v>0.50169065958196868</v>
      </c>
      <c r="H23" s="137">
        <f>IF(SER_hh_tes!H23=0,"",SER_hh_tes!H23/SER_hh_fec!H23)</f>
        <v>0.50847671294759833</v>
      </c>
      <c r="I23" s="137">
        <f>IF(SER_hh_tes!I23=0,"",SER_hh_tes!I23/SER_hh_fec!I23)</f>
        <v>0.51429748471872438</v>
      </c>
      <c r="J23" s="137">
        <f>IF(SER_hh_tes!J23=0,"",SER_hh_tes!J23/SER_hh_fec!J23)</f>
        <v>0.51880532316487316</v>
      </c>
      <c r="K23" s="137">
        <f>IF(SER_hh_tes!K23=0,"",SER_hh_tes!K23/SER_hh_fec!K23)</f>
        <v>0.52245016923649978</v>
      </c>
      <c r="L23" s="137">
        <f>IF(SER_hh_tes!L23=0,"",SER_hh_tes!L23/SER_hh_fec!L23)</f>
        <v>0.52464002900097251</v>
      </c>
      <c r="M23" s="137">
        <f>IF(SER_hh_tes!M23=0,"",SER_hh_tes!M23/SER_hh_fec!M23)</f>
        <v>0.52802693630870678</v>
      </c>
      <c r="N23" s="137">
        <f>IF(SER_hh_tes!N23=0,"",SER_hh_tes!N23/SER_hh_fec!N23)</f>
        <v>0.53249178502805927</v>
      </c>
      <c r="O23" s="137">
        <f>IF(SER_hh_tes!O23=0,"",SER_hh_tes!O23/SER_hh_fec!O23)</f>
        <v>0.53739368735065751</v>
      </c>
      <c r="P23" s="137">
        <f>IF(SER_hh_tes!P23=0,"",SER_hh_tes!P23/SER_hh_fec!P23)</f>
        <v>0.5444962666053883</v>
      </c>
      <c r="Q23" s="137">
        <f>IF(SER_hh_tes!Q23=0,"",SER_hh_tes!Q23/SER_hh_fec!Q23)</f>
        <v>0.55351312989160906</v>
      </c>
      <c r="R23" s="137">
        <f>IF(SER_hh_tes!R23=0,"",SER_hh_tes!R23/SER_hh_fec!R23)</f>
        <v>0.56572943188687597</v>
      </c>
      <c r="S23" s="137">
        <f>IF(SER_hh_tes!S23=0,"",SER_hh_tes!S23/SER_hh_fec!S23)</f>
        <v>0.58159822823125562</v>
      </c>
      <c r="T23" s="137">
        <f>IF(SER_hh_tes!T23=0,"",SER_hh_tes!T23/SER_hh_fec!T23)</f>
        <v>0.60041315881087198</v>
      </c>
      <c r="U23" s="137">
        <f>IF(SER_hh_tes!U23=0,"",SER_hh_tes!U23/SER_hh_fec!U23)</f>
        <v>0.61993891917020616</v>
      </c>
      <c r="V23" s="137">
        <f>IF(SER_hh_tes!V23=0,"",SER_hh_tes!V23/SER_hh_fec!V23)</f>
        <v>0.63736168403788007</v>
      </c>
      <c r="W23" s="137">
        <f>IF(SER_hh_tes!W23=0,"",SER_hh_tes!W23/SER_hh_fec!W23)</f>
        <v>0.65759747578027405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0.6720035281089195</v>
      </c>
      <c r="C25" s="137">
        <f>IF(SER_hh_tes!C25=0,"",SER_hh_tes!C25/SER_hh_fec!C25)</f>
        <v>0.67407622170659243</v>
      </c>
      <c r="D25" s="137">
        <f>IF(SER_hh_tes!D25=0,"",SER_hh_tes!D25/SER_hh_fec!D25)</f>
        <v>0.67680632461330537</v>
      </c>
      <c r="E25" s="137">
        <f>IF(SER_hh_tes!E25=0,"",SER_hh_tes!E25/SER_hh_fec!E25)</f>
        <v>0.67962860627693067</v>
      </c>
      <c r="F25" s="137">
        <f>IF(SER_hh_tes!F25=0,"",SER_hh_tes!F25/SER_hh_fec!F25)</f>
        <v>0.68239443445376602</v>
      </c>
      <c r="G25" s="137">
        <f>IF(SER_hh_tes!G25=0,"",SER_hh_tes!G25/SER_hh_fec!G25)</f>
        <v>0.68489318191035387</v>
      </c>
      <c r="H25" s="137">
        <f>IF(SER_hh_tes!H25=0,"",SER_hh_tes!H25/SER_hh_fec!H25)</f>
        <v>0.68723835430037705</v>
      </c>
      <c r="I25" s="137">
        <f>IF(SER_hh_tes!I25=0,"",SER_hh_tes!I25/SER_hh_fec!I25)</f>
        <v>0.68962323262995473</v>
      </c>
      <c r="J25" s="137">
        <f>IF(SER_hh_tes!J25=0,"",SER_hh_tes!J25/SER_hh_fec!J25)</f>
        <v>0.69212410631621468</v>
      </c>
      <c r="K25" s="137">
        <f>IF(SER_hh_tes!K25=0,"",SER_hh_tes!K25/SER_hh_fec!K25)</f>
        <v>0.69477051758464825</v>
      </c>
      <c r="L25" s="137">
        <f>IF(SER_hh_tes!L25=0,"",SER_hh_tes!L25/SER_hh_fec!L25)</f>
        <v>0.69718461378325147</v>
      </c>
      <c r="M25" s="137">
        <f>IF(SER_hh_tes!M25=0,"",SER_hh_tes!M25/SER_hh_fec!M25)</f>
        <v>0.70104945376296812</v>
      </c>
      <c r="N25" s="137">
        <f>IF(SER_hh_tes!N25=0,"",SER_hh_tes!N25/SER_hh_fec!N25)</f>
        <v>0.70609883212171343</v>
      </c>
      <c r="O25" s="137">
        <f>IF(SER_hh_tes!O25=0,"",SER_hh_tes!O25/SER_hh_fec!O25)</f>
        <v>0.71108344912575672</v>
      </c>
      <c r="P25" s="137">
        <f>IF(SER_hh_tes!P25=0,"",SER_hh_tes!P25/SER_hh_fec!P25)</f>
        <v>0.71381126351828339</v>
      </c>
      <c r="Q25" s="137">
        <f>IF(SER_hh_tes!Q25=0,"",SER_hh_tes!Q25/SER_hh_fec!Q25)</f>
        <v>0.71740238904364173</v>
      </c>
      <c r="R25" s="137">
        <f>IF(SER_hh_tes!R25=0,"",SER_hh_tes!R25/SER_hh_fec!R25)</f>
        <v>0.72225544694113308</v>
      </c>
      <c r="S25" s="137">
        <f>IF(SER_hh_tes!S25=0,"",SER_hh_tes!S25/SER_hh_fec!S25)</f>
        <v>0.72826353931789567</v>
      </c>
      <c r="T25" s="137">
        <f>IF(SER_hh_tes!T25=0,"",SER_hh_tes!T25/SER_hh_fec!T25)</f>
        <v>0.73464852731865049</v>
      </c>
      <c r="U25" s="137">
        <f>IF(SER_hh_tes!U25=0,"",SER_hh_tes!U25/SER_hh_fec!U25)</f>
        <v>0.74077016066536627</v>
      </c>
      <c r="V25" s="137">
        <f>IF(SER_hh_tes!V25=0,"",SER_hh_tes!V25/SER_hh_fec!V25)</f>
        <v>0.74609672629272805</v>
      </c>
      <c r="W25" s="137">
        <f>IF(SER_hh_tes!W25=0,"",SER_hh_tes!W25/SER_hh_fec!W25)</f>
        <v>0.75148543595715134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0.55372633542916794</v>
      </c>
      <c r="C26" s="138">
        <f>IF(SER_hh_tes!C26=0,"",SER_hh_tes!C26/SER_hh_fec!C26)</f>
        <v>0.55626005154557601</v>
      </c>
      <c r="D26" s="138">
        <f>IF(SER_hh_tes!D26=0,"",SER_hh_tes!D26/SER_hh_fec!D26)</f>
        <v>0.55868674955104325</v>
      </c>
      <c r="E26" s="138">
        <f>IF(SER_hh_tes!E26=0,"",SER_hh_tes!E26/SER_hh_fec!E26)</f>
        <v>0.56138893181091021</v>
      </c>
      <c r="F26" s="138">
        <f>IF(SER_hh_tes!F26=0,"",SER_hh_tes!F26/SER_hh_fec!F26)</f>
        <v>0.56431124282591061</v>
      </c>
      <c r="G26" s="138">
        <f>IF(SER_hh_tes!G26=0,"",SER_hh_tes!G26/SER_hh_fec!G26)</f>
        <v>0.56722914883029052</v>
      </c>
      <c r="H26" s="138">
        <f>IF(SER_hh_tes!H26=0,"",SER_hh_tes!H26/SER_hh_fec!H26)</f>
        <v>0.57030011687433313</v>
      </c>
      <c r="I26" s="138">
        <f>IF(SER_hh_tes!I26=0,"",SER_hh_tes!I26/SER_hh_fec!I26)</f>
        <v>0.57369305371854828</v>
      </c>
      <c r="J26" s="138">
        <f>IF(SER_hh_tes!J26=0,"",SER_hh_tes!J26/SER_hh_fec!J26)</f>
        <v>0.5771022331681549</v>
      </c>
      <c r="K26" s="138">
        <f>IF(SER_hh_tes!K26=0,"",SER_hh_tes!K26/SER_hh_fec!K26)</f>
        <v>0.58025499327615504</v>
      </c>
      <c r="L26" s="138">
        <f>IF(SER_hh_tes!L26=0,"",SER_hh_tes!L26/SER_hh_fec!L26)</f>
        <v>0.58262471639597679</v>
      </c>
      <c r="M26" s="138">
        <f>IF(SER_hh_tes!M26=0,"",SER_hh_tes!M26/SER_hh_fec!M26)</f>
        <v>0.58691385594366174</v>
      </c>
      <c r="N26" s="138">
        <f>IF(SER_hh_tes!N26=0,"",SER_hh_tes!N26/SER_hh_fec!N26)</f>
        <v>0.59232596012897742</v>
      </c>
      <c r="O26" s="138">
        <f>IF(SER_hh_tes!O26=0,"",SER_hh_tes!O26/SER_hh_fec!O26)</f>
        <v>0.59760934688157552</v>
      </c>
      <c r="P26" s="138">
        <f>IF(SER_hh_tes!P26=0,"",SER_hh_tes!P26/SER_hh_fec!P26)</f>
        <v>0.60317252545648981</v>
      </c>
      <c r="Q26" s="138">
        <f>IF(SER_hh_tes!Q26=0,"",SER_hh_tes!Q26/SER_hh_fec!Q26)</f>
        <v>0.61002303169150474</v>
      </c>
      <c r="R26" s="138">
        <f>IF(SER_hh_tes!R26=0,"",SER_hh_tes!R26/SER_hh_fec!R26)</f>
        <v>0.61936329306441062</v>
      </c>
      <c r="S26" s="138">
        <f>IF(SER_hh_tes!S26=0,"",SER_hh_tes!S26/SER_hh_fec!S26)</f>
        <v>0.63215378686112389</v>
      </c>
      <c r="T26" s="138">
        <f>IF(SER_hh_tes!T26=0,"",SER_hh_tes!T26/SER_hh_fec!T26)</f>
        <v>0.64738425308662817</v>
      </c>
      <c r="U26" s="138">
        <f>IF(SER_hh_tes!U26=0,"",SER_hh_tes!U26/SER_hh_fec!U26)</f>
        <v>0.66377172443106958</v>
      </c>
      <c r="V26" s="138">
        <f>IF(SER_hh_tes!V26=0,"",SER_hh_tes!V26/SER_hh_fec!V26)</f>
        <v>0.67749338280030036</v>
      </c>
      <c r="W26" s="138">
        <f>IF(SER_hh_tes!W26=0,"",SER_hh_tes!W26/SER_hh_fec!W26)</f>
        <v>0.69590437507282221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0.70151920599600548</v>
      </c>
      <c r="C29" s="136">
        <f>IF(SER_hh_tes!C29=0,"",SER_hh_tes!C29/SER_hh_fec!C29)</f>
        <v>0.69633904351992038</v>
      </c>
      <c r="D29" s="136">
        <f>IF(SER_hh_tes!D29=0,"",SER_hh_tes!D29/SER_hh_fec!D29)</f>
        <v>0.70333409214475828</v>
      </c>
      <c r="E29" s="136">
        <f>IF(SER_hh_tes!E29=0,"",SER_hh_tes!E29/SER_hh_fec!E29)</f>
        <v>0.70272459201332116</v>
      </c>
      <c r="F29" s="136">
        <f>IF(SER_hh_tes!F29=0,"",SER_hh_tes!F29/SER_hh_fec!F29)</f>
        <v>0.69955803736126609</v>
      </c>
      <c r="G29" s="136">
        <f>IF(SER_hh_tes!G29=0,"",SER_hh_tes!G29/SER_hh_fec!G29)</f>
        <v>0.70416743995479736</v>
      </c>
      <c r="H29" s="136">
        <f>IF(SER_hh_tes!H29=0,"",SER_hh_tes!H29/SER_hh_fec!H29)</f>
        <v>0.70100180368448783</v>
      </c>
      <c r="I29" s="136">
        <f>IF(SER_hh_tes!I29=0,"",SER_hh_tes!I29/SER_hh_fec!I29)</f>
        <v>0.70059480497277116</v>
      </c>
      <c r="J29" s="136">
        <f>IF(SER_hh_tes!J29=0,"",SER_hh_tes!J29/SER_hh_fec!J29)</f>
        <v>0.69555092731525003</v>
      </c>
      <c r="K29" s="136">
        <f>IF(SER_hh_tes!K29=0,"",SER_hh_tes!K29/SER_hh_fec!K29)</f>
        <v>0.69855504019859849</v>
      </c>
      <c r="L29" s="136">
        <f>IF(SER_hh_tes!L29=0,"",SER_hh_tes!L29/SER_hh_fec!L29)</f>
        <v>0.694108072498272</v>
      </c>
      <c r="M29" s="136">
        <f>IF(SER_hh_tes!M29=0,"",SER_hh_tes!M29/SER_hh_fec!M29)</f>
        <v>0.69460900424936811</v>
      </c>
      <c r="N29" s="136">
        <f>IF(SER_hh_tes!N29=0,"",SER_hh_tes!N29/SER_hh_fec!N29)</f>
        <v>0.69122357179485217</v>
      </c>
      <c r="O29" s="136">
        <f>IF(SER_hh_tes!O29=0,"",SER_hh_tes!O29/SER_hh_fec!O29)</f>
        <v>0.69819629740908151</v>
      </c>
      <c r="P29" s="136">
        <f>IF(SER_hh_tes!P29=0,"",SER_hh_tes!P29/SER_hh_fec!P29)</f>
        <v>0.70557503388919618</v>
      </c>
      <c r="Q29" s="136">
        <f>IF(SER_hh_tes!Q29=0,"",SER_hh_tes!Q29/SER_hh_fec!Q29)</f>
        <v>0.71000773715608223</v>
      </c>
      <c r="R29" s="136">
        <f>IF(SER_hh_tes!R29=0,"",SER_hh_tes!R29/SER_hh_fec!R29)</f>
        <v>0.71401882082656265</v>
      </c>
      <c r="S29" s="136">
        <f>IF(SER_hh_tes!S29=0,"",SER_hh_tes!S29/SER_hh_fec!S29)</f>
        <v>0.71326393909153496</v>
      </c>
      <c r="T29" s="136">
        <f>IF(SER_hh_tes!T29=0,"",SER_hh_tes!T29/SER_hh_fec!T29)</f>
        <v>0.71305372770447362</v>
      </c>
      <c r="U29" s="136">
        <f>IF(SER_hh_tes!U29=0,"",SER_hh_tes!U29/SER_hh_fec!U29)</f>
        <v>0.71792249926477547</v>
      </c>
      <c r="V29" s="136">
        <f>IF(SER_hh_tes!V29=0,"",SER_hh_tes!V29/SER_hh_fec!V29)</f>
        <v>0.72597095330583195</v>
      </c>
      <c r="W29" s="136">
        <f>IF(SER_hh_tes!W29=0,"",SER_hh_tes!W29/SER_hh_fec!W29)</f>
        <v>0.73415063902232813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0.54112404588156082</v>
      </c>
      <c r="C30" s="137">
        <f>IF(SER_hh_tes!C30=0,"",SER_hh_tes!C30/SER_hh_fec!C30)</f>
        <v>0.54184619235799691</v>
      </c>
      <c r="D30" s="137">
        <f>IF(SER_hh_tes!D30=0,"",SER_hh_tes!D30/SER_hh_fec!D30)</f>
        <v>0.54192924144996379</v>
      </c>
      <c r="E30" s="137">
        <f>IF(SER_hh_tes!E30=0,"",SER_hh_tes!E30/SER_hh_fec!E30)</f>
        <v>0.542009091662776</v>
      </c>
      <c r="F30" s="137">
        <f>IF(SER_hh_tes!F30=0,"",SER_hh_tes!F30/SER_hh_fec!F30)</f>
        <v>0.54208395021625344</v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>
        <f>IF(SER_hh_tes!L30=0,"",SER_hh_tes!L30/SER_hh_fec!L30)</f>
        <v>0.55756271000533153</v>
      </c>
      <c r="M30" s="137">
        <f>IF(SER_hh_tes!M30=0,"",SER_hh_tes!M30/SER_hh_fec!M30)</f>
        <v>0.55768148108546678</v>
      </c>
      <c r="N30" s="137">
        <f>IF(SER_hh_tes!N30=0,"",SER_hh_tes!N30/SER_hh_fec!N30)</f>
        <v>0.55773874851334659</v>
      </c>
      <c r="O30" s="137">
        <f>IF(SER_hh_tes!O30=0,"",SER_hh_tes!O30/SER_hh_fec!O30)</f>
        <v>0.55774799649114315</v>
      </c>
      <c r="P30" s="137">
        <f>IF(SER_hh_tes!P30=0,"",SER_hh_tes!P30/SER_hh_fec!P30)</f>
        <v>0.55775341239166953</v>
      </c>
      <c r="Q30" s="137">
        <f>IF(SER_hh_tes!Q30=0,"",SER_hh_tes!Q30/SER_hh_fec!Q30)</f>
        <v>0.55776244346545756</v>
      </c>
      <c r="R30" s="137">
        <f>IF(SER_hh_tes!R30=0,"",SER_hh_tes!R30/SER_hh_fec!R30)</f>
        <v>0.55799983378553097</v>
      </c>
      <c r="S30" s="137">
        <f>IF(SER_hh_tes!S30=0,"",SER_hh_tes!S30/SER_hh_fec!S30)</f>
        <v>0.55912461113076017</v>
      </c>
      <c r="T30" s="137">
        <f>IF(SER_hh_tes!T30=0,"",SER_hh_tes!T30/SER_hh_fec!T30)</f>
        <v>0.56164404579498117</v>
      </c>
      <c r="U30" s="137">
        <f>IF(SER_hh_tes!U30=0,"",SER_hh_tes!U30/SER_hh_fec!U30)</f>
        <v>0.56451630833473909</v>
      </c>
      <c r="V30" s="137">
        <f>IF(SER_hh_tes!V30=0,"",SER_hh_tes!V30/SER_hh_fec!V30)</f>
        <v>0.56794281397624258</v>
      </c>
      <c r="W30" s="137">
        <f>IF(SER_hh_tes!W30=0,"",SER_hh_tes!W30/SER_hh_fec!W30)</f>
        <v>0.57325061330207139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0.54397800708634336</v>
      </c>
      <c r="C31" s="137">
        <f>IF(SER_hh_tes!C31=0,"",SER_hh_tes!C31/SER_hh_fec!C31)</f>
        <v>0.5453756945267596</v>
      </c>
      <c r="D31" s="137">
        <f>IF(SER_hh_tes!D31=0,"",SER_hh_tes!D31/SER_hh_fec!D31)</f>
        <v>0.5476032382115239</v>
      </c>
      <c r="E31" s="137">
        <f>IF(SER_hh_tes!E31=0,"",SER_hh_tes!E31/SER_hh_fec!E31)</f>
        <v>0.54939157066395694</v>
      </c>
      <c r="F31" s="137">
        <f>IF(SER_hh_tes!F31=0,"",SER_hh_tes!F31/SER_hh_fec!F31)</f>
        <v>0.55096155584907403</v>
      </c>
      <c r="G31" s="137">
        <f>IF(SER_hh_tes!G31=0,"",SER_hh_tes!G31/SER_hh_fec!G31)</f>
        <v>0.5522831879860628</v>
      </c>
      <c r="H31" s="137">
        <f>IF(SER_hh_tes!H31=0,"",SER_hh_tes!H31/SER_hh_fec!H31)</f>
        <v>0.55347668095146596</v>
      </c>
      <c r="I31" s="137">
        <f>IF(SER_hh_tes!I31=0,"",SER_hh_tes!I31/SER_hh_fec!I31)</f>
        <v>0.5543899764718434</v>
      </c>
      <c r="J31" s="137">
        <f>IF(SER_hh_tes!J31=0,"",SER_hh_tes!J31/SER_hh_fec!J31)</f>
        <v>0.55508301845989738</v>
      </c>
      <c r="K31" s="137">
        <f>IF(SER_hh_tes!K31=0,"",SER_hh_tes!K31/SER_hh_fec!K31)</f>
        <v>0.5556625555916076</v>
      </c>
      <c r="L31" s="137">
        <f>IF(SER_hh_tes!L31=0,"",SER_hh_tes!L31/SER_hh_fec!L31)</f>
        <v>0.55615080502804981</v>
      </c>
      <c r="M31" s="137">
        <f>IF(SER_hh_tes!M31=0,"",SER_hh_tes!M31/SER_hh_fec!M31)</f>
        <v>0.55661473795061933</v>
      </c>
      <c r="N31" s="137">
        <f>IF(SER_hh_tes!N31=0,"",SER_hh_tes!N31/SER_hh_fec!N31)</f>
        <v>0.55721123725543553</v>
      </c>
      <c r="O31" s="137">
        <f>IF(SER_hh_tes!O31=0,"",SER_hh_tes!O31/SER_hh_fec!O31)</f>
        <v>0.55799897289602418</v>
      </c>
      <c r="P31" s="137">
        <f>IF(SER_hh_tes!P31=0,"",SER_hh_tes!P31/SER_hh_fec!P31)</f>
        <v>0.55880929821803538</v>
      </c>
      <c r="Q31" s="137">
        <f>IF(SER_hh_tes!Q31=0,"",SER_hh_tes!Q31/SER_hh_fec!Q31)</f>
        <v>0.55952399486807158</v>
      </c>
      <c r="R31" s="137">
        <f>IF(SER_hh_tes!R31=0,"",SER_hh_tes!R31/SER_hh_fec!R31)</f>
        <v>0.56049289659013068</v>
      </c>
      <c r="S31" s="137">
        <f>IF(SER_hh_tes!S31=0,"",SER_hh_tes!S31/SER_hh_fec!S31)</f>
        <v>0.56181686653048868</v>
      </c>
      <c r="T31" s="137">
        <f>IF(SER_hh_tes!T31=0,"",SER_hh_tes!T31/SER_hh_fec!T31)</f>
        <v>0.56344674089080715</v>
      </c>
      <c r="U31" s="137">
        <f>IF(SER_hh_tes!U31=0,"",SER_hh_tes!U31/SER_hh_fec!U31)</f>
        <v>0.56531316630157402</v>
      </c>
      <c r="V31" s="137">
        <f>IF(SER_hh_tes!V31=0,"",SER_hh_tes!V31/SER_hh_fec!V31)</f>
        <v>0.56749305346877033</v>
      </c>
      <c r="W31" s="137">
        <f>IF(SER_hh_tes!W31=0,"",SER_hh_tes!W31/SER_hh_fec!W31)</f>
        <v>0.57089059610864956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>
        <f>IF(SER_hh_tes!J32=0,"",SER_hh_tes!J32/SER_hh_fec!J32)</f>
        <v>0.55829424867274879</v>
      </c>
      <c r="K32" s="137">
        <f>IF(SER_hh_tes!K32=0,"",SER_hh_tes!K32/SER_hh_fec!K32)</f>
        <v>0.55835794660337545</v>
      </c>
      <c r="L32" s="137">
        <f>IF(SER_hh_tes!L32=0,"",SER_hh_tes!L32/SER_hh_fec!L32)</f>
        <v>0.55838163771408666</v>
      </c>
      <c r="M32" s="137">
        <f>IF(SER_hh_tes!M32=0,"",SER_hh_tes!M32/SER_hh_fec!M32)</f>
        <v>0.55838219443924075</v>
      </c>
      <c r="N32" s="137">
        <f>IF(SER_hh_tes!N32=0,"",SER_hh_tes!N32/SER_hh_fec!N32)</f>
        <v>0.55838219443924075</v>
      </c>
      <c r="O32" s="137">
        <f>IF(SER_hh_tes!O32=0,"",SER_hh_tes!O32/SER_hh_fec!O32)</f>
        <v>0.55838219443924042</v>
      </c>
      <c r="P32" s="137">
        <f>IF(SER_hh_tes!P32=0,"",SER_hh_tes!P32/SER_hh_fec!P32)</f>
        <v>0.55838219443924075</v>
      </c>
      <c r="Q32" s="137">
        <f>IF(SER_hh_tes!Q32=0,"",SER_hh_tes!Q32/SER_hh_fec!Q32)</f>
        <v>0.5584629208307923</v>
      </c>
      <c r="R32" s="137">
        <f>IF(SER_hh_tes!R32=0,"",SER_hh_tes!R32/SER_hh_fec!R32)</f>
        <v>0.55893754124135764</v>
      </c>
      <c r="S32" s="137">
        <f>IF(SER_hh_tes!S32=0,"",SER_hh_tes!S32/SER_hh_fec!S32)</f>
        <v>0.56022675221006724</v>
      </c>
      <c r="T32" s="137">
        <f>IF(SER_hh_tes!T32=0,"",SER_hh_tes!T32/SER_hh_fec!T32)</f>
        <v>0.56168376103802287</v>
      </c>
      <c r="U32" s="137">
        <f>IF(SER_hh_tes!U32=0,"",SER_hh_tes!U32/SER_hh_fec!U32)</f>
        <v>0.56297676114399087</v>
      </c>
      <c r="V32" s="137">
        <f>IF(SER_hh_tes!V32=0,"",SER_hh_tes!V32/SER_hh_fec!V32)</f>
        <v>0.56406941461626658</v>
      </c>
      <c r="W32" s="137">
        <f>IF(SER_hh_tes!W32=0,"",SER_hh_tes!W32/SER_hh_fec!W32)</f>
        <v>0.5644685543036625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0.70970159376284525</v>
      </c>
      <c r="C33" s="150">
        <f>IF(SER_hh_tes!C33=0,"",SER_hh_tes!C33/SER_hh_fec!C33)</f>
        <v>0.71152562049954249</v>
      </c>
      <c r="D33" s="150">
        <f>IF(SER_hh_tes!D33=0,"",SER_hh_tes!D33/SER_hh_fec!D33)</f>
        <v>0.71351505168574336</v>
      </c>
      <c r="E33" s="150">
        <f>IF(SER_hh_tes!E33=0,"",SER_hh_tes!E33/SER_hh_fec!E33)</f>
        <v>0.71562897511312473</v>
      </c>
      <c r="F33" s="150">
        <f>IF(SER_hh_tes!F33=0,"",SER_hh_tes!F33/SER_hh_fec!F33)</f>
        <v>0.71779392894323335</v>
      </c>
      <c r="G33" s="150">
        <f>IF(SER_hh_tes!G33=0,"",SER_hh_tes!G33/SER_hh_fec!G33)</f>
        <v>0.72010339640895482</v>
      </c>
      <c r="H33" s="150">
        <f>IF(SER_hh_tes!H33=0,"",SER_hh_tes!H33/SER_hh_fec!H33)</f>
        <v>0.72238585656270093</v>
      </c>
      <c r="I33" s="150">
        <f>IF(SER_hh_tes!I33=0,"",SER_hh_tes!I33/SER_hh_fec!I33)</f>
        <v>0.72492646211277756</v>
      </c>
      <c r="J33" s="150">
        <f>IF(SER_hh_tes!J33=0,"",SER_hh_tes!J33/SER_hh_fec!J33)</f>
        <v>0.72736747894506693</v>
      </c>
      <c r="K33" s="150">
        <f>IF(SER_hh_tes!K33=0,"",SER_hh_tes!K33/SER_hh_fec!K33)</f>
        <v>0.73016548244741841</v>
      </c>
      <c r="L33" s="150">
        <f>IF(SER_hh_tes!L33=0,"",SER_hh_tes!L33/SER_hh_fec!L33)</f>
        <v>0.73219092217983184</v>
      </c>
      <c r="M33" s="150">
        <f>IF(SER_hh_tes!M33=0,"",SER_hh_tes!M33/SER_hh_fec!M33)</f>
        <v>0.73355987136345424</v>
      </c>
      <c r="N33" s="150">
        <f>IF(SER_hh_tes!N33=0,"",SER_hh_tes!N33/SER_hh_fec!N33)</f>
        <v>0.73546187993615397</v>
      </c>
      <c r="O33" s="150">
        <f>IF(SER_hh_tes!O33=0,"",SER_hh_tes!O33/SER_hh_fec!O33)</f>
        <v>0.73853829586875475</v>
      </c>
      <c r="P33" s="150">
        <f>IF(SER_hh_tes!P33=0,"",SER_hh_tes!P33/SER_hh_fec!P33)</f>
        <v>0.74232645301934086</v>
      </c>
      <c r="Q33" s="150">
        <f>IF(SER_hh_tes!Q33=0,"",SER_hh_tes!Q33/SER_hh_fec!Q33)</f>
        <v>0.7470303008573359</v>
      </c>
      <c r="R33" s="150">
        <f>IF(SER_hh_tes!R33=0,"",SER_hh_tes!R33/SER_hh_fec!R33)</f>
        <v>0.752462753418213</v>
      </c>
      <c r="S33" s="150">
        <f>IF(SER_hh_tes!S33=0,"",SER_hh_tes!S33/SER_hh_fec!S33)</f>
        <v>0.75885444811669878</v>
      </c>
      <c r="T33" s="150">
        <f>IF(SER_hh_tes!T33=0,"",SER_hh_tes!T33/SER_hh_fec!T33)</f>
        <v>0.76626456774740304</v>
      </c>
      <c r="U33" s="150">
        <f>IF(SER_hh_tes!U33=0,"",SER_hh_tes!U33/SER_hh_fec!U33)</f>
        <v>0.77532611359413128</v>
      </c>
      <c r="V33" s="150">
        <f>IF(SER_hh_tes!V33=0,"",SER_hh_tes!V33/SER_hh_fec!V33)</f>
        <v>0.7854268098435192</v>
      </c>
      <c r="W33" s="150">
        <f>IF(SER_hh_tes!W33=0,"",SER_hh_tes!W33/SER_hh_fec!W33)</f>
        <v>0.79605738157669403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335.84810584788113</v>
      </c>
      <c r="C3" s="126">
        <f t="shared" si="0"/>
        <v>591.25569528540325</v>
      </c>
      <c r="D3" s="126">
        <f t="shared" si="0"/>
        <v>404.6243677195589</v>
      </c>
      <c r="E3" s="126">
        <f t="shared" si="0"/>
        <v>292.16735926159095</v>
      </c>
      <c r="F3" s="126">
        <f t="shared" si="0"/>
        <v>209.9103396724976</v>
      </c>
      <c r="G3" s="126">
        <f t="shared" si="0"/>
        <v>235.13095416141743</v>
      </c>
      <c r="H3" s="126">
        <f t="shared" si="0"/>
        <v>384.05193619061293</v>
      </c>
      <c r="I3" s="126">
        <f t="shared" si="0"/>
        <v>326.95928965522683</v>
      </c>
      <c r="J3" s="126">
        <f t="shared" si="0"/>
        <v>404.48942578981428</v>
      </c>
      <c r="K3" s="126">
        <f t="shared" si="0"/>
        <v>377.97381639483137</v>
      </c>
      <c r="L3" s="126">
        <f t="shared" si="0"/>
        <v>345.86012875545623</v>
      </c>
      <c r="M3" s="126">
        <f t="shared" si="0"/>
        <v>322.24489523088289</v>
      </c>
      <c r="N3" s="126">
        <f t="shared" si="0"/>
        <v>313.686735850498</v>
      </c>
      <c r="O3" s="126">
        <f t="shared" si="0"/>
        <v>273.26704794223758</v>
      </c>
      <c r="P3" s="126">
        <f t="shared" si="0"/>
        <v>253.21777651233535</v>
      </c>
      <c r="Q3" s="126">
        <f t="shared" si="0"/>
        <v>352.2016255387507</v>
      </c>
      <c r="R3" s="126">
        <f t="shared" ref="R3:W3" si="1">SUM(R4,R16,R19,R29)</f>
        <v>355.48624755366274</v>
      </c>
      <c r="S3" s="126">
        <f t="shared" si="1"/>
        <v>346.98289694705971</v>
      </c>
      <c r="T3" s="126">
        <f t="shared" si="1"/>
        <v>317.49378118821517</v>
      </c>
      <c r="U3" s="126">
        <f t="shared" si="1"/>
        <v>316.39433985215453</v>
      </c>
      <c r="V3" s="126">
        <f t="shared" si="1"/>
        <v>290.73822264378799</v>
      </c>
      <c r="W3" s="126">
        <f t="shared" si="1"/>
        <v>342.27496767477442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283.31195994931431</v>
      </c>
      <c r="C4" s="131">
        <f t="shared" si="2"/>
        <v>524.33789186657248</v>
      </c>
      <c r="D4" s="131">
        <f t="shared" si="2"/>
        <v>344.22522868244351</v>
      </c>
      <c r="E4" s="131">
        <f t="shared" si="2"/>
        <v>226.96893662053347</v>
      </c>
      <c r="F4" s="131">
        <f t="shared" si="2"/>
        <v>139.95405064387984</v>
      </c>
      <c r="G4" s="131">
        <f t="shared" si="2"/>
        <v>166.11977412606251</v>
      </c>
      <c r="H4" s="131">
        <f t="shared" si="2"/>
        <v>300.32246967494143</v>
      </c>
      <c r="I4" s="131">
        <f t="shared" si="2"/>
        <v>230.69943077864338</v>
      </c>
      <c r="J4" s="131">
        <f t="shared" si="2"/>
        <v>302.26700023047903</v>
      </c>
      <c r="K4" s="131">
        <f t="shared" si="2"/>
        <v>273.13812249787782</v>
      </c>
      <c r="L4" s="131">
        <f t="shared" si="2"/>
        <v>224.51982137550797</v>
      </c>
      <c r="M4" s="131">
        <f t="shared" si="2"/>
        <v>196.71044809927869</v>
      </c>
      <c r="N4" s="131">
        <f t="shared" si="2"/>
        <v>173.43410532169509</v>
      </c>
      <c r="O4" s="131">
        <f t="shared" si="2"/>
        <v>146.14982631997</v>
      </c>
      <c r="P4" s="131">
        <f t="shared" si="2"/>
        <v>137.09398383623648</v>
      </c>
      <c r="Q4" s="131">
        <f t="shared" si="2"/>
        <v>237.75493538265323</v>
      </c>
      <c r="R4" s="131">
        <f t="shared" ref="R4:W4" si="3">SUM(R5:R15)</f>
        <v>243.50737528874055</v>
      </c>
      <c r="S4" s="131">
        <f t="shared" si="3"/>
        <v>227.6686403850064</v>
      </c>
      <c r="T4" s="131">
        <f t="shared" si="3"/>
        <v>198.37071995860572</v>
      </c>
      <c r="U4" s="131">
        <f t="shared" si="3"/>
        <v>196.96889277787125</v>
      </c>
      <c r="V4" s="131">
        <f t="shared" si="3"/>
        <v>191.47033283181548</v>
      </c>
      <c r="W4" s="131">
        <f t="shared" si="3"/>
        <v>231.94009492714954</v>
      </c>
      <c r="DA4" s="156" t="s">
        <v>233</v>
      </c>
    </row>
    <row r="5" spans="1:105" ht="12" customHeight="1" x14ac:dyDescent="0.25">
      <c r="A5" s="132" t="s">
        <v>29</v>
      </c>
      <c r="B5" s="133">
        <v>12.072595007881112</v>
      </c>
      <c r="C5" s="133">
        <v>13.14839892540329</v>
      </c>
      <c r="D5" s="133">
        <v>21.163973399558895</v>
      </c>
      <c r="E5" s="133">
        <v>26.623418021590929</v>
      </c>
      <c r="F5" s="133">
        <v>19.053325032497636</v>
      </c>
      <c r="G5" s="133">
        <v>25.225002121417376</v>
      </c>
      <c r="H5" s="133">
        <v>25.794597550612888</v>
      </c>
      <c r="I5" s="133">
        <v>12.231137175226921</v>
      </c>
      <c r="J5" s="133">
        <v>23.189639149814347</v>
      </c>
      <c r="K5" s="133">
        <v>19.554186154831449</v>
      </c>
      <c r="L5" s="133">
        <v>18.009910035456397</v>
      </c>
      <c r="M5" s="133">
        <v>20.05896347088289</v>
      </c>
      <c r="N5" s="133">
        <v>15.142390930497969</v>
      </c>
      <c r="O5" s="133">
        <v>19.93327854223752</v>
      </c>
      <c r="P5" s="133">
        <v>8.9158447923353972</v>
      </c>
      <c r="Q5" s="133">
        <v>22.703542818750538</v>
      </c>
      <c r="R5" s="133">
        <v>24.756995793662767</v>
      </c>
      <c r="S5" s="133">
        <v>16.456802187059701</v>
      </c>
      <c r="T5" s="133">
        <v>10.56144202821535</v>
      </c>
      <c r="U5" s="133">
        <v>15.541831532154641</v>
      </c>
      <c r="V5" s="133">
        <v>12.618320403788003</v>
      </c>
      <c r="W5" s="133">
        <v>9.9797029547742007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256.11724179002402</v>
      </c>
      <c r="C7" s="133">
        <v>486.7873761869451</v>
      </c>
      <c r="D7" s="133">
        <v>296.93881909862426</v>
      </c>
      <c r="E7" s="133">
        <v>163.38313181072849</v>
      </c>
      <c r="F7" s="133">
        <v>85.030476622535573</v>
      </c>
      <c r="G7" s="133">
        <v>83.976149653444267</v>
      </c>
      <c r="H7" s="133">
        <v>183.43301202464045</v>
      </c>
      <c r="I7" s="133">
        <v>126.8788119415568</v>
      </c>
      <c r="J7" s="133">
        <v>167.73275426878294</v>
      </c>
      <c r="K7" s="133">
        <v>181.41616475381349</v>
      </c>
      <c r="L7" s="133">
        <v>104.2545036546843</v>
      </c>
      <c r="M7" s="133">
        <v>70.027872676811597</v>
      </c>
      <c r="N7" s="133">
        <v>56.334732166980693</v>
      </c>
      <c r="O7" s="133">
        <v>33.819534888331603</v>
      </c>
      <c r="P7" s="133">
        <v>24.224271827334249</v>
      </c>
      <c r="Q7" s="133">
        <v>94.895105067152443</v>
      </c>
      <c r="R7" s="133">
        <v>92.971415608521269</v>
      </c>
      <c r="S7" s="133">
        <v>77.74644591205643</v>
      </c>
      <c r="T7" s="133">
        <v>45.823680528140393</v>
      </c>
      <c r="U7" s="133">
        <v>57.31705063279535</v>
      </c>
      <c r="V7" s="133">
        <v>50.996686547311896</v>
      </c>
      <c r="W7" s="133">
        <v>52.385466131136447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15.122123151409182</v>
      </c>
      <c r="C9" s="133">
        <v>24.402116754224053</v>
      </c>
      <c r="D9" s="133">
        <v>26.122436184260398</v>
      </c>
      <c r="E9" s="133">
        <v>36.96238678821404</v>
      </c>
      <c r="F9" s="133">
        <v>35.87024898884664</v>
      </c>
      <c r="G9" s="133">
        <v>56.918622351200852</v>
      </c>
      <c r="H9" s="133">
        <v>91.094860099688105</v>
      </c>
      <c r="I9" s="133">
        <v>91.589481661859651</v>
      </c>
      <c r="J9" s="133">
        <v>111.34460681188172</v>
      </c>
      <c r="K9" s="133">
        <v>72.167771589232871</v>
      </c>
      <c r="L9" s="133">
        <v>102.25540768536727</v>
      </c>
      <c r="M9" s="133">
        <v>106.62361195158421</v>
      </c>
      <c r="N9" s="133">
        <v>101.95698222421643</v>
      </c>
      <c r="O9" s="133">
        <v>92.397012889400884</v>
      </c>
      <c r="P9" s="133">
        <v>103.95386721656683</v>
      </c>
      <c r="Q9" s="133">
        <v>120.15628749675025</v>
      </c>
      <c r="R9" s="133">
        <v>125.77896388655653</v>
      </c>
      <c r="S9" s="133">
        <v>133.46539228589026</v>
      </c>
      <c r="T9" s="133">
        <v>141.98559740224999</v>
      </c>
      <c r="U9" s="133">
        <v>124.11001061292124</v>
      </c>
      <c r="V9" s="133">
        <v>127.85532588071557</v>
      </c>
      <c r="W9" s="133">
        <v>169.57492584123889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42.759914734414039</v>
      </c>
      <c r="C19" s="131">
        <f t="shared" si="6"/>
        <v>47.10371897204093</v>
      </c>
      <c r="D19" s="131">
        <f t="shared" si="6"/>
        <v>47.588238635252807</v>
      </c>
      <c r="E19" s="131">
        <f t="shared" si="6"/>
        <v>48.584293914136381</v>
      </c>
      <c r="F19" s="131">
        <f t="shared" si="6"/>
        <v>45.169757646972691</v>
      </c>
      <c r="G19" s="131">
        <f t="shared" si="6"/>
        <v>47.685846162881646</v>
      </c>
      <c r="H19" s="131">
        <f t="shared" si="6"/>
        <v>54.146725957680218</v>
      </c>
      <c r="I19" s="131">
        <f t="shared" si="6"/>
        <v>61.571420582632015</v>
      </c>
      <c r="J19" s="131">
        <f t="shared" si="6"/>
        <v>65.232904068821625</v>
      </c>
      <c r="K19" s="131">
        <f t="shared" si="6"/>
        <v>67.309645206095809</v>
      </c>
      <c r="L19" s="131">
        <f t="shared" si="6"/>
        <v>68.887196710865283</v>
      </c>
      <c r="M19" s="131">
        <f t="shared" si="6"/>
        <v>69.713721677340942</v>
      </c>
      <c r="N19" s="131">
        <f t="shared" si="6"/>
        <v>68.351838045611245</v>
      </c>
      <c r="O19" s="131">
        <f t="shared" si="6"/>
        <v>63.090097068926163</v>
      </c>
      <c r="P19" s="131">
        <f t="shared" si="6"/>
        <v>60.433732738213486</v>
      </c>
      <c r="Q19" s="131">
        <f t="shared" si="6"/>
        <v>60.047312341176749</v>
      </c>
      <c r="R19" s="131">
        <f t="shared" ref="R19:W19" si="7">SUM(R20:R27)</f>
        <v>57.103992164352675</v>
      </c>
      <c r="S19" s="131">
        <f t="shared" si="7"/>
        <v>58.15579595178211</v>
      </c>
      <c r="T19" s="131">
        <f t="shared" si="7"/>
        <v>54.617097972737128</v>
      </c>
      <c r="U19" s="131">
        <f t="shared" si="7"/>
        <v>55.730931663107803</v>
      </c>
      <c r="V19" s="131">
        <f t="shared" si="7"/>
        <v>46.133136180900259</v>
      </c>
      <c r="W19" s="131">
        <f t="shared" si="7"/>
        <v>48.088586533126055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35.894717729976001</v>
      </c>
      <c r="C22" s="133">
        <v>38.180853333054813</v>
      </c>
      <c r="D22" s="133">
        <v>36.732488021375779</v>
      </c>
      <c r="E22" s="133">
        <v>33.336588309271512</v>
      </c>
      <c r="F22" s="133">
        <v>25.718693617464396</v>
      </c>
      <c r="G22" s="133">
        <v>23.586572386555726</v>
      </c>
      <c r="H22" s="133">
        <v>23.304240535359565</v>
      </c>
      <c r="I22" s="133">
        <v>22.997470938443126</v>
      </c>
      <c r="J22" s="133">
        <v>22.81419669121706</v>
      </c>
      <c r="K22" s="133">
        <v>21.898993326186499</v>
      </c>
      <c r="L22" s="133">
        <v>20.853748265315584</v>
      </c>
      <c r="M22" s="133">
        <v>20.810899243188409</v>
      </c>
      <c r="N22" s="133">
        <v>18.468795913019303</v>
      </c>
      <c r="O22" s="133">
        <v>13.113543431668425</v>
      </c>
      <c r="P22" s="133">
        <v>10.215997212665741</v>
      </c>
      <c r="Q22" s="133">
        <v>10.906853012847616</v>
      </c>
      <c r="R22" s="133">
        <v>9.8499563114786781</v>
      </c>
      <c r="S22" s="133">
        <v>8.0820180879436112</v>
      </c>
      <c r="T22" s="133">
        <v>4.6097479918595727</v>
      </c>
      <c r="U22" s="133">
        <v>5.6733100072046625</v>
      </c>
      <c r="V22" s="133">
        <v>4.9116205326881115</v>
      </c>
      <c r="W22" s="133">
        <v>4.8073324688635006</v>
      </c>
      <c r="DA22" s="157" t="s">
        <v>372</v>
      </c>
    </row>
    <row r="23" spans="1:105" ht="12" customHeight="1" x14ac:dyDescent="0.25">
      <c r="A23" s="132" t="s">
        <v>153</v>
      </c>
      <c r="B23" s="133">
        <v>6.8651970044380377</v>
      </c>
      <c r="C23" s="133">
        <v>8.9228656389861154</v>
      </c>
      <c r="D23" s="133">
        <v>10.855750613877028</v>
      </c>
      <c r="E23" s="133">
        <v>15.247705604864869</v>
      </c>
      <c r="F23" s="133">
        <v>19.451064029508295</v>
      </c>
      <c r="G23" s="133">
        <v>24.099273776325916</v>
      </c>
      <c r="H23" s="133">
        <v>30.842485422320653</v>
      </c>
      <c r="I23" s="133">
        <v>38.573949644188886</v>
      </c>
      <c r="J23" s="133">
        <v>42.418707377604569</v>
      </c>
      <c r="K23" s="133">
        <v>45.410651879909317</v>
      </c>
      <c r="L23" s="133">
        <v>48.033448445549702</v>
      </c>
      <c r="M23" s="133">
        <v>48.90282243415254</v>
      </c>
      <c r="N23" s="133">
        <v>49.883042132591946</v>
      </c>
      <c r="O23" s="133">
        <v>49.976553637257737</v>
      </c>
      <c r="P23" s="133">
        <v>50.217735525547745</v>
      </c>
      <c r="Q23" s="133">
        <v>49.140459328329129</v>
      </c>
      <c r="R23" s="133">
        <v>47.254035852873997</v>
      </c>
      <c r="S23" s="133">
        <v>50.073777863838501</v>
      </c>
      <c r="T23" s="133">
        <v>50.007349980877557</v>
      </c>
      <c r="U23" s="133">
        <v>50.057621655903141</v>
      </c>
      <c r="V23" s="133">
        <v>41.221515648212147</v>
      </c>
      <c r="W23" s="133">
        <v>43.281254064262555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9.776231164152783</v>
      </c>
      <c r="C29" s="131">
        <f t="shared" si="8"/>
        <v>19.814084446789842</v>
      </c>
      <c r="D29" s="131">
        <f t="shared" si="8"/>
        <v>12.81090040186257</v>
      </c>
      <c r="E29" s="131">
        <f t="shared" si="8"/>
        <v>16.614128726921095</v>
      </c>
      <c r="F29" s="131">
        <f t="shared" si="8"/>
        <v>24.786531381645069</v>
      </c>
      <c r="G29" s="131">
        <f t="shared" si="8"/>
        <v>21.325333872473262</v>
      </c>
      <c r="H29" s="131">
        <f t="shared" si="8"/>
        <v>29.582740557991283</v>
      </c>
      <c r="I29" s="131">
        <f t="shared" si="8"/>
        <v>34.688438293951435</v>
      </c>
      <c r="J29" s="131">
        <f t="shared" si="8"/>
        <v>36.989521490513681</v>
      </c>
      <c r="K29" s="131">
        <f t="shared" si="8"/>
        <v>37.526048690857778</v>
      </c>
      <c r="L29" s="131">
        <f t="shared" si="8"/>
        <v>52.453110669083031</v>
      </c>
      <c r="M29" s="131">
        <f t="shared" si="8"/>
        <v>55.820725454263282</v>
      </c>
      <c r="N29" s="131">
        <f t="shared" si="8"/>
        <v>71.900792483191637</v>
      </c>
      <c r="O29" s="131">
        <f t="shared" si="8"/>
        <v>64.027124553341451</v>
      </c>
      <c r="P29" s="131">
        <f t="shared" si="8"/>
        <v>55.690059937885394</v>
      </c>
      <c r="Q29" s="131">
        <f t="shared" si="8"/>
        <v>54.399377814920719</v>
      </c>
      <c r="R29" s="131">
        <f t="shared" ref="R29:W29" si="9">SUM(R30:R33)</f>
        <v>54.87488010056952</v>
      </c>
      <c r="S29" s="131">
        <f t="shared" si="9"/>
        <v>61.158460610271227</v>
      </c>
      <c r="T29" s="131">
        <f t="shared" si="9"/>
        <v>64.505963256872292</v>
      </c>
      <c r="U29" s="131">
        <f t="shared" si="9"/>
        <v>63.694515411175452</v>
      </c>
      <c r="V29" s="131">
        <f t="shared" si="9"/>
        <v>53.13475363107225</v>
      </c>
      <c r="W29" s="131">
        <f t="shared" si="9"/>
        <v>62.246286214498809</v>
      </c>
      <c r="DA29" s="156" t="s">
        <v>236</v>
      </c>
    </row>
    <row r="30" spans="1:105" ht="12" customHeight="1" x14ac:dyDescent="0.25">
      <c r="A30" s="132" t="s">
        <v>52</v>
      </c>
      <c r="B30" s="133">
        <v>2.9846552400000008</v>
      </c>
      <c r="C30" s="133">
        <v>11.938620959999998</v>
      </c>
      <c r="D30" s="133">
        <v>2.9846552400000008</v>
      </c>
      <c r="E30" s="133">
        <v>2.9846552399999999</v>
      </c>
      <c r="F30" s="133">
        <v>6.5940004800000027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14.513025240000006</v>
      </c>
      <c r="M30" s="133">
        <v>17.415675720000007</v>
      </c>
      <c r="N30" s="133">
        <v>31.92870095999999</v>
      </c>
      <c r="O30" s="133">
        <v>23.220749520000009</v>
      </c>
      <c r="P30" s="133">
        <v>14.513025240000008</v>
      </c>
      <c r="Q30" s="133">
        <v>14.513025239999999</v>
      </c>
      <c r="R30" s="133">
        <v>17.415675719999996</v>
      </c>
      <c r="S30" s="133">
        <v>22.216475159999995</v>
      </c>
      <c r="T30" s="133">
        <v>26.805561480000001</v>
      </c>
      <c r="U30" s="133">
        <v>27.545648759999992</v>
      </c>
      <c r="V30" s="133">
        <v>22.782557880000002</v>
      </c>
      <c r="W30" s="133">
        <v>27.391861440000017</v>
      </c>
      <c r="DA30" s="157" t="s">
        <v>378</v>
      </c>
    </row>
    <row r="31" spans="1:105" ht="12" customHeight="1" x14ac:dyDescent="0.25">
      <c r="A31" s="132" t="s">
        <v>153</v>
      </c>
      <c r="B31" s="133">
        <v>6.7915759241527827</v>
      </c>
      <c r="C31" s="133">
        <v>7.8754634867898421</v>
      </c>
      <c r="D31" s="133">
        <v>9.8262451618625697</v>
      </c>
      <c r="E31" s="133">
        <v>13.629473486921096</v>
      </c>
      <c r="F31" s="133">
        <v>18.192530901645068</v>
      </c>
      <c r="G31" s="133">
        <v>21.325333872473262</v>
      </c>
      <c r="H31" s="133">
        <v>29.582740557991283</v>
      </c>
      <c r="I31" s="133">
        <v>34.688438293951435</v>
      </c>
      <c r="J31" s="133">
        <v>36.989521490513681</v>
      </c>
      <c r="K31" s="133">
        <v>37.526048690857778</v>
      </c>
      <c r="L31" s="133">
        <v>37.940085429083027</v>
      </c>
      <c r="M31" s="133">
        <v>38.405049734263272</v>
      </c>
      <c r="N31" s="133">
        <v>39.972091523191651</v>
      </c>
      <c r="O31" s="133">
        <v>40.806375033341446</v>
      </c>
      <c r="P31" s="133">
        <v>41.177034697885382</v>
      </c>
      <c r="Q31" s="133">
        <v>39.886352574920721</v>
      </c>
      <c r="R31" s="133">
        <v>37.459204380569524</v>
      </c>
      <c r="S31" s="133">
        <v>38.941985450271233</v>
      </c>
      <c r="T31" s="133">
        <v>37.70040177687229</v>
      </c>
      <c r="U31" s="133">
        <v>36.14886665117546</v>
      </c>
      <c r="V31" s="133">
        <v>30.352195751072248</v>
      </c>
      <c r="W31" s="133">
        <v>34.854424774498789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86765.999161401327</v>
      </c>
      <c r="C3" s="126">
        <f>IF(SER_hh_fec!C3=0,0,11630*1000*SER_hh_fec!C3/SER_hh_num!C3)</f>
        <v>104043.14419316608</v>
      </c>
      <c r="D3" s="126">
        <f>IF(SER_hh_fec!D3=0,0,11630*1000*SER_hh_fec!D3/SER_hh_num!D3)</f>
        <v>92880.876614036737</v>
      </c>
      <c r="E3" s="126">
        <f>IF(SER_hh_fec!E3=0,0,11630*1000*SER_hh_fec!E3/SER_hh_num!E3)</f>
        <v>89186.751783615997</v>
      </c>
      <c r="F3" s="126">
        <f>IF(SER_hh_fec!F3=0,0,11630*1000*SER_hh_fec!F3/SER_hh_num!F3)</f>
        <v>73458.261400017844</v>
      </c>
      <c r="G3" s="126">
        <f>IF(SER_hh_fec!G3=0,0,11630*1000*SER_hh_fec!G3/SER_hh_num!G3)</f>
        <v>87212.42990860084</v>
      </c>
      <c r="H3" s="126">
        <f>IF(SER_hh_fec!H3=0,0,11630*1000*SER_hh_fec!H3/SER_hh_num!H3)</f>
        <v>98445.15597053901</v>
      </c>
      <c r="I3" s="126">
        <f>IF(SER_hh_fec!I3=0,0,11630*1000*SER_hh_fec!I3/SER_hh_num!I3)</f>
        <v>84720.783445659341</v>
      </c>
      <c r="J3" s="126">
        <f>IF(SER_hh_fec!J3=0,0,11630*1000*SER_hh_fec!J3/SER_hh_num!J3)</f>
        <v>88492.912471531527</v>
      </c>
      <c r="K3" s="126">
        <f>IF(SER_hh_fec!K3=0,0,11630*1000*SER_hh_fec!K3/SER_hh_num!K3)</f>
        <v>84175.033525325081</v>
      </c>
      <c r="L3" s="126">
        <f>IF(SER_hh_fec!L3=0,0,11630*1000*SER_hh_fec!L3/SER_hh_num!L3)</f>
        <v>88813.002656447381</v>
      </c>
      <c r="M3" s="126">
        <f>IF(SER_hh_fec!M3=0,0,11630*1000*SER_hh_fec!M3/SER_hh_num!M3)</f>
        <v>92829.680566903087</v>
      </c>
      <c r="N3" s="126">
        <f>IF(SER_hh_fec!N3=0,0,11630*1000*SER_hh_fec!N3/SER_hh_num!N3)</f>
        <v>87098.873514785635</v>
      </c>
      <c r="O3" s="126">
        <f>IF(SER_hh_fec!O3=0,0,11630*1000*SER_hh_fec!O3/SER_hh_num!O3)</f>
        <v>76987.604010538882</v>
      </c>
      <c r="P3" s="126">
        <f>IF(SER_hh_fec!P3=0,0,11630*1000*SER_hh_fec!P3/SER_hh_num!P3)</f>
        <v>69953.006142966769</v>
      </c>
      <c r="Q3" s="126">
        <f>IF(SER_hh_fec!Q3=0,0,11630*1000*SER_hh_fec!Q3/SER_hh_num!Q3)</f>
        <v>75669.190648002215</v>
      </c>
      <c r="R3" s="126">
        <f>IF(SER_hh_fec!R3=0,0,11630*1000*SER_hh_fec!R3/SER_hh_num!R3)</f>
        <v>82927.70574310371</v>
      </c>
      <c r="S3" s="126">
        <f>IF(SER_hh_fec!S3=0,0,11630*1000*SER_hh_fec!S3/SER_hh_num!S3)</f>
        <v>82264.506320912114</v>
      </c>
      <c r="T3" s="126">
        <f>IF(SER_hh_fec!T3=0,0,11630*1000*SER_hh_fec!T3/SER_hh_num!T3)</f>
        <v>88418.04522603756</v>
      </c>
      <c r="U3" s="126">
        <f>IF(SER_hh_fec!U3=0,0,11630*1000*SER_hh_fec!U3/SER_hh_num!U3)</f>
        <v>91335.506365204259</v>
      </c>
      <c r="V3" s="126">
        <f>IF(SER_hh_fec!V3=0,0,11630*1000*SER_hh_fec!V3/SER_hh_num!V3)</f>
        <v>72828.881055033402</v>
      </c>
      <c r="W3" s="126">
        <f>IF(SER_hh_fec!W3=0,0,11630*1000*SER_hh_fec!W3/SER_hh_num!W3)</f>
        <v>92929.748606584675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51884.352742450821</v>
      </c>
      <c r="C4" s="131">
        <f>IF(SER_hh_fec!C4=0,0,11630*1000*SER_hh_fec!C4/SER_hh_num!C4)</f>
        <v>68919.744308230947</v>
      </c>
      <c r="D4" s="131">
        <f>IF(SER_hh_fec!D4=0,0,11630*1000*SER_hh_fec!D4/SER_hh_num!D4)</f>
        <v>59329.325987814569</v>
      </c>
      <c r="E4" s="131">
        <f>IF(SER_hh_fec!E4=0,0,11630*1000*SER_hh_fec!E4/SER_hh_num!E4)</f>
        <v>55984.628020705401</v>
      </c>
      <c r="F4" s="131">
        <f>IF(SER_hh_fec!F4=0,0,11630*1000*SER_hh_fec!F4/SER_hh_num!F4)</f>
        <v>40971.269607496091</v>
      </c>
      <c r="G4" s="131">
        <f>IF(SER_hh_fec!G4=0,0,11630*1000*SER_hh_fec!G4/SER_hh_num!G4)</f>
        <v>55224.309569342076</v>
      </c>
      <c r="H4" s="131">
        <f>IF(SER_hh_fec!H4=0,0,11630*1000*SER_hh_fec!H4/SER_hh_num!H4)</f>
        <v>65943.177937892819</v>
      </c>
      <c r="I4" s="131">
        <f>IF(SER_hh_fec!I4=0,0,11630*1000*SER_hh_fec!I4/SER_hh_num!I4)</f>
        <v>50247.966922817272</v>
      </c>
      <c r="J4" s="131">
        <f>IF(SER_hh_fec!J4=0,0,11630*1000*SER_hh_fec!J4/SER_hh_num!J4)</f>
        <v>55008.289762824257</v>
      </c>
      <c r="K4" s="131">
        <f>IF(SER_hh_fec!K4=0,0,11630*1000*SER_hh_fec!K4/SER_hh_num!K4)</f>
        <v>50206.041589613407</v>
      </c>
      <c r="L4" s="131">
        <f>IF(SER_hh_fec!L4=0,0,11630*1000*SER_hh_fec!L4/SER_hh_num!L4)</f>
        <v>52868.170523223664</v>
      </c>
      <c r="M4" s="131">
        <f>IF(SER_hh_fec!M4=0,0,11630*1000*SER_hh_fec!M4/SER_hh_num!M4)</f>
        <v>57689.101715757191</v>
      </c>
      <c r="N4" s="131">
        <f>IF(SER_hh_fec!N4=0,0,11630*1000*SER_hh_fec!N4/SER_hh_num!N4)</f>
        <v>48627.233869924588</v>
      </c>
      <c r="O4" s="131">
        <f>IF(SER_hh_fec!O4=0,0,11630*1000*SER_hh_fec!O4/SER_hh_num!O4)</f>
        <v>41477.695390754954</v>
      </c>
      <c r="P4" s="131">
        <f>IF(SER_hh_fec!P4=0,0,11630*1000*SER_hh_fec!P4/SER_hh_num!P4)</f>
        <v>35408.138862972868</v>
      </c>
      <c r="Q4" s="131">
        <f>IF(SER_hh_fec!Q4=0,0,11630*1000*SER_hh_fec!Q4/SER_hh_num!Q4)</f>
        <v>40181.304015331923</v>
      </c>
      <c r="R4" s="131">
        <f>IF(SER_hh_fec!R4=0,0,11630*1000*SER_hh_fec!R4/SER_hh_num!R4)</f>
        <v>47578.087010367009</v>
      </c>
      <c r="S4" s="131">
        <f>IF(SER_hh_fec!S4=0,0,11630*1000*SER_hh_fec!S4/SER_hh_num!S4)</f>
        <v>46111.694196496341</v>
      </c>
      <c r="T4" s="131">
        <f>IF(SER_hh_fec!T4=0,0,11630*1000*SER_hh_fec!T4/SER_hh_num!T4)</f>
        <v>52297.827644601202</v>
      </c>
      <c r="U4" s="131">
        <f>IF(SER_hh_fec!U4=0,0,11630*1000*SER_hh_fec!U4/SER_hh_num!U4)</f>
        <v>54886.442597904737</v>
      </c>
      <c r="V4" s="131">
        <f>IF(SER_hh_fec!V4=0,0,11630*1000*SER_hh_fec!V4/SER_hh_num!V4)</f>
        <v>40861.395690882273</v>
      </c>
      <c r="W4" s="131">
        <f>IF(SER_hh_fec!W4=0,0,11630*1000*SER_hh_fec!W4/SER_hh_num!W4)</f>
        <v>58022.242556005192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64376.879097799421</v>
      </c>
      <c r="C5" s="133">
        <f>IF(SER_hh_fec!C5=0,0,11630*1000*SER_hh_fec!C5/SER_hh_num!C5)</f>
        <v>62790.67410866596</v>
      </c>
      <c r="D5" s="133">
        <f>IF(SER_hh_fec!D5=0,0,11630*1000*SER_hh_fec!D5/SER_hh_num!D5)</f>
        <v>74755.708670606022</v>
      </c>
      <c r="E5" s="133">
        <f>IF(SER_hh_fec!E5=0,0,11630*1000*SER_hh_fec!E5/SER_hh_num!E5)</f>
        <v>81006.835551129174</v>
      </c>
      <c r="F5" s="133">
        <f>IF(SER_hh_fec!F5=0,0,11630*1000*SER_hh_fec!F5/SER_hh_num!F5)</f>
        <v>56252.09748720863</v>
      </c>
      <c r="G5" s="133">
        <f>IF(SER_hh_fec!G5=0,0,11630*1000*SER_hh_fec!G5/SER_hh_num!G5)</f>
        <v>80156.55729860258</v>
      </c>
      <c r="H5" s="133">
        <f>IF(SER_hh_fec!H5=0,0,11630*1000*SER_hh_fec!H5/SER_hh_num!H5)</f>
        <v>91604.154494156261</v>
      </c>
      <c r="I5" s="133">
        <f>IF(SER_hh_fec!I5=0,0,11630*1000*SER_hh_fec!I5/SER_hh_num!I5)</f>
        <v>45684.503553240327</v>
      </c>
      <c r="J5" s="133">
        <f>IF(SER_hh_fec!J5=0,0,11630*1000*SER_hh_fec!J5/SER_hh_num!J5)</f>
        <v>87386.588968741009</v>
      </c>
      <c r="K5" s="133">
        <f>IF(SER_hh_fec!K5=0,0,11630*1000*SER_hh_fec!K5/SER_hh_num!K5)</f>
        <v>74415.239221190641</v>
      </c>
      <c r="L5" s="133">
        <f>IF(SER_hh_fec!L5=0,0,11630*1000*SER_hh_fec!L5/SER_hh_num!L5)</f>
        <v>72253.694510493704</v>
      </c>
      <c r="M5" s="133">
        <f>IF(SER_hh_fec!M5=0,0,11630*1000*SER_hh_fec!M5/SER_hh_num!M5)</f>
        <v>80377.444155178091</v>
      </c>
      <c r="N5" s="133">
        <f>IF(SER_hh_fec!N5=0,0,11630*1000*SER_hh_fec!N5/SER_hh_num!N5)</f>
        <v>60336.013460541908</v>
      </c>
      <c r="O5" s="133">
        <f>IF(SER_hh_fec!O5=0,0,11630*1000*SER_hh_fec!O5/SER_hh_num!O5)</f>
        <v>79104.824998914293</v>
      </c>
      <c r="P5" s="133">
        <f>IF(SER_hh_fec!P5=0,0,11630*1000*SER_hh_fec!P5/SER_hh_num!P5)</f>
        <v>35929.554289664426</v>
      </c>
      <c r="Q5" s="133">
        <f>IF(SER_hh_fec!Q5=0,0,11630*1000*SER_hh_fec!Q5/SER_hh_num!Q5)</f>
        <v>92340.406393455909</v>
      </c>
      <c r="R5" s="133">
        <f>IF(SER_hh_fec!R5=0,0,11630*1000*SER_hh_fec!R5/SER_hh_num!R5)</f>
        <v>101203.66370344767</v>
      </c>
      <c r="S5" s="133">
        <f>IF(SER_hh_fec!S5=0,0,11630*1000*SER_hh_fec!S5/SER_hh_num!S5)</f>
        <v>72182.713172525866</v>
      </c>
      <c r="T5" s="133">
        <f>IF(SER_hh_fec!T5=0,0,11630*1000*SER_hh_fec!T5/SER_hh_num!T5)</f>
        <v>54020.25997188755</v>
      </c>
      <c r="U5" s="133">
        <f>IF(SER_hh_fec!U5=0,0,11630*1000*SER_hh_fec!U5/SER_hh_num!U5)</f>
        <v>87340.126750166964</v>
      </c>
      <c r="V5" s="133">
        <f>IF(SER_hh_fec!V5=0,0,11630*1000*SER_hh_fec!V5/SER_hh_num!V5)</f>
        <v>75199.428622449559</v>
      </c>
      <c r="W5" s="133">
        <f>IF(SER_hh_fec!W5=0,0,11630*1000*SER_hh_fec!W5/SER_hh_num!W5)</f>
        <v>71484.266438088147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57610.61750515343</v>
      </c>
      <c r="C7" s="133">
        <f>IF(SER_hh_fec!C7=0,0,11630*1000*SER_hh_fec!C7/SER_hh_num!C7)</f>
        <v>116643.43468747634</v>
      </c>
      <c r="D7" s="133">
        <f>IF(SER_hh_fec!D7=0,0,11630*1000*SER_hh_fec!D7/SER_hh_num!D7)</f>
        <v>89521.41975321903</v>
      </c>
      <c r="E7" s="133">
        <f>IF(SER_hh_fec!E7=0,0,11630*1000*SER_hh_fec!E7/SER_hh_num!E7)</f>
        <v>70634.683081988958</v>
      </c>
      <c r="F7" s="133">
        <f>IF(SER_hh_fec!F7=0,0,11630*1000*SER_hh_fec!F7/SER_hh_num!F7)</f>
        <v>50366.645541873171</v>
      </c>
      <c r="G7" s="133">
        <f>IF(SER_hh_fec!G7=0,0,11630*1000*SER_hh_fec!G7/SER_hh_num!G7)</f>
        <v>54981.699343659719</v>
      </c>
      <c r="H7" s="133">
        <f>IF(SER_hh_fec!H7=0,0,11630*1000*SER_hh_fec!H7/SER_hh_num!H7)</f>
        <v>115571.36947473031</v>
      </c>
      <c r="I7" s="133">
        <f>IF(SER_hh_fec!I7=0,0,11630*1000*SER_hh_fec!I7/SER_hh_num!I7)</f>
        <v>80724.085353376082</v>
      </c>
      <c r="J7" s="133">
        <f>IF(SER_hh_fec!J7=0,0,11630*1000*SER_hh_fec!J7/SER_hh_num!J7)</f>
        <v>106682.26001250734</v>
      </c>
      <c r="K7" s="133">
        <f>IF(SER_hh_fec!K7=0,0,11630*1000*SER_hh_fec!K7/SER_hh_num!K7)</f>
        <v>122410.98215958926</v>
      </c>
      <c r="L7" s="133">
        <f>IF(SER_hh_fec!L7=0,0,11630*1000*SER_hh_fec!L7/SER_hh_num!L7)</f>
        <v>85048.613628651932</v>
      </c>
      <c r="M7" s="133">
        <f>IF(SER_hh_fec!M7=0,0,11630*1000*SER_hh_fec!M7/SER_hh_num!M7)</f>
        <v>80801.764564765283</v>
      </c>
      <c r="N7" s="133">
        <f>IF(SER_hh_fec!N7=0,0,11630*1000*SER_hh_fec!N7/SER_hh_num!N7)</f>
        <v>89164.994246366143</v>
      </c>
      <c r="O7" s="133">
        <f>IF(SER_hh_fec!O7=0,0,11630*1000*SER_hh_fec!O7/SER_hh_num!O7)</f>
        <v>57764.055819788926</v>
      </c>
      <c r="P7" s="133">
        <f>IF(SER_hh_fec!P7=0,0,11630*1000*SER_hh_fec!P7/SER_hh_num!P7)</f>
        <v>35356.305812418803</v>
      </c>
      <c r="Q7" s="133">
        <f>IF(SER_hh_fec!Q7=0,0,11630*1000*SER_hh_fec!Q7/SER_hh_num!Q7)</f>
        <v>94039.765158849594</v>
      </c>
      <c r="R7" s="133">
        <f>IF(SER_hh_fec!R7=0,0,11630*1000*SER_hh_fec!R7/SER_hh_num!R7)</f>
        <v>89292.803900932457</v>
      </c>
      <c r="S7" s="133">
        <f>IF(SER_hh_fec!S7=0,0,11630*1000*SER_hh_fec!S7/SER_hh_num!S7)</f>
        <v>80672.788145427883</v>
      </c>
      <c r="T7" s="133">
        <f>IF(SER_hh_fec!T7=0,0,11630*1000*SER_hh_fec!T7/SER_hh_num!T7)</f>
        <v>61613.748318636928</v>
      </c>
      <c r="U7" s="133">
        <f>IF(SER_hh_fec!U7=0,0,11630*1000*SER_hh_fec!U7/SER_hh_num!U7)</f>
        <v>85701.021674855103</v>
      </c>
      <c r="V7" s="133">
        <f>IF(SER_hh_fec!V7=0,0,11630*1000*SER_hh_fec!V7/SER_hh_num!V7)</f>
        <v>78511.598937518618</v>
      </c>
      <c r="W7" s="133">
        <f>IF(SER_hh_fec!W7=0,0,11630*1000*SER_hh_fec!W7/SER_hh_num!W7)</f>
        <v>87748.694083027978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59417.171918544751</v>
      </c>
      <c r="C9" s="133">
        <f>IF(SER_hh_fec!C9=0,0,11630*1000*SER_hh_fec!C9/SER_hh_num!C9)</f>
        <v>82030.896678917168</v>
      </c>
      <c r="D9" s="133">
        <f>IF(SER_hh_fec!D9=0,0,11630*1000*SER_hh_fec!D9/SER_hh_num!D9)</f>
        <v>66794.650650832496</v>
      </c>
      <c r="E9" s="133">
        <f>IF(SER_hh_fec!E9=0,0,11630*1000*SER_hh_fec!E9/SER_hh_num!E9)</f>
        <v>72964.077415022301</v>
      </c>
      <c r="F9" s="133">
        <f>IF(SER_hh_fec!F9=0,0,11630*1000*SER_hh_fec!F9/SER_hh_num!F9)</f>
        <v>55493.93151156207</v>
      </c>
      <c r="G9" s="133">
        <f>IF(SER_hh_fec!G9=0,0,11630*1000*SER_hh_fec!G9/SER_hh_num!G9)</f>
        <v>69337.32492634478</v>
      </c>
      <c r="H9" s="133">
        <f>IF(SER_hh_fec!H9=0,0,11630*1000*SER_hh_fec!H9/SER_hh_num!H9)</f>
        <v>86573.702005155676</v>
      </c>
      <c r="I9" s="133">
        <f>IF(SER_hh_fec!I9=0,0,11630*1000*SER_hh_fec!I9/SER_hh_num!I9)</f>
        <v>77156.096100790543</v>
      </c>
      <c r="J9" s="133">
        <f>IF(SER_hh_fec!J9=0,0,11630*1000*SER_hh_fec!J9/SER_hh_num!J9)</f>
        <v>90833.979594494987</v>
      </c>
      <c r="K9" s="133">
        <f>IF(SER_hh_fec!K9=0,0,11630*1000*SER_hh_fec!K9/SER_hh_num!K9)</f>
        <v>57386.976683054963</v>
      </c>
      <c r="L9" s="133">
        <f>IF(SER_hh_fec!L9=0,0,11630*1000*SER_hh_fec!L9/SER_hh_num!L9)</f>
        <v>78641.021503302196</v>
      </c>
      <c r="M9" s="133">
        <f>IF(SER_hh_fec!M9=0,0,11630*1000*SER_hh_fec!M9/SER_hh_num!M9)</f>
        <v>81362.997582671829</v>
      </c>
      <c r="N9" s="133">
        <f>IF(SER_hh_fec!N9=0,0,11630*1000*SER_hh_fec!N9/SER_hh_num!N9)</f>
        <v>71236.72077434478</v>
      </c>
      <c r="O9" s="133">
        <f>IF(SER_hh_fec!O9=0,0,11630*1000*SER_hh_fec!O9/SER_hh_num!O9)</f>
        <v>61201.042925717738</v>
      </c>
      <c r="P9" s="133">
        <f>IF(SER_hh_fec!P9=0,0,11630*1000*SER_hh_fec!P9/SER_hh_num!P9)</f>
        <v>62041.576480232026</v>
      </c>
      <c r="Q9" s="133">
        <f>IF(SER_hh_fec!Q9=0,0,11630*1000*SER_hh_fec!Q9/SER_hh_num!Q9)</f>
        <v>69224.792228836202</v>
      </c>
      <c r="R9" s="133">
        <f>IF(SER_hh_fec!R9=0,0,11630*1000*SER_hh_fec!R9/SER_hh_num!R9)</f>
        <v>73097.407015946214</v>
      </c>
      <c r="S9" s="133">
        <f>IF(SER_hh_fec!S9=0,0,11630*1000*SER_hh_fec!S9/SER_hh_num!S9)</f>
        <v>73779.136084812795</v>
      </c>
      <c r="T9" s="133">
        <f>IF(SER_hh_fec!T9=0,0,11630*1000*SER_hh_fec!T9/SER_hh_num!T9)</f>
        <v>80176.366416108227</v>
      </c>
      <c r="U9" s="133">
        <f>IF(SER_hh_fec!U9=0,0,11630*1000*SER_hh_fec!U9/SER_hh_num!U9)</f>
        <v>70873.238672184001</v>
      </c>
      <c r="V9" s="133">
        <f>IF(SER_hh_fec!V9=0,0,11630*1000*SER_hh_fec!V9/SER_hh_num!V9)</f>
        <v>70610.06375687517</v>
      </c>
      <c r="W9" s="133">
        <f>IF(SER_hh_fec!W9=0,0,11630*1000*SER_hh_fec!W9/SER_hh_num!W9)</f>
        <v>87121.384547277063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81491.963834428097</v>
      </c>
      <c r="C10" s="133">
        <f>IF(SER_hh_fec!C10=0,0,11630*1000*SER_hh_fec!C10/SER_hh_num!C10)</f>
        <v>85818.374539901561</v>
      </c>
      <c r="D10" s="133">
        <f>IF(SER_hh_fec!D10=0,0,11630*1000*SER_hh_fec!D10/SER_hh_num!D10)</f>
        <v>71566.56847387235</v>
      </c>
      <c r="E10" s="133">
        <f>IF(SER_hh_fec!E10=0,0,11630*1000*SER_hh_fec!E10/SER_hh_num!E10)</f>
        <v>100589.98940910099</v>
      </c>
      <c r="F10" s="133">
        <f>IF(SER_hh_fec!F10=0,0,11630*1000*SER_hh_fec!F10/SER_hh_num!F10)</f>
        <v>64290.396537201617</v>
      </c>
      <c r="G10" s="133">
        <f>IF(SER_hh_fec!G10=0,0,11630*1000*SER_hh_fec!G10/SER_hh_num!G10)</f>
        <v>87894.169729339468</v>
      </c>
      <c r="H10" s="133">
        <f>IF(SER_hh_fec!H10=0,0,11630*1000*SER_hh_fec!H10/SER_hh_num!H10)</f>
        <v>108581.66660790046</v>
      </c>
      <c r="I10" s="133">
        <f>IF(SER_hh_fec!I10=0,0,11630*1000*SER_hh_fec!I10/SER_hh_num!I10)</f>
        <v>87114.225969293489</v>
      </c>
      <c r="J10" s="133">
        <f>IF(SER_hh_fec!J10=0,0,11630*1000*SER_hh_fec!J10/SER_hh_num!J10)</f>
        <v>102550.88175111906</v>
      </c>
      <c r="K10" s="133">
        <f>IF(SER_hh_fec!K10=0,0,11630*1000*SER_hh_fec!K10/SER_hh_num!K10)</f>
        <v>82067.00474135972</v>
      </c>
      <c r="L10" s="133">
        <f>IF(SER_hh_fec!L10=0,0,11630*1000*SER_hh_fec!L10/SER_hh_num!L10)</f>
        <v>42022.735850531135</v>
      </c>
      <c r="M10" s="133">
        <f>IF(SER_hh_fec!M10=0,0,11630*1000*SER_hh_fec!M10/SER_hh_num!M10)</f>
        <v>33123.934681944877</v>
      </c>
      <c r="N10" s="133">
        <f>IF(SER_hh_fec!N10=0,0,11630*1000*SER_hh_fec!N10/SER_hh_num!N10)</f>
        <v>186564.31295002371</v>
      </c>
      <c r="O10" s="133">
        <f>IF(SER_hh_fec!O10=0,0,11630*1000*SER_hh_fec!O10/SER_hh_num!O10)</f>
        <v>92858.188819717907</v>
      </c>
      <c r="P10" s="133">
        <f>IF(SER_hh_fec!P10=0,0,11630*1000*SER_hh_fec!P10/SER_hh_num!P10)</f>
        <v>10694.164501773386</v>
      </c>
      <c r="Q10" s="133">
        <f>IF(SER_hh_fec!Q10=0,0,11630*1000*SER_hh_fec!Q10/SER_hh_num!Q10)</f>
        <v>45035.184221926502</v>
      </c>
      <c r="R10" s="133">
        <f>IF(SER_hh_fec!R10=0,0,11630*1000*SER_hh_fec!R10/SER_hh_num!R10)</f>
        <v>17693.291914749097</v>
      </c>
      <c r="S10" s="133">
        <f>IF(SER_hh_fec!S10=0,0,11630*1000*SER_hh_fec!S10/SER_hh_num!S10)</f>
        <v>98832.539554303017</v>
      </c>
      <c r="T10" s="133">
        <f>IF(SER_hh_fec!T10=0,0,11630*1000*SER_hh_fec!T10/SER_hh_num!T10)</f>
        <v>116070.39338379816</v>
      </c>
      <c r="U10" s="133">
        <f>IF(SER_hh_fec!U10=0,0,11630*1000*SER_hh_fec!U10/SER_hh_num!U10)</f>
        <v>114196.03207318683</v>
      </c>
      <c r="V10" s="133">
        <f>IF(SER_hh_fec!V10=0,0,11630*1000*SER_hh_fec!V10/SER_hh_num!V10)</f>
        <v>83025.801567116621</v>
      </c>
      <c r="W10" s="133">
        <f>IF(SER_hh_fec!W10=0,0,11630*1000*SER_hh_fec!W10/SER_hh_num!W10)</f>
        <v>119535.0547377357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72637.16247757923</v>
      </c>
      <c r="H11" s="133">
        <f>IF(SER_hh_fec!H11=0,0,11630*1000*SER_hh_fec!H11/SER_hh_num!H11)</f>
        <v>57481.332746084205</v>
      </c>
      <c r="I11" s="133">
        <f>IF(SER_hh_fec!I11=0,0,11630*1000*SER_hh_fec!I11/SER_hh_num!I11)</f>
        <v>49025.816228619173</v>
      </c>
      <c r="J11" s="133">
        <f>IF(SER_hh_fec!J11=0,0,11630*1000*SER_hh_fec!J11/SER_hh_num!J11)</f>
        <v>49039.312783823589</v>
      </c>
      <c r="K11" s="133">
        <f>IF(SER_hh_fec!K11=0,0,11630*1000*SER_hh_fec!K11/SER_hh_num!K11)</f>
        <v>49056.181953939027</v>
      </c>
      <c r="L11" s="133">
        <f>IF(SER_hh_fec!L11=0,0,11630*1000*SER_hh_fec!L11/SER_hh_num!L11)</f>
        <v>50778.085734348671</v>
      </c>
      <c r="M11" s="133">
        <f>IF(SER_hh_fec!M11=0,0,11630*1000*SER_hh_fec!M11/SER_hh_num!M11)</f>
        <v>51814.389615910542</v>
      </c>
      <c r="N11" s="133">
        <f>IF(SER_hh_fec!N11=0,0,11630*1000*SER_hh_fec!N11/SER_hh_num!N11)</f>
        <v>49640.820006635382</v>
      </c>
      <c r="O11" s="133">
        <f>IF(SER_hh_fec!O11=0,0,11630*1000*SER_hh_fec!O11/SER_hh_num!O11)</f>
        <v>47355.433333076617</v>
      </c>
      <c r="P11" s="133">
        <f>IF(SER_hh_fec!P11=0,0,11630*1000*SER_hh_fec!P11/SER_hh_num!P11)</f>
        <v>45842.330676105972</v>
      </c>
      <c r="Q11" s="133">
        <f>IF(SER_hh_fec!Q11=0,0,11630*1000*SER_hh_fec!Q11/SER_hh_num!Q11)</f>
        <v>47541.116591718419</v>
      </c>
      <c r="R11" s="133">
        <f>IF(SER_hh_fec!R11=0,0,11630*1000*SER_hh_fec!R11/SER_hh_num!R11)</f>
        <v>52091.980005394224</v>
      </c>
      <c r="S11" s="133">
        <f>IF(SER_hh_fec!S11=0,0,11630*1000*SER_hh_fec!S11/SER_hh_num!S11)</f>
        <v>54297.944473327683</v>
      </c>
      <c r="T11" s="133">
        <f>IF(SER_hh_fec!T11=0,0,11630*1000*SER_hh_fec!T11/SER_hh_num!T11)</f>
        <v>55721.30084531648</v>
      </c>
      <c r="U11" s="133">
        <f>IF(SER_hh_fec!U11=0,0,11630*1000*SER_hh_fec!U11/SER_hh_num!U11)</f>
        <v>57227.596163697992</v>
      </c>
      <c r="V11" s="133">
        <f>IF(SER_hh_fec!V11=0,0,11630*1000*SER_hh_fec!V11/SER_hh_num!V11)</f>
        <v>58406.594740886598</v>
      </c>
      <c r="W11" s="133">
        <f>IF(SER_hh_fec!W11=0,0,11630*1000*SER_hh_fec!W11/SER_hh_num!W11)</f>
        <v>59892.518078973313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45166.899491298835</v>
      </c>
      <c r="C12" s="133">
        <f>IF(SER_hh_fec!C12=0,0,11630*1000*SER_hh_fec!C12/SER_hh_num!C12)</f>
        <v>56133.838159083309</v>
      </c>
      <c r="D12" s="133">
        <f>IF(SER_hh_fec!D12=0,0,11630*1000*SER_hh_fec!D12/SER_hh_num!D12)</f>
        <v>49385.673267940263</v>
      </c>
      <c r="E12" s="133">
        <f>IF(SER_hh_fec!E12=0,0,11630*1000*SER_hh_fec!E12/SER_hh_num!E12)</f>
        <v>50614.122871956912</v>
      </c>
      <c r="F12" s="133">
        <f>IF(SER_hh_fec!F12=0,0,11630*1000*SER_hh_fec!F12/SER_hh_num!F12)</f>
        <v>42096.217226601846</v>
      </c>
      <c r="G12" s="133">
        <f>IF(SER_hh_fec!G12=0,0,11630*1000*SER_hh_fec!G12/SER_hh_num!G12)</f>
        <v>67225.635765280269</v>
      </c>
      <c r="H12" s="133">
        <f>IF(SER_hh_fec!H12=0,0,11630*1000*SER_hh_fec!H12/SER_hh_num!H12)</f>
        <v>67502.457058879634</v>
      </c>
      <c r="I12" s="133">
        <f>IF(SER_hh_fec!I12=0,0,11630*1000*SER_hh_fec!I12/SER_hh_num!I12)</f>
        <v>51161.679950059544</v>
      </c>
      <c r="J12" s="133">
        <f>IF(SER_hh_fec!J12=0,0,11630*1000*SER_hh_fec!J12/SER_hh_num!J12)</f>
        <v>48610.579680225332</v>
      </c>
      <c r="K12" s="133">
        <f>IF(SER_hh_fec!K12=0,0,11630*1000*SER_hh_fec!K12/SER_hh_num!K12)</f>
        <v>53291.179961382848</v>
      </c>
      <c r="L12" s="133">
        <f>IF(SER_hh_fec!L12=0,0,11630*1000*SER_hh_fec!L12/SER_hh_num!L12)</f>
        <v>55001.791390505845</v>
      </c>
      <c r="M12" s="133">
        <f>IF(SER_hh_fec!M12=0,0,11630*1000*SER_hh_fec!M12/SER_hh_num!M12)</f>
        <v>73420.906104822512</v>
      </c>
      <c r="N12" s="133">
        <f>IF(SER_hh_fec!N12=0,0,11630*1000*SER_hh_fec!N12/SER_hh_num!N12)</f>
        <v>51015.118102969747</v>
      </c>
      <c r="O12" s="133">
        <f>IF(SER_hh_fec!O12=0,0,11630*1000*SER_hh_fec!O12/SER_hh_num!O12)</f>
        <v>49541.420783886941</v>
      </c>
      <c r="P12" s="133">
        <f>IF(SER_hh_fec!P12=0,0,11630*1000*SER_hh_fec!P12/SER_hh_num!P12)</f>
        <v>50171.076087325644</v>
      </c>
      <c r="Q12" s="133">
        <f>IF(SER_hh_fec!Q12=0,0,11630*1000*SER_hh_fec!Q12/SER_hh_num!Q12)</f>
        <v>55313.386610564514</v>
      </c>
      <c r="R12" s="133">
        <f>IF(SER_hh_fec!R12=0,0,11630*1000*SER_hh_fec!R12/SER_hh_num!R12)</f>
        <v>75197.906692837889</v>
      </c>
      <c r="S12" s="133">
        <f>IF(SER_hh_fec!S12=0,0,11630*1000*SER_hh_fec!S12/SER_hh_num!S12)</f>
        <v>55355.208845256959</v>
      </c>
      <c r="T12" s="133">
        <f>IF(SER_hh_fec!T12=0,0,11630*1000*SER_hh_fec!T12/SER_hh_num!T12)</f>
        <v>72542.449215640983</v>
      </c>
      <c r="U12" s="133">
        <f>IF(SER_hh_fec!U12=0,0,11630*1000*SER_hh_fec!U12/SER_hh_num!U12)</f>
        <v>67869.742533845143</v>
      </c>
      <c r="V12" s="133">
        <f>IF(SER_hh_fec!V12=0,0,11630*1000*SER_hh_fec!V12/SER_hh_num!V12)</f>
        <v>53841.061547459576</v>
      </c>
      <c r="W12" s="133">
        <f>IF(SER_hh_fec!W12=0,0,11630*1000*SER_hh_fec!W12/SER_hh_num!W12)</f>
        <v>74354.471604743507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25820.367369002564</v>
      </c>
      <c r="C13" s="133">
        <f>IF(SER_hh_fec!C13=0,0,11630*1000*SER_hh_fec!C13/SER_hh_num!C13)</f>
        <v>20971.132244680684</v>
      </c>
      <c r="D13" s="133">
        <f>IF(SER_hh_fec!D13=0,0,11630*1000*SER_hh_fec!D13/SER_hh_num!D13)</f>
        <v>23842.770953075444</v>
      </c>
      <c r="E13" s="133">
        <f>IF(SER_hh_fec!E13=0,0,11630*1000*SER_hh_fec!E13/SER_hh_num!E13)</f>
        <v>25750.806179459429</v>
      </c>
      <c r="F13" s="133">
        <f>IF(SER_hh_fec!F13=0,0,11630*1000*SER_hh_fec!F13/SER_hh_num!F13)</f>
        <v>23099.737677459634</v>
      </c>
      <c r="G13" s="133">
        <f>IF(SER_hh_fec!G13=0,0,11630*1000*SER_hh_fec!G13/SER_hh_num!G13)</f>
        <v>24960.986356793252</v>
      </c>
      <c r="H13" s="133">
        <f>IF(SER_hh_fec!H13=0,0,11630*1000*SER_hh_fec!H13/SER_hh_num!H13)</f>
        <v>27972.805495577202</v>
      </c>
      <c r="I13" s="133">
        <f>IF(SER_hh_fec!I13=0,0,11630*1000*SER_hh_fec!I13/SER_hh_num!I13)</f>
        <v>24607.287008324016</v>
      </c>
      <c r="J13" s="133">
        <f>IF(SER_hh_fec!J13=0,0,11630*1000*SER_hh_fec!J13/SER_hh_num!J13)</f>
        <v>22098.674491590304</v>
      </c>
      <c r="K13" s="133">
        <f>IF(SER_hh_fec!K13=0,0,11630*1000*SER_hh_fec!K13/SER_hh_num!K13)</f>
        <v>23285.403570440656</v>
      </c>
      <c r="L13" s="133">
        <f>IF(SER_hh_fec!L13=0,0,11630*1000*SER_hh_fec!L13/SER_hh_num!L13)</f>
        <v>24526.299597186113</v>
      </c>
      <c r="M13" s="133">
        <f>IF(SER_hh_fec!M13=0,0,11630*1000*SER_hh_fec!M13/SER_hh_num!M13)</f>
        <v>22197.382396023204</v>
      </c>
      <c r="N13" s="133">
        <f>IF(SER_hh_fec!N13=0,0,11630*1000*SER_hh_fec!N13/SER_hh_num!N13)</f>
        <v>19107.711554206879</v>
      </c>
      <c r="O13" s="133">
        <f>IF(SER_hh_fec!O13=0,0,11630*1000*SER_hh_fec!O13/SER_hh_num!O13)</f>
        <v>19741.657950500085</v>
      </c>
      <c r="P13" s="133">
        <f>IF(SER_hh_fec!P13=0,0,11630*1000*SER_hh_fec!P13/SER_hh_num!P13)</f>
        <v>16765.620318313202</v>
      </c>
      <c r="Q13" s="133">
        <f>IF(SER_hh_fec!Q13=0,0,11630*1000*SER_hh_fec!Q13/SER_hh_num!Q13)</f>
        <v>17365.559661612948</v>
      </c>
      <c r="R13" s="133">
        <f>IF(SER_hh_fec!R13=0,0,11630*1000*SER_hh_fec!R13/SER_hh_num!R13)</f>
        <v>17392.479175192664</v>
      </c>
      <c r="S13" s="133">
        <f>IF(SER_hh_fec!S13=0,0,11630*1000*SER_hh_fec!S13/SER_hh_num!S13)</f>
        <v>17074.117949157502</v>
      </c>
      <c r="T13" s="133">
        <f>IF(SER_hh_fec!T13=0,0,11630*1000*SER_hh_fec!T13/SER_hh_num!T13)</f>
        <v>16171.876692036607</v>
      </c>
      <c r="U13" s="133">
        <f>IF(SER_hh_fec!U13=0,0,11630*1000*SER_hh_fec!U13/SER_hh_num!U13)</f>
        <v>16475.571667523367</v>
      </c>
      <c r="V13" s="133">
        <f>IF(SER_hh_fec!V13=0,0,11630*1000*SER_hh_fec!V13/SER_hh_num!V13)</f>
        <v>16128.739888553273</v>
      </c>
      <c r="W13" s="133">
        <f>IF(SER_hh_fec!W13=0,0,11630*1000*SER_hh_fec!W13/SER_hh_num!W13)</f>
        <v>18162.023554979154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53797.126635886118</v>
      </c>
      <c r="C14" s="65">
        <f>IF(SER_hh_fec!C14=0,0,11630*1000*SER_hh_fec!C14/SER_hh_num!C14)</f>
        <v>47967.478460591854</v>
      </c>
      <c r="D14" s="65">
        <f>IF(SER_hh_fec!D14=0,0,11630*1000*SER_hh_fec!D14/SER_hh_num!D14)</f>
        <v>61616.956039988028</v>
      </c>
      <c r="E14" s="65">
        <f>IF(SER_hh_fec!E14=0,0,11630*1000*SER_hh_fec!E14/SER_hh_num!E14)</f>
        <v>66173.512822066128</v>
      </c>
      <c r="F14" s="65">
        <f>IF(SER_hh_fec!F14=0,0,11630*1000*SER_hh_fec!F14/SER_hh_num!F14)</f>
        <v>43796.265311969022</v>
      </c>
      <c r="G14" s="65">
        <f>IF(SER_hh_fec!G14=0,0,11630*1000*SER_hh_fec!G14/SER_hh_num!G14)</f>
        <v>51402.038872362689</v>
      </c>
      <c r="H14" s="65">
        <f>IF(SER_hh_fec!H14=0,0,11630*1000*SER_hh_fec!H14/SER_hh_num!H14)</f>
        <v>75974.706059416116</v>
      </c>
      <c r="I14" s="65">
        <f>IF(SER_hh_fec!I14=0,0,11630*1000*SER_hh_fec!I14/SER_hh_num!I14)</f>
        <v>54434.393679657755</v>
      </c>
      <c r="J14" s="65">
        <f>IF(SER_hh_fec!J14=0,0,11630*1000*SER_hh_fec!J14/SER_hh_num!J14)</f>
        <v>68503.208746236152</v>
      </c>
      <c r="K14" s="65">
        <f>IF(SER_hh_fec!K14=0,0,11630*1000*SER_hh_fec!K14/SER_hh_num!K14)</f>
        <v>52692.654036935863</v>
      </c>
      <c r="L14" s="65">
        <f>IF(SER_hh_fec!L14=0,0,11630*1000*SER_hh_fec!L14/SER_hh_num!L14)</f>
        <v>68309.224335182094</v>
      </c>
      <c r="M14" s="65">
        <f>IF(SER_hh_fec!M14=0,0,11630*1000*SER_hh_fec!M14/SER_hh_num!M14)</f>
        <v>80453.368674856436</v>
      </c>
      <c r="N14" s="65">
        <f>IF(SER_hh_fec!N14=0,0,11630*1000*SER_hh_fec!N14/SER_hh_num!N14)</f>
        <v>57942.597188371939</v>
      </c>
      <c r="O14" s="65">
        <f>IF(SER_hh_fec!O14=0,0,11630*1000*SER_hh_fec!O14/SER_hh_num!O14)</f>
        <v>54357.727277333353</v>
      </c>
      <c r="P14" s="65">
        <f>IF(SER_hh_fec!P14=0,0,11630*1000*SER_hh_fec!P14/SER_hh_num!P14)</f>
        <v>51503.478664860195</v>
      </c>
      <c r="Q14" s="65">
        <f>IF(SER_hh_fec!Q14=0,0,11630*1000*SER_hh_fec!Q14/SER_hh_num!Q14)</f>
        <v>44714.65422840372</v>
      </c>
      <c r="R14" s="65">
        <f>IF(SER_hh_fec!R14=0,0,11630*1000*SER_hh_fec!R14/SER_hh_num!R14)</f>
        <v>75572.553483231532</v>
      </c>
      <c r="S14" s="65">
        <f>IF(SER_hh_fec!S14=0,0,11630*1000*SER_hh_fec!S14/SER_hh_num!S14)</f>
        <v>65474.887977177976</v>
      </c>
      <c r="T14" s="65">
        <f>IF(SER_hh_fec!T14=0,0,11630*1000*SER_hh_fec!T14/SER_hh_num!T14)</f>
        <v>77390.901303099745</v>
      </c>
      <c r="U14" s="65">
        <f>IF(SER_hh_fec!U14=0,0,11630*1000*SER_hh_fec!U14/SER_hh_num!U14)</f>
        <v>105318.04118910777</v>
      </c>
      <c r="V14" s="65">
        <f>IF(SER_hh_fec!V14=0,0,11630*1000*SER_hh_fec!V14/SER_hh_num!V14)</f>
        <v>35470.87684231429</v>
      </c>
      <c r="W14" s="65">
        <f>IF(SER_hh_fec!W14=0,0,11630*1000*SER_hh_fec!W14/SER_hh_num!W14)</f>
        <v>96035.851325310665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302.44471654634731</v>
      </c>
      <c r="C15" s="135">
        <f>IF(SER_hh_fec!C15=0,0,11630*1000*SER_hh_fec!C15/SER_hh_num!C15)</f>
        <v>498.17769917183114</v>
      </c>
      <c r="D15" s="135">
        <f>IF(SER_hh_fec!D15=0,0,11630*1000*SER_hh_fec!D15/SER_hh_num!D15)</f>
        <v>361.21024120026829</v>
      </c>
      <c r="E15" s="135">
        <f>IF(SER_hh_fec!E15=0,0,11630*1000*SER_hh_fec!E15/SER_hh_num!E15)</f>
        <v>293.54189172506625</v>
      </c>
      <c r="F15" s="135">
        <f>IF(SER_hh_fec!F15=0,0,11630*1000*SER_hh_fec!F15/SER_hh_num!F15)</f>
        <v>213.18615613560632</v>
      </c>
      <c r="G15" s="135">
        <f>IF(SER_hh_fec!G15=0,0,11630*1000*SER_hh_fec!G15/SER_hh_num!G15)</f>
        <v>296.06635447142526</v>
      </c>
      <c r="H15" s="135">
        <f>IF(SER_hh_fec!H15=0,0,11630*1000*SER_hh_fec!H15/SER_hh_num!H15)</f>
        <v>379.84477462928328</v>
      </c>
      <c r="I15" s="135">
        <f>IF(SER_hh_fec!I15=0,0,11630*1000*SER_hh_fec!I15/SER_hh_num!I15)</f>
        <v>301.52170692719346</v>
      </c>
      <c r="J15" s="135">
        <f>IF(SER_hh_fec!J15=0,0,11630*1000*SER_hh_fec!J15/SER_hh_num!J15)</f>
        <v>355.31036711049785</v>
      </c>
      <c r="K15" s="135">
        <f>IF(SER_hh_fec!K15=0,0,11630*1000*SER_hh_fec!K15/SER_hh_num!K15)</f>
        <v>324.66188688172201</v>
      </c>
      <c r="L15" s="135">
        <f>IF(SER_hh_fec!L15=0,0,11630*1000*SER_hh_fec!L15/SER_hh_num!L15)</f>
        <v>312.55911815424935</v>
      </c>
      <c r="M15" s="135">
        <f>IF(SER_hh_fec!M15=0,0,11630*1000*SER_hh_fec!M15/SER_hh_num!M15)</f>
        <v>324.86088106271086</v>
      </c>
      <c r="N15" s="135">
        <f>IF(SER_hh_fec!N15=0,0,11630*1000*SER_hh_fec!N15/SER_hh_num!N15)</f>
        <v>317.17207696178292</v>
      </c>
      <c r="O15" s="135">
        <f>IF(SER_hh_fec!O15=0,0,11630*1000*SER_hh_fec!O15/SER_hh_num!O15)</f>
        <v>267.35244086539046</v>
      </c>
      <c r="P15" s="135">
        <f>IF(SER_hh_fec!P15=0,0,11630*1000*SER_hh_fec!P15/SER_hh_num!P15)</f>
        <v>239.77755093183677</v>
      </c>
      <c r="Q15" s="135">
        <f>IF(SER_hh_fec!Q15=0,0,11630*1000*SER_hh_fec!Q15/SER_hh_num!Q15)</f>
        <v>328.88724656650305</v>
      </c>
      <c r="R15" s="135">
        <f>IF(SER_hh_fec!R15=0,0,11630*1000*SER_hh_fec!R15/SER_hh_num!R15)</f>
        <v>354.48912845277681</v>
      </c>
      <c r="S15" s="135">
        <f>IF(SER_hh_fec!S15=0,0,11630*1000*SER_hh_fec!S15/SER_hh_num!S15)</f>
        <v>356.41609373424956</v>
      </c>
      <c r="T15" s="135">
        <f>IF(SER_hh_fec!T15=0,0,11630*1000*SER_hh_fec!T15/SER_hh_num!T15)</f>
        <v>388.07273686601485</v>
      </c>
      <c r="U15" s="135">
        <f>IF(SER_hh_fec!U15=0,0,11630*1000*SER_hh_fec!U15/SER_hh_num!U15)</f>
        <v>383.98285273317487</v>
      </c>
      <c r="V15" s="135">
        <f>IF(SER_hh_fec!V15=0,0,11630*1000*SER_hh_fec!V15/SER_hh_num!V15)</f>
        <v>346.69646058707906</v>
      </c>
      <c r="W15" s="135">
        <f>IF(SER_hh_fec!W15=0,0,11630*1000*SER_hh_fec!W15/SER_hh_num!W15)</f>
        <v>448.57107637179723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18614.840299696156</v>
      </c>
      <c r="C16" s="131">
        <f>IF(SER_hh_fec!C16=0,0,11630*1000*SER_hh_fec!C16/SER_hh_num!C16)</f>
        <v>16278.874551779483</v>
      </c>
      <c r="D16" s="131">
        <f>IF(SER_hh_fec!D16=0,0,11630*1000*SER_hh_fec!D16/SER_hh_num!D16)</f>
        <v>11492.045529915209</v>
      </c>
      <c r="E16" s="131">
        <f>IF(SER_hh_fec!E16=0,0,11630*1000*SER_hh_fec!E16/SER_hh_num!E16)</f>
        <v>12086.399445441035</v>
      </c>
      <c r="F16" s="131">
        <f>IF(SER_hh_fec!F16=0,0,11630*1000*SER_hh_fec!F16/SER_hh_num!F16)</f>
        <v>9001.6513757781868</v>
      </c>
      <c r="G16" s="131">
        <f>IF(SER_hh_fec!G16=0,0,11630*1000*SER_hh_fec!G16/SER_hh_num!G16)</f>
        <v>8728.8207476943389</v>
      </c>
      <c r="H16" s="131">
        <f>IF(SER_hh_fec!H16=0,0,11630*1000*SER_hh_fec!H16/SER_hh_num!H16)</f>
        <v>9694.9477811983998</v>
      </c>
      <c r="I16" s="131">
        <f>IF(SER_hh_fec!I16=0,0,11630*1000*SER_hh_fec!I16/SER_hh_num!I16)</f>
        <v>16640.960023710573</v>
      </c>
      <c r="J16" s="131">
        <f>IF(SER_hh_fec!J16=0,0,11630*1000*SER_hh_fec!J16/SER_hh_num!J16)</f>
        <v>10197.989801333908</v>
      </c>
      <c r="K16" s="131">
        <f>IF(SER_hh_fec!K16=0,0,11630*1000*SER_hh_fec!K16/SER_hh_num!K16)</f>
        <v>8714.0512135307945</v>
      </c>
      <c r="L16" s="131">
        <f>IF(SER_hh_fec!L16=0,0,11630*1000*SER_hh_fec!L16/SER_hh_num!L16)</f>
        <v>10717.183940336177</v>
      </c>
      <c r="M16" s="131">
        <f>IF(SER_hh_fec!M16=0,0,11630*1000*SER_hh_fec!M16/SER_hh_num!M16)</f>
        <v>8653.3227778795444</v>
      </c>
      <c r="N16" s="131">
        <f>IF(SER_hh_fec!N16=0,0,11630*1000*SER_hh_fec!N16/SER_hh_num!N16)</f>
        <v>17632.04749956763</v>
      </c>
      <c r="O16" s="131">
        <f>IF(SER_hh_fec!O16=0,0,11630*1000*SER_hh_fec!O16/SER_hh_num!O16)</f>
        <v>8340.7847716194065</v>
      </c>
      <c r="P16" s="131">
        <f>IF(SER_hh_fec!P16=0,0,11630*1000*SER_hh_fec!P16/SER_hh_num!P16)</f>
        <v>7482.603278109761</v>
      </c>
      <c r="Q16" s="131">
        <f>IF(SER_hh_fec!Q16=0,0,11630*1000*SER_hh_fec!Q16/SER_hh_num!Q16)</f>
        <v>10420.581070145985</v>
      </c>
      <c r="R16" s="131">
        <f>IF(SER_hh_fec!R16=0,0,11630*1000*SER_hh_fec!R16/SER_hh_num!R16)</f>
        <v>9350.1372926778204</v>
      </c>
      <c r="S16" s="131">
        <f>IF(SER_hh_fec!S16=0,0,11630*1000*SER_hh_fec!S16/SER_hh_num!S16)</f>
        <v>9642.1121590683997</v>
      </c>
      <c r="T16" s="131">
        <f>IF(SER_hh_fec!T16=0,0,11630*1000*SER_hh_fec!T16/SER_hh_num!T16)</f>
        <v>7063.8218287016107</v>
      </c>
      <c r="U16" s="131">
        <f>IF(SER_hh_fec!U16=0,0,11630*1000*SER_hh_fec!U16/SER_hh_num!U16)</f>
        <v>7646.9662083427129</v>
      </c>
      <c r="V16" s="131">
        <f>IF(SER_hh_fec!V16=0,0,11630*1000*SER_hh_fec!V16/SER_hh_num!V16)</f>
        <v>7605.2308312359992</v>
      </c>
      <c r="W16" s="131">
        <f>IF(SER_hh_fec!W16=0,0,11630*1000*SER_hh_fec!W16/SER_hh_num!W16)</f>
        <v>10056.071910271105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18614.840299696156</v>
      </c>
      <c r="C18" s="133">
        <f>IF(SER_hh_fec!C18=0,0,11630*1000*SER_hh_fec!C18/SER_hh_num!C18)</f>
        <v>16278.874551779483</v>
      </c>
      <c r="D18" s="133">
        <f>IF(SER_hh_fec!D18=0,0,11630*1000*SER_hh_fec!D18/SER_hh_num!D18)</f>
        <v>11492.045529915209</v>
      </c>
      <c r="E18" s="133">
        <f>IF(SER_hh_fec!E18=0,0,11630*1000*SER_hh_fec!E18/SER_hh_num!E18)</f>
        <v>12086.399445441035</v>
      </c>
      <c r="F18" s="133">
        <f>IF(SER_hh_fec!F18=0,0,11630*1000*SER_hh_fec!F18/SER_hh_num!F18)</f>
        <v>9001.6513757781868</v>
      </c>
      <c r="G18" s="133">
        <f>IF(SER_hh_fec!G18=0,0,11630*1000*SER_hh_fec!G18/SER_hh_num!G18)</f>
        <v>8728.8207476943389</v>
      </c>
      <c r="H18" s="133">
        <f>IF(SER_hh_fec!H18=0,0,11630*1000*SER_hh_fec!H18/SER_hh_num!H18)</f>
        <v>9694.9477811983998</v>
      </c>
      <c r="I18" s="133">
        <f>IF(SER_hh_fec!I18=0,0,11630*1000*SER_hh_fec!I18/SER_hh_num!I18)</f>
        <v>16640.960023710573</v>
      </c>
      <c r="J18" s="133">
        <f>IF(SER_hh_fec!J18=0,0,11630*1000*SER_hh_fec!J18/SER_hh_num!J18)</f>
        <v>10197.989801333908</v>
      </c>
      <c r="K18" s="133">
        <f>IF(SER_hh_fec!K18=0,0,11630*1000*SER_hh_fec!K18/SER_hh_num!K18)</f>
        <v>8714.0512135307945</v>
      </c>
      <c r="L18" s="133">
        <f>IF(SER_hh_fec!L18=0,0,11630*1000*SER_hh_fec!L18/SER_hh_num!L18)</f>
        <v>10717.183940336177</v>
      </c>
      <c r="M18" s="133">
        <f>IF(SER_hh_fec!M18=0,0,11630*1000*SER_hh_fec!M18/SER_hh_num!M18)</f>
        <v>8653.3227778795444</v>
      </c>
      <c r="N18" s="133">
        <f>IF(SER_hh_fec!N18=0,0,11630*1000*SER_hh_fec!N18/SER_hh_num!N18)</f>
        <v>17632.04749956763</v>
      </c>
      <c r="O18" s="133">
        <f>IF(SER_hh_fec!O18=0,0,11630*1000*SER_hh_fec!O18/SER_hh_num!O18)</f>
        <v>8340.7847716194065</v>
      </c>
      <c r="P18" s="133">
        <f>IF(SER_hh_fec!P18=0,0,11630*1000*SER_hh_fec!P18/SER_hh_num!P18)</f>
        <v>7482.603278109761</v>
      </c>
      <c r="Q18" s="133">
        <f>IF(SER_hh_fec!Q18=0,0,11630*1000*SER_hh_fec!Q18/SER_hh_num!Q18)</f>
        <v>10420.581070145985</v>
      </c>
      <c r="R18" s="133">
        <f>IF(SER_hh_fec!R18=0,0,11630*1000*SER_hh_fec!R18/SER_hh_num!R18)</f>
        <v>9350.1372926778204</v>
      </c>
      <c r="S18" s="133">
        <f>IF(SER_hh_fec!S18=0,0,11630*1000*SER_hh_fec!S18/SER_hh_num!S18)</f>
        <v>9642.1121590683997</v>
      </c>
      <c r="T18" s="133">
        <f>IF(SER_hh_fec!T18=0,0,11630*1000*SER_hh_fec!T18/SER_hh_num!T18)</f>
        <v>7063.8218287016107</v>
      </c>
      <c r="U18" s="133">
        <f>IF(SER_hh_fec!U18=0,0,11630*1000*SER_hh_fec!U18/SER_hh_num!U18)</f>
        <v>7646.9662083427129</v>
      </c>
      <c r="V18" s="133">
        <f>IF(SER_hh_fec!V18=0,0,11630*1000*SER_hh_fec!V18/SER_hh_num!V18)</f>
        <v>7605.2308312359992</v>
      </c>
      <c r="W18" s="133">
        <f>IF(SER_hh_fec!W18=0,0,11630*1000*SER_hh_fec!W18/SER_hh_num!W18)</f>
        <v>10056.071910271105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16262.111410704618</v>
      </c>
      <c r="C19" s="131">
        <f>IF(SER_hh_fec!C19=0,0,11630*1000*SER_hh_fec!C19/SER_hh_num!C19)</f>
        <v>16141.850556105639</v>
      </c>
      <c r="D19" s="131">
        <f>IF(SER_hh_fec!D19=0,0,11630*1000*SER_hh_fec!D19/SER_hh_num!D19)</f>
        <v>15849.270901440801</v>
      </c>
      <c r="E19" s="131">
        <f>IF(SER_hh_fec!E19=0,0,11630*1000*SER_hh_fec!E19/SER_hh_num!E19)</f>
        <v>15470.188902864906</v>
      </c>
      <c r="F19" s="131">
        <f>IF(SER_hh_fec!F19=0,0,11630*1000*SER_hh_fec!F19/SER_hh_num!F19)</f>
        <v>14956.734813487878</v>
      </c>
      <c r="G19" s="131">
        <f>IF(SER_hh_fec!G19=0,0,11630*1000*SER_hh_fec!G19/SER_hh_num!G19)</f>
        <v>14940.465797975883</v>
      </c>
      <c r="H19" s="131">
        <f>IF(SER_hh_fec!H19=0,0,11630*1000*SER_hh_fec!H19/SER_hh_num!H19)</f>
        <v>15148.336892765736</v>
      </c>
      <c r="I19" s="131">
        <f>IF(SER_hh_fec!I19=0,0,11630*1000*SER_hh_fec!I19/SER_hh_num!I19)</f>
        <v>15232.785379487672</v>
      </c>
      <c r="J19" s="131">
        <f>IF(SER_hh_fec!J19=0,0,11630*1000*SER_hh_fec!J19/SER_hh_num!J19)</f>
        <v>15281.243065709912</v>
      </c>
      <c r="K19" s="131">
        <f>IF(SER_hh_fec!K19=0,0,11630*1000*SER_hh_fec!K19/SER_hh_num!K19)</f>
        <v>15753.43997043267</v>
      </c>
      <c r="L19" s="131">
        <f>IF(SER_hh_fec!L19=0,0,11630*1000*SER_hh_fec!L19/SER_hh_num!L19)</f>
        <v>16310.856206026418</v>
      </c>
      <c r="M19" s="131">
        <f>IF(SER_hh_fec!M19=0,0,11630*1000*SER_hh_fec!M19/SER_hh_num!M19)</f>
        <v>16191.241034020373</v>
      </c>
      <c r="N19" s="131">
        <f>IF(SER_hh_fec!N19=0,0,11630*1000*SER_hh_fec!N19/SER_hh_num!N19)</f>
        <v>16000.419210400858</v>
      </c>
      <c r="O19" s="131">
        <f>IF(SER_hh_fec!O19=0,0,11630*1000*SER_hh_fec!O19/SER_hh_num!O19)</f>
        <v>15961.582598613675</v>
      </c>
      <c r="P19" s="131">
        <f>IF(SER_hh_fec!P19=0,0,11630*1000*SER_hh_fec!P19/SER_hh_num!P19)</f>
        <v>15656.47130882441</v>
      </c>
      <c r="Q19" s="131">
        <f>IF(SER_hh_fec!Q19=0,0,11630*1000*SER_hh_fec!Q19/SER_hh_num!Q19)</f>
        <v>15748.924147722881</v>
      </c>
      <c r="R19" s="131">
        <f>IF(SER_hh_fec!R19=0,0,11630*1000*SER_hh_fec!R19/SER_hh_num!R19)</f>
        <v>15753.920265625937</v>
      </c>
      <c r="S19" s="131">
        <f>IF(SER_hh_fec!S19=0,0,11630*1000*SER_hh_fec!S19/SER_hh_num!S19)</f>
        <v>15840.852313843972</v>
      </c>
      <c r="T19" s="131">
        <f>IF(SER_hh_fec!T19=0,0,11630*1000*SER_hh_fec!T19/SER_hh_num!T19)</f>
        <v>15808.516384148594</v>
      </c>
      <c r="U19" s="131">
        <f>IF(SER_hh_fec!U19=0,0,11630*1000*SER_hh_fec!U19/SER_hh_num!U19)</f>
        <v>15844.88905746897</v>
      </c>
      <c r="V19" s="131">
        <f>IF(SER_hh_fec!V19=0,0,11630*1000*SER_hh_fec!V19/SER_hh_num!V19)</f>
        <v>13976.727694225641</v>
      </c>
      <c r="W19" s="131">
        <f>IF(SER_hh_fec!W19=0,0,11630*1000*SER_hh_fec!W19/SER_hh_num!W19)</f>
        <v>14723.277432590568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19635.956982689306</v>
      </c>
      <c r="C22" s="133">
        <f>IF(SER_hh_fec!C22=0,0,11630*1000*SER_hh_fec!C22/SER_hh_num!C22)</f>
        <v>21416.425457091278</v>
      </c>
      <c r="D22" s="133">
        <f>IF(SER_hh_fec!D22=0,0,11630*1000*SER_hh_fec!D22/SER_hh_num!D22)</f>
        <v>21495.248820221168</v>
      </c>
      <c r="E22" s="133">
        <f>IF(SER_hh_fec!E22=0,0,11630*1000*SER_hh_fec!E22/SER_hh_num!E22)</f>
        <v>21090.179400882473</v>
      </c>
      <c r="F22" s="133">
        <f>IF(SER_hh_fec!F22=0,0,11630*1000*SER_hh_fec!F22/SER_hh_num!F22)</f>
        <v>18528.134752514386</v>
      </c>
      <c r="G22" s="133">
        <f>IF(SER_hh_fec!G22=0,0,11630*1000*SER_hh_fec!G22/SER_hh_num!G22)</f>
        <v>18868.963349277103</v>
      </c>
      <c r="H22" s="133">
        <f>IF(SER_hh_fec!H22=0,0,11630*1000*SER_hh_fec!H22/SER_hh_num!H22)</f>
        <v>19586.664839939502</v>
      </c>
      <c r="I22" s="133">
        <f>IF(SER_hh_fec!I22=0,0,11630*1000*SER_hh_fec!I22/SER_hh_num!I22)</f>
        <v>20110.283120406653</v>
      </c>
      <c r="J22" s="133">
        <f>IF(SER_hh_fec!J22=0,0,11630*1000*SER_hh_fec!J22/SER_hh_num!J22)</f>
        <v>20508.841833364088</v>
      </c>
      <c r="K22" s="133">
        <f>IF(SER_hh_fec!K22=0,0,11630*1000*SER_hh_fec!K22/SER_hh_num!K22)</f>
        <v>20649.019685904408</v>
      </c>
      <c r="L22" s="133">
        <f>IF(SER_hh_fec!L22=0,0,11630*1000*SER_hh_fec!L22/SER_hh_num!L22)</f>
        <v>20871.960129255735</v>
      </c>
      <c r="M22" s="133">
        <f>IF(SER_hh_fec!M22=0,0,11630*1000*SER_hh_fec!M22/SER_hh_num!M22)</f>
        <v>22307.893419375399</v>
      </c>
      <c r="N22" s="133">
        <f>IF(SER_hh_fec!N22=0,0,11630*1000*SER_hh_fec!N22/SER_hh_num!N22)</f>
        <v>22363.870114109424</v>
      </c>
      <c r="O22" s="133">
        <f>IF(SER_hh_fec!O22=0,0,11630*1000*SER_hh_fec!O22/SER_hh_num!O22)</f>
        <v>19501.666296567684</v>
      </c>
      <c r="P22" s="133">
        <f>IF(SER_hh_fec!P22=0,0,11630*1000*SER_hh_fec!P22/SER_hh_num!P22)</f>
        <v>18392.145259288922</v>
      </c>
      <c r="Q22" s="133">
        <f>IF(SER_hh_fec!Q22=0,0,11630*1000*SER_hh_fec!Q22/SER_hh_num!Q22)</f>
        <v>21734.09537504931</v>
      </c>
      <c r="R22" s="133">
        <f>IF(SER_hh_fec!R22=0,0,11630*1000*SER_hh_fec!R22/SER_hh_num!R22)</f>
        <v>22695.019592565295</v>
      </c>
      <c r="S22" s="133">
        <f>IF(SER_hh_fec!S22=0,0,11630*1000*SER_hh_fec!S22/SER_hh_num!S22)</f>
        <v>22400.642784176667</v>
      </c>
      <c r="T22" s="133">
        <f>IF(SER_hh_fec!T22=0,0,11630*1000*SER_hh_fec!T22/SER_hh_num!T22)</f>
        <v>16615.040058198847</v>
      </c>
      <c r="U22" s="133">
        <f>IF(SER_hh_fec!U22=0,0,11630*1000*SER_hh_fec!U22/SER_hh_num!U22)</f>
        <v>22730.251554864004</v>
      </c>
      <c r="V22" s="133">
        <f>IF(SER_hh_fec!V22=0,0,11630*1000*SER_hh_fec!V22/SER_hh_num!V22)</f>
        <v>20509.771967424167</v>
      </c>
      <c r="W22" s="133">
        <f>IF(SER_hh_fec!W22=0,0,11630*1000*SER_hh_fec!W22/SER_hh_num!W22)</f>
        <v>21059.014550275489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18548.126147526684</v>
      </c>
      <c r="C23" s="133">
        <f>IF(SER_hh_fec!C23=0,0,11630*1000*SER_hh_fec!C23/SER_hh_num!C23)</f>
        <v>19945.112194911213</v>
      </c>
      <c r="D23" s="133">
        <f>IF(SER_hh_fec!D23=0,0,11630*1000*SER_hh_fec!D23/SER_hh_num!D23)</f>
        <v>17376.102266922819</v>
      </c>
      <c r="E23" s="133">
        <f>IF(SER_hh_fec!E23=0,0,11630*1000*SER_hh_fec!E23/SER_hh_num!E23)</f>
        <v>17977.053104000817</v>
      </c>
      <c r="F23" s="133">
        <f>IF(SER_hh_fec!F23=0,0,11630*1000*SER_hh_fec!F23/SER_hh_num!F23)</f>
        <v>17409.411586972601</v>
      </c>
      <c r="G23" s="133">
        <f>IF(SER_hh_fec!G23=0,0,11630*1000*SER_hh_fec!G23/SER_hh_num!G23)</f>
        <v>16812.749288986739</v>
      </c>
      <c r="H23" s="133">
        <f>IF(SER_hh_fec!H23=0,0,11630*1000*SER_hh_fec!H23/SER_hh_num!H23)</f>
        <v>17282.575251994211</v>
      </c>
      <c r="I23" s="133">
        <f>IF(SER_hh_fec!I23=0,0,11630*1000*SER_hh_fec!I23/SER_hh_num!I23)</f>
        <v>18131.571683432081</v>
      </c>
      <c r="J23" s="133">
        <f>IF(SER_hh_fec!J23=0,0,11630*1000*SER_hh_fec!J23/SER_hh_num!J23)</f>
        <v>17863.894595586695</v>
      </c>
      <c r="K23" s="133">
        <f>IF(SER_hh_fec!K23=0,0,11630*1000*SER_hh_fec!K23/SER_hh_num!K23)</f>
        <v>18018.877335146655</v>
      </c>
      <c r="L23" s="133">
        <f>IF(SER_hh_fec!L23=0,0,11630*1000*SER_hh_fec!L23/SER_hh_num!L23)</f>
        <v>18670.308838970555</v>
      </c>
      <c r="M23" s="133">
        <f>IF(SER_hh_fec!M23=0,0,11630*1000*SER_hh_fec!M23/SER_hh_num!M23)</f>
        <v>18691.086876004458</v>
      </c>
      <c r="N23" s="133">
        <f>IF(SER_hh_fec!N23=0,0,11630*1000*SER_hh_fec!N23/SER_hh_num!N23)</f>
        <v>18505.31479286743</v>
      </c>
      <c r="O23" s="133">
        <f>IF(SER_hh_fec!O23=0,0,11630*1000*SER_hh_fec!O23/SER_hh_num!O23)</f>
        <v>18391.321257977921</v>
      </c>
      <c r="P23" s="133">
        <f>IF(SER_hh_fec!P23=0,0,11630*1000*SER_hh_fec!P23/SER_hh_num!P23)</f>
        <v>18242.371322678169</v>
      </c>
      <c r="Q23" s="133">
        <f>IF(SER_hh_fec!Q23=0,0,11630*1000*SER_hh_fec!Q23/SER_hh_num!Q23)</f>
        <v>18253.182502429958</v>
      </c>
      <c r="R23" s="133">
        <f>IF(SER_hh_fec!R23=0,0,11630*1000*SER_hh_fec!R23/SER_hh_num!R23)</f>
        <v>17981.745299978102</v>
      </c>
      <c r="S23" s="133">
        <f>IF(SER_hh_fec!S23=0,0,11630*1000*SER_hh_fec!S23/SER_hh_num!S23)</f>
        <v>17931.578579331755</v>
      </c>
      <c r="T23" s="133">
        <f>IF(SER_hh_fec!T23=0,0,11630*1000*SER_hh_fec!T23/SER_hh_num!T23)</f>
        <v>17975.636761436599</v>
      </c>
      <c r="U23" s="133">
        <f>IF(SER_hh_fec!U23=0,0,11630*1000*SER_hh_fec!U23/SER_hh_num!U23)</f>
        <v>17849.855800974434</v>
      </c>
      <c r="V23" s="133">
        <f>IF(SER_hh_fec!V23=0,0,11630*1000*SER_hh_fec!V23/SER_hh_num!V23)</f>
        <v>15232.845656056086</v>
      </c>
      <c r="W23" s="133">
        <f>IF(SER_hh_fec!W23=0,0,11630*1000*SER_hh_fec!W23/SER_hh_num!W23)</f>
        <v>15950.486877631474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13719.126635373126</v>
      </c>
      <c r="C25" s="133">
        <f>IF(SER_hh_fec!C25=0,0,11630*1000*SER_hh_fec!C25/SER_hh_num!C25)</f>
        <v>13579.121519682738</v>
      </c>
      <c r="D25" s="133">
        <f>IF(SER_hh_fec!D25=0,0,11630*1000*SER_hh_fec!D25/SER_hh_num!D25)</f>
        <v>13297.607083295001</v>
      </c>
      <c r="E25" s="133">
        <f>IF(SER_hh_fec!E25=0,0,11630*1000*SER_hh_fec!E25/SER_hh_num!E25)</f>
        <v>13160.2574238494</v>
      </c>
      <c r="F25" s="133">
        <f>IF(SER_hh_fec!F25=0,0,11630*1000*SER_hh_fec!F25/SER_hh_num!F25)</f>
        <v>12999.595129525916</v>
      </c>
      <c r="G25" s="133">
        <f>IF(SER_hh_fec!G25=0,0,11630*1000*SER_hh_fec!G25/SER_hh_num!G25)</f>
        <v>12920.955254308445</v>
      </c>
      <c r="H25" s="133">
        <f>IF(SER_hh_fec!H25=0,0,11630*1000*SER_hh_fec!H25/SER_hh_num!H25)</f>
        <v>12885.050261320121</v>
      </c>
      <c r="I25" s="133">
        <f>IF(SER_hh_fec!I25=0,0,11630*1000*SER_hh_fec!I25/SER_hh_num!I25)</f>
        <v>12953.039780774458</v>
      </c>
      <c r="J25" s="133">
        <f>IF(SER_hh_fec!J25=0,0,11630*1000*SER_hh_fec!J25/SER_hh_num!J25)</f>
        <v>13172.447722206502</v>
      </c>
      <c r="K25" s="133">
        <f>IF(SER_hh_fec!K25=0,0,11630*1000*SER_hh_fec!K25/SER_hh_num!K25)</f>
        <v>13402.360132346399</v>
      </c>
      <c r="L25" s="133">
        <f>IF(SER_hh_fec!L25=0,0,11630*1000*SER_hh_fec!L25/SER_hh_num!L25)</f>
        <v>13721.232777536597</v>
      </c>
      <c r="M25" s="133">
        <f>IF(SER_hh_fec!M25=0,0,11630*1000*SER_hh_fec!M25/SER_hh_num!M25)</f>
        <v>13957.2039771277</v>
      </c>
      <c r="N25" s="133">
        <f>IF(SER_hh_fec!N25=0,0,11630*1000*SER_hh_fec!N25/SER_hh_num!N25)</f>
        <v>13892.076707571279</v>
      </c>
      <c r="O25" s="133">
        <f>IF(SER_hh_fec!O25=0,0,11630*1000*SER_hh_fec!O25/SER_hh_num!O25)</f>
        <v>13896.538569996497</v>
      </c>
      <c r="P25" s="133">
        <f>IF(SER_hh_fec!P25=0,0,11630*1000*SER_hh_fec!P25/SER_hh_num!P25)</f>
        <v>13887.13241131396</v>
      </c>
      <c r="Q25" s="133">
        <f>IF(SER_hh_fec!Q25=0,0,11630*1000*SER_hh_fec!Q25/SER_hh_num!Q25)</f>
        <v>14009.135324698782</v>
      </c>
      <c r="R25" s="133">
        <f>IF(SER_hh_fec!R25=0,0,11630*1000*SER_hh_fec!R25/SER_hh_num!R25)</f>
        <v>14143.079736701624</v>
      </c>
      <c r="S25" s="133">
        <f>IF(SER_hh_fec!S25=0,0,11630*1000*SER_hh_fec!S25/SER_hh_num!S25)</f>
        <v>14436.672485475441</v>
      </c>
      <c r="T25" s="133">
        <f>IF(SER_hh_fec!T25=0,0,11630*1000*SER_hh_fec!T25/SER_hh_num!T25)</f>
        <v>14554.9116921725</v>
      </c>
      <c r="U25" s="133">
        <f>IF(SER_hh_fec!U25=0,0,11630*1000*SER_hh_fec!U25/SER_hh_num!U25)</f>
        <v>14507.353267437982</v>
      </c>
      <c r="V25" s="133">
        <f>IF(SER_hh_fec!V25=0,0,11630*1000*SER_hh_fec!V25/SER_hh_num!V25)</f>
        <v>13280.372431876049</v>
      </c>
      <c r="W25" s="133">
        <f>IF(SER_hh_fec!W25=0,0,11630*1000*SER_hh_fec!W25/SER_hh_num!W25)</f>
        <v>13967.893002806273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17191.06218178129</v>
      </c>
      <c r="C26" s="65">
        <f>IF(SER_hh_fec!C26=0,0,11630*1000*SER_hh_fec!C26/SER_hh_num!C26)</f>
        <v>16528.990328324613</v>
      </c>
      <c r="D26" s="65">
        <f>IF(SER_hh_fec!D26=0,0,11630*1000*SER_hh_fec!D26/SER_hh_num!D26)</f>
        <v>16380.441960090235</v>
      </c>
      <c r="E26" s="65">
        <f>IF(SER_hh_fec!E26=0,0,11630*1000*SER_hh_fec!E26/SER_hh_num!E26)</f>
        <v>15795.855907488321</v>
      </c>
      <c r="F26" s="65">
        <f>IF(SER_hh_fec!F26=0,0,11630*1000*SER_hh_fec!F26/SER_hh_num!F26)</f>
        <v>15410.446696241435</v>
      </c>
      <c r="G26" s="65">
        <f>IF(SER_hh_fec!G26=0,0,11630*1000*SER_hh_fec!G26/SER_hh_num!G26)</f>
        <v>15450.761489035987</v>
      </c>
      <c r="H26" s="65">
        <f>IF(SER_hh_fec!H26=0,0,11630*1000*SER_hh_fec!H26/SER_hh_num!H26)</f>
        <v>15619.337570683394</v>
      </c>
      <c r="I26" s="65">
        <f>IF(SER_hh_fec!I26=0,0,11630*1000*SER_hh_fec!I26/SER_hh_num!I26)</f>
        <v>15353.413314744093</v>
      </c>
      <c r="J26" s="65">
        <f>IF(SER_hh_fec!J26=0,0,11630*1000*SER_hh_fec!J26/SER_hh_num!J26)</f>
        <v>15261.135575382577</v>
      </c>
      <c r="K26" s="65">
        <f>IF(SER_hh_fec!K26=0,0,11630*1000*SER_hh_fec!K26/SER_hh_num!K26)</f>
        <v>15933.65504627932</v>
      </c>
      <c r="L26" s="65">
        <f>IF(SER_hh_fec!L26=0,0,11630*1000*SER_hh_fec!L26/SER_hh_num!L26)</f>
        <v>15609.834150331071</v>
      </c>
      <c r="M26" s="65">
        <f>IF(SER_hh_fec!M26=0,0,11630*1000*SER_hh_fec!M26/SER_hh_num!M26)</f>
        <v>14700.446449637488</v>
      </c>
      <c r="N26" s="65">
        <f>IF(SER_hh_fec!N26=0,0,11630*1000*SER_hh_fec!N26/SER_hh_num!N26)</f>
        <v>14219.390430115043</v>
      </c>
      <c r="O26" s="65">
        <f>IF(SER_hh_fec!O26=0,0,11630*1000*SER_hh_fec!O26/SER_hh_num!O26)</f>
        <v>13771.520698527289</v>
      </c>
      <c r="P26" s="65">
        <f>IF(SER_hh_fec!P26=0,0,11630*1000*SER_hh_fec!P26/SER_hh_num!P26)</f>
        <v>13386.315816818231</v>
      </c>
      <c r="Q26" s="65">
        <f>IF(SER_hh_fec!Q26=0,0,11630*1000*SER_hh_fec!Q26/SER_hh_num!Q26)</f>
        <v>13057.731790440417</v>
      </c>
      <c r="R26" s="65">
        <f>IF(SER_hh_fec!R26=0,0,11630*1000*SER_hh_fec!R26/SER_hh_num!R26)</f>
        <v>13003.178688450891</v>
      </c>
      <c r="S26" s="65">
        <f>IF(SER_hh_fec!S26=0,0,11630*1000*SER_hh_fec!S26/SER_hh_num!S26)</f>
        <v>12974.832473521787</v>
      </c>
      <c r="T26" s="65">
        <f>IF(SER_hh_fec!T26=0,0,11630*1000*SER_hh_fec!T26/SER_hh_num!T26)</f>
        <v>12864.732680749952</v>
      </c>
      <c r="U26" s="65">
        <f>IF(SER_hh_fec!U26=0,0,11630*1000*SER_hh_fec!U26/SER_hh_num!U26)</f>
        <v>12815.286128791275</v>
      </c>
      <c r="V26" s="65">
        <f>IF(SER_hh_fec!V26=0,0,11630*1000*SER_hh_fec!V26/SER_hh_num!V26)</f>
        <v>10782.064777976368</v>
      </c>
      <c r="W26" s="65">
        <f>IF(SER_hh_fec!W26=0,0,11630*1000*SER_hh_fec!W26/SER_hh_num!W26)</f>
        <v>11434.178317945378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516.84570657975553</v>
      </c>
      <c r="M27" s="146">
        <f>IF(SER_hh_fec!M27=0,0,11630*1000*SER_hh_fec!M27/SER_hh_num!M19)</f>
        <v>782.07345305296212</v>
      </c>
      <c r="N27" s="146">
        <f>IF(SER_hh_fec!N27=0,0,11630*1000*SER_hh_fec!N27/SER_hh_num!N19)</f>
        <v>940.3207424895503</v>
      </c>
      <c r="O27" s="146">
        <f>IF(SER_hh_fec!O27=0,0,11630*1000*SER_hh_fec!O27/SER_hh_num!O19)</f>
        <v>1305.7619221653617</v>
      </c>
      <c r="P27" s="146">
        <f>IF(SER_hh_fec!P27=0,0,11630*1000*SER_hh_fec!P27/SER_hh_num!P19)</f>
        <v>1301.6847661062307</v>
      </c>
      <c r="Q27" s="146">
        <f>IF(SER_hh_fec!Q27=0,0,11630*1000*SER_hh_fec!Q27/SER_hh_num!Q19)</f>
        <v>1508.7696280508328</v>
      </c>
      <c r="R27" s="146">
        <f>IF(SER_hh_fec!R27=0,0,11630*1000*SER_hh_fec!R27/SER_hh_num!R19)</f>
        <v>1561.032884534427</v>
      </c>
      <c r="S27" s="146">
        <f>IF(SER_hh_fec!S27=0,0,11630*1000*SER_hh_fec!S27/SER_hh_num!S19)</f>
        <v>1632.8346538075311</v>
      </c>
      <c r="T27" s="146">
        <f>IF(SER_hh_fec!T27=0,0,11630*1000*SER_hh_fec!T27/SER_hh_num!T19)</f>
        <v>1725.3728852680501</v>
      </c>
      <c r="U27" s="146">
        <f>IF(SER_hh_fec!U27=0,0,11630*1000*SER_hh_fec!U27/SER_hh_num!U19)</f>
        <v>1781.8226935842549</v>
      </c>
      <c r="V27" s="146">
        <f>IF(SER_hh_fec!V27=0,0,11630*1000*SER_hh_fec!V27/SER_hh_num!V19)</f>
        <v>1851.1327454258774</v>
      </c>
      <c r="W27" s="146">
        <f>IF(SER_hh_fec!W27=0,0,11630*1000*SER_hh_fec!W27/SER_hh_num!W19)</f>
        <v>1950.5808913483472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6449.2513094855603</v>
      </c>
      <c r="M28" s="147">
        <f>IF(SER_hh_fec!M27=0,0,11630*1000*SER_hh_fec!M27/SER_hh_num!M27)</f>
        <v>6619.6908910372204</v>
      </c>
      <c r="N28" s="147">
        <f>IF(SER_hh_fec!N27=0,0,11630*1000*SER_hh_fec!N27/SER_hh_num!N27)</f>
        <v>6866.299077471177</v>
      </c>
      <c r="O28" s="147">
        <f>IF(SER_hh_fec!O27=0,0,11630*1000*SER_hh_fec!O27/SER_hh_num!O27)</f>
        <v>6890.9818352749753</v>
      </c>
      <c r="P28" s="147">
        <f>IF(SER_hh_fec!P27=0,0,11630*1000*SER_hh_fec!P27/SER_hh_num!P27)</f>
        <v>6735.022334356363</v>
      </c>
      <c r="Q28" s="147">
        <f>IF(SER_hh_fec!Q27=0,0,11630*1000*SER_hh_fec!Q27/SER_hh_num!Q27)</f>
        <v>7163.642781291449</v>
      </c>
      <c r="R28" s="147">
        <f>IF(SER_hh_fec!R27=0,0,11630*1000*SER_hh_fec!R27/SER_hh_num!R27)</f>
        <v>7044.1665269325249</v>
      </c>
      <c r="S28" s="147">
        <f>IF(SER_hh_fec!S27=0,0,11630*1000*SER_hh_fec!S27/SER_hh_num!S27)</f>
        <v>7000.6000864935104</v>
      </c>
      <c r="T28" s="147">
        <f>IF(SER_hh_fec!T27=0,0,11630*1000*SER_hh_fec!T27/SER_hh_num!T27)</f>
        <v>7415.3286447074088</v>
      </c>
      <c r="U28" s="147">
        <f>IF(SER_hh_fec!U27=0,0,11630*1000*SER_hh_fec!U27/SER_hh_num!U27)</f>
        <v>7628.979695556106</v>
      </c>
      <c r="V28" s="147">
        <f>IF(SER_hh_fec!V27=0,0,11630*1000*SER_hh_fec!V27/SER_hh_num!V27)</f>
        <v>6867.3195122615316</v>
      </c>
      <c r="W28" s="147">
        <f>IF(SER_hh_fec!W27=0,0,11630*1000*SER_hh_fec!W27/SER_hh_num!W27)</f>
        <v>7336.2327566486292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16180.138980979658</v>
      </c>
      <c r="C29" s="131">
        <f>IF(SER_hh_fec!C29=0,0,11630*1000*SER_hh_fec!C29/SER_hh_num!C29)</f>
        <v>16643.738406953446</v>
      </c>
      <c r="D29" s="131">
        <f>IF(SER_hh_fec!D29=0,0,11630*1000*SER_hh_fec!D29/SER_hh_num!D29)</f>
        <v>15945.070989864507</v>
      </c>
      <c r="E29" s="131">
        <f>IF(SER_hh_fec!E29=0,0,11630*1000*SER_hh_fec!E29/SER_hh_num!E29)</f>
        <v>15688.25373552899</v>
      </c>
      <c r="F29" s="131">
        <f>IF(SER_hh_fec!F29=0,0,11630*1000*SER_hh_fec!F29/SER_hh_num!F29)</f>
        <v>15793.936932874372</v>
      </c>
      <c r="G29" s="131">
        <f>IF(SER_hh_fec!G29=0,0,11630*1000*SER_hh_fec!G29/SER_hh_num!G29)</f>
        <v>15235.276090993264</v>
      </c>
      <c r="H29" s="131">
        <f>IF(SER_hh_fec!H29=0,0,11630*1000*SER_hh_fec!H29/SER_hh_num!H29)</f>
        <v>15178.964175992822</v>
      </c>
      <c r="I29" s="131">
        <f>IF(SER_hh_fec!I29=0,0,11630*1000*SER_hh_fec!I29/SER_hh_num!I29)</f>
        <v>15072.504935764384</v>
      </c>
      <c r="J29" s="131">
        <f>IF(SER_hh_fec!J29=0,0,11630*1000*SER_hh_fec!J29/SER_hh_num!J29)</f>
        <v>15500.912214889358</v>
      </c>
      <c r="K29" s="131">
        <f>IF(SER_hh_fec!K29=0,0,11630*1000*SER_hh_fec!K29/SER_hh_num!K29)</f>
        <v>15787.811629993766</v>
      </c>
      <c r="L29" s="131">
        <f>IF(SER_hh_fec!L29=0,0,11630*1000*SER_hh_fec!L29/SER_hh_num!L29)</f>
        <v>16572.414072989766</v>
      </c>
      <c r="M29" s="131">
        <f>IF(SER_hh_fec!M29=0,0,11630*1000*SER_hh_fec!M29/SER_hh_num!M29)</f>
        <v>16411.295653923109</v>
      </c>
      <c r="N29" s="131">
        <f>IF(SER_hh_fec!N29=0,0,11630*1000*SER_hh_fec!N29/SER_hh_num!N29)</f>
        <v>17199.862580576315</v>
      </c>
      <c r="O29" s="131">
        <f>IF(SER_hh_fec!O29=0,0,11630*1000*SER_hh_fec!O29/SER_hh_num!O29)</f>
        <v>17029.029605212025</v>
      </c>
      <c r="P29" s="131">
        <f>IF(SER_hh_fec!P29=0,0,11630*1000*SER_hh_fec!P29/SER_hh_num!P29)</f>
        <v>16612.745643575749</v>
      </c>
      <c r="Q29" s="131">
        <f>IF(SER_hh_fec!Q29=0,0,11630*1000*SER_hh_fec!Q29/SER_hh_num!Q29)</f>
        <v>16546.118513864229</v>
      </c>
      <c r="R29" s="131">
        <f>IF(SER_hh_fec!R29=0,0,11630*1000*SER_hh_fec!R29/SER_hh_num!R29)</f>
        <v>16704.200930286817</v>
      </c>
      <c r="S29" s="131">
        <f>IF(SER_hh_fec!S29=0,0,11630*1000*SER_hh_fec!S29/SER_hh_num!S29)</f>
        <v>17358.090196377718</v>
      </c>
      <c r="T29" s="131">
        <f>IF(SER_hh_fec!T29=0,0,11630*1000*SER_hh_fec!T29/SER_hh_num!T29)</f>
        <v>18155.149587079304</v>
      </c>
      <c r="U29" s="131">
        <f>IF(SER_hh_fec!U29=0,0,11630*1000*SER_hh_fec!U29/SER_hh_num!U29)</f>
        <v>18270.779584738193</v>
      </c>
      <c r="V29" s="131">
        <f>IF(SER_hh_fec!V29=0,0,11630*1000*SER_hh_fec!V29/SER_hh_num!V29)</f>
        <v>15771.157246502289</v>
      </c>
      <c r="W29" s="131">
        <f>IF(SER_hh_fec!W29=0,0,11630*1000*SER_hh_fec!W29/SER_hh_num!W29)</f>
        <v>17154.042322290392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10610.182919541236</v>
      </c>
      <c r="C30" s="133">
        <f>IF(SER_hh_fec!C30=0,0,11630*1000*SER_hh_fec!C30/SER_hh_num!C30)</f>
        <v>42152.547877787634</v>
      </c>
      <c r="D30" s="133">
        <f>IF(SER_hh_fec!D30=0,0,11630*1000*SER_hh_fec!D30/SER_hh_num!D30)</f>
        <v>12145.806910766187</v>
      </c>
      <c r="E30" s="133">
        <f>IF(SER_hh_fec!E30=0,0,11630*1000*SER_hh_fec!E30/SER_hh_num!E30)</f>
        <v>14315.80171780769</v>
      </c>
      <c r="F30" s="133">
        <f>IF(SER_hh_fec!F30=0,0,11630*1000*SER_hh_fec!F30/SER_hh_num!F30)</f>
        <v>38001.599776642295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24122.32054118059</v>
      </c>
      <c r="M30" s="133">
        <f>IF(SER_hh_fec!M30=0,0,11630*1000*SER_hh_fec!M30/SER_hh_num!M30)</f>
        <v>22426.318092450223</v>
      </c>
      <c r="N30" s="133">
        <f>IF(SER_hh_fec!N30=0,0,11630*1000*SER_hh_fec!N30/SER_hh_num!N30)</f>
        <v>35481.723798512634</v>
      </c>
      <c r="O30" s="133">
        <f>IF(SER_hh_fec!O30=0,0,11630*1000*SER_hh_fec!O30/SER_hh_num!O30)</f>
        <v>25404.225939654491</v>
      </c>
      <c r="P30" s="133">
        <f>IF(SER_hh_fec!P30=0,0,11630*1000*SER_hh_fec!P30/SER_hh_num!P30)</f>
        <v>15973.052926290509</v>
      </c>
      <c r="Q30" s="133">
        <f>IF(SER_hh_fec!Q30=0,0,11630*1000*SER_hh_fec!Q30/SER_hh_num!Q30)</f>
        <v>16134.826988366076</v>
      </c>
      <c r="R30" s="133">
        <f>IF(SER_hh_fec!R30=0,0,11630*1000*SER_hh_fec!R30/SER_hh_num!R30)</f>
        <v>18977.486004770475</v>
      </c>
      <c r="S30" s="133">
        <f>IF(SER_hh_fec!S30=0,0,11630*1000*SER_hh_fec!S30/SER_hh_num!S30)</f>
        <v>22583.72533227468</v>
      </c>
      <c r="T30" s="133">
        <f>IF(SER_hh_fec!T30=0,0,11630*1000*SER_hh_fec!T30/SER_hh_num!T30)</f>
        <v>24460.679015189504</v>
      </c>
      <c r="U30" s="133">
        <f>IF(SER_hh_fec!U30=0,0,11630*1000*SER_hh_fec!U30/SER_hh_num!U30)</f>
        <v>23837.45380869558</v>
      </c>
      <c r="V30" s="133">
        <f>IF(SER_hh_fec!V30=0,0,11630*1000*SER_hh_fec!V30/SER_hh_num!V30)</f>
        <v>19462.013590311664</v>
      </c>
      <c r="W30" s="133">
        <f>IF(SER_hh_fec!W30=0,0,11630*1000*SER_hh_fec!W30/SER_hh_num!W30)</f>
        <v>22713.297906155345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19944.658242793281</v>
      </c>
      <c r="C31" s="133">
        <f>IF(SER_hh_fec!C31=0,0,11630*1000*SER_hh_fec!C31/SER_hh_num!C31)</f>
        <v>20370.258594710824</v>
      </c>
      <c r="D31" s="133">
        <f>IF(SER_hh_fec!D31=0,0,11630*1000*SER_hh_fec!D31/SER_hh_num!D31)</f>
        <v>18711.838920909238</v>
      </c>
      <c r="E31" s="133">
        <f>IF(SER_hh_fec!E31=0,0,11630*1000*SER_hh_fec!E31/SER_hh_num!E31)</f>
        <v>19585.323888830691</v>
      </c>
      <c r="F31" s="133">
        <f>IF(SER_hh_fec!F31=0,0,11630*1000*SER_hh_fec!F31/SER_hh_num!F31)</f>
        <v>19772.024020108442</v>
      </c>
      <c r="G31" s="133">
        <f>IF(SER_hh_fec!G31=0,0,11630*1000*SER_hh_fec!G31/SER_hh_num!G31)</f>
        <v>18097.758071630156</v>
      </c>
      <c r="H31" s="133">
        <f>IF(SER_hh_fec!H31=0,0,11630*1000*SER_hh_fec!H31/SER_hh_num!H31)</f>
        <v>19982.265151289648</v>
      </c>
      <c r="I31" s="133">
        <f>IF(SER_hh_fec!I31=0,0,11630*1000*SER_hh_fec!I31/SER_hh_num!I31)</f>
        <v>20210.642534828843</v>
      </c>
      <c r="J31" s="133">
        <f>IF(SER_hh_fec!J31=0,0,11630*1000*SER_hh_fec!J31/SER_hh_num!J31)</f>
        <v>20051.750956110965</v>
      </c>
      <c r="K31" s="133">
        <f>IF(SER_hh_fec!K31=0,0,11630*1000*SER_hh_fec!K31/SER_hh_num!K31)</f>
        <v>19969.242664012214</v>
      </c>
      <c r="L31" s="133">
        <f>IF(SER_hh_fec!L31=0,0,11630*1000*SER_hh_fec!L31/SER_hh_num!L31)</f>
        <v>20434.672987928363</v>
      </c>
      <c r="M31" s="133">
        <f>IF(SER_hh_fec!M31=0,0,11630*1000*SER_hh_fec!M31/SER_hh_num!M31)</f>
        <v>20642.207595475804</v>
      </c>
      <c r="N31" s="133">
        <f>IF(SER_hh_fec!N31=0,0,11630*1000*SER_hh_fec!N31/SER_hh_num!N31)</f>
        <v>21058.017321365809</v>
      </c>
      <c r="O31" s="133">
        <f>IF(SER_hh_fec!O31=0,0,11630*1000*SER_hh_fec!O31/SER_hh_num!O31)</f>
        <v>21249.876307946131</v>
      </c>
      <c r="P31" s="133">
        <f>IF(SER_hh_fec!P31=0,0,11630*1000*SER_hh_fec!P31/SER_hh_num!P31)</f>
        <v>21275.924115562982</v>
      </c>
      <c r="Q31" s="133">
        <f>IF(SER_hh_fec!Q31=0,0,11630*1000*SER_hh_fec!Q31/SER_hh_num!Q31)</f>
        <v>21417.03530611546</v>
      </c>
      <c r="R31" s="133">
        <f>IF(SER_hh_fec!R31=0,0,11630*1000*SER_hh_fec!R31/SER_hh_num!R31)</f>
        <v>21431.74542469775</v>
      </c>
      <c r="S31" s="133">
        <f>IF(SER_hh_fec!S31=0,0,11630*1000*SER_hh_fec!S31/SER_hh_num!S31)</f>
        <v>22164.060728244374</v>
      </c>
      <c r="T31" s="133">
        <f>IF(SER_hh_fec!T31=0,0,11630*1000*SER_hh_fec!T31/SER_hh_num!T31)</f>
        <v>22873.795549262741</v>
      </c>
      <c r="U31" s="133">
        <f>IF(SER_hh_fec!U31=0,0,11630*1000*SER_hh_fec!U31/SER_hh_num!U31)</f>
        <v>22643.037498783469</v>
      </c>
      <c r="V31" s="133">
        <f>IF(SER_hh_fec!V31=0,0,11630*1000*SER_hh_fec!V31/SER_hh_num!V31)</f>
        <v>19919.858422624784</v>
      </c>
      <c r="W31" s="133">
        <f>IF(SER_hh_fec!W31=0,0,11630*1000*SER_hh_fec!W31/SER_hh_num!W31)</f>
        <v>22285.125012812812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28352.298739026337</v>
      </c>
      <c r="K32" s="133">
        <f>IF(SER_hh_fec!K32=0,0,11630*1000*SER_hh_fec!K32/SER_hh_num!K32)</f>
        <v>22571.644646437584</v>
      </c>
      <c r="L32" s="133">
        <f>IF(SER_hh_fec!L32=0,0,11630*1000*SER_hh_fec!L32/SER_hh_num!L32)</f>
        <v>20788.675614707983</v>
      </c>
      <c r="M32" s="133">
        <f>IF(SER_hh_fec!M32=0,0,11630*1000*SER_hh_fec!M32/SER_hh_num!M32)</f>
        <v>20835.618171496208</v>
      </c>
      <c r="N32" s="133">
        <f>IF(SER_hh_fec!N32=0,0,11630*1000*SER_hh_fec!N32/SER_hh_num!N32)</f>
        <v>20388.389006468944</v>
      </c>
      <c r="O32" s="133">
        <f>IF(SER_hh_fec!O32=0,0,11630*1000*SER_hh_fec!O32/SER_hh_num!O32)</f>
        <v>20630.463468351089</v>
      </c>
      <c r="P32" s="133">
        <f>IF(SER_hh_fec!P32=0,0,11630*1000*SER_hh_fec!P32/SER_hh_num!P32)</f>
        <v>20321.758025256953</v>
      </c>
      <c r="Q32" s="133">
        <f>IF(SER_hh_fec!Q32=0,0,11630*1000*SER_hh_fec!Q32/SER_hh_num!Q32)</f>
        <v>18069.712909094269</v>
      </c>
      <c r="R32" s="133">
        <f>IF(SER_hh_fec!R32=0,0,11630*1000*SER_hh_fec!R32/SER_hh_num!R32)</f>
        <v>14539.978136142256</v>
      </c>
      <c r="S32" s="133">
        <f>IF(SER_hh_fec!S32=0,0,11630*1000*SER_hh_fec!S32/SER_hh_num!S32)</f>
        <v>20876.356809505924</v>
      </c>
      <c r="T32" s="133">
        <f>IF(SER_hh_fec!T32=0,0,11630*1000*SER_hh_fec!T32/SER_hh_num!T32)</f>
        <v>24937.171898848075</v>
      </c>
      <c r="U32" s="133">
        <f>IF(SER_hh_fec!U32=0,0,11630*1000*SER_hh_fec!U32/SER_hh_num!U32)</f>
        <v>25260.690730573504</v>
      </c>
      <c r="V32" s="133">
        <f>IF(SER_hh_fec!V32=0,0,11630*1000*SER_hh_fec!V32/SER_hh_num!V32)</f>
        <v>21420.532452196057</v>
      </c>
      <c r="W32" s="133">
        <f>IF(SER_hh_fec!W32=0,0,11630*1000*SER_hh_fec!W32/SER_hh_num!W32)</f>
        <v>21516.382787252154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16189.981579806266</v>
      </c>
      <c r="C33" s="68">
        <f>IF(SER_hh_fec!C33=0,0,11630*1000*SER_hh_fec!C33/SER_hh_num!C33)</f>
        <v>15969.516839303084</v>
      </c>
      <c r="D33" s="68">
        <f>IF(SER_hh_fec!D33=0,0,11630*1000*SER_hh_fec!D33/SER_hh_num!D33)</f>
        <v>15893.609236074382</v>
      </c>
      <c r="E33" s="68">
        <f>IF(SER_hh_fec!E33=0,0,11630*1000*SER_hh_fec!E33/SER_hh_num!E33)</f>
        <v>15492.992494733619</v>
      </c>
      <c r="F33" s="68">
        <f>IF(SER_hh_fec!F33=0,0,11630*1000*SER_hh_fec!F33/SER_hh_num!F33)</f>
        <v>15250.515411378863</v>
      </c>
      <c r="G33" s="68">
        <f>IF(SER_hh_fec!G33=0,0,11630*1000*SER_hh_fec!G33/SER_hh_num!G33)</f>
        <v>14986.570453001827</v>
      </c>
      <c r="H33" s="68">
        <f>IF(SER_hh_fec!H33=0,0,11630*1000*SER_hh_fec!H33/SER_hh_num!H33)</f>
        <v>14667.886787179641</v>
      </c>
      <c r="I33" s="68">
        <f>IF(SER_hh_fec!I33=0,0,11630*1000*SER_hh_fec!I33/SER_hh_num!I33)</f>
        <v>14460.683886367444</v>
      </c>
      <c r="J33" s="68">
        <f>IF(SER_hh_fec!J33=0,0,11630*1000*SER_hh_fec!J33/SER_hh_num!J33)</f>
        <v>14575.578188421574</v>
      </c>
      <c r="K33" s="68">
        <f>IF(SER_hh_fec!K33=0,0,11630*1000*SER_hh_fec!K33/SER_hh_num!K33)</f>
        <v>15021.011660223199</v>
      </c>
      <c r="L33" s="68">
        <f>IF(SER_hh_fec!L33=0,0,11630*1000*SER_hh_fec!L33/SER_hh_num!L33)</f>
        <v>15630.483084547666</v>
      </c>
      <c r="M33" s="68">
        <f>IF(SER_hh_fec!M33=0,0,11630*1000*SER_hh_fec!M33/SER_hh_num!M33)</f>
        <v>15442.720564875837</v>
      </c>
      <c r="N33" s="68">
        <f>IF(SER_hh_fec!N33=0,0,11630*1000*SER_hh_fec!N33/SER_hh_num!N33)</f>
        <v>15630.17933265222</v>
      </c>
      <c r="O33" s="68">
        <f>IF(SER_hh_fec!O33=0,0,11630*1000*SER_hh_fec!O33/SER_hh_num!O33)</f>
        <v>15950.093847507782</v>
      </c>
      <c r="P33" s="68">
        <f>IF(SER_hh_fec!P33=0,0,11630*1000*SER_hh_fec!P33/SER_hh_num!P33)</f>
        <v>15972.003890823969</v>
      </c>
      <c r="Q33" s="68">
        <f>IF(SER_hh_fec!Q33=0,0,11630*1000*SER_hh_fec!Q33/SER_hh_num!Q33)</f>
        <v>15929.049492325568</v>
      </c>
      <c r="R33" s="68">
        <f>IF(SER_hh_fec!R33=0,0,11630*1000*SER_hh_fec!R33/SER_hh_num!R33)</f>
        <v>16099.952000546671</v>
      </c>
      <c r="S33" s="68">
        <f>IF(SER_hh_fec!S33=0,0,11630*1000*SER_hh_fec!S33/SER_hh_num!S33)</f>
        <v>16335.136235059344</v>
      </c>
      <c r="T33" s="68">
        <f>IF(SER_hh_fec!T33=0,0,11630*1000*SER_hh_fec!T33/SER_hh_num!T33)</f>
        <v>16732.374261125471</v>
      </c>
      <c r="U33" s="68">
        <f>IF(SER_hh_fec!U33=0,0,11630*1000*SER_hh_fec!U33/SER_hh_num!U33)</f>
        <v>16798.57388279654</v>
      </c>
      <c r="V33" s="68">
        <f>IF(SER_hh_fec!V33=0,0,11630*1000*SER_hh_fec!V33/SER_hh_num!V33)</f>
        <v>14547.865757301992</v>
      </c>
      <c r="W33" s="68">
        <f>IF(SER_hh_fec!W33=0,0,11630*1000*SER_hh_fec!W33/SER_hh_num!W33)</f>
        <v>15825.263055786198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53569.603745403183</v>
      </c>
      <c r="C3" s="126">
        <f>IF(SER_hh_tes!C3=0,0,11630*1000*SER_hh_tes!C3/SER_hh_num!C3)</f>
        <v>61850.221556842829</v>
      </c>
      <c r="D3" s="126">
        <f>IF(SER_hh_tes!D3=0,0,11630*1000*SER_hh_tes!D3/SER_hh_num!D3)</f>
        <v>58446.95467716227</v>
      </c>
      <c r="E3" s="126">
        <f>IF(SER_hh_tes!E3=0,0,11630*1000*SER_hh_tes!E3/SER_hh_num!E3)</f>
        <v>59830.119109427906</v>
      </c>
      <c r="F3" s="126">
        <f>IF(SER_hh_tes!F3=0,0,11630*1000*SER_hh_tes!F3/SER_hh_num!F3)</f>
        <v>51855.300163248685</v>
      </c>
      <c r="G3" s="126">
        <f>IF(SER_hh_tes!G3=0,0,11630*1000*SER_hh_tes!G3/SER_hh_num!G3)</f>
        <v>62741.858254606064</v>
      </c>
      <c r="H3" s="126">
        <f>IF(SER_hh_tes!H3=0,0,11630*1000*SER_hh_tes!H3/SER_hh_num!H3)</f>
        <v>70200.918268704263</v>
      </c>
      <c r="I3" s="126">
        <f>IF(SER_hh_tes!I3=0,0,11630*1000*SER_hh_tes!I3/SER_hh_num!I3)</f>
        <v>65563.406005733515</v>
      </c>
      <c r="J3" s="126">
        <f>IF(SER_hh_tes!J3=0,0,11630*1000*SER_hh_tes!J3/SER_hh_num!J3)</f>
        <v>65537.774068447441</v>
      </c>
      <c r="K3" s="126">
        <f>IF(SER_hh_tes!K3=0,0,11630*1000*SER_hh_tes!K3/SER_hh_num!K3)</f>
        <v>63792.99343308097</v>
      </c>
      <c r="L3" s="126">
        <f>IF(SER_hh_tes!L3=0,0,11630*1000*SER_hh_tes!L3/SER_hh_num!L3)</f>
        <v>70025.632247134636</v>
      </c>
      <c r="M3" s="126">
        <f>IF(SER_hh_tes!M3=0,0,11630*1000*SER_hh_tes!M3/SER_hh_num!M3)</f>
        <v>73305.944611110841</v>
      </c>
      <c r="N3" s="126">
        <f>IF(SER_hh_tes!N3=0,0,11630*1000*SER_hh_tes!N3/SER_hh_num!N3)</f>
        <v>74623.373274939848</v>
      </c>
      <c r="O3" s="126">
        <f>IF(SER_hh_tes!O3=0,0,11630*1000*SER_hh_tes!O3/SER_hh_num!O3)</f>
        <v>66948.309423227576</v>
      </c>
      <c r="P3" s="126">
        <f>IF(SER_hh_tes!P3=0,0,11630*1000*SER_hh_tes!P3/SER_hh_num!P3)</f>
        <v>62517.186360717918</v>
      </c>
      <c r="Q3" s="126">
        <f>IF(SER_hh_tes!Q3=0,0,11630*1000*SER_hh_tes!Q3/SER_hh_num!Q3)</f>
        <v>69477.689372278794</v>
      </c>
      <c r="R3" s="126">
        <f>IF(SER_hh_tes!R3=0,0,11630*1000*SER_hh_tes!R3/SER_hh_num!R3)</f>
        <v>75386.693149231171</v>
      </c>
      <c r="S3" s="126">
        <f>IF(SER_hh_tes!S3=0,0,11630*1000*SER_hh_tes!S3/SER_hh_num!S3)</f>
        <v>75074.050632775368</v>
      </c>
      <c r="T3" s="126">
        <f>IF(SER_hh_tes!T3=0,0,11630*1000*SER_hh_tes!T3/SER_hh_num!T3)</f>
        <v>77886.185569198555</v>
      </c>
      <c r="U3" s="126">
        <f>IF(SER_hh_tes!U3=0,0,11630*1000*SER_hh_tes!U3/SER_hh_num!U3)</f>
        <v>82168.28394244345</v>
      </c>
      <c r="V3" s="126">
        <f>IF(SER_hh_tes!V3=0,0,11630*1000*SER_hh_tes!V3/SER_hh_num!V3)</f>
        <v>70807.423099000065</v>
      </c>
      <c r="W3" s="126">
        <f>IF(SER_hh_tes!W3=0,0,11630*1000*SER_hh_tes!W3/SER_hh_num!W3)</f>
        <v>89526.129331871489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29110.084177517281</v>
      </c>
      <c r="C4" s="131">
        <f>IF(SER_hh_tes!C4=0,0,11630*1000*SER_hh_tes!C4/SER_hh_num!C4)</f>
        <v>37172.121787263022</v>
      </c>
      <c r="D4" s="131">
        <f>IF(SER_hh_tes!D4=0,0,11630*1000*SER_hh_tes!D4/SER_hh_num!D4)</f>
        <v>35080.607427015122</v>
      </c>
      <c r="E4" s="131">
        <f>IF(SER_hh_tes!E4=0,0,11630*1000*SER_hh_tes!E4/SER_hh_num!E4)</f>
        <v>36117.248984173828</v>
      </c>
      <c r="F4" s="131">
        <f>IF(SER_hh_tes!F4=0,0,11630*1000*SER_hh_tes!F4/SER_hh_num!F4)</f>
        <v>28715.539102318715</v>
      </c>
      <c r="G4" s="131">
        <f>IF(SER_hh_tes!G4=0,0,11630*1000*SER_hh_tes!G4/SER_hh_num!G4)</f>
        <v>39595.968069364004</v>
      </c>
      <c r="H4" s="131">
        <f>IF(SER_hh_tes!H4=0,0,11630*1000*SER_hh_tes!H4/SER_hh_num!H4)</f>
        <v>46083.636692909829</v>
      </c>
      <c r="I4" s="131">
        <f>IF(SER_hh_tes!I4=0,0,11630*1000*SER_hh_tes!I4/SER_hh_num!I4)</f>
        <v>36827.690206074069</v>
      </c>
      <c r="J4" s="131">
        <f>IF(SER_hh_tes!J4=0,0,11630*1000*SER_hh_tes!J4/SER_hh_num!J4)</f>
        <v>39532.157749718528</v>
      </c>
      <c r="K4" s="131">
        <f>IF(SER_hh_tes!K4=0,0,11630*1000*SER_hh_tes!K4/SER_hh_num!K4)</f>
        <v>37779.887840739852</v>
      </c>
      <c r="L4" s="131">
        <f>IF(SER_hh_tes!L4=0,0,11630*1000*SER_hh_tes!L4/SER_hh_num!L4)</f>
        <v>41351.187897254837</v>
      </c>
      <c r="M4" s="131">
        <f>IF(SER_hh_tes!M4=0,0,11630*1000*SER_hh_tes!M4/SER_hh_num!M4)</f>
        <v>45719.20571619078</v>
      </c>
      <c r="N4" s="131">
        <f>IF(SER_hh_tes!N4=0,0,11630*1000*SER_hh_tes!N4/SER_hh_num!N4)</f>
        <v>39450.5857922754</v>
      </c>
      <c r="O4" s="131">
        <f>IF(SER_hh_tes!O4=0,0,11630*1000*SER_hh_tes!O4/SER_hh_num!O4)</f>
        <v>38284.326063883054</v>
      </c>
      <c r="P4" s="131">
        <f>IF(SER_hh_tes!P4=0,0,11630*1000*SER_hh_tes!P4/SER_hh_num!P4)</f>
        <v>34550.726727062902</v>
      </c>
      <c r="Q4" s="131">
        <f>IF(SER_hh_tes!Q4=0,0,11630*1000*SER_hh_tes!Q4/SER_hh_num!Q4)</f>
        <v>38500.876651813924</v>
      </c>
      <c r="R4" s="131">
        <f>IF(SER_hh_tes!R4=0,0,11630*1000*SER_hh_tes!R4/SER_hh_num!R4)</f>
        <v>44629.366834993358</v>
      </c>
      <c r="S4" s="131">
        <f>IF(SER_hh_tes!S4=0,0,11630*1000*SER_hh_tes!S4/SER_hh_num!S4)</f>
        <v>43151.91489514456</v>
      </c>
      <c r="T4" s="131">
        <f>IF(SER_hh_tes!T4=0,0,11630*1000*SER_hh_tes!T4/SER_hh_num!T4)</f>
        <v>47362.265579404171</v>
      </c>
      <c r="U4" s="131">
        <f>IF(SER_hh_tes!U4=0,0,11630*1000*SER_hh_tes!U4/SER_hh_num!U4)</f>
        <v>50528.525905390321</v>
      </c>
      <c r="V4" s="131">
        <f>IF(SER_hh_tes!V4=0,0,11630*1000*SER_hh_tes!V4/SER_hh_num!V4)</f>
        <v>42121.161578583982</v>
      </c>
      <c r="W4" s="131">
        <f>IF(SER_hh_tes!W4=0,0,11630*1000*SER_hh_tes!W4/SER_hh_num!W4)</f>
        <v>56120.994741749782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29979.952680810111</v>
      </c>
      <c r="C5" s="133">
        <f>IF(SER_hh_tes!C5=0,0,11630*1000*SER_hh_tes!C5/SER_hh_num!C5)</f>
        <v>29965.598212681984</v>
      </c>
      <c r="D5" s="133">
        <f>IF(SER_hh_tes!D5=0,0,11630*1000*SER_hh_tes!D5/SER_hh_num!D5)</f>
        <v>37151.978704506444</v>
      </c>
      <c r="E5" s="133">
        <f>IF(SER_hh_tes!E5=0,0,11630*1000*SER_hh_tes!E5/SER_hh_num!E5)</f>
        <v>41110.765733219705</v>
      </c>
      <c r="F5" s="133">
        <f>IF(SER_hh_tes!F5=0,0,11630*1000*SER_hh_tes!F5/SER_hh_num!F5)</f>
        <v>28826.04296360513</v>
      </c>
      <c r="G5" s="133">
        <f>IF(SER_hh_tes!G5=0,0,11630*1000*SER_hh_tes!G5/SER_hh_num!G5)</f>
        <v>41253.998221832509</v>
      </c>
      <c r="H5" s="133">
        <f>IF(SER_hh_tes!H5=0,0,11630*1000*SER_hh_tes!H5/SER_hh_num!H5)</f>
        <v>47329.570737797578</v>
      </c>
      <c r="I5" s="133">
        <f>IF(SER_hh_tes!I5=0,0,11630*1000*SER_hh_tes!I5/SER_hh_num!I5)</f>
        <v>23676.293778132967</v>
      </c>
      <c r="J5" s="133">
        <f>IF(SER_hh_tes!J5=0,0,11630*1000*SER_hh_tes!J5/SER_hh_num!J5)</f>
        <v>45704.237041188571</v>
      </c>
      <c r="K5" s="133">
        <f>IF(SER_hh_tes!K5=0,0,11630*1000*SER_hh_tes!K5/SER_hh_num!K5)</f>
        <v>39335.182071809366</v>
      </c>
      <c r="L5" s="133">
        <f>IF(SER_hh_tes!L5=0,0,11630*1000*SER_hh_tes!L5/SER_hh_num!L5)</f>
        <v>38606.401029223758</v>
      </c>
      <c r="M5" s="133">
        <f>IF(SER_hh_tes!M5=0,0,11630*1000*SER_hh_tes!M5/SER_hh_num!M5)</f>
        <v>43808.671911923702</v>
      </c>
      <c r="N5" s="133">
        <f>IF(SER_hh_tes!N5=0,0,11630*1000*SER_hh_tes!N5/SER_hh_num!N5)</f>
        <v>33636.274369142237</v>
      </c>
      <c r="O5" s="133">
        <f>IF(SER_hh_tes!O5=0,0,11630*1000*SER_hh_tes!O5/SER_hh_num!O5)</f>
        <v>45152.336577601505</v>
      </c>
      <c r="P5" s="133">
        <f>IF(SER_hh_tes!P5=0,0,11630*1000*SER_hh_tes!P5/SER_hh_num!P5)</f>
        <v>20694.342315277347</v>
      </c>
      <c r="Q5" s="133">
        <f>IF(SER_hh_tes!Q5=0,0,11630*1000*SER_hh_tes!Q5/SER_hh_num!Q5)</f>
        <v>54028.705094881479</v>
      </c>
      <c r="R5" s="133">
        <f>IF(SER_hh_tes!R5=0,0,11630*1000*SER_hh_tes!R5/SER_hh_num!R5)</f>
        <v>60245.62375334472</v>
      </c>
      <c r="S5" s="133">
        <f>IF(SER_hh_tes!S5=0,0,11630*1000*SER_hh_tes!S5/SER_hh_num!S5)</f>
        <v>43802.228951616722</v>
      </c>
      <c r="T5" s="133">
        <f>IF(SER_hh_tes!T5=0,0,11630*1000*SER_hh_tes!T5/SER_hh_num!T5)</f>
        <v>33369.137841289223</v>
      </c>
      <c r="U5" s="133">
        <f>IF(SER_hh_tes!U5=0,0,11630*1000*SER_hh_tes!U5/SER_hh_num!U5)</f>
        <v>54668.321830741625</v>
      </c>
      <c r="V5" s="133">
        <f>IF(SER_hh_tes!V5=0,0,11630*1000*SER_hh_tes!V5/SER_hh_num!V5)</f>
        <v>47444.085842738335</v>
      </c>
      <c r="W5" s="133">
        <f>IF(SER_hh_tes!W5=0,0,11630*1000*SER_hh_tes!W5/SER_hh_num!W5)</f>
        <v>45160.692606197154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22872.311629405576</v>
      </c>
      <c r="C7" s="133">
        <f>IF(SER_hh_tes!C7=0,0,11630*1000*SER_hh_tes!C7/SER_hh_num!C7)</f>
        <v>46443.642256720632</v>
      </c>
      <c r="D7" s="133">
        <f>IF(SER_hh_tes!D7=0,0,11630*1000*SER_hh_tes!D7/SER_hh_num!D7)</f>
        <v>35653.844309958695</v>
      </c>
      <c r="E7" s="133">
        <f>IF(SER_hh_tes!E7=0,0,11630*1000*SER_hh_tes!E7/SER_hh_num!E7)</f>
        <v>28131.792373611785</v>
      </c>
      <c r="F7" s="133">
        <f>IF(SER_hh_tes!F7=0,0,11630*1000*SER_hh_tes!F7/SER_hh_num!F7)</f>
        <v>20059.607449425515</v>
      </c>
      <c r="G7" s="133">
        <f>IF(SER_hh_tes!G7=0,0,11630*1000*SER_hh_tes!G7/SER_hh_num!G7)</f>
        <v>21897.652580798262</v>
      </c>
      <c r="H7" s="133">
        <f>IF(SER_hh_tes!H7=0,0,11630*1000*SER_hh_tes!H7/SER_hh_num!H7)</f>
        <v>46222.754549125093</v>
      </c>
      <c r="I7" s="133">
        <f>IF(SER_hh_tes!I7=0,0,11630*1000*SER_hh_tes!I7/SER_hh_num!I7)</f>
        <v>32322.759580738883</v>
      </c>
      <c r="J7" s="133">
        <f>IF(SER_hh_tes!J7=0,0,11630*1000*SER_hh_tes!J7/SER_hh_num!J7)</f>
        <v>42730.793210240969</v>
      </c>
      <c r="K7" s="133">
        <f>IF(SER_hh_tes!K7=0,0,11630*1000*SER_hh_tes!K7/SER_hh_num!K7)</f>
        <v>49579.406529125357</v>
      </c>
      <c r="L7" s="133">
        <f>IF(SER_hh_tes!L7=0,0,11630*1000*SER_hh_tes!L7/SER_hh_num!L7)</f>
        <v>35178.752046498048</v>
      </c>
      <c r="M7" s="133">
        <f>IF(SER_hh_tes!M7=0,0,11630*1000*SER_hh_tes!M7/SER_hh_num!M7)</f>
        <v>33984.654287862722</v>
      </c>
      <c r="N7" s="133">
        <f>IF(SER_hh_tes!N7=0,0,11630*1000*SER_hh_tes!N7/SER_hh_num!N7)</f>
        <v>40215.889186248714</v>
      </c>
      <c r="O7" s="133">
        <f>IF(SER_hh_tes!O7=0,0,11630*1000*SER_hh_tes!O7/SER_hh_num!O7)</f>
        <v>30746.799600369206</v>
      </c>
      <c r="P7" s="133">
        <f>IF(SER_hh_tes!P7=0,0,11630*1000*SER_hh_tes!P7/SER_hh_num!P7)</f>
        <v>19149.18700727461</v>
      </c>
      <c r="Q7" s="133">
        <f>IF(SER_hh_tes!Q7=0,0,11630*1000*SER_hh_tes!Q7/SER_hh_num!Q7)</f>
        <v>53197.168781356995</v>
      </c>
      <c r="R7" s="133">
        <f>IF(SER_hh_tes!R7=0,0,11630*1000*SER_hh_tes!R7/SER_hh_num!R7)</f>
        <v>51093.561435647913</v>
      </c>
      <c r="S7" s="133">
        <f>IF(SER_hh_tes!S7=0,0,11630*1000*SER_hh_tes!S7/SER_hh_num!S7)</f>
        <v>46455.210849970797</v>
      </c>
      <c r="T7" s="133">
        <f>IF(SER_hh_tes!T7=0,0,11630*1000*SER_hh_tes!T7/SER_hh_num!T7)</f>
        <v>35509.353117012921</v>
      </c>
      <c r="U7" s="133">
        <f>IF(SER_hh_tes!U7=0,0,11630*1000*SER_hh_tes!U7/SER_hh_num!U7)</f>
        <v>49391.376505829416</v>
      </c>
      <c r="V7" s="133">
        <f>IF(SER_hh_tes!V7=0,0,11630*1000*SER_hh_tes!V7/SER_hh_num!V7)</f>
        <v>45290.448113104481</v>
      </c>
      <c r="W7" s="133">
        <f>IF(SER_hh_tes!W7=0,0,11630*1000*SER_hh_tes!W7/SER_hh_num!W7)</f>
        <v>50725.554876339636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25929.915630806423</v>
      </c>
      <c r="C9" s="133">
        <f>IF(SER_hh_tes!C9=0,0,11630*1000*SER_hh_tes!C9/SER_hh_num!C9)</f>
        <v>37023.627927417991</v>
      </c>
      <c r="D9" s="133">
        <f>IF(SER_hh_tes!D9=0,0,11630*1000*SER_hh_tes!D9/SER_hh_num!D9)</f>
        <v>31468.099993072425</v>
      </c>
      <c r="E9" s="133">
        <f>IF(SER_hh_tes!E9=0,0,11630*1000*SER_hh_tes!E9/SER_hh_num!E9)</f>
        <v>35551.621740431307</v>
      </c>
      <c r="F9" s="133">
        <f>IF(SER_hh_tes!F9=0,0,11630*1000*SER_hh_tes!F9/SER_hh_num!F9)</f>
        <v>27776.633149924597</v>
      </c>
      <c r="G9" s="133">
        <f>IF(SER_hh_tes!G9=0,0,11630*1000*SER_hh_tes!G9/SER_hh_num!G9)</f>
        <v>35501.332329774465</v>
      </c>
      <c r="H9" s="133">
        <f>IF(SER_hh_tes!H9=0,0,11630*1000*SER_hh_tes!H9/SER_hh_num!H9)</f>
        <v>45223.577045437421</v>
      </c>
      <c r="I9" s="133">
        <f>IF(SER_hh_tes!I9=0,0,11630*1000*SER_hh_tes!I9/SER_hh_num!I9)</f>
        <v>40775.818145621008</v>
      </c>
      <c r="J9" s="133">
        <f>IF(SER_hh_tes!J9=0,0,11630*1000*SER_hh_tes!J9/SER_hh_num!J9)</f>
        <v>48338.256137595694</v>
      </c>
      <c r="K9" s="133">
        <f>IF(SER_hh_tes!K9=0,0,11630*1000*SER_hh_tes!K9/SER_hh_num!K9)</f>
        <v>30762.837161397329</v>
      </c>
      <c r="L9" s="133">
        <f>IF(SER_hh_tes!L9=0,0,11630*1000*SER_hh_tes!L9/SER_hh_num!L9)</f>
        <v>42540.328555269341</v>
      </c>
      <c r="M9" s="133">
        <f>IF(SER_hh_tes!M9=0,0,11630*1000*SER_hh_tes!M9/SER_hh_num!M9)</f>
        <v>44352.179870207154</v>
      </c>
      <c r="N9" s="133">
        <f>IF(SER_hh_tes!N9=0,0,11630*1000*SER_hh_tes!N9/SER_hh_num!N9)</f>
        <v>39383.556816763921</v>
      </c>
      <c r="O9" s="133">
        <f>IF(SER_hh_tes!O9=0,0,11630*1000*SER_hh_tes!O9/SER_hh_num!O9)</f>
        <v>34306.098834365148</v>
      </c>
      <c r="P9" s="133">
        <f>IF(SER_hh_tes!P9=0,0,11630*1000*SER_hh_tes!P9/SER_hh_num!P9)</f>
        <v>35360.425534419817</v>
      </c>
      <c r="Q9" s="133">
        <f>IF(SER_hh_tes!Q9=0,0,11630*1000*SER_hh_tes!Q9/SER_hh_num!Q9)</f>
        <v>40058.376118180262</v>
      </c>
      <c r="R9" s="133">
        <f>IF(SER_hh_tes!R9=0,0,11630*1000*SER_hh_tes!R9/SER_hh_num!R9)</f>
        <v>42858.358645205582</v>
      </c>
      <c r="S9" s="133">
        <f>IF(SER_hh_tes!S9=0,0,11630*1000*SER_hh_tes!S9/SER_hh_num!S9)</f>
        <v>43837.154280634837</v>
      </c>
      <c r="T9" s="133">
        <f>IF(SER_hh_tes!T9=0,0,11630*1000*SER_hh_tes!T9/SER_hh_num!T9)</f>
        <v>48305.371943871061</v>
      </c>
      <c r="U9" s="133">
        <f>IF(SER_hh_tes!U9=0,0,11630*1000*SER_hh_tes!U9/SER_hh_num!U9)</f>
        <v>43278.995272462053</v>
      </c>
      <c r="V9" s="133">
        <f>IF(SER_hh_tes!V9=0,0,11630*1000*SER_hh_tes!V9/SER_hh_num!V9)</f>
        <v>43930.189354299218</v>
      </c>
      <c r="W9" s="133">
        <f>IF(SER_hh_tes!W9=0,0,11630*1000*SER_hh_tes!W9/SER_hh_num!W9)</f>
        <v>55118.117235684993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31938.841610303123</v>
      </c>
      <c r="C10" s="133">
        <f>IF(SER_hh_tes!C10=0,0,11630*1000*SER_hh_tes!C10/SER_hh_num!C10)</f>
        <v>33634.475630658628</v>
      </c>
      <c r="D10" s="133">
        <f>IF(SER_hh_tes!D10=0,0,11630*1000*SER_hh_tes!D10/SER_hh_num!D10)</f>
        <v>28538.584965209113</v>
      </c>
      <c r="E10" s="133">
        <f>IF(SER_hh_tes!E10=0,0,11630*1000*SER_hh_tes!E10/SER_hh_num!E10)</f>
        <v>41522.116380644053</v>
      </c>
      <c r="F10" s="133">
        <f>IF(SER_hh_tes!F10=0,0,11630*1000*SER_hh_tes!F10/SER_hh_num!F10)</f>
        <v>27135.963080318834</v>
      </c>
      <c r="G10" s="133">
        <f>IF(SER_hh_tes!G10=0,0,11630*1000*SER_hh_tes!G10/SER_hh_num!G10)</f>
        <v>37926.635607247379</v>
      </c>
      <c r="H10" s="133">
        <f>IF(SER_hh_tes!H10=0,0,11630*1000*SER_hh_tes!H10/SER_hh_num!H10)</f>
        <v>47705.610565465067</v>
      </c>
      <c r="I10" s="133">
        <f>IF(SER_hh_tes!I10=0,0,11630*1000*SER_hh_tes!I10/SER_hh_num!I10)</f>
        <v>38749.906814610993</v>
      </c>
      <c r="J10" s="133">
        <f>IF(SER_hh_tes!J10=0,0,11630*1000*SER_hh_tes!J10/SER_hh_num!J10)</f>
        <v>45963.754574400715</v>
      </c>
      <c r="K10" s="133">
        <f>IF(SER_hh_tes!K10=0,0,11630*1000*SER_hh_tes!K10/SER_hh_num!K10)</f>
        <v>37087.625446291582</v>
      </c>
      <c r="L10" s="133">
        <f>IF(SER_hh_tes!L10=0,0,11630*1000*SER_hh_tes!L10/SER_hh_num!L10)</f>
        <v>19175.902238591792</v>
      </c>
      <c r="M10" s="133">
        <f>IF(SER_hh_tes!M10=0,0,11630*1000*SER_hh_tes!M10/SER_hh_num!M10)</f>
        <v>15459.369869049147</v>
      </c>
      <c r="N10" s="133">
        <f>IF(SER_hh_tes!N10=0,0,11630*1000*SER_hh_tes!N10/SER_hh_num!N10)</f>
        <v>88210.938112631367</v>
      </c>
      <c r="O10" s="133">
        <f>IF(SER_hh_tes!O10=0,0,11630*1000*SER_hh_tes!O10/SER_hh_num!O10)</f>
        <v>44212.182790281193</v>
      </c>
      <c r="P10" s="133">
        <f>IF(SER_hh_tes!P10=0,0,11630*1000*SER_hh_tes!P10/SER_hh_num!P10)</f>
        <v>5092.0094155343695</v>
      </c>
      <c r="Q10" s="133">
        <f>IF(SER_hh_tes!Q10=0,0,11630*1000*SER_hh_tes!Q10/SER_hh_num!Q10)</f>
        <v>21445.441052088885</v>
      </c>
      <c r="R10" s="133">
        <f>IF(SER_hh_tes!R10=0,0,11630*1000*SER_hh_tes!R10/SER_hh_num!R10)</f>
        <v>8430.7157332833503</v>
      </c>
      <c r="S10" s="133">
        <f>IF(SER_hh_tes!S10=0,0,11630*1000*SER_hh_tes!S10/SER_hh_num!S10)</f>
        <v>47155.233243250623</v>
      </c>
      <c r="T10" s="133">
        <f>IF(SER_hh_tes!T10=0,0,11630*1000*SER_hh_tes!T10/SER_hh_num!T10)</f>
        <v>55421.011924914288</v>
      </c>
      <c r="U10" s="133">
        <f>IF(SER_hh_tes!U10=0,0,11630*1000*SER_hh_tes!U10/SER_hh_num!U10)</f>
        <v>54548.237011880214</v>
      </c>
      <c r="V10" s="133">
        <f>IF(SER_hh_tes!V10=0,0,11630*1000*SER_hh_tes!V10/SER_hh_num!V10)</f>
        <v>39665.409697161609</v>
      </c>
      <c r="W10" s="133">
        <f>IF(SER_hh_tes!W10=0,0,11630*1000*SER_hh_tes!W10/SER_hh_num!W10)</f>
        <v>57115.764162392537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58063.474973971352</v>
      </c>
      <c r="H11" s="133">
        <f>IF(SER_hh_tes!H11=0,0,11630*1000*SER_hh_tes!H11/SER_hh_num!H11)</f>
        <v>46002.5171407542</v>
      </c>
      <c r="I11" s="133">
        <f>IF(SER_hh_tes!I11=0,0,11630*1000*SER_hh_tes!I11/SER_hh_num!I11)</f>
        <v>39293.870441565879</v>
      </c>
      <c r="J11" s="133">
        <f>IF(SER_hh_tes!J11=0,0,11630*1000*SER_hh_tes!J11/SER_hh_num!J11)</f>
        <v>39306.73883063822</v>
      </c>
      <c r="K11" s="133">
        <f>IF(SER_hh_tes!K11=0,0,11630*1000*SER_hh_tes!K11/SER_hh_num!K11)</f>
        <v>39326.072685967301</v>
      </c>
      <c r="L11" s="133">
        <f>IF(SER_hh_tes!L11=0,0,11630*1000*SER_hh_tes!L11/SER_hh_num!L11)</f>
        <v>40707.210742397649</v>
      </c>
      <c r="M11" s="133">
        <f>IF(SER_hh_tes!M11=0,0,11630*1000*SER_hh_tes!M11/SER_hh_num!M11)</f>
        <v>41538.073354049979</v>
      </c>
      <c r="N11" s="133">
        <f>IF(SER_hh_tes!N11=0,0,11630*1000*SER_hh_tes!N11/SER_hh_num!N11)</f>
        <v>39897.854900471211</v>
      </c>
      <c r="O11" s="133">
        <f>IF(SER_hh_tes!O11=0,0,11630*1000*SER_hh_tes!O11/SER_hh_num!O11)</f>
        <v>38182.940347532407</v>
      </c>
      <c r="P11" s="133">
        <f>IF(SER_hh_tes!P11=0,0,11630*1000*SER_hh_tes!P11/SER_hh_num!P11)</f>
        <v>37084.457156273209</v>
      </c>
      <c r="Q11" s="133">
        <f>IF(SER_hh_tes!Q11=0,0,11630*1000*SER_hh_tes!Q11/SER_hh_num!Q11)</f>
        <v>38512.40641699839</v>
      </c>
      <c r="R11" s="133">
        <f>IF(SER_hh_tes!R11=0,0,11630*1000*SER_hh_tes!R11/SER_hh_num!R11)</f>
        <v>42266.564320916012</v>
      </c>
      <c r="S11" s="133">
        <f>IF(SER_hh_tes!S11=0,0,11630*1000*SER_hh_tes!S11/SER_hh_num!S11)</f>
        <v>44218.641826469735</v>
      </c>
      <c r="T11" s="133">
        <f>IF(SER_hh_tes!T11=0,0,11630*1000*SER_hh_tes!T11/SER_hh_num!T11)</f>
        <v>45657.887908810102</v>
      </c>
      <c r="U11" s="133">
        <f>IF(SER_hh_tes!U11=0,0,11630*1000*SER_hh_tes!U11/SER_hh_num!U11)</f>
        <v>47306.787300321812</v>
      </c>
      <c r="V11" s="133">
        <f>IF(SER_hh_tes!V11=0,0,11630*1000*SER_hh_tes!V11/SER_hh_num!V11)</f>
        <v>48847.745797554773</v>
      </c>
      <c r="W11" s="133">
        <f>IF(SER_hh_tes!W11=0,0,11630*1000*SER_hh_tes!W11/SER_hh_num!W11)</f>
        <v>50826.754601127737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30651.970970051007</v>
      </c>
      <c r="C12" s="133">
        <f>IF(SER_hh_tes!C12=0,0,11630*1000*SER_hh_tes!C12/SER_hh_num!C12)</f>
        <v>38312.43894297244</v>
      </c>
      <c r="D12" s="133">
        <f>IF(SER_hh_tes!D12=0,0,11630*1000*SER_hh_tes!D12/SER_hh_num!D12)</f>
        <v>33841.114078713268</v>
      </c>
      <c r="E12" s="133">
        <f>IF(SER_hh_tes!E12=0,0,11630*1000*SER_hh_tes!E12/SER_hh_num!E12)</f>
        <v>34878.038060101804</v>
      </c>
      <c r="F12" s="133">
        <f>IF(SER_hh_tes!F12=0,0,11630*1000*SER_hh_tes!F12/SER_hh_num!F12)</f>
        <v>29119.446578195559</v>
      </c>
      <c r="G12" s="133">
        <f>IF(SER_hh_tes!G12=0,0,11630*1000*SER_hh_tes!G12/SER_hh_num!G12)</f>
        <v>46554.495750221729</v>
      </c>
      <c r="H12" s="133">
        <f>IF(SER_hh_tes!H12=0,0,11630*1000*SER_hh_tes!H12/SER_hh_num!H12)</f>
        <v>46795.312972485459</v>
      </c>
      <c r="I12" s="133">
        <f>IF(SER_hh_tes!I12=0,0,11630*1000*SER_hh_tes!I12/SER_hh_num!I12)</f>
        <v>35534.593650499344</v>
      </c>
      <c r="J12" s="133">
        <f>IF(SER_hh_tes!J12=0,0,11630*1000*SER_hh_tes!J12/SER_hh_num!J12)</f>
        <v>33819.814636930372</v>
      </c>
      <c r="K12" s="133">
        <f>IF(SER_hh_tes!K12=0,0,11630*1000*SER_hh_tes!K12/SER_hh_num!K12)</f>
        <v>37189.828457670941</v>
      </c>
      <c r="L12" s="133">
        <f>IF(SER_hh_tes!L12=0,0,11630*1000*SER_hh_tes!L12/SER_hh_num!L12)</f>
        <v>38550.104493881568</v>
      </c>
      <c r="M12" s="133">
        <f>IF(SER_hh_tes!M12=0,0,11630*1000*SER_hh_tes!M12/SER_hh_num!M12)</f>
        <v>51859.253007545041</v>
      </c>
      <c r="N12" s="133">
        <f>IF(SER_hh_tes!N12=0,0,11630*1000*SER_hh_tes!N12/SER_hh_num!N12)</f>
        <v>36295.367641939702</v>
      </c>
      <c r="O12" s="133">
        <f>IF(SER_hh_tes!O12=0,0,11630*1000*SER_hh_tes!O12/SER_hh_num!O12)</f>
        <v>35476.392880093015</v>
      </c>
      <c r="P12" s="133">
        <f>IF(SER_hh_tes!P12=0,0,11630*1000*SER_hh_tes!P12/SER_hh_num!P12)</f>
        <v>36036.751040984862</v>
      </c>
      <c r="Q12" s="133">
        <f>IF(SER_hh_tes!Q12=0,0,11630*1000*SER_hh_tes!Q12/SER_hh_num!Q12)</f>
        <v>40017.528244298199</v>
      </c>
      <c r="R12" s="133">
        <f>IF(SER_hh_tes!R12=0,0,11630*1000*SER_hh_tes!R12/SER_hh_num!R12)</f>
        <v>54900.117744792638</v>
      </c>
      <c r="S12" s="133">
        <f>IF(SER_hh_tes!S12=0,0,11630*1000*SER_hh_tes!S12/SER_hh_num!S12)</f>
        <v>40725.510969592819</v>
      </c>
      <c r="T12" s="133">
        <f>IF(SER_hh_tes!T12=0,0,11630*1000*SER_hh_tes!T12/SER_hh_num!T12)</f>
        <v>53786.72415150961</v>
      </c>
      <c r="U12" s="133">
        <f>IF(SER_hh_tes!U12=0,0,11630*1000*SER_hh_tes!U12/SER_hh_num!U12)</f>
        <v>50626.069077018547</v>
      </c>
      <c r="V12" s="133">
        <f>IF(SER_hh_tes!V12=0,0,11630*1000*SER_hh_tes!V12/SER_hh_num!V12)</f>
        <v>40362.310125879994</v>
      </c>
      <c r="W12" s="133">
        <f>IF(SER_hh_tes!W12=0,0,11630*1000*SER_hh_tes!W12/SER_hh_num!W12)</f>
        <v>55843.115184444403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30465.189440002407</v>
      </c>
      <c r="C13" s="133">
        <f>IF(SER_hh_tes!C13=0,0,11630*1000*SER_hh_tes!C13/SER_hh_num!C13)</f>
        <v>25665.891258929481</v>
      </c>
      <c r="D13" s="133">
        <f>IF(SER_hh_tes!D13=0,0,11630*1000*SER_hh_tes!D13/SER_hh_num!D13)</f>
        <v>31814.486118119377</v>
      </c>
      <c r="E13" s="133">
        <f>IF(SER_hh_tes!E13=0,0,11630*1000*SER_hh_tes!E13/SER_hh_num!E13)</f>
        <v>36216.78872475151</v>
      </c>
      <c r="F13" s="133">
        <f>IF(SER_hh_tes!F13=0,0,11630*1000*SER_hh_tes!F13/SER_hh_num!F13)</f>
        <v>33943.972468044551</v>
      </c>
      <c r="G13" s="133">
        <f>IF(SER_hh_tes!G13=0,0,11630*1000*SER_hh_tes!G13/SER_hh_num!G13)</f>
        <v>37608.513021657163</v>
      </c>
      <c r="H13" s="133">
        <f>IF(SER_hh_tes!H13=0,0,11630*1000*SER_hh_tes!H13/SER_hh_num!H13)</f>
        <v>43296.648020334542</v>
      </c>
      <c r="I13" s="133">
        <f>IF(SER_hh_tes!I13=0,0,11630*1000*SER_hh_tes!I13/SER_hh_num!I13)</f>
        <v>39411.691882486753</v>
      </c>
      <c r="J13" s="133">
        <f>IF(SER_hh_tes!J13=0,0,11630*1000*SER_hh_tes!J13/SER_hh_num!J13)</f>
        <v>36731.788811702339</v>
      </c>
      <c r="K13" s="133">
        <f>IF(SER_hh_tes!K13=0,0,11630*1000*SER_hh_tes!K13/SER_hh_num!K13)</f>
        <v>39624.297507709052</v>
      </c>
      <c r="L13" s="133">
        <f>IF(SER_hh_tes!L13=0,0,11630*1000*SER_hh_tes!L13/SER_hh_num!L13)</f>
        <v>42841.926809493671</v>
      </c>
      <c r="M13" s="133">
        <f>IF(SER_hh_tes!M13=0,0,11630*1000*SER_hh_tes!M13/SER_hh_num!M13)</f>
        <v>40679.229169739949</v>
      </c>
      <c r="N13" s="133">
        <f>IF(SER_hh_tes!N13=0,0,11630*1000*SER_hh_tes!N13/SER_hh_num!N13)</f>
        <v>37125.4734098103</v>
      </c>
      <c r="O13" s="133">
        <f>IF(SER_hh_tes!O13=0,0,11630*1000*SER_hh_tes!O13/SER_hh_num!O13)</f>
        <v>41037.300500023186</v>
      </c>
      <c r="P13" s="133">
        <f>IF(SER_hh_tes!P13=0,0,11630*1000*SER_hh_tes!P13/SER_hh_num!P13)</f>
        <v>36518.807367065296</v>
      </c>
      <c r="Q13" s="133">
        <f>IF(SER_hh_tes!Q13=0,0,11630*1000*SER_hh_tes!Q13/SER_hh_num!Q13)</f>
        <v>39330.415518221824</v>
      </c>
      <c r="R13" s="133">
        <f>IF(SER_hh_tes!R13=0,0,11630*1000*SER_hh_tes!R13/SER_hh_num!R13)</f>
        <v>40975.009912412301</v>
      </c>
      <c r="S13" s="133">
        <f>IF(SER_hh_tes!S13=0,0,11630*1000*SER_hh_tes!S13/SER_hh_num!S13)</f>
        <v>42218.809301401125</v>
      </c>
      <c r="T13" s="133">
        <f>IF(SER_hh_tes!T13=0,0,11630*1000*SER_hh_tes!T13/SER_hh_num!T13)</f>
        <v>42243.661828981087</v>
      </c>
      <c r="U13" s="133">
        <f>IF(SER_hh_tes!U13=0,0,11630*1000*SER_hh_tes!U13/SER_hh_num!U13)</f>
        <v>45176.650993903793</v>
      </c>
      <c r="V13" s="133">
        <f>IF(SER_hh_tes!V13=0,0,11630*1000*SER_hh_tes!V13/SER_hh_num!V13)</f>
        <v>45872.835779655885</v>
      </c>
      <c r="W13" s="133">
        <f>IF(SER_hh_tes!W13=0,0,11630*1000*SER_hh_tes!W13/SER_hh_num!W13)</f>
        <v>53007.084317372966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32437.672661652501</v>
      </c>
      <c r="C14" s="65">
        <f>IF(SER_hh_tes!C14=0,0,11630*1000*SER_hh_tes!C14/SER_hh_num!C14)</f>
        <v>29033.017504193045</v>
      </c>
      <c r="D14" s="65">
        <f>IF(SER_hh_tes!D14=0,0,11630*1000*SER_hh_tes!D14/SER_hh_num!D14)</f>
        <v>37517.0652402704</v>
      </c>
      <c r="E14" s="65">
        <f>IF(SER_hh_tes!E14=0,0,11630*1000*SER_hh_tes!E14/SER_hh_num!E14)</f>
        <v>40465.719037516676</v>
      </c>
      <c r="F14" s="65">
        <f>IF(SER_hh_tes!F14=0,0,11630*1000*SER_hh_tes!F14/SER_hh_num!F14)</f>
        <v>26928.762805732418</v>
      </c>
      <c r="G14" s="65">
        <f>IF(SER_hh_tes!G14=0,0,11630*1000*SER_hh_tes!G14/SER_hh_num!G14)</f>
        <v>31656.521114106308</v>
      </c>
      <c r="H14" s="65">
        <f>IF(SER_hh_tes!H14=0,0,11630*1000*SER_hh_tes!H14/SER_hh_num!H14)</f>
        <v>47032.851881133785</v>
      </c>
      <c r="I14" s="65">
        <f>IF(SER_hh_tes!I14=0,0,11630*1000*SER_hh_tes!I14/SER_hh_num!I14)</f>
        <v>34051.58758046505</v>
      </c>
      <c r="J14" s="65">
        <f>IF(SER_hh_tes!J14=0,0,11630*1000*SER_hh_tes!J14/SER_hh_num!J14)</f>
        <v>43499.639908784338</v>
      </c>
      <c r="K14" s="65">
        <f>IF(SER_hh_tes!K14=0,0,11630*1000*SER_hh_tes!K14/SER_hh_num!K14)</f>
        <v>33835.320245846713</v>
      </c>
      <c r="L14" s="65">
        <f>IF(SER_hh_tes!L14=0,0,11630*1000*SER_hh_tes!L14/SER_hh_num!L14)</f>
        <v>44418.192060069319</v>
      </c>
      <c r="M14" s="65">
        <f>IF(SER_hh_tes!M14=0,0,11630*1000*SER_hh_tes!M14/SER_hh_num!M14)</f>
        <v>52772.432965348875</v>
      </c>
      <c r="N14" s="65">
        <f>IF(SER_hh_tes!N14=0,0,11630*1000*SER_hh_tes!N14/SER_hh_num!N14)</f>
        <v>38261.759147492674</v>
      </c>
      <c r="O14" s="65">
        <f>IF(SER_hh_tes!O14=0,0,11630*1000*SER_hh_tes!O14/SER_hh_num!O14)</f>
        <v>36123.759551272269</v>
      </c>
      <c r="P14" s="65">
        <f>IF(SER_hh_tes!P14=0,0,11630*1000*SER_hh_tes!P14/SER_hh_num!P14)</f>
        <v>34236.224805358281</v>
      </c>
      <c r="Q14" s="65">
        <f>IF(SER_hh_tes!Q14=0,0,11630*1000*SER_hh_tes!Q14/SER_hh_num!Q14)</f>
        <v>29736.92045036918</v>
      </c>
      <c r="R14" s="65">
        <f>IF(SER_hh_tes!R14=0,0,11630*1000*SER_hh_tes!R14/SER_hh_num!R14)</f>
        <v>50472.247479846912</v>
      </c>
      <c r="S14" s="65">
        <f>IF(SER_hh_tes!S14=0,0,11630*1000*SER_hh_tes!S14/SER_hh_num!S14)</f>
        <v>44269.793772305879</v>
      </c>
      <c r="T14" s="65">
        <f>IF(SER_hh_tes!T14=0,0,11630*1000*SER_hh_tes!T14/SER_hh_num!T14)</f>
        <v>52839.150440573438</v>
      </c>
      <c r="U14" s="65">
        <f>IF(SER_hh_tes!U14=0,0,11630*1000*SER_hh_tes!U14/SER_hh_num!U14)</f>
        <v>72703.712347095134</v>
      </c>
      <c r="V14" s="65">
        <f>IF(SER_hh_tes!V14=0,0,11630*1000*SER_hh_tes!V14/SER_hh_num!V14)</f>
        <v>24873.265952961909</v>
      </c>
      <c r="W14" s="65">
        <f>IF(SER_hh_tes!W14=0,0,11630*1000*SER_hh_tes!W14/SER_hh_num!W14)</f>
        <v>69408.006922368309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302.44471654634731</v>
      </c>
      <c r="C15" s="135">
        <f>IF(SER_hh_tes!C15=0,0,11630*1000*SER_hh_tes!C15/SER_hh_num!C15)</f>
        <v>498.17769917183114</v>
      </c>
      <c r="D15" s="135">
        <f>IF(SER_hh_tes!D15=0,0,11630*1000*SER_hh_tes!D15/SER_hh_num!D15)</f>
        <v>361.21024120026829</v>
      </c>
      <c r="E15" s="135">
        <f>IF(SER_hh_tes!E15=0,0,11630*1000*SER_hh_tes!E15/SER_hh_num!E15)</f>
        <v>293.54189172506625</v>
      </c>
      <c r="F15" s="135">
        <f>IF(SER_hh_tes!F15=0,0,11630*1000*SER_hh_tes!F15/SER_hh_num!F15)</f>
        <v>213.18615613560632</v>
      </c>
      <c r="G15" s="135">
        <f>IF(SER_hh_tes!G15=0,0,11630*1000*SER_hh_tes!G15/SER_hh_num!G15)</f>
        <v>296.06635447142526</v>
      </c>
      <c r="H15" s="135">
        <f>IF(SER_hh_tes!H15=0,0,11630*1000*SER_hh_tes!H15/SER_hh_num!H15)</f>
        <v>379.84477462928328</v>
      </c>
      <c r="I15" s="135">
        <f>IF(SER_hh_tes!I15=0,0,11630*1000*SER_hh_tes!I15/SER_hh_num!I15)</f>
        <v>301.52170692719346</v>
      </c>
      <c r="J15" s="135">
        <f>IF(SER_hh_tes!J15=0,0,11630*1000*SER_hh_tes!J15/SER_hh_num!J15)</f>
        <v>355.31036711049785</v>
      </c>
      <c r="K15" s="135">
        <f>IF(SER_hh_tes!K15=0,0,11630*1000*SER_hh_tes!K15/SER_hh_num!K15)</f>
        <v>324.66188688172201</v>
      </c>
      <c r="L15" s="135">
        <f>IF(SER_hh_tes!L15=0,0,11630*1000*SER_hh_tes!L15/SER_hh_num!L15)</f>
        <v>312.55911815424935</v>
      </c>
      <c r="M15" s="135">
        <f>IF(SER_hh_tes!M15=0,0,11630*1000*SER_hh_tes!M15/SER_hh_num!M15)</f>
        <v>324.86088106271086</v>
      </c>
      <c r="N15" s="135">
        <f>IF(SER_hh_tes!N15=0,0,11630*1000*SER_hh_tes!N15/SER_hh_num!N15)</f>
        <v>317.17207696178292</v>
      </c>
      <c r="O15" s="135">
        <f>IF(SER_hh_tes!O15=0,0,11630*1000*SER_hh_tes!O15/SER_hh_num!O15)</f>
        <v>267.35244086539046</v>
      </c>
      <c r="P15" s="135">
        <f>IF(SER_hh_tes!P15=0,0,11630*1000*SER_hh_tes!P15/SER_hh_num!P15)</f>
        <v>239.77755093183677</v>
      </c>
      <c r="Q15" s="135">
        <f>IF(SER_hh_tes!Q15=0,0,11630*1000*SER_hh_tes!Q15/SER_hh_num!Q15)</f>
        <v>328.88724656650305</v>
      </c>
      <c r="R15" s="135">
        <f>IF(SER_hh_tes!R15=0,0,11630*1000*SER_hh_tes!R15/SER_hh_num!R15)</f>
        <v>354.48912845277681</v>
      </c>
      <c r="S15" s="135">
        <f>IF(SER_hh_tes!S15=0,0,11630*1000*SER_hh_tes!S15/SER_hh_num!S15)</f>
        <v>356.41609373424956</v>
      </c>
      <c r="T15" s="135">
        <f>IF(SER_hh_tes!T15=0,0,11630*1000*SER_hh_tes!T15/SER_hh_num!T15)</f>
        <v>388.07273686601485</v>
      </c>
      <c r="U15" s="135">
        <f>IF(SER_hh_tes!U15=0,0,11630*1000*SER_hh_tes!U15/SER_hh_num!U15)</f>
        <v>383.98285273317487</v>
      </c>
      <c r="V15" s="135">
        <f>IF(SER_hh_tes!V15=0,0,11630*1000*SER_hh_tes!V15/SER_hh_num!V15)</f>
        <v>346.69646058707906</v>
      </c>
      <c r="W15" s="135">
        <f>IF(SER_hh_tes!W15=0,0,11630*1000*SER_hh_tes!W15/SER_hh_num!W15)</f>
        <v>448.57107637179723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29286.996423850422</v>
      </c>
      <c r="C16" s="131">
        <f>IF(SER_hh_tes!C16=0,0,11630*1000*SER_hh_tes!C16/SER_hh_num!C16)</f>
        <v>27043.746315261724</v>
      </c>
      <c r="D16" s="131">
        <f>IF(SER_hh_tes!D16=0,0,11630*1000*SER_hh_tes!D16/SER_hh_num!D16)</f>
        <v>20049.103210185294</v>
      </c>
      <c r="E16" s="131">
        <f>IF(SER_hh_tes!E16=0,0,11630*1000*SER_hh_tes!E16/SER_hh_num!E16)</f>
        <v>22264.251358820071</v>
      </c>
      <c r="F16" s="131">
        <f>IF(SER_hh_tes!F16=0,0,11630*1000*SER_hh_tes!F16/SER_hh_num!F16)</f>
        <v>17520.04806166287</v>
      </c>
      <c r="G16" s="131">
        <f>IF(SER_hh_tes!G16=0,0,11630*1000*SER_hh_tes!G16/SER_hh_num!G16)</f>
        <v>17742.554580853706</v>
      </c>
      <c r="H16" s="131">
        <f>IF(SER_hh_tes!H16=0,0,11630*1000*SER_hh_tes!H16/SER_hh_num!H16)</f>
        <v>20569.339712384219</v>
      </c>
      <c r="I16" s="131">
        <f>IF(SER_hh_tes!I16=0,0,11630*1000*SER_hh_tes!I16/SER_hh_num!I16)</f>
        <v>36948.775730922105</v>
      </c>
      <c r="J16" s="131">
        <f>IF(SER_hh_tes!J16=0,0,11630*1000*SER_hh_tes!J16/SER_hh_num!J16)</f>
        <v>23548.527522926426</v>
      </c>
      <c r="K16" s="131">
        <f>IF(SER_hh_tes!K16=0,0,11630*1000*SER_hh_tes!K16/SER_hh_num!K16)</f>
        <v>20422.845155838742</v>
      </c>
      <c r="L16" s="131">
        <f>IF(SER_hh_tes!L16=0,0,11630*1000*SER_hh_tes!L16/SER_hh_num!L16)</f>
        <v>25576.971231888154</v>
      </c>
      <c r="M16" s="131">
        <f>IF(SER_hh_tes!M16=0,0,11630*1000*SER_hh_tes!M16/SER_hh_num!M16)</f>
        <v>21213.615978893777</v>
      </c>
      <c r="N16" s="131">
        <f>IF(SER_hh_tes!N16=0,0,11630*1000*SER_hh_tes!N16/SER_hh_num!N16)</f>
        <v>44412.278464973388</v>
      </c>
      <c r="O16" s="131">
        <f>IF(SER_hh_tes!O16=0,0,11630*1000*SER_hh_tes!O16/SER_hh_num!O16)</f>
        <v>21653.093613043988</v>
      </c>
      <c r="P16" s="131">
        <f>IF(SER_hh_tes!P16=0,0,11630*1000*SER_hh_tes!P16/SER_hh_num!P16)</f>
        <v>20080.359135671315</v>
      </c>
      <c r="Q16" s="131">
        <f>IF(SER_hh_tes!Q16=0,0,11630*1000*SER_hh_tes!Q16/SER_hh_num!Q16)</f>
        <v>28924.997599748502</v>
      </c>
      <c r="R16" s="131">
        <f>IF(SER_hh_tes!R16=0,0,11630*1000*SER_hh_tes!R16/SER_hh_num!R16)</f>
        <v>26859.072066552402</v>
      </c>
      <c r="S16" s="131">
        <f>IF(SER_hh_tes!S16=0,0,11630*1000*SER_hh_tes!S16/SER_hh_num!S16)</f>
        <v>28581.919892984544</v>
      </c>
      <c r="T16" s="131">
        <f>IF(SER_hh_tes!T16=0,0,11630*1000*SER_hh_tes!T16/SER_hh_num!T16)</f>
        <v>21513.89242717965</v>
      </c>
      <c r="U16" s="131">
        <f>IF(SER_hh_tes!U16=0,0,11630*1000*SER_hh_tes!U16/SER_hh_num!U16)</f>
        <v>23849.939990159332</v>
      </c>
      <c r="V16" s="131">
        <f>IF(SER_hh_tes!V16=0,0,11630*1000*SER_hh_tes!V16/SER_hh_num!V16)</f>
        <v>24198.560971396942</v>
      </c>
      <c r="W16" s="131">
        <f>IF(SER_hh_tes!W16=0,0,11630*1000*SER_hh_tes!W16/SER_hh_num!W16)</f>
        <v>32849.792929029114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29286.996423850422</v>
      </c>
      <c r="C18" s="133">
        <f>IF(SER_hh_tes!C18=0,0,11630*1000*SER_hh_tes!C18/SER_hh_num!C18)</f>
        <v>27043.746315261724</v>
      </c>
      <c r="D18" s="133">
        <f>IF(SER_hh_tes!D18=0,0,11630*1000*SER_hh_tes!D18/SER_hh_num!D18)</f>
        <v>20049.103210185294</v>
      </c>
      <c r="E18" s="133">
        <f>IF(SER_hh_tes!E18=0,0,11630*1000*SER_hh_tes!E18/SER_hh_num!E18)</f>
        <v>22264.251358820071</v>
      </c>
      <c r="F18" s="133">
        <f>IF(SER_hh_tes!F18=0,0,11630*1000*SER_hh_tes!F18/SER_hh_num!F18)</f>
        <v>17520.04806166287</v>
      </c>
      <c r="G18" s="133">
        <f>IF(SER_hh_tes!G18=0,0,11630*1000*SER_hh_tes!G18/SER_hh_num!G18)</f>
        <v>17742.554580853706</v>
      </c>
      <c r="H18" s="133">
        <f>IF(SER_hh_tes!H18=0,0,11630*1000*SER_hh_tes!H18/SER_hh_num!H18)</f>
        <v>20569.339712384219</v>
      </c>
      <c r="I18" s="133">
        <f>IF(SER_hh_tes!I18=0,0,11630*1000*SER_hh_tes!I18/SER_hh_num!I18)</f>
        <v>36948.775730922105</v>
      </c>
      <c r="J18" s="133">
        <f>IF(SER_hh_tes!J18=0,0,11630*1000*SER_hh_tes!J18/SER_hh_num!J18)</f>
        <v>23548.527522926426</v>
      </c>
      <c r="K18" s="133">
        <f>IF(SER_hh_tes!K18=0,0,11630*1000*SER_hh_tes!K18/SER_hh_num!K18)</f>
        <v>20422.845155838742</v>
      </c>
      <c r="L18" s="133">
        <f>IF(SER_hh_tes!L18=0,0,11630*1000*SER_hh_tes!L18/SER_hh_num!L18)</f>
        <v>25576.971231888154</v>
      </c>
      <c r="M18" s="133">
        <f>IF(SER_hh_tes!M18=0,0,11630*1000*SER_hh_tes!M18/SER_hh_num!M18)</f>
        <v>21213.615978893777</v>
      </c>
      <c r="N18" s="133">
        <f>IF(SER_hh_tes!N18=0,0,11630*1000*SER_hh_tes!N18/SER_hh_num!N18)</f>
        <v>44412.278464973388</v>
      </c>
      <c r="O18" s="133">
        <f>IF(SER_hh_tes!O18=0,0,11630*1000*SER_hh_tes!O18/SER_hh_num!O18)</f>
        <v>21653.093613043988</v>
      </c>
      <c r="P18" s="133">
        <f>IF(SER_hh_tes!P18=0,0,11630*1000*SER_hh_tes!P18/SER_hh_num!P18)</f>
        <v>20080.359135671315</v>
      </c>
      <c r="Q18" s="133">
        <f>IF(SER_hh_tes!Q18=0,0,11630*1000*SER_hh_tes!Q18/SER_hh_num!Q18)</f>
        <v>28924.997599748502</v>
      </c>
      <c r="R18" s="133">
        <f>IF(SER_hh_tes!R18=0,0,11630*1000*SER_hh_tes!R18/SER_hh_num!R18)</f>
        <v>26859.072066552402</v>
      </c>
      <c r="S18" s="133">
        <f>IF(SER_hh_tes!S18=0,0,11630*1000*SER_hh_tes!S18/SER_hh_num!S18)</f>
        <v>28581.919892984544</v>
      </c>
      <c r="T18" s="133">
        <f>IF(SER_hh_tes!T18=0,0,11630*1000*SER_hh_tes!T18/SER_hh_num!T18)</f>
        <v>21513.89242717965</v>
      </c>
      <c r="U18" s="133">
        <f>IF(SER_hh_tes!U18=0,0,11630*1000*SER_hh_tes!U18/SER_hh_num!U18)</f>
        <v>23849.939990159332</v>
      </c>
      <c r="V18" s="133">
        <f>IF(SER_hh_tes!V18=0,0,11630*1000*SER_hh_tes!V18/SER_hh_num!V18)</f>
        <v>24198.560971396942</v>
      </c>
      <c r="W18" s="133">
        <f>IF(SER_hh_tes!W18=0,0,11630*1000*SER_hh_tes!W18/SER_hh_num!W18)</f>
        <v>32849.792929029114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9270.9044034478902</v>
      </c>
      <c r="C19" s="131">
        <f>IF(SER_hh_tes!C19=0,0,11630*1000*SER_hh_tes!C19/SER_hh_num!C19)</f>
        <v>9204.659575275251</v>
      </c>
      <c r="D19" s="131">
        <f>IF(SER_hh_tes!D19=0,0,11630*1000*SER_hh_tes!D19/SER_hh_num!D19)</f>
        <v>9085.9965413629307</v>
      </c>
      <c r="E19" s="131">
        <f>IF(SER_hh_tes!E19=0,0,11630*1000*SER_hh_tes!E19/SER_hh_num!E19)</f>
        <v>8923.701184542173</v>
      </c>
      <c r="F19" s="131">
        <f>IF(SER_hh_tes!F19=0,0,11630*1000*SER_hh_tes!F19/SER_hh_num!F19)</f>
        <v>8711.5599871113791</v>
      </c>
      <c r="G19" s="131">
        <f>IF(SER_hh_tes!G19=0,0,11630*1000*SER_hh_tes!G19/SER_hh_num!G19)</f>
        <v>8733.7909813965271</v>
      </c>
      <c r="H19" s="131">
        <f>IF(SER_hh_tes!H19=0,0,11630*1000*SER_hh_tes!H19/SER_hh_num!H19)</f>
        <v>8862.8848727092609</v>
      </c>
      <c r="I19" s="131">
        <f>IF(SER_hh_tes!I19=0,0,11630*1000*SER_hh_tes!I19/SER_hh_num!I19)</f>
        <v>8922.6252843256243</v>
      </c>
      <c r="J19" s="131">
        <f>IF(SER_hh_tes!J19=0,0,11630*1000*SER_hh_tes!J19/SER_hh_num!J19)</f>
        <v>8983.5823579250937</v>
      </c>
      <c r="K19" s="131">
        <f>IF(SER_hh_tes!K19=0,0,11630*1000*SER_hh_tes!K19/SER_hh_num!K19)</f>
        <v>9294.6322620599658</v>
      </c>
      <c r="L19" s="131">
        <f>IF(SER_hh_tes!L19=0,0,11630*1000*SER_hh_tes!L19/SER_hh_num!L19)</f>
        <v>9864.8629695985655</v>
      </c>
      <c r="M19" s="131">
        <f>IF(SER_hh_tes!M19=0,0,11630*1000*SER_hh_tes!M19/SER_hh_num!M19)</f>
        <v>9965.2962103175159</v>
      </c>
      <c r="N19" s="131">
        <f>IF(SER_hh_tes!N19=0,0,11630*1000*SER_hh_tes!N19/SER_hh_num!N19)</f>
        <v>10006.138407259912</v>
      </c>
      <c r="O19" s="131">
        <f>IF(SER_hh_tes!O19=0,0,11630*1000*SER_hh_tes!O19/SER_hh_num!O19)</f>
        <v>10234.158689281232</v>
      </c>
      <c r="P19" s="131">
        <f>IF(SER_hh_tes!P19=0,0,11630*1000*SER_hh_tes!P19/SER_hh_num!P19)</f>
        <v>10137.972164946956</v>
      </c>
      <c r="Q19" s="131">
        <f>IF(SER_hh_tes!Q19=0,0,11630*1000*SER_hh_tes!Q19/SER_hh_num!Q19)</f>
        <v>10366.382548802563</v>
      </c>
      <c r="R19" s="131">
        <f>IF(SER_hh_tes!R19=0,0,11630*1000*SER_hh_tes!R19/SER_hh_num!R19)</f>
        <v>10524.137558486958</v>
      </c>
      <c r="S19" s="131">
        <f>IF(SER_hh_tes!S19=0,0,11630*1000*SER_hh_tes!S19/SER_hh_num!S19)</f>
        <v>10785.139432608581</v>
      </c>
      <c r="T19" s="131">
        <f>IF(SER_hh_tes!T19=0,0,11630*1000*SER_hh_tes!T19/SER_hh_num!T19)</f>
        <v>11010.232639098418</v>
      </c>
      <c r="U19" s="131">
        <f>IF(SER_hh_tes!U19=0,0,11630*1000*SER_hh_tes!U19/SER_hh_num!U19)</f>
        <v>11245.184053713812</v>
      </c>
      <c r="V19" s="131">
        <f>IF(SER_hh_tes!V19=0,0,11630*1000*SER_hh_tes!V19/SER_hh_num!V19)</f>
        <v>10174.465513713996</v>
      </c>
      <c r="W19" s="131">
        <f>IF(SER_hh_tes!W19=0,0,11630*1000*SER_hh_tes!W19/SER_hh_num!W19)</f>
        <v>10912.887540594038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8628.663717035437</v>
      </c>
      <c r="C22" s="133">
        <f>IF(SER_hh_tes!C22=0,0,11630*1000*SER_hh_tes!C22/SER_hh_num!C22)</f>
        <v>9430.5606007087154</v>
      </c>
      <c r="D22" s="133">
        <f>IF(SER_hh_tes!D22=0,0,11630*1000*SER_hh_tes!D22/SER_hh_num!D22)</f>
        <v>9479.8931694126823</v>
      </c>
      <c r="E22" s="133">
        <f>IF(SER_hh_tes!E22=0,0,11630*1000*SER_hh_tes!E22/SER_hh_num!E22)</f>
        <v>9306.3612122902232</v>
      </c>
      <c r="F22" s="133">
        <f>IF(SER_hh_tes!F22=0,0,11630*1000*SER_hh_tes!F22/SER_hh_num!F22)</f>
        <v>8179.1058935385763</v>
      </c>
      <c r="G22" s="133">
        <f>IF(SER_hh_tes!G22=0,0,11630*1000*SER_hh_tes!G22/SER_hh_num!G22)</f>
        <v>8332.301357850436</v>
      </c>
      <c r="H22" s="133">
        <f>IF(SER_hh_tes!H22=0,0,11630*1000*SER_hh_tes!H22/SER_hh_num!H22)</f>
        <v>8664.5178580690572</v>
      </c>
      <c r="I22" s="133">
        <f>IF(SER_hh_tes!I22=0,0,11630*1000*SER_hh_tes!I22/SER_hh_num!I22)</f>
        <v>8958.3800273882443</v>
      </c>
      <c r="J22" s="133">
        <f>IF(SER_hh_tes!J22=0,0,11630*1000*SER_hh_tes!J22/SER_hh_num!J22)</f>
        <v>9209.9788488453651</v>
      </c>
      <c r="K22" s="133">
        <f>IF(SER_hh_tes!K22=0,0,11630*1000*SER_hh_tes!K22/SER_hh_num!K22)</f>
        <v>9356.1959731813495</v>
      </c>
      <c r="L22" s="133">
        <f>IF(SER_hh_tes!L22=0,0,11630*1000*SER_hh_tes!L22/SER_hh_num!L22)</f>
        <v>9531.7765303439301</v>
      </c>
      <c r="M22" s="133">
        <f>IF(SER_hh_tes!M22=0,0,11630*1000*SER_hh_tes!M22/SER_hh_num!M22)</f>
        <v>10325.720606437417</v>
      </c>
      <c r="N22" s="133">
        <f>IF(SER_hh_tes!N22=0,0,11630*1000*SER_hh_tes!N22/SER_hh_num!N22)</f>
        <v>10522.88761766638</v>
      </c>
      <c r="O22" s="133">
        <f>IF(SER_hh_tes!O22=0,0,11630*1000*SER_hh_tes!O22/SER_hh_num!O22)</f>
        <v>9304.9391646905224</v>
      </c>
      <c r="P22" s="133">
        <f>IF(SER_hh_tes!P22=0,0,11630*1000*SER_hh_tes!P22/SER_hh_num!P22)</f>
        <v>8792.1731323768236</v>
      </c>
      <c r="Q22" s="133">
        <f>IF(SER_hh_tes!Q22=0,0,11630*1000*SER_hh_tes!Q22/SER_hh_num!Q22)</f>
        <v>10400.145648764441</v>
      </c>
      <c r="R22" s="133">
        <f>IF(SER_hh_tes!R22=0,0,11630*1000*SER_hh_tes!R22/SER_hh_num!R22)</f>
        <v>10886.006789403827</v>
      </c>
      <c r="S22" s="133">
        <f>IF(SER_hh_tes!S22=0,0,11630*1000*SER_hh_tes!S22/SER_hh_num!S22)</f>
        <v>10787.612483579846</v>
      </c>
      <c r="T22" s="133">
        <f>IF(SER_hh_tes!T22=0,0,11630*1000*SER_hh_tes!T22/SER_hh_num!T22)</f>
        <v>8020.6957094917316</v>
      </c>
      <c r="U22" s="133">
        <f>IF(SER_hh_tes!U22=0,0,11630*1000*SER_hh_tes!U22/SER_hh_num!U22)</f>
        <v>10978.748556310076</v>
      </c>
      <c r="V22" s="133">
        <f>IF(SER_hh_tes!V22=0,0,11630*1000*SER_hh_tes!V22/SER_hh_num!V22)</f>
        <v>9906.2288872116369</v>
      </c>
      <c r="W22" s="133">
        <f>IF(SER_hh_tes!W22=0,0,11630*1000*SER_hh_tes!W22/SER_hh_num!W22)</f>
        <v>10175.908867202199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8326.8862504953158</v>
      </c>
      <c r="C23" s="133">
        <f>IF(SER_hh_tes!C23=0,0,11630*1000*SER_hh_tes!C23/SER_hh_num!C23)</f>
        <v>9166.2254240225739</v>
      </c>
      <c r="D23" s="133">
        <f>IF(SER_hh_tes!D23=0,0,11630*1000*SER_hh_tes!D23/SER_hh_num!D23)</f>
        <v>8231.9602386376027</v>
      </c>
      <c r="E23" s="133">
        <f>IF(SER_hh_tes!E23=0,0,11630*1000*SER_hh_tes!E23/SER_hh_num!E23)</f>
        <v>8716.9618589694383</v>
      </c>
      <c r="F23" s="133">
        <f>IF(SER_hh_tes!F23=0,0,11630*1000*SER_hh_tes!F23/SER_hh_num!F23)</f>
        <v>8599.2932031979199</v>
      </c>
      <c r="G23" s="133">
        <f>IF(SER_hh_tes!G23=0,0,11630*1000*SER_hh_tes!G23/SER_hh_num!G23)</f>
        <v>8434.799280178031</v>
      </c>
      <c r="H23" s="133">
        <f>IF(SER_hh_tes!H23=0,0,11630*1000*SER_hh_tes!H23/SER_hh_num!H23)</f>
        <v>8787.7870554035271</v>
      </c>
      <c r="I23" s="133">
        <f>IF(SER_hh_tes!I23=0,0,11630*1000*SER_hh_tes!I23/SER_hh_num!I23)</f>
        <v>9325.0217107863664</v>
      </c>
      <c r="J23" s="133">
        <f>IF(SER_hh_tes!J23=0,0,11630*1000*SER_hh_tes!J23/SER_hh_num!J23)</f>
        <v>9267.8836086465853</v>
      </c>
      <c r="K23" s="133">
        <f>IF(SER_hh_tes!K23=0,0,11630*1000*SER_hh_tes!K23/SER_hh_num!K23)</f>
        <v>9413.9655131991021</v>
      </c>
      <c r="L23" s="133">
        <f>IF(SER_hh_tes!L23=0,0,11630*1000*SER_hh_tes!L23/SER_hh_num!L23)</f>
        <v>9795.1913707346266</v>
      </c>
      <c r="M23" s="133">
        <f>IF(SER_hh_tes!M23=0,0,11630*1000*SER_hh_tes!M23/SER_hh_num!M23)</f>
        <v>9869.3973394165096</v>
      </c>
      <c r="N23" s="133">
        <f>IF(SER_hh_tes!N23=0,0,11630*1000*SER_hh_tes!N23/SER_hh_num!N23)</f>
        <v>9853.9281065601281</v>
      </c>
      <c r="O23" s="133">
        <f>IF(SER_hh_tes!O23=0,0,11630*1000*SER_hh_tes!O23/SER_hh_num!O23)</f>
        <v>9883.3799460752889</v>
      </c>
      <c r="P23" s="133">
        <f>IF(SER_hh_tes!P23=0,0,11630*1000*SER_hh_tes!P23/SER_hh_num!P23)</f>
        <v>9932.9030792274625</v>
      </c>
      <c r="Q23" s="133">
        <f>IF(SER_hh_tes!Q23=0,0,11630*1000*SER_hh_tes!Q23/SER_hh_num!Q23)</f>
        <v>10103.376177402759</v>
      </c>
      <c r="R23" s="133">
        <f>IF(SER_hh_tes!R23=0,0,11630*1000*SER_hh_tes!R23/SER_hh_num!R23)</f>
        <v>10172.802552891115</v>
      </c>
      <c r="S23" s="133">
        <f>IF(SER_hh_tes!S23=0,0,11630*1000*SER_hh_tes!S23/SER_hh_num!S23)</f>
        <v>10428.974331128882</v>
      </c>
      <c r="T23" s="133">
        <f>IF(SER_hh_tes!T23=0,0,11630*1000*SER_hh_tes!T23/SER_hh_num!T23)</f>
        <v>10792.808849570982</v>
      </c>
      <c r="U23" s="133">
        <f>IF(SER_hh_tes!U23=0,0,11630*1000*SER_hh_tes!U23/SER_hh_num!U23)</f>
        <v>11065.820312600124</v>
      </c>
      <c r="V23" s="133">
        <f>IF(SER_hh_tes!V23=0,0,11630*1000*SER_hh_tes!V23/SER_hh_num!V23)</f>
        <v>9708.8321600330128</v>
      </c>
      <c r="W23" s="133">
        <f>IF(SER_hh_tes!W23=0,0,11630*1000*SER_hh_tes!W23/SER_hh_num!W23)</f>
        <v>10488.999908196842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9219.3015015437904</v>
      </c>
      <c r="C25" s="133">
        <f>IF(SER_hh_tes!C25=0,0,11630*1000*SER_hh_tes!C25/SER_hh_num!C25)</f>
        <v>9153.3629280824207</v>
      </c>
      <c r="D25" s="133">
        <f>IF(SER_hh_tes!D25=0,0,11630*1000*SER_hh_tes!D25/SER_hh_num!D25)</f>
        <v>8999.9045761967463</v>
      </c>
      <c r="E25" s="133">
        <f>IF(SER_hh_tes!E25=0,0,11630*1000*SER_hh_tes!E25/SER_hh_num!E25)</f>
        <v>8944.0874112163965</v>
      </c>
      <c r="F25" s="133">
        <f>IF(SER_hh_tes!F25=0,0,11630*1000*SER_hh_tes!F25/SER_hh_num!F25)</f>
        <v>8870.8513665407681</v>
      </c>
      <c r="G25" s="133">
        <f>IF(SER_hh_tes!G25=0,0,11630*1000*SER_hh_tes!G25/SER_hh_num!G25)</f>
        <v>8849.4741574446161</v>
      </c>
      <c r="H25" s="133">
        <f>IF(SER_hh_tes!H25=0,0,11630*1000*SER_hh_tes!H25/SER_hh_num!H25)</f>
        <v>8855.100736667282</v>
      </c>
      <c r="I25" s="133">
        <f>IF(SER_hh_tes!I25=0,0,11630*1000*SER_hh_tes!I25/SER_hh_num!I25)</f>
        <v>8932.7171660020813</v>
      </c>
      <c r="J25" s="133">
        <f>IF(SER_hh_tes!J25=0,0,11630*1000*SER_hh_tes!J25/SER_hh_num!J25)</f>
        <v>9116.9686077292336</v>
      </c>
      <c r="K25" s="133">
        <f>IF(SER_hh_tes!K25=0,0,11630*1000*SER_hh_tes!K25/SER_hh_num!K25)</f>
        <v>9311.5646860061606</v>
      </c>
      <c r="L25" s="133">
        <f>IF(SER_hh_tes!L25=0,0,11630*1000*SER_hh_tes!L25/SER_hh_num!L25)</f>
        <v>9566.2323746369439</v>
      </c>
      <c r="M25" s="133">
        <f>IF(SER_hh_tes!M25=0,0,11630*1000*SER_hh_tes!M25/SER_hh_num!M25)</f>
        <v>9784.6902242236993</v>
      </c>
      <c r="N25" s="133">
        <f>IF(SER_hh_tes!N25=0,0,11630*1000*SER_hh_tes!N25/SER_hh_num!N25)</f>
        <v>9809.1791389613372</v>
      </c>
      <c r="O25" s="133">
        <f>IF(SER_hh_tes!O25=0,0,11630*1000*SER_hh_tes!O25/SER_hh_num!O25)</f>
        <v>9881.5985772622207</v>
      </c>
      <c r="P25" s="133">
        <f>IF(SER_hh_tes!P25=0,0,11630*1000*SER_hh_tes!P25/SER_hh_num!P25)</f>
        <v>9912.7915331657241</v>
      </c>
      <c r="Q25" s="133">
        <f>IF(SER_hh_tes!Q25=0,0,11630*1000*SER_hh_tes!Q25/SER_hh_num!Q25)</f>
        <v>10050.187150374579</v>
      </c>
      <c r="R25" s="133">
        <f>IF(SER_hh_tes!R25=0,0,11630*1000*SER_hh_tes!R25/SER_hh_num!R25)</f>
        <v>10214.916376355512</v>
      </c>
      <c r="S25" s="133">
        <f>IF(SER_hh_tes!S25=0,0,11630*1000*SER_hh_tes!S25/SER_hh_num!S25)</f>
        <v>10513.702200245627</v>
      </c>
      <c r="T25" s="133">
        <f>IF(SER_hh_tes!T25=0,0,11630*1000*SER_hh_tes!T25/SER_hh_num!T25)</f>
        <v>10692.744439907534</v>
      </c>
      <c r="U25" s="133">
        <f>IF(SER_hh_tes!U25=0,0,11630*1000*SER_hh_tes!U25/SER_hh_num!U25)</f>
        <v>10746.61441074926</v>
      </c>
      <c r="V25" s="133">
        <f>IF(SER_hh_tes!V25=0,0,11630*1000*SER_hh_tes!V25/SER_hh_num!V25)</f>
        <v>9908.4423953709156</v>
      </c>
      <c r="W25" s="133">
        <f>IF(SER_hh_tes!W25=0,0,11630*1000*SER_hh_tes!W25/SER_hh_num!W25)</f>
        <v>10496.668162616716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9519.1438640527103</v>
      </c>
      <c r="C26" s="65">
        <f>IF(SER_hh_tes!C26=0,0,11630*1000*SER_hh_tes!C26/SER_hh_num!C26)</f>
        <v>9194.4170120301769</v>
      </c>
      <c r="D26" s="65">
        <f>IF(SER_hh_tes!D26=0,0,11630*1000*SER_hh_tes!D26/SER_hh_num!D26)</f>
        <v>9151.5358748923336</v>
      </c>
      <c r="E26" s="65">
        <f>IF(SER_hh_tes!E26=0,0,11630*1000*SER_hh_tes!E26/SER_hh_num!E26)</f>
        <v>8867.6186749439221</v>
      </c>
      <c r="F26" s="65">
        <f>IF(SER_hh_tes!F26=0,0,11630*1000*SER_hh_tes!F26/SER_hh_num!F26)</f>
        <v>8696.2883276584507</v>
      </c>
      <c r="G26" s="65">
        <f>IF(SER_hh_tes!G26=0,0,11630*1000*SER_hh_tes!G26/SER_hh_num!G26)</f>
        <v>8764.1222882057154</v>
      </c>
      <c r="H26" s="65">
        <f>IF(SER_hh_tes!H26=0,0,11630*1000*SER_hh_tes!H26/SER_hh_num!H26)</f>
        <v>8907.7100420604038</v>
      </c>
      <c r="I26" s="65">
        <f>IF(SER_hh_tes!I26=0,0,11630*1000*SER_hh_tes!I26/SER_hh_num!I26)</f>
        <v>8808.1465695385577</v>
      </c>
      <c r="J26" s="65">
        <f>IF(SER_hh_tes!J26=0,0,11630*1000*SER_hh_tes!J26/SER_hh_num!J26)</f>
        <v>8807.2354212352602</v>
      </c>
      <c r="K26" s="65">
        <f>IF(SER_hh_tes!K26=0,0,11630*1000*SER_hh_tes!K26/SER_hh_num!K26)</f>
        <v>9245.5829017433825</v>
      </c>
      <c r="L26" s="65">
        <f>IF(SER_hh_tes!L26=0,0,11630*1000*SER_hh_tes!L26/SER_hh_num!L26)</f>
        <v>9094.6751948248748</v>
      </c>
      <c r="M26" s="65">
        <f>IF(SER_hh_tes!M26=0,0,11630*1000*SER_hh_tes!M26/SER_hh_num!M26)</f>
        <v>8627.8957098500505</v>
      </c>
      <c r="N26" s="65">
        <f>IF(SER_hh_tes!N26=0,0,11630*1000*SER_hh_tes!N26/SER_hh_num!N26)</f>
        <v>8422.5140889666854</v>
      </c>
      <c r="O26" s="65">
        <f>IF(SER_hh_tes!O26=0,0,11630*1000*SER_hh_tes!O26/SER_hh_num!O26)</f>
        <v>8229.9894902129927</v>
      </c>
      <c r="P26" s="65">
        <f>IF(SER_hh_tes!P26=0,0,11630*1000*SER_hh_tes!P26/SER_hh_num!P26)</f>
        <v>8074.2579177884063</v>
      </c>
      <c r="Q26" s="65">
        <f>IF(SER_hh_tes!Q26=0,0,11630*1000*SER_hh_tes!Q26/SER_hh_num!Q26)</f>
        <v>7965.5171338190039</v>
      </c>
      <c r="R26" s="65">
        <f>IF(SER_hh_tes!R26=0,0,11630*1000*SER_hh_tes!R26/SER_hh_num!R26)</f>
        <v>8053.6915727839059</v>
      </c>
      <c r="S26" s="65">
        <f>IF(SER_hh_tes!S26=0,0,11630*1000*SER_hh_tes!S26/SER_hh_num!S26)</f>
        <v>8202.0894820254798</v>
      </c>
      <c r="T26" s="65">
        <f>IF(SER_hh_tes!T26=0,0,11630*1000*SER_hh_tes!T26/SER_hh_num!T26)</f>
        <v>8328.425357686443</v>
      </c>
      <c r="U26" s="65">
        <f>IF(SER_hh_tes!U26=0,0,11630*1000*SER_hh_tes!U26/SER_hh_num!U26)</f>
        <v>8506.4245727853504</v>
      </c>
      <c r="V26" s="65">
        <f>IF(SER_hh_tes!V26=0,0,11630*1000*SER_hh_tes!V26/SER_hh_num!V26)</f>
        <v>7304.7775400031787</v>
      </c>
      <c r="W26" s="65">
        <f>IF(SER_hh_tes!W26=0,0,11630*1000*SER_hh_tes!W26/SER_hh_num!W26)</f>
        <v>7957.0947168209923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516.84570657975553</v>
      </c>
      <c r="M27" s="146">
        <f>IF(SER_hh_tes!M27=0,0,11630*1000*SER_hh_tes!M27/SER_hh_num!M19)</f>
        <v>782.07345305296212</v>
      </c>
      <c r="N27" s="146">
        <f>IF(SER_hh_tes!N27=0,0,11630*1000*SER_hh_tes!N27/SER_hh_num!N19)</f>
        <v>940.3207424895503</v>
      </c>
      <c r="O27" s="146">
        <f>IF(SER_hh_tes!O27=0,0,11630*1000*SER_hh_tes!O27/SER_hh_num!O19)</f>
        <v>1305.7619221653617</v>
      </c>
      <c r="P27" s="146">
        <f>IF(SER_hh_tes!P27=0,0,11630*1000*SER_hh_tes!P27/SER_hh_num!P19)</f>
        <v>1301.6847661062307</v>
      </c>
      <c r="Q27" s="146">
        <f>IF(SER_hh_tes!Q27=0,0,11630*1000*SER_hh_tes!Q27/SER_hh_num!Q19)</f>
        <v>1508.7696280508328</v>
      </c>
      <c r="R27" s="146">
        <f>IF(SER_hh_tes!R27=0,0,11630*1000*SER_hh_tes!R27/SER_hh_num!R19)</f>
        <v>1561.032884534427</v>
      </c>
      <c r="S27" s="146">
        <f>IF(SER_hh_tes!S27=0,0,11630*1000*SER_hh_tes!S27/SER_hh_num!S19)</f>
        <v>1632.8346538075311</v>
      </c>
      <c r="T27" s="146">
        <f>IF(SER_hh_tes!T27=0,0,11630*1000*SER_hh_tes!T27/SER_hh_num!T19)</f>
        <v>1725.3728852680501</v>
      </c>
      <c r="U27" s="146">
        <f>IF(SER_hh_tes!U27=0,0,11630*1000*SER_hh_tes!U27/SER_hh_num!U19)</f>
        <v>1781.8226935842549</v>
      </c>
      <c r="V27" s="146">
        <f>IF(SER_hh_tes!V27=0,0,11630*1000*SER_hh_tes!V27/SER_hh_num!V19)</f>
        <v>1851.1327454258774</v>
      </c>
      <c r="W27" s="146">
        <f>IF(SER_hh_tes!W27=0,0,11630*1000*SER_hh_tes!W27/SER_hh_num!W19)</f>
        <v>1950.5808913483472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6449.2513094855603</v>
      </c>
      <c r="M28" s="147">
        <f>IF(SER_hh_tes!M27=0,0,11630*1000*SER_hh_tes!M27/SER_hh_num!M27)</f>
        <v>6619.6908910372204</v>
      </c>
      <c r="N28" s="147">
        <f>IF(SER_hh_tes!N27=0,0,11630*1000*SER_hh_tes!N27/SER_hh_num!N27)</f>
        <v>6866.299077471177</v>
      </c>
      <c r="O28" s="147">
        <f>IF(SER_hh_tes!O27=0,0,11630*1000*SER_hh_tes!O27/SER_hh_num!O27)</f>
        <v>6890.9818352749753</v>
      </c>
      <c r="P28" s="147">
        <f>IF(SER_hh_tes!P27=0,0,11630*1000*SER_hh_tes!P27/SER_hh_num!P27)</f>
        <v>6735.022334356363</v>
      </c>
      <c r="Q28" s="147">
        <f>IF(SER_hh_tes!Q27=0,0,11630*1000*SER_hh_tes!Q27/SER_hh_num!Q27)</f>
        <v>7163.642781291449</v>
      </c>
      <c r="R28" s="147">
        <f>IF(SER_hh_tes!R27=0,0,11630*1000*SER_hh_tes!R27/SER_hh_num!R27)</f>
        <v>7044.1665269325249</v>
      </c>
      <c r="S28" s="147">
        <f>IF(SER_hh_tes!S27=0,0,11630*1000*SER_hh_tes!S27/SER_hh_num!S27)</f>
        <v>7000.6000864935104</v>
      </c>
      <c r="T28" s="147">
        <f>IF(SER_hh_tes!T27=0,0,11630*1000*SER_hh_tes!T27/SER_hh_num!T27)</f>
        <v>7415.3286447074088</v>
      </c>
      <c r="U28" s="147">
        <f>IF(SER_hh_tes!U27=0,0,11630*1000*SER_hh_tes!U27/SER_hh_num!U27)</f>
        <v>7628.979695556106</v>
      </c>
      <c r="V28" s="147">
        <f>IF(SER_hh_tes!V27=0,0,11630*1000*SER_hh_tes!V27/SER_hh_num!V27)</f>
        <v>6867.3195122615316</v>
      </c>
      <c r="W28" s="147">
        <f>IF(SER_hh_tes!W27=0,0,11630*1000*SER_hh_tes!W27/SER_hh_num!W27)</f>
        <v>7336.2327566486292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11350.678250841867</v>
      </c>
      <c r="C29" s="131">
        <f>IF(SER_hh_tes!C29=0,0,11630*1000*SER_hh_tes!C29/SER_hh_num!C29)</f>
        <v>11589.684882893727</v>
      </c>
      <c r="D29" s="131">
        <f>IF(SER_hh_tes!D29=0,0,11630*1000*SER_hh_tes!D29/SER_hh_num!D29)</f>
        <v>11214.712028840073</v>
      </c>
      <c r="E29" s="131">
        <f>IF(SER_hh_tes!E29=0,0,11630*1000*SER_hh_tes!E29/SER_hh_num!E29)</f>
        <v>11024.52170570107</v>
      </c>
      <c r="F29" s="131">
        <f>IF(SER_hh_tes!F29=0,0,11630*1000*SER_hh_tes!F29/SER_hh_num!F29)</f>
        <v>11048.775522969212</v>
      </c>
      <c r="G29" s="131">
        <f>IF(SER_hh_tes!G29=0,0,11630*1000*SER_hh_tes!G29/SER_hh_num!G29)</f>
        <v>10728.185361999258</v>
      </c>
      <c r="H29" s="131">
        <f>IF(SER_hh_tes!H29=0,0,11630*1000*SER_hh_tes!H29/SER_hh_num!H29)</f>
        <v>10640.481265433193</v>
      </c>
      <c r="I29" s="131">
        <f>IF(SER_hh_tes!I29=0,0,11630*1000*SER_hh_tes!I29/SER_hh_num!I29)</f>
        <v>10559.718655922978</v>
      </c>
      <c r="J29" s="131">
        <f>IF(SER_hh_tes!J29=0,0,11630*1000*SER_hh_tes!J29/SER_hh_num!J29)</f>
        <v>10781.673865298579</v>
      </c>
      <c r="K29" s="131">
        <f>IF(SER_hh_tes!K29=0,0,11630*1000*SER_hh_tes!K29/SER_hh_num!K29)</f>
        <v>11028.655387838196</v>
      </c>
      <c r="L29" s="131">
        <f>IF(SER_hh_tes!L29=0,0,11630*1000*SER_hh_tes!L29/SER_hh_num!L29)</f>
        <v>11503.046388846165</v>
      </c>
      <c r="M29" s="131">
        <f>IF(SER_hh_tes!M29=0,0,11630*1000*SER_hh_tes!M29/SER_hh_num!M29)</f>
        <v>11399.433732613512</v>
      </c>
      <c r="N29" s="131">
        <f>IF(SER_hh_tes!N29=0,0,11630*1000*SER_hh_tes!N29/SER_hh_num!N29)</f>
        <v>11888.950447326586</v>
      </c>
      <c r="O29" s="131">
        <f>IF(SER_hh_tes!O29=0,0,11630*1000*SER_hh_tes!O29/SER_hh_num!O29)</f>
        <v>11889.605418828671</v>
      </c>
      <c r="P29" s="131">
        <f>IF(SER_hh_tes!P29=0,0,11630*1000*SER_hh_tes!P29/SER_hh_num!P29)</f>
        <v>11721.538570458555</v>
      </c>
      <c r="Q29" s="131">
        <f>IF(SER_hh_tes!Q29=0,0,11630*1000*SER_hh_tes!Q29/SER_hh_num!Q29)</f>
        <v>11747.8721647451</v>
      </c>
      <c r="R29" s="131">
        <f>IF(SER_hh_tes!R29=0,0,11630*1000*SER_hh_tes!R29/SER_hh_num!R29)</f>
        <v>11927.113851093365</v>
      </c>
      <c r="S29" s="131">
        <f>IF(SER_hh_tes!S29=0,0,11630*1000*SER_hh_tes!S29/SER_hh_num!S29)</f>
        <v>12380.899788574527</v>
      </c>
      <c r="T29" s="131">
        <f>IF(SER_hh_tes!T29=0,0,11630*1000*SER_hh_tes!T29/SER_hh_num!T29)</f>
        <v>12945.597090099232</v>
      </c>
      <c r="U29" s="131">
        <f>IF(SER_hh_tes!U29=0,0,11630*1000*SER_hh_tes!U29/SER_hh_num!U29)</f>
        <v>13117.003742991081</v>
      </c>
      <c r="V29" s="131">
        <f>IF(SER_hh_tes!V29=0,0,11630*1000*SER_hh_tes!V29/SER_hh_num!V29)</f>
        <v>11449.402060979446</v>
      </c>
      <c r="W29" s="131">
        <f>IF(SER_hh_tes!W29=0,0,11630*1000*SER_hh_tes!W29/SER_hh_num!W29)</f>
        <v>12593.65113272555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5741.4251089655845</v>
      </c>
      <c r="C30" s="133">
        <f>IF(SER_hh_tes!C30=0,0,11630*1000*SER_hh_tes!C30/SER_hh_num!C30)</f>
        <v>22840.197565767394</v>
      </c>
      <c r="D30" s="133">
        <f>IF(SER_hh_tes!D30=0,0,11630*1000*SER_hh_tes!D30/SER_hh_num!D30)</f>
        <v>6582.1679259492485</v>
      </c>
      <c r="E30" s="133">
        <f>IF(SER_hh_tes!E30=0,0,11630*1000*SER_hh_tes!E30/SER_hh_num!E30)</f>
        <v>7759.2946854933534</v>
      </c>
      <c r="F30" s="133">
        <f>IF(SER_hh_tes!F30=0,0,11630*1000*SER_hh_tes!F30/SER_hh_num!F30)</f>
        <v>20600.05732145935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13449.706412557925</v>
      </c>
      <c r="M30" s="133">
        <f>IF(SER_hh_tes!M30=0,0,11630*1000*SER_hh_tes!M30/SER_hh_num!M30)</f>
        <v>12506.74228909144</v>
      </c>
      <c r="N30" s="133">
        <f>IF(SER_hh_tes!N30=0,0,11630*1000*SER_hh_tes!N30/SER_hh_num!N30)</f>
        <v>19789.532226478659</v>
      </c>
      <c r="O30" s="133">
        <f>IF(SER_hh_tes!O30=0,0,11630*1000*SER_hh_tes!O30/SER_hh_num!O30)</f>
        <v>14169.156120250624</v>
      </c>
      <c r="P30" s="133">
        <f>IF(SER_hh_tes!P30=0,0,11630*1000*SER_hh_tes!P30/SER_hh_num!P30)</f>
        <v>8909.0247759512768</v>
      </c>
      <c r="Q30" s="133">
        <f>IF(SER_hh_tes!Q30=0,0,11630*1000*SER_hh_tes!Q30/SER_hh_num!Q30)</f>
        <v>8999.4005259234709</v>
      </c>
      <c r="R30" s="133">
        <f>IF(SER_hh_tes!R30=0,0,11630*1000*SER_hh_tes!R30/SER_hh_num!R30)</f>
        <v>10589.434036329165</v>
      </c>
      <c r="S30" s="133">
        <f>IF(SER_hh_tes!S30=0,0,11630*1000*SER_hh_tes!S30/SER_hh_num!S30)</f>
        <v>12627.116644291982</v>
      </c>
      <c r="T30" s="133">
        <f>IF(SER_hh_tes!T30=0,0,11630*1000*SER_hh_tes!T30/SER_hh_num!T30)</f>
        <v>13738.194724983427</v>
      </c>
      <c r="U30" s="133">
        <f>IF(SER_hh_tes!U30=0,0,11630*1000*SER_hh_tes!U30/SER_hh_num!U30)</f>
        <v>13456.631424184694</v>
      </c>
      <c r="V30" s="133">
        <f>IF(SER_hh_tes!V30=0,0,11630*1000*SER_hh_tes!V30/SER_hh_num!V30)</f>
        <v>11053.310764125481</v>
      </c>
      <c r="W30" s="133">
        <f>IF(SER_hh_tes!W30=0,0,11630*1000*SER_hh_tes!W30/SER_hh_num!W30)</f>
        <v>13020.411954816205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10849.4554429329</v>
      </c>
      <c r="C31" s="133">
        <f>IF(SER_hh_tes!C31=0,0,11630*1000*SER_hh_tes!C31/SER_hh_num!C31)</f>
        <v>11109.443928780109</v>
      </c>
      <c r="D31" s="133">
        <f>IF(SER_hh_tes!D31=0,0,11630*1000*SER_hh_tes!D31/SER_hh_num!D31)</f>
        <v>10246.663585982325</v>
      </c>
      <c r="E31" s="133">
        <f>IF(SER_hh_tes!E31=0,0,11630*1000*SER_hh_tes!E31/SER_hh_num!E31)</f>
        <v>10760.01185324701</v>
      </c>
      <c r="F31" s="133">
        <f>IF(SER_hh_tes!F31=0,0,11630*1000*SER_hh_tes!F31/SER_hh_num!F31)</f>
        <v>10893.62511640421</v>
      </c>
      <c r="G31" s="133">
        <f>IF(SER_hh_tes!G31=0,0,11630*1000*SER_hh_tes!G31/SER_hh_num!G31)</f>
        <v>9995.0875232004018</v>
      </c>
      <c r="H31" s="133">
        <f>IF(SER_hh_tes!H31=0,0,11630*1000*SER_hh_tes!H31/SER_hh_num!H31)</f>
        <v>11059.71779382794</v>
      </c>
      <c r="I31" s="133">
        <f>IF(SER_hh_tes!I31=0,0,11630*1000*SER_hh_tes!I31/SER_hh_num!I31)</f>
        <v>11204.577639364599</v>
      </c>
      <c r="J31" s="133">
        <f>IF(SER_hh_tes!J31=0,0,11630*1000*SER_hh_tes!J31/SER_hh_num!J31)</f>
        <v>11130.386446124208</v>
      </c>
      <c r="K31" s="133">
        <f>IF(SER_hh_tes!K31=0,0,11630*1000*SER_hh_tes!K31/SER_hh_num!K31)</f>
        <v>11096.160411913988</v>
      </c>
      <c r="L31" s="133">
        <f>IF(SER_hh_tes!L31=0,0,11630*1000*SER_hh_tes!L31/SER_hh_num!L31)</f>
        <v>11364.759832721304</v>
      </c>
      <c r="M31" s="133">
        <f>IF(SER_hh_tes!M31=0,0,11630*1000*SER_hh_tes!M31/SER_hh_num!M31)</f>
        <v>11489.756971478051</v>
      </c>
      <c r="N31" s="133">
        <f>IF(SER_hh_tes!N31=0,0,11630*1000*SER_hh_tes!N31/SER_hh_num!N31)</f>
        <v>11733.763885784632</v>
      </c>
      <c r="O31" s="133">
        <f>IF(SER_hh_tes!O31=0,0,11630*1000*SER_hh_tes!O31/SER_hh_num!O31)</f>
        <v>11857.409154001502</v>
      </c>
      <c r="P31" s="133">
        <f>IF(SER_hh_tes!P31=0,0,11630*1000*SER_hh_tes!P31/SER_hh_num!P31)</f>
        <v>11889.184223957925</v>
      </c>
      <c r="Q31" s="133">
        <f>IF(SER_hh_tes!Q31=0,0,11630*1000*SER_hh_tes!Q31/SER_hh_num!Q31)</f>
        <v>11983.345152708254</v>
      </c>
      <c r="R31" s="133">
        <f>IF(SER_hh_tes!R31=0,0,11630*1000*SER_hh_tes!R31/SER_hh_num!R31)</f>
        <v>12012.34107207112</v>
      </c>
      <c r="S31" s="133">
        <f>IF(SER_hh_tes!S31=0,0,11630*1000*SER_hh_tes!S31/SER_hh_num!S31)</f>
        <v>12452.143147933715</v>
      </c>
      <c r="T31" s="133">
        <f>IF(SER_hh_tes!T31=0,0,11630*1000*SER_hh_tes!T31/SER_hh_num!T31)</f>
        <v>12888.16555403474</v>
      </c>
      <c r="U31" s="133">
        <f>IF(SER_hh_tes!U31=0,0,11630*1000*SER_hh_tes!U31/SER_hh_num!U31)</f>
        <v>12800.407223122555</v>
      </c>
      <c r="V31" s="133">
        <f>IF(SER_hh_tes!V31=0,0,11630*1000*SER_hh_tes!V31/SER_hh_num!V31)</f>
        <v>11304.381280920941</v>
      </c>
      <c r="W31" s="133">
        <f>IF(SER_hh_tes!W31=0,0,11630*1000*SER_hh_tes!W31/SER_hh_num!W31)</f>
        <v>12722.368302920484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15828.925322650033</v>
      </c>
      <c r="K32" s="133">
        <f>IF(SER_hh_tes!K32=0,0,11630*1000*SER_hh_tes!K32/SER_hh_num!K32)</f>
        <v>12603.057156245963</v>
      </c>
      <c r="L32" s="133">
        <f>IF(SER_hh_tes!L32=0,0,11630*1000*SER_hh_tes!L32/SER_hh_num!L32)</f>
        <v>11608.014735647539</v>
      </c>
      <c r="M32" s="133">
        <f>IF(SER_hh_tes!M32=0,0,11630*1000*SER_hh_tes!M32/SER_hh_num!M32)</f>
        <v>11634.238197098175</v>
      </c>
      <c r="N32" s="133">
        <f>IF(SER_hh_tes!N32=0,0,11630*1000*SER_hh_tes!N32/SER_hh_num!N32)</f>
        <v>11384.513394513022</v>
      </c>
      <c r="O32" s="133">
        <f>IF(SER_hh_tes!O32=0,0,11630*1000*SER_hh_tes!O32/SER_hh_num!O32)</f>
        <v>11519.683463756463</v>
      </c>
      <c r="P32" s="133">
        <f>IF(SER_hh_tes!P32=0,0,11630*1000*SER_hh_tes!P32/SER_hh_num!P32)</f>
        <v>11347.30784100623</v>
      </c>
      <c r="Q32" s="133">
        <f>IF(SER_hh_tes!Q32=0,0,11630*1000*SER_hh_tes!Q32/SER_hh_num!Q32)</f>
        <v>10091.264649786657</v>
      </c>
      <c r="R32" s="133">
        <f>IF(SER_hh_tes!R32=0,0,11630*1000*SER_hh_tes!R32/SER_hh_num!R32)</f>
        <v>8126.9396291184494</v>
      </c>
      <c r="S32" s="133">
        <f>IF(SER_hh_tes!S32=0,0,11630*1000*SER_hh_tes!S32/SER_hh_num!S32)</f>
        <v>11695.493573368027</v>
      </c>
      <c r="T32" s="133">
        <f>IF(SER_hh_tes!T32=0,0,11630*1000*SER_hh_tes!T32/SER_hh_num!T32)</f>
        <v>14006.804501796683</v>
      </c>
      <c r="U32" s="133">
        <f>IF(SER_hh_tes!U32=0,0,11630*1000*SER_hh_tes!U32/SER_hh_num!U32)</f>
        <v>14221.181851758305</v>
      </c>
      <c r="V32" s="133">
        <f>IF(SER_hh_tes!V32=0,0,11630*1000*SER_hh_tes!V32/SER_hh_num!V32)</f>
        <v>12082.667201078972</v>
      </c>
      <c r="W32" s="133">
        <f>IF(SER_hh_tes!W32=0,0,11630*1000*SER_hh_tes!W32/SER_hh_num!W32)</f>
        <v>12145.321485764431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11490.055730179614</v>
      </c>
      <c r="C33" s="68">
        <f>IF(SER_hh_tes!C33=0,0,11630*1000*SER_hh_tes!C33/SER_hh_num!C33)</f>
        <v>11362.72037816302</v>
      </c>
      <c r="D33" s="68">
        <f>IF(SER_hh_tes!D33=0,0,11630*1000*SER_hh_tes!D33/SER_hh_num!D33)</f>
        <v>11340.329415550621</v>
      </c>
      <c r="E33" s="68">
        <f>IF(SER_hh_tes!E33=0,0,11630*1000*SER_hh_tes!E33/SER_hh_num!E33)</f>
        <v>11087.234340441551</v>
      </c>
      <c r="F33" s="68">
        <f>IF(SER_hh_tes!F33=0,0,11630*1000*SER_hh_tes!F33/SER_hh_num!F33)</f>
        <v>10946.727375542965</v>
      </c>
      <c r="G33" s="68">
        <f>IF(SER_hh_tes!G33=0,0,11630*1000*SER_hh_tes!G33/SER_hh_num!G33)</f>
        <v>10791.880283728704</v>
      </c>
      <c r="H33" s="68">
        <f>IF(SER_hh_tes!H33=0,0,11630*1000*SER_hh_tes!H33/SER_hh_num!H33)</f>
        <v>10595.873960721488</v>
      </c>
      <c r="I33" s="68">
        <f>IF(SER_hh_tes!I33=0,0,11630*1000*SER_hh_tes!I33/SER_hh_num!I33)</f>
        <v>10482.932409475601</v>
      </c>
      <c r="J33" s="68">
        <f>IF(SER_hh_tes!J33=0,0,11630*1000*SER_hh_tes!J33/SER_hh_num!J33)</f>
        <v>10601.801561078906</v>
      </c>
      <c r="K33" s="68">
        <f>IF(SER_hh_tes!K33=0,0,11630*1000*SER_hh_tes!K33/SER_hh_num!K33)</f>
        <v>10967.824225735169</v>
      </c>
      <c r="L33" s="68">
        <f>IF(SER_hh_tes!L33=0,0,11630*1000*SER_hh_tes!L33/SER_hh_num!L33)</f>
        <v>11444.49782379122</v>
      </c>
      <c r="M33" s="68">
        <f>IF(SER_hh_tes!M33=0,0,11630*1000*SER_hh_tes!M33/SER_hh_num!M33)</f>
        <v>11328.160111072089</v>
      </c>
      <c r="N33" s="68">
        <f>IF(SER_hh_tes!N33=0,0,11630*1000*SER_hh_tes!N33/SER_hh_num!N33)</f>
        <v>11495.401075731621</v>
      </c>
      <c r="O33" s="68">
        <f>IF(SER_hh_tes!O33=0,0,11630*1000*SER_hh_tes!O33/SER_hh_num!O33)</f>
        <v>11779.755129085108</v>
      </c>
      <c r="P33" s="68">
        <f>IF(SER_hh_tes!P33=0,0,11630*1000*SER_hh_tes!P33/SER_hh_num!P33)</f>
        <v>11856.440995886469</v>
      </c>
      <c r="Q33" s="68">
        <f>IF(SER_hh_tes!Q33=0,0,11630*1000*SER_hh_tes!Q33/SER_hh_num!Q33)</f>
        <v>11899.482634623364</v>
      </c>
      <c r="R33" s="68">
        <f>IF(SER_hh_tes!R33=0,0,11630*1000*SER_hh_tes!R33/SER_hh_num!R33)</f>
        <v>12114.614212232415</v>
      </c>
      <c r="S33" s="68">
        <f>IF(SER_hh_tes!S33=0,0,11630*1000*SER_hh_tes!S33/SER_hh_num!S33)</f>
        <v>12395.990792567049</v>
      </c>
      <c r="T33" s="68">
        <f>IF(SER_hh_tes!T33=0,0,11630*1000*SER_hh_tes!T33/SER_hh_num!T33)</f>
        <v>12821.425530589082</v>
      </c>
      <c r="U33" s="68">
        <f>IF(SER_hh_tes!U33=0,0,11630*1000*SER_hh_tes!U33/SER_hh_num!U33)</f>
        <v>13024.373002472517</v>
      </c>
      <c r="V33" s="68">
        <f>IF(SER_hh_tes!V33=0,0,11630*1000*SER_hh_tes!V33/SER_hh_num!V33)</f>
        <v>11426.283791789474</v>
      </c>
      <c r="W33" s="68">
        <f>IF(SER_hh_tes!W33=0,0,11630*1000*SER_hh_tes!W33/SER_hh_num!W33)</f>
        <v>12597.817470951552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5709.2918747748708</v>
      </c>
      <c r="C3" s="126">
        <f>IF(SER_hh_emi!C3=0,0,1000000*SER_hh_emi!C3/SER_hh_num!C3)</f>
        <v>9706.3963574282243</v>
      </c>
      <c r="D3" s="126">
        <f>IF(SER_hh_emi!D3=0,0,1000000*SER_hh_emi!D3/SER_hh_num!D3)</f>
        <v>6360.6442915784592</v>
      </c>
      <c r="E3" s="126">
        <f>IF(SER_hh_emi!E3=0,0,1000000*SER_hh_emi!E3/SER_hh_num!E3)</f>
        <v>4381.4042136330854</v>
      </c>
      <c r="F3" s="126">
        <f>IF(SER_hh_emi!F3=0,0,1000000*SER_hh_emi!F3/SER_hh_num!F3)</f>
        <v>3003.5472529511271</v>
      </c>
      <c r="G3" s="126">
        <f>IF(SER_hh_emi!G3=0,0,1000000*SER_hh_emi!G3/SER_hh_num!G3)</f>
        <v>3221.5400589299293</v>
      </c>
      <c r="H3" s="126">
        <f>IF(SER_hh_emi!H3=0,0,1000000*SER_hh_emi!H3/SER_hh_num!H3)</f>
        <v>5038.4369653481781</v>
      </c>
      <c r="I3" s="126">
        <f>IF(SER_hh_emi!I3=0,0,1000000*SER_hh_emi!I3/SER_hh_num!I3)</f>
        <v>4093.6820552473941</v>
      </c>
      <c r="J3" s="126">
        <f>IF(SER_hh_emi!J3=0,0,1000000*SER_hh_emi!J3/SER_hh_num!J3)</f>
        <v>4894.2919603853306</v>
      </c>
      <c r="K3" s="126">
        <f>IF(SER_hh_emi!K3=0,0,1000000*SER_hh_emi!K3/SER_hh_num!K3)</f>
        <v>4521.9049992233031</v>
      </c>
      <c r="L3" s="126">
        <f>IF(SER_hh_emi!L3=0,0,1000000*SER_hh_emi!L3/SER_hh_num!L3)</f>
        <v>4072.9185587363327</v>
      </c>
      <c r="M3" s="126">
        <f>IF(SER_hh_emi!M3=0,0,1000000*SER_hh_emi!M3/SER_hh_num!M3)</f>
        <v>3688.103521606055</v>
      </c>
      <c r="N3" s="126">
        <f>IF(SER_hh_emi!N3=0,0,1000000*SER_hh_emi!N3/SER_hh_num!N3)</f>
        <v>3539.6078908003328</v>
      </c>
      <c r="O3" s="126">
        <f>IF(SER_hh_emi!O3=0,0,1000000*SER_hh_emi!O3/SER_hh_num!O3)</f>
        <v>3036.7804747702999</v>
      </c>
      <c r="P3" s="126">
        <f>IF(SER_hh_emi!P3=0,0,1000000*SER_hh_emi!P3/SER_hh_num!P3)</f>
        <v>2765.9479737964302</v>
      </c>
      <c r="Q3" s="126">
        <f>IF(SER_hh_emi!Q3=0,0,1000000*SER_hh_emi!Q3/SER_hh_num!Q3)</f>
        <v>3765.7667762470655</v>
      </c>
      <c r="R3" s="126">
        <f>IF(SER_hh_emi!R3=0,0,1000000*SER_hh_emi!R3/SER_hh_num!R3)</f>
        <v>3748.0799321271238</v>
      </c>
      <c r="S3" s="126">
        <f>IF(SER_hh_emi!S3=0,0,1000000*SER_hh_emi!S3/SER_hh_num!S3)</f>
        <v>3607.8944083400929</v>
      </c>
      <c r="T3" s="126">
        <f>IF(SER_hh_emi!T3=0,0,1000000*SER_hh_emi!T3/SER_hh_num!T3)</f>
        <v>3257.1181640546893</v>
      </c>
      <c r="U3" s="126">
        <f>IF(SER_hh_emi!U3=0,0,1000000*SER_hh_emi!U3/SER_hh_num!U3)</f>
        <v>3204.7763362941596</v>
      </c>
      <c r="V3" s="126">
        <f>IF(SER_hh_emi!V3=0,0,1000000*SER_hh_emi!V3/SER_hh_num!V3)</f>
        <v>2911.4285945970655</v>
      </c>
      <c r="W3" s="126">
        <f>IF(SER_hh_emi!W3=0,0,1000000*SER_hh_emi!W3/SER_hh_num!W3)</f>
        <v>3392.3164278550062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4816.1970926755748</v>
      </c>
      <c r="C4" s="131">
        <f>IF(SER_hh_emi!C4=0,0,1000000*SER_hh_emi!C4/SER_hh_num!C4)</f>
        <v>8607.8348914991675</v>
      </c>
      <c r="D4" s="131">
        <f>IF(SER_hh_emi!D4=0,0,1000000*SER_hh_emi!D4/SER_hh_num!D4)</f>
        <v>5411.1774043074702</v>
      </c>
      <c r="E4" s="131">
        <f>IF(SER_hh_emi!E4=0,0,1000000*SER_hh_emi!E4/SER_hh_num!E4)</f>
        <v>3403.674721866023</v>
      </c>
      <c r="F4" s="131">
        <f>IF(SER_hh_emi!F4=0,0,1000000*SER_hh_emi!F4/SER_hh_num!F4)</f>
        <v>2002.562641776733</v>
      </c>
      <c r="G4" s="131">
        <f>IF(SER_hh_emi!G4=0,0,1000000*SER_hh_emi!G4/SER_hh_num!G4)</f>
        <v>2276.0146950286839</v>
      </c>
      <c r="H4" s="131">
        <f>IF(SER_hh_emi!H4=0,0,1000000*SER_hh_emi!H4/SER_hh_num!H4)</f>
        <v>3939.9770972222659</v>
      </c>
      <c r="I4" s="131">
        <f>IF(SER_hh_emi!I4=0,0,1000000*SER_hh_emi!I4/SER_hh_num!I4)</f>
        <v>2888.4639458636748</v>
      </c>
      <c r="J4" s="131">
        <f>IF(SER_hh_emi!J4=0,0,1000000*SER_hh_emi!J4/SER_hh_num!J4)</f>
        <v>3657.4082158740021</v>
      </c>
      <c r="K4" s="131">
        <f>IF(SER_hh_emi!K4=0,0,1000000*SER_hh_emi!K4/SER_hh_num!K4)</f>
        <v>3267.6989464038184</v>
      </c>
      <c r="L4" s="131">
        <f>IF(SER_hh_emi!L4=0,0,1000000*SER_hh_emi!L4/SER_hh_num!L4)</f>
        <v>2643.9906518714224</v>
      </c>
      <c r="M4" s="131">
        <f>IF(SER_hh_emi!M4=0,0,1000000*SER_hh_emi!M4/SER_hh_num!M4)</f>
        <v>2251.3576075483056</v>
      </c>
      <c r="N4" s="131">
        <f>IF(SER_hh_emi!N4=0,0,1000000*SER_hh_emi!N4/SER_hh_num!N4)</f>
        <v>1957.0120683175624</v>
      </c>
      <c r="O4" s="131">
        <f>IF(SER_hh_emi!O4=0,0,1000000*SER_hh_emi!O4/SER_hh_num!O4)</f>
        <v>1624.1436437421094</v>
      </c>
      <c r="P4" s="131">
        <f>IF(SER_hh_emi!P4=0,0,1000000*SER_hh_emi!P4/SER_hh_num!P4)</f>
        <v>1497.5047646113685</v>
      </c>
      <c r="Q4" s="131">
        <f>IF(SER_hh_emi!Q4=0,0,1000000*SER_hh_emi!Q4/SER_hh_num!Q4)</f>
        <v>2542.093992846309</v>
      </c>
      <c r="R4" s="131">
        <f>IF(SER_hh_emi!R4=0,0,1000000*SER_hh_emi!R4/SER_hh_num!R4)</f>
        <v>2567.4273278515552</v>
      </c>
      <c r="S4" s="131">
        <f>IF(SER_hh_emi!S4=0,0,1000000*SER_hh_emi!S4/SER_hh_num!S4)</f>
        <v>2367.276375367805</v>
      </c>
      <c r="T4" s="131">
        <f>IF(SER_hh_emi!T4=0,0,1000000*SER_hh_emi!T4/SER_hh_num!T4)</f>
        <v>2035.0536403443843</v>
      </c>
      <c r="U4" s="131">
        <f>IF(SER_hh_emi!U4=0,0,1000000*SER_hh_emi!U4/SER_hh_num!U4)</f>
        <v>1995.1091630006756</v>
      </c>
      <c r="V4" s="131">
        <f>IF(SER_hh_emi!V4=0,0,1000000*SER_hh_emi!V4/SER_hh_num!V4)</f>
        <v>1917.3681291522321</v>
      </c>
      <c r="W4" s="131">
        <f>IF(SER_hh_emi!W4=0,0,1000000*SER_hh_emi!W4/SER_hh_num!W4)</f>
        <v>2298.7780837284031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23739.873823051475</v>
      </c>
      <c r="C5" s="133">
        <f>IF(SER_hh_emi!C5=0,0,1000000*SER_hh_emi!C5/SER_hh_num!C5)</f>
        <v>22807.172352157013</v>
      </c>
      <c r="D5" s="133">
        <f>IF(SER_hh_emi!D5=0,0,1000000*SER_hh_emi!D5/SER_hh_num!D5)</f>
        <v>26810.727318125097</v>
      </c>
      <c r="E5" s="133">
        <f>IF(SER_hh_emi!E5=0,0,1000000*SER_hh_emi!E5/SER_hh_num!E5)</f>
        <v>28956.871675022299</v>
      </c>
      <c r="F5" s="133">
        <f>IF(SER_hh_emi!F5=0,0,1000000*SER_hh_emi!F5/SER_hh_num!F5)</f>
        <v>20251.865865191503</v>
      </c>
      <c r="G5" s="133">
        <f>IF(SER_hh_emi!G5=0,0,1000000*SER_hh_emi!G5/SER_hh_num!G5)</f>
        <v>28890.768552321373</v>
      </c>
      <c r="H5" s="133">
        <f>IF(SER_hh_emi!H5=0,0,1000000*SER_hh_emi!H5/SER_hh_num!H5)</f>
        <v>32890.581967691534</v>
      </c>
      <c r="I5" s="133">
        <f>IF(SER_hh_emi!I5=0,0,1000000*SER_hh_emi!I5/SER_hh_num!I5)</f>
        <v>16493.69590122865</v>
      </c>
      <c r="J5" s="133">
        <f>IF(SER_hh_emi!J5=0,0,1000000*SER_hh_emi!J5/SER_hh_num!J5)</f>
        <v>31606.205388955204</v>
      </c>
      <c r="K5" s="133">
        <f>IF(SER_hh_emi!K5=0,0,1000000*SER_hh_emi!K5/SER_hh_num!K5)</f>
        <v>27313.551205771499</v>
      </c>
      <c r="L5" s="133">
        <f>IF(SER_hh_emi!L5=0,0,1000000*SER_hh_emi!L5/SER_hh_num!L5)</f>
        <v>26169.583466331667</v>
      </c>
      <c r="M5" s="133">
        <f>IF(SER_hh_emi!M5=0,0,1000000*SER_hh_emi!M5/SER_hh_num!M5)</f>
        <v>28884.21892530586</v>
      </c>
      <c r="N5" s="133">
        <f>IF(SER_hh_emi!N5=0,0,1000000*SER_hh_emi!N5/SER_hh_num!N5)</f>
        <v>21815.981828776075</v>
      </c>
      <c r="O5" s="133">
        <f>IF(SER_hh_emi!O5=0,0,1000000*SER_hh_emi!O5/SER_hh_num!O5)</f>
        <v>28373.823812612474</v>
      </c>
      <c r="P5" s="133">
        <f>IF(SER_hh_emi!P5=0,0,1000000*SER_hh_emi!P5/SER_hh_num!P5)</f>
        <v>12989.83534748943</v>
      </c>
      <c r="Q5" s="133">
        <f>IF(SER_hh_emi!Q5=0,0,1000000*SER_hh_emi!Q5/SER_hh_num!Q5)</f>
        <v>32454.863620884465</v>
      </c>
      <c r="R5" s="133">
        <f>IF(SER_hh_emi!R5=0,0,1000000*SER_hh_emi!R5/SER_hh_num!R5)</f>
        <v>36115.816827767056</v>
      </c>
      <c r="S5" s="133">
        <f>IF(SER_hh_emi!S5=0,0,1000000*SER_hh_emi!S5/SER_hh_num!S5)</f>
        <v>26178.963152449018</v>
      </c>
      <c r="T5" s="133">
        <f>IF(SER_hh_emi!T5=0,0,1000000*SER_hh_emi!T5/SER_hh_num!T5)</f>
        <v>19366.321929470894</v>
      </c>
      <c r="U5" s="133">
        <f>IF(SER_hh_emi!U5=0,0,1000000*SER_hh_emi!U5/SER_hh_num!U5)</f>
        <v>30448.521476596045</v>
      </c>
      <c r="V5" s="133">
        <f>IF(SER_hh_emi!V5=0,0,1000000*SER_hh_emi!V5/SER_hh_num!V5)</f>
        <v>24892.195292231241</v>
      </c>
      <c r="W5" s="133">
        <f>IF(SER_hh_emi!W5=0,0,1000000*SER_hh_emi!W5/SER_hh_num!W5)</f>
        <v>24243.585434379598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15502.687429238538</v>
      </c>
      <c r="C7" s="133">
        <f>IF(SER_hh_emi!C7=0,0,1000000*SER_hh_emi!C7/SER_hh_num!C7)</f>
        <v>31218.870472032711</v>
      </c>
      <c r="D7" s="133">
        <f>IF(SER_hh_emi!D7=0,0,1000000*SER_hh_emi!D7/SER_hh_num!D7)</f>
        <v>24024.721570403733</v>
      </c>
      <c r="E7" s="133">
        <f>IF(SER_hh_emi!E7=0,0,1000000*SER_hh_emi!E7/SER_hh_num!E7)</f>
        <v>19022.998459366863</v>
      </c>
      <c r="F7" s="133">
        <f>IF(SER_hh_emi!F7=0,0,1000000*SER_hh_emi!F7/SER_hh_num!F7)</f>
        <v>13649.411872097939</v>
      </c>
      <c r="G7" s="133">
        <f>IF(SER_hh_emi!G7=0,0,1000000*SER_hh_emi!G7/SER_hh_num!G7)</f>
        <v>14907.116932736073</v>
      </c>
      <c r="H7" s="133">
        <f>IF(SER_hh_emi!H7=0,0,1000000*SER_hh_emi!H7/SER_hh_num!H7)</f>
        <v>31757.111451109304</v>
      </c>
      <c r="I7" s="133">
        <f>IF(SER_hh_emi!I7=0,0,1000000*SER_hh_emi!I7/SER_hh_num!I7)</f>
        <v>21822.249050176779</v>
      </c>
      <c r="J7" s="133">
        <f>IF(SER_hh_emi!J7=0,0,1000000*SER_hh_emi!J7/SER_hh_num!J7)</f>
        <v>28797.699591444558</v>
      </c>
      <c r="K7" s="133">
        <f>IF(SER_hh_emi!K7=0,0,1000000*SER_hh_emi!K7/SER_hh_num!K7)</f>
        <v>32889.235661848012</v>
      </c>
      <c r="L7" s="133">
        <f>IF(SER_hh_emi!L7=0,0,1000000*SER_hh_emi!L7/SER_hh_num!L7)</f>
        <v>22856.376800751259</v>
      </c>
      <c r="M7" s="133">
        <f>IF(SER_hh_emi!M7=0,0,1000000*SER_hh_emi!M7/SER_hh_num!M7)</f>
        <v>21810.764816099261</v>
      </c>
      <c r="N7" s="133">
        <f>IF(SER_hh_emi!N7=0,0,1000000*SER_hh_emi!N7/SER_hh_num!N7)</f>
        <v>24256.492118692411</v>
      </c>
      <c r="O7" s="133">
        <f>IF(SER_hh_emi!O7=0,0,1000000*SER_hh_emi!O7/SER_hh_num!O7)</f>
        <v>15540.259874413201</v>
      </c>
      <c r="P7" s="133">
        <f>IF(SER_hh_emi!P7=0,0,1000000*SER_hh_emi!P7/SER_hh_num!P7)</f>
        <v>9467.9357476438199</v>
      </c>
      <c r="Q7" s="133">
        <f>IF(SER_hh_emi!Q7=0,0,1000000*SER_hh_emi!Q7/SER_hh_num!Q7)</f>
        <v>25728.019846788258</v>
      </c>
      <c r="R7" s="133">
        <f>IF(SER_hh_emi!R7=0,0,1000000*SER_hh_emi!R7/SER_hh_num!R7)</f>
        <v>24319.278569211834</v>
      </c>
      <c r="S7" s="133">
        <f>IF(SER_hh_emi!S7=0,0,1000000*SER_hh_emi!S7/SER_hh_num!S7)</f>
        <v>21940.204866880922</v>
      </c>
      <c r="T7" s="133">
        <f>IF(SER_hh_emi!T7=0,0,1000000*SER_hh_emi!T7/SER_hh_num!T7)</f>
        <v>16530.706265539109</v>
      </c>
      <c r="U7" s="133">
        <f>IF(SER_hh_emi!U7=0,0,1000000*SER_hh_emi!U7/SER_hh_num!U7)</f>
        <v>22915.290317922641</v>
      </c>
      <c r="V7" s="133">
        <f>IF(SER_hh_emi!V7=0,0,1000000*SER_hh_emi!V7/SER_hh_num!V7)</f>
        <v>20988.799389577885</v>
      </c>
      <c r="W7" s="133">
        <f>IF(SER_hh_emi!W7=0,0,1000000*SER_hh_emi!W7/SER_hh_num!W7)</f>
        <v>23445.12624255984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11999.8920406693</v>
      </c>
      <c r="C9" s="133">
        <f>IF(SER_hh_emi!C9=0,0,1000000*SER_hh_emi!C9/SER_hh_num!C9)</f>
        <v>16566.959893274114</v>
      </c>
      <c r="D9" s="133">
        <f>IF(SER_hh_emi!D9=0,0,1000000*SER_hh_emi!D9/SER_hh_num!D9)</f>
        <v>13489.847645442134</v>
      </c>
      <c r="E9" s="133">
        <f>IF(SER_hh_emi!E9=0,0,1000000*SER_hh_emi!E9/SER_hh_num!E9)</f>
        <v>14735.825074737908</v>
      </c>
      <c r="F9" s="133">
        <f>IF(SER_hh_emi!F9=0,0,1000000*SER_hh_emi!F9/SER_hh_num!F9)</f>
        <v>11207.554408075075</v>
      </c>
      <c r="G9" s="133">
        <f>IF(SER_hh_emi!G9=0,0,1000000*SER_hh_emi!G9/SER_hh_num!G9)</f>
        <v>14003.366142124591</v>
      </c>
      <c r="H9" s="133">
        <f>IF(SER_hh_emi!H9=0,0,1000000*SER_hh_emi!H9/SER_hh_num!H9)</f>
        <v>17484.424856961243</v>
      </c>
      <c r="I9" s="133">
        <f>IF(SER_hh_emi!I9=0,0,1000000*SER_hh_emi!I9/SER_hh_num!I9)</f>
        <v>15582.44516851566</v>
      </c>
      <c r="J9" s="133">
        <f>IF(SER_hh_emi!J9=0,0,1000000*SER_hh_emi!J9/SER_hh_num!J9)</f>
        <v>18344.830518904208</v>
      </c>
      <c r="K9" s="133">
        <f>IF(SER_hh_emi!K9=0,0,1000000*SER_hh_emi!K9/SER_hh_num!K9)</f>
        <v>11564.771500362456</v>
      </c>
      <c r="L9" s="133">
        <f>IF(SER_hh_emi!L9=0,0,1000000*SER_hh_emi!L9/SER_hh_num!L9)</f>
        <v>15672.148064727435</v>
      </c>
      <c r="M9" s="133">
        <f>IF(SER_hh_emi!M9=0,0,1000000*SER_hh_emi!M9/SER_hh_num!M9)</f>
        <v>16170.115149942687</v>
      </c>
      <c r="N9" s="133">
        <f>IF(SER_hh_emi!N9=0,0,1000000*SER_hh_emi!N9/SER_hh_num!N9)</f>
        <v>14382.758183764348</v>
      </c>
      <c r="O9" s="133">
        <f>IF(SER_hh_emi!O9=0,0,1000000*SER_hh_emi!O9/SER_hh_num!O9)</f>
        <v>12314.908942711798</v>
      </c>
      <c r="P9" s="133">
        <f>IF(SER_hh_emi!P9=0,0,1000000*SER_hh_emi!P9/SER_hh_num!P9)</f>
        <v>12447.696900274408</v>
      </c>
      <c r="Q9" s="133">
        <f>IF(SER_hh_emi!Q9=0,0,1000000*SER_hh_emi!Q9/SER_hh_num!Q9)</f>
        <v>13412.312272032515</v>
      </c>
      <c r="R9" s="133">
        <f>IF(SER_hh_emi!R9=0,0,1000000*SER_hh_emi!R9/SER_hh_num!R9)</f>
        <v>13663.033877118991</v>
      </c>
      <c r="S9" s="133">
        <f>IF(SER_hh_emi!S9=0,0,1000000*SER_hh_emi!S9/SER_hh_num!S9)</f>
        <v>14484.712643908779</v>
      </c>
      <c r="T9" s="133">
        <f>IF(SER_hh_emi!T9=0,0,1000000*SER_hh_emi!T9/SER_hh_num!T9)</f>
        <v>15558.582259338664</v>
      </c>
      <c r="U9" s="133">
        <f>IF(SER_hh_emi!U9=0,0,1000000*SER_hh_emi!U9/SER_hh_num!U9)</f>
        <v>13909.151195725573</v>
      </c>
      <c r="V9" s="133">
        <f>IF(SER_hh_emi!V9=0,0,1000000*SER_hh_emi!V9/SER_hh_num!V9)</f>
        <v>13614.778218315891</v>
      </c>
      <c r="W9" s="133">
        <f>IF(SER_hh_emi!W9=0,0,1000000*SER_hh_emi!W9/SER_hh_num!W9)</f>
        <v>17089.321552454698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726.90251785976113</v>
      </c>
      <c r="C19" s="131">
        <f>IF(SER_hh_emi!C19=0,0,1000000*SER_hh_emi!C19/SER_hh_num!C19)</f>
        <v>773.28196564913196</v>
      </c>
      <c r="D19" s="131">
        <f>IF(SER_hh_emi!D19=0,0,1000000*SER_hh_emi!D19/SER_hh_num!D19)</f>
        <v>748.08114036124232</v>
      </c>
      <c r="E19" s="131">
        <f>IF(SER_hh_emi!E19=0,0,1000000*SER_hh_emi!E19/SER_hh_num!E19)</f>
        <v>728.58046364171469</v>
      </c>
      <c r="F19" s="131">
        <f>IF(SER_hh_emi!F19=0,0,1000000*SER_hh_emi!F19/SER_hh_num!F19)</f>
        <v>646.32119460482386</v>
      </c>
      <c r="G19" s="131">
        <f>IF(SER_hh_emi!G19=0,0,1000000*SER_hh_emi!G19/SER_hh_num!G19)</f>
        <v>653.34597992670865</v>
      </c>
      <c r="H19" s="131">
        <f>IF(SER_hh_emi!H19=0,0,1000000*SER_hh_emi!H19/SER_hh_num!H19)</f>
        <v>710.35930276458771</v>
      </c>
      <c r="I19" s="131">
        <f>IF(SER_hh_emi!I19=0,0,1000000*SER_hh_emi!I19/SER_hh_num!I19)</f>
        <v>770.90276230107258</v>
      </c>
      <c r="J19" s="131">
        <f>IF(SER_hh_emi!J19=0,0,1000000*SER_hh_emi!J19/SER_hh_num!J19)</f>
        <v>789.31328628235519</v>
      </c>
      <c r="K19" s="131">
        <f>IF(SER_hh_emi!K19=0,0,1000000*SER_hh_emi!K19/SER_hh_num!K19)</f>
        <v>805.26165557311776</v>
      </c>
      <c r="L19" s="131">
        <f>IF(SER_hh_emi!L19=0,0,1000000*SER_hh_emi!L19/SER_hh_num!L19)</f>
        <v>811.22950758335298</v>
      </c>
      <c r="M19" s="131">
        <f>IF(SER_hh_emi!M19=0,0,1000000*SER_hh_emi!M19/SER_hh_num!M19)</f>
        <v>797.87585847791229</v>
      </c>
      <c r="N19" s="131">
        <f>IF(SER_hh_emi!N19=0,0,1000000*SER_hh_emi!N19/SER_hh_num!N19)</f>
        <v>771.27489831848948</v>
      </c>
      <c r="O19" s="131">
        <f>IF(SER_hh_emi!O19=0,0,1000000*SER_hh_emi!O19/SER_hh_num!O19)</f>
        <v>701.1118844112367</v>
      </c>
      <c r="P19" s="131">
        <f>IF(SER_hh_emi!P19=0,0,1000000*SER_hh_emi!P19/SER_hh_num!P19)</f>
        <v>660.12964381303493</v>
      </c>
      <c r="Q19" s="131">
        <f>IF(SER_hh_emi!Q19=0,0,1000000*SER_hh_emi!Q19/SER_hh_num!Q19)</f>
        <v>642.03046613268543</v>
      </c>
      <c r="R19" s="131">
        <f>IF(SER_hh_emi!R19=0,0,1000000*SER_hh_emi!R19/SER_hh_num!R19)</f>
        <v>602.07765714831373</v>
      </c>
      <c r="S19" s="131">
        <f>IF(SER_hh_emi!S19=0,0,1000000*SER_hh_emi!S19/SER_hh_num!S19)</f>
        <v>604.69830897462066</v>
      </c>
      <c r="T19" s="131">
        <f>IF(SER_hh_emi!T19=0,0,1000000*SER_hh_emi!T19/SER_hh_num!T19)</f>
        <v>560.3081144115331</v>
      </c>
      <c r="U19" s="131">
        <f>IF(SER_hh_emi!U19=0,0,1000000*SER_hh_emi!U19/SER_hh_num!U19)</f>
        <v>564.50178937149701</v>
      </c>
      <c r="V19" s="131">
        <f>IF(SER_hh_emi!V19=0,0,1000000*SER_hh_emi!V19/SER_hh_num!V19)</f>
        <v>461.97342273800001</v>
      </c>
      <c r="W19" s="131">
        <f>IF(SER_hh_emi!W19=0,0,1000000*SER_hh_emi!W19/SER_hh_num!W19)</f>
        <v>476.61008690432868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5283.9236352461576</v>
      </c>
      <c r="C22" s="133">
        <f>IF(SER_hh_emi!C22=0,0,1000000*SER_hh_emi!C22/SER_hh_num!C22)</f>
        <v>5731.9695198469817</v>
      </c>
      <c r="D22" s="133">
        <f>IF(SER_hh_emi!D22=0,0,1000000*SER_hh_emi!D22/SER_hh_num!D22)</f>
        <v>5768.6458661620309</v>
      </c>
      <c r="E22" s="133">
        <f>IF(SER_hh_emi!E22=0,0,1000000*SER_hh_emi!E22/SER_hh_num!E22)</f>
        <v>5679.9072742362032</v>
      </c>
      <c r="F22" s="133">
        <f>IF(SER_hh_emi!F22=0,0,1000000*SER_hh_emi!F22/SER_hh_num!F22)</f>
        <v>5021.1432533967172</v>
      </c>
      <c r="G22" s="133">
        <f>IF(SER_hh_emi!G22=0,0,1000000*SER_hh_emi!G22/SER_hh_num!G22)</f>
        <v>5115.9175944899471</v>
      </c>
      <c r="H22" s="133">
        <f>IF(SER_hh_emi!H22=0,0,1000000*SER_hh_emi!H22/SER_hh_num!H22)</f>
        <v>5382.0933428801018</v>
      </c>
      <c r="I22" s="133">
        <f>IF(SER_hh_emi!I22=0,0,1000000*SER_hh_emi!I22/SER_hh_num!I22)</f>
        <v>5436.439506275884</v>
      </c>
      <c r="J22" s="133">
        <f>IF(SER_hh_emi!J22=0,0,1000000*SER_hh_emi!J22/SER_hh_num!J22)</f>
        <v>5536.1356800692811</v>
      </c>
      <c r="K22" s="133">
        <f>IF(SER_hh_emi!K22=0,0,1000000*SER_hh_emi!K22/SER_hh_num!K22)</f>
        <v>5547.9538081840983</v>
      </c>
      <c r="L22" s="133">
        <f>IF(SER_hh_emi!L22=0,0,1000000*SER_hh_emi!L22/SER_hh_num!L22)</f>
        <v>5609.231766757579</v>
      </c>
      <c r="M22" s="133">
        <f>IF(SER_hh_emi!M22=0,0,1000000*SER_hh_emi!M22/SER_hh_num!M22)</f>
        <v>6021.5543501233515</v>
      </c>
      <c r="N22" s="133">
        <f>IF(SER_hh_emi!N22=0,0,1000000*SER_hh_emi!N22/SER_hh_num!N22)</f>
        <v>6083.8790351681537</v>
      </c>
      <c r="O22" s="133">
        <f>IF(SER_hh_emi!O22=0,0,1000000*SER_hh_emi!O22/SER_hh_num!O22)</f>
        <v>5246.5319121328694</v>
      </c>
      <c r="P22" s="133">
        <f>IF(SER_hh_emi!P22=0,0,1000000*SER_hh_emi!P22/SER_hh_num!P22)</f>
        <v>4925.1652732089096</v>
      </c>
      <c r="Q22" s="133">
        <f>IF(SER_hh_emi!Q22=0,0,1000000*SER_hh_emi!Q22/SER_hh_num!Q22)</f>
        <v>5946.1573113960121</v>
      </c>
      <c r="R22" s="133">
        <f>IF(SER_hh_emi!R22=0,0,1000000*SER_hh_emi!R22/SER_hh_num!R22)</f>
        <v>6181.0860393370649</v>
      </c>
      <c r="S22" s="133">
        <f>IF(SER_hh_emi!S22=0,0,1000000*SER_hh_emi!S22/SER_hh_num!S22)</f>
        <v>6092.1991557881747</v>
      </c>
      <c r="T22" s="133">
        <f>IF(SER_hh_emi!T22=0,0,1000000*SER_hh_emi!T22/SER_hh_num!T22)</f>
        <v>4457.7444854003843</v>
      </c>
      <c r="U22" s="133">
        <f>IF(SER_hh_emi!U22=0,0,1000000*SER_hh_emi!U22/SER_hh_num!U22)</f>
        <v>6077.7608387829287</v>
      </c>
      <c r="V22" s="133">
        <f>IF(SER_hh_emi!V22=0,0,1000000*SER_hh_emi!V22/SER_hh_num!V22)</f>
        <v>5482.954049793796</v>
      </c>
      <c r="W22" s="133">
        <f>IF(SER_hh_emi!W22=0,0,1000000*SER_hh_emi!W22/SER_hh_num!W22)</f>
        <v>5626.6507420377548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3745.9795567544897</v>
      </c>
      <c r="C23" s="133">
        <f>IF(SER_hh_emi!C23=0,0,1000000*SER_hh_emi!C23/SER_hh_num!C23)</f>
        <v>4028.1148588842698</v>
      </c>
      <c r="D23" s="133">
        <f>IF(SER_hh_emi!D23=0,0,1000000*SER_hh_emi!D23/SER_hh_num!D23)</f>
        <v>3509.2776138277331</v>
      </c>
      <c r="E23" s="133">
        <f>IF(SER_hh_emi!E23=0,0,1000000*SER_hh_emi!E23/SER_hh_num!E23)</f>
        <v>3630.6456448840049</v>
      </c>
      <c r="F23" s="133">
        <f>IF(SER_hh_emi!F23=0,0,1000000*SER_hh_emi!F23/SER_hh_num!F23)</f>
        <v>3516.0047641049869</v>
      </c>
      <c r="G23" s="133">
        <f>IF(SER_hh_emi!G23=0,0,1000000*SER_hh_emi!G23/SER_hh_num!G23)</f>
        <v>3395.5028464037619</v>
      </c>
      <c r="H23" s="133">
        <f>IF(SER_hh_emi!H23=0,0,1000000*SER_hh_emi!H23/SER_hh_num!H23)</f>
        <v>3490.3888978927512</v>
      </c>
      <c r="I23" s="133">
        <f>IF(SER_hh_emi!I23=0,0,1000000*SER_hh_emi!I23/SER_hh_num!I23)</f>
        <v>3661.852217185944</v>
      </c>
      <c r="J23" s="133">
        <f>IF(SER_hh_emi!J23=0,0,1000000*SER_hh_emi!J23/SER_hh_num!J23)</f>
        <v>3607.7921525246893</v>
      </c>
      <c r="K23" s="133">
        <f>IF(SER_hh_emi!K23=0,0,1000000*SER_hh_emi!K23/SER_hh_num!K23)</f>
        <v>3631.2106181324939</v>
      </c>
      <c r="L23" s="133">
        <f>IF(SER_hh_emi!L23=0,0,1000000*SER_hh_emi!L23/SER_hh_num!L23)</f>
        <v>3720.7533542306451</v>
      </c>
      <c r="M23" s="133">
        <f>IF(SER_hh_emi!M23=0,0,1000000*SER_hh_emi!M23/SER_hh_num!M23)</f>
        <v>3714.6741890313924</v>
      </c>
      <c r="N23" s="133">
        <f>IF(SER_hh_emi!N23=0,0,1000000*SER_hh_emi!N23/SER_hh_num!N23)</f>
        <v>3736.2397494875077</v>
      </c>
      <c r="O23" s="133">
        <f>IF(SER_hh_emi!O23=0,0,1000000*SER_hh_emi!O23/SER_hh_num!O23)</f>
        <v>3700.7122068663962</v>
      </c>
      <c r="P23" s="133">
        <f>IF(SER_hh_emi!P23=0,0,1000000*SER_hh_emi!P23/SER_hh_num!P23)</f>
        <v>3660.0538195432164</v>
      </c>
      <c r="Q23" s="133">
        <f>IF(SER_hh_emi!Q23=0,0,1000000*SER_hh_emi!Q23/SER_hh_num!Q23)</f>
        <v>3536.5564243471954</v>
      </c>
      <c r="R23" s="133">
        <f>IF(SER_hh_emi!R23=0,0,1000000*SER_hh_emi!R23/SER_hh_num!R23)</f>
        <v>3361.0658056547718</v>
      </c>
      <c r="S23" s="133">
        <f>IF(SER_hh_emi!S23=0,0,1000000*SER_hh_emi!S23/SER_hh_num!S23)</f>
        <v>3520.4229373831859</v>
      </c>
      <c r="T23" s="133">
        <f>IF(SER_hh_emi!T23=0,0,1000000*SER_hh_emi!T23/SER_hh_num!T23)</f>
        <v>3488.2526574640806</v>
      </c>
      <c r="U23" s="133">
        <f>IF(SER_hh_emi!U23=0,0,1000000*SER_hh_emi!U23/SER_hh_num!U23)</f>
        <v>3503.1042437051055</v>
      </c>
      <c r="V23" s="133">
        <f>IF(SER_hh_emi!V23=0,0,1000000*SER_hh_emi!V23/SER_hh_num!V23)</f>
        <v>2937.1424441016306</v>
      </c>
      <c r="W23" s="133">
        <f>IF(SER_hh_emi!W23=0,0,1000000*SER_hh_emi!W23/SER_hh_num!W23)</f>
        <v>3128.7725807678626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166.19226423953492</v>
      </c>
      <c r="C29" s="131">
        <f>IF(SER_hh_emi!C29=0,0,1000000*SER_hh_emi!C29/SER_hh_num!C29)</f>
        <v>325.27950027992597</v>
      </c>
      <c r="D29" s="131">
        <f>IF(SER_hh_emi!D29=0,0,1000000*SER_hh_emi!D29/SER_hh_num!D29)</f>
        <v>201.38574690974667</v>
      </c>
      <c r="E29" s="131">
        <f>IF(SER_hh_emi!E29=0,0,1000000*SER_hh_emi!E29/SER_hh_num!E29)</f>
        <v>249.14902812534734</v>
      </c>
      <c r="F29" s="131">
        <f>IF(SER_hh_emi!F29=0,0,1000000*SER_hh_emi!F29/SER_hh_num!F29)</f>
        <v>354.66341656956996</v>
      </c>
      <c r="G29" s="131">
        <f>IF(SER_hh_emi!G29=0,0,1000000*SER_hh_emi!G29/SER_hh_num!G29)</f>
        <v>292.17938397453651</v>
      </c>
      <c r="H29" s="131">
        <f>IF(SER_hh_emi!H29=0,0,1000000*SER_hh_emi!H29/SER_hh_num!H29)</f>
        <v>388.10056536132424</v>
      </c>
      <c r="I29" s="131">
        <f>IF(SER_hh_emi!I29=0,0,1000000*SER_hh_emi!I29/SER_hh_num!I29)</f>
        <v>434.31534708264707</v>
      </c>
      <c r="J29" s="131">
        <f>IF(SER_hh_emi!J29=0,0,1000000*SER_hh_emi!J29/SER_hh_num!J29)</f>
        <v>447.57045822897334</v>
      </c>
      <c r="K29" s="131">
        <f>IF(SER_hh_emi!K29=0,0,1000000*SER_hh_emi!K29/SER_hh_num!K29)</f>
        <v>448.94439724636783</v>
      </c>
      <c r="L29" s="131">
        <f>IF(SER_hh_emi!L29=0,0,1000000*SER_hh_emi!L29/SER_hh_num!L29)</f>
        <v>617.69839928155852</v>
      </c>
      <c r="M29" s="131">
        <f>IF(SER_hh_emi!M29=0,0,1000000*SER_hh_emi!M29/SER_hh_num!M29)</f>
        <v>638.87005557983798</v>
      </c>
      <c r="N29" s="131">
        <f>IF(SER_hh_emi!N29=0,0,1000000*SER_hh_emi!N29/SER_hh_num!N29)</f>
        <v>811.3209241642794</v>
      </c>
      <c r="O29" s="131">
        <f>IF(SER_hh_emi!O29=0,0,1000000*SER_hh_emi!O29/SER_hh_num!O29)</f>
        <v>711.52494661695482</v>
      </c>
      <c r="P29" s="131">
        <f>IF(SER_hh_emi!P29=0,0,1000000*SER_hh_emi!P29/SER_hh_num!P29)</f>
        <v>608.31356537202737</v>
      </c>
      <c r="Q29" s="131">
        <f>IF(SER_hh_emi!Q29=0,0,1000000*SER_hh_emi!Q29/SER_hh_num!Q29)</f>
        <v>581.6423172680702</v>
      </c>
      <c r="R29" s="131">
        <f>IF(SER_hh_emi!R29=0,0,1000000*SER_hh_emi!R29/SER_hh_num!R29)</f>
        <v>578.57494712725475</v>
      </c>
      <c r="S29" s="131">
        <f>IF(SER_hh_emi!S29=0,0,1000000*SER_hh_emi!S29/SER_hh_num!S29)</f>
        <v>635.9197239976678</v>
      </c>
      <c r="T29" s="131">
        <f>IF(SER_hh_emi!T29=0,0,1000000*SER_hh_emi!T29/SER_hh_num!T29)</f>
        <v>661.75640929877102</v>
      </c>
      <c r="U29" s="131">
        <f>IF(SER_hh_emi!U29=0,0,1000000*SER_hh_emi!U29/SER_hh_num!U29)</f>
        <v>645.16538392198652</v>
      </c>
      <c r="V29" s="131">
        <f>IF(SER_hh_emi!V29=0,0,1000000*SER_hh_emi!V29/SER_hh_num!V29)</f>
        <v>532.0870427068329</v>
      </c>
      <c r="W29" s="131">
        <f>IF(SER_hh_emi!W29=0,0,1000000*SER_hh_emi!W29/SER_hh_num!W29)</f>
        <v>616.92825722227462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2410.2091520029876</v>
      </c>
      <c r="C30" s="133">
        <f>IF(SER_hh_emi!C30=0,0,1000000*SER_hh_emi!C30/SER_hh_num!C30)</f>
        <v>9575.3727759182402</v>
      </c>
      <c r="D30" s="133">
        <f>IF(SER_hh_emi!D30=0,0,1000000*SER_hh_emi!D30/SER_hh_num!D30)</f>
        <v>2759.0414978496478</v>
      </c>
      <c r="E30" s="133">
        <f>IF(SER_hh_emi!E30=0,0,1000000*SER_hh_emi!E30/SER_hh_num!E30)</f>
        <v>3251.9775182171948</v>
      </c>
      <c r="F30" s="133">
        <f>IF(SER_hh_emi!F30=0,0,1000000*SER_hh_emi!F30/SER_hh_num!F30)</f>
        <v>8632.4434052620636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5479.626334134583</v>
      </c>
      <c r="M30" s="133">
        <f>IF(SER_hh_emi!M30=0,0,1000000*SER_hh_emi!M30/SER_hh_num!M30)</f>
        <v>5094.3624178809932</v>
      </c>
      <c r="N30" s="133">
        <f>IF(SER_hh_emi!N30=0,0,1000000*SER_hh_emi!N30/SER_hh_num!N30)</f>
        <v>8060.0283780701302</v>
      </c>
      <c r="O30" s="133">
        <f>IF(SER_hh_emi!O30=0,0,1000000*SER_hh_emi!O30/SER_hh_num!O30)</f>
        <v>5770.8239644519163</v>
      </c>
      <c r="P30" s="133">
        <f>IF(SER_hh_emi!P30=0,0,1000000*SER_hh_emi!P30/SER_hh_num!P30)</f>
        <v>3628.4387027361527</v>
      </c>
      <c r="Q30" s="133">
        <f>IF(SER_hh_emi!Q30=0,0,1000000*SER_hh_emi!Q30/SER_hh_num!Q30)</f>
        <v>3665.1872986772382</v>
      </c>
      <c r="R30" s="133">
        <f>IF(SER_hh_emi!R30=0,0,1000000*SER_hh_emi!R30/SER_hh_num!R30)</f>
        <v>4310.925720843662</v>
      </c>
      <c r="S30" s="133">
        <f>IF(SER_hh_emi!S30=0,0,1000000*SER_hh_emi!S30/SER_hh_num!S30)</f>
        <v>5130.1190464795172</v>
      </c>
      <c r="T30" s="133">
        <f>IF(SER_hh_emi!T30=0,0,1000000*SER_hh_emi!T30/SER_hh_num!T30)</f>
        <v>5556.4878450904489</v>
      </c>
      <c r="U30" s="133">
        <f>IF(SER_hh_emi!U30=0,0,1000000*SER_hh_emi!U30/SER_hh_num!U30)</f>
        <v>5414.9160071832885</v>
      </c>
      <c r="V30" s="133">
        <f>IF(SER_hh_emi!V30=0,0,1000000*SER_hh_emi!V30/SER_hh_num!V30)</f>
        <v>4420.9910071751974</v>
      </c>
      <c r="W30" s="133">
        <f>IF(SER_hh_emi!W30=0,0,1000000*SER_hh_emi!W30/SER_hh_num!W30)</f>
        <v>5159.5527523622486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4028.0231787145317</v>
      </c>
      <c r="C31" s="133">
        <f>IF(SER_hh_emi!C31=0,0,1000000*SER_hh_emi!C31/SER_hh_num!C31)</f>
        <v>4113.9774257877989</v>
      </c>
      <c r="D31" s="133">
        <f>IF(SER_hh_emi!D31=0,0,1000000*SER_hh_emi!D31/SER_hh_num!D31)</f>
        <v>3779.0429884668297</v>
      </c>
      <c r="E31" s="133">
        <f>IF(SER_hh_emi!E31=0,0,1000000*SER_hh_emi!E31/SER_hh_num!E31)</f>
        <v>3955.4520125882464</v>
      </c>
      <c r="F31" s="133">
        <f>IF(SER_hh_emi!F31=0,0,1000000*SER_hh_emi!F31/SER_hh_num!F31)</f>
        <v>3993.1579711011013</v>
      </c>
      <c r="G31" s="133">
        <f>IF(SER_hh_emi!G31=0,0,1000000*SER_hh_emi!G31/SER_hh_num!G31)</f>
        <v>3655.0232201464264</v>
      </c>
      <c r="H31" s="133">
        <f>IF(SER_hh_emi!H31=0,0,1000000*SER_hh_emi!H31/SER_hh_num!H31)</f>
        <v>4035.6182699544579</v>
      </c>
      <c r="I31" s="133">
        <f>IF(SER_hh_emi!I31=0,0,1000000*SER_hh_emi!I31/SER_hh_num!I31)</f>
        <v>4081.741366334034</v>
      </c>
      <c r="J31" s="133">
        <f>IF(SER_hh_emi!J31=0,0,1000000*SER_hh_emi!J31/SER_hh_num!J31)</f>
        <v>4049.6516230961715</v>
      </c>
      <c r="K31" s="133">
        <f>IF(SER_hh_emi!K31=0,0,1000000*SER_hh_emi!K31/SER_hh_num!K31)</f>
        <v>4024.2532677763729</v>
      </c>
      <c r="L31" s="133">
        <f>IF(SER_hh_emi!L31=0,0,1000000*SER_hh_emi!L31/SER_hh_num!L31)</f>
        <v>4072.3685247101189</v>
      </c>
      <c r="M31" s="133">
        <f>IF(SER_hh_emi!M31=0,0,1000000*SER_hh_emi!M31/SER_hh_num!M31)</f>
        <v>4102.4407124222416</v>
      </c>
      <c r="N31" s="133">
        <f>IF(SER_hh_emi!N31=0,0,1000000*SER_hh_emi!N31/SER_hh_num!N31)</f>
        <v>4251.6326926688353</v>
      </c>
      <c r="O31" s="133">
        <f>IF(SER_hh_emi!O31=0,0,1000000*SER_hh_emi!O31/SER_hh_num!O31)</f>
        <v>4275.9122927671315</v>
      </c>
      <c r="P31" s="133">
        <f>IF(SER_hh_emi!P31=0,0,1000000*SER_hh_emi!P31/SER_hh_num!P31)</f>
        <v>4268.6899606451843</v>
      </c>
      <c r="Q31" s="133">
        <f>IF(SER_hh_emi!Q31=0,0,1000000*SER_hh_emi!Q31/SER_hh_num!Q31)</f>
        <v>4149.5533062374243</v>
      </c>
      <c r="R31" s="133">
        <f>IF(SER_hh_emi!R31=0,0,1000000*SER_hh_emi!R31/SER_hh_num!R31)</f>
        <v>4005.924091391586</v>
      </c>
      <c r="S31" s="133">
        <f>IF(SER_hh_emi!S31=0,0,1000000*SER_hh_emi!S31/SER_hh_num!S31)</f>
        <v>4351.3663578509741</v>
      </c>
      <c r="T31" s="133">
        <f>IF(SER_hh_emi!T31=0,0,1000000*SER_hh_emi!T31/SER_hh_num!T31)</f>
        <v>4438.7622630525993</v>
      </c>
      <c r="U31" s="133">
        <f>IF(SER_hh_emi!U31=0,0,1000000*SER_hh_emi!U31/SER_hh_num!U31)</f>
        <v>4443.7849603262375</v>
      </c>
      <c r="V31" s="133">
        <f>IF(SER_hh_emi!V31=0,0,1000000*SER_hh_emi!V31/SER_hh_num!V31)</f>
        <v>3840.8753672578514</v>
      </c>
      <c r="W31" s="133">
        <f>IF(SER_hh_emi!W31=0,0,1000000*SER_hh_emi!W31/SER_hh_num!W31)</f>
        <v>4371.3454413014397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96.406665734890353</v>
      </c>
      <c r="C3" s="126">
        <f>IF(SER_hh_fech!C3=0,0,SER_hh_fech!C3/SER_summary!C$26)</f>
        <v>115.60349354796233</v>
      </c>
      <c r="D3" s="126">
        <f>IF(SER_hh_fech!D3=0,0,SER_hh_fech!D3/SER_summary!D$26)</f>
        <v>103.20097401559637</v>
      </c>
      <c r="E3" s="126">
        <f>IF(SER_hh_fech!E3=0,0,SER_hh_fech!E3/SER_summary!E$26)</f>
        <v>99.096390870684459</v>
      </c>
      <c r="F3" s="126">
        <f>IF(SER_hh_fech!F3=0,0,SER_hh_fech!F3/SER_summary!F$26)</f>
        <v>81.620290444464274</v>
      </c>
      <c r="G3" s="126">
        <f>IF(SER_hh_fech!G3=0,0,SER_hh_fech!G3/SER_summary!G$26)</f>
        <v>96.902699898445391</v>
      </c>
      <c r="H3" s="126">
        <f>IF(SER_hh_fech!H3=0,0,SER_hh_fech!H3/SER_summary!H$26)</f>
        <v>109.38350663393221</v>
      </c>
      <c r="I3" s="126">
        <f>IF(SER_hh_fech!I3=0,0,SER_hh_fech!I3/SER_summary!I$26)</f>
        <v>94.134203828510394</v>
      </c>
      <c r="J3" s="126">
        <f>IF(SER_hh_fech!J3=0,0,SER_hh_fech!J3/SER_summary!J$26)</f>
        <v>98.325458301701701</v>
      </c>
      <c r="K3" s="126">
        <f>IF(SER_hh_fech!K3=0,0,SER_hh_fech!K3/SER_summary!K$26)</f>
        <v>93.527815028138974</v>
      </c>
      <c r="L3" s="126">
        <f>IF(SER_hh_fech!L3=0,0,SER_hh_fech!L3/SER_summary!L$26)</f>
        <v>98.681114062719331</v>
      </c>
      <c r="M3" s="126">
        <f>IF(SER_hh_fech!M3=0,0,SER_hh_fech!M3/SER_summary!M$26)</f>
        <v>103.14408951878123</v>
      </c>
      <c r="N3" s="126">
        <f>IF(SER_hh_fech!N3=0,0,SER_hh_fech!N3/SER_summary!N$26)</f>
        <v>96.776526127539583</v>
      </c>
      <c r="O3" s="126">
        <f>IF(SER_hh_fech!O3=0,0,SER_hh_fech!O3/SER_summary!O$26)</f>
        <v>85.541782233932082</v>
      </c>
      <c r="P3" s="126">
        <f>IF(SER_hh_fech!P3=0,0,SER_hh_fech!P3/SER_summary!P$26)</f>
        <v>77.725562381074184</v>
      </c>
      <c r="Q3" s="126">
        <f>IF(SER_hh_fech!Q3=0,0,SER_hh_fech!Q3/SER_summary!Q$26)</f>
        <v>84.076878497780243</v>
      </c>
      <c r="R3" s="126">
        <f>IF(SER_hh_fech!R3=0,0,SER_hh_fech!R3/SER_summary!R$26)</f>
        <v>92.141895270115228</v>
      </c>
      <c r="S3" s="126">
        <f>IF(SER_hh_fech!S3=0,0,SER_hh_fech!S3/SER_summary!S$26)</f>
        <v>91.405007023235683</v>
      </c>
      <c r="T3" s="126">
        <f>IF(SER_hh_fech!T3=0,0,SER_hh_fech!T3/SER_summary!T$26)</f>
        <v>98.242272473375053</v>
      </c>
      <c r="U3" s="126">
        <f>IF(SER_hh_fech!U3=0,0,SER_hh_fech!U3/SER_summary!U$26)</f>
        <v>101.48389596133808</v>
      </c>
      <c r="V3" s="126">
        <f>IF(SER_hh_fech!V3=0,0,SER_hh_fech!V3/SER_summary!V$26)</f>
        <v>80.92097895003711</v>
      </c>
      <c r="W3" s="126">
        <f>IF(SER_hh_fech!W3=0,0,SER_hh_fech!W3/SER_summary!W$26)</f>
        <v>103.25527622953852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57.64928082494535</v>
      </c>
      <c r="C4" s="131">
        <f>IF(SER_hh_fech!C4=0,0,SER_hh_fech!C4/SER_summary!C$26)</f>
        <v>76.577493675812178</v>
      </c>
      <c r="D4" s="131">
        <f>IF(SER_hh_fech!D4=0,0,SER_hh_fech!D4/SER_summary!D$26)</f>
        <v>65.921473319793961</v>
      </c>
      <c r="E4" s="131">
        <f>IF(SER_hh_fech!E4=0,0,SER_hh_fech!E4/SER_summary!E$26)</f>
        <v>62.205142245228231</v>
      </c>
      <c r="F4" s="131">
        <f>IF(SER_hh_fech!F4=0,0,SER_hh_fech!F4/SER_summary!F$26)</f>
        <v>45.52363289721788</v>
      </c>
      <c r="G4" s="131">
        <f>IF(SER_hh_fech!G4=0,0,SER_hh_fech!G4/SER_summary!G$26)</f>
        <v>61.360343965935648</v>
      </c>
      <c r="H4" s="131">
        <f>IF(SER_hh_fech!H4=0,0,SER_hh_fech!H4/SER_summary!H$26)</f>
        <v>73.270197708769786</v>
      </c>
      <c r="I4" s="131">
        <f>IF(SER_hh_fech!I4=0,0,SER_hh_fech!I4/SER_summary!I$26)</f>
        <v>55.831074358685868</v>
      </c>
      <c r="J4" s="131">
        <f>IF(SER_hh_fech!J4=0,0,SER_hh_fech!J4/SER_summary!J$26)</f>
        <v>61.120321958693616</v>
      </c>
      <c r="K4" s="131">
        <f>IF(SER_hh_fech!K4=0,0,SER_hh_fech!K4/SER_summary!K$26)</f>
        <v>55.784490655126007</v>
      </c>
      <c r="L4" s="131">
        <f>IF(SER_hh_fech!L4=0,0,SER_hh_fech!L4/SER_summary!L$26)</f>
        <v>58.742411692470746</v>
      </c>
      <c r="M4" s="131">
        <f>IF(SER_hh_fech!M4=0,0,SER_hh_fech!M4/SER_summary!M$26)</f>
        <v>64.099001906396893</v>
      </c>
      <c r="N4" s="131">
        <f>IF(SER_hh_fech!N4=0,0,SER_hh_fech!N4/SER_summary!N$26)</f>
        <v>54.030259855471755</v>
      </c>
      <c r="O4" s="131">
        <f>IF(SER_hh_fech!O4=0,0,SER_hh_fech!O4/SER_summary!O$26)</f>
        <v>46.08632821194994</v>
      </c>
      <c r="P4" s="131">
        <f>IF(SER_hh_fech!P4=0,0,SER_hh_fech!P4/SER_summary!P$26)</f>
        <v>39.342376514414291</v>
      </c>
      <c r="Q4" s="131">
        <f>IF(SER_hh_fech!Q4=0,0,SER_hh_fech!Q4/SER_summary!Q$26)</f>
        <v>44.645893350368802</v>
      </c>
      <c r="R4" s="131">
        <f>IF(SER_hh_fech!R4=0,0,SER_hh_fech!R4/SER_summary!R$26)</f>
        <v>52.864541122630008</v>
      </c>
      <c r="S4" s="131">
        <f>IF(SER_hh_fech!S4=0,0,SER_hh_fech!S4/SER_summary!S$26)</f>
        <v>51.235215773884825</v>
      </c>
      <c r="T4" s="131">
        <f>IF(SER_hh_fech!T4=0,0,SER_hh_fech!T4/SER_summary!T$26)</f>
        <v>58.10869738289022</v>
      </c>
      <c r="U4" s="131">
        <f>IF(SER_hh_fech!U4=0,0,SER_hh_fech!U4/SER_summary!U$26)</f>
        <v>60.984936219894159</v>
      </c>
      <c r="V4" s="131">
        <f>IF(SER_hh_fech!V4=0,0,SER_hh_fech!V4/SER_summary!V$26)</f>
        <v>45.401550767646967</v>
      </c>
      <c r="W4" s="131">
        <f>IF(SER_hh_fech!W4=0,0,SER_hh_fech!W4/SER_summary!W$26)</f>
        <v>64.469158395561323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71.529865664221575</v>
      </c>
      <c r="C5" s="133">
        <f>IF(SER_hh_fech!C5=0,0,SER_hh_fech!C5/SER_summary!C$26)</f>
        <v>69.767415676295514</v>
      </c>
      <c r="D5" s="133">
        <f>IF(SER_hh_fech!D5=0,0,SER_hh_fech!D5/SER_summary!D$26)</f>
        <v>83.061898522895575</v>
      </c>
      <c r="E5" s="133">
        <f>IF(SER_hh_fech!E5=0,0,SER_hh_fech!E5/SER_summary!E$26)</f>
        <v>90.007595056810203</v>
      </c>
      <c r="F5" s="133">
        <f>IF(SER_hh_fech!F5=0,0,SER_hh_fech!F5/SER_summary!F$26)</f>
        <v>62.502330541342921</v>
      </c>
      <c r="G5" s="133">
        <f>IF(SER_hh_fech!G5=0,0,SER_hh_fech!G5/SER_summary!G$26)</f>
        <v>89.062841442891767</v>
      </c>
      <c r="H5" s="133">
        <f>IF(SER_hh_fech!H5=0,0,SER_hh_fech!H5/SER_summary!H$26)</f>
        <v>101.78239388239584</v>
      </c>
      <c r="I5" s="133">
        <f>IF(SER_hh_fech!I5=0,0,SER_hh_fech!I5/SER_summary!I$26)</f>
        <v>50.760559503600369</v>
      </c>
      <c r="J5" s="133">
        <f>IF(SER_hh_fech!J5=0,0,SER_hh_fech!J5/SER_summary!J$26)</f>
        <v>97.096209965267789</v>
      </c>
      <c r="K5" s="133">
        <f>IF(SER_hh_fech!K5=0,0,SER_hh_fech!K5/SER_summary!K$26)</f>
        <v>82.683599134656262</v>
      </c>
      <c r="L5" s="133">
        <f>IF(SER_hh_fech!L5=0,0,SER_hh_fech!L5/SER_summary!L$26)</f>
        <v>80.281882789437461</v>
      </c>
      <c r="M5" s="133">
        <f>IF(SER_hh_fech!M5=0,0,SER_hh_fech!M5/SER_summary!M$26)</f>
        <v>89.308271283531241</v>
      </c>
      <c r="N5" s="133">
        <f>IF(SER_hh_fech!N5=0,0,SER_hh_fech!N5/SER_summary!N$26)</f>
        <v>67.040014956157663</v>
      </c>
      <c r="O5" s="133">
        <f>IF(SER_hh_fech!O5=0,0,SER_hh_fech!O5/SER_summary!O$26)</f>
        <v>87.894249998793654</v>
      </c>
      <c r="P5" s="133">
        <f>IF(SER_hh_fech!P5=0,0,SER_hh_fech!P5/SER_summary!P$26)</f>
        <v>39.921726988516021</v>
      </c>
      <c r="Q5" s="133">
        <f>IF(SER_hh_fech!Q5=0,0,SER_hh_fech!Q5/SER_summary!Q$26)</f>
        <v>102.60045154828434</v>
      </c>
      <c r="R5" s="133">
        <f>IF(SER_hh_fech!R5=0,0,SER_hh_fech!R5/SER_summary!R$26)</f>
        <v>112.44851522605298</v>
      </c>
      <c r="S5" s="133">
        <f>IF(SER_hh_fech!S5=0,0,SER_hh_fech!S5/SER_summary!S$26)</f>
        <v>80.203014636139855</v>
      </c>
      <c r="T5" s="133">
        <f>IF(SER_hh_fech!T5=0,0,SER_hh_fech!T5/SER_summary!T$26)</f>
        <v>60.022511079875045</v>
      </c>
      <c r="U5" s="133">
        <f>IF(SER_hh_fech!U5=0,0,SER_hh_fech!U5/SER_summary!U$26)</f>
        <v>97.044585277963307</v>
      </c>
      <c r="V5" s="133">
        <f>IF(SER_hh_fech!V5=0,0,SER_hh_fech!V5/SER_summary!V$26)</f>
        <v>83.554920691610619</v>
      </c>
      <c r="W5" s="133">
        <f>IF(SER_hh_fech!W5=0,0,SER_hh_fech!W5/SER_summary!W$26)</f>
        <v>79.426962708986835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64.01179722794825</v>
      </c>
      <c r="C7" s="133">
        <f>IF(SER_hh_fech!C7=0,0,SER_hh_fech!C7/SER_summary!C$26)</f>
        <v>129.60381631941817</v>
      </c>
      <c r="D7" s="133">
        <f>IF(SER_hh_fech!D7=0,0,SER_hh_fech!D7/SER_summary!D$26)</f>
        <v>99.468244170243366</v>
      </c>
      <c r="E7" s="133">
        <f>IF(SER_hh_fech!E7=0,0,SER_hh_fech!E7/SER_summary!E$26)</f>
        <v>78.48298120220997</v>
      </c>
      <c r="F7" s="133">
        <f>IF(SER_hh_fech!F7=0,0,SER_hh_fech!F7/SER_summary!F$26)</f>
        <v>55.962939490970193</v>
      </c>
      <c r="G7" s="133">
        <f>IF(SER_hh_fech!G7=0,0,SER_hh_fech!G7/SER_summary!G$26)</f>
        <v>61.090777048510809</v>
      </c>
      <c r="H7" s="133">
        <f>IF(SER_hh_fech!H7=0,0,SER_hh_fech!H7/SER_summary!H$26)</f>
        <v>128.41263274970032</v>
      </c>
      <c r="I7" s="133">
        <f>IF(SER_hh_fech!I7=0,0,SER_hh_fech!I7/SER_summary!I$26)</f>
        <v>89.693428170417874</v>
      </c>
      <c r="J7" s="133">
        <f>IF(SER_hh_fech!J7=0,0,SER_hh_fech!J7/SER_summary!J$26)</f>
        <v>118.53584445834149</v>
      </c>
      <c r="K7" s="133">
        <f>IF(SER_hh_fech!K7=0,0,SER_hh_fech!K7/SER_summary!K$26)</f>
        <v>136.01220239954361</v>
      </c>
      <c r="L7" s="133">
        <f>IF(SER_hh_fech!L7=0,0,SER_hh_fech!L7/SER_summary!L$26)</f>
        <v>94.498459587391054</v>
      </c>
      <c r="M7" s="133">
        <f>IF(SER_hh_fech!M7=0,0,SER_hh_fech!M7/SER_summary!M$26)</f>
        <v>89.779738405294779</v>
      </c>
      <c r="N7" s="133">
        <f>IF(SER_hh_fech!N7=0,0,SER_hh_fech!N7/SER_summary!N$26)</f>
        <v>99.0722158292957</v>
      </c>
      <c r="O7" s="133">
        <f>IF(SER_hh_fech!O7=0,0,SER_hh_fech!O7/SER_summary!O$26)</f>
        <v>64.18228424420991</v>
      </c>
      <c r="P7" s="133">
        <f>IF(SER_hh_fech!P7=0,0,SER_hh_fech!P7/SER_summary!P$26)</f>
        <v>39.28478423602089</v>
      </c>
      <c r="Q7" s="133">
        <f>IF(SER_hh_fech!Q7=0,0,SER_hh_fech!Q7/SER_summary!Q$26)</f>
        <v>104.48862795427732</v>
      </c>
      <c r="R7" s="133">
        <f>IF(SER_hh_fech!R7=0,0,SER_hh_fech!R7/SER_summary!R$26)</f>
        <v>99.214226556591612</v>
      </c>
      <c r="S7" s="133">
        <f>IF(SER_hh_fech!S7=0,0,SER_hh_fech!S7/SER_summary!S$26)</f>
        <v>89.636431272697649</v>
      </c>
      <c r="T7" s="133">
        <f>IF(SER_hh_fech!T7=0,0,SER_hh_fech!T7/SER_summary!T$26)</f>
        <v>68.459720354041025</v>
      </c>
      <c r="U7" s="133">
        <f>IF(SER_hh_fech!U7=0,0,SER_hh_fech!U7/SER_summary!U$26)</f>
        <v>95.223357416505678</v>
      </c>
      <c r="V7" s="133">
        <f>IF(SER_hh_fech!V7=0,0,SER_hh_fech!V7/SER_summary!V$26)</f>
        <v>87.235109930576243</v>
      </c>
      <c r="W7" s="133">
        <f>IF(SER_hh_fech!W7=0,0,SER_hh_fech!W7/SER_summary!W$26)</f>
        <v>97.498548981142193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66.019079909494153</v>
      </c>
      <c r="C9" s="133">
        <f>IF(SER_hh_fech!C9=0,0,SER_hh_fech!C9/SER_summary!C$26)</f>
        <v>91.145440754352421</v>
      </c>
      <c r="D9" s="133">
        <f>IF(SER_hh_fech!D9=0,0,SER_hh_fech!D9/SER_summary!D$26)</f>
        <v>74.216278500925</v>
      </c>
      <c r="E9" s="133">
        <f>IF(SER_hh_fech!E9=0,0,SER_hh_fech!E9/SER_summary!E$26)</f>
        <v>81.071197127802563</v>
      </c>
      <c r="F9" s="133">
        <f>IF(SER_hh_fech!F9=0,0,SER_hh_fech!F9/SER_summary!F$26)</f>
        <v>61.659923901735631</v>
      </c>
      <c r="G9" s="133">
        <f>IF(SER_hh_fech!G9=0,0,SER_hh_fech!G9/SER_summary!G$26)</f>
        <v>77.041472140383092</v>
      </c>
      <c r="H9" s="133">
        <f>IF(SER_hh_fech!H9=0,0,SER_hh_fech!H9/SER_summary!H$26)</f>
        <v>96.193002227950743</v>
      </c>
      <c r="I9" s="133">
        <f>IF(SER_hh_fech!I9=0,0,SER_hh_fech!I9/SER_summary!I$26)</f>
        <v>85.728995667545064</v>
      </c>
      <c r="J9" s="133">
        <f>IF(SER_hh_fech!J9=0,0,SER_hh_fech!J9/SER_summary!J$26)</f>
        <v>100.92664399388332</v>
      </c>
      <c r="K9" s="133">
        <f>IF(SER_hh_fech!K9=0,0,SER_hh_fech!K9/SER_summary!K$26)</f>
        <v>63.763307425616624</v>
      </c>
      <c r="L9" s="133">
        <f>IF(SER_hh_fech!L9=0,0,SER_hh_fech!L9/SER_summary!L$26)</f>
        <v>87.3789127814469</v>
      </c>
      <c r="M9" s="133">
        <f>IF(SER_hh_fech!M9=0,0,SER_hh_fech!M9/SER_summary!M$26)</f>
        <v>90.403330647413171</v>
      </c>
      <c r="N9" s="133">
        <f>IF(SER_hh_fech!N9=0,0,SER_hh_fech!N9/SER_summary!N$26)</f>
        <v>79.151911971494187</v>
      </c>
      <c r="O9" s="133">
        <f>IF(SER_hh_fech!O9=0,0,SER_hh_fech!O9/SER_summary!O$26)</f>
        <v>68.001158806353033</v>
      </c>
      <c r="P9" s="133">
        <f>IF(SER_hh_fech!P9=0,0,SER_hh_fech!P9/SER_summary!P$26)</f>
        <v>68.935084978035576</v>
      </c>
      <c r="Q9" s="133">
        <f>IF(SER_hh_fech!Q9=0,0,SER_hh_fech!Q9/SER_summary!Q$26)</f>
        <v>76.916435809817997</v>
      </c>
      <c r="R9" s="133">
        <f>IF(SER_hh_fech!R9=0,0,SER_hh_fech!R9/SER_summary!R$26)</f>
        <v>81.219341128829129</v>
      </c>
      <c r="S9" s="133">
        <f>IF(SER_hh_fech!S9=0,0,SER_hh_fech!S9/SER_summary!S$26)</f>
        <v>81.976817872014223</v>
      </c>
      <c r="T9" s="133">
        <f>IF(SER_hh_fech!T9=0,0,SER_hh_fech!T9/SER_summary!T$26)</f>
        <v>89.084851573453577</v>
      </c>
      <c r="U9" s="133">
        <f>IF(SER_hh_fech!U9=0,0,SER_hh_fech!U9/SER_summary!U$26)</f>
        <v>78.748042969093348</v>
      </c>
      <c r="V9" s="133">
        <f>IF(SER_hh_fech!V9=0,0,SER_hh_fech!V9/SER_summary!V$26)</f>
        <v>78.455626396527961</v>
      </c>
      <c r="W9" s="133">
        <f>IF(SER_hh_fech!W9=0,0,SER_hh_fech!W9/SER_summary!W$26)</f>
        <v>96.80153838586341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90.546626482697874</v>
      </c>
      <c r="C10" s="133">
        <f>IF(SER_hh_fech!C10=0,0,SER_hh_fech!C10/SER_summary!C$26)</f>
        <v>95.353749488779528</v>
      </c>
      <c r="D10" s="133">
        <f>IF(SER_hh_fech!D10=0,0,SER_hh_fech!D10/SER_summary!D$26)</f>
        <v>79.518409415413728</v>
      </c>
      <c r="E10" s="133">
        <f>IF(SER_hh_fech!E10=0,0,SER_hh_fech!E10/SER_summary!E$26)</f>
        <v>111.76665489900111</v>
      </c>
      <c r="F10" s="133">
        <f>IF(SER_hh_fech!F10=0,0,SER_hh_fech!F10/SER_summary!F$26)</f>
        <v>71.433773930224021</v>
      </c>
      <c r="G10" s="133">
        <f>IF(SER_hh_fech!G10=0,0,SER_hh_fech!G10/SER_summary!G$26)</f>
        <v>97.66018858815498</v>
      </c>
      <c r="H10" s="133">
        <f>IF(SER_hh_fech!H10=0,0,SER_hh_fech!H10/SER_summary!H$26)</f>
        <v>120.64629623100051</v>
      </c>
      <c r="I10" s="133">
        <f>IF(SER_hh_fech!I10=0,0,SER_hh_fech!I10/SER_summary!I$26)</f>
        <v>96.793584410326105</v>
      </c>
      <c r="J10" s="133">
        <f>IF(SER_hh_fech!J10=0,0,SER_hh_fech!J10/SER_summary!J$26)</f>
        <v>113.94542416791006</v>
      </c>
      <c r="K10" s="133">
        <f>IF(SER_hh_fech!K10=0,0,SER_hh_fech!K10/SER_summary!K$26)</f>
        <v>91.185560823733027</v>
      </c>
      <c r="L10" s="133">
        <f>IF(SER_hh_fech!L10=0,0,SER_hh_fech!L10/SER_summary!L$26)</f>
        <v>46.691928722812378</v>
      </c>
      <c r="M10" s="133">
        <f>IF(SER_hh_fech!M10=0,0,SER_hh_fech!M10/SER_summary!M$26)</f>
        <v>36.804371868827651</v>
      </c>
      <c r="N10" s="133">
        <f>IF(SER_hh_fech!N10=0,0,SER_hh_fech!N10/SER_summary!N$26)</f>
        <v>207.29368105558189</v>
      </c>
      <c r="O10" s="133">
        <f>IF(SER_hh_fech!O10=0,0,SER_hh_fech!O10/SER_summary!O$26)</f>
        <v>103.17576535524211</v>
      </c>
      <c r="P10" s="133">
        <f>IF(SER_hh_fech!P10=0,0,SER_hh_fech!P10/SER_summary!P$26)</f>
        <v>11.882405001970428</v>
      </c>
      <c r="Q10" s="133">
        <f>IF(SER_hh_fech!Q10=0,0,SER_hh_fech!Q10/SER_summary!Q$26)</f>
        <v>50.039093579918337</v>
      </c>
      <c r="R10" s="133">
        <f>IF(SER_hh_fech!R10=0,0,SER_hh_fech!R10/SER_summary!R$26)</f>
        <v>19.659213238610107</v>
      </c>
      <c r="S10" s="133">
        <f>IF(SER_hh_fech!S10=0,0,SER_hh_fech!S10/SER_summary!S$26)</f>
        <v>109.81393283811447</v>
      </c>
      <c r="T10" s="133">
        <f>IF(SER_hh_fech!T10=0,0,SER_hh_fech!T10/SER_summary!T$26)</f>
        <v>128.96710375977571</v>
      </c>
      <c r="U10" s="133">
        <f>IF(SER_hh_fech!U10=0,0,SER_hh_fech!U10/SER_summary!U$26)</f>
        <v>126.88448008131871</v>
      </c>
      <c r="V10" s="133">
        <f>IF(SER_hh_fech!V10=0,0,SER_hh_fech!V10/SER_summary!V$26)</f>
        <v>92.250890630129575</v>
      </c>
      <c r="W10" s="133">
        <f>IF(SER_hh_fech!W10=0,0,SER_hh_fech!W10/SER_summary!W$26)</f>
        <v>132.816727486373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80.707958308421382</v>
      </c>
      <c r="H11" s="133">
        <f>IF(SER_hh_fech!H11=0,0,SER_hh_fech!H11/SER_summary!H$26)</f>
        <v>63.868147495649112</v>
      </c>
      <c r="I11" s="133">
        <f>IF(SER_hh_fech!I11=0,0,SER_hh_fech!I11/SER_summary!I$26)</f>
        <v>54.473129142910196</v>
      </c>
      <c r="J11" s="133">
        <f>IF(SER_hh_fech!J11=0,0,SER_hh_fech!J11/SER_summary!J$26)</f>
        <v>54.48812531535954</v>
      </c>
      <c r="K11" s="133">
        <f>IF(SER_hh_fech!K11=0,0,SER_hh_fech!K11/SER_summary!K$26)</f>
        <v>54.50686883771003</v>
      </c>
      <c r="L11" s="133">
        <f>IF(SER_hh_fech!L11=0,0,SER_hh_fech!L11/SER_summary!L$26)</f>
        <v>56.42009526038742</v>
      </c>
      <c r="M11" s="133">
        <f>IF(SER_hh_fech!M11=0,0,SER_hh_fech!M11/SER_summary!M$26)</f>
        <v>57.571544017678399</v>
      </c>
      <c r="N11" s="133">
        <f>IF(SER_hh_fech!N11=0,0,SER_hh_fech!N11/SER_summary!N$26)</f>
        <v>55.156466674039308</v>
      </c>
      <c r="O11" s="133">
        <f>IF(SER_hh_fech!O11=0,0,SER_hh_fech!O11/SER_summary!O$26)</f>
        <v>52.617148147862899</v>
      </c>
      <c r="P11" s="133">
        <f>IF(SER_hh_fech!P11=0,0,SER_hh_fech!P11/SER_summary!P$26)</f>
        <v>50.935922973451071</v>
      </c>
      <c r="Q11" s="133">
        <f>IF(SER_hh_fech!Q11=0,0,SER_hh_fech!Q11/SER_summary!Q$26)</f>
        <v>52.823462879687135</v>
      </c>
      <c r="R11" s="133">
        <f>IF(SER_hh_fech!R11=0,0,SER_hh_fech!R11/SER_summary!R$26)</f>
        <v>57.879977783771359</v>
      </c>
      <c r="S11" s="133">
        <f>IF(SER_hh_fech!S11=0,0,SER_hh_fech!S11/SER_summary!S$26)</f>
        <v>60.33104941480854</v>
      </c>
      <c r="T11" s="133">
        <f>IF(SER_hh_fech!T11=0,0,SER_hh_fech!T11/SER_summary!T$26)</f>
        <v>61.912556494796078</v>
      </c>
      <c r="U11" s="133">
        <f>IF(SER_hh_fech!U11=0,0,SER_hh_fech!U11/SER_summary!U$26)</f>
        <v>63.586217959664445</v>
      </c>
      <c r="V11" s="133">
        <f>IF(SER_hh_fech!V11=0,0,SER_hh_fech!V11/SER_summary!V$26)</f>
        <v>64.896216378762887</v>
      </c>
      <c r="W11" s="133">
        <f>IF(SER_hh_fech!W11=0,0,SER_hh_fech!W11/SER_summary!W$26)</f>
        <v>66.547242309970343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50.185443879220919</v>
      </c>
      <c r="C12" s="133">
        <f>IF(SER_hh_fech!C12=0,0,SER_hh_fech!C12/SER_summary!C$26)</f>
        <v>62.370931287870349</v>
      </c>
      <c r="D12" s="133">
        <f>IF(SER_hh_fech!D12=0,0,SER_hh_fech!D12/SER_summary!D$26)</f>
        <v>54.872970297711404</v>
      </c>
      <c r="E12" s="133">
        <f>IF(SER_hh_fech!E12=0,0,SER_hh_fech!E12/SER_summary!E$26)</f>
        <v>56.237914302174353</v>
      </c>
      <c r="F12" s="133">
        <f>IF(SER_hh_fech!F12=0,0,SER_hh_fech!F12/SER_summary!F$26)</f>
        <v>46.773574696224273</v>
      </c>
      <c r="G12" s="133">
        <f>IF(SER_hh_fech!G12=0,0,SER_hh_fech!G12/SER_summary!G$26)</f>
        <v>74.695150850311421</v>
      </c>
      <c r="H12" s="133">
        <f>IF(SER_hh_fech!H12=0,0,SER_hh_fech!H12/SER_summary!H$26)</f>
        <v>75.002730065421801</v>
      </c>
      <c r="I12" s="133">
        <f>IF(SER_hh_fech!I12=0,0,SER_hh_fech!I12/SER_summary!I$26)</f>
        <v>56.846311055621726</v>
      </c>
      <c r="J12" s="133">
        <f>IF(SER_hh_fech!J12=0,0,SER_hh_fech!J12/SER_summary!J$26)</f>
        <v>54.01175520025037</v>
      </c>
      <c r="K12" s="133">
        <f>IF(SER_hh_fech!K12=0,0,SER_hh_fech!K12/SER_summary!K$26)</f>
        <v>59.212422179314274</v>
      </c>
      <c r="L12" s="133">
        <f>IF(SER_hh_fech!L12=0,0,SER_hh_fech!L12/SER_summary!L$26)</f>
        <v>61.113101545006501</v>
      </c>
      <c r="M12" s="133">
        <f>IF(SER_hh_fech!M12=0,0,SER_hh_fech!M12/SER_summary!M$26)</f>
        <v>81.578784560913917</v>
      </c>
      <c r="N12" s="133">
        <f>IF(SER_hh_fech!N12=0,0,SER_hh_fech!N12/SER_summary!N$26)</f>
        <v>56.68346455885527</v>
      </c>
      <c r="O12" s="133">
        <f>IF(SER_hh_fech!O12=0,0,SER_hh_fech!O12/SER_summary!O$26)</f>
        <v>55.046023093207708</v>
      </c>
      <c r="P12" s="133">
        <f>IF(SER_hh_fech!P12=0,0,SER_hh_fech!P12/SER_summary!P$26)</f>
        <v>55.745640097028485</v>
      </c>
      <c r="Q12" s="133">
        <f>IF(SER_hh_fech!Q12=0,0,SER_hh_fech!Q12/SER_summary!Q$26)</f>
        <v>61.459318456182793</v>
      </c>
      <c r="R12" s="133">
        <f>IF(SER_hh_fech!R12=0,0,SER_hh_fech!R12/SER_summary!R$26)</f>
        <v>83.553229658708759</v>
      </c>
      <c r="S12" s="133">
        <f>IF(SER_hh_fech!S12=0,0,SER_hh_fech!S12/SER_summary!S$26)</f>
        <v>61.505787605841064</v>
      </c>
      <c r="T12" s="133">
        <f>IF(SER_hh_fech!T12=0,0,SER_hh_fech!T12/SER_summary!T$26)</f>
        <v>80.602721350712187</v>
      </c>
      <c r="U12" s="133">
        <f>IF(SER_hh_fech!U12=0,0,SER_hh_fech!U12/SER_summary!U$26)</f>
        <v>75.410825037605719</v>
      </c>
      <c r="V12" s="133">
        <f>IF(SER_hh_fech!V12=0,0,SER_hh_fech!V12/SER_summary!V$26)</f>
        <v>59.823401719399527</v>
      </c>
      <c r="W12" s="133">
        <f>IF(SER_hh_fech!W12=0,0,SER_hh_fech!W12/SER_summary!W$26)</f>
        <v>82.616079560826122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28.689297076669511</v>
      </c>
      <c r="C13" s="133">
        <f>IF(SER_hh_fech!C13=0,0,SER_hh_fech!C13/SER_summary!C$26)</f>
        <v>23.30125804964521</v>
      </c>
      <c r="D13" s="133">
        <f>IF(SER_hh_fech!D13=0,0,SER_hh_fech!D13/SER_summary!D$26)</f>
        <v>26.49196772563938</v>
      </c>
      <c r="E13" s="133">
        <f>IF(SER_hh_fech!E13=0,0,SER_hh_fech!E13/SER_summary!E$26)</f>
        <v>28.612006866066036</v>
      </c>
      <c r="F13" s="133">
        <f>IF(SER_hh_fech!F13=0,0,SER_hh_fech!F13/SER_summary!F$26)</f>
        <v>25.66637519717737</v>
      </c>
      <c r="G13" s="133">
        <f>IF(SER_hh_fech!G13=0,0,SER_hh_fech!G13/SER_summary!G$26)</f>
        <v>27.734429285325838</v>
      </c>
      <c r="H13" s="133">
        <f>IF(SER_hh_fech!H13=0,0,SER_hh_fech!H13/SER_summary!H$26)</f>
        <v>31.080894995085778</v>
      </c>
      <c r="I13" s="133">
        <f>IF(SER_hh_fech!I13=0,0,SER_hh_fech!I13/SER_summary!I$26)</f>
        <v>27.34143000924891</v>
      </c>
      <c r="J13" s="133">
        <f>IF(SER_hh_fech!J13=0,0,SER_hh_fech!J13/SER_summary!J$26)</f>
        <v>24.55408276843367</v>
      </c>
      <c r="K13" s="133">
        <f>IF(SER_hh_fech!K13=0,0,SER_hh_fech!K13/SER_summary!K$26)</f>
        <v>25.872670633822953</v>
      </c>
      <c r="L13" s="133">
        <f>IF(SER_hh_fech!L13=0,0,SER_hh_fech!L13/SER_summary!L$26)</f>
        <v>27.251443996873462</v>
      </c>
      <c r="M13" s="133">
        <f>IF(SER_hh_fech!M13=0,0,SER_hh_fech!M13/SER_summary!M$26)</f>
        <v>24.663758217803565</v>
      </c>
      <c r="N13" s="133">
        <f>IF(SER_hh_fech!N13=0,0,SER_hh_fech!N13/SER_summary!N$26)</f>
        <v>21.230790615785416</v>
      </c>
      <c r="O13" s="133">
        <f>IF(SER_hh_fech!O13=0,0,SER_hh_fech!O13/SER_summary!O$26)</f>
        <v>21.935175500555648</v>
      </c>
      <c r="P13" s="133">
        <f>IF(SER_hh_fech!P13=0,0,SER_hh_fech!P13/SER_summary!P$26)</f>
        <v>18.628467020348001</v>
      </c>
      <c r="Q13" s="133">
        <f>IF(SER_hh_fech!Q13=0,0,SER_hh_fech!Q13/SER_summary!Q$26)</f>
        <v>19.295066290681053</v>
      </c>
      <c r="R13" s="133">
        <f>IF(SER_hh_fech!R13=0,0,SER_hh_fech!R13/SER_summary!R$26)</f>
        <v>19.324976861325183</v>
      </c>
      <c r="S13" s="133">
        <f>IF(SER_hh_fech!S13=0,0,SER_hh_fech!S13/SER_summary!S$26)</f>
        <v>18.971242165730558</v>
      </c>
      <c r="T13" s="133">
        <f>IF(SER_hh_fech!T13=0,0,SER_hh_fech!T13/SER_summary!T$26)</f>
        <v>17.968751880040671</v>
      </c>
      <c r="U13" s="133">
        <f>IF(SER_hh_fech!U13=0,0,SER_hh_fech!U13/SER_summary!U$26)</f>
        <v>18.306190741692632</v>
      </c>
      <c r="V13" s="133">
        <f>IF(SER_hh_fech!V13=0,0,SER_hh_fech!V13/SER_summary!V$26)</f>
        <v>17.920822098392527</v>
      </c>
      <c r="W13" s="133">
        <f>IF(SER_hh_fech!W13=0,0,SER_hh_fech!W13/SER_summary!W$26)</f>
        <v>20.18002617219906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59.774585150984571</v>
      </c>
      <c r="C14" s="65">
        <f>IF(SER_hh_fech!C14=0,0,SER_hh_fech!C14/SER_summary!C$26)</f>
        <v>53.297198289546515</v>
      </c>
      <c r="D14" s="65">
        <f>IF(SER_hh_fech!D14=0,0,SER_hh_fech!D14/SER_summary!D$26)</f>
        <v>68.463284488875587</v>
      </c>
      <c r="E14" s="65">
        <f>IF(SER_hh_fech!E14=0,0,SER_hh_fech!E14/SER_summary!E$26)</f>
        <v>73.526125357851257</v>
      </c>
      <c r="F14" s="65">
        <f>IF(SER_hh_fech!F14=0,0,SER_hh_fech!F14/SER_summary!F$26)</f>
        <v>48.662517013298917</v>
      </c>
      <c r="G14" s="65">
        <f>IF(SER_hh_fech!G14=0,0,SER_hh_fech!G14/SER_summary!G$26)</f>
        <v>57.113376524847439</v>
      </c>
      <c r="H14" s="65">
        <f>IF(SER_hh_fech!H14=0,0,SER_hh_fech!H14/SER_summary!H$26)</f>
        <v>84.416340066017895</v>
      </c>
      <c r="I14" s="65">
        <f>IF(SER_hh_fech!I14=0,0,SER_hh_fech!I14/SER_summary!I$26)</f>
        <v>60.482659644064178</v>
      </c>
      <c r="J14" s="65">
        <f>IF(SER_hh_fech!J14=0,0,SER_hh_fech!J14/SER_summary!J$26)</f>
        <v>76.11467638470684</v>
      </c>
      <c r="K14" s="65">
        <f>IF(SER_hh_fech!K14=0,0,SER_hh_fech!K14/SER_summary!K$26)</f>
        <v>58.547393374373179</v>
      </c>
      <c r="L14" s="65">
        <f>IF(SER_hh_fech!L14=0,0,SER_hh_fech!L14/SER_summary!L$26)</f>
        <v>75.899138150202333</v>
      </c>
      <c r="M14" s="65">
        <f>IF(SER_hh_fech!M14=0,0,SER_hh_fech!M14/SER_summary!M$26)</f>
        <v>89.392631860951624</v>
      </c>
      <c r="N14" s="65">
        <f>IF(SER_hh_fech!N14=0,0,SER_hh_fech!N14/SER_summary!N$26)</f>
        <v>64.380663542635475</v>
      </c>
      <c r="O14" s="65">
        <f>IF(SER_hh_fech!O14=0,0,SER_hh_fech!O14/SER_summary!O$26)</f>
        <v>60.397474752592608</v>
      </c>
      <c r="P14" s="65">
        <f>IF(SER_hh_fech!P14=0,0,SER_hh_fech!P14/SER_summary!P$26)</f>
        <v>57.226087405400207</v>
      </c>
      <c r="Q14" s="65">
        <f>IF(SER_hh_fech!Q14=0,0,SER_hh_fech!Q14/SER_summary!Q$26)</f>
        <v>49.6829491426708</v>
      </c>
      <c r="R14" s="65">
        <f>IF(SER_hh_fech!R14=0,0,SER_hh_fech!R14/SER_summary!R$26)</f>
        <v>83.969503870257256</v>
      </c>
      <c r="S14" s="65">
        <f>IF(SER_hh_fech!S14=0,0,SER_hh_fech!S14/SER_summary!S$26)</f>
        <v>72.749875530197755</v>
      </c>
      <c r="T14" s="65">
        <f>IF(SER_hh_fech!T14=0,0,SER_hh_fech!T14/SER_summary!T$26)</f>
        <v>85.989890336777478</v>
      </c>
      <c r="U14" s="65">
        <f>IF(SER_hh_fech!U14=0,0,SER_hh_fech!U14/SER_summary!U$26)</f>
        <v>117.02004576567531</v>
      </c>
      <c r="V14" s="65">
        <f>IF(SER_hh_fech!V14=0,0,SER_hh_fech!V14/SER_summary!V$26)</f>
        <v>39.412085380349211</v>
      </c>
      <c r="W14" s="65">
        <f>IF(SER_hh_fech!W14=0,0,SER_hh_fech!W14/SER_summary!W$26)</f>
        <v>106.70650147256741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0.33604968505149696</v>
      </c>
      <c r="C15" s="135">
        <f>IF(SER_hh_fech!C15=0,0,SER_hh_fech!C15/SER_summary!C$26)</f>
        <v>0.55353077685759022</v>
      </c>
      <c r="D15" s="135">
        <f>IF(SER_hh_fech!D15=0,0,SER_hh_fech!D15/SER_summary!D$26)</f>
        <v>0.40134471244474251</v>
      </c>
      <c r="E15" s="135">
        <f>IF(SER_hh_fech!E15=0,0,SER_hh_fech!E15/SER_summary!E$26)</f>
        <v>0.32615765747229586</v>
      </c>
      <c r="F15" s="135">
        <f>IF(SER_hh_fech!F15=0,0,SER_hh_fech!F15/SER_summary!F$26)</f>
        <v>0.23687350681734037</v>
      </c>
      <c r="G15" s="135">
        <f>IF(SER_hh_fech!G15=0,0,SER_hh_fech!G15/SER_summary!G$26)</f>
        <v>0.32896261607936145</v>
      </c>
      <c r="H15" s="135">
        <f>IF(SER_hh_fech!H15=0,0,SER_hh_fech!H15/SER_summary!H$26)</f>
        <v>0.42204974958809249</v>
      </c>
      <c r="I15" s="135">
        <f>IF(SER_hh_fech!I15=0,0,SER_hh_fech!I15/SER_summary!I$26)</f>
        <v>0.33502411880799277</v>
      </c>
      <c r="J15" s="135">
        <f>IF(SER_hh_fech!J15=0,0,SER_hh_fech!J15/SER_summary!J$26)</f>
        <v>0.39478929678944208</v>
      </c>
      <c r="K15" s="135">
        <f>IF(SER_hh_fech!K15=0,0,SER_hh_fech!K15/SER_summary!K$26)</f>
        <v>0.36073542986858004</v>
      </c>
      <c r="L15" s="135">
        <f>IF(SER_hh_fech!L15=0,0,SER_hh_fech!L15/SER_summary!L$26)</f>
        <v>0.34728790906027712</v>
      </c>
      <c r="M15" s="135">
        <f>IF(SER_hh_fech!M15=0,0,SER_hh_fech!M15/SER_summary!M$26)</f>
        <v>0.3609565345141233</v>
      </c>
      <c r="N15" s="135">
        <f>IF(SER_hh_fech!N15=0,0,SER_hh_fech!N15/SER_summary!N$26)</f>
        <v>0.35241341884642541</v>
      </c>
      <c r="O15" s="135">
        <f>IF(SER_hh_fech!O15=0,0,SER_hh_fech!O15/SER_summary!O$26)</f>
        <v>0.29705826762821158</v>
      </c>
      <c r="P15" s="135">
        <f>IF(SER_hh_fech!P15=0,0,SER_hh_fech!P15/SER_summary!P$26)</f>
        <v>0.26641950103537415</v>
      </c>
      <c r="Q15" s="135">
        <f>IF(SER_hh_fech!Q15=0,0,SER_hh_fech!Q15/SER_summary!Q$26)</f>
        <v>0.36543027396278116</v>
      </c>
      <c r="R15" s="135">
        <f>IF(SER_hh_fech!R15=0,0,SER_hh_fech!R15/SER_summary!R$26)</f>
        <v>0.39387680939197423</v>
      </c>
      <c r="S15" s="135">
        <f>IF(SER_hh_fech!S15=0,0,SER_hh_fech!S15/SER_summary!S$26)</f>
        <v>0.39601788192694393</v>
      </c>
      <c r="T15" s="135">
        <f>IF(SER_hh_fech!T15=0,0,SER_hh_fech!T15/SER_summary!T$26)</f>
        <v>0.43119192985112753</v>
      </c>
      <c r="U15" s="135">
        <f>IF(SER_hh_fech!U15=0,0,SER_hh_fech!U15/SER_summary!U$26)</f>
        <v>0.42664761414797214</v>
      </c>
      <c r="V15" s="135">
        <f>IF(SER_hh_fech!V15=0,0,SER_hh_fech!V15/SER_summary!V$26)</f>
        <v>0.38521828954119897</v>
      </c>
      <c r="W15" s="135">
        <f>IF(SER_hh_fech!W15=0,0,SER_hh_fech!W15/SER_summary!W$26)</f>
        <v>0.49841230707977469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20.683155888551283</v>
      </c>
      <c r="C16" s="131">
        <f>IF(SER_hh_fech!C16=0,0,SER_hh_fech!C16/SER_summary!C$26)</f>
        <v>18.087638390866093</v>
      </c>
      <c r="D16" s="131">
        <f>IF(SER_hh_fech!D16=0,0,SER_hh_fech!D16/SER_summary!D$26)</f>
        <v>12.768939477683565</v>
      </c>
      <c r="E16" s="131">
        <f>IF(SER_hh_fech!E16=0,0,SER_hh_fech!E16/SER_summary!E$26)</f>
        <v>13.429332717156708</v>
      </c>
      <c r="F16" s="131">
        <f>IF(SER_hh_fech!F16=0,0,SER_hh_fech!F16/SER_summary!F$26)</f>
        <v>10.001834861975762</v>
      </c>
      <c r="G16" s="131">
        <f>IF(SER_hh_fech!G16=0,0,SER_hh_fech!G16/SER_summary!G$26)</f>
        <v>9.6986897196603774</v>
      </c>
      <c r="H16" s="131">
        <f>IF(SER_hh_fech!H16=0,0,SER_hh_fech!H16/SER_summary!H$26)</f>
        <v>10.772164201331554</v>
      </c>
      <c r="I16" s="131">
        <f>IF(SER_hh_fech!I16=0,0,SER_hh_fech!I16/SER_summary!I$26)</f>
        <v>18.489955581900638</v>
      </c>
      <c r="J16" s="131">
        <f>IF(SER_hh_fech!J16=0,0,SER_hh_fech!J16/SER_summary!J$26)</f>
        <v>11.331099779259898</v>
      </c>
      <c r="K16" s="131">
        <f>IF(SER_hh_fech!K16=0,0,SER_hh_fech!K16/SER_summary!K$26)</f>
        <v>9.6822791261453265</v>
      </c>
      <c r="L16" s="131">
        <f>IF(SER_hh_fech!L16=0,0,SER_hh_fech!L16/SER_summary!L$26)</f>
        <v>11.907982155929087</v>
      </c>
      <c r="M16" s="131">
        <f>IF(SER_hh_fech!M16=0,0,SER_hh_fech!M16/SER_summary!M$26)</f>
        <v>9.6148030865328291</v>
      </c>
      <c r="N16" s="131">
        <f>IF(SER_hh_fech!N16=0,0,SER_hh_fech!N16/SER_summary!N$26)</f>
        <v>19.591163888408477</v>
      </c>
      <c r="O16" s="131">
        <f>IF(SER_hh_fech!O16=0,0,SER_hh_fech!O16/SER_summary!O$26)</f>
        <v>9.2675386351326718</v>
      </c>
      <c r="P16" s="131">
        <f>IF(SER_hh_fech!P16=0,0,SER_hh_fech!P16/SER_summary!P$26)</f>
        <v>8.3140036423441774</v>
      </c>
      <c r="Q16" s="131">
        <f>IF(SER_hh_fech!Q16=0,0,SER_hh_fech!Q16/SER_summary!Q$26)</f>
        <v>11.578423411273317</v>
      </c>
      <c r="R16" s="131">
        <f>IF(SER_hh_fech!R16=0,0,SER_hh_fech!R16/SER_summary!R$26)</f>
        <v>10.389041436308689</v>
      </c>
      <c r="S16" s="131">
        <f>IF(SER_hh_fech!S16=0,0,SER_hh_fech!S16/SER_summary!S$26)</f>
        <v>10.713457954520445</v>
      </c>
      <c r="T16" s="131">
        <f>IF(SER_hh_fech!T16=0,0,SER_hh_fech!T16/SER_summary!T$26)</f>
        <v>7.8486909207795668</v>
      </c>
      <c r="U16" s="131">
        <f>IF(SER_hh_fech!U16=0,0,SER_hh_fech!U16/SER_summary!U$26)</f>
        <v>8.4966291203807938</v>
      </c>
      <c r="V16" s="131">
        <f>IF(SER_hh_fech!V16=0,0,SER_hh_fech!V16/SER_summary!V$26)</f>
        <v>8.4502564791511094</v>
      </c>
      <c r="W16" s="131">
        <f>IF(SER_hh_fech!W16=0,0,SER_hh_fech!W16/SER_summary!W$26)</f>
        <v>11.173413233634561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20.683155888551283</v>
      </c>
      <c r="C18" s="133">
        <f>IF(SER_hh_fech!C18=0,0,SER_hh_fech!C18/SER_summary!C$26)</f>
        <v>18.087638390866093</v>
      </c>
      <c r="D18" s="133">
        <f>IF(SER_hh_fech!D18=0,0,SER_hh_fech!D18/SER_summary!D$26)</f>
        <v>12.768939477683565</v>
      </c>
      <c r="E18" s="133">
        <f>IF(SER_hh_fech!E18=0,0,SER_hh_fech!E18/SER_summary!E$26)</f>
        <v>13.429332717156708</v>
      </c>
      <c r="F18" s="133">
        <f>IF(SER_hh_fech!F18=0,0,SER_hh_fech!F18/SER_summary!F$26)</f>
        <v>10.001834861975762</v>
      </c>
      <c r="G18" s="133">
        <f>IF(SER_hh_fech!G18=0,0,SER_hh_fech!G18/SER_summary!G$26)</f>
        <v>9.6986897196603774</v>
      </c>
      <c r="H18" s="133">
        <f>IF(SER_hh_fech!H18=0,0,SER_hh_fech!H18/SER_summary!H$26)</f>
        <v>10.772164201331554</v>
      </c>
      <c r="I18" s="133">
        <f>IF(SER_hh_fech!I18=0,0,SER_hh_fech!I18/SER_summary!I$26)</f>
        <v>18.489955581900638</v>
      </c>
      <c r="J18" s="133">
        <f>IF(SER_hh_fech!J18=0,0,SER_hh_fech!J18/SER_summary!J$26)</f>
        <v>11.331099779259898</v>
      </c>
      <c r="K18" s="133">
        <f>IF(SER_hh_fech!K18=0,0,SER_hh_fech!K18/SER_summary!K$26)</f>
        <v>9.6822791261453265</v>
      </c>
      <c r="L18" s="133">
        <f>IF(SER_hh_fech!L18=0,0,SER_hh_fech!L18/SER_summary!L$26)</f>
        <v>11.907982155929087</v>
      </c>
      <c r="M18" s="133">
        <f>IF(SER_hh_fech!M18=0,0,SER_hh_fech!M18/SER_summary!M$26)</f>
        <v>9.6148030865328291</v>
      </c>
      <c r="N18" s="133">
        <f>IF(SER_hh_fech!N18=0,0,SER_hh_fech!N18/SER_summary!N$26)</f>
        <v>19.591163888408477</v>
      </c>
      <c r="O18" s="133">
        <f>IF(SER_hh_fech!O18=0,0,SER_hh_fech!O18/SER_summary!O$26)</f>
        <v>9.2675386351326718</v>
      </c>
      <c r="P18" s="133">
        <f>IF(SER_hh_fech!P18=0,0,SER_hh_fech!P18/SER_summary!P$26)</f>
        <v>8.3140036423441774</v>
      </c>
      <c r="Q18" s="133">
        <f>IF(SER_hh_fech!Q18=0,0,SER_hh_fech!Q18/SER_summary!Q$26)</f>
        <v>11.578423411273317</v>
      </c>
      <c r="R18" s="133">
        <f>IF(SER_hh_fech!R18=0,0,SER_hh_fech!R18/SER_summary!R$26)</f>
        <v>10.389041436308689</v>
      </c>
      <c r="S18" s="133">
        <f>IF(SER_hh_fech!S18=0,0,SER_hh_fech!S18/SER_summary!S$26)</f>
        <v>10.713457954520445</v>
      </c>
      <c r="T18" s="133">
        <f>IF(SER_hh_fech!T18=0,0,SER_hh_fech!T18/SER_summary!T$26)</f>
        <v>7.8486909207795668</v>
      </c>
      <c r="U18" s="133">
        <f>IF(SER_hh_fech!U18=0,0,SER_hh_fech!U18/SER_summary!U$26)</f>
        <v>8.4966291203807938</v>
      </c>
      <c r="V18" s="133">
        <f>IF(SER_hh_fech!V18=0,0,SER_hh_fech!V18/SER_summary!V$26)</f>
        <v>8.4502564791511094</v>
      </c>
      <c r="W18" s="133">
        <f>IF(SER_hh_fech!W18=0,0,SER_hh_fech!W18/SER_summary!W$26)</f>
        <v>11.173413233634561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18.069012678560686</v>
      </c>
      <c r="C19" s="131">
        <f>IF(SER_hh_fech!C19=0,0,SER_hh_fech!C19/SER_summary!C$26)</f>
        <v>17.935389506784045</v>
      </c>
      <c r="D19" s="131">
        <f>IF(SER_hh_fech!D19=0,0,SER_hh_fech!D19/SER_summary!D$26)</f>
        <v>17.610301001600892</v>
      </c>
      <c r="E19" s="131">
        <f>IF(SER_hh_fech!E19=0,0,SER_hh_fech!E19/SER_summary!E$26)</f>
        <v>17.189098780961007</v>
      </c>
      <c r="F19" s="131">
        <f>IF(SER_hh_fech!F19=0,0,SER_hh_fech!F19/SER_summary!F$26)</f>
        <v>16.618594237208754</v>
      </c>
      <c r="G19" s="131">
        <f>IF(SER_hh_fech!G19=0,0,SER_hh_fech!G19/SER_summary!G$26)</f>
        <v>16.600517553306538</v>
      </c>
      <c r="H19" s="131">
        <f>IF(SER_hh_fech!H19=0,0,SER_hh_fech!H19/SER_summary!H$26)</f>
        <v>16.831485436406371</v>
      </c>
      <c r="I19" s="131">
        <f>IF(SER_hh_fech!I19=0,0,SER_hh_fech!I19/SER_summary!I$26)</f>
        <v>16.925317088319638</v>
      </c>
      <c r="J19" s="131">
        <f>IF(SER_hh_fech!J19=0,0,SER_hh_fech!J19/SER_summary!J$26)</f>
        <v>16.979158961899902</v>
      </c>
      <c r="K19" s="131">
        <f>IF(SER_hh_fech!K19=0,0,SER_hh_fech!K19/SER_summary!K$26)</f>
        <v>17.503822189369632</v>
      </c>
      <c r="L19" s="131">
        <f>IF(SER_hh_fech!L19=0,0,SER_hh_fech!L19/SER_summary!L$26)</f>
        <v>18.123173562251576</v>
      </c>
      <c r="M19" s="131">
        <f>IF(SER_hh_fech!M19=0,0,SER_hh_fech!M19/SER_summary!M$26)</f>
        <v>17.990267815578196</v>
      </c>
      <c r="N19" s="131">
        <f>IF(SER_hh_fech!N19=0,0,SER_hh_fech!N19/SER_summary!N$26)</f>
        <v>17.778243567112064</v>
      </c>
      <c r="O19" s="131">
        <f>IF(SER_hh_fech!O19=0,0,SER_hh_fech!O19/SER_summary!O$26)</f>
        <v>17.735091776237415</v>
      </c>
      <c r="P19" s="131">
        <f>IF(SER_hh_fech!P19=0,0,SER_hh_fech!P19/SER_summary!P$26)</f>
        <v>17.39607923202712</v>
      </c>
      <c r="Q19" s="131">
        <f>IF(SER_hh_fech!Q19=0,0,SER_hh_fech!Q19/SER_summary!Q$26)</f>
        <v>17.498804608580979</v>
      </c>
      <c r="R19" s="131">
        <f>IF(SER_hh_fech!R19=0,0,SER_hh_fech!R19/SER_summary!R$26)</f>
        <v>17.504355850695486</v>
      </c>
      <c r="S19" s="131">
        <f>IF(SER_hh_fech!S19=0,0,SER_hh_fech!S19/SER_summary!S$26)</f>
        <v>17.600947015382193</v>
      </c>
      <c r="T19" s="131">
        <f>IF(SER_hh_fech!T19=0,0,SER_hh_fech!T19/SER_summary!T$26)</f>
        <v>17.565018204609547</v>
      </c>
      <c r="U19" s="131">
        <f>IF(SER_hh_fech!U19=0,0,SER_hh_fech!U19/SER_summary!U$26)</f>
        <v>17.605432286076635</v>
      </c>
      <c r="V19" s="131">
        <f>IF(SER_hh_fech!V19=0,0,SER_hh_fech!V19/SER_summary!V$26)</f>
        <v>15.52969743802849</v>
      </c>
      <c r="W19" s="131">
        <f>IF(SER_hh_fech!W19=0,0,SER_hh_fech!W19/SER_summary!W$26)</f>
        <v>16.359197147322853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21.817729980765893</v>
      </c>
      <c r="C22" s="133">
        <f>IF(SER_hh_fech!C22=0,0,SER_hh_fech!C22/SER_summary!C$26)</f>
        <v>23.796028285656977</v>
      </c>
      <c r="D22" s="133">
        <f>IF(SER_hh_fech!D22=0,0,SER_hh_fech!D22/SER_summary!D$26)</f>
        <v>23.883609800245743</v>
      </c>
      <c r="E22" s="133">
        <f>IF(SER_hh_fech!E22=0,0,SER_hh_fech!E22/SER_summary!E$26)</f>
        <v>23.433532667647196</v>
      </c>
      <c r="F22" s="133">
        <f>IF(SER_hh_fech!F22=0,0,SER_hh_fech!F22/SER_summary!F$26)</f>
        <v>20.586816391682653</v>
      </c>
      <c r="G22" s="133">
        <f>IF(SER_hh_fech!G22=0,0,SER_hh_fech!G22/SER_summary!G$26)</f>
        <v>20.965514832530118</v>
      </c>
      <c r="H22" s="133">
        <f>IF(SER_hh_fech!H22=0,0,SER_hh_fech!H22/SER_summary!H$26)</f>
        <v>21.762960933266111</v>
      </c>
      <c r="I22" s="133">
        <f>IF(SER_hh_fech!I22=0,0,SER_hh_fech!I22/SER_summary!I$26)</f>
        <v>22.344759022674062</v>
      </c>
      <c r="J22" s="133">
        <f>IF(SER_hh_fech!J22=0,0,SER_hh_fech!J22/SER_summary!J$26)</f>
        <v>22.78760203707121</v>
      </c>
      <c r="K22" s="133">
        <f>IF(SER_hh_fech!K22=0,0,SER_hh_fech!K22/SER_summary!K$26)</f>
        <v>22.943355206560454</v>
      </c>
      <c r="L22" s="133">
        <f>IF(SER_hh_fech!L22=0,0,SER_hh_fech!L22/SER_summary!L$26)</f>
        <v>23.191066810284152</v>
      </c>
      <c r="M22" s="133">
        <f>IF(SER_hh_fech!M22=0,0,SER_hh_fech!M22/SER_summary!M$26)</f>
        <v>24.786548243750449</v>
      </c>
      <c r="N22" s="133">
        <f>IF(SER_hh_fech!N22=0,0,SER_hh_fech!N22/SER_summary!N$26)</f>
        <v>24.84874457123269</v>
      </c>
      <c r="O22" s="133">
        <f>IF(SER_hh_fech!O22=0,0,SER_hh_fech!O22/SER_summary!O$26)</f>
        <v>21.668518107297423</v>
      </c>
      <c r="P22" s="133">
        <f>IF(SER_hh_fech!P22=0,0,SER_hh_fech!P22/SER_summary!P$26)</f>
        <v>20.435716954765468</v>
      </c>
      <c r="Q22" s="133">
        <f>IF(SER_hh_fech!Q22=0,0,SER_hh_fech!Q22/SER_summary!Q$26)</f>
        <v>24.1489948611659</v>
      </c>
      <c r="R22" s="133">
        <f>IF(SER_hh_fech!R22=0,0,SER_hh_fech!R22/SER_summary!R$26)</f>
        <v>25.216688436183663</v>
      </c>
      <c r="S22" s="133">
        <f>IF(SER_hh_fech!S22=0,0,SER_hh_fech!S22/SER_summary!S$26)</f>
        <v>24.88960309352963</v>
      </c>
      <c r="T22" s="133">
        <f>IF(SER_hh_fech!T22=0,0,SER_hh_fech!T22/SER_summary!T$26)</f>
        <v>18.461155620220939</v>
      </c>
      <c r="U22" s="133">
        <f>IF(SER_hh_fech!U22=0,0,SER_hh_fech!U22/SER_summary!U$26)</f>
        <v>25.255835060960006</v>
      </c>
      <c r="V22" s="133">
        <f>IF(SER_hh_fech!V22=0,0,SER_hh_fech!V22/SER_summary!V$26)</f>
        <v>22.788635519360184</v>
      </c>
      <c r="W22" s="133">
        <f>IF(SER_hh_fech!W22=0,0,SER_hh_fech!W22/SER_summary!W$26)</f>
        <v>23.398905055861654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20.609029052807426</v>
      </c>
      <c r="C23" s="133">
        <f>IF(SER_hh_fech!C23=0,0,SER_hh_fech!C23/SER_summary!C$26)</f>
        <v>22.161235772123572</v>
      </c>
      <c r="D23" s="133">
        <f>IF(SER_hh_fech!D23=0,0,SER_hh_fech!D23/SER_summary!D$26)</f>
        <v>19.306780296580911</v>
      </c>
      <c r="E23" s="133">
        <f>IF(SER_hh_fech!E23=0,0,SER_hh_fech!E23/SER_summary!E$26)</f>
        <v>19.974503448889799</v>
      </c>
      <c r="F23" s="133">
        <f>IF(SER_hh_fech!F23=0,0,SER_hh_fech!F23/SER_summary!F$26)</f>
        <v>19.343790652191778</v>
      </c>
      <c r="G23" s="133">
        <f>IF(SER_hh_fech!G23=0,0,SER_hh_fech!G23/SER_summary!G$26)</f>
        <v>18.680832543318601</v>
      </c>
      <c r="H23" s="133">
        <f>IF(SER_hh_fech!H23=0,0,SER_hh_fech!H23/SER_summary!H$26)</f>
        <v>19.202861391104676</v>
      </c>
      <c r="I23" s="133">
        <f>IF(SER_hh_fech!I23=0,0,SER_hh_fech!I23/SER_summary!I$26)</f>
        <v>20.146190759368981</v>
      </c>
      <c r="J23" s="133">
        <f>IF(SER_hh_fech!J23=0,0,SER_hh_fech!J23/SER_summary!J$26)</f>
        <v>19.848771772874105</v>
      </c>
      <c r="K23" s="133">
        <f>IF(SER_hh_fech!K23=0,0,SER_hh_fech!K23/SER_summary!K$26)</f>
        <v>20.020974816829618</v>
      </c>
      <c r="L23" s="133">
        <f>IF(SER_hh_fech!L23=0,0,SER_hh_fech!L23/SER_summary!L$26)</f>
        <v>20.744787598856174</v>
      </c>
      <c r="M23" s="133">
        <f>IF(SER_hh_fech!M23=0,0,SER_hh_fech!M23/SER_summary!M$26)</f>
        <v>20.767874306671626</v>
      </c>
      <c r="N23" s="133">
        <f>IF(SER_hh_fech!N23=0,0,SER_hh_fech!N23/SER_summary!N$26)</f>
        <v>20.561460880963807</v>
      </c>
      <c r="O23" s="133">
        <f>IF(SER_hh_fech!O23=0,0,SER_hh_fech!O23/SER_summary!O$26)</f>
        <v>20.434801397753244</v>
      </c>
      <c r="P23" s="133">
        <f>IF(SER_hh_fech!P23=0,0,SER_hh_fech!P23/SER_summary!P$26)</f>
        <v>20.269301469642407</v>
      </c>
      <c r="Q23" s="133">
        <f>IF(SER_hh_fech!Q23=0,0,SER_hh_fech!Q23/SER_summary!Q$26)</f>
        <v>20.281313891588841</v>
      </c>
      <c r="R23" s="133">
        <f>IF(SER_hh_fech!R23=0,0,SER_hh_fech!R23/SER_summary!R$26)</f>
        <v>19.979716999975668</v>
      </c>
      <c r="S23" s="133">
        <f>IF(SER_hh_fech!S23=0,0,SER_hh_fech!S23/SER_summary!S$26)</f>
        <v>19.923976199257506</v>
      </c>
      <c r="T23" s="133">
        <f>IF(SER_hh_fech!T23=0,0,SER_hh_fech!T23/SER_summary!T$26)</f>
        <v>19.972929734929551</v>
      </c>
      <c r="U23" s="133">
        <f>IF(SER_hh_fech!U23=0,0,SER_hh_fech!U23/SER_summary!U$26)</f>
        <v>19.833173112193819</v>
      </c>
      <c r="V23" s="133">
        <f>IF(SER_hh_fech!V23=0,0,SER_hh_fech!V23/SER_summary!V$26)</f>
        <v>16.92538406228454</v>
      </c>
      <c r="W23" s="133">
        <f>IF(SER_hh_fech!W23=0,0,SER_hh_fech!W23/SER_summary!W$26)</f>
        <v>17.722763197368305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15.243474039303472</v>
      </c>
      <c r="C25" s="133">
        <f>IF(SER_hh_fech!C25=0,0,SER_hh_fech!C25/SER_summary!C$26)</f>
        <v>15.087912799647489</v>
      </c>
      <c r="D25" s="133">
        <f>IF(SER_hh_fech!D25=0,0,SER_hh_fech!D25/SER_summary!D$26)</f>
        <v>14.77511898143889</v>
      </c>
      <c r="E25" s="133">
        <f>IF(SER_hh_fech!E25=0,0,SER_hh_fech!E25/SER_summary!E$26)</f>
        <v>14.622508248721557</v>
      </c>
      <c r="F25" s="133">
        <f>IF(SER_hh_fech!F25=0,0,SER_hh_fech!F25/SER_summary!F$26)</f>
        <v>14.443994588362129</v>
      </c>
      <c r="G25" s="133">
        <f>IF(SER_hh_fech!G25=0,0,SER_hh_fech!G25/SER_summary!G$26)</f>
        <v>14.356616949231608</v>
      </c>
      <c r="H25" s="133">
        <f>IF(SER_hh_fech!H25=0,0,SER_hh_fech!H25/SER_summary!H$26)</f>
        <v>14.316722512577909</v>
      </c>
      <c r="I25" s="133">
        <f>IF(SER_hh_fech!I25=0,0,SER_hh_fech!I25/SER_summary!I$26)</f>
        <v>14.392266423082733</v>
      </c>
      <c r="J25" s="133">
        <f>IF(SER_hh_fech!J25=0,0,SER_hh_fech!J25/SER_summary!J$26)</f>
        <v>14.63605302467389</v>
      </c>
      <c r="K25" s="133">
        <f>IF(SER_hh_fech!K25=0,0,SER_hh_fech!K25/SER_summary!K$26)</f>
        <v>14.891511258162666</v>
      </c>
      <c r="L25" s="133">
        <f>IF(SER_hh_fech!L25=0,0,SER_hh_fech!L25/SER_summary!L$26)</f>
        <v>15.245814197262888</v>
      </c>
      <c r="M25" s="133">
        <f>IF(SER_hh_fech!M25=0,0,SER_hh_fech!M25/SER_summary!M$26)</f>
        <v>15.508004419030781</v>
      </c>
      <c r="N25" s="133">
        <f>IF(SER_hh_fech!N25=0,0,SER_hh_fech!N25/SER_summary!N$26)</f>
        <v>15.435640786190309</v>
      </c>
      <c r="O25" s="133">
        <f>IF(SER_hh_fech!O25=0,0,SER_hh_fech!O25/SER_summary!O$26)</f>
        <v>15.440598411107217</v>
      </c>
      <c r="P25" s="133">
        <f>IF(SER_hh_fech!P25=0,0,SER_hh_fech!P25/SER_summary!P$26)</f>
        <v>15.430147123682175</v>
      </c>
      <c r="Q25" s="133">
        <f>IF(SER_hh_fech!Q25=0,0,SER_hh_fech!Q25/SER_summary!Q$26)</f>
        <v>15.56570591633198</v>
      </c>
      <c r="R25" s="133">
        <f>IF(SER_hh_fech!R25=0,0,SER_hh_fech!R25/SER_summary!R$26)</f>
        <v>15.714533040779582</v>
      </c>
      <c r="S25" s="133">
        <f>IF(SER_hh_fech!S25=0,0,SER_hh_fech!S25/SER_summary!S$26)</f>
        <v>16.040747206083825</v>
      </c>
      <c r="T25" s="133">
        <f>IF(SER_hh_fech!T25=0,0,SER_hh_fech!T25/SER_summary!T$26)</f>
        <v>16.172124102413886</v>
      </c>
      <c r="U25" s="133">
        <f>IF(SER_hh_fech!U25=0,0,SER_hh_fech!U25/SER_summary!U$26)</f>
        <v>16.119281408264428</v>
      </c>
      <c r="V25" s="133">
        <f>IF(SER_hh_fech!V25=0,0,SER_hh_fech!V25/SER_summary!V$26)</f>
        <v>14.755969368751165</v>
      </c>
      <c r="W25" s="133">
        <f>IF(SER_hh_fech!W25=0,0,SER_hh_fech!W25/SER_summary!W$26)</f>
        <v>15.519881114229193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19.101180201979208</v>
      </c>
      <c r="C26" s="65">
        <f>IF(SER_hh_fech!C26=0,0,SER_hh_fech!C26/SER_summary!C$26)</f>
        <v>18.365544809249574</v>
      </c>
      <c r="D26" s="65">
        <f>IF(SER_hh_fech!D26=0,0,SER_hh_fech!D26/SER_summary!D$26)</f>
        <v>18.200491066766926</v>
      </c>
      <c r="E26" s="65">
        <f>IF(SER_hh_fech!E26=0,0,SER_hh_fech!E26/SER_summary!E$26)</f>
        <v>17.550951008320361</v>
      </c>
      <c r="F26" s="65">
        <f>IF(SER_hh_fech!F26=0,0,SER_hh_fech!F26/SER_summary!F$26)</f>
        <v>17.122718551379371</v>
      </c>
      <c r="G26" s="65">
        <f>IF(SER_hh_fech!G26=0,0,SER_hh_fech!G26/SER_summary!G$26)</f>
        <v>17.167512765595543</v>
      </c>
      <c r="H26" s="65">
        <f>IF(SER_hh_fech!H26=0,0,SER_hh_fech!H26/SER_summary!H$26)</f>
        <v>17.354819522981547</v>
      </c>
      <c r="I26" s="65">
        <f>IF(SER_hh_fech!I26=0,0,SER_hh_fech!I26/SER_summary!I$26)</f>
        <v>17.05934812749344</v>
      </c>
      <c r="J26" s="65">
        <f>IF(SER_hh_fech!J26=0,0,SER_hh_fech!J26/SER_summary!J$26)</f>
        <v>16.956817305980643</v>
      </c>
      <c r="K26" s="65">
        <f>IF(SER_hh_fech!K26=0,0,SER_hh_fech!K26/SER_summary!K$26)</f>
        <v>17.704061162532579</v>
      </c>
      <c r="L26" s="65">
        <f>IF(SER_hh_fech!L26=0,0,SER_hh_fech!L26/SER_summary!L$26)</f>
        <v>17.344260167034527</v>
      </c>
      <c r="M26" s="65">
        <f>IF(SER_hh_fech!M26=0,0,SER_hh_fech!M26/SER_summary!M$26)</f>
        <v>16.333829388486102</v>
      </c>
      <c r="N26" s="65">
        <f>IF(SER_hh_fech!N26=0,0,SER_hh_fech!N26/SER_summary!N$26)</f>
        <v>15.799322700127824</v>
      </c>
      <c r="O26" s="65">
        <f>IF(SER_hh_fech!O26=0,0,SER_hh_fech!O26/SER_summary!O$26)</f>
        <v>15.301689665030318</v>
      </c>
      <c r="P26" s="65">
        <f>IF(SER_hh_fech!P26=0,0,SER_hh_fech!P26/SER_summary!P$26)</f>
        <v>14.873684240909144</v>
      </c>
      <c r="Q26" s="65">
        <f>IF(SER_hh_fech!Q26=0,0,SER_hh_fech!Q26/SER_summary!Q$26)</f>
        <v>14.50859087826713</v>
      </c>
      <c r="R26" s="65">
        <f>IF(SER_hh_fech!R26=0,0,SER_hh_fech!R26/SER_summary!R$26)</f>
        <v>14.44797632050099</v>
      </c>
      <c r="S26" s="65">
        <f>IF(SER_hh_fech!S26=0,0,SER_hh_fech!S26/SER_summary!S$26)</f>
        <v>14.416480526135318</v>
      </c>
      <c r="T26" s="65">
        <f>IF(SER_hh_fech!T26=0,0,SER_hh_fech!T26/SER_summary!T$26)</f>
        <v>14.294147423055501</v>
      </c>
      <c r="U26" s="65">
        <f>IF(SER_hh_fech!U26=0,0,SER_hh_fech!U26/SER_summary!U$26)</f>
        <v>14.239206809768085</v>
      </c>
      <c r="V26" s="65">
        <f>IF(SER_hh_fech!V26=0,0,SER_hh_fech!V26/SER_summary!V$26)</f>
        <v>11.980071975529297</v>
      </c>
      <c r="W26" s="65">
        <f>IF(SER_hh_fech!W26=0,0,SER_hh_fech!W26/SER_summary!W$26)</f>
        <v>12.704642575494864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0.57427300731083952</v>
      </c>
      <c r="M27" s="146">
        <f>IF(SER_hh_fech!M27=0,0,SER_hh_fech!M27/SER_summary!M$26)</f>
        <v>0.8689705033921804</v>
      </c>
      <c r="N27" s="146">
        <f>IF(SER_hh_fech!N27=0,0,SER_hh_fech!N27/SER_summary!N$26)</f>
        <v>1.0448008249883891</v>
      </c>
      <c r="O27" s="146">
        <f>IF(SER_hh_fech!O27=0,0,SER_hh_fech!O27/SER_summary!O$26)</f>
        <v>1.4508465801837351</v>
      </c>
      <c r="P27" s="146">
        <f>IF(SER_hh_fech!P27=0,0,SER_hh_fech!P27/SER_summary!P$26)</f>
        <v>1.4463164067847005</v>
      </c>
      <c r="Q27" s="146">
        <f>IF(SER_hh_fech!Q27=0,0,SER_hh_fech!Q27/SER_summary!Q$26)</f>
        <v>1.6764106978342588</v>
      </c>
      <c r="R27" s="146">
        <f>IF(SER_hh_fech!R27=0,0,SER_hh_fech!R27/SER_summary!R$26)</f>
        <v>1.7344809828160299</v>
      </c>
      <c r="S27" s="146">
        <f>IF(SER_hh_fech!S27=0,0,SER_hh_fech!S27/SER_summary!S$26)</f>
        <v>1.8142607264528123</v>
      </c>
      <c r="T27" s="146">
        <f>IF(SER_hh_fech!T27=0,0,SER_hh_fech!T27/SER_summary!T$26)</f>
        <v>1.9170809836311666</v>
      </c>
      <c r="U27" s="146">
        <f>IF(SER_hh_fech!U27=0,0,SER_hh_fech!U27/SER_summary!U$26)</f>
        <v>1.9798029928713945</v>
      </c>
      <c r="V27" s="146">
        <f>IF(SER_hh_fech!V27=0,0,SER_hh_fech!V27/SER_summary!V$26)</f>
        <v>2.0568141615843083</v>
      </c>
      <c r="W27" s="146">
        <f>IF(SER_hh_fech!W27=0,0,SER_hh_fech!W27/SER_summary!W$26)</f>
        <v>2.1673121014981636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7.1658347883172899</v>
      </c>
      <c r="M28" s="147">
        <f>IF(SER_hh_fech!M28=0,0,SER_hh_fech!M28/SER_summary!M$26)</f>
        <v>7.3552121011524685</v>
      </c>
      <c r="N28" s="147">
        <f>IF(SER_hh_fech!N28=0,0,SER_hh_fech!N28/SER_summary!N$26)</f>
        <v>7.629221197190196</v>
      </c>
      <c r="O28" s="147">
        <f>IF(SER_hh_fech!O28=0,0,SER_hh_fech!O28/SER_summary!O$26)</f>
        <v>7.6566464836388608</v>
      </c>
      <c r="P28" s="147">
        <f>IF(SER_hh_fech!P28=0,0,SER_hh_fech!P28/SER_summary!P$26)</f>
        <v>7.4833581492848467</v>
      </c>
      <c r="Q28" s="147">
        <f>IF(SER_hh_fech!Q28=0,0,SER_hh_fech!Q28/SER_summary!Q$26)</f>
        <v>7.9596030903238324</v>
      </c>
      <c r="R28" s="147">
        <f>IF(SER_hh_fech!R28=0,0,SER_hh_fech!R28/SER_summary!R$26)</f>
        <v>7.8268516965916941</v>
      </c>
      <c r="S28" s="147">
        <f>IF(SER_hh_fech!S28=0,0,SER_hh_fech!S28/SER_summary!S$26)</f>
        <v>7.7784445405483451</v>
      </c>
      <c r="T28" s="147">
        <f>IF(SER_hh_fech!T28=0,0,SER_hh_fech!T28/SER_summary!T$26)</f>
        <v>8.2392540496748978</v>
      </c>
      <c r="U28" s="147">
        <f>IF(SER_hh_fech!U28=0,0,SER_hh_fech!U28/SER_summary!U$26)</f>
        <v>8.4766441061734525</v>
      </c>
      <c r="V28" s="147">
        <f>IF(SER_hh_fech!V28=0,0,SER_hh_fech!V28/SER_summary!V$26)</f>
        <v>7.630355013623924</v>
      </c>
      <c r="W28" s="147">
        <f>IF(SER_hh_fech!W28=0,0,SER_hh_fech!W28/SER_summary!W$26)</f>
        <v>8.1513697296095877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17.977932201088507</v>
      </c>
      <c r="C29" s="131">
        <f>IF(SER_hh_fech!C29=0,0,SER_hh_fech!C29/SER_summary!C$26)</f>
        <v>18.493042674392719</v>
      </c>
      <c r="D29" s="131">
        <f>IF(SER_hh_fech!D29=0,0,SER_hh_fech!D29/SER_summary!D$26)</f>
        <v>17.716745544293897</v>
      </c>
      <c r="E29" s="131">
        <f>IF(SER_hh_fech!E29=0,0,SER_hh_fech!E29/SER_summary!E$26)</f>
        <v>17.431393039476657</v>
      </c>
      <c r="F29" s="131">
        <f>IF(SER_hh_fech!F29=0,0,SER_hh_fech!F29/SER_summary!F$26)</f>
        <v>17.548818814304859</v>
      </c>
      <c r="G29" s="131">
        <f>IF(SER_hh_fech!G29=0,0,SER_hh_fech!G29/SER_summary!G$26)</f>
        <v>16.928084545548074</v>
      </c>
      <c r="H29" s="131">
        <f>IF(SER_hh_fech!H29=0,0,SER_hh_fech!H29/SER_summary!H$26)</f>
        <v>16.865515751103132</v>
      </c>
      <c r="I29" s="131">
        <f>IF(SER_hh_fech!I29=0,0,SER_hh_fech!I29/SER_summary!I$26)</f>
        <v>16.747227706404875</v>
      </c>
      <c r="J29" s="131">
        <f>IF(SER_hh_fech!J29=0,0,SER_hh_fech!J29/SER_summary!J$26)</f>
        <v>17.223235794321511</v>
      </c>
      <c r="K29" s="131">
        <f>IF(SER_hh_fech!K29=0,0,SER_hh_fech!K29/SER_summary!K$26)</f>
        <v>17.542012922215296</v>
      </c>
      <c r="L29" s="131">
        <f>IF(SER_hh_fech!L29=0,0,SER_hh_fech!L29/SER_summary!L$26)</f>
        <v>18.413793414433076</v>
      </c>
      <c r="M29" s="131">
        <f>IF(SER_hh_fech!M29=0,0,SER_hh_fech!M29/SER_summary!M$26)</f>
        <v>18.23477294880346</v>
      </c>
      <c r="N29" s="131">
        <f>IF(SER_hh_fech!N29=0,0,SER_hh_fech!N29/SER_summary!N$26)</f>
        <v>19.11095842286257</v>
      </c>
      <c r="O29" s="131">
        <f>IF(SER_hh_fech!O29=0,0,SER_hh_fech!O29/SER_summary!O$26)</f>
        <v>18.921144005791135</v>
      </c>
      <c r="P29" s="131">
        <f>IF(SER_hh_fech!P29=0,0,SER_hh_fech!P29/SER_summary!P$26)</f>
        <v>18.45860627063972</v>
      </c>
      <c r="Q29" s="131">
        <f>IF(SER_hh_fech!Q29=0,0,SER_hh_fech!Q29/SER_summary!Q$26)</f>
        <v>18.38457612651581</v>
      </c>
      <c r="R29" s="131">
        <f>IF(SER_hh_fech!R29=0,0,SER_hh_fech!R29/SER_summary!R$26)</f>
        <v>18.560223255874241</v>
      </c>
      <c r="S29" s="131">
        <f>IF(SER_hh_fech!S29=0,0,SER_hh_fech!S29/SER_summary!S$26)</f>
        <v>19.286766884864132</v>
      </c>
      <c r="T29" s="131">
        <f>IF(SER_hh_fech!T29=0,0,SER_hh_fech!T29/SER_summary!T$26)</f>
        <v>20.172388430088112</v>
      </c>
      <c r="U29" s="131">
        <f>IF(SER_hh_fech!U29=0,0,SER_hh_fech!U29/SER_summary!U$26)</f>
        <v>20.300866205264661</v>
      </c>
      <c r="V29" s="131">
        <f>IF(SER_hh_fech!V29=0,0,SER_hh_fech!V29/SER_summary!V$26)</f>
        <v>17.523508051669211</v>
      </c>
      <c r="W29" s="131">
        <f>IF(SER_hh_fech!W29=0,0,SER_hh_fech!W29/SER_summary!W$26)</f>
        <v>19.060047024767101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11.789092132823594</v>
      </c>
      <c r="C30" s="133">
        <f>IF(SER_hh_fech!C30=0,0,SER_hh_fech!C30/SER_summary!C$26)</f>
        <v>46.836164308652933</v>
      </c>
      <c r="D30" s="133">
        <f>IF(SER_hh_fech!D30=0,0,SER_hh_fech!D30/SER_summary!D$26)</f>
        <v>13.495341011962429</v>
      </c>
      <c r="E30" s="133">
        <f>IF(SER_hh_fech!E30=0,0,SER_hh_fech!E30/SER_summary!E$26)</f>
        <v>15.906446353119657</v>
      </c>
      <c r="F30" s="133">
        <f>IF(SER_hh_fech!F30=0,0,SER_hh_fech!F30/SER_summary!F$26)</f>
        <v>42.22399975182477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26.80257837908955</v>
      </c>
      <c r="M30" s="133">
        <f>IF(SER_hh_fech!M30=0,0,SER_hh_fech!M30/SER_summary!M$26)</f>
        <v>24.918131213833586</v>
      </c>
      <c r="N30" s="133">
        <f>IF(SER_hh_fech!N30=0,0,SER_hh_fech!N30/SER_summary!N$26)</f>
        <v>39.424137553902924</v>
      </c>
      <c r="O30" s="133">
        <f>IF(SER_hh_fech!O30=0,0,SER_hh_fech!O30/SER_summary!O$26)</f>
        <v>28.226917710727207</v>
      </c>
      <c r="P30" s="133">
        <f>IF(SER_hh_fech!P30=0,0,SER_hh_fech!P30/SER_summary!P$26)</f>
        <v>17.747836584767231</v>
      </c>
      <c r="Q30" s="133">
        <f>IF(SER_hh_fech!Q30=0,0,SER_hh_fech!Q30/SER_summary!Q$26)</f>
        <v>17.927585542628972</v>
      </c>
      <c r="R30" s="133">
        <f>IF(SER_hh_fech!R30=0,0,SER_hh_fech!R30/SER_summary!R$26)</f>
        <v>21.086095560856084</v>
      </c>
      <c r="S30" s="133">
        <f>IF(SER_hh_fech!S30=0,0,SER_hh_fech!S30/SER_summary!S$26)</f>
        <v>25.093028146971868</v>
      </c>
      <c r="T30" s="133">
        <f>IF(SER_hh_fech!T30=0,0,SER_hh_fech!T30/SER_summary!T$26)</f>
        <v>27.178532239099447</v>
      </c>
      <c r="U30" s="133">
        <f>IF(SER_hh_fech!U30=0,0,SER_hh_fech!U30/SER_summary!U$26)</f>
        <v>26.486059787439537</v>
      </c>
      <c r="V30" s="133">
        <f>IF(SER_hh_fech!V30=0,0,SER_hh_fech!V30/SER_summary!V$26)</f>
        <v>21.624459544790739</v>
      </c>
      <c r="W30" s="133">
        <f>IF(SER_hh_fech!W30=0,0,SER_hh_fech!W30/SER_summary!W$26)</f>
        <v>25.23699767350594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22.160731380881419</v>
      </c>
      <c r="C31" s="133">
        <f>IF(SER_hh_fech!C31=0,0,SER_hh_fech!C31/SER_summary!C$26)</f>
        <v>22.633620660789806</v>
      </c>
      <c r="D31" s="133">
        <f>IF(SER_hh_fech!D31=0,0,SER_hh_fech!D31/SER_summary!D$26)</f>
        <v>20.790932134343599</v>
      </c>
      <c r="E31" s="133">
        <f>IF(SER_hh_fech!E31=0,0,SER_hh_fech!E31/SER_summary!E$26)</f>
        <v>21.761470987589661</v>
      </c>
      <c r="F31" s="133">
        <f>IF(SER_hh_fech!F31=0,0,SER_hh_fech!F31/SER_summary!F$26)</f>
        <v>21.968915577898269</v>
      </c>
      <c r="G31" s="133">
        <f>IF(SER_hh_fech!G31=0,0,SER_hh_fech!G31/SER_summary!G$26)</f>
        <v>20.108620079589066</v>
      </c>
      <c r="H31" s="133">
        <f>IF(SER_hh_fech!H31=0,0,SER_hh_fech!H31/SER_summary!H$26)</f>
        <v>22.202516834766271</v>
      </c>
      <c r="I31" s="133">
        <f>IF(SER_hh_fech!I31=0,0,SER_hh_fech!I31/SER_summary!I$26)</f>
        <v>22.456269483143164</v>
      </c>
      <c r="J31" s="133">
        <f>IF(SER_hh_fech!J31=0,0,SER_hh_fech!J31/SER_summary!J$26)</f>
        <v>22.279723284567741</v>
      </c>
      <c r="K31" s="133">
        <f>IF(SER_hh_fech!K31=0,0,SER_hh_fech!K31/SER_summary!K$26)</f>
        <v>22.188047404458015</v>
      </c>
      <c r="L31" s="133">
        <f>IF(SER_hh_fech!L31=0,0,SER_hh_fech!L31/SER_summary!L$26)</f>
        <v>22.705192208809294</v>
      </c>
      <c r="M31" s="133">
        <f>IF(SER_hh_fech!M31=0,0,SER_hh_fech!M31/SER_summary!M$26)</f>
        <v>22.935786217195343</v>
      </c>
      <c r="N31" s="133">
        <f>IF(SER_hh_fech!N31=0,0,SER_hh_fech!N31/SER_summary!N$26)</f>
        <v>23.397797023739784</v>
      </c>
      <c r="O31" s="133">
        <f>IF(SER_hh_fech!O31=0,0,SER_hh_fech!O31/SER_summary!O$26)</f>
        <v>23.6109736754957</v>
      </c>
      <c r="P31" s="133">
        <f>IF(SER_hh_fech!P31=0,0,SER_hh_fech!P31/SER_summary!P$26)</f>
        <v>23.639915683958865</v>
      </c>
      <c r="Q31" s="133">
        <f>IF(SER_hh_fech!Q31=0,0,SER_hh_fech!Q31/SER_summary!Q$26)</f>
        <v>23.796705895683843</v>
      </c>
      <c r="R31" s="133">
        <f>IF(SER_hh_fech!R31=0,0,SER_hh_fech!R31/SER_summary!R$26)</f>
        <v>23.813050471886388</v>
      </c>
      <c r="S31" s="133">
        <f>IF(SER_hh_fech!S31=0,0,SER_hh_fech!S31/SER_summary!S$26)</f>
        <v>24.626734142493749</v>
      </c>
      <c r="T31" s="133">
        <f>IF(SER_hh_fech!T31=0,0,SER_hh_fech!T31/SER_summary!T$26)</f>
        <v>25.41532838806971</v>
      </c>
      <c r="U31" s="133">
        <f>IF(SER_hh_fech!U31=0,0,SER_hh_fech!U31/SER_summary!U$26)</f>
        <v>25.158930554203859</v>
      </c>
      <c r="V31" s="133">
        <f>IF(SER_hh_fech!V31=0,0,SER_hh_fech!V31/SER_summary!V$26)</f>
        <v>22.133176025138649</v>
      </c>
      <c r="W31" s="133">
        <f>IF(SER_hh_fech!W31=0,0,SER_hh_fech!W31/SER_summary!W$26)</f>
        <v>24.76125001423646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31.502554154473707</v>
      </c>
      <c r="K32" s="133">
        <f>IF(SER_hh_fech!K32=0,0,SER_hh_fech!K32/SER_summary!K$26)</f>
        <v>25.079605162708425</v>
      </c>
      <c r="L32" s="133">
        <f>IF(SER_hh_fech!L32=0,0,SER_hh_fech!L32/SER_summary!L$26)</f>
        <v>23.09852846078665</v>
      </c>
      <c r="M32" s="133">
        <f>IF(SER_hh_fech!M32=0,0,SER_hh_fech!M32/SER_summary!M$26)</f>
        <v>23.150686857218016</v>
      </c>
      <c r="N32" s="133">
        <f>IF(SER_hh_fech!N32=0,0,SER_hh_fech!N32/SER_summary!N$26)</f>
        <v>22.653765562743267</v>
      </c>
      <c r="O32" s="133">
        <f>IF(SER_hh_fech!O32=0,0,SER_hh_fech!O32/SER_summary!O$26)</f>
        <v>22.922737187056761</v>
      </c>
      <c r="P32" s="133">
        <f>IF(SER_hh_fech!P32=0,0,SER_hh_fech!P32/SER_summary!P$26)</f>
        <v>22.579731139174388</v>
      </c>
      <c r="Q32" s="133">
        <f>IF(SER_hh_fech!Q32=0,0,SER_hh_fech!Q32/SER_summary!Q$26)</f>
        <v>20.07745878788252</v>
      </c>
      <c r="R32" s="133">
        <f>IF(SER_hh_fech!R32=0,0,SER_hh_fech!R32/SER_summary!R$26)</f>
        <v>16.155531262380283</v>
      </c>
      <c r="S32" s="133">
        <f>IF(SER_hh_fech!S32=0,0,SER_hh_fech!S32/SER_summary!S$26)</f>
        <v>23.195952010562138</v>
      </c>
      <c r="T32" s="133">
        <f>IF(SER_hh_fech!T32=0,0,SER_hh_fech!T32/SER_summary!T$26)</f>
        <v>27.707968776497857</v>
      </c>
      <c r="U32" s="133">
        <f>IF(SER_hh_fech!U32=0,0,SER_hh_fech!U32/SER_summary!U$26)</f>
        <v>28.067434145081673</v>
      </c>
      <c r="V32" s="133">
        <f>IF(SER_hh_fech!V32=0,0,SER_hh_fech!V32/SER_summary!V$26)</f>
        <v>23.800591613551173</v>
      </c>
      <c r="W32" s="133">
        <f>IF(SER_hh_fech!W32=0,0,SER_hh_fech!W32/SER_summary!W$26)</f>
        <v>23.907091985835727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17.988868422006959</v>
      </c>
      <c r="C33" s="68">
        <f>IF(SER_hh_fech!C33=0,0,SER_hh_fech!C33/SER_summary!C$26)</f>
        <v>17.743907599225651</v>
      </c>
      <c r="D33" s="68">
        <f>IF(SER_hh_fech!D33=0,0,SER_hh_fech!D33/SER_summary!D$26)</f>
        <v>17.659565817860425</v>
      </c>
      <c r="E33" s="68">
        <f>IF(SER_hh_fech!E33=0,0,SER_hh_fech!E33/SER_summary!E$26)</f>
        <v>17.21443610525958</v>
      </c>
      <c r="F33" s="68">
        <f>IF(SER_hh_fech!F33=0,0,SER_hh_fech!F33/SER_summary!F$26)</f>
        <v>16.945017123754294</v>
      </c>
      <c r="G33" s="68">
        <f>IF(SER_hh_fech!G33=0,0,SER_hh_fech!G33/SER_summary!G$26)</f>
        <v>16.651744947779811</v>
      </c>
      <c r="H33" s="68">
        <f>IF(SER_hh_fech!H33=0,0,SER_hh_fech!H33/SER_summary!H$26)</f>
        <v>16.297651985755156</v>
      </c>
      <c r="I33" s="68">
        <f>IF(SER_hh_fech!I33=0,0,SER_hh_fech!I33/SER_summary!I$26)</f>
        <v>16.067426540408274</v>
      </c>
      <c r="J33" s="68">
        <f>IF(SER_hh_fech!J33=0,0,SER_hh_fech!J33/SER_summary!J$26)</f>
        <v>16.195086876023971</v>
      </c>
      <c r="K33" s="68">
        <f>IF(SER_hh_fech!K33=0,0,SER_hh_fech!K33/SER_summary!K$26)</f>
        <v>16.690012955803553</v>
      </c>
      <c r="L33" s="68">
        <f>IF(SER_hh_fech!L33=0,0,SER_hh_fech!L33/SER_summary!L$26)</f>
        <v>17.367203427275186</v>
      </c>
      <c r="M33" s="68">
        <f>IF(SER_hh_fech!M33=0,0,SER_hh_fech!M33/SER_summary!M$26)</f>
        <v>17.1585784054176</v>
      </c>
      <c r="N33" s="68">
        <f>IF(SER_hh_fech!N33=0,0,SER_hh_fech!N33/SER_summary!N$26)</f>
        <v>17.366865925169133</v>
      </c>
      <c r="O33" s="68">
        <f>IF(SER_hh_fech!O33=0,0,SER_hh_fech!O33/SER_summary!O$26)</f>
        <v>17.722326497230867</v>
      </c>
      <c r="P33" s="68">
        <f>IF(SER_hh_fech!P33=0,0,SER_hh_fech!P33/SER_summary!P$26)</f>
        <v>17.746670989804407</v>
      </c>
      <c r="Q33" s="68">
        <f>IF(SER_hh_fech!Q33=0,0,SER_hh_fech!Q33/SER_summary!Q$26)</f>
        <v>17.698943880361742</v>
      </c>
      <c r="R33" s="68">
        <f>IF(SER_hh_fech!R33=0,0,SER_hh_fech!R33/SER_summary!R$26)</f>
        <v>17.888835556162967</v>
      </c>
      <c r="S33" s="68">
        <f>IF(SER_hh_fech!S33=0,0,SER_hh_fech!S33/SER_summary!S$26)</f>
        <v>18.15015137228816</v>
      </c>
      <c r="T33" s="68">
        <f>IF(SER_hh_fech!T33=0,0,SER_hh_fech!T33/SER_summary!T$26)</f>
        <v>18.591526956806078</v>
      </c>
      <c r="U33" s="68">
        <f>IF(SER_hh_fech!U33=0,0,SER_hh_fech!U33/SER_summary!U$26)</f>
        <v>18.665082091996158</v>
      </c>
      <c r="V33" s="68">
        <f>IF(SER_hh_fech!V33=0,0,SER_hh_fech!V33/SER_summary!V$26)</f>
        <v>16.164295285891104</v>
      </c>
      <c r="W33" s="68">
        <f>IF(SER_hh_fech!W33=0,0,SER_hh_fech!W33/SER_summary!W$26)</f>
        <v>17.583625617540221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59.521781939336861</v>
      </c>
      <c r="C3" s="126">
        <f>IF(SER_hh_tesh!C3=0,0,SER_hh_tesh!C3/SER_summary!C$26)</f>
        <v>68.722468396492047</v>
      </c>
      <c r="D3" s="126">
        <f>IF(SER_hh_tesh!D3=0,0,SER_hh_tesh!D3/SER_summary!D$26)</f>
        <v>64.941060752402521</v>
      </c>
      <c r="E3" s="126">
        <f>IF(SER_hh_tesh!E3=0,0,SER_hh_tesh!E3/SER_summary!E$26)</f>
        <v>66.477910121586575</v>
      </c>
      <c r="F3" s="126">
        <f>IF(SER_hh_tesh!F3=0,0,SER_hh_tesh!F3/SER_summary!F$26)</f>
        <v>57.617000181387425</v>
      </c>
      <c r="G3" s="126">
        <f>IF(SER_hh_tesh!G3=0,0,SER_hh_tesh!G3/SER_summary!G$26)</f>
        <v>69.713175838451193</v>
      </c>
      <c r="H3" s="126">
        <f>IF(SER_hh_tesh!H3=0,0,SER_hh_tesh!H3/SER_summary!H$26)</f>
        <v>78.001020298560277</v>
      </c>
      <c r="I3" s="126">
        <f>IF(SER_hh_tesh!I3=0,0,SER_hh_tesh!I3/SER_summary!I$26)</f>
        <v>72.848228895259467</v>
      </c>
      <c r="J3" s="126">
        <f>IF(SER_hh_tesh!J3=0,0,SER_hh_tesh!J3/SER_summary!J$26)</f>
        <v>72.819748964941596</v>
      </c>
      <c r="K3" s="126">
        <f>IF(SER_hh_tesh!K3=0,0,SER_hh_tesh!K3/SER_summary!K$26)</f>
        <v>70.881103814534413</v>
      </c>
      <c r="L3" s="126">
        <f>IF(SER_hh_tesh!L3=0,0,SER_hh_tesh!L3/SER_summary!L$26)</f>
        <v>77.806258052371831</v>
      </c>
      <c r="M3" s="126">
        <f>IF(SER_hh_tesh!M3=0,0,SER_hh_tesh!M3/SER_summary!M$26)</f>
        <v>81.451049567900952</v>
      </c>
      <c r="N3" s="126">
        <f>IF(SER_hh_tesh!N3=0,0,SER_hh_tesh!N3/SER_summary!N$26)</f>
        <v>82.914859194377598</v>
      </c>
      <c r="O3" s="126">
        <f>IF(SER_hh_tesh!O3=0,0,SER_hh_tesh!O3/SER_summary!O$26)</f>
        <v>74.387010470252847</v>
      </c>
      <c r="P3" s="126">
        <f>IF(SER_hh_tesh!P3=0,0,SER_hh_tesh!P3/SER_summary!P$26)</f>
        <v>69.463540400797683</v>
      </c>
      <c r="Q3" s="126">
        <f>IF(SER_hh_tesh!Q3=0,0,SER_hh_tesh!Q3/SER_summary!Q$26)</f>
        <v>77.197432635865326</v>
      </c>
      <c r="R3" s="126">
        <f>IF(SER_hh_tesh!R3=0,0,SER_hh_tesh!R3/SER_summary!R$26)</f>
        <v>83.762992388034633</v>
      </c>
      <c r="S3" s="126">
        <f>IF(SER_hh_tesh!S3=0,0,SER_hh_tesh!S3/SER_summary!S$26)</f>
        <v>83.415611814194847</v>
      </c>
      <c r="T3" s="126">
        <f>IF(SER_hh_tesh!T3=0,0,SER_hh_tesh!T3/SER_summary!T$26)</f>
        <v>86.540206187998379</v>
      </c>
      <c r="U3" s="126">
        <f>IF(SER_hh_tesh!U3=0,0,SER_hh_tesh!U3/SER_summary!U$26)</f>
        <v>91.298093269381624</v>
      </c>
      <c r="V3" s="126">
        <f>IF(SER_hh_tesh!V3=0,0,SER_hh_tesh!V3/SER_summary!V$26)</f>
        <v>78.674914554444513</v>
      </c>
      <c r="W3" s="126">
        <f>IF(SER_hh_tesh!W3=0,0,SER_hh_tesh!W3/SER_summary!W$26)</f>
        <v>99.47347703541277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32.3445379750192</v>
      </c>
      <c r="C4" s="131">
        <f>IF(SER_hh_tesh!C4=0,0,SER_hh_tesh!C4/SER_summary!C$26)</f>
        <v>41.30235754140336</v>
      </c>
      <c r="D4" s="131">
        <f>IF(SER_hh_tesh!D4=0,0,SER_hh_tesh!D4/SER_summary!D$26)</f>
        <v>38.978452696683469</v>
      </c>
      <c r="E4" s="131">
        <f>IF(SER_hh_tesh!E4=0,0,SER_hh_tesh!E4/SER_summary!E$26)</f>
        <v>40.130276649082035</v>
      </c>
      <c r="F4" s="131">
        <f>IF(SER_hh_tesh!F4=0,0,SER_hh_tesh!F4/SER_summary!F$26)</f>
        <v>31.906154558131906</v>
      </c>
      <c r="G4" s="131">
        <f>IF(SER_hh_tesh!G4=0,0,SER_hh_tesh!G4/SER_summary!G$26)</f>
        <v>43.99552007707112</v>
      </c>
      <c r="H4" s="131">
        <f>IF(SER_hh_tesh!H4=0,0,SER_hh_tesh!H4/SER_summary!H$26)</f>
        <v>51.204040769899805</v>
      </c>
      <c r="I4" s="131">
        <f>IF(SER_hh_tesh!I4=0,0,SER_hh_tesh!I4/SER_summary!I$26)</f>
        <v>40.919655784526746</v>
      </c>
      <c r="J4" s="131">
        <f>IF(SER_hh_tesh!J4=0,0,SER_hh_tesh!J4/SER_summary!J$26)</f>
        <v>43.924619721909473</v>
      </c>
      <c r="K4" s="131">
        <f>IF(SER_hh_tesh!K4=0,0,SER_hh_tesh!K4/SER_summary!K$26)</f>
        <v>41.977653156377613</v>
      </c>
      <c r="L4" s="131">
        <f>IF(SER_hh_tesh!L4=0,0,SER_hh_tesh!L4/SER_summary!L$26)</f>
        <v>45.945764330283154</v>
      </c>
      <c r="M4" s="131">
        <f>IF(SER_hh_tesh!M4=0,0,SER_hh_tesh!M4/SER_summary!M$26)</f>
        <v>50.799117462434211</v>
      </c>
      <c r="N4" s="131">
        <f>IF(SER_hh_tesh!N4=0,0,SER_hh_tesh!N4/SER_summary!N$26)</f>
        <v>43.833984213639326</v>
      </c>
      <c r="O4" s="131">
        <f>IF(SER_hh_tesh!O4=0,0,SER_hh_tesh!O4/SER_summary!O$26)</f>
        <v>42.538140070981164</v>
      </c>
      <c r="P4" s="131">
        <f>IF(SER_hh_tesh!P4=0,0,SER_hh_tesh!P4/SER_summary!P$26)</f>
        <v>38.389696363403218</v>
      </c>
      <c r="Q4" s="131">
        <f>IF(SER_hh_tesh!Q4=0,0,SER_hh_tesh!Q4/SER_summary!Q$26)</f>
        <v>42.778751835348807</v>
      </c>
      <c r="R4" s="131">
        <f>IF(SER_hh_tesh!R4=0,0,SER_hh_tesh!R4/SER_summary!R$26)</f>
        <v>49.588185372214845</v>
      </c>
      <c r="S4" s="131">
        <f>IF(SER_hh_tesh!S4=0,0,SER_hh_tesh!S4/SER_summary!S$26)</f>
        <v>47.946572105716179</v>
      </c>
      <c r="T4" s="131">
        <f>IF(SER_hh_tesh!T4=0,0,SER_hh_tesh!T4/SER_summary!T$26)</f>
        <v>52.624739532671292</v>
      </c>
      <c r="U4" s="131">
        <f>IF(SER_hh_tesh!U4=0,0,SER_hh_tesh!U4/SER_summary!U$26)</f>
        <v>56.142806561544809</v>
      </c>
      <c r="V4" s="131">
        <f>IF(SER_hh_tesh!V4=0,0,SER_hh_tesh!V4/SER_summary!V$26)</f>
        <v>46.801290642871095</v>
      </c>
      <c r="W4" s="131">
        <f>IF(SER_hh_tesh!W4=0,0,SER_hh_tesh!W4/SER_summary!W$26)</f>
        <v>62.356660824166426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33.311058534233453</v>
      </c>
      <c r="C5" s="133">
        <f>IF(SER_hh_tesh!C5=0,0,SER_hh_tesh!C5/SER_summary!C$26)</f>
        <v>33.29510912520221</v>
      </c>
      <c r="D5" s="133">
        <f>IF(SER_hh_tesh!D5=0,0,SER_hh_tesh!D5/SER_summary!D$26)</f>
        <v>41.279976338340497</v>
      </c>
      <c r="E5" s="133">
        <f>IF(SER_hh_tesh!E5=0,0,SER_hh_tesh!E5/SER_summary!E$26)</f>
        <v>45.678628592466346</v>
      </c>
      <c r="F5" s="133">
        <f>IF(SER_hh_tesh!F5=0,0,SER_hh_tesh!F5/SER_summary!F$26)</f>
        <v>32.028936626227924</v>
      </c>
      <c r="G5" s="133">
        <f>IF(SER_hh_tesh!G5=0,0,SER_hh_tesh!G5/SER_summary!G$26)</f>
        <v>45.837775802036127</v>
      </c>
      <c r="H5" s="133">
        <f>IF(SER_hh_tesh!H5=0,0,SER_hh_tesh!H5/SER_summary!H$26)</f>
        <v>52.588411930886188</v>
      </c>
      <c r="I5" s="133">
        <f>IF(SER_hh_tesh!I5=0,0,SER_hh_tesh!I5/SER_summary!I$26)</f>
        <v>26.306993086814412</v>
      </c>
      <c r="J5" s="133">
        <f>IF(SER_hh_tesh!J5=0,0,SER_hh_tesh!J5/SER_summary!J$26)</f>
        <v>50.782485601320637</v>
      </c>
      <c r="K5" s="133">
        <f>IF(SER_hh_tesh!K5=0,0,SER_hh_tesh!K5/SER_summary!K$26)</f>
        <v>43.705757857565963</v>
      </c>
      <c r="L5" s="133">
        <f>IF(SER_hh_tesh!L5=0,0,SER_hh_tesh!L5/SER_summary!L$26)</f>
        <v>42.896001143581962</v>
      </c>
      <c r="M5" s="133">
        <f>IF(SER_hh_tesh!M5=0,0,SER_hh_tesh!M5/SER_summary!M$26)</f>
        <v>48.67630212435968</v>
      </c>
      <c r="N5" s="133">
        <f>IF(SER_hh_tesh!N5=0,0,SER_hh_tesh!N5/SER_summary!N$26)</f>
        <v>37.373638187935811</v>
      </c>
      <c r="O5" s="133">
        <f>IF(SER_hh_tesh!O5=0,0,SER_hh_tesh!O5/SER_summary!O$26)</f>
        <v>50.169262864001666</v>
      </c>
      <c r="P5" s="133">
        <f>IF(SER_hh_tesh!P5=0,0,SER_hh_tesh!P5/SER_summary!P$26)</f>
        <v>22.993713683641495</v>
      </c>
      <c r="Q5" s="133">
        <f>IF(SER_hh_tesh!Q5=0,0,SER_hh_tesh!Q5/SER_summary!Q$26)</f>
        <v>60.031894549868312</v>
      </c>
      <c r="R5" s="133">
        <f>IF(SER_hh_tesh!R5=0,0,SER_hh_tesh!R5/SER_summary!R$26)</f>
        <v>66.939581948160807</v>
      </c>
      <c r="S5" s="133">
        <f>IF(SER_hh_tesh!S5=0,0,SER_hh_tesh!S5/SER_summary!S$26)</f>
        <v>48.669143279574136</v>
      </c>
      <c r="T5" s="133">
        <f>IF(SER_hh_tesh!T5=0,0,SER_hh_tesh!T5/SER_summary!T$26)</f>
        <v>37.076819823654688</v>
      </c>
      <c r="U5" s="133">
        <f>IF(SER_hh_tesh!U5=0,0,SER_hh_tesh!U5/SER_summary!U$26)</f>
        <v>60.742579811935144</v>
      </c>
      <c r="V5" s="133">
        <f>IF(SER_hh_tesh!V5=0,0,SER_hh_tesh!V5/SER_summary!V$26)</f>
        <v>52.71565093637593</v>
      </c>
      <c r="W5" s="133">
        <f>IF(SER_hh_tesh!W5=0,0,SER_hh_tesh!W5/SER_summary!W$26)</f>
        <v>50.178547340219062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25.413679588228415</v>
      </c>
      <c r="C7" s="133">
        <f>IF(SER_hh_tesh!C7=0,0,SER_hh_tesh!C7/SER_summary!C$26)</f>
        <v>51.604046951911819</v>
      </c>
      <c r="D7" s="133">
        <f>IF(SER_hh_tesh!D7=0,0,SER_hh_tesh!D7/SER_summary!D$26)</f>
        <v>39.615382566620774</v>
      </c>
      <c r="E7" s="133">
        <f>IF(SER_hh_tesh!E7=0,0,SER_hh_tesh!E7/SER_summary!E$26)</f>
        <v>31.257547081790875</v>
      </c>
      <c r="F7" s="133">
        <f>IF(SER_hh_tesh!F7=0,0,SER_hh_tesh!F7/SER_summary!F$26)</f>
        <v>22.288452721583905</v>
      </c>
      <c r="G7" s="133">
        <f>IF(SER_hh_tesh!G7=0,0,SER_hh_tesh!G7/SER_summary!G$26)</f>
        <v>24.33072508977585</v>
      </c>
      <c r="H7" s="133">
        <f>IF(SER_hh_tesh!H7=0,0,SER_hh_tesh!H7/SER_summary!H$26)</f>
        <v>51.358616165694542</v>
      </c>
      <c r="I7" s="133">
        <f>IF(SER_hh_tesh!I7=0,0,SER_hh_tesh!I7/SER_summary!I$26)</f>
        <v>35.914177311932093</v>
      </c>
      <c r="J7" s="133">
        <f>IF(SER_hh_tesh!J7=0,0,SER_hh_tesh!J7/SER_summary!J$26)</f>
        <v>47.478659122489965</v>
      </c>
      <c r="K7" s="133">
        <f>IF(SER_hh_tesh!K7=0,0,SER_hh_tesh!K7/SER_summary!K$26)</f>
        <v>55.08822947680595</v>
      </c>
      <c r="L7" s="133">
        <f>IF(SER_hh_tesh!L7=0,0,SER_hh_tesh!L7/SER_summary!L$26)</f>
        <v>39.087502273886727</v>
      </c>
      <c r="M7" s="133">
        <f>IF(SER_hh_tesh!M7=0,0,SER_hh_tesh!M7/SER_summary!M$26)</f>
        <v>37.760726986514143</v>
      </c>
      <c r="N7" s="133">
        <f>IF(SER_hh_tesh!N7=0,0,SER_hh_tesh!N7/SER_summary!N$26)</f>
        <v>44.684321318054124</v>
      </c>
      <c r="O7" s="133">
        <f>IF(SER_hh_tesh!O7=0,0,SER_hh_tesh!O7/SER_summary!O$26)</f>
        <v>34.163110667076893</v>
      </c>
      <c r="P7" s="133">
        <f>IF(SER_hh_tesh!P7=0,0,SER_hh_tesh!P7/SER_summary!P$26)</f>
        <v>21.276874452527341</v>
      </c>
      <c r="Q7" s="133">
        <f>IF(SER_hh_tesh!Q7=0,0,SER_hh_tesh!Q7/SER_summary!Q$26)</f>
        <v>59.10796531261888</v>
      </c>
      <c r="R7" s="133">
        <f>IF(SER_hh_tesh!R7=0,0,SER_hh_tesh!R7/SER_summary!R$26)</f>
        <v>56.770623817386571</v>
      </c>
      <c r="S7" s="133">
        <f>IF(SER_hh_tesh!S7=0,0,SER_hh_tesh!S7/SER_summary!S$26)</f>
        <v>51.616900944411995</v>
      </c>
      <c r="T7" s="133">
        <f>IF(SER_hh_tesh!T7=0,0,SER_hh_tesh!T7/SER_summary!T$26)</f>
        <v>39.454836796681015</v>
      </c>
      <c r="U7" s="133">
        <f>IF(SER_hh_tesh!U7=0,0,SER_hh_tesh!U7/SER_summary!U$26)</f>
        <v>54.879307228699361</v>
      </c>
      <c r="V7" s="133">
        <f>IF(SER_hh_tesh!V7=0,0,SER_hh_tesh!V7/SER_summary!V$26)</f>
        <v>50.322720125671644</v>
      </c>
      <c r="W7" s="133">
        <f>IF(SER_hh_tesh!W7=0,0,SER_hh_tesh!W7/SER_summary!W$26)</f>
        <v>56.361727640377374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28.811017367562687</v>
      </c>
      <c r="C9" s="133">
        <f>IF(SER_hh_tesh!C9=0,0,SER_hh_tesh!C9/SER_summary!C$26)</f>
        <v>41.137364363797772</v>
      </c>
      <c r="D9" s="133">
        <f>IF(SER_hh_tesh!D9=0,0,SER_hh_tesh!D9/SER_summary!D$26)</f>
        <v>34.964555547858247</v>
      </c>
      <c r="E9" s="133">
        <f>IF(SER_hh_tesh!E9=0,0,SER_hh_tesh!E9/SER_summary!E$26)</f>
        <v>39.501801933812565</v>
      </c>
      <c r="F9" s="133">
        <f>IF(SER_hh_tesh!F9=0,0,SER_hh_tesh!F9/SER_summary!F$26)</f>
        <v>30.862925722138442</v>
      </c>
      <c r="G9" s="133">
        <f>IF(SER_hh_tesh!G9=0,0,SER_hh_tesh!G9/SER_summary!G$26)</f>
        <v>39.445924810860518</v>
      </c>
      <c r="H9" s="133">
        <f>IF(SER_hh_tesh!H9=0,0,SER_hh_tesh!H9/SER_summary!H$26)</f>
        <v>50.248418939374908</v>
      </c>
      <c r="I9" s="133">
        <f>IF(SER_hh_tesh!I9=0,0,SER_hh_tesh!I9/SER_summary!I$26)</f>
        <v>45.306464606245569</v>
      </c>
      <c r="J9" s="133">
        <f>IF(SER_hh_tesh!J9=0,0,SER_hh_tesh!J9/SER_summary!J$26)</f>
        <v>53.709173486217438</v>
      </c>
      <c r="K9" s="133">
        <f>IF(SER_hh_tesh!K9=0,0,SER_hh_tesh!K9/SER_summary!K$26)</f>
        <v>34.180930179330367</v>
      </c>
      <c r="L9" s="133">
        <f>IF(SER_hh_tesh!L9=0,0,SER_hh_tesh!L9/SER_summary!L$26)</f>
        <v>47.26703172807705</v>
      </c>
      <c r="M9" s="133">
        <f>IF(SER_hh_tesh!M9=0,0,SER_hh_tesh!M9/SER_summary!M$26)</f>
        <v>49.280199855785739</v>
      </c>
      <c r="N9" s="133">
        <f>IF(SER_hh_tesh!N9=0,0,SER_hh_tesh!N9/SER_summary!N$26)</f>
        <v>43.75950757418213</v>
      </c>
      <c r="O9" s="133">
        <f>IF(SER_hh_tesh!O9=0,0,SER_hh_tesh!O9/SER_summary!O$26)</f>
        <v>38.117887593739049</v>
      </c>
      <c r="P9" s="133">
        <f>IF(SER_hh_tesh!P9=0,0,SER_hh_tesh!P9/SER_summary!P$26)</f>
        <v>39.289361704910903</v>
      </c>
      <c r="Q9" s="133">
        <f>IF(SER_hh_tesh!Q9=0,0,SER_hh_tesh!Q9/SER_summary!Q$26)</f>
        <v>44.50930679797807</v>
      </c>
      <c r="R9" s="133">
        <f>IF(SER_hh_tesh!R9=0,0,SER_hh_tesh!R9/SER_summary!R$26)</f>
        <v>47.62039849467287</v>
      </c>
      <c r="S9" s="133">
        <f>IF(SER_hh_tesh!S9=0,0,SER_hh_tesh!S9/SER_summary!S$26)</f>
        <v>48.707949200705372</v>
      </c>
      <c r="T9" s="133">
        <f>IF(SER_hh_tesh!T9=0,0,SER_hh_tesh!T9/SER_summary!T$26)</f>
        <v>53.672635493190064</v>
      </c>
      <c r="U9" s="133">
        <f>IF(SER_hh_tesh!U9=0,0,SER_hh_tesh!U9/SER_summary!U$26)</f>
        <v>48.087772524957842</v>
      </c>
      <c r="V9" s="133">
        <f>IF(SER_hh_tesh!V9=0,0,SER_hh_tesh!V9/SER_summary!V$26)</f>
        <v>48.811321504776906</v>
      </c>
      <c r="W9" s="133">
        <f>IF(SER_hh_tesh!W9=0,0,SER_hh_tesh!W9/SER_summary!W$26)</f>
        <v>61.24235248409444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35.487601789225685</v>
      </c>
      <c r="C10" s="133">
        <f>IF(SER_hh_tesh!C10=0,0,SER_hh_tesh!C10/SER_summary!C$26)</f>
        <v>37.371639589620699</v>
      </c>
      <c r="D10" s="133">
        <f>IF(SER_hh_tesh!D10=0,0,SER_hh_tesh!D10/SER_summary!D$26)</f>
        <v>31.709538850232349</v>
      </c>
      <c r="E10" s="133">
        <f>IF(SER_hh_tesh!E10=0,0,SER_hh_tesh!E10/SER_summary!E$26)</f>
        <v>46.135684867382288</v>
      </c>
      <c r="F10" s="133">
        <f>IF(SER_hh_tesh!F10=0,0,SER_hh_tesh!F10/SER_summary!F$26)</f>
        <v>30.151070089243149</v>
      </c>
      <c r="G10" s="133">
        <f>IF(SER_hh_tesh!G10=0,0,SER_hh_tesh!G10/SER_summary!G$26)</f>
        <v>42.140706230274873</v>
      </c>
      <c r="H10" s="133">
        <f>IF(SER_hh_tesh!H10=0,0,SER_hh_tesh!H10/SER_summary!H$26)</f>
        <v>53.006233961627849</v>
      </c>
      <c r="I10" s="133">
        <f>IF(SER_hh_tesh!I10=0,0,SER_hh_tesh!I10/SER_summary!I$26)</f>
        <v>43.05545201623444</v>
      </c>
      <c r="J10" s="133">
        <f>IF(SER_hh_tesh!J10=0,0,SER_hh_tesh!J10/SER_summary!J$26)</f>
        <v>51.070838416000797</v>
      </c>
      <c r="K10" s="133">
        <f>IF(SER_hh_tesh!K10=0,0,SER_hh_tesh!K10/SER_summary!K$26)</f>
        <v>41.20847271810176</v>
      </c>
      <c r="L10" s="133">
        <f>IF(SER_hh_tesh!L10=0,0,SER_hh_tesh!L10/SER_summary!L$26)</f>
        <v>21.306558042879772</v>
      </c>
      <c r="M10" s="133">
        <f>IF(SER_hh_tesh!M10=0,0,SER_hh_tesh!M10/SER_summary!M$26)</f>
        <v>17.177077632276834</v>
      </c>
      <c r="N10" s="133">
        <f>IF(SER_hh_tesh!N10=0,0,SER_hh_tesh!N10/SER_summary!N$26)</f>
        <v>98.01215345847929</v>
      </c>
      <c r="O10" s="133">
        <f>IF(SER_hh_tesh!O10=0,0,SER_hh_tesh!O10/SER_summary!O$26)</f>
        <v>49.124647544756876</v>
      </c>
      <c r="P10" s="133">
        <f>IF(SER_hh_tesh!P10=0,0,SER_hh_tesh!P10/SER_summary!P$26)</f>
        <v>5.657788239482632</v>
      </c>
      <c r="Q10" s="133">
        <f>IF(SER_hh_tesh!Q10=0,0,SER_hh_tesh!Q10/SER_summary!Q$26)</f>
        <v>23.828267835654316</v>
      </c>
      <c r="R10" s="133">
        <f>IF(SER_hh_tesh!R10=0,0,SER_hh_tesh!R10/SER_summary!R$26)</f>
        <v>9.3674619258703888</v>
      </c>
      <c r="S10" s="133">
        <f>IF(SER_hh_tesh!S10=0,0,SER_hh_tesh!S10/SER_summary!S$26)</f>
        <v>52.394703603611802</v>
      </c>
      <c r="T10" s="133">
        <f>IF(SER_hh_tesh!T10=0,0,SER_hh_tesh!T10/SER_summary!T$26)</f>
        <v>61.578902138793644</v>
      </c>
      <c r="U10" s="133">
        <f>IF(SER_hh_tesh!U10=0,0,SER_hh_tesh!U10/SER_summary!U$26)</f>
        <v>60.609152235422471</v>
      </c>
      <c r="V10" s="133">
        <f>IF(SER_hh_tesh!V10=0,0,SER_hh_tesh!V10/SER_summary!V$26)</f>
        <v>44.072677441290679</v>
      </c>
      <c r="W10" s="133">
        <f>IF(SER_hh_tesh!W10=0,0,SER_hh_tesh!W10/SER_summary!W$26)</f>
        <v>63.461960180436151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64.514972193301503</v>
      </c>
      <c r="H11" s="133">
        <f>IF(SER_hh_tesh!H11=0,0,SER_hh_tesh!H11/SER_summary!H$26)</f>
        <v>51.11390793417133</v>
      </c>
      <c r="I11" s="133">
        <f>IF(SER_hh_tesh!I11=0,0,SER_hh_tesh!I11/SER_summary!I$26)</f>
        <v>43.659856046184316</v>
      </c>
      <c r="J11" s="133">
        <f>IF(SER_hh_tesh!J11=0,0,SER_hh_tesh!J11/SER_summary!J$26)</f>
        <v>43.674154256264686</v>
      </c>
      <c r="K11" s="133">
        <f>IF(SER_hh_tesh!K11=0,0,SER_hh_tesh!K11/SER_summary!K$26)</f>
        <v>43.695636317741446</v>
      </c>
      <c r="L11" s="133">
        <f>IF(SER_hh_tesh!L11=0,0,SER_hh_tesh!L11/SER_summary!L$26)</f>
        <v>45.230234158219616</v>
      </c>
      <c r="M11" s="133">
        <f>IF(SER_hh_tesh!M11=0,0,SER_hh_tesh!M11/SER_summary!M$26)</f>
        <v>46.153414837833324</v>
      </c>
      <c r="N11" s="133">
        <f>IF(SER_hh_tesh!N11=0,0,SER_hh_tesh!N11/SER_summary!N$26)</f>
        <v>44.330949889412452</v>
      </c>
      <c r="O11" s="133">
        <f>IF(SER_hh_tesh!O11=0,0,SER_hh_tesh!O11/SER_summary!O$26)</f>
        <v>42.425489275036</v>
      </c>
      <c r="P11" s="133">
        <f>IF(SER_hh_tesh!P11=0,0,SER_hh_tesh!P11/SER_summary!P$26)</f>
        <v>41.204952395859117</v>
      </c>
      <c r="Q11" s="133">
        <f>IF(SER_hh_tesh!Q11=0,0,SER_hh_tesh!Q11/SER_summary!Q$26)</f>
        <v>42.791562685553764</v>
      </c>
      <c r="R11" s="133">
        <f>IF(SER_hh_tesh!R11=0,0,SER_hh_tesh!R11/SER_summary!R$26)</f>
        <v>46.962849245462237</v>
      </c>
      <c r="S11" s="133">
        <f>IF(SER_hh_tesh!S11=0,0,SER_hh_tesh!S11/SER_summary!S$26)</f>
        <v>49.131824251633041</v>
      </c>
      <c r="T11" s="133">
        <f>IF(SER_hh_tesh!T11=0,0,SER_hh_tesh!T11/SER_summary!T$26)</f>
        <v>50.730986565344551</v>
      </c>
      <c r="U11" s="133">
        <f>IF(SER_hh_tesh!U11=0,0,SER_hh_tesh!U11/SER_summary!U$26)</f>
        <v>52.563097000357573</v>
      </c>
      <c r="V11" s="133">
        <f>IF(SER_hh_tesh!V11=0,0,SER_hh_tesh!V11/SER_summary!V$26)</f>
        <v>54.275273108394195</v>
      </c>
      <c r="W11" s="133">
        <f>IF(SER_hh_tesh!W11=0,0,SER_hh_tesh!W11/SER_summary!W$26)</f>
        <v>56.474171779030819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34.057745522278893</v>
      </c>
      <c r="C12" s="133">
        <f>IF(SER_hh_tesh!C12=0,0,SER_hh_tesh!C12/SER_summary!C$26)</f>
        <v>42.569376603302715</v>
      </c>
      <c r="D12" s="133">
        <f>IF(SER_hh_tesh!D12=0,0,SER_hh_tesh!D12/SER_summary!D$26)</f>
        <v>37.601237865236968</v>
      </c>
      <c r="E12" s="133">
        <f>IF(SER_hh_tesh!E12=0,0,SER_hh_tesh!E12/SER_summary!E$26)</f>
        <v>38.753375622335341</v>
      </c>
      <c r="F12" s="133">
        <f>IF(SER_hh_tesh!F12=0,0,SER_hh_tesh!F12/SER_summary!F$26)</f>
        <v>32.354940642439509</v>
      </c>
      <c r="G12" s="133">
        <f>IF(SER_hh_tesh!G12=0,0,SER_hh_tesh!G12/SER_summary!G$26)</f>
        <v>51.727217500246375</v>
      </c>
      <c r="H12" s="133">
        <f>IF(SER_hh_tesh!H12=0,0,SER_hh_tesh!H12/SER_summary!H$26)</f>
        <v>51.994792191650504</v>
      </c>
      <c r="I12" s="133">
        <f>IF(SER_hh_tesh!I12=0,0,SER_hh_tesh!I12/SER_summary!I$26)</f>
        <v>39.482881833888165</v>
      </c>
      <c r="J12" s="133">
        <f>IF(SER_hh_tesh!J12=0,0,SER_hh_tesh!J12/SER_summary!J$26)</f>
        <v>37.577571818811528</v>
      </c>
      <c r="K12" s="133">
        <f>IF(SER_hh_tesh!K12=0,0,SER_hh_tesh!K12/SER_summary!K$26)</f>
        <v>41.32203161963438</v>
      </c>
      <c r="L12" s="133">
        <f>IF(SER_hh_tesh!L12=0,0,SER_hh_tesh!L12/SER_summary!L$26)</f>
        <v>42.833449437646195</v>
      </c>
      <c r="M12" s="133">
        <f>IF(SER_hh_tesh!M12=0,0,SER_hh_tesh!M12/SER_summary!M$26)</f>
        <v>57.621392230605615</v>
      </c>
      <c r="N12" s="133">
        <f>IF(SER_hh_tesh!N12=0,0,SER_hh_tesh!N12/SER_summary!N$26)</f>
        <v>40.328186268821888</v>
      </c>
      <c r="O12" s="133">
        <f>IF(SER_hh_tesh!O12=0,0,SER_hh_tesh!O12/SER_summary!O$26)</f>
        <v>39.418214311214456</v>
      </c>
      <c r="P12" s="133">
        <f>IF(SER_hh_tesh!P12=0,0,SER_hh_tesh!P12/SER_summary!P$26)</f>
        <v>40.040834489983176</v>
      </c>
      <c r="Q12" s="133">
        <f>IF(SER_hh_tesh!Q12=0,0,SER_hh_tesh!Q12/SER_summary!Q$26)</f>
        <v>44.46392027144244</v>
      </c>
      <c r="R12" s="133">
        <f>IF(SER_hh_tesh!R12=0,0,SER_hh_tesh!R12/SER_summary!R$26)</f>
        <v>61.000130827547373</v>
      </c>
      <c r="S12" s="133">
        <f>IF(SER_hh_tesh!S12=0,0,SER_hh_tesh!S12/SER_summary!S$26)</f>
        <v>45.250567743992022</v>
      </c>
      <c r="T12" s="133">
        <f>IF(SER_hh_tesh!T12=0,0,SER_hh_tesh!T12/SER_summary!T$26)</f>
        <v>59.76302683501067</v>
      </c>
      <c r="U12" s="133">
        <f>IF(SER_hh_tesh!U12=0,0,SER_hh_tesh!U12/SER_summary!U$26)</f>
        <v>56.251187863353948</v>
      </c>
      <c r="V12" s="133">
        <f>IF(SER_hh_tesh!V12=0,0,SER_hh_tesh!V12/SER_summary!V$26)</f>
        <v>44.847011250977772</v>
      </c>
      <c r="W12" s="133">
        <f>IF(SER_hh_tesh!W12=0,0,SER_hh_tesh!W12/SER_summary!W$26)</f>
        <v>62.047905760493784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33.850210488891555</v>
      </c>
      <c r="C13" s="133">
        <f>IF(SER_hh_tesh!C13=0,0,SER_hh_tesh!C13/SER_summary!C$26)</f>
        <v>28.517656954366092</v>
      </c>
      <c r="D13" s="133">
        <f>IF(SER_hh_tesh!D13=0,0,SER_hh_tesh!D13/SER_summary!D$26)</f>
        <v>35.349429020132639</v>
      </c>
      <c r="E13" s="133">
        <f>IF(SER_hh_tesh!E13=0,0,SER_hh_tesh!E13/SER_summary!E$26)</f>
        <v>40.240876360835017</v>
      </c>
      <c r="F13" s="133">
        <f>IF(SER_hh_tesh!F13=0,0,SER_hh_tesh!F13/SER_summary!F$26)</f>
        <v>37.715524964493945</v>
      </c>
      <c r="G13" s="133">
        <f>IF(SER_hh_tesh!G13=0,0,SER_hh_tesh!G13/SER_summary!G$26)</f>
        <v>41.78723669073019</v>
      </c>
      <c r="H13" s="133">
        <f>IF(SER_hh_tesh!H13=0,0,SER_hh_tesh!H13/SER_summary!H$26)</f>
        <v>48.107386689260593</v>
      </c>
      <c r="I13" s="133">
        <f>IF(SER_hh_tesh!I13=0,0,SER_hh_tesh!I13/SER_summary!I$26)</f>
        <v>43.79076875831862</v>
      </c>
      <c r="J13" s="133">
        <f>IF(SER_hh_tesh!J13=0,0,SER_hh_tesh!J13/SER_summary!J$26)</f>
        <v>40.813098679669267</v>
      </c>
      <c r="K13" s="133">
        <f>IF(SER_hh_tesh!K13=0,0,SER_hh_tesh!K13/SER_summary!K$26)</f>
        <v>44.026997230787835</v>
      </c>
      <c r="L13" s="133">
        <f>IF(SER_hh_tesh!L13=0,0,SER_hh_tesh!L13/SER_summary!L$26)</f>
        <v>47.602140899437416</v>
      </c>
      <c r="M13" s="133">
        <f>IF(SER_hh_tesh!M13=0,0,SER_hh_tesh!M13/SER_summary!M$26)</f>
        <v>45.199143521933287</v>
      </c>
      <c r="N13" s="133">
        <f>IF(SER_hh_tesh!N13=0,0,SER_hh_tesh!N13/SER_summary!N$26)</f>
        <v>41.25052601090033</v>
      </c>
      <c r="O13" s="133">
        <f>IF(SER_hh_tesh!O13=0,0,SER_hh_tesh!O13/SER_summary!O$26)</f>
        <v>45.59700055558131</v>
      </c>
      <c r="P13" s="133">
        <f>IF(SER_hh_tesh!P13=0,0,SER_hh_tesh!P13/SER_summary!P$26)</f>
        <v>40.576452630072545</v>
      </c>
      <c r="Q13" s="133">
        <f>IF(SER_hh_tesh!Q13=0,0,SER_hh_tesh!Q13/SER_summary!Q$26)</f>
        <v>43.700461686913137</v>
      </c>
      <c r="R13" s="133">
        <f>IF(SER_hh_tesh!R13=0,0,SER_hh_tesh!R13/SER_summary!R$26)</f>
        <v>45.527788791569222</v>
      </c>
      <c r="S13" s="133">
        <f>IF(SER_hh_tesh!S13=0,0,SER_hh_tesh!S13/SER_summary!S$26)</f>
        <v>46.909788112667918</v>
      </c>
      <c r="T13" s="133">
        <f>IF(SER_hh_tesh!T13=0,0,SER_hh_tesh!T13/SER_summary!T$26)</f>
        <v>46.937402032201199</v>
      </c>
      <c r="U13" s="133">
        <f>IF(SER_hh_tesh!U13=0,0,SER_hh_tesh!U13/SER_summary!U$26)</f>
        <v>50.19627888211533</v>
      </c>
      <c r="V13" s="133">
        <f>IF(SER_hh_tesh!V13=0,0,SER_hh_tesh!V13/SER_summary!V$26)</f>
        <v>50.969817532950984</v>
      </c>
      <c r="W13" s="133">
        <f>IF(SER_hh_tesh!W13=0,0,SER_hh_tesh!W13/SER_summary!W$26)</f>
        <v>58.896760352636626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36.041858512947222</v>
      </c>
      <c r="C14" s="65">
        <f>IF(SER_hh_tesh!C14=0,0,SER_hh_tesh!C14/SER_summary!C$26)</f>
        <v>32.258908337992274</v>
      </c>
      <c r="D14" s="65">
        <f>IF(SER_hh_tesh!D14=0,0,SER_hh_tesh!D14/SER_summary!D$26)</f>
        <v>41.685628044744888</v>
      </c>
      <c r="E14" s="65">
        <f>IF(SER_hh_tesh!E14=0,0,SER_hh_tesh!E14/SER_summary!E$26)</f>
        <v>44.961910041685201</v>
      </c>
      <c r="F14" s="65">
        <f>IF(SER_hh_tesh!F14=0,0,SER_hh_tesh!F14/SER_summary!F$26)</f>
        <v>29.920847561924909</v>
      </c>
      <c r="G14" s="65">
        <f>IF(SER_hh_tesh!G14=0,0,SER_hh_tesh!G14/SER_summary!G$26)</f>
        <v>35.173912349007011</v>
      </c>
      <c r="H14" s="65">
        <f>IF(SER_hh_tesh!H14=0,0,SER_hh_tesh!H14/SER_summary!H$26)</f>
        <v>52.258724312370866</v>
      </c>
      <c r="I14" s="65">
        <f>IF(SER_hh_tesh!I14=0,0,SER_hh_tesh!I14/SER_summary!I$26)</f>
        <v>37.835097311627841</v>
      </c>
      <c r="J14" s="65">
        <f>IF(SER_hh_tesh!J14=0,0,SER_hh_tesh!J14/SER_summary!J$26)</f>
        <v>48.332933231982601</v>
      </c>
      <c r="K14" s="65">
        <f>IF(SER_hh_tesh!K14=0,0,SER_hh_tesh!K14/SER_summary!K$26)</f>
        <v>37.594800273163017</v>
      </c>
      <c r="L14" s="65">
        <f>IF(SER_hh_tesh!L14=0,0,SER_hh_tesh!L14/SER_summary!L$26)</f>
        <v>49.353546733410361</v>
      </c>
      <c r="M14" s="65">
        <f>IF(SER_hh_tesh!M14=0,0,SER_hh_tesh!M14/SER_summary!M$26)</f>
        <v>58.636036628165428</v>
      </c>
      <c r="N14" s="65">
        <f>IF(SER_hh_tesh!N14=0,0,SER_hh_tesh!N14/SER_summary!N$26)</f>
        <v>42.513065719436298</v>
      </c>
      <c r="O14" s="65">
        <f>IF(SER_hh_tesh!O14=0,0,SER_hh_tesh!O14/SER_summary!O$26)</f>
        <v>40.137510612524736</v>
      </c>
      <c r="P14" s="65">
        <f>IF(SER_hh_tesh!P14=0,0,SER_hh_tesh!P14/SER_summary!P$26)</f>
        <v>38.040249783731419</v>
      </c>
      <c r="Q14" s="65">
        <f>IF(SER_hh_tesh!Q14=0,0,SER_hh_tesh!Q14/SER_summary!Q$26)</f>
        <v>33.04102272263242</v>
      </c>
      <c r="R14" s="65">
        <f>IF(SER_hh_tesh!R14=0,0,SER_hh_tesh!R14/SER_summary!R$26)</f>
        <v>56.080274977607679</v>
      </c>
      <c r="S14" s="65">
        <f>IF(SER_hh_tesh!S14=0,0,SER_hh_tesh!S14/SER_summary!S$26)</f>
        <v>49.188659747006533</v>
      </c>
      <c r="T14" s="65">
        <f>IF(SER_hh_tesh!T14=0,0,SER_hh_tesh!T14/SER_summary!T$26)</f>
        <v>58.710167156192703</v>
      </c>
      <c r="U14" s="65">
        <f>IF(SER_hh_tesh!U14=0,0,SER_hh_tesh!U14/SER_summary!U$26)</f>
        <v>80.781902607883495</v>
      </c>
      <c r="V14" s="65">
        <f>IF(SER_hh_tesh!V14=0,0,SER_hh_tesh!V14/SER_summary!V$26)</f>
        <v>27.636962169957677</v>
      </c>
      <c r="W14" s="65">
        <f>IF(SER_hh_tesh!W14=0,0,SER_hh_tesh!W14/SER_summary!W$26)</f>
        <v>77.120007691520343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0.33604968505149696</v>
      </c>
      <c r="C15" s="135">
        <f>IF(SER_hh_tesh!C15=0,0,SER_hh_tesh!C15/SER_summary!C$26)</f>
        <v>0.55353077685759022</v>
      </c>
      <c r="D15" s="135">
        <f>IF(SER_hh_tesh!D15=0,0,SER_hh_tesh!D15/SER_summary!D$26)</f>
        <v>0.40134471244474251</v>
      </c>
      <c r="E15" s="135">
        <f>IF(SER_hh_tesh!E15=0,0,SER_hh_tesh!E15/SER_summary!E$26)</f>
        <v>0.32615765747229586</v>
      </c>
      <c r="F15" s="135">
        <f>IF(SER_hh_tesh!F15=0,0,SER_hh_tesh!F15/SER_summary!F$26)</f>
        <v>0.23687350681734037</v>
      </c>
      <c r="G15" s="135">
        <f>IF(SER_hh_tesh!G15=0,0,SER_hh_tesh!G15/SER_summary!G$26)</f>
        <v>0.32896261607936145</v>
      </c>
      <c r="H15" s="135">
        <f>IF(SER_hh_tesh!H15=0,0,SER_hh_tesh!H15/SER_summary!H$26)</f>
        <v>0.42204974958809249</v>
      </c>
      <c r="I15" s="135">
        <f>IF(SER_hh_tesh!I15=0,0,SER_hh_tesh!I15/SER_summary!I$26)</f>
        <v>0.33502411880799277</v>
      </c>
      <c r="J15" s="135">
        <f>IF(SER_hh_tesh!J15=0,0,SER_hh_tesh!J15/SER_summary!J$26)</f>
        <v>0.39478929678944208</v>
      </c>
      <c r="K15" s="135">
        <f>IF(SER_hh_tesh!K15=0,0,SER_hh_tesh!K15/SER_summary!K$26)</f>
        <v>0.36073542986858004</v>
      </c>
      <c r="L15" s="135">
        <f>IF(SER_hh_tesh!L15=0,0,SER_hh_tesh!L15/SER_summary!L$26)</f>
        <v>0.34728790906027712</v>
      </c>
      <c r="M15" s="135">
        <f>IF(SER_hh_tesh!M15=0,0,SER_hh_tesh!M15/SER_summary!M$26)</f>
        <v>0.3609565345141233</v>
      </c>
      <c r="N15" s="135">
        <f>IF(SER_hh_tesh!N15=0,0,SER_hh_tesh!N15/SER_summary!N$26)</f>
        <v>0.35241341884642541</v>
      </c>
      <c r="O15" s="135">
        <f>IF(SER_hh_tesh!O15=0,0,SER_hh_tesh!O15/SER_summary!O$26)</f>
        <v>0.29705826762821158</v>
      </c>
      <c r="P15" s="135">
        <f>IF(SER_hh_tesh!P15=0,0,SER_hh_tesh!P15/SER_summary!P$26)</f>
        <v>0.26641950103537415</v>
      </c>
      <c r="Q15" s="135">
        <f>IF(SER_hh_tesh!Q15=0,0,SER_hh_tesh!Q15/SER_summary!Q$26)</f>
        <v>0.36543027396278116</v>
      </c>
      <c r="R15" s="135">
        <f>IF(SER_hh_tesh!R15=0,0,SER_hh_tesh!R15/SER_summary!R$26)</f>
        <v>0.39387680939197423</v>
      </c>
      <c r="S15" s="135">
        <f>IF(SER_hh_tesh!S15=0,0,SER_hh_tesh!S15/SER_summary!S$26)</f>
        <v>0.39601788192694393</v>
      </c>
      <c r="T15" s="135">
        <f>IF(SER_hh_tesh!T15=0,0,SER_hh_tesh!T15/SER_summary!T$26)</f>
        <v>0.43119192985112753</v>
      </c>
      <c r="U15" s="135">
        <f>IF(SER_hh_tesh!U15=0,0,SER_hh_tesh!U15/SER_summary!U$26)</f>
        <v>0.42664761414797214</v>
      </c>
      <c r="V15" s="135">
        <f>IF(SER_hh_tesh!V15=0,0,SER_hh_tesh!V15/SER_summary!V$26)</f>
        <v>0.38521828954119897</v>
      </c>
      <c r="W15" s="135">
        <f>IF(SER_hh_tesh!W15=0,0,SER_hh_tesh!W15/SER_summary!W$26)</f>
        <v>0.49841230707977469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32.541107137611576</v>
      </c>
      <c r="C16" s="131">
        <f>IF(SER_hh_tesh!C16=0,0,SER_hh_tesh!C16/SER_summary!C$26)</f>
        <v>30.048607016957476</v>
      </c>
      <c r="D16" s="131">
        <f>IF(SER_hh_tesh!D16=0,0,SER_hh_tesh!D16/SER_summary!D$26)</f>
        <v>22.276781344650328</v>
      </c>
      <c r="E16" s="131">
        <f>IF(SER_hh_tesh!E16=0,0,SER_hh_tesh!E16/SER_summary!E$26)</f>
        <v>24.738057065355637</v>
      </c>
      <c r="F16" s="131">
        <f>IF(SER_hh_tesh!F16=0,0,SER_hh_tesh!F16/SER_summary!F$26)</f>
        <v>19.466720068514299</v>
      </c>
      <c r="G16" s="131">
        <f>IF(SER_hh_tesh!G16=0,0,SER_hh_tesh!G16/SER_summary!G$26)</f>
        <v>19.713949534281898</v>
      </c>
      <c r="H16" s="131">
        <f>IF(SER_hh_tesh!H16=0,0,SER_hh_tesh!H16/SER_summary!H$26)</f>
        <v>22.854821902649128</v>
      </c>
      <c r="I16" s="131">
        <f>IF(SER_hh_tesh!I16=0,0,SER_hh_tesh!I16/SER_summary!I$26)</f>
        <v>41.054195256580122</v>
      </c>
      <c r="J16" s="131">
        <f>IF(SER_hh_tesh!J16=0,0,SER_hh_tesh!J16/SER_summary!J$26)</f>
        <v>26.165030581029363</v>
      </c>
      <c r="K16" s="131">
        <f>IF(SER_hh_tesh!K16=0,0,SER_hh_tesh!K16/SER_summary!K$26)</f>
        <v>22.692050173154158</v>
      </c>
      <c r="L16" s="131">
        <f>IF(SER_hh_tesh!L16=0,0,SER_hh_tesh!L16/SER_summary!L$26)</f>
        <v>28.418856924320174</v>
      </c>
      <c r="M16" s="131">
        <f>IF(SER_hh_tesh!M16=0,0,SER_hh_tesh!M16/SER_summary!M$26)</f>
        <v>23.570684420993093</v>
      </c>
      <c r="N16" s="131">
        <f>IF(SER_hh_tesh!N16=0,0,SER_hh_tesh!N16/SER_summary!N$26)</f>
        <v>49.346976072192646</v>
      </c>
      <c r="O16" s="131">
        <f>IF(SER_hh_tesh!O16=0,0,SER_hh_tesh!O16/SER_summary!O$26)</f>
        <v>24.058992903382205</v>
      </c>
      <c r="P16" s="131">
        <f>IF(SER_hh_tesh!P16=0,0,SER_hh_tesh!P16/SER_summary!P$26)</f>
        <v>22.311510150745903</v>
      </c>
      <c r="Q16" s="131">
        <f>IF(SER_hh_tesh!Q16=0,0,SER_hh_tesh!Q16/SER_summary!Q$26)</f>
        <v>32.138886221942776</v>
      </c>
      <c r="R16" s="131">
        <f>IF(SER_hh_tesh!R16=0,0,SER_hh_tesh!R16/SER_summary!R$26)</f>
        <v>29.843413407280448</v>
      </c>
      <c r="S16" s="131">
        <f>IF(SER_hh_tesh!S16=0,0,SER_hh_tesh!S16/SER_summary!S$26)</f>
        <v>31.757688769982828</v>
      </c>
      <c r="T16" s="131">
        <f>IF(SER_hh_tesh!T16=0,0,SER_hh_tesh!T16/SER_summary!T$26)</f>
        <v>23.904324919088495</v>
      </c>
      <c r="U16" s="131">
        <f>IF(SER_hh_tesh!U16=0,0,SER_hh_tesh!U16/SER_summary!U$26)</f>
        <v>26.499933322399261</v>
      </c>
      <c r="V16" s="131">
        <f>IF(SER_hh_tesh!V16=0,0,SER_hh_tesh!V16/SER_summary!V$26)</f>
        <v>26.887289968218823</v>
      </c>
      <c r="W16" s="131">
        <f>IF(SER_hh_tesh!W16=0,0,SER_hh_tesh!W16/SER_summary!W$26)</f>
        <v>36.499769921143461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32.541107137611576</v>
      </c>
      <c r="C18" s="133">
        <f>IF(SER_hh_tesh!C18=0,0,SER_hh_tesh!C18/SER_summary!C$26)</f>
        <v>30.048607016957476</v>
      </c>
      <c r="D18" s="133">
        <f>IF(SER_hh_tesh!D18=0,0,SER_hh_tesh!D18/SER_summary!D$26)</f>
        <v>22.276781344650328</v>
      </c>
      <c r="E18" s="133">
        <f>IF(SER_hh_tesh!E18=0,0,SER_hh_tesh!E18/SER_summary!E$26)</f>
        <v>24.738057065355637</v>
      </c>
      <c r="F18" s="133">
        <f>IF(SER_hh_tesh!F18=0,0,SER_hh_tesh!F18/SER_summary!F$26)</f>
        <v>19.466720068514299</v>
      </c>
      <c r="G18" s="133">
        <f>IF(SER_hh_tesh!G18=0,0,SER_hh_tesh!G18/SER_summary!G$26)</f>
        <v>19.713949534281898</v>
      </c>
      <c r="H18" s="133">
        <f>IF(SER_hh_tesh!H18=0,0,SER_hh_tesh!H18/SER_summary!H$26)</f>
        <v>22.854821902649128</v>
      </c>
      <c r="I18" s="133">
        <f>IF(SER_hh_tesh!I18=0,0,SER_hh_tesh!I18/SER_summary!I$26)</f>
        <v>41.054195256580122</v>
      </c>
      <c r="J18" s="133">
        <f>IF(SER_hh_tesh!J18=0,0,SER_hh_tesh!J18/SER_summary!J$26)</f>
        <v>26.165030581029363</v>
      </c>
      <c r="K18" s="133">
        <f>IF(SER_hh_tesh!K18=0,0,SER_hh_tesh!K18/SER_summary!K$26)</f>
        <v>22.692050173154158</v>
      </c>
      <c r="L18" s="133">
        <f>IF(SER_hh_tesh!L18=0,0,SER_hh_tesh!L18/SER_summary!L$26)</f>
        <v>28.418856924320174</v>
      </c>
      <c r="M18" s="133">
        <f>IF(SER_hh_tesh!M18=0,0,SER_hh_tesh!M18/SER_summary!M$26)</f>
        <v>23.570684420993093</v>
      </c>
      <c r="N18" s="133">
        <f>IF(SER_hh_tesh!N18=0,0,SER_hh_tesh!N18/SER_summary!N$26)</f>
        <v>49.346976072192646</v>
      </c>
      <c r="O18" s="133">
        <f>IF(SER_hh_tesh!O18=0,0,SER_hh_tesh!O18/SER_summary!O$26)</f>
        <v>24.058992903382205</v>
      </c>
      <c r="P18" s="133">
        <f>IF(SER_hh_tesh!P18=0,0,SER_hh_tesh!P18/SER_summary!P$26)</f>
        <v>22.311510150745903</v>
      </c>
      <c r="Q18" s="133">
        <f>IF(SER_hh_tesh!Q18=0,0,SER_hh_tesh!Q18/SER_summary!Q$26)</f>
        <v>32.138886221942776</v>
      </c>
      <c r="R18" s="133">
        <f>IF(SER_hh_tesh!R18=0,0,SER_hh_tesh!R18/SER_summary!R$26)</f>
        <v>29.843413407280448</v>
      </c>
      <c r="S18" s="133">
        <f>IF(SER_hh_tesh!S18=0,0,SER_hh_tesh!S18/SER_summary!S$26)</f>
        <v>31.757688769982828</v>
      </c>
      <c r="T18" s="133">
        <f>IF(SER_hh_tesh!T18=0,0,SER_hh_tesh!T18/SER_summary!T$26)</f>
        <v>23.904324919088495</v>
      </c>
      <c r="U18" s="133">
        <f>IF(SER_hh_tesh!U18=0,0,SER_hh_tesh!U18/SER_summary!U$26)</f>
        <v>26.499933322399261</v>
      </c>
      <c r="V18" s="133">
        <f>IF(SER_hh_tesh!V18=0,0,SER_hh_tesh!V18/SER_summary!V$26)</f>
        <v>26.887289968218823</v>
      </c>
      <c r="W18" s="133">
        <f>IF(SER_hh_tesh!W18=0,0,SER_hh_tesh!W18/SER_summary!W$26)</f>
        <v>36.499769921143461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10.301004892719877</v>
      </c>
      <c r="C19" s="131">
        <f>IF(SER_hh_tesh!C19=0,0,SER_hh_tesh!C19/SER_summary!C$26)</f>
        <v>10.227399528083614</v>
      </c>
      <c r="D19" s="131">
        <f>IF(SER_hh_tesh!D19=0,0,SER_hh_tesh!D19/SER_summary!D$26)</f>
        <v>10.095551712625479</v>
      </c>
      <c r="E19" s="131">
        <f>IF(SER_hh_tesh!E19=0,0,SER_hh_tesh!E19/SER_summary!E$26)</f>
        <v>9.915223538380193</v>
      </c>
      <c r="F19" s="131">
        <f>IF(SER_hh_tesh!F19=0,0,SER_hh_tesh!F19/SER_summary!F$26)</f>
        <v>9.6795110967904208</v>
      </c>
      <c r="G19" s="131">
        <f>IF(SER_hh_tesh!G19=0,0,SER_hh_tesh!G19/SER_summary!G$26)</f>
        <v>9.7042122015516981</v>
      </c>
      <c r="H19" s="131">
        <f>IF(SER_hh_tesh!H19=0,0,SER_hh_tesh!H19/SER_summary!H$26)</f>
        <v>9.8476498585658447</v>
      </c>
      <c r="I19" s="131">
        <f>IF(SER_hh_tesh!I19=0,0,SER_hh_tesh!I19/SER_summary!I$26)</f>
        <v>9.9140280936951388</v>
      </c>
      <c r="J19" s="131">
        <f>IF(SER_hh_tesh!J19=0,0,SER_hh_tesh!J19/SER_summary!J$26)</f>
        <v>9.9817581754723257</v>
      </c>
      <c r="K19" s="131">
        <f>IF(SER_hh_tesh!K19=0,0,SER_hh_tesh!K19/SER_summary!K$26)</f>
        <v>10.327369180066629</v>
      </c>
      <c r="L19" s="131">
        <f>IF(SER_hh_tesh!L19=0,0,SER_hh_tesh!L19/SER_summary!L$26)</f>
        <v>10.960958855109519</v>
      </c>
      <c r="M19" s="131">
        <f>IF(SER_hh_tesh!M19=0,0,SER_hh_tesh!M19/SER_summary!M$26)</f>
        <v>11.072551344797242</v>
      </c>
      <c r="N19" s="131">
        <f>IF(SER_hh_tesh!N19=0,0,SER_hh_tesh!N19/SER_summary!N$26)</f>
        <v>11.117931563622124</v>
      </c>
      <c r="O19" s="131">
        <f>IF(SER_hh_tesh!O19=0,0,SER_hh_tesh!O19/SER_summary!O$26)</f>
        <v>11.3712874325347</v>
      </c>
      <c r="P19" s="131">
        <f>IF(SER_hh_tesh!P19=0,0,SER_hh_tesh!P19/SER_summary!P$26)</f>
        <v>11.264413516607727</v>
      </c>
      <c r="Q19" s="131">
        <f>IF(SER_hh_tesh!Q19=0,0,SER_hh_tesh!Q19/SER_summary!Q$26)</f>
        <v>11.518202832002848</v>
      </c>
      <c r="R19" s="131">
        <f>IF(SER_hh_tesh!R19=0,0,SER_hh_tesh!R19/SER_summary!R$26)</f>
        <v>11.69348617609662</v>
      </c>
      <c r="S19" s="131">
        <f>IF(SER_hh_tesh!S19=0,0,SER_hh_tesh!S19/SER_summary!S$26)</f>
        <v>11.983488258453979</v>
      </c>
      <c r="T19" s="131">
        <f>IF(SER_hh_tesh!T19=0,0,SER_hh_tesh!T19/SER_summary!T$26)</f>
        <v>12.233591821220463</v>
      </c>
      <c r="U19" s="131">
        <f>IF(SER_hh_tesh!U19=0,0,SER_hh_tesh!U19/SER_summary!U$26)</f>
        <v>12.494648948570903</v>
      </c>
      <c r="V19" s="131">
        <f>IF(SER_hh_tesh!V19=0,0,SER_hh_tesh!V19/SER_summary!V$26)</f>
        <v>11.304961681904441</v>
      </c>
      <c r="W19" s="131">
        <f>IF(SER_hh_tesh!W19=0,0,SER_hh_tesh!W19/SER_summary!W$26)</f>
        <v>12.125430600660042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9.5874041300393724</v>
      </c>
      <c r="C22" s="133">
        <f>IF(SER_hh_tesh!C22=0,0,SER_hh_tesh!C22/SER_summary!C$26)</f>
        <v>10.47840066745413</v>
      </c>
      <c r="D22" s="133">
        <f>IF(SER_hh_tesh!D22=0,0,SER_hh_tesh!D22/SER_summary!D$26)</f>
        <v>10.533214632680759</v>
      </c>
      <c r="E22" s="133">
        <f>IF(SER_hh_tesh!E22=0,0,SER_hh_tesh!E22/SER_summary!E$26)</f>
        <v>10.340401346989138</v>
      </c>
      <c r="F22" s="133">
        <f>IF(SER_hh_tesh!F22=0,0,SER_hh_tesh!F22/SER_summary!F$26)</f>
        <v>9.0878954372650842</v>
      </c>
      <c r="G22" s="133">
        <f>IF(SER_hh_tesh!G22=0,0,SER_hh_tesh!G22/SER_summary!G$26)</f>
        <v>9.2581126198338186</v>
      </c>
      <c r="H22" s="133">
        <f>IF(SER_hh_tesh!H22=0,0,SER_hh_tesh!H22/SER_summary!H$26)</f>
        <v>9.6272420645211731</v>
      </c>
      <c r="I22" s="133">
        <f>IF(SER_hh_tesh!I22=0,0,SER_hh_tesh!I22/SER_summary!I$26)</f>
        <v>9.95375558598694</v>
      </c>
      <c r="J22" s="133">
        <f>IF(SER_hh_tesh!J22=0,0,SER_hh_tesh!J22/SER_summary!J$26)</f>
        <v>10.233309832050406</v>
      </c>
      <c r="K22" s="133">
        <f>IF(SER_hh_tesh!K22=0,0,SER_hh_tesh!K22/SER_summary!K$26)</f>
        <v>10.395773303534833</v>
      </c>
      <c r="L22" s="133">
        <f>IF(SER_hh_tesh!L22=0,0,SER_hh_tesh!L22/SER_summary!L$26)</f>
        <v>10.590862811493256</v>
      </c>
      <c r="M22" s="133">
        <f>IF(SER_hh_tesh!M22=0,0,SER_hh_tesh!M22/SER_summary!M$26)</f>
        <v>11.473022896041577</v>
      </c>
      <c r="N22" s="133">
        <f>IF(SER_hh_tesh!N22=0,0,SER_hh_tesh!N22/SER_summary!N$26)</f>
        <v>11.692097352962643</v>
      </c>
      <c r="O22" s="133">
        <f>IF(SER_hh_tesh!O22=0,0,SER_hh_tesh!O22/SER_summary!O$26)</f>
        <v>10.33882129410058</v>
      </c>
      <c r="P22" s="133">
        <f>IF(SER_hh_tesh!P22=0,0,SER_hh_tesh!P22/SER_summary!P$26)</f>
        <v>9.7690812581964686</v>
      </c>
      <c r="Q22" s="133">
        <f>IF(SER_hh_tesh!Q22=0,0,SER_hh_tesh!Q22/SER_summary!Q$26)</f>
        <v>11.555717387516045</v>
      </c>
      <c r="R22" s="133">
        <f>IF(SER_hh_tesh!R22=0,0,SER_hh_tesh!R22/SER_summary!R$26)</f>
        <v>12.095563099337586</v>
      </c>
      <c r="S22" s="133">
        <f>IF(SER_hh_tesh!S22=0,0,SER_hh_tesh!S22/SER_summary!S$26)</f>
        <v>11.986236092866495</v>
      </c>
      <c r="T22" s="133">
        <f>IF(SER_hh_tesh!T22=0,0,SER_hh_tesh!T22/SER_summary!T$26)</f>
        <v>8.9118841216574776</v>
      </c>
      <c r="U22" s="133">
        <f>IF(SER_hh_tesh!U22=0,0,SER_hh_tesh!U22/SER_summary!U$26)</f>
        <v>12.198609507011197</v>
      </c>
      <c r="V22" s="133">
        <f>IF(SER_hh_tesh!V22=0,0,SER_hh_tesh!V22/SER_summary!V$26)</f>
        <v>11.006920985790707</v>
      </c>
      <c r="W22" s="133">
        <f>IF(SER_hh_tesh!W22=0,0,SER_hh_tesh!W22/SER_summary!W$26)</f>
        <v>11.306565408002443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9.2520958338836827</v>
      </c>
      <c r="C23" s="133">
        <f>IF(SER_hh_tesh!C23=0,0,SER_hh_tesh!C23/SER_summary!C$26)</f>
        <v>10.184694915580639</v>
      </c>
      <c r="D23" s="133">
        <f>IF(SER_hh_tesh!D23=0,0,SER_hh_tesh!D23/SER_summary!D$26)</f>
        <v>9.1466224873751134</v>
      </c>
      <c r="E23" s="133">
        <f>IF(SER_hh_tesh!E23=0,0,SER_hh_tesh!E23/SER_summary!E$26)</f>
        <v>9.6855131766327105</v>
      </c>
      <c r="F23" s="133">
        <f>IF(SER_hh_tesh!F23=0,0,SER_hh_tesh!F23/SER_summary!F$26)</f>
        <v>9.5547702257754672</v>
      </c>
      <c r="G23" s="133">
        <f>IF(SER_hh_tesh!G23=0,0,SER_hh_tesh!G23/SER_summary!G$26)</f>
        <v>9.3719992001978127</v>
      </c>
      <c r="H23" s="133">
        <f>IF(SER_hh_tesh!H23=0,0,SER_hh_tesh!H23/SER_summary!H$26)</f>
        <v>9.7642078393372511</v>
      </c>
      <c r="I23" s="133">
        <f>IF(SER_hh_tesh!I23=0,0,SER_hh_tesh!I23/SER_summary!I$26)</f>
        <v>10.361135234207076</v>
      </c>
      <c r="J23" s="133">
        <f>IF(SER_hh_tesh!J23=0,0,SER_hh_tesh!J23/SER_summary!J$26)</f>
        <v>10.297648454051762</v>
      </c>
      <c r="K23" s="133">
        <f>IF(SER_hh_tesh!K23=0,0,SER_hh_tesh!K23/SER_summary!K$26)</f>
        <v>10.459961681332336</v>
      </c>
      <c r="L23" s="133">
        <f>IF(SER_hh_tesh!L23=0,0,SER_hh_tesh!L23/SER_summary!L$26)</f>
        <v>10.88354596748292</v>
      </c>
      <c r="M23" s="133">
        <f>IF(SER_hh_tesh!M23=0,0,SER_hh_tesh!M23/SER_summary!M$26)</f>
        <v>10.965997043796124</v>
      </c>
      <c r="N23" s="133">
        <f>IF(SER_hh_tesh!N23=0,0,SER_hh_tesh!N23/SER_summary!N$26)</f>
        <v>10.948809007289031</v>
      </c>
      <c r="O23" s="133">
        <f>IF(SER_hh_tesh!O23=0,0,SER_hh_tesh!O23/SER_summary!O$26)</f>
        <v>10.981533273416986</v>
      </c>
      <c r="P23" s="133">
        <f>IF(SER_hh_tesh!P23=0,0,SER_hh_tesh!P23/SER_summary!P$26)</f>
        <v>11.036558976919402</v>
      </c>
      <c r="Q23" s="133">
        <f>IF(SER_hh_tesh!Q23=0,0,SER_hh_tesh!Q23/SER_summary!Q$26)</f>
        <v>11.22597353044751</v>
      </c>
      <c r="R23" s="133">
        <f>IF(SER_hh_tesh!R23=0,0,SER_hh_tesh!R23/SER_summary!R$26)</f>
        <v>11.303113947656794</v>
      </c>
      <c r="S23" s="133">
        <f>IF(SER_hh_tesh!S23=0,0,SER_hh_tesh!S23/SER_summary!S$26)</f>
        <v>11.58774925680987</v>
      </c>
      <c r="T23" s="133">
        <f>IF(SER_hh_tesh!T23=0,0,SER_hh_tesh!T23/SER_summary!T$26)</f>
        <v>11.992009832856645</v>
      </c>
      <c r="U23" s="133">
        <f>IF(SER_hh_tesh!U23=0,0,SER_hh_tesh!U23/SER_summary!U$26)</f>
        <v>12.295355902889028</v>
      </c>
      <c r="V23" s="133">
        <f>IF(SER_hh_tesh!V23=0,0,SER_hh_tesh!V23/SER_summary!V$26)</f>
        <v>10.787591288925571</v>
      </c>
      <c r="W23" s="133">
        <f>IF(SER_hh_tesh!W23=0,0,SER_hh_tesh!W23/SER_summary!W$26)</f>
        <v>11.654444342440936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10.243668335048655</v>
      </c>
      <c r="C25" s="133">
        <f>IF(SER_hh_tesh!C25=0,0,SER_hh_tesh!C25/SER_summary!C$26)</f>
        <v>10.170403253424913</v>
      </c>
      <c r="D25" s="133">
        <f>IF(SER_hh_tesh!D25=0,0,SER_hh_tesh!D25/SER_summary!D$26)</f>
        <v>9.9998939735519397</v>
      </c>
      <c r="E25" s="133">
        <f>IF(SER_hh_tesh!E25=0,0,SER_hh_tesh!E25/SER_summary!E$26)</f>
        <v>9.9378749013515524</v>
      </c>
      <c r="F25" s="133">
        <f>IF(SER_hh_tesh!F25=0,0,SER_hh_tesh!F25/SER_summary!F$26)</f>
        <v>9.8565015183786304</v>
      </c>
      <c r="G25" s="133">
        <f>IF(SER_hh_tesh!G25=0,0,SER_hh_tesh!G25/SER_summary!G$26)</f>
        <v>9.832749063827352</v>
      </c>
      <c r="H25" s="133">
        <f>IF(SER_hh_tesh!H25=0,0,SER_hh_tesh!H25/SER_summary!H$26)</f>
        <v>9.8390008185192013</v>
      </c>
      <c r="I25" s="133">
        <f>IF(SER_hh_tesh!I25=0,0,SER_hh_tesh!I25/SER_summary!I$26)</f>
        <v>9.9252412955578695</v>
      </c>
      <c r="J25" s="133">
        <f>IF(SER_hh_tesh!J25=0,0,SER_hh_tesh!J25/SER_summary!J$26)</f>
        <v>10.129965119699149</v>
      </c>
      <c r="K25" s="133">
        <f>IF(SER_hh_tesh!K25=0,0,SER_hh_tesh!K25/SER_summary!K$26)</f>
        <v>10.346182984451289</v>
      </c>
      <c r="L25" s="133">
        <f>IF(SER_hh_tesh!L25=0,0,SER_hh_tesh!L25/SER_summary!L$26)</f>
        <v>10.629147082929938</v>
      </c>
      <c r="M25" s="133">
        <f>IF(SER_hh_tesh!M25=0,0,SER_hh_tesh!M25/SER_summary!M$26)</f>
        <v>10.871878026915224</v>
      </c>
      <c r="N25" s="133">
        <f>IF(SER_hh_tesh!N25=0,0,SER_hh_tesh!N25/SER_summary!N$26)</f>
        <v>10.899087932179262</v>
      </c>
      <c r="O25" s="133">
        <f>IF(SER_hh_tesh!O25=0,0,SER_hh_tesh!O25/SER_summary!O$26)</f>
        <v>10.979553974735799</v>
      </c>
      <c r="P25" s="133">
        <f>IF(SER_hh_tesh!P25=0,0,SER_hh_tesh!P25/SER_summary!P$26)</f>
        <v>11.01421281462858</v>
      </c>
      <c r="Q25" s="133">
        <f>IF(SER_hh_tesh!Q25=0,0,SER_hh_tesh!Q25/SER_summary!Q$26)</f>
        <v>11.166874611527311</v>
      </c>
      <c r="R25" s="133">
        <f>IF(SER_hh_tesh!R25=0,0,SER_hh_tesh!R25/SER_summary!R$26)</f>
        <v>11.349907084839458</v>
      </c>
      <c r="S25" s="133">
        <f>IF(SER_hh_tesh!S25=0,0,SER_hh_tesh!S25/SER_summary!S$26)</f>
        <v>11.681891333606252</v>
      </c>
      <c r="T25" s="133">
        <f>IF(SER_hh_tesh!T25=0,0,SER_hh_tesh!T25/SER_summary!T$26)</f>
        <v>11.880827155452813</v>
      </c>
      <c r="U25" s="133">
        <f>IF(SER_hh_tesh!U25=0,0,SER_hh_tesh!U25/SER_summary!U$26)</f>
        <v>11.94068267861029</v>
      </c>
      <c r="V25" s="133">
        <f>IF(SER_hh_tesh!V25=0,0,SER_hh_tesh!V25/SER_summary!V$26)</f>
        <v>11.009380439301017</v>
      </c>
      <c r="W25" s="133">
        <f>IF(SER_hh_tesh!W25=0,0,SER_hh_tesh!W25/SER_summary!W$26)</f>
        <v>11.662964625129684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10.576826515614121</v>
      </c>
      <c r="C26" s="65">
        <f>IF(SER_hh_tesh!C26=0,0,SER_hh_tesh!C26/SER_summary!C$26)</f>
        <v>10.216018902255753</v>
      </c>
      <c r="D26" s="65">
        <f>IF(SER_hh_tesh!D26=0,0,SER_hh_tesh!D26/SER_summary!D$26)</f>
        <v>10.168373194324815</v>
      </c>
      <c r="E26" s="65">
        <f>IF(SER_hh_tesh!E26=0,0,SER_hh_tesh!E26/SER_summary!E$26)</f>
        <v>9.8529096388265813</v>
      </c>
      <c r="F26" s="65">
        <f>IF(SER_hh_tesh!F26=0,0,SER_hh_tesh!F26/SER_summary!F$26)</f>
        <v>9.6625425862871683</v>
      </c>
      <c r="G26" s="65">
        <f>IF(SER_hh_tesh!G26=0,0,SER_hh_tesh!G26/SER_summary!G$26)</f>
        <v>9.7379136535619075</v>
      </c>
      <c r="H26" s="65">
        <f>IF(SER_hh_tesh!H26=0,0,SER_hh_tesh!H26/SER_summary!H$26)</f>
        <v>9.8974556022893356</v>
      </c>
      <c r="I26" s="65">
        <f>IF(SER_hh_tesh!I26=0,0,SER_hh_tesh!I26/SER_summary!I$26)</f>
        <v>9.7868295217095103</v>
      </c>
      <c r="J26" s="65">
        <f>IF(SER_hh_tesh!J26=0,0,SER_hh_tesh!J26/SER_summary!J$26)</f>
        <v>9.7858171347058445</v>
      </c>
      <c r="K26" s="65">
        <f>IF(SER_hh_tesh!K26=0,0,SER_hh_tesh!K26/SER_summary!K$26)</f>
        <v>10.27286989082598</v>
      </c>
      <c r="L26" s="65">
        <f>IF(SER_hh_tesh!L26=0,0,SER_hh_tesh!L26/SER_summary!L$26)</f>
        <v>10.10519466091653</v>
      </c>
      <c r="M26" s="65">
        <f>IF(SER_hh_tesh!M26=0,0,SER_hh_tesh!M26/SER_summary!M$26)</f>
        <v>9.5865507887222812</v>
      </c>
      <c r="N26" s="65">
        <f>IF(SER_hh_tesh!N26=0,0,SER_hh_tesh!N26/SER_summary!N$26)</f>
        <v>9.3583489877407597</v>
      </c>
      <c r="O26" s="65">
        <f>IF(SER_hh_tesh!O26=0,0,SER_hh_tesh!O26/SER_summary!O$26)</f>
        <v>9.1444327669033232</v>
      </c>
      <c r="P26" s="65">
        <f>IF(SER_hh_tesh!P26=0,0,SER_hh_tesh!P26/SER_summary!P$26)</f>
        <v>8.9713976864315619</v>
      </c>
      <c r="Q26" s="65">
        <f>IF(SER_hh_tesh!Q26=0,0,SER_hh_tesh!Q26/SER_summary!Q$26)</f>
        <v>8.8505745931322259</v>
      </c>
      <c r="R26" s="65">
        <f>IF(SER_hh_tesh!R26=0,0,SER_hh_tesh!R26/SER_summary!R$26)</f>
        <v>8.9485461919821176</v>
      </c>
      <c r="S26" s="65">
        <f>IF(SER_hh_tesh!S26=0,0,SER_hh_tesh!S26/SER_summary!S$26)</f>
        <v>9.1134327578060894</v>
      </c>
      <c r="T26" s="65">
        <f>IF(SER_hh_tesh!T26=0,0,SER_hh_tesh!T26/SER_summary!T$26)</f>
        <v>9.2538059529849352</v>
      </c>
      <c r="U26" s="65">
        <f>IF(SER_hh_tesh!U26=0,0,SER_hh_tesh!U26/SER_summary!U$26)</f>
        <v>9.4515828586503901</v>
      </c>
      <c r="V26" s="65">
        <f>IF(SER_hh_tesh!V26=0,0,SER_hh_tesh!V26/SER_summary!V$26)</f>
        <v>8.1164194888924204</v>
      </c>
      <c r="W26" s="65">
        <f>IF(SER_hh_tesh!W26=0,0,SER_hh_tesh!W26/SER_summary!W$26)</f>
        <v>8.8412163520233253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0.57427300731083952</v>
      </c>
      <c r="M27" s="146">
        <f>IF(SER_hh_tesh!M27=0,0,SER_hh_tesh!M27/SER_summary!M$26)</f>
        <v>0.8689705033921804</v>
      </c>
      <c r="N27" s="146">
        <f>IF(SER_hh_tesh!N27=0,0,SER_hh_tesh!N27/SER_summary!N$26)</f>
        <v>1.0448008249883891</v>
      </c>
      <c r="O27" s="146">
        <f>IF(SER_hh_tesh!O27=0,0,SER_hh_tesh!O27/SER_summary!O$26)</f>
        <v>1.4508465801837351</v>
      </c>
      <c r="P27" s="146">
        <f>IF(SER_hh_tesh!P27=0,0,SER_hh_tesh!P27/SER_summary!P$26)</f>
        <v>1.4463164067847005</v>
      </c>
      <c r="Q27" s="146">
        <f>IF(SER_hh_tesh!Q27=0,0,SER_hh_tesh!Q27/SER_summary!Q$26)</f>
        <v>1.6764106978342588</v>
      </c>
      <c r="R27" s="146">
        <f>IF(SER_hh_tesh!R27=0,0,SER_hh_tesh!R27/SER_summary!R$26)</f>
        <v>1.7344809828160299</v>
      </c>
      <c r="S27" s="146">
        <f>IF(SER_hh_tesh!S27=0,0,SER_hh_tesh!S27/SER_summary!S$26)</f>
        <v>1.8142607264528123</v>
      </c>
      <c r="T27" s="146">
        <f>IF(SER_hh_tesh!T27=0,0,SER_hh_tesh!T27/SER_summary!T$26)</f>
        <v>1.9170809836311666</v>
      </c>
      <c r="U27" s="146">
        <f>IF(SER_hh_tesh!U27=0,0,SER_hh_tesh!U27/SER_summary!U$26)</f>
        <v>1.9798029928713945</v>
      </c>
      <c r="V27" s="146">
        <f>IF(SER_hh_tesh!V27=0,0,SER_hh_tesh!V27/SER_summary!V$26)</f>
        <v>2.0568141615843083</v>
      </c>
      <c r="W27" s="146">
        <f>IF(SER_hh_tesh!W27=0,0,SER_hh_tesh!W27/SER_summary!W$26)</f>
        <v>2.1673121014981636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7.1658347883172899</v>
      </c>
      <c r="M28" s="147">
        <f>IF(SER_hh_tesh!M28=0,0,SER_hh_tesh!M28/SER_summary!M$26)</f>
        <v>7.3552121011524685</v>
      </c>
      <c r="N28" s="147">
        <f>IF(SER_hh_tesh!N28=0,0,SER_hh_tesh!N28/SER_summary!N$26)</f>
        <v>7.629221197190196</v>
      </c>
      <c r="O28" s="147">
        <f>IF(SER_hh_tesh!O28=0,0,SER_hh_tesh!O28/SER_summary!O$26)</f>
        <v>7.6566464836388608</v>
      </c>
      <c r="P28" s="147">
        <f>IF(SER_hh_tesh!P28=0,0,SER_hh_tesh!P28/SER_summary!P$26)</f>
        <v>7.4833581492848467</v>
      </c>
      <c r="Q28" s="147">
        <f>IF(SER_hh_tesh!Q28=0,0,SER_hh_tesh!Q28/SER_summary!Q$26)</f>
        <v>7.9596030903238324</v>
      </c>
      <c r="R28" s="147">
        <f>IF(SER_hh_tesh!R28=0,0,SER_hh_tesh!R28/SER_summary!R$26)</f>
        <v>7.8268516965916941</v>
      </c>
      <c r="S28" s="147">
        <f>IF(SER_hh_tesh!S28=0,0,SER_hh_tesh!S28/SER_summary!S$26)</f>
        <v>7.7784445405483451</v>
      </c>
      <c r="T28" s="147">
        <f>IF(SER_hh_tesh!T28=0,0,SER_hh_tesh!T28/SER_summary!T$26)</f>
        <v>8.2392540496748978</v>
      </c>
      <c r="U28" s="147">
        <f>IF(SER_hh_tesh!U28=0,0,SER_hh_tesh!U28/SER_summary!U$26)</f>
        <v>8.4766441061734525</v>
      </c>
      <c r="V28" s="147">
        <f>IF(SER_hh_tesh!V28=0,0,SER_hh_tesh!V28/SER_summary!V$26)</f>
        <v>7.630355013623924</v>
      </c>
      <c r="W28" s="147">
        <f>IF(SER_hh_tesh!W28=0,0,SER_hh_tesh!W28/SER_summary!W$26)</f>
        <v>8.1513697296095877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12.611864723157629</v>
      </c>
      <c r="C29" s="131">
        <f>IF(SER_hh_tesh!C29=0,0,SER_hh_tesh!C29/SER_summary!C$26)</f>
        <v>12.877427647659699</v>
      </c>
      <c r="D29" s="131">
        <f>IF(SER_hh_tesh!D29=0,0,SER_hh_tesh!D29/SER_summary!D$26)</f>
        <v>12.460791143155637</v>
      </c>
      <c r="E29" s="131">
        <f>IF(SER_hh_tesh!E29=0,0,SER_hh_tesh!E29/SER_summary!E$26)</f>
        <v>12.24946856189008</v>
      </c>
      <c r="F29" s="131">
        <f>IF(SER_hh_tesh!F29=0,0,SER_hh_tesh!F29/SER_summary!F$26)</f>
        <v>12.276417247743568</v>
      </c>
      <c r="G29" s="131">
        <f>IF(SER_hh_tesh!G29=0,0,SER_hh_tesh!G29/SER_summary!G$26)</f>
        <v>11.920205957776956</v>
      </c>
      <c r="H29" s="131">
        <f>IF(SER_hh_tesh!H29=0,0,SER_hh_tesh!H29/SER_summary!H$26)</f>
        <v>11.822756961592434</v>
      </c>
      <c r="I29" s="131">
        <f>IF(SER_hh_tesh!I29=0,0,SER_hh_tesh!I29/SER_summary!I$26)</f>
        <v>11.733020728803311</v>
      </c>
      <c r="J29" s="131">
        <f>IF(SER_hh_tesh!J29=0,0,SER_hh_tesh!J29/SER_summary!J$26)</f>
        <v>11.979637628109533</v>
      </c>
      <c r="K29" s="131">
        <f>IF(SER_hh_tesh!K29=0,0,SER_hh_tesh!K29/SER_summary!K$26)</f>
        <v>12.254061542042441</v>
      </c>
      <c r="L29" s="131">
        <f>IF(SER_hh_tesh!L29=0,0,SER_hh_tesh!L29/SER_summary!L$26)</f>
        <v>12.781162654273519</v>
      </c>
      <c r="M29" s="131">
        <f>IF(SER_hh_tesh!M29=0,0,SER_hh_tesh!M29/SER_summary!M$26)</f>
        <v>12.666037480681682</v>
      </c>
      <c r="N29" s="131">
        <f>IF(SER_hh_tesh!N29=0,0,SER_hh_tesh!N29/SER_summary!N$26)</f>
        <v>13.209944941473983</v>
      </c>
      <c r="O29" s="131">
        <f>IF(SER_hh_tesh!O29=0,0,SER_hh_tesh!O29/SER_summary!O$26)</f>
        <v>13.21067268758741</v>
      </c>
      <c r="P29" s="131">
        <f>IF(SER_hh_tesh!P29=0,0,SER_hh_tesh!P29/SER_summary!P$26)</f>
        <v>13.023931744953948</v>
      </c>
      <c r="Q29" s="131">
        <f>IF(SER_hh_tesh!Q29=0,0,SER_hh_tesh!Q29/SER_summary!Q$26)</f>
        <v>13.053191294161223</v>
      </c>
      <c r="R29" s="131">
        <f>IF(SER_hh_tesh!R29=0,0,SER_hh_tesh!R29/SER_summary!R$26)</f>
        <v>13.252348723437072</v>
      </c>
      <c r="S29" s="131">
        <f>IF(SER_hh_tesh!S29=0,0,SER_hh_tesh!S29/SER_summary!S$26)</f>
        <v>13.756555320638363</v>
      </c>
      <c r="T29" s="131">
        <f>IF(SER_hh_tesh!T29=0,0,SER_hh_tesh!T29/SER_summary!T$26)</f>
        <v>14.383996766776923</v>
      </c>
      <c r="U29" s="131">
        <f>IF(SER_hh_tesh!U29=0,0,SER_hh_tesh!U29/SER_summary!U$26)</f>
        <v>14.574448603323425</v>
      </c>
      <c r="V29" s="131">
        <f>IF(SER_hh_tesh!V29=0,0,SER_hh_tesh!V29/SER_summary!V$26)</f>
        <v>12.721557845532718</v>
      </c>
      <c r="W29" s="131">
        <f>IF(SER_hh_tesh!W29=0,0,SER_hh_tesh!W29/SER_summary!W$26)</f>
        <v>13.99294570302839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6.3793612321839817</v>
      </c>
      <c r="C30" s="133">
        <f>IF(SER_hh_tesh!C30=0,0,SER_hh_tesh!C30/SER_summary!C$26)</f>
        <v>25.377997295297106</v>
      </c>
      <c r="D30" s="133">
        <f>IF(SER_hh_tesh!D30=0,0,SER_hh_tesh!D30/SER_summary!D$26)</f>
        <v>7.3135199177213872</v>
      </c>
      <c r="E30" s="133">
        <f>IF(SER_hh_tesh!E30=0,0,SER_hh_tesh!E30/SER_summary!E$26)</f>
        <v>8.6214385394370598</v>
      </c>
      <c r="F30" s="133">
        <f>IF(SER_hh_tesh!F30=0,0,SER_hh_tesh!F30/SER_summary!F$26)</f>
        <v>22.888952579399277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14.944118236175475</v>
      </c>
      <c r="M30" s="133">
        <f>IF(SER_hh_tesh!M30=0,0,SER_hh_tesh!M30/SER_summary!M$26)</f>
        <v>13.896380321212716</v>
      </c>
      <c r="N30" s="133">
        <f>IF(SER_hh_tesh!N30=0,0,SER_hh_tesh!N30/SER_summary!N$26)</f>
        <v>21.988369140531841</v>
      </c>
      <c r="O30" s="133">
        <f>IF(SER_hh_tesh!O30=0,0,SER_hh_tesh!O30/SER_summary!O$26)</f>
        <v>15.743506800278469</v>
      </c>
      <c r="P30" s="133">
        <f>IF(SER_hh_tesh!P30=0,0,SER_hh_tesh!P30/SER_summary!P$26)</f>
        <v>9.8989164177236404</v>
      </c>
      <c r="Q30" s="133">
        <f>IF(SER_hh_tesh!Q30=0,0,SER_hh_tesh!Q30/SER_summary!Q$26)</f>
        <v>9.9993339176927449</v>
      </c>
      <c r="R30" s="133">
        <f>IF(SER_hh_tesh!R30=0,0,SER_hh_tesh!R30/SER_summary!R$26)</f>
        <v>11.766037818143516</v>
      </c>
      <c r="S30" s="133">
        <f>IF(SER_hh_tesh!S30=0,0,SER_hh_tesh!S30/SER_summary!S$26)</f>
        <v>14.030129604768868</v>
      </c>
      <c r="T30" s="133">
        <f>IF(SER_hh_tesh!T30=0,0,SER_hh_tesh!T30/SER_summary!T$26)</f>
        <v>15.264660805537138</v>
      </c>
      <c r="U30" s="133">
        <f>IF(SER_hh_tesh!U30=0,0,SER_hh_tesh!U30/SER_summary!U$26)</f>
        <v>14.951812693538551</v>
      </c>
      <c r="V30" s="133">
        <f>IF(SER_hh_tesh!V30=0,0,SER_hh_tesh!V30/SER_summary!V$26)</f>
        <v>12.281456404583867</v>
      </c>
      <c r="W30" s="133">
        <f>IF(SER_hh_tesh!W30=0,0,SER_hh_tesh!W30/SER_summary!W$26)</f>
        <v>14.467124394240228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12.054950492147665</v>
      </c>
      <c r="C31" s="133">
        <f>IF(SER_hh_tesh!C31=0,0,SER_hh_tesh!C31/SER_summary!C$26)</f>
        <v>12.343826587533457</v>
      </c>
      <c r="D31" s="133">
        <f>IF(SER_hh_tesh!D31=0,0,SER_hh_tesh!D31/SER_summary!D$26)</f>
        <v>11.385181762202583</v>
      </c>
      <c r="E31" s="133">
        <f>IF(SER_hh_tesh!E31=0,0,SER_hh_tesh!E31/SER_summary!E$26)</f>
        <v>11.955568725830013</v>
      </c>
      <c r="F31" s="133">
        <f>IF(SER_hh_tesh!F31=0,0,SER_hh_tesh!F31/SER_summary!F$26)</f>
        <v>12.104027907115789</v>
      </c>
      <c r="G31" s="133">
        <f>IF(SER_hh_tesh!G31=0,0,SER_hh_tesh!G31/SER_summary!G$26)</f>
        <v>11.105652803556003</v>
      </c>
      <c r="H31" s="133">
        <f>IF(SER_hh_tesh!H31=0,0,SER_hh_tesh!H31/SER_summary!H$26)</f>
        <v>12.288575326475488</v>
      </c>
      <c r="I31" s="133">
        <f>IF(SER_hh_tesh!I31=0,0,SER_hh_tesh!I31/SER_summary!I$26)</f>
        <v>12.449530710405112</v>
      </c>
      <c r="J31" s="133">
        <f>IF(SER_hh_tesh!J31=0,0,SER_hh_tesh!J31/SER_summary!J$26)</f>
        <v>12.367096051249121</v>
      </c>
      <c r="K31" s="133">
        <f>IF(SER_hh_tesh!K31=0,0,SER_hh_tesh!K31/SER_summary!K$26)</f>
        <v>12.329067124348876</v>
      </c>
      <c r="L31" s="133">
        <f>IF(SER_hh_tesh!L31=0,0,SER_hh_tesh!L31/SER_summary!L$26)</f>
        <v>12.627510925245895</v>
      </c>
      <c r="M31" s="133">
        <f>IF(SER_hh_tesh!M31=0,0,SER_hh_tesh!M31/SER_summary!M$26)</f>
        <v>12.766396634975615</v>
      </c>
      <c r="N31" s="133">
        <f>IF(SER_hh_tesh!N31=0,0,SER_hh_tesh!N31/SER_summary!N$26)</f>
        <v>13.03751542864959</v>
      </c>
      <c r="O31" s="133">
        <f>IF(SER_hh_tesh!O31=0,0,SER_hh_tesh!O31/SER_summary!O$26)</f>
        <v>13.174899060001668</v>
      </c>
      <c r="P31" s="133">
        <f>IF(SER_hh_tesh!P31=0,0,SER_hh_tesh!P31/SER_summary!P$26)</f>
        <v>13.210204693286583</v>
      </c>
      <c r="Q31" s="133">
        <f>IF(SER_hh_tesh!Q31=0,0,SER_hh_tesh!Q31/SER_summary!Q$26)</f>
        <v>13.314827947453615</v>
      </c>
      <c r="R31" s="133">
        <f>IF(SER_hh_tesh!R31=0,0,SER_hh_tesh!R31/SER_summary!R$26)</f>
        <v>13.347045635634577</v>
      </c>
      <c r="S31" s="133">
        <f>IF(SER_hh_tesh!S31=0,0,SER_hh_tesh!S31/SER_summary!S$26)</f>
        <v>13.835714608815239</v>
      </c>
      <c r="T31" s="133">
        <f>IF(SER_hh_tesh!T31=0,0,SER_hh_tesh!T31/SER_summary!T$26)</f>
        <v>14.320183948927488</v>
      </c>
      <c r="U31" s="133">
        <f>IF(SER_hh_tesh!U31=0,0,SER_hh_tesh!U31/SER_summary!U$26)</f>
        <v>14.222674692358396</v>
      </c>
      <c r="V31" s="133">
        <f>IF(SER_hh_tesh!V31=0,0,SER_hh_tesh!V31/SER_summary!V$26)</f>
        <v>12.560423645467713</v>
      </c>
      <c r="W31" s="133">
        <f>IF(SER_hh_tesh!W31=0,0,SER_hh_tesh!W31/SER_summary!W$26)</f>
        <v>14.135964781022761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17.58769480294448</v>
      </c>
      <c r="K32" s="133">
        <f>IF(SER_hh_tesh!K32=0,0,SER_hh_tesh!K32/SER_summary!K$26)</f>
        <v>14.003396840273291</v>
      </c>
      <c r="L32" s="133">
        <f>IF(SER_hh_tesh!L32=0,0,SER_hh_tesh!L32/SER_summary!L$26)</f>
        <v>12.89779415071949</v>
      </c>
      <c r="M32" s="133">
        <f>IF(SER_hh_tesh!M32=0,0,SER_hh_tesh!M32/SER_summary!M$26)</f>
        <v>12.926931330109086</v>
      </c>
      <c r="N32" s="133">
        <f>IF(SER_hh_tesh!N32=0,0,SER_hh_tesh!N32/SER_summary!N$26)</f>
        <v>12.64945932723669</v>
      </c>
      <c r="O32" s="133">
        <f>IF(SER_hh_tesh!O32=0,0,SER_hh_tesh!O32/SER_summary!O$26)</f>
        <v>12.799648293062734</v>
      </c>
      <c r="P32" s="133">
        <f>IF(SER_hh_tesh!P32=0,0,SER_hh_tesh!P32/SER_summary!P$26)</f>
        <v>12.608119823340253</v>
      </c>
      <c r="Q32" s="133">
        <f>IF(SER_hh_tesh!Q32=0,0,SER_hh_tesh!Q32/SER_summary!Q$26)</f>
        <v>11.212516277540731</v>
      </c>
      <c r="R32" s="133">
        <f>IF(SER_hh_tesh!R32=0,0,SER_hh_tesh!R32/SER_summary!R$26)</f>
        <v>9.0299329212427217</v>
      </c>
      <c r="S32" s="133">
        <f>IF(SER_hh_tesh!S32=0,0,SER_hh_tesh!S32/SER_summary!S$26)</f>
        <v>12.994992859297808</v>
      </c>
      <c r="T32" s="133">
        <f>IF(SER_hh_tesh!T32=0,0,SER_hh_tesh!T32/SER_summary!T$26)</f>
        <v>15.563116113107425</v>
      </c>
      <c r="U32" s="133">
        <f>IF(SER_hh_tesh!U32=0,0,SER_hh_tesh!U32/SER_summary!U$26)</f>
        <v>15.801313168620341</v>
      </c>
      <c r="V32" s="133">
        <f>IF(SER_hh_tesh!V32=0,0,SER_hh_tesh!V32/SER_summary!V$26)</f>
        <v>13.425185778976635</v>
      </c>
      <c r="W32" s="133">
        <f>IF(SER_hh_tesh!W32=0,0,SER_hh_tesh!W32/SER_summary!W$26)</f>
        <v>13.494801650849368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12.766728589088459</v>
      </c>
      <c r="C33" s="68">
        <f>IF(SER_hh_tesh!C33=0,0,SER_hh_tesh!C33/SER_summary!C$26)</f>
        <v>12.625244864625579</v>
      </c>
      <c r="D33" s="68">
        <f>IF(SER_hh_tesh!D33=0,0,SER_hh_tesh!D33/SER_summary!D$26)</f>
        <v>12.600366017278468</v>
      </c>
      <c r="E33" s="68">
        <f>IF(SER_hh_tesh!E33=0,0,SER_hh_tesh!E33/SER_summary!E$26)</f>
        <v>12.319149267157281</v>
      </c>
      <c r="F33" s="68">
        <f>IF(SER_hh_tesh!F33=0,0,SER_hh_tesh!F33/SER_summary!F$26)</f>
        <v>12.163030417269962</v>
      </c>
      <c r="G33" s="68">
        <f>IF(SER_hh_tesh!G33=0,0,SER_hh_tesh!G33/SER_summary!G$26)</f>
        <v>11.990978093031895</v>
      </c>
      <c r="H33" s="68">
        <f>IF(SER_hh_tesh!H33=0,0,SER_hh_tesh!H33/SER_summary!H$26)</f>
        <v>11.773193289690541</v>
      </c>
      <c r="I33" s="68">
        <f>IF(SER_hh_tesh!I33=0,0,SER_hh_tesh!I33/SER_summary!I$26)</f>
        <v>11.647702677195113</v>
      </c>
      <c r="J33" s="68">
        <f>IF(SER_hh_tesh!J33=0,0,SER_hh_tesh!J33/SER_summary!J$26)</f>
        <v>11.779779512309895</v>
      </c>
      <c r="K33" s="68">
        <f>IF(SER_hh_tesh!K33=0,0,SER_hh_tesh!K33/SER_summary!K$26)</f>
        <v>12.186471361927966</v>
      </c>
      <c r="L33" s="68">
        <f>IF(SER_hh_tesh!L33=0,0,SER_hh_tesh!L33/SER_summary!L$26)</f>
        <v>12.716108693101358</v>
      </c>
      <c r="M33" s="68">
        <f>IF(SER_hh_tesh!M33=0,0,SER_hh_tesh!M33/SER_summary!M$26)</f>
        <v>12.586844567857881</v>
      </c>
      <c r="N33" s="68">
        <f>IF(SER_hh_tesh!N33=0,0,SER_hh_tesh!N33/SER_summary!N$26)</f>
        <v>12.772667861924022</v>
      </c>
      <c r="O33" s="68">
        <f>IF(SER_hh_tesh!O33=0,0,SER_hh_tesh!O33/SER_summary!O$26)</f>
        <v>13.088616810094562</v>
      </c>
      <c r="P33" s="68">
        <f>IF(SER_hh_tesh!P33=0,0,SER_hh_tesh!P33/SER_summary!P$26)</f>
        <v>13.173823328762742</v>
      </c>
      <c r="Q33" s="68">
        <f>IF(SER_hh_tesh!Q33=0,0,SER_hh_tesh!Q33/SER_summary!Q$26)</f>
        <v>13.221647371803737</v>
      </c>
      <c r="R33" s="68">
        <f>IF(SER_hh_tesh!R33=0,0,SER_hh_tesh!R33/SER_summary!R$26)</f>
        <v>13.460682458036016</v>
      </c>
      <c r="S33" s="68">
        <f>IF(SER_hh_tesh!S33=0,0,SER_hh_tesh!S33/SER_summary!S$26)</f>
        <v>13.773323102852276</v>
      </c>
      <c r="T33" s="68">
        <f>IF(SER_hh_tesh!T33=0,0,SER_hh_tesh!T33/SER_summary!T$26)</f>
        <v>14.2460283673212</v>
      </c>
      <c r="U33" s="68">
        <f>IF(SER_hh_tesh!U33=0,0,SER_hh_tesh!U33/SER_summary!U$26)</f>
        <v>14.471525558302799</v>
      </c>
      <c r="V33" s="68">
        <f>IF(SER_hh_tesh!V33=0,0,SER_hh_tesh!V33/SER_summary!V$26)</f>
        <v>12.695870879766082</v>
      </c>
      <c r="W33" s="68">
        <f>IF(SER_hh_tesh!W33=0,0,SER_hh_tesh!W33/SER_summary!W$26)</f>
        <v>13.997574967723946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6.3436576386387449</v>
      </c>
      <c r="C3" s="126">
        <f>IF(SER_hh_emih!C3=0,0,SER_hh_emih!C3/SER_summary!C$26)</f>
        <v>10.784884841586917</v>
      </c>
      <c r="D3" s="126">
        <f>IF(SER_hh_emih!D3=0,0,SER_hh_emih!D3/SER_summary!D$26)</f>
        <v>7.0673825461982878</v>
      </c>
      <c r="E3" s="126">
        <f>IF(SER_hh_emih!E3=0,0,SER_hh_emih!E3/SER_summary!E$26)</f>
        <v>4.8682269040367618</v>
      </c>
      <c r="F3" s="126">
        <f>IF(SER_hh_emih!F3=0,0,SER_hh_emih!F3/SER_summary!F$26)</f>
        <v>3.3372747255012523</v>
      </c>
      <c r="G3" s="126">
        <f>IF(SER_hh_emih!G3=0,0,SER_hh_emih!G3/SER_summary!G$26)</f>
        <v>3.5794889543665884</v>
      </c>
      <c r="H3" s="126">
        <f>IF(SER_hh_emih!H3=0,0,SER_hh_emih!H3/SER_summary!H$26)</f>
        <v>5.598263294831308</v>
      </c>
      <c r="I3" s="126">
        <f>IF(SER_hh_emih!I3=0,0,SER_hh_emih!I3/SER_summary!I$26)</f>
        <v>4.5485356169415496</v>
      </c>
      <c r="J3" s="126">
        <f>IF(SER_hh_emih!J3=0,0,SER_hh_emih!J3/SER_summary!J$26)</f>
        <v>5.4381021782059227</v>
      </c>
      <c r="K3" s="126">
        <f>IF(SER_hh_emih!K3=0,0,SER_hh_emih!K3/SER_summary!K$26)</f>
        <v>5.0243388880258921</v>
      </c>
      <c r="L3" s="126">
        <f>IF(SER_hh_emih!L3=0,0,SER_hh_emih!L3/SER_summary!L$26)</f>
        <v>4.5254650652625923</v>
      </c>
      <c r="M3" s="126">
        <f>IF(SER_hh_emih!M3=0,0,SER_hh_emih!M3/SER_summary!M$26)</f>
        <v>4.0978928017845062</v>
      </c>
      <c r="N3" s="126">
        <f>IF(SER_hh_emih!N3=0,0,SER_hh_emih!N3/SER_summary!N$26)</f>
        <v>3.9328976564448137</v>
      </c>
      <c r="O3" s="126">
        <f>IF(SER_hh_emih!O3=0,0,SER_hh_emih!O3/SER_summary!O$26)</f>
        <v>3.3742005275225551</v>
      </c>
      <c r="P3" s="126">
        <f>IF(SER_hh_emih!P3=0,0,SER_hh_emih!P3/SER_summary!P$26)</f>
        <v>3.0732755264404776</v>
      </c>
      <c r="Q3" s="126">
        <f>IF(SER_hh_emih!Q3=0,0,SER_hh_emih!Q3/SER_summary!Q$26)</f>
        <v>4.1841853069411838</v>
      </c>
      <c r="R3" s="126">
        <f>IF(SER_hh_emih!R3=0,0,SER_hh_emih!R3/SER_summary!R$26)</f>
        <v>4.1645332579190262</v>
      </c>
      <c r="S3" s="126">
        <f>IF(SER_hh_emih!S3=0,0,SER_hh_emih!S3/SER_summary!S$26)</f>
        <v>4.0087715648223252</v>
      </c>
      <c r="T3" s="126">
        <f>IF(SER_hh_emih!T3=0,0,SER_hh_emih!T3/SER_summary!T$26)</f>
        <v>3.6190201822829877</v>
      </c>
      <c r="U3" s="126">
        <f>IF(SER_hh_emih!U3=0,0,SER_hh_emih!U3/SER_summary!U$26)</f>
        <v>3.5608625958824001</v>
      </c>
      <c r="V3" s="126">
        <f>IF(SER_hh_emih!V3=0,0,SER_hh_emih!V3/SER_summary!V$26)</f>
        <v>3.234920660663406</v>
      </c>
      <c r="W3" s="126">
        <f>IF(SER_hh_emih!W3=0,0,SER_hh_emih!W3/SER_summary!W$26)</f>
        <v>3.7692404753944513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5.3513301029728604</v>
      </c>
      <c r="C4" s="131">
        <f>IF(SER_hh_emih!C4=0,0,SER_hh_emih!C4/SER_summary!C$26)</f>
        <v>9.5642609905546312</v>
      </c>
      <c r="D4" s="131">
        <f>IF(SER_hh_emih!D4=0,0,SER_hh_emih!D4/SER_summary!D$26)</f>
        <v>6.0124193381194111</v>
      </c>
      <c r="E4" s="131">
        <f>IF(SER_hh_emih!E4=0,0,SER_hh_emih!E4/SER_summary!E$26)</f>
        <v>3.7818608020733593</v>
      </c>
      <c r="F4" s="131">
        <f>IF(SER_hh_emih!F4=0,0,SER_hh_emih!F4/SER_summary!F$26)</f>
        <v>2.2250696019741478</v>
      </c>
      <c r="G4" s="131">
        <f>IF(SER_hh_emih!G4=0,0,SER_hh_emih!G4/SER_summary!G$26)</f>
        <v>2.5289052166985382</v>
      </c>
      <c r="H4" s="131">
        <f>IF(SER_hh_emih!H4=0,0,SER_hh_emih!H4/SER_summary!H$26)</f>
        <v>4.3777523302469614</v>
      </c>
      <c r="I4" s="131">
        <f>IF(SER_hh_emih!I4=0,0,SER_hh_emih!I4/SER_summary!I$26)</f>
        <v>3.2094043842929723</v>
      </c>
      <c r="J4" s="131">
        <f>IF(SER_hh_emih!J4=0,0,SER_hh_emih!J4/SER_summary!J$26)</f>
        <v>4.0637869065266692</v>
      </c>
      <c r="K4" s="131">
        <f>IF(SER_hh_emih!K4=0,0,SER_hh_emih!K4/SER_summary!K$26)</f>
        <v>3.6307766071153535</v>
      </c>
      <c r="L4" s="131">
        <f>IF(SER_hh_emih!L4=0,0,SER_hh_emih!L4/SER_summary!L$26)</f>
        <v>2.9377673909682476</v>
      </c>
      <c r="M4" s="131">
        <f>IF(SER_hh_emih!M4=0,0,SER_hh_emih!M4/SER_summary!M$26)</f>
        <v>2.5015084528314513</v>
      </c>
      <c r="N4" s="131">
        <f>IF(SER_hh_emih!N4=0,0,SER_hh_emih!N4/SER_summary!N$26)</f>
        <v>2.1744578536861803</v>
      </c>
      <c r="O4" s="131">
        <f>IF(SER_hh_emih!O4=0,0,SER_hh_emih!O4/SER_summary!O$26)</f>
        <v>1.8046040486023436</v>
      </c>
      <c r="P4" s="131">
        <f>IF(SER_hh_emih!P4=0,0,SER_hh_emih!P4/SER_summary!P$26)</f>
        <v>1.6638941829015204</v>
      </c>
      <c r="Q4" s="131">
        <f>IF(SER_hh_emih!Q4=0,0,SER_hh_emih!Q4/SER_summary!Q$26)</f>
        <v>2.8245488809403434</v>
      </c>
      <c r="R4" s="131">
        <f>IF(SER_hh_emih!R4=0,0,SER_hh_emih!R4/SER_summary!R$26)</f>
        <v>2.8526970309461723</v>
      </c>
      <c r="S4" s="131">
        <f>IF(SER_hh_emih!S4=0,0,SER_hh_emih!S4/SER_summary!S$26)</f>
        <v>2.6303070837420055</v>
      </c>
      <c r="T4" s="131">
        <f>IF(SER_hh_emih!T4=0,0,SER_hh_emih!T4/SER_summary!T$26)</f>
        <v>2.2611707114937603</v>
      </c>
      <c r="U4" s="131">
        <f>IF(SER_hh_emih!U4=0,0,SER_hh_emih!U4/SER_summary!U$26)</f>
        <v>2.2167879588896398</v>
      </c>
      <c r="V4" s="131">
        <f>IF(SER_hh_emih!V4=0,0,SER_hh_emih!V4/SER_summary!V$26)</f>
        <v>2.1304090323913689</v>
      </c>
      <c r="W4" s="131">
        <f>IF(SER_hh_emih!W4=0,0,SER_hh_emih!W4/SER_summary!W$26)</f>
        <v>2.5541978708093369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26.377637581168301</v>
      </c>
      <c r="C5" s="133">
        <f>IF(SER_hh_emih!C5=0,0,SER_hh_emih!C5/SER_summary!C$26)</f>
        <v>25.341302613507796</v>
      </c>
      <c r="D5" s="133">
        <f>IF(SER_hh_emih!D5=0,0,SER_hh_emih!D5/SER_summary!D$26)</f>
        <v>29.789697020138995</v>
      </c>
      <c r="E5" s="133">
        <f>IF(SER_hh_emih!E5=0,0,SER_hh_emih!E5/SER_summary!E$26)</f>
        <v>32.174301861135895</v>
      </c>
      <c r="F5" s="133">
        <f>IF(SER_hh_emih!F5=0,0,SER_hh_emih!F5/SER_summary!F$26)</f>
        <v>22.502073183546113</v>
      </c>
      <c r="G5" s="133">
        <f>IF(SER_hh_emih!G5=0,0,SER_hh_emih!G5/SER_summary!G$26)</f>
        <v>32.100853947023751</v>
      </c>
      <c r="H5" s="133">
        <f>IF(SER_hh_emih!H5=0,0,SER_hh_emih!H5/SER_summary!H$26)</f>
        <v>36.54509107521281</v>
      </c>
      <c r="I5" s="133">
        <f>IF(SER_hh_emih!I5=0,0,SER_hh_emih!I5/SER_summary!I$26)</f>
        <v>18.326328779142948</v>
      </c>
      <c r="J5" s="133">
        <f>IF(SER_hh_emih!J5=0,0,SER_hh_emih!J5/SER_summary!J$26)</f>
        <v>35.118005987728004</v>
      </c>
      <c r="K5" s="133">
        <f>IF(SER_hh_emih!K5=0,0,SER_hh_emih!K5/SER_summary!K$26)</f>
        <v>30.348390228634997</v>
      </c>
      <c r="L5" s="133">
        <f>IF(SER_hh_emih!L5=0,0,SER_hh_emih!L5/SER_summary!L$26)</f>
        <v>29.077314962590744</v>
      </c>
      <c r="M5" s="133">
        <f>IF(SER_hh_emih!M5=0,0,SER_hh_emih!M5/SER_summary!M$26)</f>
        <v>32.093576583673183</v>
      </c>
      <c r="N5" s="133">
        <f>IF(SER_hh_emih!N5=0,0,SER_hh_emih!N5/SER_summary!N$26)</f>
        <v>24.23997980975119</v>
      </c>
      <c r="O5" s="133">
        <f>IF(SER_hh_emih!O5=0,0,SER_hh_emih!O5/SER_summary!O$26)</f>
        <v>31.526470902902744</v>
      </c>
      <c r="P5" s="133">
        <f>IF(SER_hh_emih!P5=0,0,SER_hh_emih!P5/SER_summary!P$26)</f>
        <v>14.433150386099365</v>
      </c>
      <c r="Q5" s="133">
        <f>IF(SER_hh_emih!Q5=0,0,SER_hh_emih!Q5/SER_summary!Q$26)</f>
        <v>36.060959578760517</v>
      </c>
      <c r="R5" s="133">
        <f>IF(SER_hh_emih!R5=0,0,SER_hh_emih!R5/SER_summary!R$26)</f>
        <v>40.128685364185614</v>
      </c>
      <c r="S5" s="133">
        <f>IF(SER_hh_emih!S5=0,0,SER_hh_emih!S5/SER_summary!S$26)</f>
        <v>29.087736836054464</v>
      </c>
      <c r="T5" s="133">
        <f>IF(SER_hh_emih!T5=0,0,SER_hh_emih!T5/SER_summary!T$26)</f>
        <v>21.51813547718988</v>
      </c>
      <c r="U5" s="133">
        <f>IF(SER_hh_emih!U5=0,0,SER_hh_emih!U5/SER_summary!U$26)</f>
        <v>33.831690529551167</v>
      </c>
      <c r="V5" s="133">
        <f>IF(SER_hh_emih!V5=0,0,SER_hh_emih!V5/SER_summary!V$26)</f>
        <v>27.657994769145823</v>
      </c>
      <c r="W5" s="133">
        <f>IF(SER_hh_emih!W5=0,0,SER_hh_emih!W5/SER_summary!W$26)</f>
        <v>26.937317149310665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17.225208254709486</v>
      </c>
      <c r="C7" s="133">
        <f>IF(SER_hh_emih!C7=0,0,SER_hh_emih!C7/SER_summary!C$26)</f>
        <v>34.687633857814127</v>
      </c>
      <c r="D7" s="133">
        <f>IF(SER_hh_emih!D7=0,0,SER_hh_emih!D7/SER_summary!D$26)</f>
        <v>26.69413507822637</v>
      </c>
      <c r="E7" s="133">
        <f>IF(SER_hh_emih!E7=0,0,SER_hh_emih!E7/SER_summary!E$26)</f>
        <v>21.136664954852073</v>
      </c>
      <c r="F7" s="133">
        <f>IF(SER_hh_emih!F7=0,0,SER_hh_emih!F7/SER_summary!F$26)</f>
        <v>15.166013191219932</v>
      </c>
      <c r="G7" s="133">
        <f>IF(SER_hh_emih!G7=0,0,SER_hh_emih!G7/SER_summary!G$26)</f>
        <v>16.56346325859564</v>
      </c>
      <c r="H7" s="133">
        <f>IF(SER_hh_emih!H7=0,0,SER_hh_emih!H7/SER_summary!H$26)</f>
        <v>35.285679390121444</v>
      </c>
      <c r="I7" s="133">
        <f>IF(SER_hh_emih!I7=0,0,SER_hh_emih!I7/SER_summary!I$26)</f>
        <v>24.246943389085313</v>
      </c>
      <c r="J7" s="133">
        <f>IF(SER_hh_emih!J7=0,0,SER_hh_emih!J7/SER_summary!J$26)</f>
        <v>31.997443990493952</v>
      </c>
      <c r="K7" s="133">
        <f>IF(SER_hh_emih!K7=0,0,SER_hh_emih!K7/SER_summary!K$26)</f>
        <v>36.543595179831122</v>
      </c>
      <c r="L7" s="133">
        <f>IF(SER_hh_emih!L7=0,0,SER_hh_emih!L7/SER_summary!L$26)</f>
        <v>25.395974223056957</v>
      </c>
      <c r="M7" s="133">
        <f>IF(SER_hh_emih!M7=0,0,SER_hh_emih!M7/SER_summary!M$26)</f>
        <v>24.234183128999184</v>
      </c>
      <c r="N7" s="133">
        <f>IF(SER_hh_emih!N7=0,0,SER_hh_emih!N7/SER_summary!N$26)</f>
        <v>26.95165790965823</v>
      </c>
      <c r="O7" s="133">
        <f>IF(SER_hh_emih!O7=0,0,SER_hh_emih!O7/SER_summary!O$26)</f>
        <v>17.266955416014664</v>
      </c>
      <c r="P7" s="133">
        <f>IF(SER_hh_emih!P7=0,0,SER_hh_emih!P7/SER_summary!P$26)</f>
        <v>10.519928608493132</v>
      </c>
      <c r="Q7" s="133">
        <f>IF(SER_hh_emih!Q7=0,0,SER_hh_emih!Q7/SER_summary!Q$26)</f>
        <v>28.586688718653619</v>
      </c>
      <c r="R7" s="133">
        <f>IF(SER_hh_emih!R7=0,0,SER_hh_emih!R7/SER_summary!R$26)</f>
        <v>27.021420632457595</v>
      </c>
      <c r="S7" s="133">
        <f>IF(SER_hh_emih!S7=0,0,SER_hh_emih!S7/SER_summary!S$26)</f>
        <v>24.378005407645468</v>
      </c>
      <c r="T7" s="133">
        <f>IF(SER_hh_emih!T7=0,0,SER_hh_emih!T7/SER_summary!T$26)</f>
        <v>18.367451406154565</v>
      </c>
      <c r="U7" s="133">
        <f>IF(SER_hh_emih!U7=0,0,SER_hh_emih!U7/SER_summary!U$26)</f>
        <v>25.461433686580715</v>
      </c>
      <c r="V7" s="133">
        <f>IF(SER_hh_emih!V7=0,0,SER_hh_emih!V7/SER_summary!V$26)</f>
        <v>23.320888210642096</v>
      </c>
      <c r="W7" s="133">
        <f>IF(SER_hh_emih!W7=0,0,SER_hh_emih!W7/SER_summary!W$26)</f>
        <v>26.050140269510933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13.333213378521442</v>
      </c>
      <c r="C9" s="133">
        <f>IF(SER_hh_emih!C9=0,0,SER_hh_emih!C9/SER_summary!C$26)</f>
        <v>18.407733214749019</v>
      </c>
      <c r="D9" s="133">
        <f>IF(SER_hh_emih!D9=0,0,SER_hh_emih!D9/SER_summary!D$26)</f>
        <v>14.988719606046816</v>
      </c>
      <c r="E9" s="133">
        <f>IF(SER_hh_emih!E9=0,0,SER_hh_emih!E9/SER_summary!E$26)</f>
        <v>16.373138971931009</v>
      </c>
      <c r="F9" s="133">
        <f>IF(SER_hh_emih!F9=0,0,SER_hh_emih!F9/SER_summary!F$26)</f>
        <v>12.452838231194528</v>
      </c>
      <c r="G9" s="133">
        <f>IF(SER_hh_emih!G9=0,0,SER_hh_emih!G9/SER_summary!G$26)</f>
        <v>15.559295713471769</v>
      </c>
      <c r="H9" s="133">
        <f>IF(SER_hh_emih!H9=0,0,SER_hh_emih!H9/SER_summary!H$26)</f>
        <v>19.427138729956933</v>
      </c>
      <c r="I9" s="133">
        <f>IF(SER_hh_emih!I9=0,0,SER_hh_emih!I9/SER_summary!I$26)</f>
        <v>17.313827965017403</v>
      </c>
      <c r="J9" s="133">
        <f>IF(SER_hh_emih!J9=0,0,SER_hh_emih!J9/SER_summary!J$26)</f>
        <v>20.383145021004676</v>
      </c>
      <c r="K9" s="133">
        <f>IF(SER_hh_emih!K9=0,0,SER_hh_emih!K9/SER_summary!K$26)</f>
        <v>12.84974611151384</v>
      </c>
      <c r="L9" s="133">
        <f>IF(SER_hh_emih!L9=0,0,SER_hh_emih!L9/SER_summary!L$26)</f>
        <v>17.413497849697151</v>
      </c>
      <c r="M9" s="133">
        <f>IF(SER_hh_emih!M9=0,0,SER_hh_emih!M9/SER_summary!M$26)</f>
        <v>17.966794611047433</v>
      </c>
      <c r="N9" s="133">
        <f>IF(SER_hh_emih!N9=0,0,SER_hh_emih!N9/SER_summary!N$26)</f>
        <v>15.980842426404829</v>
      </c>
      <c r="O9" s="133">
        <f>IF(SER_hh_emih!O9=0,0,SER_hh_emih!O9/SER_summary!O$26)</f>
        <v>13.683232158568662</v>
      </c>
      <c r="P9" s="133">
        <f>IF(SER_hh_emih!P9=0,0,SER_hh_emih!P9/SER_summary!P$26)</f>
        <v>13.83077433363823</v>
      </c>
      <c r="Q9" s="133">
        <f>IF(SER_hh_emih!Q9=0,0,SER_hh_emih!Q9/SER_summary!Q$26)</f>
        <v>14.90256919114724</v>
      </c>
      <c r="R9" s="133">
        <f>IF(SER_hh_emih!R9=0,0,SER_hh_emih!R9/SER_summary!R$26)</f>
        <v>15.181148752354435</v>
      </c>
      <c r="S9" s="133">
        <f>IF(SER_hh_emih!S9=0,0,SER_hh_emih!S9/SER_summary!S$26)</f>
        <v>16.094125159898642</v>
      </c>
      <c r="T9" s="133">
        <f>IF(SER_hh_emih!T9=0,0,SER_hh_emih!T9/SER_summary!T$26)</f>
        <v>17.287313621487403</v>
      </c>
      <c r="U9" s="133">
        <f>IF(SER_hh_emih!U9=0,0,SER_hh_emih!U9/SER_summary!U$26)</f>
        <v>15.454612439695083</v>
      </c>
      <c r="V9" s="133">
        <f>IF(SER_hh_emih!V9=0,0,SER_hh_emih!V9/SER_summary!V$26)</f>
        <v>15.127531353684322</v>
      </c>
      <c r="W9" s="133">
        <f>IF(SER_hh_emih!W9=0,0,SER_hh_emih!W9/SER_summary!W$26)</f>
        <v>18.988135058282996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0.80766946428862341</v>
      </c>
      <c r="C19" s="131">
        <f>IF(SER_hh_emih!C19=0,0,SER_hh_emih!C19/SER_summary!C$26)</f>
        <v>0.85920218405459114</v>
      </c>
      <c r="D19" s="131">
        <f>IF(SER_hh_emih!D19=0,0,SER_hh_emih!D19/SER_summary!D$26)</f>
        <v>0.83120126706804698</v>
      </c>
      <c r="E19" s="131">
        <f>IF(SER_hh_emih!E19=0,0,SER_hh_emih!E19/SER_summary!E$26)</f>
        <v>0.80953384849079424</v>
      </c>
      <c r="F19" s="131">
        <f>IF(SER_hh_emih!F19=0,0,SER_hh_emih!F19/SER_summary!F$26)</f>
        <v>0.71813466067202647</v>
      </c>
      <c r="G19" s="131">
        <f>IF(SER_hh_emih!G19=0,0,SER_hh_emih!G19/SER_summary!G$26)</f>
        <v>0.725939977696343</v>
      </c>
      <c r="H19" s="131">
        <f>IF(SER_hh_emih!H19=0,0,SER_hh_emih!H19/SER_summary!H$26)</f>
        <v>0.78928811418287514</v>
      </c>
      <c r="I19" s="131">
        <f>IF(SER_hh_emih!I19=0,0,SER_hh_emih!I19/SER_summary!I$26)</f>
        <v>0.8565586247789696</v>
      </c>
      <c r="J19" s="131">
        <f>IF(SER_hh_emih!J19=0,0,SER_hh_emih!J19/SER_summary!J$26)</f>
        <v>0.87701476253595023</v>
      </c>
      <c r="K19" s="131">
        <f>IF(SER_hh_emih!K19=0,0,SER_hh_emih!K19/SER_summary!K$26)</f>
        <v>0.89473517285901971</v>
      </c>
      <c r="L19" s="131">
        <f>IF(SER_hh_emih!L19=0,0,SER_hh_emih!L19/SER_summary!L$26)</f>
        <v>0.90136611953705903</v>
      </c>
      <c r="M19" s="131">
        <f>IF(SER_hh_emih!M19=0,0,SER_hh_emih!M19/SER_summary!M$26)</f>
        <v>0.88652873164212498</v>
      </c>
      <c r="N19" s="131">
        <f>IF(SER_hh_emih!N19=0,0,SER_hh_emih!N19/SER_summary!N$26)</f>
        <v>0.85697210924276601</v>
      </c>
      <c r="O19" s="131">
        <f>IF(SER_hh_emih!O19=0,0,SER_hh_emih!O19/SER_summary!O$26)</f>
        <v>0.77901320490137405</v>
      </c>
      <c r="P19" s="131">
        <f>IF(SER_hh_emih!P19=0,0,SER_hh_emih!P19/SER_summary!P$26)</f>
        <v>0.7334773820144832</v>
      </c>
      <c r="Q19" s="131">
        <f>IF(SER_hh_emih!Q19=0,0,SER_hh_emih!Q19/SER_summary!Q$26)</f>
        <v>0.71336718459187265</v>
      </c>
      <c r="R19" s="131">
        <f>IF(SER_hh_emih!R19=0,0,SER_hh_emih!R19/SER_summary!R$26)</f>
        <v>0.6689751746092375</v>
      </c>
      <c r="S19" s="131">
        <f>IF(SER_hh_emih!S19=0,0,SER_hh_emih!S19/SER_summary!S$26)</f>
        <v>0.67188700997180073</v>
      </c>
      <c r="T19" s="131">
        <f>IF(SER_hh_emih!T19=0,0,SER_hh_emih!T19/SER_summary!T$26)</f>
        <v>0.62256457156837008</v>
      </c>
      <c r="U19" s="131">
        <f>IF(SER_hh_emih!U19=0,0,SER_hh_emih!U19/SER_summary!U$26)</f>
        <v>0.62722421041277454</v>
      </c>
      <c r="V19" s="131">
        <f>IF(SER_hh_emih!V19=0,0,SER_hh_emih!V19/SER_summary!V$26)</f>
        <v>0.51330380304222223</v>
      </c>
      <c r="W19" s="131">
        <f>IF(SER_hh_emih!W19=0,0,SER_hh_emih!W19/SER_summary!W$26)</f>
        <v>0.52956676322703189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5.8710262613846185</v>
      </c>
      <c r="C22" s="133">
        <f>IF(SER_hh_emih!C22=0,0,SER_hh_emih!C22/SER_summary!C$26)</f>
        <v>6.3688550220522027</v>
      </c>
      <c r="D22" s="133">
        <f>IF(SER_hh_emih!D22=0,0,SER_hh_emih!D22/SER_summary!D$26)</f>
        <v>6.4096065179578119</v>
      </c>
      <c r="E22" s="133">
        <f>IF(SER_hh_emih!E22=0,0,SER_hh_emih!E22/SER_summary!E$26)</f>
        <v>6.3110080824846708</v>
      </c>
      <c r="F22" s="133">
        <f>IF(SER_hh_emih!F22=0,0,SER_hh_emih!F22/SER_summary!F$26)</f>
        <v>5.5790480593296854</v>
      </c>
      <c r="G22" s="133">
        <f>IF(SER_hh_emih!G22=0,0,SER_hh_emih!G22/SER_summary!G$26)</f>
        <v>5.6843528827666088</v>
      </c>
      <c r="H22" s="133">
        <f>IF(SER_hh_emih!H22=0,0,SER_hh_emih!H22/SER_summary!H$26)</f>
        <v>5.9801037143112232</v>
      </c>
      <c r="I22" s="133">
        <f>IF(SER_hh_emih!I22=0,0,SER_hh_emih!I22/SER_summary!I$26)</f>
        <v>6.0404883403065384</v>
      </c>
      <c r="J22" s="133">
        <f>IF(SER_hh_emih!J22=0,0,SER_hh_emih!J22/SER_summary!J$26)</f>
        <v>6.1512618667436456</v>
      </c>
      <c r="K22" s="133">
        <f>IF(SER_hh_emih!K22=0,0,SER_hh_emih!K22/SER_summary!K$26)</f>
        <v>6.1643931202045534</v>
      </c>
      <c r="L22" s="133">
        <f>IF(SER_hh_emih!L22=0,0,SER_hh_emih!L22/SER_summary!L$26)</f>
        <v>6.2324797408417556</v>
      </c>
      <c r="M22" s="133">
        <f>IF(SER_hh_emih!M22=0,0,SER_hh_emih!M22/SER_summary!M$26)</f>
        <v>6.690615944581503</v>
      </c>
      <c r="N22" s="133">
        <f>IF(SER_hh_emih!N22=0,0,SER_hh_emih!N22/SER_summary!N$26)</f>
        <v>6.7598655946312807</v>
      </c>
      <c r="O22" s="133">
        <f>IF(SER_hh_emih!O22=0,0,SER_hh_emih!O22/SER_summary!O$26)</f>
        <v>5.8294799023698545</v>
      </c>
      <c r="P22" s="133">
        <f>IF(SER_hh_emih!P22=0,0,SER_hh_emih!P22/SER_summary!P$26)</f>
        <v>5.4724058591210101</v>
      </c>
      <c r="Q22" s="133">
        <f>IF(SER_hh_emih!Q22=0,0,SER_hh_emih!Q22/SER_summary!Q$26)</f>
        <v>6.6068414571066798</v>
      </c>
      <c r="R22" s="133">
        <f>IF(SER_hh_emih!R22=0,0,SER_hh_emih!R22/SER_summary!R$26)</f>
        <v>6.8678733770411835</v>
      </c>
      <c r="S22" s="133">
        <f>IF(SER_hh_emih!S22=0,0,SER_hh_emih!S22/SER_summary!S$26)</f>
        <v>6.7691101730979719</v>
      </c>
      <c r="T22" s="133">
        <f>IF(SER_hh_emih!T22=0,0,SER_hh_emih!T22/SER_summary!T$26)</f>
        <v>4.9530494282226485</v>
      </c>
      <c r="U22" s="133">
        <f>IF(SER_hh_emih!U22=0,0,SER_hh_emih!U22/SER_summary!U$26)</f>
        <v>6.7530675986476991</v>
      </c>
      <c r="V22" s="133">
        <f>IF(SER_hh_emih!V22=0,0,SER_hh_emih!V22/SER_summary!V$26)</f>
        <v>6.0921711664375513</v>
      </c>
      <c r="W22" s="133">
        <f>IF(SER_hh_emih!W22=0,0,SER_hh_emih!W22/SER_summary!W$26)</f>
        <v>6.2518341578197276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4.1621995075049885</v>
      </c>
      <c r="C23" s="133">
        <f>IF(SER_hh_emih!C23=0,0,SER_hh_emih!C23/SER_summary!C$26)</f>
        <v>4.4756831765380785</v>
      </c>
      <c r="D23" s="133">
        <f>IF(SER_hh_emih!D23=0,0,SER_hh_emih!D23/SER_summary!D$26)</f>
        <v>3.8991973486974811</v>
      </c>
      <c r="E23" s="133">
        <f>IF(SER_hh_emih!E23=0,0,SER_hh_emih!E23/SER_summary!E$26)</f>
        <v>4.0340507165377835</v>
      </c>
      <c r="F23" s="133">
        <f>IF(SER_hh_emih!F23=0,0,SER_hh_emih!F23/SER_summary!F$26)</f>
        <v>3.9066719601166522</v>
      </c>
      <c r="G23" s="133">
        <f>IF(SER_hh_emih!G23=0,0,SER_hh_emih!G23/SER_summary!G$26)</f>
        <v>3.7727809404486248</v>
      </c>
      <c r="H23" s="133">
        <f>IF(SER_hh_emih!H23=0,0,SER_hh_emih!H23/SER_summary!H$26)</f>
        <v>3.8782098865475008</v>
      </c>
      <c r="I23" s="133">
        <f>IF(SER_hh_emih!I23=0,0,SER_hh_emih!I23/SER_summary!I$26)</f>
        <v>4.0687246857621604</v>
      </c>
      <c r="J23" s="133">
        <f>IF(SER_hh_emih!J23=0,0,SER_hh_emih!J23/SER_summary!J$26)</f>
        <v>4.0086579472496551</v>
      </c>
      <c r="K23" s="133">
        <f>IF(SER_hh_emih!K23=0,0,SER_hh_emih!K23/SER_summary!K$26)</f>
        <v>4.0346784645916598</v>
      </c>
      <c r="L23" s="133">
        <f>IF(SER_hh_emih!L23=0,0,SER_hh_emih!L23/SER_summary!L$26)</f>
        <v>4.1341703935896064</v>
      </c>
      <c r="M23" s="133">
        <f>IF(SER_hh_emih!M23=0,0,SER_hh_emih!M23/SER_summary!M$26)</f>
        <v>4.1274157655904373</v>
      </c>
      <c r="N23" s="133">
        <f>IF(SER_hh_emih!N23=0,0,SER_hh_emih!N23/SER_summary!N$26)</f>
        <v>4.1513774994305637</v>
      </c>
      <c r="O23" s="133">
        <f>IF(SER_hh_emih!O23=0,0,SER_hh_emih!O23/SER_summary!O$26)</f>
        <v>4.1119024520737728</v>
      </c>
      <c r="P23" s="133">
        <f>IF(SER_hh_emih!P23=0,0,SER_hh_emih!P23/SER_summary!P$26)</f>
        <v>4.0667264661591291</v>
      </c>
      <c r="Q23" s="133">
        <f>IF(SER_hh_emih!Q23=0,0,SER_hh_emih!Q23/SER_summary!Q$26)</f>
        <v>3.9295071381635505</v>
      </c>
      <c r="R23" s="133">
        <f>IF(SER_hh_emih!R23=0,0,SER_hh_emih!R23/SER_summary!R$26)</f>
        <v>3.7345175618386355</v>
      </c>
      <c r="S23" s="133">
        <f>IF(SER_hh_emih!S23=0,0,SER_hh_emih!S23/SER_summary!S$26)</f>
        <v>3.911581041536873</v>
      </c>
      <c r="T23" s="133">
        <f>IF(SER_hh_emih!T23=0,0,SER_hh_emih!T23/SER_summary!T$26)</f>
        <v>3.8758362860712001</v>
      </c>
      <c r="U23" s="133">
        <f>IF(SER_hh_emih!U23=0,0,SER_hh_emih!U23/SER_summary!U$26)</f>
        <v>3.8923380485612289</v>
      </c>
      <c r="V23" s="133">
        <f>IF(SER_hh_emih!V23=0,0,SER_hh_emih!V23/SER_summary!V$26)</f>
        <v>3.2634916045573674</v>
      </c>
      <c r="W23" s="133">
        <f>IF(SER_hh_emih!W23=0,0,SER_hh_emih!W23/SER_summary!W$26)</f>
        <v>3.4764139786309585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0.18465807137726101</v>
      </c>
      <c r="C29" s="131">
        <f>IF(SER_hh_emih!C29=0,0,SER_hh_emih!C29/SER_summary!C$26)</f>
        <v>0.36142166697769557</v>
      </c>
      <c r="D29" s="131">
        <f>IF(SER_hh_emih!D29=0,0,SER_hh_emih!D29/SER_summary!D$26)</f>
        <v>0.22376194101082963</v>
      </c>
      <c r="E29" s="131">
        <f>IF(SER_hh_emih!E29=0,0,SER_hh_emih!E29/SER_summary!E$26)</f>
        <v>0.2768322534726082</v>
      </c>
      <c r="F29" s="131">
        <f>IF(SER_hh_emih!F29=0,0,SER_hh_emih!F29/SER_summary!F$26)</f>
        <v>0.39407046285507774</v>
      </c>
      <c r="G29" s="131">
        <f>IF(SER_hh_emih!G29=0,0,SER_hh_emih!G29/SER_summary!G$26)</f>
        <v>0.32464375997170725</v>
      </c>
      <c r="H29" s="131">
        <f>IF(SER_hh_emih!H29=0,0,SER_hh_emih!H29/SER_summary!H$26)</f>
        <v>0.43122285040147135</v>
      </c>
      <c r="I29" s="131">
        <f>IF(SER_hh_emih!I29=0,0,SER_hh_emih!I29/SER_summary!I$26)</f>
        <v>0.48257260786960793</v>
      </c>
      <c r="J29" s="131">
        <f>IF(SER_hh_emih!J29=0,0,SER_hh_emih!J29/SER_summary!J$26)</f>
        <v>0.4973005091433037</v>
      </c>
      <c r="K29" s="131">
        <f>IF(SER_hh_emih!K29=0,0,SER_hh_emih!K29/SER_summary!K$26)</f>
        <v>0.49882710805151981</v>
      </c>
      <c r="L29" s="131">
        <f>IF(SER_hh_emih!L29=0,0,SER_hh_emih!L29/SER_summary!L$26)</f>
        <v>0.68633155475728735</v>
      </c>
      <c r="M29" s="131">
        <f>IF(SER_hh_emih!M29=0,0,SER_hh_emih!M29/SER_summary!M$26)</f>
        <v>0.70985561731093128</v>
      </c>
      <c r="N29" s="131">
        <f>IF(SER_hh_emih!N29=0,0,SER_hh_emih!N29/SER_summary!N$26)</f>
        <v>0.90146769351586586</v>
      </c>
      <c r="O29" s="131">
        <f>IF(SER_hh_emih!O29=0,0,SER_hh_emih!O29/SER_summary!O$26)</f>
        <v>0.79058327401883854</v>
      </c>
      <c r="P29" s="131">
        <f>IF(SER_hh_emih!P29=0,0,SER_hh_emih!P29/SER_summary!P$26)</f>
        <v>0.67590396152447474</v>
      </c>
      <c r="Q29" s="131">
        <f>IF(SER_hh_emih!Q29=0,0,SER_hh_emih!Q29/SER_summary!Q$26)</f>
        <v>0.64626924140896691</v>
      </c>
      <c r="R29" s="131">
        <f>IF(SER_hh_emih!R29=0,0,SER_hh_emih!R29/SER_summary!R$26)</f>
        <v>0.64286105236361635</v>
      </c>
      <c r="S29" s="131">
        <f>IF(SER_hh_emih!S29=0,0,SER_hh_emih!S29/SER_summary!S$26)</f>
        <v>0.70657747110851976</v>
      </c>
      <c r="T29" s="131">
        <f>IF(SER_hh_emih!T29=0,0,SER_hh_emih!T29/SER_summary!T$26)</f>
        <v>0.7352848992208566</v>
      </c>
      <c r="U29" s="131">
        <f>IF(SER_hh_emih!U29=0,0,SER_hh_emih!U29/SER_summary!U$26)</f>
        <v>0.7168504265799851</v>
      </c>
      <c r="V29" s="131">
        <f>IF(SER_hh_emih!V29=0,0,SER_hh_emih!V29/SER_summary!V$26)</f>
        <v>0.5912078252298143</v>
      </c>
      <c r="W29" s="131">
        <f>IF(SER_hh_emih!W29=0,0,SER_hh_emih!W29/SER_summary!W$26)</f>
        <v>0.68547584135808293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2.6780101688922082</v>
      </c>
      <c r="C30" s="133">
        <f>IF(SER_hh_emih!C30=0,0,SER_hh_emih!C30/SER_summary!C$26)</f>
        <v>10.639303084353601</v>
      </c>
      <c r="D30" s="133">
        <f>IF(SER_hh_emih!D30=0,0,SER_hh_emih!D30/SER_summary!D$26)</f>
        <v>3.0656016642773865</v>
      </c>
      <c r="E30" s="133">
        <f>IF(SER_hh_emih!E30=0,0,SER_hh_emih!E30/SER_summary!E$26)</f>
        <v>3.6133083535746615</v>
      </c>
      <c r="F30" s="133">
        <f>IF(SER_hh_emih!F30=0,0,SER_hh_emih!F30/SER_summary!F$26)</f>
        <v>9.5916037836245156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6.0884737045939819</v>
      </c>
      <c r="M30" s="133">
        <f>IF(SER_hh_emih!M30=0,0,SER_hh_emih!M30/SER_summary!M$26)</f>
        <v>5.6604026865344386</v>
      </c>
      <c r="N30" s="133">
        <f>IF(SER_hh_emih!N30=0,0,SER_hh_emih!N30/SER_summary!N$26)</f>
        <v>8.9555870867445879</v>
      </c>
      <c r="O30" s="133">
        <f>IF(SER_hh_emih!O30=0,0,SER_hh_emih!O30/SER_summary!O$26)</f>
        <v>6.4120266271687951</v>
      </c>
      <c r="P30" s="133">
        <f>IF(SER_hh_emih!P30=0,0,SER_hh_emih!P30/SER_summary!P$26)</f>
        <v>4.031598558595725</v>
      </c>
      <c r="Q30" s="133">
        <f>IF(SER_hh_emih!Q30=0,0,SER_hh_emih!Q30/SER_summary!Q$26)</f>
        <v>4.0724303318635977</v>
      </c>
      <c r="R30" s="133">
        <f>IF(SER_hh_emih!R30=0,0,SER_hh_emih!R30/SER_summary!R$26)</f>
        <v>4.7899174676040692</v>
      </c>
      <c r="S30" s="133">
        <f>IF(SER_hh_emih!S30=0,0,SER_hh_emih!S30/SER_summary!S$26)</f>
        <v>5.7001322738661306</v>
      </c>
      <c r="T30" s="133">
        <f>IF(SER_hh_emih!T30=0,0,SER_hh_emih!T30/SER_summary!T$26)</f>
        <v>6.1738753834338311</v>
      </c>
      <c r="U30" s="133">
        <f>IF(SER_hh_emih!U30=0,0,SER_hh_emih!U30/SER_summary!U$26)</f>
        <v>6.016573341314766</v>
      </c>
      <c r="V30" s="133">
        <f>IF(SER_hh_emih!V30=0,0,SER_hh_emih!V30/SER_summary!V$26)</f>
        <v>4.9122122301946636</v>
      </c>
      <c r="W30" s="133">
        <f>IF(SER_hh_emih!W30=0,0,SER_hh_emih!W30/SER_summary!W$26)</f>
        <v>5.7328363915136098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4.4755813096828128</v>
      </c>
      <c r="C31" s="133">
        <f>IF(SER_hh_emih!C31=0,0,SER_hh_emih!C31/SER_summary!C$26)</f>
        <v>4.5710860286531103</v>
      </c>
      <c r="D31" s="133">
        <f>IF(SER_hh_emih!D31=0,0,SER_hh_emih!D31/SER_summary!D$26)</f>
        <v>4.1989366538520327</v>
      </c>
      <c r="E31" s="133">
        <f>IF(SER_hh_emih!E31=0,0,SER_hh_emih!E31/SER_summary!E$26)</f>
        <v>4.3949466806536073</v>
      </c>
      <c r="F31" s="133">
        <f>IF(SER_hh_emih!F31=0,0,SER_hh_emih!F31/SER_summary!F$26)</f>
        <v>4.4368421901123352</v>
      </c>
      <c r="G31" s="133">
        <f>IF(SER_hh_emih!G31=0,0,SER_hh_emih!G31/SER_summary!G$26)</f>
        <v>4.0611369112738078</v>
      </c>
      <c r="H31" s="133">
        <f>IF(SER_hh_emih!H31=0,0,SER_hh_emih!H31/SER_summary!H$26)</f>
        <v>4.484020299949397</v>
      </c>
      <c r="I31" s="133">
        <f>IF(SER_hh_emih!I31=0,0,SER_hh_emih!I31/SER_summary!I$26)</f>
        <v>4.5352681848155942</v>
      </c>
      <c r="J31" s="133">
        <f>IF(SER_hh_emih!J31=0,0,SER_hh_emih!J31/SER_summary!J$26)</f>
        <v>4.4996129145513013</v>
      </c>
      <c r="K31" s="133">
        <f>IF(SER_hh_emih!K31=0,0,SER_hh_emih!K31/SER_summary!K$26)</f>
        <v>4.4713925197515252</v>
      </c>
      <c r="L31" s="133">
        <f>IF(SER_hh_emih!L31=0,0,SER_hh_emih!L31/SER_summary!L$26)</f>
        <v>4.5248539163445773</v>
      </c>
      <c r="M31" s="133">
        <f>IF(SER_hh_emih!M31=0,0,SER_hh_emih!M31/SER_summary!M$26)</f>
        <v>4.5582674582469362</v>
      </c>
      <c r="N31" s="133">
        <f>IF(SER_hh_emih!N31=0,0,SER_hh_emih!N31/SER_summary!N$26)</f>
        <v>4.7240363251875941</v>
      </c>
      <c r="O31" s="133">
        <f>IF(SER_hh_emih!O31=0,0,SER_hh_emih!O31/SER_summary!O$26)</f>
        <v>4.7510136586301455</v>
      </c>
      <c r="P31" s="133">
        <f>IF(SER_hh_emih!P31=0,0,SER_hh_emih!P31/SER_summary!P$26)</f>
        <v>4.7429888451613156</v>
      </c>
      <c r="Q31" s="133">
        <f>IF(SER_hh_emih!Q31=0,0,SER_hh_emih!Q31/SER_summary!Q$26)</f>
        <v>4.6106147847082495</v>
      </c>
      <c r="R31" s="133">
        <f>IF(SER_hh_emih!R31=0,0,SER_hh_emih!R31/SER_summary!R$26)</f>
        <v>4.4510267682128735</v>
      </c>
      <c r="S31" s="133">
        <f>IF(SER_hh_emih!S31=0,0,SER_hh_emih!S31/SER_summary!S$26)</f>
        <v>4.8348515087233048</v>
      </c>
      <c r="T31" s="133">
        <f>IF(SER_hh_emih!T31=0,0,SER_hh_emih!T31/SER_summary!T$26)</f>
        <v>4.9319580700584433</v>
      </c>
      <c r="U31" s="133">
        <f>IF(SER_hh_emih!U31=0,0,SER_hh_emih!U31/SER_summary!U$26)</f>
        <v>4.9375388448069311</v>
      </c>
      <c r="V31" s="133">
        <f>IF(SER_hh_emih!V31=0,0,SER_hh_emih!V31/SER_summary!V$26)</f>
        <v>4.2676392969531678</v>
      </c>
      <c r="W31" s="133">
        <f>IF(SER_hh_emih!W31=0,0,SER_hh_emih!W31/SER_summary!W$26)</f>
        <v>4.8570504903349327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2324.7723909203678</v>
      </c>
      <c r="D3" s="125">
        <f t="shared" si="0"/>
        <v>2943.4065435982643</v>
      </c>
      <c r="E3" s="125">
        <f t="shared" si="0"/>
        <v>3324.4778398969202</v>
      </c>
      <c r="F3" s="125">
        <f t="shared" si="0"/>
        <v>3470.8828484348569</v>
      </c>
      <c r="G3" s="125">
        <f t="shared" si="0"/>
        <v>3379.3190034872359</v>
      </c>
      <c r="H3" s="125">
        <f t="shared" si="0"/>
        <v>3529.1464784763075</v>
      </c>
      <c r="I3" s="125">
        <f t="shared" si="0"/>
        <v>3949.4420472157371</v>
      </c>
      <c r="J3" s="125">
        <f t="shared" si="0"/>
        <v>3095.5969225605918</v>
      </c>
      <c r="K3" s="125">
        <f t="shared" si="0"/>
        <v>1272.8894995007722</v>
      </c>
      <c r="L3" s="125">
        <f t="shared" si="0"/>
        <v>1663.9383944488247</v>
      </c>
      <c r="M3" s="125">
        <f t="shared" si="0"/>
        <v>2796.552560282083</v>
      </c>
      <c r="N3" s="125">
        <f t="shared" si="0"/>
        <v>1597.0384941260793</v>
      </c>
      <c r="O3" s="125">
        <f t="shared" si="0"/>
        <v>1718.4055509101909</v>
      </c>
      <c r="P3" s="125">
        <f t="shared" si="0"/>
        <v>1922.2427329299426</v>
      </c>
      <c r="Q3" s="125">
        <f t="shared" si="0"/>
        <v>2345.0443761704055</v>
      </c>
      <c r="R3" s="125">
        <f t="shared" si="0"/>
        <v>1802.2910552174988</v>
      </c>
      <c r="S3" s="125">
        <f t="shared" si="0"/>
        <v>1819.7699298475143</v>
      </c>
      <c r="T3" s="125">
        <f t="shared" si="0"/>
        <v>1801.9662427863484</v>
      </c>
      <c r="U3" s="125">
        <f t="shared" si="0"/>
        <v>1754.0342371930237</v>
      </c>
      <c r="V3" s="125">
        <f t="shared" si="0"/>
        <v>1646.6783318711571</v>
      </c>
      <c r="W3" s="125">
        <f t="shared" si="0"/>
        <v>1553.5197627279629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2324.7723909203678</v>
      </c>
      <c r="D4" s="140">
        <f t="shared" si="1"/>
        <v>2943.4065435982643</v>
      </c>
      <c r="E4" s="140">
        <f t="shared" si="1"/>
        <v>3324.4778398969202</v>
      </c>
      <c r="F4" s="140">
        <f t="shared" si="1"/>
        <v>3470.8828484348569</v>
      </c>
      <c r="G4" s="140">
        <f t="shared" si="1"/>
        <v>3379.3190034872359</v>
      </c>
      <c r="H4" s="140">
        <f t="shared" si="1"/>
        <v>3529.1464784763075</v>
      </c>
      <c r="I4" s="140">
        <f t="shared" si="1"/>
        <v>3949.4420472157371</v>
      </c>
      <c r="J4" s="140">
        <f t="shared" si="1"/>
        <v>3095.5969225605918</v>
      </c>
      <c r="K4" s="140">
        <f t="shared" si="1"/>
        <v>1272.8894995007722</v>
      </c>
      <c r="L4" s="140">
        <f t="shared" si="1"/>
        <v>1663.9383944488247</v>
      </c>
      <c r="M4" s="140">
        <f t="shared" si="1"/>
        <v>2796.552560282083</v>
      </c>
      <c r="N4" s="140">
        <f t="shared" si="1"/>
        <v>1597.0384941260793</v>
      </c>
      <c r="O4" s="140">
        <f t="shared" si="1"/>
        <v>1718.4055509101909</v>
      </c>
      <c r="P4" s="140">
        <f t="shared" si="1"/>
        <v>1922.2427329299426</v>
      </c>
      <c r="Q4" s="140">
        <f t="shared" si="1"/>
        <v>2345.0443761704055</v>
      </c>
      <c r="R4" s="140">
        <f t="shared" ref="R4:W4" si="2">SUM(R5:R14)</f>
        <v>1802.2910552174988</v>
      </c>
      <c r="S4" s="140">
        <f t="shared" si="2"/>
        <v>1819.7699298475143</v>
      </c>
      <c r="T4" s="140">
        <f t="shared" si="2"/>
        <v>1801.9662427863484</v>
      </c>
      <c r="U4" s="140">
        <f t="shared" si="2"/>
        <v>1754.0342371930237</v>
      </c>
      <c r="V4" s="140">
        <f t="shared" si="2"/>
        <v>1646.6783318711571</v>
      </c>
      <c r="W4" s="140">
        <f t="shared" si="2"/>
        <v>1553.5197627279629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36.984441267273951</v>
      </c>
      <c r="D5" s="141">
        <v>81.228250817589313</v>
      </c>
      <c r="E5" s="141">
        <v>55.634119137786406</v>
      </c>
      <c r="F5" s="141">
        <v>24.17656339599688</v>
      </c>
      <c r="G5" s="141">
        <v>0</v>
      </c>
      <c r="H5" s="141">
        <v>0</v>
      </c>
      <c r="I5" s="141">
        <v>0</v>
      </c>
      <c r="J5" s="141">
        <v>11.114588240599851</v>
      </c>
      <c r="K5" s="141">
        <v>4.9104670887085691</v>
      </c>
      <c r="L5" s="141">
        <v>3.8216702364557742</v>
      </c>
      <c r="M5" s="141">
        <v>20.855107068922063</v>
      </c>
      <c r="N5" s="141">
        <v>13.085463116802963</v>
      </c>
      <c r="O5" s="141">
        <v>14.856136634097505</v>
      </c>
      <c r="P5" s="141">
        <v>10.27013712109202</v>
      </c>
      <c r="Q5" s="141">
        <v>24.692637295838217</v>
      </c>
      <c r="R5" s="141">
        <v>16.678997273149868</v>
      </c>
      <c r="S5" s="141">
        <v>7.6497607586417891</v>
      </c>
      <c r="T5" s="141">
        <v>0.96034504169829815</v>
      </c>
      <c r="U5" s="141">
        <v>3.5414928352155952</v>
      </c>
      <c r="V5" s="141">
        <v>5.0392673614107455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124.51927915293305</v>
      </c>
      <c r="D7" s="141">
        <v>0</v>
      </c>
      <c r="E7" s="141">
        <v>0</v>
      </c>
      <c r="F7" s="141">
        <v>0</v>
      </c>
      <c r="G7" s="141">
        <v>0</v>
      </c>
      <c r="H7" s="141">
        <v>82.808281326143273</v>
      </c>
      <c r="I7" s="141">
        <v>20.931428609923344</v>
      </c>
      <c r="J7" s="141">
        <v>4.635034417348046</v>
      </c>
      <c r="K7" s="141">
        <v>62.220844614608666</v>
      </c>
      <c r="L7" s="141">
        <v>77.046437306408762</v>
      </c>
      <c r="M7" s="141">
        <v>0</v>
      </c>
      <c r="N7" s="141">
        <v>63.799976627148311</v>
      </c>
      <c r="O7" s="141">
        <v>153.3430436055389</v>
      </c>
      <c r="P7" s="141">
        <v>101.02082874284346</v>
      </c>
      <c r="Q7" s="141">
        <v>359.56604793003424</v>
      </c>
      <c r="R7" s="141">
        <v>57.305654390949371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106.8720968137597</v>
      </c>
      <c r="D9" s="141">
        <v>180.70800431014291</v>
      </c>
      <c r="E9" s="141">
        <v>219.58385097701526</v>
      </c>
      <c r="F9" s="141">
        <v>308.79532006128386</v>
      </c>
      <c r="G9" s="141">
        <v>389.12191674382262</v>
      </c>
      <c r="H9" s="141">
        <v>729.50755300741889</v>
      </c>
      <c r="I9" s="141">
        <v>435.65633243889363</v>
      </c>
      <c r="J9" s="141">
        <v>147.40324396250435</v>
      </c>
      <c r="K9" s="141">
        <v>76.579726226807011</v>
      </c>
      <c r="L9" s="141">
        <v>112.07951930495685</v>
      </c>
      <c r="M9" s="141">
        <v>100.07856074532594</v>
      </c>
      <c r="N9" s="141">
        <v>140.5710066344829</v>
      </c>
      <c r="O9" s="141">
        <v>131.13199342688776</v>
      </c>
      <c r="P9" s="141">
        <v>306.24541928671499</v>
      </c>
      <c r="Q9" s="141">
        <v>318.44289021900784</v>
      </c>
      <c r="R9" s="141">
        <v>197.23809696971517</v>
      </c>
      <c r="S9" s="141">
        <v>135.10914681885748</v>
      </c>
      <c r="T9" s="141">
        <v>119.92267487743655</v>
      </c>
      <c r="U9" s="141">
        <v>110.57579191536483</v>
      </c>
      <c r="V9" s="141">
        <v>249.8925759980331</v>
      </c>
      <c r="W9" s="141">
        <v>245.72347264002497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41.382537274790465</v>
      </c>
      <c r="E10" s="141">
        <v>100.9528229493943</v>
      </c>
      <c r="F10" s="141">
        <v>90.292597712161495</v>
      </c>
      <c r="G10" s="141">
        <v>112.79329133890128</v>
      </c>
      <c r="H10" s="141">
        <v>155.74147718308188</v>
      </c>
      <c r="I10" s="141">
        <v>86.774987397446765</v>
      </c>
      <c r="J10" s="141">
        <v>0</v>
      </c>
      <c r="K10" s="141">
        <v>0</v>
      </c>
      <c r="L10" s="141">
        <v>44.496776713687865</v>
      </c>
      <c r="M10" s="141">
        <v>234.87843108383157</v>
      </c>
      <c r="N10" s="141">
        <v>127.03176029680962</v>
      </c>
      <c r="O10" s="141">
        <v>47.904628747756625</v>
      </c>
      <c r="P10" s="141">
        <v>0</v>
      </c>
      <c r="Q10" s="141">
        <v>10.642076128648474</v>
      </c>
      <c r="R10" s="141">
        <v>173.85785302101363</v>
      </c>
      <c r="S10" s="141">
        <v>559.32513771054005</v>
      </c>
      <c r="T10" s="141">
        <v>507.24198773733832</v>
      </c>
      <c r="U10" s="141">
        <v>327.14003115582278</v>
      </c>
      <c r="V10" s="141">
        <v>70.464548173706959</v>
      </c>
      <c r="W10" s="141">
        <v>53.591234787565526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2100.1430353454575</v>
      </c>
      <c r="H11" s="141">
        <v>800.44116752449963</v>
      </c>
      <c r="I11" s="141">
        <v>631.39000028671944</v>
      </c>
      <c r="J11" s="141">
        <v>10.855836352629714</v>
      </c>
      <c r="K11" s="141">
        <v>11.85176937856445</v>
      </c>
      <c r="L11" s="141">
        <v>0</v>
      </c>
      <c r="M11" s="141">
        <v>0</v>
      </c>
      <c r="N11" s="141">
        <v>97.17413584348192</v>
      </c>
      <c r="O11" s="141">
        <v>112.3086117099455</v>
      </c>
      <c r="P11" s="141">
        <v>164.88468660429663</v>
      </c>
      <c r="Q11" s="141">
        <v>51.845868553955668</v>
      </c>
      <c r="R11" s="141">
        <v>35.074611933564512</v>
      </c>
      <c r="S11" s="141">
        <v>82.321566612150875</v>
      </c>
      <c r="T11" s="141">
        <v>126.7176884083639</v>
      </c>
      <c r="U11" s="141">
        <v>185.71016412699325</v>
      </c>
      <c r="V11" s="141">
        <v>236.20619127812068</v>
      </c>
      <c r="W11" s="141">
        <v>244.90820563339446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1270.8151852985247</v>
      </c>
      <c r="D12" s="141">
        <v>857.12635979770141</v>
      </c>
      <c r="E12" s="141">
        <v>1404.1220175533549</v>
      </c>
      <c r="F12" s="141">
        <v>1128.6625150926729</v>
      </c>
      <c r="G12" s="141">
        <v>0</v>
      </c>
      <c r="H12" s="141">
        <v>96.582242237874851</v>
      </c>
      <c r="I12" s="141">
        <v>167.84879685502841</v>
      </c>
      <c r="J12" s="141">
        <v>0</v>
      </c>
      <c r="K12" s="141">
        <v>166.63135426087814</v>
      </c>
      <c r="L12" s="141">
        <v>255.6874244074711</v>
      </c>
      <c r="M12" s="141">
        <v>865.81730158813878</v>
      </c>
      <c r="N12" s="141">
        <v>337.95227910726487</v>
      </c>
      <c r="O12" s="141">
        <v>198.19882798500237</v>
      </c>
      <c r="P12" s="141">
        <v>196.09466191172825</v>
      </c>
      <c r="Q12" s="141">
        <v>622.95813796938251</v>
      </c>
      <c r="R12" s="141">
        <v>591.56394553032442</v>
      </c>
      <c r="S12" s="141">
        <v>229.23404925536047</v>
      </c>
      <c r="T12" s="141">
        <v>219.5578058242406</v>
      </c>
      <c r="U12" s="141">
        <v>98.946945371263482</v>
      </c>
      <c r="V12" s="141">
        <v>148.9122257096345</v>
      </c>
      <c r="W12" s="141">
        <v>41.607011993791758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354.36184013416369</v>
      </c>
      <c r="D13" s="141">
        <v>1195.0113986667152</v>
      </c>
      <c r="E13" s="141">
        <v>1175.3345441715883</v>
      </c>
      <c r="F13" s="141">
        <v>1396.3973484757175</v>
      </c>
      <c r="G13" s="141">
        <v>777.26076005905463</v>
      </c>
      <c r="H13" s="141">
        <v>1161.6433062133217</v>
      </c>
      <c r="I13" s="141">
        <v>1434.1441380015981</v>
      </c>
      <c r="J13" s="141">
        <v>1282.447997199645</v>
      </c>
      <c r="K13" s="141">
        <v>356.31489477260334</v>
      </c>
      <c r="L13" s="141">
        <v>383.6709262817144</v>
      </c>
      <c r="M13" s="141">
        <v>1114.4080452565843</v>
      </c>
      <c r="N13" s="141">
        <v>817.42387250008869</v>
      </c>
      <c r="O13" s="141">
        <v>1060.6623088009621</v>
      </c>
      <c r="P13" s="141">
        <v>1143.7269992632671</v>
      </c>
      <c r="Q13" s="141">
        <v>956.8967180735383</v>
      </c>
      <c r="R13" s="141">
        <v>652.40388923278908</v>
      </c>
      <c r="S13" s="141">
        <v>627.8613800063514</v>
      </c>
      <c r="T13" s="141">
        <v>721.62872673886397</v>
      </c>
      <c r="U13" s="141">
        <v>893.12700460193525</v>
      </c>
      <c r="V13" s="141">
        <v>738.77079133693496</v>
      </c>
      <c r="W13" s="141">
        <v>515.99762921590343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431.21954825371256</v>
      </c>
      <c r="D14" s="142">
        <v>587.94999273132498</v>
      </c>
      <c r="E14" s="142">
        <v>368.85048510778074</v>
      </c>
      <c r="F14" s="142">
        <v>522.55850369702409</v>
      </c>
      <c r="G14" s="142">
        <v>0</v>
      </c>
      <c r="H14" s="142">
        <v>502.42245098396711</v>
      </c>
      <c r="I14" s="142">
        <v>1172.6963636261275</v>
      </c>
      <c r="J14" s="142">
        <v>1639.1402223878649</v>
      </c>
      <c r="K14" s="142">
        <v>594.38044315860213</v>
      </c>
      <c r="L14" s="142">
        <v>787.13564019812998</v>
      </c>
      <c r="M14" s="142">
        <v>460.51511453928043</v>
      </c>
      <c r="N14" s="142">
        <v>0</v>
      </c>
      <c r="O14" s="142">
        <v>0</v>
      </c>
      <c r="P14" s="142">
        <v>0</v>
      </c>
      <c r="Q14" s="142">
        <v>0</v>
      </c>
      <c r="R14" s="142">
        <v>78.168006865992709</v>
      </c>
      <c r="S14" s="142">
        <v>178.26888868561241</v>
      </c>
      <c r="T14" s="142">
        <v>105.93701415840687</v>
      </c>
      <c r="U14" s="142">
        <v>134.99280718642862</v>
      </c>
      <c r="V14" s="142">
        <v>197.39273201331588</v>
      </c>
      <c r="W14" s="142">
        <v>451.69220845728267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1539.1910025324914</v>
      </c>
      <c r="D15" s="144">
        <f t="shared" si="3"/>
        <v>1160.4451522002241</v>
      </c>
      <c r="E15" s="144">
        <f t="shared" si="3"/>
        <v>1780.2928106175509</v>
      </c>
      <c r="F15" s="144">
        <f t="shared" si="3"/>
        <v>1551.9269962621152</v>
      </c>
      <c r="G15" s="144">
        <f t="shared" si="3"/>
        <v>2602.0582434281814</v>
      </c>
      <c r="H15" s="144">
        <f t="shared" si="3"/>
        <v>1865.0807212790185</v>
      </c>
      <c r="I15" s="144">
        <f t="shared" si="3"/>
        <v>1342.6015455880115</v>
      </c>
      <c r="J15" s="144">
        <f t="shared" si="3"/>
        <v>174.00870297308197</v>
      </c>
      <c r="K15" s="144">
        <f t="shared" si="3"/>
        <v>322.19416156956686</v>
      </c>
      <c r="L15" s="144">
        <f t="shared" si="3"/>
        <v>493.13182796898036</v>
      </c>
      <c r="M15" s="144">
        <f t="shared" si="3"/>
        <v>1221.6294004862184</v>
      </c>
      <c r="N15" s="144">
        <f t="shared" si="3"/>
        <v>779.61462162599059</v>
      </c>
      <c r="O15" s="144">
        <f t="shared" si="3"/>
        <v>657.74324210922862</v>
      </c>
      <c r="P15" s="144">
        <f t="shared" si="3"/>
        <v>778.51573366667537</v>
      </c>
      <c r="Q15" s="144">
        <f t="shared" si="3"/>
        <v>1388.147658096867</v>
      </c>
      <c r="R15" s="144">
        <f t="shared" ref="R15:W15" si="4">SUM(R5:R12)</f>
        <v>1071.719159118717</v>
      </c>
      <c r="S15" s="144">
        <f t="shared" si="4"/>
        <v>1013.6396611555506</v>
      </c>
      <c r="T15" s="144">
        <f t="shared" si="4"/>
        <v>974.40050188907765</v>
      </c>
      <c r="U15" s="144">
        <f t="shared" si="4"/>
        <v>725.91442540465994</v>
      </c>
      <c r="V15" s="144">
        <f t="shared" si="4"/>
        <v>710.51480852090606</v>
      </c>
      <c r="W15" s="144">
        <f t="shared" si="4"/>
        <v>585.82992505477671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2002.718548933351</v>
      </c>
      <c r="D16" s="140">
        <f t="shared" si="5"/>
        <v>1944.6815010901935</v>
      </c>
      <c r="E16" s="140">
        <f t="shared" si="5"/>
        <v>2528.0687050985462</v>
      </c>
      <c r="F16" s="140">
        <f t="shared" si="5"/>
        <v>3222.8474355572343</v>
      </c>
      <c r="G16" s="140">
        <f t="shared" si="5"/>
        <v>2769.4616443527025</v>
      </c>
      <c r="H16" s="140">
        <f t="shared" si="5"/>
        <v>3174.5706142615832</v>
      </c>
      <c r="I16" s="140">
        <f t="shared" si="5"/>
        <v>3949.4420472157371</v>
      </c>
      <c r="J16" s="140">
        <f t="shared" si="5"/>
        <v>3095.5969225605913</v>
      </c>
      <c r="K16" s="140">
        <f t="shared" si="5"/>
        <v>1272.8894995007722</v>
      </c>
      <c r="L16" s="140">
        <f t="shared" si="5"/>
        <v>1663.938394448825</v>
      </c>
      <c r="M16" s="140">
        <f t="shared" si="5"/>
        <v>2796.552560282083</v>
      </c>
      <c r="N16" s="140">
        <f t="shared" si="5"/>
        <v>1597.0384941260793</v>
      </c>
      <c r="O16" s="140">
        <f t="shared" si="5"/>
        <v>1718.4055509101906</v>
      </c>
      <c r="P16" s="140">
        <f t="shared" si="5"/>
        <v>1922.2427329299426</v>
      </c>
      <c r="Q16" s="140">
        <f t="shared" si="5"/>
        <v>2345.044376170405</v>
      </c>
      <c r="R16" s="140">
        <f t="shared" ref="R16:W16" si="6">SUM(R17:R18)</f>
        <v>1802.2910552174988</v>
      </c>
      <c r="S16" s="140">
        <f t="shared" si="6"/>
        <v>1819.7699298475143</v>
      </c>
      <c r="T16" s="140">
        <f t="shared" si="6"/>
        <v>1801.9662427863486</v>
      </c>
      <c r="U16" s="140">
        <f t="shared" si="6"/>
        <v>1754.0342371930235</v>
      </c>
      <c r="V16" s="140">
        <f t="shared" si="6"/>
        <v>1646.6783318711566</v>
      </c>
      <c r="W16" s="140">
        <f t="shared" si="6"/>
        <v>1553.5197627279629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2002.718548933351</v>
      </c>
      <c r="D18" s="141">
        <v>1944.6815010901935</v>
      </c>
      <c r="E18" s="141">
        <v>2528.0687050985462</v>
      </c>
      <c r="F18" s="141">
        <v>3222.8474355572343</v>
      </c>
      <c r="G18" s="141">
        <v>2769.4616443527025</v>
      </c>
      <c r="H18" s="141">
        <v>3174.5706142615832</v>
      </c>
      <c r="I18" s="141">
        <v>3949.4420472157371</v>
      </c>
      <c r="J18" s="141">
        <v>3095.5969225605913</v>
      </c>
      <c r="K18" s="141">
        <v>1272.8894995007722</v>
      </c>
      <c r="L18" s="141">
        <v>1663.938394448825</v>
      </c>
      <c r="M18" s="141">
        <v>2796.552560282083</v>
      </c>
      <c r="N18" s="141">
        <v>1597.0384941260793</v>
      </c>
      <c r="O18" s="141">
        <v>1718.4055509101906</v>
      </c>
      <c r="P18" s="141">
        <v>1922.2427329299426</v>
      </c>
      <c r="Q18" s="141">
        <v>2345.044376170405</v>
      </c>
      <c r="R18" s="141">
        <v>1802.2910552174988</v>
      </c>
      <c r="S18" s="141">
        <v>1819.7699298475143</v>
      </c>
      <c r="T18" s="141">
        <v>1801.9662427863486</v>
      </c>
      <c r="U18" s="141">
        <v>1754.0342371930235</v>
      </c>
      <c r="V18" s="141">
        <v>1646.6783318711566</v>
      </c>
      <c r="W18" s="141">
        <v>1553.5197627279629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2324.7723909203678</v>
      </c>
      <c r="D19" s="140">
        <f t="shared" si="7"/>
        <v>2943.4065435982639</v>
      </c>
      <c r="E19" s="140">
        <f t="shared" si="7"/>
        <v>3324.4778398969192</v>
      </c>
      <c r="F19" s="140">
        <f t="shared" si="7"/>
        <v>3470.8828484348578</v>
      </c>
      <c r="G19" s="140">
        <f t="shared" si="7"/>
        <v>3379.3190034872359</v>
      </c>
      <c r="H19" s="140">
        <f t="shared" si="7"/>
        <v>3529.1464784763075</v>
      </c>
      <c r="I19" s="140">
        <f t="shared" si="7"/>
        <v>3949.4420472157367</v>
      </c>
      <c r="J19" s="140">
        <f t="shared" si="7"/>
        <v>3095.5969225605913</v>
      </c>
      <c r="K19" s="140">
        <f t="shared" si="7"/>
        <v>1272.8894995007722</v>
      </c>
      <c r="L19" s="140">
        <f t="shared" si="7"/>
        <v>1663.938394448825</v>
      </c>
      <c r="M19" s="140">
        <f t="shared" si="7"/>
        <v>2796.5525602820826</v>
      </c>
      <c r="N19" s="140">
        <f t="shared" si="7"/>
        <v>1597.0384941260791</v>
      </c>
      <c r="O19" s="140">
        <f t="shared" si="7"/>
        <v>1718.4055509101904</v>
      </c>
      <c r="P19" s="140">
        <f t="shared" si="7"/>
        <v>1922.2427329299426</v>
      </c>
      <c r="Q19" s="140">
        <f t="shared" si="7"/>
        <v>2345.044376170405</v>
      </c>
      <c r="R19" s="140">
        <f t="shared" ref="R19:W19" si="8">SUM(R20:R26)</f>
        <v>1802.2910552174985</v>
      </c>
      <c r="S19" s="140">
        <f t="shared" si="8"/>
        <v>1819.7699298475145</v>
      </c>
      <c r="T19" s="140">
        <f t="shared" si="8"/>
        <v>1801.9662427863486</v>
      </c>
      <c r="U19" s="140">
        <f t="shared" si="8"/>
        <v>1754.0342371930235</v>
      </c>
      <c r="V19" s="140">
        <f t="shared" si="8"/>
        <v>1646.6783318711566</v>
      </c>
      <c r="W19" s="140">
        <f t="shared" si="8"/>
        <v>1553.5197627279626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138.60532190846362</v>
      </c>
      <c r="D22" s="141">
        <v>95.756109068594682</v>
      </c>
      <c r="E22" s="141">
        <v>14.313639671656286</v>
      </c>
      <c r="F22" s="141">
        <v>0</v>
      </c>
      <c r="G22" s="141">
        <v>0</v>
      </c>
      <c r="H22" s="141">
        <v>46.666557808440317</v>
      </c>
      <c r="I22" s="141">
        <v>197.78461958602344</v>
      </c>
      <c r="J22" s="141">
        <v>164.50963013645713</v>
      </c>
      <c r="K22" s="141">
        <v>74.35331343101501</v>
      </c>
      <c r="L22" s="141">
        <v>77.282533017683335</v>
      </c>
      <c r="M22" s="141">
        <v>100.13699510035512</v>
      </c>
      <c r="N22" s="141">
        <v>33.801399126521318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182.7997168624515</v>
      </c>
      <c r="D23" s="141">
        <v>412.08434707619659</v>
      </c>
      <c r="E23" s="141">
        <v>541.45058196123921</v>
      </c>
      <c r="F23" s="141">
        <v>637.43920258978653</v>
      </c>
      <c r="G23" s="141">
        <v>747.20240364994288</v>
      </c>
      <c r="H23" s="141">
        <v>852.81443187183697</v>
      </c>
      <c r="I23" s="141">
        <v>866.90352909044282</v>
      </c>
      <c r="J23" s="141">
        <v>563.43802550922305</v>
      </c>
      <c r="K23" s="141">
        <v>201.84698982112027</v>
      </c>
      <c r="L23" s="141">
        <v>170.80628921427987</v>
      </c>
      <c r="M23" s="141">
        <v>213.5632147854358</v>
      </c>
      <c r="N23" s="141">
        <v>137.17474473991862</v>
      </c>
      <c r="O23" s="141">
        <v>160.95315548485186</v>
      </c>
      <c r="P23" s="141">
        <v>280.31865255600979</v>
      </c>
      <c r="Q23" s="141">
        <v>324.16810998179221</v>
      </c>
      <c r="R23" s="141">
        <v>275.66242799580141</v>
      </c>
      <c r="S23" s="141">
        <v>280.12805749023647</v>
      </c>
      <c r="T23" s="141">
        <v>286.87648113281631</v>
      </c>
      <c r="U23" s="141">
        <v>263.06198598633</v>
      </c>
      <c r="V23" s="141">
        <v>215.15427106579989</v>
      </c>
      <c r="W23" s="141">
        <v>210.3126883403265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701.07571257597908</v>
      </c>
      <c r="D25" s="141">
        <v>1044.0624017803136</v>
      </c>
      <c r="E25" s="141">
        <v>1144.8656463013142</v>
      </c>
      <c r="F25" s="141">
        <v>1090.3665576670101</v>
      </c>
      <c r="G25" s="141">
        <v>913.95066374759062</v>
      </c>
      <c r="H25" s="141">
        <v>779.8132641903876</v>
      </c>
      <c r="I25" s="141">
        <v>726.48887973376793</v>
      </c>
      <c r="J25" s="141">
        <v>573.49569353952131</v>
      </c>
      <c r="K25" s="141">
        <v>265.68307891011995</v>
      </c>
      <c r="L25" s="141">
        <v>335.59649210829377</v>
      </c>
      <c r="M25" s="141">
        <v>618.14189812934876</v>
      </c>
      <c r="N25" s="141">
        <v>459.44400328726869</v>
      </c>
      <c r="O25" s="141">
        <v>508.63741706314738</v>
      </c>
      <c r="P25" s="141">
        <v>499.10574607239556</v>
      </c>
      <c r="Q25" s="141">
        <v>599.46067611804085</v>
      </c>
      <c r="R25" s="141">
        <v>516.05464551134526</v>
      </c>
      <c r="S25" s="141">
        <v>497.87526589018654</v>
      </c>
      <c r="T25" s="141">
        <v>475.72359042369158</v>
      </c>
      <c r="U25" s="141">
        <v>433.37935855359916</v>
      </c>
      <c r="V25" s="141">
        <v>428.24920748319249</v>
      </c>
      <c r="W25" s="141">
        <v>352.51668898449151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1302.2916395734735</v>
      </c>
      <c r="D26" s="142">
        <v>1391.503685673159</v>
      </c>
      <c r="E26" s="142">
        <v>1623.8479719627098</v>
      </c>
      <c r="F26" s="142">
        <v>1743.0770881780613</v>
      </c>
      <c r="G26" s="142">
        <v>1718.1659360897024</v>
      </c>
      <c r="H26" s="142">
        <v>1849.8522246056425</v>
      </c>
      <c r="I26" s="142">
        <v>2158.2650188055027</v>
      </c>
      <c r="J26" s="142">
        <v>1794.1535733753897</v>
      </c>
      <c r="K26" s="142">
        <v>731.00611733851702</v>
      </c>
      <c r="L26" s="142">
        <v>1080.2530801085679</v>
      </c>
      <c r="M26" s="142">
        <v>1864.7104522669431</v>
      </c>
      <c r="N26" s="142">
        <v>966.61834697237032</v>
      </c>
      <c r="O26" s="142">
        <v>1048.8149783621911</v>
      </c>
      <c r="P26" s="142">
        <v>1142.8183343015373</v>
      </c>
      <c r="Q26" s="142">
        <v>1421.4155900705721</v>
      </c>
      <c r="R26" s="142">
        <v>1010.5739817103519</v>
      </c>
      <c r="S26" s="142">
        <v>1041.7666064670914</v>
      </c>
      <c r="T26" s="142">
        <v>1039.3661712298408</v>
      </c>
      <c r="U26" s="142">
        <v>1057.5928926530944</v>
      </c>
      <c r="V26" s="142">
        <v>1003.2748533221643</v>
      </c>
      <c r="W26" s="142">
        <v>990.69038540314477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1663.938394448825</v>
      </c>
      <c r="M27" s="151">
        <v>2065.4032354607034</v>
      </c>
      <c r="N27" s="151">
        <v>1028.7001007268971</v>
      </c>
      <c r="O27" s="151">
        <v>1380.6225713089964</v>
      </c>
      <c r="P27" s="151">
        <v>704.50955649997115</v>
      </c>
      <c r="Q27" s="151">
        <v>1526.904075469499</v>
      </c>
      <c r="R27" s="151">
        <v>1065.7761319816591</v>
      </c>
      <c r="S27" s="151">
        <v>1101.8981982891532</v>
      </c>
      <c r="T27" s="151">
        <v>723.58716811503871</v>
      </c>
      <c r="U27" s="151">
        <v>998.8673261856535</v>
      </c>
      <c r="V27" s="151">
        <v>1281.968169904575</v>
      </c>
      <c r="W27" s="151">
        <v>992.29554403902989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2324.7723909203683</v>
      </c>
      <c r="D29" s="140">
        <f t="shared" si="9"/>
        <v>2943.4065435982639</v>
      </c>
      <c r="E29" s="140">
        <f t="shared" si="9"/>
        <v>3324.4778398969192</v>
      </c>
      <c r="F29" s="140">
        <f t="shared" si="9"/>
        <v>3470.8828484348569</v>
      </c>
      <c r="G29" s="140">
        <f t="shared" si="9"/>
        <v>3379.3190034872359</v>
      </c>
      <c r="H29" s="140">
        <f t="shared" si="9"/>
        <v>3529.1464784763075</v>
      </c>
      <c r="I29" s="140">
        <f t="shared" si="9"/>
        <v>3949.4420472157362</v>
      </c>
      <c r="J29" s="140">
        <f t="shared" si="9"/>
        <v>3095.5969225605918</v>
      </c>
      <c r="K29" s="140">
        <f t="shared" si="9"/>
        <v>1272.8894995007724</v>
      </c>
      <c r="L29" s="140">
        <f t="shared" si="9"/>
        <v>1663.938394448825</v>
      </c>
      <c r="M29" s="140">
        <f t="shared" si="9"/>
        <v>2796.552560282083</v>
      </c>
      <c r="N29" s="140">
        <f t="shared" si="9"/>
        <v>1597.0384941260795</v>
      </c>
      <c r="O29" s="140">
        <f t="shared" si="9"/>
        <v>1718.4055509101904</v>
      </c>
      <c r="P29" s="140">
        <f t="shared" si="9"/>
        <v>1922.2427329299423</v>
      </c>
      <c r="Q29" s="140">
        <f t="shared" si="9"/>
        <v>2345.044376170405</v>
      </c>
      <c r="R29" s="140">
        <f t="shared" ref="R29:W29" si="10">SUM(R30:R33)</f>
        <v>1802.2910552174985</v>
      </c>
      <c r="S29" s="140">
        <f t="shared" si="10"/>
        <v>1819.7699298475145</v>
      </c>
      <c r="T29" s="140">
        <f t="shared" si="10"/>
        <v>1801.9662427863484</v>
      </c>
      <c r="U29" s="140">
        <f t="shared" si="10"/>
        <v>1754.0342371930235</v>
      </c>
      <c r="V29" s="140">
        <f t="shared" si="10"/>
        <v>1646.6783318711566</v>
      </c>
      <c r="W29" s="140">
        <f t="shared" si="10"/>
        <v>1553.5197627279629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38.891434385367916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504.92092234015786</v>
      </c>
      <c r="M30" s="141">
        <v>272.41002825210427</v>
      </c>
      <c r="N30" s="141">
        <v>104.02519053168598</v>
      </c>
      <c r="O30" s="141">
        <v>15.326925077923281</v>
      </c>
      <c r="P30" s="141">
        <v>7.5497220373673493</v>
      </c>
      <c r="Q30" s="141">
        <v>15.529392687133781</v>
      </c>
      <c r="R30" s="141">
        <v>42.852873679183524</v>
      </c>
      <c r="S30" s="141">
        <v>89.24217521284902</v>
      </c>
      <c r="T30" s="141">
        <v>136.67297999719614</v>
      </c>
      <c r="U30" s="141">
        <v>114.61987430041069</v>
      </c>
      <c r="V30" s="141">
        <v>100.97206996741397</v>
      </c>
      <c r="W30" s="141">
        <v>133.92824383514892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114.26691607673779</v>
      </c>
      <c r="D31" s="141">
        <v>286.02341420297591</v>
      </c>
      <c r="E31" s="141">
        <v>366.98257934382877</v>
      </c>
      <c r="F31" s="141">
        <v>473.56125422097222</v>
      </c>
      <c r="G31" s="141">
        <v>490.59354712244561</v>
      </c>
      <c r="H31" s="141">
        <v>616.3695573934549</v>
      </c>
      <c r="I31" s="141">
        <v>529.38448640227659</v>
      </c>
      <c r="J31" s="141">
        <v>286.54979248926639</v>
      </c>
      <c r="K31" s="141">
        <v>83.158615597080896</v>
      </c>
      <c r="L31" s="141">
        <v>92.342524184663759</v>
      </c>
      <c r="M31" s="141">
        <v>209.95655362330717</v>
      </c>
      <c r="N31" s="141">
        <v>147.93501166582638</v>
      </c>
      <c r="O31" s="141">
        <v>181.51489162263866</v>
      </c>
      <c r="P31" s="141">
        <v>217.72273159741846</v>
      </c>
      <c r="Q31" s="141">
        <v>240.99157603081599</v>
      </c>
      <c r="R31" s="141">
        <v>163.55921715374862</v>
      </c>
      <c r="S31" s="141">
        <v>132.55021076520453</v>
      </c>
      <c r="T31" s="141">
        <v>107.2668401375165</v>
      </c>
      <c r="U31" s="141">
        <v>91.164976216843982</v>
      </c>
      <c r="V31" s="141">
        <v>86.105898679810849</v>
      </c>
      <c r="W31" s="141">
        <v>122.54618550121081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564.85666434287498</v>
      </c>
      <c r="K32" s="141">
        <v>60.907295211165419</v>
      </c>
      <c r="L32" s="141">
        <v>19.001316260430706</v>
      </c>
      <c r="M32" s="141">
        <v>0</v>
      </c>
      <c r="N32" s="141">
        <v>0</v>
      </c>
      <c r="O32" s="141">
        <v>0</v>
      </c>
      <c r="P32" s="141">
        <v>0</v>
      </c>
      <c r="Q32" s="141">
        <v>43.621769782306593</v>
      </c>
      <c r="R32" s="141">
        <v>121.5908783339065</v>
      </c>
      <c r="S32" s="141">
        <v>287.23841175685158</v>
      </c>
      <c r="T32" s="141">
        <v>347.32136234397893</v>
      </c>
      <c r="U32" s="141">
        <v>284.09823113525493</v>
      </c>
      <c r="V32" s="141">
        <v>181.09888243686899</v>
      </c>
      <c r="W32" s="141">
        <v>59.281927227725625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2171.6140404582625</v>
      </c>
      <c r="D33" s="153">
        <v>2657.3831293952881</v>
      </c>
      <c r="E33" s="153">
        <v>2957.4952605530907</v>
      </c>
      <c r="F33" s="153">
        <v>2997.3215942138845</v>
      </c>
      <c r="G33" s="153">
        <v>2888.7254563647903</v>
      </c>
      <c r="H33" s="153">
        <v>2912.7769210828528</v>
      </c>
      <c r="I33" s="153">
        <v>3420.0575608134595</v>
      </c>
      <c r="J33" s="153">
        <v>2244.1904657284504</v>
      </c>
      <c r="K33" s="153">
        <v>1128.8235886925261</v>
      </c>
      <c r="L33" s="153">
        <v>1047.6736316635727</v>
      </c>
      <c r="M33" s="153">
        <v>2314.1859784066714</v>
      </c>
      <c r="N33" s="153">
        <v>1345.0782919285671</v>
      </c>
      <c r="O33" s="153">
        <v>1521.5637342096284</v>
      </c>
      <c r="P33" s="153">
        <v>1696.9702792951566</v>
      </c>
      <c r="Q33" s="153">
        <v>2044.9016376701486</v>
      </c>
      <c r="R33" s="153">
        <v>1474.28808605066</v>
      </c>
      <c r="S33" s="153">
        <v>1310.7391321126092</v>
      </c>
      <c r="T33" s="153">
        <v>1210.7050603076568</v>
      </c>
      <c r="U33" s="153">
        <v>1264.1511555405139</v>
      </c>
      <c r="V33" s="153">
        <v>1278.5014807870627</v>
      </c>
      <c r="W33" s="153">
        <v>1237.7634061638776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18.755180451343051</v>
      </c>
      <c r="D3" s="126">
        <f t="shared" si="0"/>
        <v>19.601853703222751</v>
      </c>
      <c r="E3" s="126">
        <f t="shared" si="0"/>
        <v>23.213684372972217</v>
      </c>
      <c r="F3" s="126">
        <f t="shared" si="0"/>
        <v>20.926016270844041</v>
      </c>
      <c r="G3" s="126">
        <f t="shared" si="0"/>
        <v>27.25321445166842</v>
      </c>
      <c r="H3" s="126">
        <f t="shared" si="0"/>
        <v>27.512514406791048</v>
      </c>
      <c r="I3" s="126">
        <f t="shared" si="0"/>
        <v>28.526932429186719</v>
      </c>
      <c r="J3" s="126">
        <f t="shared" si="0"/>
        <v>22.161107908703315</v>
      </c>
      <c r="K3" s="126">
        <f t="shared" si="0"/>
        <v>8.4236461427874989</v>
      </c>
      <c r="L3" s="126">
        <f t="shared" si="0"/>
        <v>12.127567412081772</v>
      </c>
      <c r="M3" s="126">
        <f t="shared" si="0"/>
        <v>18.172438218036042</v>
      </c>
      <c r="N3" s="126">
        <f t="shared" si="0"/>
        <v>11.031652988721014</v>
      </c>
      <c r="O3" s="126">
        <f t="shared" si="0"/>
        <v>8.6455457098120014</v>
      </c>
      <c r="P3" s="126">
        <f t="shared" si="0"/>
        <v>9.1674145997231271</v>
      </c>
      <c r="Q3" s="126">
        <f t="shared" si="0"/>
        <v>13.696255146297794</v>
      </c>
      <c r="R3" s="126">
        <f t="shared" ref="R3:W3" si="1">SUM(R4,R16,R19,R29)</f>
        <v>10.35508357258974</v>
      </c>
      <c r="S3" s="126">
        <f t="shared" si="1"/>
        <v>11.566758117954869</v>
      </c>
      <c r="T3" s="126">
        <f t="shared" si="1"/>
        <v>11.550255027503098</v>
      </c>
      <c r="U3" s="126">
        <f t="shared" si="1"/>
        <v>9.8821041426704621</v>
      </c>
      <c r="V3" s="126">
        <f t="shared" si="1"/>
        <v>7.2806824555596918</v>
      </c>
      <c r="W3" s="126">
        <f t="shared" si="1"/>
        <v>8.457008057468471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10.113482399946511</v>
      </c>
      <c r="D4" s="131">
        <f t="shared" si="2"/>
        <v>10.215430482185859</v>
      </c>
      <c r="E4" s="131">
        <f t="shared" si="2"/>
        <v>12.34709730508547</v>
      </c>
      <c r="F4" s="131">
        <f t="shared" si="2"/>
        <v>9.8331965571701119</v>
      </c>
      <c r="G4" s="131">
        <f t="shared" si="2"/>
        <v>16.849067703078571</v>
      </c>
      <c r="H4" s="131">
        <f t="shared" si="2"/>
        <v>16.060212328073451</v>
      </c>
      <c r="I4" s="131">
        <f t="shared" si="2"/>
        <v>13.349375140603048</v>
      </c>
      <c r="J4" s="131">
        <f t="shared" si="2"/>
        <v>11.173909347838265</v>
      </c>
      <c r="K4" s="131">
        <f t="shared" si="2"/>
        <v>4.2508151599889539</v>
      </c>
      <c r="L4" s="131">
        <f t="shared" si="2"/>
        <v>6.5237400156148775</v>
      </c>
      <c r="M4" s="131">
        <f t="shared" si="2"/>
        <v>9.5497354934350884</v>
      </c>
      <c r="N4" s="131">
        <f t="shared" si="2"/>
        <v>5.0173788229755463</v>
      </c>
      <c r="O4" s="131">
        <f t="shared" si="2"/>
        <v>3.5011457623019071</v>
      </c>
      <c r="P4" s="131">
        <f t="shared" si="2"/>
        <v>3.4094466408137176</v>
      </c>
      <c r="Q4" s="131">
        <f t="shared" si="2"/>
        <v>6.4634814547674715</v>
      </c>
      <c r="R4" s="131">
        <f t="shared" ref="R4:W4" si="3">SUM(R5:R15)</f>
        <v>4.913886924305312</v>
      </c>
      <c r="S4" s="131">
        <f t="shared" si="3"/>
        <v>5.8548777171911652</v>
      </c>
      <c r="T4" s="131">
        <f t="shared" si="3"/>
        <v>5.9182580823883759</v>
      </c>
      <c r="U4" s="131">
        <f t="shared" si="3"/>
        <v>4.4816512509279516</v>
      </c>
      <c r="V4" s="131">
        <f t="shared" si="3"/>
        <v>2.8995091276836207</v>
      </c>
      <c r="W4" s="131">
        <f t="shared" si="3"/>
        <v>3.882094876237165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0.17640678785819097</v>
      </c>
      <c r="D5" s="133">
        <v>0.46918919917999469</v>
      </c>
      <c r="E5" s="133">
        <v>0.34681279033176632</v>
      </c>
      <c r="F5" s="133">
        <v>0.1028799604579597</v>
      </c>
      <c r="G5" s="133">
        <v>0</v>
      </c>
      <c r="H5" s="133">
        <v>0</v>
      </c>
      <c r="I5" s="133">
        <v>0</v>
      </c>
      <c r="J5" s="133">
        <v>6.6233101245440448E-2</v>
      </c>
      <c r="K5" s="133">
        <v>2.4319729344344326E-2</v>
      </c>
      <c r="L5" s="133">
        <v>1.7901098989730118E-2</v>
      </c>
      <c r="M5" s="133">
        <v>0.10706996378156401</v>
      </c>
      <c r="N5" s="133">
        <v>4.9664184581276277E-2</v>
      </c>
      <c r="O5" s="133">
        <v>7.2799776827189383E-2</v>
      </c>
      <c r="P5" s="133">
        <v>2.2090731827598496E-2</v>
      </c>
      <c r="Q5" s="133">
        <v>0.13279429155735717</v>
      </c>
      <c r="R5" s="133">
        <v>9.4743594778961049E-2</v>
      </c>
      <c r="S5" s="133">
        <v>2.9664938868311976E-2</v>
      </c>
      <c r="T5" s="133">
        <v>2.6419182795354638E-3</v>
      </c>
      <c r="U5" s="133">
        <v>1.4730480089297148E-2</v>
      </c>
      <c r="V5" s="133">
        <v>1.6628638268627007E-2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1.0852464751843922</v>
      </c>
      <c r="D7" s="133">
        <v>0</v>
      </c>
      <c r="E7" s="133">
        <v>0</v>
      </c>
      <c r="F7" s="133">
        <v>0</v>
      </c>
      <c r="G7" s="133">
        <v>0</v>
      </c>
      <c r="H7" s="133">
        <v>0.62726034723076196</v>
      </c>
      <c r="I7" s="133">
        <v>0.10734077098236074</v>
      </c>
      <c r="J7" s="133">
        <v>3.0335591208110135E-2</v>
      </c>
      <c r="K7" s="133">
        <v>0.45548946897052567</v>
      </c>
      <c r="L7" s="133">
        <v>0.38522167254101897</v>
      </c>
      <c r="M7" s="133">
        <v>0</v>
      </c>
      <c r="N7" s="133">
        <v>0.32757196094581847</v>
      </c>
      <c r="O7" s="133">
        <v>0.56807223926664185</v>
      </c>
      <c r="P7" s="133">
        <v>0.21466504703098405</v>
      </c>
      <c r="Q7" s="133">
        <v>1.9914941119761307</v>
      </c>
      <c r="R7" s="133">
        <v>0.28588151223404684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0.6510871306688496</v>
      </c>
      <c r="D9" s="133">
        <v>0.91506437230046056</v>
      </c>
      <c r="E9" s="133">
        <v>1.2276991589479431</v>
      </c>
      <c r="F9" s="133">
        <v>1.3182829294763936</v>
      </c>
      <c r="G9" s="133">
        <v>2.0738821638162941</v>
      </c>
      <c r="H9" s="133">
        <v>4.8493670074453723</v>
      </c>
      <c r="I9" s="133">
        <v>2.5434533213478741</v>
      </c>
      <c r="J9" s="133">
        <v>0.98891549544771262</v>
      </c>
      <c r="K9" s="133">
        <v>0.31585895078552817</v>
      </c>
      <c r="L9" s="133">
        <v>0.61628957156745945</v>
      </c>
      <c r="M9" s="133">
        <v>0.55030016957126604</v>
      </c>
      <c r="N9" s="133">
        <v>0.65368122959425334</v>
      </c>
      <c r="O9" s="133">
        <v>0.50229752851352283</v>
      </c>
      <c r="P9" s="133">
        <v>1.1428935733859036</v>
      </c>
      <c r="Q9" s="133">
        <v>1.2731237360407526</v>
      </c>
      <c r="R9" s="133">
        <v>0.79893536608215288</v>
      </c>
      <c r="S9" s="133">
        <v>0.52799465565743708</v>
      </c>
      <c r="T9" s="133">
        <v>0.48487416444266807</v>
      </c>
      <c r="U9" s="133">
        <v>0.37359468076768643</v>
      </c>
      <c r="V9" s="133">
        <v>0.79567351167424849</v>
      </c>
      <c r="W9" s="133">
        <v>0.87455336141726336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0.2096479199945063</v>
      </c>
      <c r="E10" s="133">
        <v>0.73595218947875107</v>
      </c>
      <c r="F10" s="133">
        <v>0.42494183948524505</v>
      </c>
      <c r="G10" s="133">
        <v>0.73257020729831568</v>
      </c>
      <c r="H10" s="133">
        <v>1.2567352887198195</v>
      </c>
      <c r="I10" s="133">
        <v>0.55981772413071307</v>
      </c>
      <c r="J10" s="133">
        <v>0</v>
      </c>
      <c r="K10" s="133">
        <v>0</v>
      </c>
      <c r="L10" s="133">
        <v>0.13283897890060778</v>
      </c>
      <c r="M10" s="133">
        <v>0.5567489341169144</v>
      </c>
      <c r="N10" s="133">
        <v>1.6695472604617398</v>
      </c>
      <c r="O10" s="133">
        <v>0.3054033997201257</v>
      </c>
      <c r="P10" s="133">
        <v>0</v>
      </c>
      <c r="Q10" s="133">
        <v>3.0355297574759094E-2</v>
      </c>
      <c r="R10" s="133">
        <v>0.18792966055347238</v>
      </c>
      <c r="S10" s="133">
        <v>3.2614216299924723</v>
      </c>
      <c r="T10" s="133">
        <v>3.3024499951590918</v>
      </c>
      <c r="U10" s="133">
        <v>1.9681920604210006</v>
      </c>
      <c r="V10" s="133">
        <v>0.28514306947253537</v>
      </c>
      <c r="W10" s="133">
        <v>0.27656500520901317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12.629105210536148</v>
      </c>
      <c r="H11" s="133">
        <v>3.7421491198631673</v>
      </c>
      <c r="I11" s="133">
        <v>2.4679148728682465</v>
      </c>
      <c r="J11" s="133">
        <v>4.1321999944999958E-2</v>
      </c>
      <c r="K11" s="133">
        <v>4.3842551828752831E-2</v>
      </c>
      <c r="L11" s="133">
        <v>0</v>
      </c>
      <c r="M11" s="133">
        <v>0</v>
      </c>
      <c r="N11" s="133">
        <v>0.32931265861547043</v>
      </c>
      <c r="O11" s="133">
        <v>0.35029305085488277</v>
      </c>
      <c r="P11" s="133">
        <v>0.47981671140163751</v>
      </c>
      <c r="Q11" s="133">
        <v>0.14956130996611849</v>
      </c>
      <c r="R11" s="133">
        <v>0.10551744369575329</v>
      </c>
      <c r="S11" s="133">
        <v>0.24532407071313825</v>
      </c>
      <c r="T11" s="133">
        <v>0.36784986803288544</v>
      </c>
      <c r="U11" s="133">
        <v>0.52507944865924938</v>
      </c>
      <c r="V11" s="133">
        <v>0.64539205200169814</v>
      </c>
      <c r="W11" s="133">
        <v>0.62759647604336743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5.9097785845471371</v>
      </c>
      <c r="D12" s="133">
        <v>3.4725244592336995</v>
      </c>
      <c r="E12" s="133">
        <v>5.7796463978974533</v>
      </c>
      <c r="F12" s="133">
        <v>3.8185651231904103</v>
      </c>
      <c r="G12" s="133">
        <v>0</v>
      </c>
      <c r="H12" s="133">
        <v>0.50493919121084763</v>
      </c>
      <c r="I12" s="133">
        <v>0.65204347706507981</v>
      </c>
      <c r="J12" s="133">
        <v>0</v>
      </c>
      <c r="K12" s="133">
        <v>0.64430773274303843</v>
      </c>
      <c r="L12" s="133">
        <v>0.99719845541218677</v>
      </c>
      <c r="M12" s="133">
        <v>4.4255416054078918</v>
      </c>
      <c r="N12" s="133">
        <v>1.1679348855641754</v>
      </c>
      <c r="O12" s="133">
        <v>0.64303531627435639</v>
      </c>
      <c r="P12" s="133">
        <v>0.61718475507189619</v>
      </c>
      <c r="Q12" s="133">
        <v>2.0857063531727729</v>
      </c>
      <c r="R12" s="133">
        <v>2.5961263429388448</v>
      </c>
      <c r="S12" s="133">
        <v>0.70708027851624988</v>
      </c>
      <c r="T12" s="133">
        <v>0.84164591990636273</v>
      </c>
      <c r="U12" s="133">
        <v>0.33275305400338057</v>
      </c>
      <c r="V12" s="133">
        <v>0.36811427528154844</v>
      </c>
      <c r="W12" s="133">
        <v>0.1252360913977304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0.57812935290680356</v>
      </c>
      <c r="D13" s="133">
        <v>2.2234962274385528</v>
      </c>
      <c r="E13" s="133">
        <v>2.2934498009146873</v>
      </c>
      <c r="F13" s="133">
        <v>2.3587132031300868</v>
      </c>
      <c r="G13" s="133">
        <v>1.343706451943639</v>
      </c>
      <c r="H13" s="133">
        <v>2.1417098945748196</v>
      </c>
      <c r="I13" s="133">
        <v>2.2332217480932037</v>
      </c>
      <c r="J13" s="133">
        <v>1.7254855285754434</v>
      </c>
      <c r="K13" s="133">
        <v>0.47754834011589753</v>
      </c>
      <c r="L13" s="133">
        <v>0.51319823643891682</v>
      </c>
      <c r="M13" s="133">
        <v>1.3047358300754828</v>
      </c>
      <c r="N13" s="133">
        <v>0.79871951555391485</v>
      </c>
      <c r="O13" s="133">
        <v>1.0441885320597839</v>
      </c>
      <c r="P13" s="133">
        <v>0.91538140957831915</v>
      </c>
      <c r="Q13" s="133">
        <v>0.75960390280446644</v>
      </c>
      <c r="R13" s="133">
        <v>0.5077710726304181</v>
      </c>
      <c r="S13" s="133">
        <v>0.4742240383363156</v>
      </c>
      <c r="T13" s="133">
        <v>0.51275072835382229</v>
      </c>
      <c r="U13" s="133">
        <v>0.63441440519451242</v>
      </c>
      <c r="V13" s="133">
        <v>0.49217580787656595</v>
      </c>
      <c r="W13" s="133">
        <v>0.35059667963126795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1.6749848272401695</v>
      </c>
      <c r="D14" s="65">
        <v>2.9009432761250094</v>
      </c>
      <c r="E14" s="65">
        <v>1.9267310967482452</v>
      </c>
      <c r="F14" s="65">
        <v>1.7816611894520298</v>
      </c>
      <c r="G14" s="65">
        <v>0</v>
      </c>
      <c r="H14" s="65">
        <v>2.8637034692522638</v>
      </c>
      <c r="I14" s="65">
        <v>4.7459962194888599</v>
      </c>
      <c r="J14" s="65">
        <v>8.3109812534414811</v>
      </c>
      <c r="K14" s="65">
        <v>2.2799773675404285</v>
      </c>
      <c r="L14" s="65">
        <v>3.8479296966520606</v>
      </c>
      <c r="M14" s="65">
        <v>2.5835787055650945</v>
      </c>
      <c r="N14" s="65">
        <v>0</v>
      </c>
      <c r="O14" s="65">
        <v>0</v>
      </c>
      <c r="P14" s="65">
        <v>0</v>
      </c>
      <c r="Q14" s="65">
        <v>0</v>
      </c>
      <c r="R14" s="65">
        <v>0.3163053337028065</v>
      </c>
      <c r="S14" s="65">
        <v>0.58802882126717715</v>
      </c>
      <c r="T14" s="65">
        <v>0.38450707443845494</v>
      </c>
      <c r="U14" s="65">
        <v>0.61857367166547594</v>
      </c>
      <c r="V14" s="65">
        <v>0.28341887848663599</v>
      </c>
      <c r="W14" s="65">
        <v>1.6146443590384112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3.784924154096736E-2</v>
      </c>
      <c r="D15" s="135">
        <v>2.4565027913636982E-2</v>
      </c>
      <c r="E15" s="135">
        <v>3.6805870766625143E-2</v>
      </c>
      <c r="F15" s="135">
        <v>2.8152311977987149E-2</v>
      </c>
      <c r="G15" s="135">
        <v>6.9803669484175143E-2</v>
      </c>
      <c r="H15" s="135">
        <v>7.4348009776396398E-2</v>
      </c>
      <c r="I15" s="135">
        <v>3.9587006626710768E-2</v>
      </c>
      <c r="J15" s="135">
        <v>1.063637797507927E-2</v>
      </c>
      <c r="K15" s="135">
        <v>9.4710186604382296E-3</v>
      </c>
      <c r="L15" s="135">
        <v>1.3162305112897291E-2</v>
      </c>
      <c r="M15" s="135">
        <v>2.1760284916874522E-2</v>
      </c>
      <c r="N15" s="135">
        <v>2.0947127658897859E-2</v>
      </c>
      <c r="O15" s="135">
        <v>1.5055918785404205E-2</v>
      </c>
      <c r="P15" s="135">
        <v>1.7414412517378554E-2</v>
      </c>
      <c r="Q15" s="135">
        <v>4.0842451675114577E-2</v>
      </c>
      <c r="R15" s="135">
        <v>2.0676597688855804E-2</v>
      </c>
      <c r="S15" s="135">
        <v>2.1139283840062414E-2</v>
      </c>
      <c r="T15" s="135">
        <v>2.1538413775555217E-2</v>
      </c>
      <c r="U15" s="135">
        <v>1.431345012734879E-2</v>
      </c>
      <c r="V15" s="135">
        <v>1.2962894621761178E-2</v>
      </c>
      <c r="W15" s="135">
        <v>1.2902903500111597E-2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2.2571056184621958</v>
      </c>
      <c r="D16" s="131">
        <f t="shared" si="4"/>
        <v>1.56755421786717</v>
      </c>
      <c r="E16" s="131">
        <f t="shared" si="4"/>
        <v>2.186784889287039</v>
      </c>
      <c r="F16" s="131">
        <f t="shared" si="4"/>
        <v>2.1235278936640158</v>
      </c>
      <c r="G16" s="131">
        <f t="shared" si="4"/>
        <v>1.7872256027062556</v>
      </c>
      <c r="H16" s="131">
        <f t="shared" si="4"/>
        <v>2.2990931202039042</v>
      </c>
      <c r="I16" s="131">
        <f t="shared" si="4"/>
        <v>4.9824247921448572</v>
      </c>
      <c r="J16" s="131">
        <f t="shared" si="4"/>
        <v>2.4071631845593084</v>
      </c>
      <c r="K16" s="131">
        <f t="shared" si="4"/>
        <v>0.82370957472337281</v>
      </c>
      <c r="L16" s="131">
        <f t="shared" si="4"/>
        <v>1.2951765610933605</v>
      </c>
      <c r="M16" s="131">
        <f t="shared" si="4"/>
        <v>1.7334289044548303</v>
      </c>
      <c r="N16" s="131">
        <f t="shared" si="4"/>
        <v>1.9657766030668693</v>
      </c>
      <c r="O16" s="131">
        <f t="shared" si="4"/>
        <v>0.97238263744089992</v>
      </c>
      <c r="P16" s="131">
        <f t="shared" si="4"/>
        <v>0.94920705001002503</v>
      </c>
      <c r="Q16" s="131">
        <f t="shared" si="4"/>
        <v>1.5824502147925303</v>
      </c>
      <c r="R16" s="131">
        <f t="shared" ref="R16:W16" si="5">SUM(R17:R18)</f>
        <v>1.0803199861339243</v>
      </c>
      <c r="S16" s="131">
        <f t="shared" si="5"/>
        <v>1.1148005403996351</v>
      </c>
      <c r="T16" s="131">
        <f t="shared" si="5"/>
        <v>0.7982230583847264</v>
      </c>
      <c r="U16" s="131">
        <f t="shared" si="5"/>
        <v>0.82599279379338764</v>
      </c>
      <c r="V16" s="131">
        <f t="shared" si="5"/>
        <v>0.75290783948393769</v>
      </c>
      <c r="W16" s="131">
        <f t="shared" si="5"/>
        <v>0.89639276943734725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2.2571056184621958</v>
      </c>
      <c r="D18" s="133">
        <v>1.56755421786717</v>
      </c>
      <c r="E18" s="133">
        <v>2.186784889287039</v>
      </c>
      <c r="F18" s="133">
        <v>2.1235278936640158</v>
      </c>
      <c r="G18" s="133">
        <v>1.7872256027062556</v>
      </c>
      <c r="H18" s="133">
        <v>2.2990931202039042</v>
      </c>
      <c r="I18" s="133">
        <v>4.9824247921448572</v>
      </c>
      <c r="J18" s="133">
        <v>2.4071631845593084</v>
      </c>
      <c r="K18" s="133">
        <v>0.82370957472337281</v>
      </c>
      <c r="L18" s="133">
        <v>1.2951765610933605</v>
      </c>
      <c r="M18" s="133">
        <v>1.7334289044548303</v>
      </c>
      <c r="N18" s="133">
        <v>1.9657766030668693</v>
      </c>
      <c r="O18" s="133">
        <v>0.97238263744089992</v>
      </c>
      <c r="P18" s="133">
        <v>0.94920705001002503</v>
      </c>
      <c r="Q18" s="133">
        <v>1.5824502147925303</v>
      </c>
      <c r="R18" s="133">
        <v>1.0803199861339243</v>
      </c>
      <c r="S18" s="133">
        <v>1.1148005403996351</v>
      </c>
      <c r="T18" s="133">
        <v>0.7982230583847264</v>
      </c>
      <c r="U18" s="133">
        <v>0.82599279379338764</v>
      </c>
      <c r="V18" s="133">
        <v>0.75290783948393769</v>
      </c>
      <c r="W18" s="133">
        <v>0.89639276943734725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3.1150224274333849</v>
      </c>
      <c r="D19" s="131">
        <f t="shared" si="6"/>
        <v>3.7897184677467157</v>
      </c>
      <c r="E19" s="131">
        <f t="shared" si="6"/>
        <v>4.1878049226618339</v>
      </c>
      <c r="F19" s="131">
        <f t="shared" si="6"/>
        <v>4.2976255619484123</v>
      </c>
      <c r="G19" s="131">
        <f t="shared" si="6"/>
        <v>4.1884520060747086</v>
      </c>
      <c r="H19" s="131">
        <f t="shared" si="6"/>
        <v>4.4764131284765867</v>
      </c>
      <c r="I19" s="131">
        <f t="shared" si="6"/>
        <v>5.08211549681001</v>
      </c>
      <c r="J19" s="131">
        <f t="shared" si="6"/>
        <v>3.9335817380176521</v>
      </c>
      <c r="K19" s="131">
        <f t="shared" si="6"/>
        <v>1.6475753794056087</v>
      </c>
      <c r="L19" s="131">
        <f t="shared" si="6"/>
        <v>1.6747343459535102</v>
      </c>
      <c r="M19" s="131">
        <f t="shared" si="6"/>
        <v>2.9646916318061312</v>
      </c>
      <c r="N19" s="131">
        <f t="shared" si="6"/>
        <v>1.6882068447485736</v>
      </c>
      <c r="O19" s="131">
        <f t="shared" si="6"/>
        <v>1.7642322233056655</v>
      </c>
      <c r="P19" s="131">
        <f t="shared" si="6"/>
        <v>2.1290347276601058</v>
      </c>
      <c r="Q19" s="131">
        <f t="shared" si="6"/>
        <v>2.4039816375806344</v>
      </c>
      <c r="R19" s="131">
        <f t="shared" ref="R19:W19" si="7">SUM(R20:R27)</f>
        <v>1.8809955119399364</v>
      </c>
      <c r="S19" s="131">
        <f t="shared" si="7"/>
        <v>1.9167737017250603</v>
      </c>
      <c r="T19" s="131">
        <f t="shared" si="7"/>
        <v>1.9713797107357975</v>
      </c>
      <c r="U19" s="131">
        <f t="shared" si="7"/>
        <v>1.8626424737574421</v>
      </c>
      <c r="V19" s="131">
        <f t="shared" si="7"/>
        <v>1.5098998169330557</v>
      </c>
      <c r="W19" s="131">
        <f t="shared" si="7"/>
        <v>1.5291714293617822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0.24643877586532867</v>
      </c>
      <c r="D22" s="133">
        <v>0.17002540443981043</v>
      </c>
      <c r="E22" s="133">
        <v>2.4762658655510712E-2</v>
      </c>
      <c r="F22" s="133">
        <v>0</v>
      </c>
      <c r="G22" s="133">
        <v>0</v>
      </c>
      <c r="H22" s="133">
        <v>7.3228030433361471E-2</v>
      </c>
      <c r="I22" s="133">
        <v>0.31779390496858878</v>
      </c>
      <c r="J22" s="133">
        <v>0.26874052348070426</v>
      </c>
      <c r="K22" s="133">
        <v>0.12174245739331763</v>
      </c>
      <c r="L22" s="133">
        <v>6.3576259369329535E-2</v>
      </c>
      <c r="M22" s="133">
        <v>0.16345746750703946</v>
      </c>
      <c r="N22" s="133">
        <v>5.8043695104334589E-2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0.28907013562019457</v>
      </c>
      <c r="D23" s="133">
        <v>0.57714971636057411</v>
      </c>
      <c r="E23" s="133">
        <v>0.79157211629960023</v>
      </c>
      <c r="F23" s="133">
        <v>0.90611003533408074</v>
      </c>
      <c r="G23" s="133">
        <v>1.0263423373747371</v>
      </c>
      <c r="H23" s="133">
        <v>1.2017826037521933</v>
      </c>
      <c r="I23" s="133">
        <v>1.2757693180300496</v>
      </c>
      <c r="J23" s="133">
        <v>0.80997316577625189</v>
      </c>
      <c r="K23" s="133">
        <v>0.2891933662986953</v>
      </c>
      <c r="L23" s="133">
        <v>0.11181305842054033</v>
      </c>
      <c r="M23" s="133">
        <v>0.27831367896574294</v>
      </c>
      <c r="N23" s="133">
        <v>0.18521375717678776</v>
      </c>
      <c r="O23" s="133">
        <v>0.1631746765070472</v>
      </c>
      <c r="P23" s="133">
        <v>0.37058432256890228</v>
      </c>
      <c r="Q23" s="133">
        <v>0.391962801078579</v>
      </c>
      <c r="R23" s="133">
        <v>0.33434589870048909</v>
      </c>
      <c r="S23" s="133">
        <v>0.33759256414677125</v>
      </c>
      <c r="T23" s="133">
        <v>0.36367163274033709</v>
      </c>
      <c r="U23" s="133">
        <v>0.33381994847900232</v>
      </c>
      <c r="V23" s="133">
        <v>0.18359857800234589</v>
      </c>
      <c r="W23" s="133">
        <v>0.24646178634812219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0.79249655968699151</v>
      </c>
      <c r="D25" s="133">
        <v>1.1542292473115694</v>
      </c>
      <c r="E25" s="133">
        <v>1.2508544602827865</v>
      </c>
      <c r="F25" s="133">
        <v>1.1748131355518274</v>
      </c>
      <c r="G25" s="133">
        <v>0.97646587002283358</v>
      </c>
      <c r="H25" s="133">
        <v>0.82843931740172194</v>
      </c>
      <c r="I25" s="133">
        <v>0.77344049726473585</v>
      </c>
      <c r="J25" s="133">
        <v>0.6187794073458065</v>
      </c>
      <c r="K25" s="133">
        <v>0.29051372561017563</v>
      </c>
      <c r="L25" s="133">
        <v>0.17202387456424575</v>
      </c>
      <c r="M25" s="133">
        <v>0.6429847897426838</v>
      </c>
      <c r="N25" s="133">
        <v>0.51025477242442718</v>
      </c>
      <c r="O25" s="133">
        <v>0.45883586718620878</v>
      </c>
      <c r="P25" s="133">
        <v>0.5855190184619572</v>
      </c>
      <c r="Q25" s="133">
        <v>0.66472400264708253</v>
      </c>
      <c r="R25" s="133">
        <v>0.58741118634158684</v>
      </c>
      <c r="S25" s="133">
        <v>0.57344755055322938</v>
      </c>
      <c r="T25" s="133">
        <v>0.57111271623440563</v>
      </c>
      <c r="U25" s="133">
        <v>0.5145556046223867</v>
      </c>
      <c r="V25" s="133">
        <v>0.36819951120009276</v>
      </c>
      <c r="W25" s="133">
        <v>0.39855409379033341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1.78701695626087</v>
      </c>
      <c r="D26" s="65">
        <v>1.8883140996347618</v>
      </c>
      <c r="E26" s="65">
        <v>2.1206156874239364</v>
      </c>
      <c r="F26" s="65">
        <v>2.2167023910625039</v>
      </c>
      <c r="G26" s="65">
        <v>2.1856437986771375</v>
      </c>
      <c r="H26" s="65">
        <v>2.3729631768893094</v>
      </c>
      <c r="I26" s="65">
        <v>2.7151117765466362</v>
      </c>
      <c r="J26" s="65">
        <v>2.2360886414148893</v>
      </c>
      <c r="K26" s="65">
        <v>0.94612583010342011</v>
      </c>
      <c r="L26" s="65">
        <v>0.42828627304818173</v>
      </c>
      <c r="M26" s="65">
        <v>0.68498537409737192</v>
      </c>
      <c r="N26" s="65">
        <v>0.31507155777410684</v>
      </c>
      <c r="O26" s="65">
        <v>0.33849385447219893</v>
      </c>
      <c r="P26" s="65">
        <v>0.74712061791998186</v>
      </c>
      <c r="Q26" s="65">
        <v>0.39149130548296351</v>
      </c>
      <c r="R26" s="65">
        <v>0.30587766989966914</v>
      </c>
      <c r="S26" s="65">
        <v>0.3405730852854546</v>
      </c>
      <c r="T26" s="65">
        <v>0.57082060960383985</v>
      </c>
      <c r="U26" s="65">
        <v>0.36056926623315244</v>
      </c>
      <c r="V26" s="65">
        <v>0.24767411938265171</v>
      </c>
      <c r="W26" s="65">
        <v>0.267411838125583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0.89903488055121294</v>
      </c>
      <c r="M27" s="148">
        <v>1.1949503214932931</v>
      </c>
      <c r="N27" s="148">
        <v>0.61962306226891739</v>
      </c>
      <c r="O27" s="148">
        <v>0.80372782514021068</v>
      </c>
      <c r="P27" s="148">
        <v>0.42581076870926438</v>
      </c>
      <c r="Q27" s="148">
        <v>0.9558035283720091</v>
      </c>
      <c r="R27" s="148">
        <v>0.65336075699819118</v>
      </c>
      <c r="S27" s="148">
        <v>0.66516050173960517</v>
      </c>
      <c r="T27" s="148">
        <v>0.46577475215721481</v>
      </c>
      <c r="U27" s="148">
        <v>0.65369765442290073</v>
      </c>
      <c r="V27" s="148">
        <v>0.71042760834796526</v>
      </c>
      <c r="W27" s="148">
        <v>0.61674371109774362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3.2695700055009591</v>
      </c>
      <c r="D29" s="131">
        <f t="shared" si="8"/>
        <v>4.0291505354230051</v>
      </c>
      <c r="E29" s="131">
        <f t="shared" si="8"/>
        <v>4.4919972559378767</v>
      </c>
      <c r="F29" s="131">
        <f t="shared" si="8"/>
        <v>4.671666258061502</v>
      </c>
      <c r="G29" s="131">
        <f t="shared" si="8"/>
        <v>4.4284691398088842</v>
      </c>
      <c r="H29" s="131">
        <f t="shared" si="8"/>
        <v>4.6767958300371077</v>
      </c>
      <c r="I29" s="131">
        <f t="shared" si="8"/>
        <v>5.113016999628802</v>
      </c>
      <c r="J29" s="131">
        <f t="shared" si="8"/>
        <v>4.6464536382880883</v>
      </c>
      <c r="K29" s="131">
        <f t="shared" si="8"/>
        <v>1.7015460286695632</v>
      </c>
      <c r="L29" s="131">
        <f t="shared" si="8"/>
        <v>2.6339164894200238</v>
      </c>
      <c r="M29" s="131">
        <f t="shared" si="8"/>
        <v>3.9245821883399907</v>
      </c>
      <c r="N29" s="131">
        <f t="shared" si="8"/>
        <v>2.3602907179300243</v>
      </c>
      <c r="O29" s="131">
        <f t="shared" si="8"/>
        <v>2.4077850867635284</v>
      </c>
      <c r="P29" s="131">
        <f t="shared" si="8"/>
        <v>2.6797261812392779</v>
      </c>
      <c r="Q29" s="131">
        <f t="shared" si="8"/>
        <v>3.2463418391571564</v>
      </c>
      <c r="R29" s="131">
        <f t="shared" ref="R29:W29" si="9">SUM(R30:R33)</f>
        <v>2.4798811502105669</v>
      </c>
      <c r="S29" s="131">
        <f t="shared" si="9"/>
        <v>2.6803061586390085</v>
      </c>
      <c r="T29" s="131">
        <f t="shared" si="9"/>
        <v>2.862394175994198</v>
      </c>
      <c r="U29" s="131">
        <f t="shared" si="9"/>
        <v>2.7118176241916805</v>
      </c>
      <c r="V29" s="131">
        <f t="shared" si="9"/>
        <v>2.1183656714590779</v>
      </c>
      <c r="W29" s="131">
        <f t="shared" si="9"/>
        <v>2.1493489824321772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0.13944254897979069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1.0472798225827893</v>
      </c>
      <c r="M30" s="133">
        <v>0.52490882234294101</v>
      </c>
      <c r="N30" s="133">
        <v>0.31716892382111112</v>
      </c>
      <c r="O30" s="133">
        <v>3.3459203624401558E-2</v>
      </c>
      <c r="P30" s="133">
        <v>1.0362814137149684E-2</v>
      </c>
      <c r="Q30" s="133">
        <v>2.153201297357981E-2</v>
      </c>
      <c r="R30" s="133">
        <v>6.9500515620670986E-2</v>
      </c>
      <c r="S30" s="133">
        <v>0.17093126645678569</v>
      </c>
      <c r="T30" s="133">
        <v>0.28165912569716478</v>
      </c>
      <c r="U30" s="133">
        <v>0.22874706211916113</v>
      </c>
      <c r="V30" s="133">
        <v>0.16379188326555164</v>
      </c>
      <c r="W30" s="133">
        <v>0.25346338211062308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0.19821836101904197</v>
      </c>
      <c r="D31" s="133">
        <v>0.45664013053937696</v>
      </c>
      <c r="E31" s="133">
        <v>0.6139350545916149</v>
      </c>
      <c r="F31" s="133">
        <v>0.80037001878972791</v>
      </c>
      <c r="G31" s="133">
        <v>0.75917645958884583</v>
      </c>
      <c r="H31" s="133">
        <v>1.0532327158349777</v>
      </c>
      <c r="I31" s="133">
        <v>0.91458869711169666</v>
      </c>
      <c r="J31" s="133">
        <v>0.49081176780598224</v>
      </c>
      <c r="K31" s="133">
        <v>0.14173079834085053</v>
      </c>
      <c r="L31" s="133">
        <v>0.16090227567635093</v>
      </c>
      <c r="M31" s="133">
        <v>0.36950397079771585</v>
      </c>
      <c r="N31" s="133">
        <v>0.26588090411716953</v>
      </c>
      <c r="O31" s="133">
        <v>0.32967111612729866</v>
      </c>
      <c r="P31" s="133">
        <v>0.39649221340273216</v>
      </c>
      <c r="Q31" s="133">
        <v>0.44234259562778711</v>
      </c>
      <c r="R31" s="133">
        <v>0.29910863608530025</v>
      </c>
      <c r="S31" s="133">
        <v>0.24879856762234351</v>
      </c>
      <c r="T31" s="133">
        <v>0.20602179115269015</v>
      </c>
      <c r="U31" s="133">
        <v>0.17187922824019047</v>
      </c>
      <c r="V31" s="133">
        <v>0.14183059520086544</v>
      </c>
      <c r="W31" s="133">
        <v>0.22494064136296604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1.3770408333773962</v>
      </c>
      <c r="K32" s="133">
        <v>0.11815315918579991</v>
      </c>
      <c r="L32" s="133">
        <v>3.3930933084855543E-2</v>
      </c>
      <c r="M32" s="133">
        <v>0</v>
      </c>
      <c r="N32" s="133">
        <v>0</v>
      </c>
      <c r="O32" s="133">
        <v>0</v>
      </c>
      <c r="P32" s="133">
        <v>0</v>
      </c>
      <c r="Q32" s="133">
        <v>6.7697206028524082E-2</v>
      </c>
      <c r="R32" s="133">
        <v>0.15167535128331588</v>
      </c>
      <c r="S32" s="133">
        <v>0.51402740051723317</v>
      </c>
      <c r="T32" s="133">
        <v>0.74167287243972546</v>
      </c>
      <c r="U32" s="133">
        <v>0.61363793294615987</v>
      </c>
      <c r="V32" s="133">
        <v>0.33118518029011174</v>
      </c>
      <c r="W32" s="133">
        <v>0.10862378825997848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2.9319090955021263</v>
      </c>
      <c r="D33" s="68">
        <v>3.5725104048836278</v>
      </c>
      <c r="E33" s="68">
        <v>3.8780622013462618</v>
      </c>
      <c r="F33" s="68">
        <v>3.871296239271774</v>
      </c>
      <c r="G33" s="68">
        <v>3.6692926802200385</v>
      </c>
      <c r="H33" s="68">
        <v>3.6235631142021303</v>
      </c>
      <c r="I33" s="68">
        <v>4.1984283025171054</v>
      </c>
      <c r="J33" s="68">
        <v>2.7786010371047096</v>
      </c>
      <c r="K33" s="68">
        <v>1.4416620711429127</v>
      </c>
      <c r="L33" s="68">
        <v>1.3918034580760281</v>
      </c>
      <c r="M33" s="68">
        <v>3.030169395199334</v>
      </c>
      <c r="N33" s="68">
        <v>1.7772408899917436</v>
      </c>
      <c r="O33" s="68">
        <v>2.0446547670118282</v>
      </c>
      <c r="P33" s="68">
        <v>2.2728711536993962</v>
      </c>
      <c r="Q33" s="68">
        <v>2.7147700245272652</v>
      </c>
      <c r="R33" s="68">
        <v>1.9595966472212798</v>
      </c>
      <c r="S33" s="68">
        <v>1.7465489240426459</v>
      </c>
      <c r="T33" s="68">
        <v>1.6330403867046177</v>
      </c>
      <c r="U33" s="68">
        <v>1.6975534008861692</v>
      </c>
      <c r="V33" s="68">
        <v>1.4815580127025492</v>
      </c>
      <c r="W33" s="68">
        <v>1.5623211706986098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15.719419192977675</v>
      </c>
      <c r="D3" s="126">
        <f t="shared" si="0"/>
        <v>16.793973926917907</v>
      </c>
      <c r="E3" s="126">
        <f t="shared" si="0"/>
        <v>20.553596488390557</v>
      </c>
      <c r="F3" s="126">
        <f t="shared" si="0"/>
        <v>19.386458169183747</v>
      </c>
      <c r="G3" s="126">
        <f t="shared" si="0"/>
        <v>23.752274533404027</v>
      </c>
      <c r="H3" s="126">
        <f t="shared" si="0"/>
        <v>24.289398903885726</v>
      </c>
      <c r="I3" s="126">
        <f t="shared" si="0"/>
        <v>30.579598499475701</v>
      </c>
      <c r="J3" s="126">
        <f t="shared" si="0"/>
        <v>21.328805382160503</v>
      </c>
      <c r="K3" s="126">
        <f t="shared" si="0"/>
        <v>7.8646732684809173</v>
      </c>
      <c r="L3" s="126">
        <f t="shared" si="0"/>
        <v>11.710653759040156</v>
      </c>
      <c r="M3" s="126">
        <f t="shared" si="0"/>
        <v>18.758160134478068</v>
      </c>
      <c r="N3" s="126">
        <f t="shared" si="0"/>
        <v>13.223074083129822</v>
      </c>
      <c r="O3" s="126">
        <f t="shared" si="0"/>
        <v>10.656902894420492</v>
      </c>
      <c r="P3" s="126">
        <f t="shared" si="0"/>
        <v>10.996731126337224</v>
      </c>
      <c r="Q3" s="126">
        <f t="shared" si="0"/>
        <v>15.739168773820216</v>
      </c>
      <c r="R3" s="126">
        <f t="shared" ref="R3:W3" si="1">SUM(R4,R16,R19,R29)</f>
        <v>11.714080918013416</v>
      </c>
      <c r="S3" s="126">
        <f t="shared" si="1"/>
        <v>11.905835430196513</v>
      </c>
      <c r="T3" s="126">
        <f t="shared" si="1"/>
        <v>11.189557882385667</v>
      </c>
      <c r="U3" s="126">
        <f t="shared" si="1"/>
        <v>10.897942142741114</v>
      </c>
      <c r="V3" s="126">
        <f t="shared" si="1"/>
        <v>8.9498856921308612</v>
      </c>
      <c r="W3" s="126">
        <f t="shared" si="1"/>
        <v>10.018678184271383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6.9496665067349035</v>
      </c>
      <c r="D4" s="131">
        <f t="shared" si="2"/>
        <v>8.374670684840023</v>
      </c>
      <c r="E4" s="131">
        <f t="shared" si="2"/>
        <v>10.114804732693582</v>
      </c>
      <c r="F4" s="131">
        <f t="shared" si="2"/>
        <v>8.7808339692981381</v>
      </c>
      <c r="G4" s="131">
        <f t="shared" si="2"/>
        <v>14.027908229785302</v>
      </c>
      <c r="H4" s="131">
        <f t="shared" si="2"/>
        <v>12.950924210949943</v>
      </c>
      <c r="I4" s="131">
        <f t="shared" si="2"/>
        <v>11.872762773214596</v>
      </c>
      <c r="J4" s="131">
        <f t="shared" si="2"/>
        <v>9.8817062983724888</v>
      </c>
      <c r="K4" s="131">
        <f t="shared" si="2"/>
        <v>3.546363794810024</v>
      </c>
      <c r="L4" s="131">
        <f t="shared" si="2"/>
        <v>5.1960879985640469</v>
      </c>
      <c r="M4" s="131">
        <f t="shared" si="2"/>
        <v>8.967943770675193</v>
      </c>
      <c r="N4" s="131">
        <f t="shared" si="2"/>
        <v>4.6938842624015749</v>
      </c>
      <c r="O4" s="131">
        <f t="shared" si="2"/>
        <v>4.5908976616700157</v>
      </c>
      <c r="P4" s="131">
        <f t="shared" si="2"/>
        <v>4.5167164873655805</v>
      </c>
      <c r="Q4" s="131">
        <f t="shared" si="2"/>
        <v>6.3163381425019258</v>
      </c>
      <c r="R4" s="131">
        <f t="shared" ref="R4:W4" si="3">SUM(R5:R15)</f>
        <v>4.8198486537065683</v>
      </c>
      <c r="S4" s="131">
        <f t="shared" si="3"/>
        <v>4.6972126563892331</v>
      </c>
      <c r="T4" s="131">
        <f t="shared" si="3"/>
        <v>4.8759763496092976</v>
      </c>
      <c r="U4" s="131">
        <f t="shared" si="3"/>
        <v>4.5171137499880958</v>
      </c>
      <c r="V4" s="131">
        <f t="shared" si="3"/>
        <v>3.4042907691153688</v>
      </c>
      <c r="W4" s="131">
        <f t="shared" si="3"/>
        <v>3.8797841108315869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9.440091348075183E-2</v>
      </c>
      <c r="D5" s="133">
        <v>0.25466782443588848</v>
      </c>
      <c r="E5" s="133">
        <v>0.19089198075446395</v>
      </c>
      <c r="F5" s="133">
        <v>5.7412259052330897E-2</v>
      </c>
      <c r="G5" s="133">
        <v>0</v>
      </c>
      <c r="H5" s="133">
        <v>0</v>
      </c>
      <c r="I5" s="133">
        <v>0</v>
      </c>
      <c r="J5" s="133">
        <v>3.8973290297538939E-2</v>
      </c>
      <c r="K5" s="133">
        <v>1.4493307967633958E-2</v>
      </c>
      <c r="L5" s="133">
        <v>1.0802046299636683E-2</v>
      </c>
      <c r="M5" s="133">
        <v>6.5366832696231503E-2</v>
      </c>
      <c r="N5" s="133">
        <v>3.0645533628664529E-2</v>
      </c>
      <c r="O5" s="133">
        <v>4.5360554488644664E-2</v>
      </c>
      <c r="P5" s="133">
        <v>1.3895697646908442E-2</v>
      </c>
      <c r="Q5" s="133">
        <v>8.4474063316549192E-2</v>
      </c>
      <c r="R5" s="133">
        <v>6.120248759904455E-2</v>
      </c>
      <c r="S5" s="133">
        <v>1.9501811279117279E-2</v>
      </c>
      <c r="T5" s="133">
        <v>1.7683637186019763E-3</v>
      </c>
      <c r="U5" s="133">
        <v>1.0028081865887363E-2</v>
      </c>
      <c r="V5" s="133">
        <v>1.1484134569573817E-2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0.49232629489759294</v>
      </c>
      <c r="D7" s="133">
        <v>0</v>
      </c>
      <c r="E7" s="133">
        <v>0</v>
      </c>
      <c r="F7" s="133">
        <v>0</v>
      </c>
      <c r="G7" s="133">
        <v>0</v>
      </c>
      <c r="H7" s="133">
        <v>0.30375683498066397</v>
      </c>
      <c r="I7" s="133">
        <v>5.268554641660881E-2</v>
      </c>
      <c r="J7" s="133">
        <v>1.5100410481899033E-2</v>
      </c>
      <c r="K7" s="133">
        <v>0.23014981676467608</v>
      </c>
      <c r="L7" s="133">
        <v>0.19775699390018806</v>
      </c>
      <c r="M7" s="133">
        <v>0</v>
      </c>
      <c r="N7" s="133">
        <v>0.17865226151516481</v>
      </c>
      <c r="O7" s="133">
        <v>0.32453375668594431</v>
      </c>
      <c r="P7" s="133">
        <v>0.12901104036679795</v>
      </c>
      <c r="Q7" s="133">
        <v>1.2458107291496017</v>
      </c>
      <c r="R7" s="133">
        <v>0.18227455673636339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0.33706527149563237</v>
      </c>
      <c r="D9" s="133">
        <v>0.47982260369593938</v>
      </c>
      <c r="E9" s="133">
        <v>0.65193877083972795</v>
      </c>
      <c r="F9" s="133">
        <v>0.70871953308032165</v>
      </c>
      <c r="G9" s="133">
        <v>1.1285794571657388</v>
      </c>
      <c r="H9" s="133">
        <v>2.6708013636850545</v>
      </c>
      <c r="I9" s="133">
        <v>1.4175305252860471</v>
      </c>
      <c r="J9" s="133">
        <v>0.55773320718179831</v>
      </c>
      <c r="K9" s="133">
        <v>0.18029238129593911</v>
      </c>
      <c r="L9" s="133">
        <v>0.35608731361508944</v>
      </c>
      <c r="M9" s="133">
        <v>0.32287738851507208</v>
      </c>
      <c r="N9" s="133">
        <v>0.39103091858352729</v>
      </c>
      <c r="O9" s="133">
        <v>0.3076756206585648</v>
      </c>
      <c r="P9" s="133">
        <v>0.71826409057782459</v>
      </c>
      <c r="Q9" s="133">
        <v>0.81729962343569584</v>
      </c>
      <c r="R9" s="133">
        <v>0.51901934166365427</v>
      </c>
      <c r="S9" s="133">
        <v>0.34613383640645023</v>
      </c>
      <c r="T9" s="133">
        <v>0.32015477719143243</v>
      </c>
      <c r="U9" s="133">
        <v>0.24814728040432588</v>
      </c>
      <c r="V9" s="133">
        <v>0.5312137954865529</v>
      </c>
      <c r="W9" s="133">
        <v>0.58594096298800502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9.946621667563782E-2</v>
      </c>
      <c r="E10" s="133">
        <v>0.34934482911263032</v>
      </c>
      <c r="F10" s="133">
        <v>0.20181601782858261</v>
      </c>
      <c r="G10" s="133">
        <v>0.34809544911985063</v>
      </c>
      <c r="H10" s="133">
        <v>0.59747142279985566</v>
      </c>
      <c r="I10" s="133">
        <v>0.26628405203429556</v>
      </c>
      <c r="J10" s="133">
        <v>0</v>
      </c>
      <c r="K10" s="133">
        <v>0</v>
      </c>
      <c r="L10" s="133">
        <v>6.3284508711943979E-2</v>
      </c>
      <c r="M10" s="133">
        <v>0.26536078675233621</v>
      </c>
      <c r="N10" s="133">
        <v>0.79607706430785041</v>
      </c>
      <c r="O10" s="133">
        <v>0.14567271130558221</v>
      </c>
      <c r="P10" s="133">
        <v>0</v>
      </c>
      <c r="Q10" s="133">
        <v>1.4488470650865242E-2</v>
      </c>
      <c r="R10" s="133">
        <v>8.9745070392581297E-2</v>
      </c>
      <c r="S10" s="133">
        <v>1.5583921201723492</v>
      </c>
      <c r="T10" s="133">
        <v>1.5789255569826877</v>
      </c>
      <c r="U10" s="133">
        <v>0.94151706401504154</v>
      </c>
      <c r="V10" s="133">
        <v>0.13646481482654546</v>
      </c>
      <c r="W10" s="133">
        <v>0.13240781264143622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10.095242012818989</v>
      </c>
      <c r="H11" s="133">
        <v>3.0085408103129896</v>
      </c>
      <c r="I11" s="133">
        <v>1.9954545335598994</v>
      </c>
      <c r="J11" s="133">
        <v>3.3601330105009791E-2</v>
      </c>
      <c r="K11" s="133">
        <v>3.5852666659344362E-2</v>
      </c>
      <c r="L11" s="133">
        <v>0</v>
      </c>
      <c r="M11" s="133">
        <v>0</v>
      </c>
      <c r="N11" s="133">
        <v>0.2739005545136563</v>
      </c>
      <c r="O11" s="133">
        <v>0.29301965024058424</v>
      </c>
      <c r="P11" s="133">
        <v>0.40362612132974007</v>
      </c>
      <c r="Q11" s="133">
        <v>0.12646726071794423</v>
      </c>
      <c r="R11" s="133">
        <v>8.9627420790541631E-2</v>
      </c>
      <c r="S11" s="133">
        <v>0.20924346767706992</v>
      </c>
      <c r="T11" s="133">
        <v>0.31495467048926895</v>
      </c>
      <c r="U11" s="133">
        <v>0.45120240283950386</v>
      </c>
      <c r="V11" s="133">
        <v>0.5565116521491259</v>
      </c>
      <c r="W11" s="133">
        <v>0.54291632426173553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4.1470218769871563</v>
      </c>
      <c r="D12" s="133">
        <v>2.444655193459639</v>
      </c>
      <c r="E12" s="133">
        <v>4.0823854824892178</v>
      </c>
      <c r="F12" s="133">
        <v>2.7061618210604164</v>
      </c>
      <c r="G12" s="133">
        <v>0</v>
      </c>
      <c r="H12" s="133">
        <v>0.36029631859411487</v>
      </c>
      <c r="I12" s="133">
        <v>0.46690301371310228</v>
      </c>
      <c r="J12" s="133">
        <v>0</v>
      </c>
      <c r="K12" s="133">
        <v>0.46484924293559904</v>
      </c>
      <c r="L12" s="133">
        <v>0.72238632144168913</v>
      </c>
      <c r="M12" s="133">
        <v>3.2239781694735266</v>
      </c>
      <c r="N12" s="133">
        <v>0.85727611458976716</v>
      </c>
      <c r="O12" s="133">
        <v>0.47663998160071153</v>
      </c>
      <c r="P12" s="133">
        <v>0.46267596737517214</v>
      </c>
      <c r="Q12" s="133">
        <v>1.5801322950839007</v>
      </c>
      <c r="R12" s="133">
        <v>1.9826319957249174</v>
      </c>
      <c r="S12" s="133">
        <v>0.54417688373236572</v>
      </c>
      <c r="T12" s="133">
        <v>0.65255233818188008</v>
      </c>
      <c r="U12" s="133">
        <v>0.25981422589047859</v>
      </c>
      <c r="V12" s="133">
        <v>0.28933447915792671</v>
      </c>
      <c r="W12" s="133">
        <v>9.9033067853237358E-2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0.77500993585383249</v>
      </c>
      <c r="D13" s="133">
        <v>3.2132125228613884</v>
      </c>
      <c r="E13" s="133">
        <v>3.5609971855841778</v>
      </c>
      <c r="F13" s="133">
        <v>3.922053472909631</v>
      </c>
      <c r="G13" s="133">
        <v>2.3861876411965475</v>
      </c>
      <c r="H13" s="133">
        <v>4.0514846523508128</v>
      </c>
      <c r="I13" s="133">
        <v>4.4898949220458348</v>
      </c>
      <c r="J13" s="133">
        <v>3.6796647070367658</v>
      </c>
      <c r="K13" s="133">
        <v>1.0783329564047603</v>
      </c>
      <c r="L13" s="133">
        <v>1.2250377673804949</v>
      </c>
      <c r="M13" s="133">
        <v>3.299568241591039</v>
      </c>
      <c r="N13" s="133">
        <v>2.1453546876040455</v>
      </c>
      <c r="O13" s="133">
        <v>2.9829394679045795</v>
      </c>
      <c r="P13" s="133">
        <v>2.7718291575517582</v>
      </c>
      <c r="Q13" s="133">
        <v>2.406823248472254</v>
      </c>
      <c r="R13" s="133">
        <v>1.636790599037852</v>
      </c>
      <c r="S13" s="133">
        <v>1.5451486318492145</v>
      </c>
      <c r="T13" s="133">
        <v>1.682118578187314</v>
      </c>
      <c r="U13" s="133">
        <v>2.0925104123537746</v>
      </c>
      <c r="V13" s="133">
        <v>1.6339092465475977</v>
      </c>
      <c r="W13" s="133">
        <v>1.1724902019786627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1.0659929724789705</v>
      </c>
      <c r="D14" s="65">
        <v>1.8582812957978931</v>
      </c>
      <c r="E14" s="65">
        <v>1.2424406131467389</v>
      </c>
      <c r="F14" s="65">
        <v>1.1565185533888698</v>
      </c>
      <c r="G14" s="65">
        <v>0</v>
      </c>
      <c r="H14" s="65">
        <v>1.8842247984500533</v>
      </c>
      <c r="I14" s="65">
        <v>3.1444231735320978</v>
      </c>
      <c r="J14" s="65">
        <v>5.5459969752943987</v>
      </c>
      <c r="K14" s="65">
        <v>1.5329224041216327</v>
      </c>
      <c r="L14" s="65">
        <v>2.6075707421021082</v>
      </c>
      <c r="M14" s="65">
        <v>1.7690320667301123</v>
      </c>
      <c r="N14" s="65">
        <v>0</v>
      </c>
      <c r="O14" s="65">
        <v>0</v>
      </c>
      <c r="P14" s="65">
        <v>0</v>
      </c>
      <c r="Q14" s="65">
        <v>0</v>
      </c>
      <c r="R14" s="65">
        <v>0.23788058407275822</v>
      </c>
      <c r="S14" s="65">
        <v>0.45347662143260314</v>
      </c>
      <c r="T14" s="65">
        <v>0.30396365108255696</v>
      </c>
      <c r="U14" s="65">
        <v>0.49958083249173507</v>
      </c>
      <c r="V14" s="65">
        <v>0.23240975175628509</v>
      </c>
      <c r="W14" s="65">
        <v>1.3340928376083983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3.784924154096736E-2</v>
      </c>
      <c r="D15" s="135">
        <v>2.4565027913636982E-2</v>
      </c>
      <c r="E15" s="135">
        <v>3.6805870766625143E-2</v>
      </c>
      <c r="F15" s="135">
        <v>2.8152311977987149E-2</v>
      </c>
      <c r="G15" s="135">
        <v>6.9803669484175143E-2</v>
      </c>
      <c r="H15" s="135">
        <v>7.4348009776396398E-2</v>
      </c>
      <c r="I15" s="135">
        <v>3.9587006626710768E-2</v>
      </c>
      <c r="J15" s="135">
        <v>1.063637797507927E-2</v>
      </c>
      <c r="K15" s="135">
        <v>9.4710186604382296E-3</v>
      </c>
      <c r="L15" s="135">
        <v>1.3162305112897291E-2</v>
      </c>
      <c r="M15" s="135">
        <v>2.1760284916874522E-2</v>
      </c>
      <c r="N15" s="135">
        <v>2.0947127658897859E-2</v>
      </c>
      <c r="O15" s="135">
        <v>1.5055918785404205E-2</v>
      </c>
      <c r="P15" s="135">
        <v>1.7414412517378554E-2</v>
      </c>
      <c r="Q15" s="135">
        <v>4.0842451675114577E-2</v>
      </c>
      <c r="R15" s="135">
        <v>2.0676597688855804E-2</v>
      </c>
      <c r="S15" s="135">
        <v>2.1139283840062414E-2</v>
      </c>
      <c r="T15" s="135">
        <v>2.1538413775555217E-2</v>
      </c>
      <c r="U15" s="135">
        <v>1.431345012734879E-2</v>
      </c>
      <c r="V15" s="135">
        <v>1.2962894621761178E-2</v>
      </c>
      <c r="W15" s="135">
        <v>1.2902903500111597E-2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4.6282293474874523</v>
      </c>
      <c r="D16" s="131">
        <f t="shared" si="4"/>
        <v>3.3123701355976207</v>
      </c>
      <c r="E16" s="131">
        <f t="shared" si="4"/>
        <v>4.7591192753554044</v>
      </c>
      <c r="F16" s="131">
        <f t="shared" si="4"/>
        <v>4.7558612930337594</v>
      </c>
      <c r="G16" s="131">
        <f t="shared" si="4"/>
        <v>4.116874834088633</v>
      </c>
      <c r="H16" s="131">
        <f t="shared" si="4"/>
        <v>5.4440905518637273</v>
      </c>
      <c r="I16" s="131">
        <f t="shared" si="4"/>
        <v>12.122335678920365</v>
      </c>
      <c r="J16" s="131">
        <f t="shared" si="4"/>
        <v>6.0162264499278413</v>
      </c>
      <c r="K16" s="131">
        <f t="shared" si="4"/>
        <v>2.1146463454748101</v>
      </c>
      <c r="L16" s="131">
        <f t="shared" si="4"/>
        <v>3.4152448004420899</v>
      </c>
      <c r="M16" s="131">
        <f t="shared" si="4"/>
        <v>4.7151202803198649</v>
      </c>
      <c r="N16" s="131">
        <f t="shared" si="4"/>
        <v>5.5449304734531761</v>
      </c>
      <c r="O16" s="131">
        <f t="shared" si="4"/>
        <v>2.8596725145003017</v>
      </c>
      <c r="P16" s="131">
        <f t="shared" si="4"/>
        <v>2.9152070848772169</v>
      </c>
      <c r="Q16" s="131">
        <f t="shared" si="4"/>
        <v>5.0372382295841511</v>
      </c>
      <c r="R16" s="131">
        <f t="shared" ref="R16:W16" si="5">SUM(R17:R18)</f>
        <v>3.5147613912997722</v>
      </c>
      <c r="S16" s="131">
        <f t="shared" si="5"/>
        <v>3.6892816981282501</v>
      </c>
      <c r="T16" s="131">
        <f t="shared" si="5"/>
        <v>2.6789069695636001</v>
      </c>
      <c r="U16" s="131">
        <f t="shared" si="5"/>
        <v>2.8072387628046336</v>
      </c>
      <c r="V16" s="131">
        <f t="shared" si="5"/>
        <v>2.5915038956723557</v>
      </c>
      <c r="W16" s="131">
        <f t="shared" si="5"/>
        <v>3.123438531804994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4.6282293474874523</v>
      </c>
      <c r="D18" s="133">
        <v>3.3123701355976207</v>
      </c>
      <c r="E18" s="133">
        <v>4.7591192753554044</v>
      </c>
      <c r="F18" s="133">
        <v>4.7558612930337594</v>
      </c>
      <c r="G18" s="133">
        <v>4.116874834088633</v>
      </c>
      <c r="H18" s="133">
        <v>5.4440905518637273</v>
      </c>
      <c r="I18" s="133">
        <v>12.122335678920365</v>
      </c>
      <c r="J18" s="133">
        <v>6.0162264499278413</v>
      </c>
      <c r="K18" s="133">
        <v>2.1146463454748101</v>
      </c>
      <c r="L18" s="133">
        <v>3.4152448004420899</v>
      </c>
      <c r="M18" s="133">
        <v>4.7151202803198649</v>
      </c>
      <c r="N18" s="133">
        <v>5.5449304734531761</v>
      </c>
      <c r="O18" s="133">
        <v>2.8596725145003017</v>
      </c>
      <c r="P18" s="133">
        <v>2.9152070848772169</v>
      </c>
      <c r="Q18" s="133">
        <v>5.0372382295841511</v>
      </c>
      <c r="R18" s="133">
        <v>3.5147613912997722</v>
      </c>
      <c r="S18" s="133">
        <v>3.6892816981282501</v>
      </c>
      <c r="T18" s="133">
        <v>2.6789069695636001</v>
      </c>
      <c r="U18" s="133">
        <v>2.8072387628046336</v>
      </c>
      <c r="V18" s="133">
        <v>2.5915038956723557</v>
      </c>
      <c r="W18" s="133">
        <v>3.123438531804994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1.8342857589559163</v>
      </c>
      <c r="D19" s="131">
        <f t="shared" si="6"/>
        <v>2.263735705472409</v>
      </c>
      <c r="E19" s="131">
        <f t="shared" si="6"/>
        <v>2.5206716275322751</v>
      </c>
      <c r="F19" s="131">
        <f t="shared" si="6"/>
        <v>2.5849597149494712</v>
      </c>
      <c r="G19" s="131">
        <f t="shared" si="6"/>
        <v>2.5053156535838697</v>
      </c>
      <c r="H19" s="131">
        <f t="shared" si="6"/>
        <v>2.6544623445999549</v>
      </c>
      <c r="I19" s="131">
        <f t="shared" si="6"/>
        <v>2.9917432265760846</v>
      </c>
      <c r="J19" s="131">
        <f t="shared" si="6"/>
        <v>2.3420552763997207</v>
      </c>
      <c r="K19" s="131">
        <f t="shared" si="6"/>
        <v>0.99376646751510689</v>
      </c>
      <c r="L19" s="131">
        <f t="shared" si="6"/>
        <v>1.3752319717705603</v>
      </c>
      <c r="M19" s="131">
        <f t="shared" si="6"/>
        <v>2.3206007192351281</v>
      </c>
      <c r="N19" s="131">
        <f t="shared" si="6"/>
        <v>1.3284847297601199</v>
      </c>
      <c r="O19" s="131">
        <f t="shared" si="6"/>
        <v>1.461438983592213</v>
      </c>
      <c r="P19" s="131">
        <f t="shared" si="6"/>
        <v>1.606438309500831</v>
      </c>
      <c r="Q19" s="131">
        <f t="shared" si="6"/>
        <v>1.9951271558594699</v>
      </c>
      <c r="R19" s="131">
        <f t="shared" ref="R19:W19" si="7">SUM(R20:R27)</f>
        <v>1.5508285764559138</v>
      </c>
      <c r="S19" s="131">
        <f t="shared" si="7"/>
        <v>1.5946024027132499</v>
      </c>
      <c r="T19" s="131">
        <f t="shared" si="7"/>
        <v>1.6013177275388633</v>
      </c>
      <c r="U19" s="131">
        <f t="shared" si="7"/>
        <v>1.5775161121141184</v>
      </c>
      <c r="V19" s="131">
        <f t="shared" si="7"/>
        <v>1.3301763367388504</v>
      </c>
      <c r="W19" s="131">
        <f t="shared" si="7"/>
        <v>1.3287836464726919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0.11217247874932217</v>
      </c>
      <c r="D22" s="133">
        <v>7.773111331305578E-2</v>
      </c>
      <c r="E22" s="133">
        <v>1.1378547339784325E-2</v>
      </c>
      <c r="F22" s="133">
        <v>0</v>
      </c>
      <c r="G22" s="133">
        <v>0</v>
      </c>
      <c r="H22" s="133">
        <v>3.4235183645972528E-2</v>
      </c>
      <c r="I22" s="133">
        <v>0.14961916626190791</v>
      </c>
      <c r="J22" s="133">
        <v>0.1275700001482572</v>
      </c>
      <c r="K22" s="133">
        <v>5.8364323660626861E-2</v>
      </c>
      <c r="L22" s="133">
        <v>3.0834628759111228E-2</v>
      </c>
      <c r="M22" s="133">
        <v>8.1200438268998157E-2</v>
      </c>
      <c r="N22" s="133">
        <v>2.9972855867103507E-2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0.14380982673409889</v>
      </c>
      <c r="D23" s="133">
        <v>0.29064581151780433</v>
      </c>
      <c r="E23" s="133">
        <v>0.40366139380033317</v>
      </c>
      <c r="F23" s="133">
        <v>0.46788000349314685</v>
      </c>
      <c r="G23" s="133">
        <v>0.53679131632925348</v>
      </c>
      <c r="H23" s="133">
        <v>0.63680259816693918</v>
      </c>
      <c r="I23" s="133">
        <v>0.68509912241089832</v>
      </c>
      <c r="J23" s="133">
        <v>0.44109616971105886</v>
      </c>
      <c r="K23" s="133">
        <v>0.1598530774868413</v>
      </c>
      <c r="L23" s="133">
        <v>6.279043716900988E-2</v>
      </c>
      <c r="M23" s="133">
        <v>0.16000004853250463</v>
      </c>
      <c r="N23" s="133">
        <v>0.11000264482438174</v>
      </c>
      <c r="O23" s="133">
        <v>0.10109355411254149</v>
      </c>
      <c r="P23" s="133">
        <v>0.24064043398916604</v>
      </c>
      <c r="Q23" s="133">
        <v>0.26490644242706074</v>
      </c>
      <c r="R23" s="133">
        <v>0.23179028100461466</v>
      </c>
      <c r="S23" s="133">
        <v>0.23940669264854564</v>
      </c>
      <c r="T23" s="133">
        <v>0.26297624196968516</v>
      </c>
      <c r="U23" s="133">
        <v>0.24524843561864765</v>
      </c>
      <c r="V23" s="133">
        <v>0.13647414933279434</v>
      </c>
      <c r="W23" s="133">
        <v>0.18430328832179504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0.55071211346271365</v>
      </c>
      <c r="D25" s="133">
        <v>0.8047389355658956</v>
      </c>
      <c r="E25" s="133">
        <v>0.87506286306463421</v>
      </c>
      <c r="F25" s="133">
        <v>0.82465269576287736</v>
      </c>
      <c r="G25" s="133">
        <v>0.68779575847447649</v>
      </c>
      <c r="H25" s="133">
        <v>0.58558451765245634</v>
      </c>
      <c r="I25" s="133">
        <v>0.54867557878297724</v>
      </c>
      <c r="J25" s="133">
        <v>0.44060297379863017</v>
      </c>
      <c r="K25" s="133">
        <v>0.20767717958485576</v>
      </c>
      <c r="L25" s="133">
        <v>0.12348517182772312</v>
      </c>
      <c r="M25" s="133">
        <v>0.46420764810719856</v>
      </c>
      <c r="N25" s="133">
        <v>0.37122640265591933</v>
      </c>
      <c r="O25" s="133">
        <v>0.33716675015578018</v>
      </c>
      <c r="P25" s="133">
        <v>0.4352393158169674</v>
      </c>
      <c r="Q25" s="133">
        <v>0.49945160593751031</v>
      </c>
      <c r="R25" s="133">
        <v>0.44497462834258117</v>
      </c>
      <c r="S25" s="133">
        <v>0.43782850984277943</v>
      </c>
      <c r="T25" s="133">
        <v>0.43934520059135801</v>
      </c>
      <c r="U25" s="133">
        <v>0.39868245779546635</v>
      </c>
      <c r="V25" s="133">
        <v>0.28721483179281054</v>
      </c>
      <c r="W25" s="133">
        <v>0.31281789562299672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1.0275913400097816</v>
      </c>
      <c r="D26" s="65">
        <v>1.0906198450756532</v>
      </c>
      <c r="E26" s="65">
        <v>1.2305688233275236</v>
      </c>
      <c r="F26" s="65">
        <v>1.292427015693447</v>
      </c>
      <c r="G26" s="65">
        <v>1.2807285787801397</v>
      </c>
      <c r="H26" s="65">
        <v>1.3978400451345867</v>
      </c>
      <c r="I26" s="65">
        <v>1.6083493591203013</v>
      </c>
      <c r="J26" s="65">
        <v>1.3327861327417745</v>
      </c>
      <c r="K26" s="65">
        <v>0.567871886782783</v>
      </c>
      <c r="L26" s="65">
        <v>0.25908685346350313</v>
      </c>
      <c r="M26" s="65">
        <v>0.42024226283313365</v>
      </c>
      <c r="N26" s="65">
        <v>0.19765976414379796</v>
      </c>
      <c r="O26" s="65">
        <v>0.21945085418368065</v>
      </c>
      <c r="P26" s="65">
        <v>0.5047477909854331</v>
      </c>
      <c r="Q26" s="65">
        <v>0.27496557912288982</v>
      </c>
      <c r="R26" s="65">
        <v>0.22070291011052687</v>
      </c>
      <c r="S26" s="65">
        <v>0.25220669848231964</v>
      </c>
      <c r="T26" s="65">
        <v>0.43322153282060538</v>
      </c>
      <c r="U26" s="65">
        <v>0.27988756427710354</v>
      </c>
      <c r="V26" s="65">
        <v>0.19605974726528036</v>
      </c>
      <c r="W26" s="65">
        <v>0.21491875143015651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0.89903488055121294</v>
      </c>
      <c r="M27" s="148">
        <v>1.1949503214932931</v>
      </c>
      <c r="N27" s="148">
        <v>0.61962306226891739</v>
      </c>
      <c r="O27" s="148">
        <v>0.80372782514021068</v>
      </c>
      <c r="P27" s="148">
        <v>0.42581076870926438</v>
      </c>
      <c r="Q27" s="148">
        <v>0.9558035283720091</v>
      </c>
      <c r="R27" s="148">
        <v>0.65336075699819118</v>
      </c>
      <c r="S27" s="148">
        <v>0.66516050173960517</v>
      </c>
      <c r="T27" s="148">
        <v>0.46577475215721481</v>
      </c>
      <c r="U27" s="148">
        <v>0.65369765442290073</v>
      </c>
      <c r="V27" s="148">
        <v>0.71042760834796526</v>
      </c>
      <c r="W27" s="148">
        <v>0.61674371109774362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2.3072375797994029</v>
      </c>
      <c r="D29" s="131">
        <f t="shared" si="8"/>
        <v>2.8431974010078522</v>
      </c>
      <c r="E29" s="131">
        <f t="shared" si="8"/>
        <v>3.1590008528092963</v>
      </c>
      <c r="F29" s="131">
        <f t="shared" si="8"/>
        <v>3.2648031919023794</v>
      </c>
      <c r="G29" s="131">
        <f t="shared" si="8"/>
        <v>3.1021758159462234</v>
      </c>
      <c r="H29" s="131">
        <f t="shared" si="8"/>
        <v>3.2399217964721014</v>
      </c>
      <c r="I29" s="131">
        <f t="shared" si="8"/>
        <v>3.5927568207646576</v>
      </c>
      <c r="J29" s="131">
        <f t="shared" si="8"/>
        <v>3.0888173574604547</v>
      </c>
      <c r="K29" s="131">
        <f t="shared" si="8"/>
        <v>1.2098966606809773</v>
      </c>
      <c r="L29" s="131">
        <f t="shared" si="8"/>
        <v>1.7240889882634591</v>
      </c>
      <c r="M29" s="131">
        <f t="shared" si="8"/>
        <v>2.7544953642478829</v>
      </c>
      <c r="N29" s="131">
        <f t="shared" si="8"/>
        <v>1.6557746175149508</v>
      </c>
      <c r="O29" s="131">
        <f t="shared" si="8"/>
        <v>1.7448937346579627</v>
      </c>
      <c r="P29" s="131">
        <f t="shared" si="8"/>
        <v>1.9583692445935945</v>
      </c>
      <c r="Q29" s="131">
        <f t="shared" si="8"/>
        <v>2.3904652458746694</v>
      </c>
      <c r="R29" s="131">
        <f t="shared" ref="R29:W29" si="9">SUM(R30:R33)</f>
        <v>1.8286422965511633</v>
      </c>
      <c r="S29" s="131">
        <f t="shared" si="9"/>
        <v>1.9247386729657805</v>
      </c>
      <c r="T29" s="131">
        <f t="shared" si="9"/>
        <v>2.0333568356739073</v>
      </c>
      <c r="U29" s="131">
        <f t="shared" si="9"/>
        <v>1.9960735178342657</v>
      </c>
      <c r="V29" s="131">
        <f t="shared" si="9"/>
        <v>1.6239146906042856</v>
      </c>
      <c r="W29" s="131">
        <f t="shared" si="9"/>
        <v>1.68667189516211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7.6379023643841998E-2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0.58392417601316293</v>
      </c>
      <c r="M30" s="133">
        <v>0.29294600346631011</v>
      </c>
      <c r="N30" s="133">
        <v>0.17700858644818426</v>
      </c>
      <c r="O30" s="133">
        <v>1.8673223927126337E-2</v>
      </c>
      <c r="P30" s="133">
        <v>5.7833758110448028E-3</v>
      </c>
      <c r="Q30" s="133">
        <v>1.2016786304029572E-2</v>
      </c>
      <c r="R30" s="133">
        <v>3.9018717032920043E-2</v>
      </c>
      <c r="S30" s="133">
        <v>9.6893495787015241E-2</v>
      </c>
      <c r="T30" s="133">
        <v>0.1614479804682068</v>
      </c>
      <c r="U30" s="133">
        <v>0.13262230458701685</v>
      </c>
      <c r="V30" s="133">
        <v>9.5965233692764274E-2</v>
      </c>
      <c r="W30" s="133">
        <v>0.14993988883221951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0.10915235572391582</v>
      </c>
      <c r="D31" s="133">
        <v>0.25200221006465806</v>
      </c>
      <c r="E31" s="133">
        <v>0.33953025826954075</v>
      </c>
      <c r="F31" s="133">
        <v>0.4435768506567036</v>
      </c>
      <c r="G31" s="133">
        <v>0.42162729508221714</v>
      </c>
      <c r="H31" s="133">
        <v>0.58614560287861084</v>
      </c>
      <c r="I31" s="133">
        <v>0.51001974023813079</v>
      </c>
      <c r="J31" s="133">
        <v>0.27423989049546282</v>
      </c>
      <c r="K31" s="133">
        <v>7.934147362836648E-2</v>
      </c>
      <c r="L31" s="133">
        <v>9.023650986293745E-2</v>
      </c>
      <c r="M31" s="133">
        <v>0.20742474425631105</v>
      </c>
      <c r="N31" s="133">
        <v>0.14925490088801388</v>
      </c>
      <c r="O31" s="133">
        <v>0.18506417347496679</v>
      </c>
      <c r="P31" s="133">
        <v>0.22257486377515492</v>
      </c>
      <c r="Q31" s="133">
        <v>0.24831343374655215</v>
      </c>
      <c r="R31" s="133">
        <v>0.16893629423317064</v>
      </c>
      <c r="S31" s="133">
        <v>0.14192039542021584</v>
      </c>
      <c r="T31" s="133">
        <v>0.11887126346951764</v>
      </c>
      <c r="U31" s="133">
        <v>0.10033953740858874</v>
      </c>
      <c r="V31" s="133">
        <v>8.369509107591809E-2</v>
      </c>
      <c r="W31" s="133">
        <v>0.13405655254208235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0.7687939774621293</v>
      </c>
      <c r="K32" s="133">
        <v>6.6003277968930657E-2</v>
      </c>
      <c r="L32" s="133">
        <v>1.896539631537221E-2</v>
      </c>
      <c r="M32" s="133">
        <v>0</v>
      </c>
      <c r="N32" s="133">
        <v>0</v>
      </c>
      <c r="O32" s="133">
        <v>0</v>
      </c>
      <c r="P32" s="133">
        <v>0</v>
      </c>
      <c r="Q32" s="133">
        <v>3.7850285757981286E-2</v>
      </c>
      <c r="R32" s="133">
        <v>8.4966614589092396E-2</v>
      </c>
      <c r="S32" s="133">
        <v>0.28885597581484923</v>
      </c>
      <c r="T32" s="133">
        <v>0.41830287374460878</v>
      </c>
      <c r="U32" s="133">
        <v>0.34739575311584919</v>
      </c>
      <c r="V32" s="133">
        <v>0.18814768073706056</v>
      </c>
      <c r="W32" s="133">
        <v>6.1908689980775547E-2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2.1217062004316452</v>
      </c>
      <c r="D33" s="68">
        <v>2.5911951909431941</v>
      </c>
      <c r="E33" s="68">
        <v>2.8194705945397556</v>
      </c>
      <c r="F33" s="68">
        <v>2.821226341245676</v>
      </c>
      <c r="G33" s="68">
        <v>2.6805485208640061</v>
      </c>
      <c r="H33" s="68">
        <v>2.6537761935934907</v>
      </c>
      <c r="I33" s="68">
        <v>3.0827370805265266</v>
      </c>
      <c r="J33" s="68">
        <v>2.0457834895028624</v>
      </c>
      <c r="K33" s="68">
        <v>1.0645519090836801</v>
      </c>
      <c r="L33" s="68">
        <v>1.0309629060719865</v>
      </c>
      <c r="M33" s="68">
        <v>2.2541246165252615</v>
      </c>
      <c r="N33" s="68">
        <v>1.3295111301787526</v>
      </c>
      <c r="O33" s="68">
        <v>1.5411563372558696</v>
      </c>
      <c r="P33" s="68">
        <v>1.7300110050073947</v>
      </c>
      <c r="Q33" s="68">
        <v>2.0922847400661064</v>
      </c>
      <c r="R33" s="68">
        <v>1.5357206706959803</v>
      </c>
      <c r="S33" s="68">
        <v>1.3970688059437002</v>
      </c>
      <c r="T33" s="68">
        <v>1.3347347179915741</v>
      </c>
      <c r="U33" s="68">
        <v>1.4157159227228109</v>
      </c>
      <c r="V33" s="68">
        <v>1.2561066850985427</v>
      </c>
      <c r="W33" s="68">
        <v>1.3407667638070326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0.83813745400951412</v>
      </c>
      <c r="D3" s="127">
        <f>IF(SER_hh_tes_in!D3=0,"",SER_hh_tes_in!D3/SER_hh_fec_in!D3)</f>
        <v>0.8567543754372986</v>
      </c>
      <c r="E3" s="127">
        <f>IF(SER_hh_tes_in!E3=0,"",SER_hh_tes_in!E3/SER_hh_fec_in!E3)</f>
        <v>0.88540863045080376</v>
      </c>
      <c r="F3" s="127">
        <f>IF(SER_hh_tes_in!F3=0,"",SER_hh_tes_in!F3/SER_hh_fec_in!F3)</f>
        <v>0.92642851454696895</v>
      </c>
      <c r="G3" s="127">
        <f>IF(SER_hh_tes_in!G3=0,"",SER_hh_tes_in!G3/SER_hh_fec_in!G3)</f>
        <v>0.87154029391750998</v>
      </c>
      <c r="H3" s="127">
        <f>IF(SER_hh_tes_in!H3=0,"",SER_hh_tes_in!H3/SER_hh_fec_in!H3)</f>
        <v>0.88284911167153279</v>
      </c>
      <c r="I3" s="127">
        <f>IF(SER_hh_tes_in!I3=0,"",SER_hh_tes_in!I3/SER_hh_fec_in!I3)</f>
        <v>1.0719553732384082</v>
      </c>
      <c r="J3" s="127">
        <f>IF(SER_hh_tes_in!J3=0,"",SER_hh_tes_in!J3/SER_hh_fec_in!J3)</f>
        <v>0.96244309941670647</v>
      </c>
      <c r="K3" s="127">
        <f>IF(SER_hh_tes_in!K3=0,"",SER_hh_tes_in!K3/SER_hh_fec_in!K3)</f>
        <v>0.93364240795119513</v>
      </c>
      <c r="L3" s="127">
        <f>IF(SER_hh_tes_in!L3=0,"",SER_hh_tes_in!L3/SER_hh_fec_in!L3)</f>
        <v>0.96562264806491394</v>
      </c>
      <c r="M3" s="127">
        <f>IF(SER_hh_tes_in!M3=0,"",SER_hh_tes_in!M3/SER_hh_fec_in!M3)</f>
        <v>1.0322313334850521</v>
      </c>
      <c r="N3" s="127">
        <f>IF(SER_hh_tes_in!N3=0,"",SER_hh_tes_in!N3/SER_hh_fec_in!N3)</f>
        <v>1.1986484796656822</v>
      </c>
      <c r="O3" s="127">
        <f>IF(SER_hh_tes_in!O3=0,"",SER_hh_tes_in!O3/SER_hh_fec_in!O3)</f>
        <v>1.2326466428054115</v>
      </c>
      <c r="P3" s="127">
        <f>IF(SER_hh_tes_in!P3=0,"",SER_hh_tes_in!P3/SER_hh_fec_in!P3)</f>
        <v>1.1995455214460733</v>
      </c>
      <c r="Q3" s="127">
        <f>IF(SER_hh_tes_in!Q3=0,"",SER_hh_tes_in!Q3/SER_hh_fec_in!Q3)</f>
        <v>1.1491585550722336</v>
      </c>
      <c r="R3" s="127">
        <f>IF(SER_hh_tes_in!R3=0,"",SER_hh_tes_in!R3/SER_hh_fec_in!R3)</f>
        <v>1.1312396308438291</v>
      </c>
      <c r="S3" s="127">
        <f>IF(SER_hh_tes_in!S3=0,"",SER_hh_tes_in!S3/SER_hh_fec_in!S3)</f>
        <v>1.0293148096280582</v>
      </c>
      <c r="T3" s="127">
        <f>IF(SER_hh_tes_in!T3=0,"",SER_hh_tes_in!T3/SER_hh_fec_in!T3)</f>
        <v>0.96877149948130581</v>
      </c>
      <c r="U3" s="127">
        <f>IF(SER_hh_tes_in!U3=0,"",SER_hh_tes_in!U3/SER_hh_fec_in!U3)</f>
        <v>1.1027957189485902</v>
      </c>
      <c r="V3" s="127">
        <f>IF(SER_hh_tes_in!V3=0,"",SER_hh_tes_in!V3/SER_hh_fec_in!V3)</f>
        <v>1.2292646667066942</v>
      </c>
      <c r="W3" s="127">
        <f>IF(SER_hh_tes_in!W3=0,"",SER_hh_tes_in!W3/SER_hh_fec_in!W3)</f>
        <v>1.1846598839909801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0.68716849764544596</v>
      </c>
      <c r="D4" s="136">
        <f>IF(SER_hh_tes_in!D4=0,"",SER_hh_tes_in!D4/SER_hh_fec_in!D4)</f>
        <v>0.81980594938648566</v>
      </c>
      <c r="E4" s="136">
        <f>IF(SER_hh_tes_in!E4=0,"",SER_hh_tes_in!E4/SER_hh_fec_in!E4)</f>
        <v>0.81920507166713097</v>
      </c>
      <c r="F4" s="136">
        <f>IF(SER_hh_tes_in!F4=0,"",SER_hh_tes_in!F4/SER_hh_fec_in!F4)</f>
        <v>0.89297858720167467</v>
      </c>
      <c r="G4" s="136">
        <f>IF(SER_hh_tes_in!G4=0,"",SER_hh_tes_in!G4/SER_hh_fec_in!G4)</f>
        <v>0.83256287392222883</v>
      </c>
      <c r="H4" s="136">
        <f>IF(SER_hh_tes_in!H4=0,"",SER_hh_tes_in!H4/SER_hh_fec_in!H4)</f>
        <v>0.80639806911590861</v>
      </c>
      <c r="I4" s="136">
        <f>IF(SER_hh_tes_in!I4=0,"",SER_hh_tes_in!I4/SER_hh_fec_in!I4)</f>
        <v>0.88938715469181528</v>
      </c>
      <c r="J4" s="136">
        <f>IF(SER_hh_tes_in!J4=0,"",SER_hh_tes_in!J4/SER_hh_fec_in!J4)</f>
        <v>0.88435533086584694</v>
      </c>
      <c r="K4" s="136">
        <f>IF(SER_hh_tes_in!K4=0,"",SER_hh_tes_in!K4/SER_hh_fec_in!K4)</f>
        <v>0.83427852337367681</v>
      </c>
      <c r="L4" s="136">
        <f>IF(SER_hh_tes_in!L4=0,"",SER_hh_tes_in!L4/SER_hh_fec_in!L4)</f>
        <v>0.79648912834155972</v>
      </c>
      <c r="M4" s="136">
        <f>IF(SER_hh_tes_in!M4=0,"",SER_hh_tes_in!M4/SER_hh_fec_in!M4)</f>
        <v>0.93907771339218293</v>
      </c>
      <c r="N4" s="136">
        <f>IF(SER_hh_tes_in!N4=0,"",SER_hh_tes_in!N4/SER_hh_fec_in!N4)</f>
        <v>0.93552518715696187</v>
      </c>
      <c r="O4" s="136">
        <f>IF(SER_hh_tes_in!O4=0,"",SER_hh_tes_in!O4/SER_hh_fec_in!O4)</f>
        <v>1.3112557926327599</v>
      </c>
      <c r="P4" s="136">
        <f>IF(SER_hh_tes_in!P4=0,"",SER_hh_tes_in!P4/SER_hh_fec_in!P4)</f>
        <v>1.3247652663916147</v>
      </c>
      <c r="Q4" s="136">
        <f>IF(SER_hh_tes_in!Q4=0,"",SER_hh_tes_in!Q4/SER_hh_fec_in!Q4)</f>
        <v>0.97723466628700351</v>
      </c>
      <c r="R4" s="136">
        <f>IF(SER_hh_tes_in!R4=0,"",SER_hh_tes_in!R4/SER_hh_fec_in!R4)</f>
        <v>0.98086275243054399</v>
      </c>
      <c r="S4" s="136">
        <f>IF(SER_hh_tes_in!S4=0,"",SER_hh_tes_in!S4/SER_hh_fec_in!S4)</f>
        <v>0.80227340062068564</v>
      </c>
      <c r="T4" s="136">
        <f>IF(SER_hh_tes_in!T4=0,"",SER_hh_tes_in!T4/SER_hh_fec_in!T4)</f>
        <v>0.82388707652329107</v>
      </c>
      <c r="U4" s="136">
        <f>IF(SER_hh_tes_in!U4=0,"",SER_hh_tes_in!U4/SER_hh_fec_in!U4)</f>
        <v>1.0079128198680791</v>
      </c>
      <c r="V4" s="136">
        <f>IF(SER_hh_tes_in!V4=0,"",SER_hh_tes_in!V4/SER_hh_fec_in!V4)</f>
        <v>1.174092102905367</v>
      </c>
      <c r="W4" s="136">
        <f>IF(SER_hh_tes_in!W4=0,"",SER_hh_tes_in!W4/SER_hh_fec_in!W4)</f>
        <v>0.99940476328393657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0.53513197891590414</v>
      </c>
      <c r="D5" s="137">
        <f>IF(SER_hh_tes_in!D5=0,"",SER_hh_tes_in!D5/SER_hh_fec_in!D5)</f>
        <v>0.5427827939794293</v>
      </c>
      <c r="E5" s="137">
        <f>IF(SER_hh_tes_in!E5=0,"",SER_hh_tes_in!E5/SER_hh_fec_in!E5)</f>
        <v>0.55041793750413248</v>
      </c>
      <c r="F5" s="137">
        <f>IF(SER_hh_tes_in!F5=0,"",SER_hh_tes_in!F5/SER_hh_fec_in!F5)</f>
        <v>0.55805094400081467</v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>
        <f>IF(SER_hh_tes_in!J5=0,"",SER_hh_tes_in!J5/SER_hh_fec_in!J5)</f>
        <v>0.58842617308700906</v>
      </c>
      <c r="K5" s="137">
        <f>IF(SER_hh_tes_in!K5=0,"",SER_hh_tes_in!K5/SER_hh_fec_in!K5)</f>
        <v>0.59594857173048466</v>
      </c>
      <c r="L5" s="137">
        <f>IF(SER_hh_tes_in!L5=0,"",SER_hh_tes_in!L5/SER_hh_fec_in!L5)</f>
        <v>0.60342922553714884</v>
      </c>
      <c r="M5" s="137">
        <f>IF(SER_hh_tes_in!M5=0,"",SER_hh_tes_in!M5/SER_hh_fec_in!M5)</f>
        <v>0.61050578880915607</v>
      </c>
      <c r="N5" s="137">
        <f>IF(SER_hh_tes_in!N5=0,"",SER_hh_tes_in!N5/SER_hh_fec_in!N5)</f>
        <v>0.61705500426595339</v>
      </c>
      <c r="O5" s="137">
        <f>IF(SER_hh_tes_in!O5=0,"",SER_hh_tes_in!O5/SER_hh_fec_in!O5)</f>
        <v>0.62308644978844674</v>
      </c>
      <c r="P5" s="137">
        <f>IF(SER_hh_tes_in!P5=0,"",SER_hh_tes_in!P5/SER_hh_fec_in!P5)</f>
        <v>0.62902839776218755</v>
      </c>
      <c r="Q5" s="137">
        <f>IF(SER_hh_tes_in!Q5=0,"",SER_hh_tes_in!Q5/SER_hh_fec_in!Q5)</f>
        <v>0.63612721846603426</v>
      </c>
      <c r="R5" s="137">
        <f>IF(SER_hh_tes_in!R5=0,"",SER_hh_tes_in!R5/SER_hh_fec_in!R5)</f>
        <v>0.64598021366860037</v>
      </c>
      <c r="S5" s="137">
        <f>IF(SER_hh_tes_in!S5=0,"",SER_hh_tes_in!S5/SER_hh_fec_in!S5)</f>
        <v>0.65740271253176497</v>
      </c>
      <c r="T5" s="137">
        <f>IF(SER_hh_tes_in!T5=0,"",SER_hh_tes_in!T5/SER_hh_fec_in!T5)</f>
        <v>0.66934837928178192</v>
      </c>
      <c r="U5" s="137">
        <f>IF(SER_hh_tes_in!U5=0,"",SER_hh_tes_in!U5/SER_hh_fec_in!U5)</f>
        <v>0.68077087814493931</v>
      </c>
      <c r="V5" s="137">
        <f>IF(SER_hh_tes_in!V5=0,"",SER_hh_tes_in!V5/SER_hh_fec_in!V5)</f>
        <v>0.69062387334751008</v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0.45365389904993031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>
        <f>IF(SER_hh_tes_in!H7=0,"",SER_hh_tes_in!H7/SER_hh_fec_in!H7)</f>
        <v>0.48425958427261351</v>
      </c>
      <c r="I7" s="137">
        <f>IF(SER_hh_tes_in!I7=0,"",SER_hh_tes_in!I7/SER_hh_fec_in!I7)</f>
        <v>0.49082511644402671</v>
      </c>
      <c r="J7" s="137">
        <f>IF(SER_hh_tes_in!J7=0,"",SER_hh_tes_in!J7/SER_hh_fec_in!J7)</f>
        <v>0.49777867780147234</v>
      </c>
      <c r="K7" s="137">
        <f>IF(SER_hh_tes_in!K7=0,"",SER_hh_tes_in!K7/SER_hh_fec_in!K7)</f>
        <v>0.50528021489684294</v>
      </c>
      <c r="L7" s="137">
        <f>IF(SER_hh_tes_in!L7=0,"",SER_hh_tes_in!L7/SER_hh_fec_in!L7)</f>
        <v>0.51335895147262411</v>
      </c>
      <c r="M7" s="137" t="str">
        <f>IF(SER_hh_tes_in!M7=0,"",SER_hh_tes_in!M7/SER_hh_fec_in!M7)</f>
        <v/>
      </c>
      <c r="N7" s="137">
        <f>IF(SER_hh_tes_in!N7=0,"",SER_hh_tes_in!N7/SER_hh_fec_in!N7)</f>
        <v>0.54538325258160447</v>
      </c>
      <c r="O7" s="137">
        <f>IF(SER_hh_tes_in!O7=0,"",SER_hh_tes_in!O7/SER_hh_fec_in!O7)</f>
        <v>0.57128959004387225</v>
      </c>
      <c r="P7" s="137">
        <f>IF(SER_hh_tes_in!P7=0,"",SER_hh_tes_in!P7/SER_hh_fec_in!P7)</f>
        <v>0.60098764168242502</v>
      </c>
      <c r="Q7" s="137">
        <f>IF(SER_hh_tes_in!Q7=0,"",SER_hh_tes_in!Q7/SER_hh_fec_in!Q7)</f>
        <v>0.62556586115808388</v>
      </c>
      <c r="R7" s="137">
        <f>IF(SER_hh_tes_in!R7=0,"",SER_hh_tes_in!R7/SER_hh_fec_in!R7)</f>
        <v>0.63758777303212943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0.51769610489670026</v>
      </c>
      <c r="D9" s="137">
        <f>IF(SER_hh_tes_in!D9=0,"",SER_hh_tes_in!D9/SER_hh_fec_in!D9)</f>
        <v>0.5243593983335525</v>
      </c>
      <c r="E9" s="137">
        <f>IF(SER_hh_tes_in!E9=0,"",SER_hh_tes_in!E9/SER_hh_fec_in!E9)</f>
        <v>0.53102485742386296</v>
      </c>
      <c r="F9" s="137">
        <f>IF(SER_hh_tes_in!F9=0,"",SER_hh_tes_in!F9/SER_hh_fec_in!F9)</f>
        <v>0.53760806366643665</v>
      </c>
      <c r="G9" s="137">
        <f>IF(SER_hh_tes_in!G9=0,"",SER_hh_tes_in!G9/SER_hh_fec_in!G9)</f>
        <v>0.54418687660101273</v>
      </c>
      <c r="H9" s="137">
        <f>IF(SER_hh_tes_in!H9=0,"",SER_hh_tes_in!H9/SER_hh_fec_in!H9)</f>
        <v>0.55075257442558923</v>
      </c>
      <c r="I9" s="137">
        <f>IF(SER_hh_tes_in!I9=0,"",SER_hh_tes_in!I9/SER_hh_fec_in!I9)</f>
        <v>0.55732515843256869</v>
      </c>
      <c r="J9" s="137">
        <f>IF(SER_hh_tes_in!J9=0,"",SER_hh_tes_in!J9/SER_hh_fec_in!J9)</f>
        <v>0.56398469813570395</v>
      </c>
      <c r="K9" s="137">
        <f>IF(SER_hh_tes_in!K9=0,"",SER_hh_tes_in!K9/SER_hh_fec_in!K9)</f>
        <v>0.57080029186305914</v>
      </c>
      <c r="L9" s="137">
        <f>IF(SER_hh_tes_in!L9=0,"",SER_hh_tes_in!L9/SER_hh_fec_in!L9)</f>
        <v>0.57779221009601633</v>
      </c>
      <c r="M9" s="137">
        <f>IF(SER_hh_tes_in!M9=0,"",SER_hh_tes_in!M9/SER_hh_fec_in!M9)</f>
        <v>0.58672958208721426</v>
      </c>
      <c r="N9" s="137">
        <f>IF(SER_hh_tes_in!N9=0,"",SER_hh_tes_in!N9/SER_hh_fec_in!N9)</f>
        <v>0.59819817501298633</v>
      </c>
      <c r="O9" s="137">
        <f>IF(SER_hh_tes_in!O9=0,"",SER_hh_tes_in!O9/SER_hh_fec_in!O9)</f>
        <v>0.61253660070573401</v>
      </c>
      <c r="P9" s="137">
        <f>IF(SER_hh_tes_in!P9=0,"",SER_hh_tes_in!P9/SER_hh_fec_in!P9)</f>
        <v>0.62846104598341213</v>
      </c>
      <c r="Q9" s="137">
        <f>IF(SER_hh_tes_in!Q9=0,"",SER_hh_tes_in!Q9/SER_hh_fec_in!Q9)</f>
        <v>0.64196401362949229</v>
      </c>
      <c r="R9" s="137">
        <f>IF(SER_hh_tes_in!R9=0,"",SER_hh_tes_in!R9/SER_hh_fec_in!R9)</f>
        <v>0.64963871133761353</v>
      </c>
      <c r="S9" s="137">
        <f>IF(SER_hh_tes_in!S9=0,"",SER_hh_tes_in!S9/SER_hh_fec_in!S9)</f>
        <v>0.65556314386451264</v>
      </c>
      <c r="T9" s="137">
        <f>IF(SER_hh_tes_in!T9=0,"",SER_hh_tes_in!T9/SER_hh_fec_in!T9)</f>
        <v>0.66028425655433698</v>
      </c>
      <c r="U9" s="137">
        <f>IF(SER_hh_tes_in!U9=0,"",SER_hh_tes_in!U9/SER_hh_fec_in!U9)</f>
        <v>0.66421523961320017</v>
      </c>
      <c r="V9" s="137">
        <f>IF(SER_hh_tes_in!V9=0,"",SER_hh_tes_in!V9/SER_hh_fec_in!V9)</f>
        <v>0.66762784947908849</v>
      </c>
      <c r="W9" s="137">
        <f>IF(SER_hh_tes_in!W9=0,"",SER_hh_tes_in!W9/SER_hh_fec_in!W9)</f>
        <v>0.66998880667321936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>
        <f>IF(SER_hh_tes_in!D10=0,"",SER_hh_tes_in!D10/SER_hh_fec_in!D10)</f>
        <v>0.47444409025495826</v>
      </c>
      <c r="E10" s="137">
        <f>IF(SER_hh_tes_in!E10=0,"",SER_hh_tes_in!E10/SER_hh_fec_in!E10)</f>
        <v>0.47468413588124375</v>
      </c>
      <c r="F10" s="137">
        <f>IF(SER_hh_tes_in!F10=0,"",SER_hh_tes_in!F10/SER_hh_fec_in!F10)</f>
        <v>0.4749262112505872</v>
      </c>
      <c r="G10" s="137">
        <f>IF(SER_hh_tes_in!G10=0,"",SER_hh_tes_in!G10/SER_hh_fec_in!G10)</f>
        <v>0.47517008697857127</v>
      </c>
      <c r="H10" s="137">
        <f>IF(SER_hh_tes_in!H10=0,"",SER_hh_tes_in!H10/SER_hh_fec_in!H10)</f>
        <v>0.47541548977149617</v>
      </c>
      <c r="I10" s="137">
        <f>IF(SER_hh_tes_in!I10=0,"",SER_hh_tes_in!I10/SER_hh_fec_in!I10)</f>
        <v>0.47566206026753149</v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>
        <f>IF(SER_hh_tes_in!L10=0,"",SER_hh_tes_in!L10/SER_hh_fec_in!L10)</f>
        <v>0.47640014426258459</v>
      </c>
      <c r="M10" s="137">
        <f>IF(SER_hh_tes_in!M10=0,"",SER_hh_tes_in!M10/SER_hh_fec_in!M10)</f>
        <v>0.47662558559404772</v>
      </c>
      <c r="N10" s="137">
        <f>IF(SER_hh_tes_in!N10=0,"",SER_hh_tes_in!N10/SER_hh_fec_in!N10)</f>
        <v>0.47682212008043584</v>
      </c>
      <c r="O10" s="137">
        <f>IF(SER_hh_tes_in!O10=0,"",SER_hh_tes_in!O10/SER_hh_fec_in!O10)</f>
        <v>0.47698457659305016</v>
      </c>
      <c r="P10" s="137" t="str">
        <f>IF(SER_hh_tes_in!P10=0,"",SER_hh_tes_in!P10/SER_hh_fec_in!P10)</f>
        <v/>
      </c>
      <c r="Q10" s="137">
        <f>IF(SER_hh_tes_in!Q10=0,"",SER_hh_tes_in!Q10/SER_hh_fec_in!Q10)</f>
        <v>0.47729628132232943</v>
      </c>
      <c r="R10" s="137">
        <f>IF(SER_hh_tes_in!R10=0,"",SER_hh_tes_in!R10/SER_hh_fec_in!R10)</f>
        <v>0.47754606765250751</v>
      </c>
      <c r="S10" s="137">
        <f>IF(SER_hh_tes_in!S10=0,"",SER_hh_tes_in!S10/SER_hh_fec_in!S10)</f>
        <v>0.47782602097231636</v>
      </c>
      <c r="T10" s="137">
        <f>IF(SER_hh_tes_in!T10=0,"",SER_hh_tes_in!T10/SER_hh_fec_in!T10)</f>
        <v>0.47810733222218699</v>
      </c>
      <c r="U10" s="137">
        <f>IF(SER_hh_tes_in!U10=0,"",SER_hh_tes_in!U10/SER_hh_fec_in!U10)</f>
        <v>0.47836645769907687</v>
      </c>
      <c r="V10" s="137">
        <f>IF(SER_hh_tes_in!V10=0,"",SER_hh_tes_in!V10/SER_hh_fec_in!V10)</f>
        <v>0.47858366355872306</v>
      </c>
      <c r="W10" s="137">
        <f>IF(SER_hh_tes_in!W10=0,"",SER_hh_tes_in!W10/SER_hh_fec_in!W10)</f>
        <v>0.47875837559914503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>
        <f>IF(SER_hh_tes_in!G11=0,"",SER_hh_tes_in!G11/SER_hh_fec_in!G11)</f>
        <v>0.79936320463913635</v>
      </c>
      <c r="H11" s="137">
        <f>IF(SER_hh_tes_in!H11=0,"",SER_hh_tes_in!H11/SER_hh_fec_in!H11)</f>
        <v>0.80396069583218466</v>
      </c>
      <c r="I11" s="137">
        <f>IF(SER_hh_tes_in!I11=0,"",SER_hh_tes_in!I11/SER_hh_fec_in!I11)</f>
        <v>0.80855889945699511</v>
      </c>
      <c r="J11" s="137">
        <f>IF(SER_hh_tes_in!J11=0,"",SER_hh_tes_in!J11/SER_hh_fec_in!J11)</f>
        <v>0.8131583696271607</v>
      </c>
      <c r="K11" s="137">
        <f>IF(SER_hh_tes_in!K11=0,"",SER_hh_tes_in!K11/SER_hh_fec_in!K11)</f>
        <v>0.81775957748498251</v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>
        <f>IF(SER_hh_tes_in!N11=0,"",SER_hh_tes_in!N11/SER_hh_fec_in!N11)</f>
        <v>0.83173405986036708</v>
      </c>
      <c r="O11" s="137">
        <f>IF(SER_hh_tes_in!O11=0,"",SER_hh_tes_in!O11/SER_hh_fec_in!O11)</f>
        <v>0.83649861030778661</v>
      </c>
      <c r="P11" s="137">
        <f>IF(SER_hh_tes_in!P11=0,"",SER_hh_tes_in!P11/SER_hh_fec_in!P11)</f>
        <v>0.8412089694639231</v>
      </c>
      <c r="Q11" s="137">
        <f>IF(SER_hh_tes_in!Q11=0,"",SER_hh_tes_in!Q11/SER_hh_fec_in!Q11)</f>
        <v>0.84558807853845375</v>
      </c>
      <c r="R11" s="137">
        <f>IF(SER_hh_tes_in!R11=0,"",SER_hh_tes_in!R11/SER_hh_fec_in!R11)</f>
        <v>0.84940856839719692</v>
      </c>
      <c r="S11" s="137">
        <f>IF(SER_hh_tes_in!S11=0,"",SER_hh_tes_in!S11/SER_hh_fec_in!S11)</f>
        <v>0.85292677179542642</v>
      </c>
      <c r="T11" s="137">
        <f>IF(SER_hh_tes_in!T11=0,"",SER_hh_tes_in!T11/SER_hh_fec_in!T11)</f>
        <v>0.85620438624464124</v>
      </c>
      <c r="U11" s="137">
        <f>IF(SER_hh_tes_in!U11=0,"",SER_hh_tes_in!U11/SER_hh_fec_in!U11)</f>
        <v>0.85930310925635167</v>
      </c>
      <c r="V11" s="137">
        <f>IF(SER_hh_tes_in!V11=0,"",SER_hh_tes_in!V11/SER_hh_fec_in!V11)</f>
        <v>0.86228463834206259</v>
      </c>
      <c r="W11" s="137">
        <f>IF(SER_hh_tes_in!W11=0,"",SER_hh_tes_in!W11/SER_hh_fec_in!W11)</f>
        <v>0.86507229563255161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0.70172203876313921</v>
      </c>
      <c r="D12" s="137">
        <f>IF(SER_hh_tes_in!D12=0,"",SER_hh_tes_in!D12/SER_hh_fec_in!D12)</f>
        <v>0.70399941660860588</v>
      </c>
      <c r="E12" s="137">
        <f>IF(SER_hh_tes_in!E12=0,"",SER_hh_tes_in!E12/SER_hh_fec_in!E12)</f>
        <v>0.70633827771441637</v>
      </c>
      <c r="F12" s="137">
        <f>IF(SER_hh_tes_in!F12=0,"",SER_hh_tes_in!F12/SER_hh_fec_in!F12)</f>
        <v>0.70868552290118303</v>
      </c>
      <c r="G12" s="137" t="str">
        <f>IF(SER_hh_tes_in!G12=0,"",SER_hh_tes_in!G12/SER_hh_fec_in!G12)</f>
        <v/>
      </c>
      <c r="H12" s="137">
        <f>IF(SER_hh_tes_in!H12=0,"",SER_hh_tes_in!H12/SER_hh_fec_in!H12)</f>
        <v>0.71354397690961924</v>
      </c>
      <c r="I12" s="137">
        <f>IF(SER_hh_tes_in!I12=0,"",SER_hh_tes_in!I12/SER_hh_fec_in!I12)</f>
        <v>0.71606116790660135</v>
      </c>
      <c r="J12" s="137" t="str">
        <f>IF(SER_hh_tes_in!J12=0,"",SER_hh_tes_in!J12/SER_hh_fec_in!J12)</f>
        <v/>
      </c>
      <c r="K12" s="137">
        <f>IF(SER_hh_tes_in!K12=0,"",SER_hh_tes_in!K12/SER_hh_fec_in!K12)</f>
        <v>0.72147084275486928</v>
      </c>
      <c r="L12" s="137">
        <f>IF(SER_hh_tes_in!L12=0,"",SER_hh_tes_in!L12/SER_hh_fec_in!L12)</f>
        <v>0.72441580461844435</v>
      </c>
      <c r="M12" s="137">
        <f>IF(SER_hh_tes_in!M12=0,"",SER_hh_tes_in!M12/SER_hh_fec_in!M12)</f>
        <v>0.72849347197050696</v>
      </c>
      <c r="N12" s="137">
        <f>IF(SER_hh_tes_in!N12=0,"",SER_hh_tes_in!N12/SER_hh_fec_in!N12)</f>
        <v>0.73401019627533148</v>
      </c>
      <c r="O12" s="137">
        <f>IF(SER_hh_tes_in!O12=0,"",SER_hh_tes_in!O12/SER_hh_fec_in!O12)</f>
        <v>0.7412345318174548</v>
      </c>
      <c r="P12" s="137">
        <f>IF(SER_hh_tes_in!P12=0,"",SER_hh_tes_in!P12/SER_hh_fec_in!P12)</f>
        <v>0.74965553438090793</v>
      </c>
      <c r="Q12" s="137">
        <f>IF(SER_hh_tes_in!Q12=0,"",SER_hh_tes_in!Q12/SER_hh_fec_in!Q12)</f>
        <v>0.75760055708715002</v>
      </c>
      <c r="R12" s="137">
        <f>IF(SER_hh_tes_in!R12=0,"",SER_hh_tes_in!R12/SER_hh_fec_in!R12)</f>
        <v>0.76368856281491881</v>
      </c>
      <c r="S12" s="137">
        <f>IF(SER_hh_tes_in!S12=0,"",SER_hh_tes_in!S12/SER_hh_fec_in!S12)</f>
        <v>0.76961117466644158</v>
      </c>
      <c r="T12" s="137">
        <f>IF(SER_hh_tes_in!T12=0,"",SER_hh_tes_in!T12/SER_hh_fec_in!T12)</f>
        <v>0.77532882028879768</v>
      </c>
      <c r="U12" s="137">
        <f>IF(SER_hh_tes_in!U12=0,"",SER_hh_tes_in!U12/SER_hh_fec_in!U12)</f>
        <v>0.78080192732908482</v>
      </c>
      <c r="V12" s="137">
        <f>IF(SER_hh_tes_in!V12=0,"",SER_hh_tes_in!V12/SER_hh_fec_in!V12)</f>
        <v>0.78599092343439325</v>
      </c>
      <c r="W12" s="137">
        <f>IF(SER_hh_tes_in!W12=0,"",SER_hh_tes_in!W12/SER_hh_fec_in!W12)</f>
        <v>0.79077098900127518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1.340547633426886</v>
      </c>
      <c r="D13" s="137">
        <f>IF(SER_hh_tes_in!D13=0,"",SER_hh_tes_in!D13/SER_hh_fec_in!D13)</f>
        <v>1.4451171462354939</v>
      </c>
      <c r="E13" s="137">
        <f>IF(SER_hh_tes_in!E13=0,"",SER_hh_tes_in!E13/SER_hh_fec_in!E13)</f>
        <v>1.5526815473196578</v>
      </c>
      <c r="F13" s="137">
        <f>IF(SER_hh_tes_in!F13=0,"",SER_hh_tes_in!F13/SER_hh_fec_in!F13)</f>
        <v>1.6627937079018096</v>
      </c>
      <c r="G13" s="137">
        <f>IF(SER_hh_tes_in!G13=0,"",SER_hh_tes_in!G13/SER_hh_fec_in!G13)</f>
        <v>1.7758250976208267</v>
      </c>
      <c r="H13" s="137">
        <f>IF(SER_hh_tes_in!H13=0,"",SER_hh_tes_in!H13/SER_hh_fec_in!H13)</f>
        <v>1.8917056239099688</v>
      </c>
      <c r="I13" s="137">
        <f>IF(SER_hh_tes_in!I13=0,"",SER_hh_tes_in!I13/SER_hh_fec_in!I13)</f>
        <v>2.0105011631198071</v>
      </c>
      <c r="J13" s="137">
        <f>IF(SER_hh_tes_in!J13=0,"",SER_hh_tes_in!J13/SER_hh_fec_in!J13)</f>
        <v>2.1325387237960136</v>
      </c>
      <c r="K13" s="137">
        <f>IF(SER_hh_tes_in!K13=0,"",SER_hh_tes_in!K13/SER_hh_fec_in!K13)</f>
        <v>2.2580603172928142</v>
      </c>
      <c r="L13" s="137">
        <f>IF(SER_hh_tes_in!L13=0,"",SER_hh_tes_in!L13/SER_hh_fec_in!L13)</f>
        <v>2.3870654269606097</v>
      </c>
      <c r="M13" s="137">
        <f>IF(SER_hh_tes_in!M13=0,"",SER_hh_tes_in!M13/SER_hh_fec_in!M13)</f>
        <v>2.5289167090629752</v>
      </c>
      <c r="N13" s="137">
        <f>IF(SER_hh_tes_in!N13=0,"",SER_hh_tes_in!N13/SER_hh_fec_in!N13)</f>
        <v>2.6859925741469262</v>
      </c>
      <c r="O13" s="137">
        <f>IF(SER_hh_tes_in!O13=0,"",SER_hh_tes_in!O13/SER_hh_fec_in!O13)</f>
        <v>2.8567058307185031</v>
      </c>
      <c r="P13" s="137">
        <f>IF(SER_hh_tes_in!P13=0,"",SER_hh_tes_in!P13/SER_hh_fec_in!P13)</f>
        <v>3.0280592642018291</v>
      </c>
      <c r="Q13" s="137">
        <f>IF(SER_hh_tes_in!Q13=0,"",SER_hh_tes_in!Q13/SER_hh_fec_in!Q13)</f>
        <v>3.168524068381211</v>
      </c>
      <c r="R13" s="137">
        <f>IF(SER_hh_tes_in!R13=0,"",SER_hh_tes_in!R13/SER_hh_fec_in!R13)</f>
        <v>3.223481382188135</v>
      </c>
      <c r="S13" s="137">
        <f>IF(SER_hh_tes_in!S13=0,"",SER_hh_tes_in!S13/SER_hh_fec_in!S13)</f>
        <v>3.2582672048214656</v>
      </c>
      <c r="T13" s="137">
        <f>IF(SER_hh_tes_in!T13=0,"",SER_hh_tes_in!T13/SER_hh_fec_in!T13)</f>
        <v>3.2805776475203219</v>
      </c>
      <c r="U13" s="137">
        <f>IF(SER_hh_tes_in!U13=0,"",SER_hh_tes_in!U13/SER_hh_fec_in!U13)</f>
        <v>3.298333699897952</v>
      </c>
      <c r="V13" s="137">
        <f>IF(SER_hh_tes_in!V13=0,"",SER_hh_tes_in!V13/SER_hh_fec_in!V13)</f>
        <v>3.3197674903951597</v>
      </c>
      <c r="W13" s="137">
        <f>IF(SER_hh_tes_in!W13=0,"",SER_hh_tes_in!W13/SER_hh_fec_in!W13)</f>
        <v>3.3442706964931972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0.63641947983217284</v>
      </c>
      <c r="D14" s="138">
        <f>IF(SER_hh_tes_in!D14=0,"",SER_hh_tes_in!D14/SER_hh_fec_in!D14)</f>
        <v>0.64057829434022162</v>
      </c>
      <c r="E14" s="138">
        <f>IF(SER_hh_tes_in!E14=0,"",SER_hh_tes_in!E14/SER_hh_fec_in!E14)</f>
        <v>0.64484380578255729</v>
      </c>
      <c r="F14" s="138">
        <f>IF(SER_hh_tes_in!F14=0,"",SER_hh_tes_in!F14/SER_hh_fec_in!F14)</f>
        <v>0.6491237280330332</v>
      </c>
      <c r="G14" s="138" t="str">
        <f>IF(SER_hh_tes_in!G14=0,"",SER_hh_tes_in!G14/SER_hh_fec_in!G14)</f>
        <v/>
      </c>
      <c r="H14" s="138">
        <f>IF(SER_hh_tes_in!H14=0,"",SER_hh_tes_in!H14/SER_hh_fec_in!H14)</f>
        <v>0.65796784432504096</v>
      </c>
      <c r="I14" s="138">
        <f>IF(SER_hh_tes_in!I14=0,"",SER_hh_tes_in!I14/SER_hh_fec_in!I14)</f>
        <v>0.66254228366636791</v>
      </c>
      <c r="J14" s="138">
        <f>IF(SER_hh_tes_in!J14=0,"",SER_hh_tes_in!J14/SER_hh_fec_in!J14)</f>
        <v>0.66730952774052588</v>
      </c>
      <c r="K14" s="138">
        <f>IF(SER_hh_tes_in!K14=0,"",SER_hh_tes_in!K14/SER_hh_fec_in!K14)</f>
        <v>0.67234106177786479</v>
      </c>
      <c r="L14" s="138">
        <f>IF(SER_hh_tes_in!L14=0,"",SER_hh_tes_in!L14/SER_hh_fec_in!L14)</f>
        <v>0.6776555050813059</v>
      </c>
      <c r="M14" s="138">
        <f>IF(SER_hh_tes_in!M14=0,"",SER_hh_tes_in!M14/SER_hh_fec_in!M14)</f>
        <v>0.68472156970467823</v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0.75205998358619386</v>
      </c>
      <c r="S14" s="138">
        <f>IF(SER_hh_tes_in!S14=0,"",SER_hh_tes_in!S14/SER_hh_fec_in!S14)</f>
        <v>0.77118094391254544</v>
      </c>
      <c r="T14" s="138">
        <f>IF(SER_hh_tes_in!T14=0,"",SER_hh_tes_in!T14/SER_hh_fec_in!T14)</f>
        <v>0.79052811063742878</v>
      </c>
      <c r="U14" s="138">
        <f>IF(SER_hh_tes_in!U14=0,"",SER_hh_tes_in!U14/SER_hh_fec_in!U14)</f>
        <v>0.80763352107541353</v>
      </c>
      <c r="V14" s="138">
        <f>IF(SER_hh_tes_in!V14=0,"",SER_hh_tes_in!V14/SER_hh_fec_in!V14)</f>
        <v>0.82002212766233873</v>
      </c>
      <c r="W14" s="138">
        <f>IF(SER_hh_tes_in!W14=0,"",SER_hh_tes_in!W14/SER_hh_fec_in!W14)</f>
        <v>0.82624562501361398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2.0505151861882047</v>
      </c>
      <c r="D16" s="136">
        <f>IF(SER_hh_tes_in!D16=0,"",SER_hh_tes_in!D16/SER_hh_fec_in!D16)</f>
        <v>2.1130817025930146</v>
      </c>
      <c r="E16" s="136">
        <f>IF(SER_hh_tes_in!E16=0,"",SER_hh_tes_in!E16/SER_hh_fec_in!E16)</f>
        <v>2.1763088352540372</v>
      </c>
      <c r="F16" s="136">
        <f>IF(SER_hh_tes_in!F16=0,"",SER_hh_tes_in!F16/SER_hh_fec_in!F16)</f>
        <v>2.2396038720394746</v>
      </c>
      <c r="G16" s="136">
        <f>IF(SER_hh_tes_in!G16=0,"",SER_hh_tes_in!G16/SER_hh_fec_in!G16)</f>
        <v>2.3035003683109574</v>
      </c>
      <c r="H16" s="136">
        <f>IF(SER_hh_tes_in!H16=0,"",SER_hh_tes_in!H16/SER_hh_fec_in!H16)</f>
        <v>2.3679295562334146</v>
      </c>
      <c r="I16" s="136">
        <f>IF(SER_hh_tes_in!I16=0,"",SER_hh_tes_in!I16/SER_hh_fec_in!I16)</f>
        <v>2.4330192997658648</v>
      </c>
      <c r="J16" s="136">
        <f>IF(SER_hh_tes_in!J16=0,"",SER_hh_tes_in!J16/SER_hh_fec_in!J16)</f>
        <v>2.4993014551397197</v>
      </c>
      <c r="K16" s="136">
        <f>IF(SER_hh_tes_in!K16=0,"",SER_hh_tes_in!K16/SER_hh_fec_in!K16)</f>
        <v>2.5672232184322659</v>
      </c>
      <c r="L16" s="136">
        <f>IF(SER_hh_tes_in!L16=0,"",SER_hh_tes_in!L16/SER_hh_fec_in!L16)</f>
        <v>2.6368951562549996</v>
      </c>
      <c r="M16" s="136">
        <f>IF(SER_hh_tes_in!M16=0,"",SER_hh_tes_in!M16/SER_hh_fec_in!M16)</f>
        <v>2.7201117208800594</v>
      </c>
      <c r="N16" s="136">
        <f>IF(SER_hh_tes_in!N16=0,"",SER_hh_tes_in!N16/SER_hh_fec_in!N16)</f>
        <v>2.8207327652604866</v>
      </c>
      <c r="O16" s="136">
        <f>IF(SER_hh_tes_in!O16=0,"",SER_hh_tes_in!O16/SER_hh_fec_in!O16)</f>
        <v>2.9408922006529643</v>
      </c>
      <c r="P16" s="136">
        <f>IF(SER_hh_tes_in!P16=0,"",SER_hh_tes_in!P16/SER_hh_fec_in!P16)</f>
        <v>3.0712025209320011</v>
      </c>
      <c r="Q16" s="136">
        <f>IF(SER_hh_tes_in!Q16=0,"",SER_hh_tes_in!Q16/SER_hh_fec_in!Q16)</f>
        <v>3.1831890712875075</v>
      </c>
      <c r="R16" s="136">
        <f>IF(SER_hh_tes_in!R16=0,"",SER_hh_tes_in!R16/SER_hh_fec_in!R16)</f>
        <v>3.2534447537880289</v>
      </c>
      <c r="S16" s="136">
        <f>IF(SER_hh_tes_in!S16=0,"",SER_hh_tes_in!S16/SER_hh_fec_in!S16)</f>
        <v>3.3093648275463807</v>
      </c>
      <c r="T16" s="136">
        <f>IF(SER_hh_tes_in!T16=0,"",SER_hh_tes_in!T16/SER_hh_fec_in!T16)</f>
        <v>3.3560881778892742</v>
      </c>
      <c r="U16" s="136">
        <f>IF(SER_hh_tes_in!U16=0,"",SER_hh_tes_in!U16/SER_hh_fec_in!U16)</f>
        <v>3.3986237941766246</v>
      </c>
      <c r="V16" s="136">
        <f>IF(SER_hh_tes_in!V16=0,"",SER_hh_tes_in!V16/SER_hh_fec_in!V16)</f>
        <v>3.4419935080615427</v>
      </c>
      <c r="W16" s="136">
        <f>IF(SER_hh_tes_in!W16=0,"",SER_hh_tes_in!W16/SER_hh_fec_in!W16)</f>
        <v>3.4844530637674946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2.0505151861882047</v>
      </c>
      <c r="D18" s="137">
        <f>IF(SER_hh_tes_in!D18=0,"",SER_hh_tes_in!D18/SER_hh_fec_in!D18)</f>
        <v>2.1130817025930146</v>
      </c>
      <c r="E18" s="137">
        <f>IF(SER_hh_tes_in!E18=0,"",SER_hh_tes_in!E18/SER_hh_fec_in!E18)</f>
        <v>2.1763088352540372</v>
      </c>
      <c r="F18" s="137">
        <f>IF(SER_hh_tes_in!F18=0,"",SER_hh_tes_in!F18/SER_hh_fec_in!F18)</f>
        <v>2.2396038720394746</v>
      </c>
      <c r="G18" s="137">
        <f>IF(SER_hh_tes_in!G18=0,"",SER_hh_tes_in!G18/SER_hh_fec_in!G18)</f>
        <v>2.3035003683109574</v>
      </c>
      <c r="H18" s="137">
        <f>IF(SER_hh_tes_in!H18=0,"",SER_hh_tes_in!H18/SER_hh_fec_in!H18)</f>
        <v>2.3679295562334146</v>
      </c>
      <c r="I18" s="137">
        <f>IF(SER_hh_tes_in!I18=0,"",SER_hh_tes_in!I18/SER_hh_fec_in!I18)</f>
        <v>2.4330192997658648</v>
      </c>
      <c r="J18" s="137">
        <f>IF(SER_hh_tes_in!J18=0,"",SER_hh_tes_in!J18/SER_hh_fec_in!J18)</f>
        <v>2.4993014551397197</v>
      </c>
      <c r="K18" s="137">
        <f>IF(SER_hh_tes_in!K18=0,"",SER_hh_tes_in!K18/SER_hh_fec_in!K18)</f>
        <v>2.5672232184322659</v>
      </c>
      <c r="L18" s="137">
        <f>IF(SER_hh_tes_in!L18=0,"",SER_hh_tes_in!L18/SER_hh_fec_in!L18)</f>
        <v>2.6368951562549996</v>
      </c>
      <c r="M18" s="137">
        <f>IF(SER_hh_tes_in!M18=0,"",SER_hh_tes_in!M18/SER_hh_fec_in!M18)</f>
        <v>2.7201117208800594</v>
      </c>
      <c r="N18" s="137">
        <f>IF(SER_hh_tes_in!N18=0,"",SER_hh_tes_in!N18/SER_hh_fec_in!N18)</f>
        <v>2.8207327652604866</v>
      </c>
      <c r="O18" s="137">
        <f>IF(SER_hh_tes_in!O18=0,"",SER_hh_tes_in!O18/SER_hh_fec_in!O18)</f>
        <v>2.9408922006529643</v>
      </c>
      <c r="P18" s="137">
        <f>IF(SER_hh_tes_in!P18=0,"",SER_hh_tes_in!P18/SER_hh_fec_in!P18)</f>
        <v>3.0712025209320011</v>
      </c>
      <c r="Q18" s="137">
        <f>IF(SER_hh_tes_in!Q18=0,"",SER_hh_tes_in!Q18/SER_hh_fec_in!Q18)</f>
        <v>3.1831890712875075</v>
      </c>
      <c r="R18" s="137">
        <f>IF(SER_hh_tes_in!R18=0,"",SER_hh_tes_in!R18/SER_hh_fec_in!R18)</f>
        <v>3.2534447537880289</v>
      </c>
      <c r="S18" s="137">
        <f>IF(SER_hh_tes_in!S18=0,"",SER_hh_tes_in!S18/SER_hh_fec_in!S18)</f>
        <v>3.3093648275463807</v>
      </c>
      <c r="T18" s="137">
        <f>IF(SER_hh_tes_in!T18=0,"",SER_hh_tes_in!T18/SER_hh_fec_in!T18)</f>
        <v>3.3560881778892742</v>
      </c>
      <c r="U18" s="137">
        <f>IF(SER_hh_tes_in!U18=0,"",SER_hh_tes_in!U18/SER_hh_fec_in!U18)</f>
        <v>3.3986237941766246</v>
      </c>
      <c r="V18" s="137">
        <f>IF(SER_hh_tes_in!V18=0,"",SER_hh_tes_in!V18/SER_hh_fec_in!V18)</f>
        <v>3.4419935080615427</v>
      </c>
      <c r="W18" s="137">
        <f>IF(SER_hh_tes_in!W18=0,"",SER_hh_tes_in!W18/SER_hh_fec_in!W18)</f>
        <v>3.4844530637674946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0.58885154174227616</v>
      </c>
      <c r="D19" s="136">
        <f>IF(SER_hh_tes_in!D19=0,"",SER_hh_tes_in!D19/SER_hh_fec_in!D19)</f>
        <v>0.59733611473740345</v>
      </c>
      <c r="E19" s="136">
        <f>IF(SER_hh_tes_in!E19=0,"",SER_hh_tes_in!E19/SER_hh_fec_in!E19)</f>
        <v>0.60190760412261446</v>
      </c>
      <c r="F19" s="136">
        <f>IF(SER_hh_tes_in!F19=0,"",SER_hh_tes_in!F19/SER_hh_fec_in!F19)</f>
        <v>0.60148555933698633</v>
      </c>
      <c r="G19" s="136">
        <f>IF(SER_hh_tes_in!G19=0,"",SER_hh_tes_in!G19/SER_hh_fec_in!G19)</f>
        <v>0.59814834930668725</v>
      </c>
      <c r="H19" s="136">
        <f>IF(SER_hh_tes_in!H19=0,"",SER_hh_tes_in!H19/SER_hh_fec_in!H19)</f>
        <v>0.59298868724016141</v>
      </c>
      <c r="I19" s="136">
        <f>IF(SER_hh_tes_in!I19=0,"",SER_hh_tes_in!I19/SER_hh_fec_in!I19)</f>
        <v>0.58868068395021134</v>
      </c>
      <c r="J19" s="136">
        <f>IF(SER_hh_tes_in!J19=0,"",SER_hh_tes_in!J19/SER_hh_fec_in!J19)</f>
        <v>0.59540018039132214</v>
      </c>
      <c r="K19" s="136">
        <f>IF(SER_hh_tes_in!K19=0,"",SER_hh_tes_in!K19/SER_hh_fec_in!K19)</f>
        <v>0.60316904460761323</v>
      </c>
      <c r="L19" s="136">
        <f>IF(SER_hh_tes_in!L19=0,"",SER_hh_tes_in!L19/SER_hh_fec_in!L19)</f>
        <v>0.82116424917981357</v>
      </c>
      <c r="M19" s="136">
        <f>IF(SER_hh_tes_in!M19=0,"",SER_hh_tes_in!M19/SER_hh_fec_in!M19)</f>
        <v>0.78274606854183548</v>
      </c>
      <c r="N19" s="136">
        <f>IF(SER_hh_tes_in!N19=0,"",SER_hh_tes_in!N19/SER_hh_fec_in!N19)</f>
        <v>0.78692059204272002</v>
      </c>
      <c r="O19" s="136">
        <f>IF(SER_hh_tes_in!O19=0,"",SER_hh_tes_in!O19/SER_hh_fec_in!O19)</f>
        <v>0.8283710977990727</v>
      </c>
      <c r="P19" s="136">
        <f>IF(SER_hh_tes_in!P19=0,"",SER_hh_tes_in!P19/SER_hh_fec_in!P19)</f>
        <v>0.75453833074220023</v>
      </c>
      <c r="Q19" s="136">
        <f>IF(SER_hh_tes_in!Q19=0,"",SER_hh_tes_in!Q19/SER_hh_fec_in!Q19)</f>
        <v>0.82992612117759956</v>
      </c>
      <c r="R19" s="136">
        <f>IF(SER_hh_tes_in!R19=0,"",SER_hh_tes_in!R19/SER_hh_fec_in!R19)</f>
        <v>0.82447223643638046</v>
      </c>
      <c r="S19" s="136">
        <f>IF(SER_hh_tes_in!S19=0,"",SER_hh_tes_in!S19/SER_hh_fec_in!S19)</f>
        <v>0.83192001292491524</v>
      </c>
      <c r="T19" s="136">
        <f>IF(SER_hh_tes_in!T19=0,"",SER_hh_tes_in!T19/SER_hh_fec_in!T19)</f>
        <v>0.81228274736640549</v>
      </c>
      <c r="U19" s="136">
        <f>IF(SER_hh_tes_in!U19=0,"",SER_hh_tes_in!U19/SER_hh_fec_in!U19)</f>
        <v>0.84692373031301682</v>
      </c>
      <c r="V19" s="136">
        <f>IF(SER_hh_tes_in!V19=0,"",SER_hh_tes_in!V19/SER_hh_fec_in!V19)</f>
        <v>0.88096993046911953</v>
      </c>
      <c r="W19" s="136">
        <f>IF(SER_hh_tes_in!W19=0,"",SER_hh_tes_in!W19/SER_hh_fec_in!W19)</f>
        <v>0.86895662641779503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0.45517381895542702</v>
      </c>
      <c r="D22" s="137">
        <f>IF(SER_hh_tes_in!D22=0,"",SER_hh_tes_in!D22/SER_hh_fec_in!D22)</f>
        <v>0.45717352397519428</v>
      </c>
      <c r="E22" s="137">
        <f>IF(SER_hh_tes_in!E22=0,"",SER_hh_tes_in!E22/SER_hh_fec_in!E22)</f>
        <v>0.45950426802221134</v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>
        <f>IF(SER_hh_tes_in!H22=0,"",SER_hh_tes_in!H22/SER_hh_fec_in!H22)</f>
        <v>0.46751474050810399</v>
      </c>
      <c r="I22" s="137">
        <f>IF(SER_hh_tes_in!I22=0,"",SER_hh_tes_in!I22/SER_hh_fec_in!I22)</f>
        <v>0.4708056508405864</v>
      </c>
      <c r="J22" s="137">
        <f>IF(SER_hh_tes_in!J22=0,"",SER_hh_tes_in!J22/SER_hh_fec_in!J22)</f>
        <v>0.47469580878976297</v>
      </c>
      <c r="K22" s="137">
        <f>IF(SER_hh_tes_in!K22=0,"",SER_hh_tes_in!K22/SER_hh_fec_in!K22)</f>
        <v>0.47940812852222286</v>
      </c>
      <c r="L22" s="137">
        <f>IF(SER_hh_tes_in!L22=0,"",SER_hh_tes_in!L22/SER_hh_fec_in!L22)</f>
        <v>0.4850022487165464</v>
      </c>
      <c r="M22" s="137">
        <f>IF(SER_hh_tes_in!M22=0,"",SER_hh_tes_in!M22/SER_hh_fec_in!M22)</f>
        <v>0.49676799419091194</v>
      </c>
      <c r="N22" s="137">
        <f>IF(SER_hh_tes_in!N22=0,"",SER_hh_tes_in!N22/SER_hh_fec_in!N22)</f>
        <v>0.51638435170653341</v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0.49749112417150115</v>
      </c>
      <c r="D23" s="137">
        <f>IF(SER_hh_tes_in!D23=0,"",SER_hh_tes_in!D23/SER_hh_fec_in!D23)</f>
        <v>0.50358824284030912</v>
      </c>
      <c r="E23" s="137">
        <f>IF(SER_hh_tes_in!E23=0,"",SER_hh_tes_in!E23/SER_hh_fec_in!E23)</f>
        <v>0.50994898062775162</v>
      </c>
      <c r="F23" s="137">
        <f>IF(SER_hh_tes_in!F23=0,"",SER_hh_tes_in!F23/SER_hh_fec_in!F23)</f>
        <v>0.51636113192438104</v>
      </c>
      <c r="G23" s="137">
        <f>IF(SER_hh_tes_in!G23=0,"",SER_hh_tes_in!G23/SER_hh_fec_in!G23)</f>
        <v>0.52301390752553623</v>
      </c>
      <c r="H23" s="137">
        <f>IF(SER_hh_tes_in!H23=0,"",SER_hh_tes_in!H23/SER_hh_fec_in!H23)</f>
        <v>0.52988169089710624</v>
      </c>
      <c r="I23" s="137">
        <f>IF(SER_hh_tes_in!I23=0,"",SER_hh_tes_in!I23/SER_hh_fec_in!I23)</f>
        <v>0.53700862117359793</v>
      </c>
      <c r="J23" s="137">
        <f>IF(SER_hh_tes_in!J23=0,"",SER_hh_tes_in!J23/SER_hh_fec_in!J23)</f>
        <v>0.54458121373481139</v>
      </c>
      <c r="K23" s="137">
        <f>IF(SER_hh_tes_in!K23=0,"",SER_hh_tes_in!K23/SER_hh_fec_in!K23)</f>
        <v>0.55275499411606832</v>
      </c>
      <c r="L23" s="137">
        <f>IF(SER_hh_tes_in!L23=0,"",SER_hh_tes_in!L23/SER_hh_fec_in!L23)</f>
        <v>0.56156622541213952</v>
      </c>
      <c r="M23" s="137">
        <f>IF(SER_hh_tes_in!M23=0,"",SER_hh_tes_in!M23/SER_hh_fec_in!M23)</f>
        <v>0.57489106941164292</v>
      </c>
      <c r="N23" s="137">
        <f>IF(SER_hh_tes_in!N23=0,"",SER_hh_tes_in!N23/SER_hh_fec_in!N23)</f>
        <v>0.59392264646617743</v>
      </c>
      <c r="O23" s="137">
        <f>IF(SER_hh_tes_in!O23=0,"",SER_hh_tes_in!O23/SER_hh_fec_in!O23)</f>
        <v>0.61954193062656671</v>
      </c>
      <c r="P23" s="137">
        <f>IF(SER_hh_tes_in!P23=0,"",SER_hh_tes_in!P23/SER_hh_fec_in!P23)</f>
        <v>0.64935405880378028</v>
      </c>
      <c r="Q23" s="137">
        <f>IF(SER_hh_tes_in!Q23=0,"",SER_hh_tes_in!Q23/SER_hh_fec_in!Q23)</f>
        <v>0.67584587542008467</v>
      </c>
      <c r="R23" s="137">
        <f>IF(SER_hh_tes_in!R23=0,"",SER_hh_tes_in!R23/SER_hh_fec_in!R23)</f>
        <v>0.69326491488461495</v>
      </c>
      <c r="S23" s="137">
        <f>IF(SER_hh_tes_in!S23=0,"",SER_hh_tes_in!S23/SER_hh_fec_in!S23)</f>
        <v>0.70915866661228222</v>
      </c>
      <c r="T23" s="137">
        <f>IF(SER_hh_tes_in!T23=0,"",SER_hh_tes_in!T23/SER_hh_fec_in!T23)</f>
        <v>0.72311453051234043</v>
      </c>
      <c r="U23" s="137">
        <f>IF(SER_hh_tes_in!U23=0,"",SER_hh_tes_in!U23/SER_hh_fec_in!U23)</f>
        <v>0.73467279812390862</v>
      </c>
      <c r="V23" s="137">
        <f>IF(SER_hh_tes_in!V23=0,"",SER_hh_tes_in!V23/SER_hh_fec_in!V23)</f>
        <v>0.74332901059315704</v>
      </c>
      <c r="W23" s="137">
        <f>IF(SER_hh_tes_in!W23=0,"",SER_hh_tes_in!W23/SER_hh_fec_in!W23)</f>
        <v>0.74779660998427744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0.69490789168879885</v>
      </c>
      <c r="D25" s="137">
        <f>IF(SER_hh_tes_in!D25=0,"",SER_hh_tes_in!D25/SER_hh_fec_in!D25)</f>
        <v>0.69720892746418739</v>
      </c>
      <c r="E25" s="137">
        <f>IF(SER_hh_tes_in!E25=0,"",SER_hh_tes_in!E25/SER_hh_fec_in!E25)</f>
        <v>0.69957208520230618</v>
      </c>
      <c r="F25" s="137">
        <f>IF(SER_hh_tes_in!F25=0,"",SER_hh_tes_in!F25/SER_hh_fec_in!F25)</f>
        <v>0.70194371411716094</v>
      </c>
      <c r="G25" s="137">
        <f>IF(SER_hh_tes_in!G25=0,"",SER_hh_tes_in!G25/SER_hh_fec_in!G25)</f>
        <v>0.70437255370573593</v>
      </c>
      <c r="H25" s="137">
        <f>IF(SER_hh_tes_in!H25=0,"",SER_hh_tes_in!H25/SER_hh_fec_in!H25)</f>
        <v>0.70685263887408922</v>
      </c>
      <c r="I25" s="137">
        <f>IF(SER_hh_tes_in!I25=0,"",SER_hh_tes_in!I25/SER_hh_fec_in!I25)</f>
        <v>0.70939597903570173</v>
      </c>
      <c r="J25" s="137">
        <f>IF(SER_hh_tes_in!J25=0,"",SER_hh_tes_in!J25/SER_hh_fec_in!J25)</f>
        <v>0.71205177251866436</v>
      </c>
      <c r="K25" s="137">
        <f>IF(SER_hh_tes_in!K25=0,"",SER_hh_tes_in!K25/SER_hh_fec_in!K25)</f>
        <v>0.71486185084255305</v>
      </c>
      <c r="L25" s="137">
        <f>IF(SER_hh_tes_in!L25=0,"",SER_hh_tes_in!L25/SER_hh_fec_in!L25)</f>
        <v>0.71783740565385945</v>
      </c>
      <c r="M25" s="137">
        <f>IF(SER_hh_tes_in!M25=0,"",SER_hh_tes_in!M25/SER_hh_fec_in!M25)</f>
        <v>0.72195743276130975</v>
      </c>
      <c r="N25" s="137">
        <f>IF(SER_hh_tes_in!N25=0,"",SER_hh_tes_in!N25/SER_hh_fec_in!N25)</f>
        <v>0.72753146607933183</v>
      </c>
      <c r="O25" s="137">
        <f>IF(SER_hh_tes_in!O25=0,"",SER_hh_tes_in!O25/SER_hh_fec_in!O25)</f>
        <v>0.73483084969673529</v>
      </c>
      <c r="P25" s="137">
        <f>IF(SER_hh_tes_in!P25=0,"",SER_hh_tes_in!P25/SER_hh_fec_in!P25)</f>
        <v>0.74333933159038135</v>
      </c>
      <c r="Q25" s="137">
        <f>IF(SER_hh_tes_in!Q25=0,"",SER_hh_tes_in!Q25/SER_hh_fec_in!Q25)</f>
        <v>0.75136688903752558</v>
      </c>
      <c r="R25" s="137">
        <f>IF(SER_hh_tes_in!R25=0,"",SER_hh_tes_in!R25/SER_hh_fec_in!R25)</f>
        <v>0.7575181383825792</v>
      </c>
      <c r="S25" s="137">
        <f>IF(SER_hh_tes_in!S25=0,"",SER_hh_tes_in!S25/SER_hh_fec_in!S25)</f>
        <v>0.76350227570139162</v>
      </c>
      <c r="T25" s="137">
        <f>IF(SER_hh_tes_in!T25=0,"",SER_hh_tes_in!T25/SER_hh_fec_in!T25)</f>
        <v>0.76927931755425072</v>
      </c>
      <c r="U25" s="137">
        <f>IF(SER_hh_tes_in!U25=0,"",SER_hh_tes_in!U25/SER_hh_fec_in!U25)</f>
        <v>0.77480928050146236</v>
      </c>
      <c r="V25" s="137">
        <f>IF(SER_hh_tes_in!V25=0,"",SER_hh_tes_in!V25/SER_hh_fec_in!V25)</f>
        <v>0.78005218110332508</v>
      </c>
      <c r="W25" s="137">
        <f>IF(SER_hh_tes_in!W25=0,"",SER_hh_tes_in!W25/SER_hh_fec_in!W25)</f>
        <v>0.78488190310136474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0.57503166738826017</v>
      </c>
      <c r="D26" s="138">
        <f>IF(SER_hh_tes_in!D26=0,"",SER_hh_tes_in!D26/SER_hh_fec_in!D26)</f>
        <v>0.57756272925494823</v>
      </c>
      <c r="E26" s="138">
        <f>IF(SER_hh_tes_in!E26=0,"",SER_hh_tes_in!E26/SER_hh_fec_in!E26)</f>
        <v>0.58028846557406333</v>
      </c>
      <c r="F26" s="138">
        <f>IF(SER_hh_tes_in!F26=0,"",SER_hh_tes_in!F26/SER_hh_fec_in!F26)</f>
        <v>0.58304038508027423</v>
      </c>
      <c r="G26" s="138">
        <f>IF(SER_hh_tes_in!G26=0,"",SER_hh_tes_in!G26/SER_hh_fec_in!G26)</f>
        <v>0.58597314876069995</v>
      </c>
      <c r="H26" s="138">
        <f>IF(SER_hh_tes_in!H26=0,"",SER_hh_tes_in!H26/SER_hh_fec_in!H26)</f>
        <v>0.58906942119809858</v>
      </c>
      <c r="I26" s="138">
        <f>IF(SER_hh_tes_in!I26=0,"",SER_hh_tes_in!I26/SER_hh_fec_in!I26)</f>
        <v>0.59236948291166436</v>
      </c>
      <c r="J26" s="138">
        <f>IF(SER_hh_tes_in!J26=0,"",SER_hh_tes_in!J26/SER_hh_fec_in!J26)</f>
        <v>0.59603457039093566</v>
      </c>
      <c r="K26" s="138">
        <f>IF(SER_hh_tes_in!K26=0,"",SER_hh_tes_in!K26/SER_hh_fec_in!K26)</f>
        <v>0.60020757146088011</v>
      </c>
      <c r="L26" s="138">
        <f>IF(SER_hh_tes_in!L26=0,"",SER_hh_tes_in!L26/SER_hh_fec_in!L26)</f>
        <v>0.60493849503870545</v>
      </c>
      <c r="M26" s="138">
        <f>IF(SER_hh_tes_in!M26=0,"",SER_hh_tes_in!M26/SER_hh_fec_in!M26)</f>
        <v>0.61350545387469169</v>
      </c>
      <c r="N26" s="138">
        <f>IF(SER_hh_tes_in!N26=0,"",SER_hh_tes_in!N26/SER_hh_fec_in!N26)</f>
        <v>0.62734880146024408</v>
      </c>
      <c r="O26" s="138">
        <f>IF(SER_hh_tes_in!O26=0,"",SER_hh_tes_in!O26/SER_hh_fec_in!O26)</f>
        <v>0.64831562311777369</v>
      </c>
      <c r="P26" s="138">
        <f>IF(SER_hh_tes_in!P26=0,"",SER_hh_tes_in!P26/SER_hh_fec_in!P26)</f>
        <v>0.67559076657618433</v>
      </c>
      <c r="Q26" s="138">
        <f>IF(SER_hh_tes_in!Q26=0,"",SER_hh_tes_in!Q26/SER_hh_fec_in!Q26)</f>
        <v>0.70235424202761887</v>
      </c>
      <c r="R26" s="138">
        <f>IF(SER_hh_tes_in!R26=0,"",SER_hh_tes_in!R26/SER_hh_fec_in!R26)</f>
        <v>0.72153979132546542</v>
      </c>
      <c r="S26" s="138">
        <f>IF(SER_hh_tes_in!S26=0,"",SER_hh_tes_in!S26/SER_hh_fec_in!S26)</f>
        <v>0.74053620024298217</v>
      </c>
      <c r="T26" s="138">
        <f>IF(SER_hh_tes_in!T26=0,"",SER_hh_tes_in!T26/SER_hh_fec_in!T26)</f>
        <v>0.75894514937235569</v>
      </c>
      <c r="U26" s="138">
        <f>IF(SER_hh_tes_in!U26=0,"",SER_hh_tes_in!U26/SER_hh_fec_in!U26)</f>
        <v>0.77623799499351054</v>
      </c>
      <c r="V26" s="138">
        <f>IF(SER_hh_tes_in!V26=0,"",SER_hh_tes_in!V26/SER_hh_fec_in!V26)</f>
        <v>0.79160369179458689</v>
      </c>
      <c r="W26" s="138">
        <f>IF(SER_hh_tes_in!W26=0,"",SER_hh_tes_in!W26/SER_hh_fec_in!W26)</f>
        <v>0.80369946572531892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0.70567003487233515</v>
      </c>
      <c r="D29" s="136">
        <f>IF(SER_hh_tes_in!D29=0,"",SER_hh_tes_in!D29/SER_hh_fec_in!D29)</f>
        <v>0.70565678199694171</v>
      </c>
      <c r="E29" s="136">
        <f>IF(SER_hh_tes_in!E29=0,"",SER_hh_tes_in!E29/SER_hh_fec_in!E29)</f>
        <v>0.70325084206885469</v>
      </c>
      <c r="F29" s="136">
        <f>IF(SER_hh_tes_in!F29=0,"",SER_hh_tes_in!F29/SER_hh_fec_in!F29)</f>
        <v>0.6988519751959128</v>
      </c>
      <c r="G29" s="136">
        <f>IF(SER_hh_tes_in!G29=0,"",SER_hh_tes_in!G29/SER_hh_fec_in!G29)</f>
        <v>0.70050749322374217</v>
      </c>
      <c r="H29" s="136">
        <f>IF(SER_hh_tes_in!H29=0,"",SER_hh_tes_in!H29/SER_hh_fec_in!H29)</f>
        <v>0.69276528508331192</v>
      </c>
      <c r="I29" s="136">
        <f>IF(SER_hh_tes_in!I29=0,"",SER_hh_tes_in!I29/SER_hh_fec_in!I29)</f>
        <v>0.70266866334015454</v>
      </c>
      <c r="J29" s="136">
        <f>IF(SER_hh_tes_in!J29=0,"",SER_hh_tes_in!J29/SER_hh_fec_in!J29)</f>
        <v>0.66476878882589696</v>
      </c>
      <c r="K29" s="136">
        <f>IF(SER_hh_tes_in!K29=0,"",SER_hh_tes_in!K29/SER_hh_fec_in!K29)</f>
        <v>0.71105726221640575</v>
      </c>
      <c r="L29" s="136">
        <f>IF(SER_hh_tes_in!L29=0,"",SER_hh_tes_in!L29/SER_hh_fec_in!L29)</f>
        <v>0.65457238116273597</v>
      </c>
      <c r="M29" s="136">
        <f>IF(SER_hh_tes_in!M29=0,"",SER_hh_tes_in!M29/SER_hh_fec_in!M29)</f>
        <v>0.7018569702608195</v>
      </c>
      <c r="N29" s="136">
        <f>IF(SER_hh_tes_in!N29=0,"",SER_hh_tes_in!N29/SER_hh_fec_in!N29)</f>
        <v>0.7015129979272493</v>
      </c>
      <c r="O29" s="136">
        <f>IF(SER_hh_tes_in!O29=0,"",SER_hh_tes_in!O29/SER_hh_fec_in!O29)</f>
        <v>0.72468832216391699</v>
      </c>
      <c r="P29" s="136">
        <f>IF(SER_hh_tes_in!P29=0,"",SER_hh_tes_in!P29/SER_hh_fec_in!P29)</f>
        <v>0.73080946042327299</v>
      </c>
      <c r="Q29" s="136">
        <f>IF(SER_hh_tes_in!Q29=0,"",SER_hh_tes_in!Q29/SER_hh_fec_in!Q29)</f>
        <v>0.73635660208085263</v>
      </c>
      <c r="R29" s="136">
        <f>IF(SER_hh_tes_in!R29=0,"",SER_hh_tes_in!R29/SER_hh_fec_in!R29)</f>
        <v>0.73739110295503196</v>
      </c>
      <c r="S29" s="136">
        <f>IF(SER_hh_tes_in!S29=0,"",SER_hh_tes_in!S29/SER_hh_fec_in!S29)</f>
        <v>0.71810403701908221</v>
      </c>
      <c r="T29" s="136">
        <f>IF(SER_hh_tes_in!T29=0,"",SER_hh_tes_in!T29/SER_hh_fec_in!T29)</f>
        <v>0.71036926106365472</v>
      </c>
      <c r="U29" s="136">
        <f>IF(SER_hh_tes_in!U29=0,"",SER_hh_tes_in!U29/SER_hh_fec_in!U29)</f>
        <v>0.73606480761376469</v>
      </c>
      <c r="V29" s="136">
        <f>IF(SER_hh_tes_in!V29=0,"",SER_hh_tes_in!V29/SER_hh_fec_in!V29)</f>
        <v>0.76658846604409581</v>
      </c>
      <c r="W29" s="136">
        <f>IF(SER_hh_tes_in!W29=0,"",SER_hh_tes_in!W29/SER_hh_fec_in!W29)</f>
        <v>0.78473617311484367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0.5477454636526442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>
        <f>IF(SER_hh_tes_in!L30=0,"",SER_hh_tes_in!L30/SER_hh_fec_in!L30)</f>
        <v>0.55756271000533164</v>
      </c>
      <c r="M30" s="137">
        <f>IF(SER_hh_tes_in!M30=0,"",SER_hh_tes_in!M30/SER_hh_fec_in!M30)</f>
        <v>0.55808931188990074</v>
      </c>
      <c r="N30" s="137">
        <f>IF(SER_hh_tes_in!N30=0,"",SER_hh_tes_in!N30/SER_hh_fec_in!N30)</f>
        <v>0.55808931188990074</v>
      </c>
      <c r="O30" s="137">
        <f>IF(SER_hh_tes_in!O30=0,"",SER_hh_tes_in!O30/SER_hh_fec_in!O30)</f>
        <v>0.55808931188990074</v>
      </c>
      <c r="P30" s="137">
        <f>IF(SER_hh_tes_in!P30=0,"",SER_hh_tes_in!P30/SER_hh_fec_in!P30)</f>
        <v>0.55808931188990074</v>
      </c>
      <c r="Q30" s="137">
        <f>IF(SER_hh_tes_in!Q30=0,"",SER_hh_tes_in!Q30/SER_hh_fec_in!Q30)</f>
        <v>0.55808931188990074</v>
      </c>
      <c r="R30" s="137">
        <f>IF(SER_hh_tes_in!R30=0,"",SER_hh_tes_in!R30/SER_hh_fec_in!R30)</f>
        <v>0.5614162238145326</v>
      </c>
      <c r="S30" s="137">
        <f>IF(SER_hh_tes_in!S30=0,"",SER_hh_tes_in!S30/SER_hh_fec_in!S30)</f>
        <v>0.56685647860399813</v>
      </c>
      <c r="T30" s="137">
        <f>IF(SER_hh_tes_in!T30=0,"",SER_hh_tes_in!T30/SER_hh_fec_in!T30)</f>
        <v>0.57320344252503641</v>
      </c>
      <c r="U30" s="137">
        <f>IF(SER_hh_tes_in!U30=0,"",SER_hh_tes_in!U30/SER_hh_fec_in!U30)</f>
        <v>0.5797770837289703</v>
      </c>
      <c r="V30" s="137">
        <f>IF(SER_hh_tes_in!V30=0,"",SER_hh_tes_in!V30/SER_hh_fec_in!V30)</f>
        <v>0.58589737036711564</v>
      </c>
      <c r="W30" s="137">
        <f>IF(SER_hh_tes_in!W30=0,"",SER_hh_tes_in!W30/SER_hh_fec_in!W30)</f>
        <v>0.59156430243946967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0.55066722962879322</v>
      </c>
      <c r="D31" s="137">
        <f>IF(SER_hh_tes_in!D31=0,"",SER_hh_tes_in!D31/SER_hh_fec_in!D31)</f>
        <v>0.55186172482693663</v>
      </c>
      <c r="E31" s="137">
        <f>IF(SER_hh_tes_in!E31=0,"",SER_hh_tes_in!E31/SER_hh_fec_in!E31)</f>
        <v>0.55303937400250547</v>
      </c>
      <c r="F31" s="137">
        <f>IF(SER_hh_tes_in!F31=0,"",SER_hh_tes_in!F31/SER_hh_fec_in!F31)</f>
        <v>0.55421472599317778</v>
      </c>
      <c r="G31" s="137">
        <f>IF(SER_hh_tes_in!G31=0,"",SER_hh_tes_in!G31/SER_hh_fec_in!G31)</f>
        <v>0.55537456378792582</v>
      </c>
      <c r="H31" s="137">
        <f>IF(SER_hh_tes_in!H31=0,"",SER_hh_tes_in!H31/SER_hh_fec_in!H31)</f>
        <v>0.55652050498063821</v>
      </c>
      <c r="I31" s="137">
        <f>IF(SER_hh_tes_in!I31=0,"",SER_hh_tes_in!I31/SER_hh_fec_in!I31)</f>
        <v>0.55764929289941056</v>
      </c>
      <c r="J31" s="137">
        <f>IF(SER_hh_tes_in!J31=0,"",SER_hh_tes_in!J31/SER_hh_fec_in!J31)</f>
        <v>0.55874758610895769</v>
      </c>
      <c r="K31" s="137">
        <f>IF(SER_hh_tes_in!K31=0,"",SER_hh_tes_in!K31/SER_hh_fec_in!K31)</f>
        <v>0.55980404088007019</v>
      </c>
      <c r="L31" s="137">
        <f>IF(SER_hh_tes_in!L31=0,"",SER_hh_tes_in!L31/SER_hh_fec_in!L31)</f>
        <v>0.56081562230011528</v>
      </c>
      <c r="M31" s="137">
        <f>IF(SER_hh_tes_in!M31=0,"",SER_hh_tes_in!M31/SER_hh_fec_in!M31)</f>
        <v>0.56135998703479506</v>
      </c>
      <c r="N31" s="137">
        <f>IF(SER_hh_tes_in!N31=0,"",SER_hh_tes_in!N31/SER_hh_fec_in!N31)</f>
        <v>0.56135998703479506</v>
      </c>
      <c r="O31" s="137">
        <f>IF(SER_hh_tes_in!O31=0,"",SER_hh_tes_in!O31/SER_hh_fec_in!O31)</f>
        <v>0.56135998703479506</v>
      </c>
      <c r="P31" s="137">
        <f>IF(SER_hh_tes_in!P31=0,"",SER_hh_tes_in!P31/SER_hh_fec_in!P31)</f>
        <v>0.56135998703479506</v>
      </c>
      <c r="Q31" s="137">
        <f>IF(SER_hh_tes_in!Q31=0,"",SER_hh_tes_in!Q31/SER_hh_fec_in!Q31)</f>
        <v>0.56135998703479506</v>
      </c>
      <c r="R31" s="137">
        <f>IF(SER_hh_tes_in!R31=0,"",SER_hh_tes_in!R31/SER_hh_fec_in!R31)</f>
        <v>0.56479911929053472</v>
      </c>
      <c r="S31" s="137">
        <f>IF(SER_hh_tes_in!S31=0,"",SER_hh_tes_in!S31/SER_hh_fec_in!S31)</f>
        <v>0.57042287974760264</v>
      </c>
      <c r="T31" s="137">
        <f>IF(SER_hh_tes_in!T31=0,"",SER_hh_tes_in!T31/SER_hh_fec_in!T31)</f>
        <v>0.5769839336141771</v>
      </c>
      <c r="U31" s="137">
        <f>IF(SER_hh_tes_in!U31=0,"",SER_hh_tes_in!U31/SER_hh_fec_in!U31)</f>
        <v>0.5837793108331305</v>
      </c>
      <c r="V31" s="137">
        <f>IF(SER_hh_tes_in!V31=0,"",SER_hh_tes_in!V31/SER_hh_fec_in!V31)</f>
        <v>0.59010604134732836</v>
      </c>
      <c r="W31" s="137">
        <f>IF(SER_hh_tes_in!W31=0,"",SER_hh_tes_in!W31/SER_hh_fec_in!W31)</f>
        <v>0.59596412515676789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>
        <f>IF(SER_hh_tes_in!J32=0,"",SER_hh_tes_in!J32/SER_hh_fec_in!J32)</f>
        <v>0.55829424867274879</v>
      </c>
      <c r="K32" s="137">
        <f>IF(SER_hh_tes_in!K32=0,"",SER_hh_tes_in!K32/SER_hh_fec_in!K32)</f>
        <v>0.55862474117292316</v>
      </c>
      <c r="L32" s="137">
        <f>IF(SER_hh_tes_in!L32=0,"",SER_hh_tes_in!L32/SER_hh_fec_in!L32)</f>
        <v>0.55894119586817581</v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>
        <f>IF(SER_hh_tes_in!Q32=0,"",SER_hh_tes_in!Q32/SER_hh_fec_in!Q32)</f>
        <v>0.55911149039198371</v>
      </c>
      <c r="R32" s="137">
        <f>IF(SER_hh_tes_in!R32=0,"",SER_hh_tes_in!R32/SER_hh_fec_in!R32)</f>
        <v>0.56018735984584878</v>
      </c>
      <c r="S32" s="137">
        <f>IF(SER_hh_tes_in!S32=0,"",SER_hh_tes_in!S32/SER_hh_fec_in!S32)</f>
        <v>0.56194665016727086</v>
      </c>
      <c r="T32" s="137">
        <f>IF(SER_hh_tes_in!T32=0,"",SER_hh_tes_in!T32/SER_hh_fec_in!T32)</f>
        <v>0.56399915554226177</v>
      </c>
      <c r="U32" s="137">
        <f>IF(SER_hh_tes_in!U32=0,"",SER_hh_tes_in!U32/SER_hh_fec_in!U32)</f>
        <v>0.56612496468064566</v>
      </c>
      <c r="V32" s="137">
        <f>IF(SER_hh_tes_in!V32=0,"",SER_hh_tes_in!V32/SER_hh_fec_in!V32)</f>
        <v>0.56810416629224436</v>
      </c>
      <c r="W32" s="137">
        <f>IF(SER_hh_tes_in!W32=0,"",SER_hh_tes_in!W32/SER_hh_fec_in!W32)</f>
        <v>0.56993676037705709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0.72366029481834127</v>
      </c>
      <c r="D33" s="150">
        <f>IF(SER_hh_tes_in!D33=0,"",SER_hh_tes_in!D33/SER_hh_fec_in!D33)</f>
        <v>0.72531494587140344</v>
      </c>
      <c r="E33" s="150">
        <f>IF(SER_hh_tes_in!E33=0,"",SER_hh_tes_in!E33/SER_hh_fec_in!E33)</f>
        <v>0.72703078190983683</v>
      </c>
      <c r="F33" s="150">
        <f>IF(SER_hh_tes_in!F33=0,"",SER_hh_tes_in!F33/SER_hh_fec_in!F33)</f>
        <v>0.7287549613553661</v>
      </c>
      <c r="G33" s="150">
        <f>IF(SER_hh_tes_in!G33=0,"",SER_hh_tes_in!G33/SER_hh_fec_in!G33)</f>
        <v>0.73053548857357986</v>
      </c>
      <c r="H33" s="150">
        <f>IF(SER_hh_tes_in!H33=0,"",SER_hh_tes_in!H33/SER_hh_fec_in!H33)</f>
        <v>0.73236648844126007</v>
      </c>
      <c r="I33" s="150">
        <f>IF(SER_hh_tes_in!I33=0,"",SER_hh_tes_in!I33/SER_hh_fec_in!I33)</f>
        <v>0.73425978923549018</v>
      </c>
      <c r="J33" s="150">
        <f>IF(SER_hh_tes_in!J33=0,"",SER_hh_tes_in!J33/SER_hh_fec_in!J33)</f>
        <v>0.7362638472324764</v>
      </c>
      <c r="K33" s="150">
        <f>IF(SER_hh_tes_in!K33=0,"",SER_hh_tes_in!K33/SER_hh_fec_in!K33)</f>
        <v>0.73841986301250939</v>
      </c>
      <c r="L33" s="150">
        <f>IF(SER_hh_tes_in!L33=0,"",SER_hh_tes_in!L33/SER_hh_fec_in!L33)</f>
        <v>0.74073885941995521</v>
      </c>
      <c r="M33" s="150">
        <f>IF(SER_hh_tes_in!M33=0,"",SER_hh_tes_in!M33/SER_hh_fec_in!M33)</f>
        <v>0.7438939288663029</v>
      </c>
      <c r="N33" s="150">
        <f>IF(SER_hh_tes_in!N33=0,"",SER_hh_tes_in!N33/SER_hh_fec_in!N33)</f>
        <v>0.74807592919209109</v>
      </c>
      <c r="O33" s="150">
        <f>IF(SER_hh_tes_in!O33=0,"",SER_hh_tes_in!O33/SER_hh_fec_in!O33)</f>
        <v>0.75374892726178944</v>
      </c>
      <c r="P33" s="150">
        <f>IF(SER_hh_tes_in!P33=0,"",SER_hh_tes_in!P33/SER_hh_fec_in!P33)</f>
        <v>0.76115665518108</v>
      </c>
      <c r="Q33" s="150">
        <f>IF(SER_hh_tes_in!Q33=0,"",SER_hh_tes_in!Q33/SER_hh_fec_in!Q33)</f>
        <v>0.77070422951588513</v>
      </c>
      <c r="R33" s="150">
        <f>IF(SER_hh_tes_in!R33=0,"",SER_hh_tes_in!R33/SER_hh_fec_in!R33)</f>
        <v>0.78369223221199202</v>
      </c>
      <c r="S33" s="150">
        <f>IF(SER_hh_tes_in!S33=0,"",SER_hh_tes_in!S33/SER_hh_fec_in!S33)</f>
        <v>0.79990247436640805</v>
      </c>
      <c r="T33" s="150">
        <f>IF(SER_hh_tes_in!T33=0,"",SER_hh_tes_in!T33/SER_hh_fec_in!T33)</f>
        <v>0.81733111370563993</v>
      </c>
      <c r="U33" s="150">
        <f>IF(SER_hh_tes_in!U33=0,"",SER_hh_tes_in!U33/SER_hh_fec_in!U33)</f>
        <v>0.83397430795624372</v>
      </c>
      <c r="V33" s="150">
        <f>IF(SER_hh_tes_in!V33=0,"",SER_hh_tes_in!V33/SER_hh_fec_in!V33)</f>
        <v>0.84782821484475335</v>
      </c>
      <c r="W33" s="150">
        <f>IF(SER_hh_tes_in!W33=0,"",SER_hh_tes_in!W33/SER_hh_fec_in!W33)</f>
        <v>0.85818894920785938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7.9325276472528987</v>
      </c>
      <c r="D3" s="126">
        <f t="shared" si="0"/>
        <v>7.065134222939454</v>
      </c>
      <c r="E3" s="126">
        <f t="shared" si="0"/>
        <v>7.7042206111297808</v>
      </c>
      <c r="F3" s="126">
        <f t="shared" si="0"/>
        <v>7.5353090118651274</v>
      </c>
      <c r="G3" s="126">
        <f t="shared" si="0"/>
        <v>9.0649409077947798</v>
      </c>
      <c r="H3" s="126">
        <f t="shared" si="0"/>
        <v>18.925309890885906</v>
      </c>
      <c r="I3" s="126">
        <f t="shared" si="0"/>
        <v>12.455355028825924</v>
      </c>
      <c r="J3" s="126">
        <f t="shared" si="0"/>
        <v>6.5955539084720449</v>
      </c>
      <c r="K3" s="126">
        <f t="shared" si="0"/>
        <v>3.6577514439781758</v>
      </c>
      <c r="L3" s="126">
        <f t="shared" si="0"/>
        <v>6.3053569501081279</v>
      </c>
      <c r="M3" s="126">
        <f t="shared" si="0"/>
        <v>5.1166306121310701</v>
      </c>
      <c r="N3" s="126">
        <f t="shared" si="0"/>
        <v>4.8609183640954008</v>
      </c>
      <c r="O3" s="126">
        <f t="shared" si="0"/>
        <v>4.4983051970556547</v>
      </c>
      <c r="P3" s="126">
        <f t="shared" si="0"/>
        <v>5.2454949651163725</v>
      </c>
      <c r="Q3" s="126">
        <f t="shared" si="0"/>
        <v>11.684953657325609</v>
      </c>
      <c r="R3" s="126">
        <f t="shared" ref="R3:W3" si="1">SUM(R4,R16,R19,R29)</f>
        <v>4.5961183123348448</v>
      </c>
      <c r="S3" s="126">
        <f t="shared" si="1"/>
        <v>3.1211392248906362</v>
      </c>
      <c r="T3" s="126">
        <f t="shared" si="1"/>
        <v>3.1351266814837704</v>
      </c>
      <c r="U3" s="126">
        <f t="shared" si="1"/>
        <v>2.6709736372372177</v>
      </c>
      <c r="V3" s="126">
        <f t="shared" si="1"/>
        <v>3.0107544876931933</v>
      </c>
      <c r="W3" s="126">
        <f t="shared" si="1"/>
        <v>3.7401278348679026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5.6525089579488119</v>
      </c>
      <c r="D4" s="131">
        <f t="shared" si="2"/>
        <v>4.1063035215850263</v>
      </c>
      <c r="E4" s="131">
        <f t="shared" si="2"/>
        <v>4.3254126487016835</v>
      </c>
      <c r="F4" s="131">
        <f t="shared" si="2"/>
        <v>3.5271375344354063</v>
      </c>
      <c r="G4" s="131">
        <f t="shared" si="2"/>
        <v>4.8711236421844601</v>
      </c>
      <c r="H4" s="131">
        <f t="shared" si="2"/>
        <v>13.39472442191688</v>
      </c>
      <c r="I4" s="131">
        <f t="shared" si="2"/>
        <v>6.3115243089286697</v>
      </c>
      <c r="J4" s="131">
        <f t="shared" si="2"/>
        <v>2.6965956430803764</v>
      </c>
      <c r="K4" s="131">
        <f t="shared" si="2"/>
        <v>2.2673783622338037</v>
      </c>
      <c r="L4" s="131">
        <f t="shared" si="2"/>
        <v>2.7077961469172727</v>
      </c>
      <c r="M4" s="131">
        <f t="shared" si="2"/>
        <v>1.7194169845032374</v>
      </c>
      <c r="N4" s="131">
        <f t="shared" si="2"/>
        <v>2.7801398305630407</v>
      </c>
      <c r="O4" s="131">
        <f t="shared" si="2"/>
        <v>3.2565549126165418</v>
      </c>
      <c r="P4" s="131">
        <f t="shared" si="2"/>
        <v>3.4282349554706215</v>
      </c>
      <c r="Q4" s="131">
        <f t="shared" si="2"/>
        <v>9.7481168514338972</v>
      </c>
      <c r="R4" s="131">
        <f t="shared" ref="R4:W4" si="3">SUM(R5:R15)</f>
        <v>3.0354866446062072</v>
      </c>
      <c r="S4" s="131">
        <f t="shared" si="3"/>
        <v>1.3306754387992701</v>
      </c>
      <c r="T4" s="131">
        <f t="shared" si="3"/>
        <v>1.1053050746794344</v>
      </c>
      <c r="U4" s="131">
        <f t="shared" si="3"/>
        <v>0.91242889540948968</v>
      </c>
      <c r="V4" s="131">
        <f t="shared" si="3"/>
        <v>1.8482773088739433</v>
      </c>
      <c r="W4" s="131">
        <f t="shared" si="3"/>
        <v>1.9951064880882308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0.7451973567097343</v>
      </c>
      <c r="D5" s="133">
        <v>1.9570050822604406</v>
      </c>
      <c r="E5" s="133">
        <v>1.4417992482003805</v>
      </c>
      <c r="F5" s="133">
        <v>0.43076144475248584</v>
      </c>
      <c r="G5" s="133">
        <v>0</v>
      </c>
      <c r="H5" s="133">
        <v>0</v>
      </c>
      <c r="I5" s="133">
        <v>0</v>
      </c>
      <c r="J5" s="133">
        <v>0.27860081066077574</v>
      </c>
      <c r="K5" s="133">
        <v>0.10381371651852415</v>
      </c>
      <c r="L5" s="133">
        <v>7.5404308308174114E-2</v>
      </c>
      <c r="M5" s="133">
        <v>0.44748018211931795</v>
      </c>
      <c r="N5" s="133">
        <v>0.20884360213387915</v>
      </c>
      <c r="O5" s="133">
        <v>0.30368591954482888</v>
      </c>
      <c r="P5" s="133">
        <v>9.2884155040257696E-2</v>
      </c>
      <c r="Q5" s="133">
        <v>0.54280911025834</v>
      </c>
      <c r="R5" s="133">
        <v>0.39321563729041986</v>
      </c>
      <c r="S5" s="133">
        <v>0.12512451645695843</v>
      </c>
      <c r="T5" s="133">
        <v>1.1015128592420037E-2</v>
      </c>
      <c r="U5" s="133">
        <v>5.9724016564258263E-2</v>
      </c>
      <c r="V5" s="133">
        <v>6.4015487853420538E-2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3.378041534377163</v>
      </c>
      <c r="D7" s="133">
        <v>0</v>
      </c>
      <c r="E7" s="133">
        <v>0</v>
      </c>
      <c r="F7" s="133">
        <v>0</v>
      </c>
      <c r="G7" s="133">
        <v>0</v>
      </c>
      <c r="H7" s="133">
        <v>2.0045564115376253</v>
      </c>
      <c r="I7" s="133">
        <v>0.33747437370405414</v>
      </c>
      <c r="J7" s="133">
        <v>9.5235259072589215E-2</v>
      </c>
      <c r="K7" s="133">
        <v>1.4232836268759606</v>
      </c>
      <c r="L7" s="133">
        <v>1.2040113353438322</v>
      </c>
      <c r="M7" s="133">
        <v>0</v>
      </c>
      <c r="N7" s="133">
        <v>1.0363824365601111</v>
      </c>
      <c r="O7" s="133">
        <v>1.7773946941076908</v>
      </c>
      <c r="P7" s="133">
        <v>0.66854319264044704</v>
      </c>
      <c r="Q7" s="133">
        <v>6.336560235254769</v>
      </c>
      <c r="R7" s="133">
        <v>0.90552409806603518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1.5292700668619146</v>
      </c>
      <c r="D9" s="133">
        <v>2.149298439324586</v>
      </c>
      <c r="E9" s="133">
        <v>2.8836134005013028</v>
      </c>
      <c r="F9" s="133">
        <v>3.0963760896829204</v>
      </c>
      <c r="G9" s="133">
        <v>4.8711236421844601</v>
      </c>
      <c r="H9" s="133">
        <v>11.390168010379254</v>
      </c>
      <c r="I9" s="133">
        <v>5.9740499352246159</v>
      </c>
      <c r="J9" s="133">
        <v>2.3227595733470112</v>
      </c>
      <c r="K9" s="133">
        <v>0.74028101883931918</v>
      </c>
      <c r="L9" s="133">
        <v>1.4283805032652663</v>
      </c>
      <c r="M9" s="133">
        <v>1.2719368023839195</v>
      </c>
      <c r="N9" s="133">
        <v>1.5349137918690505</v>
      </c>
      <c r="O9" s="133">
        <v>1.1754742989640226</v>
      </c>
      <c r="P9" s="133">
        <v>2.6668076077899165</v>
      </c>
      <c r="Q9" s="133">
        <v>2.8687475059207879</v>
      </c>
      <c r="R9" s="133">
        <v>1.7367469092497521</v>
      </c>
      <c r="S9" s="133">
        <v>1.2055509223423115</v>
      </c>
      <c r="T9" s="133">
        <v>1.0942899460870144</v>
      </c>
      <c r="U9" s="133">
        <v>0.85270487884523138</v>
      </c>
      <c r="V9" s="133">
        <v>1.7842618210205228</v>
      </c>
      <c r="W9" s="133">
        <v>1.9951064880882308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1.4460552352507594</v>
      </c>
      <c r="D19" s="131">
        <f t="shared" si="6"/>
        <v>1.8862767372722178</v>
      </c>
      <c r="E19" s="131">
        <f t="shared" si="6"/>
        <v>1.936800498665596</v>
      </c>
      <c r="F19" s="131">
        <f t="shared" si="6"/>
        <v>2.1282665392205056</v>
      </c>
      <c r="G19" s="131">
        <f t="shared" si="6"/>
        <v>2.4106675450456283</v>
      </c>
      <c r="H19" s="131">
        <f t="shared" si="6"/>
        <v>3.0567579428259526</v>
      </c>
      <c r="I19" s="131">
        <f t="shared" si="6"/>
        <v>3.9956495439825273</v>
      </c>
      <c r="J19" s="131">
        <f t="shared" si="6"/>
        <v>2.7461421373901698</v>
      </c>
      <c r="K19" s="131">
        <f t="shared" si="6"/>
        <v>1.0581975346030237</v>
      </c>
      <c r="L19" s="131">
        <f t="shared" si="6"/>
        <v>0.45785800703160223</v>
      </c>
      <c r="M19" s="131">
        <f t="shared" si="6"/>
        <v>1.1564189949285115</v>
      </c>
      <c r="N19" s="131">
        <f t="shared" si="6"/>
        <v>0.61854227237794024</v>
      </c>
      <c r="O19" s="131">
        <f t="shared" si="6"/>
        <v>0.38186060569206765</v>
      </c>
      <c r="P19" s="131">
        <f t="shared" si="6"/>
        <v>0.86471489014202763</v>
      </c>
      <c r="Q19" s="131">
        <f t="shared" si="6"/>
        <v>0.88321525722610994</v>
      </c>
      <c r="R19" s="131">
        <f t="shared" ref="R19:W19" si="7">SUM(R20:R27)</f>
        <v>0.72680999094574517</v>
      </c>
      <c r="S19" s="131">
        <f t="shared" si="7"/>
        <v>0.77081277759579814</v>
      </c>
      <c r="T19" s="131">
        <f t="shared" si="7"/>
        <v>0.82075359045419993</v>
      </c>
      <c r="U19" s="131">
        <f t="shared" si="7"/>
        <v>0.76192171189105817</v>
      </c>
      <c r="V19" s="131">
        <f t="shared" si="7"/>
        <v>0.41171149763919729</v>
      </c>
      <c r="W19" s="131">
        <f t="shared" si="7"/>
        <v>0.56224986456183512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0.76708880387075151</v>
      </c>
      <c r="D22" s="133">
        <v>0.53067048466302613</v>
      </c>
      <c r="E22" s="133">
        <v>7.756002807609956E-2</v>
      </c>
      <c r="F22" s="133">
        <v>0</v>
      </c>
      <c r="G22" s="133">
        <v>0</v>
      </c>
      <c r="H22" s="133">
        <v>0.23401721240234052</v>
      </c>
      <c r="I22" s="133">
        <v>0.99912920379400016</v>
      </c>
      <c r="J22" s="133">
        <v>0.84368137747537109</v>
      </c>
      <c r="K22" s="133">
        <v>0.38041284839181572</v>
      </c>
      <c r="L22" s="133">
        <v>0.19870776333665779</v>
      </c>
      <c r="M22" s="133">
        <v>0.51313841742262434</v>
      </c>
      <c r="N22" s="133">
        <v>0.18364046173394064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0.6789664313800079</v>
      </c>
      <c r="D23" s="133">
        <v>1.3556062526091917</v>
      </c>
      <c r="E23" s="133">
        <v>1.8592404705894965</v>
      </c>
      <c r="F23" s="133">
        <v>2.1282665392205056</v>
      </c>
      <c r="G23" s="133">
        <v>2.4106675450456283</v>
      </c>
      <c r="H23" s="133">
        <v>2.8227407304236123</v>
      </c>
      <c r="I23" s="133">
        <v>2.996520340188527</v>
      </c>
      <c r="J23" s="133">
        <v>1.9024607599147987</v>
      </c>
      <c r="K23" s="133">
        <v>0.67778468621120802</v>
      </c>
      <c r="L23" s="133">
        <v>0.25915024369494444</v>
      </c>
      <c r="M23" s="133">
        <v>0.6432805775058873</v>
      </c>
      <c r="N23" s="133">
        <v>0.43490181064399963</v>
      </c>
      <c r="O23" s="133">
        <v>0.38186060569206765</v>
      </c>
      <c r="P23" s="133">
        <v>0.86471489014202763</v>
      </c>
      <c r="Q23" s="133">
        <v>0.88321525722610994</v>
      </c>
      <c r="R23" s="133">
        <v>0.72680999094574517</v>
      </c>
      <c r="S23" s="133">
        <v>0.77081277759579814</v>
      </c>
      <c r="T23" s="133">
        <v>0.82075359045419993</v>
      </c>
      <c r="U23" s="133">
        <v>0.76192171189105817</v>
      </c>
      <c r="V23" s="133">
        <v>0.41171149763919729</v>
      </c>
      <c r="W23" s="133">
        <v>0.56224986456183512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0.83396345405332739</v>
      </c>
      <c r="D29" s="131">
        <f t="shared" si="8"/>
        <v>1.0725539640822099</v>
      </c>
      <c r="E29" s="131">
        <f t="shared" si="8"/>
        <v>1.4420074637625013</v>
      </c>
      <c r="F29" s="131">
        <f t="shared" si="8"/>
        <v>1.8799049382092154</v>
      </c>
      <c r="G29" s="131">
        <f t="shared" si="8"/>
        <v>1.7831497205646913</v>
      </c>
      <c r="H29" s="131">
        <f t="shared" si="8"/>
        <v>2.4738275261430736</v>
      </c>
      <c r="I29" s="131">
        <f t="shared" si="8"/>
        <v>2.1481811759147282</v>
      </c>
      <c r="J29" s="131">
        <f t="shared" si="8"/>
        <v>1.1528161280014986</v>
      </c>
      <c r="K29" s="131">
        <f t="shared" si="8"/>
        <v>0.332175547141348</v>
      </c>
      <c r="L29" s="131">
        <f t="shared" si="8"/>
        <v>3.139702796159253</v>
      </c>
      <c r="M29" s="131">
        <f t="shared" si="8"/>
        <v>2.2407946326993211</v>
      </c>
      <c r="N29" s="131">
        <f t="shared" si="8"/>
        <v>1.4622362611544197</v>
      </c>
      <c r="O29" s="131">
        <f t="shared" si="8"/>
        <v>0.85988967874704503</v>
      </c>
      <c r="P29" s="131">
        <f t="shared" si="8"/>
        <v>0.95254511950372345</v>
      </c>
      <c r="Q29" s="131">
        <f t="shared" si="8"/>
        <v>1.053621548665602</v>
      </c>
      <c r="R29" s="131">
        <f t="shared" ref="R29:W29" si="9">SUM(R30:R33)</f>
        <v>0.83382167678289232</v>
      </c>
      <c r="S29" s="131">
        <f t="shared" si="9"/>
        <v>1.0196510084955677</v>
      </c>
      <c r="T29" s="131">
        <f t="shared" si="9"/>
        <v>1.2090680163501362</v>
      </c>
      <c r="U29" s="131">
        <f t="shared" si="9"/>
        <v>0.99662302993666974</v>
      </c>
      <c r="V29" s="131">
        <f t="shared" si="9"/>
        <v>0.75076568118005271</v>
      </c>
      <c r="W29" s="131">
        <f t="shared" si="9"/>
        <v>1.1827714822178366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0.36838919842727885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2.7667779827106522</v>
      </c>
      <c r="M30" s="133">
        <v>1.3867412904102037</v>
      </c>
      <c r="N30" s="133">
        <v>0.83791931851041801</v>
      </c>
      <c r="O30" s="133">
        <v>8.839489304656066E-2</v>
      </c>
      <c r="P30" s="133">
        <v>2.7377216074762949E-2</v>
      </c>
      <c r="Q30" s="133">
        <v>5.6884796340121682E-2</v>
      </c>
      <c r="R30" s="133">
        <v>0.18361138280319458</v>
      </c>
      <c r="S30" s="133">
        <v>0.45157832165920164</v>
      </c>
      <c r="T30" s="133">
        <v>0.74410701973286941</v>
      </c>
      <c r="U30" s="133">
        <v>0.60432018399839804</v>
      </c>
      <c r="V30" s="133">
        <v>0.43271699367626959</v>
      </c>
      <c r="W30" s="133">
        <v>0.66961750806729758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0.46557425562604854</v>
      </c>
      <c r="D31" s="133">
        <v>1.0725539640822099</v>
      </c>
      <c r="E31" s="133">
        <v>1.4420074637625013</v>
      </c>
      <c r="F31" s="133">
        <v>1.8799049382092154</v>
      </c>
      <c r="G31" s="133">
        <v>1.7831497205646913</v>
      </c>
      <c r="H31" s="133">
        <v>2.4738275261430736</v>
      </c>
      <c r="I31" s="133">
        <v>2.1481811759147282</v>
      </c>
      <c r="J31" s="133">
        <v>1.1528161280014986</v>
      </c>
      <c r="K31" s="133">
        <v>0.332175547141348</v>
      </c>
      <c r="L31" s="133">
        <v>0.37292481344860057</v>
      </c>
      <c r="M31" s="133">
        <v>0.85405334228911745</v>
      </c>
      <c r="N31" s="133">
        <v>0.62431694264400184</v>
      </c>
      <c r="O31" s="133">
        <v>0.77149478570048435</v>
      </c>
      <c r="P31" s="133">
        <v>0.92516790342896049</v>
      </c>
      <c r="Q31" s="133">
        <v>0.99673675232548031</v>
      </c>
      <c r="R31" s="133">
        <v>0.65021029397969776</v>
      </c>
      <c r="S31" s="133">
        <v>0.56807268683636603</v>
      </c>
      <c r="T31" s="133">
        <v>0.46496099661726681</v>
      </c>
      <c r="U31" s="133">
        <v>0.39230284593827169</v>
      </c>
      <c r="V31" s="133">
        <v>0.31804868750378312</v>
      </c>
      <c r="W31" s="133">
        <v>0.51315397415053909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93825.421147042172</v>
      </c>
      <c r="D3" s="126">
        <f>IF(SER_hh_fec_in!D3=0,0,11630*1000*SER_hh_fec_in!D3/SER_hh_num_in!D3)</f>
        <v>77450.924699580137</v>
      </c>
      <c r="E3" s="126">
        <f>IF(SER_hh_fec_in!E3=0,0,11630*1000*SER_hh_fec_in!E3/SER_hh_num_in!E3)</f>
        <v>81208.28661202261</v>
      </c>
      <c r="F3" s="126">
        <f>IF(SER_hh_fec_in!F3=0,0,11630*1000*SER_hh_fec_in!F3/SER_hh_num_in!F3)</f>
        <v>70117.483031632742</v>
      </c>
      <c r="G3" s="126">
        <f>IF(SER_hh_fec_in!G3=0,0,11630*1000*SER_hh_fec_in!G3/SER_hh_num_in!G3)</f>
        <v>93792.531496975294</v>
      </c>
      <c r="H3" s="126">
        <f>IF(SER_hh_fec_in!H3=0,0,11630*1000*SER_hh_fec_in!H3/SER_hh_num_in!H3)</f>
        <v>90665.135182806494</v>
      </c>
      <c r="I3" s="126">
        <f>IF(SER_hh_fec_in!I3=0,0,11630*1000*SER_hh_fec_in!I3/SER_hh_num_in!I3)</f>
        <v>84003.821346189958</v>
      </c>
      <c r="J3" s="126">
        <f>IF(SER_hh_fec_in!J3=0,0,11630*1000*SER_hh_fec_in!J3/SER_hh_num_in!J3)</f>
        <v>83258.153895898504</v>
      </c>
      <c r="K3" s="126">
        <f>IF(SER_hh_fec_in!K3=0,0,11630*1000*SER_hh_fec_in!K3/SER_hh_num_in!K3)</f>
        <v>76964.264909908758</v>
      </c>
      <c r="L3" s="126">
        <f>IF(SER_hh_fec_in!L3=0,0,11630*1000*SER_hh_fec_in!L3/SER_hh_num_in!L3)</f>
        <v>84764.922471322236</v>
      </c>
      <c r="M3" s="126">
        <f>IF(SER_hh_fec_in!M3=0,0,11630*1000*SER_hh_fec_in!M3/SER_hh_num_in!M3)</f>
        <v>75573.568499081302</v>
      </c>
      <c r="N3" s="126">
        <f>IF(SER_hh_fec_in!N3=0,0,11630*1000*SER_hh_fec_in!N3/SER_hh_num_in!N3)</f>
        <v>80335.023063443339</v>
      </c>
      <c r="O3" s="126">
        <f>IF(SER_hh_fec_in!O3=0,0,11630*1000*SER_hh_fec_in!O3/SER_hh_num_in!O3)</f>
        <v>58512.204265085333</v>
      </c>
      <c r="P3" s="126">
        <f>IF(SER_hh_fec_in!P3=0,0,11630*1000*SER_hh_fec_in!P3/SER_hh_num_in!P3)</f>
        <v>55464.916042247671</v>
      </c>
      <c r="Q3" s="126">
        <f>IF(SER_hh_fec_in!Q3=0,0,11630*1000*SER_hh_fec_in!Q3/SER_hh_num_in!Q3)</f>
        <v>67925.131383470478</v>
      </c>
      <c r="R3" s="126">
        <f>IF(SER_hh_fec_in!R3=0,0,11630*1000*SER_hh_fec_in!R3/SER_hh_num_in!R3)</f>
        <v>66820.296089571028</v>
      </c>
      <c r="S3" s="126">
        <f>IF(SER_hh_fec_in!S3=0,0,11630*1000*SER_hh_fec_in!S3/SER_hh_num_in!S3)</f>
        <v>73922.200111904924</v>
      </c>
      <c r="T3" s="126">
        <f>IF(SER_hh_fec_in!T3=0,0,11630*1000*SER_hh_fec_in!T3/SER_hh_num_in!T3)</f>
        <v>74546.050186905704</v>
      </c>
      <c r="U3" s="126">
        <f>IF(SER_hh_fec_in!U3=0,0,11630*1000*SER_hh_fec_in!U3/SER_hh_num_in!U3)</f>
        <v>65522.592856099451</v>
      </c>
      <c r="V3" s="126">
        <f>IF(SER_hh_fec_in!V3=0,0,11630*1000*SER_hh_fec_in!V3/SER_hh_num_in!V3)</f>
        <v>51421.297845063586</v>
      </c>
      <c r="W3" s="126">
        <f>IF(SER_hh_fec_in!W3=0,0,11630*1000*SER_hh_fec_in!W3/SER_hh_num_in!W3)</f>
        <v>63311.07338837329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50594.114404813939</v>
      </c>
      <c r="D4" s="131">
        <f>IF(SER_hh_fec_in!D4=0,0,11630*1000*SER_hh_fec_in!D4/SER_hh_num_in!D4)</f>
        <v>40363.250793953834</v>
      </c>
      <c r="E4" s="131">
        <f>IF(SER_hh_fec_in!E4=0,0,11630*1000*SER_hh_fec_in!E4/SER_hh_num_in!E4)</f>
        <v>43193.773149829867</v>
      </c>
      <c r="F4" s="131">
        <f>IF(SER_hh_fec_in!F4=0,0,11630*1000*SER_hh_fec_in!F4/SER_hh_num_in!F4)</f>
        <v>32948.411385148705</v>
      </c>
      <c r="G4" s="131">
        <f>IF(SER_hh_fec_in!G4=0,0,11630*1000*SER_hh_fec_in!G4/SER_hh_num_in!G4)</f>
        <v>57986.433711819278</v>
      </c>
      <c r="H4" s="131">
        <f>IF(SER_hh_fec_in!H4=0,0,11630*1000*SER_hh_fec_in!H4/SER_hh_num_in!H4)</f>
        <v>52925.054404694405</v>
      </c>
      <c r="I4" s="131">
        <f>IF(SER_hh_fec_in!I4=0,0,11630*1000*SER_hh_fec_in!I4/SER_hh_num_in!I4)</f>
        <v>39310.1686337348</v>
      </c>
      <c r="J4" s="131">
        <f>IF(SER_hh_fec_in!J4=0,0,11630*1000*SER_hh_fec_in!J4/SER_hh_num_in!J4)</f>
        <v>41979.808407312237</v>
      </c>
      <c r="K4" s="131">
        <f>IF(SER_hh_fec_in!K4=0,0,11630*1000*SER_hh_fec_in!K4/SER_hh_num_in!K4)</f>
        <v>38838.391180114799</v>
      </c>
      <c r="L4" s="131">
        <f>IF(SER_hh_fec_in!L4=0,0,11630*1000*SER_hh_fec_in!L4/SER_hh_num_in!L4)</f>
        <v>45597.298935296894</v>
      </c>
      <c r="M4" s="131">
        <f>IF(SER_hh_fec_in!M4=0,0,11630*1000*SER_hh_fec_in!M4/SER_hh_num_in!M4)</f>
        <v>39714.406003314063</v>
      </c>
      <c r="N4" s="131">
        <f>IF(SER_hh_fec_in!N4=0,0,11630*1000*SER_hh_fec_in!N4/SER_hh_num_in!N4)</f>
        <v>36537.701455428381</v>
      </c>
      <c r="O4" s="131">
        <f>IF(SER_hh_fec_in!O4=0,0,11630*1000*SER_hh_fec_in!O4/SER_hh_num_in!O4)</f>
        <v>23695.410663684037</v>
      </c>
      <c r="P4" s="131">
        <f>IF(SER_hh_fec_in!P4=0,0,11630*1000*SER_hh_fec_in!P4/SER_hh_num_in!P4)</f>
        <v>20627.917459843859</v>
      </c>
      <c r="Q4" s="131">
        <f>IF(SER_hh_fec_in!Q4=0,0,11630*1000*SER_hh_fec_in!Q4/SER_hh_num_in!Q4)</f>
        <v>32054.95387754801</v>
      </c>
      <c r="R4" s="131">
        <f>IF(SER_hh_fec_in!R4=0,0,11630*1000*SER_hh_fec_in!R4/SER_hh_num_in!R4)</f>
        <v>31708.810163724724</v>
      </c>
      <c r="S4" s="131">
        <f>IF(SER_hh_fec_in!S4=0,0,11630*1000*SER_hh_fec_in!S4/SER_hh_num_in!S4)</f>
        <v>37418.042101969986</v>
      </c>
      <c r="T4" s="131">
        <f>IF(SER_hh_fec_in!T4=0,0,11630*1000*SER_hh_fec_in!T4/SER_hh_num_in!T4)</f>
        <v>38196.798510357898</v>
      </c>
      <c r="U4" s="131">
        <f>IF(SER_hh_fec_in!U4=0,0,11630*1000*SER_hh_fec_in!U4/SER_hh_num_in!U4)</f>
        <v>29715.271767843107</v>
      </c>
      <c r="V4" s="131">
        <f>IF(SER_hh_fec_in!V4=0,0,11630*1000*SER_hh_fec_in!V4/SER_hh_num_in!V4)</f>
        <v>20478.371824230089</v>
      </c>
      <c r="W4" s="131">
        <f>IF(SER_hh_fec_in!W4=0,0,11630*1000*SER_hh_fec_in!W4/SER_hh_num_in!W4)</f>
        <v>29062.239498876745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55472.270838552569</v>
      </c>
      <c r="D5" s="133">
        <f>IF(SER_hh_fec_in!D5=0,0,11630*1000*SER_hh_fec_in!D5/SER_hh_num_in!D5)</f>
        <v>67177.002231860708</v>
      </c>
      <c r="E5" s="133">
        <f>IF(SER_hh_fec_in!E5=0,0,11630*1000*SER_hh_fec_in!E5/SER_hh_num_in!E5)</f>
        <v>72499.265092506073</v>
      </c>
      <c r="F5" s="133">
        <f>IF(SER_hh_fec_in!F5=0,0,11630*1000*SER_hh_fec_in!F5/SER_hh_num_in!F5)</f>
        <v>49489.827008423585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69304.498809116485</v>
      </c>
      <c r="K5" s="133">
        <f>IF(SER_hh_fec_in!K5=0,0,11630*1000*SER_hh_fec_in!K5/SER_hh_num_in!K5)</f>
        <v>57599.093358165599</v>
      </c>
      <c r="L5" s="133">
        <f>IF(SER_hh_fec_in!L5=0,0,11630*1000*SER_hh_fec_in!L5/SER_hh_num_in!L5)</f>
        <v>54476.123885465575</v>
      </c>
      <c r="M5" s="133">
        <f>IF(SER_hh_fec_in!M5=0,0,11630*1000*SER_hh_fec_in!M5/SER_hh_num_in!M5)</f>
        <v>59708.333055513358</v>
      </c>
      <c r="N5" s="133">
        <f>IF(SER_hh_fec_in!N5=0,0,11630*1000*SER_hh_fec_in!N5/SER_hh_num_in!N5)</f>
        <v>44140.162371369006</v>
      </c>
      <c r="O5" s="133">
        <f>IF(SER_hh_fec_in!O5=0,0,11630*1000*SER_hh_fec_in!O5/SER_hh_num_in!O5)</f>
        <v>56990.685085446268</v>
      </c>
      <c r="P5" s="133">
        <f>IF(SER_hh_fec_in!P5=0,0,11630*1000*SER_hh_fec_in!P5/SER_hh_num_in!P5)</f>
        <v>25015.752771921394</v>
      </c>
      <c r="Q5" s="133">
        <f>IF(SER_hh_fec_in!Q5=0,0,11630*1000*SER_hh_fec_in!Q5/SER_hh_num_in!Q5)</f>
        <v>62544.862758436982</v>
      </c>
      <c r="R5" s="133">
        <f>IF(SER_hh_fec_in!R5=0,0,11630*1000*SER_hh_fec_in!R5/SER_hh_num_in!R5)</f>
        <v>66063.204474115642</v>
      </c>
      <c r="S5" s="133">
        <f>IF(SER_hh_fec_in!S5=0,0,11630*1000*SER_hh_fec_in!S5/SER_hh_num_in!S5)</f>
        <v>45099.873044882443</v>
      </c>
      <c r="T5" s="133">
        <f>IF(SER_hh_fec_in!T5=0,0,11630*1000*SER_hh_fec_in!T5/SER_hh_num_in!T5)</f>
        <v>31994.239837654273</v>
      </c>
      <c r="U5" s="133">
        <f>IF(SER_hh_fec_in!U5=0,0,11630*1000*SER_hh_fec_in!U5/SER_hh_num_in!U5)</f>
        <v>48373.804892392698</v>
      </c>
      <c r="V5" s="133">
        <f>IF(SER_hh_fec_in!V5=0,0,11630*1000*SER_hh_fec_in!V5/SER_hh_num_in!V5)</f>
        <v>38376.821310388295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101361.14336875507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88095.510756490694</v>
      </c>
      <c r="I7" s="133">
        <f>IF(SER_hh_fec_in!I7=0,0,11630*1000*SER_hh_fec_in!I7/SER_hh_num_in!I7)</f>
        <v>59641.087562127337</v>
      </c>
      <c r="J7" s="133">
        <f>IF(SER_hh_fec_in!J7=0,0,11630*1000*SER_hh_fec_in!J7/SER_hh_num_in!J7)</f>
        <v>76116.570878060171</v>
      </c>
      <c r="K7" s="133">
        <f>IF(SER_hh_fec_in!K7=0,0,11630*1000*SER_hh_fec_in!K7/SER_hh_num_in!K7)</f>
        <v>85137.746955036739</v>
      </c>
      <c r="L7" s="133">
        <f>IF(SER_hh_fec_in!L7=0,0,11630*1000*SER_hh_fec_in!L7/SER_hh_num_in!L7)</f>
        <v>58148.412934849504</v>
      </c>
      <c r="M7" s="133">
        <f>IF(SER_hh_fec_in!M7=0,0,11630*1000*SER_hh_fec_in!M7/SER_hh_num_in!M7)</f>
        <v>0</v>
      </c>
      <c r="N7" s="133">
        <f>IF(SER_hh_fec_in!N7=0,0,11630*1000*SER_hh_fec_in!N7/SER_hh_num_in!N7)</f>
        <v>59712.590931871484</v>
      </c>
      <c r="O7" s="133">
        <f>IF(SER_hh_fec_in!O7=0,0,11630*1000*SER_hh_fec_in!O7/SER_hh_num_in!O7)</f>
        <v>43084.315971098971</v>
      </c>
      <c r="P7" s="133">
        <f>IF(SER_hh_fec_in!P7=0,0,11630*1000*SER_hh_fec_in!P7/SER_hh_num_in!P7)</f>
        <v>24713.26485873049</v>
      </c>
      <c r="Q7" s="133">
        <f>IF(SER_hh_fec_in!Q7=0,0,11630*1000*SER_hh_fec_in!Q7/SER_hh_num_in!Q7)</f>
        <v>64413.969716042746</v>
      </c>
      <c r="R7" s="133">
        <f>IF(SER_hh_fec_in!R7=0,0,11630*1000*SER_hh_fec_in!R7/SER_hh_num_in!R7)</f>
        <v>58018.742175066596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70852.388560077481</v>
      </c>
      <c r="D9" s="133">
        <f>IF(SER_hh_fec_in!D9=0,0,11630*1000*SER_hh_fec_in!D9/SER_hh_num_in!D9)</f>
        <v>58891.683799404469</v>
      </c>
      <c r="E9" s="133">
        <f>IF(SER_hh_fec_in!E9=0,0,11630*1000*SER_hh_fec_in!E9/SER_hh_num_in!E9)</f>
        <v>65023.639739605125</v>
      </c>
      <c r="F9" s="133">
        <f>IF(SER_hh_fec_in!F9=0,0,11630*1000*SER_hh_fec_in!F9/SER_hh_num_in!F9)</f>
        <v>49649.814857193189</v>
      </c>
      <c r="G9" s="133">
        <f>IF(SER_hh_fec_in!G9=0,0,11630*1000*SER_hh_fec_in!G9/SER_hh_num_in!G9)</f>
        <v>61983.785871054766</v>
      </c>
      <c r="H9" s="133">
        <f>IF(SER_hh_fec_in!H9=0,0,11630*1000*SER_hh_fec_in!H9/SER_hh_num_in!H9)</f>
        <v>77309.875770424173</v>
      </c>
      <c r="I9" s="133">
        <f>IF(SER_hh_fec_in!I9=0,0,11630*1000*SER_hh_fec_in!I9/SER_hh_num_in!I9)</f>
        <v>67898.386697787297</v>
      </c>
      <c r="J9" s="133">
        <f>IF(SER_hh_fec_in!J9=0,0,11630*1000*SER_hh_fec_in!J9/SER_hh_num_in!J9)</f>
        <v>78024.654701510386</v>
      </c>
      <c r="K9" s="133">
        <f>IF(SER_hh_fec_in!K9=0,0,11630*1000*SER_hh_fec_in!K9/SER_hh_num_in!K9)</f>
        <v>47968.826458794414</v>
      </c>
      <c r="L9" s="133">
        <f>IF(SER_hh_fec_in!L9=0,0,11630*1000*SER_hh_fec_in!L9/SER_hh_num_in!L9)</f>
        <v>63949.665039405329</v>
      </c>
      <c r="M9" s="133">
        <f>IF(SER_hh_fec_in!M9=0,0,11630*1000*SER_hh_fec_in!M9/SER_hh_num_in!M9)</f>
        <v>63949.670383451521</v>
      </c>
      <c r="N9" s="133">
        <f>IF(SER_hh_fec_in!N9=0,0,11630*1000*SER_hh_fec_in!N9/SER_hh_num_in!N9)</f>
        <v>54081.655116470327</v>
      </c>
      <c r="O9" s="133">
        <f>IF(SER_hh_fec_in!O9=0,0,11630*1000*SER_hh_fec_in!O9/SER_hh_num_in!O9)</f>
        <v>44548.398174617112</v>
      </c>
      <c r="P9" s="133">
        <f>IF(SER_hh_fec_in!P9=0,0,11630*1000*SER_hh_fec_in!P9/SER_hh_num_in!P9)</f>
        <v>43402.615749931851</v>
      </c>
      <c r="Q9" s="133">
        <f>IF(SER_hh_fec_in!Q9=0,0,11630*1000*SER_hh_fec_in!Q9/SER_hh_num_in!Q9)</f>
        <v>46496.34048972137</v>
      </c>
      <c r="R9" s="133">
        <f>IF(SER_hh_fec_in!R9=0,0,11630*1000*SER_hh_fec_in!R9/SER_hh_num_in!R9)</f>
        <v>47108.639001734613</v>
      </c>
      <c r="S9" s="133">
        <f>IF(SER_hh_fec_in!S9=0,0,11630*1000*SER_hh_fec_in!S9/SER_hh_num_in!S9)</f>
        <v>45449.016516466814</v>
      </c>
      <c r="T9" s="133">
        <f>IF(SER_hh_fec_in!T9=0,0,11630*1000*SER_hh_fec_in!T9/SER_hh_num_in!T9)</f>
        <v>47022.688063216505</v>
      </c>
      <c r="U9" s="133">
        <f>IF(SER_hh_fec_in!U9=0,0,11630*1000*SER_hh_fec_in!U9/SER_hh_num_in!U9)</f>
        <v>39293.46615626142</v>
      </c>
      <c r="V9" s="133">
        <f>IF(SER_hh_fec_in!V9=0,0,11630*1000*SER_hh_fec_in!V9/SER_hh_num_in!V9)</f>
        <v>37030.64368284533</v>
      </c>
      <c r="W9" s="133">
        <f>IF(SER_hh_fec_in!W9=0,0,11630*1000*SER_hh_fec_in!W9/SER_hh_num_in!W9)</f>
        <v>41392.283301249619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58918.700256241209</v>
      </c>
      <c r="E10" s="133">
        <f>IF(SER_hh_fec_in!E10=0,0,11630*1000*SER_hh_fec_in!E10/SER_hh_num_in!E10)</f>
        <v>84783.403906678257</v>
      </c>
      <c r="F10" s="133">
        <f>IF(SER_hh_fec_in!F10=0,0,11630*1000*SER_hh_fec_in!F10/SER_hh_num_in!F10)</f>
        <v>54733.983941495935</v>
      </c>
      <c r="G10" s="133">
        <f>IF(SER_hh_fec_in!G10=0,0,11630*1000*SER_hh_fec_in!G10/SER_hh_num_in!G10)</f>
        <v>75534.558924082216</v>
      </c>
      <c r="H10" s="133">
        <f>IF(SER_hh_fec_in!H10=0,0,11630*1000*SER_hh_fec_in!H10/SER_hh_num_in!H10)</f>
        <v>93846.749576093091</v>
      </c>
      <c r="I10" s="133">
        <f>IF(SER_hh_fec_in!I10=0,0,11630*1000*SER_hh_fec_in!I10/SER_hh_num_in!I10)</f>
        <v>75029.456378022602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34719.758119891616</v>
      </c>
      <c r="M10" s="133">
        <f>IF(SER_hh_fec_in!M10=0,0,11630*1000*SER_hh_fec_in!M10/SER_hh_num_in!M10)</f>
        <v>27567.410399930232</v>
      </c>
      <c r="N10" s="133">
        <f>IF(SER_hh_fec_in!N10=0,0,11630*1000*SER_hh_fec_in!N10/SER_hh_num_in!N10)</f>
        <v>152850.23677387935</v>
      </c>
      <c r="O10" s="133">
        <f>IF(SER_hh_fec_in!O10=0,0,11630*1000*SER_hh_fec_in!O10/SER_hh_num_in!O10)</f>
        <v>74144.015549048476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33173.236737527717</v>
      </c>
      <c r="R10" s="133">
        <f>IF(SER_hh_fec_in!R10=0,0,11630*1000*SER_hh_fec_in!R10/SER_hh_num_in!R10)</f>
        <v>12571.315671157603</v>
      </c>
      <c r="S10" s="133">
        <f>IF(SER_hh_fec_in!S10=0,0,11630*1000*SER_hh_fec_in!S10/SER_hh_num_in!S10)</f>
        <v>67814.462464660435</v>
      </c>
      <c r="T10" s="133">
        <f>IF(SER_hh_fec_in!T10=0,0,11630*1000*SER_hh_fec_in!T10/SER_hh_num_in!T10)</f>
        <v>75718.285102984286</v>
      </c>
      <c r="U10" s="133">
        <f>IF(SER_hh_fec_in!U10=0,0,11630*1000*SER_hh_fec_in!U10/SER_hh_num_in!U10)</f>
        <v>69970.261914517207</v>
      </c>
      <c r="V10" s="133">
        <f>IF(SER_hh_fec_in!V10=0,0,11630*1000*SER_hh_fec_in!V10/SER_hh_num_in!V10)</f>
        <v>47062.16081582701</v>
      </c>
      <c r="W10" s="133">
        <f>IF(SER_hh_fec_in!W10=0,0,11630*1000*SER_hh_fec_in!W10/SER_hh_num_in!W10)</f>
        <v>60018.229162488307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69936.423913324223</v>
      </c>
      <c r="H11" s="133">
        <f>IF(SER_hh_fec_in!H11=0,0,11630*1000*SER_hh_fec_in!H11/SER_hh_num_in!H11)</f>
        <v>54371.509149892081</v>
      </c>
      <c r="I11" s="133">
        <f>IF(SER_hh_fec_in!I11=0,0,11630*1000*SER_hh_fec_in!I11/SER_hh_num_in!I11)</f>
        <v>45458.195344278436</v>
      </c>
      <c r="J11" s="133">
        <f>IF(SER_hh_fec_in!J11=0,0,11630*1000*SER_hh_fec_in!J11/SER_hh_num_in!J11)</f>
        <v>44268.80101632476</v>
      </c>
      <c r="K11" s="133">
        <f>IF(SER_hh_fec_in!K11=0,0,11630*1000*SER_hh_fec_in!K11/SER_hh_num_in!K11)</f>
        <v>43022.17343940217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39412.814803588677</v>
      </c>
      <c r="O11" s="133">
        <f>IF(SER_hh_fec_in!O11=0,0,11630*1000*SER_hh_fec_in!O11/SER_hh_num_in!O11)</f>
        <v>36274.22794579449</v>
      </c>
      <c r="P11" s="133">
        <f>IF(SER_hh_fec_in!P11=0,0,11630*1000*SER_hh_fec_in!P11/SER_hh_num_in!P11)</f>
        <v>33843.460351130212</v>
      </c>
      <c r="Q11" s="133">
        <f>IF(SER_hh_fec_in!Q11=0,0,11630*1000*SER_hh_fec_in!Q11/SER_hh_num_in!Q11)</f>
        <v>33549.404869083781</v>
      </c>
      <c r="R11" s="133">
        <f>IF(SER_hh_fec_in!R11=0,0,11630*1000*SER_hh_fec_in!R11/SER_hh_num_in!R11)</f>
        <v>34987.354172471321</v>
      </c>
      <c r="S11" s="133">
        <f>IF(SER_hh_fec_in!S11=0,0,11630*1000*SER_hh_fec_in!S11/SER_hh_num_in!S11)</f>
        <v>34658.219708523749</v>
      </c>
      <c r="T11" s="133">
        <f>IF(SER_hh_fec_in!T11=0,0,11630*1000*SER_hh_fec_in!T11/SER_hh_num_in!T11)</f>
        <v>33760.827071243235</v>
      </c>
      <c r="U11" s="133">
        <f>IF(SER_hh_fec_in!U11=0,0,11630*1000*SER_hh_fec_in!U11/SER_hh_num_in!U11)</f>
        <v>32882.820477888192</v>
      </c>
      <c r="V11" s="133">
        <f>IF(SER_hh_fec_in!V11=0,0,11630*1000*SER_hh_fec_in!V11/SER_hh_num_in!V11)</f>
        <v>31776.938293467192</v>
      </c>
      <c r="W11" s="133">
        <f>IF(SER_hh_fec_in!W11=0,0,11630*1000*SER_hh_fec_in!W11/SER_hh_num_in!W11)</f>
        <v>29802.786711484179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54083.965735849939</v>
      </c>
      <c r="D12" s="133">
        <f>IF(SER_hh_fec_in!D12=0,0,11630*1000*SER_hh_fec_in!D12/SER_hh_num_in!D12)</f>
        <v>47117.27623266619</v>
      </c>
      <c r="E12" s="133">
        <f>IF(SER_hh_fec_in!E12=0,0,11630*1000*SER_hh_fec_in!E12/SER_hh_num_in!E12)</f>
        <v>47871.400609949633</v>
      </c>
      <c r="F12" s="133">
        <f>IF(SER_hh_fec_in!F12=0,0,11630*1000*SER_hh_fec_in!F12/SER_hh_num_in!F12)</f>
        <v>39347.379565501062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60802.51045858689</v>
      </c>
      <c r="I12" s="133">
        <f>IF(SER_hh_fec_in!I12=0,0,11630*1000*SER_hh_fec_in!I12/SER_hh_num_in!I12)</f>
        <v>45179.148021040455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44969.321440369647</v>
      </c>
      <c r="L12" s="133">
        <f>IF(SER_hh_fec_in!L12=0,0,11630*1000*SER_hh_fec_in!L12/SER_hh_num_in!L12)</f>
        <v>45357.79600158098</v>
      </c>
      <c r="M12" s="133">
        <f>IF(SER_hh_fec_in!M12=0,0,11630*1000*SER_hh_fec_in!M12/SER_hh_num_in!M12)</f>
        <v>59445.622969748794</v>
      </c>
      <c r="N12" s="133">
        <f>IF(SER_hh_fec_in!N12=0,0,11630*1000*SER_hh_fec_in!N12/SER_hh_num_in!N12)</f>
        <v>40192.309858043998</v>
      </c>
      <c r="O12" s="133">
        <f>IF(SER_hh_fec_in!O12=0,0,11630*1000*SER_hh_fec_in!O12/SER_hh_num_in!O12)</f>
        <v>37732.315595915934</v>
      </c>
      <c r="P12" s="133">
        <f>IF(SER_hh_fec_in!P12=0,0,11630*1000*SER_hh_fec_in!P12/SER_hh_num_in!P12)</f>
        <v>36604.049449939928</v>
      </c>
      <c r="Q12" s="133">
        <f>IF(SER_hh_fec_in!Q12=0,0,11630*1000*SER_hh_fec_in!Q12/SER_hh_num_in!Q12)</f>
        <v>38938.033567500381</v>
      </c>
      <c r="R12" s="133">
        <f>IF(SER_hh_fec_in!R12=0,0,11630*1000*SER_hh_fec_in!R12/SER_hh_num_in!R12)</f>
        <v>51039.198038533999</v>
      </c>
      <c r="S12" s="133">
        <f>IF(SER_hh_fec_in!S12=0,0,11630*1000*SER_hh_fec_in!S12/SER_hh_num_in!S12)</f>
        <v>35873.133445299856</v>
      </c>
      <c r="T12" s="133">
        <f>IF(SER_hh_fec_in!T12=0,0,11630*1000*SER_hh_fec_in!T12/SER_hh_num_in!T12)</f>
        <v>44582.072642622035</v>
      </c>
      <c r="U12" s="133">
        <f>IF(SER_hh_fec_in!U12=0,0,11630*1000*SER_hh_fec_in!U12/SER_hh_num_in!U12)</f>
        <v>39111.040806149344</v>
      </c>
      <c r="V12" s="133">
        <f>IF(SER_hh_fec_in!V12=0,0,11630*1000*SER_hh_fec_in!V12/SER_hh_num_in!V12)</f>
        <v>28749.614083885263</v>
      </c>
      <c r="W12" s="133">
        <f>IF(SER_hh_fec_in!W12=0,0,11630*1000*SER_hh_fec_in!W12/SER_hh_num_in!W12)</f>
        <v>35006.016369859251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18973.951517354439</v>
      </c>
      <c r="D13" s="133">
        <f>IF(SER_hh_fec_in!D13=0,0,11630*1000*SER_hh_fec_in!D13/SER_hh_num_in!D13)</f>
        <v>21639.342648916801</v>
      </c>
      <c r="E13" s="133">
        <f>IF(SER_hh_fec_in!E13=0,0,11630*1000*SER_hh_fec_in!E13/SER_hh_num_in!E13)</f>
        <v>22693.812001788508</v>
      </c>
      <c r="F13" s="133">
        <f>IF(SER_hh_fec_in!F13=0,0,11630*1000*SER_hh_fec_in!F13/SER_hh_num_in!F13)</f>
        <v>19644.719737076994</v>
      </c>
      <c r="G13" s="133">
        <f>IF(SER_hh_fec_in!G13=0,0,11630*1000*SER_hh_fec_in!G13/SER_hh_num_in!G13)</f>
        <v>20105.61556576868</v>
      </c>
      <c r="H13" s="133">
        <f>IF(SER_hh_fec_in!H13=0,0,11630*1000*SER_hh_fec_in!H13/SER_hh_num_in!H13)</f>
        <v>21442.112170472992</v>
      </c>
      <c r="I13" s="133">
        <f>IF(SER_hh_fec_in!I13=0,0,11630*1000*SER_hh_fec_in!I13/SER_hh_num_in!I13)</f>
        <v>18110.012963212361</v>
      </c>
      <c r="J13" s="133">
        <f>IF(SER_hh_fec_in!J13=0,0,11630*1000*SER_hh_fec_in!J13/SER_hh_num_in!J13)</f>
        <v>15647.727425323754</v>
      </c>
      <c r="K13" s="133">
        <f>IF(SER_hh_fec_in!K13=0,0,11630*1000*SER_hh_fec_in!K13/SER_hh_num_in!K13)</f>
        <v>15587.019451129945</v>
      </c>
      <c r="L13" s="133">
        <f>IF(SER_hh_fec_in!L13=0,0,11630*1000*SER_hh_fec_in!L13/SER_hh_num_in!L13)</f>
        <v>15556.288165035921</v>
      </c>
      <c r="M13" s="133">
        <f>IF(SER_hh_fec_in!M13=0,0,11630*1000*SER_hh_fec_in!M13/SER_hh_num_in!M13)</f>
        <v>13616.267190788401</v>
      </c>
      <c r="N13" s="133">
        <f>IF(SER_hh_fec_in!N13=0,0,11630*1000*SER_hh_fec_in!N13/SER_hh_num_in!N13)</f>
        <v>11363.881430917008</v>
      </c>
      <c r="O13" s="133">
        <f>IF(SER_hh_fec_in!O13=0,0,11630*1000*SER_hh_fec_in!O13/SER_hh_num_in!O13)</f>
        <v>11449.367557506132</v>
      </c>
      <c r="P13" s="133">
        <f>IF(SER_hh_fec_in!P13=0,0,11630*1000*SER_hh_fec_in!P13/SER_hh_num_in!P13)</f>
        <v>9308.0654738879202</v>
      </c>
      <c r="Q13" s="133">
        <f>IF(SER_hh_fec_in!Q13=0,0,11630*1000*SER_hh_fec_in!Q13/SER_hh_num_in!Q13)</f>
        <v>9232.1284238504722</v>
      </c>
      <c r="R13" s="133">
        <f>IF(SER_hh_fec_in!R13=0,0,11630*1000*SER_hh_fec_in!R13/SER_hh_num_in!R13)</f>
        <v>9051.7203716187851</v>
      </c>
      <c r="S13" s="133">
        <f>IF(SER_hh_fec_in!S13=0,0,11630*1000*SER_hh_fec_in!S13/SER_hh_num_in!S13)</f>
        <v>8784.1452611650657</v>
      </c>
      <c r="T13" s="133">
        <f>IF(SER_hh_fec_in!T13=0,0,11630*1000*SER_hh_fec_in!T13/SER_hh_num_in!T13)</f>
        <v>8263.6551869322848</v>
      </c>
      <c r="U13" s="133">
        <f>IF(SER_hh_fec_in!U13=0,0,11630*1000*SER_hh_fec_in!U13/SER_hh_num_in!U13)</f>
        <v>8261.1313893712631</v>
      </c>
      <c r="V13" s="133">
        <f>IF(SER_hh_fec_in!V13=0,0,11630*1000*SER_hh_fec_in!V13/SER_hh_num_in!V13)</f>
        <v>7748.0115791338676</v>
      </c>
      <c r="W13" s="133">
        <f>IF(SER_hh_fec_in!W13=0,0,11630*1000*SER_hh_fec_in!W13/SER_hh_num_in!W13)</f>
        <v>7902.050616603834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45174.374908768899</v>
      </c>
      <c r="D14" s="65">
        <f>IF(SER_hh_fec_in!D14=0,0,11630*1000*SER_hh_fec_in!D14/SER_hh_num_in!D14)</f>
        <v>57382.380675954992</v>
      </c>
      <c r="E14" s="65">
        <f>IF(SER_hh_fec_in!E14=0,0,11630*1000*SER_hh_fec_in!E14/SER_hh_num_in!E14)</f>
        <v>60750.584748815898</v>
      </c>
      <c r="F14" s="65">
        <f>IF(SER_hh_fec_in!F14=0,0,11630*1000*SER_hh_fec_in!F14/SER_hh_num_in!F14)</f>
        <v>39652.439844976368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66288.58101818111</v>
      </c>
      <c r="I14" s="65">
        <f>IF(SER_hh_fec_in!I14=0,0,11630*1000*SER_hh_fec_in!I14/SER_hh_num_in!I14)</f>
        <v>47067.542583642477</v>
      </c>
      <c r="J14" s="65">
        <f>IF(SER_hh_fec_in!J14=0,0,11630*1000*SER_hh_fec_in!J14/SER_hh_num_in!J14)</f>
        <v>58967.933711441096</v>
      </c>
      <c r="K14" s="65">
        <f>IF(SER_hh_fec_in!K14=0,0,11630*1000*SER_hh_fec_in!K14/SER_hh_num_in!K14)</f>
        <v>44611.38836194804</v>
      </c>
      <c r="L14" s="65">
        <f>IF(SER_hh_fec_in!L14=0,0,11630*1000*SER_hh_fec_in!L14/SER_hh_num_in!L14)</f>
        <v>56853.507942797609</v>
      </c>
      <c r="M14" s="65">
        <f>IF(SER_hh_fec_in!M14=0,0,11630*1000*SER_hh_fec_in!M14/SER_hh_num_in!M14)</f>
        <v>65246.545438106652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47060.570922194544</v>
      </c>
      <c r="S14" s="65">
        <f>IF(SER_hh_fec_in!S14=0,0,11630*1000*SER_hh_fec_in!S14/SER_hh_num_in!S14)</f>
        <v>38362.135096931299</v>
      </c>
      <c r="T14" s="65">
        <f>IF(SER_hh_fec_in!T14=0,0,11630*1000*SER_hh_fec_in!T14/SER_hh_num_in!T14)</f>
        <v>42212.038079840102</v>
      </c>
      <c r="U14" s="65">
        <f>IF(SER_hh_fec_in!U14=0,0,11630*1000*SER_hh_fec_in!U14/SER_hh_num_in!U14)</f>
        <v>53291.815700479252</v>
      </c>
      <c r="V14" s="65">
        <f>IF(SER_hh_fec_in!V14=0,0,11630*1000*SER_hh_fec_in!V14/SER_hh_num_in!V14)</f>
        <v>16698.495041738526</v>
      </c>
      <c r="W14" s="65">
        <f>IF(SER_hh_fec_in!W14=0,0,11630*1000*SER_hh_fec_in!W14/SER_hh_num_in!W14)</f>
        <v>41573.251749797717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285.98574081916667</v>
      </c>
      <c r="D15" s="135">
        <f>IF(SER_hh_fec_in!D15=0,0,11630*1000*SER_hh_fec_in!D15/SER_hh_num_in!D15)</f>
        <v>246.19110527879971</v>
      </c>
      <c r="E15" s="135">
        <f>IF(SER_hh_fec_in!E15=0,0,11630*1000*SER_hh_fec_in!E15/SER_hh_num_in!E15)</f>
        <v>240.43925497141504</v>
      </c>
      <c r="F15" s="135">
        <f>IF(SER_hh_fec_in!F15=0,0,11630*1000*SER_hh_fec_in!F15/SER_hh_num_in!F15)</f>
        <v>210.97086982350029</v>
      </c>
      <c r="G15" s="135">
        <f>IF(SER_hh_fec_in!G15=0,0,11630*1000*SER_hh_fec_in!G15/SER_hh_num_in!G15)</f>
        <v>311.99020166105038</v>
      </c>
      <c r="H15" s="135">
        <f>IF(SER_hh_fec_in!H15=0,0,11630*1000*SER_hh_fec_in!H15/SER_hh_num_in!H15)</f>
        <v>463.60854189009376</v>
      </c>
      <c r="I15" s="135">
        <f>IF(SER_hh_fec_in!I15=0,0,11630*1000*SER_hh_fec_in!I15/SER_hh_num_in!I15)</f>
        <v>342.91401539166918</v>
      </c>
      <c r="J15" s="135">
        <f>IF(SER_hh_fec_in!J15=0,0,11630*1000*SER_hh_fec_in!J15/SER_hh_num_in!J15)</f>
        <v>710.89016662176766</v>
      </c>
      <c r="K15" s="135">
        <f>IF(SER_hh_fec_in!K15=0,0,11630*1000*SER_hh_fec_in!K15/SER_hh_num_in!K15)</f>
        <v>341.86822779255704</v>
      </c>
      <c r="L15" s="135">
        <f>IF(SER_hh_fec_in!L15=0,0,11630*1000*SER_hh_fec_in!L15/SER_hh_num_in!L15)</f>
        <v>310.41924244367493</v>
      </c>
      <c r="M15" s="135">
        <f>IF(SER_hh_fec_in!M15=0,0,11630*1000*SER_hh_fec_in!M15/SER_hh_num_in!M15)</f>
        <v>207.15948182200424</v>
      </c>
      <c r="N15" s="135">
        <f>IF(SER_hh_fec_in!N15=0,0,11630*1000*SER_hh_fec_in!N15/SER_hh_num_in!N15)</f>
        <v>312.48143366640591</v>
      </c>
      <c r="O15" s="135">
        <f>IF(SER_hh_fec_in!O15=0,0,11630*1000*SER_hh_fec_in!O15/SER_hh_num_in!O15)</f>
        <v>266.21381150605987</v>
      </c>
      <c r="P15" s="135">
        <f>IF(SER_hh_fec_in!P15=0,0,11630*1000*SER_hh_fec_in!P15/SER_hh_num_in!P15)</f>
        <v>260.14839369171494</v>
      </c>
      <c r="Q15" s="135">
        <f>IF(SER_hh_fec_in!Q15=0,0,11630*1000*SER_hh_fec_in!Q15/SER_hh_num_in!Q15)</f>
        <v>342.18097059847253</v>
      </c>
      <c r="R15" s="135">
        <f>IF(SER_hh_fec_in!R15=0,0,11630*1000*SER_hh_fec_in!R15/SER_hh_num_in!R15)</f>
        <v>224.37672134100166</v>
      </c>
      <c r="S15" s="135">
        <f>IF(SER_hh_fec_in!S15=0,0,11630*1000*SER_hh_fec_in!S15/SER_hh_num_in!S15)</f>
        <v>242.54168466499888</v>
      </c>
      <c r="T15" s="135">
        <f>IF(SER_hh_fec_in!T15=0,0,11630*1000*SER_hh_fec_in!T15/SER_hh_num_in!T15)</f>
        <v>257.07268389545868</v>
      </c>
      <c r="U15" s="135">
        <f>IF(SER_hh_fec_in!U15=0,0,11630*1000*SER_hh_fec_in!U15/SER_hh_num_in!U15)</f>
        <v>229.31824903227474</v>
      </c>
      <c r="V15" s="135">
        <f>IF(SER_hh_fec_in!V15=0,0,11630*1000*SER_hh_fec_in!V15/SER_hh_num_in!V15)</f>
        <v>212.18201597362849</v>
      </c>
      <c r="W15" s="135">
        <f>IF(SER_hh_fec_in!W15=0,0,11630*1000*SER_hh_fec_in!W15/SER_hh_num_in!W15)</f>
        <v>256.15073810418062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13107.252817274886</v>
      </c>
      <c r="D16" s="131">
        <f>IF(SER_hh_fec_in!D16=0,0,11630*1000*SER_hh_fec_in!D16/SER_hh_num_in!D16)</f>
        <v>9374.6228076808657</v>
      </c>
      <c r="E16" s="131">
        <f>IF(SER_hh_fec_in!E16=0,0,11630*1000*SER_hh_fec_in!E16/SER_hh_num_in!E16)</f>
        <v>10059.975115042173</v>
      </c>
      <c r="F16" s="131">
        <f>IF(SER_hh_fec_in!F16=0,0,11630*1000*SER_hh_fec_in!F16/SER_hh_num_in!F16)</f>
        <v>7662.9843320654818</v>
      </c>
      <c r="G16" s="131">
        <f>IF(SER_hh_fec_in!G16=0,0,11630*1000*SER_hh_fec_in!G16/SER_hh_num_in!G16)</f>
        <v>7505.2253573751395</v>
      </c>
      <c r="H16" s="131">
        <f>IF(SER_hh_fec_in!H16=0,0,11630*1000*SER_hh_fec_in!H16/SER_hh_num_in!H16)</f>
        <v>8422.6990786881179</v>
      </c>
      <c r="I16" s="131">
        <f>IF(SER_hh_fec_in!I16=0,0,11630*1000*SER_hh_fec_in!I16/SER_hh_num_in!I16)</f>
        <v>14671.844690946904</v>
      </c>
      <c r="J16" s="131">
        <f>IF(SER_hh_fec_in!J16=0,0,11630*1000*SER_hh_fec_in!J16/SER_hh_num_in!J16)</f>
        <v>9043.5895036579313</v>
      </c>
      <c r="K16" s="131">
        <f>IF(SER_hh_fec_in!K16=0,0,11630*1000*SER_hh_fec_in!K16/SER_hh_num_in!K16)</f>
        <v>7525.9811301688042</v>
      </c>
      <c r="L16" s="131">
        <f>IF(SER_hh_fec_in!L16=0,0,11630*1000*SER_hh_fec_in!L16/SER_hh_num_in!L16)</f>
        <v>9052.5607533116199</v>
      </c>
      <c r="M16" s="131">
        <f>IF(SER_hh_fec_in!M16=0,0,11630*1000*SER_hh_fec_in!M16/SER_hh_num_in!M16)</f>
        <v>7208.7964464276674</v>
      </c>
      <c r="N16" s="131">
        <f>IF(SER_hh_fec_in!N16=0,0,11630*1000*SER_hh_fec_in!N16/SER_hh_num_in!N16)</f>
        <v>14315.23534201226</v>
      </c>
      <c r="O16" s="131">
        <f>IF(SER_hh_fec_in!O16=0,0,11630*1000*SER_hh_fec_in!O16/SER_hh_num_in!O16)</f>
        <v>6580.9901902654528</v>
      </c>
      <c r="P16" s="131">
        <f>IF(SER_hh_fec_in!P16=0,0,11630*1000*SER_hh_fec_in!P16/SER_hh_num_in!P16)</f>
        <v>5742.9157111652485</v>
      </c>
      <c r="Q16" s="131">
        <f>IF(SER_hh_fec_in!Q16=0,0,11630*1000*SER_hh_fec_in!Q16/SER_hh_num_in!Q16)</f>
        <v>7847.9947693321565</v>
      </c>
      <c r="R16" s="131">
        <f>IF(SER_hh_fec_in!R16=0,0,11630*1000*SER_hh_fec_in!R16/SER_hh_num_in!R16)</f>
        <v>6971.194470707348</v>
      </c>
      <c r="S16" s="131">
        <f>IF(SER_hh_fec_in!S16=0,0,11630*1000*SER_hh_fec_in!S16/SER_hh_num_in!S16)</f>
        <v>7124.5985946883702</v>
      </c>
      <c r="T16" s="131">
        <f>IF(SER_hh_fec_in!T16=0,0,11630*1000*SER_hh_fec_in!T16/SER_hh_num_in!T16)</f>
        <v>5151.7802878813709</v>
      </c>
      <c r="U16" s="131">
        <f>IF(SER_hh_fec_in!U16=0,0,11630*1000*SER_hh_fec_in!U16/SER_hh_num_in!U16)</f>
        <v>5476.6868217977481</v>
      </c>
      <c r="V16" s="131">
        <f>IF(SER_hh_fec_in!V16=0,0,11630*1000*SER_hh_fec_in!V16/SER_hh_num_in!V16)</f>
        <v>5317.5644591425453</v>
      </c>
      <c r="W16" s="131">
        <f>IF(SER_hh_fec_in!W16=0,0,11630*1000*SER_hh_fec_in!W16/SER_hh_num_in!W16)</f>
        <v>6710.5988341275315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13107.252817274886</v>
      </c>
      <c r="D18" s="133">
        <f>IF(SER_hh_fec_in!D18=0,0,11630*1000*SER_hh_fec_in!D18/SER_hh_num_in!D18)</f>
        <v>9374.6228076808657</v>
      </c>
      <c r="E18" s="133">
        <f>IF(SER_hh_fec_in!E18=0,0,11630*1000*SER_hh_fec_in!E18/SER_hh_num_in!E18)</f>
        <v>10059.975115042173</v>
      </c>
      <c r="F18" s="133">
        <f>IF(SER_hh_fec_in!F18=0,0,11630*1000*SER_hh_fec_in!F18/SER_hh_num_in!F18)</f>
        <v>7662.9843320654818</v>
      </c>
      <c r="G18" s="133">
        <f>IF(SER_hh_fec_in!G18=0,0,11630*1000*SER_hh_fec_in!G18/SER_hh_num_in!G18)</f>
        <v>7505.2253573751395</v>
      </c>
      <c r="H18" s="133">
        <f>IF(SER_hh_fec_in!H18=0,0,11630*1000*SER_hh_fec_in!H18/SER_hh_num_in!H18)</f>
        <v>8422.6990786881179</v>
      </c>
      <c r="I18" s="133">
        <f>IF(SER_hh_fec_in!I18=0,0,11630*1000*SER_hh_fec_in!I18/SER_hh_num_in!I18)</f>
        <v>14671.844690946904</v>
      </c>
      <c r="J18" s="133">
        <f>IF(SER_hh_fec_in!J18=0,0,11630*1000*SER_hh_fec_in!J18/SER_hh_num_in!J18)</f>
        <v>9043.5895036579313</v>
      </c>
      <c r="K18" s="133">
        <f>IF(SER_hh_fec_in!K18=0,0,11630*1000*SER_hh_fec_in!K18/SER_hh_num_in!K18)</f>
        <v>7525.9811301688042</v>
      </c>
      <c r="L18" s="133">
        <f>IF(SER_hh_fec_in!L18=0,0,11630*1000*SER_hh_fec_in!L18/SER_hh_num_in!L18)</f>
        <v>9052.5607533116199</v>
      </c>
      <c r="M18" s="133">
        <f>IF(SER_hh_fec_in!M18=0,0,11630*1000*SER_hh_fec_in!M18/SER_hh_num_in!M18)</f>
        <v>7208.7964464276674</v>
      </c>
      <c r="N18" s="133">
        <f>IF(SER_hh_fec_in!N18=0,0,11630*1000*SER_hh_fec_in!N18/SER_hh_num_in!N18)</f>
        <v>14315.23534201226</v>
      </c>
      <c r="O18" s="133">
        <f>IF(SER_hh_fec_in!O18=0,0,11630*1000*SER_hh_fec_in!O18/SER_hh_num_in!O18)</f>
        <v>6580.9901902654528</v>
      </c>
      <c r="P18" s="133">
        <f>IF(SER_hh_fec_in!P18=0,0,11630*1000*SER_hh_fec_in!P18/SER_hh_num_in!P18)</f>
        <v>5742.9157111652485</v>
      </c>
      <c r="Q18" s="133">
        <f>IF(SER_hh_fec_in!Q18=0,0,11630*1000*SER_hh_fec_in!Q18/SER_hh_num_in!Q18)</f>
        <v>7847.9947693321565</v>
      </c>
      <c r="R18" s="133">
        <f>IF(SER_hh_fec_in!R18=0,0,11630*1000*SER_hh_fec_in!R18/SER_hh_num_in!R18)</f>
        <v>6971.194470707348</v>
      </c>
      <c r="S18" s="133">
        <f>IF(SER_hh_fec_in!S18=0,0,11630*1000*SER_hh_fec_in!S18/SER_hh_num_in!S18)</f>
        <v>7124.5985946883702</v>
      </c>
      <c r="T18" s="133">
        <f>IF(SER_hh_fec_in!T18=0,0,11630*1000*SER_hh_fec_in!T18/SER_hh_num_in!T18)</f>
        <v>5151.7802878813709</v>
      </c>
      <c r="U18" s="133">
        <f>IF(SER_hh_fec_in!U18=0,0,11630*1000*SER_hh_fec_in!U18/SER_hh_num_in!U18)</f>
        <v>5476.6868217977481</v>
      </c>
      <c r="V18" s="133">
        <f>IF(SER_hh_fec_in!V18=0,0,11630*1000*SER_hh_fec_in!V18/SER_hh_num_in!V18)</f>
        <v>5317.5644591425453</v>
      </c>
      <c r="W18" s="133">
        <f>IF(SER_hh_fec_in!W18=0,0,11630*1000*SER_hh_fec_in!W18/SER_hh_num_in!W18)</f>
        <v>6710.5988341275315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15583.33666235079</v>
      </c>
      <c r="D19" s="131">
        <f>IF(SER_hh_fec_in!D19=0,0,11630*1000*SER_hh_fec_in!D19/SER_hh_num_in!D19)</f>
        <v>14973.951143702385</v>
      </c>
      <c r="E19" s="131">
        <f>IF(SER_hh_fec_in!E19=0,0,11630*1000*SER_hh_fec_in!E19/SER_hh_num_in!E19)</f>
        <v>14650.171725033148</v>
      </c>
      <c r="F19" s="131">
        <f>IF(SER_hh_fec_in!F19=0,0,11630*1000*SER_hh_fec_in!F19/SER_hh_num_in!F19)</f>
        <v>14400.193687896548</v>
      </c>
      <c r="G19" s="131">
        <f>IF(SER_hh_fec_in!G19=0,0,11630*1000*SER_hh_fec_in!G19/SER_hh_num_in!G19)</f>
        <v>14414.648862797972</v>
      </c>
      <c r="H19" s="131">
        <f>IF(SER_hh_fec_in!H19=0,0,11630*1000*SER_hh_fec_in!H19/SER_hh_num_in!H19)</f>
        <v>14751.63612553131</v>
      </c>
      <c r="I19" s="131">
        <f>IF(SER_hh_fec_in!I19=0,0,11630*1000*SER_hh_fec_in!I19/SER_hh_num_in!I19)</f>
        <v>14965.405877918387</v>
      </c>
      <c r="J19" s="131">
        <f>IF(SER_hh_fec_in!J19=0,0,11630*1000*SER_hh_fec_in!J19/SER_hh_num_in!J19)</f>
        <v>14778.266278706658</v>
      </c>
      <c r="K19" s="131">
        <f>IF(SER_hh_fec_in!K19=0,0,11630*1000*SER_hh_fec_in!K19/SER_hh_num_in!K19)</f>
        <v>15053.389685437975</v>
      </c>
      <c r="L19" s="131">
        <f>IF(SER_hh_fec_in!L19=0,0,11630*1000*SER_hh_fec_in!L19/SER_hh_num_in!L19)</f>
        <v>11705.457671040207</v>
      </c>
      <c r="M19" s="131">
        <f>IF(SER_hh_fec_in!M19=0,0,11630*1000*SER_hh_fec_in!M19/SER_hh_num_in!M19)</f>
        <v>12329.238565939002</v>
      </c>
      <c r="N19" s="131">
        <f>IF(SER_hh_fec_in!N19=0,0,11630*1000*SER_hh_fec_in!N19/SER_hh_num_in!N19)</f>
        <v>12293.908804727851</v>
      </c>
      <c r="O19" s="131">
        <f>IF(SER_hh_fec_in!O19=0,0,11630*1000*SER_hh_fec_in!O19/SER_hh_num_in!O19)</f>
        <v>11940.150418029712</v>
      </c>
      <c r="P19" s="131">
        <f>IF(SER_hh_fec_in!P19=0,0,11630*1000*SER_hh_fec_in!P19/SER_hh_num_in!P19)</f>
        <v>12881.137984559336</v>
      </c>
      <c r="Q19" s="131">
        <f>IF(SER_hh_fec_in!Q19=0,0,11630*1000*SER_hh_fec_in!Q19/SER_hh_num_in!Q19)</f>
        <v>11922.293125522994</v>
      </c>
      <c r="R19" s="131">
        <f>IF(SER_hh_fec_in!R19=0,0,11630*1000*SER_hh_fec_in!R19/SER_hh_num_in!R19)</f>
        <v>12137.871816281911</v>
      </c>
      <c r="S19" s="131">
        <f>IF(SER_hh_fec_in!S19=0,0,11630*1000*SER_hh_fec_in!S19/SER_hh_num_in!S19)</f>
        <v>12249.943130410113</v>
      </c>
      <c r="T19" s="131">
        <f>IF(SER_hh_fec_in!T19=0,0,11630*1000*SER_hh_fec_in!T19/SER_hh_num_in!T19)</f>
        <v>12723.404851583391</v>
      </c>
      <c r="U19" s="131">
        <f>IF(SER_hh_fec_in!U19=0,0,11630*1000*SER_hh_fec_in!U19/SER_hh_num_in!U19)</f>
        <v>12350.11923396977</v>
      </c>
      <c r="V19" s="131">
        <f>IF(SER_hh_fec_in!V19=0,0,11630*1000*SER_hh_fec_in!V19/SER_hh_num_in!V19)</f>
        <v>10663.973971757723</v>
      </c>
      <c r="W19" s="131">
        <f>IF(SER_hh_fec_in!W19=0,0,11630*1000*SER_hh_fec_in!W19/SER_hh_num_in!W19)</f>
        <v>11447.722874312565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20678.015272794237</v>
      </c>
      <c r="D22" s="133">
        <f>IF(SER_hh_fec_in!D22=0,0,11630*1000*SER_hh_fec_in!D22/SER_hh_num_in!D22)</f>
        <v>20650.332107985843</v>
      </c>
      <c r="E22" s="133">
        <f>IF(SER_hh_fec_in!E22=0,0,11630*1000*SER_hh_fec_in!E22/SER_hh_num_in!E22)</f>
        <v>20119.950394857548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18249.513868922259</v>
      </c>
      <c r="I22" s="133">
        <f>IF(SER_hh_fec_in!I22=0,0,11630*1000*SER_hh_fec_in!I22/SER_hh_num_in!I22)</f>
        <v>18686.706390620999</v>
      </c>
      <c r="J22" s="133">
        <f>IF(SER_hh_fec_in!J22=0,0,11630*1000*SER_hh_fec_in!J22/SER_hh_num_in!J22)</f>
        <v>18998.597744631101</v>
      </c>
      <c r="K22" s="133">
        <f>IF(SER_hh_fec_in!K22=0,0,11630*1000*SER_hh_fec_in!K22/SER_hh_num_in!K22)</f>
        <v>19042.389829713818</v>
      </c>
      <c r="L22" s="133">
        <f>IF(SER_hh_fec_in!L22=0,0,11630*1000*SER_hh_fec_in!L22/SER_hh_num_in!L22)</f>
        <v>9567.3869320007816</v>
      </c>
      <c r="M22" s="133">
        <f>IF(SER_hh_fec_in!M22=0,0,11630*1000*SER_hh_fec_in!M22/SER_hh_num_in!M22)</f>
        <v>18984.096189442451</v>
      </c>
      <c r="N22" s="133">
        <f>IF(SER_hh_fec_in!N22=0,0,11630*1000*SER_hh_fec_in!N22/SER_hh_num_in!N22)</f>
        <v>19971.012783720947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18391.087989444368</v>
      </c>
      <c r="D23" s="133">
        <f>IF(SER_hh_fec_in!D23=0,0,11630*1000*SER_hh_fec_in!D23/SER_hh_num_in!D23)</f>
        <v>16288.537162107605</v>
      </c>
      <c r="E23" s="133">
        <f>IF(SER_hh_fec_in!E23=0,0,11630*1000*SER_hh_fec_in!E23/SER_hh_num_in!E23)</f>
        <v>17002.444949303572</v>
      </c>
      <c r="F23" s="133">
        <f>IF(SER_hh_fec_in!F23=0,0,11630*1000*SER_hh_fec_in!F23/SER_hh_num_in!F23)</f>
        <v>16531.866361719447</v>
      </c>
      <c r="G23" s="133">
        <f>IF(SER_hh_fec_in!G23=0,0,11630*1000*SER_hh_fec_in!G23/SER_hh_num_in!G23)</f>
        <v>15974.736330291924</v>
      </c>
      <c r="H23" s="133">
        <f>IF(SER_hh_fec_in!H23=0,0,11630*1000*SER_hh_fec_in!H23/SER_hh_num_in!H23)</f>
        <v>16388.948356514757</v>
      </c>
      <c r="I23" s="133">
        <f>IF(SER_hh_fec_in!I23=0,0,11630*1000*SER_hh_fec_in!I23/SER_hh_num_in!I23)</f>
        <v>17115.16526441725</v>
      </c>
      <c r="J23" s="133">
        <f>IF(SER_hh_fec_in!J23=0,0,11630*1000*SER_hh_fec_in!J23/SER_hh_num_in!J23)</f>
        <v>16718.764959933666</v>
      </c>
      <c r="K23" s="133">
        <f>IF(SER_hh_fec_in!K23=0,0,11630*1000*SER_hh_fec_in!K23/SER_hh_num_in!K23)</f>
        <v>16662.714925966684</v>
      </c>
      <c r="L23" s="133">
        <f>IF(SER_hh_fec_in!L23=0,0,11630*1000*SER_hh_fec_in!L23/SER_hh_num_in!L23)</f>
        <v>7613.2200717710357</v>
      </c>
      <c r="M23" s="133">
        <f>IF(SER_hh_fec_in!M23=0,0,11630*1000*SER_hh_fec_in!M23/SER_hh_num_in!M23)</f>
        <v>15156.11239334241</v>
      </c>
      <c r="N23" s="133">
        <f>IF(SER_hh_fec_in!N23=0,0,11630*1000*SER_hh_fec_in!N23/SER_hh_num_in!N23)</f>
        <v>15702.861339746345</v>
      </c>
      <c r="O23" s="133">
        <f>IF(SER_hh_fec_in!O23=0,0,11630*1000*SER_hh_fec_in!O23/SER_hh_num_in!O23)</f>
        <v>11790.520552767686</v>
      </c>
      <c r="P23" s="133">
        <f>IF(SER_hh_fec_in!P23=0,0,11630*1000*SER_hh_fec_in!P23/SER_hh_num_in!P23)</f>
        <v>15374.987116189792</v>
      </c>
      <c r="Q23" s="133">
        <f>IF(SER_hh_fec_in!Q23=0,0,11630*1000*SER_hh_fec_in!Q23/SER_hh_num_in!Q23)</f>
        <v>14062.232638490925</v>
      </c>
      <c r="R23" s="133">
        <f>IF(SER_hh_fec_in!R23=0,0,11630*1000*SER_hh_fec_in!R23/SER_hh_num_in!R23)</f>
        <v>14105.813513134668</v>
      </c>
      <c r="S23" s="133">
        <f>IF(SER_hh_fec_in!S23=0,0,11630*1000*SER_hh_fec_in!S23/SER_hh_num_in!S23)</f>
        <v>14015.738217025235</v>
      </c>
      <c r="T23" s="133">
        <f>IF(SER_hh_fec_in!T23=0,0,11630*1000*SER_hh_fec_in!T23/SER_hh_num_in!T23)</f>
        <v>14743.282795678087</v>
      </c>
      <c r="U23" s="133">
        <f>IF(SER_hh_fec_in!U23=0,0,11630*1000*SER_hh_fec_in!U23/SER_hh_num_in!U23)</f>
        <v>14758.217483435792</v>
      </c>
      <c r="V23" s="133">
        <f>IF(SER_hh_fec_in!V23=0,0,11630*1000*SER_hh_fec_in!V23/SER_hh_num_in!V23)</f>
        <v>9924.2810825459565</v>
      </c>
      <c r="W23" s="133">
        <f>IF(SER_hh_fec_in!W23=0,0,11630*1000*SER_hh_fec_in!W23/SER_hh_num_in!W23)</f>
        <v>13628.99498764598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13146.561525137482</v>
      </c>
      <c r="D25" s="133">
        <f>IF(SER_hh_fec_in!D25=0,0,11630*1000*SER_hh_fec_in!D25/SER_hh_num_in!D25)</f>
        <v>12857.168425319942</v>
      </c>
      <c r="E25" s="133">
        <f>IF(SER_hh_fec_in!E25=0,0,11630*1000*SER_hh_fec_in!E25/SER_hh_num_in!E25)</f>
        <v>12706.676473424468</v>
      </c>
      <c r="F25" s="133">
        <f>IF(SER_hh_fec_in!F25=0,0,11630*1000*SER_hh_fec_in!F25/SER_hh_num_in!F25)</f>
        <v>12530.718839820065</v>
      </c>
      <c r="G25" s="133">
        <f>IF(SER_hh_fec_in!G25=0,0,11630*1000*SER_hh_fec_in!G25/SER_hh_num_in!G25)</f>
        <v>12425.50448160938</v>
      </c>
      <c r="H25" s="133">
        <f>IF(SER_hh_fec_in!H25=0,0,11630*1000*SER_hh_fec_in!H25/SER_hh_num_in!H25)</f>
        <v>12355.200538150566</v>
      </c>
      <c r="I25" s="133">
        <f>IF(SER_hh_fec_in!I25=0,0,11630*1000*SER_hh_fec_in!I25/SER_hh_num_in!I25)</f>
        <v>12381.625148185702</v>
      </c>
      <c r="J25" s="133">
        <f>IF(SER_hh_fec_in!J25=0,0,11630*1000*SER_hh_fec_in!J25/SER_hh_num_in!J25)</f>
        <v>12548.314814740284</v>
      </c>
      <c r="K25" s="133">
        <f>IF(SER_hh_fec_in!K25=0,0,11630*1000*SER_hh_fec_in!K25/SER_hh_num_in!K25)</f>
        <v>12716.935691600222</v>
      </c>
      <c r="L25" s="133">
        <f>IF(SER_hh_fec_in!L25=0,0,11630*1000*SER_hh_fec_in!L25/SER_hh_num_in!L25)</f>
        <v>5961.4379417785794</v>
      </c>
      <c r="M25" s="133">
        <f>IF(SER_hh_fec_in!M25=0,0,11630*1000*SER_hh_fec_in!M25/SER_hh_num_in!M25)</f>
        <v>12097.405348735361</v>
      </c>
      <c r="N25" s="133">
        <f>IF(SER_hh_fec_in!N25=0,0,11630*1000*SER_hh_fec_in!N25/SER_hh_num_in!N25)</f>
        <v>12916.183388698346</v>
      </c>
      <c r="O25" s="133">
        <f>IF(SER_hh_fec_in!O25=0,0,11630*1000*SER_hh_fec_in!O25/SER_hh_num_in!O25)</f>
        <v>10491.28702757845</v>
      </c>
      <c r="P25" s="133">
        <f>IF(SER_hh_fec_in!P25=0,0,11630*1000*SER_hh_fec_in!P25/SER_hh_num_in!P25)</f>
        <v>13643.574008712831</v>
      </c>
      <c r="Q25" s="133">
        <f>IF(SER_hh_fec_in!Q25=0,0,11630*1000*SER_hh_fec_in!Q25/SER_hh_num_in!Q25)</f>
        <v>12896.158928802357</v>
      </c>
      <c r="R25" s="133">
        <f>IF(SER_hh_fec_in!R25=0,0,11630*1000*SER_hh_fec_in!R25/SER_hh_num_in!R25)</f>
        <v>13238.11762295717</v>
      </c>
      <c r="S25" s="133">
        <f>IF(SER_hh_fec_in!S25=0,0,11630*1000*SER_hh_fec_in!S25/SER_hh_num_in!S25)</f>
        <v>13395.31298267997</v>
      </c>
      <c r="T25" s="133">
        <f>IF(SER_hh_fec_in!T25=0,0,11630*1000*SER_hh_fec_in!T25/SER_hh_num_in!T25)</f>
        <v>13961.975028168283</v>
      </c>
      <c r="U25" s="133">
        <f>IF(SER_hh_fec_in!U25=0,0,11630*1000*SER_hh_fec_in!U25/SER_hh_num_in!U25)</f>
        <v>13808.41418412464</v>
      </c>
      <c r="V25" s="133">
        <f>IF(SER_hh_fec_in!V25=0,0,11630*1000*SER_hh_fec_in!V25/SER_hh_num_in!V25)</f>
        <v>9999.2253118767094</v>
      </c>
      <c r="W25" s="133">
        <f>IF(SER_hh_fec_in!W25=0,0,11630*1000*SER_hh_fec_in!W25/SER_hh_num_in!W25)</f>
        <v>13148.835943439535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15958.796455240061</v>
      </c>
      <c r="D26" s="65">
        <f>IF(SER_hh_fec_in!D26=0,0,11630*1000*SER_hh_fec_in!D26/SER_hh_num_in!D26)</f>
        <v>15782.274387673146</v>
      </c>
      <c r="E26" s="65">
        <f>IF(SER_hh_fec_in!E26=0,0,11630*1000*SER_hh_fec_in!E26/SER_hh_num_in!E26)</f>
        <v>15187.850630457135</v>
      </c>
      <c r="F26" s="65">
        <f>IF(SER_hh_fec_in!F26=0,0,11630*1000*SER_hh_fec_in!F26/SER_hh_num_in!F26)</f>
        <v>14790.079556953811</v>
      </c>
      <c r="G26" s="65">
        <f>IF(SER_hh_fec_in!G26=0,0,11630*1000*SER_hh_fec_in!G26/SER_hh_num_in!G26)</f>
        <v>14794.285490530192</v>
      </c>
      <c r="H26" s="65">
        <f>IF(SER_hh_fec_in!H26=0,0,11630*1000*SER_hh_fec_in!H26/SER_hh_num_in!H26)</f>
        <v>14918.792636588043</v>
      </c>
      <c r="I26" s="65">
        <f>IF(SER_hh_fec_in!I26=0,0,11630*1000*SER_hh_fec_in!I26/SER_hh_num_in!I26)</f>
        <v>14630.617503458223</v>
      </c>
      <c r="J26" s="65">
        <f>IF(SER_hh_fec_in!J26=0,0,11630*1000*SER_hh_fec_in!J26/SER_hh_num_in!J26)</f>
        <v>14494.696153980796</v>
      </c>
      <c r="K26" s="65">
        <f>IF(SER_hh_fec_in!K26=0,0,11630*1000*SER_hh_fec_in!K26/SER_hh_num_in!K26)</f>
        <v>15052.464190265129</v>
      </c>
      <c r="L26" s="65">
        <f>IF(SER_hh_fec_in!L26=0,0,11630*1000*SER_hh_fec_in!L26/SER_hh_num_in!L26)</f>
        <v>4610.9281679157575</v>
      </c>
      <c r="M26" s="65">
        <f>IF(SER_hh_fec_in!M26=0,0,11630*1000*SER_hh_fec_in!M26/SER_hh_num_in!M26)</f>
        <v>4272.1806439534057</v>
      </c>
      <c r="N26" s="65">
        <f>IF(SER_hh_fec_in!N26=0,0,11630*1000*SER_hh_fec_in!N26/SER_hh_num_in!N26)</f>
        <v>3790.8262639438622</v>
      </c>
      <c r="O26" s="65">
        <f>IF(SER_hh_fec_in!O26=0,0,11630*1000*SER_hh_fec_in!O26/SER_hh_num_in!O26)</f>
        <v>3753.4585305590517</v>
      </c>
      <c r="P26" s="65">
        <f>IF(SER_hh_fec_in!P26=0,0,11630*1000*SER_hh_fec_in!P26/SER_hh_num_in!P26)</f>
        <v>7603.144371777953</v>
      </c>
      <c r="Q26" s="65">
        <f>IF(SER_hh_fec_in!Q26=0,0,11630*1000*SER_hh_fec_in!Q26/SER_hh_num_in!Q26)</f>
        <v>3203.1757035539558</v>
      </c>
      <c r="R26" s="65">
        <f>IF(SER_hh_fec_in!R26=0,0,11630*1000*SER_hh_fec_in!R26/SER_hh_num_in!R26)</f>
        <v>3520.1354530348008</v>
      </c>
      <c r="S26" s="65">
        <f>IF(SER_hh_fec_in!S26=0,0,11630*1000*SER_hh_fec_in!S26/SER_hh_num_in!S26)</f>
        <v>3802.0656040244821</v>
      </c>
      <c r="T26" s="65">
        <f>IF(SER_hh_fec_in!T26=0,0,11630*1000*SER_hh_fec_in!T26/SER_hh_num_in!T26)</f>
        <v>6387.2039262519129</v>
      </c>
      <c r="U26" s="65">
        <f>IF(SER_hh_fec_in!U26=0,0,11630*1000*SER_hh_fec_in!U26/SER_hh_num_in!U26)</f>
        <v>3965.0612210260615</v>
      </c>
      <c r="V26" s="65">
        <f>IF(SER_hh_fec_in!V26=0,0,11630*1000*SER_hh_fec_in!V26/SER_hh_num_in!V26)</f>
        <v>2871.0477481640719</v>
      </c>
      <c r="W26" s="65">
        <f>IF(SER_hh_fec_in!W26=0,0,11630*1000*SER_hh_fec_in!W26/SER_hh_num_in!W26)</f>
        <v>3139.2246490158159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6283.7516675453926</v>
      </c>
      <c r="M27" s="146">
        <f>IF(SER_hh_fec_in!M27=0,0,11630*1000*SER_hh_fec_in!M27/SER_hh_num_in!M19)</f>
        <v>4969.4300176375755</v>
      </c>
      <c r="N27" s="146">
        <f>IF(SER_hh_fec_in!N27=0,0,11630*1000*SER_hh_fec_in!N27/SER_hh_num_in!N19)</f>
        <v>4512.2370191401351</v>
      </c>
      <c r="O27" s="146">
        <f>IF(SER_hh_fec_in!O27=0,0,11630*1000*SER_hh_fec_in!O27/SER_hh_num_in!O19)</f>
        <v>5439.550984591282</v>
      </c>
      <c r="P27" s="146">
        <f>IF(SER_hh_fec_in!P27=0,0,11630*1000*SER_hh_fec_in!P27/SER_hh_num_in!P19)</f>
        <v>2576.2507279923375</v>
      </c>
      <c r="Q27" s="146">
        <f>IF(SER_hh_fec_in!Q27=0,0,11630*1000*SER_hh_fec_in!Q27/SER_hh_num_in!Q19)</f>
        <v>4740.2066877384796</v>
      </c>
      <c r="R27" s="146">
        <f>IF(SER_hh_fec_in!R27=0,0,11630*1000*SER_hh_fec_in!R27/SER_hh_num_in!R19)</f>
        <v>4216.070196815117</v>
      </c>
      <c r="S27" s="146">
        <f>IF(SER_hh_fec_in!S27=0,0,11630*1000*SER_hh_fec_in!S27/SER_hh_num_in!S19)</f>
        <v>4250.9860770585556</v>
      </c>
      <c r="T27" s="146">
        <f>IF(SER_hh_fec_in!T27=0,0,11630*1000*SER_hh_fec_in!T27/SER_hh_num_in!T19)</f>
        <v>3006.1386495300035</v>
      </c>
      <c r="U27" s="146">
        <f>IF(SER_hh_fec_in!U27=0,0,11630*1000*SER_hh_fec_in!U27/SER_hh_num_in!U19)</f>
        <v>4334.2960814177732</v>
      </c>
      <c r="V27" s="146">
        <f>IF(SER_hh_fec_in!V27=0,0,11630*1000*SER_hh_fec_in!V27/SER_hh_num_in!V19)</f>
        <v>5017.5392031170013</v>
      </c>
      <c r="W27" s="146">
        <f>IF(SER_hh_fec_in!W27=0,0,11630*1000*SER_hh_fec_in!W27/SER_hh_num_in!W19)</f>
        <v>4617.0827897750905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6283.7516675453926</v>
      </c>
      <c r="M28" s="147">
        <f>IF(SER_hh_fec_in!M27=0,0,11630*1000*SER_hh_fec_in!M27/SER_hh_num_in!M27)</f>
        <v>6728.6000139663329</v>
      </c>
      <c r="N28" s="147">
        <f>IF(SER_hh_fec_in!N27=0,0,11630*1000*SER_hh_fec_in!N27/SER_hh_num_in!N27)</f>
        <v>7005.1672096614684</v>
      </c>
      <c r="O28" s="147">
        <f>IF(SER_hh_fec_in!O27=0,0,11630*1000*SER_hh_fec_in!O27/SER_hh_num_in!O27)</f>
        <v>6770.3909820322824</v>
      </c>
      <c r="P28" s="147">
        <f>IF(SER_hh_fec_in!P27=0,0,11630*1000*SER_hh_fec_in!P27/SER_hh_num_in!P27)</f>
        <v>7029.2577217708013</v>
      </c>
      <c r="Q28" s="147">
        <f>IF(SER_hh_fec_in!Q27=0,0,11630*1000*SER_hh_fec_in!Q27/SER_hh_num_in!Q27)</f>
        <v>7280.0873437635373</v>
      </c>
      <c r="R28" s="147">
        <f>IF(SER_hh_fec_in!R27=0,0,11630*1000*SER_hh_fec_in!R27/SER_hh_num_in!R27)</f>
        <v>7129.6263594874044</v>
      </c>
      <c r="S28" s="147">
        <f>IF(SER_hh_fec_in!S27=0,0,11630*1000*SER_hh_fec_in!S27/SER_hh_num_in!S27)</f>
        <v>7020.4458517515641</v>
      </c>
      <c r="T28" s="147">
        <f>IF(SER_hh_fec_in!T27=0,0,11630*1000*SER_hh_fec_in!T27/SER_hh_num_in!T27)</f>
        <v>7486.2581956776748</v>
      </c>
      <c r="U28" s="147">
        <f>IF(SER_hh_fec_in!U27=0,0,11630*1000*SER_hh_fec_in!U27/SER_hh_num_in!U27)</f>
        <v>7611.1246425186437</v>
      </c>
      <c r="V28" s="147">
        <f>IF(SER_hh_fec_in!V27=0,0,11630*1000*SER_hh_fec_in!V27/SER_hh_num_in!V27)</f>
        <v>6444.9908188452519</v>
      </c>
      <c r="W28" s="147">
        <f>IF(SER_hh_fec_in!W27=0,0,11630*1000*SER_hh_fec_in!W27/SER_hh_num_in!W27)</f>
        <v>7228.4204067580031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16356.482601258942</v>
      </c>
      <c r="D29" s="131">
        <f>IF(SER_hh_fec_in!D29=0,0,11630*1000*SER_hh_fec_in!D29/SER_hh_num_in!D29)</f>
        <v>15919.996110929753</v>
      </c>
      <c r="E29" s="131">
        <f>IF(SER_hh_fec_in!E29=0,0,11630*1000*SER_hh_fec_in!E29/SER_hh_num_in!E29)</f>
        <v>15714.325858817381</v>
      </c>
      <c r="F29" s="131">
        <f>IF(SER_hh_fec_in!F29=0,0,11630*1000*SER_hh_fec_in!F29/SER_hh_num_in!F29)</f>
        <v>15653.504008570973</v>
      </c>
      <c r="G29" s="131">
        <f>IF(SER_hh_fec_in!G29=0,0,11630*1000*SER_hh_fec_in!G29/SER_hh_num_in!G29)</f>
        <v>15240.673059521607</v>
      </c>
      <c r="H29" s="131">
        <f>IF(SER_hh_fec_in!H29=0,0,11630*1000*SER_hh_fec_in!H29/SER_hh_num_in!H29)</f>
        <v>15411.98015867414</v>
      </c>
      <c r="I29" s="131">
        <f>IF(SER_hh_fec_in!I29=0,0,11630*1000*SER_hh_fec_in!I29/SER_hh_num_in!I29)</f>
        <v>15056.402143589867</v>
      </c>
      <c r="J29" s="131">
        <f>IF(SER_hh_fec_in!J29=0,0,11630*1000*SER_hh_fec_in!J29/SER_hh_num_in!J29)</f>
        <v>17456.489706221677</v>
      </c>
      <c r="K29" s="131">
        <f>IF(SER_hh_fec_in!K29=0,0,11630*1000*SER_hh_fec_in!K29/SER_hh_num_in!K29)</f>
        <v>15546.50291418718</v>
      </c>
      <c r="L29" s="131">
        <f>IF(SER_hh_fec_in!L29=0,0,11630*1000*SER_hh_fec_in!L29/SER_hh_num_in!L29)</f>
        <v>18409.605111673496</v>
      </c>
      <c r="M29" s="131">
        <f>IF(SER_hh_fec_in!M29=0,0,11630*1000*SER_hh_fec_in!M29/SER_hh_num_in!M29)</f>
        <v>16321.127483400554</v>
      </c>
      <c r="N29" s="131">
        <f>IF(SER_hh_fec_in!N29=0,0,11630*1000*SER_hh_fec_in!N29/SER_hh_num_in!N29)</f>
        <v>17188.177461274834</v>
      </c>
      <c r="O29" s="131">
        <f>IF(SER_hh_fec_in!O29=0,0,11630*1000*SER_hh_fec_in!O29/SER_hh_num_in!O29)</f>
        <v>16295.652993106132</v>
      </c>
      <c r="P29" s="131">
        <f>IF(SER_hh_fec_in!P29=0,0,11630*1000*SER_hh_fec_in!P29/SER_hh_num_in!P29)</f>
        <v>16212.944886679223</v>
      </c>
      <c r="Q29" s="131">
        <f>IF(SER_hh_fec_in!Q29=0,0,11630*1000*SER_hh_fec_in!Q29/SER_hh_num_in!Q29)</f>
        <v>16099.889611067312</v>
      </c>
      <c r="R29" s="131">
        <f>IF(SER_hh_fec_in!R29=0,0,11630*1000*SER_hh_fec_in!R29/SER_hh_num_in!R29)</f>
        <v>16002.419638857049</v>
      </c>
      <c r="S29" s="131">
        <f>IF(SER_hh_fec_in!S29=0,0,11630*1000*SER_hh_fec_in!S29/SER_hh_num_in!S29)</f>
        <v>17129.616284836451</v>
      </c>
      <c r="T29" s="131">
        <f>IF(SER_hh_fec_in!T29=0,0,11630*1000*SER_hh_fec_in!T29/SER_hh_num_in!T29)</f>
        <v>18474.066537083036</v>
      </c>
      <c r="U29" s="131">
        <f>IF(SER_hh_fec_in!U29=0,0,11630*1000*SER_hh_fec_in!U29/SER_hh_num_in!U29)</f>
        <v>17980.515032488835</v>
      </c>
      <c r="V29" s="131">
        <f>IF(SER_hh_fec_in!V29=0,0,11630*1000*SER_hh_fec_in!V29/SER_hh_num_in!V29)</f>
        <v>14961.387589933231</v>
      </c>
      <c r="W29" s="131">
        <f>IF(SER_hh_fec_in!W29=0,0,11630*1000*SER_hh_fec_in!W29/SER_hh_num_in!W29)</f>
        <v>16090.512181056454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41698.560885301333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24122.32054118059</v>
      </c>
      <c r="M30" s="133">
        <f>IF(SER_hh_fec_in!M30=0,0,11630*1000*SER_hh_fec_in!M30/SER_hh_num_in!M30)</f>
        <v>22409.929777617312</v>
      </c>
      <c r="N30" s="133">
        <f>IF(SER_hh_fec_in!N30=0,0,11630*1000*SER_hh_fec_in!N30/SER_hh_num_in!N30)</f>
        <v>35459.435980710419</v>
      </c>
      <c r="O30" s="133">
        <f>IF(SER_hh_fec_in!O30=0,0,11630*1000*SER_hh_fec_in!O30/SER_hh_num_in!O30)</f>
        <v>25388.689262420226</v>
      </c>
      <c r="P30" s="133">
        <f>IF(SER_hh_fec_in!P30=0,0,11630*1000*SER_hh_fec_in!P30/SER_hh_num_in!P30)</f>
        <v>15963.439159553083</v>
      </c>
      <c r="Q30" s="133">
        <f>IF(SER_hh_fec_in!Q30=0,0,11630*1000*SER_hh_fec_in!Q30/SER_hh_num_in!Q30)</f>
        <v>16125.376949879426</v>
      </c>
      <c r="R30" s="133">
        <f>IF(SER_hh_fec_in!R30=0,0,11630*1000*SER_hh_fec_in!R30/SER_hh_num_in!R30)</f>
        <v>18862.002177955314</v>
      </c>
      <c r="S30" s="133">
        <f>IF(SER_hh_fec_in!S30=0,0,11630*1000*SER_hh_fec_in!S30/SER_hh_num_in!S30)</f>
        <v>22275.685505771904</v>
      </c>
      <c r="T30" s="133">
        <f>IF(SER_hh_fec_in!T30=0,0,11630*1000*SER_hh_fec_in!T30/SER_hh_num_in!T30)</f>
        <v>23967.397446995215</v>
      </c>
      <c r="U30" s="133">
        <f>IF(SER_hh_fec_in!U30=0,0,11630*1000*SER_hh_fec_in!U30/SER_hh_num_in!U30)</f>
        <v>23210.009160133166</v>
      </c>
      <c r="V30" s="133">
        <f>IF(SER_hh_fec_in!V30=0,0,11630*1000*SER_hh_fec_in!V30/SER_hh_num_in!V30)</f>
        <v>18865.609103518636</v>
      </c>
      <c r="W30" s="133">
        <f>IF(SER_hh_fec_in!W30=0,0,11630*1000*SER_hh_fec_in!W30/SER_hh_num_in!W30)</f>
        <v>22010.138037611705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20174.514354647592</v>
      </c>
      <c r="D31" s="133">
        <f>IF(SER_hh_fec_in!D31=0,0,11630*1000*SER_hh_fec_in!D31/SER_hh_num_in!D31)</f>
        <v>18567.447469192888</v>
      </c>
      <c r="E31" s="133">
        <f>IF(SER_hh_fec_in!E31=0,0,11630*1000*SER_hh_fec_in!E31/SER_hh_num_in!E31)</f>
        <v>19456.140663862141</v>
      </c>
      <c r="F31" s="133">
        <f>IF(SER_hh_fec_in!F31=0,0,11630*1000*SER_hh_fec_in!F31/SER_hh_num_in!F31)</f>
        <v>19655.96474702534</v>
      </c>
      <c r="G31" s="133">
        <f>IF(SER_hh_fec_in!G31=0,0,11630*1000*SER_hh_fec_in!G31/SER_hh_num_in!G31)</f>
        <v>17997.020704421579</v>
      </c>
      <c r="H31" s="133">
        <f>IF(SER_hh_fec_in!H31=0,0,11630*1000*SER_hh_fec_in!H31/SER_hh_num_in!H31)</f>
        <v>19872.974481349458</v>
      </c>
      <c r="I31" s="133">
        <f>IF(SER_hh_fec_in!I31=0,0,11630*1000*SER_hh_fec_in!I31/SER_hh_num_in!I31)</f>
        <v>20092.516536886731</v>
      </c>
      <c r="J31" s="133">
        <f>IF(SER_hh_fec_in!J31=0,0,11630*1000*SER_hh_fec_in!J31/SER_hh_num_in!J31)</f>
        <v>19920.24077210731</v>
      </c>
      <c r="K31" s="133">
        <f>IF(SER_hh_fec_in!K31=0,0,11630*1000*SER_hh_fec_in!K31/SER_hh_num_in!K31)</f>
        <v>19821.508245045301</v>
      </c>
      <c r="L31" s="133">
        <f>IF(SER_hh_fec_in!L31=0,0,11630*1000*SER_hh_fec_in!L31/SER_hh_num_in!L31)</f>
        <v>20264.699093278043</v>
      </c>
      <c r="M31" s="133">
        <f>IF(SER_hh_fec_in!M31=0,0,11630*1000*SER_hh_fec_in!M31/SER_hh_num_in!M31)</f>
        <v>20467.716326147536</v>
      </c>
      <c r="N31" s="133">
        <f>IF(SER_hh_fec_in!N31=0,0,11630*1000*SER_hh_fec_in!N31/SER_hh_num_in!N31)</f>
        <v>20902.387339298071</v>
      </c>
      <c r="O31" s="133">
        <f>IF(SER_hh_fec_in!O31=0,0,11630*1000*SER_hh_fec_in!O31/SER_hh_num_in!O31)</f>
        <v>21122.64754856232</v>
      </c>
      <c r="P31" s="133">
        <f>IF(SER_hh_fec_in!P31=0,0,11630*1000*SER_hh_fec_in!P31/SER_hh_num_in!P31)</f>
        <v>21179.25128001862</v>
      </c>
      <c r="Q31" s="133">
        <f>IF(SER_hh_fec_in!Q31=0,0,11630*1000*SER_hh_fec_in!Q31/SER_hh_num_in!Q31)</f>
        <v>21346.988437858654</v>
      </c>
      <c r="R31" s="133">
        <f>IF(SER_hh_fec_in!R31=0,0,11630*1000*SER_hh_fec_in!R31/SER_hh_num_in!R31)</f>
        <v>21268.342427941945</v>
      </c>
      <c r="S31" s="133">
        <f>IF(SER_hh_fec_in!S31=0,0,11630*1000*SER_hh_fec_in!S31/SER_hh_num_in!S31)</f>
        <v>21829.669864300424</v>
      </c>
      <c r="T31" s="133">
        <f>IF(SER_hh_fec_in!T31=0,0,11630*1000*SER_hh_fec_in!T31/SER_hh_num_in!T31)</f>
        <v>22337.130729627745</v>
      </c>
      <c r="U31" s="133">
        <f>IF(SER_hh_fec_in!U31=0,0,11630*1000*SER_hh_fec_in!U31/SER_hh_num_in!U31)</f>
        <v>21926.791487102706</v>
      </c>
      <c r="V31" s="133">
        <f>IF(SER_hh_fec_in!V31=0,0,11630*1000*SER_hh_fec_in!V31/SER_hh_num_in!V31)</f>
        <v>19156.525249446342</v>
      </c>
      <c r="W31" s="133">
        <f>IF(SER_hh_fec_in!W31=0,0,11630*1000*SER_hh_fec_in!W31/SER_hh_num_in!W31)</f>
        <v>21347.54050770064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28352.298739026341</v>
      </c>
      <c r="K32" s="133">
        <f>IF(SER_hh_fec_in!K32=0,0,11630*1000*SER_hh_fec_in!K32/SER_hh_num_in!K32)</f>
        <v>22560.864615097067</v>
      </c>
      <c r="L32" s="133">
        <f>IF(SER_hh_fec_in!L32=0,0,11630*1000*SER_hh_fec_in!L32/SER_hh_num_in!L32)</f>
        <v>20767.86399259296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18048.752034610916</v>
      </c>
      <c r="R32" s="133">
        <f>IF(SER_hh_fec_in!R32=0,0,11630*1000*SER_hh_fec_in!R32/SER_hh_num_in!R32)</f>
        <v>14507.538391003332</v>
      </c>
      <c r="S32" s="133">
        <f>IF(SER_hh_fec_in!S32=0,0,11630*1000*SER_hh_fec_in!S32/SER_hh_num_in!S32)</f>
        <v>20812.462481779556</v>
      </c>
      <c r="T32" s="133">
        <f>IF(SER_hh_fec_in!T32=0,0,11630*1000*SER_hh_fec_in!T32/SER_hh_num_in!T32)</f>
        <v>24834.796939243144</v>
      </c>
      <c r="U32" s="133">
        <f>IF(SER_hh_fec_in!U32=0,0,11630*1000*SER_hh_fec_in!U32/SER_hh_num_in!U32)</f>
        <v>25120.216805454893</v>
      </c>
      <c r="V32" s="133">
        <f>IF(SER_hh_fec_in!V32=0,0,11630*1000*SER_hh_fec_in!V32/SER_hh_num_in!V32)</f>
        <v>21268.400969380335</v>
      </c>
      <c r="W32" s="133">
        <f>IF(SER_hh_fec_in!W32=0,0,11630*1000*SER_hh_fec_in!W32/SER_hh_num_in!W32)</f>
        <v>21309.945822286259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15701.732511129932</v>
      </c>
      <c r="D33" s="68">
        <f>IF(SER_hh_fec_in!D33=0,0,11630*1000*SER_hh_fec_in!D33/SER_hh_num_in!D33)</f>
        <v>15635.041687892137</v>
      </c>
      <c r="E33" s="68">
        <f>IF(SER_hh_fec_in!E33=0,0,11630*1000*SER_hh_fec_in!E33/SER_hh_num_in!E33)</f>
        <v>15250.020516760651</v>
      </c>
      <c r="F33" s="68">
        <f>IF(SER_hh_fec_in!F33=0,0,11630*1000*SER_hh_fec_in!F33/SER_hh_num_in!F33)</f>
        <v>15021.13598675723</v>
      </c>
      <c r="G33" s="68">
        <f>IF(SER_hh_fec_in!G33=0,0,11630*1000*SER_hh_fec_in!G33/SER_hh_num_in!G33)</f>
        <v>14772.561295825049</v>
      </c>
      <c r="H33" s="68">
        <f>IF(SER_hh_fec_in!H33=0,0,11630*1000*SER_hh_fec_in!H33/SER_hh_num_in!H33)</f>
        <v>14467.994000207907</v>
      </c>
      <c r="I33" s="68">
        <f>IF(SER_hh_fec_in!I33=0,0,11630*1000*SER_hh_fec_in!I33/SER_hh_num_in!I33)</f>
        <v>14276.871160805924</v>
      </c>
      <c r="J33" s="68">
        <f>IF(SER_hh_fec_in!J33=0,0,11630*1000*SER_hh_fec_in!J33/SER_hh_num_in!J33)</f>
        <v>14399.459651495526</v>
      </c>
      <c r="K33" s="68">
        <f>IF(SER_hh_fec_in!K33=0,0,11630*1000*SER_hh_fec_in!K33/SER_hh_num_in!K33)</f>
        <v>14853.100214544696</v>
      </c>
      <c r="L33" s="68">
        <f>IF(SER_hh_fec_in!L33=0,0,11630*1000*SER_hh_fec_in!L33/SER_hh_num_in!L33)</f>
        <v>15450.111302049116</v>
      </c>
      <c r="M33" s="68">
        <f>IF(SER_hh_fec_in!M33=0,0,11630*1000*SER_hh_fec_in!M33/SER_hh_num_in!M33)</f>
        <v>15228.192718733768</v>
      </c>
      <c r="N33" s="68">
        <f>IF(SER_hh_fec_in!N33=0,0,11630*1000*SER_hh_fec_in!N33/SER_hh_num_in!N33)</f>
        <v>15366.623396299419</v>
      </c>
      <c r="O33" s="68">
        <f>IF(SER_hh_fec_in!O33=0,0,11630*1000*SER_hh_fec_in!O33/SER_hh_num_in!O33)</f>
        <v>15628.221418342142</v>
      </c>
      <c r="P33" s="68">
        <f>IF(SER_hh_fec_in!P33=0,0,11630*1000*SER_hh_fec_in!P33/SER_hh_num_in!P33)</f>
        <v>15576.873584670695</v>
      </c>
      <c r="Q33" s="68">
        <f>IF(SER_hh_fec_in!Q33=0,0,11630*1000*SER_hh_fec_in!Q33/SER_hh_num_in!Q33)</f>
        <v>15439.752604054063</v>
      </c>
      <c r="R33" s="68">
        <f>IF(SER_hh_fec_in!R33=0,0,11630*1000*SER_hh_fec_in!R33/SER_hh_num_in!R33)</f>
        <v>15458.382403559872</v>
      </c>
      <c r="S33" s="68">
        <f>IF(SER_hh_fec_in!S33=0,0,11630*1000*SER_hh_fec_in!S33/SER_hh_num_in!S33)</f>
        <v>15496.877669225549</v>
      </c>
      <c r="T33" s="68">
        <f>IF(SER_hh_fec_in!T33=0,0,11630*1000*SER_hh_fec_in!T33/SER_hh_num_in!T33)</f>
        <v>15686.941700358064</v>
      </c>
      <c r="U33" s="68">
        <f>IF(SER_hh_fec_in!U33=0,0,11630*1000*SER_hh_fec_in!U33/SER_hh_num_in!U33)</f>
        <v>15617.235301157334</v>
      </c>
      <c r="V33" s="68">
        <f>IF(SER_hh_fec_in!V33=0,0,11630*1000*SER_hh_fec_in!V33/SER_hh_num_in!V33)</f>
        <v>13477.121416490896</v>
      </c>
      <c r="W33" s="68">
        <f>IF(SER_hh_fec_in!W33=0,0,11630*1000*SER_hh_fec_in!W33/SER_hh_num_in!W33)</f>
        <v>14679.538209598019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78638.599601552356</v>
      </c>
      <c r="D3" s="126">
        <f>IF(SER_hh_tes_in!D3=0,0,11630*1000*SER_hh_tes_in!D3/SER_hh_num_in!D3)</f>
        <v>66356.418618030017</v>
      </c>
      <c r="E3" s="126">
        <f>IF(SER_hh_tes_in!E3=0,0,11630*1000*SER_hh_tes_in!E3/SER_hh_num_in!E3)</f>
        <v>71902.517830407276</v>
      </c>
      <c r="F3" s="126">
        <f>IF(SER_hh_tes_in!F3=0,0,11630*1000*SER_hh_tes_in!F3/SER_hh_num_in!F3)</f>
        <v>64958.835648767825</v>
      </c>
      <c r="G3" s="126">
        <f>IF(SER_hh_tes_in!G3=0,0,11630*1000*SER_hh_tes_in!G3/SER_hh_num_in!G3)</f>
        <v>81743.970468141168</v>
      </c>
      <c r="H3" s="126">
        <f>IF(SER_hh_tes_in!H3=0,0,11630*1000*SER_hh_tes_in!H3/SER_hh_num_in!H3)</f>
        <v>80043.634055720147</v>
      </c>
      <c r="I3" s="126">
        <f>IF(SER_hh_tes_in!I3=0,0,11630*1000*SER_hh_tes_in!I3/SER_hh_num_in!I3)</f>
        <v>90048.347664607631</v>
      </c>
      <c r="J3" s="126">
        <f>IF(SER_hh_tes_in!J3=0,0,11630*1000*SER_hh_tes_in!J3/SER_hh_num_in!J3)</f>
        <v>80131.235687281689</v>
      </c>
      <c r="K3" s="126">
        <f>IF(SER_hh_tes_in!K3=0,0,11630*1000*SER_hh_tes_in!K3/SER_hh_num_in!K3)</f>
        <v>71857.101616680884</v>
      </c>
      <c r="L3" s="126">
        <f>IF(SER_hh_tes_in!L3=0,0,11630*1000*SER_hh_tes_in!L3/SER_hh_num_in!L3)</f>
        <v>81850.928899775288</v>
      </c>
      <c r="M3" s="126">
        <f>IF(SER_hh_tes_in!M3=0,0,11630*1000*SER_hh_tes_in!M3/SER_hh_num_in!M3)</f>
        <v>78009.405388030616</v>
      </c>
      <c r="N3" s="126">
        <f>IF(SER_hh_tes_in!N3=0,0,11630*1000*SER_hh_tes_in!N3/SER_hh_num_in!N3)</f>
        <v>96293.453258903872</v>
      </c>
      <c r="O3" s="126">
        <f>IF(SER_hh_tes_in!O3=0,0,11630*1000*SER_hh_tes_in!O3/SER_hh_num_in!O3)</f>
        <v>72124.87215050192</v>
      </c>
      <c r="P3" s="126">
        <f>IF(SER_hh_tes_in!P3=0,0,11630*1000*SER_hh_tes_in!P3/SER_hh_num_in!P3)</f>
        <v>66532.691635860654</v>
      </c>
      <c r="Q3" s="126">
        <f>IF(SER_hh_tes_in!Q3=0,0,11630*1000*SER_hh_tes_in!Q3/SER_hh_num_in!Q3)</f>
        <v>78056.745833720561</v>
      </c>
      <c r="R3" s="126">
        <f>IF(SER_hh_tes_in!R3=0,0,11630*1000*SER_hh_tes_in!R3/SER_hh_num_in!R3)</f>
        <v>75589.767081241691</v>
      </c>
      <c r="S3" s="126">
        <f>IF(SER_hh_tes_in!S3=0,0,11630*1000*SER_hh_tes_in!S3/SER_hh_num_in!S3)</f>
        <v>76089.215335472632</v>
      </c>
      <c r="T3" s="126">
        <f>IF(SER_hh_tes_in!T3=0,0,11630*1000*SER_hh_tes_in!T3/SER_hh_num_in!T3)</f>
        <v>72218.088819977304</v>
      </c>
      <c r="U3" s="126">
        <f>IF(SER_hh_tes_in!U3=0,0,11630*1000*SER_hh_tes_in!U3/SER_hh_num_in!U3)</f>
        <v>72258.034896117955</v>
      </c>
      <c r="V3" s="126">
        <f>IF(SER_hh_tes_in!V3=0,0,11630*1000*SER_hh_tes_in!V3/SER_hh_num_in!V3)</f>
        <v>63210.384557137731</v>
      </c>
      <c r="W3" s="126">
        <f>IF(SER_hh_tes_in!W3=0,0,11630*1000*SER_hh_tes_in!W3/SER_hh_num_in!W3)</f>
        <v>75002.08885561474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34766.681585257807</v>
      </c>
      <c r="D4" s="131">
        <f>IF(SER_hh_tes_in!D4=0,0,11630*1000*SER_hh_tes_in!D4/SER_hh_num_in!D4)</f>
        <v>33090.033137462138</v>
      </c>
      <c r="E4" s="131">
        <f>IF(SER_hh_tes_in!E4=0,0,11630*1000*SER_hh_tes_in!E4/SER_hh_num_in!E4)</f>
        <v>35384.558028780179</v>
      </c>
      <c r="F4" s="131">
        <f>IF(SER_hh_tes_in!F4=0,0,11630*1000*SER_hh_tes_in!F4/SER_hh_num_in!F4)</f>
        <v>29422.225849249662</v>
      </c>
      <c r="G4" s="131">
        <f>IF(SER_hh_tes_in!G4=0,0,11630*1000*SER_hh_tes_in!G4/SER_hh_num_in!G4)</f>
        <v>48277.351899613073</v>
      </c>
      <c r="H4" s="131">
        <f>IF(SER_hh_tes_in!H4=0,0,11630*1000*SER_hh_tes_in!H4/SER_hh_num_in!H4)</f>
        <v>42678.661679799981</v>
      </c>
      <c r="I4" s="131">
        <f>IF(SER_hh_tes_in!I4=0,0,11630*1000*SER_hh_tes_in!I4/SER_hh_num_in!I4)</f>
        <v>34961.959031612845</v>
      </c>
      <c r="J4" s="131">
        <f>IF(SER_hh_tes_in!J4=0,0,11630*1000*SER_hh_tes_in!J4/SER_hh_num_in!J4)</f>
        <v>37125.067353733481</v>
      </c>
      <c r="K4" s="131">
        <f>IF(SER_hh_tes_in!K4=0,0,11630*1000*SER_hh_tes_in!K4/SER_hh_num_in!K4)</f>
        <v>32402.035643955405</v>
      </c>
      <c r="L4" s="131">
        <f>IF(SER_hh_tes_in!L4=0,0,11630*1000*SER_hh_tes_in!L4/SER_hh_num_in!L4)</f>
        <v>36317.752883704154</v>
      </c>
      <c r="M4" s="131">
        <f>IF(SER_hh_tes_in!M4=0,0,11630*1000*SER_hh_tes_in!M4/SER_hh_num_in!M4)</f>
        <v>37294.913578320957</v>
      </c>
      <c r="N4" s="131">
        <f>IF(SER_hh_tes_in!N4=0,0,11630*1000*SER_hh_tes_in!N4/SER_hh_num_in!N4)</f>
        <v>34181.939992374835</v>
      </c>
      <c r="O4" s="131">
        <f>IF(SER_hh_tes_in!O4=0,0,11630*1000*SER_hh_tes_in!O4/SER_hh_num_in!O4)</f>
        <v>31070.744491567762</v>
      </c>
      <c r="P4" s="131">
        <f>IF(SER_hh_tes_in!P4=0,0,11630*1000*SER_hh_tes_in!P4/SER_hh_num_in!P4)</f>
        <v>27327.148568794288</v>
      </c>
      <c r="Q4" s="131">
        <f>IF(SER_hh_tes_in!Q4=0,0,11630*1000*SER_hh_tes_in!Q4/SER_hh_num_in!Q4)</f>
        <v>31325.212155370918</v>
      </c>
      <c r="R4" s="131">
        <f>IF(SER_hh_tes_in!R4=0,0,11630*1000*SER_hh_tes_in!R4/SER_hh_num_in!R4)</f>
        <v>31101.990813488635</v>
      </c>
      <c r="S4" s="131">
        <f>IF(SER_hh_tes_in!S4=0,0,11630*1000*SER_hh_tes_in!S4/SER_hh_num_in!S4)</f>
        <v>30019.499881715448</v>
      </c>
      <c r="T4" s="131">
        <f>IF(SER_hh_tes_in!T4=0,0,11630*1000*SER_hh_tes_in!T4/SER_hh_num_in!T4)</f>
        <v>31469.848657247967</v>
      </c>
      <c r="U4" s="131">
        <f>IF(SER_hh_tes_in!U4=0,0,11630*1000*SER_hh_tes_in!U4/SER_hh_num_in!U4)</f>
        <v>29950.403360673066</v>
      </c>
      <c r="V4" s="131">
        <f>IF(SER_hh_tes_in!V4=0,0,11630*1000*SER_hh_tes_in!V4/SER_hh_num_in!V4)</f>
        <v>24043.494639188328</v>
      </c>
      <c r="W4" s="131">
        <f>IF(SER_hh_tes_in!W4=0,0,11630*1000*SER_hh_tes_in!W4/SER_hh_num_in!W4)</f>
        <v>29044.940586875986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29684.986068793638</v>
      </c>
      <c r="D5" s="133">
        <f>IF(SER_hh_tes_in!D5=0,0,11630*1000*SER_hh_tes_in!D5/SER_hh_num_in!D5)</f>
        <v>36462.520962571711</v>
      </c>
      <c r="E5" s="133">
        <f>IF(SER_hh_tes_in!E5=0,0,11630*1000*SER_hh_tes_in!E5/SER_hh_num_in!E5)</f>
        <v>39904.895962782546</v>
      </c>
      <c r="F5" s="133">
        <f>IF(SER_hh_tes_in!F5=0,0,11630*1000*SER_hh_tes_in!F5/SER_hh_num_in!F5)</f>
        <v>27617.844680487793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40780.581011961593</v>
      </c>
      <c r="K5" s="133">
        <f>IF(SER_hh_tes_in!K5=0,0,11630*1000*SER_hh_tes_in!K5/SER_hh_num_in!K5)</f>
        <v>34326.097419769634</v>
      </c>
      <c r="L5" s="133">
        <f>IF(SER_hh_tes_in!L5=0,0,11630*1000*SER_hh_tes_in!L5/SER_hh_num_in!L5)</f>
        <v>32872.485246472264</v>
      </c>
      <c r="M5" s="133">
        <f>IF(SER_hh_tes_in!M5=0,0,11630*1000*SER_hh_tes_in!M5/SER_hh_num_in!M5)</f>
        <v>36452.282970535984</v>
      </c>
      <c r="N5" s="133">
        <f>IF(SER_hh_tes_in!N5=0,0,11630*1000*SER_hh_tes_in!N5/SER_hh_num_in!N5)</f>
        <v>27236.908080364974</v>
      </c>
      <c r="O5" s="133">
        <f>IF(SER_hh_tes_in!O5=0,0,11630*1000*SER_hh_tes_in!O5/SER_hh_num_in!O5)</f>
        <v>35510.123640902086</v>
      </c>
      <c r="P5" s="133">
        <f>IF(SER_hh_tes_in!P5=0,0,11630*1000*SER_hh_tes_in!P5/SER_hh_num_in!P5)</f>
        <v>15735.618884936715</v>
      </c>
      <c r="Q5" s="133">
        <f>IF(SER_hh_tes_in!Q5=0,0,11630*1000*SER_hh_tes_in!Q5/SER_hh_num_in!Q5)</f>
        <v>39786.489575864376</v>
      </c>
      <c r="R5" s="133">
        <f>IF(SER_hh_tes_in!R5=0,0,11630*1000*SER_hh_tes_in!R5/SER_hh_num_in!R5)</f>
        <v>42675.522941821662</v>
      </c>
      <c r="S5" s="133">
        <f>IF(SER_hh_tes_in!S5=0,0,11630*1000*SER_hh_tes_in!S5/SER_hh_num_in!S5)</f>
        <v>29648.778874543947</v>
      </c>
      <c r="T5" s="133">
        <f>IF(SER_hh_tes_in!T5=0,0,11630*1000*SER_hh_tes_in!T5/SER_hh_num_in!T5)</f>
        <v>21415.29258168651</v>
      </c>
      <c r="U5" s="133">
        <f>IF(SER_hh_tes_in!U5=0,0,11630*1000*SER_hh_tes_in!U5/SER_hh_num_in!U5)</f>
        <v>32931.477635806135</v>
      </c>
      <c r="V5" s="133">
        <f>IF(SER_hh_tes_in!V5=0,0,11630*1000*SER_hh_tes_in!V5/SER_hh_num_in!V5)</f>
        <v>26503.948980145629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45982.877901394728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42661.095415221724</v>
      </c>
      <c r="I7" s="133">
        <f>IF(SER_hh_tes_in!I7=0,0,11630*1000*SER_hh_tes_in!I7/SER_hh_num_in!I7)</f>
        <v>29273.343747529543</v>
      </c>
      <c r="J7" s="133">
        <f>IF(SER_hh_tes_in!J7=0,0,11630*1000*SER_hh_tes_in!J7/SER_hh_num_in!J7)</f>
        <v>37889.206010462847</v>
      </c>
      <c r="K7" s="133">
        <f>IF(SER_hh_tes_in!K7=0,0,11630*1000*SER_hh_tes_in!K7/SER_hh_num_in!K7)</f>
        <v>43018.419077274004</v>
      </c>
      <c r="L7" s="133">
        <f>IF(SER_hh_tes_in!L7=0,0,11630*1000*SER_hh_tes_in!L7/SER_hh_num_in!L7)</f>
        <v>29851.008294031515</v>
      </c>
      <c r="M7" s="133">
        <f>IF(SER_hh_tes_in!M7=0,0,11630*1000*SER_hh_tes_in!M7/SER_hh_num_in!M7)</f>
        <v>0</v>
      </c>
      <c r="N7" s="133">
        <f>IF(SER_hh_tes_in!N7=0,0,11630*1000*SER_hh_tes_in!N7/SER_hh_num_in!N7)</f>
        <v>32566.247062498893</v>
      </c>
      <c r="O7" s="133">
        <f>IF(SER_hh_tes_in!O7=0,0,11630*1000*SER_hh_tes_in!O7/SER_hh_num_in!O7)</f>
        <v>24613.621208449786</v>
      </c>
      <c r="P7" s="133">
        <f>IF(SER_hh_tes_in!P7=0,0,11630*1000*SER_hh_tes_in!P7/SER_hh_num_in!P7)</f>
        <v>14852.366765721585</v>
      </c>
      <c r="Q7" s="133">
        <f>IF(SER_hh_tes_in!Q7=0,0,11630*1000*SER_hh_tes_in!Q7/SER_hh_num_in!Q7)</f>
        <v>40295.180436027011</v>
      </c>
      <c r="R7" s="133">
        <f>IF(SER_hh_tes_in!R7=0,0,11630*1000*SER_hh_tes_in!R7/SER_hh_num_in!R7)</f>
        <v>36992.040617526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36680.005580179641</v>
      </c>
      <c r="D9" s="133">
        <f>IF(SER_hh_tes_in!D9=0,0,11630*1000*SER_hh_tes_in!D9/SER_hh_num_in!D9)</f>
        <v>30880.407883905547</v>
      </c>
      <c r="E9" s="133">
        <f>IF(SER_hh_tes_in!E9=0,0,11630*1000*SER_hh_tes_in!E9/SER_hh_num_in!E9)</f>
        <v>34529.169021904439</v>
      </c>
      <c r="F9" s="133">
        <f>IF(SER_hh_tes_in!F9=0,0,11630*1000*SER_hh_tes_in!F9/SER_hh_num_in!F9)</f>
        <v>26692.140826772709</v>
      </c>
      <c r="G9" s="133">
        <f>IF(SER_hh_tes_in!G9=0,0,11630*1000*SER_hh_tes_in!G9/SER_hh_num_in!G9)</f>
        <v>33730.76283307527</v>
      </c>
      <c r="H9" s="133">
        <f>IF(SER_hh_tes_in!H9=0,0,11630*1000*SER_hh_tes_in!H9/SER_hh_num_in!H9)</f>
        <v>42578.613109083599</v>
      </c>
      <c r="I9" s="133">
        <f>IF(SER_hh_tes_in!I9=0,0,11630*1000*SER_hh_tes_in!I9/SER_hh_num_in!I9)</f>
        <v>37841.479123660123</v>
      </c>
      <c r="J9" s="133">
        <f>IF(SER_hh_tes_in!J9=0,0,11630*1000*SER_hh_tes_in!J9/SER_hh_num_in!J9)</f>
        <v>44004.71132897387</v>
      </c>
      <c r="K9" s="133">
        <f>IF(SER_hh_tes_in!K9=0,0,11630*1000*SER_hh_tes_in!K9/SER_hh_num_in!K9)</f>
        <v>27380.620143008284</v>
      </c>
      <c r="L9" s="133">
        <f>IF(SER_hh_tes_in!L9=0,0,11630*1000*SER_hh_tes_in!L9/SER_hh_num_in!L9)</f>
        <v>36949.618298017958</v>
      </c>
      <c r="M9" s="133">
        <f>IF(SER_hh_tes_in!M9=0,0,11630*1000*SER_hh_tes_in!M9/SER_hh_num_in!M9)</f>
        <v>37521.163378697609</v>
      </c>
      <c r="N9" s="133">
        <f>IF(SER_hh_tes_in!N9=0,0,11630*1000*SER_hh_tes_in!N9/SER_hh_num_in!N9)</f>
        <v>32351.547392354285</v>
      </c>
      <c r="O9" s="133">
        <f>IF(SER_hh_tes_in!O9=0,0,11630*1000*SER_hh_tes_in!O9/SER_hh_num_in!O9)</f>
        <v>27287.524384765497</v>
      </c>
      <c r="P9" s="133">
        <f>IF(SER_hh_tes_in!P9=0,0,11630*1000*SER_hh_tes_in!P9/SER_hh_num_in!P9)</f>
        <v>27276.853292618289</v>
      </c>
      <c r="Q9" s="133">
        <f>IF(SER_hh_tes_in!Q9=0,0,11630*1000*SER_hh_tes_in!Q9/SER_hh_num_in!Q9)</f>
        <v>29848.977359865006</v>
      </c>
      <c r="R9" s="133">
        <f>IF(SER_hh_tes_in!R9=0,0,11630*1000*SER_hh_tes_in!R9/SER_hh_num_in!R9)</f>
        <v>30603.595533955715</v>
      </c>
      <c r="S9" s="133">
        <f>IF(SER_hh_tes_in!S9=0,0,11630*1000*SER_hh_tes_in!S9/SER_hh_num_in!S9)</f>
        <v>29794.700153085145</v>
      </c>
      <c r="T9" s="133">
        <f>IF(SER_hh_tes_in!T9=0,0,11630*1000*SER_hh_tes_in!T9/SER_hh_num_in!T9)</f>
        <v>31048.340629007409</v>
      </c>
      <c r="U9" s="133">
        <f>IF(SER_hh_tes_in!U9=0,0,11630*1000*SER_hh_tes_in!U9/SER_hh_num_in!U9)</f>
        <v>26099.319038214351</v>
      </c>
      <c r="V9" s="133">
        <f>IF(SER_hh_tes_in!V9=0,0,11630*1000*SER_hh_tes_in!V9/SER_hh_num_in!V9)</f>
        <v>24722.689006804416</v>
      </c>
      <c r="W9" s="133">
        <f>IF(SER_hh_tes_in!W9=0,0,11630*1000*SER_hh_tes_in!W9/SER_hh_num_in!W9)</f>
        <v>27732.366494484057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27953.629142076938</v>
      </c>
      <c r="E10" s="133">
        <f>IF(SER_hh_tes_in!E10=0,0,11630*1000*SER_hh_tes_in!E10/SER_hh_num_in!E10)</f>
        <v>40245.336820512028</v>
      </c>
      <c r="F10" s="133">
        <f>IF(SER_hh_tes_in!F10=0,0,11630*1000*SER_hh_tes_in!F10/SER_hh_num_in!F10)</f>
        <v>25994.603619985144</v>
      </c>
      <c r="G10" s="133">
        <f>IF(SER_hh_tes_in!G10=0,0,11630*1000*SER_hh_tes_in!G10/SER_hh_num_in!G10)</f>
        <v>35891.762933844162</v>
      </c>
      <c r="H10" s="133">
        <f>IF(SER_hh_tes_in!H10=0,0,11630*1000*SER_hh_tes_in!H10/SER_hh_num_in!H10)</f>
        <v>44616.198413181242</v>
      </c>
      <c r="I10" s="133">
        <f>IF(SER_hh_tes_in!I10=0,0,11630*1000*SER_hh_tes_in!I10/SER_hh_num_in!I10)</f>
        <v>35688.665801523115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16540.49777707841</v>
      </c>
      <c r="M10" s="133">
        <f>IF(SER_hh_tes_in!M10=0,0,11630*1000*SER_hh_tes_in!M10/SER_hh_num_in!M10)</f>
        <v>13139.333125178186</v>
      </c>
      <c r="N10" s="133">
        <f>IF(SER_hh_tes_in!N10=0,0,11630*1000*SER_hh_tes_in!N10/SER_hh_num_in!N10)</f>
        <v>72882.373953317729</v>
      </c>
      <c r="O10" s="133">
        <f>IF(SER_hh_tes_in!O10=0,0,11630*1000*SER_hh_tes_in!O10/SER_hh_num_in!O10)</f>
        <v>35365.551863571411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15833.462534247261</v>
      </c>
      <c r="R10" s="133">
        <f>IF(SER_hh_tes_in!R10=0,0,11630*1000*SER_hh_tes_in!R10/SER_hh_num_in!R10)</f>
        <v>6003.3823639796565</v>
      </c>
      <c r="S10" s="133">
        <f>IF(SER_hh_tes_in!S10=0,0,11630*1000*SER_hh_tes_in!S10/SER_hh_num_in!S10)</f>
        <v>32403.514763865202</v>
      </c>
      <c r="T10" s="133">
        <f>IF(SER_hh_tes_in!T10=0,0,11630*1000*SER_hh_tes_in!T10/SER_hh_num_in!T10)</f>
        <v>36201.467291026769</v>
      </c>
      <c r="U10" s="133">
        <f>IF(SER_hh_tes_in!U10=0,0,11630*1000*SER_hh_tes_in!U10/SER_hh_num_in!U10)</f>
        <v>33471.426336324221</v>
      </c>
      <c r="V10" s="133">
        <f>IF(SER_hh_tes_in!V10=0,0,11630*1000*SER_hh_tes_in!V10/SER_hh_num_in!V10)</f>
        <v>22523.181338228274</v>
      </c>
      <c r="W10" s="133">
        <f>IF(SER_hh_tes_in!W10=0,0,11630*1000*SER_hh_tes_in!W10/SER_hh_num_in!W10)</f>
        <v>28734.229900170136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55904.603940355984</v>
      </c>
      <c r="H11" s="133">
        <f>IF(SER_hh_tes_in!H11=0,0,11630*1000*SER_hh_tes_in!H11/SER_hh_num_in!H11)</f>
        <v>43712.556329593237</v>
      </c>
      <c r="I11" s="133">
        <f>IF(SER_hh_tes_in!I11=0,0,11630*1000*SER_hh_tes_in!I11/SER_hh_num_in!I11)</f>
        <v>36755.628398870867</v>
      </c>
      <c r="J11" s="133">
        <f>IF(SER_hh_tes_in!J11=0,0,11630*1000*SER_hh_tes_in!J11/SER_hh_num_in!J11)</f>
        <v>35997.546059783839</v>
      </c>
      <c r="K11" s="133">
        <f>IF(SER_hh_tes_in!K11=0,0,11630*1000*SER_hh_tes_in!K11/SER_hh_num_in!K11)</f>
        <v>35181.794374291152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32780.980467113586</v>
      </c>
      <c r="O11" s="133">
        <f>IF(SER_hh_tes_in!O11=0,0,11630*1000*SER_hh_tes_in!O11/SER_hh_num_in!O11)</f>
        <v>30343.341266644959</v>
      </c>
      <c r="P11" s="133">
        <f>IF(SER_hh_tes_in!P11=0,0,11630*1000*SER_hh_tes_in!P11/SER_hh_num_in!P11)</f>
        <v>28469.422405067387</v>
      </c>
      <c r="Q11" s="133">
        <f>IF(SER_hh_tes_in!Q11=0,0,11630*1000*SER_hh_tes_in!Q11/SER_hh_num_in!Q11)</f>
        <v>28368.976799357199</v>
      </c>
      <c r="R11" s="133">
        <f>IF(SER_hh_tes_in!R11=0,0,11630*1000*SER_hh_tes_in!R11/SER_hh_num_in!R11)</f>
        <v>29718.55841964456</v>
      </c>
      <c r="S11" s="133">
        <f>IF(SER_hh_tes_in!S11=0,0,11630*1000*SER_hh_tes_in!S11/SER_hh_num_in!S11)</f>
        <v>29560.923452167783</v>
      </c>
      <c r="T11" s="133">
        <f>IF(SER_hh_tes_in!T11=0,0,11630*1000*SER_hh_tes_in!T11/SER_hh_num_in!T11)</f>
        <v>28906.168221645286</v>
      </c>
      <c r="U11" s="133">
        <f>IF(SER_hh_tes_in!U11=0,0,11630*1000*SER_hh_tes_in!U11/SER_hh_num_in!U11)</f>
        <v>28256.309877767751</v>
      </c>
      <c r="V11" s="133">
        <f>IF(SER_hh_tes_in!V11=0,0,11630*1000*SER_hh_tes_in!V11/SER_hh_num_in!V11)</f>
        <v>27400.765744000397</v>
      </c>
      <c r="W11" s="133">
        <f>IF(SER_hh_tes_in!W11=0,0,11630*1000*SER_hh_tes_in!W11/SER_hh_num_in!W11)</f>
        <v>25781.56511675092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37951.910700556386</v>
      </c>
      <c r="D12" s="133">
        <f>IF(SER_hh_tes_in!D12=0,0,11630*1000*SER_hh_tes_in!D12/SER_hh_num_in!D12)</f>
        <v>33170.534979983531</v>
      </c>
      <c r="E12" s="133">
        <f>IF(SER_hh_tes_in!E12=0,0,11630*1000*SER_hh_tes_in!E12/SER_hh_num_in!E12)</f>
        <v>33813.402658608684</v>
      </c>
      <c r="F12" s="133">
        <f>IF(SER_hh_tes_in!F12=0,0,11630*1000*SER_hh_tes_in!F12/SER_hh_num_in!F12)</f>
        <v>27884.918262168441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43385.265118708805</v>
      </c>
      <c r="I12" s="133">
        <f>IF(SER_hh_tes_in!I12=0,0,11630*1000*SER_hh_tes_in!I12/SER_hh_num_in!I12)</f>
        <v>32351.033496971446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32444.054237698103</v>
      </c>
      <c r="L12" s="133">
        <f>IF(SER_hh_tes_in!L12=0,0,11630*1000*SER_hh_tes_in!L12/SER_hh_num_in!L12)</f>
        <v>32857.904286204539</v>
      </c>
      <c r="M12" s="133">
        <f>IF(SER_hh_tes_in!M12=0,0,11630*1000*SER_hh_tes_in!M12/SER_hh_num_in!M12)</f>
        <v>43305.748270682023</v>
      </c>
      <c r="N12" s="133">
        <f>IF(SER_hh_tes_in!N12=0,0,11630*1000*SER_hh_tes_in!N12/SER_hh_num_in!N12)</f>
        <v>29501.565247661816</v>
      </c>
      <c r="O12" s="133">
        <f>IF(SER_hh_tes_in!O12=0,0,11630*1000*SER_hh_tes_in!O12/SER_hh_num_in!O12)</f>
        <v>27968.495285127199</v>
      </c>
      <c r="P12" s="133">
        <f>IF(SER_hh_tes_in!P12=0,0,11630*1000*SER_hh_tes_in!P12/SER_hh_num_in!P12)</f>
        <v>27440.428250899899</v>
      </c>
      <c r="Q12" s="133">
        <f>IF(SER_hh_tes_in!Q12=0,0,11630*1000*SER_hh_tes_in!Q12/SER_hh_num_in!Q12)</f>
        <v>29499.475922616431</v>
      </c>
      <c r="R12" s="133">
        <f>IF(SER_hh_tes_in!R12=0,0,11630*1000*SER_hh_tes_in!R12/SER_hh_num_in!R12)</f>
        <v>38978.051797274049</v>
      </c>
      <c r="S12" s="133">
        <f>IF(SER_hh_tes_in!S12=0,0,11630*1000*SER_hh_tes_in!S12/SER_hh_num_in!S12)</f>
        <v>27608.364369803232</v>
      </c>
      <c r="T12" s="133">
        <f>IF(SER_hh_tes_in!T12=0,0,11630*1000*SER_hh_tes_in!T12/SER_hh_num_in!T12)</f>
        <v>34565.765788033626</v>
      </c>
      <c r="U12" s="133">
        <f>IF(SER_hh_tes_in!U12=0,0,11630*1000*SER_hh_tes_in!U12/SER_hh_num_in!U12)</f>
        <v>30537.97604128789</v>
      </c>
      <c r="V12" s="133">
        <f>IF(SER_hh_tes_in!V12=0,0,11630*1000*SER_hh_tes_in!V12/SER_hh_num_in!V12)</f>
        <v>22596.935722175411</v>
      </c>
      <c r="W12" s="133">
        <f>IF(SER_hh_tes_in!W12=0,0,11630*1000*SER_hh_tes_in!W12/SER_hh_num_in!W12)</f>
        <v>27681.742185788429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25435.48580334596</v>
      </c>
      <c r="D13" s="133">
        <f>IF(SER_hh_tes_in!D13=0,0,11630*1000*SER_hh_tes_in!D13/SER_hh_num_in!D13)</f>
        <v>31271.385095214664</v>
      </c>
      <c r="E13" s="133">
        <f>IF(SER_hh_tes_in!E13=0,0,11630*1000*SER_hh_tes_in!E13/SER_hh_num_in!E13)</f>
        <v>35236.263133518398</v>
      </c>
      <c r="F13" s="133">
        <f>IF(SER_hh_tes_in!F13=0,0,11630*1000*SER_hh_tes_in!F13/SER_hh_num_in!F13)</f>
        <v>32665.116372306118</v>
      </c>
      <c r="G13" s="133">
        <f>IF(SER_hh_tes_in!G13=0,0,11630*1000*SER_hh_tes_in!G13/SER_hh_num_in!G13)</f>
        <v>35704.056724807975</v>
      </c>
      <c r="H13" s="133">
        <f>IF(SER_hh_tes_in!H13=0,0,11630*1000*SER_hh_tes_in!H13/SER_hh_num_in!H13)</f>
        <v>40562.164181392152</v>
      </c>
      <c r="I13" s="133">
        <f>IF(SER_hh_tes_in!I13=0,0,11630*1000*SER_hh_tes_in!I13/SER_hh_num_in!I13)</f>
        <v>36410.202126653239</v>
      </c>
      <c r="J13" s="133">
        <f>IF(SER_hh_tes_in!J13=0,0,11630*1000*SER_hh_tes_in!J13/SER_hh_num_in!J13)</f>
        <v>33369.3846739078</v>
      </c>
      <c r="K13" s="133">
        <f>IF(SER_hh_tes_in!K13=0,0,11630*1000*SER_hh_tes_in!K13/SER_hh_num_in!K13)</f>
        <v>35196.430087467757</v>
      </c>
      <c r="L13" s="133">
        <f>IF(SER_hh_tes_in!L13=0,0,11630*1000*SER_hh_tes_in!L13/SER_hh_num_in!L13)</f>
        <v>37133.877650593749</v>
      </c>
      <c r="M13" s="133">
        <f>IF(SER_hh_tes_in!M13=0,0,11630*1000*SER_hh_tes_in!M13/SER_hh_num_in!M13)</f>
        <v>34434.405613850766</v>
      </c>
      <c r="N13" s="133">
        <f>IF(SER_hh_tes_in!N13=0,0,11630*1000*SER_hh_tes_in!N13/SER_hh_num_in!N13)</f>
        <v>30523.301136929229</v>
      </c>
      <c r="O13" s="133">
        <f>IF(SER_hh_tes_in!O13=0,0,11630*1000*SER_hh_tes_in!O13/SER_hh_num_in!O13)</f>
        <v>32707.475059567038</v>
      </c>
      <c r="P13" s="133">
        <f>IF(SER_hh_tes_in!P13=0,0,11630*1000*SER_hh_tes_in!P13/SER_hh_num_in!P13)</f>
        <v>28185.373890003506</v>
      </c>
      <c r="Q13" s="133">
        <f>IF(SER_hh_tes_in!Q13=0,0,11630*1000*SER_hh_tes_in!Q13/SER_hh_num_in!Q13)</f>
        <v>29252.221113356514</v>
      </c>
      <c r="R13" s="133">
        <f>IF(SER_hh_tes_in!R13=0,0,11630*1000*SER_hh_tes_in!R13/SER_hh_num_in!R13)</f>
        <v>29178.05209468622</v>
      </c>
      <c r="S13" s="133">
        <f>IF(SER_hh_tes_in!S13=0,0,11630*1000*SER_hh_tes_in!S13/SER_hh_num_in!S13)</f>
        <v>28621.092426842024</v>
      </c>
      <c r="T13" s="133">
        <f>IF(SER_hh_tes_in!T13=0,0,11630*1000*SER_hh_tes_in!T13/SER_hh_num_in!T13)</f>
        <v>27109.562493065423</v>
      </c>
      <c r="U13" s="133">
        <f>IF(SER_hh_tes_in!U13=0,0,11630*1000*SER_hh_tes_in!U13/SER_hh_num_in!U13)</f>
        <v>27247.968060848027</v>
      </c>
      <c r="V13" s="133">
        <f>IF(SER_hh_tes_in!V13=0,0,11630*1000*SER_hh_tes_in!V13/SER_hh_num_in!V13)</f>
        <v>25721.596955613877</v>
      </c>
      <c r="W13" s="133">
        <f>IF(SER_hh_tes_in!W13=0,0,11630*1000*SER_hh_tes_in!W13/SER_hh_num_in!W13)</f>
        <v>26426.596319314202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28749.852181182261</v>
      </c>
      <c r="D14" s="65">
        <f>IF(SER_hh_tes_in!D14=0,0,11630*1000*SER_hh_tes_in!D14/SER_hh_num_in!D14)</f>
        <v>36757.907538584543</v>
      </c>
      <c r="E14" s="65">
        <f>IF(SER_hh_tes_in!E14=0,0,11630*1000*SER_hh_tes_in!E14/SER_hh_num_in!E14)</f>
        <v>39174.638272942226</v>
      </c>
      <c r="F14" s="65">
        <f>IF(SER_hh_tes_in!F14=0,0,11630*1000*SER_hh_tes_in!F14/SER_hh_num_in!F14)</f>
        <v>25739.339577776645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43615.754755898452</v>
      </c>
      <c r="I14" s="65">
        <f>IF(SER_hh_tes_in!I14=0,0,11630*1000*SER_hh_tes_in!I14/SER_hh_num_in!I14)</f>
        <v>31184.237149930501</v>
      </c>
      <c r="J14" s="65">
        <f>IF(SER_hh_tes_in!J14=0,0,11630*1000*SER_hh_tes_in!J14/SER_hh_num_in!J14)</f>
        <v>39349.863996816392</v>
      </c>
      <c r="K14" s="65">
        <f>IF(SER_hh_tes_in!K14=0,0,11630*1000*SER_hh_tes_in!K14/SER_hh_num_in!K14)</f>
        <v>29994.06821865683</v>
      </c>
      <c r="L14" s="65">
        <f>IF(SER_hh_tes_in!L14=0,0,11630*1000*SER_hh_tes_in!L14/SER_hh_num_in!L14)</f>
        <v>38527.092640620547</v>
      </c>
      <c r="M14" s="65">
        <f>IF(SER_hh_tes_in!M14=0,0,11630*1000*SER_hh_tes_in!M14/SER_hh_num_in!M14)</f>
        <v>44675.717010187996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35392.372195302531</v>
      </c>
      <c r="S14" s="65">
        <f>IF(SER_hh_tes_in!S14=0,0,11630*1000*SER_hh_tes_in!S14/SER_hh_num_in!S14)</f>
        <v>29584.147554552063</v>
      </c>
      <c r="T14" s="65">
        <f>IF(SER_hh_tes_in!T14=0,0,11630*1000*SER_hh_tes_in!T14/SER_hh_num_in!T14)</f>
        <v>33369.802709411197</v>
      </c>
      <c r="U14" s="65">
        <f>IF(SER_hh_tes_in!U14=0,0,11630*1000*SER_hh_tes_in!U14/SER_hh_num_in!U14)</f>
        <v>43040.256758680065</v>
      </c>
      <c r="V14" s="65">
        <f>IF(SER_hh_tes_in!V14=0,0,11630*1000*SER_hh_tes_in!V14/SER_hh_num_in!V14)</f>
        <v>13693.135432885438</v>
      </c>
      <c r="W14" s="65">
        <f>IF(SER_hh_tes_in!W14=0,0,11630*1000*SER_hh_tes_in!W14/SER_hh_num_in!W14)</f>
        <v>34349.717375859938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285.98574081916667</v>
      </c>
      <c r="D15" s="135">
        <f>IF(SER_hh_tes_in!D15=0,0,11630*1000*SER_hh_tes_in!D15/SER_hh_num_in!D15)</f>
        <v>246.19110527879971</v>
      </c>
      <c r="E15" s="135">
        <f>IF(SER_hh_tes_in!E15=0,0,11630*1000*SER_hh_tes_in!E15/SER_hh_num_in!E15)</f>
        <v>240.43925497141504</v>
      </c>
      <c r="F15" s="135">
        <f>IF(SER_hh_tes_in!F15=0,0,11630*1000*SER_hh_tes_in!F15/SER_hh_num_in!F15)</f>
        <v>210.97086982350029</v>
      </c>
      <c r="G15" s="135">
        <f>IF(SER_hh_tes_in!G15=0,0,11630*1000*SER_hh_tes_in!G15/SER_hh_num_in!G15)</f>
        <v>311.99020166105038</v>
      </c>
      <c r="H15" s="135">
        <f>IF(SER_hh_tes_in!H15=0,0,11630*1000*SER_hh_tes_in!H15/SER_hh_num_in!H15)</f>
        <v>463.60854189009376</v>
      </c>
      <c r="I15" s="135">
        <f>IF(SER_hh_tes_in!I15=0,0,11630*1000*SER_hh_tes_in!I15/SER_hh_num_in!I15)</f>
        <v>342.91401539166918</v>
      </c>
      <c r="J15" s="135">
        <f>IF(SER_hh_tes_in!J15=0,0,11630*1000*SER_hh_tes_in!J15/SER_hh_num_in!J15)</f>
        <v>710.89016662176766</v>
      </c>
      <c r="K15" s="135">
        <f>IF(SER_hh_tes_in!K15=0,0,11630*1000*SER_hh_tes_in!K15/SER_hh_num_in!K15)</f>
        <v>341.86822779255704</v>
      </c>
      <c r="L15" s="135">
        <f>IF(SER_hh_tes_in!L15=0,0,11630*1000*SER_hh_tes_in!L15/SER_hh_num_in!L15)</f>
        <v>310.41924244367493</v>
      </c>
      <c r="M15" s="135">
        <f>IF(SER_hh_tes_in!M15=0,0,11630*1000*SER_hh_tes_in!M15/SER_hh_num_in!M15)</f>
        <v>207.15948182200424</v>
      </c>
      <c r="N15" s="135">
        <f>IF(SER_hh_tes_in!N15=0,0,11630*1000*SER_hh_tes_in!N15/SER_hh_num_in!N15)</f>
        <v>312.48143366640591</v>
      </c>
      <c r="O15" s="135">
        <f>IF(SER_hh_tes_in!O15=0,0,11630*1000*SER_hh_tes_in!O15/SER_hh_num_in!O15)</f>
        <v>266.21381150605987</v>
      </c>
      <c r="P15" s="135">
        <f>IF(SER_hh_tes_in!P15=0,0,11630*1000*SER_hh_tes_in!P15/SER_hh_num_in!P15)</f>
        <v>260.14839369171494</v>
      </c>
      <c r="Q15" s="135">
        <f>IF(SER_hh_tes_in!Q15=0,0,11630*1000*SER_hh_tes_in!Q15/SER_hh_num_in!Q15)</f>
        <v>342.18097059847253</v>
      </c>
      <c r="R15" s="135">
        <f>IF(SER_hh_tes_in!R15=0,0,11630*1000*SER_hh_tes_in!R15/SER_hh_num_in!R15)</f>
        <v>224.37672134100166</v>
      </c>
      <c r="S15" s="135">
        <f>IF(SER_hh_tes_in!S15=0,0,11630*1000*SER_hh_tes_in!S15/SER_hh_num_in!S15)</f>
        <v>242.54168466499888</v>
      </c>
      <c r="T15" s="135">
        <f>IF(SER_hh_tes_in!T15=0,0,11630*1000*SER_hh_tes_in!T15/SER_hh_num_in!T15)</f>
        <v>257.07268389545868</v>
      </c>
      <c r="U15" s="135">
        <f>IF(SER_hh_tes_in!U15=0,0,11630*1000*SER_hh_tes_in!U15/SER_hh_num_in!U15)</f>
        <v>229.31824903227474</v>
      </c>
      <c r="V15" s="135">
        <f>IF(SER_hh_tes_in!V15=0,0,11630*1000*SER_hh_tes_in!V15/SER_hh_num_in!V15)</f>
        <v>212.18201597362849</v>
      </c>
      <c r="W15" s="135">
        <f>IF(SER_hh_tes_in!W15=0,0,11630*1000*SER_hh_tes_in!W15/SER_hh_num_in!W15)</f>
        <v>256.15073810418062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26876.620951030283</v>
      </c>
      <c r="D16" s="131">
        <f>IF(SER_hh_tes_in!D16=0,0,11630*1000*SER_hh_tes_in!D16/SER_hh_num_in!D16)</f>
        <v>19809.343923621585</v>
      </c>
      <c r="E16" s="131">
        <f>IF(SER_hh_tes_in!E16=0,0,11630*1000*SER_hh_tes_in!E16/SER_hh_num_in!E16)</f>
        <v>21893.612725302028</v>
      </c>
      <c r="F16" s="131">
        <f>IF(SER_hh_tes_in!F16=0,0,11630*1000*SER_hh_tes_in!F16/SER_hh_num_in!F16)</f>
        <v>17162.049381471679</v>
      </c>
      <c r="G16" s="131">
        <f>IF(SER_hh_tes_in!G16=0,0,11630*1000*SER_hh_tes_in!G16/SER_hh_num_in!G16)</f>
        <v>17288.289374970373</v>
      </c>
      <c r="H16" s="131">
        <f>IF(SER_hh_tes_in!H16=0,0,11630*1000*SER_hh_tes_in!H16/SER_hh_num_in!H16)</f>
        <v>19944.358091685543</v>
      </c>
      <c r="I16" s="131">
        <f>IF(SER_hh_tes_in!I16=0,0,11630*1000*SER_hh_tes_in!I16/SER_hh_num_in!I16)</f>
        <v>35696.881296241161</v>
      </c>
      <c r="J16" s="131">
        <f>IF(SER_hh_tes_in!J16=0,0,11630*1000*SER_hh_tes_in!J16/SER_hh_num_in!J16)</f>
        <v>22602.656406178565</v>
      </c>
      <c r="K16" s="131">
        <f>IF(SER_hh_tes_in!K16=0,0,11630*1000*SER_hh_tes_in!K16/SER_hh_num_in!K16)</f>
        <v>19320.873498852463</v>
      </c>
      <c r="L16" s="131">
        <f>IF(SER_hh_tes_in!L16=0,0,11630*1000*SER_hh_tes_in!L16/SER_hh_num_in!L16)</f>
        <v>23870.653602111524</v>
      </c>
      <c r="M16" s="131">
        <f>IF(SER_hh_tes_in!M16=0,0,11630*1000*SER_hh_tes_in!M16/SER_hh_num_in!M16)</f>
        <v>19608.73170736642</v>
      </c>
      <c r="N16" s="131">
        <f>IF(SER_hh_tes_in!N16=0,0,11630*1000*SER_hh_tes_in!N16/SER_hh_num_in!N16)</f>
        <v>40379.453371628893</v>
      </c>
      <c r="O16" s="131">
        <f>IF(SER_hh_tes_in!O16=0,0,11630*1000*SER_hh_tes_in!O16/SER_hh_num_in!O16)</f>
        <v>19353.98272312534</v>
      </c>
      <c r="P16" s="131">
        <f>IF(SER_hh_tes_in!P16=0,0,11630*1000*SER_hh_tes_in!P16/SER_hh_num_in!P16)</f>
        <v>17637.657209630706</v>
      </c>
      <c r="Q16" s="131">
        <f>IF(SER_hh_tes_in!Q16=0,0,11630*1000*SER_hh_tes_in!Q16/SER_hh_num_in!Q16)</f>
        <v>24981.651181259644</v>
      </c>
      <c r="R16" s="131">
        <f>IF(SER_hh_tes_in!R16=0,0,11630*1000*SER_hh_tes_in!R16/SER_hh_num_in!R16)</f>
        <v>22680.396078358935</v>
      </c>
      <c r="S16" s="131">
        <f>IF(SER_hh_tes_in!S16=0,0,11630*1000*SER_hh_tes_in!S16/SER_hh_num_in!S16)</f>
        <v>23577.895999648063</v>
      </c>
      <c r="T16" s="131">
        <f>IF(SER_hh_tes_in!T16=0,0,11630*1000*SER_hh_tes_in!T16/SER_hh_num_in!T16)</f>
        <v>17289.828919241671</v>
      </c>
      <c r="U16" s="131">
        <f>IF(SER_hh_tes_in!U16=0,0,11630*1000*SER_hh_tes_in!U16/SER_hh_num_in!U16)</f>
        <v>18613.198145815386</v>
      </c>
      <c r="V16" s="131">
        <f>IF(SER_hh_tes_in!V16=0,0,11630*1000*SER_hh_tes_in!V16/SER_hh_num_in!V16)</f>
        <v>18303.022347067428</v>
      </c>
      <c r="W16" s="131">
        <f>IF(SER_hh_tes_in!W16=0,0,11630*1000*SER_hh_tes_in!W16/SER_hh_num_in!W16)</f>
        <v>23382.766667290256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26876.620951030283</v>
      </c>
      <c r="D18" s="133">
        <f>IF(SER_hh_tes_in!D18=0,0,11630*1000*SER_hh_tes_in!D18/SER_hh_num_in!D18)</f>
        <v>19809.343923621585</v>
      </c>
      <c r="E18" s="133">
        <f>IF(SER_hh_tes_in!E18=0,0,11630*1000*SER_hh_tes_in!E18/SER_hh_num_in!E18)</f>
        <v>21893.612725302028</v>
      </c>
      <c r="F18" s="133">
        <f>IF(SER_hh_tes_in!F18=0,0,11630*1000*SER_hh_tes_in!F18/SER_hh_num_in!F18)</f>
        <v>17162.049381471679</v>
      </c>
      <c r="G18" s="133">
        <f>IF(SER_hh_tes_in!G18=0,0,11630*1000*SER_hh_tes_in!G18/SER_hh_num_in!G18)</f>
        <v>17288.289374970373</v>
      </c>
      <c r="H18" s="133">
        <f>IF(SER_hh_tes_in!H18=0,0,11630*1000*SER_hh_tes_in!H18/SER_hh_num_in!H18)</f>
        <v>19944.358091685543</v>
      </c>
      <c r="I18" s="133">
        <f>IF(SER_hh_tes_in!I18=0,0,11630*1000*SER_hh_tes_in!I18/SER_hh_num_in!I18)</f>
        <v>35696.881296241161</v>
      </c>
      <c r="J18" s="133">
        <f>IF(SER_hh_tes_in!J18=0,0,11630*1000*SER_hh_tes_in!J18/SER_hh_num_in!J18)</f>
        <v>22602.656406178565</v>
      </c>
      <c r="K18" s="133">
        <f>IF(SER_hh_tes_in!K18=0,0,11630*1000*SER_hh_tes_in!K18/SER_hh_num_in!K18)</f>
        <v>19320.873498852463</v>
      </c>
      <c r="L18" s="133">
        <f>IF(SER_hh_tes_in!L18=0,0,11630*1000*SER_hh_tes_in!L18/SER_hh_num_in!L18)</f>
        <v>23870.653602111524</v>
      </c>
      <c r="M18" s="133">
        <f>IF(SER_hh_tes_in!M18=0,0,11630*1000*SER_hh_tes_in!M18/SER_hh_num_in!M18)</f>
        <v>19608.73170736642</v>
      </c>
      <c r="N18" s="133">
        <f>IF(SER_hh_tes_in!N18=0,0,11630*1000*SER_hh_tes_in!N18/SER_hh_num_in!N18)</f>
        <v>40379.453371628893</v>
      </c>
      <c r="O18" s="133">
        <f>IF(SER_hh_tes_in!O18=0,0,11630*1000*SER_hh_tes_in!O18/SER_hh_num_in!O18)</f>
        <v>19353.98272312534</v>
      </c>
      <c r="P18" s="133">
        <f>IF(SER_hh_tes_in!P18=0,0,11630*1000*SER_hh_tes_in!P18/SER_hh_num_in!P18)</f>
        <v>17637.657209630706</v>
      </c>
      <c r="Q18" s="133">
        <f>IF(SER_hh_tes_in!Q18=0,0,11630*1000*SER_hh_tes_in!Q18/SER_hh_num_in!Q18)</f>
        <v>24981.651181259644</v>
      </c>
      <c r="R18" s="133">
        <f>IF(SER_hh_tes_in!R18=0,0,11630*1000*SER_hh_tes_in!R18/SER_hh_num_in!R18)</f>
        <v>22680.396078358935</v>
      </c>
      <c r="S18" s="133">
        <f>IF(SER_hh_tes_in!S18=0,0,11630*1000*SER_hh_tes_in!S18/SER_hh_num_in!S18)</f>
        <v>23577.895999648063</v>
      </c>
      <c r="T18" s="133">
        <f>IF(SER_hh_tes_in!T18=0,0,11630*1000*SER_hh_tes_in!T18/SER_hh_num_in!T18)</f>
        <v>17289.828919241671</v>
      </c>
      <c r="U18" s="133">
        <f>IF(SER_hh_tes_in!U18=0,0,11630*1000*SER_hh_tes_in!U18/SER_hh_num_in!U18)</f>
        <v>18613.198145815386</v>
      </c>
      <c r="V18" s="133">
        <f>IF(SER_hh_tes_in!V18=0,0,11630*1000*SER_hh_tes_in!V18/SER_hh_num_in!V18)</f>
        <v>18303.022347067428</v>
      </c>
      <c r="W18" s="133">
        <f>IF(SER_hh_tes_in!W18=0,0,11630*1000*SER_hh_tes_in!W18/SER_hh_num_in!W18)</f>
        <v>23382.766667290256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9176.2718191141976</v>
      </c>
      <c r="D19" s="131">
        <f>IF(SER_hh_tes_in!D19=0,0,11630*1000*SER_hh_tes_in!D19/SER_hh_num_in!D19)</f>
        <v>8944.4817984468809</v>
      </c>
      <c r="E19" s="131">
        <f>IF(SER_hh_tes_in!E19=0,0,11630*1000*SER_hh_tes_in!E19/SER_hh_num_in!E19)</f>
        <v>8818.0497629995716</v>
      </c>
      <c r="F19" s="131">
        <f>IF(SER_hh_tes_in!F19=0,0,11630*1000*SER_hh_tes_in!F19/SER_hh_num_in!F19)</f>
        <v>8661.5085549253963</v>
      </c>
      <c r="G19" s="131">
        <f>IF(SER_hh_tes_in!G19=0,0,11630*1000*SER_hh_tes_in!G19/SER_hh_num_in!G19)</f>
        <v>8622.0984231181228</v>
      </c>
      <c r="H19" s="131">
        <f>IF(SER_hh_tes_in!H19=0,0,11630*1000*SER_hh_tes_in!H19/SER_hh_num_in!H19)</f>
        <v>8747.5533407233524</v>
      </c>
      <c r="I19" s="131">
        <f>IF(SER_hh_tes_in!I19=0,0,11630*1000*SER_hh_tes_in!I19/SER_hh_num_in!I19)</f>
        <v>8809.8453678055084</v>
      </c>
      <c r="J19" s="131">
        <f>IF(SER_hh_tes_in!J19=0,0,11630*1000*SER_hh_tes_in!J19/SER_hh_num_in!J19)</f>
        <v>8798.982408212938</v>
      </c>
      <c r="K19" s="131">
        <f>IF(SER_hh_tes_in!K19=0,0,11630*1000*SER_hh_tes_in!K19/SER_hh_num_in!K19)</f>
        <v>9079.738674671722</v>
      </c>
      <c r="L19" s="131">
        <f>IF(SER_hh_tes_in!L19=0,0,11630*1000*SER_hh_tes_in!L19/SER_hh_num_in!L19)</f>
        <v>9612.1033597458209</v>
      </c>
      <c r="M19" s="131">
        <f>IF(SER_hh_tes_in!M19=0,0,11630*1000*SER_hh_tes_in!M19/SER_hh_num_in!M19)</f>
        <v>9650.6630156031315</v>
      </c>
      <c r="N19" s="131">
        <f>IF(SER_hh_tes_in!N19=0,0,11630*1000*SER_hh_tes_in!N19/SER_hh_num_in!N19)</f>
        <v>9674.3299951356476</v>
      </c>
      <c r="O19" s="131">
        <f>IF(SER_hh_tes_in!O19=0,0,11630*1000*SER_hh_tes_in!O19/SER_hh_num_in!O19)</f>
        <v>9890.8755096693312</v>
      </c>
      <c r="P19" s="131">
        <f>IF(SER_hh_tes_in!P19=0,0,11630*1000*SER_hh_tes_in!P19/SER_hh_num_in!P19)</f>
        <v>9719.3123529293498</v>
      </c>
      <c r="Q19" s="131">
        <f>IF(SER_hh_tes_in!Q19=0,0,11630*1000*SER_hh_tes_in!Q19/SER_hh_num_in!Q19)</f>
        <v>9894.6224892076589</v>
      </c>
      <c r="R19" s="131">
        <f>IF(SER_hh_tes_in!R19=0,0,11630*1000*SER_hh_tes_in!R19/SER_hh_num_in!R19)</f>
        <v>10007.338321948057</v>
      </c>
      <c r="S19" s="131">
        <f>IF(SER_hh_tes_in!S19=0,0,11630*1000*SER_hh_tes_in!S19/SER_hh_num_in!S19)</f>
        <v>10190.972847380259</v>
      </c>
      <c r="T19" s="131">
        <f>IF(SER_hh_tes_in!T19=0,0,11630*1000*SER_hh_tes_in!T19/SER_hh_num_in!T19)</f>
        <v>10335.002248699209</v>
      </c>
      <c r="U19" s="131">
        <f>IF(SER_hh_tes_in!U19=0,0,11630*1000*SER_hh_tes_in!U19/SER_hh_num_in!U19)</f>
        <v>10459.609051444215</v>
      </c>
      <c r="V19" s="131">
        <f>IF(SER_hh_tes_in!V19=0,0,11630*1000*SER_hh_tes_in!V19/SER_hh_num_in!V19)</f>
        <v>9394.6404084239002</v>
      </c>
      <c r="W19" s="131">
        <f>IF(SER_hh_tes_in!W19=0,0,11630*1000*SER_hh_tes_in!W19/SER_hh_num_in!W19)</f>
        <v>9947.574649028471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9412.0911801364</v>
      </c>
      <c r="D22" s="133">
        <f>IF(SER_hh_tes_in!D22=0,0,11630*1000*SER_hh_tes_in!D22/SER_hh_num_in!D22)</f>
        <v>9440.7851010659924</v>
      </c>
      <c r="E22" s="133">
        <f>IF(SER_hh_tes_in!E22=0,0,11630*1000*SER_hh_tes_in!E22/SER_hh_num_in!E22)</f>
        <v>9245.2030788322209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8531.9167408282337</v>
      </c>
      <c r="I22" s="133">
        <f>IF(SER_hh_tes_in!I22=0,0,11630*1000*SER_hh_tes_in!I22/SER_hh_num_in!I22)</f>
        <v>8797.806964303265</v>
      </c>
      <c r="J22" s="133">
        <f>IF(SER_hh_tes_in!J22=0,0,11630*1000*SER_hh_tes_in!J22/SER_hh_num_in!J22)</f>
        <v>9018.5547222590249</v>
      </c>
      <c r="K22" s="133">
        <f>IF(SER_hh_tes_in!K22=0,0,11630*1000*SER_hh_tes_in!K22/SER_hh_num_in!K22)</f>
        <v>9129.0764708537117</v>
      </c>
      <c r="L22" s="133">
        <f>IF(SER_hh_tes_in!L22=0,0,11630*1000*SER_hh_tes_in!L22/SER_hh_num_in!L22)</f>
        <v>4640.2041763616799</v>
      </c>
      <c r="M22" s="133">
        <f>IF(SER_hh_tes_in!M22=0,0,11630*1000*SER_hh_tes_in!M22/SER_hh_num_in!M22)</f>
        <v>9430.69138555666</v>
      </c>
      <c r="N22" s="133">
        <f>IF(SER_hh_tes_in!N22=0,0,11630*1000*SER_hh_tes_in!N22/SER_hh_num_in!N22)</f>
        <v>10312.718489244633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9149.4030386056711</v>
      </c>
      <c r="D23" s="133">
        <f>IF(SER_hh_tes_in!D23=0,0,11630*1000*SER_hh_tes_in!D23/SER_hh_num_in!D23)</f>
        <v>8202.7158079048459</v>
      </c>
      <c r="E23" s="133">
        <f>IF(SER_hh_tes_in!E23=0,0,11630*1000*SER_hh_tes_in!E23/SER_hh_num_in!E23)</f>
        <v>8670.3794700768194</v>
      </c>
      <c r="F23" s="133">
        <f>IF(SER_hh_tes_in!F23=0,0,11630*1000*SER_hh_tes_in!F23/SER_hh_num_in!F23)</f>
        <v>8536.4132273600517</v>
      </c>
      <c r="G23" s="133">
        <f>IF(SER_hh_tes_in!G23=0,0,11630*1000*SER_hh_tes_in!G23/SER_hh_num_in!G23)</f>
        <v>8355.0092697961245</v>
      </c>
      <c r="H23" s="133">
        <f>IF(SER_hh_tes_in!H23=0,0,11630*1000*SER_hh_tes_in!H23/SER_hh_num_in!H23)</f>
        <v>8684.2036671753885</v>
      </c>
      <c r="I23" s="133">
        <f>IF(SER_hh_tes_in!I23=0,0,11630*1000*SER_hh_tes_in!I23/SER_hh_num_in!I23)</f>
        <v>9190.9912998029649</v>
      </c>
      <c r="J23" s="133">
        <f>IF(SER_hh_tes_in!J23=0,0,11630*1000*SER_hh_tes_in!J23/SER_hh_num_in!J23)</f>
        <v>9104.7253140277116</v>
      </c>
      <c r="K23" s="133">
        <f>IF(SER_hh_tes_in!K23=0,0,11630*1000*SER_hh_tes_in!K23/SER_hh_num_in!K23)</f>
        <v>9210.3988908604369</v>
      </c>
      <c r="L23" s="133">
        <f>IF(SER_hh_tes_in!L23=0,0,11630*1000*SER_hh_tes_in!L23/SER_hh_num_in!L23)</f>
        <v>4275.3272589363987</v>
      </c>
      <c r="M23" s="133">
        <f>IF(SER_hh_tes_in!M23=0,0,11630*1000*SER_hh_tes_in!M23/SER_hh_num_in!M23)</f>
        <v>8713.1136619316731</v>
      </c>
      <c r="N23" s="133">
        <f>IF(SER_hh_tes_in!N23=0,0,11630*1000*SER_hh_tes_in!N23/SER_hh_num_in!N23)</f>
        <v>9326.2849639935739</v>
      </c>
      <c r="O23" s="133">
        <f>IF(SER_hh_tes_in!O23=0,0,11630*1000*SER_hh_tes_in!O23/SER_hh_num_in!O23)</f>
        <v>7304.721866353907</v>
      </c>
      <c r="P23" s="133">
        <f>IF(SER_hh_tes_in!P23=0,0,11630*1000*SER_hh_tes_in!P23/SER_hh_num_in!P23)</f>
        <v>9983.8102879536709</v>
      </c>
      <c r="Q23" s="133">
        <f>IF(SER_hh_tes_in!Q23=0,0,11630*1000*SER_hh_tes_in!Q23/SER_hh_num_in!Q23)</f>
        <v>9503.9019279217864</v>
      </c>
      <c r="R23" s="133">
        <f>IF(SER_hh_tes_in!R23=0,0,11630*1000*SER_hh_tes_in!R23/SER_hh_num_in!R23)</f>
        <v>9779.0656045615578</v>
      </c>
      <c r="S23" s="133">
        <f>IF(SER_hh_tes_in!S23=0,0,11630*1000*SER_hh_tes_in!S23/SER_hh_num_in!S23)</f>
        <v>9939.3822255724208</v>
      </c>
      <c r="T23" s="133">
        <f>IF(SER_hh_tes_in!T23=0,0,11630*1000*SER_hh_tes_in!T23/SER_hh_num_in!T23)</f>
        <v>10661.082017007428</v>
      </c>
      <c r="U23" s="133">
        <f>IF(SER_hh_tes_in!U23=0,0,11630*1000*SER_hh_tes_in!U23/SER_hh_num_in!U23)</f>
        <v>10842.460933876962</v>
      </c>
      <c r="V23" s="133">
        <f>IF(SER_hh_tes_in!V23=0,0,11630*1000*SER_hh_tes_in!V23/SER_hh_num_in!V23)</f>
        <v>7377.0060379372708</v>
      </c>
      <c r="W23" s="133">
        <f>IF(SER_hh_tes_in!W23=0,0,11630*1000*SER_hh_tes_in!W23/SER_hh_num_in!W23)</f>
        <v>10191.716249254372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9135.6493523903682</v>
      </c>
      <c r="D25" s="133">
        <f>IF(SER_hh_tes_in!D25=0,0,11630*1000*SER_hh_tes_in!D25/SER_hh_num_in!D25)</f>
        <v>8964.132608043732</v>
      </c>
      <c r="E25" s="133">
        <f>IF(SER_hh_tes_in!E25=0,0,11630*1000*SER_hh_tes_in!E25/SER_hh_num_in!E25)</f>
        <v>8889.2361565046413</v>
      </c>
      <c r="F25" s="133">
        <f>IF(SER_hh_tes_in!F25=0,0,11630*1000*SER_hh_tes_in!F25/SER_hh_num_in!F25)</f>
        <v>8795.8593229811777</v>
      </c>
      <c r="G25" s="133">
        <f>IF(SER_hh_tes_in!G25=0,0,11630*1000*SER_hh_tes_in!G25/SER_hh_num_in!G25)</f>
        <v>8752.1843227932641</v>
      </c>
      <c r="H25" s="133">
        <f>IF(SER_hh_tes_in!H25=0,0,11630*1000*SER_hh_tes_in!H25/SER_hh_num_in!H25)</f>
        <v>8733.3061042102945</v>
      </c>
      <c r="I25" s="133">
        <f>IF(SER_hh_tes_in!I25=0,0,11630*1000*SER_hh_tes_in!I25/SER_hh_num_in!I25)</f>
        <v>8783.4750940502599</v>
      </c>
      <c r="J25" s="133">
        <f>IF(SER_hh_tes_in!J25=0,0,11630*1000*SER_hh_tes_in!J25/SER_hh_num_in!J25)</f>
        <v>8935.049805958035</v>
      </c>
      <c r="K25" s="133">
        <f>IF(SER_hh_tes_in!K25=0,0,11630*1000*SER_hh_tes_in!K25/SER_hh_num_in!K25)</f>
        <v>9090.8521855430572</v>
      </c>
      <c r="L25" s="133">
        <f>IF(SER_hh_tes_in!L25=0,0,11630*1000*SER_hh_tes_in!L25/SER_hh_num_in!L25)</f>
        <v>4279.3431460928196</v>
      </c>
      <c r="M25" s="133">
        <f>IF(SER_hh_tes_in!M25=0,0,11630*1000*SER_hh_tes_in!M25/SER_hh_num_in!M25)</f>
        <v>8733.8117086459188</v>
      </c>
      <c r="N25" s="133">
        <f>IF(SER_hh_tes_in!N25=0,0,11630*1000*SER_hh_tes_in!N25/SER_hh_num_in!N25)</f>
        <v>9396.929836929221</v>
      </c>
      <c r="O25" s="133">
        <f>IF(SER_hh_tes_in!O25=0,0,11630*1000*SER_hh_tes_in!O25/SER_hh_num_in!O25)</f>
        <v>7709.3213608878086</v>
      </c>
      <c r="P25" s="133">
        <f>IF(SER_hh_tes_in!P25=0,0,11630*1000*SER_hh_tes_in!P25/SER_hh_num_in!P25)</f>
        <v>10141.805184140494</v>
      </c>
      <c r="Q25" s="133">
        <f>IF(SER_hh_tes_in!Q25=0,0,11630*1000*SER_hh_tes_in!Q25/SER_hh_num_in!Q25)</f>
        <v>9689.7468148677344</v>
      </c>
      <c r="R25" s="133">
        <f>IF(SER_hh_tes_in!R25=0,0,11630*1000*SER_hh_tes_in!R25/SER_hh_num_in!R25)</f>
        <v>10028.11421743213</v>
      </c>
      <c r="S25" s="133">
        <f>IF(SER_hh_tes_in!S25=0,0,11630*1000*SER_hh_tes_in!S25/SER_hh_num_in!S25)</f>
        <v>10227.351946008554</v>
      </c>
      <c r="T25" s="133">
        <f>IF(SER_hh_tes_in!T25=0,0,11630*1000*SER_hh_tes_in!T25/SER_hh_num_in!T25)</f>
        <v>10740.658621378787</v>
      </c>
      <c r="U25" s="133">
        <f>IF(SER_hh_tes_in!U25=0,0,11630*1000*SER_hh_tes_in!U25/SER_hh_num_in!U25)</f>
        <v>10698.887458867799</v>
      </c>
      <c r="V25" s="133">
        <f>IF(SER_hh_tes_in!V25=0,0,11630*1000*SER_hh_tes_in!V25/SER_hh_num_in!V25)</f>
        <v>7799.9175138730025</v>
      </c>
      <c r="W25" s="133">
        <f>IF(SER_hh_tes_in!W25=0,0,11630*1000*SER_hh_tes_in!W25/SER_hh_num_in!W25)</f>
        <v>10320.283378854452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9176.8133351665492</v>
      </c>
      <c r="D26" s="65">
        <f>IF(SER_hh_tes_in!D26=0,0,11630*1000*SER_hh_tes_in!D26/SER_hh_num_in!D26)</f>
        <v>9115.2534691949677</v>
      </c>
      <c r="E26" s="65">
        <f>IF(SER_hh_tes_in!E26=0,0,11630*1000*SER_hh_tes_in!E26/SER_hh_num_in!E26)</f>
        <v>8813.3345377160404</v>
      </c>
      <c r="F26" s="65">
        <f>IF(SER_hh_tes_in!F26=0,0,11630*1000*SER_hh_tes_in!F26/SER_hh_num_in!F26)</f>
        <v>8623.2136802542427</v>
      </c>
      <c r="G26" s="65">
        <f>IF(SER_hh_tes_in!G26=0,0,11630*1000*SER_hh_tes_in!G26/SER_hh_num_in!G26)</f>
        <v>8669.0540525507131</v>
      </c>
      <c r="H26" s="65">
        <f>IF(SER_hh_tes_in!H26=0,0,11630*1000*SER_hh_tes_in!H26/SER_hh_num_in!H26)</f>
        <v>8788.2045434093725</v>
      </c>
      <c r="I26" s="65">
        <f>IF(SER_hh_tes_in!I26=0,0,11630*1000*SER_hh_tes_in!I26/SER_hh_num_in!I26)</f>
        <v>8666.7313252018939</v>
      </c>
      <c r="J26" s="65">
        <f>IF(SER_hh_tes_in!J26=0,0,11630*1000*SER_hh_tes_in!J26/SER_hh_num_in!J26)</f>
        <v>8639.3399950850908</v>
      </c>
      <c r="K26" s="65">
        <f>IF(SER_hh_tes_in!K26=0,0,11630*1000*SER_hh_tes_in!K26/SER_hh_num_in!K26)</f>
        <v>9034.6029761408954</v>
      </c>
      <c r="L26" s="65">
        <f>IF(SER_hh_tes_in!L26=0,0,11630*1000*SER_hh_tes_in!L26/SER_hh_num_in!L26)</f>
        <v>2789.3279466305339</v>
      </c>
      <c r="M26" s="65">
        <f>IF(SER_hh_tes_in!M26=0,0,11630*1000*SER_hh_tes_in!M26/SER_hh_num_in!M26)</f>
        <v>2621.0061250033073</v>
      </c>
      <c r="N26" s="65">
        <f>IF(SER_hh_tes_in!N26=0,0,11630*1000*SER_hh_tes_in!N26/SER_hh_num_in!N26)</f>
        <v>2378.1703132291968</v>
      </c>
      <c r="O26" s="65">
        <f>IF(SER_hh_tes_in!O26=0,0,11630*1000*SER_hh_tes_in!O26/SER_hh_num_in!O26)</f>
        <v>2433.4258060861148</v>
      </c>
      <c r="P26" s="65">
        <f>IF(SER_hh_tes_in!P26=0,0,11630*1000*SER_hh_tes_in!P26/SER_hh_num_in!P26)</f>
        <v>5136.6141345188698</v>
      </c>
      <c r="Q26" s="65">
        <f>IF(SER_hh_tes_in!Q26=0,0,11630*1000*SER_hh_tes_in!Q26/SER_hh_num_in!Q26)</f>
        <v>2249.7640433509232</v>
      </c>
      <c r="R26" s="65">
        <f>IF(SER_hh_tes_in!R26=0,0,11630*1000*SER_hh_tes_in!R26/SER_hh_num_in!R26)</f>
        <v>2539.9178002201029</v>
      </c>
      <c r="S26" s="65">
        <f>IF(SER_hh_tes_in!S26=0,0,11630*1000*SER_hh_tes_in!S26/SER_hh_num_in!S26)</f>
        <v>2815.5672154788285</v>
      </c>
      <c r="T26" s="65">
        <f>IF(SER_hh_tes_in!T26=0,0,11630*1000*SER_hh_tes_in!T26/SER_hh_num_in!T26)</f>
        <v>4847.5374378809547</v>
      </c>
      <c r="U26" s="65">
        <f>IF(SER_hh_tes_in!U26=0,0,11630*1000*SER_hh_tes_in!U26/SER_hh_num_in!U26)</f>
        <v>3077.8311722357907</v>
      </c>
      <c r="V26" s="65">
        <f>IF(SER_hh_tes_in!V26=0,0,11630*1000*SER_hh_tes_in!V26/SER_hh_num_in!V26)</f>
        <v>2272.7319967652152</v>
      </c>
      <c r="W26" s="65">
        <f>IF(SER_hh_tes_in!W26=0,0,11630*1000*SER_hh_tes_in!W26/SER_hh_num_in!W26)</f>
        <v>2522.993173205763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6283.7516675453926</v>
      </c>
      <c r="M27" s="146">
        <f>IF(SER_hh_tes_in!M27=0,0,11630*1000*SER_hh_tes_in!M27/SER_hh_num_in!M19)</f>
        <v>4969.4300176375755</v>
      </c>
      <c r="N27" s="146">
        <f>IF(SER_hh_tes_in!N27=0,0,11630*1000*SER_hh_tes_in!N27/SER_hh_num_in!N19)</f>
        <v>4512.2370191401351</v>
      </c>
      <c r="O27" s="146">
        <f>IF(SER_hh_tes_in!O27=0,0,11630*1000*SER_hh_tes_in!O27/SER_hh_num_in!O19)</f>
        <v>5439.550984591282</v>
      </c>
      <c r="P27" s="146">
        <f>IF(SER_hh_tes_in!P27=0,0,11630*1000*SER_hh_tes_in!P27/SER_hh_num_in!P19)</f>
        <v>2576.2507279923375</v>
      </c>
      <c r="Q27" s="146">
        <f>IF(SER_hh_tes_in!Q27=0,0,11630*1000*SER_hh_tes_in!Q27/SER_hh_num_in!Q19)</f>
        <v>4740.2066877384796</v>
      </c>
      <c r="R27" s="146">
        <f>IF(SER_hh_tes_in!R27=0,0,11630*1000*SER_hh_tes_in!R27/SER_hh_num_in!R19)</f>
        <v>4216.070196815117</v>
      </c>
      <c r="S27" s="146">
        <f>IF(SER_hh_tes_in!S27=0,0,11630*1000*SER_hh_tes_in!S27/SER_hh_num_in!S19)</f>
        <v>4250.9860770585556</v>
      </c>
      <c r="T27" s="146">
        <f>IF(SER_hh_tes_in!T27=0,0,11630*1000*SER_hh_tes_in!T27/SER_hh_num_in!T19)</f>
        <v>3006.1386495300035</v>
      </c>
      <c r="U27" s="146">
        <f>IF(SER_hh_tes_in!U27=0,0,11630*1000*SER_hh_tes_in!U27/SER_hh_num_in!U19)</f>
        <v>4334.2960814177732</v>
      </c>
      <c r="V27" s="146">
        <f>IF(SER_hh_tes_in!V27=0,0,11630*1000*SER_hh_tes_in!V27/SER_hh_num_in!V19)</f>
        <v>5017.5392031170013</v>
      </c>
      <c r="W27" s="146">
        <f>IF(SER_hh_tes_in!W27=0,0,11630*1000*SER_hh_tes_in!W27/SER_hh_num_in!W19)</f>
        <v>4617.0827897750905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6283.7516675453926</v>
      </c>
      <c r="M28" s="147">
        <f>IF(SER_hh_tes_in!M27=0,0,11630*1000*SER_hh_tes_in!M27/SER_hh_num_in!M27)</f>
        <v>6728.6000139663329</v>
      </c>
      <c r="N28" s="147">
        <f>IF(SER_hh_tes_in!N27=0,0,11630*1000*SER_hh_tes_in!N27/SER_hh_num_in!N27)</f>
        <v>7005.1672096614684</v>
      </c>
      <c r="O28" s="147">
        <f>IF(SER_hh_tes_in!O27=0,0,11630*1000*SER_hh_tes_in!O27/SER_hh_num_in!O27)</f>
        <v>6770.3909820322824</v>
      </c>
      <c r="P28" s="147">
        <f>IF(SER_hh_tes_in!P27=0,0,11630*1000*SER_hh_tes_in!P27/SER_hh_num_in!P27)</f>
        <v>7029.2577217708013</v>
      </c>
      <c r="Q28" s="147">
        <f>IF(SER_hh_tes_in!Q27=0,0,11630*1000*SER_hh_tes_in!Q27/SER_hh_num_in!Q27)</f>
        <v>7280.0873437635373</v>
      </c>
      <c r="R28" s="147">
        <f>IF(SER_hh_tes_in!R27=0,0,11630*1000*SER_hh_tes_in!R27/SER_hh_num_in!R27)</f>
        <v>7129.6263594874044</v>
      </c>
      <c r="S28" s="147">
        <f>IF(SER_hh_tes_in!S27=0,0,11630*1000*SER_hh_tes_in!S27/SER_hh_num_in!S27)</f>
        <v>7020.4458517515641</v>
      </c>
      <c r="T28" s="147">
        <f>IF(SER_hh_tes_in!T27=0,0,11630*1000*SER_hh_tes_in!T27/SER_hh_num_in!T27)</f>
        <v>7486.2581956776748</v>
      </c>
      <c r="U28" s="147">
        <f>IF(SER_hh_tes_in!U27=0,0,11630*1000*SER_hh_tes_in!U27/SER_hh_num_in!U27)</f>
        <v>7611.1246425186437</v>
      </c>
      <c r="V28" s="147">
        <f>IF(SER_hh_tes_in!V27=0,0,11630*1000*SER_hh_tes_in!V27/SER_hh_num_in!V27)</f>
        <v>6444.9908188452519</v>
      </c>
      <c r="W28" s="147">
        <f>IF(SER_hh_tes_in!W27=0,0,11630*1000*SER_hh_tes_in!W27/SER_hh_num_in!W27)</f>
        <v>7228.4204067580031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11542.27964761914</v>
      </c>
      <c r="D29" s="131">
        <f>IF(SER_hh_tes_in!D29=0,0,11630*1000*SER_hh_tes_in!D29/SER_hh_num_in!D29)</f>
        <v>11234.053225042517</v>
      </c>
      <c r="E29" s="131">
        <f>IF(SER_hh_tes_in!E29=0,0,11630*1000*SER_hh_tes_in!E29/SER_hh_num_in!E29)</f>
        <v>11051.112892757701</v>
      </c>
      <c r="F29" s="131">
        <f>IF(SER_hh_tes_in!F29=0,0,11630*1000*SER_hh_tes_in!F29/SER_hh_num_in!F29)</f>
        <v>10939.482195126962</v>
      </c>
      <c r="G29" s="131">
        <f>IF(SER_hh_tes_in!G29=0,0,11630*1000*SER_hh_tes_in!G29/SER_hh_num_in!G29)</f>
        <v>10676.205679968101</v>
      </c>
      <c r="H29" s="131">
        <f>IF(SER_hh_tes_in!H29=0,0,11630*1000*SER_hh_tes_in!H29/SER_hh_num_in!H29)</f>
        <v>10676.884828322238</v>
      </c>
      <c r="I29" s="131">
        <f>IF(SER_hh_tes_in!I29=0,0,11630*1000*SER_hh_tes_in!I29/SER_hh_num_in!I29)</f>
        <v>10579.66196894813</v>
      </c>
      <c r="J29" s="131">
        <f>IF(SER_hh_tes_in!J29=0,0,11630*1000*SER_hh_tes_in!J29/SER_hh_num_in!J29)</f>
        <v>11604.529519156722</v>
      </c>
      <c r="K29" s="131">
        <f>IF(SER_hh_tes_in!K29=0,0,11630*1000*SER_hh_tes_in!K29/SER_hh_num_in!K29)</f>
        <v>11054.453799201308</v>
      </c>
      <c r="L29" s="131">
        <f>IF(SER_hh_tes_in!L29=0,0,11630*1000*SER_hh_tes_in!L29/SER_hh_num_in!L29)</f>
        <v>12050.419054213795</v>
      </c>
      <c r="M29" s="131">
        <f>IF(SER_hh_tes_in!M29=0,0,11630*1000*SER_hh_tes_in!M29/SER_hh_num_in!M29)</f>
        <v>11455.097086740108</v>
      </c>
      <c r="N29" s="131">
        <f>IF(SER_hh_tes_in!N29=0,0,11630*1000*SER_hh_tes_in!N29/SER_hh_num_in!N29)</f>
        <v>12057.729899764487</v>
      </c>
      <c r="O29" s="131">
        <f>IF(SER_hh_tes_in!O29=0,0,11630*1000*SER_hh_tes_in!O29/SER_hh_num_in!O29)</f>
        <v>11809.269426139495</v>
      </c>
      <c r="P29" s="131">
        <f>IF(SER_hh_tes_in!P29=0,0,11630*1000*SER_hh_tes_in!P29/SER_hh_num_in!P29)</f>
        <v>11848.573504506305</v>
      </c>
      <c r="Q29" s="131">
        <f>IF(SER_hh_tes_in!Q29=0,0,11630*1000*SER_hh_tes_in!Q29/SER_hh_num_in!Q29)</f>
        <v>11855.260007882345</v>
      </c>
      <c r="R29" s="131">
        <f>IF(SER_hh_tes_in!R29=0,0,11630*1000*SER_hh_tes_in!R29/SER_hh_num_in!R29)</f>
        <v>11800.041867446063</v>
      </c>
      <c r="S29" s="131">
        <f>IF(SER_hh_tes_in!S29=0,0,11630*1000*SER_hh_tes_in!S29/SER_hh_num_in!S29)</f>
        <v>12300.846606728866</v>
      </c>
      <c r="T29" s="131">
        <f>IF(SER_hh_tes_in!T29=0,0,11630*1000*SER_hh_tes_in!T29/SER_hh_num_in!T29)</f>
        <v>13123.408994788466</v>
      </c>
      <c r="U29" s="131">
        <f>IF(SER_hh_tes_in!U29=0,0,11630*1000*SER_hh_tes_in!U29/SER_hh_num_in!U29)</f>
        <v>13234.824338185297</v>
      </c>
      <c r="V29" s="131">
        <f>IF(SER_hh_tes_in!V29=0,0,11630*1000*SER_hh_tes_in!V29/SER_hh_num_in!V29)</f>
        <v>11469.227162458088</v>
      </c>
      <c r="W29" s="131">
        <f>IF(SER_hh_tes_in!W29=0,0,11630*1000*SER_hh_tes_in!W29/SER_hh_num_in!W29)</f>
        <v>12626.806952420018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22840.19756576739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13449.706412557927</v>
      </c>
      <c r="M30" s="133">
        <f>IF(SER_hh_tes_in!M30=0,0,11630*1000*SER_hh_tes_in!M30/SER_hh_num_in!M30)</f>
        <v>12506.74228909144</v>
      </c>
      <c r="N30" s="133">
        <f>IF(SER_hh_tes_in!N30=0,0,11630*1000*SER_hh_tes_in!N30/SER_hh_num_in!N30)</f>
        <v>19789.532226478666</v>
      </c>
      <c r="O30" s="133">
        <f>IF(SER_hh_tes_in!O30=0,0,11630*1000*SER_hh_tes_in!O30/SER_hh_num_in!O30)</f>
        <v>14169.156120250615</v>
      </c>
      <c r="P30" s="133">
        <f>IF(SER_hh_tes_in!P30=0,0,11630*1000*SER_hh_tes_in!P30/SER_hh_num_in!P30)</f>
        <v>8909.0247759512749</v>
      </c>
      <c r="Q30" s="133">
        <f>IF(SER_hh_tes_in!Q30=0,0,11630*1000*SER_hh_tes_in!Q30/SER_hh_num_in!Q30)</f>
        <v>8999.4005259234764</v>
      </c>
      <c r="R30" s="133">
        <f>IF(SER_hh_tes_in!R30=0,0,11630*1000*SER_hh_tes_in!R30/SER_hh_num_in!R30)</f>
        <v>10589.434036329161</v>
      </c>
      <c r="S30" s="133">
        <f>IF(SER_hh_tes_in!S30=0,0,11630*1000*SER_hh_tes_in!S30/SER_hh_num_in!S30)</f>
        <v>12627.116644291984</v>
      </c>
      <c r="T30" s="133">
        <f>IF(SER_hh_tes_in!T30=0,0,11630*1000*SER_hh_tes_in!T30/SER_hh_num_in!T30)</f>
        <v>13738.194724983423</v>
      </c>
      <c r="U30" s="133">
        <f>IF(SER_hh_tes_in!U30=0,0,11630*1000*SER_hh_tes_in!U30/SER_hh_num_in!U30)</f>
        <v>13456.631424184692</v>
      </c>
      <c r="V30" s="133">
        <f>IF(SER_hh_tes_in!V30=0,0,11630*1000*SER_hh_tes_in!V30/SER_hh_num_in!V30)</f>
        <v>11053.310764125485</v>
      </c>
      <c r="W30" s="133">
        <f>IF(SER_hh_tes_in!W30=0,0,11630*1000*SER_hh_tes_in!W30/SER_hh_num_in!W30)</f>
        <v>13020.411954816205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11109.443928780111</v>
      </c>
      <c r="D31" s="133">
        <f>IF(SER_hh_tes_in!D31=0,0,11630*1000*SER_hh_tes_in!D31/SER_hh_num_in!D31)</f>
        <v>10246.663585982325</v>
      </c>
      <c r="E31" s="133">
        <f>IF(SER_hh_tes_in!E31=0,0,11630*1000*SER_hh_tes_in!E31/SER_hh_num_in!E31)</f>
        <v>10760.01185324701</v>
      </c>
      <c r="F31" s="133">
        <f>IF(SER_hh_tes_in!F31=0,0,11630*1000*SER_hh_tes_in!F31/SER_hh_num_in!F31)</f>
        <v>10893.625116404211</v>
      </c>
      <c r="G31" s="133">
        <f>IF(SER_hh_tes_in!G31=0,0,11630*1000*SER_hh_tes_in!G31/SER_hh_num_in!G31)</f>
        <v>9995.0875232004037</v>
      </c>
      <c r="H31" s="133">
        <f>IF(SER_hh_tes_in!H31=0,0,11630*1000*SER_hh_tes_in!H31/SER_hh_num_in!H31)</f>
        <v>11059.717793827938</v>
      </c>
      <c r="I31" s="133">
        <f>IF(SER_hh_tes_in!I31=0,0,11630*1000*SER_hh_tes_in!I31/SER_hh_num_in!I31)</f>
        <v>11204.577639364599</v>
      </c>
      <c r="J31" s="133">
        <f>IF(SER_hh_tes_in!J31=0,0,11630*1000*SER_hh_tes_in!J31/SER_hh_num_in!J31)</f>
        <v>11130.386446124199</v>
      </c>
      <c r="K31" s="133">
        <f>IF(SER_hh_tes_in!K31=0,0,11630*1000*SER_hh_tes_in!K31/SER_hh_num_in!K31)</f>
        <v>11096.160411913988</v>
      </c>
      <c r="L31" s="133">
        <f>IF(SER_hh_tes_in!L31=0,0,11630*1000*SER_hh_tes_in!L31/SER_hh_num_in!L31)</f>
        <v>11364.759832721305</v>
      </c>
      <c r="M31" s="133">
        <f>IF(SER_hh_tes_in!M31=0,0,11630*1000*SER_hh_tes_in!M31/SER_hh_num_in!M31)</f>
        <v>11489.756971478044</v>
      </c>
      <c r="N31" s="133">
        <f>IF(SER_hh_tes_in!N31=0,0,11630*1000*SER_hh_tes_in!N31/SER_hh_num_in!N31)</f>
        <v>11733.76388578463</v>
      </c>
      <c r="O31" s="133">
        <f>IF(SER_hh_tes_in!O31=0,0,11630*1000*SER_hh_tes_in!O31/SER_hh_num_in!O31)</f>
        <v>11857.409154001487</v>
      </c>
      <c r="P31" s="133">
        <f>IF(SER_hh_tes_in!P31=0,0,11630*1000*SER_hh_tes_in!P31/SER_hh_num_in!P31)</f>
        <v>11889.184223957918</v>
      </c>
      <c r="Q31" s="133">
        <f>IF(SER_hh_tes_in!Q31=0,0,11630*1000*SER_hh_tes_in!Q31/SER_hh_num_in!Q31)</f>
        <v>11983.345152708254</v>
      </c>
      <c r="R31" s="133">
        <f>IF(SER_hh_tes_in!R31=0,0,11630*1000*SER_hh_tes_in!R31/SER_hh_num_in!R31)</f>
        <v>12012.341072071124</v>
      </c>
      <c r="S31" s="133">
        <f>IF(SER_hh_tes_in!S31=0,0,11630*1000*SER_hh_tes_in!S31/SER_hh_num_in!S31)</f>
        <v>12452.143147933708</v>
      </c>
      <c r="T31" s="133">
        <f>IF(SER_hh_tes_in!T31=0,0,11630*1000*SER_hh_tes_in!T31/SER_hh_num_in!T31)</f>
        <v>12888.165554034729</v>
      </c>
      <c r="U31" s="133">
        <f>IF(SER_hh_tes_in!U31=0,0,11630*1000*SER_hh_tes_in!U31/SER_hh_num_in!U31)</f>
        <v>12800.407223122569</v>
      </c>
      <c r="V31" s="133">
        <f>IF(SER_hh_tes_in!V31=0,0,11630*1000*SER_hh_tes_in!V31/SER_hh_num_in!V31)</f>
        <v>11304.381280920923</v>
      </c>
      <c r="W31" s="133">
        <f>IF(SER_hh_tes_in!W31=0,0,11630*1000*SER_hh_tes_in!W31/SER_hh_num_in!W31)</f>
        <v>12722.36830292048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15828.925322650031</v>
      </c>
      <c r="K32" s="133">
        <f>IF(SER_hh_tes_in!K32=0,0,11630*1000*SER_hh_tes_in!K32/SER_hh_num_in!K32)</f>
        <v>12603.057156245959</v>
      </c>
      <c r="L32" s="133">
        <f>IF(SER_hh_tes_in!L32=0,0,11630*1000*SER_hh_tes_in!L32/SER_hh_num_in!L32)</f>
        <v>11608.014735647539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10091.264649786659</v>
      </c>
      <c r="R32" s="133">
        <f>IF(SER_hh_tes_in!R32=0,0,11630*1000*SER_hh_tes_in!R32/SER_hh_num_in!R32)</f>
        <v>8126.9396291184485</v>
      </c>
      <c r="S32" s="133">
        <f>IF(SER_hh_tes_in!S32=0,0,11630*1000*SER_hh_tes_in!S32/SER_hh_num_in!S32)</f>
        <v>11695.493573368027</v>
      </c>
      <c r="T32" s="133">
        <f>IF(SER_hh_tes_in!T32=0,0,11630*1000*SER_hh_tes_in!T32/SER_hh_num_in!T32)</f>
        <v>14006.80450179668</v>
      </c>
      <c r="U32" s="133">
        <f>IF(SER_hh_tes_in!U32=0,0,11630*1000*SER_hh_tes_in!U32/SER_hh_num_in!U32)</f>
        <v>14221.181851758314</v>
      </c>
      <c r="V32" s="133">
        <f>IF(SER_hh_tes_in!V32=0,0,11630*1000*SER_hh_tes_in!V32/SER_hh_num_in!V32)</f>
        <v>12082.667201078977</v>
      </c>
      <c r="W32" s="133">
        <f>IF(SER_hh_tes_in!W32=0,0,11630*1000*SER_hh_tes_in!W32/SER_hh_num_in!W32)</f>
        <v>12145.321485764433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11362.72037816302</v>
      </c>
      <c r="D33" s="68">
        <f>IF(SER_hh_tes_in!D33=0,0,11630*1000*SER_hh_tes_in!D33/SER_hh_num_in!D33)</f>
        <v>11340.329415550621</v>
      </c>
      <c r="E33" s="68">
        <f>IF(SER_hh_tes_in!E33=0,0,11630*1000*SER_hh_tes_in!E33/SER_hh_num_in!E33)</f>
        <v>11087.234340441551</v>
      </c>
      <c r="F33" s="68">
        <f>IF(SER_hh_tes_in!F33=0,0,11630*1000*SER_hh_tes_in!F33/SER_hh_num_in!F33)</f>
        <v>10946.727375542965</v>
      </c>
      <c r="G33" s="68">
        <f>IF(SER_hh_tes_in!G33=0,0,11630*1000*SER_hh_tes_in!G33/SER_hh_num_in!G33)</f>
        <v>10791.880283728706</v>
      </c>
      <c r="H33" s="68">
        <f>IF(SER_hh_tes_in!H33=0,0,11630*1000*SER_hh_tes_in!H33/SER_hh_num_in!H33)</f>
        <v>10595.873960721485</v>
      </c>
      <c r="I33" s="68">
        <f>IF(SER_hh_tes_in!I33=0,0,11630*1000*SER_hh_tes_in!I33/SER_hh_num_in!I33)</f>
        <v>10482.932409475607</v>
      </c>
      <c r="J33" s="68">
        <f>IF(SER_hh_tes_in!J33=0,0,11630*1000*SER_hh_tes_in!J33/SER_hh_num_in!J33)</f>
        <v>10601.801561078908</v>
      </c>
      <c r="K33" s="68">
        <f>IF(SER_hh_tes_in!K33=0,0,11630*1000*SER_hh_tes_in!K33/SER_hh_num_in!K33)</f>
        <v>10967.82422573517</v>
      </c>
      <c r="L33" s="68">
        <f>IF(SER_hh_tes_in!L33=0,0,11630*1000*SER_hh_tes_in!L33/SER_hh_num_in!L33)</f>
        <v>11444.497823791222</v>
      </c>
      <c r="M33" s="68">
        <f>IF(SER_hh_tes_in!M33=0,0,11630*1000*SER_hh_tes_in!M33/SER_hh_num_in!M33)</f>
        <v>11328.160111072089</v>
      </c>
      <c r="N33" s="68">
        <f>IF(SER_hh_tes_in!N33=0,0,11630*1000*SER_hh_tes_in!N33/SER_hh_num_in!N33)</f>
        <v>11495.401075731615</v>
      </c>
      <c r="O33" s="68">
        <f>IF(SER_hh_tes_in!O33=0,0,11630*1000*SER_hh_tes_in!O33/SER_hh_num_in!O33)</f>
        <v>11779.75512908511</v>
      </c>
      <c r="P33" s="68">
        <f>IF(SER_hh_tes_in!P33=0,0,11630*1000*SER_hh_tes_in!P33/SER_hh_num_in!P33)</f>
        <v>11856.440995886465</v>
      </c>
      <c r="Q33" s="68">
        <f>IF(SER_hh_tes_in!Q33=0,0,11630*1000*SER_hh_tes_in!Q33/SER_hh_num_in!Q33)</f>
        <v>11899.482634623368</v>
      </c>
      <c r="R33" s="68">
        <f>IF(SER_hh_tes_in!R33=0,0,11630*1000*SER_hh_tes_in!R33/SER_hh_num_in!R33)</f>
        <v>12114.614212232415</v>
      </c>
      <c r="S33" s="68">
        <f>IF(SER_hh_tes_in!S33=0,0,11630*1000*SER_hh_tes_in!S33/SER_hh_num_in!S33)</f>
        <v>12395.990792567052</v>
      </c>
      <c r="T33" s="68">
        <f>IF(SER_hh_tes_in!T33=0,0,11630*1000*SER_hh_tes_in!T33/SER_hh_num_in!T33)</f>
        <v>12821.425530589098</v>
      </c>
      <c r="U33" s="68">
        <f>IF(SER_hh_tes_in!U33=0,0,11630*1000*SER_hh_tes_in!U33/SER_hh_num_in!U33)</f>
        <v>13024.373002472506</v>
      </c>
      <c r="V33" s="68">
        <f>IF(SER_hh_tes_in!V33=0,0,11630*1000*SER_hh_tes_in!V33/SER_hh_num_in!V33)</f>
        <v>11426.28379178947</v>
      </c>
      <c r="W33" s="68">
        <f>IF(SER_hh_tes_in!W33=0,0,11630*1000*SER_hh_tes_in!W33/SER_hh_num_in!W33)</f>
        <v>12597.817470951544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3412.173887746681</v>
      </c>
      <c r="D3" s="126">
        <f>IF(SER_hh_emi_in!D3=0,0,1000000*SER_hh_emi_in!D3/SER_hh_num_in!D3)</f>
        <v>2400.3256493078416</v>
      </c>
      <c r="E3" s="126">
        <f>IF(SER_hh_emi_in!E3=0,0,1000000*SER_hh_emi_in!E3/SER_hh_num_in!E3)</f>
        <v>2317.4227599509763</v>
      </c>
      <c r="F3" s="126">
        <f>IF(SER_hh_emi_in!F3=0,0,1000000*SER_hh_emi_in!F3/SER_hh_num_in!F3)</f>
        <v>2171.0064386826143</v>
      </c>
      <c r="G3" s="126">
        <f>IF(SER_hh_emi_in!G3=0,0,1000000*SER_hh_emi_in!G3/SER_hh_num_in!G3)</f>
        <v>2682.4756403406586</v>
      </c>
      <c r="H3" s="126">
        <f>IF(SER_hh_emi_in!H3=0,0,1000000*SER_hh_emi_in!H3/SER_hh_num_in!H3)</f>
        <v>5362.5742105940635</v>
      </c>
      <c r="I3" s="126">
        <f>IF(SER_hh_emi_in!I3=0,0,1000000*SER_hh_emi_in!I3/SER_hh_num_in!I3)</f>
        <v>3153.699909992768</v>
      </c>
      <c r="J3" s="126">
        <f>IF(SER_hh_emi_in!J3=0,0,1000000*SER_hh_emi_in!J3/SER_hh_num_in!J3)</f>
        <v>2130.6242619650839</v>
      </c>
      <c r="K3" s="126">
        <f>IF(SER_hh_emi_in!K3=0,0,1000000*SER_hh_emi_in!K3/SER_hh_num_in!K3)</f>
        <v>2873.5812852669042</v>
      </c>
      <c r="L3" s="126">
        <f>IF(SER_hh_emi_in!L3=0,0,1000000*SER_hh_emi_in!L3/SER_hh_num_in!L3)</f>
        <v>3789.4173072415706</v>
      </c>
      <c r="M3" s="126">
        <f>IF(SER_hh_emi_in!M3=0,0,1000000*SER_hh_emi_in!M3/SER_hh_num_in!M3)</f>
        <v>1829.6207569275814</v>
      </c>
      <c r="N3" s="126">
        <f>IF(SER_hh_emi_in!N3=0,0,1000000*SER_hh_emi_in!N3/SER_hh_num_in!N3)</f>
        <v>3043.7077014573529</v>
      </c>
      <c r="O3" s="126">
        <f>IF(SER_hh_emi_in!O3=0,0,1000000*SER_hh_emi_in!O3/SER_hh_num_in!O3)</f>
        <v>2617.7203598260198</v>
      </c>
      <c r="P3" s="126">
        <f>IF(SER_hh_emi_in!P3=0,0,1000000*SER_hh_emi_in!P3/SER_hh_num_in!P3)</f>
        <v>2728.8410954848687</v>
      </c>
      <c r="Q3" s="126">
        <f>IF(SER_hh_emi_in!Q3=0,0,1000000*SER_hh_emi_in!Q3/SER_hh_num_in!Q3)</f>
        <v>4982.8283746202796</v>
      </c>
      <c r="R3" s="126">
        <f>IF(SER_hh_emi_in!R3=0,0,1000000*SER_hh_emi_in!R3/SER_hh_num_in!R3)</f>
        <v>2550.1532058484249</v>
      </c>
      <c r="S3" s="126">
        <f>IF(SER_hh_emi_in!S3=0,0,1000000*SER_hh_emi_in!S3/SER_hh_num_in!S3)</f>
        <v>1715.1284751431017</v>
      </c>
      <c r="T3" s="126">
        <f>IF(SER_hh_emi_in!T3=0,0,1000000*SER_hh_emi_in!T3/SER_hh_num_in!T3)</f>
        <v>1739.8365224844499</v>
      </c>
      <c r="U3" s="126">
        <f>IF(SER_hh_emi_in!U3=0,0,1000000*SER_hh_emi_in!U3/SER_hh_num_in!U3)</f>
        <v>1522.7602635120566</v>
      </c>
      <c r="V3" s="126">
        <f>IF(SER_hh_emi_in!V3=0,0,1000000*SER_hh_emi_in!V3/SER_hh_num_in!V3)</f>
        <v>1828.3804610898148</v>
      </c>
      <c r="W3" s="126">
        <f>IF(SER_hh_emi_in!W3=0,0,1000000*SER_hh_emi_in!W3/SER_hh_num_in!W3)</f>
        <v>2407.5186712142504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2431.4246762501371</v>
      </c>
      <c r="D4" s="131">
        <f>IF(SER_hh_emi_in!D4=0,0,1000000*SER_hh_emi_in!D4/SER_hh_num_in!D4)</f>
        <v>1395.0854089510653</v>
      </c>
      <c r="E4" s="131">
        <f>IF(SER_hh_emi_in!E4=0,0,1000000*SER_hh_emi_in!E4/SER_hh_num_in!E4)</f>
        <v>1301.0803070462935</v>
      </c>
      <c r="F4" s="131">
        <f>IF(SER_hh_emi_in!F4=0,0,1000000*SER_hh_emi_in!F4/SER_hh_num_in!F4)</f>
        <v>1016.2076014826938</v>
      </c>
      <c r="G4" s="131">
        <f>IF(SER_hh_emi_in!G4=0,0,1000000*SER_hh_emi_in!G4/SER_hh_num_in!G4)</f>
        <v>1441.4512619725394</v>
      </c>
      <c r="H4" s="131">
        <f>IF(SER_hh_emi_in!H4=0,0,1000000*SER_hh_emi_in!H4/SER_hh_num_in!H4)</f>
        <v>3795.4572029268643</v>
      </c>
      <c r="I4" s="131">
        <f>IF(SER_hh_emi_in!I4=0,0,1000000*SER_hh_emi_in!I4/SER_hh_num_in!I4)</f>
        <v>1598.0799904072892</v>
      </c>
      <c r="J4" s="131">
        <f>IF(SER_hh_emi_in!J4=0,0,1000000*SER_hh_emi_in!J4/SER_hh_num_in!J4)</f>
        <v>871.10683675503446</v>
      </c>
      <c r="K4" s="131">
        <f>IF(SER_hh_emi_in!K4=0,0,1000000*SER_hh_emi_in!K4/SER_hh_num_in!K4)</f>
        <v>1781.2845208661633</v>
      </c>
      <c r="L4" s="131">
        <f>IF(SER_hh_emi_in!L4=0,0,1000000*SER_hh_emi_in!L4/SER_hh_num_in!L4)</f>
        <v>1627.3415866542482</v>
      </c>
      <c r="M4" s="131">
        <f>IF(SER_hh_emi_in!M4=0,0,1000000*SER_hh_emi_in!M4/SER_hh_num_in!M4)</f>
        <v>614.83449620192482</v>
      </c>
      <c r="N4" s="131">
        <f>IF(SER_hh_emi_in!N4=0,0,1000000*SER_hh_emi_in!N4/SER_hh_num_in!N4)</f>
        <v>1740.8095301324408</v>
      </c>
      <c r="O4" s="131">
        <f>IF(SER_hh_emi_in!O4=0,0,1000000*SER_hh_emi_in!O4/SER_hh_num_in!O4)</f>
        <v>1895.1026495995875</v>
      </c>
      <c r="P4" s="131">
        <f>IF(SER_hh_emi_in!P4=0,0,1000000*SER_hh_emi_in!P4/SER_hh_num_in!P4)</f>
        <v>1783.4558022988067</v>
      </c>
      <c r="Q4" s="131">
        <f>IF(SER_hh_emi_in!Q4=0,0,1000000*SER_hh_emi_in!Q4/SER_hh_num_in!Q4)</f>
        <v>4156.9008034522321</v>
      </c>
      <c r="R4" s="131">
        <f>IF(SER_hh_emi_in!R4=0,0,1000000*SER_hh_emi_in!R4/SER_hh_num_in!R4)</f>
        <v>1684.2377571695197</v>
      </c>
      <c r="S4" s="131">
        <f>IF(SER_hh_emi_in!S4=0,0,1000000*SER_hh_emi_in!S4/SER_hh_num_in!S4)</f>
        <v>731.23278771331979</v>
      </c>
      <c r="T4" s="131">
        <f>IF(SER_hh_emi_in!T4=0,0,1000000*SER_hh_emi_in!T4/SER_hh_num_in!T4)</f>
        <v>613.38833571616783</v>
      </c>
      <c r="U4" s="131">
        <f>IF(SER_hh_emi_in!U4=0,0,1000000*SER_hh_emi_in!U4/SER_hh_num_in!U4)</f>
        <v>520.18876032297248</v>
      </c>
      <c r="V4" s="131">
        <f>IF(SER_hh_emi_in!V4=0,0,1000000*SER_hh_emi_in!V4/SER_hh_num_in!V4)</f>
        <v>1122.427661250455</v>
      </c>
      <c r="W4" s="131">
        <f>IF(SER_hh_emi_in!W4=0,0,1000000*SER_hh_emi_in!W4/SER_hh_num_in!W4)</f>
        <v>1284.2491843070259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20148.94185704867</v>
      </c>
      <c r="D5" s="133">
        <f>IF(SER_hh_emi_in!D5=0,0,1000000*SER_hh_emi_in!D5/SER_hh_num_in!D5)</f>
        <v>24092.665575862273</v>
      </c>
      <c r="E5" s="133">
        <f>IF(SER_hh_emi_in!E5=0,0,1000000*SER_hh_emi_in!E5/SER_hh_num_in!E5)</f>
        <v>25915.737869948909</v>
      </c>
      <c r="F5" s="133">
        <f>IF(SER_hh_emi_in!F5=0,0,1000000*SER_hh_emi_in!F5/SER_hh_num_in!F5)</f>
        <v>17817.314963127086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25066.228692403613</v>
      </c>
      <c r="K5" s="133">
        <f>IF(SER_hh_emi_in!K5=0,0,1000000*SER_hh_emi_in!K5/SER_hh_num_in!K5)</f>
        <v>21141.311945097816</v>
      </c>
      <c r="L5" s="133">
        <f>IF(SER_hh_emi_in!L5=0,0,1000000*SER_hh_emi_in!L5/SER_hh_num_in!L5)</f>
        <v>19730.720769383872</v>
      </c>
      <c r="M5" s="133">
        <f>IF(SER_hh_emi_in!M5=0,0,1000000*SER_hh_emi_in!M5/SER_hh_num_in!M5)</f>
        <v>21456.62358100024</v>
      </c>
      <c r="N5" s="133">
        <f>IF(SER_hh_emi_in!N5=0,0,1000000*SER_hh_emi_in!N5/SER_hh_num_in!N5)</f>
        <v>15959.970256284194</v>
      </c>
      <c r="O5" s="133">
        <f>IF(SER_hh_emi_in!O5=0,0,1000000*SER_hh_emi_in!O5/SER_hh_num_in!O5)</f>
        <v>20441.782882355503</v>
      </c>
      <c r="P5" s="133">
        <f>IF(SER_hh_emi_in!P5=0,0,1000000*SER_hh_emi_in!P5/SER_hh_num_in!P5)</f>
        <v>9044.1007695505195</v>
      </c>
      <c r="Q5" s="133">
        <f>IF(SER_hh_emi_in!Q5=0,0,1000000*SER_hh_emi_in!Q5/SER_hh_num_in!Q5)</f>
        <v>21982.630034817179</v>
      </c>
      <c r="R5" s="133">
        <f>IF(SER_hh_emi_in!R5=0,0,1000000*SER_hh_emi_in!R5/SER_hh_num_in!R5)</f>
        <v>23575.496227427593</v>
      </c>
      <c r="S5" s="133">
        <f>IF(SER_hh_emi_in!S5=0,0,1000000*SER_hh_emi_in!S5/SER_hh_num_in!S5)</f>
        <v>16356.657470053249</v>
      </c>
      <c r="T5" s="133">
        <f>IF(SER_hh_emi_in!T5=0,0,1000000*SER_hh_emi_in!T5/SER_hh_num_in!T5)</f>
        <v>11469.969765180032</v>
      </c>
      <c r="U5" s="133">
        <f>IF(SER_hh_emi_in!U5=0,0,1000000*SER_hh_emi_in!U5/SER_hh_num_in!U5)</f>
        <v>16864.079455527812</v>
      </c>
      <c r="V5" s="133">
        <f>IF(SER_hh_emi_in!V5=0,0,1000000*SER_hh_emi_in!V5/SER_hh_num_in!V5)</f>
        <v>12703.332302555064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27128.662785047876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24207.197389384412</v>
      </c>
      <c r="I7" s="133">
        <f>IF(SER_hh_emi_in!I7=0,0,1000000*SER_hh_emi_in!I7/SER_hh_num_in!I7)</f>
        <v>16122.85429691414</v>
      </c>
      <c r="J7" s="133">
        <f>IF(SER_hh_emi_in!J7=0,0,1000000*SER_hh_emi_in!J7/SER_hh_num_in!J7)</f>
        <v>20546.828890016845</v>
      </c>
      <c r="K7" s="133">
        <f>IF(SER_hh_emi_in!K7=0,0,1000000*SER_hh_emi_in!K7/SER_hh_num_in!K7)</f>
        <v>22874.707595045915</v>
      </c>
      <c r="L7" s="133">
        <f>IF(SER_hh_emi_in!L7=0,0,1000000*SER_hh_emi_in!L7/SER_hh_num_in!L7)</f>
        <v>15627.086435620065</v>
      </c>
      <c r="M7" s="133">
        <f>IF(SER_hh_emi_in!M7=0,0,1000000*SER_hh_emi_in!M7/SER_hh_num_in!M7)</f>
        <v>0</v>
      </c>
      <c r="N7" s="133">
        <f>IF(SER_hh_emi_in!N7=0,0,1000000*SER_hh_emi_in!N7/SER_hh_num_in!N7)</f>
        <v>16244.244768564809</v>
      </c>
      <c r="O7" s="133">
        <f>IF(SER_hh_emi_in!O7=0,0,1000000*SER_hh_emi_in!O7/SER_hh_num_in!O7)</f>
        <v>11590.970495406873</v>
      </c>
      <c r="P7" s="133">
        <f>IF(SER_hh_emi_in!P7=0,0,1000000*SER_hh_emi_in!P7/SER_hh_num_in!P7)</f>
        <v>6617.8747587022553</v>
      </c>
      <c r="Q7" s="133">
        <f>IF(SER_hh_emi_in!Q7=0,0,1000000*SER_hh_emi_in!Q7/SER_hh_num_in!Q7)</f>
        <v>17622.799126150425</v>
      </c>
      <c r="R7" s="133">
        <f>IF(SER_hh_emi_in!R7=0,0,1000000*SER_hh_emi_in!R7/SER_hh_num_in!R7)</f>
        <v>15801.65356612785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14309.348393593249</v>
      </c>
      <c r="D9" s="133">
        <f>IF(SER_hh_emi_in!D9=0,0,1000000*SER_hh_emi_in!D9/SER_hh_num_in!D9)</f>
        <v>11893.764460127728</v>
      </c>
      <c r="E9" s="133">
        <f>IF(SER_hh_emi_in!E9=0,0,1000000*SER_hh_emi_in!E9/SER_hh_num_in!E9)</f>
        <v>13132.174281810654</v>
      </c>
      <c r="F9" s="133">
        <f>IF(SER_hh_emi_in!F9=0,0,1000000*SER_hh_emi_in!F9/SER_hh_num_in!F9)</f>
        <v>10027.276608558737</v>
      </c>
      <c r="G9" s="133">
        <f>IF(SER_hh_emi_in!G9=0,0,1000000*SER_hh_emi_in!G9/SER_hh_num_in!G9)</f>
        <v>12518.245394518222</v>
      </c>
      <c r="H9" s="133">
        <f>IF(SER_hh_emi_in!H9=0,0,1000000*SER_hh_emi_in!H9/SER_hh_num_in!H9)</f>
        <v>15613.50251059487</v>
      </c>
      <c r="I9" s="133">
        <f>IF(SER_hh_emi_in!I9=0,0,1000000*SER_hh_emi_in!I9/SER_hh_num_in!I9)</f>
        <v>13712.758177485122</v>
      </c>
      <c r="J9" s="133">
        <f>IF(SER_hh_emi_in!J9=0,0,1000000*SER_hh_emi_in!J9/SER_hh_num_in!J9)</f>
        <v>15757.859263517039</v>
      </c>
      <c r="K9" s="133">
        <f>IF(SER_hh_emi_in!K9=0,0,1000000*SER_hh_emi_in!K9/SER_hh_num_in!K9)</f>
        <v>9666.8015846233357</v>
      </c>
      <c r="L9" s="133">
        <f>IF(SER_hh_emi_in!L9=0,0,1000000*SER_hh_emi_in!L9/SER_hh_num_in!L9)</f>
        <v>12744.348941922117</v>
      </c>
      <c r="M9" s="133">
        <f>IF(SER_hh_emi_in!M9=0,0,1000000*SER_hh_emi_in!M9/SER_hh_num_in!M9)</f>
        <v>12709.383437484375</v>
      </c>
      <c r="N9" s="133">
        <f>IF(SER_hh_emi_in!N9=0,0,1000000*SER_hh_emi_in!N9/SER_hh_num_in!N9)</f>
        <v>10919.134952630602</v>
      </c>
      <c r="O9" s="133">
        <f>IF(SER_hh_emi_in!O9=0,0,1000000*SER_hh_emi_in!O9/SER_hh_num_in!O9)</f>
        <v>8964.0542193038855</v>
      </c>
      <c r="P9" s="133">
        <f>IF(SER_hh_emi_in!P9=0,0,1000000*SER_hh_emi_in!P9/SER_hh_num_in!P9)</f>
        <v>8708.0734595190188</v>
      </c>
      <c r="Q9" s="133">
        <f>IF(SER_hh_emi_in!Q9=0,0,1000000*SER_hh_emi_in!Q9/SER_hh_num_in!Q9)</f>
        <v>9008.6718656140129</v>
      </c>
      <c r="R9" s="133">
        <f>IF(SER_hh_emi_in!R9=0,0,1000000*SER_hh_emi_in!R9/SER_hh_num_in!R9)</f>
        <v>8805.3319106826511</v>
      </c>
      <c r="S9" s="133">
        <f>IF(SER_hh_emi_in!S9=0,0,1000000*SER_hh_emi_in!S9/SER_hh_num_in!S9)</f>
        <v>8922.7927992070636</v>
      </c>
      <c r="T9" s="133">
        <f>IF(SER_hh_emi_in!T9=0,0,1000000*SER_hh_emi_in!T9/SER_hh_num_in!T9)</f>
        <v>9124.9627912769738</v>
      </c>
      <c r="U9" s="133">
        <f>IF(SER_hh_emi_in!U9=0,0,1000000*SER_hh_emi_in!U9/SER_hh_num_in!U9)</f>
        <v>7711.4969205727712</v>
      </c>
      <c r="V9" s="133">
        <f>IF(SER_hh_emi_in!V9=0,0,1000000*SER_hh_emi_in!V9/SER_hh_num_in!V9)</f>
        <v>7140.1153631493507</v>
      </c>
      <c r="W9" s="133">
        <f>IF(SER_hh_emi_in!W9=0,0,1000000*SER_hh_emi_in!W9/SER_hh_num_in!W9)</f>
        <v>8119.3158579969358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622.02013448648711</v>
      </c>
      <c r="D19" s="131">
        <f>IF(SER_hh_emi_in!D19=0,0,1000000*SER_hh_emi_in!D19/SER_hh_num_in!D19)</f>
        <v>640.84818367165724</v>
      </c>
      <c r="E19" s="131">
        <f>IF(SER_hh_emi_in!E19=0,0,1000000*SER_hh_emi_in!E19/SER_hh_num_in!E19)</f>
        <v>582.5878805453699</v>
      </c>
      <c r="F19" s="131">
        <f>IF(SER_hh_emi_in!F19=0,0,1000000*SER_hh_emi_in!F19/SER_hh_num_in!F19)</f>
        <v>613.17729008923914</v>
      </c>
      <c r="G19" s="131">
        <f>IF(SER_hh_emi_in!G19=0,0,1000000*SER_hh_emi_in!G19/SER_hh_num_in!G19)</f>
        <v>713.35897633753348</v>
      </c>
      <c r="H19" s="131">
        <f>IF(SER_hh_emi_in!H19=0,0,1000000*SER_hh_emi_in!H19/SER_hh_num_in!H19)</f>
        <v>866.14652054501676</v>
      </c>
      <c r="I19" s="131">
        <f>IF(SER_hh_emi_in!I19=0,0,1000000*SER_hh_emi_in!I19/SER_hh_num_in!I19)</f>
        <v>1011.6997530826831</v>
      </c>
      <c r="J19" s="131">
        <f>IF(SER_hh_emi_in!J19=0,0,1000000*SER_hh_emi_in!J19/SER_hh_num_in!J19)</f>
        <v>887.11231019012564</v>
      </c>
      <c r="K19" s="131">
        <f>IF(SER_hh_emi_in!K19=0,0,1000000*SER_hh_emi_in!K19/SER_hh_num_in!K19)</f>
        <v>831.33495485511446</v>
      </c>
      <c r="L19" s="131">
        <f>IF(SER_hh_emi_in!L19=0,0,1000000*SER_hh_emi_in!L19/SER_hh_num_in!L19)</f>
        <v>275.16523962611399</v>
      </c>
      <c r="M19" s="131">
        <f>IF(SER_hh_emi_in!M19=0,0,1000000*SER_hh_emi_in!M19/SER_hh_num_in!M19)</f>
        <v>413.51591647248205</v>
      </c>
      <c r="N19" s="131">
        <f>IF(SER_hh_emi_in!N19=0,0,1000000*SER_hh_emi_in!N19/SER_hh_num_in!N19)</f>
        <v>387.30580048818103</v>
      </c>
      <c r="O19" s="131">
        <f>IF(SER_hh_emi_in!O19=0,0,1000000*SER_hh_emi_in!O19/SER_hh_num_in!O19)</f>
        <v>222.21797729284975</v>
      </c>
      <c r="P19" s="131">
        <f>IF(SER_hh_emi_in!P19=0,0,1000000*SER_hh_emi_in!P19/SER_hh_num_in!P19)</f>
        <v>449.8468769467018</v>
      </c>
      <c r="Q19" s="131">
        <f>IF(SER_hh_emi_in!Q19=0,0,1000000*SER_hh_emi_in!Q19/SER_hh_num_in!Q19)</f>
        <v>376.63050908591003</v>
      </c>
      <c r="R19" s="131">
        <f>IF(SER_hh_emi_in!R19=0,0,1000000*SER_hh_emi_in!R19/SER_hh_num_in!R19)</f>
        <v>403.2700427834252</v>
      </c>
      <c r="S19" s="131">
        <f>IF(SER_hh_emi_in!S19=0,0,1000000*SER_hh_emi_in!S19/SER_hh_num_in!S19)</f>
        <v>423.57704946821906</v>
      </c>
      <c r="T19" s="131">
        <f>IF(SER_hh_emi_in!T19=0,0,1000000*SER_hh_emi_in!T19/SER_hh_num_in!T19)</f>
        <v>455.47667373895035</v>
      </c>
      <c r="U19" s="131">
        <f>IF(SER_hh_emi_in!U19=0,0,1000000*SER_hh_emi_in!U19/SER_hh_num_in!U19)</f>
        <v>434.38246285908281</v>
      </c>
      <c r="V19" s="131">
        <f>IF(SER_hh_emi_in!V19=0,0,1000000*SER_hh_emi_in!V19/SER_hh_num_in!V19)</f>
        <v>250.02545407357155</v>
      </c>
      <c r="W19" s="131">
        <f>IF(SER_hh_emi_in!W19=0,0,1000000*SER_hh_emi_in!W19/SER_hh_num_in!W19)</f>
        <v>361.91999487314592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5534.3387491091062</v>
      </c>
      <c r="D22" s="133">
        <f>IF(SER_hh_emi_in!D22=0,0,1000000*SER_hh_emi_in!D22/SER_hh_num_in!D22)</f>
        <v>5541.8969068895804</v>
      </c>
      <c r="E22" s="133">
        <f>IF(SER_hh_emi_in!E22=0,0,1000000*SER_hh_emi_in!E22/SER_hh_num_in!E22)</f>
        <v>5418.6097914482989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5014.6662490717317</v>
      </c>
      <c r="I22" s="133">
        <f>IF(SER_hh_emi_in!I22=0,0,1000000*SER_hh_emi_in!I22/SER_hh_num_in!I22)</f>
        <v>5051.6021209598857</v>
      </c>
      <c r="J22" s="133">
        <f>IF(SER_hh_emi_in!J22=0,0,1000000*SER_hh_emi_in!J22/SER_hh_num_in!J22)</f>
        <v>5128.4619433862681</v>
      </c>
      <c r="K22" s="133">
        <f>IF(SER_hh_emi_in!K22=0,0,1000000*SER_hh_emi_in!K22/SER_hh_num_in!K22)</f>
        <v>5116.2864281060274</v>
      </c>
      <c r="L22" s="133">
        <f>IF(SER_hh_emi_in!L22=0,0,1000000*SER_hh_emi_in!L22/SER_hh_num_in!L22)</f>
        <v>2571.1859533795387</v>
      </c>
      <c r="M22" s="133">
        <f>IF(SER_hh_emi_in!M22=0,0,1000000*SER_hh_emi_in!M22/SER_hh_num_in!M22)</f>
        <v>5124.3640465580993</v>
      </c>
      <c r="N22" s="133">
        <f>IF(SER_hh_emi_in!N22=0,0,1000000*SER_hh_emi_in!N22/SER_hh_num_in!N22)</f>
        <v>5432.9248634519481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3714.2641303481851</v>
      </c>
      <c r="D23" s="133">
        <f>IF(SER_hh_emi_in!D23=0,0,1000000*SER_hh_emi_in!D23/SER_hh_num_in!D23)</f>
        <v>3289.6329652592526</v>
      </c>
      <c r="E23" s="133">
        <f>IF(SER_hh_emi_in!E23=0,0,1000000*SER_hh_emi_in!E23/SER_hh_num_in!E23)</f>
        <v>3433.8137819613494</v>
      </c>
      <c r="F23" s="133">
        <f>IF(SER_hh_emi_in!F23=0,0,1000000*SER_hh_emi_in!F23/SER_hh_num_in!F23)</f>
        <v>3338.7757304128595</v>
      </c>
      <c r="G23" s="133">
        <f>IF(SER_hh_emi_in!G23=0,0,1000000*SER_hh_emi_in!G23/SER_hh_num_in!G23)</f>
        <v>3226.257749265757</v>
      </c>
      <c r="H23" s="133">
        <f>IF(SER_hh_emi_in!H23=0,0,1000000*SER_hh_emi_in!H23/SER_hh_num_in!H23)</f>
        <v>3309.9120100817208</v>
      </c>
      <c r="I23" s="133">
        <f>IF(SER_hh_emi_in!I23=0,0,1000000*SER_hh_emi_in!I23/SER_hh_num_in!I23)</f>
        <v>3456.5787768017085</v>
      </c>
      <c r="J23" s="133">
        <f>IF(SER_hh_emi_in!J23=0,0,1000000*SER_hh_emi_in!J23/SER_hh_num_in!J23)</f>
        <v>3376.5217713082038</v>
      </c>
      <c r="K23" s="133">
        <f>IF(SER_hh_emi_in!K23=0,0,1000000*SER_hh_emi_in!K23/SER_hh_num_in!K23)</f>
        <v>3357.91327287997</v>
      </c>
      <c r="L23" s="133">
        <f>IF(SER_hh_emi_in!L23=0,0,1000000*SER_hh_emi_in!L23/SER_hh_num_in!L23)</f>
        <v>1517.2172224281233</v>
      </c>
      <c r="M23" s="133">
        <f>IF(SER_hh_emi_in!M23=0,0,1000000*SER_hh_emi_in!M23/SER_hh_num_in!M23)</f>
        <v>3012.1319261474077</v>
      </c>
      <c r="N23" s="133">
        <f>IF(SER_hh_emi_in!N23=0,0,1000000*SER_hh_emi_in!N23/SER_hh_num_in!N23)</f>
        <v>3170.4218693358407</v>
      </c>
      <c r="O23" s="133">
        <f>IF(SER_hh_emi_in!O23=0,0,1000000*SER_hh_emi_in!O23/SER_hh_num_in!O23)</f>
        <v>2372.4953048715256</v>
      </c>
      <c r="P23" s="133">
        <f>IF(SER_hh_emi_in!P23=0,0,1000000*SER_hh_emi_in!P23/SER_hh_num_in!P23)</f>
        <v>3084.7568731419005</v>
      </c>
      <c r="Q23" s="133">
        <f>IF(SER_hh_emi_in!Q23=0,0,1000000*SER_hh_emi_in!Q23/SER_hh_num_in!Q23)</f>
        <v>2724.5593567970586</v>
      </c>
      <c r="R23" s="133">
        <f>IF(SER_hh_emi_in!R23=0,0,1000000*SER_hh_emi_in!R23/SER_hh_num_in!R23)</f>
        <v>2636.5943165704653</v>
      </c>
      <c r="S23" s="133">
        <f>IF(SER_hh_emi_in!S23=0,0,1000000*SER_hh_emi_in!S23/SER_hh_num_in!S23)</f>
        <v>2751.6443176087919</v>
      </c>
      <c r="T23" s="133">
        <f>IF(SER_hh_emi_in!T23=0,0,1000000*SER_hh_emi_in!T23/SER_hh_num_in!T23)</f>
        <v>2860.9999230791336</v>
      </c>
      <c r="U23" s="133">
        <f>IF(SER_hh_emi_in!U23=0,0,1000000*SER_hh_emi_in!U23/SER_hh_num_in!U23)</f>
        <v>2896.3580923115642</v>
      </c>
      <c r="V23" s="133">
        <f>IF(SER_hh_emi_in!V23=0,0,1000000*SER_hh_emi_in!V23/SER_hh_num_in!V23)</f>
        <v>1913.5641398133573</v>
      </c>
      <c r="W23" s="133">
        <f>IF(SER_hh_emi_in!W23=0,0,1000000*SER_hh_emi_in!W23/SER_hh_num_in!W23)</f>
        <v>2673.399636506982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358.72907701005715</v>
      </c>
      <c r="D29" s="131">
        <f>IF(SER_hh_emi_in!D29=0,0,1000000*SER_hh_emi_in!D29/SER_hh_num_in!D29)</f>
        <v>364.39205668511937</v>
      </c>
      <c r="E29" s="131">
        <f>IF(SER_hh_emi_in!E29=0,0,1000000*SER_hh_emi_in!E29/SER_hh_num_in!E29)</f>
        <v>433.7545723593131</v>
      </c>
      <c r="F29" s="131">
        <f>IF(SER_hh_emi_in!F29=0,0,1000000*SER_hh_emi_in!F29/SER_hh_num_in!F29)</f>
        <v>541.62154711068126</v>
      </c>
      <c r="G29" s="131">
        <f>IF(SER_hh_emi_in!G29=0,0,1000000*SER_hh_emi_in!G29/SER_hh_num_in!G29)</f>
        <v>527.66540203058594</v>
      </c>
      <c r="H29" s="131">
        <f>IF(SER_hh_emi_in!H29=0,0,1000000*SER_hh_emi_in!H29/SER_hh_num_in!H29)</f>
        <v>700.97048712218293</v>
      </c>
      <c r="I29" s="131">
        <f>IF(SER_hh_emi_in!I29=0,0,1000000*SER_hh_emi_in!I29/SER_hh_num_in!I29)</f>
        <v>543.92016650279629</v>
      </c>
      <c r="J29" s="131">
        <f>IF(SER_hh_emi_in!J29=0,0,1000000*SER_hh_emi_in!J29/SER_hh_num_in!J29)</f>
        <v>372.40511501992353</v>
      </c>
      <c r="K29" s="131">
        <f>IF(SER_hh_emi_in!K29=0,0,1000000*SER_hh_emi_in!K29/SER_hh_num_in!K29)</f>
        <v>260.96180954562618</v>
      </c>
      <c r="L29" s="131">
        <f>IF(SER_hh_emi_in!L29=0,0,1000000*SER_hh_emi_in!L29/SER_hh_num_in!L29)</f>
        <v>1886.9104809612083</v>
      </c>
      <c r="M29" s="131">
        <f>IF(SER_hh_emi_in!M29=0,0,1000000*SER_hh_emi_in!M29/SER_hh_num_in!M29)</f>
        <v>801.27034425317447</v>
      </c>
      <c r="N29" s="131">
        <f>IF(SER_hh_emi_in!N29=0,0,1000000*SER_hh_emi_in!N29/SER_hh_num_in!N29)</f>
        <v>915.59237083673099</v>
      </c>
      <c r="O29" s="131">
        <f>IF(SER_hh_emi_in!O29=0,0,1000000*SER_hh_emi_in!O29/SER_hh_num_in!O29)</f>
        <v>500.39973293358253</v>
      </c>
      <c r="P29" s="131">
        <f>IF(SER_hh_emi_in!P29=0,0,1000000*SER_hh_emi_in!P29/SER_hh_num_in!P29)</f>
        <v>495.5384162393604</v>
      </c>
      <c r="Q29" s="131">
        <f>IF(SER_hh_emi_in!Q29=0,0,1000000*SER_hh_emi_in!Q29/SER_hh_num_in!Q29)</f>
        <v>449.29706208213753</v>
      </c>
      <c r="R29" s="131">
        <f>IF(SER_hh_emi_in!R29=0,0,1000000*SER_hh_emi_in!R29/SER_hh_num_in!R29)</f>
        <v>462.64540589547988</v>
      </c>
      <c r="S29" s="131">
        <f>IF(SER_hh_emi_in!S29=0,0,1000000*SER_hh_emi_in!S29/SER_hh_num_in!S29)</f>
        <v>560.31863796156267</v>
      </c>
      <c r="T29" s="131">
        <f>IF(SER_hh_emi_in!T29=0,0,1000000*SER_hh_emi_in!T29/SER_hh_num_in!T29)</f>
        <v>670.97151302933162</v>
      </c>
      <c r="U29" s="131">
        <f>IF(SER_hh_emi_in!U29=0,0,1000000*SER_hh_emi_in!U29/SER_hh_num_in!U29)</f>
        <v>568.18904033000126</v>
      </c>
      <c r="V29" s="131">
        <f>IF(SER_hh_emi_in!V29=0,0,1000000*SER_hh_emi_in!V29/SER_hh_num_in!V29)</f>
        <v>455.92734576578852</v>
      </c>
      <c r="W29" s="131">
        <f>IF(SER_hh_emi_in!W29=0,0,1000000*SER_hh_emi_in!W29/SER_hh_num_in!W29)</f>
        <v>761.34949203407848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9472.2450907050516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5479.6263341345839</v>
      </c>
      <c r="M30" s="133">
        <f>IF(SER_hh_emi_in!M30=0,0,1000000*SER_hh_emi_in!M30/SER_hh_num_in!M30)</f>
        <v>5090.6396482835489</v>
      </c>
      <c r="N30" s="133">
        <f>IF(SER_hh_emi_in!N30=0,0,1000000*SER_hh_emi_in!N30/SER_hh_num_in!N30)</f>
        <v>8054.9654773781795</v>
      </c>
      <c r="O30" s="133">
        <f>IF(SER_hh_emi_in!O30=0,0,1000000*SER_hh_emi_in!O30/SER_hh_num_in!O30)</f>
        <v>5767.2946528513794</v>
      </c>
      <c r="P30" s="133">
        <f>IF(SER_hh_emi_in!P30=0,0,1000000*SER_hh_emi_in!P30/SER_hh_num_in!P30)</f>
        <v>3626.2548394840787</v>
      </c>
      <c r="Q30" s="133">
        <f>IF(SER_hh_emi_in!Q30=0,0,1000000*SER_hh_emi_in!Q30/SER_hh_num_in!Q30)</f>
        <v>3663.0406279346112</v>
      </c>
      <c r="R30" s="133">
        <f>IF(SER_hh_emi_in!R30=0,0,1000000*SER_hh_emi_in!R30/SER_hh_num_in!R30)</f>
        <v>4284.6924147443297</v>
      </c>
      <c r="S30" s="133">
        <f>IF(SER_hh_emi_in!S30=0,0,1000000*SER_hh_emi_in!S30/SER_hh_num_in!S30)</f>
        <v>5060.1447194911461</v>
      </c>
      <c r="T30" s="133">
        <f>IF(SER_hh_emi_in!T30=0,0,1000000*SER_hh_emi_in!T30/SER_hh_num_in!T30)</f>
        <v>5444.4340040594334</v>
      </c>
      <c r="U30" s="133">
        <f>IF(SER_hh_emi_in!U30=0,0,1000000*SER_hh_emi_in!U30/SER_hh_num_in!U30)</f>
        <v>5272.3856808158507</v>
      </c>
      <c r="V30" s="133">
        <f>IF(SER_hh_emi_in!V30=0,0,1000000*SER_hh_emi_in!V30/SER_hh_num_in!V30)</f>
        <v>4285.5117639552936</v>
      </c>
      <c r="W30" s="133">
        <f>IF(SER_hh_emi_in!W30=0,0,1000000*SER_hh_emi_in!W30/SER_hh_num_in!W30)</f>
        <v>4999.8229566238761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4074.4449190646283</v>
      </c>
      <c r="D31" s="133">
        <f>IF(SER_hh_emi_in!D31=0,0,1000000*SER_hh_emi_in!D31/SER_hh_num_in!D31)</f>
        <v>3749.8816908781955</v>
      </c>
      <c r="E31" s="133">
        <f>IF(SER_hh_emi_in!E31=0,0,1000000*SER_hh_emi_in!E31/SER_hh_num_in!E31)</f>
        <v>3929.3621684735981</v>
      </c>
      <c r="F31" s="133">
        <f>IF(SER_hh_emi_in!F31=0,0,1000000*SER_hh_emi_in!F31/SER_hh_num_in!F31)</f>
        <v>3969.7186403092383</v>
      </c>
      <c r="G31" s="133">
        <f>IF(SER_hh_emi_in!G31=0,0,1000000*SER_hh_emi_in!G31/SER_hh_num_in!G31)</f>
        <v>3634.6783014649823</v>
      </c>
      <c r="H31" s="133">
        <f>IF(SER_hh_emi_in!H31=0,0,1000000*SER_hh_emi_in!H31/SER_hh_num_in!H31)</f>
        <v>4013.5459262533373</v>
      </c>
      <c r="I31" s="133">
        <f>IF(SER_hh_emi_in!I31=0,0,1000000*SER_hh_emi_in!I31/SER_hh_num_in!I31)</f>
        <v>4057.8846397896446</v>
      </c>
      <c r="J31" s="133">
        <f>IF(SER_hh_emi_in!J31=0,0,1000000*SER_hh_emi_in!J31/SER_hh_num_in!J31)</f>
        <v>4023.0918263347926</v>
      </c>
      <c r="K31" s="133">
        <f>IF(SER_hh_emi_in!K31=0,0,1000000*SER_hh_emi_in!K31/SER_hh_num_in!K31)</f>
        <v>3994.4814467667534</v>
      </c>
      <c r="L31" s="133">
        <f>IF(SER_hh_emi_in!L31=0,0,1000000*SER_hh_emi_in!L31/SER_hh_num_in!L31)</f>
        <v>4038.4949051515741</v>
      </c>
      <c r="M31" s="133">
        <f>IF(SER_hh_emi_in!M31=0,0,1000000*SER_hh_emi_in!M31/SER_hh_num_in!M31)</f>
        <v>4067.762246761843</v>
      </c>
      <c r="N31" s="133">
        <f>IF(SER_hh_emi_in!N31=0,0,1000000*SER_hh_emi_in!N31/SER_hh_num_in!N31)</f>
        <v>4220.2108589025902</v>
      </c>
      <c r="O31" s="133">
        <f>IF(SER_hh_emi_in!O31=0,0,1000000*SER_hh_emi_in!O31/SER_hh_num_in!O31)</f>
        <v>4250.3112488664974</v>
      </c>
      <c r="P31" s="133">
        <f>IF(SER_hh_emi_in!P31=0,0,1000000*SER_hh_emi_in!P31/SER_hh_num_in!P31)</f>
        <v>4249.2940293420888</v>
      </c>
      <c r="Q31" s="133">
        <f>IF(SER_hh_emi_in!Q31=0,0,1000000*SER_hh_emi_in!Q31/SER_hh_num_in!Q31)</f>
        <v>4135.9817166307339</v>
      </c>
      <c r="R31" s="133">
        <f>IF(SER_hh_emi_in!R31=0,0,1000000*SER_hh_emi_in!R31/SER_hh_num_in!R31)</f>
        <v>3975.3815486197168</v>
      </c>
      <c r="S31" s="133">
        <f>IF(SER_hh_emi_in!S31=0,0,1000000*SER_hh_emi_in!S31/SER_hh_num_in!S31)</f>
        <v>4285.7169638351843</v>
      </c>
      <c r="T31" s="133">
        <f>IF(SER_hh_emi_in!T31=0,0,1000000*SER_hh_emi_in!T31/SER_hh_num_in!T31)</f>
        <v>4334.6200561253136</v>
      </c>
      <c r="U31" s="133">
        <f>IF(SER_hh_emi_in!U31=0,0,1000000*SER_hh_emi_in!U31/SER_hh_num_in!U31)</f>
        <v>4303.2188699873577</v>
      </c>
      <c r="V31" s="133">
        <f>IF(SER_hh_emi_in!V31=0,0,1000000*SER_hh_emi_in!V31/SER_hh_num_in!V31)</f>
        <v>3693.6922136596395</v>
      </c>
      <c r="W31" s="133">
        <f>IF(SER_hh_emi_in!W31=0,0,1000000*SER_hh_emi_in!W31/SER_hh_num_in!W31)</f>
        <v>4187.4332689487828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104.25046794115795</v>
      </c>
      <c r="D3" s="126">
        <f>IF(SER_hh_fech_in!D3=0,0,SER_hh_fech_in!D3/SER_summary!D$27)</f>
        <v>86.056582999533489</v>
      </c>
      <c r="E3" s="126">
        <f>IF(SER_hh_fech_in!E3=0,0,SER_hh_fech_in!E3/SER_summary!E$27)</f>
        <v>90.231429568913995</v>
      </c>
      <c r="F3" s="126">
        <f>IF(SER_hh_fech_in!F3=0,0,SER_hh_fech_in!F3/SER_summary!F$27)</f>
        <v>77.908314479591937</v>
      </c>
      <c r="G3" s="126">
        <f>IF(SER_hh_fech_in!G3=0,0,SER_hh_fech_in!G3/SER_summary!G$27)</f>
        <v>104.2139238855281</v>
      </c>
      <c r="H3" s="126">
        <f>IF(SER_hh_fech_in!H3=0,0,SER_hh_fech_in!H3/SER_summary!H$27)</f>
        <v>100.73903909200723</v>
      </c>
      <c r="I3" s="126">
        <f>IF(SER_hh_fech_in!I3=0,0,SER_hh_fech_in!I3/SER_summary!I$27)</f>
        <v>93.337579273544407</v>
      </c>
      <c r="J3" s="126">
        <f>IF(SER_hh_fech_in!J3=0,0,SER_hh_fech_in!J3/SER_summary!J$27)</f>
        <v>92.509059884331677</v>
      </c>
      <c r="K3" s="126">
        <f>IF(SER_hh_fech_in!K3=0,0,SER_hh_fech_in!K3/SER_summary!K$27)</f>
        <v>85.515849899898626</v>
      </c>
      <c r="L3" s="126">
        <f>IF(SER_hh_fech_in!L3=0,0,SER_hh_fech_in!L3/SER_summary!L$27)</f>
        <v>94.183247190358045</v>
      </c>
      <c r="M3" s="126">
        <f>IF(SER_hh_fech_in!M3=0,0,SER_hh_fech_in!M3/SER_summary!M$27)</f>
        <v>83.970631665645897</v>
      </c>
      <c r="N3" s="126">
        <f>IF(SER_hh_fech_in!N3=0,0,SER_hh_fech_in!N3/SER_summary!N$27)</f>
        <v>89.261136737159262</v>
      </c>
      <c r="O3" s="126">
        <f>IF(SER_hh_fech_in!O3=0,0,SER_hh_fech_in!O3/SER_summary!O$27)</f>
        <v>65.013560294539261</v>
      </c>
      <c r="P3" s="126">
        <f>IF(SER_hh_fech_in!P3=0,0,SER_hh_fech_in!P3/SER_summary!P$27)</f>
        <v>61.627684491386297</v>
      </c>
      <c r="Q3" s="126">
        <f>IF(SER_hh_fech_in!Q3=0,0,SER_hh_fech_in!Q3/SER_summary!Q$27)</f>
        <v>75.472368203856092</v>
      </c>
      <c r="R3" s="126">
        <f>IF(SER_hh_fech_in!R3=0,0,SER_hh_fech_in!R3/SER_summary!R$27)</f>
        <v>74.244773432856704</v>
      </c>
      <c r="S3" s="126">
        <f>IF(SER_hh_fech_in!S3=0,0,SER_hh_fech_in!S3/SER_summary!S$27)</f>
        <v>82.135777902116587</v>
      </c>
      <c r="T3" s="126">
        <f>IF(SER_hh_fech_in!T3=0,0,SER_hh_fech_in!T3/SER_summary!T$27)</f>
        <v>82.828944652117457</v>
      </c>
      <c r="U3" s="126">
        <f>IF(SER_hh_fech_in!U3=0,0,SER_hh_fech_in!U3/SER_summary!U$27)</f>
        <v>72.802880951221596</v>
      </c>
      <c r="V3" s="126">
        <f>IF(SER_hh_fech_in!V3=0,0,SER_hh_fech_in!V3/SER_summary!V$27)</f>
        <v>57.134775383403984</v>
      </c>
      <c r="W3" s="126">
        <f>IF(SER_hh_fech_in!W3=0,0,SER_hh_fech_in!W3/SER_summary!W$27)</f>
        <v>70.34563709819254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56.215682672015483</v>
      </c>
      <c r="D4" s="131">
        <f>IF(SER_hh_fech_in!D4=0,0,SER_hh_fech_in!D4/SER_summary!D$27)</f>
        <v>44.848056437726484</v>
      </c>
      <c r="E4" s="131">
        <f>IF(SER_hh_fech_in!E4=0,0,SER_hh_fech_in!E4/SER_summary!E$27)</f>
        <v>47.993081277588736</v>
      </c>
      <c r="F4" s="131">
        <f>IF(SER_hh_fech_in!F4=0,0,SER_hh_fech_in!F4/SER_summary!F$27)</f>
        <v>36.609345983498564</v>
      </c>
      <c r="G4" s="131">
        <f>IF(SER_hh_fech_in!G4=0,0,SER_hh_fech_in!G4/SER_summary!G$27)</f>
        <v>64.429370790910312</v>
      </c>
      <c r="H4" s="131">
        <f>IF(SER_hh_fech_in!H4=0,0,SER_hh_fech_in!H4/SER_summary!H$27)</f>
        <v>58.805616005216017</v>
      </c>
      <c r="I4" s="131">
        <f>IF(SER_hh_fech_in!I4=0,0,SER_hh_fech_in!I4/SER_summary!I$27)</f>
        <v>43.677965148594225</v>
      </c>
      <c r="J4" s="131">
        <f>IF(SER_hh_fech_in!J4=0,0,SER_hh_fech_in!J4/SER_summary!J$27)</f>
        <v>46.644231563680272</v>
      </c>
      <c r="K4" s="131">
        <f>IF(SER_hh_fech_in!K4=0,0,SER_hh_fech_in!K4/SER_summary!K$27)</f>
        <v>43.153767977905339</v>
      </c>
      <c r="L4" s="131">
        <f>IF(SER_hh_fech_in!L4=0,0,SER_hh_fech_in!L4/SER_summary!L$27)</f>
        <v>50.663665483663216</v>
      </c>
      <c r="M4" s="131">
        <f>IF(SER_hh_fech_in!M4=0,0,SER_hh_fech_in!M4/SER_summary!M$27)</f>
        <v>44.127117781460072</v>
      </c>
      <c r="N4" s="131">
        <f>IF(SER_hh_fech_in!N4=0,0,SER_hh_fech_in!N4/SER_summary!N$27)</f>
        <v>40.597446061587092</v>
      </c>
      <c r="O4" s="131">
        <f>IF(SER_hh_fech_in!O4=0,0,SER_hh_fech_in!O4/SER_summary!O$27)</f>
        <v>26.328234070760043</v>
      </c>
      <c r="P4" s="131">
        <f>IF(SER_hh_fech_in!P4=0,0,SER_hh_fech_in!P4/SER_summary!P$27)</f>
        <v>22.919908288715398</v>
      </c>
      <c r="Q4" s="131">
        <f>IF(SER_hh_fech_in!Q4=0,0,SER_hh_fech_in!Q4/SER_summary!Q$27)</f>
        <v>35.616615419497791</v>
      </c>
      <c r="R4" s="131">
        <f>IF(SER_hh_fech_in!R4=0,0,SER_hh_fech_in!R4/SER_summary!R$27)</f>
        <v>35.232011293027476</v>
      </c>
      <c r="S4" s="131">
        <f>IF(SER_hh_fech_in!S4=0,0,SER_hh_fech_in!S4/SER_summary!S$27)</f>
        <v>41.575602335522206</v>
      </c>
      <c r="T4" s="131">
        <f>IF(SER_hh_fech_in!T4=0,0,SER_hh_fech_in!T4/SER_summary!T$27)</f>
        <v>42.440887233731004</v>
      </c>
      <c r="U4" s="131">
        <f>IF(SER_hh_fech_in!U4=0,0,SER_hh_fech_in!U4/SER_summary!U$27)</f>
        <v>33.01696863093678</v>
      </c>
      <c r="V4" s="131">
        <f>IF(SER_hh_fech_in!V4=0,0,SER_hh_fech_in!V4/SER_summary!V$27)</f>
        <v>22.753746471366767</v>
      </c>
      <c r="W4" s="131">
        <f>IF(SER_hh_fech_in!W4=0,0,SER_hh_fech_in!W4/SER_summary!W$27)</f>
        <v>32.291377220974162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61.635856487280627</v>
      </c>
      <c r="D5" s="133">
        <f>IF(SER_hh_fech_in!D5=0,0,SER_hh_fech_in!D5/SER_summary!D$27)</f>
        <v>74.641113590956351</v>
      </c>
      <c r="E5" s="133">
        <f>IF(SER_hh_fech_in!E5=0,0,SER_hh_fech_in!E5/SER_summary!E$27)</f>
        <v>80.554738991673403</v>
      </c>
      <c r="F5" s="133">
        <f>IF(SER_hh_fech_in!F5=0,0,SER_hh_fech_in!F5/SER_summary!F$27)</f>
        <v>54.988696676026208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77.004998676796106</v>
      </c>
      <c r="K5" s="133">
        <f>IF(SER_hh_fech_in!K5=0,0,SER_hh_fech_in!K5/SER_summary!K$27)</f>
        <v>63.998992620184005</v>
      </c>
      <c r="L5" s="133">
        <f>IF(SER_hh_fech_in!L5=0,0,SER_hh_fech_in!L5/SER_summary!L$27)</f>
        <v>60.529026539406196</v>
      </c>
      <c r="M5" s="133">
        <f>IF(SER_hh_fech_in!M5=0,0,SER_hh_fech_in!M5/SER_summary!M$27)</f>
        <v>66.342592283903727</v>
      </c>
      <c r="N5" s="133">
        <f>IF(SER_hh_fech_in!N5=0,0,SER_hh_fech_in!N5/SER_summary!N$27)</f>
        <v>49.04462485707667</v>
      </c>
      <c r="O5" s="133">
        <f>IF(SER_hh_fech_in!O5=0,0,SER_hh_fech_in!O5/SER_summary!O$27)</f>
        <v>63.322983428273638</v>
      </c>
      <c r="P5" s="133">
        <f>IF(SER_hh_fech_in!P5=0,0,SER_hh_fech_in!P5/SER_summary!P$27)</f>
        <v>27.79528085769044</v>
      </c>
      <c r="Q5" s="133">
        <f>IF(SER_hh_fech_in!Q5=0,0,SER_hh_fech_in!Q5/SER_summary!Q$27)</f>
        <v>69.494291953818873</v>
      </c>
      <c r="R5" s="133">
        <f>IF(SER_hh_fech_in!R5=0,0,SER_hh_fech_in!R5/SER_summary!R$27)</f>
        <v>73.403560526795161</v>
      </c>
      <c r="S5" s="133">
        <f>IF(SER_hh_fech_in!S5=0,0,SER_hh_fech_in!S5/SER_summary!S$27)</f>
        <v>50.11097004986938</v>
      </c>
      <c r="T5" s="133">
        <f>IF(SER_hh_fech_in!T5=0,0,SER_hh_fech_in!T5/SER_summary!T$27)</f>
        <v>35.549155375171416</v>
      </c>
      <c r="U5" s="133">
        <f>IF(SER_hh_fech_in!U5=0,0,SER_hh_fech_in!U5/SER_summary!U$27)</f>
        <v>53.748672102658546</v>
      </c>
      <c r="V5" s="133">
        <f>IF(SER_hh_fech_in!V5=0,0,SER_hh_fech_in!V5/SER_summary!V$27)</f>
        <v>42.640912567098106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112.62349263195007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97.883900840545223</v>
      </c>
      <c r="I7" s="133">
        <f>IF(SER_hh_fech_in!I7=0,0,SER_hh_fech_in!I7/SER_summary!I$27)</f>
        <v>66.267875069030381</v>
      </c>
      <c r="J7" s="133">
        <f>IF(SER_hh_fech_in!J7=0,0,SER_hh_fech_in!J7/SER_summary!J$27)</f>
        <v>84.573967642289091</v>
      </c>
      <c r="K7" s="133">
        <f>IF(SER_hh_fech_in!K7=0,0,SER_hh_fech_in!K7/SER_summary!K$27)</f>
        <v>94.597496616707502</v>
      </c>
      <c r="L7" s="133">
        <f>IF(SER_hh_fech_in!L7=0,0,SER_hh_fech_in!L7/SER_summary!L$27)</f>
        <v>64.609347705388345</v>
      </c>
      <c r="M7" s="133">
        <f>IF(SER_hh_fech_in!M7=0,0,SER_hh_fech_in!M7/SER_summary!M$27)</f>
        <v>0</v>
      </c>
      <c r="N7" s="133">
        <f>IF(SER_hh_fech_in!N7=0,0,SER_hh_fech_in!N7/SER_summary!N$27)</f>
        <v>66.347323257634983</v>
      </c>
      <c r="O7" s="133">
        <f>IF(SER_hh_fech_in!O7=0,0,SER_hh_fech_in!O7/SER_summary!O$27)</f>
        <v>47.871462190109973</v>
      </c>
      <c r="P7" s="133">
        <f>IF(SER_hh_fech_in!P7=0,0,SER_hh_fech_in!P7/SER_summary!P$27)</f>
        <v>27.459183176367212</v>
      </c>
      <c r="Q7" s="133">
        <f>IF(SER_hh_fech_in!Q7=0,0,SER_hh_fech_in!Q7/SER_summary!Q$27)</f>
        <v>71.571077462269713</v>
      </c>
      <c r="R7" s="133">
        <f>IF(SER_hh_fech_in!R7=0,0,SER_hh_fech_in!R7/SER_summary!R$27)</f>
        <v>64.465269083407335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78.724876177863862</v>
      </c>
      <c r="D9" s="133">
        <f>IF(SER_hh_fech_in!D9=0,0,SER_hh_fech_in!D9/SER_summary!D$27)</f>
        <v>65.435204221560525</v>
      </c>
      <c r="E9" s="133">
        <f>IF(SER_hh_fech_in!E9=0,0,SER_hh_fech_in!E9/SER_summary!E$27)</f>
        <v>72.248488599561242</v>
      </c>
      <c r="F9" s="133">
        <f>IF(SER_hh_fech_in!F9=0,0,SER_hh_fech_in!F9/SER_summary!F$27)</f>
        <v>55.166460952436879</v>
      </c>
      <c r="G9" s="133">
        <f>IF(SER_hh_fech_in!G9=0,0,SER_hh_fech_in!G9/SER_summary!G$27)</f>
        <v>68.870873190060848</v>
      </c>
      <c r="H9" s="133">
        <f>IF(SER_hh_fech_in!H9=0,0,SER_hh_fech_in!H9/SER_summary!H$27)</f>
        <v>85.89986196713798</v>
      </c>
      <c r="I9" s="133">
        <f>IF(SER_hh_fech_in!I9=0,0,SER_hh_fech_in!I9/SER_summary!I$27)</f>
        <v>75.44265188643034</v>
      </c>
      <c r="J9" s="133">
        <f>IF(SER_hh_fech_in!J9=0,0,SER_hh_fech_in!J9/SER_summary!J$27)</f>
        <v>86.694060779455995</v>
      </c>
      <c r="K9" s="133">
        <f>IF(SER_hh_fech_in!K9=0,0,SER_hh_fech_in!K9/SER_summary!K$27)</f>
        <v>53.298696065327135</v>
      </c>
      <c r="L9" s="133">
        <f>IF(SER_hh_fech_in!L9=0,0,SER_hh_fech_in!L9/SER_summary!L$27)</f>
        <v>71.055183377117032</v>
      </c>
      <c r="M9" s="133">
        <f>IF(SER_hh_fech_in!M9=0,0,SER_hh_fech_in!M9/SER_summary!M$27)</f>
        <v>71.055189314946134</v>
      </c>
      <c r="N9" s="133">
        <f>IF(SER_hh_fech_in!N9=0,0,SER_hh_fech_in!N9/SER_summary!N$27)</f>
        <v>60.090727907189255</v>
      </c>
      <c r="O9" s="133">
        <f>IF(SER_hh_fech_in!O9=0,0,SER_hh_fech_in!O9/SER_summary!O$27)</f>
        <v>49.498220194019019</v>
      </c>
      <c r="P9" s="133">
        <f>IF(SER_hh_fech_in!P9=0,0,SER_hh_fech_in!P9/SER_summary!P$27)</f>
        <v>48.225128611035387</v>
      </c>
      <c r="Q9" s="133">
        <f>IF(SER_hh_fech_in!Q9=0,0,SER_hh_fech_in!Q9/SER_summary!Q$27)</f>
        <v>51.662600544134854</v>
      </c>
      <c r="R9" s="133">
        <f>IF(SER_hh_fech_in!R9=0,0,SER_hh_fech_in!R9/SER_summary!R$27)</f>
        <v>52.342932224149578</v>
      </c>
      <c r="S9" s="133">
        <f>IF(SER_hh_fech_in!S9=0,0,SER_hh_fech_in!S9/SER_summary!S$27)</f>
        <v>50.498907240518683</v>
      </c>
      <c r="T9" s="133">
        <f>IF(SER_hh_fech_in!T9=0,0,SER_hh_fech_in!T9/SER_summary!T$27)</f>
        <v>52.247431181351679</v>
      </c>
      <c r="U9" s="133">
        <f>IF(SER_hh_fech_in!U9=0,0,SER_hh_fech_in!U9/SER_summary!U$27)</f>
        <v>43.659406840290458</v>
      </c>
      <c r="V9" s="133">
        <f>IF(SER_hh_fech_in!V9=0,0,SER_hh_fech_in!V9/SER_summary!V$27)</f>
        <v>41.145159647605922</v>
      </c>
      <c r="W9" s="133">
        <f>IF(SER_hh_fech_in!W9=0,0,SER_hh_fech_in!W9/SER_summary!W$27)</f>
        <v>45.991425890277355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65.46522250693468</v>
      </c>
      <c r="E10" s="133">
        <f>IF(SER_hh_fech_in!E10=0,0,SER_hh_fech_in!E10/SER_summary!E$27)</f>
        <v>94.203782118531379</v>
      </c>
      <c r="F10" s="133">
        <f>IF(SER_hh_fech_in!F10=0,0,SER_hh_fech_in!F10/SER_summary!F$27)</f>
        <v>60.815537712773263</v>
      </c>
      <c r="G10" s="133">
        <f>IF(SER_hh_fech_in!G10=0,0,SER_hh_fech_in!G10/SER_summary!G$27)</f>
        <v>83.927287693424688</v>
      </c>
      <c r="H10" s="133">
        <f>IF(SER_hh_fech_in!H10=0,0,SER_hh_fech_in!H10/SER_summary!H$27)</f>
        <v>104.27416619565901</v>
      </c>
      <c r="I10" s="133">
        <f>IF(SER_hh_fech_in!I10=0,0,SER_hh_fech_in!I10/SER_summary!I$27)</f>
        <v>83.366062642247343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38.577509022101793</v>
      </c>
      <c r="M10" s="133">
        <f>IF(SER_hh_fech_in!M10=0,0,SER_hh_fech_in!M10/SER_summary!M$27)</f>
        <v>30.630455999922479</v>
      </c>
      <c r="N10" s="133">
        <f>IF(SER_hh_fech_in!N10=0,0,SER_hh_fech_in!N10/SER_summary!N$27)</f>
        <v>169.83359641542151</v>
      </c>
      <c r="O10" s="133">
        <f>IF(SER_hh_fech_in!O10=0,0,SER_hh_fech_in!O10/SER_summary!O$27)</f>
        <v>82.382239498942766</v>
      </c>
      <c r="P10" s="133">
        <f>IF(SER_hh_fech_in!P10=0,0,SER_hh_fech_in!P10/SER_summary!P$27)</f>
        <v>0</v>
      </c>
      <c r="Q10" s="133">
        <f>IF(SER_hh_fech_in!Q10=0,0,SER_hh_fech_in!Q10/SER_summary!Q$27)</f>
        <v>36.85915193058635</v>
      </c>
      <c r="R10" s="133">
        <f>IF(SER_hh_fech_in!R10=0,0,SER_hh_fech_in!R10/SER_summary!R$27)</f>
        <v>13.968128523508449</v>
      </c>
      <c r="S10" s="133">
        <f>IF(SER_hh_fech_in!S10=0,0,SER_hh_fech_in!S10/SER_summary!S$27)</f>
        <v>75.3494027385116</v>
      </c>
      <c r="T10" s="133">
        <f>IF(SER_hh_fech_in!T10=0,0,SER_hh_fech_in!T10/SER_summary!T$27)</f>
        <v>84.131427892204769</v>
      </c>
      <c r="U10" s="133">
        <f>IF(SER_hh_fech_in!U10=0,0,SER_hh_fech_in!U10/SER_summary!U$27)</f>
        <v>77.74473546057466</v>
      </c>
      <c r="V10" s="133">
        <f>IF(SER_hh_fech_in!V10=0,0,SER_hh_fech_in!V10/SER_summary!V$27)</f>
        <v>52.291289795363348</v>
      </c>
      <c r="W10" s="133">
        <f>IF(SER_hh_fech_in!W10=0,0,SER_hh_fech_in!W10/SER_summary!W$27)</f>
        <v>66.686921291653675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77.707137681471352</v>
      </c>
      <c r="H11" s="133">
        <f>IF(SER_hh_fech_in!H11=0,0,SER_hh_fech_in!H11/SER_summary!H$27)</f>
        <v>60.412787944324542</v>
      </c>
      <c r="I11" s="133">
        <f>IF(SER_hh_fech_in!I11=0,0,SER_hh_fech_in!I11/SER_summary!I$27)</f>
        <v>50.50910593808716</v>
      </c>
      <c r="J11" s="133">
        <f>IF(SER_hh_fech_in!J11=0,0,SER_hh_fech_in!J11/SER_summary!J$27)</f>
        <v>49.187556684805294</v>
      </c>
      <c r="K11" s="133">
        <f>IF(SER_hh_fech_in!K11=0,0,SER_hh_fech_in!K11/SER_summary!K$27)</f>
        <v>47.80241493266908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43.792016448431866</v>
      </c>
      <c r="O11" s="133">
        <f>IF(SER_hh_fech_in!O11=0,0,SER_hh_fech_in!O11/SER_summary!O$27)</f>
        <v>40.304697717549438</v>
      </c>
      <c r="P11" s="133">
        <f>IF(SER_hh_fech_in!P11=0,0,SER_hh_fech_in!P11/SER_summary!P$27)</f>
        <v>37.603844834589125</v>
      </c>
      <c r="Q11" s="133">
        <f>IF(SER_hh_fech_in!Q11=0,0,SER_hh_fech_in!Q11/SER_summary!Q$27)</f>
        <v>37.277116521204199</v>
      </c>
      <c r="R11" s="133">
        <f>IF(SER_hh_fech_in!R11=0,0,SER_hh_fech_in!R11/SER_summary!R$27)</f>
        <v>38.874837969412582</v>
      </c>
      <c r="S11" s="133">
        <f>IF(SER_hh_fech_in!S11=0,0,SER_hh_fech_in!S11/SER_summary!S$27)</f>
        <v>38.50913300947083</v>
      </c>
      <c r="T11" s="133">
        <f>IF(SER_hh_fech_in!T11=0,0,SER_hh_fech_in!T11/SER_summary!T$27)</f>
        <v>37.512030079159153</v>
      </c>
      <c r="U11" s="133">
        <f>IF(SER_hh_fech_in!U11=0,0,SER_hh_fech_in!U11/SER_summary!U$27)</f>
        <v>36.536467197653543</v>
      </c>
      <c r="V11" s="133">
        <f>IF(SER_hh_fech_in!V11=0,0,SER_hh_fech_in!V11/SER_summary!V$27)</f>
        <v>35.307709214963545</v>
      </c>
      <c r="W11" s="133">
        <f>IF(SER_hh_fech_in!W11=0,0,SER_hh_fech_in!W11/SER_summary!W$27)</f>
        <v>33.114207457204643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60.093295262055477</v>
      </c>
      <c r="D12" s="133">
        <f>IF(SER_hh_fech_in!D12=0,0,SER_hh_fech_in!D12/SER_summary!D$27)</f>
        <v>52.352529147406884</v>
      </c>
      <c r="E12" s="133">
        <f>IF(SER_hh_fech_in!E12=0,0,SER_hh_fech_in!E12/SER_summary!E$27)</f>
        <v>53.190445122166253</v>
      </c>
      <c r="F12" s="133">
        <f>IF(SER_hh_fech_in!F12=0,0,SER_hh_fech_in!F12/SER_summary!F$27)</f>
        <v>43.719310628334512</v>
      </c>
      <c r="G12" s="133">
        <f>IF(SER_hh_fech_in!G12=0,0,SER_hh_fech_in!G12/SER_summary!G$27)</f>
        <v>0</v>
      </c>
      <c r="H12" s="133">
        <f>IF(SER_hh_fech_in!H12=0,0,SER_hh_fech_in!H12/SER_summary!H$27)</f>
        <v>67.55834495398544</v>
      </c>
      <c r="I12" s="133">
        <f>IF(SER_hh_fech_in!I12=0,0,SER_hh_fech_in!I12/SER_summary!I$27)</f>
        <v>50.199053356711623</v>
      </c>
      <c r="J12" s="133">
        <f>IF(SER_hh_fech_in!J12=0,0,SER_hh_fech_in!J12/SER_summary!J$27)</f>
        <v>0</v>
      </c>
      <c r="K12" s="133">
        <f>IF(SER_hh_fech_in!K12=0,0,SER_hh_fech_in!K12/SER_summary!K$27)</f>
        <v>49.965912711521838</v>
      </c>
      <c r="L12" s="133">
        <f>IF(SER_hh_fech_in!L12=0,0,SER_hh_fech_in!L12/SER_summary!L$27)</f>
        <v>50.397551112867752</v>
      </c>
      <c r="M12" s="133">
        <f>IF(SER_hh_fech_in!M12=0,0,SER_hh_fech_in!M12/SER_summary!M$27)</f>
        <v>66.050692188609773</v>
      </c>
      <c r="N12" s="133">
        <f>IF(SER_hh_fech_in!N12=0,0,SER_hh_fech_in!N12/SER_summary!N$27)</f>
        <v>44.658122064493334</v>
      </c>
      <c r="O12" s="133">
        <f>IF(SER_hh_fech_in!O12=0,0,SER_hh_fech_in!O12/SER_summary!O$27)</f>
        <v>41.924795106573264</v>
      </c>
      <c r="P12" s="133">
        <f>IF(SER_hh_fech_in!P12=0,0,SER_hh_fech_in!P12/SER_summary!P$27)</f>
        <v>40.671166055488811</v>
      </c>
      <c r="Q12" s="133">
        <f>IF(SER_hh_fech_in!Q12=0,0,SER_hh_fech_in!Q12/SER_summary!Q$27)</f>
        <v>43.26448174166709</v>
      </c>
      <c r="R12" s="133">
        <f>IF(SER_hh_fech_in!R12=0,0,SER_hh_fech_in!R12/SER_summary!R$27)</f>
        <v>56.710220042815564</v>
      </c>
      <c r="S12" s="133">
        <f>IF(SER_hh_fech_in!S12=0,0,SER_hh_fech_in!S12/SER_summary!S$27)</f>
        <v>39.859037161444284</v>
      </c>
      <c r="T12" s="133">
        <f>IF(SER_hh_fech_in!T12=0,0,SER_hh_fech_in!T12/SER_summary!T$27)</f>
        <v>49.535636269580046</v>
      </c>
      <c r="U12" s="133">
        <f>IF(SER_hh_fech_in!U12=0,0,SER_hh_fech_in!U12/SER_summary!U$27)</f>
        <v>43.456712006832596</v>
      </c>
      <c r="V12" s="133">
        <f>IF(SER_hh_fech_in!V12=0,0,SER_hh_fech_in!V12/SER_summary!V$27)</f>
        <v>31.944015648761404</v>
      </c>
      <c r="W12" s="133">
        <f>IF(SER_hh_fech_in!W12=0,0,SER_hh_fech_in!W12/SER_summary!W$27)</f>
        <v>38.895573744288058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21.082168352616041</v>
      </c>
      <c r="D13" s="133">
        <f>IF(SER_hh_fech_in!D13=0,0,SER_hh_fech_in!D13/SER_summary!D$27)</f>
        <v>24.043714054352005</v>
      </c>
      <c r="E13" s="133">
        <f>IF(SER_hh_fech_in!E13=0,0,SER_hh_fech_in!E13/SER_summary!E$27)</f>
        <v>25.215346668653893</v>
      </c>
      <c r="F13" s="133">
        <f>IF(SER_hh_fech_in!F13=0,0,SER_hh_fech_in!F13/SER_summary!F$27)</f>
        <v>21.827466374529994</v>
      </c>
      <c r="G13" s="133">
        <f>IF(SER_hh_fech_in!G13=0,0,SER_hh_fech_in!G13/SER_summary!G$27)</f>
        <v>22.33957285085409</v>
      </c>
      <c r="H13" s="133">
        <f>IF(SER_hh_fech_in!H13=0,0,SER_hh_fech_in!H13/SER_summary!H$27)</f>
        <v>23.824569078303327</v>
      </c>
      <c r="I13" s="133">
        <f>IF(SER_hh_fech_in!I13=0,0,SER_hh_fech_in!I13/SER_summary!I$27)</f>
        <v>20.122236625791516</v>
      </c>
      <c r="J13" s="133">
        <f>IF(SER_hh_fech_in!J13=0,0,SER_hh_fech_in!J13/SER_summary!J$27)</f>
        <v>17.386363805915284</v>
      </c>
      <c r="K13" s="133">
        <f>IF(SER_hh_fech_in!K13=0,0,SER_hh_fech_in!K13/SER_summary!K$27)</f>
        <v>17.318910501255498</v>
      </c>
      <c r="L13" s="133">
        <f>IF(SER_hh_fech_in!L13=0,0,SER_hh_fech_in!L13/SER_summary!L$27)</f>
        <v>17.28476462781769</v>
      </c>
      <c r="M13" s="133">
        <f>IF(SER_hh_fech_in!M13=0,0,SER_hh_fech_in!M13/SER_summary!M$27)</f>
        <v>15.129185767542669</v>
      </c>
      <c r="N13" s="133">
        <f>IF(SER_hh_fech_in!N13=0,0,SER_hh_fech_in!N13/SER_summary!N$27)</f>
        <v>12.62653492324112</v>
      </c>
      <c r="O13" s="133">
        <f>IF(SER_hh_fech_in!O13=0,0,SER_hh_fech_in!O13/SER_summary!O$27)</f>
        <v>12.721519508340148</v>
      </c>
      <c r="P13" s="133">
        <f>IF(SER_hh_fech_in!P13=0,0,SER_hh_fech_in!P13/SER_summary!P$27)</f>
        <v>10.342294970986577</v>
      </c>
      <c r="Q13" s="133">
        <f>IF(SER_hh_fech_in!Q13=0,0,SER_hh_fech_in!Q13/SER_summary!Q$27)</f>
        <v>10.257920470944969</v>
      </c>
      <c r="R13" s="133">
        <f>IF(SER_hh_fech_in!R13=0,0,SER_hh_fech_in!R13/SER_summary!R$27)</f>
        <v>10.05746707957643</v>
      </c>
      <c r="S13" s="133">
        <f>IF(SER_hh_fech_in!S13=0,0,SER_hh_fech_in!S13/SER_summary!S$27)</f>
        <v>9.7601614012945177</v>
      </c>
      <c r="T13" s="133">
        <f>IF(SER_hh_fech_in!T13=0,0,SER_hh_fech_in!T13/SER_summary!T$27)</f>
        <v>9.1818390965914283</v>
      </c>
      <c r="U13" s="133">
        <f>IF(SER_hh_fech_in!U13=0,0,SER_hh_fech_in!U13/SER_summary!U$27)</f>
        <v>9.1790348770791805</v>
      </c>
      <c r="V13" s="133">
        <f>IF(SER_hh_fech_in!V13=0,0,SER_hh_fech_in!V13/SER_summary!V$27)</f>
        <v>8.6089017545931856</v>
      </c>
      <c r="W13" s="133">
        <f>IF(SER_hh_fech_in!W13=0,0,SER_hh_fech_in!W13/SER_summary!W$27)</f>
        <v>8.7800562406709268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50.193749898632106</v>
      </c>
      <c r="D14" s="65">
        <f>IF(SER_hh_fech_in!D14=0,0,SER_hh_fech_in!D14/SER_summary!D$27)</f>
        <v>63.758200751061111</v>
      </c>
      <c r="E14" s="65">
        <f>IF(SER_hh_fech_in!E14=0,0,SER_hh_fech_in!E14/SER_summary!E$27)</f>
        <v>67.500649720906551</v>
      </c>
      <c r="F14" s="65">
        <f>IF(SER_hh_fech_in!F14=0,0,SER_hh_fech_in!F14/SER_summary!F$27)</f>
        <v>44.058266494418184</v>
      </c>
      <c r="G14" s="65">
        <f>IF(SER_hh_fech_in!G14=0,0,SER_hh_fech_in!G14/SER_summary!G$27)</f>
        <v>0</v>
      </c>
      <c r="H14" s="65">
        <f>IF(SER_hh_fech_in!H14=0,0,SER_hh_fech_in!H14/SER_summary!H$27)</f>
        <v>73.653978909090128</v>
      </c>
      <c r="I14" s="65">
        <f>IF(SER_hh_fech_in!I14=0,0,SER_hh_fech_in!I14/SER_summary!I$27)</f>
        <v>52.297269537380537</v>
      </c>
      <c r="J14" s="65">
        <f>IF(SER_hh_fech_in!J14=0,0,SER_hh_fech_in!J14/SER_summary!J$27)</f>
        <v>65.519926346045665</v>
      </c>
      <c r="K14" s="65">
        <f>IF(SER_hh_fech_in!K14=0,0,SER_hh_fech_in!K14/SER_summary!K$27)</f>
        <v>49.568209291053385</v>
      </c>
      <c r="L14" s="65">
        <f>IF(SER_hh_fech_in!L14=0,0,SER_hh_fech_in!L14/SER_summary!L$27)</f>
        <v>63.170564380886233</v>
      </c>
      <c r="M14" s="65">
        <f>IF(SER_hh_fech_in!M14=0,0,SER_hh_fech_in!M14/SER_summary!M$27)</f>
        <v>72.496161597896275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52.28952324688283</v>
      </c>
      <c r="S14" s="65">
        <f>IF(SER_hh_fech_in!S14=0,0,SER_hh_fech_in!S14/SER_summary!S$27)</f>
        <v>42.624594552145886</v>
      </c>
      <c r="T14" s="65">
        <f>IF(SER_hh_fech_in!T14=0,0,SER_hh_fech_in!T14/SER_summary!T$27)</f>
        <v>46.902264533155673</v>
      </c>
      <c r="U14" s="65">
        <f>IF(SER_hh_fech_in!U14=0,0,SER_hh_fech_in!U14/SER_summary!U$27)</f>
        <v>59.213128556088051</v>
      </c>
      <c r="V14" s="65">
        <f>IF(SER_hh_fech_in!V14=0,0,SER_hh_fech_in!V14/SER_summary!V$27)</f>
        <v>18.553883379709475</v>
      </c>
      <c r="W14" s="65">
        <f>IF(SER_hh_fech_in!W14=0,0,SER_hh_fech_in!W14/SER_summary!W$27)</f>
        <v>46.192501944219686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0.31776193424351845</v>
      </c>
      <c r="D15" s="135">
        <f>IF(SER_hh_fech_in!D15=0,0,SER_hh_fech_in!D15/SER_summary!D$27)</f>
        <v>0.27354567253199974</v>
      </c>
      <c r="E15" s="135">
        <f>IF(SER_hh_fech_in!E15=0,0,SER_hh_fech_in!E15/SER_summary!E$27)</f>
        <v>0.26715472774601667</v>
      </c>
      <c r="F15" s="135">
        <f>IF(SER_hh_fech_in!F15=0,0,SER_hh_fech_in!F15/SER_summary!F$27)</f>
        <v>0.23441207758166699</v>
      </c>
      <c r="G15" s="135">
        <f>IF(SER_hh_fech_in!G15=0,0,SER_hh_fech_in!G15/SER_summary!G$27)</f>
        <v>0.34665577962338928</v>
      </c>
      <c r="H15" s="135">
        <f>IF(SER_hh_fech_in!H15=0,0,SER_hh_fech_in!H15/SER_summary!H$27)</f>
        <v>0.51512060210010424</v>
      </c>
      <c r="I15" s="135">
        <f>IF(SER_hh_fech_in!I15=0,0,SER_hh_fech_in!I15/SER_summary!I$27)</f>
        <v>0.38101557265741026</v>
      </c>
      <c r="J15" s="135">
        <f>IF(SER_hh_fech_in!J15=0,0,SER_hh_fech_in!J15/SER_summary!J$27)</f>
        <v>0.78987796291307533</v>
      </c>
      <c r="K15" s="135">
        <f>IF(SER_hh_fech_in!K15=0,0,SER_hh_fech_in!K15/SER_summary!K$27)</f>
        <v>0.37985358643617451</v>
      </c>
      <c r="L15" s="135">
        <f>IF(SER_hh_fech_in!L15=0,0,SER_hh_fech_in!L15/SER_summary!L$27)</f>
        <v>0.34491026938186103</v>
      </c>
      <c r="M15" s="135">
        <f>IF(SER_hh_fech_in!M15=0,0,SER_hh_fech_in!M15/SER_summary!M$27)</f>
        <v>0.23017720202444916</v>
      </c>
      <c r="N15" s="135">
        <f>IF(SER_hh_fech_in!N15=0,0,SER_hh_fech_in!N15/SER_summary!N$27)</f>
        <v>0.34720159296267322</v>
      </c>
      <c r="O15" s="135">
        <f>IF(SER_hh_fech_in!O15=0,0,SER_hh_fech_in!O15/SER_summary!O$27)</f>
        <v>0.29579312389562212</v>
      </c>
      <c r="P15" s="135">
        <f>IF(SER_hh_fech_in!P15=0,0,SER_hh_fech_in!P15/SER_summary!P$27)</f>
        <v>0.28905377076857214</v>
      </c>
      <c r="Q15" s="135">
        <f>IF(SER_hh_fech_in!Q15=0,0,SER_hh_fech_in!Q15/SER_summary!Q$27)</f>
        <v>0.38020107844274725</v>
      </c>
      <c r="R15" s="135">
        <f>IF(SER_hh_fech_in!R15=0,0,SER_hh_fech_in!R15/SER_summary!R$27)</f>
        <v>0.24930746815666854</v>
      </c>
      <c r="S15" s="135">
        <f>IF(SER_hh_fech_in!S15=0,0,SER_hh_fech_in!S15/SER_summary!S$27)</f>
        <v>0.26949076073888767</v>
      </c>
      <c r="T15" s="135">
        <f>IF(SER_hh_fech_in!T15=0,0,SER_hh_fech_in!T15/SER_summary!T$27)</f>
        <v>0.28563631543939855</v>
      </c>
      <c r="U15" s="135">
        <f>IF(SER_hh_fech_in!U15=0,0,SER_hh_fech_in!U15/SER_summary!U$27)</f>
        <v>0.25479805448030524</v>
      </c>
      <c r="V15" s="135">
        <f>IF(SER_hh_fech_in!V15=0,0,SER_hh_fech_in!V15/SER_summary!V$27)</f>
        <v>0.23575779552625389</v>
      </c>
      <c r="W15" s="135">
        <f>IF(SER_hh_fech_in!W15=0,0,SER_hh_fech_in!W15/SER_summary!W$27)</f>
        <v>0.28461193122686734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14.563614241416538</v>
      </c>
      <c r="D16" s="131">
        <f>IF(SER_hh_fech_in!D16=0,0,SER_hh_fech_in!D16/SER_summary!D$27)</f>
        <v>10.416247564089852</v>
      </c>
      <c r="E16" s="131">
        <f>IF(SER_hh_fech_in!E16=0,0,SER_hh_fech_in!E16/SER_summary!E$27)</f>
        <v>11.177750127824634</v>
      </c>
      <c r="F16" s="131">
        <f>IF(SER_hh_fech_in!F16=0,0,SER_hh_fech_in!F16/SER_summary!F$27)</f>
        <v>8.5144270356283123</v>
      </c>
      <c r="G16" s="131">
        <f>IF(SER_hh_fech_in!G16=0,0,SER_hh_fech_in!G16/SER_summary!G$27)</f>
        <v>8.3391392859723776</v>
      </c>
      <c r="H16" s="131">
        <f>IF(SER_hh_fech_in!H16=0,0,SER_hh_fech_in!H16/SER_summary!H$27)</f>
        <v>9.3585545318756882</v>
      </c>
      <c r="I16" s="131">
        <f>IF(SER_hh_fech_in!I16=0,0,SER_hh_fech_in!I16/SER_summary!I$27)</f>
        <v>16.302049656607672</v>
      </c>
      <c r="J16" s="131">
        <f>IF(SER_hh_fech_in!J16=0,0,SER_hh_fech_in!J16/SER_summary!J$27)</f>
        <v>10.048432781842147</v>
      </c>
      <c r="K16" s="131">
        <f>IF(SER_hh_fech_in!K16=0,0,SER_hh_fech_in!K16/SER_summary!K$27)</f>
        <v>8.3622012557431162</v>
      </c>
      <c r="L16" s="131">
        <f>IF(SER_hh_fech_in!L16=0,0,SER_hh_fech_in!L16/SER_summary!L$27)</f>
        <v>10.058400837012911</v>
      </c>
      <c r="M16" s="131">
        <f>IF(SER_hh_fech_in!M16=0,0,SER_hh_fech_in!M16/SER_summary!M$27)</f>
        <v>8.0097738293640752</v>
      </c>
      <c r="N16" s="131">
        <f>IF(SER_hh_fech_in!N16=0,0,SER_hh_fech_in!N16/SER_summary!N$27)</f>
        <v>15.905817046680289</v>
      </c>
      <c r="O16" s="131">
        <f>IF(SER_hh_fech_in!O16=0,0,SER_hh_fech_in!O16/SER_summary!O$27)</f>
        <v>7.3122113225171708</v>
      </c>
      <c r="P16" s="131">
        <f>IF(SER_hh_fech_in!P16=0,0,SER_hh_fech_in!P16/SER_summary!P$27)</f>
        <v>6.3810174568502758</v>
      </c>
      <c r="Q16" s="131">
        <f>IF(SER_hh_fech_in!Q16=0,0,SER_hh_fech_in!Q16/SER_summary!Q$27)</f>
        <v>8.7199941881468401</v>
      </c>
      <c r="R16" s="131">
        <f>IF(SER_hh_fech_in!R16=0,0,SER_hh_fech_in!R16/SER_summary!R$27)</f>
        <v>7.7457716341192766</v>
      </c>
      <c r="S16" s="131">
        <f>IF(SER_hh_fech_in!S16=0,0,SER_hh_fech_in!S16/SER_summary!S$27)</f>
        <v>7.9162206607648562</v>
      </c>
      <c r="T16" s="131">
        <f>IF(SER_hh_fech_in!T16=0,0,SER_hh_fech_in!T16/SER_summary!T$27)</f>
        <v>5.7242003198681903</v>
      </c>
      <c r="U16" s="131">
        <f>IF(SER_hh_fech_in!U16=0,0,SER_hh_fech_in!U16/SER_summary!U$27)</f>
        <v>6.0852075797752745</v>
      </c>
      <c r="V16" s="131">
        <f>IF(SER_hh_fech_in!V16=0,0,SER_hh_fech_in!V16/SER_summary!V$27)</f>
        <v>5.9084049546028279</v>
      </c>
      <c r="W16" s="131">
        <f>IF(SER_hh_fech_in!W16=0,0,SER_hh_fech_in!W16/SER_summary!W$27)</f>
        <v>7.4562209268083688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14.563614241416538</v>
      </c>
      <c r="D18" s="133">
        <f>IF(SER_hh_fech_in!D18=0,0,SER_hh_fech_in!D18/SER_summary!D$27)</f>
        <v>10.416247564089852</v>
      </c>
      <c r="E18" s="133">
        <f>IF(SER_hh_fech_in!E18=0,0,SER_hh_fech_in!E18/SER_summary!E$27)</f>
        <v>11.177750127824634</v>
      </c>
      <c r="F18" s="133">
        <f>IF(SER_hh_fech_in!F18=0,0,SER_hh_fech_in!F18/SER_summary!F$27)</f>
        <v>8.5144270356283123</v>
      </c>
      <c r="G18" s="133">
        <f>IF(SER_hh_fech_in!G18=0,0,SER_hh_fech_in!G18/SER_summary!G$27)</f>
        <v>8.3391392859723776</v>
      </c>
      <c r="H18" s="133">
        <f>IF(SER_hh_fech_in!H18=0,0,SER_hh_fech_in!H18/SER_summary!H$27)</f>
        <v>9.3585545318756882</v>
      </c>
      <c r="I18" s="133">
        <f>IF(SER_hh_fech_in!I18=0,0,SER_hh_fech_in!I18/SER_summary!I$27)</f>
        <v>16.302049656607672</v>
      </c>
      <c r="J18" s="133">
        <f>IF(SER_hh_fech_in!J18=0,0,SER_hh_fech_in!J18/SER_summary!J$27)</f>
        <v>10.048432781842147</v>
      </c>
      <c r="K18" s="133">
        <f>IF(SER_hh_fech_in!K18=0,0,SER_hh_fech_in!K18/SER_summary!K$27)</f>
        <v>8.3622012557431162</v>
      </c>
      <c r="L18" s="133">
        <f>IF(SER_hh_fech_in!L18=0,0,SER_hh_fech_in!L18/SER_summary!L$27)</f>
        <v>10.058400837012911</v>
      </c>
      <c r="M18" s="133">
        <f>IF(SER_hh_fech_in!M18=0,0,SER_hh_fech_in!M18/SER_summary!M$27)</f>
        <v>8.0097738293640752</v>
      </c>
      <c r="N18" s="133">
        <f>IF(SER_hh_fech_in!N18=0,0,SER_hh_fech_in!N18/SER_summary!N$27)</f>
        <v>15.905817046680289</v>
      </c>
      <c r="O18" s="133">
        <f>IF(SER_hh_fech_in!O18=0,0,SER_hh_fech_in!O18/SER_summary!O$27)</f>
        <v>7.3122113225171708</v>
      </c>
      <c r="P18" s="133">
        <f>IF(SER_hh_fech_in!P18=0,0,SER_hh_fech_in!P18/SER_summary!P$27)</f>
        <v>6.3810174568502758</v>
      </c>
      <c r="Q18" s="133">
        <f>IF(SER_hh_fech_in!Q18=0,0,SER_hh_fech_in!Q18/SER_summary!Q$27)</f>
        <v>8.7199941881468401</v>
      </c>
      <c r="R18" s="133">
        <f>IF(SER_hh_fech_in!R18=0,0,SER_hh_fech_in!R18/SER_summary!R$27)</f>
        <v>7.7457716341192766</v>
      </c>
      <c r="S18" s="133">
        <f>IF(SER_hh_fech_in!S18=0,0,SER_hh_fech_in!S18/SER_summary!S$27)</f>
        <v>7.9162206607648562</v>
      </c>
      <c r="T18" s="133">
        <f>IF(SER_hh_fech_in!T18=0,0,SER_hh_fech_in!T18/SER_summary!T$27)</f>
        <v>5.7242003198681903</v>
      </c>
      <c r="U18" s="133">
        <f>IF(SER_hh_fech_in!U18=0,0,SER_hh_fech_in!U18/SER_summary!U$27)</f>
        <v>6.0852075797752745</v>
      </c>
      <c r="V18" s="133">
        <f>IF(SER_hh_fech_in!V18=0,0,SER_hh_fech_in!V18/SER_summary!V$27)</f>
        <v>5.9084049546028279</v>
      </c>
      <c r="W18" s="133">
        <f>IF(SER_hh_fech_in!W18=0,0,SER_hh_fech_in!W18/SER_summary!W$27)</f>
        <v>7.4562209268083688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17.314818513723097</v>
      </c>
      <c r="D19" s="131">
        <f>IF(SER_hh_fech_in!D19=0,0,SER_hh_fech_in!D19/SER_summary!D$27)</f>
        <v>16.637723493002653</v>
      </c>
      <c r="E19" s="131">
        <f>IF(SER_hh_fech_in!E19=0,0,SER_hh_fech_in!E19/SER_summary!E$27)</f>
        <v>16.277968583370161</v>
      </c>
      <c r="F19" s="131">
        <f>IF(SER_hh_fech_in!F19=0,0,SER_hh_fech_in!F19/SER_summary!F$27)</f>
        <v>16.000215208773941</v>
      </c>
      <c r="G19" s="131">
        <f>IF(SER_hh_fech_in!G19=0,0,SER_hh_fech_in!G19/SER_summary!G$27)</f>
        <v>16.016276514219971</v>
      </c>
      <c r="H19" s="131">
        <f>IF(SER_hh_fech_in!H19=0,0,SER_hh_fech_in!H19/SER_summary!H$27)</f>
        <v>16.3907068061459</v>
      </c>
      <c r="I19" s="131">
        <f>IF(SER_hh_fech_in!I19=0,0,SER_hh_fech_in!I19/SER_summary!I$27)</f>
        <v>16.628228753242656</v>
      </c>
      <c r="J19" s="131">
        <f>IF(SER_hh_fech_in!J19=0,0,SER_hh_fech_in!J19/SER_summary!J$27)</f>
        <v>16.420295865229622</v>
      </c>
      <c r="K19" s="131">
        <f>IF(SER_hh_fech_in!K19=0,0,SER_hh_fech_in!K19/SER_summary!K$27)</f>
        <v>16.725988539375528</v>
      </c>
      <c r="L19" s="131">
        <f>IF(SER_hh_fech_in!L19=0,0,SER_hh_fech_in!L19/SER_summary!L$27)</f>
        <v>13.006064078933564</v>
      </c>
      <c r="M19" s="131">
        <f>IF(SER_hh_fech_in!M19=0,0,SER_hh_fech_in!M19/SER_summary!M$27)</f>
        <v>13.699153962154446</v>
      </c>
      <c r="N19" s="131">
        <f>IF(SER_hh_fech_in!N19=0,0,SER_hh_fech_in!N19/SER_summary!N$27)</f>
        <v>13.659898671919834</v>
      </c>
      <c r="O19" s="131">
        <f>IF(SER_hh_fech_in!O19=0,0,SER_hh_fech_in!O19/SER_summary!O$27)</f>
        <v>13.266833797810794</v>
      </c>
      <c r="P19" s="131">
        <f>IF(SER_hh_fech_in!P19=0,0,SER_hh_fech_in!P19/SER_summary!P$27)</f>
        <v>14.312375538399262</v>
      </c>
      <c r="Q19" s="131">
        <f>IF(SER_hh_fech_in!Q19=0,0,SER_hh_fech_in!Q19/SER_summary!Q$27)</f>
        <v>13.246992361692216</v>
      </c>
      <c r="R19" s="131">
        <f>IF(SER_hh_fech_in!R19=0,0,SER_hh_fech_in!R19/SER_summary!R$27)</f>
        <v>13.486524240313237</v>
      </c>
      <c r="S19" s="131">
        <f>IF(SER_hh_fech_in!S19=0,0,SER_hh_fech_in!S19/SER_summary!S$27)</f>
        <v>13.611047922677903</v>
      </c>
      <c r="T19" s="131">
        <f>IF(SER_hh_fech_in!T19=0,0,SER_hh_fech_in!T19/SER_summary!T$27)</f>
        <v>14.137116501759325</v>
      </c>
      <c r="U19" s="131">
        <f>IF(SER_hh_fech_in!U19=0,0,SER_hh_fech_in!U19/SER_summary!U$27)</f>
        <v>13.722354704410854</v>
      </c>
      <c r="V19" s="131">
        <f>IF(SER_hh_fech_in!V19=0,0,SER_hh_fech_in!V19/SER_summary!V$27)</f>
        <v>11.848859968619692</v>
      </c>
      <c r="W19" s="131">
        <f>IF(SER_hh_fech_in!W19=0,0,SER_hh_fech_in!W19/SER_summary!W$27)</f>
        <v>12.719692082569518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22.975572525326928</v>
      </c>
      <c r="D22" s="133">
        <f>IF(SER_hh_fech_in!D22=0,0,SER_hh_fech_in!D22/SER_summary!D$27)</f>
        <v>22.944813453317607</v>
      </c>
      <c r="E22" s="133">
        <f>IF(SER_hh_fech_in!E22=0,0,SER_hh_fech_in!E22/SER_summary!E$27)</f>
        <v>22.355500438730605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20.277237632135844</v>
      </c>
      <c r="I22" s="133">
        <f>IF(SER_hh_fech_in!I22=0,0,SER_hh_fech_in!I22/SER_summary!I$27)</f>
        <v>20.76300710069</v>
      </c>
      <c r="J22" s="133">
        <f>IF(SER_hh_fech_in!J22=0,0,SER_hh_fech_in!J22/SER_summary!J$27)</f>
        <v>21.109553049590115</v>
      </c>
      <c r="K22" s="133">
        <f>IF(SER_hh_fech_in!K22=0,0,SER_hh_fech_in!K22/SER_summary!K$27)</f>
        <v>21.158210921904246</v>
      </c>
      <c r="L22" s="133">
        <f>IF(SER_hh_fech_in!L22=0,0,SER_hh_fech_in!L22/SER_summary!L$27)</f>
        <v>10.630429924445313</v>
      </c>
      <c r="M22" s="133">
        <f>IF(SER_hh_fech_in!M22=0,0,SER_hh_fech_in!M22/SER_summary!M$27)</f>
        <v>21.093440210491611</v>
      </c>
      <c r="N22" s="133">
        <f>IF(SER_hh_fech_in!N22=0,0,SER_hh_fech_in!N22/SER_summary!N$27)</f>
        <v>22.190014204134386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20.434542210493738</v>
      </c>
      <c r="D23" s="133">
        <f>IF(SER_hh_fech_in!D23=0,0,SER_hh_fech_in!D23/SER_summary!D$27)</f>
        <v>18.098374624564009</v>
      </c>
      <c r="E23" s="133">
        <f>IF(SER_hh_fech_in!E23=0,0,SER_hh_fech_in!E23/SER_summary!E$27)</f>
        <v>18.891605499226188</v>
      </c>
      <c r="F23" s="133">
        <f>IF(SER_hh_fech_in!F23=0,0,SER_hh_fech_in!F23/SER_summary!F$27)</f>
        <v>18.368740401910497</v>
      </c>
      <c r="G23" s="133">
        <f>IF(SER_hh_fech_in!G23=0,0,SER_hh_fech_in!G23/SER_summary!G$27)</f>
        <v>17.749707033657693</v>
      </c>
      <c r="H23" s="133">
        <f>IF(SER_hh_fech_in!H23=0,0,SER_hh_fech_in!H23/SER_summary!H$27)</f>
        <v>18.209942618349732</v>
      </c>
      <c r="I23" s="133">
        <f>IF(SER_hh_fech_in!I23=0,0,SER_hh_fech_in!I23/SER_summary!I$27)</f>
        <v>19.016850293796946</v>
      </c>
      <c r="J23" s="133">
        <f>IF(SER_hh_fech_in!J23=0,0,SER_hh_fech_in!J23/SER_summary!J$27)</f>
        <v>18.576405511037407</v>
      </c>
      <c r="K23" s="133">
        <f>IF(SER_hh_fech_in!K23=0,0,SER_hh_fech_in!K23/SER_summary!K$27)</f>
        <v>18.514127695518539</v>
      </c>
      <c r="L23" s="133">
        <f>IF(SER_hh_fech_in!L23=0,0,SER_hh_fech_in!L23/SER_summary!L$27)</f>
        <v>8.4591334130789289</v>
      </c>
      <c r="M23" s="133">
        <f>IF(SER_hh_fech_in!M23=0,0,SER_hh_fech_in!M23/SER_summary!M$27)</f>
        <v>16.840124881491565</v>
      </c>
      <c r="N23" s="133">
        <f>IF(SER_hh_fech_in!N23=0,0,SER_hh_fech_in!N23/SER_summary!N$27)</f>
        <v>17.447623710829273</v>
      </c>
      <c r="O23" s="133">
        <f>IF(SER_hh_fech_in!O23=0,0,SER_hh_fech_in!O23/SER_summary!O$27)</f>
        <v>13.100578391964097</v>
      </c>
      <c r="P23" s="133">
        <f>IF(SER_hh_fech_in!P23=0,0,SER_hh_fech_in!P23/SER_summary!P$27)</f>
        <v>17.083319017988657</v>
      </c>
      <c r="Q23" s="133">
        <f>IF(SER_hh_fech_in!Q23=0,0,SER_hh_fech_in!Q23/SER_summary!Q$27)</f>
        <v>15.624702931656582</v>
      </c>
      <c r="R23" s="133">
        <f>IF(SER_hh_fech_in!R23=0,0,SER_hh_fech_in!R23/SER_summary!R$27)</f>
        <v>15.673126125705188</v>
      </c>
      <c r="S23" s="133">
        <f>IF(SER_hh_fech_in!S23=0,0,SER_hh_fech_in!S23/SER_summary!S$27)</f>
        <v>15.573042463361372</v>
      </c>
      <c r="T23" s="133">
        <f>IF(SER_hh_fech_in!T23=0,0,SER_hh_fech_in!T23/SER_summary!T$27)</f>
        <v>16.381425328531211</v>
      </c>
      <c r="U23" s="133">
        <f>IF(SER_hh_fech_in!U23=0,0,SER_hh_fech_in!U23/SER_summary!U$27)</f>
        <v>16.398019426039767</v>
      </c>
      <c r="V23" s="133">
        <f>IF(SER_hh_fech_in!V23=0,0,SER_hh_fech_in!V23/SER_summary!V$27)</f>
        <v>11.026978980606618</v>
      </c>
      <c r="W23" s="133">
        <f>IF(SER_hh_fech_in!W23=0,0,SER_hh_fech_in!W23/SER_summary!W$27)</f>
        <v>15.143327764051088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14.607290583486089</v>
      </c>
      <c r="D25" s="133">
        <f>IF(SER_hh_fech_in!D25=0,0,SER_hh_fech_in!D25/SER_summary!D$27)</f>
        <v>14.285742694799938</v>
      </c>
      <c r="E25" s="133">
        <f>IF(SER_hh_fech_in!E25=0,0,SER_hh_fech_in!E25/SER_summary!E$27)</f>
        <v>14.118529414916074</v>
      </c>
      <c r="F25" s="133">
        <f>IF(SER_hh_fech_in!F25=0,0,SER_hh_fech_in!F25/SER_summary!F$27)</f>
        <v>13.923020933133406</v>
      </c>
      <c r="G25" s="133">
        <f>IF(SER_hh_fech_in!G25=0,0,SER_hh_fech_in!G25/SER_summary!G$27)</f>
        <v>13.806116090677088</v>
      </c>
      <c r="H25" s="133">
        <f>IF(SER_hh_fech_in!H25=0,0,SER_hh_fech_in!H25/SER_summary!H$27)</f>
        <v>13.728000597945075</v>
      </c>
      <c r="I25" s="133">
        <f>IF(SER_hh_fech_in!I25=0,0,SER_hh_fech_in!I25/SER_summary!I$27)</f>
        <v>13.757361275761893</v>
      </c>
      <c r="J25" s="133">
        <f>IF(SER_hh_fech_in!J25=0,0,SER_hh_fech_in!J25/SER_summary!J$27)</f>
        <v>13.942572016378096</v>
      </c>
      <c r="K25" s="133">
        <f>IF(SER_hh_fech_in!K25=0,0,SER_hh_fech_in!K25/SER_summary!K$27)</f>
        <v>14.12992854622247</v>
      </c>
      <c r="L25" s="133">
        <f>IF(SER_hh_fech_in!L25=0,0,SER_hh_fech_in!L25/SER_summary!L$27)</f>
        <v>6.6238199353095331</v>
      </c>
      <c r="M25" s="133">
        <f>IF(SER_hh_fech_in!M25=0,0,SER_hh_fech_in!M25/SER_summary!M$27)</f>
        <v>13.441561498594846</v>
      </c>
      <c r="N25" s="133">
        <f>IF(SER_hh_fech_in!N25=0,0,SER_hh_fech_in!N25/SER_summary!N$27)</f>
        <v>14.351314876331495</v>
      </c>
      <c r="O25" s="133">
        <f>IF(SER_hh_fech_in!O25=0,0,SER_hh_fech_in!O25/SER_summary!O$27)</f>
        <v>11.65698558619828</v>
      </c>
      <c r="P25" s="133">
        <f>IF(SER_hh_fech_in!P25=0,0,SER_hh_fech_in!P25/SER_summary!P$27)</f>
        <v>15.159526676347589</v>
      </c>
      <c r="Q25" s="133">
        <f>IF(SER_hh_fech_in!Q25=0,0,SER_hh_fech_in!Q25/SER_summary!Q$27)</f>
        <v>14.329065476447063</v>
      </c>
      <c r="R25" s="133">
        <f>IF(SER_hh_fech_in!R25=0,0,SER_hh_fech_in!R25/SER_summary!R$27)</f>
        <v>14.709019581063524</v>
      </c>
      <c r="S25" s="133">
        <f>IF(SER_hh_fech_in!S25=0,0,SER_hh_fech_in!S25/SER_summary!S$27)</f>
        <v>14.883681091866634</v>
      </c>
      <c r="T25" s="133">
        <f>IF(SER_hh_fech_in!T25=0,0,SER_hh_fech_in!T25/SER_summary!T$27)</f>
        <v>15.513305586853649</v>
      </c>
      <c r="U25" s="133">
        <f>IF(SER_hh_fech_in!U25=0,0,SER_hh_fech_in!U25/SER_summary!U$27)</f>
        <v>15.342682426805153</v>
      </c>
      <c r="V25" s="133">
        <f>IF(SER_hh_fech_in!V25=0,0,SER_hh_fech_in!V25/SER_summary!V$27)</f>
        <v>11.110250346529677</v>
      </c>
      <c r="W25" s="133">
        <f>IF(SER_hh_fech_in!W25=0,0,SER_hh_fech_in!W25/SER_summary!W$27)</f>
        <v>14.609817714932817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17.731996061377842</v>
      </c>
      <c r="D26" s="65">
        <f>IF(SER_hh_fech_in!D26=0,0,SER_hh_fech_in!D26/SER_summary!D$27)</f>
        <v>17.535860430747942</v>
      </c>
      <c r="E26" s="65">
        <f>IF(SER_hh_fech_in!E26=0,0,SER_hh_fech_in!E26/SER_summary!E$27)</f>
        <v>16.875389589396814</v>
      </c>
      <c r="F26" s="65">
        <f>IF(SER_hh_fech_in!F26=0,0,SER_hh_fech_in!F26/SER_summary!F$27)</f>
        <v>16.43342172994868</v>
      </c>
      <c r="G26" s="65">
        <f>IF(SER_hh_fech_in!G26=0,0,SER_hh_fech_in!G26/SER_summary!G$27)</f>
        <v>16.438094989477992</v>
      </c>
      <c r="H26" s="65">
        <f>IF(SER_hh_fech_in!H26=0,0,SER_hh_fech_in!H26/SER_summary!H$27)</f>
        <v>16.576436262875607</v>
      </c>
      <c r="I26" s="65">
        <f>IF(SER_hh_fech_in!I26=0,0,SER_hh_fech_in!I26/SER_summary!I$27)</f>
        <v>16.256241670509137</v>
      </c>
      <c r="J26" s="65">
        <f>IF(SER_hh_fech_in!J26=0,0,SER_hh_fech_in!J26/SER_summary!J$27)</f>
        <v>16.105217948867555</v>
      </c>
      <c r="K26" s="65">
        <f>IF(SER_hh_fech_in!K26=0,0,SER_hh_fech_in!K26/SER_summary!K$27)</f>
        <v>16.724960211405701</v>
      </c>
      <c r="L26" s="65">
        <f>IF(SER_hh_fech_in!L26=0,0,SER_hh_fech_in!L26/SER_summary!L$27)</f>
        <v>5.1232535199063971</v>
      </c>
      <c r="M26" s="65">
        <f>IF(SER_hh_fech_in!M26=0,0,SER_hh_fech_in!M26/SER_summary!M$27)</f>
        <v>4.7468673821704508</v>
      </c>
      <c r="N26" s="65">
        <f>IF(SER_hh_fech_in!N26=0,0,SER_hh_fech_in!N26/SER_summary!N$27)</f>
        <v>4.2120291821598466</v>
      </c>
      <c r="O26" s="65">
        <f>IF(SER_hh_fech_in!O26=0,0,SER_hh_fech_in!O26/SER_summary!O$27)</f>
        <v>4.1705094783989471</v>
      </c>
      <c r="P26" s="65">
        <f>IF(SER_hh_fech_in!P26=0,0,SER_hh_fech_in!P26/SER_summary!P$27)</f>
        <v>8.4479381908643916</v>
      </c>
      <c r="Q26" s="65">
        <f>IF(SER_hh_fech_in!Q26=0,0,SER_hh_fech_in!Q26/SER_summary!Q$27)</f>
        <v>3.5590841150599508</v>
      </c>
      <c r="R26" s="65">
        <f>IF(SER_hh_fech_in!R26=0,0,SER_hh_fech_in!R26/SER_summary!R$27)</f>
        <v>3.9112616144831125</v>
      </c>
      <c r="S26" s="65">
        <f>IF(SER_hh_fech_in!S26=0,0,SER_hh_fech_in!S26/SER_summary!S$27)</f>
        <v>4.2245173378049801</v>
      </c>
      <c r="T26" s="65">
        <f>IF(SER_hh_fech_in!T26=0,0,SER_hh_fech_in!T26/SER_summary!T$27)</f>
        <v>7.0968932513910152</v>
      </c>
      <c r="U26" s="65">
        <f>IF(SER_hh_fech_in!U26=0,0,SER_hh_fech_in!U26/SER_summary!U$27)</f>
        <v>4.4056235789178455</v>
      </c>
      <c r="V26" s="65">
        <f>IF(SER_hh_fech_in!V26=0,0,SER_hh_fech_in!V26/SER_summary!V$27)</f>
        <v>3.1900530535156353</v>
      </c>
      <c r="W26" s="65">
        <f>IF(SER_hh_fech_in!W26=0,0,SER_hh_fech_in!W26/SER_summary!W$27)</f>
        <v>3.4880273877953512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6.9819462972726587</v>
      </c>
      <c r="M27" s="146">
        <f>IF(SER_hh_fech_in!M27=0,0,SER_hh_fech_in!M27/SER_summary!M$27)</f>
        <v>5.5215889084861951</v>
      </c>
      <c r="N27" s="146">
        <f>IF(SER_hh_fech_in!N27=0,0,SER_hh_fech_in!N27/SER_summary!N$27)</f>
        <v>5.0135966879334832</v>
      </c>
      <c r="O27" s="146">
        <f>IF(SER_hh_fech_in!O27=0,0,SER_hh_fech_in!O27/SER_summary!O$27)</f>
        <v>6.0439455384347589</v>
      </c>
      <c r="P27" s="146">
        <f>IF(SER_hh_fech_in!P27=0,0,SER_hh_fech_in!P27/SER_summary!P$27)</f>
        <v>2.8625008088803749</v>
      </c>
      <c r="Q27" s="146">
        <f>IF(SER_hh_fech_in!Q27=0,0,SER_hh_fech_in!Q27/SER_summary!Q$27)</f>
        <v>5.2668963197094216</v>
      </c>
      <c r="R27" s="146">
        <f>IF(SER_hh_fech_in!R27=0,0,SER_hh_fech_in!R27/SER_summary!R$27)</f>
        <v>4.6845224409056865</v>
      </c>
      <c r="S27" s="146">
        <f>IF(SER_hh_fech_in!S27=0,0,SER_hh_fech_in!S27/SER_summary!S$27)</f>
        <v>4.7233178633983952</v>
      </c>
      <c r="T27" s="146">
        <f>IF(SER_hh_fech_in!T27=0,0,SER_hh_fech_in!T27/SER_summary!T$27)</f>
        <v>3.3401540550333375</v>
      </c>
      <c r="U27" s="146">
        <f>IF(SER_hh_fech_in!U27=0,0,SER_hh_fech_in!U27/SER_summary!U$27)</f>
        <v>4.8158845349086361</v>
      </c>
      <c r="V27" s="146">
        <f>IF(SER_hh_fech_in!V27=0,0,SER_hh_fech_in!V27/SER_summary!V$27)</f>
        <v>5.5750435590188907</v>
      </c>
      <c r="W27" s="146">
        <f>IF(SER_hh_fech_in!W27=0,0,SER_hh_fech_in!W27/SER_summary!W$27)</f>
        <v>5.1300919886389895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6.9819462972726587</v>
      </c>
      <c r="M28" s="147">
        <f>IF(SER_hh_fech_in!M28=0,0,SER_hh_fech_in!M28/SER_summary!M$27)</f>
        <v>7.4762222377403695</v>
      </c>
      <c r="N28" s="147">
        <f>IF(SER_hh_fech_in!N28=0,0,SER_hh_fech_in!N28/SER_summary!N$27)</f>
        <v>7.7835191218460764</v>
      </c>
      <c r="O28" s="147">
        <f>IF(SER_hh_fech_in!O28=0,0,SER_hh_fech_in!O28/SER_summary!O$27)</f>
        <v>7.5226566467025373</v>
      </c>
      <c r="P28" s="147">
        <f>IF(SER_hh_fech_in!P28=0,0,SER_hh_fech_in!P28/SER_summary!P$27)</f>
        <v>7.8102863575231121</v>
      </c>
      <c r="Q28" s="147">
        <f>IF(SER_hh_fech_in!Q28=0,0,SER_hh_fech_in!Q28/SER_summary!Q$27)</f>
        <v>8.0889859375150408</v>
      </c>
      <c r="R28" s="147">
        <f>IF(SER_hh_fech_in!R28=0,0,SER_hh_fech_in!R28/SER_summary!R$27)</f>
        <v>7.9218070660971174</v>
      </c>
      <c r="S28" s="147">
        <f>IF(SER_hh_fech_in!S28=0,0,SER_hh_fech_in!S28/SER_summary!S$27)</f>
        <v>7.8004953908350716</v>
      </c>
      <c r="T28" s="147">
        <f>IF(SER_hh_fech_in!T28=0,0,SER_hh_fech_in!T28/SER_summary!T$27)</f>
        <v>8.318064661864085</v>
      </c>
      <c r="U28" s="147">
        <f>IF(SER_hh_fech_in!U28=0,0,SER_hh_fech_in!U28/SER_summary!U$27)</f>
        <v>8.4568051583540473</v>
      </c>
      <c r="V28" s="147">
        <f>IF(SER_hh_fech_in!V28=0,0,SER_hh_fech_in!V28/SER_summary!V$27)</f>
        <v>7.1611009098280576</v>
      </c>
      <c r="W28" s="147">
        <f>IF(SER_hh_fech_in!W28=0,0,SER_hh_fech_in!W28/SER_summary!W$27)</f>
        <v>8.0315782297311138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18.173869556954379</v>
      </c>
      <c r="D29" s="131">
        <f>IF(SER_hh_fech_in!D29=0,0,SER_hh_fech_in!D29/SER_summary!D$27)</f>
        <v>17.688884567699727</v>
      </c>
      <c r="E29" s="131">
        <f>IF(SER_hh_fech_in!E29=0,0,SER_hh_fech_in!E29/SER_summary!E$27)</f>
        <v>17.460362065352644</v>
      </c>
      <c r="F29" s="131">
        <f>IF(SER_hh_fech_in!F29=0,0,SER_hh_fech_in!F29/SER_summary!F$27)</f>
        <v>17.392782231745525</v>
      </c>
      <c r="G29" s="131">
        <f>IF(SER_hh_fech_in!G29=0,0,SER_hh_fech_in!G29/SER_summary!G$27)</f>
        <v>16.934081177246231</v>
      </c>
      <c r="H29" s="131">
        <f>IF(SER_hh_fech_in!H29=0,0,SER_hh_fech_in!H29/SER_summary!H$27)</f>
        <v>17.124422398526825</v>
      </c>
      <c r="I29" s="131">
        <f>IF(SER_hh_fech_in!I29=0,0,SER_hh_fech_in!I29/SER_summary!I$27)</f>
        <v>16.729335715099854</v>
      </c>
      <c r="J29" s="131">
        <f>IF(SER_hh_fech_in!J29=0,0,SER_hh_fech_in!J29/SER_summary!J$27)</f>
        <v>19.396099673579645</v>
      </c>
      <c r="K29" s="131">
        <f>IF(SER_hh_fech_in!K29=0,0,SER_hh_fech_in!K29/SER_summary!K$27)</f>
        <v>17.273892126874646</v>
      </c>
      <c r="L29" s="131">
        <f>IF(SER_hh_fech_in!L29=0,0,SER_hh_fech_in!L29/SER_summary!L$27)</f>
        <v>20.455116790748328</v>
      </c>
      <c r="M29" s="131">
        <f>IF(SER_hh_fech_in!M29=0,0,SER_hh_fech_in!M29/SER_summary!M$27)</f>
        <v>18.134586092667284</v>
      </c>
      <c r="N29" s="131">
        <f>IF(SER_hh_fech_in!N29=0,0,SER_hh_fech_in!N29/SER_summary!N$27)</f>
        <v>19.097974956972038</v>
      </c>
      <c r="O29" s="131">
        <f>IF(SER_hh_fech_in!O29=0,0,SER_hh_fech_in!O29/SER_summary!O$27)</f>
        <v>18.106281103451259</v>
      </c>
      <c r="P29" s="131">
        <f>IF(SER_hh_fech_in!P29=0,0,SER_hh_fech_in!P29/SER_summary!P$27)</f>
        <v>18.014383207421357</v>
      </c>
      <c r="Q29" s="131">
        <f>IF(SER_hh_fech_in!Q29=0,0,SER_hh_fech_in!Q29/SER_summary!Q$27)</f>
        <v>17.888766234519235</v>
      </c>
      <c r="R29" s="131">
        <f>IF(SER_hh_fech_in!R29=0,0,SER_hh_fech_in!R29/SER_summary!R$27)</f>
        <v>17.780466265396722</v>
      </c>
      <c r="S29" s="131">
        <f>IF(SER_hh_fech_in!S29=0,0,SER_hh_fech_in!S29/SER_summary!S$27)</f>
        <v>19.032906983151612</v>
      </c>
      <c r="T29" s="131">
        <f>IF(SER_hh_fech_in!T29=0,0,SER_hh_fech_in!T29/SER_summary!T$27)</f>
        <v>20.52674059675893</v>
      </c>
      <c r="U29" s="131">
        <f>IF(SER_hh_fech_in!U29=0,0,SER_hh_fech_in!U29/SER_summary!U$27)</f>
        <v>19.978350036098703</v>
      </c>
      <c r="V29" s="131">
        <f>IF(SER_hh_fech_in!V29=0,0,SER_hh_fech_in!V29/SER_summary!V$27)</f>
        <v>16.623763988814702</v>
      </c>
      <c r="W29" s="131">
        <f>IF(SER_hh_fech_in!W29=0,0,SER_hh_fech_in!W29/SER_summary!W$27)</f>
        <v>17.878346867840506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46.331734317001477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26.802578379089546</v>
      </c>
      <c r="M30" s="133">
        <f>IF(SER_hh_fech_in!M30=0,0,SER_hh_fech_in!M30/SER_summary!M$27)</f>
        <v>24.899921975130347</v>
      </c>
      <c r="N30" s="133">
        <f>IF(SER_hh_fech_in!N30=0,0,SER_hh_fech_in!N30/SER_summary!N$27)</f>
        <v>39.399373311900469</v>
      </c>
      <c r="O30" s="133">
        <f>IF(SER_hh_fech_in!O30=0,0,SER_hh_fech_in!O30/SER_summary!O$27)</f>
        <v>28.209654736022479</v>
      </c>
      <c r="P30" s="133">
        <f>IF(SER_hh_fech_in!P30=0,0,SER_hh_fech_in!P30/SER_summary!P$27)</f>
        <v>17.737154621725647</v>
      </c>
      <c r="Q30" s="133">
        <f>IF(SER_hh_fech_in!Q30=0,0,SER_hh_fech_in!Q30/SER_summary!Q$27)</f>
        <v>17.91708549986603</v>
      </c>
      <c r="R30" s="133">
        <f>IF(SER_hh_fech_in!R30=0,0,SER_hh_fech_in!R30/SER_summary!R$27)</f>
        <v>20.95778019772813</v>
      </c>
      <c r="S30" s="133">
        <f>IF(SER_hh_fech_in!S30=0,0,SER_hh_fech_in!S30/SER_summary!S$27)</f>
        <v>24.750761673079893</v>
      </c>
      <c r="T30" s="133">
        <f>IF(SER_hh_fech_in!T30=0,0,SER_hh_fech_in!T30/SER_summary!T$27)</f>
        <v>26.630441607772465</v>
      </c>
      <c r="U30" s="133">
        <f>IF(SER_hh_fech_in!U30=0,0,SER_hh_fech_in!U30/SER_summary!U$27)</f>
        <v>25.788899066814626</v>
      </c>
      <c r="V30" s="133">
        <f>IF(SER_hh_fech_in!V30=0,0,SER_hh_fech_in!V30/SER_summary!V$27)</f>
        <v>20.961787892798483</v>
      </c>
      <c r="W30" s="133">
        <f>IF(SER_hh_fech_in!W30=0,0,SER_hh_fech_in!W30/SER_summary!W$27)</f>
        <v>24.455708930679673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22.416127060719543</v>
      </c>
      <c r="D31" s="133">
        <f>IF(SER_hh_fech_in!D31=0,0,SER_hh_fech_in!D31/SER_summary!D$27)</f>
        <v>20.630497187992102</v>
      </c>
      <c r="E31" s="133">
        <f>IF(SER_hh_fech_in!E31=0,0,SER_hh_fech_in!E31/SER_summary!E$27)</f>
        <v>21.617934070957933</v>
      </c>
      <c r="F31" s="133">
        <f>IF(SER_hh_fech_in!F31=0,0,SER_hh_fech_in!F31/SER_summary!F$27)</f>
        <v>21.839960830028154</v>
      </c>
      <c r="G31" s="133">
        <f>IF(SER_hh_fech_in!G31=0,0,SER_hh_fech_in!G31/SER_summary!G$27)</f>
        <v>19.996689671579531</v>
      </c>
      <c r="H31" s="133">
        <f>IF(SER_hh_fech_in!H31=0,0,SER_hh_fech_in!H31/SER_summary!H$27)</f>
        <v>22.081082757054958</v>
      </c>
      <c r="I31" s="133">
        <f>IF(SER_hh_fech_in!I31=0,0,SER_hh_fech_in!I31/SER_summary!I$27)</f>
        <v>22.325018374318592</v>
      </c>
      <c r="J31" s="133">
        <f>IF(SER_hh_fech_in!J31=0,0,SER_hh_fech_in!J31/SER_summary!J$27)</f>
        <v>22.133600857897015</v>
      </c>
      <c r="K31" s="133">
        <f>IF(SER_hh_fech_in!K31=0,0,SER_hh_fech_in!K31/SER_summary!K$27)</f>
        <v>22.023898050050338</v>
      </c>
      <c r="L31" s="133">
        <f>IF(SER_hh_fech_in!L31=0,0,SER_hh_fech_in!L31/SER_summary!L$27)</f>
        <v>22.516332325864493</v>
      </c>
      <c r="M31" s="133">
        <f>IF(SER_hh_fech_in!M31=0,0,SER_hh_fech_in!M31/SER_summary!M$27)</f>
        <v>22.741907029052818</v>
      </c>
      <c r="N31" s="133">
        <f>IF(SER_hh_fech_in!N31=0,0,SER_hh_fech_in!N31/SER_summary!N$27)</f>
        <v>23.224874821442302</v>
      </c>
      <c r="O31" s="133">
        <f>IF(SER_hh_fech_in!O31=0,0,SER_hh_fech_in!O31/SER_summary!O$27)</f>
        <v>23.469608387291469</v>
      </c>
      <c r="P31" s="133">
        <f>IF(SER_hh_fech_in!P31=0,0,SER_hh_fech_in!P31/SER_summary!P$27)</f>
        <v>23.532501422242909</v>
      </c>
      <c r="Q31" s="133">
        <f>IF(SER_hh_fech_in!Q31=0,0,SER_hh_fech_in!Q31/SER_summary!Q$27)</f>
        <v>23.718876042065173</v>
      </c>
      <c r="R31" s="133">
        <f>IF(SER_hh_fech_in!R31=0,0,SER_hh_fech_in!R31/SER_summary!R$27)</f>
        <v>23.631491586602163</v>
      </c>
      <c r="S31" s="133">
        <f>IF(SER_hh_fech_in!S31=0,0,SER_hh_fech_in!S31/SER_summary!S$27)</f>
        <v>24.255188738111581</v>
      </c>
      <c r="T31" s="133">
        <f>IF(SER_hh_fech_in!T31=0,0,SER_hh_fech_in!T31/SER_summary!T$27)</f>
        <v>24.81903414403083</v>
      </c>
      <c r="U31" s="133">
        <f>IF(SER_hh_fech_in!U31=0,0,SER_hh_fech_in!U31/SER_summary!U$27)</f>
        <v>24.363101652336336</v>
      </c>
      <c r="V31" s="133">
        <f>IF(SER_hh_fech_in!V31=0,0,SER_hh_fech_in!V31/SER_summary!V$27)</f>
        <v>21.28502805494038</v>
      </c>
      <c r="W31" s="133">
        <f>IF(SER_hh_fech_in!W31=0,0,SER_hh_fech_in!W31/SER_summary!W$27)</f>
        <v>23.719489453000712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31.502554154473717</v>
      </c>
      <c r="K32" s="133">
        <f>IF(SER_hh_fech_in!K32=0,0,SER_hh_fech_in!K32/SER_summary!K$27)</f>
        <v>25.067627350107855</v>
      </c>
      <c r="L32" s="133">
        <f>IF(SER_hh_fech_in!L32=0,0,SER_hh_fech_in!L32/SER_summary!L$27)</f>
        <v>23.075404436214399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20.054168927345462</v>
      </c>
      <c r="R32" s="133">
        <f>IF(SER_hh_fech_in!R32=0,0,SER_hh_fech_in!R32/SER_summary!R$27)</f>
        <v>16.119487101114817</v>
      </c>
      <c r="S32" s="133">
        <f>IF(SER_hh_fech_in!S32=0,0,SER_hh_fech_in!S32/SER_summary!S$27)</f>
        <v>23.124958313088396</v>
      </c>
      <c r="T32" s="133">
        <f>IF(SER_hh_fech_in!T32=0,0,SER_hh_fech_in!T32/SER_summary!T$27)</f>
        <v>27.594218821381276</v>
      </c>
      <c r="U32" s="133">
        <f>IF(SER_hh_fech_in!U32=0,0,SER_hh_fech_in!U32/SER_summary!U$27)</f>
        <v>27.911352006060987</v>
      </c>
      <c r="V32" s="133">
        <f>IF(SER_hh_fech_in!V32=0,0,SER_hh_fech_in!V32/SER_summary!V$27)</f>
        <v>23.631556632644816</v>
      </c>
      <c r="W32" s="133">
        <f>IF(SER_hh_fech_in!W32=0,0,SER_hh_fech_in!W32/SER_summary!W$27)</f>
        <v>23.677717580318067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17.446369456811034</v>
      </c>
      <c r="D33" s="68">
        <f>IF(SER_hh_fech_in!D33=0,0,SER_hh_fech_in!D33/SER_summary!D$27)</f>
        <v>17.372268542102375</v>
      </c>
      <c r="E33" s="68">
        <f>IF(SER_hh_fech_in!E33=0,0,SER_hh_fech_in!E33/SER_summary!E$27)</f>
        <v>16.944467240845167</v>
      </c>
      <c r="F33" s="68">
        <f>IF(SER_hh_fech_in!F33=0,0,SER_hh_fech_in!F33/SER_summary!F$27)</f>
        <v>16.690151096396921</v>
      </c>
      <c r="G33" s="68">
        <f>IF(SER_hh_fech_in!G33=0,0,SER_hh_fech_in!G33/SER_summary!G$27)</f>
        <v>16.413956995361165</v>
      </c>
      <c r="H33" s="68">
        <f>IF(SER_hh_fech_in!H33=0,0,SER_hh_fech_in!H33/SER_summary!H$27)</f>
        <v>16.075548889119901</v>
      </c>
      <c r="I33" s="68">
        <f>IF(SER_hh_fech_in!I33=0,0,SER_hh_fech_in!I33/SER_summary!I$27)</f>
        <v>15.86319017867325</v>
      </c>
      <c r="J33" s="68">
        <f>IF(SER_hh_fech_in!J33=0,0,SER_hh_fech_in!J33/SER_summary!J$27)</f>
        <v>15.999399612772809</v>
      </c>
      <c r="K33" s="68">
        <f>IF(SER_hh_fech_in!K33=0,0,SER_hh_fech_in!K33/SER_summary!K$27)</f>
        <v>16.503444682827443</v>
      </c>
      <c r="L33" s="68">
        <f>IF(SER_hh_fech_in!L33=0,0,SER_hh_fech_in!L33/SER_summary!L$27)</f>
        <v>17.166790335610127</v>
      </c>
      <c r="M33" s="68">
        <f>IF(SER_hh_fech_in!M33=0,0,SER_hh_fech_in!M33/SER_summary!M$27)</f>
        <v>16.920214131926407</v>
      </c>
      <c r="N33" s="68">
        <f>IF(SER_hh_fech_in!N33=0,0,SER_hh_fech_in!N33/SER_summary!N$27)</f>
        <v>17.074025995888242</v>
      </c>
      <c r="O33" s="68">
        <f>IF(SER_hh_fech_in!O33=0,0,SER_hh_fech_in!O33/SER_summary!O$27)</f>
        <v>17.364690464824605</v>
      </c>
      <c r="P33" s="68">
        <f>IF(SER_hh_fech_in!P33=0,0,SER_hh_fech_in!P33/SER_summary!P$27)</f>
        <v>17.307637316300774</v>
      </c>
      <c r="Q33" s="68">
        <f>IF(SER_hh_fech_in!Q33=0,0,SER_hh_fech_in!Q33/SER_summary!Q$27)</f>
        <v>17.15528067117118</v>
      </c>
      <c r="R33" s="68">
        <f>IF(SER_hh_fech_in!R33=0,0,SER_hh_fech_in!R33/SER_summary!R$27)</f>
        <v>17.175980448399859</v>
      </c>
      <c r="S33" s="68">
        <f>IF(SER_hh_fech_in!S33=0,0,SER_hh_fech_in!S33/SER_summary!S$27)</f>
        <v>17.218752965806164</v>
      </c>
      <c r="T33" s="68">
        <f>IF(SER_hh_fech_in!T33=0,0,SER_hh_fech_in!T33/SER_summary!T$27)</f>
        <v>17.429935222620074</v>
      </c>
      <c r="U33" s="68">
        <f>IF(SER_hh_fech_in!U33=0,0,SER_hh_fech_in!U33/SER_summary!U$27)</f>
        <v>17.35248366795259</v>
      </c>
      <c r="V33" s="68">
        <f>IF(SER_hh_fech_in!V33=0,0,SER_hh_fech_in!V33/SER_summary!V$27)</f>
        <v>14.974579351656551</v>
      </c>
      <c r="W33" s="68">
        <f>IF(SER_hh_fech_in!W33=0,0,SER_hh_fech_in!W33/SER_summary!W$27)</f>
        <v>16.310598010664464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87.3762217795026</v>
      </c>
      <c r="D3" s="126">
        <f>IF(SER_hh_tesh_in!D3=0,0,SER_hh_tesh_in!D3/SER_summary!D$27)</f>
        <v>73.729354020033355</v>
      </c>
      <c r="E3" s="126">
        <f>IF(SER_hh_tesh_in!E3=0,0,SER_hh_tesh_in!E3/SER_summary!E$27)</f>
        <v>79.891686478230298</v>
      </c>
      <c r="F3" s="126">
        <f>IF(SER_hh_tesh_in!F3=0,0,SER_hh_tesh_in!F3/SER_summary!F$27)</f>
        <v>72.176484054186474</v>
      </c>
      <c r="G3" s="126">
        <f>IF(SER_hh_tesh_in!G3=0,0,SER_hh_tesh_in!G3/SER_summary!G$27)</f>
        <v>90.826633853490193</v>
      </c>
      <c r="H3" s="126">
        <f>IF(SER_hh_tesh_in!H3=0,0,SER_hh_tesh_in!H3/SER_summary!H$27)</f>
        <v>88.937371173022399</v>
      </c>
      <c r="I3" s="126">
        <f>IF(SER_hh_tesh_in!I3=0,0,SER_hh_tesh_in!I3/SER_summary!I$27)</f>
        <v>100.05371962734182</v>
      </c>
      <c r="J3" s="126">
        <f>IF(SER_hh_tesh_in!J3=0,0,SER_hh_tesh_in!J3/SER_summary!J$27)</f>
        <v>89.034706319201888</v>
      </c>
      <c r="K3" s="126">
        <f>IF(SER_hh_tesh_in!K3=0,0,SER_hh_tesh_in!K3/SER_summary!K$27)</f>
        <v>79.841224018534319</v>
      </c>
      <c r="L3" s="126">
        <f>IF(SER_hh_tesh_in!L3=0,0,SER_hh_tesh_in!L3/SER_summary!L$27)</f>
        <v>90.945476555305873</v>
      </c>
      <c r="M3" s="126">
        <f>IF(SER_hh_tesh_in!M3=0,0,SER_hh_tesh_in!M3/SER_summary!M$27)</f>
        <v>86.677117097811802</v>
      </c>
      <c r="N3" s="126">
        <f>IF(SER_hh_tesh_in!N3=0,0,SER_hh_tesh_in!N3/SER_summary!N$27)</f>
        <v>106.99272584322652</v>
      </c>
      <c r="O3" s="126">
        <f>IF(SER_hh_tesh_in!O3=0,0,SER_hh_tesh_in!O3/SER_summary!O$27)</f>
        <v>80.138746833891034</v>
      </c>
      <c r="P3" s="126">
        <f>IF(SER_hh_tesh_in!P3=0,0,SER_hh_tesh_in!P3/SER_summary!P$27)</f>
        <v>73.925212928734055</v>
      </c>
      <c r="Q3" s="126">
        <f>IF(SER_hh_tesh_in!Q3=0,0,SER_hh_tesh_in!Q3/SER_summary!Q$27)</f>
        <v>86.729717593022841</v>
      </c>
      <c r="R3" s="126">
        <f>IF(SER_hh_tesh_in!R3=0,0,SER_hh_tesh_in!R3/SER_summary!R$27)</f>
        <v>83.988630090268558</v>
      </c>
      <c r="S3" s="126">
        <f>IF(SER_hh_tesh_in!S3=0,0,SER_hh_tesh_in!S3/SER_summary!S$27)</f>
        <v>84.543572594969589</v>
      </c>
      <c r="T3" s="126">
        <f>IF(SER_hh_tesh_in!T3=0,0,SER_hh_tesh_in!T3/SER_summary!T$27)</f>
        <v>80.242320911085898</v>
      </c>
      <c r="U3" s="126">
        <f>IF(SER_hh_tesh_in!U3=0,0,SER_hh_tesh_in!U3/SER_summary!U$27)</f>
        <v>80.286705440131058</v>
      </c>
      <c r="V3" s="126">
        <f>IF(SER_hh_tesh_in!V3=0,0,SER_hh_tesh_in!V3/SER_summary!V$27)</f>
        <v>70.233760619041931</v>
      </c>
      <c r="W3" s="126">
        <f>IF(SER_hh_tesh_in!W3=0,0,SER_hh_tesh_in!W3/SER_summary!W$27)</f>
        <v>83.335654284016371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38.629646205842</v>
      </c>
      <c r="D4" s="131">
        <f>IF(SER_hh_tesh_in!D4=0,0,SER_hh_tesh_in!D4/SER_summary!D$27)</f>
        <v>36.766703486069048</v>
      </c>
      <c r="E4" s="131">
        <f>IF(SER_hh_tesh_in!E4=0,0,SER_hh_tesh_in!E4/SER_summary!E$27)</f>
        <v>39.316175587533529</v>
      </c>
      <c r="F4" s="131">
        <f>IF(SER_hh_tesh_in!F4=0,0,SER_hh_tesh_in!F4/SER_summary!F$27)</f>
        <v>32.69136205472185</v>
      </c>
      <c r="G4" s="131">
        <f>IF(SER_hh_tesh_in!G4=0,0,SER_hh_tesh_in!G4/SER_summary!G$27)</f>
        <v>53.641502110681195</v>
      </c>
      <c r="H4" s="131">
        <f>IF(SER_hh_tesh_in!H4=0,0,SER_hh_tesh_in!H4/SER_summary!H$27)</f>
        <v>47.420735199777766</v>
      </c>
      <c r="I4" s="131">
        <f>IF(SER_hh_tesh_in!I4=0,0,SER_hh_tesh_in!I4/SER_summary!I$27)</f>
        <v>38.846621146236501</v>
      </c>
      <c r="J4" s="131">
        <f>IF(SER_hh_tesh_in!J4=0,0,SER_hh_tesh_in!J4/SER_summary!J$27)</f>
        <v>41.250074837481648</v>
      </c>
      <c r="K4" s="131">
        <f>IF(SER_hh_tesh_in!K4=0,0,SER_hh_tesh_in!K4/SER_summary!K$27)</f>
        <v>36.002261826617122</v>
      </c>
      <c r="L4" s="131">
        <f>IF(SER_hh_tesh_in!L4=0,0,SER_hh_tesh_in!L4/SER_summary!L$27)</f>
        <v>40.353058759671285</v>
      </c>
      <c r="M4" s="131">
        <f>IF(SER_hh_tesh_in!M4=0,0,SER_hh_tesh_in!M4/SER_summary!M$27)</f>
        <v>41.438792864801066</v>
      </c>
      <c r="N4" s="131">
        <f>IF(SER_hh_tesh_in!N4=0,0,SER_hh_tesh_in!N4/SER_summary!N$27)</f>
        <v>37.97993332486093</v>
      </c>
      <c r="O4" s="131">
        <f>IF(SER_hh_tesh_in!O4=0,0,SER_hh_tesh_in!O4/SER_summary!O$27)</f>
        <v>34.523049435075293</v>
      </c>
      <c r="P4" s="131">
        <f>IF(SER_hh_tesh_in!P4=0,0,SER_hh_tesh_in!P4/SER_summary!P$27)</f>
        <v>30.363498409771431</v>
      </c>
      <c r="Q4" s="131">
        <f>IF(SER_hh_tesh_in!Q4=0,0,SER_hh_tesh_in!Q4/SER_summary!Q$27)</f>
        <v>34.805791283745464</v>
      </c>
      <c r="R4" s="131">
        <f>IF(SER_hh_tesh_in!R4=0,0,SER_hh_tesh_in!R4/SER_summary!R$27)</f>
        <v>34.557767570542936</v>
      </c>
      <c r="S4" s="131">
        <f>IF(SER_hh_tesh_in!S4=0,0,SER_hh_tesh_in!S4/SER_summary!S$27)</f>
        <v>33.354999868572719</v>
      </c>
      <c r="T4" s="131">
        <f>IF(SER_hh_tesh_in!T4=0,0,SER_hh_tesh_in!T4/SER_summary!T$27)</f>
        <v>34.966498508053299</v>
      </c>
      <c r="U4" s="131">
        <f>IF(SER_hh_tesh_in!U4=0,0,SER_hh_tesh_in!U4/SER_summary!U$27)</f>
        <v>33.278225956303402</v>
      </c>
      <c r="V4" s="131">
        <f>IF(SER_hh_tesh_in!V4=0,0,SER_hh_tesh_in!V4/SER_summary!V$27)</f>
        <v>26.714994043542585</v>
      </c>
      <c r="W4" s="131">
        <f>IF(SER_hh_tesh_in!W4=0,0,SER_hh_tesh_in!W4/SER_summary!W$27)</f>
        <v>32.272156207639988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32.983317854215151</v>
      </c>
      <c r="D5" s="133">
        <f>IF(SER_hh_tesh_in!D5=0,0,SER_hh_tesh_in!D5/SER_summary!D$27)</f>
        <v>40.513912180635238</v>
      </c>
      <c r="E5" s="133">
        <f>IF(SER_hh_tesh_in!E5=0,0,SER_hh_tesh_in!E5/SER_summary!E$27)</f>
        <v>44.338773291980601</v>
      </c>
      <c r="F5" s="133">
        <f>IF(SER_hh_tesh_in!F5=0,0,SER_hh_tesh_in!F5/SER_summary!F$27)</f>
        <v>30.68649408943088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45.311756679957334</v>
      </c>
      <c r="K5" s="133">
        <f>IF(SER_hh_tesh_in!K5=0,0,SER_hh_tesh_in!K5/SER_summary!K$27)</f>
        <v>38.14010824418849</v>
      </c>
      <c r="L5" s="133">
        <f>IF(SER_hh_tesh_in!L5=0,0,SER_hh_tesh_in!L5/SER_summary!L$27)</f>
        <v>36.524983607191402</v>
      </c>
      <c r="M5" s="133">
        <f>IF(SER_hh_tesh_in!M5=0,0,SER_hh_tesh_in!M5/SER_summary!M$27)</f>
        <v>40.502536633928869</v>
      </c>
      <c r="N5" s="133">
        <f>IF(SER_hh_tesh_in!N5=0,0,SER_hh_tesh_in!N5/SER_summary!N$27)</f>
        <v>30.263231200405528</v>
      </c>
      <c r="O5" s="133">
        <f>IF(SER_hh_tesh_in!O5=0,0,SER_hh_tesh_in!O5/SER_summary!O$27)</f>
        <v>39.455692934335659</v>
      </c>
      <c r="P5" s="133">
        <f>IF(SER_hh_tesh_in!P5=0,0,SER_hh_tesh_in!P5/SER_summary!P$27)</f>
        <v>17.484020983263019</v>
      </c>
      <c r="Q5" s="133">
        <f>IF(SER_hh_tesh_in!Q5=0,0,SER_hh_tesh_in!Q5/SER_summary!Q$27)</f>
        <v>44.207210639849308</v>
      </c>
      <c r="R5" s="133">
        <f>IF(SER_hh_tesh_in!R5=0,0,SER_hh_tesh_in!R5/SER_summary!R$27)</f>
        <v>47.41724771313519</v>
      </c>
      <c r="S5" s="133">
        <f>IF(SER_hh_tesh_in!S5=0,0,SER_hh_tesh_in!S5/SER_summary!S$27)</f>
        <v>32.94308763838216</v>
      </c>
      <c r="T5" s="133">
        <f>IF(SER_hh_tesh_in!T5=0,0,SER_hh_tesh_in!T5/SER_summary!T$27)</f>
        <v>23.794769535207237</v>
      </c>
      <c r="U5" s="133">
        <f>IF(SER_hh_tesh_in!U5=0,0,SER_hh_tesh_in!U5/SER_summary!U$27)</f>
        <v>36.590530706451254</v>
      </c>
      <c r="V5" s="133">
        <f>IF(SER_hh_tesh_in!V5=0,0,SER_hh_tesh_in!V5/SER_summary!V$27)</f>
        <v>29.44883220016181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51.092086557105247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47.401217128024143</v>
      </c>
      <c r="I7" s="133">
        <f>IF(SER_hh_tesh_in!I7=0,0,SER_hh_tesh_in!I7/SER_summary!I$27)</f>
        <v>32.52593749725505</v>
      </c>
      <c r="J7" s="133">
        <f>IF(SER_hh_tesh_in!J7=0,0,SER_hh_tesh_in!J7/SER_summary!J$27)</f>
        <v>42.099117789403167</v>
      </c>
      <c r="K7" s="133">
        <f>IF(SER_hh_tesh_in!K7=0,0,SER_hh_tesh_in!K7/SER_summary!K$27)</f>
        <v>47.798243419193341</v>
      </c>
      <c r="L7" s="133">
        <f>IF(SER_hh_tesh_in!L7=0,0,SER_hh_tesh_in!L7/SER_summary!L$27)</f>
        <v>33.167786993368352</v>
      </c>
      <c r="M7" s="133">
        <f>IF(SER_hh_tesh_in!M7=0,0,SER_hh_tesh_in!M7/SER_summary!M$27)</f>
        <v>0</v>
      </c>
      <c r="N7" s="133">
        <f>IF(SER_hh_tesh_in!N7=0,0,SER_hh_tesh_in!N7/SER_summary!N$27)</f>
        <v>36.184718958332105</v>
      </c>
      <c r="O7" s="133">
        <f>IF(SER_hh_tesh_in!O7=0,0,SER_hh_tesh_in!O7/SER_summary!O$27)</f>
        <v>27.348468009388654</v>
      </c>
      <c r="P7" s="133">
        <f>IF(SER_hh_tesh_in!P7=0,0,SER_hh_tesh_in!P7/SER_summary!P$27)</f>
        <v>16.502629739690651</v>
      </c>
      <c r="Q7" s="133">
        <f>IF(SER_hh_tesh_in!Q7=0,0,SER_hh_tesh_in!Q7/SER_summary!Q$27)</f>
        <v>44.77242270669668</v>
      </c>
      <c r="R7" s="133">
        <f>IF(SER_hh_tesh_in!R7=0,0,SER_hh_tesh_in!R7/SER_summary!R$27)</f>
        <v>41.10226735280667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40.755561755755153</v>
      </c>
      <c r="D9" s="133">
        <f>IF(SER_hh_tesh_in!D9=0,0,SER_hh_tesh_in!D9/SER_summary!D$27)</f>
        <v>34.31156431545061</v>
      </c>
      <c r="E9" s="133">
        <f>IF(SER_hh_tesh_in!E9=0,0,SER_hh_tesh_in!E9/SER_summary!E$27)</f>
        <v>38.365743357671597</v>
      </c>
      <c r="F9" s="133">
        <f>IF(SER_hh_tesh_in!F9=0,0,SER_hh_tesh_in!F9/SER_summary!F$27)</f>
        <v>29.657934251969678</v>
      </c>
      <c r="G9" s="133">
        <f>IF(SER_hh_tesh_in!G9=0,0,SER_hh_tesh_in!G9/SER_summary!G$27)</f>
        <v>37.478625370083634</v>
      </c>
      <c r="H9" s="133">
        <f>IF(SER_hh_tesh_in!H9=0,0,SER_hh_tesh_in!H9/SER_summary!H$27)</f>
        <v>47.309570121204004</v>
      </c>
      <c r="I9" s="133">
        <f>IF(SER_hh_tesh_in!I9=0,0,SER_hh_tesh_in!I9/SER_summary!I$27)</f>
        <v>42.046087915177921</v>
      </c>
      <c r="J9" s="133">
        <f>IF(SER_hh_tesh_in!J9=0,0,SER_hh_tesh_in!J9/SER_summary!J$27)</f>
        <v>48.894123698859865</v>
      </c>
      <c r="K9" s="133">
        <f>IF(SER_hh_tesh_in!K9=0,0,SER_hh_tesh_in!K9/SER_summary!K$27)</f>
        <v>30.422911270009209</v>
      </c>
      <c r="L9" s="133">
        <f>IF(SER_hh_tesh_in!L9=0,0,SER_hh_tesh_in!L9/SER_summary!L$27)</f>
        <v>41.055131442242178</v>
      </c>
      <c r="M9" s="133">
        <f>IF(SER_hh_tesh_in!M9=0,0,SER_hh_tesh_in!M9/SER_summary!M$27)</f>
        <v>41.690181531886232</v>
      </c>
      <c r="N9" s="133">
        <f>IF(SER_hh_tesh_in!N9=0,0,SER_hh_tesh_in!N9/SER_summary!N$27)</f>
        <v>35.946163769282542</v>
      </c>
      <c r="O9" s="133">
        <f>IF(SER_hh_tesh_in!O9=0,0,SER_hh_tesh_in!O9/SER_summary!O$27)</f>
        <v>30.319471538628335</v>
      </c>
      <c r="P9" s="133">
        <f>IF(SER_hh_tesh_in!P9=0,0,SER_hh_tesh_in!P9/SER_summary!P$27)</f>
        <v>30.307614769575878</v>
      </c>
      <c r="Q9" s="133">
        <f>IF(SER_hh_tesh_in!Q9=0,0,SER_hh_tesh_in!Q9/SER_summary!Q$27)</f>
        <v>33.165530399850006</v>
      </c>
      <c r="R9" s="133">
        <f>IF(SER_hh_tesh_in!R9=0,0,SER_hh_tesh_in!R9/SER_summary!R$27)</f>
        <v>34.003995037728579</v>
      </c>
      <c r="S9" s="133">
        <f>IF(SER_hh_tesh_in!S9=0,0,SER_hh_tesh_in!S9/SER_summary!S$27)</f>
        <v>33.105222392316826</v>
      </c>
      <c r="T9" s="133">
        <f>IF(SER_hh_tesh_in!T9=0,0,SER_hh_tesh_in!T9/SER_summary!T$27)</f>
        <v>34.498156254452681</v>
      </c>
      <c r="U9" s="133">
        <f>IF(SER_hh_tesh_in!U9=0,0,SER_hh_tesh_in!U9/SER_summary!U$27)</f>
        <v>28.999243375793721</v>
      </c>
      <c r="V9" s="133">
        <f>IF(SER_hh_tesh_in!V9=0,0,SER_hh_tesh_in!V9/SER_summary!V$27)</f>
        <v>27.469654452004907</v>
      </c>
      <c r="W9" s="133">
        <f>IF(SER_hh_tesh_in!W9=0,0,SER_hh_tesh_in!W9/SER_summary!W$27)</f>
        <v>30.813740549426729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31.059587935641044</v>
      </c>
      <c r="E10" s="133">
        <f>IF(SER_hh_tesh_in!E10=0,0,SER_hh_tesh_in!E10/SER_summary!E$27)</f>
        <v>44.717040911680023</v>
      </c>
      <c r="F10" s="133">
        <f>IF(SER_hh_tesh_in!F10=0,0,SER_hh_tesh_in!F10/SER_summary!F$27)</f>
        <v>28.882892911094604</v>
      </c>
      <c r="G10" s="133">
        <f>IF(SER_hh_tesh_in!G10=0,0,SER_hh_tesh_in!G10/SER_summary!G$27)</f>
        <v>39.879736593160182</v>
      </c>
      <c r="H10" s="133">
        <f>IF(SER_hh_tesh_in!H10=0,0,SER_hh_tesh_in!H10/SER_summary!H$27)</f>
        <v>49.57355379242361</v>
      </c>
      <c r="I10" s="133">
        <f>IF(SER_hh_tesh_in!I10=0,0,SER_hh_tesh_in!I10/SER_summary!I$27)</f>
        <v>39.654073112803466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18.378330863420455</v>
      </c>
      <c r="M10" s="133">
        <f>IF(SER_hh_tesh_in!M10=0,0,SER_hh_tesh_in!M10/SER_summary!M$27)</f>
        <v>14.599259027975762</v>
      </c>
      <c r="N10" s="133">
        <f>IF(SER_hh_tesh_in!N10=0,0,SER_hh_tesh_in!N10/SER_summary!N$27)</f>
        <v>80.980415503686359</v>
      </c>
      <c r="O10" s="133">
        <f>IF(SER_hh_tesh_in!O10=0,0,SER_hh_tesh_in!O10/SER_summary!O$27)</f>
        <v>39.295057626190463</v>
      </c>
      <c r="P10" s="133">
        <f>IF(SER_hh_tesh_in!P10=0,0,SER_hh_tesh_in!P10/SER_summary!P$27)</f>
        <v>0</v>
      </c>
      <c r="Q10" s="133">
        <f>IF(SER_hh_tesh_in!Q10=0,0,SER_hh_tesh_in!Q10/SER_summary!Q$27)</f>
        <v>17.592736149163624</v>
      </c>
      <c r="R10" s="133">
        <f>IF(SER_hh_tesh_in!R10=0,0,SER_hh_tesh_in!R10/SER_summary!R$27)</f>
        <v>6.6704248488662854</v>
      </c>
      <c r="S10" s="133">
        <f>IF(SER_hh_tesh_in!S10=0,0,SER_hh_tesh_in!S10/SER_summary!S$27)</f>
        <v>36.003905293183557</v>
      </c>
      <c r="T10" s="133">
        <f>IF(SER_hh_tesh_in!T10=0,0,SER_hh_tesh_in!T10/SER_summary!T$27)</f>
        <v>40.223852545585302</v>
      </c>
      <c r="U10" s="133">
        <f>IF(SER_hh_tesh_in!U10=0,0,SER_hh_tesh_in!U10/SER_summary!U$27)</f>
        <v>37.190473707026911</v>
      </c>
      <c r="V10" s="133">
        <f>IF(SER_hh_tesh_in!V10=0,0,SER_hh_tesh_in!V10/SER_summary!V$27)</f>
        <v>25.02575704247586</v>
      </c>
      <c r="W10" s="133">
        <f>IF(SER_hh_tesh_in!W10=0,0,SER_hh_tesh_in!W10/SER_summary!W$27)</f>
        <v>31.926922111300151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62.116226600395535</v>
      </c>
      <c r="H11" s="133">
        <f>IF(SER_hh_tesh_in!H11=0,0,SER_hh_tesh_in!H11/SER_summary!H$27)</f>
        <v>48.569507032881383</v>
      </c>
      <c r="I11" s="133">
        <f>IF(SER_hh_tesh_in!I11=0,0,SER_hh_tesh_in!I11/SER_summary!I$27)</f>
        <v>40.839587109856524</v>
      </c>
      <c r="J11" s="133">
        <f>IF(SER_hh_tesh_in!J11=0,0,SER_hh_tesh_in!J11/SER_summary!J$27)</f>
        <v>39.997273399759827</v>
      </c>
      <c r="K11" s="133">
        <f>IF(SER_hh_tesh_in!K11=0,0,SER_hh_tesh_in!K11/SER_summary!K$27)</f>
        <v>39.090882638101284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36.423311630126207</v>
      </c>
      <c r="O11" s="133">
        <f>IF(SER_hh_tesh_in!O11=0,0,SER_hh_tesh_in!O11/SER_summary!O$27)</f>
        <v>33.714823629605512</v>
      </c>
      <c r="P11" s="133">
        <f>IF(SER_hh_tesh_in!P11=0,0,SER_hh_tesh_in!P11/SER_summary!P$27)</f>
        <v>31.632691561185986</v>
      </c>
      <c r="Q11" s="133">
        <f>IF(SER_hh_tesh_in!Q11=0,0,SER_hh_tesh_in!Q11/SER_summary!Q$27)</f>
        <v>31.521085332619108</v>
      </c>
      <c r="R11" s="133">
        <f>IF(SER_hh_tesh_in!R11=0,0,SER_hh_tesh_in!R11/SER_summary!R$27)</f>
        <v>33.020620466271737</v>
      </c>
      <c r="S11" s="133">
        <f>IF(SER_hh_tesh_in!S11=0,0,SER_hh_tesh_in!S11/SER_summary!S$27)</f>
        <v>32.845470502408645</v>
      </c>
      <c r="T11" s="133">
        <f>IF(SER_hh_tesh_in!T11=0,0,SER_hh_tesh_in!T11/SER_summary!T$27)</f>
        <v>32.117964690716988</v>
      </c>
      <c r="U11" s="133">
        <f>IF(SER_hh_tesh_in!U11=0,0,SER_hh_tesh_in!U11/SER_summary!U$27)</f>
        <v>31.395899864186386</v>
      </c>
      <c r="V11" s="133">
        <f>IF(SER_hh_tesh_in!V11=0,0,SER_hh_tesh_in!V11/SER_summary!V$27)</f>
        <v>30.445295271111551</v>
      </c>
      <c r="W11" s="133">
        <f>IF(SER_hh_tesh_in!W11=0,0,SER_hh_tesh_in!W11/SER_summary!W$27)</f>
        <v>28.646183463056577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42.168789667284869</v>
      </c>
      <c r="D12" s="133">
        <f>IF(SER_hh_tesh_in!D12=0,0,SER_hh_tesh_in!D12/SER_summary!D$27)</f>
        <v>36.856149977759486</v>
      </c>
      <c r="E12" s="133">
        <f>IF(SER_hh_tesh_in!E12=0,0,SER_hh_tesh_in!E12/SER_summary!E$27)</f>
        <v>37.570447398454085</v>
      </c>
      <c r="F12" s="133">
        <f>IF(SER_hh_tesh_in!F12=0,0,SER_hh_tesh_in!F12/SER_summary!F$27)</f>
        <v>30.983242513520491</v>
      </c>
      <c r="G12" s="133">
        <f>IF(SER_hh_tesh_in!G12=0,0,SER_hh_tesh_in!G12/SER_summary!G$27)</f>
        <v>0</v>
      </c>
      <c r="H12" s="133">
        <f>IF(SER_hh_tesh_in!H12=0,0,SER_hh_tesh_in!H12/SER_summary!H$27)</f>
        <v>48.205850131898679</v>
      </c>
      <c r="I12" s="133">
        <f>IF(SER_hh_tesh_in!I12=0,0,SER_hh_tesh_in!I12/SER_summary!I$27)</f>
        <v>35.945592774412724</v>
      </c>
      <c r="J12" s="133">
        <f>IF(SER_hh_tesh_in!J12=0,0,SER_hh_tesh_in!J12/SER_summary!J$27)</f>
        <v>0</v>
      </c>
      <c r="K12" s="133">
        <f>IF(SER_hh_tesh_in!K12=0,0,SER_hh_tesh_in!K12/SER_summary!K$27)</f>
        <v>36.048949152997899</v>
      </c>
      <c r="L12" s="133">
        <f>IF(SER_hh_tesh_in!L12=0,0,SER_hh_tesh_in!L12/SER_summary!L$27)</f>
        <v>36.508782540227266</v>
      </c>
      <c r="M12" s="133">
        <f>IF(SER_hh_tesh_in!M12=0,0,SER_hh_tesh_in!M12/SER_summary!M$27)</f>
        <v>48.117498078535583</v>
      </c>
      <c r="N12" s="133">
        <f>IF(SER_hh_tesh_in!N12=0,0,SER_hh_tesh_in!N12/SER_summary!N$27)</f>
        <v>32.77951694184646</v>
      </c>
      <c r="O12" s="133">
        <f>IF(SER_hh_tesh_in!O12=0,0,SER_hh_tesh_in!O12/SER_summary!O$27)</f>
        <v>31.076105872363559</v>
      </c>
      <c r="P12" s="133">
        <f>IF(SER_hh_tesh_in!P12=0,0,SER_hh_tesh_in!P12/SER_summary!P$27)</f>
        <v>30.48936472322211</v>
      </c>
      <c r="Q12" s="133">
        <f>IF(SER_hh_tesh_in!Q12=0,0,SER_hh_tesh_in!Q12/SER_summary!Q$27)</f>
        <v>32.777195469573812</v>
      </c>
      <c r="R12" s="133">
        <f>IF(SER_hh_tesh_in!R12=0,0,SER_hh_tesh_in!R12/SER_summary!R$27)</f>
        <v>43.308946441415614</v>
      </c>
      <c r="S12" s="133">
        <f>IF(SER_hh_tesh_in!S12=0,0,SER_hh_tesh_in!S12/SER_summary!S$27)</f>
        <v>30.675960410892479</v>
      </c>
      <c r="T12" s="133">
        <f>IF(SER_hh_tesh_in!T12=0,0,SER_hh_tesh_in!T12/SER_summary!T$27)</f>
        <v>38.406406431148476</v>
      </c>
      <c r="U12" s="133">
        <f>IF(SER_hh_tesh_in!U12=0,0,SER_hh_tesh_in!U12/SER_summary!U$27)</f>
        <v>33.931084490319876</v>
      </c>
      <c r="V12" s="133">
        <f>IF(SER_hh_tesh_in!V12=0,0,SER_hh_tesh_in!V12/SER_summary!V$27)</f>
        <v>25.107706357972678</v>
      </c>
      <c r="W12" s="133">
        <f>IF(SER_hh_tesh_in!W12=0,0,SER_hh_tesh_in!W12/SER_summary!W$27)</f>
        <v>30.757491317542698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28.261650892606617</v>
      </c>
      <c r="D13" s="133">
        <f>IF(SER_hh_tesh_in!D13=0,0,SER_hh_tesh_in!D13/SER_summary!D$27)</f>
        <v>34.745983439127407</v>
      </c>
      <c r="E13" s="133">
        <f>IF(SER_hh_tesh_in!E13=0,0,SER_hh_tesh_in!E13/SER_summary!E$27)</f>
        <v>39.151403481687105</v>
      </c>
      <c r="F13" s="133">
        <f>IF(SER_hh_tesh_in!F13=0,0,SER_hh_tesh_in!F13/SER_summary!F$27)</f>
        <v>36.294573747006801</v>
      </c>
      <c r="G13" s="133">
        <f>IF(SER_hh_tesh_in!G13=0,0,SER_hh_tesh_in!G13/SER_summary!G$27)</f>
        <v>39.671174138675525</v>
      </c>
      <c r="H13" s="133">
        <f>IF(SER_hh_tesh_in!H13=0,0,SER_hh_tesh_in!H13/SER_summary!H$27)</f>
        <v>45.069071312657954</v>
      </c>
      <c r="I13" s="133">
        <f>IF(SER_hh_tesh_in!I13=0,0,SER_hh_tesh_in!I13/SER_summary!I$27)</f>
        <v>40.455780140725828</v>
      </c>
      <c r="J13" s="133">
        <f>IF(SER_hh_tesh_in!J13=0,0,SER_hh_tesh_in!J13/SER_summary!J$27)</f>
        <v>37.077094082119785</v>
      </c>
      <c r="K13" s="133">
        <f>IF(SER_hh_tesh_in!K13=0,0,SER_hh_tesh_in!K13/SER_summary!K$27)</f>
        <v>39.107144541630845</v>
      </c>
      <c r="L13" s="133">
        <f>IF(SER_hh_tesh_in!L13=0,0,SER_hh_tesh_in!L13/SER_summary!L$27)</f>
        <v>41.259864056215278</v>
      </c>
      <c r="M13" s="133">
        <f>IF(SER_hh_tesh_in!M13=0,0,SER_hh_tesh_in!M13/SER_summary!M$27)</f>
        <v>38.260450682056408</v>
      </c>
      <c r="N13" s="133">
        <f>IF(SER_hh_tesh_in!N13=0,0,SER_hh_tesh_in!N13/SER_summary!N$27)</f>
        <v>33.914779041032475</v>
      </c>
      <c r="O13" s="133">
        <f>IF(SER_hh_tesh_in!O13=0,0,SER_hh_tesh_in!O13/SER_summary!O$27)</f>
        <v>36.341638955074494</v>
      </c>
      <c r="P13" s="133">
        <f>IF(SER_hh_tesh_in!P13=0,0,SER_hh_tesh_in!P13/SER_summary!P$27)</f>
        <v>31.317082100003894</v>
      </c>
      <c r="Q13" s="133">
        <f>IF(SER_hh_tesh_in!Q13=0,0,SER_hh_tesh_in!Q13/SER_summary!Q$27)</f>
        <v>32.50246790372946</v>
      </c>
      <c r="R13" s="133">
        <f>IF(SER_hh_tesh_in!R13=0,0,SER_hh_tesh_in!R13/SER_summary!R$27)</f>
        <v>32.420057882984693</v>
      </c>
      <c r="S13" s="133">
        <f>IF(SER_hh_tesh_in!S13=0,0,SER_hh_tesh_in!S13/SER_summary!S$27)</f>
        <v>31.801213807602249</v>
      </c>
      <c r="T13" s="133">
        <f>IF(SER_hh_tesh_in!T13=0,0,SER_hh_tesh_in!T13/SER_summary!T$27)</f>
        <v>30.121736103406029</v>
      </c>
      <c r="U13" s="133">
        <f>IF(SER_hh_tesh_in!U13=0,0,SER_hh_tesh_in!U13/SER_summary!U$27)</f>
        <v>30.275520067608916</v>
      </c>
      <c r="V13" s="133">
        <f>IF(SER_hh_tesh_in!V13=0,0,SER_hh_tesh_in!V13/SER_summary!V$27)</f>
        <v>28.579552172904307</v>
      </c>
      <c r="W13" s="133">
        <f>IF(SER_hh_tesh_in!W13=0,0,SER_hh_tesh_in!W13/SER_summary!W$27)</f>
        <v>29.362884799238003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31.944280201313621</v>
      </c>
      <c r="D14" s="65">
        <f>IF(SER_hh_tesh_in!D14=0,0,SER_hh_tesh_in!D14/SER_summary!D$27)</f>
        <v>40.842119487316161</v>
      </c>
      <c r="E14" s="65">
        <f>IF(SER_hh_tesh_in!E14=0,0,SER_hh_tesh_in!E14/SER_summary!E$27)</f>
        <v>43.527375858824691</v>
      </c>
      <c r="F14" s="65">
        <f>IF(SER_hh_tesh_in!F14=0,0,SER_hh_tesh_in!F14/SER_summary!F$27)</f>
        <v>28.599266197529605</v>
      </c>
      <c r="G14" s="65">
        <f>IF(SER_hh_tesh_in!G14=0,0,SER_hh_tesh_in!G14/SER_summary!G$27)</f>
        <v>0</v>
      </c>
      <c r="H14" s="65">
        <f>IF(SER_hh_tesh_in!H14=0,0,SER_hh_tesh_in!H14/SER_summary!H$27)</f>
        <v>48.461949728776062</v>
      </c>
      <c r="I14" s="65">
        <f>IF(SER_hh_tesh_in!I14=0,0,SER_hh_tesh_in!I14/SER_summary!I$27)</f>
        <v>34.649152388811672</v>
      </c>
      <c r="J14" s="65">
        <f>IF(SER_hh_tesh_in!J14=0,0,SER_hh_tesh_in!J14/SER_summary!J$27)</f>
        <v>43.722071107573775</v>
      </c>
      <c r="K14" s="65">
        <f>IF(SER_hh_tesh_in!K14=0,0,SER_hh_tesh_in!K14/SER_summary!K$27)</f>
        <v>33.326742465174263</v>
      </c>
      <c r="L14" s="65">
        <f>IF(SER_hh_tesh_in!L14=0,0,SER_hh_tesh_in!L14/SER_summary!L$27)</f>
        <v>42.807880711800607</v>
      </c>
      <c r="M14" s="65">
        <f>IF(SER_hh_tesh_in!M14=0,0,SER_hh_tesh_in!M14/SER_summary!M$27)</f>
        <v>49.639685566875549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39.324857994780594</v>
      </c>
      <c r="S14" s="65">
        <f>IF(SER_hh_tesh_in!S14=0,0,SER_hh_tesh_in!S14/SER_summary!S$27)</f>
        <v>32.871275060613399</v>
      </c>
      <c r="T14" s="65">
        <f>IF(SER_hh_tesh_in!T14=0,0,SER_hh_tesh_in!T14/SER_summary!T$27)</f>
        <v>37.077558566012442</v>
      </c>
      <c r="U14" s="65">
        <f>IF(SER_hh_tesh_in!U14=0,0,SER_hh_tesh_in!U14/SER_summary!U$27)</f>
        <v>47.82250750964451</v>
      </c>
      <c r="V14" s="65">
        <f>IF(SER_hh_tesh_in!V14=0,0,SER_hh_tesh_in!V14/SER_summary!V$27)</f>
        <v>15.214594925428264</v>
      </c>
      <c r="W14" s="65">
        <f>IF(SER_hh_tesh_in!W14=0,0,SER_hh_tesh_in!W14/SER_summary!W$27)</f>
        <v>38.166352639844376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0.31776193424351845</v>
      </c>
      <c r="D15" s="135">
        <f>IF(SER_hh_tesh_in!D15=0,0,SER_hh_tesh_in!D15/SER_summary!D$27)</f>
        <v>0.27354567253199974</v>
      </c>
      <c r="E15" s="135">
        <f>IF(SER_hh_tesh_in!E15=0,0,SER_hh_tesh_in!E15/SER_summary!E$27)</f>
        <v>0.26715472774601667</v>
      </c>
      <c r="F15" s="135">
        <f>IF(SER_hh_tesh_in!F15=0,0,SER_hh_tesh_in!F15/SER_summary!F$27)</f>
        <v>0.23441207758166699</v>
      </c>
      <c r="G15" s="135">
        <f>IF(SER_hh_tesh_in!G15=0,0,SER_hh_tesh_in!G15/SER_summary!G$27)</f>
        <v>0.34665577962338928</v>
      </c>
      <c r="H15" s="135">
        <f>IF(SER_hh_tesh_in!H15=0,0,SER_hh_tesh_in!H15/SER_summary!H$27)</f>
        <v>0.51512060210010424</v>
      </c>
      <c r="I15" s="135">
        <f>IF(SER_hh_tesh_in!I15=0,0,SER_hh_tesh_in!I15/SER_summary!I$27)</f>
        <v>0.38101557265741026</v>
      </c>
      <c r="J15" s="135">
        <f>IF(SER_hh_tesh_in!J15=0,0,SER_hh_tesh_in!J15/SER_summary!J$27)</f>
        <v>0.78987796291307533</v>
      </c>
      <c r="K15" s="135">
        <f>IF(SER_hh_tesh_in!K15=0,0,SER_hh_tesh_in!K15/SER_summary!K$27)</f>
        <v>0.37985358643617451</v>
      </c>
      <c r="L15" s="135">
        <f>IF(SER_hh_tesh_in!L15=0,0,SER_hh_tesh_in!L15/SER_summary!L$27)</f>
        <v>0.34491026938186103</v>
      </c>
      <c r="M15" s="135">
        <f>IF(SER_hh_tesh_in!M15=0,0,SER_hh_tesh_in!M15/SER_summary!M$27)</f>
        <v>0.23017720202444916</v>
      </c>
      <c r="N15" s="135">
        <f>IF(SER_hh_tesh_in!N15=0,0,SER_hh_tesh_in!N15/SER_summary!N$27)</f>
        <v>0.34720159296267322</v>
      </c>
      <c r="O15" s="135">
        <f>IF(SER_hh_tesh_in!O15=0,0,SER_hh_tesh_in!O15/SER_summary!O$27)</f>
        <v>0.29579312389562212</v>
      </c>
      <c r="P15" s="135">
        <f>IF(SER_hh_tesh_in!P15=0,0,SER_hh_tesh_in!P15/SER_summary!P$27)</f>
        <v>0.28905377076857214</v>
      </c>
      <c r="Q15" s="135">
        <f>IF(SER_hh_tesh_in!Q15=0,0,SER_hh_tesh_in!Q15/SER_summary!Q$27)</f>
        <v>0.38020107844274725</v>
      </c>
      <c r="R15" s="135">
        <f>IF(SER_hh_tesh_in!R15=0,0,SER_hh_tesh_in!R15/SER_summary!R$27)</f>
        <v>0.24930746815666854</v>
      </c>
      <c r="S15" s="135">
        <f>IF(SER_hh_tesh_in!S15=0,0,SER_hh_tesh_in!S15/SER_summary!S$27)</f>
        <v>0.26949076073888767</v>
      </c>
      <c r="T15" s="135">
        <f>IF(SER_hh_tesh_in!T15=0,0,SER_hh_tesh_in!T15/SER_summary!T$27)</f>
        <v>0.28563631543939855</v>
      </c>
      <c r="U15" s="135">
        <f>IF(SER_hh_tesh_in!U15=0,0,SER_hh_tesh_in!U15/SER_summary!U$27)</f>
        <v>0.25479805448030524</v>
      </c>
      <c r="V15" s="135">
        <f>IF(SER_hh_tesh_in!V15=0,0,SER_hh_tesh_in!V15/SER_summary!V$27)</f>
        <v>0.23575779552625389</v>
      </c>
      <c r="W15" s="135">
        <f>IF(SER_hh_tesh_in!W15=0,0,SER_hh_tesh_in!W15/SER_summary!W$27)</f>
        <v>0.28461193122686734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29.862912167811423</v>
      </c>
      <c r="D16" s="131">
        <f>IF(SER_hh_tesh_in!D16=0,0,SER_hh_tesh_in!D16/SER_summary!D$27)</f>
        <v>22.010382137357318</v>
      </c>
      <c r="E16" s="131">
        <f>IF(SER_hh_tesh_in!E16=0,0,SER_hh_tesh_in!E16/SER_summary!E$27)</f>
        <v>24.326236361446693</v>
      </c>
      <c r="F16" s="131">
        <f>IF(SER_hh_tesh_in!F16=0,0,SER_hh_tesh_in!F16/SER_summary!F$27)</f>
        <v>19.068943757190755</v>
      </c>
      <c r="G16" s="131">
        <f>IF(SER_hh_tesh_in!G16=0,0,SER_hh_tesh_in!G16/SER_summary!G$27)</f>
        <v>19.209210416633749</v>
      </c>
      <c r="H16" s="131">
        <f>IF(SER_hh_tesh_in!H16=0,0,SER_hh_tesh_in!H16/SER_summary!H$27)</f>
        <v>22.160397879650606</v>
      </c>
      <c r="I16" s="131">
        <f>IF(SER_hh_tesh_in!I16=0,0,SER_hh_tesh_in!I16/SER_summary!I$27)</f>
        <v>39.663201440267962</v>
      </c>
      <c r="J16" s="131">
        <f>IF(SER_hh_tesh_in!J16=0,0,SER_hh_tesh_in!J16/SER_summary!J$27)</f>
        <v>25.114062673531741</v>
      </c>
      <c r="K16" s="131">
        <f>IF(SER_hh_tesh_in!K16=0,0,SER_hh_tesh_in!K16/SER_summary!K$27)</f>
        <v>21.467637220947182</v>
      </c>
      <c r="L16" s="131">
        <f>IF(SER_hh_tesh_in!L16=0,0,SER_hh_tesh_in!L16/SER_summary!L$27)</f>
        <v>26.522948446790583</v>
      </c>
      <c r="M16" s="131">
        <f>IF(SER_hh_tesh_in!M16=0,0,SER_hh_tesh_in!M16/SER_summary!M$27)</f>
        <v>21.787479674851578</v>
      </c>
      <c r="N16" s="131">
        <f>IF(SER_hh_tesh_in!N16=0,0,SER_hh_tesh_in!N16/SER_summary!N$27)</f>
        <v>44.866059301809884</v>
      </c>
      <c r="O16" s="131">
        <f>IF(SER_hh_tesh_in!O16=0,0,SER_hh_tesh_in!O16/SER_summary!O$27)</f>
        <v>21.504425247917048</v>
      </c>
      <c r="P16" s="131">
        <f>IF(SER_hh_tesh_in!P16=0,0,SER_hh_tesh_in!P16/SER_summary!P$27)</f>
        <v>19.597396899589675</v>
      </c>
      <c r="Q16" s="131">
        <f>IF(SER_hh_tesh_in!Q16=0,0,SER_hh_tesh_in!Q16/SER_summary!Q$27)</f>
        <v>27.757390201399605</v>
      </c>
      <c r="R16" s="131">
        <f>IF(SER_hh_tesh_in!R16=0,0,SER_hh_tesh_in!R16/SER_summary!R$27)</f>
        <v>25.200440087065488</v>
      </c>
      <c r="S16" s="131">
        <f>IF(SER_hh_tesh_in!S16=0,0,SER_hh_tesh_in!S16/SER_summary!S$27)</f>
        <v>26.19766222183118</v>
      </c>
      <c r="T16" s="131">
        <f>IF(SER_hh_tesh_in!T16=0,0,SER_hh_tesh_in!T16/SER_summary!T$27)</f>
        <v>19.210921021379637</v>
      </c>
      <c r="U16" s="131">
        <f>IF(SER_hh_tesh_in!U16=0,0,SER_hh_tesh_in!U16/SER_summary!U$27)</f>
        <v>20.681331273128205</v>
      </c>
      <c r="V16" s="131">
        <f>IF(SER_hh_tesh_in!V16=0,0,SER_hh_tesh_in!V16/SER_summary!V$27)</f>
        <v>20.336691496741587</v>
      </c>
      <c r="W16" s="131">
        <f>IF(SER_hh_tesh_in!W16=0,0,SER_hh_tesh_in!W16/SER_summary!W$27)</f>
        <v>25.980851852544728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29.862912167811423</v>
      </c>
      <c r="D18" s="133">
        <f>IF(SER_hh_tesh_in!D18=0,0,SER_hh_tesh_in!D18/SER_summary!D$27)</f>
        <v>22.010382137357318</v>
      </c>
      <c r="E18" s="133">
        <f>IF(SER_hh_tesh_in!E18=0,0,SER_hh_tesh_in!E18/SER_summary!E$27)</f>
        <v>24.326236361446693</v>
      </c>
      <c r="F18" s="133">
        <f>IF(SER_hh_tesh_in!F18=0,0,SER_hh_tesh_in!F18/SER_summary!F$27)</f>
        <v>19.068943757190755</v>
      </c>
      <c r="G18" s="133">
        <f>IF(SER_hh_tesh_in!G18=0,0,SER_hh_tesh_in!G18/SER_summary!G$27)</f>
        <v>19.209210416633749</v>
      </c>
      <c r="H18" s="133">
        <f>IF(SER_hh_tesh_in!H18=0,0,SER_hh_tesh_in!H18/SER_summary!H$27)</f>
        <v>22.160397879650606</v>
      </c>
      <c r="I18" s="133">
        <f>IF(SER_hh_tesh_in!I18=0,0,SER_hh_tesh_in!I18/SER_summary!I$27)</f>
        <v>39.663201440267962</v>
      </c>
      <c r="J18" s="133">
        <f>IF(SER_hh_tesh_in!J18=0,0,SER_hh_tesh_in!J18/SER_summary!J$27)</f>
        <v>25.114062673531741</v>
      </c>
      <c r="K18" s="133">
        <f>IF(SER_hh_tesh_in!K18=0,0,SER_hh_tesh_in!K18/SER_summary!K$27)</f>
        <v>21.467637220947182</v>
      </c>
      <c r="L18" s="133">
        <f>IF(SER_hh_tesh_in!L18=0,0,SER_hh_tesh_in!L18/SER_summary!L$27)</f>
        <v>26.522948446790583</v>
      </c>
      <c r="M18" s="133">
        <f>IF(SER_hh_tesh_in!M18=0,0,SER_hh_tesh_in!M18/SER_summary!M$27)</f>
        <v>21.787479674851578</v>
      </c>
      <c r="N18" s="133">
        <f>IF(SER_hh_tesh_in!N18=0,0,SER_hh_tesh_in!N18/SER_summary!N$27)</f>
        <v>44.866059301809884</v>
      </c>
      <c r="O18" s="133">
        <f>IF(SER_hh_tesh_in!O18=0,0,SER_hh_tesh_in!O18/SER_summary!O$27)</f>
        <v>21.504425247917048</v>
      </c>
      <c r="P18" s="133">
        <f>IF(SER_hh_tesh_in!P18=0,0,SER_hh_tesh_in!P18/SER_summary!P$27)</f>
        <v>19.597396899589675</v>
      </c>
      <c r="Q18" s="133">
        <f>IF(SER_hh_tesh_in!Q18=0,0,SER_hh_tesh_in!Q18/SER_summary!Q$27)</f>
        <v>27.757390201399605</v>
      </c>
      <c r="R18" s="133">
        <f>IF(SER_hh_tesh_in!R18=0,0,SER_hh_tesh_in!R18/SER_summary!R$27)</f>
        <v>25.200440087065488</v>
      </c>
      <c r="S18" s="133">
        <f>IF(SER_hh_tesh_in!S18=0,0,SER_hh_tesh_in!S18/SER_summary!S$27)</f>
        <v>26.19766222183118</v>
      </c>
      <c r="T18" s="133">
        <f>IF(SER_hh_tesh_in!T18=0,0,SER_hh_tesh_in!T18/SER_summary!T$27)</f>
        <v>19.210921021379637</v>
      </c>
      <c r="U18" s="133">
        <f>IF(SER_hh_tesh_in!U18=0,0,SER_hh_tesh_in!U18/SER_summary!U$27)</f>
        <v>20.681331273128205</v>
      </c>
      <c r="V18" s="133">
        <f>IF(SER_hh_tesh_in!V18=0,0,SER_hh_tesh_in!V18/SER_summary!V$27)</f>
        <v>20.336691496741587</v>
      </c>
      <c r="W18" s="133">
        <f>IF(SER_hh_tesh_in!W18=0,0,SER_hh_tesh_in!W18/SER_summary!W$27)</f>
        <v>25.980851852544728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10.195857576793552</v>
      </c>
      <c r="D19" s="131">
        <f>IF(SER_hh_tesh_in!D19=0,0,SER_hh_tesh_in!D19/SER_summary!D$27)</f>
        <v>9.9383131093854242</v>
      </c>
      <c r="E19" s="131">
        <f>IF(SER_hh_tesh_in!E19=0,0,SER_hh_tesh_in!E19/SER_summary!E$27)</f>
        <v>9.7978330699995233</v>
      </c>
      <c r="F19" s="131">
        <f>IF(SER_hh_tesh_in!F19=0,0,SER_hh_tesh_in!F19/SER_summary!F$27)</f>
        <v>9.6238983943615519</v>
      </c>
      <c r="G19" s="131">
        <f>IF(SER_hh_tesh_in!G19=0,0,SER_hh_tesh_in!G19/SER_summary!G$27)</f>
        <v>9.5801093590201365</v>
      </c>
      <c r="H19" s="131">
        <f>IF(SER_hh_tesh_in!H19=0,0,SER_hh_tesh_in!H19/SER_summary!H$27)</f>
        <v>9.7195037119148378</v>
      </c>
      <c r="I19" s="131">
        <f>IF(SER_hh_tesh_in!I19=0,0,SER_hh_tesh_in!I19/SER_summary!I$27)</f>
        <v>9.7887170753394557</v>
      </c>
      <c r="J19" s="131">
        <f>IF(SER_hh_tesh_in!J19=0,0,SER_hh_tesh_in!J19/SER_summary!J$27)</f>
        <v>9.7766471202365999</v>
      </c>
      <c r="K19" s="131">
        <f>IF(SER_hh_tesh_in!K19=0,0,SER_hh_tesh_in!K19/SER_summary!K$27)</f>
        <v>10.088598527413026</v>
      </c>
      <c r="L19" s="131">
        <f>IF(SER_hh_tesh_in!L19=0,0,SER_hh_tesh_in!L19/SER_summary!L$27)</f>
        <v>10.680114844162024</v>
      </c>
      <c r="M19" s="131">
        <f>IF(SER_hh_tesh_in!M19=0,0,SER_hh_tesh_in!M19/SER_summary!M$27)</f>
        <v>10.722958906225701</v>
      </c>
      <c r="N19" s="131">
        <f>IF(SER_hh_tesh_in!N19=0,0,SER_hh_tesh_in!N19/SER_summary!N$27)</f>
        <v>10.749255550150719</v>
      </c>
      <c r="O19" s="131">
        <f>IF(SER_hh_tesh_in!O19=0,0,SER_hh_tesh_in!O19/SER_summary!O$27)</f>
        <v>10.989861677410369</v>
      </c>
      <c r="P19" s="131">
        <f>IF(SER_hh_tesh_in!P19=0,0,SER_hh_tesh_in!P19/SER_summary!P$27)</f>
        <v>10.799235947699277</v>
      </c>
      <c r="Q19" s="131">
        <f>IF(SER_hh_tesh_in!Q19=0,0,SER_hh_tesh_in!Q19/SER_summary!Q$27)</f>
        <v>10.99402498800851</v>
      </c>
      <c r="R19" s="131">
        <f>IF(SER_hh_tesh_in!R19=0,0,SER_hh_tesh_in!R19/SER_summary!R$27)</f>
        <v>11.119264802164508</v>
      </c>
      <c r="S19" s="131">
        <f>IF(SER_hh_tesh_in!S19=0,0,SER_hh_tesh_in!S19/SER_summary!S$27)</f>
        <v>11.323303163755844</v>
      </c>
      <c r="T19" s="131">
        <f>IF(SER_hh_tesh_in!T19=0,0,SER_hh_tesh_in!T19/SER_summary!T$27)</f>
        <v>11.483335831888011</v>
      </c>
      <c r="U19" s="131">
        <f>IF(SER_hh_tesh_in!U19=0,0,SER_hh_tesh_in!U19/SER_summary!U$27)</f>
        <v>11.621787834938015</v>
      </c>
      <c r="V19" s="131">
        <f>IF(SER_hh_tesh_in!V19=0,0,SER_hh_tesh_in!V19/SER_summary!V$27)</f>
        <v>10.438489342693222</v>
      </c>
      <c r="W19" s="131">
        <f>IF(SER_hh_tesh_in!W19=0,0,SER_hh_tesh_in!W19/SER_summary!W$27)</f>
        <v>11.052860721142746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10.457879089040443</v>
      </c>
      <c r="D22" s="133">
        <f>IF(SER_hh_tesh_in!D22=0,0,SER_hh_tesh_in!D22/SER_summary!D$27)</f>
        <v>10.48976122340666</v>
      </c>
      <c r="E22" s="133">
        <f>IF(SER_hh_tesh_in!E22=0,0,SER_hh_tesh_in!E22/SER_summary!E$27)</f>
        <v>10.272447865369132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9.4799074898091504</v>
      </c>
      <c r="I22" s="133">
        <f>IF(SER_hh_tesh_in!I22=0,0,SER_hh_tesh_in!I22/SER_summary!I$27)</f>
        <v>9.7753410714480733</v>
      </c>
      <c r="J22" s="133">
        <f>IF(SER_hh_tesh_in!J22=0,0,SER_hh_tesh_in!J22/SER_summary!J$27)</f>
        <v>10.020616358065585</v>
      </c>
      <c r="K22" s="133">
        <f>IF(SER_hh_tesh_in!K22=0,0,SER_hh_tesh_in!K22/SER_summary!K$27)</f>
        <v>10.14341830094857</v>
      </c>
      <c r="L22" s="133">
        <f>IF(SER_hh_tesh_in!L22=0,0,SER_hh_tesh_in!L22/SER_summary!L$27)</f>
        <v>5.1557824181796441</v>
      </c>
      <c r="M22" s="133">
        <f>IF(SER_hh_tesh_in!M22=0,0,SER_hh_tesh_in!M22/SER_summary!M$27)</f>
        <v>10.478545983951845</v>
      </c>
      <c r="N22" s="133">
        <f>IF(SER_hh_tesh_in!N22=0,0,SER_hh_tesh_in!N22/SER_summary!N$27)</f>
        <v>11.458576099160704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10.166003376228522</v>
      </c>
      <c r="D23" s="133">
        <f>IF(SER_hh_tesh_in!D23=0,0,SER_hh_tesh_in!D23/SER_summary!D$27)</f>
        <v>9.1141286754498303</v>
      </c>
      <c r="E23" s="133">
        <f>IF(SER_hh_tesh_in!E23=0,0,SER_hh_tesh_in!E23/SER_summary!E$27)</f>
        <v>9.6337549667520204</v>
      </c>
      <c r="F23" s="133">
        <f>IF(SER_hh_tesh_in!F23=0,0,SER_hh_tesh_in!F23/SER_summary!F$27)</f>
        <v>9.4849035859556121</v>
      </c>
      <c r="G23" s="133">
        <f>IF(SER_hh_tesh_in!G23=0,0,SER_hh_tesh_in!G23/SER_summary!G$27)</f>
        <v>9.2833436331068047</v>
      </c>
      <c r="H23" s="133">
        <f>IF(SER_hh_tesh_in!H23=0,0,SER_hh_tesh_in!H23/SER_summary!H$27)</f>
        <v>9.6491151857504338</v>
      </c>
      <c r="I23" s="133">
        <f>IF(SER_hh_tesh_in!I23=0,0,SER_hh_tesh_in!I23/SER_summary!I$27)</f>
        <v>10.212212555336629</v>
      </c>
      <c r="J23" s="133">
        <f>IF(SER_hh_tesh_in!J23=0,0,SER_hh_tesh_in!J23/SER_summary!J$27)</f>
        <v>10.116361460030792</v>
      </c>
      <c r="K23" s="133">
        <f>IF(SER_hh_tesh_in!K23=0,0,SER_hh_tesh_in!K23/SER_summary!K$27)</f>
        <v>10.233776545400486</v>
      </c>
      <c r="L23" s="133">
        <f>IF(SER_hh_tesh_in!L23=0,0,SER_hh_tesh_in!L23/SER_summary!L$27)</f>
        <v>4.7503636210404432</v>
      </c>
      <c r="M23" s="133">
        <f>IF(SER_hh_tesh_in!M23=0,0,SER_hh_tesh_in!M23/SER_summary!M$27)</f>
        <v>9.6812374021463032</v>
      </c>
      <c r="N23" s="133">
        <f>IF(SER_hh_tesh_in!N23=0,0,SER_hh_tesh_in!N23/SER_summary!N$27)</f>
        <v>10.36253884888175</v>
      </c>
      <c r="O23" s="133">
        <f>IF(SER_hh_tesh_in!O23=0,0,SER_hh_tesh_in!O23/SER_summary!O$27)</f>
        <v>8.1163576292821205</v>
      </c>
      <c r="P23" s="133">
        <f>IF(SER_hh_tesh_in!P23=0,0,SER_hh_tesh_in!P23/SER_summary!P$27)</f>
        <v>11.093122542170745</v>
      </c>
      <c r="Q23" s="133">
        <f>IF(SER_hh_tesh_in!Q23=0,0,SER_hh_tesh_in!Q23/SER_summary!Q$27)</f>
        <v>10.559891031024208</v>
      </c>
      <c r="R23" s="133">
        <f>IF(SER_hh_tesh_in!R23=0,0,SER_hh_tesh_in!R23/SER_summary!R$27)</f>
        <v>10.865628449512844</v>
      </c>
      <c r="S23" s="133">
        <f>IF(SER_hh_tesh_in!S23=0,0,SER_hh_tesh_in!S23/SER_summary!S$27)</f>
        <v>11.043758028413801</v>
      </c>
      <c r="T23" s="133">
        <f>IF(SER_hh_tesh_in!T23=0,0,SER_hh_tesh_in!T23/SER_summary!T$27)</f>
        <v>11.845646685563811</v>
      </c>
      <c r="U23" s="133">
        <f>IF(SER_hh_tesh_in!U23=0,0,SER_hh_tesh_in!U23/SER_summary!U$27)</f>
        <v>12.047178815418846</v>
      </c>
      <c r="V23" s="133">
        <f>IF(SER_hh_tesh_in!V23=0,0,SER_hh_tesh_in!V23/SER_summary!V$27)</f>
        <v>8.1966733754858563</v>
      </c>
      <c r="W23" s="133">
        <f>IF(SER_hh_tesh_in!W23=0,0,SER_hh_tesh_in!W23/SER_summary!W$27)</f>
        <v>11.32412916583819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10.150721502655964</v>
      </c>
      <c r="D25" s="133">
        <f>IF(SER_hh_tesh_in!D25=0,0,SER_hh_tesh_in!D25/SER_summary!D$27)</f>
        <v>9.9601473422708153</v>
      </c>
      <c r="E25" s="133">
        <f>IF(SER_hh_tesh_in!E25=0,0,SER_hh_tesh_in!E25/SER_summary!E$27)</f>
        <v>9.8769290627829331</v>
      </c>
      <c r="F25" s="133">
        <f>IF(SER_hh_tesh_in!F25=0,0,SER_hh_tesh_in!F25/SER_summary!F$27)</f>
        <v>9.7731770255346415</v>
      </c>
      <c r="G25" s="133">
        <f>IF(SER_hh_tesh_in!G25=0,0,SER_hh_tesh_in!G25/SER_summary!G$27)</f>
        <v>9.7246492475480704</v>
      </c>
      <c r="H25" s="133">
        <f>IF(SER_hh_tesh_in!H25=0,0,SER_hh_tesh_in!H25/SER_summary!H$27)</f>
        <v>9.7036734491225509</v>
      </c>
      <c r="I25" s="133">
        <f>IF(SER_hh_tesh_in!I25=0,0,SER_hh_tesh_in!I25/SER_summary!I$27)</f>
        <v>9.7594167711669559</v>
      </c>
      <c r="J25" s="133">
        <f>IF(SER_hh_tesh_in!J25=0,0,SER_hh_tesh_in!J25/SER_summary!J$27)</f>
        <v>9.9278331177311507</v>
      </c>
      <c r="K25" s="133">
        <f>IF(SER_hh_tesh_in!K25=0,0,SER_hh_tesh_in!K25/SER_summary!K$27)</f>
        <v>10.10094687282562</v>
      </c>
      <c r="L25" s="133">
        <f>IF(SER_hh_tesh_in!L25=0,0,SER_hh_tesh_in!L25/SER_summary!L$27)</f>
        <v>4.7548257178809106</v>
      </c>
      <c r="M25" s="133">
        <f>IF(SER_hh_tesh_in!M25=0,0,SER_hh_tesh_in!M25/SER_summary!M$27)</f>
        <v>9.7042352318287985</v>
      </c>
      <c r="N25" s="133">
        <f>IF(SER_hh_tesh_in!N25=0,0,SER_hh_tesh_in!N25/SER_summary!N$27)</f>
        <v>10.441033152143579</v>
      </c>
      <c r="O25" s="133">
        <f>IF(SER_hh_tesh_in!O25=0,0,SER_hh_tesh_in!O25/SER_summary!O$27)</f>
        <v>8.5659126232086766</v>
      </c>
      <c r="P25" s="133">
        <f>IF(SER_hh_tesh_in!P25=0,0,SER_hh_tesh_in!P25/SER_summary!P$27)</f>
        <v>11.268672426822771</v>
      </c>
      <c r="Q25" s="133">
        <f>IF(SER_hh_tesh_in!Q25=0,0,SER_hh_tesh_in!Q25/SER_summary!Q$27)</f>
        <v>10.766385349853039</v>
      </c>
      <c r="R25" s="133">
        <f>IF(SER_hh_tesh_in!R25=0,0,SER_hh_tesh_in!R25/SER_summary!R$27)</f>
        <v>11.142349130480147</v>
      </c>
      <c r="S25" s="133">
        <f>IF(SER_hh_tesh_in!S25=0,0,SER_hh_tesh_in!S25/SER_summary!S$27)</f>
        <v>11.363724384453949</v>
      </c>
      <c r="T25" s="133">
        <f>IF(SER_hh_tesh_in!T25=0,0,SER_hh_tesh_in!T25/SER_summary!T$27)</f>
        <v>11.934065134865321</v>
      </c>
      <c r="U25" s="133">
        <f>IF(SER_hh_tesh_in!U25=0,0,SER_hh_tesh_in!U25/SER_summary!U$27)</f>
        <v>11.887652732075331</v>
      </c>
      <c r="V25" s="133">
        <f>IF(SER_hh_tesh_in!V25=0,0,SER_hh_tesh_in!V25/SER_summary!V$27)</f>
        <v>8.6665750154144465</v>
      </c>
      <c r="W25" s="133">
        <f>IF(SER_hh_tesh_in!W25=0,0,SER_hh_tesh_in!W25/SER_summary!W$27)</f>
        <v>11.466981532060503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10.196459261296164</v>
      </c>
      <c r="D26" s="65">
        <f>IF(SER_hh_tesh_in!D26=0,0,SER_hh_tesh_in!D26/SER_summary!D$27)</f>
        <v>10.128059410216633</v>
      </c>
      <c r="E26" s="65">
        <f>IF(SER_hh_tesh_in!E26=0,0,SER_hh_tesh_in!E26/SER_summary!E$27)</f>
        <v>9.7925939307955989</v>
      </c>
      <c r="F26" s="65">
        <f>IF(SER_hh_tesh_in!F26=0,0,SER_hh_tesh_in!F26/SER_summary!F$27)</f>
        <v>9.5813485336158255</v>
      </c>
      <c r="G26" s="65">
        <f>IF(SER_hh_tesh_in!G26=0,0,SER_hh_tesh_in!G26/SER_summary!G$27)</f>
        <v>9.6322822806119035</v>
      </c>
      <c r="H26" s="65">
        <f>IF(SER_hh_tesh_in!H26=0,0,SER_hh_tesh_in!H26/SER_summary!H$27)</f>
        <v>9.7646717148993041</v>
      </c>
      <c r="I26" s="65">
        <f>IF(SER_hh_tesh_in!I26=0,0,SER_hh_tesh_in!I26/SER_summary!I$27)</f>
        <v>9.6297014724465502</v>
      </c>
      <c r="J26" s="65">
        <f>IF(SER_hh_tesh_in!J26=0,0,SER_hh_tesh_in!J26/SER_summary!J$27)</f>
        <v>9.5992666612056574</v>
      </c>
      <c r="K26" s="65">
        <f>IF(SER_hh_tesh_in!K26=0,0,SER_hh_tesh_in!K26/SER_summary!K$27)</f>
        <v>10.038447751267663</v>
      </c>
      <c r="L26" s="65">
        <f>IF(SER_hh_tesh_in!L26=0,0,SER_hh_tesh_in!L26/SER_summary!L$27)</f>
        <v>3.0992532740339267</v>
      </c>
      <c r="M26" s="65">
        <f>IF(SER_hh_tesh_in!M26=0,0,SER_hh_tesh_in!M26/SER_summary!M$27)</f>
        <v>2.9122290277814527</v>
      </c>
      <c r="N26" s="65">
        <f>IF(SER_hh_tesh_in!N26=0,0,SER_hh_tesh_in!N26/SER_summary!N$27)</f>
        <v>2.6424114591435521</v>
      </c>
      <c r="O26" s="65">
        <f>IF(SER_hh_tesh_in!O26=0,0,SER_hh_tesh_in!O26/SER_summary!O$27)</f>
        <v>2.7038064512067947</v>
      </c>
      <c r="P26" s="65">
        <f>IF(SER_hh_tesh_in!P26=0,0,SER_hh_tesh_in!P26/SER_summary!P$27)</f>
        <v>5.7073490383543</v>
      </c>
      <c r="Q26" s="65">
        <f>IF(SER_hh_tesh_in!Q26=0,0,SER_hh_tesh_in!Q26/SER_summary!Q$27)</f>
        <v>2.4997378259454703</v>
      </c>
      <c r="R26" s="65">
        <f>IF(SER_hh_tesh_in!R26=0,0,SER_hh_tesh_in!R26/SER_summary!R$27)</f>
        <v>2.8221308891334482</v>
      </c>
      <c r="S26" s="65">
        <f>IF(SER_hh_tesh_in!S26=0,0,SER_hh_tesh_in!S26/SER_summary!S$27)</f>
        <v>3.1284080171986983</v>
      </c>
      <c r="T26" s="65">
        <f>IF(SER_hh_tesh_in!T26=0,0,SER_hh_tesh_in!T26/SER_summary!T$27)</f>
        <v>5.386152708756617</v>
      </c>
      <c r="U26" s="65">
        <f>IF(SER_hh_tesh_in!U26=0,0,SER_hh_tesh_in!U26/SER_summary!U$27)</f>
        <v>3.4198124135953227</v>
      </c>
      <c r="V26" s="65">
        <f>IF(SER_hh_tesh_in!V26=0,0,SER_hh_tesh_in!V26/SER_summary!V$27)</f>
        <v>2.5252577741835722</v>
      </c>
      <c r="W26" s="65">
        <f>IF(SER_hh_tesh_in!W26=0,0,SER_hh_tesh_in!W26/SER_summary!W$27)</f>
        <v>2.8033257480064036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6.9819462972726587</v>
      </c>
      <c r="M27" s="146">
        <f>IF(SER_hh_tesh_in!M27=0,0,SER_hh_tesh_in!M27/SER_summary!M$27)</f>
        <v>5.5215889084861951</v>
      </c>
      <c r="N27" s="146">
        <f>IF(SER_hh_tesh_in!N27=0,0,SER_hh_tesh_in!N27/SER_summary!N$27)</f>
        <v>5.0135966879334832</v>
      </c>
      <c r="O27" s="146">
        <f>IF(SER_hh_tesh_in!O27=0,0,SER_hh_tesh_in!O27/SER_summary!O$27)</f>
        <v>6.0439455384347589</v>
      </c>
      <c r="P27" s="146">
        <f>IF(SER_hh_tesh_in!P27=0,0,SER_hh_tesh_in!P27/SER_summary!P$27)</f>
        <v>2.8625008088803749</v>
      </c>
      <c r="Q27" s="146">
        <f>IF(SER_hh_tesh_in!Q27=0,0,SER_hh_tesh_in!Q27/SER_summary!Q$27)</f>
        <v>5.2668963197094216</v>
      </c>
      <c r="R27" s="146">
        <f>IF(SER_hh_tesh_in!R27=0,0,SER_hh_tesh_in!R27/SER_summary!R$27)</f>
        <v>4.6845224409056865</v>
      </c>
      <c r="S27" s="146">
        <f>IF(SER_hh_tesh_in!S27=0,0,SER_hh_tesh_in!S27/SER_summary!S$27)</f>
        <v>4.7233178633983952</v>
      </c>
      <c r="T27" s="146">
        <f>IF(SER_hh_tesh_in!T27=0,0,SER_hh_tesh_in!T27/SER_summary!T$27)</f>
        <v>3.3401540550333375</v>
      </c>
      <c r="U27" s="146">
        <f>IF(SER_hh_tesh_in!U27=0,0,SER_hh_tesh_in!U27/SER_summary!U$27)</f>
        <v>4.8158845349086361</v>
      </c>
      <c r="V27" s="146">
        <f>IF(SER_hh_tesh_in!V27=0,0,SER_hh_tesh_in!V27/SER_summary!V$27)</f>
        <v>5.5750435590188907</v>
      </c>
      <c r="W27" s="146">
        <f>IF(SER_hh_tesh_in!W27=0,0,SER_hh_tesh_in!W27/SER_summary!W$27)</f>
        <v>5.1300919886389895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6.9819462972726587</v>
      </c>
      <c r="M28" s="147">
        <f>IF(SER_hh_tesh_in!M28=0,0,SER_hh_tesh_in!M28/SER_summary!M$27)</f>
        <v>7.4762222377403695</v>
      </c>
      <c r="N28" s="147">
        <f>IF(SER_hh_tesh_in!N28=0,0,SER_hh_tesh_in!N28/SER_summary!N$27)</f>
        <v>7.7835191218460764</v>
      </c>
      <c r="O28" s="147">
        <f>IF(SER_hh_tesh_in!O28=0,0,SER_hh_tesh_in!O28/SER_summary!O$27)</f>
        <v>7.5226566467025373</v>
      </c>
      <c r="P28" s="147">
        <f>IF(SER_hh_tesh_in!P28=0,0,SER_hh_tesh_in!P28/SER_summary!P$27)</f>
        <v>7.8102863575231121</v>
      </c>
      <c r="Q28" s="147">
        <f>IF(SER_hh_tesh_in!Q28=0,0,SER_hh_tesh_in!Q28/SER_summary!Q$27)</f>
        <v>8.0889859375150408</v>
      </c>
      <c r="R28" s="147">
        <f>IF(SER_hh_tesh_in!R28=0,0,SER_hh_tesh_in!R28/SER_summary!R$27)</f>
        <v>7.9218070660971174</v>
      </c>
      <c r="S28" s="147">
        <f>IF(SER_hh_tesh_in!S28=0,0,SER_hh_tesh_in!S28/SER_summary!S$27)</f>
        <v>7.8004953908350716</v>
      </c>
      <c r="T28" s="147">
        <f>IF(SER_hh_tesh_in!T28=0,0,SER_hh_tesh_in!T28/SER_summary!T$27)</f>
        <v>8.318064661864085</v>
      </c>
      <c r="U28" s="147">
        <f>IF(SER_hh_tesh_in!U28=0,0,SER_hh_tesh_in!U28/SER_summary!U$27)</f>
        <v>8.4568051583540473</v>
      </c>
      <c r="V28" s="147">
        <f>IF(SER_hh_tesh_in!V28=0,0,SER_hh_tesh_in!V28/SER_summary!V$27)</f>
        <v>7.1611009098280576</v>
      </c>
      <c r="W28" s="147">
        <f>IF(SER_hh_tesh_in!W28=0,0,SER_hh_tesh_in!W28/SER_summary!W$27)</f>
        <v>8.0315782297311138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12.824755164021266</v>
      </c>
      <c r="D29" s="131">
        <f>IF(SER_hh_tesh_in!D29=0,0,SER_hh_tesh_in!D29/SER_summary!D$27)</f>
        <v>12.482281361158353</v>
      </c>
      <c r="E29" s="131">
        <f>IF(SER_hh_tesh_in!E29=0,0,SER_hh_tesh_in!E29/SER_summary!E$27)</f>
        <v>12.279014325286333</v>
      </c>
      <c r="F29" s="131">
        <f>IF(SER_hh_tesh_in!F29=0,0,SER_hh_tesh_in!F29/SER_summary!F$27)</f>
        <v>12.154980216807736</v>
      </c>
      <c r="G29" s="131">
        <f>IF(SER_hh_tesh_in!G29=0,0,SER_hh_tesh_in!G29/SER_summary!G$27)</f>
        <v>11.862450755520113</v>
      </c>
      <c r="H29" s="131">
        <f>IF(SER_hh_tesh_in!H29=0,0,SER_hh_tesh_in!H29/SER_summary!H$27)</f>
        <v>11.863205364802488</v>
      </c>
      <c r="I29" s="131">
        <f>IF(SER_hh_tesh_in!I29=0,0,SER_hh_tesh_in!I29/SER_summary!I$27)</f>
        <v>11.755179965497923</v>
      </c>
      <c r="J29" s="131">
        <f>IF(SER_hh_tesh_in!J29=0,0,SER_hh_tesh_in!J29/SER_summary!J$27)</f>
        <v>12.893921687951915</v>
      </c>
      <c r="K29" s="131">
        <f>IF(SER_hh_tesh_in!K29=0,0,SER_hh_tesh_in!K29/SER_summary!K$27)</f>
        <v>12.28272644355701</v>
      </c>
      <c r="L29" s="131">
        <f>IF(SER_hh_tesh_in!L29=0,0,SER_hh_tesh_in!L29/SER_summary!L$27)</f>
        <v>13.389354504681995</v>
      </c>
      <c r="M29" s="131">
        <f>IF(SER_hh_tesh_in!M29=0,0,SER_hh_tesh_in!M29/SER_summary!M$27)</f>
        <v>12.727885651933454</v>
      </c>
      <c r="N29" s="131">
        <f>IF(SER_hh_tesh_in!N29=0,0,SER_hh_tesh_in!N29/SER_summary!N$27)</f>
        <v>13.397477666404985</v>
      </c>
      <c r="O29" s="131">
        <f>IF(SER_hh_tesh_in!O29=0,0,SER_hh_tesh_in!O29/SER_summary!O$27)</f>
        <v>13.12141047348833</v>
      </c>
      <c r="P29" s="131">
        <f>IF(SER_hh_tesh_in!P29=0,0,SER_hh_tesh_in!P29/SER_summary!P$27)</f>
        <v>13.165081671673672</v>
      </c>
      <c r="Q29" s="131">
        <f>IF(SER_hh_tesh_in!Q29=0,0,SER_hh_tesh_in!Q29/SER_summary!Q$27)</f>
        <v>13.172511119869272</v>
      </c>
      <c r="R29" s="131">
        <f>IF(SER_hh_tesh_in!R29=0,0,SER_hh_tesh_in!R29/SER_summary!R$27)</f>
        <v>13.111157630495628</v>
      </c>
      <c r="S29" s="131">
        <f>IF(SER_hh_tesh_in!S29=0,0,SER_hh_tesh_in!S29/SER_summary!S$27)</f>
        <v>13.667607340809852</v>
      </c>
      <c r="T29" s="131">
        <f>IF(SER_hh_tesh_in!T29=0,0,SER_hh_tesh_in!T29/SER_summary!T$27)</f>
        <v>14.581565549764964</v>
      </c>
      <c r="U29" s="131">
        <f>IF(SER_hh_tesh_in!U29=0,0,SER_hh_tesh_in!U29/SER_summary!U$27)</f>
        <v>14.705360375761439</v>
      </c>
      <c r="V29" s="131">
        <f>IF(SER_hh_tesh_in!V29=0,0,SER_hh_tesh_in!V29/SER_summary!V$27)</f>
        <v>12.743585736064542</v>
      </c>
      <c r="W29" s="131">
        <f>IF(SER_hh_tesh_in!W29=0,0,SER_hh_tesh_in!W29/SER_summary!W$27)</f>
        <v>14.02978550268891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25.377997295297096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14.944118236175475</v>
      </c>
      <c r="M30" s="133">
        <f>IF(SER_hh_tesh_in!M30=0,0,SER_hh_tesh_in!M30/SER_summary!M$27)</f>
        <v>13.896380321212712</v>
      </c>
      <c r="N30" s="133">
        <f>IF(SER_hh_tesh_in!N30=0,0,SER_hh_tesh_in!N30/SER_summary!N$27)</f>
        <v>21.988369140531852</v>
      </c>
      <c r="O30" s="133">
        <f>IF(SER_hh_tesh_in!O30=0,0,SER_hh_tesh_in!O30/SER_summary!O$27)</f>
        <v>15.743506800278462</v>
      </c>
      <c r="P30" s="133">
        <f>IF(SER_hh_tesh_in!P30=0,0,SER_hh_tesh_in!P30/SER_summary!P$27)</f>
        <v>9.8989164177236386</v>
      </c>
      <c r="Q30" s="133">
        <f>IF(SER_hh_tesh_in!Q30=0,0,SER_hh_tesh_in!Q30/SER_summary!Q$27)</f>
        <v>9.999333917692752</v>
      </c>
      <c r="R30" s="133">
        <f>IF(SER_hh_tesh_in!R30=0,0,SER_hh_tesh_in!R30/SER_summary!R$27)</f>
        <v>11.766037818143515</v>
      </c>
      <c r="S30" s="133">
        <f>IF(SER_hh_tesh_in!S30=0,0,SER_hh_tesh_in!S30/SER_summary!S$27)</f>
        <v>14.03012960476887</v>
      </c>
      <c r="T30" s="133">
        <f>IF(SER_hh_tesh_in!T30=0,0,SER_hh_tesh_in!T30/SER_summary!T$27)</f>
        <v>15.264660805537138</v>
      </c>
      <c r="U30" s="133">
        <f>IF(SER_hh_tesh_in!U30=0,0,SER_hh_tesh_in!U30/SER_summary!U$27)</f>
        <v>14.951812693538544</v>
      </c>
      <c r="V30" s="133">
        <f>IF(SER_hh_tesh_in!V30=0,0,SER_hh_tesh_in!V30/SER_summary!V$27)</f>
        <v>12.281456404583873</v>
      </c>
      <c r="W30" s="133">
        <f>IF(SER_hh_tesh_in!W30=0,0,SER_hh_tesh_in!W30/SER_summary!W$27)</f>
        <v>14.467124394240228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12.343826587533455</v>
      </c>
      <c r="D31" s="133">
        <f>IF(SER_hh_tesh_in!D31=0,0,SER_hh_tesh_in!D31/SER_summary!D$27)</f>
        <v>11.385181762202585</v>
      </c>
      <c r="E31" s="133">
        <f>IF(SER_hh_tesh_in!E31=0,0,SER_hh_tesh_in!E31/SER_summary!E$27)</f>
        <v>11.955568725830009</v>
      </c>
      <c r="F31" s="133">
        <f>IF(SER_hh_tesh_in!F31=0,0,SER_hh_tesh_in!F31/SER_summary!F$27)</f>
        <v>12.104027907115791</v>
      </c>
      <c r="G31" s="133">
        <f>IF(SER_hh_tesh_in!G31=0,0,SER_hh_tesh_in!G31/SER_summary!G$27)</f>
        <v>11.105652803556005</v>
      </c>
      <c r="H31" s="133">
        <f>IF(SER_hh_tesh_in!H31=0,0,SER_hh_tesh_in!H31/SER_summary!H$27)</f>
        <v>12.288575326475488</v>
      </c>
      <c r="I31" s="133">
        <f>IF(SER_hh_tesh_in!I31=0,0,SER_hh_tesh_in!I31/SER_summary!I$27)</f>
        <v>12.449530710405112</v>
      </c>
      <c r="J31" s="133">
        <f>IF(SER_hh_tesh_in!J31=0,0,SER_hh_tesh_in!J31/SER_summary!J$27)</f>
        <v>12.367096051249112</v>
      </c>
      <c r="K31" s="133">
        <f>IF(SER_hh_tesh_in!K31=0,0,SER_hh_tesh_in!K31/SER_summary!K$27)</f>
        <v>12.329067124348878</v>
      </c>
      <c r="L31" s="133">
        <f>IF(SER_hh_tesh_in!L31=0,0,SER_hh_tesh_in!L31/SER_summary!L$27)</f>
        <v>12.627510925245895</v>
      </c>
      <c r="M31" s="133">
        <f>IF(SER_hh_tesh_in!M31=0,0,SER_hh_tesh_in!M31/SER_summary!M$27)</f>
        <v>12.766396634975605</v>
      </c>
      <c r="N31" s="133">
        <f>IF(SER_hh_tesh_in!N31=0,0,SER_hh_tesh_in!N31/SER_summary!N$27)</f>
        <v>13.03751542864959</v>
      </c>
      <c r="O31" s="133">
        <f>IF(SER_hh_tesh_in!O31=0,0,SER_hh_tesh_in!O31/SER_summary!O$27)</f>
        <v>13.174899060001653</v>
      </c>
      <c r="P31" s="133">
        <f>IF(SER_hh_tesh_in!P31=0,0,SER_hh_tesh_in!P31/SER_summary!P$27)</f>
        <v>13.210204693286576</v>
      </c>
      <c r="Q31" s="133">
        <f>IF(SER_hh_tesh_in!Q31=0,0,SER_hh_tesh_in!Q31/SER_summary!Q$27)</f>
        <v>13.314827947453615</v>
      </c>
      <c r="R31" s="133">
        <f>IF(SER_hh_tesh_in!R31=0,0,SER_hh_tesh_in!R31/SER_summary!R$27)</f>
        <v>13.347045635634583</v>
      </c>
      <c r="S31" s="133">
        <f>IF(SER_hh_tesh_in!S31=0,0,SER_hh_tesh_in!S31/SER_summary!S$27)</f>
        <v>13.835714608815231</v>
      </c>
      <c r="T31" s="133">
        <f>IF(SER_hh_tesh_in!T31=0,0,SER_hh_tesh_in!T31/SER_summary!T$27)</f>
        <v>14.320183948927479</v>
      </c>
      <c r="U31" s="133">
        <f>IF(SER_hh_tesh_in!U31=0,0,SER_hh_tesh_in!U31/SER_summary!U$27)</f>
        <v>14.222674692358408</v>
      </c>
      <c r="V31" s="133">
        <f>IF(SER_hh_tesh_in!V31=0,0,SER_hh_tesh_in!V31/SER_summary!V$27)</f>
        <v>12.560423645467692</v>
      </c>
      <c r="W31" s="133">
        <f>IF(SER_hh_tesh_in!W31=0,0,SER_hh_tesh_in!W31/SER_summary!W$27)</f>
        <v>14.135964781022755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17.587694802944483</v>
      </c>
      <c r="K32" s="133">
        <f>IF(SER_hh_tesh_in!K32=0,0,SER_hh_tesh_in!K32/SER_summary!K$27)</f>
        <v>14.00339684027329</v>
      </c>
      <c r="L32" s="133">
        <f>IF(SER_hh_tesh_in!L32=0,0,SER_hh_tesh_in!L32/SER_summary!L$27)</f>
        <v>12.897794150719488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11.212516277540733</v>
      </c>
      <c r="R32" s="133">
        <f>IF(SER_hh_tesh_in!R32=0,0,SER_hh_tesh_in!R32/SER_summary!R$27)</f>
        <v>9.0299329212427217</v>
      </c>
      <c r="S32" s="133">
        <f>IF(SER_hh_tesh_in!S32=0,0,SER_hh_tesh_in!S32/SER_summary!S$27)</f>
        <v>12.994992859297808</v>
      </c>
      <c r="T32" s="133">
        <f>IF(SER_hh_tesh_in!T32=0,0,SER_hh_tesh_in!T32/SER_summary!T$27)</f>
        <v>15.563116113107425</v>
      </c>
      <c r="U32" s="133">
        <f>IF(SER_hh_tesh_in!U32=0,0,SER_hh_tesh_in!U32/SER_summary!U$27)</f>
        <v>15.801313168620347</v>
      </c>
      <c r="V32" s="133">
        <f>IF(SER_hh_tesh_in!V32=0,0,SER_hh_tesh_in!V32/SER_summary!V$27)</f>
        <v>13.42518577897664</v>
      </c>
      <c r="W32" s="133">
        <f>IF(SER_hh_tesh_in!W32=0,0,SER_hh_tesh_in!W32/SER_summary!W$27)</f>
        <v>13.49480165084937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12.625244864625575</v>
      </c>
      <c r="D33" s="68">
        <f>IF(SER_hh_tesh_in!D33=0,0,SER_hh_tesh_in!D33/SER_summary!D$27)</f>
        <v>12.600366017278469</v>
      </c>
      <c r="E33" s="68">
        <f>IF(SER_hh_tesh_in!E33=0,0,SER_hh_tesh_in!E33/SER_summary!E$27)</f>
        <v>12.319149267157277</v>
      </c>
      <c r="F33" s="68">
        <f>IF(SER_hh_tesh_in!F33=0,0,SER_hh_tesh_in!F33/SER_summary!F$27)</f>
        <v>12.163030417269962</v>
      </c>
      <c r="G33" s="68">
        <f>IF(SER_hh_tesh_in!G33=0,0,SER_hh_tesh_in!G33/SER_summary!G$27)</f>
        <v>11.990978093031895</v>
      </c>
      <c r="H33" s="68">
        <f>IF(SER_hh_tesh_in!H33=0,0,SER_hh_tesh_in!H33/SER_summary!H$27)</f>
        <v>11.773193289690541</v>
      </c>
      <c r="I33" s="68">
        <f>IF(SER_hh_tesh_in!I33=0,0,SER_hh_tesh_in!I33/SER_summary!I$27)</f>
        <v>11.64770267719512</v>
      </c>
      <c r="J33" s="68">
        <f>IF(SER_hh_tesh_in!J33=0,0,SER_hh_tesh_in!J33/SER_summary!J$27)</f>
        <v>11.779779512309899</v>
      </c>
      <c r="K33" s="68">
        <f>IF(SER_hh_tesh_in!K33=0,0,SER_hh_tesh_in!K33/SER_summary!K$27)</f>
        <v>12.186471361927969</v>
      </c>
      <c r="L33" s="68">
        <f>IF(SER_hh_tesh_in!L33=0,0,SER_hh_tesh_in!L33/SER_summary!L$27)</f>
        <v>12.716108693101358</v>
      </c>
      <c r="M33" s="68">
        <f>IF(SER_hh_tesh_in!M33=0,0,SER_hh_tesh_in!M33/SER_summary!M$27)</f>
        <v>12.586844567857877</v>
      </c>
      <c r="N33" s="68">
        <f>IF(SER_hh_tesh_in!N33=0,0,SER_hh_tesh_in!N33/SER_summary!N$27)</f>
        <v>12.772667861924017</v>
      </c>
      <c r="O33" s="68">
        <f>IF(SER_hh_tesh_in!O33=0,0,SER_hh_tesh_in!O33/SER_summary!O$27)</f>
        <v>13.088616810094567</v>
      </c>
      <c r="P33" s="68">
        <f>IF(SER_hh_tesh_in!P33=0,0,SER_hh_tesh_in!P33/SER_summary!P$27)</f>
        <v>13.173823328762738</v>
      </c>
      <c r="Q33" s="68">
        <f>IF(SER_hh_tesh_in!Q33=0,0,SER_hh_tesh_in!Q33/SER_summary!Q$27)</f>
        <v>13.221647371803742</v>
      </c>
      <c r="R33" s="68">
        <f>IF(SER_hh_tesh_in!R33=0,0,SER_hh_tesh_in!R33/SER_summary!R$27)</f>
        <v>13.460682458036018</v>
      </c>
      <c r="S33" s="68">
        <f>IF(SER_hh_tesh_in!S33=0,0,SER_hh_tesh_in!S33/SER_summary!S$27)</f>
        <v>13.773323102852281</v>
      </c>
      <c r="T33" s="68">
        <f>IF(SER_hh_tesh_in!T33=0,0,SER_hh_tesh_in!T33/SER_summary!T$27)</f>
        <v>14.246028367321221</v>
      </c>
      <c r="U33" s="68">
        <f>IF(SER_hh_tesh_in!U33=0,0,SER_hh_tesh_in!U33/SER_summary!U$27)</f>
        <v>14.471525558302783</v>
      </c>
      <c r="V33" s="68">
        <f>IF(SER_hh_tesh_in!V33=0,0,SER_hh_tesh_in!V33/SER_summary!V$27)</f>
        <v>12.695870879766078</v>
      </c>
      <c r="W33" s="68">
        <f>IF(SER_hh_tesh_in!W33=0,0,SER_hh_tesh_in!W33/SER_summary!W$27)</f>
        <v>13.997574967723938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3.7913043197185341</v>
      </c>
      <c r="D3" s="126">
        <f>IF(SER_hh_emih_in!D3=0,0,SER_hh_emih_in!D3/SER_summary!D$27)</f>
        <v>2.6670284992309354</v>
      </c>
      <c r="E3" s="126">
        <f>IF(SER_hh_emih_in!E3=0,0,SER_hh_emih_in!E3/SER_summary!E$27)</f>
        <v>2.5749141777233069</v>
      </c>
      <c r="F3" s="126">
        <f>IF(SER_hh_emih_in!F3=0,0,SER_hh_emih_in!F3/SER_summary!F$27)</f>
        <v>2.4122293763140159</v>
      </c>
      <c r="G3" s="126">
        <f>IF(SER_hh_emih_in!G3=0,0,SER_hh_emih_in!G3/SER_summary!G$27)</f>
        <v>2.9805284892673987</v>
      </c>
      <c r="H3" s="126">
        <f>IF(SER_hh_emih_in!H3=0,0,SER_hh_emih_in!H3/SER_summary!H$27)</f>
        <v>5.95841578954896</v>
      </c>
      <c r="I3" s="126">
        <f>IF(SER_hh_emih_in!I3=0,0,SER_hh_emih_in!I3/SER_summary!I$27)</f>
        <v>3.5041110111030758</v>
      </c>
      <c r="J3" s="126">
        <f>IF(SER_hh_emih_in!J3=0,0,SER_hh_emih_in!J3/SER_summary!J$27)</f>
        <v>2.3673602910723157</v>
      </c>
      <c r="K3" s="126">
        <f>IF(SER_hh_emih_in!K3=0,0,SER_hh_emih_in!K3/SER_summary!K$27)</f>
        <v>3.1928680947410051</v>
      </c>
      <c r="L3" s="126">
        <f>IF(SER_hh_emih_in!L3=0,0,SER_hh_emih_in!L3/SER_summary!L$27)</f>
        <v>4.2104636747128561</v>
      </c>
      <c r="M3" s="126">
        <f>IF(SER_hh_emih_in!M3=0,0,SER_hh_emih_in!M3/SER_summary!M$27)</f>
        <v>2.0329119521417569</v>
      </c>
      <c r="N3" s="126">
        <f>IF(SER_hh_emih_in!N3=0,0,SER_hh_emih_in!N3/SER_summary!N$27)</f>
        <v>3.3818974460637254</v>
      </c>
      <c r="O3" s="126">
        <f>IF(SER_hh_emih_in!O3=0,0,SER_hh_emih_in!O3/SER_summary!O$27)</f>
        <v>2.908578177584467</v>
      </c>
      <c r="P3" s="126">
        <f>IF(SER_hh_emih_in!P3=0,0,SER_hh_emih_in!P3/SER_summary!P$27)</f>
        <v>3.0320456616498541</v>
      </c>
      <c r="Q3" s="126">
        <f>IF(SER_hh_emih_in!Q3=0,0,SER_hh_emih_in!Q3/SER_summary!Q$27)</f>
        <v>5.5364759718003107</v>
      </c>
      <c r="R3" s="126">
        <f>IF(SER_hh_emih_in!R3=0,0,SER_hh_emih_in!R3/SER_summary!R$27)</f>
        <v>2.833503562053806</v>
      </c>
      <c r="S3" s="126">
        <f>IF(SER_hh_emih_in!S3=0,0,SER_hh_emih_in!S3/SER_summary!S$27)</f>
        <v>1.9056983057145573</v>
      </c>
      <c r="T3" s="126">
        <f>IF(SER_hh_emih_in!T3=0,0,SER_hh_emih_in!T3/SER_summary!T$27)</f>
        <v>1.9331516916493889</v>
      </c>
      <c r="U3" s="126">
        <f>IF(SER_hh_emih_in!U3=0,0,SER_hh_emih_in!U3/SER_summary!U$27)</f>
        <v>1.6919558483467292</v>
      </c>
      <c r="V3" s="126">
        <f>IF(SER_hh_emih_in!V3=0,0,SER_hh_emih_in!V3/SER_summary!V$27)</f>
        <v>2.0315338456553498</v>
      </c>
      <c r="W3" s="126">
        <f>IF(SER_hh_emih_in!W3=0,0,SER_hh_emih_in!W3/SER_summary!W$27)</f>
        <v>2.6750207457936117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2.7015829736112629</v>
      </c>
      <c r="D4" s="131">
        <f>IF(SER_hh_emih_in!D4=0,0,SER_hh_emih_in!D4/SER_summary!D$27)</f>
        <v>1.5500948988345173</v>
      </c>
      <c r="E4" s="131">
        <f>IF(SER_hh_emih_in!E4=0,0,SER_hh_emih_in!E4/SER_summary!E$27)</f>
        <v>1.4456447856069925</v>
      </c>
      <c r="F4" s="131">
        <f>IF(SER_hh_emih_in!F4=0,0,SER_hh_emih_in!F4/SER_summary!F$27)</f>
        <v>1.1291195572029931</v>
      </c>
      <c r="G4" s="131">
        <f>IF(SER_hh_emih_in!G4=0,0,SER_hh_emih_in!G4/SER_summary!G$27)</f>
        <v>1.6016125133028216</v>
      </c>
      <c r="H4" s="131">
        <f>IF(SER_hh_emih_in!H4=0,0,SER_hh_emih_in!H4/SER_summary!H$27)</f>
        <v>4.2171746699187382</v>
      </c>
      <c r="I4" s="131">
        <f>IF(SER_hh_emih_in!I4=0,0,SER_hh_emih_in!I4/SER_summary!I$27)</f>
        <v>1.775644433785877</v>
      </c>
      <c r="J4" s="131">
        <f>IF(SER_hh_emih_in!J4=0,0,SER_hh_emih_in!J4/SER_summary!J$27)</f>
        <v>0.9678964852833718</v>
      </c>
      <c r="K4" s="131">
        <f>IF(SER_hh_emih_in!K4=0,0,SER_hh_emih_in!K4/SER_summary!K$27)</f>
        <v>1.9792050231846261</v>
      </c>
      <c r="L4" s="131">
        <f>IF(SER_hh_emih_in!L4=0,0,SER_hh_emih_in!L4/SER_summary!L$27)</f>
        <v>1.8081573185047202</v>
      </c>
      <c r="M4" s="131">
        <f>IF(SER_hh_emih_in!M4=0,0,SER_hh_emih_in!M4/SER_summary!M$27)</f>
        <v>0.68314944022436086</v>
      </c>
      <c r="N4" s="131">
        <f>IF(SER_hh_emih_in!N4=0,0,SER_hh_emih_in!N4/SER_summary!N$27)</f>
        <v>1.9342328112582676</v>
      </c>
      <c r="O4" s="131">
        <f>IF(SER_hh_emih_in!O4=0,0,SER_hh_emih_in!O4/SER_summary!O$27)</f>
        <v>2.1056696106662085</v>
      </c>
      <c r="P4" s="131">
        <f>IF(SER_hh_emih_in!P4=0,0,SER_hh_emih_in!P4/SER_summary!P$27)</f>
        <v>1.9816175581097852</v>
      </c>
      <c r="Q4" s="131">
        <f>IF(SER_hh_emih_in!Q4=0,0,SER_hh_emih_in!Q4/SER_summary!Q$27)</f>
        <v>4.61877867050248</v>
      </c>
      <c r="R4" s="131">
        <f>IF(SER_hh_emih_in!R4=0,0,SER_hh_emih_in!R4/SER_summary!R$27)</f>
        <v>1.871375285743911</v>
      </c>
      <c r="S4" s="131">
        <f>IF(SER_hh_emih_in!S4=0,0,SER_hh_emih_in!S4/SER_summary!S$27)</f>
        <v>0.81248087523702195</v>
      </c>
      <c r="T4" s="131">
        <f>IF(SER_hh_emih_in!T4=0,0,SER_hh_emih_in!T4/SER_summary!T$27)</f>
        <v>0.68154259524018657</v>
      </c>
      <c r="U4" s="131">
        <f>IF(SER_hh_emih_in!U4=0,0,SER_hh_emih_in!U4/SER_summary!U$27)</f>
        <v>0.57798751146996941</v>
      </c>
      <c r="V4" s="131">
        <f>IF(SER_hh_emih_in!V4=0,0,SER_hh_emih_in!V4/SER_summary!V$27)</f>
        <v>1.2471418458338388</v>
      </c>
      <c r="W4" s="131">
        <f>IF(SER_hh_emih_in!W4=0,0,SER_hh_emih_in!W4/SER_summary!W$27)</f>
        <v>1.4269435381189177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22.387713174498518</v>
      </c>
      <c r="D5" s="133">
        <f>IF(SER_hh_emih_in!D5=0,0,SER_hh_emih_in!D5/SER_summary!D$27)</f>
        <v>26.769628417624752</v>
      </c>
      <c r="E5" s="133">
        <f>IF(SER_hh_emih_in!E5=0,0,SER_hh_emih_in!E5/SER_summary!E$27)</f>
        <v>28.795264299943227</v>
      </c>
      <c r="F5" s="133">
        <f>IF(SER_hh_emih_in!F5=0,0,SER_hh_emih_in!F5/SER_summary!F$27)</f>
        <v>19.797016625696763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27.851365213781794</v>
      </c>
      <c r="K5" s="133">
        <f>IF(SER_hh_emih_in!K5=0,0,SER_hh_emih_in!K5/SER_summary!K$27)</f>
        <v>23.490346605664243</v>
      </c>
      <c r="L5" s="133">
        <f>IF(SER_hh_emih_in!L5=0,0,SER_hh_emih_in!L5/SER_summary!L$27)</f>
        <v>21.923023077093191</v>
      </c>
      <c r="M5" s="133">
        <f>IF(SER_hh_emih_in!M5=0,0,SER_hh_emih_in!M5/SER_summary!M$27)</f>
        <v>23.840692867778046</v>
      </c>
      <c r="N5" s="133">
        <f>IF(SER_hh_emih_in!N5=0,0,SER_hh_emih_in!N5/SER_summary!N$27)</f>
        <v>17.733300284760215</v>
      </c>
      <c r="O5" s="133">
        <f>IF(SER_hh_emih_in!O5=0,0,SER_hh_emih_in!O5/SER_summary!O$27)</f>
        <v>22.713092091506116</v>
      </c>
      <c r="P5" s="133">
        <f>IF(SER_hh_emih_in!P5=0,0,SER_hh_emih_in!P5/SER_summary!P$27)</f>
        <v>10.049000855056132</v>
      </c>
      <c r="Q5" s="133">
        <f>IF(SER_hh_emih_in!Q5=0,0,SER_hh_emih_in!Q5/SER_summary!Q$27)</f>
        <v>24.4251444831302</v>
      </c>
      <c r="R5" s="133">
        <f>IF(SER_hh_emih_in!R5=0,0,SER_hh_emih_in!R5/SER_summary!R$27)</f>
        <v>26.194995808252884</v>
      </c>
      <c r="S5" s="133">
        <f>IF(SER_hh_emih_in!S5=0,0,SER_hh_emih_in!S5/SER_summary!S$27)</f>
        <v>18.174063855614722</v>
      </c>
      <c r="T5" s="133">
        <f>IF(SER_hh_emih_in!T5=0,0,SER_hh_emih_in!T5/SER_summary!T$27)</f>
        <v>12.744410850200037</v>
      </c>
      <c r="U5" s="133">
        <f>IF(SER_hh_emih_in!U5=0,0,SER_hh_emih_in!U5/SER_summary!U$27)</f>
        <v>18.737866061697567</v>
      </c>
      <c r="V5" s="133">
        <f>IF(SER_hh_emih_in!V5=0,0,SER_hh_emih_in!V5/SER_summary!V$27)</f>
        <v>14.114813669505626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30.142958650053192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26.896885988204904</v>
      </c>
      <c r="I7" s="133">
        <f>IF(SER_hh_emih_in!I7=0,0,SER_hh_emih_in!I7/SER_summary!I$27)</f>
        <v>17.914282552126824</v>
      </c>
      <c r="J7" s="133">
        <f>IF(SER_hh_emih_in!J7=0,0,SER_hh_emih_in!J7/SER_summary!J$27)</f>
        <v>22.829809877796496</v>
      </c>
      <c r="K7" s="133">
        <f>IF(SER_hh_emih_in!K7=0,0,SER_hh_emih_in!K7/SER_summary!K$27)</f>
        <v>25.416341772273242</v>
      </c>
      <c r="L7" s="133">
        <f>IF(SER_hh_emih_in!L7=0,0,SER_hh_emih_in!L7/SER_summary!L$27)</f>
        <v>17.363429372911185</v>
      </c>
      <c r="M7" s="133">
        <f>IF(SER_hh_emih_in!M7=0,0,SER_hh_emih_in!M7/SER_summary!M$27)</f>
        <v>0</v>
      </c>
      <c r="N7" s="133">
        <f>IF(SER_hh_emih_in!N7=0,0,SER_hh_emih_in!N7/SER_summary!N$27)</f>
        <v>18.049160853960899</v>
      </c>
      <c r="O7" s="133">
        <f>IF(SER_hh_emih_in!O7=0,0,SER_hh_emih_in!O7/SER_summary!O$27)</f>
        <v>12.878856106007639</v>
      </c>
      <c r="P7" s="133">
        <f>IF(SER_hh_emih_in!P7=0,0,SER_hh_emih_in!P7/SER_summary!P$27)</f>
        <v>7.3531941763358395</v>
      </c>
      <c r="Q7" s="133">
        <f>IF(SER_hh_emih_in!Q7=0,0,SER_hh_emih_in!Q7/SER_summary!Q$27)</f>
        <v>19.580887917944917</v>
      </c>
      <c r="R7" s="133">
        <f>IF(SER_hh_emih_in!R7=0,0,SER_hh_emih_in!R7/SER_summary!R$27)</f>
        <v>17.557392851253169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15.899275992881385</v>
      </c>
      <c r="D9" s="133">
        <f>IF(SER_hh_emih_in!D9=0,0,SER_hh_emih_in!D9/SER_summary!D$27)</f>
        <v>13.215293844586366</v>
      </c>
      <c r="E9" s="133">
        <f>IF(SER_hh_emih_in!E9=0,0,SER_hh_emih_in!E9/SER_summary!E$27)</f>
        <v>14.591304757567391</v>
      </c>
      <c r="F9" s="133">
        <f>IF(SER_hh_emih_in!F9=0,0,SER_hh_emih_in!F9/SER_summary!F$27)</f>
        <v>11.141418453954152</v>
      </c>
      <c r="G9" s="133">
        <f>IF(SER_hh_emih_in!G9=0,0,SER_hh_emih_in!G9/SER_summary!G$27)</f>
        <v>13.909161549464692</v>
      </c>
      <c r="H9" s="133">
        <f>IF(SER_hh_emih_in!H9=0,0,SER_hh_emih_in!H9/SER_summary!H$27)</f>
        <v>17.34833612288319</v>
      </c>
      <c r="I9" s="133">
        <f>IF(SER_hh_emih_in!I9=0,0,SER_hh_emih_in!I9/SER_summary!I$27)</f>
        <v>15.236397974983472</v>
      </c>
      <c r="J9" s="133">
        <f>IF(SER_hh_emih_in!J9=0,0,SER_hh_emih_in!J9/SER_summary!J$27)</f>
        <v>17.508732515018934</v>
      </c>
      <c r="K9" s="133">
        <f>IF(SER_hh_emih_in!K9=0,0,SER_hh_emih_in!K9/SER_summary!K$27)</f>
        <v>10.740890649581486</v>
      </c>
      <c r="L9" s="133">
        <f>IF(SER_hh_emih_in!L9=0,0,SER_hh_emih_in!L9/SER_summary!L$27)</f>
        <v>14.160387713246797</v>
      </c>
      <c r="M9" s="133">
        <f>IF(SER_hh_emih_in!M9=0,0,SER_hh_emih_in!M9/SER_summary!M$27)</f>
        <v>14.121537152760418</v>
      </c>
      <c r="N9" s="133">
        <f>IF(SER_hh_emih_in!N9=0,0,SER_hh_emih_in!N9/SER_summary!N$27)</f>
        <v>12.132372169589559</v>
      </c>
      <c r="O9" s="133">
        <f>IF(SER_hh_emih_in!O9=0,0,SER_hh_emih_in!O9/SER_summary!O$27)</f>
        <v>9.960060243670986</v>
      </c>
      <c r="P9" s="133">
        <f>IF(SER_hh_emih_in!P9=0,0,SER_hh_emih_in!P9/SER_summary!P$27)</f>
        <v>9.6756371772433543</v>
      </c>
      <c r="Q9" s="133">
        <f>IF(SER_hh_emih_in!Q9=0,0,SER_hh_emih_in!Q9/SER_summary!Q$27)</f>
        <v>10.009635406237791</v>
      </c>
      <c r="R9" s="133">
        <f>IF(SER_hh_emih_in!R9=0,0,SER_hh_emih_in!R9/SER_summary!R$27)</f>
        <v>9.7837021229807242</v>
      </c>
      <c r="S9" s="133">
        <f>IF(SER_hh_emih_in!S9=0,0,SER_hh_emih_in!S9/SER_summary!S$27)</f>
        <v>9.9142142213411812</v>
      </c>
      <c r="T9" s="133">
        <f>IF(SER_hh_emih_in!T9=0,0,SER_hh_emih_in!T9/SER_summary!T$27)</f>
        <v>10.138847545863305</v>
      </c>
      <c r="U9" s="133">
        <f>IF(SER_hh_emih_in!U9=0,0,SER_hh_emih_in!U9/SER_summary!U$27)</f>
        <v>8.5683299117475222</v>
      </c>
      <c r="V9" s="133">
        <f>IF(SER_hh_emih_in!V9=0,0,SER_hh_emih_in!V9/SER_summary!V$27)</f>
        <v>7.9334615146103893</v>
      </c>
      <c r="W9" s="133">
        <f>IF(SER_hh_emih_in!W9=0,0,SER_hh_emih_in!W9/SER_summary!W$27)</f>
        <v>9.0214620644410406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0.69113348276276332</v>
      </c>
      <c r="D19" s="131">
        <f>IF(SER_hh_emih_in!D19=0,0,SER_hh_emih_in!D19/SER_summary!D$27)</f>
        <v>0.71205353741295263</v>
      </c>
      <c r="E19" s="131">
        <f>IF(SER_hh_emih_in!E19=0,0,SER_hh_emih_in!E19/SER_summary!E$27)</f>
        <v>0.64731986727263313</v>
      </c>
      <c r="F19" s="131">
        <f>IF(SER_hh_emih_in!F19=0,0,SER_hh_emih_in!F19/SER_summary!F$27)</f>
        <v>0.68130810009915455</v>
      </c>
      <c r="G19" s="131">
        <f>IF(SER_hh_emih_in!G19=0,0,SER_hh_emih_in!G19/SER_summary!G$27)</f>
        <v>0.79262108481948168</v>
      </c>
      <c r="H19" s="131">
        <f>IF(SER_hh_emih_in!H19=0,0,SER_hh_emih_in!H19/SER_summary!H$27)</f>
        <v>0.96238502282779648</v>
      </c>
      <c r="I19" s="131">
        <f>IF(SER_hh_emih_in!I19=0,0,SER_hh_emih_in!I19/SER_summary!I$27)</f>
        <v>1.1241108367585368</v>
      </c>
      <c r="J19" s="131">
        <f>IF(SER_hh_emih_in!J19=0,0,SER_hh_emih_in!J19/SER_summary!J$27)</f>
        <v>0.98568034465569532</v>
      </c>
      <c r="K19" s="131">
        <f>IF(SER_hh_emih_in!K19=0,0,SER_hh_emih_in!K19/SER_summary!K$27)</f>
        <v>0.92370550539457175</v>
      </c>
      <c r="L19" s="131">
        <f>IF(SER_hh_emih_in!L19=0,0,SER_hh_emih_in!L19/SER_summary!L$27)</f>
        <v>0.30573915514012667</v>
      </c>
      <c r="M19" s="131">
        <f>IF(SER_hh_emih_in!M19=0,0,SER_hh_emih_in!M19/SER_summary!M$27)</f>
        <v>0.45946212941386894</v>
      </c>
      <c r="N19" s="131">
        <f>IF(SER_hh_emih_in!N19=0,0,SER_hh_emih_in!N19/SER_summary!N$27)</f>
        <v>0.43033977832020115</v>
      </c>
      <c r="O19" s="131">
        <f>IF(SER_hh_emih_in!O19=0,0,SER_hh_emih_in!O19/SER_summary!O$27)</f>
        <v>0.24690886365872197</v>
      </c>
      <c r="P19" s="131">
        <f>IF(SER_hh_emih_in!P19=0,0,SER_hh_emih_in!P19/SER_summary!P$27)</f>
        <v>0.49982986327411311</v>
      </c>
      <c r="Q19" s="131">
        <f>IF(SER_hh_emih_in!Q19=0,0,SER_hh_emih_in!Q19/SER_summary!Q$27)</f>
        <v>0.41847834342878892</v>
      </c>
      <c r="R19" s="131">
        <f>IF(SER_hh_emih_in!R19=0,0,SER_hh_emih_in!R19/SER_summary!R$27)</f>
        <v>0.44807782531491697</v>
      </c>
      <c r="S19" s="131">
        <f>IF(SER_hh_emih_in!S19=0,0,SER_hh_emih_in!S19/SER_summary!S$27)</f>
        <v>0.47064116607579898</v>
      </c>
      <c r="T19" s="131">
        <f>IF(SER_hh_emih_in!T19=0,0,SER_hh_emih_in!T19/SER_summary!T$27)</f>
        <v>0.50608519304327826</v>
      </c>
      <c r="U19" s="131">
        <f>IF(SER_hh_emih_in!U19=0,0,SER_hh_emih_in!U19/SER_summary!U$27)</f>
        <v>0.4826471809545364</v>
      </c>
      <c r="V19" s="131">
        <f>IF(SER_hh_emih_in!V19=0,0,SER_hh_emih_in!V19/SER_summary!V$27)</f>
        <v>0.27780606008174619</v>
      </c>
      <c r="W19" s="131">
        <f>IF(SER_hh_emih_in!W19=0,0,SER_hh_emih_in!W19/SER_summary!W$27)</f>
        <v>0.4021333276368288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6.1492652767878946</v>
      </c>
      <c r="D22" s="133">
        <f>IF(SER_hh_emih_in!D22=0,0,SER_hh_emih_in!D22/SER_summary!D$27)</f>
        <v>6.1576632298773122</v>
      </c>
      <c r="E22" s="133">
        <f>IF(SER_hh_emih_in!E22=0,0,SER_hh_emih_in!E22/SER_summary!E$27)</f>
        <v>6.0206775460536646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5.57185138785748</v>
      </c>
      <c r="I22" s="133">
        <f>IF(SER_hh_emih_in!I22=0,0,SER_hh_emih_in!I22/SER_summary!I$27)</f>
        <v>5.6128912455109852</v>
      </c>
      <c r="J22" s="133">
        <f>IF(SER_hh_emih_in!J22=0,0,SER_hh_emih_in!J22/SER_summary!J$27)</f>
        <v>5.6982910482069649</v>
      </c>
      <c r="K22" s="133">
        <f>IF(SER_hh_emih_in!K22=0,0,SER_hh_emih_in!K22/SER_summary!K$27)</f>
        <v>5.6847626978955867</v>
      </c>
      <c r="L22" s="133">
        <f>IF(SER_hh_emih_in!L22=0,0,SER_hh_emih_in!L22/SER_summary!L$27)</f>
        <v>2.8568732815328208</v>
      </c>
      <c r="M22" s="133">
        <f>IF(SER_hh_emih_in!M22=0,0,SER_hh_emih_in!M22/SER_summary!M$27)</f>
        <v>5.6937378295089989</v>
      </c>
      <c r="N22" s="133">
        <f>IF(SER_hh_emih_in!N22=0,0,SER_hh_emih_in!N22/SER_summary!N$27)</f>
        <v>6.0365831816132758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4.1269601448313162</v>
      </c>
      <c r="D23" s="133">
        <f>IF(SER_hh_emih_in!D23=0,0,SER_hh_emih_in!D23/SER_summary!D$27)</f>
        <v>3.655147739176948</v>
      </c>
      <c r="E23" s="133">
        <f>IF(SER_hh_emih_in!E23=0,0,SER_hh_emih_in!E23/SER_summary!E$27)</f>
        <v>3.815348646623721</v>
      </c>
      <c r="F23" s="133">
        <f>IF(SER_hh_emih_in!F23=0,0,SER_hh_emih_in!F23/SER_summary!F$27)</f>
        <v>3.7097508115698439</v>
      </c>
      <c r="G23" s="133">
        <f>IF(SER_hh_emih_in!G23=0,0,SER_hh_emih_in!G23/SER_summary!G$27)</f>
        <v>3.5847308325175078</v>
      </c>
      <c r="H23" s="133">
        <f>IF(SER_hh_emih_in!H23=0,0,SER_hh_emih_in!H23/SER_summary!H$27)</f>
        <v>3.6776800112019123</v>
      </c>
      <c r="I23" s="133">
        <f>IF(SER_hh_emih_in!I23=0,0,SER_hh_emih_in!I23/SER_summary!I$27)</f>
        <v>3.8406430853352322</v>
      </c>
      <c r="J23" s="133">
        <f>IF(SER_hh_emih_in!J23=0,0,SER_hh_emih_in!J23/SER_summary!J$27)</f>
        <v>3.7516908570091156</v>
      </c>
      <c r="K23" s="133">
        <f>IF(SER_hh_emih_in!K23=0,0,SER_hh_emih_in!K23/SER_summary!K$27)</f>
        <v>3.7310147476444118</v>
      </c>
      <c r="L23" s="133">
        <f>IF(SER_hh_emih_in!L23=0,0,SER_hh_emih_in!L23/SER_summary!L$27)</f>
        <v>1.6857969138090259</v>
      </c>
      <c r="M23" s="133">
        <f>IF(SER_hh_emih_in!M23=0,0,SER_hh_emih_in!M23/SER_summary!M$27)</f>
        <v>3.3468132512748974</v>
      </c>
      <c r="N23" s="133">
        <f>IF(SER_hh_emih_in!N23=0,0,SER_hh_emih_in!N23/SER_summary!N$27)</f>
        <v>3.522690965928712</v>
      </c>
      <c r="O23" s="133">
        <f>IF(SER_hh_emih_in!O23=0,0,SER_hh_emih_in!O23/SER_summary!O$27)</f>
        <v>2.6361058943016955</v>
      </c>
      <c r="P23" s="133">
        <f>IF(SER_hh_emih_in!P23=0,0,SER_hh_emih_in!P23/SER_summary!P$27)</f>
        <v>3.427507636824334</v>
      </c>
      <c r="Q23" s="133">
        <f>IF(SER_hh_emih_in!Q23=0,0,SER_hh_emih_in!Q23/SER_summary!Q$27)</f>
        <v>3.0272881742189539</v>
      </c>
      <c r="R23" s="133">
        <f>IF(SER_hh_emih_in!R23=0,0,SER_hh_emih_in!R23/SER_summary!R$27)</f>
        <v>2.9295492406338508</v>
      </c>
      <c r="S23" s="133">
        <f>IF(SER_hh_emih_in!S23=0,0,SER_hh_emih_in!S23/SER_summary!S$27)</f>
        <v>3.0573825751208799</v>
      </c>
      <c r="T23" s="133">
        <f>IF(SER_hh_emih_in!T23=0,0,SER_hh_emih_in!T23/SER_summary!T$27)</f>
        <v>3.1788888034212599</v>
      </c>
      <c r="U23" s="133">
        <f>IF(SER_hh_emih_in!U23=0,0,SER_hh_emih_in!U23/SER_summary!U$27)</f>
        <v>3.2181756581239598</v>
      </c>
      <c r="V23" s="133">
        <f>IF(SER_hh_emih_in!V23=0,0,SER_hh_emih_in!V23/SER_summary!V$27)</f>
        <v>2.1261823775703972</v>
      </c>
      <c r="W23" s="133">
        <f>IF(SER_hh_emih_in!W23=0,0,SER_hh_emih_in!W23/SER_summary!W$27)</f>
        <v>2.9704440405633132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0.39858786334450791</v>
      </c>
      <c r="D29" s="131">
        <f>IF(SER_hh_emih_in!D29=0,0,SER_hh_emih_in!D29/SER_summary!D$27)</f>
        <v>0.40488006298346602</v>
      </c>
      <c r="E29" s="131">
        <f>IF(SER_hh_emih_in!E29=0,0,SER_hh_emih_in!E29/SER_summary!E$27)</f>
        <v>0.48194952484368114</v>
      </c>
      <c r="F29" s="131">
        <f>IF(SER_hh_emih_in!F29=0,0,SER_hh_emih_in!F29/SER_summary!F$27)</f>
        <v>0.60180171901186807</v>
      </c>
      <c r="G29" s="131">
        <f>IF(SER_hh_emih_in!G29=0,0,SER_hh_emih_in!G29/SER_summary!G$27)</f>
        <v>0.58629489114509548</v>
      </c>
      <c r="H29" s="131">
        <f>IF(SER_hh_emih_in!H29=0,0,SER_hh_emih_in!H29/SER_summary!H$27)</f>
        <v>0.77885609680242562</v>
      </c>
      <c r="I29" s="131">
        <f>IF(SER_hh_emih_in!I29=0,0,SER_hh_emih_in!I29/SER_summary!I$27)</f>
        <v>0.60435574055866259</v>
      </c>
      <c r="J29" s="131">
        <f>IF(SER_hh_emih_in!J29=0,0,SER_hh_emih_in!J29/SER_summary!J$27)</f>
        <v>0.41378346113324843</v>
      </c>
      <c r="K29" s="131">
        <f>IF(SER_hh_emih_in!K29=0,0,SER_hh_emih_in!K29/SER_summary!K$27)</f>
        <v>0.2899575661618069</v>
      </c>
      <c r="L29" s="131">
        <f>IF(SER_hh_emih_in!L29=0,0,SER_hh_emih_in!L29/SER_summary!L$27)</f>
        <v>2.0965672010680092</v>
      </c>
      <c r="M29" s="131">
        <f>IF(SER_hh_emih_in!M29=0,0,SER_hh_emih_in!M29/SER_summary!M$27)</f>
        <v>0.89030038250352717</v>
      </c>
      <c r="N29" s="131">
        <f>IF(SER_hh_emih_in!N29=0,0,SER_hh_emih_in!N29/SER_summary!N$27)</f>
        <v>1.0173248564852566</v>
      </c>
      <c r="O29" s="131">
        <f>IF(SER_hh_emih_in!O29=0,0,SER_hh_emih_in!O29/SER_summary!O$27)</f>
        <v>0.55599970325953618</v>
      </c>
      <c r="P29" s="131">
        <f>IF(SER_hh_emih_in!P29=0,0,SER_hh_emih_in!P29/SER_summary!P$27)</f>
        <v>0.55059824026595605</v>
      </c>
      <c r="Q29" s="131">
        <f>IF(SER_hh_emih_in!Q29=0,0,SER_hh_emih_in!Q29/SER_summary!Q$27)</f>
        <v>0.49921895786904169</v>
      </c>
      <c r="R29" s="131">
        <f>IF(SER_hh_emih_in!R29=0,0,SER_hh_emih_in!R29/SER_summary!R$27)</f>
        <v>0.5140504509949777</v>
      </c>
      <c r="S29" s="131">
        <f>IF(SER_hh_emih_in!S29=0,0,SER_hh_emih_in!S29/SER_summary!S$27)</f>
        <v>0.6225762644017363</v>
      </c>
      <c r="T29" s="131">
        <f>IF(SER_hh_emih_in!T29=0,0,SER_hh_emih_in!T29/SER_summary!T$27)</f>
        <v>0.74552390336592411</v>
      </c>
      <c r="U29" s="131">
        <f>IF(SER_hh_emih_in!U29=0,0,SER_hh_emih_in!U29/SER_summary!U$27)</f>
        <v>0.6313211559222236</v>
      </c>
      <c r="V29" s="131">
        <f>IF(SER_hh_emih_in!V29=0,0,SER_hh_emih_in!V29/SER_summary!V$27)</f>
        <v>0.50658593973976507</v>
      </c>
      <c r="W29" s="131">
        <f>IF(SER_hh_emih_in!W29=0,0,SER_hh_emih_in!W29/SER_summary!W$27)</f>
        <v>0.84594388003786503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10.524716767450055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6.0884737045939819</v>
      </c>
      <c r="M30" s="133">
        <f>IF(SER_hh_emih_in!M30=0,0,SER_hh_emih_in!M30/SER_summary!M$27)</f>
        <v>5.6562662758706095</v>
      </c>
      <c r="N30" s="133">
        <f>IF(SER_hh_emih_in!N30=0,0,SER_hh_emih_in!N30/SER_summary!N$27)</f>
        <v>8.9499616415313099</v>
      </c>
      <c r="O30" s="133">
        <f>IF(SER_hh_emih_in!O30=0,0,SER_hh_emih_in!O30/SER_summary!O$27)</f>
        <v>6.408105169834867</v>
      </c>
      <c r="P30" s="133">
        <f>IF(SER_hh_emih_in!P30=0,0,SER_hh_emih_in!P30/SER_summary!P$27)</f>
        <v>4.0291720438711982</v>
      </c>
      <c r="Q30" s="133">
        <f>IF(SER_hh_emih_in!Q30=0,0,SER_hh_emih_in!Q30/SER_summary!Q$27)</f>
        <v>4.070045142149568</v>
      </c>
      <c r="R30" s="133">
        <f>IF(SER_hh_emih_in!R30=0,0,SER_hh_emih_in!R30/SER_summary!R$27)</f>
        <v>4.7607693497159227</v>
      </c>
      <c r="S30" s="133">
        <f>IF(SER_hh_emih_in!S30=0,0,SER_hh_emih_in!S30/SER_summary!S$27)</f>
        <v>5.6223830216568293</v>
      </c>
      <c r="T30" s="133">
        <f>IF(SER_hh_emih_in!T30=0,0,SER_hh_emih_in!T30/SER_summary!T$27)</f>
        <v>6.049371115621593</v>
      </c>
      <c r="U30" s="133">
        <f>IF(SER_hh_emih_in!U30=0,0,SER_hh_emih_in!U30/SER_summary!U$27)</f>
        <v>5.8582063120176109</v>
      </c>
      <c r="V30" s="133">
        <f>IF(SER_hh_emih_in!V30=0,0,SER_hh_emih_in!V30/SER_summary!V$27)</f>
        <v>4.7616797377281044</v>
      </c>
      <c r="W30" s="133">
        <f>IF(SER_hh_emih_in!W30=0,0,SER_hh_emih_in!W30/SER_summary!W$27)</f>
        <v>5.555358840693196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4.5271610211829199</v>
      </c>
      <c r="D31" s="133">
        <f>IF(SER_hh_emih_in!D31=0,0,SER_hh_emih_in!D31/SER_summary!D$27)</f>
        <v>4.1665352120868846</v>
      </c>
      <c r="E31" s="133">
        <f>IF(SER_hh_emih_in!E31=0,0,SER_hh_emih_in!E31/SER_summary!E$27)</f>
        <v>4.3659579649706641</v>
      </c>
      <c r="F31" s="133">
        <f>IF(SER_hh_emih_in!F31=0,0,SER_hh_emih_in!F31/SER_summary!F$27)</f>
        <v>4.4107984892324872</v>
      </c>
      <c r="G31" s="133">
        <f>IF(SER_hh_emih_in!G31=0,0,SER_hh_emih_in!G31/SER_summary!G$27)</f>
        <v>4.0385314460722022</v>
      </c>
      <c r="H31" s="133">
        <f>IF(SER_hh_emih_in!H31=0,0,SER_hh_emih_in!H31/SER_summary!H$27)</f>
        <v>4.4594954736148198</v>
      </c>
      <c r="I31" s="133">
        <f>IF(SER_hh_emih_in!I31=0,0,SER_hh_emih_in!I31/SER_summary!I$27)</f>
        <v>4.5087607108773833</v>
      </c>
      <c r="J31" s="133">
        <f>IF(SER_hh_emih_in!J31=0,0,SER_hh_emih_in!J31/SER_summary!J$27)</f>
        <v>4.4701020292608815</v>
      </c>
      <c r="K31" s="133">
        <f>IF(SER_hh_emih_in!K31=0,0,SER_hh_emih_in!K31/SER_summary!K$27)</f>
        <v>4.4383127186297262</v>
      </c>
      <c r="L31" s="133">
        <f>IF(SER_hh_emih_in!L31=0,0,SER_hh_emih_in!L31/SER_summary!L$27)</f>
        <v>4.4872165612795269</v>
      </c>
      <c r="M31" s="133">
        <f>IF(SER_hh_emih_in!M31=0,0,SER_hh_emih_in!M31/SER_summary!M$27)</f>
        <v>4.5197358297353816</v>
      </c>
      <c r="N31" s="133">
        <f>IF(SER_hh_emih_in!N31=0,0,SER_hh_emih_in!N31/SER_summary!N$27)</f>
        <v>4.6891231765584331</v>
      </c>
      <c r="O31" s="133">
        <f>IF(SER_hh_emih_in!O31=0,0,SER_hh_emih_in!O31/SER_summary!O$27)</f>
        <v>4.7225680542961088</v>
      </c>
      <c r="P31" s="133">
        <f>IF(SER_hh_emih_in!P31=0,0,SER_hh_emih_in!P31/SER_summary!P$27)</f>
        <v>4.7214378103800989</v>
      </c>
      <c r="Q31" s="133">
        <f>IF(SER_hh_emih_in!Q31=0,0,SER_hh_emih_in!Q31/SER_summary!Q$27)</f>
        <v>4.5955352407008156</v>
      </c>
      <c r="R31" s="133">
        <f>IF(SER_hh_emih_in!R31=0,0,SER_hh_emih_in!R31/SER_summary!R$27)</f>
        <v>4.417090609577464</v>
      </c>
      <c r="S31" s="133">
        <f>IF(SER_hh_emih_in!S31=0,0,SER_hh_emih_in!S31/SER_summary!S$27)</f>
        <v>4.7619077375946492</v>
      </c>
      <c r="T31" s="133">
        <f>IF(SER_hh_emih_in!T31=0,0,SER_hh_emih_in!T31/SER_summary!T$27)</f>
        <v>4.816244506805905</v>
      </c>
      <c r="U31" s="133">
        <f>IF(SER_hh_emih_in!U31=0,0,SER_hh_emih_in!U31/SER_summary!U$27)</f>
        <v>4.7813542999859528</v>
      </c>
      <c r="V31" s="133">
        <f>IF(SER_hh_emih_in!V31=0,0,SER_hh_emih_in!V31/SER_summary!V$27)</f>
        <v>4.1041024596218216</v>
      </c>
      <c r="W31" s="133">
        <f>IF(SER_hh_emih_in!W31=0,0,SER_hh_emih_in!W31/SER_summary!W$27)</f>
        <v>4.6527036321653146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219.53199696606245</v>
      </c>
      <c r="C3" s="180">
        <f t="shared" ref="C3:W3" si="1">SUM(C4:C9)</f>
        <v>228.21384750966359</v>
      </c>
      <c r="D3" s="180">
        <f t="shared" si="1"/>
        <v>239.37241010176075</v>
      </c>
      <c r="E3" s="180">
        <f t="shared" si="1"/>
        <v>251.61963997139765</v>
      </c>
      <c r="F3" s="180">
        <f t="shared" si="1"/>
        <v>265.34603982556246</v>
      </c>
      <c r="G3" s="180">
        <f t="shared" si="1"/>
        <v>281.08016183334371</v>
      </c>
      <c r="H3" s="180">
        <f t="shared" si="1"/>
        <v>299.60120969023927</v>
      </c>
      <c r="I3" s="180">
        <f t="shared" si="1"/>
        <v>316.61153065075985</v>
      </c>
      <c r="J3" s="180">
        <f t="shared" si="1"/>
        <v>330.40722327292093</v>
      </c>
      <c r="K3" s="180">
        <f t="shared" si="1"/>
        <v>339.24586511052541</v>
      </c>
      <c r="L3" s="180">
        <f t="shared" si="1"/>
        <v>346.53730330432091</v>
      </c>
      <c r="M3" s="180">
        <f t="shared" si="1"/>
        <v>356.53891945142391</v>
      </c>
      <c r="N3" s="180">
        <f t="shared" si="1"/>
        <v>361.87039486059041</v>
      </c>
      <c r="O3" s="180">
        <f t="shared" si="1"/>
        <v>368.41806519716232</v>
      </c>
      <c r="P3" s="180">
        <f t="shared" si="1"/>
        <v>377.41093587063375</v>
      </c>
      <c r="Q3" s="180">
        <f t="shared" si="1"/>
        <v>393.13865467174332</v>
      </c>
      <c r="R3" s="180">
        <f t="shared" si="1"/>
        <v>397.58942299880039</v>
      </c>
      <c r="S3" s="180">
        <f t="shared" si="1"/>
        <v>398.16849938300476</v>
      </c>
      <c r="T3" s="180">
        <f t="shared" si="1"/>
        <v>394.2550398109471</v>
      </c>
      <c r="U3" s="180">
        <f t="shared" si="1"/>
        <v>383.74433099801649</v>
      </c>
      <c r="V3" s="180">
        <f t="shared" si="1"/>
        <v>326.85090316898629</v>
      </c>
      <c r="W3" s="180">
        <f t="shared" si="1"/>
        <v>359.09952074473608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8.4505676679051138</v>
      </c>
      <c r="C4" s="181">
        <f t="shared" ref="C4:R9" si="3">C12*C44/11630</f>
        <v>8.9193662180180056</v>
      </c>
      <c r="D4" s="181">
        <f t="shared" si="3"/>
        <v>9.4998309462749742</v>
      </c>
      <c r="E4" s="181">
        <f t="shared" si="3"/>
        <v>10.119134765707663</v>
      </c>
      <c r="F4" s="181">
        <f t="shared" si="3"/>
        <v>10.824853697126693</v>
      </c>
      <c r="G4" s="181">
        <f t="shared" si="3"/>
        <v>11.747952443518223</v>
      </c>
      <c r="H4" s="181">
        <f t="shared" si="3"/>
        <v>12.766757625827754</v>
      </c>
      <c r="I4" s="181">
        <f t="shared" si="3"/>
        <v>13.749304712555436</v>
      </c>
      <c r="J4" s="181">
        <f t="shared" si="3"/>
        <v>14.612058794077926</v>
      </c>
      <c r="K4" s="181">
        <f t="shared" si="3"/>
        <v>15.129332224459157</v>
      </c>
      <c r="L4" s="181">
        <f t="shared" si="3"/>
        <v>15.841065191095076</v>
      </c>
      <c r="M4" s="181">
        <f t="shared" si="3"/>
        <v>16.672549703395795</v>
      </c>
      <c r="N4" s="181">
        <f t="shared" si="3"/>
        <v>17.411825797298604</v>
      </c>
      <c r="O4" s="181">
        <f t="shared" si="3"/>
        <v>18.167314172714388</v>
      </c>
      <c r="P4" s="181">
        <f t="shared" si="3"/>
        <v>18.956717975990177</v>
      </c>
      <c r="Q4" s="181">
        <f t="shared" si="3"/>
        <v>19.827811451719565</v>
      </c>
      <c r="R4" s="181">
        <f t="shared" si="3"/>
        <v>20.266148288446765</v>
      </c>
      <c r="S4" s="181">
        <f t="shared" ref="D4:W9" si="4">S12*S44/11630</f>
        <v>20.703311031432239</v>
      </c>
      <c r="T4" s="181">
        <f t="shared" si="4"/>
        <v>21.133365413034042</v>
      </c>
      <c r="U4" s="181">
        <f t="shared" si="4"/>
        <v>21.526582157937359</v>
      </c>
      <c r="V4" s="181">
        <f t="shared" si="4"/>
        <v>21.873415709116799</v>
      </c>
      <c r="W4" s="181">
        <f t="shared" si="4"/>
        <v>22.207319273224055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30.318189590312773</v>
      </c>
      <c r="C5" s="181">
        <f t="shared" si="3"/>
        <v>31.057176740840429</v>
      </c>
      <c r="D5" s="181">
        <f t="shared" si="4"/>
        <v>31.996272755461256</v>
      </c>
      <c r="E5" s="181">
        <f t="shared" si="4"/>
        <v>32.836778116054575</v>
      </c>
      <c r="F5" s="181">
        <f t="shared" si="4"/>
        <v>33.805515595188552</v>
      </c>
      <c r="G5" s="181">
        <f t="shared" si="4"/>
        <v>34.632977950731387</v>
      </c>
      <c r="H5" s="181">
        <f t="shared" si="4"/>
        <v>35.326015724853832</v>
      </c>
      <c r="I5" s="181">
        <f t="shared" si="4"/>
        <v>35.755522050717239</v>
      </c>
      <c r="J5" s="181">
        <f t="shared" si="4"/>
        <v>36.318027388859043</v>
      </c>
      <c r="K5" s="181">
        <f t="shared" si="4"/>
        <v>36.79583988379818</v>
      </c>
      <c r="L5" s="181">
        <f t="shared" si="4"/>
        <v>37.108247191281912</v>
      </c>
      <c r="M5" s="181">
        <f t="shared" si="4"/>
        <v>37.638915483958101</v>
      </c>
      <c r="N5" s="181">
        <f t="shared" si="4"/>
        <v>38.225387740551213</v>
      </c>
      <c r="O5" s="181">
        <f t="shared" si="4"/>
        <v>38.835911256185902</v>
      </c>
      <c r="P5" s="181">
        <f t="shared" si="4"/>
        <v>39.073036983885551</v>
      </c>
      <c r="Q5" s="181">
        <f t="shared" si="4"/>
        <v>39.571848612272902</v>
      </c>
      <c r="R5" s="181">
        <f t="shared" si="4"/>
        <v>39.839269662959559</v>
      </c>
      <c r="S5" s="181">
        <f t="shared" si="4"/>
        <v>39.551808221321878</v>
      </c>
      <c r="T5" s="181">
        <f t="shared" si="4"/>
        <v>38.68397825094857</v>
      </c>
      <c r="U5" s="181">
        <f t="shared" si="4"/>
        <v>37.069761333575329</v>
      </c>
      <c r="V5" s="181">
        <f t="shared" si="4"/>
        <v>35.622139381286047</v>
      </c>
      <c r="W5" s="181">
        <f t="shared" si="4"/>
        <v>34.560333565512252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97.06711405712133</v>
      </c>
      <c r="C6" s="181">
        <f t="shared" si="3"/>
        <v>100.43535679504707</v>
      </c>
      <c r="D6" s="181">
        <f t="shared" si="4"/>
        <v>104.95503287865222</v>
      </c>
      <c r="E6" s="181">
        <f t="shared" si="4"/>
        <v>109.26949806740262</v>
      </c>
      <c r="F6" s="181">
        <f t="shared" si="4"/>
        <v>114.05760897622417</v>
      </c>
      <c r="G6" s="181">
        <f t="shared" si="4"/>
        <v>118.21576285669548</v>
      </c>
      <c r="H6" s="181">
        <f t="shared" si="4"/>
        <v>122.57561872255407</v>
      </c>
      <c r="I6" s="181">
        <f t="shared" si="4"/>
        <v>127.39088964215888</v>
      </c>
      <c r="J6" s="181">
        <f t="shared" si="4"/>
        <v>131.37950972962372</v>
      </c>
      <c r="K6" s="181">
        <f t="shared" si="4"/>
        <v>132.66091011319256</v>
      </c>
      <c r="L6" s="181">
        <f t="shared" si="4"/>
        <v>134.36153645573432</v>
      </c>
      <c r="M6" s="181">
        <f t="shared" si="4"/>
        <v>137.6705389168003</v>
      </c>
      <c r="N6" s="181">
        <f t="shared" si="4"/>
        <v>139.10063824806764</v>
      </c>
      <c r="O6" s="181">
        <f t="shared" si="4"/>
        <v>140.3858034484453</v>
      </c>
      <c r="P6" s="181">
        <f t="shared" si="4"/>
        <v>142.80530010928945</v>
      </c>
      <c r="Q6" s="181">
        <f t="shared" si="4"/>
        <v>147.50900031923206</v>
      </c>
      <c r="R6" s="181">
        <f t="shared" si="4"/>
        <v>147.21895193989448</v>
      </c>
      <c r="S6" s="181">
        <f t="shared" si="4"/>
        <v>144.29904884154428</v>
      </c>
      <c r="T6" s="181">
        <f t="shared" si="4"/>
        <v>139.21941335688604</v>
      </c>
      <c r="U6" s="181">
        <f t="shared" si="4"/>
        <v>129.26193567541679</v>
      </c>
      <c r="V6" s="181">
        <f t="shared" si="4"/>
        <v>96.908096540222942</v>
      </c>
      <c r="W6" s="181">
        <f t="shared" si="4"/>
        <v>109.44483703232558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47.061811649014281</v>
      </c>
      <c r="C7" s="181">
        <f t="shared" si="3"/>
        <v>48.58742685808533</v>
      </c>
      <c r="D7" s="181">
        <f t="shared" si="4"/>
        <v>48.795521830957703</v>
      </c>
      <c r="E7" s="181">
        <f t="shared" si="4"/>
        <v>50.124046163589561</v>
      </c>
      <c r="F7" s="181">
        <f t="shared" si="4"/>
        <v>52.189070097846908</v>
      </c>
      <c r="G7" s="181">
        <f t="shared" si="4"/>
        <v>55.34771333175177</v>
      </c>
      <c r="H7" s="181">
        <f t="shared" si="4"/>
        <v>59.547016573793684</v>
      </c>
      <c r="I7" s="181">
        <f t="shared" si="4"/>
        <v>63.316914261549123</v>
      </c>
      <c r="J7" s="181">
        <f t="shared" si="4"/>
        <v>65.760988704789739</v>
      </c>
      <c r="K7" s="181">
        <f t="shared" si="4"/>
        <v>67.38041878147736</v>
      </c>
      <c r="L7" s="181">
        <f t="shared" si="4"/>
        <v>67.866386528246579</v>
      </c>
      <c r="M7" s="181">
        <f t="shared" si="4"/>
        <v>67.476866210890549</v>
      </c>
      <c r="N7" s="181">
        <f t="shared" si="4"/>
        <v>67.283177367054165</v>
      </c>
      <c r="O7" s="181">
        <f t="shared" si="4"/>
        <v>67.245924978856635</v>
      </c>
      <c r="P7" s="181">
        <f t="shared" si="4"/>
        <v>67.438413023944577</v>
      </c>
      <c r="Q7" s="181">
        <f t="shared" si="4"/>
        <v>68.033242692822611</v>
      </c>
      <c r="R7" s="181">
        <f t="shared" si="4"/>
        <v>67.513423509091879</v>
      </c>
      <c r="S7" s="181">
        <f t="shared" si="4"/>
        <v>67.074143958963845</v>
      </c>
      <c r="T7" s="181">
        <f t="shared" si="4"/>
        <v>66.816386676378173</v>
      </c>
      <c r="U7" s="181">
        <f t="shared" si="4"/>
        <v>66.685276822603868</v>
      </c>
      <c r="V7" s="181">
        <f t="shared" si="4"/>
        <v>66.719827478223465</v>
      </c>
      <c r="W7" s="181">
        <f t="shared" si="4"/>
        <v>66.780835155108619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16.532623237802223</v>
      </c>
      <c r="C8" s="55">
        <f t="shared" si="3"/>
        <v>17.839528742220011</v>
      </c>
      <c r="D8" s="55">
        <f t="shared" si="4"/>
        <v>19.592737786730783</v>
      </c>
      <c r="E8" s="55">
        <f t="shared" si="4"/>
        <v>21.950121510851453</v>
      </c>
      <c r="F8" s="55">
        <f t="shared" si="4"/>
        <v>24.570835671337825</v>
      </c>
      <c r="G8" s="55">
        <f t="shared" si="4"/>
        <v>27.654239937704755</v>
      </c>
      <c r="H8" s="55">
        <f t="shared" si="4"/>
        <v>31.064082350903814</v>
      </c>
      <c r="I8" s="55">
        <f t="shared" si="4"/>
        <v>34.689294287231689</v>
      </c>
      <c r="J8" s="55">
        <f t="shared" si="4"/>
        <v>37.683308357527864</v>
      </c>
      <c r="K8" s="55">
        <f t="shared" si="4"/>
        <v>39.300345168200636</v>
      </c>
      <c r="L8" s="55">
        <f t="shared" si="4"/>
        <v>41.087487237762126</v>
      </c>
      <c r="M8" s="55">
        <f t="shared" si="4"/>
        <v>43.219103790275668</v>
      </c>
      <c r="N8" s="55">
        <f t="shared" si="4"/>
        <v>44.47759579136013</v>
      </c>
      <c r="O8" s="55">
        <f t="shared" si="4"/>
        <v>45.547872766875102</v>
      </c>
      <c r="P8" s="55">
        <f t="shared" si="4"/>
        <v>46.872872305556839</v>
      </c>
      <c r="Q8" s="55">
        <f t="shared" si="4"/>
        <v>48.142250580597228</v>
      </c>
      <c r="R8" s="55">
        <f t="shared" si="4"/>
        <v>50.033571855527725</v>
      </c>
      <c r="S8" s="55">
        <f t="shared" si="4"/>
        <v>51.347869985093652</v>
      </c>
      <c r="T8" s="55">
        <f t="shared" si="4"/>
        <v>52.22323268705977</v>
      </c>
      <c r="U8" s="55">
        <f t="shared" si="4"/>
        <v>52.069540026871991</v>
      </c>
      <c r="V8" s="55">
        <f t="shared" si="4"/>
        <v>42.049357048756058</v>
      </c>
      <c r="W8" s="55">
        <f t="shared" si="4"/>
        <v>51.936456563528331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20.101690763906738</v>
      </c>
      <c r="C9" s="63">
        <f t="shared" si="3"/>
        <v>21.37499215545272</v>
      </c>
      <c r="D9" s="63">
        <f t="shared" si="4"/>
        <v>24.53301390368382</v>
      </c>
      <c r="E9" s="63">
        <f t="shared" si="4"/>
        <v>27.320061347791778</v>
      </c>
      <c r="F9" s="63">
        <f t="shared" si="4"/>
        <v>29.898155787838345</v>
      </c>
      <c r="G9" s="63">
        <f t="shared" si="4"/>
        <v>33.481515312942079</v>
      </c>
      <c r="H9" s="63">
        <f t="shared" si="4"/>
        <v>38.321718692306149</v>
      </c>
      <c r="I9" s="63">
        <f t="shared" si="4"/>
        <v>41.709605696547449</v>
      </c>
      <c r="J9" s="63">
        <f t="shared" si="4"/>
        <v>44.653330298042569</v>
      </c>
      <c r="K9" s="63">
        <f t="shared" si="4"/>
        <v>47.979018939397534</v>
      </c>
      <c r="L9" s="63">
        <f t="shared" si="4"/>
        <v>50.272580700200862</v>
      </c>
      <c r="M9" s="63">
        <f t="shared" si="4"/>
        <v>53.860945346103485</v>
      </c>
      <c r="N9" s="63">
        <f t="shared" si="4"/>
        <v>55.371769916258685</v>
      </c>
      <c r="O9" s="63">
        <f t="shared" si="4"/>
        <v>58.23523857408496</v>
      </c>
      <c r="P9" s="63">
        <f t="shared" si="4"/>
        <v>62.264595471967205</v>
      </c>
      <c r="Q9" s="63">
        <f t="shared" si="4"/>
        <v>70.054501015098921</v>
      </c>
      <c r="R9" s="63">
        <f t="shared" si="4"/>
        <v>72.718057742879978</v>
      </c>
      <c r="S9" s="63">
        <f t="shared" si="4"/>
        <v>75.192317344648885</v>
      </c>
      <c r="T9" s="63">
        <f t="shared" si="4"/>
        <v>76.178663426640497</v>
      </c>
      <c r="U9" s="63">
        <f t="shared" si="4"/>
        <v>77.131234981611186</v>
      </c>
      <c r="V9" s="63">
        <f t="shared" si="4"/>
        <v>63.678067011380939</v>
      </c>
      <c r="W9" s="63">
        <f t="shared" si="4"/>
        <v>74.169739155037263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1089.3098393930645</v>
      </c>
      <c r="C11" s="180">
        <f t="shared" ref="C11:W11" si="6">SUM(C12:C17)</f>
        <v>1131.2666664821659</v>
      </c>
      <c r="D11" s="180">
        <f t="shared" si="6"/>
        <v>1194.2959176394747</v>
      </c>
      <c r="E11" s="180">
        <f t="shared" si="6"/>
        <v>1263.8550157110781</v>
      </c>
      <c r="F11" s="180">
        <f t="shared" si="6"/>
        <v>1337.7693790776377</v>
      </c>
      <c r="G11" s="180">
        <f t="shared" si="6"/>
        <v>1420.995904094415</v>
      </c>
      <c r="H11" s="180">
        <f t="shared" si="6"/>
        <v>1517.5264187722244</v>
      </c>
      <c r="I11" s="180">
        <f t="shared" si="6"/>
        <v>1608.8932437731405</v>
      </c>
      <c r="J11" s="180">
        <f t="shared" si="6"/>
        <v>1684.2849482172351</v>
      </c>
      <c r="K11" s="180">
        <f t="shared" si="6"/>
        <v>1730.0740111170276</v>
      </c>
      <c r="L11" s="180">
        <f t="shared" si="6"/>
        <v>1770.4351659511487</v>
      </c>
      <c r="M11" s="180">
        <f t="shared" si="6"/>
        <v>1829.0628003124532</v>
      </c>
      <c r="N11" s="180">
        <f t="shared" si="6"/>
        <v>1853.9795703512509</v>
      </c>
      <c r="O11" s="180">
        <f t="shared" si="6"/>
        <v>1884.6966896987574</v>
      </c>
      <c r="P11" s="180">
        <f t="shared" si="6"/>
        <v>1929.3804234086904</v>
      </c>
      <c r="Q11" s="180">
        <f t="shared" si="6"/>
        <v>2006.408168680555</v>
      </c>
      <c r="R11" s="180">
        <f t="shared" si="6"/>
        <v>2007.8476628443257</v>
      </c>
      <c r="S11" s="180">
        <f t="shared" si="6"/>
        <v>2006.7266917817869</v>
      </c>
      <c r="T11" s="180">
        <f t="shared" si="6"/>
        <v>1992.0824001237174</v>
      </c>
      <c r="U11" s="180">
        <f t="shared" si="6"/>
        <v>1974.8037049437462</v>
      </c>
      <c r="V11" s="180">
        <f t="shared" si="6"/>
        <v>1912.7587060698045</v>
      </c>
      <c r="W11" s="180">
        <f t="shared" si="6"/>
        <v>1886.2177248299922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11.219189723485901</v>
      </c>
      <c r="C12" s="181">
        <f t="shared" ref="C12:W12" si="7">C20*C52</f>
        <v>11.841578666158608</v>
      </c>
      <c r="D12" s="181">
        <f t="shared" si="7"/>
        <v>12.61221848232625</v>
      </c>
      <c r="E12" s="181">
        <f t="shared" si="7"/>
        <v>13.434422069084494</v>
      </c>
      <c r="F12" s="181">
        <f t="shared" si="7"/>
        <v>14.371352568217288</v>
      </c>
      <c r="G12" s="181">
        <f t="shared" si="7"/>
        <v>15.596882068278191</v>
      </c>
      <c r="H12" s="181">
        <f t="shared" si="7"/>
        <v>16.949473879951697</v>
      </c>
      <c r="I12" s="181">
        <f t="shared" si="7"/>
        <v>18.253928516783077</v>
      </c>
      <c r="J12" s="181">
        <f t="shared" si="7"/>
        <v>19.399342896703914</v>
      </c>
      <c r="K12" s="181">
        <f t="shared" si="7"/>
        <v>20.086088329961182</v>
      </c>
      <c r="L12" s="181">
        <f t="shared" si="7"/>
        <v>21.031003216031472</v>
      </c>
      <c r="M12" s="181">
        <f t="shared" si="7"/>
        <v>22.134903316266332</v>
      </c>
      <c r="N12" s="181">
        <f t="shared" si="7"/>
        <v>23.116385162395286</v>
      </c>
      <c r="O12" s="181">
        <f t="shared" si="7"/>
        <v>24.119390848021503</v>
      </c>
      <c r="P12" s="181">
        <f t="shared" si="7"/>
        <v>25.167423522918465</v>
      </c>
      <c r="Q12" s="181">
        <f t="shared" si="7"/>
        <v>26.323909495833171</v>
      </c>
      <c r="R12" s="181">
        <f t="shared" si="7"/>
        <v>26.905856688885379</v>
      </c>
      <c r="S12" s="181">
        <f t="shared" si="7"/>
        <v>27.486245125063572</v>
      </c>
      <c r="T12" s="181">
        <f t="shared" si="7"/>
        <v>28.057196318902495</v>
      </c>
      <c r="U12" s="181">
        <f t="shared" si="7"/>
        <v>28.579240924293554</v>
      </c>
      <c r="V12" s="181">
        <f t="shared" si="7"/>
        <v>29.039706015642508</v>
      </c>
      <c r="W12" s="181">
        <f t="shared" si="7"/>
        <v>29.483004925524629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124.29896115051334</v>
      </c>
      <c r="C13" s="181">
        <f t="shared" ref="C13:W13" si="8">C21*C53/1000</f>
        <v>126.2050469994859</v>
      </c>
      <c r="D13" s="181">
        <f t="shared" si="8"/>
        <v>128.50460220144907</v>
      </c>
      <c r="E13" s="181">
        <f t="shared" si="8"/>
        <v>130.82626396984912</v>
      </c>
      <c r="F13" s="181">
        <f t="shared" si="8"/>
        <v>133.48820326631889</v>
      </c>
      <c r="G13" s="181">
        <f t="shared" si="8"/>
        <v>135.48862193979397</v>
      </c>
      <c r="H13" s="181">
        <f t="shared" si="8"/>
        <v>136.97123863720356</v>
      </c>
      <c r="I13" s="181">
        <f t="shared" si="8"/>
        <v>138.05409427899087</v>
      </c>
      <c r="J13" s="181">
        <f t="shared" si="8"/>
        <v>139.36382715860216</v>
      </c>
      <c r="K13" s="181">
        <f t="shared" si="8"/>
        <v>140.7711537358544</v>
      </c>
      <c r="L13" s="181">
        <f t="shared" si="8"/>
        <v>140.86703353649938</v>
      </c>
      <c r="M13" s="181">
        <f t="shared" si="8"/>
        <v>141.23643672236452</v>
      </c>
      <c r="N13" s="181">
        <f t="shared" si="8"/>
        <v>141.46178247351659</v>
      </c>
      <c r="O13" s="181">
        <f t="shared" si="8"/>
        <v>141.70242646688763</v>
      </c>
      <c r="P13" s="181">
        <f t="shared" si="8"/>
        <v>140.79744476296526</v>
      </c>
      <c r="Q13" s="181">
        <f t="shared" si="8"/>
        <v>140.56171176383162</v>
      </c>
      <c r="R13" s="181">
        <f t="shared" si="8"/>
        <v>138.72213064535802</v>
      </c>
      <c r="S13" s="181">
        <f t="shared" si="8"/>
        <v>136.44831276178525</v>
      </c>
      <c r="T13" s="181">
        <f t="shared" si="8"/>
        <v>133.06976394023843</v>
      </c>
      <c r="U13" s="181">
        <f t="shared" si="8"/>
        <v>129.09261205532158</v>
      </c>
      <c r="V13" s="181">
        <f t="shared" si="8"/>
        <v>124.5047022750778</v>
      </c>
      <c r="W13" s="181">
        <f t="shared" si="8"/>
        <v>120.39911916656817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523.09423039172043</v>
      </c>
      <c r="C14" s="181">
        <f t="shared" ref="C14:W14" si="9">C22*C54</f>
        <v>536.67342854372669</v>
      </c>
      <c r="D14" s="181">
        <f t="shared" si="9"/>
        <v>554.26518203344881</v>
      </c>
      <c r="E14" s="181">
        <f t="shared" si="9"/>
        <v>572.51485040811804</v>
      </c>
      <c r="F14" s="181">
        <f t="shared" si="9"/>
        <v>592.56838536752889</v>
      </c>
      <c r="G14" s="181">
        <f t="shared" si="9"/>
        <v>608.15180168137761</v>
      </c>
      <c r="H14" s="181">
        <f t="shared" si="9"/>
        <v>624.24225863236677</v>
      </c>
      <c r="I14" s="181">
        <f t="shared" si="9"/>
        <v>643.56988183640453</v>
      </c>
      <c r="J14" s="181">
        <f t="shared" si="9"/>
        <v>659.33777749840738</v>
      </c>
      <c r="K14" s="181">
        <f t="shared" si="9"/>
        <v>662.44622956027217</v>
      </c>
      <c r="L14" s="181">
        <f t="shared" si="9"/>
        <v>667.54183335915695</v>
      </c>
      <c r="M14" s="181">
        <f t="shared" si="9"/>
        <v>680.39182749943325</v>
      </c>
      <c r="N14" s="181">
        <f t="shared" si="9"/>
        <v>683.65006131344353</v>
      </c>
      <c r="O14" s="181">
        <f t="shared" si="9"/>
        <v>686.60579301222026</v>
      </c>
      <c r="P14" s="181">
        <f t="shared" si="9"/>
        <v>694.4238524753888</v>
      </c>
      <c r="Q14" s="181">
        <f t="shared" si="9"/>
        <v>712.24330527088466</v>
      </c>
      <c r="R14" s="181">
        <f t="shared" si="9"/>
        <v>697.44306736088549</v>
      </c>
      <c r="S14" s="181">
        <f t="shared" si="9"/>
        <v>678.77948599522551</v>
      </c>
      <c r="T14" s="181">
        <f t="shared" si="9"/>
        <v>655.77986078810352</v>
      </c>
      <c r="U14" s="181">
        <f t="shared" si="9"/>
        <v>625.45912881828053</v>
      </c>
      <c r="V14" s="181">
        <f t="shared" si="9"/>
        <v>587.0947103062789</v>
      </c>
      <c r="W14" s="181">
        <f t="shared" si="9"/>
        <v>541.91658850760234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62.480464552287238</v>
      </c>
      <c r="C15" s="181">
        <f t="shared" ref="C15:W15" si="10">C23*C55/1000</f>
        <v>64.505910315015086</v>
      </c>
      <c r="D15" s="181">
        <f t="shared" si="10"/>
        <v>64.782182522150464</v>
      </c>
      <c r="E15" s="181">
        <f t="shared" si="10"/>
        <v>66.545965397550972</v>
      </c>
      <c r="F15" s="181">
        <f t="shared" si="10"/>
        <v>69.287543976936036</v>
      </c>
      <c r="G15" s="181">
        <f t="shared" si="10"/>
        <v>73.481039503227507</v>
      </c>
      <c r="H15" s="181">
        <f t="shared" si="10"/>
        <v>79.056141866806001</v>
      </c>
      <c r="I15" s="181">
        <f t="shared" si="10"/>
        <v>84.061154436280404</v>
      </c>
      <c r="J15" s="181">
        <f t="shared" si="10"/>
        <v>87.305970164007419</v>
      </c>
      <c r="K15" s="181">
        <f t="shared" si="10"/>
        <v>89.455966943902013</v>
      </c>
      <c r="L15" s="181">
        <f t="shared" si="10"/>
        <v>90.101150151085349</v>
      </c>
      <c r="M15" s="181">
        <f t="shared" si="10"/>
        <v>89.584013017426614</v>
      </c>
      <c r="N15" s="181">
        <f t="shared" si="10"/>
        <v>89.326866755575395</v>
      </c>
      <c r="O15" s="181">
        <f t="shared" si="10"/>
        <v>89.27740953243179</v>
      </c>
      <c r="P15" s="181">
        <f t="shared" si="10"/>
        <v>89.532961583159306</v>
      </c>
      <c r="Q15" s="181">
        <f t="shared" si="10"/>
        <v>90.322672661818132</v>
      </c>
      <c r="R15" s="181">
        <f t="shared" si="10"/>
        <v>89.632547421317213</v>
      </c>
      <c r="S15" s="181">
        <f t="shared" si="10"/>
        <v>89.049348657848128</v>
      </c>
      <c r="T15" s="181">
        <f t="shared" si="10"/>
        <v>88.707143498433538</v>
      </c>
      <c r="U15" s="181">
        <f t="shared" si="10"/>
        <v>88.533078703982056</v>
      </c>
      <c r="V15" s="181">
        <f t="shared" si="10"/>
        <v>88.578949037869762</v>
      </c>
      <c r="W15" s="181">
        <f t="shared" si="10"/>
        <v>88.659944389716117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220.32500174564021</v>
      </c>
      <c r="C16" s="55">
        <f t="shared" ref="C16:W16" si="11">C24*C56</f>
        <v>236.61144995873195</v>
      </c>
      <c r="D16" s="55">
        <f t="shared" si="11"/>
        <v>258.73672547371467</v>
      </c>
      <c r="E16" s="55">
        <f t="shared" si="11"/>
        <v>288.70996537720839</v>
      </c>
      <c r="F16" s="55">
        <f t="shared" si="11"/>
        <v>321.98492512802733</v>
      </c>
      <c r="G16" s="55">
        <f t="shared" si="11"/>
        <v>361.14297986869832</v>
      </c>
      <c r="H16" s="55">
        <f t="shared" si="11"/>
        <v>404.36591735867125</v>
      </c>
      <c r="I16" s="55">
        <f t="shared" si="11"/>
        <v>450.18915861104909</v>
      </c>
      <c r="J16" s="55">
        <f t="shared" si="11"/>
        <v>487.64908356319444</v>
      </c>
      <c r="K16" s="55">
        <f t="shared" si="11"/>
        <v>507.20169729980199</v>
      </c>
      <c r="L16" s="55">
        <f t="shared" si="11"/>
        <v>528.907951211252</v>
      </c>
      <c r="M16" s="55">
        <f t="shared" si="11"/>
        <v>555.44359186680447</v>
      </c>
      <c r="N16" s="55">
        <f t="shared" si="11"/>
        <v>570.73178691138185</v>
      </c>
      <c r="O16" s="55">
        <f t="shared" si="11"/>
        <v>583.60009137109591</v>
      </c>
      <c r="P16" s="55">
        <f t="shared" si="11"/>
        <v>599.72576373225081</v>
      </c>
      <c r="Q16" s="55">
        <f t="shared" si="11"/>
        <v>615.12951965069101</v>
      </c>
      <c r="R16" s="55">
        <f t="shared" si="11"/>
        <v>629.29126354114828</v>
      </c>
      <c r="S16" s="55">
        <f t="shared" si="11"/>
        <v>641.82117387727203</v>
      </c>
      <c r="T16" s="55">
        <f t="shared" si="11"/>
        <v>652.19936962671045</v>
      </c>
      <c r="U16" s="55">
        <f t="shared" si="11"/>
        <v>661.47072482674309</v>
      </c>
      <c r="V16" s="55">
        <f t="shared" si="11"/>
        <v>668.81510071446064</v>
      </c>
      <c r="W16" s="55">
        <f t="shared" si="11"/>
        <v>675.16215197630584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147.89199182941749</v>
      </c>
      <c r="C17" s="63">
        <f t="shared" ref="C17:W17" si="12">C25*C57/1000</f>
        <v>155.42925199904772</v>
      </c>
      <c r="D17" s="63">
        <f t="shared" si="12"/>
        <v>175.39500692638541</v>
      </c>
      <c r="E17" s="63">
        <f t="shared" si="12"/>
        <v>191.82354848926695</v>
      </c>
      <c r="F17" s="63">
        <f t="shared" si="12"/>
        <v>206.0689687706093</v>
      </c>
      <c r="G17" s="63">
        <f t="shared" si="12"/>
        <v>227.13457903303933</v>
      </c>
      <c r="H17" s="63">
        <f t="shared" si="12"/>
        <v>255.9413883972249</v>
      </c>
      <c r="I17" s="63">
        <f t="shared" si="12"/>
        <v>274.76502609363251</v>
      </c>
      <c r="J17" s="63">
        <f t="shared" si="12"/>
        <v>291.22894693631963</v>
      </c>
      <c r="K17" s="63">
        <f t="shared" si="12"/>
        <v>310.11287524723593</v>
      </c>
      <c r="L17" s="63">
        <f t="shared" si="12"/>
        <v>321.98619447712343</v>
      </c>
      <c r="M17" s="63">
        <f t="shared" si="12"/>
        <v>340.27202789015809</v>
      </c>
      <c r="N17" s="63">
        <f t="shared" si="12"/>
        <v>345.69268773493843</v>
      </c>
      <c r="O17" s="63">
        <f t="shared" si="12"/>
        <v>359.39157846810025</v>
      </c>
      <c r="P17" s="63">
        <f t="shared" si="12"/>
        <v>379.73297733200781</v>
      </c>
      <c r="Q17" s="63">
        <f t="shared" si="12"/>
        <v>421.82704983749636</v>
      </c>
      <c r="R17" s="63">
        <f t="shared" si="12"/>
        <v>425.85279718673138</v>
      </c>
      <c r="S17" s="63">
        <f t="shared" si="12"/>
        <v>433.14212536459274</v>
      </c>
      <c r="T17" s="63">
        <f t="shared" si="12"/>
        <v>434.26906595132925</v>
      </c>
      <c r="U17" s="63">
        <f t="shared" si="12"/>
        <v>441.66891961512562</v>
      </c>
      <c r="V17" s="63">
        <f t="shared" si="12"/>
        <v>414.72553772047485</v>
      </c>
      <c r="W17" s="63">
        <f t="shared" si="12"/>
        <v>430.59691586427527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12.942042929570391</v>
      </c>
      <c r="C20" s="182">
        <v>13.815578369795453</v>
      </c>
      <c r="D20" s="182">
        <v>14.909538542230795</v>
      </c>
      <c r="E20" s="182">
        <v>16.104857822304037</v>
      </c>
      <c r="F20" s="182">
        <v>17.493166446091394</v>
      </c>
      <c r="G20" s="182">
        <v>19.328238043864367</v>
      </c>
      <c r="H20" s="182">
        <v>21.403519796686862</v>
      </c>
      <c r="I20" s="182">
        <v>23.474528165709042</v>
      </c>
      <c r="J20" s="182">
        <v>25.372576739925215</v>
      </c>
      <c r="K20" s="182">
        <v>26.628266441535292</v>
      </c>
      <c r="L20" s="182">
        <v>28.336666135987791</v>
      </c>
      <c r="M20" s="182">
        <v>30.375781666486617</v>
      </c>
      <c r="N20" s="182">
        <v>32.307247607638537</v>
      </c>
      <c r="O20" s="182">
        <v>34.364022345539908</v>
      </c>
      <c r="P20" s="182">
        <v>36.600565857205126</v>
      </c>
      <c r="Q20" s="182">
        <v>39.151990638850258</v>
      </c>
      <c r="R20" s="182">
        <v>40.69538362652245</v>
      </c>
      <c r="S20" s="182">
        <v>42.270812902627547</v>
      </c>
      <c r="T20" s="182">
        <v>43.863792975480138</v>
      </c>
      <c r="U20" s="182">
        <v>45.460439911491115</v>
      </c>
      <c r="V20" s="182">
        <v>47.032501381000991</v>
      </c>
      <c r="W20" s="182">
        <v>48.587552200023623</v>
      </c>
      <c r="DA20" s="191" t="s">
        <v>921</v>
      </c>
    </row>
    <row r="21" spans="1:105" ht="12" customHeight="1" x14ac:dyDescent="0.25">
      <c r="A21" s="132" t="s">
        <v>163</v>
      </c>
      <c r="B21" s="182">
        <v>565.48006190362946</v>
      </c>
      <c r="C21" s="182">
        <v>580.04002420906261</v>
      </c>
      <c r="D21" s="182">
        <v>597.71283610876878</v>
      </c>
      <c r="E21" s="182">
        <v>617.30254601020874</v>
      </c>
      <c r="F21" s="182">
        <v>641.07756768929482</v>
      </c>
      <c r="G21" s="182">
        <v>663.80879784688625</v>
      </c>
      <c r="H21" s="182">
        <v>686.84586214018339</v>
      </c>
      <c r="I21" s="182">
        <v>709.47917593204261</v>
      </c>
      <c r="J21" s="182">
        <v>726.65875882338116</v>
      </c>
      <c r="K21" s="182">
        <v>745.95113885019509</v>
      </c>
      <c r="L21" s="182">
        <v>758.77730349798082</v>
      </c>
      <c r="M21" s="182">
        <v>774.39814911974452</v>
      </c>
      <c r="N21" s="182">
        <v>790.91648298926793</v>
      </c>
      <c r="O21" s="182">
        <v>810.55103738523439</v>
      </c>
      <c r="P21" s="182">
        <v>829.74564075517947</v>
      </c>
      <c r="Q21" s="182">
        <v>857.64383186231385</v>
      </c>
      <c r="R21" s="182">
        <v>882.25378158386491</v>
      </c>
      <c r="S21" s="182">
        <v>906.88923890098351</v>
      </c>
      <c r="T21" s="182">
        <v>930.16950822082435</v>
      </c>
      <c r="U21" s="182">
        <v>952.45201920198724</v>
      </c>
      <c r="V21" s="182">
        <v>973.24387380941971</v>
      </c>
      <c r="W21" s="182">
        <v>992.40417866566384</v>
      </c>
      <c r="DA21" s="191" t="s">
        <v>922</v>
      </c>
    </row>
    <row r="22" spans="1:105" ht="12" customHeight="1" x14ac:dyDescent="0.25">
      <c r="A22" s="132" t="s">
        <v>167</v>
      </c>
      <c r="B22" s="182">
        <v>9.6747257220616927</v>
      </c>
      <c r="C22" s="182">
        <v>10.047898976874217</v>
      </c>
      <c r="D22" s="182">
        <v>10.582239667255248</v>
      </c>
      <c r="E22" s="182">
        <v>11.202672108568052</v>
      </c>
      <c r="F22" s="182">
        <v>11.91964499759704</v>
      </c>
      <c r="G22" s="182">
        <v>12.607849146618101</v>
      </c>
      <c r="H22" s="182">
        <v>13.400695694223893</v>
      </c>
      <c r="I22" s="182">
        <v>14.256351098795134</v>
      </c>
      <c r="J22" s="182">
        <v>15.084622549904106</v>
      </c>
      <c r="K22" s="182">
        <v>15.627419486199731</v>
      </c>
      <c r="L22" s="182">
        <v>16.291058124533617</v>
      </c>
      <c r="M22" s="182">
        <v>17.238950801700646</v>
      </c>
      <c r="N22" s="182">
        <v>17.993997933783383</v>
      </c>
      <c r="O22" s="182">
        <v>18.890572528098073</v>
      </c>
      <c r="P22" s="182">
        <v>20.104025035827132</v>
      </c>
      <c r="Q22" s="182">
        <v>21.797504674861614</v>
      </c>
      <c r="R22" s="182">
        <v>22.806752677723431</v>
      </c>
      <c r="S22" s="182">
        <v>23.848960842863338</v>
      </c>
      <c r="T22" s="182">
        <v>24.868992087549007</v>
      </c>
      <c r="U22" s="182">
        <v>25.828039166288484</v>
      </c>
      <c r="V22" s="182">
        <v>26.652109902031818</v>
      </c>
      <c r="W22" s="182">
        <v>27.239639512808253</v>
      </c>
      <c r="DA22" s="191" t="s">
        <v>923</v>
      </c>
    </row>
    <row r="23" spans="1:105" ht="12" customHeight="1" x14ac:dyDescent="0.25">
      <c r="A23" s="132" t="s">
        <v>180</v>
      </c>
      <c r="B23" s="182">
        <v>86.08950188483125</v>
      </c>
      <c r="C23" s="182">
        <v>89.789197500246388</v>
      </c>
      <c r="D23" s="182">
        <v>91.061054284189552</v>
      </c>
      <c r="E23" s="182">
        <v>94.747107352677432</v>
      </c>
      <c r="F23" s="182">
        <v>100.12926426478433</v>
      </c>
      <c r="G23" s="182">
        <v>108.04988184574144</v>
      </c>
      <c r="H23" s="182">
        <v>118.54425784785528</v>
      </c>
      <c r="I23" s="182">
        <v>128.562366862083</v>
      </c>
      <c r="J23" s="182">
        <v>136.09235213527546</v>
      </c>
      <c r="K23" s="182">
        <v>142.1481718862324</v>
      </c>
      <c r="L23" s="182">
        <v>145.9216207551388</v>
      </c>
      <c r="M23" s="182">
        <v>147.36847092905657</v>
      </c>
      <c r="N23" s="182">
        <v>148.66541281402999</v>
      </c>
      <c r="O23" s="182">
        <v>150.97216496057169</v>
      </c>
      <c r="P23" s="182">
        <v>154.52869639091659</v>
      </c>
      <c r="Q23" s="182">
        <v>159.72600368641383</v>
      </c>
      <c r="R23" s="182">
        <v>162.54067302693761</v>
      </c>
      <c r="S23" s="182">
        <v>165.36454460710712</v>
      </c>
      <c r="T23" s="182">
        <v>168.03950339136455</v>
      </c>
      <c r="U23" s="182">
        <v>170.68674311188835</v>
      </c>
      <c r="V23" s="182">
        <v>173.31814653721591</v>
      </c>
      <c r="W23" s="182">
        <v>175.95860703815924</v>
      </c>
      <c r="DA23" s="191" t="s">
        <v>924</v>
      </c>
    </row>
    <row r="24" spans="1:105" ht="12" customHeight="1" x14ac:dyDescent="0.25">
      <c r="A24" s="60" t="s">
        <v>166</v>
      </c>
      <c r="B24" s="36">
        <v>4.3239868926995904</v>
      </c>
      <c r="C24" s="36">
        <v>4.6726410337397919</v>
      </c>
      <c r="D24" s="36">
        <v>5.1486311879005555</v>
      </c>
      <c r="E24" s="36">
        <v>5.7981194965939604</v>
      </c>
      <c r="F24" s="36">
        <v>6.5283958506773034</v>
      </c>
      <c r="G24" s="36">
        <v>7.3980941564609841</v>
      </c>
      <c r="H24" s="36">
        <v>8.3716026716207086</v>
      </c>
      <c r="I24" s="36">
        <v>9.4196218762849551</v>
      </c>
      <c r="J24" s="36">
        <v>10.298128044132753</v>
      </c>
      <c r="K24" s="36">
        <v>10.788470902912993</v>
      </c>
      <c r="L24" s="36">
        <v>11.347109339944593</v>
      </c>
      <c r="M24" s="36">
        <v>12.049806264305134</v>
      </c>
      <c r="N24" s="36">
        <v>12.519863182552704</v>
      </c>
      <c r="O24" s="36">
        <v>12.970603657274928</v>
      </c>
      <c r="P24" s="36">
        <v>13.555062585010633</v>
      </c>
      <c r="Q24" s="36">
        <v>14.182390469635546</v>
      </c>
      <c r="R24" s="36">
        <v>14.718837499601991</v>
      </c>
      <c r="S24" s="36">
        <v>15.265285716609972</v>
      </c>
      <c r="T24" s="36">
        <v>15.821664207660094</v>
      </c>
      <c r="U24" s="36">
        <v>16.386346746839624</v>
      </c>
      <c r="V24" s="36">
        <v>16.955467438487869</v>
      </c>
      <c r="W24" s="36">
        <v>17.531819059067807</v>
      </c>
      <c r="DA24" s="89" t="s">
        <v>925</v>
      </c>
    </row>
    <row r="25" spans="1:105" ht="12" customHeight="1" x14ac:dyDescent="0.25">
      <c r="A25" s="62" t="s">
        <v>164</v>
      </c>
      <c r="B25" s="38">
        <v>366.96862889542359</v>
      </c>
      <c r="C25" s="38">
        <v>392.40411516980208</v>
      </c>
      <c r="D25" s="38">
        <v>455.11047856916633</v>
      </c>
      <c r="E25" s="38">
        <v>512.73261671447131</v>
      </c>
      <c r="F25" s="38">
        <v>569.17855993951105</v>
      </c>
      <c r="G25" s="38">
        <v>652.50034787861239</v>
      </c>
      <c r="H25" s="38">
        <v>769.78575352781763</v>
      </c>
      <c r="I25" s="38">
        <v>871.12616809314204</v>
      </c>
      <c r="J25" s="38">
        <v>970.35059227377042</v>
      </c>
      <c r="K25" s="38">
        <v>1089.9134703813561</v>
      </c>
      <c r="L25" s="38">
        <v>1204.5273921692517</v>
      </c>
      <c r="M25" s="38">
        <v>1373.5808618150759</v>
      </c>
      <c r="N25" s="38">
        <v>1482.9933630141084</v>
      </c>
      <c r="O25" s="38">
        <v>1615.8499992916443</v>
      </c>
      <c r="P25" s="38">
        <v>1768.8859934609743</v>
      </c>
      <c r="Q25" s="38">
        <v>2017.8908174669664</v>
      </c>
      <c r="R25" s="38">
        <v>2081.2059944841899</v>
      </c>
      <c r="S25" s="38">
        <v>2156.8802566999466</v>
      </c>
      <c r="T25" s="38">
        <v>2206.7580617581993</v>
      </c>
      <c r="U25" s="38">
        <v>2299.7662294284059</v>
      </c>
      <c r="V25" s="38">
        <v>2215.800295045955</v>
      </c>
      <c r="W25" s="38">
        <v>2362.8703991626976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1.4348749021500709</v>
      </c>
      <c r="D28" s="183">
        <v>1.6711774546437574</v>
      </c>
      <c r="E28" s="183">
        <v>1.7888634961479362</v>
      </c>
      <c r="F28" s="183">
        <v>1.9986415907557973</v>
      </c>
      <c r="G28" s="183">
        <v>2.4626681954317107</v>
      </c>
      <c r="H28" s="183">
        <v>2.7206302932253443</v>
      </c>
      <c r="I28" s="183">
        <v>2.7346109764195994</v>
      </c>
      <c r="J28" s="183">
        <v>2.5804215757414575</v>
      </c>
      <c r="K28" s="183">
        <v>1.9573640290163397</v>
      </c>
      <c r="L28" s="183">
        <v>2.4299212972130206</v>
      </c>
      <c r="M28" s="183">
        <v>2.7810458005921923</v>
      </c>
      <c r="N28" s="183">
        <v>2.6943821498624736</v>
      </c>
      <c r="O28" s="183">
        <v>2.8412704849747925</v>
      </c>
      <c r="P28" s="183">
        <v>3.0432291871687767</v>
      </c>
      <c r="Q28" s="183">
        <v>3.3809280408919022</v>
      </c>
      <c r="R28" s="183">
        <v>2.3963592395787998</v>
      </c>
      <c r="S28" s="183">
        <v>2.4525221853629233</v>
      </c>
      <c r="T28" s="183">
        <v>2.4948820763032415</v>
      </c>
      <c r="U28" s="183">
        <v>3.0315218381610478</v>
      </c>
      <c r="V28" s="183">
        <v>3.243238924153637</v>
      </c>
      <c r="W28" s="183">
        <v>3.343914315170565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85.496286097380505</v>
      </c>
      <c r="D29" s="183">
        <v>91.662581344077751</v>
      </c>
      <c r="E29" s="183">
        <v>96.76436020454355</v>
      </c>
      <c r="F29" s="183">
        <v>104.27164566011129</v>
      </c>
      <c r="G29" s="183">
        <v>106.69282177988578</v>
      </c>
      <c r="H29" s="183">
        <v>110.61277267841729</v>
      </c>
      <c r="I29" s="183">
        <v>113.97870816762656</v>
      </c>
      <c r="J29" s="183">
        <v>102.67586898871912</v>
      </c>
      <c r="K29" s="183">
        <v>110.95496137089162</v>
      </c>
      <c r="L29" s="183">
        <v>109.59052485232928</v>
      </c>
      <c r="M29" s="183">
        <v>119.89249128187498</v>
      </c>
      <c r="N29" s="183">
        <v>123.21115564940919</v>
      </c>
      <c r="O29" s="183">
        <v>130.24732707438375</v>
      </c>
      <c r="P29" s="183">
        <v>133.17331153757164</v>
      </c>
      <c r="Q29" s="183">
        <v>130.5740600958535</v>
      </c>
      <c r="R29" s="183">
        <v>135.56491109244269</v>
      </c>
      <c r="S29" s="183">
        <v>134.22598216944789</v>
      </c>
      <c r="T29" s="183">
        <v>143.17276060171582</v>
      </c>
      <c r="U29" s="183">
        <v>145.49366663057208</v>
      </c>
      <c r="V29" s="183">
        <v>151.03918168181622</v>
      </c>
      <c r="W29" s="183">
        <v>152.33361639381576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1.8840374127047852</v>
      </c>
      <c r="D30" s="183">
        <v>2.0844546093198559</v>
      </c>
      <c r="E30" s="183">
        <v>2.2108157654099205</v>
      </c>
      <c r="F30" s="183">
        <v>2.3486717510698565</v>
      </c>
      <c r="G30" s="183">
        <v>2.3622918585969739</v>
      </c>
      <c r="H30" s="183">
        <v>2.5104242971224977</v>
      </c>
      <c r="I30" s="183">
        <v>2.7396928172760262</v>
      </c>
      <c r="J30" s="183">
        <v>2.9127260604288274</v>
      </c>
      <c r="K30" s="183">
        <v>2.7536127017055456</v>
      </c>
      <c r="L30" s="183">
        <v>3.0123103894037424</v>
      </c>
      <c r="M30" s="183">
        <v>3.3101845357640034</v>
      </c>
      <c r="N30" s="183">
        <v>3.2654714292052347</v>
      </c>
      <c r="O30" s="183">
        <v>3.6362674115907154</v>
      </c>
      <c r="P30" s="183">
        <v>4.1261785681578864</v>
      </c>
      <c r="Q30" s="183">
        <v>4.4470923407400278</v>
      </c>
      <c r="R30" s="183">
        <v>4.0215583922655611</v>
      </c>
      <c r="S30" s="183">
        <v>4.3523927009039092</v>
      </c>
      <c r="T30" s="183">
        <v>4.2855026738909032</v>
      </c>
      <c r="U30" s="183">
        <v>4.5953144903301926</v>
      </c>
      <c r="V30" s="183">
        <v>4.9502493039012201</v>
      </c>
      <c r="W30" s="183">
        <v>5.0346219515164634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11.523776629121826</v>
      </c>
      <c r="D31" s="183">
        <v>9.2607456890934685</v>
      </c>
      <c r="E31" s="183">
        <v>11.843221409028544</v>
      </c>
      <c r="F31" s="183">
        <v>13.711149357229289</v>
      </c>
      <c r="G31" s="183">
        <v>16.425053465420902</v>
      </c>
      <c r="H31" s="183">
        <v>19.177950899016338</v>
      </c>
      <c r="I31" s="183">
        <v>18.884596340902348</v>
      </c>
      <c r="J31" s="183">
        <v>16.583237930934189</v>
      </c>
      <c r="K31" s="183">
        <v>15.299771799287143</v>
      </c>
      <c r="L31" s="183">
        <v>13.212117235104756</v>
      </c>
      <c r="M31" s="183">
        <v>12.970626803039579</v>
      </c>
      <c r="N31" s="183">
        <v>10.557687574066904</v>
      </c>
      <c r="O31" s="183">
        <v>14.149973555570256</v>
      </c>
      <c r="P31" s="183">
        <v>17.267680787574193</v>
      </c>
      <c r="Q31" s="183">
        <v>21.622360760918127</v>
      </c>
      <c r="R31" s="183">
        <v>21.992620239540116</v>
      </c>
      <c r="S31" s="183">
        <v>21.708467921071872</v>
      </c>
      <c r="T31" s="183">
        <v>19.258196715191616</v>
      </c>
      <c r="U31" s="183">
        <v>17.947011519810928</v>
      </c>
      <c r="V31" s="183">
        <v>15.843520660432318</v>
      </c>
      <c r="W31" s="183">
        <v>15.611087303982913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0.47181190116472926</v>
      </c>
      <c r="D32" s="41">
        <v>0.61300703882484164</v>
      </c>
      <c r="E32" s="41">
        <v>0.80192390563887361</v>
      </c>
      <c r="F32" s="41">
        <v>0.89986575376273414</v>
      </c>
      <c r="G32" s="41">
        <v>1.0583718509393112</v>
      </c>
      <c r="H32" s="41">
        <v>1.1834137728520755</v>
      </c>
      <c r="I32" s="41">
        <v>1.2815454108451316</v>
      </c>
      <c r="J32" s="41">
        <v>1.1383114227174289</v>
      </c>
      <c r="K32" s="41">
        <v>0.77938438247797492</v>
      </c>
      <c r="L32" s="41">
        <v>0.8802062300442195</v>
      </c>
      <c r="M32" s="41">
        <v>1.0604512157859602</v>
      </c>
      <c r="N32" s="41">
        <v>0.86806982816694322</v>
      </c>
      <c r="O32" s="41">
        <v>0.89354236490028249</v>
      </c>
      <c r="P32" s="41">
        <v>1.0770899682338158</v>
      </c>
      <c r="Q32" s="41">
        <v>1.1753954232812234</v>
      </c>
      <c r="R32" s="41">
        <v>1.0082589311311736</v>
      </c>
      <c r="S32" s="41">
        <v>1.1594552558328228</v>
      </c>
      <c r="T32" s="41">
        <v>1.3583023966889964</v>
      </c>
      <c r="U32" s="41">
        <v>1.4645482929422649</v>
      </c>
      <c r="V32" s="41">
        <v>1.6274925425875555</v>
      </c>
      <c r="W32" s="41">
        <v>1.7597653934320139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98.829212053463209</v>
      </c>
      <c r="D33" s="42">
        <v>136.10008917844897</v>
      </c>
      <c r="E33" s="42">
        <v>131.01586392438969</v>
      </c>
      <c r="F33" s="42">
        <v>129.83966900412446</v>
      </c>
      <c r="G33" s="42">
        <v>156.71551371818606</v>
      </c>
      <c r="H33" s="42">
        <v>216.11461770266851</v>
      </c>
      <c r="I33" s="42">
        <v>237.44050374377343</v>
      </c>
      <c r="J33" s="42">
        <v>230.24028810501807</v>
      </c>
      <c r="K33" s="42">
        <v>249.40254711171019</v>
      </c>
      <c r="L33" s="42">
        <v>271.32943550608161</v>
      </c>
      <c r="M33" s="42">
        <v>385.16808734849269</v>
      </c>
      <c r="N33" s="42">
        <v>346.85300494280591</v>
      </c>
      <c r="O33" s="42">
        <v>363.09692438255411</v>
      </c>
      <c r="P33" s="42">
        <v>402.43854128104022</v>
      </c>
      <c r="Q33" s="42">
        <v>520.33425951207369</v>
      </c>
      <c r="R33" s="42">
        <v>448.4832643657162</v>
      </c>
      <c r="S33" s="42">
        <v>422.52726715856261</v>
      </c>
      <c r="T33" s="42">
        <v>412.97472944080687</v>
      </c>
      <c r="U33" s="42">
        <v>495.44670895124682</v>
      </c>
      <c r="V33" s="42">
        <v>436.36832512962269</v>
      </c>
      <c r="W33" s="42">
        <v>595.55336848245884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0.56133946192500872</v>
      </c>
      <c r="D36" s="183">
        <v>0.57721728220841584</v>
      </c>
      <c r="E36" s="183">
        <v>0.59354421607469376</v>
      </c>
      <c r="F36" s="183">
        <v>0.61033296696844275</v>
      </c>
      <c r="G36" s="183">
        <v>0.62759659765873721</v>
      </c>
      <c r="H36" s="183">
        <v>0.64534854040284984</v>
      </c>
      <c r="I36" s="183">
        <v>0.66360260739741861</v>
      </c>
      <c r="J36" s="183">
        <v>0.68237300152528491</v>
      </c>
      <c r="K36" s="183">
        <v>0.70167432740626268</v>
      </c>
      <c r="L36" s="183">
        <v>0.72152160276052157</v>
      </c>
      <c r="M36" s="183">
        <v>0.74193027009336632</v>
      </c>
      <c r="N36" s="183">
        <v>0.76291620871055699</v>
      </c>
      <c r="O36" s="183">
        <v>0.78449574707342151</v>
      </c>
      <c r="P36" s="183">
        <v>0.80668567550355874</v>
      </c>
      <c r="Q36" s="183">
        <v>0.8295032592467706</v>
      </c>
      <c r="R36" s="183">
        <v>0.85296625190660791</v>
      </c>
      <c r="S36" s="183">
        <v>0.87709290925782568</v>
      </c>
      <c r="T36" s="183">
        <v>0.90190200345065108</v>
      </c>
      <c r="U36" s="183">
        <v>1.4348749021500709</v>
      </c>
      <c r="V36" s="183">
        <v>1.671177454643761</v>
      </c>
      <c r="W36" s="183">
        <v>1.7888634961479326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70.936323791947302</v>
      </c>
      <c r="D37" s="183">
        <v>73.989769444371518</v>
      </c>
      <c r="E37" s="183">
        <v>77.17465030310359</v>
      </c>
      <c r="F37" s="183">
        <v>80.496623981025209</v>
      </c>
      <c r="G37" s="183">
        <v>83.96159162229435</v>
      </c>
      <c r="H37" s="183">
        <v>87.575708385120151</v>
      </c>
      <c r="I37" s="183">
        <v>91.345394375767341</v>
      </c>
      <c r="J37" s="183">
        <v>85.496286097380562</v>
      </c>
      <c r="K37" s="183">
        <v>91.662581344077694</v>
      </c>
      <c r="L37" s="183">
        <v>96.76436020454355</v>
      </c>
      <c r="M37" s="183">
        <v>104.27164566011129</v>
      </c>
      <c r="N37" s="183">
        <v>106.69282177988578</v>
      </c>
      <c r="O37" s="183">
        <v>110.61277267841729</v>
      </c>
      <c r="P37" s="183">
        <v>113.97870816762656</v>
      </c>
      <c r="Q37" s="183">
        <v>102.67586898871912</v>
      </c>
      <c r="R37" s="183">
        <v>110.95496137089162</v>
      </c>
      <c r="S37" s="183">
        <v>109.59052485232928</v>
      </c>
      <c r="T37" s="183">
        <v>119.89249128187498</v>
      </c>
      <c r="U37" s="183">
        <v>123.21115564940919</v>
      </c>
      <c r="V37" s="183">
        <v>130.24732707438375</v>
      </c>
      <c r="W37" s="183">
        <v>133.17331153757152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1.5108641578922608</v>
      </c>
      <c r="D38" s="183">
        <v>1.5501139189388251</v>
      </c>
      <c r="E38" s="183">
        <v>1.5903833240971164</v>
      </c>
      <c r="F38" s="183">
        <v>1.631698862040869</v>
      </c>
      <c r="G38" s="183">
        <v>1.6740877095759128</v>
      </c>
      <c r="H38" s="183">
        <v>1.7175777495167051</v>
      </c>
      <c r="I38" s="183">
        <v>1.884037412704787</v>
      </c>
      <c r="J38" s="183">
        <v>2.0844546093198542</v>
      </c>
      <c r="K38" s="183">
        <v>2.2108157654099223</v>
      </c>
      <c r="L38" s="183">
        <v>2.3486717510698547</v>
      </c>
      <c r="M38" s="183">
        <v>2.3622918585969757</v>
      </c>
      <c r="N38" s="183">
        <v>2.5104242971224977</v>
      </c>
      <c r="O38" s="183">
        <v>2.7396928172760262</v>
      </c>
      <c r="P38" s="183">
        <v>2.9127260604288274</v>
      </c>
      <c r="Q38" s="183">
        <v>2.7536127017055456</v>
      </c>
      <c r="R38" s="183">
        <v>3.0123103894037442</v>
      </c>
      <c r="S38" s="183">
        <v>3.3101845357640016</v>
      </c>
      <c r="T38" s="183">
        <v>3.2654714292052347</v>
      </c>
      <c r="U38" s="183">
        <v>3.6362674115907154</v>
      </c>
      <c r="V38" s="183">
        <v>4.1261785681578864</v>
      </c>
      <c r="W38" s="183">
        <v>4.4470923407400278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7.8240810137066887</v>
      </c>
      <c r="D39" s="183">
        <v>7.9888889051503043</v>
      </c>
      <c r="E39" s="183">
        <v>8.1571683405406645</v>
      </c>
      <c r="F39" s="183">
        <v>8.3289924451223953</v>
      </c>
      <c r="G39" s="183">
        <v>8.5044358844637884</v>
      </c>
      <c r="H39" s="183">
        <v>8.6835748969024991</v>
      </c>
      <c r="I39" s="183">
        <v>8.8664873266746156</v>
      </c>
      <c r="J39" s="183">
        <v>9.0532526577417229</v>
      </c>
      <c r="K39" s="183">
        <v>9.2439520483302147</v>
      </c>
      <c r="L39" s="183">
        <v>9.4386683661983568</v>
      </c>
      <c r="M39" s="183">
        <v>11.523776629121812</v>
      </c>
      <c r="N39" s="183">
        <v>9.2607456890934827</v>
      </c>
      <c r="O39" s="183">
        <v>11.843221409028558</v>
      </c>
      <c r="P39" s="183">
        <v>13.711149357229289</v>
      </c>
      <c r="Q39" s="183">
        <v>16.425053465420888</v>
      </c>
      <c r="R39" s="183">
        <v>19.177950899016338</v>
      </c>
      <c r="S39" s="183">
        <v>18.884596340902362</v>
      </c>
      <c r="T39" s="183">
        <v>16.583237930934189</v>
      </c>
      <c r="U39" s="183">
        <v>15.299771799287129</v>
      </c>
      <c r="V39" s="183">
        <v>13.212117235104756</v>
      </c>
      <c r="W39" s="183">
        <v>12.970626803039579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0.12315776012452773</v>
      </c>
      <c r="D40" s="41">
        <v>0.13701688466407802</v>
      </c>
      <c r="E40" s="41">
        <v>0.15243559694546871</v>
      </c>
      <c r="F40" s="41">
        <v>0.16958939967939113</v>
      </c>
      <c r="G40" s="41">
        <v>0.18867354515563051</v>
      </c>
      <c r="H40" s="41">
        <v>0.20990525769235013</v>
      </c>
      <c r="I40" s="41">
        <v>0.23352620618088515</v>
      </c>
      <c r="J40" s="41">
        <v>0.25980525486963124</v>
      </c>
      <c r="K40" s="41">
        <v>0.28904152369773506</v>
      </c>
      <c r="L40" s="41">
        <v>0.32156779301261906</v>
      </c>
      <c r="M40" s="41">
        <v>0.35775429142541881</v>
      </c>
      <c r="N40" s="41">
        <v>0.39801290991937321</v>
      </c>
      <c r="O40" s="41">
        <v>0.4428018901780586</v>
      </c>
      <c r="P40" s="41">
        <v>0.49263104049811091</v>
      </c>
      <c r="Q40" s="41">
        <v>0.5480675386563103</v>
      </c>
      <c r="R40" s="41">
        <v>0.47181190116472926</v>
      </c>
      <c r="S40" s="41">
        <v>0.61300703882484164</v>
      </c>
      <c r="T40" s="41">
        <v>0.8019239056388745</v>
      </c>
      <c r="U40" s="41">
        <v>0.89986575376273592</v>
      </c>
      <c r="V40" s="41">
        <v>1.058371850939313</v>
      </c>
      <c r="W40" s="41">
        <v>1.1834137728520773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73.393725779084718</v>
      </c>
      <c r="D41" s="42">
        <v>73.393725779084718</v>
      </c>
      <c r="E41" s="42">
        <v>73.393725779084662</v>
      </c>
      <c r="F41" s="42">
        <v>73.393725779084775</v>
      </c>
      <c r="G41" s="42">
        <v>73.393725779084775</v>
      </c>
      <c r="H41" s="42">
        <v>98.829212053463266</v>
      </c>
      <c r="I41" s="42">
        <v>136.10008917844902</v>
      </c>
      <c r="J41" s="42">
        <v>131.01586392438958</v>
      </c>
      <c r="K41" s="42">
        <v>129.83966900412452</v>
      </c>
      <c r="L41" s="42">
        <v>156.715513718186</v>
      </c>
      <c r="M41" s="42">
        <v>216.11461770266851</v>
      </c>
      <c r="N41" s="42">
        <v>237.44050374377343</v>
      </c>
      <c r="O41" s="42">
        <v>230.24028810501818</v>
      </c>
      <c r="P41" s="42">
        <v>249.40254711171019</v>
      </c>
      <c r="Q41" s="42">
        <v>271.32943550608161</v>
      </c>
      <c r="R41" s="42">
        <v>385.16808734849246</v>
      </c>
      <c r="S41" s="42">
        <v>346.85300494280591</v>
      </c>
      <c r="T41" s="42">
        <v>363.09692438255433</v>
      </c>
      <c r="U41" s="42">
        <v>402.43854128104022</v>
      </c>
      <c r="V41" s="42">
        <v>520.33425951207391</v>
      </c>
      <c r="W41" s="42">
        <v>448.48326436571597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</v>
      </c>
      <c r="E44" s="185">
        <v>8759.9999999999964</v>
      </c>
      <c r="F44" s="185">
        <v>8760</v>
      </c>
      <c r="G44" s="185">
        <v>8759.9999999999982</v>
      </c>
      <c r="H44" s="185">
        <v>8759.9999999999964</v>
      </c>
      <c r="I44" s="185">
        <v>8759.9999999999982</v>
      </c>
      <c r="J44" s="185">
        <v>8760</v>
      </c>
      <c r="K44" s="185">
        <v>8760.0000000000018</v>
      </c>
      <c r="L44" s="185">
        <v>8760.0000000000018</v>
      </c>
      <c r="M44" s="185">
        <v>8760.0000000000018</v>
      </c>
      <c r="N44" s="185">
        <v>8760.0000000000036</v>
      </c>
      <c r="O44" s="185">
        <v>8759.9999999999982</v>
      </c>
      <c r="P44" s="185">
        <v>8760</v>
      </c>
      <c r="Q44" s="185">
        <v>8760</v>
      </c>
      <c r="R44" s="185">
        <v>8759.9999999999982</v>
      </c>
      <c r="S44" s="185">
        <v>8760.0000000000018</v>
      </c>
      <c r="T44" s="185">
        <v>8760.0000000000018</v>
      </c>
      <c r="U44" s="185">
        <v>8759.9999999999982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2836.7135306012278</v>
      </c>
      <c r="C45" s="185">
        <v>2861.9692641724978</v>
      </c>
      <c r="D45" s="185">
        <v>2895.7457224969194</v>
      </c>
      <c r="E45" s="185">
        <v>2919.0754050557262</v>
      </c>
      <c r="F45" s="185">
        <v>2945.2651002250968</v>
      </c>
      <c r="G45" s="185">
        <v>2972.8070726557903</v>
      </c>
      <c r="H45" s="185">
        <v>2999.4732249465037</v>
      </c>
      <c r="I45" s="185">
        <v>3012.1288587753506</v>
      </c>
      <c r="J45" s="185">
        <v>3030.7624807960042</v>
      </c>
      <c r="K45" s="185">
        <v>3039.9382720948579</v>
      </c>
      <c r="L45" s="185">
        <v>3063.6615537359694</v>
      </c>
      <c r="M45" s="185">
        <v>3099.3460132311407</v>
      </c>
      <c r="N45" s="185">
        <v>3142.6244717780082</v>
      </c>
      <c r="O45" s="185">
        <v>3187.395298520059</v>
      </c>
      <c r="P45" s="185">
        <v>3227.4692263599763</v>
      </c>
      <c r="Q45" s="185">
        <v>3274.1533493415709</v>
      </c>
      <c r="R45" s="185">
        <v>3339.9912762637764</v>
      </c>
      <c r="S45" s="185">
        <v>3371.1485345885567</v>
      </c>
      <c r="T45" s="185">
        <v>3380.8932528097021</v>
      </c>
      <c r="U45" s="185">
        <v>3339.6281742655233</v>
      </c>
      <c r="V45" s="185">
        <v>3327.4685488508212</v>
      </c>
      <c r="W45" s="185">
        <v>3338.3689361617458</v>
      </c>
      <c r="DA45" s="194" t="s">
        <v>940</v>
      </c>
    </row>
    <row r="46" spans="1:105" ht="12" customHeight="1" x14ac:dyDescent="0.25">
      <c r="A46" s="132" t="s">
        <v>5</v>
      </c>
      <c r="B46" s="185">
        <v>2158.1016782367274</v>
      </c>
      <c r="C46" s="185">
        <v>2176.4878553722301</v>
      </c>
      <c r="D46" s="185">
        <v>2202.2437489228087</v>
      </c>
      <c r="E46" s="185">
        <v>2219.6878589577159</v>
      </c>
      <c r="F46" s="185">
        <v>2238.5433059692473</v>
      </c>
      <c r="G46" s="185">
        <v>2260.7008944514782</v>
      </c>
      <c r="H46" s="185">
        <v>2283.6557859227719</v>
      </c>
      <c r="I46" s="185">
        <v>2302.0903997414212</v>
      </c>
      <c r="J46" s="185">
        <v>2317.3914043765139</v>
      </c>
      <c r="K46" s="185">
        <v>2329.0137610724446</v>
      </c>
      <c r="L46" s="185">
        <v>2340.8640341188216</v>
      </c>
      <c r="M46" s="185">
        <v>2353.2151664530702</v>
      </c>
      <c r="N46" s="185">
        <v>2366.328205569072</v>
      </c>
      <c r="O46" s="185">
        <v>2377.910164350099</v>
      </c>
      <c r="P46" s="185">
        <v>2391.6598405293084</v>
      </c>
      <c r="Q46" s="185">
        <v>2408.6287101852199</v>
      </c>
      <c r="R46" s="185">
        <v>2454.904910790422</v>
      </c>
      <c r="S46" s="185">
        <v>2472.3757459561239</v>
      </c>
      <c r="T46" s="185">
        <v>2469.0019839809588</v>
      </c>
      <c r="U46" s="185">
        <v>2403.5404435544938</v>
      </c>
      <c r="V46" s="185">
        <v>1919.6922455234378</v>
      </c>
      <c r="W46" s="185">
        <v>2348.7811255072702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8760.0000000000036</v>
      </c>
      <c r="D47" s="185">
        <v>8760</v>
      </c>
      <c r="E47" s="185">
        <v>8760.0000000000018</v>
      </c>
      <c r="F47" s="185">
        <v>8759.9999999999982</v>
      </c>
      <c r="G47" s="185">
        <v>8760.0000000000018</v>
      </c>
      <c r="H47" s="185">
        <v>8760</v>
      </c>
      <c r="I47" s="185">
        <v>8760</v>
      </c>
      <c r="J47" s="185">
        <v>8759.9999999999964</v>
      </c>
      <c r="K47" s="185">
        <v>8760</v>
      </c>
      <c r="L47" s="185">
        <v>8760.0000000000018</v>
      </c>
      <c r="M47" s="185">
        <v>8760</v>
      </c>
      <c r="N47" s="185">
        <v>8759.9999999999945</v>
      </c>
      <c r="O47" s="185">
        <v>8760.0000000000018</v>
      </c>
      <c r="P47" s="185">
        <v>8759.9999999999982</v>
      </c>
      <c r="Q47" s="185">
        <v>8760.0000000000018</v>
      </c>
      <c r="R47" s="185">
        <v>8759.9999999999982</v>
      </c>
      <c r="S47" s="185">
        <v>8760</v>
      </c>
      <c r="T47" s="185">
        <v>8760.0000000000036</v>
      </c>
      <c r="U47" s="185">
        <v>8760.0000000000018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872.68538174172318</v>
      </c>
      <c r="C48" s="44">
        <v>876.85409690953156</v>
      </c>
      <c r="D48" s="44">
        <v>880.67722138204113</v>
      </c>
      <c r="E48" s="44">
        <v>884.20887321181101</v>
      </c>
      <c r="F48" s="44">
        <v>887.49129712838499</v>
      </c>
      <c r="G48" s="44">
        <v>890.55811244742483</v>
      </c>
      <c r="H48" s="44">
        <v>893.43651933098351</v>
      </c>
      <c r="I48" s="44">
        <v>896.14884064558851</v>
      </c>
      <c r="J48" s="44">
        <v>898.71362619151796</v>
      </c>
      <c r="K48" s="44">
        <v>901.14646054902278</v>
      </c>
      <c r="L48" s="44">
        <v>903.46056526632867</v>
      </c>
      <c r="M48" s="44">
        <v>904.93109370760146</v>
      </c>
      <c r="N48" s="44">
        <v>906.33542920895013</v>
      </c>
      <c r="O48" s="44">
        <v>907.67936487851114</v>
      </c>
      <c r="P48" s="44">
        <v>908.96796149148167</v>
      </c>
      <c r="Q48" s="44">
        <v>910.20566623154218</v>
      </c>
      <c r="R48" s="44">
        <v>924.6758605949384</v>
      </c>
      <c r="S48" s="44">
        <v>930.43943115661386</v>
      </c>
      <c r="T48" s="44">
        <v>931.24315115196828</v>
      </c>
      <c r="U48" s="44">
        <v>915.48836219643124</v>
      </c>
      <c r="V48" s="44">
        <v>731.1946484979527</v>
      </c>
      <c r="W48" s="44">
        <v>894.63099799917688</v>
      </c>
      <c r="DA48" s="95" t="s">
        <v>943</v>
      </c>
    </row>
    <row r="49" spans="1:105" ht="12" customHeight="1" x14ac:dyDescent="0.25">
      <c r="A49" s="62" t="s">
        <v>3</v>
      </c>
      <c r="B49" s="186">
        <v>1580.7662111541945</v>
      </c>
      <c r="C49" s="186">
        <v>1599.3846433066421</v>
      </c>
      <c r="D49" s="186">
        <v>1626.7222009323978</v>
      </c>
      <c r="E49" s="186">
        <v>1656.3780410547265</v>
      </c>
      <c r="F49" s="186">
        <v>1687.3746391171976</v>
      </c>
      <c r="G49" s="186">
        <v>1714.3581780776547</v>
      </c>
      <c r="H49" s="186">
        <v>1741.3423877337727</v>
      </c>
      <c r="I49" s="186">
        <v>1765.4456287516873</v>
      </c>
      <c r="J49" s="186">
        <v>1783.1957874702257</v>
      </c>
      <c r="K49" s="186">
        <v>1799.3319039731382</v>
      </c>
      <c r="L49" s="186">
        <v>1815.823546387719</v>
      </c>
      <c r="M49" s="186">
        <v>1840.8882982805458</v>
      </c>
      <c r="N49" s="186">
        <v>1862.8501758181778</v>
      </c>
      <c r="O49" s="186">
        <v>1884.506664022244</v>
      </c>
      <c r="P49" s="186">
        <v>1906.9643369578921</v>
      </c>
      <c r="Q49" s="186">
        <v>1931.4404970460444</v>
      </c>
      <c r="R49" s="186">
        <v>1985.9233451949358</v>
      </c>
      <c r="S49" s="186">
        <v>2018.9369712820633</v>
      </c>
      <c r="T49" s="186">
        <v>2040.1127437226273</v>
      </c>
      <c r="U49" s="186">
        <v>2031.0151405216009</v>
      </c>
      <c r="V49" s="186">
        <v>1785.7012698395938</v>
      </c>
      <c r="W49" s="186">
        <v>2003.2518455031718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0.86687934698871527</v>
      </c>
      <c r="C52" s="181">
        <v>0.85711783822582943</v>
      </c>
      <c r="D52" s="181">
        <v>0.84591608563890441</v>
      </c>
      <c r="E52" s="181">
        <v>0.83418445647367423</v>
      </c>
      <c r="F52" s="181">
        <v>0.82154094929042243</v>
      </c>
      <c r="G52" s="181">
        <v>0.80694795008639331</v>
      </c>
      <c r="H52" s="181">
        <v>0.7919012405882595</v>
      </c>
      <c r="I52" s="181">
        <v>0.77760576859848984</v>
      </c>
      <c r="J52" s="181">
        <v>0.76457913973624636</v>
      </c>
      <c r="K52" s="181">
        <v>0.75431453166739038</v>
      </c>
      <c r="L52" s="181">
        <v>0.74218339994915394</v>
      </c>
      <c r="M52" s="181">
        <v>0.72870234449596449</v>
      </c>
      <c r="N52" s="181">
        <v>0.71551700854051659</v>
      </c>
      <c r="O52" s="181">
        <v>0.70187915155840153</v>
      </c>
      <c r="P52" s="181">
        <v>0.68762389142035762</v>
      </c>
      <c r="Q52" s="181">
        <v>0.67235175188543628</v>
      </c>
      <c r="R52" s="181">
        <v>0.6611525507613103</v>
      </c>
      <c r="S52" s="181">
        <v>0.65024169722922531</v>
      </c>
      <c r="T52" s="181">
        <v>0.63964364264135731</v>
      </c>
      <c r="U52" s="181">
        <v>0.62866177669938317</v>
      </c>
      <c r="V52" s="181">
        <v>0.61743911471766288</v>
      </c>
      <c r="W52" s="181">
        <v>0.60680161050612247</v>
      </c>
      <c r="DA52" s="190" t="s">
        <v>945</v>
      </c>
    </row>
    <row r="53" spans="1:105" ht="12" customHeight="1" x14ac:dyDescent="0.25">
      <c r="A53" s="132" t="s">
        <v>100</v>
      </c>
      <c r="B53" s="181">
        <v>219.81139482101966</v>
      </c>
      <c r="C53" s="181">
        <v>217.57989402813706</v>
      </c>
      <c r="D53" s="181">
        <v>214.99388073717805</v>
      </c>
      <c r="E53" s="181">
        <v>211.93216327295943</v>
      </c>
      <c r="F53" s="181">
        <v>208.22472972726976</v>
      </c>
      <c r="G53" s="181">
        <v>204.10790332888251</v>
      </c>
      <c r="H53" s="181">
        <v>199.42063596395096</v>
      </c>
      <c r="I53" s="181">
        <v>194.58512520487898</v>
      </c>
      <c r="J53" s="181">
        <v>191.78717034149915</v>
      </c>
      <c r="K53" s="181">
        <v>188.71363874159138</v>
      </c>
      <c r="L53" s="181">
        <v>185.65003577083698</v>
      </c>
      <c r="M53" s="181">
        <v>182.38219820502854</v>
      </c>
      <c r="N53" s="181">
        <v>178.85805330401251</v>
      </c>
      <c r="O53" s="181">
        <v>174.82233681916821</v>
      </c>
      <c r="P53" s="181">
        <v>169.68747752000331</v>
      </c>
      <c r="Q53" s="181">
        <v>163.89287317395105</v>
      </c>
      <c r="R53" s="181">
        <v>157.23608505969486</v>
      </c>
      <c r="S53" s="181">
        <v>150.4575276768534</v>
      </c>
      <c r="T53" s="181">
        <v>143.05969263039674</v>
      </c>
      <c r="U53" s="181">
        <v>135.53712885556371</v>
      </c>
      <c r="V53" s="181">
        <v>127.92754788966518</v>
      </c>
      <c r="W53" s="181">
        <v>121.32064914161354</v>
      </c>
      <c r="DA53" s="190" t="s">
        <v>946</v>
      </c>
    </row>
    <row r="54" spans="1:105" ht="12" customHeight="1" x14ac:dyDescent="0.25">
      <c r="A54" s="132" t="s">
        <v>140</v>
      </c>
      <c r="B54" s="181">
        <v>54.068119905341213</v>
      </c>
      <c r="C54" s="181">
        <v>53.411507199555807</v>
      </c>
      <c r="D54" s="181">
        <v>52.376925817369106</v>
      </c>
      <c r="E54" s="181">
        <v>51.105204620801672</v>
      </c>
      <c r="F54" s="181">
        <v>49.713593440659409</v>
      </c>
      <c r="G54" s="181">
        <v>48.235967500016194</v>
      </c>
      <c r="H54" s="181">
        <v>46.582824718677415</v>
      </c>
      <c r="I54" s="181">
        <v>45.142679033121972</v>
      </c>
      <c r="J54" s="181">
        <v>43.709265864434826</v>
      </c>
      <c r="K54" s="181">
        <v>42.389994723394068</v>
      </c>
      <c r="L54" s="181">
        <v>40.975965358190471</v>
      </c>
      <c r="M54" s="181">
        <v>39.468285241136115</v>
      </c>
      <c r="N54" s="181">
        <v>37.993227732337559</v>
      </c>
      <c r="O54" s="181">
        <v>36.346478752348787</v>
      </c>
      <c r="P54" s="181">
        <v>34.541533411238035</v>
      </c>
      <c r="Q54" s="181">
        <v>32.675451428726738</v>
      </c>
      <c r="R54" s="181">
        <v>30.580551173430109</v>
      </c>
      <c r="S54" s="181">
        <v>28.461595893740849</v>
      </c>
      <c r="T54" s="181">
        <v>26.369378319776317</v>
      </c>
      <c r="U54" s="181">
        <v>24.216283891757769</v>
      </c>
      <c r="V54" s="181">
        <v>22.028076293559103</v>
      </c>
      <c r="W54" s="181">
        <v>19.894411166960918</v>
      </c>
      <c r="DA54" s="190" t="s">
        <v>947</v>
      </c>
    </row>
    <row r="55" spans="1:105" ht="12" customHeight="1" x14ac:dyDescent="0.25">
      <c r="A55" s="132" t="s">
        <v>181</v>
      </c>
      <c r="B55" s="181">
        <v>725.7617152422639</v>
      </c>
      <c r="C55" s="181">
        <v>718.41504446944271</v>
      </c>
      <c r="D55" s="181">
        <v>711.41480879382107</v>
      </c>
      <c r="E55" s="181">
        <v>702.35353096160213</v>
      </c>
      <c r="F55" s="181">
        <v>691.98095567456016</v>
      </c>
      <c r="G55" s="181">
        <v>680.06589408522905</v>
      </c>
      <c r="H55" s="181">
        <v>666.89136447477711</v>
      </c>
      <c r="I55" s="181">
        <v>653.85506262853835</v>
      </c>
      <c r="J55" s="181">
        <v>641.52003249400457</v>
      </c>
      <c r="K55" s="181">
        <v>629.31493072944795</v>
      </c>
      <c r="L55" s="181">
        <v>617.46264662368299</v>
      </c>
      <c r="M55" s="181">
        <v>607.8913111648726</v>
      </c>
      <c r="N55" s="181">
        <v>600.85843145854676</v>
      </c>
      <c r="O55" s="181">
        <v>591.35013103738515</v>
      </c>
      <c r="P55" s="181">
        <v>579.39375452093816</v>
      </c>
      <c r="Q55" s="181">
        <v>565.48508431442656</v>
      </c>
      <c r="R55" s="181">
        <v>551.44688250714057</v>
      </c>
      <c r="S55" s="181">
        <v>538.50327389962717</v>
      </c>
      <c r="T55" s="181">
        <v>527.89458257225567</v>
      </c>
      <c r="U55" s="181">
        <v>518.68749200954039</v>
      </c>
      <c r="V55" s="181">
        <v>511.07717690051322</v>
      </c>
      <c r="W55" s="181">
        <v>503.86818742256173</v>
      </c>
      <c r="DA55" s="190" t="s">
        <v>948</v>
      </c>
    </row>
    <row r="56" spans="1:105" ht="12" customHeight="1" x14ac:dyDescent="0.25">
      <c r="A56" s="60" t="s">
        <v>99</v>
      </c>
      <c r="B56" s="55">
        <v>50.954132658826104</v>
      </c>
      <c r="C56" s="55">
        <v>50.637626184042169</v>
      </c>
      <c r="D56" s="55">
        <v>50.25349768337535</v>
      </c>
      <c r="E56" s="55">
        <v>49.793724594121905</v>
      </c>
      <c r="F56" s="55">
        <v>49.320680377342967</v>
      </c>
      <c r="G56" s="55">
        <v>48.815677690895704</v>
      </c>
      <c r="H56" s="55">
        <v>48.302091393975303</v>
      </c>
      <c r="I56" s="55">
        <v>47.792699592799487</v>
      </c>
      <c r="J56" s="55">
        <v>47.353177341878869</v>
      </c>
      <c r="K56" s="55">
        <v>47.013307248467676</v>
      </c>
      <c r="L56" s="55">
        <v>46.611690728084106</v>
      </c>
      <c r="M56" s="55">
        <v>46.095644999055487</v>
      </c>
      <c r="N56" s="55">
        <v>45.586104144231868</v>
      </c>
      <c r="O56" s="55">
        <v>44.994057855107414</v>
      </c>
      <c r="P56" s="55">
        <v>44.243673533122262</v>
      </c>
      <c r="Q56" s="55">
        <v>43.372767162748858</v>
      </c>
      <c r="R56" s="55">
        <v>42.754141660859077</v>
      </c>
      <c r="S56" s="55">
        <v>42.044491389958999</v>
      </c>
      <c r="T56" s="55">
        <v>41.221919582324766</v>
      </c>
      <c r="U56" s="55">
        <v>40.367187088502114</v>
      </c>
      <c r="V56" s="55">
        <v>39.445394421641922</v>
      </c>
      <c r="W56" s="55">
        <v>38.510673062593497</v>
      </c>
      <c r="DA56" s="101" t="s">
        <v>949</v>
      </c>
    </row>
    <row r="57" spans="1:105" ht="12" customHeight="1" x14ac:dyDescent="0.25">
      <c r="A57" s="62" t="s">
        <v>98</v>
      </c>
      <c r="B57" s="63">
        <v>403.00990380178473</v>
      </c>
      <c r="C57" s="63">
        <v>396.0948572921821</v>
      </c>
      <c r="D57" s="63">
        <v>385.38995515509623</v>
      </c>
      <c r="E57" s="63">
        <v>374.12004275922425</v>
      </c>
      <c r="F57" s="63">
        <v>362.04625977568287</v>
      </c>
      <c r="G57" s="63">
        <v>348.09878611021708</v>
      </c>
      <c r="H57" s="63">
        <v>332.48392455210069</v>
      </c>
      <c r="I57" s="63">
        <v>315.41358319551045</v>
      </c>
      <c r="J57" s="63">
        <v>300.12755106780372</v>
      </c>
      <c r="K57" s="63">
        <v>284.52981238843552</v>
      </c>
      <c r="L57" s="63">
        <v>267.31330193932212</v>
      </c>
      <c r="M57" s="63">
        <v>247.72624411825026</v>
      </c>
      <c r="N57" s="63">
        <v>233.10467622885091</v>
      </c>
      <c r="O57" s="63">
        <v>222.41642394136224</v>
      </c>
      <c r="P57" s="63">
        <v>214.67351696817286</v>
      </c>
      <c r="Q57" s="63">
        <v>209.04354496593166</v>
      </c>
      <c r="R57" s="63">
        <v>204.61828301252589</v>
      </c>
      <c r="S57" s="63">
        <v>200.8188094907529</v>
      </c>
      <c r="T57" s="63">
        <v>196.79051975699244</v>
      </c>
      <c r="U57" s="63">
        <v>192.04948484042222</v>
      </c>
      <c r="V57" s="63">
        <v>187.16738085454293</v>
      </c>
      <c r="W57" s="63">
        <v>182.23467356350176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0.77289143966730789</v>
      </c>
      <c r="D60" s="181">
        <v>0.76055212048681997</v>
      </c>
      <c r="E60" s="181">
        <v>0.74725366808393834</v>
      </c>
      <c r="F60" s="181">
        <v>0.7335059721386582</v>
      </c>
      <c r="G60" s="181">
        <v>0.71856209947172145</v>
      </c>
      <c r="H60" s="181">
        <v>0.70278976813542304</v>
      </c>
      <c r="I60" s="181">
        <v>0.68738041644708137</v>
      </c>
      <c r="J60" s="181">
        <v>0.67312622798339206</v>
      </c>
      <c r="K60" s="181">
        <v>0.66161040910144431</v>
      </c>
      <c r="L60" s="181">
        <v>0.64627075111886334</v>
      </c>
      <c r="M60" s="181">
        <v>0.62820401156735428</v>
      </c>
      <c r="N60" s="181">
        <v>0.60972722485818198</v>
      </c>
      <c r="O60" s="181">
        <v>0.59236487883327227</v>
      </c>
      <c r="P60" s="181">
        <v>0.57417030365966115</v>
      </c>
      <c r="Q60" s="181">
        <v>0.55474863526547646</v>
      </c>
      <c r="R60" s="181">
        <v>0.55140564848727303</v>
      </c>
      <c r="S60" s="181">
        <v>0.54667075902746798</v>
      </c>
      <c r="T60" s="181">
        <v>0.54222659519143013</v>
      </c>
      <c r="U60" s="181">
        <v>0.5380291554309633</v>
      </c>
      <c r="V60" s="181">
        <v>0.53387452749565134</v>
      </c>
      <c r="W60" s="181">
        <v>0.53232037406117783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204.67202639919259</v>
      </c>
      <c r="D61" s="181">
        <v>202.51829431176654</v>
      </c>
      <c r="E61" s="181">
        <v>199.30405425699382</v>
      </c>
      <c r="F61" s="181">
        <v>195.22099572951495</v>
      </c>
      <c r="G61" s="181">
        <v>191.72923630763799</v>
      </c>
      <c r="H61" s="181">
        <v>187.43545440505054</v>
      </c>
      <c r="I61" s="181">
        <v>185.66287098884146</v>
      </c>
      <c r="J61" s="181">
        <v>183.18258408734522</v>
      </c>
      <c r="K61" s="181">
        <v>179.98903299611811</v>
      </c>
      <c r="L61" s="181">
        <v>176.85296354872514</v>
      </c>
      <c r="M61" s="181">
        <v>172.8666862819658</v>
      </c>
      <c r="N61" s="181">
        <v>167.85394862592284</v>
      </c>
      <c r="O61" s="181">
        <v>161.02748343829705</v>
      </c>
      <c r="P61" s="181">
        <v>152.10729726701697</v>
      </c>
      <c r="Q61" s="181">
        <v>142.23880295978805</v>
      </c>
      <c r="R61" s="181">
        <v>133.7447495718942</v>
      </c>
      <c r="S61" s="181">
        <v>127.45364896510947</v>
      </c>
      <c r="T61" s="181">
        <v>121.16039939117104</v>
      </c>
      <c r="U61" s="181">
        <v>114.81136940492512</v>
      </c>
      <c r="V61" s="181">
        <v>108.48502581023759</v>
      </c>
      <c r="W61" s="181">
        <v>106.02419715300948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50.566290222887069</v>
      </c>
      <c r="D62" s="181">
        <v>48.647496698876225</v>
      </c>
      <c r="E62" s="181">
        <v>47.149430661889504</v>
      </c>
      <c r="F62" s="181">
        <v>46.101131259540168</v>
      </c>
      <c r="G62" s="181">
        <v>44.913244289074285</v>
      </c>
      <c r="H62" s="181">
        <v>43.401689819323735</v>
      </c>
      <c r="I62" s="181">
        <v>41.828195147653119</v>
      </c>
      <c r="J62" s="181">
        <v>40.227399335520467</v>
      </c>
      <c r="K62" s="181">
        <v>38.984115897193099</v>
      </c>
      <c r="L62" s="181">
        <v>37.636237248104756</v>
      </c>
      <c r="M62" s="181">
        <v>35.93400433794244</v>
      </c>
      <c r="N62" s="181">
        <v>34.364070519498007</v>
      </c>
      <c r="O62" s="181">
        <v>32.327693263075453</v>
      </c>
      <c r="P62" s="181">
        <v>30.29181887947647</v>
      </c>
      <c r="Q62" s="181">
        <v>28.145718573934413</v>
      </c>
      <c r="R62" s="181">
        <v>24.510844044962379</v>
      </c>
      <c r="S62" s="181">
        <v>23.04125822126446</v>
      </c>
      <c r="T62" s="181">
        <v>20.817923136305545</v>
      </c>
      <c r="U62" s="181">
        <v>18.982684584081884</v>
      </c>
      <c r="V62" s="181">
        <v>17.499125805794609</v>
      </c>
      <c r="W62" s="181">
        <v>15.887685007212582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668.5190512944813</v>
      </c>
      <c r="D63" s="181">
        <v>655.91930992889343</v>
      </c>
      <c r="E63" s="181">
        <v>648.80517693382103</v>
      </c>
      <c r="F63" s="181">
        <v>640.82464523400949</v>
      </c>
      <c r="G63" s="181">
        <v>631.09015278338552</v>
      </c>
      <c r="H63" s="181">
        <v>619.32104413711511</v>
      </c>
      <c r="I63" s="181">
        <v>605.78311621507089</v>
      </c>
      <c r="J63" s="181">
        <v>591.88199228703434</v>
      </c>
      <c r="K63" s="181">
        <v>579.02192204727612</v>
      </c>
      <c r="L63" s="181">
        <v>567.31311241493961</v>
      </c>
      <c r="M63" s="181">
        <v>554.07708470088301</v>
      </c>
      <c r="N63" s="181">
        <v>550.98766838438894</v>
      </c>
      <c r="O63" s="181">
        <v>539.54066476698188</v>
      </c>
      <c r="P63" s="181">
        <v>523.63687889291373</v>
      </c>
      <c r="Q63" s="181">
        <v>515.91963999554025</v>
      </c>
      <c r="R63" s="181">
        <v>508.67896652782548</v>
      </c>
      <c r="S63" s="181">
        <v>500.1168620401844</v>
      </c>
      <c r="T63" s="181">
        <v>491.90040406243639</v>
      </c>
      <c r="U63" s="181">
        <v>483.91557948629361</v>
      </c>
      <c r="V63" s="181">
        <v>475.98496860358131</v>
      </c>
      <c r="W63" s="181">
        <v>465.54876646954745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47.819575989380382</v>
      </c>
      <c r="D64" s="55">
        <v>47.482084526230224</v>
      </c>
      <c r="E64" s="55">
        <v>47.062399894555547</v>
      </c>
      <c r="F64" s="55">
        <v>46.58054864777673</v>
      </c>
      <c r="G64" s="55">
        <v>46.081867678601668</v>
      </c>
      <c r="H64" s="55">
        <v>45.56181368944889</v>
      </c>
      <c r="I64" s="55">
        <v>45.041218245528363</v>
      </c>
      <c r="J64" s="55">
        <v>44.537966818609242</v>
      </c>
      <c r="K64" s="55">
        <v>43.984040031723296</v>
      </c>
      <c r="L64" s="55">
        <v>43.275610414058654</v>
      </c>
      <c r="M64" s="55">
        <v>42.212880341628924</v>
      </c>
      <c r="N64" s="55">
        <v>40.97435079807213</v>
      </c>
      <c r="O64" s="55">
        <v>39.652166595794121</v>
      </c>
      <c r="P64" s="55">
        <v>38.276523750522522</v>
      </c>
      <c r="Q64" s="55">
        <v>36.864242561171793</v>
      </c>
      <c r="R64" s="55">
        <v>36.42277575433679</v>
      </c>
      <c r="S64" s="55">
        <v>35.910624544861598</v>
      </c>
      <c r="T64" s="55">
        <v>35.425586672682904</v>
      </c>
      <c r="U64" s="55">
        <v>34.951114938525208</v>
      </c>
      <c r="V64" s="55">
        <v>34.480113431573876</v>
      </c>
      <c r="W64" s="55">
        <v>34.246342906269639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375.5535207083858</v>
      </c>
      <c r="D65" s="63">
        <v>364.02733894068831</v>
      </c>
      <c r="E65" s="63">
        <v>351.15549026426311</v>
      </c>
      <c r="F65" s="63">
        <v>337.52256905271224</v>
      </c>
      <c r="G65" s="63">
        <v>323.15887193774711</v>
      </c>
      <c r="H65" s="63">
        <v>305.03474776701944</v>
      </c>
      <c r="I65" s="63">
        <v>287.93651424950531</v>
      </c>
      <c r="J65" s="63">
        <v>271.32897237757857</v>
      </c>
      <c r="K65" s="63">
        <v>251.43186260264926</v>
      </c>
      <c r="L65" s="63">
        <v>230.41115219067245</v>
      </c>
      <c r="M65" s="63">
        <v>218.62740989895124</v>
      </c>
      <c r="N65" s="63">
        <v>212.73695133930437</v>
      </c>
      <c r="O65" s="63">
        <v>209.77801349912426</v>
      </c>
      <c r="P65" s="63">
        <v>206.36479189515043</v>
      </c>
      <c r="Q65" s="63">
        <v>201.04653585905623</v>
      </c>
      <c r="R65" s="63">
        <v>196.73877638836143</v>
      </c>
      <c r="S65" s="63">
        <v>191.88768468720949</v>
      </c>
      <c r="T65" s="63">
        <v>187.17051330480888</v>
      </c>
      <c r="U65" s="63">
        <v>182.56050116329791</v>
      </c>
      <c r="V65" s="63">
        <v>177.98729650225553</v>
      </c>
      <c r="W65" s="63">
        <v>174.80453023218155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220.00987724567207</v>
      </c>
      <c r="C68" s="188">
        <f>1000000*C20/SER_summary!C$8</f>
        <v>226.804546042666</v>
      </c>
      <c r="D68" s="188">
        <f>1000000*D20/SER_summary!D$8</f>
        <v>234.37607515629909</v>
      </c>
      <c r="E68" s="188">
        <f>1000000*E20/SER_summary!E$8</f>
        <v>241.51189270745104</v>
      </c>
      <c r="F68" s="188">
        <f>1000000*F20/SER_summary!F$8</f>
        <v>250.3047353767806</v>
      </c>
      <c r="G68" s="188">
        <f>1000000*G20/SER_summary!G$8</f>
        <v>264.8170818211218</v>
      </c>
      <c r="H68" s="188">
        <f>1000000*H20/SER_summary!H$8</f>
        <v>280.79609857419194</v>
      </c>
      <c r="I68" s="188">
        <f>1000000*I20/SER_summary!I$8</f>
        <v>293.91198766273203</v>
      </c>
      <c r="J68" s="188">
        <f>1000000*J20/SER_summary!J$8</f>
        <v>307.00629098028429</v>
      </c>
      <c r="K68" s="188">
        <f>1000000*K20/SER_summary!K$8</f>
        <v>318.56833970966858</v>
      </c>
      <c r="L68" s="188">
        <f>1000000*L20/SER_summary!L$8</f>
        <v>333.69828957527488</v>
      </c>
      <c r="M68" s="188">
        <f>1000000*M20/SER_summary!M$8</f>
        <v>347.65182938100259</v>
      </c>
      <c r="N68" s="188">
        <f>1000000*N20/SER_summary!N$8</f>
        <v>364.55155890473696</v>
      </c>
      <c r="O68" s="188">
        <f>1000000*O20/SER_summary!O$8</f>
        <v>381.88282443613315</v>
      </c>
      <c r="P68" s="188">
        <f>1000000*P20/SER_summary!P$8</f>
        <v>399.79523699675059</v>
      </c>
      <c r="Q68" s="188">
        <f>1000000*Q20/SER_summary!Q$8</f>
        <v>418.6160848808936</v>
      </c>
      <c r="R68" s="188">
        <f>1000000*R20/SER_summary!R$8</f>
        <v>429.07300001178896</v>
      </c>
      <c r="S68" s="188">
        <f>1000000*S20/SER_summary!S$8</f>
        <v>439.5278005032302</v>
      </c>
      <c r="T68" s="188">
        <f>1000000*T20/SER_summary!T$8</f>
        <v>449.99167010479368</v>
      </c>
      <c r="U68" s="188">
        <f>1000000*U20/SER_summary!U$8</f>
        <v>460.47139191537951</v>
      </c>
      <c r="V68" s="188">
        <f>1000000*V20/SER_summary!V$8</f>
        <v>470.97959171278546</v>
      </c>
      <c r="W68" s="188">
        <f>1000000*W20/SER_summary!W$8</f>
        <v>481.55537823033808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6.9037800340724167E-2</v>
      </c>
      <c r="C69" s="188">
        <f>1000*C21/SER_summary!C$3</f>
        <v>7.1175201155346896E-2</v>
      </c>
      <c r="D69" s="188">
        <f>1000*D21/SER_summary!D$3</f>
        <v>7.5959701188650239E-2</v>
      </c>
      <c r="E69" s="188">
        <f>1000*E21/SER_summary!E$3</f>
        <v>7.908552578272425E-2</v>
      </c>
      <c r="F69" s="188">
        <f>1000*F21/SER_summary!F$3</f>
        <v>8.2771517143482853E-2</v>
      </c>
      <c r="G69" s="188">
        <f>1000*G21/SER_summary!G$3</f>
        <v>8.6337061226691381E-2</v>
      </c>
      <c r="H69" s="188">
        <f>1000*H21/SER_summary!H$3</f>
        <v>9.0026538510210516E-2</v>
      </c>
      <c r="I69" s="188">
        <f>1000*I21/SER_summary!I$3</f>
        <v>9.3689398173147406E-2</v>
      </c>
      <c r="J69" s="188">
        <f>1000*J21/SER_summary!J$3</f>
        <v>9.66558347315392E-2</v>
      </c>
      <c r="K69" s="188">
        <f>1000*K21/SER_summary!K$3</f>
        <v>9.9898118518024839E-2</v>
      </c>
      <c r="L69" s="188">
        <f>1000*L21/SER_summary!L$3</f>
        <v>0.10223675921579592</v>
      </c>
      <c r="M69" s="188">
        <f>1000*M21/SER_summary!M$3</f>
        <v>0.10508248861000863</v>
      </c>
      <c r="N69" s="188">
        <f>1000*N21/SER_summary!N$3</f>
        <v>0.10794217332365817</v>
      </c>
      <c r="O69" s="188">
        <f>1000*O21/SER_summary!O$3</f>
        <v>0.11126985398487571</v>
      </c>
      <c r="P69" s="188">
        <f>1000*P21/SER_summary!P$3</f>
        <v>0.11451595768831256</v>
      </c>
      <c r="Q69" s="188">
        <f>1000*Q21/SER_summary!Q$3</f>
        <v>0.11908084613368222</v>
      </c>
      <c r="R69" s="188">
        <f>1000*R21/SER_summary!R$3</f>
        <v>0.12332686891075617</v>
      </c>
      <c r="S69" s="188">
        <f>1000*S21/SER_summary!S$3</f>
        <v>0.12769744357089932</v>
      </c>
      <c r="T69" s="188">
        <f>1000*T21/SER_summary!T$3</f>
        <v>0.13193830103809776</v>
      </c>
      <c r="U69" s="188">
        <f>1000*U21/SER_summary!U$3</f>
        <v>0.1360638161018799</v>
      </c>
      <c r="V69" s="188">
        <f>1000*V21/SER_summary!V$3</f>
        <v>0.1400052354029572</v>
      </c>
      <c r="W69" s="188">
        <f>1000*W21/SER_summary!W$3</f>
        <v>0.14348258389382446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164.46670978296586</v>
      </c>
      <c r="C70" s="188">
        <f>1000000*C22/SER_summary!C$8</f>
        <v>164.95213628658715</v>
      </c>
      <c r="D70" s="188">
        <f>1000000*D22/SER_summary!D$8</f>
        <v>166.35147979593268</v>
      </c>
      <c r="E70" s="188">
        <f>1000000*E22/SER_summary!E$8</f>
        <v>167.99766717432399</v>
      </c>
      <c r="F70" s="188">
        <f>1000000*F22/SER_summary!F$8</f>
        <v>170.55480470634433</v>
      </c>
      <c r="G70" s="188">
        <f>1000000*G22/SER_summary!G$8</f>
        <v>172.74072326050432</v>
      </c>
      <c r="H70" s="188">
        <f>1000000*H22/SER_summary!H$8</f>
        <v>175.80580693557286</v>
      </c>
      <c r="I70" s="188">
        <f>1000000*I22/SER_summary!I$8</f>
        <v>178.49613243283227</v>
      </c>
      <c r="J70" s="188">
        <f>1000000*J22/SER_summary!J$8</f>
        <v>182.52281064525684</v>
      </c>
      <c r="K70" s="188">
        <f>1000000*K22/SER_summary!K$8</f>
        <v>186.95926340513716</v>
      </c>
      <c r="L70" s="188">
        <f>1000000*L22/SER_summary!L$8</f>
        <v>191.84678273158292</v>
      </c>
      <c r="M70" s="188">
        <f>1000000*M22/SER_summary!M$8</f>
        <v>197.30036410659793</v>
      </c>
      <c r="N70" s="188">
        <f>1000000*N22/SER_summary!N$8</f>
        <v>203.04236613887221</v>
      </c>
      <c r="O70" s="188">
        <f>1000000*O22/SER_summary!O$8</f>
        <v>209.92842804334916</v>
      </c>
      <c r="P70" s="188">
        <f>1000000*P22/SER_summary!P$8</f>
        <v>219.60025113122308</v>
      </c>
      <c r="Q70" s="188">
        <f>1000000*Q22/SER_summary!Q$8</f>
        <v>233.0605907457763</v>
      </c>
      <c r="R70" s="188">
        <f>1000000*R22/SER_summary!R$8</f>
        <v>240.4636821160228</v>
      </c>
      <c r="S70" s="188">
        <f>1000000*S22/SER_summary!S$8</f>
        <v>247.97917484335414</v>
      </c>
      <c r="T70" s="188">
        <f>1000000*T22/SER_summary!T$8</f>
        <v>255.12703129788065</v>
      </c>
      <c r="U70" s="188">
        <f>1000000*U22/SER_summary!U$8</f>
        <v>261.61368364452551</v>
      </c>
      <c r="V70" s="188">
        <f>1000000*V22/SER_summary!V$8</f>
        <v>266.8920314966262</v>
      </c>
      <c r="W70" s="188">
        <f>1000000*W22/SER_summary!W$8</f>
        <v>269.97439291543611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1.0510414500821554E-2</v>
      </c>
      <c r="C71" s="188">
        <f>1000*C23/SER_summary!C$3</f>
        <v>1.1017798646518568E-2</v>
      </c>
      <c r="D71" s="188">
        <f>1000*D23/SER_summary!D$3</f>
        <v>1.1572397404715901E-2</v>
      </c>
      <c r="E71" s="188">
        <f>1000*E23/SER_summary!E$3</f>
        <v>1.2138496511651829E-2</v>
      </c>
      <c r="F71" s="188">
        <f>1000*F23/SER_summary!F$3</f>
        <v>1.2928000496928507E-2</v>
      </c>
      <c r="G71" s="188">
        <f>1000*G23/SER_summary!G$3</f>
        <v>1.4053307661349049E-2</v>
      </c>
      <c r="H71" s="188">
        <f>1000*H23/SER_summary!H$3</f>
        <v>1.5537880887933654E-2</v>
      </c>
      <c r="I71" s="188">
        <f>1000*I23/SER_summary!I$3</f>
        <v>1.6977144908024287E-2</v>
      </c>
      <c r="J71" s="188">
        <f>1000*J23/SER_summary!J$3</f>
        <v>1.8102196851673552E-2</v>
      </c>
      <c r="K71" s="188">
        <f>1000*K23/SER_summary!K$3</f>
        <v>1.9036548351008254E-2</v>
      </c>
      <c r="L71" s="188">
        <f>1000*L23/SER_summary!L$3</f>
        <v>1.9661307127594538E-2</v>
      </c>
      <c r="M71" s="188">
        <f>1000*M23/SER_summary!M$3</f>
        <v>1.9997265857982331E-2</v>
      </c>
      <c r="N71" s="188">
        <f>1000*N23/SER_summary!N$3</f>
        <v>2.0289459256879548E-2</v>
      </c>
      <c r="O71" s="188">
        <f>1000*O23/SER_summary!O$3</f>
        <v>2.0724975943691756E-2</v>
      </c>
      <c r="P71" s="188">
        <f>1000*P23/SER_summary!P$3</f>
        <v>2.1327019737550624E-2</v>
      </c>
      <c r="Q71" s="188">
        <f>1000*Q23/SER_summary!Q$3</f>
        <v>2.2177396912222331E-2</v>
      </c>
      <c r="R71" s="188">
        <f>1000*R23/SER_summary!R$3</f>
        <v>2.2720936643731152E-2</v>
      </c>
      <c r="S71" s="188">
        <f>1000*S23/SER_summary!S$3</f>
        <v>2.3284684278737033E-2</v>
      </c>
      <c r="T71" s="188">
        <f>1000*T23/SER_summary!T$3</f>
        <v>2.3835275601701292E-2</v>
      </c>
      <c r="U71" s="188">
        <f>1000*U23/SER_summary!U$3</f>
        <v>2.4383684592598463E-2</v>
      </c>
      <c r="V71" s="188">
        <f>1000*V23/SER_summary!V$3</f>
        <v>2.4932546259519326E-2</v>
      </c>
      <c r="W71" s="188">
        <f>1000*W23/SER_summary!W$3</f>
        <v>2.544023507653807E-2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73.506155917712647</v>
      </c>
      <c r="C72" s="188">
        <f>1000000*C24/SER_summary!C$8</f>
        <v>76.708784830509984</v>
      </c>
      <c r="D72" s="188">
        <f>1000000*D24/SER_summary!D$8</f>
        <v>80.935836265452579</v>
      </c>
      <c r="E72" s="188">
        <f>1000000*E24/SER_summary!E$8</f>
        <v>86.949840179715736</v>
      </c>
      <c r="F72" s="188">
        <f>1000000*F24/SER_summary!F$8</f>
        <v>93.412956474999362</v>
      </c>
      <c r="G72" s="188">
        <f>1000000*G24/SER_summary!G$8</f>
        <v>101.36162960667846</v>
      </c>
      <c r="H72" s="188">
        <f>1000000*H24/SER_summary!H$8</f>
        <v>109.82835493105455</v>
      </c>
      <c r="I72" s="188">
        <f>1000000*I24/SER_summary!I$8</f>
        <v>117.93803773804805</v>
      </c>
      <c r="J72" s="188">
        <f>1000000*J24/SER_summary!J$8</f>
        <v>124.60658321290251</v>
      </c>
      <c r="K72" s="188">
        <f>1000000*K24/SER_summary!K$8</f>
        <v>129.06830683450619</v>
      </c>
      <c r="L72" s="188">
        <f>1000000*L24/SER_summary!L$8</f>
        <v>133.62584575728329</v>
      </c>
      <c r="M72" s="188">
        <f>1000000*M24/SER_summary!M$8</f>
        <v>137.91043264227142</v>
      </c>
      <c r="N72" s="188">
        <f>1000000*N24/SER_summary!N$8</f>
        <v>141.27280961546512</v>
      </c>
      <c r="O72" s="188">
        <f>1000000*O24/SER_summary!O$8</f>
        <v>144.14059883547563</v>
      </c>
      <c r="P72" s="188">
        <f>1000000*P24/SER_summary!P$8</f>
        <v>148.06463593549302</v>
      </c>
      <c r="Q72" s="188">
        <f>1000000*Q24/SER_summary!Q$8</f>
        <v>151.63920597078678</v>
      </c>
      <c r="R72" s="188">
        <f>1000000*R24/SER_summary!R$8</f>
        <v>155.18850542360448</v>
      </c>
      <c r="S72" s="188">
        <f>1000000*S24/SER_summary!S$8</f>
        <v>158.72695589106814</v>
      </c>
      <c r="T72" s="188">
        <f>1000000*T24/SER_summary!T$8</f>
        <v>162.311934688869</v>
      </c>
      <c r="U72" s="188">
        <f>1000000*U24/SER_summary!U$8</f>
        <v>165.97824195313206</v>
      </c>
      <c r="V72" s="188">
        <f>1000000*V24/SER_summary!V$8</f>
        <v>169.79065320783258</v>
      </c>
      <c r="W72" s="188">
        <f>1000000*W24/SER_summary!W$8</f>
        <v>173.75935555055898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4.4802122373165408E-2</v>
      </c>
      <c r="C73" s="52">
        <f>1000*C25/SER_summary!C$3</f>
        <v>4.8150887293477572E-2</v>
      </c>
      <c r="D73" s="52">
        <f>1000*D25/SER_summary!D$3</f>
        <v>5.7837231980821295E-2</v>
      </c>
      <c r="E73" s="52">
        <f>1000*E25/SER_summary!E$3</f>
        <v>6.5688581459609582E-2</v>
      </c>
      <c r="F73" s="52">
        <f>1000*F25/SER_summary!F$3</f>
        <v>7.3488412800881767E-2</v>
      </c>
      <c r="G73" s="52">
        <f>1000*G25/SER_summary!G$3</f>
        <v>8.4866248636595157E-2</v>
      </c>
      <c r="H73" s="52">
        <f>1000*H25/SER_summary!H$3</f>
        <v>0.10089766948386933</v>
      </c>
      <c r="I73" s="52">
        <f>1000*I25/SER_summary!I$3</f>
        <v>0.11503549249956285</v>
      </c>
      <c r="J73" s="52">
        <f>1000*J25/SER_summary!J$3</f>
        <v>0.1290702758889623</v>
      </c>
      <c r="K73" s="52">
        <f>1000*K25/SER_summary!K$3</f>
        <v>0.14596171165631031</v>
      </c>
      <c r="L73" s="52">
        <f>1000*L25/SER_summary!L$3</f>
        <v>0.16229660058930068</v>
      </c>
      <c r="M73" s="52">
        <f>1000*M25/SER_summary!M$3</f>
        <v>0.1863889982571349</v>
      </c>
      <c r="N73" s="52">
        <f>1000*N25/SER_summary!N$3</f>
        <v>0.2023949811025442</v>
      </c>
      <c r="O73" s="52">
        <f>1000*O25/SER_summary!O$3</f>
        <v>0.22181871984600346</v>
      </c>
      <c r="P73" s="52">
        <f>1000*P25/SER_summary!P$3</f>
        <v>0.24412984369313925</v>
      </c>
      <c r="Q73" s="52">
        <f>1000*Q25/SER_summary!Q$3</f>
        <v>0.28017708170019295</v>
      </c>
      <c r="R73" s="52">
        <f>1000*R25/SER_summary!R$3</f>
        <v>0.29092379564216503</v>
      </c>
      <c r="S73" s="52">
        <f>1000*S25/SER_summary!S$3</f>
        <v>0.30370643189338831</v>
      </c>
      <c r="T73" s="52">
        <f>1000*T25/SER_summary!T$3</f>
        <v>0.31301381833877667</v>
      </c>
      <c r="U73" s="52">
        <f>1000*U25/SER_summary!U$3</f>
        <v>0.32853620235950198</v>
      </c>
      <c r="V73" s="52">
        <f>1000*V25/SER_summary!V$3</f>
        <v>0.31875221644045904</v>
      </c>
      <c r="W73" s="52">
        <f>1000*W25/SER_summary!W$3</f>
        <v>0.34162567789057458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8.4505676679051138</v>
      </c>
      <c r="C3" s="199">
        <f>'SER_se-appl'!C4</f>
        <v>8.9193662180180056</v>
      </c>
      <c r="D3" s="199">
        <f>'SER_se-appl'!D4</f>
        <v>9.4998309462749742</v>
      </c>
      <c r="E3" s="199">
        <f>'SER_se-appl'!E4</f>
        <v>10.119134765707663</v>
      </c>
      <c r="F3" s="199">
        <f>'SER_se-appl'!F4</f>
        <v>10.824853697126693</v>
      </c>
      <c r="G3" s="199">
        <f>'SER_se-appl'!G4</f>
        <v>11.747952443518223</v>
      </c>
      <c r="H3" s="199">
        <f>'SER_se-appl'!H4</f>
        <v>12.766757625827754</v>
      </c>
      <c r="I3" s="199">
        <f>'SER_se-appl'!I4</f>
        <v>13.749304712555436</v>
      </c>
      <c r="J3" s="199">
        <f>'SER_se-appl'!J4</f>
        <v>14.612058794077926</v>
      </c>
      <c r="K3" s="199">
        <f>'SER_se-appl'!K4</f>
        <v>15.129332224459157</v>
      </c>
      <c r="L3" s="199">
        <f>'SER_se-appl'!L4</f>
        <v>15.841065191095076</v>
      </c>
      <c r="M3" s="199">
        <f>'SER_se-appl'!M4</f>
        <v>16.672549703395795</v>
      </c>
      <c r="N3" s="199">
        <f>'SER_se-appl'!N4</f>
        <v>17.411825797298604</v>
      </c>
      <c r="O3" s="199">
        <f>'SER_se-appl'!O4</f>
        <v>18.167314172714388</v>
      </c>
      <c r="P3" s="199">
        <f>'SER_se-appl'!P4</f>
        <v>18.956717975990177</v>
      </c>
      <c r="Q3" s="199">
        <f>'SER_se-appl'!Q4</f>
        <v>19.827811451719565</v>
      </c>
      <c r="R3" s="199">
        <f>'SER_se-appl'!R4</f>
        <v>20.266148288446765</v>
      </c>
      <c r="S3" s="199">
        <f>'SER_se-appl'!S4</f>
        <v>20.703311031432239</v>
      </c>
      <c r="T3" s="199">
        <f>'SER_se-appl'!T4</f>
        <v>21.133365413034042</v>
      </c>
      <c r="U3" s="199">
        <f>'SER_se-appl'!U4</f>
        <v>21.526582157937359</v>
      </c>
      <c r="V3" s="199">
        <f>'SER_se-appl'!V4</f>
        <v>21.873415709116799</v>
      </c>
      <c r="W3" s="199">
        <f>'SER_se-appl'!W4</f>
        <v>22.207319273224055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11.219189723485901</v>
      </c>
      <c r="C5" s="59">
        <f>'SER_se-appl'!C12</f>
        <v>11.841578666158608</v>
      </c>
      <c r="D5" s="59">
        <f>'SER_se-appl'!D12</f>
        <v>12.61221848232625</v>
      </c>
      <c r="E5" s="59">
        <f>'SER_se-appl'!E12</f>
        <v>13.434422069084494</v>
      </c>
      <c r="F5" s="59">
        <f>'SER_se-appl'!F12</f>
        <v>14.371352568217288</v>
      </c>
      <c r="G5" s="59">
        <f>'SER_se-appl'!G12</f>
        <v>15.596882068278191</v>
      </c>
      <c r="H5" s="59">
        <f>'SER_se-appl'!H12</f>
        <v>16.949473879951697</v>
      </c>
      <c r="I5" s="59">
        <f>'SER_se-appl'!I12</f>
        <v>18.253928516783077</v>
      </c>
      <c r="J5" s="59">
        <f>'SER_se-appl'!J12</f>
        <v>19.399342896703914</v>
      </c>
      <c r="K5" s="59">
        <f>'SER_se-appl'!K12</f>
        <v>20.086088329961182</v>
      </c>
      <c r="L5" s="59">
        <f>'SER_se-appl'!L12</f>
        <v>21.031003216031472</v>
      </c>
      <c r="M5" s="59">
        <f>'SER_se-appl'!M12</f>
        <v>22.134903316266332</v>
      </c>
      <c r="N5" s="59">
        <f>'SER_se-appl'!N12</f>
        <v>23.116385162395286</v>
      </c>
      <c r="O5" s="59">
        <f>'SER_se-appl'!O12</f>
        <v>24.119390848021503</v>
      </c>
      <c r="P5" s="59">
        <f>'SER_se-appl'!P12</f>
        <v>25.167423522918465</v>
      </c>
      <c r="Q5" s="59">
        <f>'SER_se-appl'!Q12</f>
        <v>26.323909495833171</v>
      </c>
      <c r="R5" s="59">
        <f>'SER_se-appl'!R12</f>
        <v>26.905856688885379</v>
      </c>
      <c r="S5" s="59">
        <f>'SER_se-appl'!S12</f>
        <v>27.486245125063572</v>
      </c>
      <c r="T5" s="59">
        <f>'SER_se-appl'!T12</f>
        <v>28.057196318902495</v>
      </c>
      <c r="U5" s="59">
        <f>'SER_se-appl'!U12</f>
        <v>28.579240924293554</v>
      </c>
      <c r="V5" s="59">
        <f>'SER_se-appl'!V12</f>
        <v>29.039706015642508</v>
      </c>
      <c r="W5" s="59">
        <f>'SER_se-appl'!W12</f>
        <v>29.483004925524629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220.00987724567207</v>
      </c>
      <c r="C6" s="202">
        <f>'SER_se-appl'!C68</f>
        <v>226.804546042666</v>
      </c>
      <c r="D6" s="202">
        <f>'SER_se-appl'!D68</f>
        <v>234.37607515629909</v>
      </c>
      <c r="E6" s="202">
        <f>'SER_se-appl'!E68</f>
        <v>241.51189270745104</v>
      </c>
      <c r="F6" s="202">
        <f>'SER_se-appl'!F68</f>
        <v>250.3047353767806</v>
      </c>
      <c r="G6" s="202">
        <f>'SER_se-appl'!G68</f>
        <v>264.8170818211218</v>
      </c>
      <c r="H6" s="202">
        <f>'SER_se-appl'!H68</f>
        <v>280.79609857419194</v>
      </c>
      <c r="I6" s="202">
        <f>'SER_se-appl'!I68</f>
        <v>293.91198766273203</v>
      </c>
      <c r="J6" s="202">
        <f>'SER_se-appl'!J68</f>
        <v>307.00629098028429</v>
      </c>
      <c r="K6" s="202">
        <f>'SER_se-appl'!K68</f>
        <v>318.56833970966858</v>
      </c>
      <c r="L6" s="202">
        <f>'SER_se-appl'!L68</f>
        <v>333.69828957527488</v>
      </c>
      <c r="M6" s="202">
        <f>'SER_se-appl'!M68</f>
        <v>347.65182938100259</v>
      </c>
      <c r="N6" s="202">
        <f>'SER_se-appl'!N68</f>
        <v>364.55155890473696</v>
      </c>
      <c r="O6" s="202">
        <f>'SER_se-appl'!O68</f>
        <v>381.88282443613315</v>
      </c>
      <c r="P6" s="202">
        <f>'SER_se-appl'!P68</f>
        <v>399.79523699675059</v>
      </c>
      <c r="Q6" s="202">
        <f>'SER_se-appl'!Q68</f>
        <v>418.6160848808936</v>
      </c>
      <c r="R6" s="202">
        <f>'SER_se-appl'!R68</f>
        <v>429.07300001178896</v>
      </c>
      <c r="S6" s="202">
        <f>'SER_se-appl'!S68</f>
        <v>439.5278005032302</v>
      </c>
      <c r="T6" s="202">
        <f>'SER_se-appl'!T68</f>
        <v>449.99167010479368</v>
      </c>
      <c r="U6" s="202">
        <f>'SER_se-appl'!U68</f>
        <v>460.47139191537951</v>
      </c>
      <c r="V6" s="202">
        <f>'SER_se-appl'!V68</f>
        <v>470.97959171278546</v>
      </c>
      <c r="W6" s="202">
        <f>'SER_se-appl'!W68</f>
        <v>481.55537823033808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12.942042929570391</v>
      </c>
      <c r="C8" s="34">
        <f>'SER_se-appl'!C20</f>
        <v>13.815578369795453</v>
      </c>
      <c r="D8" s="34">
        <f>'SER_se-appl'!D20</f>
        <v>14.909538542230795</v>
      </c>
      <c r="E8" s="34">
        <f>'SER_se-appl'!E20</f>
        <v>16.104857822304037</v>
      </c>
      <c r="F8" s="34">
        <f>'SER_se-appl'!F20</f>
        <v>17.493166446091394</v>
      </c>
      <c r="G8" s="34">
        <f>'SER_se-appl'!G20</f>
        <v>19.328238043864367</v>
      </c>
      <c r="H8" s="34">
        <f>'SER_se-appl'!H20</f>
        <v>21.403519796686862</v>
      </c>
      <c r="I8" s="34">
        <f>'SER_se-appl'!I20</f>
        <v>23.474528165709042</v>
      </c>
      <c r="J8" s="34">
        <f>'SER_se-appl'!J20</f>
        <v>25.372576739925215</v>
      </c>
      <c r="K8" s="34">
        <f>'SER_se-appl'!K20</f>
        <v>26.628266441535292</v>
      </c>
      <c r="L8" s="34">
        <f>'SER_se-appl'!L20</f>
        <v>28.336666135987791</v>
      </c>
      <c r="M8" s="34">
        <f>'SER_se-appl'!M20</f>
        <v>30.375781666486617</v>
      </c>
      <c r="N8" s="34">
        <f>'SER_se-appl'!N20</f>
        <v>32.307247607638537</v>
      </c>
      <c r="O8" s="34">
        <f>'SER_se-appl'!O20</f>
        <v>34.364022345539908</v>
      </c>
      <c r="P8" s="34">
        <f>'SER_se-appl'!P20</f>
        <v>36.600565857205126</v>
      </c>
      <c r="Q8" s="34">
        <f>'SER_se-appl'!Q20</f>
        <v>39.151990638850258</v>
      </c>
      <c r="R8" s="34">
        <f>'SER_se-appl'!R20</f>
        <v>40.69538362652245</v>
      </c>
      <c r="S8" s="34">
        <f>'SER_se-appl'!S20</f>
        <v>42.270812902627547</v>
      </c>
      <c r="T8" s="34">
        <f>'SER_se-appl'!T20</f>
        <v>43.863792975480138</v>
      </c>
      <c r="U8" s="34">
        <f>'SER_se-appl'!U20</f>
        <v>45.460439911491115</v>
      </c>
      <c r="V8" s="34">
        <f>'SER_se-appl'!V20</f>
        <v>47.032501381000991</v>
      </c>
      <c r="W8" s="34">
        <f>'SER_se-appl'!W20</f>
        <v>48.587552200023623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1.4348749021500709</v>
      </c>
      <c r="D9" s="36">
        <f>'SER_se-appl'!D28</f>
        <v>1.6711774546437574</v>
      </c>
      <c r="E9" s="36">
        <f>'SER_se-appl'!E28</f>
        <v>1.7888634961479362</v>
      </c>
      <c r="F9" s="36">
        <f>'SER_se-appl'!F28</f>
        <v>1.9986415907557973</v>
      </c>
      <c r="G9" s="36">
        <f>'SER_se-appl'!G28</f>
        <v>2.4626681954317107</v>
      </c>
      <c r="H9" s="36">
        <f>'SER_se-appl'!H28</f>
        <v>2.7206302932253443</v>
      </c>
      <c r="I9" s="36">
        <f>'SER_se-appl'!I28</f>
        <v>2.7346109764195994</v>
      </c>
      <c r="J9" s="36">
        <f>'SER_se-appl'!J28</f>
        <v>2.5804215757414575</v>
      </c>
      <c r="K9" s="36">
        <f>'SER_se-appl'!K28</f>
        <v>1.9573640290163397</v>
      </c>
      <c r="L9" s="36">
        <f>'SER_se-appl'!L28</f>
        <v>2.4299212972130206</v>
      </c>
      <c r="M9" s="36">
        <f>'SER_se-appl'!M28</f>
        <v>2.7810458005921923</v>
      </c>
      <c r="N9" s="36">
        <f>'SER_se-appl'!N28</f>
        <v>2.6943821498624736</v>
      </c>
      <c r="O9" s="36">
        <f>'SER_se-appl'!O28</f>
        <v>2.8412704849747925</v>
      </c>
      <c r="P9" s="36">
        <f>'SER_se-appl'!P28</f>
        <v>3.0432291871687767</v>
      </c>
      <c r="Q9" s="36">
        <f>'SER_se-appl'!Q28</f>
        <v>3.3809280408919022</v>
      </c>
      <c r="R9" s="36">
        <f>'SER_se-appl'!R28</f>
        <v>2.3963592395787998</v>
      </c>
      <c r="S9" s="36">
        <f>'SER_se-appl'!S28</f>
        <v>2.4525221853629233</v>
      </c>
      <c r="T9" s="36">
        <f>'SER_se-appl'!T28</f>
        <v>2.4948820763032415</v>
      </c>
      <c r="U9" s="36">
        <f>'SER_se-appl'!U28</f>
        <v>3.0315218381610478</v>
      </c>
      <c r="V9" s="36">
        <f>'SER_se-appl'!V28</f>
        <v>3.243238924153637</v>
      </c>
      <c r="W9" s="36">
        <f>'SER_se-appl'!W28</f>
        <v>3.343914315170565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0.56133946192500872</v>
      </c>
      <c r="D10" s="38">
        <f>'SER_se-appl'!D36</f>
        <v>0.57721728220841584</v>
      </c>
      <c r="E10" s="38">
        <f>'SER_se-appl'!E36</f>
        <v>0.59354421607469376</v>
      </c>
      <c r="F10" s="38">
        <f>'SER_se-appl'!F36</f>
        <v>0.61033296696844275</v>
      </c>
      <c r="G10" s="38">
        <f>'SER_se-appl'!G36</f>
        <v>0.62759659765873721</v>
      </c>
      <c r="H10" s="38">
        <f>'SER_se-appl'!H36</f>
        <v>0.64534854040284984</v>
      </c>
      <c r="I10" s="38">
        <f>'SER_se-appl'!I36</f>
        <v>0.66360260739741861</v>
      </c>
      <c r="J10" s="38">
        <f>'SER_se-appl'!J36</f>
        <v>0.68237300152528491</v>
      </c>
      <c r="K10" s="38">
        <f>'SER_se-appl'!K36</f>
        <v>0.70167432740626268</v>
      </c>
      <c r="L10" s="38">
        <f>'SER_se-appl'!L36</f>
        <v>0.72152160276052157</v>
      </c>
      <c r="M10" s="38">
        <f>'SER_se-appl'!M36</f>
        <v>0.74193027009336632</v>
      </c>
      <c r="N10" s="38">
        <f>'SER_se-appl'!N36</f>
        <v>0.76291620871055699</v>
      </c>
      <c r="O10" s="38">
        <f>'SER_se-appl'!O36</f>
        <v>0.78449574707342151</v>
      </c>
      <c r="P10" s="38">
        <f>'SER_se-appl'!P36</f>
        <v>0.80668567550355874</v>
      </c>
      <c r="Q10" s="38">
        <f>'SER_se-appl'!Q36</f>
        <v>0.8295032592467706</v>
      </c>
      <c r="R10" s="38">
        <f>'SER_se-appl'!R36</f>
        <v>0.85296625190660791</v>
      </c>
      <c r="S10" s="38">
        <f>'SER_se-appl'!S36</f>
        <v>0.87709290925782568</v>
      </c>
      <c r="T10" s="38">
        <f>'SER_se-appl'!T36</f>
        <v>0.90190200345065108</v>
      </c>
      <c r="U10" s="38">
        <f>'SER_se-appl'!U36</f>
        <v>1.4348749021500709</v>
      </c>
      <c r="V10" s="38">
        <f>'SER_se-appl'!V36</f>
        <v>1.671177454643761</v>
      </c>
      <c r="W10" s="38">
        <f>'SER_se-appl'!W36</f>
        <v>1.7888634961479326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8759.9999999999964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8759.9999999999964</v>
      </c>
      <c r="I12" s="205">
        <f>'SER_se-appl'!I44</f>
        <v>8759.9999999999982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8760.0000000000036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</v>
      </c>
      <c r="R12" s="205">
        <f>'SER_se-appl'!R44</f>
        <v>8759.9999999999982</v>
      </c>
      <c r="S12" s="205">
        <f>'SER_se-appl'!S44</f>
        <v>8760.0000000000018</v>
      </c>
      <c r="T12" s="205">
        <f>'SER_se-appl'!T44</f>
        <v>8760.0000000000018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0.86687934698871527</v>
      </c>
      <c r="C14" s="59">
        <f>'SER_se-appl'!C52</f>
        <v>0.85711783822582943</v>
      </c>
      <c r="D14" s="59">
        <f>'SER_se-appl'!D52</f>
        <v>0.84591608563890441</v>
      </c>
      <c r="E14" s="59">
        <f>'SER_se-appl'!E52</f>
        <v>0.83418445647367423</v>
      </c>
      <c r="F14" s="59">
        <f>'SER_se-appl'!F52</f>
        <v>0.82154094929042243</v>
      </c>
      <c r="G14" s="59">
        <f>'SER_se-appl'!G52</f>
        <v>0.80694795008639331</v>
      </c>
      <c r="H14" s="59">
        <f>'SER_se-appl'!H52</f>
        <v>0.7919012405882595</v>
      </c>
      <c r="I14" s="59">
        <f>'SER_se-appl'!I52</f>
        <v>0.77760576859848984</v>
      </c>
      <c r="J14" s="59">
        <f>'SER_se-appl'!J52</f>
        <v>0.76457913973624636</v>
      </c>
      <c r="K14" s="59">
        <f>'SER_se-appl'!K52</f>
        <v>0.75431453166739038</v>
      </c>
      <c r="L14" s="59">
        <f>'SER_se-appl'!L52</f>
        <v>0.74218339994915394</v>
      </c>
      <c r="M14" s="59">
        <f>'SER_se-appl'!M52</f>
        <v>0.72870234449596449</v>
      </c>
      <c r="N14" s="59">
        <f>'SER_se-appl'!N52</f>
        <v>0.71551700854051659</v>
      </c>
      <c r="O14" s="59">
        <f>'SER_se-appl'!O52</f>
        <v>0.70187915155840153</v>
      </c>
      <c r="P14" s="59">
        <f>'SER_se-appl'!P52</f>
        <v>0.68762389142035762</v>
      </c>
      <c r="Q14" s="59">
        <f>'SER_se-appl'!Q52</f>
        <v>0.67235175188543628</v>
      </c>
      <c r="R14" s="59">
        <f>'SER_se-appl'!R52</f>
        <v>0.6611525507613103</v>
      </c>
      <c r="S14" s="59">
        <f>'SER_se-appl'!S52</f>
        <v>0.65024169722922531</v>
      </c>
      <c r="T14" s="59">
        <f>'SER_se-appl'!T52</f>
        <v>0.63964364264135731</v>
      </c>
      <c r="U14" s="59">
        <f>'SER_se-appl'!U52</f>
        <v>0.62866177669938317</v>
      </c>
      <c r="V14" s="59">
        <f>'SER_se-appl'!V52</f>
        <v>0.61743911471766288</v>
      </c>
      <c r="W14" s="59">
        <f>'SER_se-appl'!W52</f>
        <v>0.60680161050612247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0.77289143966730789</v>
      </c>
      <c r="D15" s="63">
        <f>'SER_se-appl'!D60</f>
        <v>0.76055212048681997</v>
      </c>
      <c r="E15" s="63">
        <f>'SER_se-appl'!E60</f>
        <v>0.74725366808393834</v>
      </c>
      <c r="F15" s="63">
        <f>'SER_se-appl'!F60</f>
        <v>0.7335059721386582</v>
      </c>
      <c r="G15" s="63">
        <f>'SER_se-appl'!G60</f>
        <v>0.71856209947172145</v>
      </c>
      <c r="H15" s="63">
        <f>'SER_se-appl'!H60</f>
        <v>0.70278976813542304</v>
      </c>
      <c r="I15" s="63">
        <f>'SER_se-appl'!I60</f>
        <v>0.68738041644708137</v>
      </c>
      <c r="J15" s="63">
        <f>'SER_se-appl'!J60</f>
        <v>0.67312622798339206</v>
      </c>
      <c r="K15" s="63">
        <f>'SER_se-appl'!K60</f>
        <v>0.66161040910144431</v>
      </c>
      <c r="L15" s="63">
        <f>'SER_se-appl'!L60</f>
        <v>0.64627075111886334</v>
      </c>
      <c r="M15" s="63">
        <f>'SER_se-appl'!M60</f>
        <v>0.62820401156735428</v>
      </c>
      <c r="N15" s="63">
        <f>'SER_se-appl'!N60</f>
        <v>0.60972722485818198</v>
      </c>
      <c r="O15" s="63">
        <f>'SER_se-appl'!O60</f>
        <v>0.59236487883327227</v>
      </c>
      <c r="P15" s="63">
        <f>'SER_se-appl'!P60</f>
        <v>0.57417030365966115</v>
      </c>
      <c r="Q15" s="63">
        <f>'SER_se-appl'!Q60</f>
        <v>0.55474863526547646</v>
      </c>
      <c r="R15" s="63">
        <f>'SER_se-appl'!R60</f>
        <v>0.55140564848727303</v>
      </c>
      <c r="S15" s="63">
        <f>'SER_se-appl'!S60</f>
        <v>0.54667075902746798</v>
      </c>
      <c r="T15" s="63">
        <f>'SER_se-appl'!T60</f>
        <v>0.54222659519143013</v>
      </c>
      <c r="U15" s="63">
        <f>'SER_se-appl'!U60</f>
        <v>0.5380291554309633</v>
      </c>
      <c r="V15" s="63">
        <f>'SER_se-appl'!V60</f>
        <v>0.53387452749565134</v>
      </c>
      <c r="W15" s="63">
        <f>'SER_se-appl'!W60</f>
        <v>0.53232037406117783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30.318189590312773</v>
      </c>
      <c r="C3" s="199">
        <f>'SER_se-appl'!C5</f>
        <v>31.057176740840429</v>
      </c>
      <c r="D3" s="199">
        <f>'SER_se-appl'!D5</f>
        <v>31.996272755461256</v>
      </c>
      <c r="E3" s="199">
        <f>'SER_se-appl'!E5</f>
        <v>32.836778116054575</v>
      </c>
      <c r="F3" s="199">
        <f>'SER_se-appl'!F5</f>
        <v>33.805515595188552</v>
      </c>
      <c r="G3" s="199">
        <f>'SER_se-appl'!G5</f>
        <v>34.632977950731387</v>
      </c>
      <c r="H3" s="199">
        <f>'SER_se-appl'!H5</f>
        <v>35.326015724853832</v>
      </c>
      <c r="I3" s="199">
        <f>'SER_se-appl'!I5</f>
        <v>35.755522050717239</v>
      </c>
      <c r="J3" s="199">
        <f>'SER_se-appl'!J5</f>
        <v>36.318027388859043</v>
      </c>
      <c r="K3" s="199">
        <f>'SER_se-appl'!K5</f>
        <v>36.79583988379818</v>
      </c>
      <c r="L3" s="199">
        <f>'SER_se-appl'!L5</f>
        <v>37.108247191281912</v>
      </c>
      <c r="M3" s="199">
        <f>'SER_se-appl'!M5</f>
        <v>37.638915483958101</v>
      </c>
      <c r="N3" s="199">
        <f>'SER_se-appl'!N5</f>
        <v>38.225387740551213</v>
      </c>
      <c r="O3" s="199">
        <f>'SER_se-appl'!O5</f>
        <v>38.835911256185902</v>
      </c>
      <c r="P3" s="199">
        <f>'SER_se-appl'!P5</f>
        <v>39.073036983885551</v>
      </c>
      <c r="Q3" s="199">
        <f>'SER_se-appl'!Q5</f>
        <v>39.571848612272902</v>
      </c>
      <c r="R3" s="199">
        <f>'SER_se-appl'!R5</f>
        <v>39.839269662959559</v>
      </c>
      <c r="S3" s="199">
        <f>'SER_se-appl'!S5</f>
        <v>39.551808221321878</v>
      </c>
      <c r="T3" s="199">
        <f>'SER_se-appl'!T5</f>
        <v>38.68397825094857</v>
      </c>
      <c r="U3" s="199">
        <f>'SER_se-appl'!U5</f>
        <v>37.069761333575329</v>
      </c>
      <c r="V3" s="199">
        <f>'SER_se-appl'!V5</f>
        <v>35.622139381286047</v>
      </c>
      <c r="W3" s="199">
        <f>'SER_se-appl'!W5</f>
        <v>34.560333565512252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124.29896115051334</v>
      </c>
      <c r="C5" s="59">
        <f>'SER_se-appl'!C13</f>
        <v>126.2050469994859</v>
      </c>
      <c r="D5" s="59">
        <f>'SER_se-appl'!D13</f>
        <v>128.50460220144907</v>
      </c>
      <c r="E5" s="59">
        <f>'SER_se-appl'!E13</f>
        <v>130.82626396984912</v>
      </c>
      <c r="F5" s="59">
        <f>'SER_se-appl'!F13</f>
        <v>133.48820326631889</v>
      </c>
      <c r="G5" s="59">
        <f>'SER_se-appl'!G13</f>
        <v>135.48862193979397</v>
      </c>
      <c r="H5" s="59">
        <f>'SER_se-appl'!H13</f>
        <v>136.97123863720356</v>
      </c>
      <c r="I5" s="59">
        <f>'SER_se-appl'!I13</f>
        <v>138.05409427899087</v>
      </c>
      <c r="J5" s="59">
        <f>'SER_se-appl'!J13</f>
        <v>139.36382715860216</v>
      </c>
      <c r="K5" s="59">
        <f>'SER_se-appl'!K13</f>
        <v>140.7711537358544</v>
      </c>
      <c r="L5" s="59">
        <f>'SER_se-appl'!L13</f>
        <v>140.86703353649938</v>
      </c>
      <c r="M5" s="59">
        <f>'SER_se-appl'!M13</f>
        <v>141.23643672236452</v>
      </c>
      <c r="N5" s="59">
        <f>'SER_se-appl'!N13</f>
        <v>141.46178247351659</v>
      </c>
      <c r="O5" s="59">
        <f>'SER_se-appl'!O13</f>
        <v>141.70242646688763</v>
      </c>
      <c r="P5" s="59">
        <f>'SER_se-appl'!P13</f>
        <v>140.79744476296526</v>
      </c>
      <c r="Q5" s="59">
        <f>'SER_se-appl'!Q13</f>
        <v>140.56171176383162</v>
      </c>
      <c r="R5" s="59">
        <f>'SER_se-appl'!R13</f>
        <v>138.72213064535802</v>
      </c>
      <c r="S5" s="59">
        <f>'SER_se-appl'!S13</f>
        <v>136.44831276178525</v>
      </c>
      <c r="T5" s="59">
        <f>'SER_se-appl'!T13</f>
        <v>133.06976394023843</v>
      </c>
      <c r="U5" s="59">
        <f>'SER_se-appl'!U13</f>
        <v>129.09261205532158</v>
      </c>
      <c r="V5" s="59">
        <f>'SER_se-appl'!V13</f>
        <v>124.5047022750778</v>
      </c>
      <c r="W5" s="59">
        <f>'SER_se-appl'!W13</f>
        <v>120.39911916656817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6.9037800340724167E-2</v>
      </c>
      <c r="C6" s="202">
        <f>'SER_se-appl'!C69</f>
        <v>7.1175201155346896E-2</v>
      </c>
      <c r="D6" s="202">
        <f>'SER_se-appl'!D69</f>
        <v>7.5959701188650239E-2</v>
      </c>
      <c r="E6" s="202">
        <f>'SER_se-appl'!E69</f>
        <v>7.908552578272425E-2</v>
      </c>
      <c r="F6" s="202">
        <f>'SER_se-appl'!F69</f>
        <v>8.2771517143482853E-2</v>
      </c>
      <c r="G6" s="202">
        <f>'SER_se-appl'!G69</f>
        <v>8.6337061226691381E-2</v>
      </c>
      <c r="H6" s="202">
        <f>'SER_se-appl'!H69</f>
        <v>9.0026538510210516E-2</v>
      </c>
      <c r="I6" s="202">
        <f>'SER_se-appl'!I69</f>
        <v>9.3689398173147406E-2</v>
      </c>
      <c r="J6" s="202">
        <f>'SER_se-appl'!J69</f>
        <v>9.66558347315392E-2</v>
      </c>
      <c r="K6" s="202">
        <f>'SER_se-appl'!K69</f>
        <v>9.9898118518024839E-2</v>
      </c>
      <c r="L6" s="202">
        <f>'SER_se-appl'!L69</f>
        <v>0.10223675921579592</v>
      </c>
      <c r="M6" s="202">
        <f>'SER_se-appl'!M69</f>
        <v>0.10508248861000863</v>
      </c>
      <c r="N6" s="202">
        <f>'SER_se-appl'!N69</f>
        <v>0.10794217332365817</v>
      </c>
      <c r="O6" s="202">
        <f>'SER_se-appl'!O69</f>
        <v>0.11126985398487571</v>
      </c>
      <c r="P6" s="202">
        <f>'SER_se-appl'!P69</f>
        <v>0.11451595768831256</v>
      </c>
      <c r="Q6" s="202">
        <f>'SER_se-appl'!Q69</f>
        <v>0.11908084613368222</v>
      </c>
      <c r="R6" s="202">
        <f>'SER_se-appl'!R69</f>
        <v>0.12332686891075617</v>
      </c>
      <c r="S6" s="202">
        <f>'SER_se-appl'!S69</f>
        <v>0.12769744357089932</v>
      </c>
      <c r="T6" s="202">
        <f>'SER_se-appl'!T69</f>
        <v>0.13193830103809776</v>
      </c>
      <c r="U6" s="202">
        <f>'SER_se-appl'!U69</f>
        <v>0.1360638161018799</v>
      </c>
      <c r="V6" s="202">
        <f>'SER_se-appl'!V69</f>
        <v>0.1400052354029572</v>
      </c>
      <c r="W6" s="202">
        <f>'SER_se-appl'!W69</f>
        <v>0.14348258389382446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565.48006190362946</v>
      </c>
      <c r="C8" s="34">
        <f>'SER_se-appl'!C21</f>
        <v>580.04002420906261</v>
      </c>
      <c r="D8" s="34">
        <f>'SER_se-appl'!D21</f>
        <v>597.71283610876878</v>
      </c>
      <c r="E8" s="34">
        <f>'SER_se-appl'!E21</f>
        <v>617.30254601020874</v>
      </c>
      <c r="F8" s="34">
        <f>'SER_se-appl'!F21</f>
        <v>641.07756768929482</v>
      </c>
      <c r="G8" s="34">
        <f>'SER_se-appl'!G21</f>
        <v>663.80879784688625</v>
      </c>
      <c r="H8" s="34">
        <f>'SER_se-appl'!H21</f>
        <v>686.84586214018339</v>
      </c>
      <c r="I8" s="34">
        <f>'SER_se-appl'!I21</f>
        <v>709.47917593204261</v>
      </c>
      <c r="J8" s="34">
        <f>'SER_se-appl'!J21</f>
        <v>726.65875882338116</v>
      </c>
      <c r="K8" s="34">
        <f>'SER_se-appl'!K21</f>
        <v>745.95113885019509</v>
      </c>
      <c r="L8" s="34">
        <f>'SER_se-appl'!L21</f>
        <v>758.77730349798082</v>
      </c>
      <c r="M8" s="34">
        <f>'SER_se-appl'!M21</f>
        <v>774.39814911974452</v>
      </c>
      <c r="N8" s="34">
        <f>'SER_se-appl'!N21</f>
        <v>790.91648298926793</v>
      </c>
      <c r="O8" s="34">
        <f>'SER_se-appl'!O21</f>
        <v>810.55103738523439</v>
      </c>
      <c r="P8" s="34">
        <f>'SER_se-appl'!P21</f>
        <v>829.74564075517947</v>
      </c>
      <c r="Q8" s="34">
        <f>'SER_se-appl'!Q21</f>
        <v>857.64383186231385</v>
      </c>
      <c r="R8" s="34">
        <f>'SER_se-appl'!R21</f>
        <v>882.25378158386491</v>
      </c>
      <c r="S8" s="34">
        <f>'SER_se-appl'!S21</f>
        <v>906.88923890098351</v>
      </c>
      <c r="T8" s="34">
        <f>'SER_se-appl'!T21</f>
        <v>930.16950822082435</v>
      </c>
      <c r="U8" s="34">
        <f>'SER_se-appl'!U21</f>
        <v>952.45201920198724</v>
      </c>
      <c r="V8" s="34">
        <f>'SER_se-appl'!V21</f>
        <v>973.24387380941971</v>
      </c>
      <c r="W8" s="34">
        <f>'SER_se-appl'!W21</f>
        <v>992.40417866566384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85.496286097380505</v>
      </c>
      <c r="D9" s="36">
        <f>'SER_se-appl'!D29</f>
        <v>91.662581344077751</v>
      </c>
      <c r="E9" s="36">
        <f>'SER_se-appl'!E29</f>
        <v>96.76436020454355</v>
      </c>
      <c r="F9" s="36">
        <f>'SER_se-appl'!F29</f>
        <v>104.27164566011129</v>
      </c>
      <c r="G9" s="36">
        <f>'SER_se-appl'!G29</f>
        <v>106.69282177988578</v>
      </c>
      <c r="H9" s="36">
        <f>'SER_se-appl'!H29</f>
        <v>110.61277267841729</v>
      </c>
      <c r="I9" s="36">
        <f>'SER_se-appl'!I29</f>
        <v>113.97870816762656</v>
      </c>
      <c r="J9" s="36">
        <f>'SER_se-appl'!J29</f>
        <v>102.67586898871912</v>
      </c>
      <c r="K9" s="36">
        <f>'SER_se-appl'!K29</f>
        <v>110.95496137089162</v>
      </c>
      <c r="L9" s="36">
        <f>'SER_se-appl'!L29</f>
        <v>109.59052485232928</v>
      </c>
      <c r="M9" s="36">
        <f>'SER_se-appl'!M29</f>
        <v>119.89249128187498</v>
      </c>
      <c r="N9" s="36">
        <f>'SER_se-appl'!N29</f>
        <v>123.21115564940919</v>
      </c>
      <c r="O9" s="36">
        <f>'SER_se-appl'!O29</f>
        <v>130.24732707438375</v>
      </c>
      <c r="P9" s="36">
        <f>'SER_se-appl'!P29</f>
        <v>133.17331153757164</v>
      </c>
      <c r="Q9" s="36">
        <f>'SER_se-appl'!Q29</f>
        <v>130.5740600958535</v>
      </c>
      <c r="R9" s="36">
        <f>'SER_se-appl'!R29</f>
        <v>135.56491109244269</v>
      </c>
      <c r="S9" s="36">
        <f>'SER_se-appl'!S29</f>
        <v>134.22598216944789</v>
      </c>
      <c r="T9" s="36">
        <f>'SER_se-appl'!T29</f>
        <v>143.17276060171582</v>
      </c>
      <c r="U9" s="36">
        <f>'SER_se-appl'!U29</f>
        <v>145.49366663057208</v>
      </c>
      <c r="V9" s="36">
        <f>'SER_se-appl'!V29</f>
        <v>151.03918168181622</v>
      </c>
      <c r="W9" s="36">
        <f>'SER_se-appl'!W29</f>
        <v>152.33361639381576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70.936323791947302</v>
      </c>
      <c r="D10" s="38">
        <f>'SER_se-appl'!D37</f>
        <v>73.989769444371518</v>
      </c>
      <c r="E10" s="38">
        <f>'SER_se-appl'!E37</f>
        <v>77.17465030310359</v>
      </c>
      <c r="F10" s="38">
        <f>'SER_se-appl'!F37</f>
        <v>80.496623981025209</v>
      </c>
      <c r="G10" s="38">
        <f>'SER_se-appl'!G37</f>
        <v>83.96159162229435</v>
      </c>
      <c r="H10" s="38">
        <f>'SER_se-appl'!H37</f>
        <v>87.575708385120151</v>
      </c>
      <c r="I10" s="38">
        <f>'SER_se-appl'!I37</f>
        <v>91.345394375767341</v>
      </c>
      <c r="J10" s="38">
        <f>'SER_se-appl'!J37</f>
        <v>85.496286097380562</v>
      </c>
      <c r="K10" s="38">
        <f>'SER_se-appl'!K37</f>
        <v>91.662581344077694</v>
      </c>
      <c r="L10" s="38">
        <f>'SER_se-appl'!L37</f>
        <v>96.76436020454355</v>
      </c>
      <c r="M10" s="38">
        <f>'SER_se-appl'!M37</f>
        <v>104.27164566011129</v>
      </c>
      <c r="N10" s="38">
        <f>'SER_se-appl'!N37</f>
        <v>106.69282177988578</v>
      </c>
      <c r="O10" s="38">
        <f>'SER_se-appl'!O37</f>
        <v>110.61277267841729</v>
      </c>
      <c r="P10" s="38">
        <f>'SER_se-appl'!P37</f>
        <v>113.97870816762656</v>
      </c>
      <c r="Q10" s="38">
        <f>'SER_se-appl'!Q37</f>
        <v>102.67586898871912</v>
      </c>
      <c r="R10" s="38">
        <f>'SER_se-appl'!R37</f>
        <v>110.95496137089162</v>
      </c>
      <c r="S10" s="38">
        <f>'SER_se-appl'!S37</f>
        <v>109.59052485232928</v>
      </c>
      <c r="T10" s="38">
        <f>'SER_se-appl'!T37</f>
        <v>119.89249128187498</v>
      </c>
      <c r="U10" s="38">
        <f>'SER_se-appl'!U37</f>
        <v>123.21115564940919</v>
      </c>
      <c r="V10" s="38">
        <f>'SER_se-appl'!V37</f>
        <v>130.24732707438375</v>
      </c>
      <c r="W10" s="38">
        <f>'SER_se-appl'!W37</f>
        <v>133.17331153757152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2836.7135306012278</v>
      </c>
      <c r="C12" s="205">
        <f>'SER_se-appl'!C45</f>
        <v>2861.9692641724978</v>
      </c>
      <c r="D12" s="205">
        <f>'SER_se-appl'!D45</f>
        <v>2895.7457224969194</v>
      </c>
      <c r="E12" s="205">
        <f>'SER_se-appl'!E45</f>
        <v>2919.0754050557262</v>
      </c>
      <c r="F12" s="205">
        <f>'SER_se-appl'!F45</f>
        <v>2945.2651002250968</v>
      </c>
      <c r="G12" s="205">
        <f>'SER_se-appl'!G45</f>
        <v>2972.8070726557903</v>
      </c>
      <c r="H12" s="205">
        <f>'SER_se-appl'!H45</f>
        <v>2999.4732249465037</v>
      </c>
      <c r="I12" s="205">
        <f>'SER_se-appl'!I45</f>
        <v>3012.1288587753506</v>
      </c>
      <c r="J12" s="205">
        <f>'SER_se-appl'!J45</f>
        <v>3030.7624807960042</v>
      </c>
      <c r="K12" s="205">
        <f>'SER_se-appl'!K45</f>
        <v>3039.9382720948579</v>
      </c>
      <c r="L12" s="205">
        <f>'SER_se-appl'!L45</f>
        <v>3063.6615537359694</v>
      </c>
      <c r="M12" s="205">
        <f>'SER_se-appl'!M45</f>
        <v>3099.3460132311407</v>
      </c>
      <c r="N12" s="205">
        <f>'SER_se-appl'!N45</f>
        <v>3142.6244717780082</v>
      </c>
      <c r="O12" s="205">
        <f>'SER_se-appl'!O45</f>
        <v>3187.395298520059</v>
      </c>
      <c r="P12" s="205">
        <f>'SER_se-appl'!P45</f>
        <v>3227.4692263599763</v>
      </c>
      <c r="Q12" s="205">
        <f>'SER_se-appl'!Q45</f>
        <v>3274.1533493415709</v>
      </c>
      <c r="R12" s="205">
        <f>'SER_se-appl'!R45</f>
        <v>3339.9912762637764</v>
      </c>
      <c r="S12" s="205">
        <f>'SER_se-appl'!S45</f>
        <v>3371.1485345885567</v>
      </c>
      <c r="T12" s="205">
        <f>'SER_se-appl'!T45</f>
        <v>3380.8932528097021</v>
      </c>
      <c r="U12" s="205">
        <f>'SER_se-appl'!U45</f>
        <v>3339.6281742655233</v>
      </c>
      <c r="V12" s="205">
        <f>'SER_se-appl'!V45</f>
        <v>3327.4685488508212</v>
      </c>
      <c r="W12" s="205">
        <f>'SER_se-appl'!W45</f>
        <v>3338.3689361617458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219.81139482101966</v>
      </c>
      <c r="C14" s="59">
        <f>'SER_se-appl'!C53</f>
        <v>217.57989402813706</v>
      </c>
      <c r="D14" s="59">
        <f>'SER_se-appl'!D53</f>
        <v>214.99388073717805</v>
      </c>
      <c r="E14" s="59">
        <f>'SER_se-appl'!E53</f>
        <v>211.93216327295943</v>
      </c>
      <c r="F14" s="59">
        <f>'SER_se-appl'!F53</f>
        <v>208.22472972726976</v>
      </c>
      <c r="G14" s="59">
        <f>'SER_se-appl'!G53</f>
        <v>204.10790332888251</v>
      </c>
      <c r="H14" s="59">
        <f>'SER_se-appl'!H53</f>
        <v>199.42063596395096</v>
      </c>
      <c r="I14" s="59">
        <f>'SER_se-appl'!I53</f>
        <v>194.58512520487898</v>
      </c>
      <c r="J14" s="59">
        <f>'SER_se-appl'!J53</f>
        <v>191.78717034149915</v>
      </c>
      <c r="K14" s="59">
        <f>'SER_se-appl'!K53</f>
        <v>188.71363874159138</v>
      </c>
      <c r="L14" s="59">
        <f>'SER_se-appl'!L53</f>
        <v>185.65003577083698</v>
      </c>
      <c r="M14" s="59">
        <f>'SER_se-appl'!M53</f>
        <v>182.38219820502854</v>
      </c>
      <c r="N14" s="59">
        <f>'SER_se-appl'!N53</f>
        <v>178.85805330401251</v>
      </c>
      <c r="O14" s="59">
        <f>'SER_se-appl'!O53</f>
        <v>174.82233681916821</v>
      </c>
      <c r="P14" s="59">
        <f>'SER_se-appl'!P53</f>
        <v>169.68747752000331</v>
      </c>
      <c r="Q14" s="59">
        <f>'SER_se-appl'!Q53</f>
        <v>163.89287317395105</v>
      </c>
      <c r="R14" s="59">
        <f>'SER_se-appl'!R53</f>
        <v>157.23608505969486</v>
      </c>
      <c r="S14" s="59">
        <f>'SER_se-appl'!S53</f>
        <v>150.4575276768534</v>
      </c>
      <c r="T14" s="59">
        <f>'SER_se-appl'!T53</f>
        <v>143.05969263039674</v>
      </c>
      <c r="U14" s="59">
        <f>'SER_se-appl'!U53</f>
        <v>135.53712885556371</v>
      </c>
      <c r="V14" s="59">
        <f>'SER_se-appl'!V53</f>
        <v>127.92754788966518</v>
      </c>
      <c r="W14" s="59">
        <f>'SER_se-appl'!W53</f>
        <v>121.32064914161354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204.67202639919259</v>
      </c>
      <c r="D15" s="63">
        <f>'SER_se-appl'!D61</f>
        <v>202.51829431176654</v>
      </c>
      <c r="E15" s="63">
        <f>'SER_se-appl'!E61</f>
        <v>199.30405425699382</v>
      </c>
      <c r="F15" s="63">
        <f>'SER_se-appl'!F61</f>
        <v>195.22099572951495</v>
      </c>
      <c r="G15" s="63">
        <f>'SER_se-appl'!G61</f>
        <v>191.72923630763799</v>
      </c>
      <c r="H15" s="63">
        <f>'SER_se-appl'!H61</f>
        <v>187.43545440505054</v>
      </c>
      <c r="I15" s="63">
        <f>'SER_se-appl'!I61</f>
        <v>185.66287098884146</v>
      </c>
      <c r="J15" s="63">
        <f>'SER_se-appl'!J61</f>
        <v>183.18258408734522</v>
      </c>
      <c r="K15" s="63">
        <f>'SER_se-appl'!K61</f>
        <v>179.98903299611811</v>
      </c>
      <c r="L15" s="63">
        <f>'SER_se-appl'!L61</f>
        <v>176.85296354872514</v>
      </c>
      <c r="M15" s="63">
        <f>'SER_se-appl'!M61</f>
        <v>172.8666862819658</v>
      </c>
      <c r="N15" s="63">
        <f>'SER_se-appl'!N61</f>
        <v>167.85394862592284</v>
      </c>
      <c r="O15" s="63">
        <f>'SER_se-appl'!O61</f>
        <v>161.02748343829705</v>
      </c>
      <c r="P15" s="63">
        <f>'SER_se-appl'!P61</f>
        <v>152.10729726701697</v>
      </c>
      <c r="Q15" s="63">
        <f>'SER_se-appl'!Q61</f>
        <v>142.23880295978805</v>
      </c>
      <c r="R15" s="63">
        <f>'SER_se-appl'!R61</f>
        <v>133.7447495718942</v>
      </c>
      <c r="S15" s="63">
        <f>'SER_se-appl'!S61</f>
        <v>127.45364896510947</v>
      </c>
      <c r="T15" s="63">
        <f>'SER_se-appl'!T61</f>
        <v>121.16039939117104</v>
      </c>
      <c r="U15" s="63">
        <f>'SER_se-appl'!U61</f>
        <v>114.81136940492512</v>
      </c>
      <c r="V15" s="63">
        <f>'SER_se-appl'!V61</f>
        <v>108.48502581023759</v>
      </c>
      <c r="W15" s="63">
        <f>'SER_se-appl'!W61</f>
        <v>106.02419715300948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97.06711405712133</v>
      </c>
      <c r="C3" s="199">
        <f>'SER_se-appl'!C6</f>
        <v>100.43535679504707</v>
      </c>
      <c r="D3" s="199">
        <f>'SER_se-appl'!D6</f>
        <v>104.95503287865222</v>
      </c>
      <c r="E3" s="199">
        <f>'SER_se-appl'!E6</f>
        <v>109.26949806740262</v>
      </c>
      <c r="F3" s="199">
        <f>'SER_se-appl'!F6</f>
        <v>114.05760897622417</v>
      </c>
      <c r="G3" s="199">
        <f>'SER_se-appl'!G6</f>
        <v>118.21576285669548</v>
      </c>
      <c r="H3" s="199">
        <f>'SER_se-appl'!H6</f>
        <v>122.57561872255407</v>
      </c>
      <c r="I3" s="199">
        <f>'SER_se-appl'!I6</f>
        <v>127.39088964215888</v>
      </c>
      <c r="J3" s="199">
        <f>'SER_se-appl'!J6</f>
        <v>131.37950972962372</v>
      </c>
      <c r="K3" s="199">
        <f>'SER_se-appl'!K6</f>
        <v>132.66091011319256</v>
      </c>
      <c r="L3" s="199">
        <f>'SER_se-appl'!L6</f>
        <v>134.36153645573432</v>
      </c>
      <c r="M3" s="199">
        <f>'SER_se-appl'!M6</f>
        <v>137.6705389168003</v>
      </c>
      <c r="N3" s="199">
        <f>'SER_se-appl'!N6</f>
        <v>139.10063824806764</v>
      </c>
      <c r="O3" s="199">
        <f>'SER_se-appl'!O6</f>
        <v>140.3858034484453</v>
      </c>
      <c r="P3" s="199">
        <f>'SER_se-appl'!P6</f>
        <v>142.80530010928945</v>
      </c>
      <c r="Q3" s="199">
        <f>'SER_se-appl'!Q6</f>
        <v>147.50900031923206</v>
      </c>
      <c r="R3" s="199">
        <f>'SER_se-appl'!R6</f>
        <v>147.21895193989448</v>
      </c>
      <c r="S3" s="199">
        <f>'SER_se-appl'!S6</f>
        <v>144.29904884154428</v>
      </c>
      <c r="T3" s="199">
        <f>'SER_se-appl'!T6</f>
        <v>139.21941335688604</v>
      </c>
      <c r="U3" s="199">
        <f>'SER_se-appl'!U6</f>
        <v>129.26193567541679</v>
      </c>
      <c r="V3" s="199">
        <f>'SER_se-appl'!V6</f>
        <v>96.908096540222942</v>
      </c>
      <c r="W3" s="199">
        <f>'SER_se-appl'!W6</f>
        <v>109.44483703232558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523.09423039172043</v>
      </c>
      <c r="C5" s="59">
        <f>'SER_se-appl'!C14</f>
        <v>536.67342854372669</v>
      </c>
      <c r="D5" s="59">
        <f>'SER_se-appl'!D14</f>
        <v>554.26518203344881</v>
      </c>
      <c r="E5" s="59">
        <f>'SER_se-appl'!E14</f>
        <v>572.51485040811804</v>
      </c>
      <c r="F5" s="59">
        <f>'SER_se-appl'!F14</f>
        <v>592.56838536752889</v>
      </c>
      <c r="G5" s="59">
        <f>'SER_se-appl'!G14</f>
        <v>608.15180168137761</v>
      </c>
      <c r="H5" s="59">
        <f>'SER_se-appl'!H14</f>
        <v>624.24225863236677</v>
      </c>
      <c r="I5" s="59">
        <f>'SER_se-appl'!I14</f>
        <v>643.56988183640453</v>
      </c>
      <c r="J5" s="59">
        <f>'SER_se-appl'!J14</f>
        <v>659.33777749840738</v>
      </c>
      <c r="K5" s="59">
        <f>'SER_se-appl'!K14</f>
        <v>662.44622956027217</v>
      </c>
      <c r="L5" s="59">
        <f>'SER_se-appl'!L14</f>
        <v>667.54183335915695</v>
      </c>
      <c r="M5" s="59">
        <f>'SER_se-appl'!M14</f>
        <v>680.39182749943325</v>
      </c>
      <c r="N5" s="59">
        <f>'SER_se-appl'!N14</f>
        <v>683.65006131344353</v>
      </c>
      <c r="O5" s="59">
        <f>'SER_se-appl'!O14</f>
        <v>686.60579301222026</v>
      </c>
      <c r="P5" s="59">
        <f>'SER_se-appl'!P14</f>
        <v>694.4238524753888</v>
      </c>
      <c r="Q5" s="59">
        <f>'SER_se-appl'!Q14</f>
        <v>712.24330527088466</v>
      </c>
      <c r="R5" s="59">
        <f>'SER_se-appl'!R14</f>
        <v>697.44306736088549</v>
      </c>
      <c r="S5" s="59">
        <f>'SER_se-appl'!S14</f>
        <v>678.77948599522551</v>
      </c>
      <c r="T5" s="59">
        <f>'SER_se-appl'!T14</f>
        <v>655.77986078810352</v>
      </c>
      <c r="U5" s="59">
        <f>'SER_se-appl'!U14</f>
        <v>625.45912881828053</v>
      </c>
      <c r="V5" s="59">
        <f>'SER_se-appl'!V14</f>
        <v>587.0947103062789</v>
      </c>
      <c r="W5" s="59">
        <f>'SER_se-appl'!W14</f>
        <v>541.91658850760234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164.46670978296586</v>
      </c>
      <c r="C6" s="202">
        <f>'SER_se-appl'!C70</f>
        <v>164.95213628658715</v>
      </c>
      <c r="D6" s="202">
        <f>'SER_se-appl'!D70</f>
        <v>166.35147979593268</v>
      </c>
      <c r="E6" s="202">
        <f>'SER_se-appl'!E70</f>
        <v>167.99766717432399</v>
      </c>
      <c r="F6" s="202">
        <f>'SER_se-appl'!F70</f>
        <v>170.55480470634433</v>
      </c>
      <c r="G6" s="202">
        <f>'SER_se-appl'!G70</f>
        <v>172.74072326050432</v>
      </c>
      <c r="H6" s="202">
        <f>'SER_se-appl'!H70</f>
        <v>175.80580693557286</v>
      </c>
      <c r="I6" s="202">
        <f>'SER_se-appl'!I70</f>
        <v>178.49613243283227</v>
      </c>
      <c r="J6" s="202">
        <f>'SER_se-appl'!J70</f>
        <v>182.52281064525684</v>
      </c>
      <c r="K6" s="202">
        <f>'SER_se-appl'!K70</f>
        <v>186.95926340513716</v>
      </c>
      <c r="L6" s="202">
        <f>'SER_se-appl'!L70</f>
        <v>191.84678273158292</v>
      </c>
      <c r="M6" s="202">
        <f>'SER_se-appl'!M70</f>
        <v>197.30036410659793</v>
      </c>
      <c r="N6" s="202">
        <f>'SER_se-appl'!N70</f>
        <v>203.04236613887221</v>
      </c>
      <c r="O6" s="202">
        <f>'SER_se-appl'!O70</f>
        <v>209.92842804334916</v>
      </c>
      <c r="P6" s="202">
        <f>'SER_se-appl'!P70</f>
        <v>219.60025113122308</v>
      </c>
      <c r="Q6" s="202">
        <f>'SER_se-appl'!Q70</f>
        <v>233.0605907457763</v>
      </c>
      <c r="R6" s="202">
        <f>'SER_se-appl'!R70</f>
        <v>240.4636821160228</v>
      </c>
      <c r="S6" s="202">
        <f>'SER_se-appl'!S70</f>
        <v>247.97917484335414</v>
      </c>
      <c r="T6" s="202">
        <f>'SER_se-appl'!T70</f>
        <v>255.12703129788065</v>
      </c>
      <c r="U6" s="202">
        <f>'SER_se-appl'!U70</f>
        <v>261.61368364452551</v>
      </c>
      <c r="V6" s="202">
        <f>'SER_se-appl'!V70</f>
        <v>266.8920314966262</v>
      </c>
      <c r="W6" s="202">
        <f>'SER_se-appl'!W70</f>
        <v>269.97439291543611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9.6747257220616927</v>
      </c>
      <c r="C8" s="34">
        <f>'SER_se-appl'!C22</f>
        <v>10.047898976874217</v>
      </c>
      <c r="D8" s="34">
        <f>'SER_se-appl'!D22</f>
        <v>10.582239667255248</v>
      </c>
      <c r="E8" s="34">
        <f>'SER_se-appl'!E22</f>
        <v>11.202672108568052</v>
      </c>
      <c r="F8" s="34">
        <f>'SER_se-appl'!F22</f>
        <v>11.91964499759704</v>
      </c>
      <c r="G8" s="34">
        <f>'SER_se-appl'!G22</f>
        <v>12.607849146618101</v>
      </c>
      <c r="H8" s="34">
        <f>'SER_se-appl'!H22</f>
        <v>13.400695694223893</v>
      </c>
      <c r="I8" s="34">
        <f>'SER_se-appl'!I22</f>
        <v>14.256351098795134</v>
      </c>
      <c r="J8" s="34">
        <f>'SER_se-appl'!J22</f>
        <v>15.084622549904106</v>
      </c>
      <c r="K8" s="34">
        <f>'SER_se-appl'!K22</f>
        <v>15.627419486199731</v>
      </c>
      <c r="L8" s="34">
        <f>'SER_se-appl'!L22</f>
        <v>16.291058124533617</v>
      </c>
      <c r="M8" s="34">
        <f>'SER_se-appl'!M22</f>
        <v>17.238950801700646</v>
      </c>
      <c r="N8" s="34">
        <f>'SER_se-appl'!N22</f>
        <v>17.993997933783383</v>
      </c>
      <c r="O8" s="34">
        <f>'SER_se-appl'!O22</f>
        <v>18.890572528098073</v>
      </c>
      <c r="P8" s="34">
        <f>'SER_se-appl'!P22</f>
        <v>20.104025035827132</v>
      </c>
      <c r="Q8" s="34">
        <f>'SER_se-appl'!Q22</f>
        <v>21.797504674861614</v>
      </c>
      <c r="R8" s="34">
        <f>'SER_se-appl'!R22</f>
        <v>22.806752677723431</v>
      </c>
      <c r="S8" s="34">
        <f>'SER_se-appl'!S22</f>
        <v>23.848960842863338</v>
      </c>
      <c r="T8" s="34">
        <f>'SER_se-appl'!T22</f>
        <v>24.868992087549007</v>
      </c>
      <c r="U8" s="34">
        <f>'SER_se-appl'!U22</f>
        <v>25.828039166288484</v>
      </c>
      <c r="V8" s="34">
        <f>'SER_se-appl'!V22</f>
        <v>26.652109902031818</v>
      </c>
      <c r="W8" s="34">
        <f>'SER_se-appl'!W22</f>
        <v>27.239639512808253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1.8840374127047852</v>
      </c>
      <c r="D9" s="36">
        <f>'SER_se-appl'!D30</f>
        <v>2.0844546093198559</v>
      </c>
      <c r="E9" s="36">
        <f>'SER_se-appl'!E30</f>
        <v>2.2108157654099205</v>
      </c>
      <c r="F9" s="36">
        <f>'SER_se-appl'!F30</f>
        <v>2.3486717510698565</v>
      </c>
      <c r="G9" s="36">
        <f>'SER_se-appl'!G30</f>
        <v>2.3622918585969739</v>
      </c>
      <c r="H9" s="36">
        <f>'SER_se-appl'!H30</f>
        <v>2.5104242971224977</v>
      </c>
      <c r="I9" s="36">
        <f>'SER_se-appl'!I30</f>
        <v>2.7396928172760262</v>
      </c>
      <c r="J9" s="36">
        <f>'SER_se-appl'!J30</f>
        <v>2.9127260604288274</v>
      </c>
      <c r="K9" s="36">
        <f>'SER_se-appl'!K30</f>
        <v>2.7536127017055456</v>
      </c>
      <c r="L9" s="36">
        <f>'SER_se-appl'!L30</f>
        <v>3.0123103894037424</v>
      </c>
      <c r="M9" s="36">
        <f>'SER_se-appl'!M30</f>
        <v>3.3101845357640034</v>
      </c>
      <c r="N9" s="36">
        <f>'SER_se-appl'!N30</f>
        <v>3.2654714292052347</v>
      </c>
      <c r="O9" s="36">
        <f>'SER_se-appl'!O30</f>
        <v>3.6362674115907154</v>
      </c>
      <c r="P9" s="36">
        <f>'SER_se-appl'!P30</f>
        <v>4.1261785681578864</v>
      </c>
      <c r="Q9" s="36">
        <f>'SER_se-appl'!Q30</f>
        <v>4.4470923407400278</v>
      </c>
      <c r="R9" s="36">
        <f>'SER_se-appl'!R30</f>
        <v>4.0215583922655611</v>
      </c>
      <c r="S9" s="36">
        <f>'SER_se-appl'!S30</f>
        <v>4.3523927009039092</v>
      </c>
      <c r="T9" s="36">
        <f>'SER_se-appl'!T30</f>
        <v>4.2855026738909032</v>
      </c>
      <c r="U9" s="36">
        <f>'SER_se-appl'!U30</f>
        <v>4.5953144903301926</v>
      </c>
      <c r="V9" s="36">
        <f>'SER_se-appl'!V30</f>
        <v>4.9502493039012201</v>
      </c>
      <c r="W9" s="36">
        <f>'SER_se-appl'!W30</f>
        <v>5.0346219515164634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1.5108641578922608</v>
      </c>
      <c r="D10" s="38">
        <f>'SER_se-appl'!D38</f>
        <v>1.5501139189388251</v>
      </c>
      <c r="E10" s="38">
        <f>'SER_se-appl'!E38</f>
        <v>1.5903833240971164</v>
      </c>
      <c r="F10" s="38">
        <f>'SER_se-appl'!F38</f>
        <v>1.631698862040869</v>
      </c>
      <c r="G10" s="38">
        <f>'SER_se-appl'!G38</f>
        <v>1.6740877095759128</v>
      </c>
      <c r="H10" s="38">
        <f>'SER_se-appl'!H38</f>
        <v>1.7175777495167051</v>
      </c>
      <c r="I10" s="38">
        <f>'SER_se-appl'!I38</f>
        <v>1.884037412704787</v>
      </c>
      <c r="J10" s="38">
        <f>'SER_se-appl'!J38</f>
        <v>2.0844546093198542</v>
      </c>
      <c r="K10" s="38">
        <f>'SER_se-appl'!K38</f>
        <v>2.2108157654099223</v>
      </c>
      <c r="L10" s="38">
        <f>'SER_se-appl'!L38</f>
        <v>2.3486717510698547</v>
      </c>
      <c r="M10" s="38">
        <f>'SER_se-appl'!M38</f>
        <v>2.3622918585969757</v>
      </c>
      <c r="N10" s="38">
        <f>'SER_se-appl'!N38</f>
        <v>2.5104242971224977</v>
      </c>
      <c r="O10" s="38">
        <f>'SER_se-appl'!O38</f>
        <v>2.7396928172760262</v>
      </c>
      <c r="P10" s="38">
        <f>'SER_se-appl'!P38</f>
        <v>2.9127260604288274</v>
      </c>
      <c r="Q10" s="38">
        <f>'SER_se-appl'!Q38</f>
        <v>2.7536127017055456</v>
      </c>
      <c r="R10" s="38">
        <f>'SER_se-appl'!R38</f>
        <v>3.0123103894037442</v>
      </c>
      <c r="S10" s="38">
        <f>'SER_se-appl'!S38</f>
        <v>3.3101845357640016</v>
      </c>
      <c r="T10" s="38">
        <f>'SER_se-appl'!T38</f>
        <v>3.2654714292052347</v>
      </c>
      <c r="U10" s="38">
        <f>'SER_se-appl'!U38</f>
        <v>3.6362674115907154</v>
      </c>
      <c r="V10" s="38">
        <f>'SER_se-appl'!V38</f>
        <v>4.1261785681578864</v>
      </c>
      <c r="W10" s="38">
        <f>'SER_se-appl'!W38</f>
        <v>4.4470923407400278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2158.1016782367274</v>
      </c>
      <c r="C12" s="205">
        <f>'SER_se-appl'!C46</f>
        <v>2176.4878553722301</v>
      </c>
      <c r="D12" s="205">
        <f>'SER_se-appl'!D46</f>
        <v>2202.2437489228087</v>
      </c>
      <c r="E12" s="205">
        <f>'SER_se-appl'!E46</f>
        <v>2219.6878589577159</v>
      </c>
      <c r="F12" s="205">
        <f>'SER_se-appl'!F46</f>
        <v>2238.5433059692473</v>
      </c>
      <c r="G12" s="205">
        <f>'SER_se-appl'!G46</f>
        <v>2260.7008944514782</v>
      </c>
      <c r="H12" s="205">
        <f>'SER_se-appl'!H46</f>
        <v>2283.6557859227719</v>
      </c>
      <c r="I12" s="205">
        <f>'SER_se-appl'!I46</f>
        <v>2302.0903997414212</v>
      </c>
      <c r="J12" s="205">
        <f>'SER_se-appl'!J46</f>
        <v>2317.3914043765139</v>
      </c>
      <c r="K12" s="205">
        <f>'SER_se-appl'!K46</f>
        <v>2329.0137610724446</v>
      </c>
      <c r="L12" s="205">
        <f>'SER_se-appl'!L46</f>
        <v>2340.8640341188216</v>
      </c>
      <c r="M12" s="205">
        <f>'SER_se-appl'!M46</f>
        <v>2353.2151664530702</v>
      </c>
      <c r="N12" s="205">
        <f>'SER_se-appl'!N46</f>
        <v>2366.328205569072</v>
      </c>
      <c r="O12" s="205">
        <f>'SER_se-appl'!O46</f>
        <v>2377.910164350099</v>
      </c>
      <c r="P12" s="205">
        <f>'SER_se-appl'!P46</f>
        <v>2391.6598405293084</v>
      </c>
      <c r="Q12" s="205">
        <f>'SER_se-appl'!Q46</f>
        <v>2408.6287101852199</v>
      </c>
      <c r="R12" s="205">
        <f>'SER_se-appl'!R46</f>
        <v>2454.904910790422</v>
      </c>
      <c r="S12" s="205">
        <f>'SER_se-appl'!S46</f>
        <v>2472.3757459561239</v>
      </c>
      <c r="T12" s="205">
        <f>'SER_se-appl'!T46</f>
        <v>2469.0019839809588</v>
      </c>
      <c r="U12" s="205">
        <f>'SER_se-appl'!U46</f>
        <v>2403.5404435544938</v>
      </c>
      <c r="V12" s="205">
        <f>'SER_se-appl'!V46</f>
        <v>1919.6922455234378</v>
      </c>
      <c r="W12" s="205">
        <f>'SER_se-appl'!W46</f>
        <v>2348.7811255072702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54.068119905341213</v>
      </c>
      <c r="C14" s="59">
        <f>'SER_se-appl'!C54</f>
        <v>53.411507199555807</v>
      </c>
      <c r="D14" s="59">
        <f>'SER_se-appl'!D54</f>
        <v>52.376925817369106</v>
      </c>
      <c r="E14" s="59">
        <f>'SER_se-appl'!E54</f>
        <v>51.105204620801672</v>
      </c>
      <c r="F14" s="59">
        <f>'SER_se-appl'!F54</f>
        <v>49.713593440659409</v>
      </c>
      <c r="G14" s="59">
        <f>'SER_se-appl'!G54</f>
        <v>48.235967500016194</v>
      </c>
      <c r="H14" s="59">
        <f>'SER_se-appl'!H54</f>
        <v>46.582824718677415</v>
      </c>
      <c r="I14" s="59">
        <f>'SER_se-appl'!I54</f>
        <v>45.142679033121972</v>
      </c>
      <c r="J14" s="59">
        <f>'SER_se-appl'!J54</f>
        <v>43.709265864434826</v>
      </c>
      <c r="K14" s="59">
        <f>'SER_se-appl'!K54</f>
        <v>42.389994723394068</v>
      </c>
      <c r="L14" s="59">
        <f>'SER_se-appl'!L54</f>
        <v>40.975965358190471</v>
      </c>
      <c r="M14" s="59">
        <f>'SER_se-appl'!M54</f>
        <v>39.468285241136115</v>
      </c>
      <c r="N14" s="59">
        <f>'SER_se-appl'!N54</f>
        <v>37.993227732337559</v>
      </c>
      <c r="O14" s="59">
        <f>'SER_se-appl'!O54</f>
        <v>36.346478752348787</v>
      </c>
      <c r="P14" s="59">
        <f>'SER_se-appl'!P54</f>
        <v>34.541533411238035</v>
      </c>
      <c r="Q14" s="59">
        <f>'SER_se-appl'!Q54</f>
        <v>32.675451428726738</v>
      </c>
      <c r="R14" s="59">
        <f>'SER_se-appl'!R54</f>
        <v>30.580551173430109</v>
      </c>
      <c r="S14" s="59">
        <f>'SER_se-appl'!S54</f>
        <v>28.461595893740849</v>
      </c>
      <c r="T14" s="59">
        <f>'SER_se-appl'!T54</f>
        <v>26.369378319776317</v>
      </c>
      <c r="U14" s="59">
        <f>'SER_se-appl'!U54</f>
        <v>24.216283891757769</v>
      </c>
      <c r="V14" s="59">
        <f>'SER_se-appl'!V54</f>
        <v>22.028076293559103</v>
      </c>
      <c r="W14" s="59">
        <f>'SER_se-appl'!W54</f>
        <v>19.894411166960918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50.566290222887069</v>
      </c>
      <c r="D15" s="63">
        <f>'SER_se-appl'!D62</f>
        <v>48.647496698876225</v>
      </c>
      <c r="E15" s="63">
        <f>'SER_se-appl'!E62</f>
        <v>47.149430661889504</v>
      </c>
      <c r="F15" s="63">
        <f>'SER_se-appl'!F62</f>
        <v>46.101131259540168</v>
      </c>
      <c r="G15" s="63">
        <f>'SER_se-appl'!G62</f>
        <v>44.913244289074285</v>
      </c>
      <c r="H15" s="63">
        <f>'SER_se-appl'!H62</f>
        <v>43.401689819323735</v>
      </c>
      <c r="I15" s="63">
        <f>'SER_se-appl'!I62</f>
        <v>41.828195147653119</v>
      </c>
      <c r="J15" s="63">
        <f>'SER_se-appl'!J62</f>
        <v>40.227399335520467</v>
      </c>
      <c r="K15" s="63">
        <f>'SER_se-appl'!K62</f>
        <v>38.984115897193099</v>
      </c>
      <c r="L15" s="63">
        <f>'SER_se-appl'!L62</f>
        <v>37.636237248104756</v>
      </c>
      <c r="M15" s="63">
        <f>'SER_se-appl'!M62</f>
        <v>35.93400433794244</v>
      </c>
      <c r="N15" s="63">
        <f>'SER_se-appl'!N62</f>
        <v>34.364070519498007</v>
      </c>
      <c r="O15" s="63">
        <f>'SER_se-appl'!O62</f>
        <v>32.327693263075453</v>
      </c>
      <c r="P15" s="63">
        <f>'SER_se-appl'!P62</f>
        <v>30.29181887947647</v>
      </c>
      <c r="Q15" s="63">
        <f>'SER_se-appl'!Q62</f>
        <v>28.145718573934413</v>
      </c>
      <c r="R15" s="63">
        <f>'SER_se-appl'!R62</f>
        <v>24.510844044962379</v>
      </c>
      <c r="S15" s="63">
        <f>'SER_se-appl'!S62</f>
        <v>23.04125822126446</v>
      </c>
      <c r="T15" s="63">
        <f>'SER_se-appl'!T62</f>
        <v>20.817923136305545</v>
      </c>
      <c r="U15" s="63">
        <f>'SER_se-appl'!U62</f>
        <v>18.982684584081884</v>
      </c>
      <c r="V15" s="63">
        <f>'SER_se-appl'!V62</f>
        <v>17.499125805794609</v>
      </c>
      <c r="W15" s="63">
        <f>'SER_se-appl'!W62</f>
        <v>15.887685007212582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47.061811649014281</v>
      </c>
      <c r="C3" s="199">
        <f>'SER_se-appl'!C7</f>
        <v>48.58742685808533</v>
      </c>
      <c r="D3" s="199">
        <f>'SER_se-appl'!D7</f>
        <v>48.795521830957703</v>
      </c>
      <c r="E3" s="199">
        <f>'SER_se-appl'!E7</f>
        <v>50.124046163589561</v>
      </c>
      <c r="F3" s="199">
        <f>'SER_se-appl'!F7</f>
        <v>52.189070097846908</v>
      </c>
      <c r="G3" s="199">
        <f>'SER_se-appl'!G7</f>
        <v>55.34771333175177</v>
      </c>
      <c r="H3" s="199">
        <f>'SER_se-appl'!H7</f>
        <v>59.547016573793684</v>
      </c>
      <c r="I3" s="199">
        <f>'SER_se-appl'!I7</f>
        <v>63.316914261549123</v>
      </c>
      <c r="J3" s="199">
        <f>'SER_se-appl'!J7</f>
        <v>65.760988704789739</v>
      </c>
      <c r="K3" s="199">
        <f>'SER_se-appl'!K7</f>
        <v>67.38041878147736</v>
      </c>
      <c r="L3" s="199">
        <f>'SER_se-appl'!L7</f>
        <v>67.866386528246579</v>
      </c>
      <c r="M3" s="199">
        <f>'SER_se-appl'!M7</f>
        <v>67.476866210890549</v>
      </c>
      <c r="N3" s="199">
        <f>'SER_se-appl'!N7</f>
        <v>67.283177367054165</v>
      </c>
      <c r="O3" s="199">
        <f>'SER_se-appl'!O7</f>
        <v>67.245924978856635</v>
      </c>
      <c r="P3" s="199">
        <f>'SER_se-appl'!P7</f>
        <v>67.438413023944577</v>
      </c>
      <c r="Q3" s="199">
        <f>'SER_se-appl'!Q7</f>
        <v>68.033242692822611</v>
      </c>
      <c r="R3" s="199">
        <f>'SER_se-appl'!R7</f>
        <v>67.513423509091879</v>
      </c>
      <c r="S3" s="199">
        <f>'SER_se-appl'!S7</f>
        <v>67.074143958963845</v>
      </c>
      <c r="T3" s="199">
        <f>'SER_se-appl'!T7</f>
        <v>66.816386676378173</v>
      </c>
      <c r="U3" s="199">
        <f>'SER_se-appl'!U7</f>
        <v>66.685276822603868</v>
      </c>
      <c r="V3" s="199">
        <f>'SER_se-appl'!V7</f>
        <v>66.719827478223465</v>
      </c>
      <c r="W3" s="199">
        <f>'SER_se-appl'!W7</f>
        <v>66.780835155108619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62.480464552287238</v>
      </c>
      <c r="C5" s="59">
        <f>'SER_se-appl'!C15</f>
        <v>64.505910315015086</v>
      </c>
      <c r="D5" s="59">
        <f>'SER_se-appl'!D15</f>
        <v>64.782182522150464</v>
      </c>
      <c r="E5" s="59">
        <f>'SER_se-appl'!E15</f>
        <v>66.545965397550972</v>
      </c>
      <c r="F5" s="59">
        <f>'SER_se-appl'!F15</f>
        <v>69.287543976936036</v>
      </c>
      <c r="G5" s="59">
        <f>'SER_se-appl'!G15</f>
        <v>73.481039503227507</v>
      </c>
      <c r="H5" s="59">
        <f>'SER_se-appl'!H15</f>
        <v>79.056141866806001</v>
      </c>
      <c r="I5" s="59">
        <f>'SER_se-appl'!I15</f>
        <v>84.061154436280404</v>
      </c>
      <c r="J5" s="59">
        <f>'SER_se-appl'!J15</f>
        <v>87.305970164007419</v>
      </c>
      <c r="K5" s="59">
        <f>'SER_se-appl'!K15</f>
        <v>89.455966943902013</v>
      </c>
      <c r="L5" s="59">
        <f>'SER_se-appl'!L15</f>
        <v>90.101150151085349</v>
      </c>
      <c r="M5" s="59">
        <f>'SER_se-appl'!M15</f>
        <v>89.584013017426614</v>
      </c>
      <c r="N5" s="59">
        <f>'SER_se-appl'!N15</f>
        <v>89.326866755575395</v>
      </c>
      <c r="O5" s="59">
        <f>'SER_se-appl'!O15</f>
        <v>89.27740953243179</v>
      </c>
      <c r="P5" s="59">
        <f>'SER_se-appl'!P15</f>
        <v>89.532961583159306</v>
      </c>
      <c r="Q5" s="59">
        <f>'SER_se-appl'!Q15</f>
        <v>90.322672661818132</v>
      </c>
      <c r="R5" s="59">
        <f>'SER_se-appl'!R15</f>
        <v>89.632547421317213</v>
      </c>
      <c r="S5" s="59">
        <f>'SER_se-appl'!S15</f>
        <v>89.049348657848128</v>
      </c>
      <c r="T5" s="59">
        <f>'SER_se-appl'!T15</f>
        <v>88.707143498433538</v>
      </c>
      <c r="U5" s="59">
        <f>'SER_se-appl'!U15</f>
        <v>88.533078703982056</v>
      </c>
      <c r="V5" s="59">
        <f>'SER_se-appl'!V15</f>
        <v>88.578949037869762</v>
      </c>
      <c r="W5" s="59">
        <f>'SER_se-appl'!W15</f>
        <v>88.659944389716117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1.0510414500821554E-2</v>
      </c>
      <c r="C6" s="202">
        <f>'SER_se-appl'!C71</f>
        <v>1.1017798646518568E-2</v>
      </c>
      <c r="D6" s="202">
        <f>'SER_se-appl'!D71</f>
        <v>1.1572397404715901E-2</v>
      </c>
      <c r="E6" s="202">
        <f>'SER_se-appl'!E71</f>
        <v>1.2138496511651829E-2</v>
      </c>
      <c r="F6" s="202">
        <f>'SER_se-appl'!F71</f>
        <v>1.2928000496928507E-2</v>
      </c>
      <c r="G6" s="202">
        <f>'SER_se-appl'!G71</f>
        <v>1.4053307661349049E-2</v>
      </c>
      <c r="H6" s="202">
        <f>'SER_se-appl'!H71</f>
        <v>1.5537880887933654E-2</v>
      </c>
      <c r="I6" s="202">
        <f>'SER_se-appl'!I71</f>
        <v>1.6977144908024287E-2</v>
      </c>
      <c r="J6" s="202">
        <f>'SER_se-appl'!J71</f>
        <v>1.8102196851673552E-2</v>
      </c>
      <c r="K6" s="202">
        <f>'SER_se-appl'!K71</f>
        <v>1.9036548351008254E-2</v>
      </c>
      <c r="L6" s="202">
        <f>'SER_se-appl'!L71</f>
        <v>1.9661307127594538E-2</v>
      </c>
      <c r="M6" s="202">
        <f>'SER_se-appl'!M71</f>
        <v>1.9997265857982331E-2</v>
      </c>
      <c r="N6" s="202">
        <f>'SER_se-appl'!N71</f>
        <v>2.0289459256879548E-2</v>
      </c>
      <c r="O6" s="202">
        <f>'SER_se-appl'!O71</f>
        <v>2.0724975943691756E-2</v>
      </c>
      <c r="P6" s="202">
        <f>'SER_se-appl'!P71</f>
        <v>2.1327019737550624E-2</v>
      </c>
      <c r="Q6" s="202">
        <f>'SER_se-appl'!Q71</f>
        <v>2.2177396912222331E-2</v>
      </c>
      <c r="R6" s="202">
        <f>'SER_se-appl'!R71</f>
        <v>2.2720936643731152E-2</v>
      </c>
      <c r="S6" s="202">
        <f>'SER_se-appl'!S71</f>
        <v>2.3284684278737033E-2</v>
      </c>
      <c r="T6" s="202">
        <f>'SER_se-appl'!T71</f>
        <v>2.3835275601701292E-2</v>
      </c>
      <c r="U6" s="202">
        <f>'SER_se-appl'!U71</f>
        <v>2.4383684592598463E-2</v>
      </c>
      <c r="V6" s="202">
        <f>'SER_se-appl'!V71</f>
        <v>2.4932546259519326E-2</v>
      </c>
      <c r="W6" s="202">
        <f>'SER_se-appl'!W71</f>
        <v>2.544023507653807E-2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86.08950188483125</v>
      </c>
      <c r="C8" s="34">
        <f>'SER_se-appl'!C23</f>
        <v>89.789197500246388</v>
      </c>
      <c r="D8" s="34">
        <f>'SER_se-appl'!D23</f>
        <v>91.061054284189552</v>
      </c>
      <c r="E8" s="34">
        <f>'SER_se-appl'!E23</f>
        <v>94.747107352677432</v>
      </c>
      <c r="F8" s="34">
        <f>'SER_se-appl'!F23</f>
        <v>100.12926426478433</v>
      </c>
      <c r="G8" s="34">
        <f>'SER_se-appl'!G23</f>
        <v>108.04988184574144</v>
      </c>
      <c r="H8" s="34">
        <f>'SER_se-appl'!H23</f>
        <v>118.54425784785528</v>
      </c>
      <c r="I8" s="34">
        <f>'SER_se-appl'!I23</f>
        <v>128.562366862083</v>
      </c>
      <c r="J8" s="34">
        <f>'SER_se-appl'!J23</f>
        <v>136.09235213527546</v>
      </c>
      <c r="K8" s="34">
        <f>'SER_se-appl'!K23</f>
        <v>142.1481718862324</v>
      </c>
      <c r="L8" s="34">
        <f>'SER_se-appl'!L23</f>
        <v>145.9216207551388</v>
      </c>
      <c r="M8" s="34">
        <f>'SER_se-appl'!M23</f>
        <v>147.36847092905657</v>
      </c>
      <c r="N8" s="34">
        <f>'SER_se-appl'!N23</f>
        <v>148.66541281402999</v>
      </c>
      <c r="O8" s="34">
        <f>'SER_se-appl'!O23</f>
        <v>150.97216496057169</v>
      </c>
      <c r="P8" s="34">
        <f>'SER_se-appl'!P23</f>
        <v>154.52869639091659</v>
      </c>
      <c r="Q8" s="34">
        <f>'SER_se-appl'!Q23</f>
        <v>159.72600368641383</v>
      </c>
      <c r="R8" s="34">
        <f>'SER_se-appl'!R23</f>
        <v>162.54067302693761</v>
      </c>
      <c r="S8" s="34">
        <f>'SER_se-appl'!S23</f>
        <v>165.36454460710712</v>
      </c>
      <c r="T8" s="34">
        <f>'SER_se-appl'!T23</f>
        <v>168.03950339136455</v>
      </c>
      <c r="U8" s="34">
        <f>'SER_se-appl'!U23</f>
        <v>170.68674311188835</v>
      </c>
      <c r="V8" s="34">
        <f>'SER_se-appl'!V23</f>
        <v>173.31814653721591</v>
      </c>
      <c r="W8" s="34">
        <f>'SER_se-appl'!W23</f>
        <v>175.95860703815924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11.523776629121826</v>
      </c>
      <c r="D9" s="36">
        <f>'SER_se-appl'!D31</f>
        <v>9.2607456890934685</v>
      </c>
      <c r="E9" s="36">
        <f>'SER_se-appl'!E31</f>
        <v>11.843221409028544</v>
      </c>
      <c r="F9" s="36">
        <f>'SER_se-appl'!F31</f>
        <v>13.711149357229289</v>
      </c>
      <c r="G9" s="36">
        <f>'SER_se-appl'!G31</f>
        <v>16.425053465420902</v>
      </c>
      <c r="H9" s="36">
        <f>'SER_se-appl'!H31</f>
        <v>19.177950899016338</v>
      </c>
      <c r="I9" s="36">
        <f>'SER_se-appl'!I31</f>
        <v>18.884596340902348</v>
      </c>
      <c r="J9" s="36">
        <f>'SER_se-appl'!J31</f>
        <v>16.583237930934189</v>
      </c>
      <c r="K9" s="36">
        <f>'SER_se-appl'!K31</f>
        <v>15.299771799287143</v>
      </c>
      <c r="L9" s="36">
        <f>'SER_se-appl'!L31</f>
        <v>13.212117235104756</v>
      </c>
      <c r="M9" s="36">
        <f>'SER_se-appl'!M31</f>
        <v>12.970626803039579</v>
      </c>
      <c r="N9" s="36">
        <f>'SER_se-appl'!N31</f>
        <v>10.557687574066904</v>
      </c>
      <c r="O9" s="36">
        <f>'SER_se-appl'!O31</f>
        <v>14.149973555570256</v>
      </c>
      <c r="P9" s="36">
        <f>'SER_se-appl'!P31</f>
        <v>17.267680787574193</v>
      </c>
      <c r="Q9" s="36">
        <f>'SER_se-appl'!Q31</f>
        <v>21.622360760918127</v>
      </c>
      <c r="R9" s="36">
        <f>'SER_se-appl'!R31</f>
        <v>21.992620239540116</v>
      </c>
      <c r="S9" s="36">
        <f>'SER_se-appl'!S31</f>
        <v>21.708467921071872</v>
      </c>
      <c r="T9" s="36">
        <f>'SER_se-appl'!T31</f>
        <v>19.258196715191616</v>
      </c>
      <c r="U9" s="36">
        <f>'SER_se-appl'!U31</f>
        <v>17.947011519810928</v>
      </c>
      <c r="V9" s="36">
        <f>'SER_se-appl'!V31</f>
        <v>15.843520660432318</v>
      </c>
      <c r="W9" s="36">
        <f>'SER_se-appl'!W31</f>
        <v>15.611087303982913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7.8240810137066887</v>
      </c>
      <c r="D10" s="38">
        <f>'SER_se-appl'!D39</f>
        <v>7.9888889051503043</v>
      </c>
      <c r="E10" s="38">
        <f>'SER_se-appl'!E39</f>
        <v>8.1571683405406645</v>
      </c>
      <c r="F10" s="38">
        <f>'SER_se-appl'!F39</f>
        <v>8.3289924451223953</v>
      </c>
      <c r="G10" s="38">
        <f>'SER_se-appl'!G39</f>
        <v>8.5044358844637884</v>
      </c>
      <c r="H10" s="38">
        <f>'SER_se-appl'!H39</f>
        <v>8.6835748969024991</v>
      </c>
      <c r="I10" s="38">
        <f>'SER_se-appl'!I39</f>
        <v>8.8664873266746156</v>
      </c>
      <c r="J10" s="38">
        <f>'SER_se-appl'!J39</f>
        <v>9.0532526577417229</v>
      </c>
      <c r="K10" s="38">
        <f>'SER_se-appl'!K39</f>
        <v>9.2439520483302147</v>
      </c>
      <c r="L10" s="38">
        <f>'SER_se-appl'!L39</f>
        <v>9.4386683661983568</v>
      </c>
      <c r="M10" s="38">
        <f>'SER_se-appl'!M39</f>
        <v>11.523776629121812</v>
      </c>
      <c r="N10" s="38">
        <f>'SER_se-appl'!N39</f>
        <v>9.2607456890934827</v>
      </c>
      <c r="O10" s="38">
        <f>'SER_se-appl'!O39</f>
        <v>11.843221409028558</v>
      </c>
      <c r="P10" s="38">
        <f>'SER_se-appl'!P39</f>
        <v>13.711149357229289</v>
      </c>
      <c r="Q10" s="38">
        <f>'SER_se-appl'!Q39</f>
        <v>16.425053465420888</v>
      </c>
      <c r="R10" s="38">
        <f>'SER_se-appl'!R39</f>
        <v>19.177950899016338</v>
      </c>
      <c r="S10" s="38">
        <f>'SER_se-appl'!S39</f>
        <v>18.884596340902362</v>
      </c>
      <c r="T10" s="38">
        <f>'SER_se-appl'!T39</f>
        <v>16.583237930934189</v>
      </c>
      <c r="U10" s="38">
        <f>'SER_se-appl'!U39</f>
        <v>15.299771799287129</v>
      </c>
      <c r="V10" s="38">
        <f>'SER_se-appl'!V39</f>
        <v>13.212117235104756</v>
      </c>
      <c r="W10" s="38">
        <f>'SER_se-appl'!W39</f>
        <v>12.970626803039579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8760.0000000000036</v>
      </c>
      <c r="D12" s="205">
        <f>'SER_se-appl'!D47</f>
        <v>8760</v>
      </c>
      <c r="E12" s="205">
        <f>'SER_se-appl'!E47</f>
        <v>8760.0000000000018</v>
      </c>
      <c r="F12" s="205">
        <f>'SER_se-appl'!F47</f>
        <v>8759.9999999999982</v>
      </c>
      <c r="G12" s="205">
        <f>'SER_se-appl'!G47</f>
        <v>8760.0000000000018</v>
      </c>
      <c r="H12" s="205">
        <f>'SER_se-appl'!H47</f>
        <v>8760</v>
      </c>
      <c r="I12" s="205">
        <f>'SER_se-appl'!I47</f>
        <v>8760</v>
      </c>
      <c r="J12" s="205">
        <f>'SER_se-appl'!J47</f>
        <v>8759.9999999999964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8759.9999999999945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8760.0000000000018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8760.0000000000036</v>
      </c>
      <c r="U12" s="205">
        <f>'SER_se-appl'!U47</f>
        <v>8760.0000000000018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725.7617152422639</v>
      </c>
      <c r="C14" s="59">
        <f>'SER_se-appl'!C55</f>
        <v>718.41504446944271</v>
      </c>
      <c r="D14" s="59">
        <f>'SER_se-appl'!D55</f>
        <v>711.41480879382107</v>
      </c>
      <c r="E14" s="59">
        <f>'SER_se-appl'!E55</f>
        <v>702.35353096160213</v>
      </c>
      <c r="F14" s="59">
        <f>'SER_se-appl'!F55</f>
        <v>691.98095567456016</v>
      </c>
      <c r="G14" s="59">
        <f>'SER_se-appl'!G55</f>
        <v>680.06589408522905</v>
      </c>
      <c r="H14" s="59">
        <f>'SER_se-appl'!H55</f>
        <v>666.89136447477711</v>
      </c>
      <c r="I14" s="59">
        <f>'SER_se-appl'!I55</f>
        <v>653.85506262853835</v>
      </c>
      <c r="J14" s="59">
        <f>'SER_se-appl'!J55</f>
        <v>641.52003249400457</v>
      </c>
      <c r="K14" s="59">
        <f>'SER_se-appl'!K55</f>
        <v>629.31493072944795</v>
      </c>
      <c r="L14" s="59">
        <f>'SER_se-appl'!L55</f>
        <v>617.46264662368299</v>
      </c>
      <c r="M14" s="59">
        <f>'SER_se-appl'!M55</f>
        <v>607.8913111648726</v>
      </c>
      <c r="N14" s="59">
        <f>'SER_se-appl'!N55</f>
        <v>600.85843145854676</v>
      </c>
      <c r="O14" s="59">
        <f>'SER_se-appl'!O55</f>
        <v>591.35013103738515</v>
      </c>
      <c r="P14" s="59">
        <f>'SER_se-appl'!P55</f>
        <v>579.39375452093816</v>
      </c>
      <c r="Q14" s="59">
        <f>'SER_se-appl'!Q55</f>
        <v>565.48508431442656</v>
      </c>
      <c r="R14" s="59">
        <f>'SER_se-appl'!R55</f>
        <v>551.44688250714057</v>
      </c>
      <c r="S14" s="59">
        <f>'SER_se-appl'!S55</f>
        <v>538.50327389962717</v>
      </c>
      <c r="T14" s="59">
        <f>'SER_se-appl'!T55</f>
        <v>527.89458257225567</v>
      </c>
      <c r="U14" s="59">
        <f>'SER_se-appl'!U55</f>
        <v>518.68749200954039</v>
      </c>
      <c r="V14" s="59">
        <f>'SER_se-appl'!V55</f>
        <v>511.07717690051322</v>
      </c>
      <c r="W14" s="59">
        <f>'SER_se-appl'!W55</f>
        <v>503.86818742256173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668.5190512944813</v>
      </c>
      <c r="D15" s="63">
        <f>'SER_se-appl'!D63</f>
        <v>655.91930992889343</v>
      </c>
      <c r="E15" s="63">
        <f>'SER_se-appl'!E63</f>
        <v>648.80517693382103</v>
      </c>
      <c r="F15" s="63">
        <f>'SER_se-appl'!F63</f>
        <v>640.82464523400949</v>
      </c>
      <c r="G15" s="63">
        <f>'SER_se-appl'!G63</f>
        <v>631.09015278338552</v>
      </c>
      <c r="H15" s="63">
        <f>'SER_se-appl'!H63</f>
        <v>619.32104413711511</v>
      </c>
      <c r="I15" s="63">
        <f>'SER_se-appl'!I63</f>
        <v>605.78311621507089</v>
      </c>
      <c r="J15" s="63">
        <f>'SER_se-appl'!J63</f>
        <v>591.88199228703434</v>
      </c>
      <c r="K15" s="63">
        <f>'SER_se-appl'!K63</f>
        <v>579.02192204727612</v>
      </c>
      <c r="L15" s="63">
        <f>'SER_se-appl'!L63</f>
        <v>567.31311241493961</v>
      </c>
      <c r="M15" s="63">
        <f>'SER_se-appl'!M63</f>
        <v>554.07708470088301</v>
      </c>
      <c r="N15" s="63">
        <f>'SER_se-appl'!N63</f>
        <v>550.98766838438894</v>
      </c>
      <c r="O15" s="63">
        <f>'SER_se-appl'!O63</f>
        <v>539.54066476698188</v>
      </c>
      <c r="P15" s="63">
        <f>'SER_se-appl'!P63</f>
        <v>523.63687889291373</v>
      </c>
      <c r="Q15" s="63">
        <f>'SER_se-appl'!Q63</f>
        <v>515.91963999554025</v>
      </c>
      <c r="R15" s="63">
        <f>'SER_se-appl'!R63</f>
        <v>508.67896652782548</v>
      </c>
      <c r="S15" s="63">
        <f>'SER_se-appl'!S63</f>
        <v>500.1168620401844</v>
      </c>
      <c r="T15" s="63">
        <f>'SER_se-appl'!T63</f>
        <v>491.90040406243639</v>
      </c>
      <c r="U15" s="63">
        <f>'SER_se-appl'!U63</f>
        <v>483.91557948629361</v>
      </c>
      <c r="V15" s="63">
        <f>'SER_se-appl'!V63</f>
        <v>475.98496860358131</v>
      </c>
      <c r="W15" s="63">
        <f>'SER_se-appl'!W63</f>
        <v>465.54876646954745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16.532623237802223</v>
      </c>
      <c r="C3" s="199">
        <f>'SER_se-appl'!C8</f>
        <v>17.839528742220011</v>
      </c>
      <c r="D3" s="199">
        <f>'SER_se-appl'!D8</f>
        <v>19.592737786730783</v>
      </c>
      <c r="E3" s="199">
        <f>'SER_se-appl'!E8</f>
        <v>21.950121510851453</v>
      </c>
      <c r="F3" s="199">
        <f>'SER_se-appl'!F8</f>
        <v>24.570835671337825</v>
      </c>
      <c r="G3" s="199">
        <f>'SER_se-appl'!G8</f>
        <v>27.654239937704755</v>
      </c>
      <c r="H3" s="199">
        <f>'SER_se-appl'!H8</f>
        <v>31.064082350903814</v>
      </c>
      <c r="I3" s="199">
        <f>'SER_se-appl'!I8</f>
        <v>34.689294287231689</v>
      </c>
      <c r="J3" s="199">
        <f>'SER_se-appl'!J8</f>
        <v>37.683308357527864</v>
      </c>
      <c r="K3" s="199">
        <f>'SER_se-appl'!K8</f>
        <v>39.300345168200636</v>
      </c>
      <c r="L3" s="199">
        <f>'SER_se-appl'!L8</f>
        <v>41.087487237762126</v>
      </c>
      <c r="M3" s="199">
        <f>'SER_se-appl'!M8</f>
        <v>43.219103790275668</v>
      </c>
      <c r="N3" s="199">
        <f>'SER_se-appl'!N8</f>
        <v>44.47759579136013</v>
      </c>
      <c r="O3" s="199">
        <f>'SER_se-appl'!O8</f>
        <v>45.547872766875102</v>
      </c>
      <c r="P3" s="199">
        <f>'SER_se-appl'!P8</f>
        <v>46.872872305556839</v>
      </c>
      <c r="Q3" s="199">
        <f>'SER_se-appl'!Q8</f>
        <v>48.142250580597228</v>
      </c>
      <c r="R3" s="199">
        <f>'SER_se-appl'!R8</f>
        <v>50.033571855527725</v>
      </c>
      <c r="S3" s="199">
        <f>'SER_se-appl'!S8</f>
        <v>51.347869985093652</v>
      </c>
      <c r="T3" s="199">
        <f>'SER_se-appl'!T8</f>
        <v>52.22323268705977</v>
      </c>
      <c r="U3" s="199">
        <f>'SER_se-appl'!U8</f>
        <v>52.069540026871991</v>
      </c>
      <c r="V3" s="199">
        <f>'SER_se-appl'!V8</f>
        <v>42.049357048756058</v>
      </c>
      <c r="W3" s="199">
        <f>'SER_se-appl'!W8</f>
        <v>51.936456563528331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220.32500174564021</v>
      </c>
      <c r="C5" s="59">
        <f>'SER_se-appl'!C16</f>
        <v>236.61144995873195</v>
      </c>
      <c r="D5" s="59">
        <f>'SER_se-appl'!D16</f>
        <v>258.73672547371467</v>
      </c>
      <c r="E5" s="59">
        <f>'SER_se-appl'!E16</f>
        <v>288.70996537720839</v>
      </c>
      <c r="F5" s="59">
        <f>'SER_se-appl'!F16</f>
        <v>321.98492512802733</v>
      </c>
      <c r="G5" s="59">
        <f>'SER_se-appl'!G16</f>
        <v>361.14297986869832</v>
      </c>
      <c r="H5" s="59">
        <f>'SER_se-appl'!H16</f>
        <v>404.36591735867125</v>
      </c>
      <c r="I5" s="59">
        <f>'SER_se-appl'!I16</f>
        <v>450.18915861104909</v>
      </c>
      <c r="J5" s="59">
        <f>'SER_se-appl'!J16</f>
        <v>487.64908356319444</v>
      </c>
      <c r="K5" s="59">
        <f>'SER_se-appl'!K16</f>
        <v>507.20169729980199</v>
      </c>
      <c r="L5" s="59">
        <f>'SER_se-appl'!L16</f>
        <v>528.907951211252</v>
      </c>
      <c r="M5" s="59">
        <f>'SER_se-appl'!M16</f>
        <v>555.44359186680447</v>
      </c>
      <c r="N5" s="59">
        <f>'SER_se-appl'!N16</f>
        <v>570.73178691138185</v>
      </c>
      <c r="O5" s="59">
        <f>'SER_se-appl'!O16</f>
        <v>583.60009137109591</v>
      </c>
      <c r="P5" s="59">
        <f>'SER_se-appl'!P16</f>
        <v>599.72576373225081</v>
      </c>
      <c r="Q5" s="59">
        <f>'SER_se-appl'!Q16</f>
        <v>615.12951965069101</v>
      </c>
      <c r="R5" s="59">
        <f>'SER_se-appl'!R16</f>
        <v>629.29126354114828</v>
      </c>
      <c r="S5" s="59">
        <f>'SER_se-appl'!S16</f>
        <v>641.82117387727203</v>
      </c>
      <c r="T5" s="59">
        <f>'SER_se-appl'!T16</f>
        <v>652.19936962671045</v>
      </c>
      <c r="U5" s="59">
        <f>'SER_se-appl'!U16</f>
        <v>661.47072482674309</v>
      </c>
      <c r="V5" s="59">
        <f>'SER_se-appl'!V16</f>
        <v>668.81510071446064</v>
      </c>
      <c r="W5" s="59">
        <f>'SER_se-appl'!W16</f>
        <v>675.16215197630584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73.506155917712647</v>
      </c>
      <c r="C6" s="202">
        <f>'SER_se-appl'!C72</f>
        <v>76.708784830509984</v>
      </c>
      <c r="D6" s="202">
        <f>'SER_se-appl'!D72</f>
        <v>80.935836265452579</v>
      </c>
      <c r="E6" s="202">
        <f>'SER_se-appl'!E72</f>
        <v>86.949840179715736</v>
      </c>
      <c r="F6" s="202">
        <f>'SER_se-appl'!F72</f>
        <v>93.412956474999362</v>
      </c>
      <c r="G6" s="202">
        <f>'SER_se-appl'!G72</f>
        <v>101.36162960667846</v>
      </c>
      <c r="H6" s="202">
        <f>'SER_se-appl'!H72</f>
        <v>109.82835493105455</v>
      </c>
      <c r="I6" s="202">
        <f>'SER_se-appl'!I72</f>
        <v>117.93803773804805</v>
      </c>
      <c r="J6" s="202">
        <f>'SER_se-appl'!J72</f>
        <v>124.60658321290251</v>
      </c>
      <c r="K6" s="202">
        <f>'SER_se-appl'!K72</f>
        <v>129.06830683450619</v>
      </c>
      <c r="L6" s="202">
        <f>'SER_se-appl'!L72</f>
        <v>133.62584575728329</v>
      </c>
      <c r="M6" s="202">
        <f>'SER_se-appl'!M72</f>
        <v>137.91043264227142</v>
      </c>
      <c r="N6" s="202">
        <f>'SER_se-appl'!N72</f>
        <v>141.27280961546512</v>
      </c>
      <c r="O6" s="202">
        <f>'SER_se-appl'!O72</f>
        <v>144.14059883547563</v>
      </c>
      <c r="P6" s="202">
        <f>'SER_se-appl'!P72</f>
        <v>148.06463593549302</v>
      </c>
      <c r="Q6" s="202">
        <f>'SER_se-appl'!Q72</f>
        <v>151.63920597078678</v>
      </c>
      <c r="R6" s="202">
        <f>'SER_se-appl'!R72</f>
        <v>155.18850542360448</v>
      </c>
      <c r="S6" s="202">
        <f>'SER_se-appl'!S72</f>
        <v>158.72695589106814</v>
      </c>
      <c r="T6" s="202">
        <f>'SER_se-appl'!T72</f>
        <v>162.311934688869</v>
      </c>
      <c r="U6" s="202">
        <f>'SER_se-appl'!U72</f>
        <v>165.97824195313206</v>
      </c>
      <c r="V6" s="202">
        <f>'SER_se-appl'!V72</f>
        <v>169.79065320783258</v>
      </c>
      <c r="W6" s="202">
        <f>'SER_se-appl'!W72</f>
        <v>173.75935555055898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4.3239868926995904</v>
      </c>
      <c r="C8" s="34">
        <f>'SER_se-appl'!C24</f>
        <v>4.6726410337397919</v>
      </c>
      <c r="D8" s="34">
        <f>'SER_se-appl'!D24</f>
        <v>5.1486311879005555</v>
      </c>
      <c r="E8" s="34">
        <f>'SER_se-appl'!E24</f>
        <v>5.7981194965939604</v>
      </c>
      <c r="F8" s="34">
        <f>'SER_se-appl'!F24</f>
        <v>6.5283958506773034</v>
      </c>
      <c r="G8" s="34">
        <f>'SER_se-appl'!G24</f>
        <v>7.3980941564609841</v>
      </c>
      <c r="H8" s="34">
        <f>'SER_se-appl'!H24</f>
        <v>8.3716026716207086</v>
      </c>
      <c r="I8" s="34">
        <f>'SER_se-appl'!I24</f>
        <v>9.4196218762849551</v>
      </c>
      <c r="J8" s="34">
        <f>'SER_se-appl'!J24</f>
        <v>10.298128044132753</v>
      </c>
      <c r="K8" s="34">
        <f>'SER_se-appl'!K24</f>
        <v>10.788470902912993</v>
      </c>
      <c r="L8" s="34">
        <f>'SER_se-appl'!L24</f>
        <v>11.347109339944593</v>
      </c>
      <c r="M8" s="34">
        <f>'SER_se-appl'!M24</f>
        <v>12.049806264305134</v>
      </c>
      <c r="N8" s="34">
        <f>'SER_se-appl'!N24</f>
        <v>12.519863182552704</v>
      </c>
      <c r="O8" s="34">
        <f>'SER_se-appl'!O24</f>
        <v>12.970603657274928</v>
      </c>
      <c r="P8" s="34">
        <f>'SER_se-appl'!P24</f>
        <v>13.555062585010633</v>
      </c>
      <c r="Q8" s="34">
        <f>'SER_se-appl'!Q24</f>
        <v>14.182390469635546</v>
      </c>
      <c r="R8" s="34">
        <f>'SER_se-appl'!R24</f>
        <v>14.718837499601991</v>
      </c>
      <c r="S8" s="34">
        <f>'SER_se-appl'!S24</f>
        <v>15.265285716609972</v>
      </c>
      <c r="T8" s="34">
        <f>'SER_se-appl'!T24</f>
        <v>15.821664207660094</v>
      </c>
      <c r="U8" s="34">
        <f>'SER_se-appl'!U24</f>
        <v>16.386346746839624</v>
      </c>
      <c r="V8" s="34">
        <f>'SER_se-appl'!V24</f>
        <v>16.955467438487869</v>
      </c>
      <c r="W8" s="34">
        <f>'SER_se-appl'!W24</f>
        <v>17.531819059067807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0.47181190116472926</v>
      </c>
      <c r="D9" s="36">
        <f>'SER_se-appl'!D32</f>
        <v>0.61300703882484164</v>
      </c>
      <c r="E9" s="36">
        <f>'SER_se-appl'!E32</f>
        <v>0.80192390563887361</v>
      </c>
      <c r="F9" s="36">
        <f>'SER_se-appl'!F32</f>
        <v>0.89986575376273414</v>
      </c>
      <c r="G9" s="36">
        <f>'SER_se-appl'!G32</f>
        <v>1.0583718509393112</v>
      </c>
      <c r="H9" s="36">
        <f>'SER_se-appl'!H32</f>
        <v>1.1834137728520755</v>
      </c>
      <c r="I9" s="36">
        <f>'SER_se-appl'!I32</f>
        <v>1.2815454108451316</v>
      </c>
      <c r="J9" s="36">
        <f>'SER_se-appl'!J32</f>
        <v>1.1383114227174289</v>
      </c>
      <c r="K9" s="36">
        <f>'SER_se-appl'!K32</f>
        <v>0.77938438247797492</v>
      </c>
      <c r="L9" s="36">
        <f>'SER_se-appl'!L32</f>
        <v>0.8802062300442195</v>
      </c>
      <c r="M9" s="36">
        <f>'SER_se-appl'!M32</f>
        <v>1.0604512157859602</v>
      </c>
      <c r="N9" s="36">
        <f>'SER_se-appl'!N32</f>
        <v>0.86806982816694322</v>
      </c>
      <c r="O9" s="36">
        <f>'SER_se-appl'!O32</f>
        <v>0.89354236490028249</v>
      </c>
      <c r="P9" s="36">
        <f>'SER_se-appl'!P32</f>
        <v>1.0770899682338158</v>
      </c>
      <c r="Q9" s="36">
        <f>'SER_se-appl'!Q32</f>
        <v>1.1753954232812234</v>
      </c>
      <c r="R9" s="36">
        <f>'SER_se-appl'!R32</f>
        <v>1.0082589311311736</v>
      </c>
      <c r="S9" s="36">
        <f>'SER_se-appl'!S32</f>
        <v>1.1594552558328228</v>
      </c>
      <c r="T9" s="36">
        <f>'SER_se-appl'!T32</f>
        <v>1.3583023966889964</v>
      </c>
      <c r="U9" s="36">
        <f>'SER_se-appl'!U32</f>
        <v>1.4645482929422649</v>
      </c>
      <c r="V9" s="36">
        <f>'SER_se-appl'!V32</f>
        <v>1.6274925425875555</v>
      </c>
      <c r="W9" s="36">
        <f>'SER_se-appl'!W32</f>
        <v>1.7597653934320139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0.12315776012452773</v>
      </c>
      <c r="D10" s="38">
        <f>'SER_se-appl'!D40</f>
        <v>0.13701688466407802</v>
      </c>
      <c r="E10" s="38">
        <f>'SER_se-appl'!E40</f>
        <v>0.15243559694546871</v>
      </c>
      <c r="F10" s="38">
        <f>'SER_se-appl'!F40</f>
        <v>0.16958939967939113</v>
      </c>
      <c r="G10" s="38">
        <f>'SER_se-appl'!G40</f>
        <v>0.18867354515563051</v>
      </c>
      <c r="H10" s="38">
        <f>'SER_se-appl'!H40</f>
        <v>0.20990525769235013</v>
      </c>
      <c r="I10" s="38">
        <f>'SER_se-appl'!I40</f>
        <v>0.23352620618088515</v>
      </c>
      <c r="J10" s="38">
        <f>'SER_se-appl'!J40</f>
        <v>0.25980525486963124</v>
      </c>
      <c r="K10" s="38">
        <f>'SER_se-appl'!K40</f>
        <v>0.28904152369773506</v>
      </c>
      <c r="L10" s="38">
        <f>'SER_se-appl'!L40</f>
        <v>0.32156779301261906</v>
      </c>
      <c r="M10" s="38">
        <f>'SER_se-appl'!M40</f>
        <v>0.35775429142541881</v>
      </c>
      <c r="N10" s="38">
        <f>'SER_se-appl'!N40</f>
        <v>0.39801290991937321</v>
      </c>
      <c r="O10" s="38">
        <f>'SER_se-appl'!O40</f>
        <v>0.4428018901780586</v>
      </c>
      <c r="P10" s="38">
        <f>'SER_se-appl'!P40</f>
        <v>0.49263104049811091</v>
      </c>
      <c r="Q10" s="38">
        <f>'SER_se-appl'!Q40</f>
        <v>0.5480675386563103</v>
      </c>
      <c r="R10" s="38">
        <f>'SER_se-appl'!R40</f>
        <v>0.47181190116472926</v>
      </c>
      <c r="S10" s="38">
        <f>'SER_se-appl'!S40</f>
        <v>0.61300703882484164</v>
      </c>
      <c r="T10" s="38">
        <f>'SER_se-appl'!T40</f>
        <v>0.8019239056388745</v>
      </c>
      <c r="U10" s="38">
        <f>'SER_se-appl'!U40</f>
        <v>0.89986575376273592</v>
      </c>
      <c r="V10" s="38">
        <f>'SER_se-appl'!V40</f>
        <v>1.058371850939313</v>
      </c>
      <c r="W10" s="38">
        <f>'SER_se-appl'!W40</f>
        <v>1.1834137728520773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872.68538174172318</v>
      </c>
      <c r="C12" s="205">
        <f>'SER_se-appl'!C48</f>
        <v>876.85409690953156</v>
      </c>
      <c r="D12" s="205">
        <f>'SER_se-appl'!D48</f>
        <v>880.67722138204113</v>
      </c>
      <c r="E12" s="205">
        <f>'SER_se-appl'!E48</f>
        <v>884.20887321181101</v>
      </c>
      <c r="F12" s="205">
        <f>'SER_se-appl'!F48</f>
        <v>887.49129712838499</v>
      </c>
      <c r="G12" s="205">
        <f>'SER_se-appl'!G48</f>
        <v>890.55811244742483</v>
      </c>
      <c r="H12" s="205">
        <f>'SER_se-appl'!H48</f>
        <v>893.43651933098351</v>
      </c>
      <c r="I12" s="205">
        <f>'SER_se-appl'!I48</f>
        <v>896.14884064558851</v>
      </c>
      <c r="J12" s="205">
        <f>'SER_se-appl'!J48</f>
        <v>898.71362619151796</v>
      </c>
      <c r="K12" s="205">
        <f>'SER_se-appl'!K48</f>
        <v>901.14646054902278</v>
      </c>
      <c r="L12" s="205">
        <f>'SER_se-appl'!L48</f>
        <v>903.46056526632867</v>
      </c>
      <c r="M12" s="205">
        <f>'SER_se-appl'!M48</f>
        <v>904.93109370760146</v>
      </c>
      <c r="N12" s="205">
        <f>'SER_se-appl'!N48</f>
        <v>906.33542920895013</v>
      </c>
      <c r="O12" s="205">
        <f>'SER_se-appl'!O48</f>
        <v>907.67936487851114</v>
      </c>
      <c r="P12" s="205">
        <f>'SER_se-appl'!P48</f>
        <v>908.96796149148167</v>
      </c>
      <c r="Q12" s="205">
        <f>'SER_se-appl'!Q48</f>
        <v>910.20566623154218</v>
      </c>
      <c r="R12" s="205">
        <f>'SER_se-appl'!R48</f>
        <v>924.6758605949384</v>
      </c>
      <c r="S12" s="205">
        <f>'SER_se-appl'!S48</f>
        <v>930.43943115661386</v>
      </c>
      <c r="T12" s="205">
        <f>'SER_se-appl'!T48</f>
        <v>931.24315115196828</v>
      </c>
      <c r="U12" s="205">
        <f>'SER_se-appl'!U48</f>
        <v>915.48836219643124</v>
      </c>
      <c r="V12" s="205">
        <f>'SER_se-appl'!V48</f>
        <v>731.1946484979527</v>
      </c>
      <c r="W12" s="205">
        <f>'SER_se-appl'!W48</f>
        <v>894.63099799917688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50.954132658826104</v>
      </c>
      <c r="C14" s="59">
        <f>'SER_se-appl'!C56</f>
        <v>50.637626184042169</v>
      </c>
      <c r="D14" s="59">
        <f>'SER_se-appl'!D56</f>
        <v>50.25349768337535</v>
      </c>
      <c r="E14" s="59">
        <f>'SER_se-appl'!E56</f>
        <v>49.793724594121905</v>
      </c>
      <c r="F14" s="59">
        <f>'SER_se-appl'!F56</f>
        <v>49.320680377342967</v>
      </c>
      <c r="G14" s="59">
        <f>'SER_se-appl'!G56</f>
        <v>48.815677690895704</v>
      </c>
      <c r="H14" s="59">
        <f>'SER_se-appl'!H56</f>
        <v>48.302091393975303</v>
      </c>
      <c r="I14" s="59">
        <f>'SER_se-appl'!I56</f>
        <v>47.792699592799487</v>
      </c>
      <c r="J14" s="59">
        <f>'SER_se-appl'!J56</f>
        <v>47.353177341878869</v>
      </c>
      <c r="K14" s="59">
        <f>'SER_se-appl'!K56</f>
        <v>47.013307248467676</v>
      </c>
      <c r="L14" s="59">
        <f>'SER_se-appl'!L56</f>
        <v>46.611690728084106</v>
      </c>
      <c r="M14" s="59">
        <f>'SER_se-appl'!M56</f>
        <v>46.095644999055487</v>
      </c>
      <c r="N14" s="59">
        <f>'SER_se-appl'!N56</f>
        <v>45.586104144231868</v>
      </c>
      <c r="O14" s="59">
        <f>'SER_se-appl'!O56</f>
        <v>44.994057855107414</v>
      </c>
      <c r="P14" s="59">
        <f>'SER_se-appl'!P56</f>
        <v>44.243673533122262</v>
      </c>
      <c r="Q14" s="59">
        <f>'SER_se-appl'!Q56</f>
        <v>43.372767162748858</v>
      </c>
      <c r="R14" s="59">
        <f>'SER_se-appl'!R56</f>
        <v>42.754141660859077</v>
      </c>
      <c r="S14" s="59">
        <f>'SER_se-appl'!S56</f>
        <v>42.044491389958999</v>
      </c>
      <c r="T14" s="59">
        <f>'SER_se-appl'!T56</f>
        <v>41.221919582324766</v>
      </c>
      <c r="U14" s="59">
        <f>'SER_se-appl'!U56</f>
        <v>40.367187088502114</v>
      </c>
      <c r="V14" s="59">
        <f>'SER_se-appl'!V56</f>
        <v>39.445394421641922</v>
      </c>
      <c r="W14" s="59">
        <f>'SER_se-appl'!W56</f>
        <v>38.510673062593497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47.819575989380382</v>
      </c>
      <c r="D15" s="63">
        <f>'SER_se-appl'!D64</f>
        <v>47.482084526230224</v>
      </c>
      <c r="E15" s="63">
        <f>'SER_se-appl'!E64</f>
        <v>47.062399894555547</v>
      </c>
      <c r="F15" s="63">
        <f>'SER_se-appl'!F64</f>
        <v>46.58054864777673</v>
      </c>
      <c r="G15" s="63">
        <f>'SER_se-appl'!G64</f>
        <v>46.081867678601668</v>
      </c>
      <c r="H15" s="63">
        <f>'SER_se-appl'!H64</f>
        <v>45.56181368944889</v>
      </c>
      <c r="I15" s="63">
        <f>'SER_se-appl'!I64</f>
        <v>45.041218245528363</v>
      </c>
      <c r="J15" s="63">
        <f>'SER_se-appl'!J64</f>
        <v>44.537966818609242</v>
      </c>
      <c r="K15" s="63">
        <f>'SER_se-appl'!K64</f>
        <v>43.984040031723296</v>
      </c>
      <c r="L15" s="63">
        <f>'SER_se-appl'!L64</f>
        <v>43.275610414058654</v>
      </c>
      <c r="M15" s="63">
        <f>'SER_se-appl'!M64</f>
        <v>42.212880341628924</v>
      </c>
      <c r="N15" s="63">
        <f>'SER_se-appl'!N64</f>
        <v>40.97435079807213</v>
      </c>
      <c r="O15" s="63">
        <f>'SER_se-appl'!O64</f>
        <v>39.652166595794121</v>
      </c>
      <c r="P15" s="63">
        <f>'SER_se-appl'!P64</f>
        <v>38.276523750522522</v>
      </c>
      <c r="Q15" s="63">
        <f>'SER_se-appl'!Q64</f>
        <v>36.864242561171793</v>
      </c>
      <c r="R15" s="63">
        <f>'SER_se-appl'!R64</f>
        <v>36.42277575433679</v>
      </c>
      <c r="S15" s="63">
        <f>'SER_se-appl'!S64</f>
        <v>35.910624544861598</v>
      </c>
      <c r="T15" s="63">
        <f>'SER_se-appl'!T64</f>
        <v>35.425586672682904</v>
      </c>
      <c r="U15" s="63">
        <f>'SER_se-appl'!U64</f>
        <v>34.951114938525208</v>
      </c>
      <c r="V15" s="63">
        <f>'SER_se-appl'!V64</f>
        <v>34.480113431573876</v>
      </c>
      <c r="W15" s="63">
        <f>'SER_se-appl'!W64</f>
        <v>34.246342906269639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20.101690763906738</v>
      </c>
      <c r="C3" s="199">
        <f>'SER_se-appl'!C9</f>
        <v>21.37499215545272</v>
      </c>
      <c r="D3" s="199">
        <f>'SER_se-appl'!D9</f>
        <v>24.53301390368382</v>
      </c>
      <c r="E3" s="199">
        <f>'SER_se-appl'!E9</f>
        <v>27.320061347791778</v>
      </c>
      <c r="F3" s="199">
        <f>'SER_se-appl'!F9</f>
        <v>29.898155787838345</v>
      </c>
      <c r="G3" s="199">
        <f>'SER_se-appl'!G9</f>
        <v>33.481515312942079</v>
      </c>
      <c r="H3" s="199">
        <f>'SER_se-appl'!H9</f>
        <v>38.321718692306149</v>
      </c>
      <c r="I3" s="199">
        <f>'SER_se-appl'!I9</f>
        <v>41.709605696547449</v>
      </c>
      <c r="J3" s="199">
        <f>'SER_se-appl'!J9</f>
        <v>44.653330298042569</v>
      </c>
      <c r="K3" s="199">
        <f>'SER_se-appl'!K9</f>
        <v>47.979018939397534</v>
      </c>
      <c r="L3" s="199">
        <f>'SER_se-appl'!L9</f>
        <v>50.272580700200862</v>
      </c>
      <c r="M3" s="199">
        <f>'SER_se-appl'!M9</f>
        <v>53.860945346103485</v>
      </c>
      <c r="N3" s="199">
        <f>'SER_se-appl'!N9</f>
        <v>55.371769916258685</v>
      </c>
      <c r="O3" s="199">
        <f>'SER_se-appl'!O9</f>
        <v>58.23523857408496</v>
      </c>
      <c r="P3" s="199">
        <f>'SER_se-appl'!P9</f>
        <v>62.264595471967205</v>
      </c>
      <c r="Q3" s="199">
        <f>'SER_se-appl'!Q9</f>
        <v>70.054501015098921</v>
      </c>
      <c r="R3" s="199">
        <f>'SER_se-appl'!R9</f>
        <v>72.718057742879978</v>
      </c>
      <c r="S3" s="199">
        <f>'SER_se-appl'!S9</f>
        <v>75.192317344648885</v>
      </c>
      <c r="T3" s="199">
        <f>'SER_se-appl'!T9</f>
        <v>76.178663426640497</v>
      </c>
      <c r="U3" s="199">
        <f>'SER_se-appl'!U9</f>
        <v>77.131234981611186</v>
      </c>
      <c r="V3" s="199">
        <f>'SER_se-appl'!V9</f>
        <v>63.678067011380939</v>
      </c>
      <c r="W3" s="199">
        <f>'SER_se-appl'!W9</f>
        <v>74.169739155037263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147.89199182941749</v>
      </c>
      <c r="C5" s="59">
        <f>'SER_se-appl'!C17</f>
        <v>155.42925199904772</v>
      </c>
      <c r="D5" s="59">
        <f>'SER_se-appl'!D17</f>
        <v>175.39500692638541</v>
      </c>
      <c r="E5" s="59">
        <f>'SER_se-appl'!E17</f>
        <v>191.82354848926695</v>
      </c>
      <c r="F5" s="59">
        <f>'SER_se-appl'!F17</f>
        <v>206.0689687706093</v>
      </c>
      <c r="G5" s="59">
        <f>'SER_se-appl'!G17</f>
        <v>227.13457903303933</v>
      </c>
      <c r="H5" s="59">
        <f>'SER_se-appl'!H17</f>
        <v>255.9413883972249</v>
      </c>
      <c r="I5" s="59">
        <f>'SER_se-appl'!I17</f>
        <v>274.76502609363251</v>
      </c>
      <c r="J5" s="59">
        <f>'SER_se-appl'!J17</f>
        <v>291.22894693631963</v>
      </c>
      <c r="K5" s="59">
        <f>'SER_se-appl'!K17</f>
        <v>310.11287524723593</v>
      </c>
      <c r="L5" s="59">
        <f>'SER_se-appl'!L17</f>
        <v>321.98619447712343</v>
      </c>
      <c r="M5" s="59">
        <f>'SER_se-appl'!M17</f>
        <v>340.27202789015809</v>
      </c>
      <c r="N5" s="59">
        <f>'SER_se-appl'!N17</f>
        <v>345.69268773493843</v>
      </c>
      <c r="O5" s="59">
        <f>'SER_se-appl'!O17</f>
        <v>359.39157846810025</v>
      </c>
      <c r="P5" s="59">
        <f>'SER_se-appl'!P17</f>
        <v>379.73297733200781</v>
      </c>
      <c r="Q5" s="59">
        <f>'SER_se-appl'!Q17</f>
        <v>421.82704983749636</v>
      </c>
      <c r="R5" s="59">
        <f>'SER_se-appl'!R17</f>
        <v>425.85279718673138</v>
      </c>
      <c r="S5" s="59">
        <f>'SER_se-appl'!S17</f>
        <v>433.14212536459274</v>
      </c>
      <c r="T5" s="59">
        <f>'SER_se-appl'!T17</f>
        <v>434.26906595132925</v>
      </c>
      <c r="U5" s="59">
        <f>'SER_se-appl'!U17</f>
        <v>441.66891961512562</v>
      </c>
      <c r="V5" s="59">
        <f>'SER_se-appl'!V17</f>
        <v>414.72553772047485</v>
      </c>
      <c r="W5" s="59">
        <f>'SER_se-appl'!W17</f>
        <v>430.59691586427527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4.4802122373165408E-2</v>
      </c>
      <c r="C6" s="202">
        <f>'SER_se-appl'!C73</f>
        <v>4.8150887293477572E-2</v>
      </c>
      <c r="D6" s="202">
        <f>'SER_se-appl'!D73</f>
        <v>5.7837231980821295E-2</v>
      </c>
      <c r="E6" s="202">
        <f>'SER_se-appl'!E73</f>
        <v>6.5688581459609582E-2</v>
      </c>
      <c r="F6" s="202">
        <f>'SER_se-appl'!F73</f>
        <v>7.3488412800881767E-2</v>
      </c>
      <c r="G6" s="202">
        <f>'SER_se-appl'!G73</f>
        <v>8.4866248636595157E-2</v>
      </c>
      <c r="H6" s="202">
        <f>'SER_se-appl'!H73</f>
        <v>0.10089766948386933</v>
      </c>
      <c r="I6" s="202">
        <f>'SER_se-appl'!I73</f>
        <v>0.11503549249956285</v>
      </c>
      <c r="J6" s="202">
        <f>'SER_se-appl'!J73</f>
        <v>0.1290702758889623</v>
      </c>
      <c r="K6" s="202">
        <f>'SER_se-appl'!K73</f>
        <v>0.14596171165631031</v>
      </c>
      <c r="L6" s="202">
        <f>'SER_se-appl'!L73</f>
        <v>0.16229660058930068</v>
      </c>
      <c r="M6" s="202">
        <f>'SER_se-appl'!M73</f>
        <v>0.1863889982571349</v>
      </c>
      <c r="N6" s="202">
        <f>'SER_se-appl'!N73</f>
        <v>0.2023949811025442</v>
      </c>
      <c r="O6" s="202">
        <f>'SER_se-appl'!O73</f>
        <v>0.22181871984600346</v>
      </c>
      <c r="P6" s="202">
        <f>'SER_se-appl'!P73</f>
        <v>0.24412984369313925</v>
      </c>
      <c r="Q6" s="202">
        <f>'SER_se-appl'!Q73</f>
        <v>0.28017708170019295</v>
      </c>
      <c r="R6" s="202">
        <f>'SER_se-appl'!R73</f>
        <v>0.29092379564216503</v>
      </c>
      <c r="S6" s="202">
        <f>'SER_se-appl'!S73</f>
        <v>0.30370643189338831</v>
      </c>
      <c r="T6" s="202">
        <f>'SER_se-appl'!T73</f>
        <v>0.31301381833877667</v>
      </c>
      <c r="U6" s="202">
        <f>'SER_se-appl'!U73</f>
        <v>0.32853620235950198</v>
      </c>
      <c r="V6" s="202">
        <f>'SER_se-appl'!V73</f>
        <v>0.31875221644045904</v>
      </c>
      <c r="W6" s="202">
        <f>'SER_se-appl'!W73</f>
        <v>0.34162567789057458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366.96862889542359</v>
      </c>
      <c r="C8" s="34">
        <f>'SER_se-appl'!C25</f>
        <v>392.40411516980208</v>
      </c>
      <c r="D8" s="34">
        <f>'SER_se-appl'!D25</f>
        <v>455.11047856916633</v>
      </c>
      <c r="E8" s="34">
        <f>'SER_se-appl'!E25</f>
        <v>512.73261671447131</v>
      </c>
      <c r="F8" s="34">
        <f>'SER_se-appl'!F25</f>
        <v>569.17855993951105</v>
      </c>
      <c r="G8" s="34">
        <f>'SER_se-appl'!G25</f>
        <v>652.50034787861239</v>
      </c>
      <c r="H8" s="34">
        <f>'SER_se-appl'!H25</f>
        <v>769.78575352781763</v>
      </c>
      <c r="I8" s="34">
        <f>'SER_se-appl'!I25</f>
        <v>871.12616809314204</v>
      </c>
      <c r="J8" s="34">
        <f>'SER_se-appl'!J25</f>
        <v>970.35059227377042</v>
      </c>
      <c r="K8" s="34">
        <f>'SER_se-appl'!K25</f>
        <v>1089.9134703813561</v>
      </c>
      <c r="L8" s="34">
        <f>'SER_se-appl'!L25</f>
        <v>1204.5273921692517</v>
      </c>
      <c r="M8" s="34">
        <f>'SER_se-appl'!M25</f>
        <v>1373.5808618150759</v>
      </c>
      <c r="N8" s="34">
        <f>'SER_se-appl'!N25</f>
        <v>1482.9933630141084</v>
      </c>
      <c r="O8" s="34">
        <f>'SER_se-appl'!O25</f>
        <v>1615.8499992916443</v>
      </c>
      <c r="P8" s="34">
        <f>'SER_se-appl'!P25</f>
        <v>1768.8859934609743</v>
      </c>
      <c r="Q8" s="34">
        <f>'SER_se-appl'!Q25</f>
        <v>2017.8908174669664</v>
      </c>
      <c r="R8" s="34">
        <f>'SER_se-appl'!R25</f>
        <v>2081.2059944841899</v>
      </c>
      <c r="S8" s="34">
        <f>'SER_se-appl'!S25</f>
        <v>2156.8802566999466</v>
      </c>
      <c r="T8" s="34">
        <f>'SER_se-appl'!T25</f>
        <v>2206.7580617581993</v>
      </c>
      <c r="U8" s="34">
        <f>'SER_se-appl'!U25</f>
        <v>2299.7662294284059</v>
      </c>
      <c r="V8" s="34">
        <f>'SER_se-appl'!V25</f>
        <v>2215.800295045955</v>
      </c>
      <c r="W8" s="34">
        <f>'SER_se-appl'!W25</f>
        <v>2362.8703991626976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98.829212053463209</v>
      </c>
      <c r="D9" s="36">
        <f>'SER_se-appl'!D33</f>
        <v>136.10008917844897</v>
      </c>
      <c r="E9" s="36">
        <f>'SER_se-appl'!E33</f>
        <v>131.01586392438969</v>
      </c>
      <c r="F9" s="36">
        <f>'SER_se-appl'!F33</f>
        <v>129.83966900412446</v>
      </c>
      <c r="G9" s="36">
        <f>'SER_se-appl'!G33</f>
        <v>156.71551371818606</v>
      </c>
      <c r="H9" s="36">
        <f>'SER_se-appl'!H33</f>
        <v>216.11461770266851</v>
      </c>
      <c r="I9" s="36">
        <f>'SER_se-appl'!I33</f>
        <v>237.44050374377343</v>
      </c>
      <c r="J9" s="36">
        <f>'SER_se-appl'!J33</f>
        <v>230.24028810501807</v>
      </c>
      <c r="K9" s="36">
        <f>'SER_se-appl'!K33</f>
        <v>249.40254711171019</v>
      </c>
      <c r="L9" s="36">
        <f>'SER_se-appl'!L33</f>
        <v>271.32943550608161</v>
      </c>
      <c r="M9" s="36">
        <f>'SER_se-appl'!M33</f>
        <v>385.16808734849269</v>
      </c>
      <c r="N9" s="36">
        <f>'SER_se-appl'!N33</f>
        <v>346.85300494280591</v>
      </c>
      <c r="O9" s="36">
        <f>'SER_se-appl'!O33</f>
        <v>363.09692438255411</v>
      </c>
      <c r="P9" s="36">
        <f>'SER_se-appl'!P33</f>
        <v>402.43854128104022</v>
      </c>
      <c r="Q9" s="36">
        <f>'SER_se-appl'!Q33</f>
        <v>520.33425951207369</v>
      </c>
      <c r="R9" s="36">
        <f>'SER_se-appl'!R33</f>
        <v>448.4832643657162</v>
      </c>
      <c r="S9" s="36">
        <f>'SER_se-appl'!S33</f>
        <v>422.52726715856261</v>
      </c>
      <c r="T9" s="36">
        <f>'SER_se-appl'!T33</f>
        <v>412.97472944080687</v>
      </c>
      <c r="U9" s="36">
        <f>'SER_se-appl'!U33</f>
        <v>495.44670895124682</v>
      </c>
      <c r="V9" s="36">
        <f>'SER_se-appl'!V33</f>
        <v>436.36832512962269</v>
      </c>
      <c r="W9" s="36">
        <f>'SER_se-appl'!W33</f>
        <v>595.55336848245884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73.393725779084718</v>
      </c>
      <c r="D10" s="38">
        <f>'SER_se-appl'!D41</f>
        <v>73.393725779084718</v>
      </c>
      <c r="E10" s="38">
        <f>'SER_se-appl'!E41</f>
        <v>73.393725779084662</v>
      </c>
      <c r="F10" s="38">
        <f>'SER_se-appl'!F41</f>
        <v>73.393725779084775</v>
      </c>
      <c r="G10" s="38">
        <f>'SER_se-appl'!G41</f>
        <v>73.393725779084775</v>
      </c>
      <c r="H10" s="38">
        <f>'SER_se-appl'!H41</f>
        <v>98.829212053463266</v>
      </c>
      <c r="I10" s="38">
        <f>'SER_se-appl'!I41</f>
        <v>136.10008917844902</v>
      </c>
      <c r="J10" s="38">
        <f>'SER_se-appl'!J41</f>
        <v>131.01586392438958</v>
      </c>
      <c r="K10" s="38">
        <f>'SER_se-appl'!K41</f>
        <v>129.83966900412452</v>
      </c>
      <c r="L10" s="38">
        <f>'SER_se-appl'!L41</f>
        <v>156.715513718186</v>
      </c>
      <c r="M10" s="38">
        <f>'SER_se-appl'!M41</f>
        <v>216.11461770266851</v>
      </c>
      <c r="N10" s="38">
        <f>'SER_se-appl'!N41</f>
        <v>237.44050374377343</v>
      </c>
      <c r="O10" s="38">
        <f>'SER_se-appl'!O41</f>
        <v>230.24028810501818</v>
      </c>
      <c r="P10" s="38">
        <f>'SER_se-appl'!P41</f>
        <v>249.40254711171019</v>
      </c>
      <c r="Q10" s="38">
        <f>'SER_se-appl'!Q41</f>
        <v>271.32943550608161</v>
      </c>
      <c r="R10" s="38">
        <f>'SER_se-appl'!R41</f>
        <v>385.16808734849246</v>
      </c>
      <c r="S10" s="38">
        <f>'SER_se-appl'!S41</f>
        <v>346.85300494280591</v>
      </c>
      <c r="T10" s="38">
        <f>'SER_se-appl'!T41</f>
        <v>363.09692438255433</v>
      </c>
      <c r="U10" s="38">
        <f>'SER_se-appl'!U41</f>
        <v>402.43854128104022</v>
      </c>
      <c r="V10" s="38">
        <f>'SER_se-appl'!V41</f>
        <v>520.33425951207391</v>
      </c>
      <c r="W10" s="38">
        <f>'SER_se-appl'!W41</f>
        <v>448.48326436571597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1580.7662111541945</v>
      </c>
      <c r="C12" s="205">
        <f>'SER_se-appl'!C49</f>
        <v>1599.3846433066421</v>
      </c>
      <c r="D12" s="205">
        <f>'SER_se-appl'!D49</f>
        <v>1626.7222009323978</v>
      </c>
      <c r="E12" s="205">
        <f>'SER_se-appl'!E49</f>
        <v>1656.3780410547265</v>
      </c>
      <c r="F12" s="205">
        <f>'SER_se-appl'!F49</f>
        <v>1687.3746391171976</v>
      </c>
      <c r="G12" s="205">
        <f>'SER_se-appl'!G49</f>
        <v>1714.3581780776547</v>
      </c>
      <c r="H12" s="205">
        <f>'SER_se-appl'!H49</f>
        <v>1741.3423877337727</v>
      </c>
      <c r="I12" s="205">
        <f>'SER_se-appl'!I49</f>
        <v>1765.4456287516873</v>
      </c>
      <c r="J12" s="205">
        <f>'SER_se-appl'!J49</f>
        <v>1783.1957874702257</v>
      </c>
      <c r="K12" s="205">
        <f>'SER_se-appl'!K49</f>
        <v>1799.3319039731382</v>
      </c>
      <c r="L12" s="205">
        <f>'SER_se-appl'!L49</f>
        <v>1815.823546387719</v>
      </c>
      <c r="M12" s="205">
        <f>'SER_se-appl'!M49</f>
        <v>1840.8882982805458</v>
      </c>
      <c r="N12" s="205">
        <f>'SER_se-appl'!N49</f>
        <v>1862.8501758181778</v>
      </c>
      <c r="O12" s="205">
        <f>'SER_se-appl'!O49</f>
        <v>1884.506664022244</v>
      </c>
      <c r="P12" s="205">
        <f>'SER_se-appl'!P49</f>
        <v>1906.9643369578921</v>
      </c>
      <c r="Q12" s="205">
        <f>'SER_se-appl'!Q49</f>
        <v>1931.4404970460444</v>
      </c>
      <c r="R12" s="205">
        <f>'SER_se-appl'!R49</f>
        <v>1985.9233451949358</v>
      </c>
      <c r="S12" s="205">
        <f>'SER_se-appl'!S49</f>
        <v>2018.9369712820633</v>
      </c>
      <c r="T12" s="205">
        <f>'SER_se-appl'!T49</f>
        <v>2040.1127437226273</v>
      </c>
      <c r="U12" s="205">
        <f>'SER_se-appl'!U49</f>
        <v>2031.0151405216009</v>
      </c>
      <c r="V12" s="205">
        <f>'SER_se-appl'!V49</f>
        <v>1785.7012698395938</v>
      </c>
      <c r="W12" s="205">
        <f>'SER_se-appl'!W49</f>
        <v>2003.2518455031718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403.00990380178473</v>
      </c>
      <c r="C14" s="59">
        <f>'SER_se-appl'!C57</f>
        <v>396.0948572921821</v>
      </c>
      <c r="D14" s="59">
        <f>'SER_se-appl'!D57</f>
        <v>385.38995515509623</v>
      </c>
      <c r="E14" s="59">
        <f>'SER_se-appl'!E57</f>
        <v>374.12004275922425</v>
      </c>
      <c r="F14" s="59">
        <f>'SER_se-appl'!F57</f>
        <v>362.04625977568287</v>
      </c>
      <c r="G14" s="59">
        <f>'SER_se-appl'!G57</f>
        <v>348.09878611021708</v>
      </c>
      <c r="H14" s="59">
        <f>'SER_se-appl'!H57</f>
        <v>332.48392455210069</v>
      </c>
      <c r="I14" s="59">
        <f>'SER_se-appl'!I57</f>
        <v>315.41358319551045</v>
      </c>
      <c r="J14" s="59">
        <f>'SER_se-appl'!J57</f>
        <v>300.12755106780372</v>
      </c>
      <c r="K14" s="59">
        <f>'SER_se-appl'!K57</f>
        <v>284.52981238843552</v>
      </c>
      <c r="L14" s="59">
        <f>'SER_se-appl'!L57</f>
        <v>267.31330193932212</v>
      </c>
      <c r="M14" s="59">
        <f>'SER_se-appl'!M57</f>
        <v>247.72624411825026</v>
      </c>
      <c r="N14" s="59">
        <f>'SER_se-appl'!N57</f>
        <v>233.10467622885091</v>
      </c>
      <c r="O14" s="59">
        <f>'SER_se-appl'!O57</f>
        <v>222.41642394136224</v>
      </c>
      <c r="P14" s="59">
        <f>'SER_se-appl'!P57</f>
        <v>214.67351696817286</v>
      </c>
      <c r="Q14" s="59">
        <f>'SER_se-appl'!Q57</f>
        <v>209.04354496593166</v>
      </c>
      <c r="R14" s="59">
        <f>'SER_se-appl'!R57</f>
        <v>204.61828301252589</v>
      </c>
      <c r="S14" s="59">
        <f>'SER_se-appl'!S57</f>
        <v>200.8188094907529</v>
      </c>
      <c r="T14" s="59">
        <f>'SER_se-appl'!T57</f>
        <v>196.79051975699244</v>
      </c>
      <c r="U14" s="59">
        <f>'SER_se-appl'!U57</f>
        <v>192.04948484042222</v>
      </c>
      <c r="V14" s="59">
        <f>'SER_se-appl'!V57</f>
        <v>187.16738085454293</v>
      </c>
      <c r="W14" s="59">
        <f>'SER_se-appl'!W57</f>
        <v>182.23467356350176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375.5535207083858</v>
      </c>
      <c r="D15" s="63">
        <f>'SER_se-appl'!D65</f>
        <v>364.02733894068831</v>
      </c>
      <c r="E15" s="63">
        <f>'SER_se-appl'!E65</f>
        <v>351.15549026426311</v>
      </c>
      <c r="F15" s="63">
        <f>'SER_se-appl'!F65</f>
        <v>337.52256905271224</v>
      </c>
      <c r="G15" s="63">
        <f>'SER_se-appl'!G65</f>
        <v>323.15887193774711</v>
      </c>
      <c r="H15" s="63">
        <f>'SER_se-appl'!H65</f>
        <v>305.03474776701944</v>
      </c>
      <c r="I15" s="63">
        <f>'SER_se-appl'!I65</f>
        <v>287.93651424950531</v>
      </c>
      <c r="J15" s="63">
        <f>'SER_se-appl'!J65</f>
        <v>271.32897237757857</v>
      </c>
      <c r="K15" s="63">
        <f>'SER_se-appl'!K65</f>
        <v>251.43186260264926</v>
      </c>
      <c r="L15" s="63">
        <f>'SER_se-appl'!L65</f>
        <v>230.41115219067245</v>
      </c>
      <c r="M15" s="63">
        <f>'SER_se-appl'!M65</f>
        <v>218.62740989895124</v>
      </c>
      <c r="N15" s="63">
        <f>'SER_se-appl'!N65</f>
        <v>212.73695133930437</v>
      </c>
      <c r="O15" s="63">
        <f>'SER_se-appl'!O65</f>
        <v>209.77801349912426</v>
      </c>
      <c r="P15" s="63">
        <f>'SER_se-appl'!P65</f>
        <v>206.36479189515043</v>
      </c>
      <c r="Q15" s="63">
        <f>'SER_se-appl'!Q65</f>
        <v>201.04653585905623</v>
      </c>
      <c r="R15" s="63">
        <f>'SER_se-appl'!R65</f>
        <v>196.73877638836143</v>
      </c>
      <c r="S15" s="63">
        <f>'SER_se-appl'!S65</f>
        <v>191.88768468720949</v>
      </c>
      <c r="T15" s="63">
        <f>'SER_se-appl'!T65</f>
        <v>187.17051330480888</v>
      </c>
      <c r="U15" s="63">
        <f>'SER_se-appl'!U65</f>
        <v>182.56050116329791</v>
      </c>
      <c r="V15" s="63">
        <f>'SER_se-appl'!V65</f>
        <v>177.98729650225553</v>
      </c>
      <c r="W15" s="63">
        <f>'SER_se-appl'!W65</f>
        <v>174.80453023218155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2975.282671575073</v>
      </c>
      <c r="C3" s="220">
        <v>2978.945137245204</v>
      </c>
      <c r="D3" s="220">
        <v>2905.6668378702279</v>
      </c>
      <c r="E3" s="220">
        <v>2890.2750308501109</v>
      </c>
      <c r="F3" s="220">
        <v>2870.2988150437918</v>
      </c>
      <c r="G3" s="220">
        <v>2651.664294151497</v>
      </c>
      <c r="H3" s="220">
        <v>2395.9050240880938</v>
      </c>
      <c r="I3" s="220">
        <v>1938.0919380919379</v>
      </c>
      <c r="J3" s="220">
        <v>2619.2701219658302</v>
      </c>
      <c r="K3" s="220">
        <v>1813.1377842859099</v>
      </c>
      <c r="L3" s="220">
        <v>1749.8328365651601</v>
      </c>
      <c r="M3" s="220">
        <v>2061.300639658848</v>
      </c>
      <c r="N3" s="220">
        <v>1970.547058390089</v>
      </c>
      <c r="O3" s="220">
        <v>1993.2613282111031</v>
      </c>
      <c r="P3" s="220">
        <v>2019.6258121647079</v>
      </c>
      <c r="Q3" s="220">
        <v>1860.3</v>
      </c>
      <c r="R3" s="220">
        <v>1910.597786691151</v>
      </c>
      <c r="S3" s="220">
        <v>1970.260913149614</v>
      </c>
      <c r="T3" s="220">
        <v>1694.9605429574081</v>
      </c>
      <c r="U3" s="220">
        <v>1689.5004233700249</v>
      </c>
      <c r="V3" s="220">
        <v>1737.5178777766109</v>
      </c>
      <c r="W3" s="220">
        <v>2329.2410211769652</v>
      </c>
      <c r="DA3" s="211" t="s">
        <v>972</v>
      </c>
    </row>
    <row r="5" spans="1:105" x14ac:dyDescent="0.25">
      <c r="A5" s="219" t="s">
        <v>120</v>
      </c>
      <c r="B5" s="220">
        <v>2480.3972694580898</v>
      </c>
      <c r="C5" s="220">
        <v>2253.0654092654572</v>
      </c>
      <c r="D5" s="220">
        <v>2190.3096796485652</v>
      </c>
      <c r="E5" s="220">
        <v>2093.8611313249839</v>
      </c>
      <c r="F5" s="220">
        <v>2051.4822981879111</v>
      </c>
      <c r="G5" s="220">
        <v>1969.6262381863571</v>
      </c>
      <c r="H5" s="220">
        <v>2008.5156384630011</v>
      </c>
      <c r="I5" s="220">
        <v>1943.80008555058</v>
      </c>
      <c r="J5" s="220">
        <v>1346.281606433909</v>
      </c>
      <c r="K5" s="220">
        <v>1178.7681787783549</v>
      </c>
      <c r="L5" s="220">
        <v>1277.1865339975679</v>
      </c>
      <c r="M5" s="220">
        <v>1541.5841561210029</v>
      </c>
      <c r="N5" s="220">
        <v>1482.087565154575</v>
      </c>
      <c r="O5" s="220">
        <v>1459.423186217253</v>
      </c>
      <c r="P5" s="220">
        <v>1463.5755332030519</v>
      </c>
      <c r="Q5" s="220">
        <v>1397.5252075900401</v>
      </c>
      <c r="R5" s="220">
        <v>1368.4025387573699</v>
      </c>
      <c r="S5" s="220">
        <v>1421.921788861933</v>
      </c>
      <c r="T5" s="220">
        <v>1315.84389091763</v>
      </c>
      <c r="U5" s="220">
        <v>1386.9495390714001</v>
      </c>
      <c r="V5" s="220">
        <v>1313.32431292412</v>
      </c>
      <c r="W5" s="220">
        <v>1428.49564027476</v>
      </c>
      <c r="DA5" s="211" t="s">
        <v>973</v>
      </c>
    </row>
    <row r="6" spans="1:105" x14ac:dyDescent="0.25">
      <c r="A6" s="221" t="s">
        <v>119</v>
      </c>
      <c r="B6" s="222">
        <v>3100.4965868226132</v>
      </c>
      <c r="C6" s="222">
        <v>2945.4717574814822</v>
      </c>
      <c r="D6" s="222">
        <v>2790.4469281403522</v>
      </c>
      <c r="E6" s="222">
        <v>2790.4469281403522</v>
      </c>
      <c r="F6" s="222">
        <v>2635.4220987992212</v>
      </c>
      <c r="G6" s="222">
        <v>2480.3972694580912</v>
      </c>
      <c r="H6" s="222">
        <v>2480.3972694580912</v>
      </c>
      <c r="I6" s="222">
        <v>2325.3724401169602</v>
      </c>
      <c r="J6" s="222">
        <v>2170.3476107758302</v>
      </c>
      <c r="K6" s="222">
        <v>2170.3476107758302</v>
      </c>
      <c r="L6" s="222">
        <v>2015.322781434699</v>
      </c>
      <c r="M6" s="222">
        <v>1860.297952093568</v>
      </c>
      <c r="N6" s="222">
        <v>1860.297952093568</v>
      </c>
      <c r="O6" s="222">
        <v>1705.273122752438</v>
      </c>
      <c r="P6" s="222">
        <v>1705.273122752438</v>
      </c>
      <c r="Q6" s="222">
        <v>1550.248293411307</v>
      </c>
      <c r="R6" s="222">
        <v>1550.248293411307</v>
      </c>
      <c r="S6" s="222">
        <v>1550.248293411307</v>
      </c>
      <c r="T6" s="222">
        <v>1550.248293411307</v>
      </c>
      <c r="U6" s="222">
        <v>1550.248293411307</v>
      </c>
      <c r="V6" s="222">
        <v>1395.2234640701761</v>
      </c>
      <c r="W6" s="222">
        <v>1550.248293411307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155.02482934113061</v>
      </c>
      <c r="S7" s="226">
        <v>155.02482934113061</v>
      </c>
      <c r="T7" s="226">
        <v>0</v>
      </c>
      <c r="U7" s="226">
        <v>155.02482934113061</v>
      </c>
      <c r="V7" s="226">
        <v>0</v>
      </c>
      <c r="W7" s="226">
        <v>155.02482934113095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155.02482934113095</v>
      </c>
      <c r="D8" s="228">
        <f t="shared" ref="D8" si="1">IF(C6=0,0,C6+D7-D6)</f>
        <v>155.02482934113004</v>
      </c>
      <c r="E8" s="228">
        <f t="shared" ref="E8" si="2">IF(D6=0,0,D6+E7-E6)</f>
        <v>0</v>
      </c>
      <c r="F8" s="228">
        <f t="shared" ref="F8" si="3">IF(E6=0,0,E6+F7-F6)</f>
        <v>155.02482934113095</v>
      </c>
      <c r="G8" s="228">
        <f t="shared" ref="G8" si="4">IF(F6=0,0,F6+G7-G6)</f>
        <v>155.02482934113004</v>
      </c>
      <c r="H8" s="228">
        <f t="shared" ref="H8" si="5">IF(G6=0,0,G6+H7-H6)</f>
        <v>0</v>
      </c>
      <c r="I8" s="228">
        <f t="shared" ref="I8" si="6">IF(H6=0,0,H6+I7-I6)</f>
        <v>155.02482934113095</v>
      </c>
      <c r="J8" s="228">
        <f t="shared" ref="J8" si="7">IF(I6=0,0,I6+J7-J6)</f>
        <v>155.02482934113004</v>
      </c>
      <c r="K8" s="228">
        <f t="shared" ref="K8" si="8">IF(J6=0,0,J6+K7-K6)</f>
        <v>0</v>
      </c>
      <c r="L8" s="228">
        <f t="shared" ref="L8" si="9">IF(K6=0,0,K6+L7-L6)</f>
        <v>155.02482934113118</v>
      </c>
      <c r="M8" s="228">
        <f t="shared" ref="M8" si="10">IF(L6=0,0,L6+M7-M6)</f>
        <v>155.02482934113095</v>
      </c>
      <c r="N8" s="228">
        <f t="shared" ref="N8" si="11">IF(M6=0,0,M6+N7-N6)</f>
        <v>0</v>
      </c>
      <c r="O8" s="228">
        <f t="shared" ref="O8" si="12">IF(N6=0,0,N6+O7-O6)</f>
        <v>155.02482934113004</v>
      </c>
      <c r="P8" s="228">
        <f t="shared" ref="P8" si="13">IF(O6=0,0,O6+P7-P6)</f>
        <v>0</v>
      </c>
      <c r="Q8" s="228">
        <f t="shared" ref="Q8" si="14">IF(P6=0,0,P6+Q7-Q6)</f>
        <v>155.02482934113095</v>
      </c>
      <c r="R8" s="228">
        <f t="shared" ref="R8" si="15">IF(Q6=0,0,Q6+R7-R6)</f>
        <v>155.02482934113073</v>
      </c>
      <c r="S8" s="228">
        <f t="shared" ref="S8" si="16">IF(R6=0,0,R6+S7-S6)</f>
        <v>155.02482934113073</v>
      </c>
      <c r="T8" s="228">
        <f t="shared" ref="T8" si="17">IF(S6=0,0,S6+T7-T6)</f>
        <v>0</v>
      </c>
      <c r="U8" s="228">
        <f t="shared" ref="U8" si="18">IF(T6=0,0,T6+U7-U6)</f>
        <v>155.02482934113073</v>
      </c>
      <c r="V8" s="228">
        <f t="shared" ref="V8" si="19">IF(U6=0,0,U6+V7-V6)</f>
        <v>155.02482934113095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620.09931736452336</v>
      </c>
      <c r="C9" s="224">
        <f t="shared" ref="C9:W9" si="21">C6-C5</f>
        <v>692.40634821602498</v>
      </c>
      <c r="D9" s="224">
        <f t="shared" si="21"/>
        <v>600.13724849178698</v>
      </c>
      <c r="E9" s="224">
        <f t="shared" si="21"/>
        <v>696.58579681536821</v>
      </c>
      <c r="F9" s="224">
        <f t="shared" si="21"/>
        <v>583.93980061131015</v>
      </c>
      <c r="G9" s="224">
        <f t="shared" si="21"/>
        <v>510.77103127173405</v>
      </c>
      <c r="H9" s="224">
        <f t="shared" si="21"/>
        <v>471.88163099509006</v>
      </c>
      <c r="I9" s="224">
        <f t="shared" si="21"/>
        <v>381.57235456638023</v>
      </c>
      <c r="J9" s="224">
        <f t="shared" si="21"/>
        <v>824.06600434192114</v>
      </c>
      <c r="K9" s="224">
        <f t="shared" si="21"/>
        <v>991.57943199747524</v>
      </c>
      <c r="L9" s="224">
        <f t="shared" si="21"/>
        <v>738.13624743713103</v>
      </c>
      <c r="M9" s="224">
        <f t="shared" si="21"/>
        <v>318.71379597256509</v>
      </c>
      <c r="N9" s="224">
        <f t="shared" si="21"/>
        <v>378.210386938993</v>
      </c>
      <c r="O9" s="224">
        <f t="shared" si="21"/>
        <v>245.84993653518495</v>
      </c>
      <c r="P9" s="224">
        <f t="shared" si="21"/>
        <v>241.69758954938607</v>
      </c>
      <c r="Q9" s="224">
        <f t="shared" si="21"/>
        <v>152.72308582126698</v>
      </c>
      <c r="R9" s="224">
        <f t="shared" si="21"/>
        <v>181.84575465393709</v>
      </c>
      <c r="S9" s="224">
        <f t="shared" si="21"/>
        <v>128.32650454937402</v>
      </c>
      <c r="T9" s="224">
        <f t="shared" si="21"/>
        <v>234.40440249367703</v>
      </c>
      <c r="U9" s="224">
        <f t="shared" si="21"/>
        <v>163.29875433990696</v>
      </c>
      <c r="V9" s="224">
        <f t="shared" si="21"/>
        <v>81.899151146056056</v>
      </c>
      <c r="W9" s="224">
        <f t="shared" si="21"/>
        <v>121.752653136547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313.6682717110919</v>
      </c>
      <c r="C12" s="230">
        <f t="shared" ref="C12:W12" si="22">SUM(C13,C14,C18,C19,C26,C27)</f>
        <v>275.65812553740329</v>
      </c>
      <c r="D12" s="230">
        <f t="shared" si="22"/>
        <v>279.94471195184872</v>
      </c>
      <c r="E12" s="230">
        <f t="shared" si="22"/>
        <v>283.57764402407565</v>
      </c>
      <c r="F12" s="230">
        <f t="shared" si="22"/>
        <v>276.62932072226999</v>
      </c>
      <c r="G12" s="230">
        <f t="shared" si="22"/>
        <v>304.1625967325881</v>
      </c>
      <c r="H12" s="230">
        <f t="shared" si="22"/>
        <v>295.11160791057608</v>
      </c>
      <c r="I12" s="230">
        <f t="shared" si="22"/>
        <v>266.76423043852105</v>
      </c>
      <c r="J12" s="230">
        <f t="shared" si="22"/>
        <v>187.57368873602758</v>
      </c>
      <c r="K12" s="230">
        <f t="shared" si="22"/>
        <v>184.31246775580391</v>
      </c>
      <c r="L12" s="230">
        <f t="shared" si="22"/>
        <v>184.66311263972477</v>
      </c>
      <c r="M12" s="230">
        <f t="shared" si="22"/>
        <v>204.72278589853829</v>
      </c>
      <c r="N12" s="230">
        <f t="shared" si="22"/>
        <v>200.14557179707649</v>
      </c>
      <c r="O12" s="230">
        <f t="shared" si="22"/>
        <v>194.03061049011171</v>
      </c>
      <c r="P12" s="230">
        <f t="shared" si="22"/>
        <v>190.49810834049867</v>
      </c>
      <c r="Q12" s="230">
        <f t="shared" si="22"/>
        <v>185.75649183147033</v>
      </c>
      <c r="R12" s="230">
        <f t="shared" si="22"/>
        <v>185.26173688736029</v>
      </c>
      <c r="S12" s="230">
        <f t="shared" si="22"/>
        <v>177.6010318142734</v>
      </c>
      <c r="T12" s="230">
        <f t="shared" si="22"/>
        <v>185.90223559759238</v>
      </c>
      <c r="U12" s="230">
        <f t="shared" si="22"/>
        <v>196.96345657781592</v>
      </c>
      <c r="V12" s="230">
        <f t="shared" si="22"/>
        <v>195.19415305245053</v>
      </c>
      <c r="W12" s="230">
        <f t="shared" si="22"/>
        <v>203.61797076526219</v>
      </c>
      <c r="DA12" s="211" t="s">
        <v>978</v>
      </c>
    </row>
    <row r="13" spans="1:105" x14ac:dyDescent="0.25">
      <c r="A13" s="58" t="s">
        <v>29</v>
      </c>
      <c r="B13" s="59">
        <v>0.93559759243336194</v>
      </c>
      <c r="C13" s="59">
        <v>0.75821152192605323</v>
      </c>
      <c r="D13" s="59">
        <v>2.0306964746345653</v>
      </c>
      <c r="E13" s="59">
        <v>1.1446259673258814</v>
      </c>
      <c r="F13" s="59">
        <v>2.6825451418744621</v>
      </c>
      <c r="G13" s="59">
        <v>4.7059329320722263</v>
      </c>
      <c r="H13" s="59">
        <v>6.0992261392949274</v>
      </c>
      <c r="I13" s="59">
        <v>8.0531384350816833</v>
      </c>
      <c r="J13" s="59">
        <v>6.5114359415305243</v>
      </c>
      <c r="K13" s="59">
        <v>5.0969905417024925</v>
      </c>
      <c r="L13" s="59">
        <v>3.9854686156491823</v>
      </c>
      <c r="M13" s="59">
        <v>4.8184006878761814</v>
      </c>
      <c r="N13" s="59">
        <v>4.3754084264832329</v>
      </c>
      <c r="O13" s="59">
        <v>6.6870163370593279</v>
      </c>
      <c r="P13" s="59">
        <v>5.6955288048151331</v>
      </c>
      <c r="Q13" s="59">
        <v>6.7746345657781593</v>
      </c>
      <c r="R13" s="59">
        <v>7.5006018916595005</v>
      </c>
      <c r="S13" s="59">
        <v>9.5053310404127274</v>
      </c>
      <c r="T13" s="59">
        <v>9.0253654342218379</v>
      </c>
      <c r="U13" s="59">
        <v>10.004213241616508</v>
      </c>
      <c r="V13" s="59">
        <v>9.4653482373172828</v>
      </c>
      <c r="W13" s="59">
        <v>9.5518486672398932</v>
      </c>
      <c r="DA13" s="9" t="s">
        <v>979</v>
      </c>
    </row>
    <row r="14" spans="1:105" x14ac:dyDescent="0.25">
      <c r="A14" s="60" t="s">
        <v>28</v>
      </c>
      <c r="B14" s="55">
        <f>SUM(B15:B17)</f>
        <v>270.12278589853821</v>
      </c>
      <c r="C14" s="55">
        <f t="shared" ref="C14:W14" si="23">SUM(C15:C17)</f>
        <v>244.75735167669819</v>
      </c>
      <c r="D14" s="55">
        <f t="shared" si="23"/>
        <v>246.03276010318146</v>
      </c>
      <c r="E14" s="55">
        <f t="shared" si="23"/>
        <v>247.0382631126397</v>
      </c>
      <c r="F14" s="55">
        <f t="shared" si="23"/>
        <v>235.22502149613069</v>
      </c>
      <c r="G14" s="55">
        <f t="shared" si="23"/>
        <v>251.04496990541702</v>
      </c>
      <c r="H14" s="55">
        <f t="shared" si="23"/>
        <v>237.0944969905417</v>
      </c>
      <c r="I14" s="55">
        <f t="shared" si="23"/>
        <v>204.88684436801373</v>
      </c>
      <c r="J14" s="55">
        <f t="shared" si="23"/>
        <v>119.15305245055895</v>
      </c>
      <c r="K14" s="55">
        <f t="shared" si="23"/>
        <v>127.68701633705929</v>
      </c>
      <c r="L14" s="55">
        <f t="shared" si="23"/>
        <v>124.53422184006875</v>
      </c>
      <c r="M14" s="55">
        <f t="shared" si="23"/>
        <v>134.63740326741188</v>
      </c>
      <c r="N14" s="55">
        <f t="shared" si="23"/>
        <v>135.55941530524504</v>
      </c>
      <c r="O14" s="55">
        <f t="shared" si="23"/>
        <v>123.43559759243333</v>
      </c>
      <c r="P14" s="55">
        <f t="shared" si="23"/>
        <v>126.55485812553735</v>
      </c>
      <c r="Q14" s="55">
        <f t="shared" si="23"/>
        <v>130.50782459157352</v>
      </c>
      <c r="R14" s="55">
        <f t="shared" si="23"/>
        <v>118.38400687876182</v>
      </c>
      <c r="S14" s="55">
        <f t="shared" si="23"/>
        <v>117.01874462596732</v>
      </c>
      <c r="T14" s="55">
        <f t="shared" si="23"/>
        <v>126.15640584694748</v>
      </c>
      <c r="U14" s="55">
        <f t="shared" si="23"/>
        <v>133.39475494411002</v>
      </c>
      <c r="V14" s="55">
        <f t="shared" si="23"/>
        <v>123.1489251934652</v>
      </c>
      <c r="W14" s="55">
        <f t="shared" si="23"/>
        <v>135.87386070507304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1.129750644883921</v>
      </c>
      <c r="E15" s="55">
        <v>2.259501289767841</v>
      </c>
      <c r="F15" s="55">
        <v>0</v>
      </c>
      <c r="G15" s="55">
        <v>3.743938091143594</v>
      </c>
      <c r="H15" s="55">
        <v>2.4959587274290631</v>
      </c>
      <c r="I15" s="55">
        <v>2.1974204643164228</v>
      </c>
      <c r="J15" s="55">
        <v>3.2960447119518479</v>
      </c>
      <c r="K15" s="55">
        <v>5.4934651762682716</v>
      </c>
      <c r="L15" s="55">
        <v>3.2960447119518479</v>
      </c>
      <c r="M15" s="55">
        <v>3.2960447119518479</v>
      </c>
      <c r="N15" s="55">
        <v>2.1974204643164228</v>
      </c>
      <c r="O15" s="55">
        <v>2.1974204643164228</v>
      </c>
      <c r="P15" s="55">
        <v>3.2960447119518479</v>
      </c>
      <c r="Q15" s="55">
        <v>2.1974204643164228</v>
      </c>
      <c r="R15" s="55">
        <v>2.1974204643164228</v>
      </c>
      <c r="S15" s="55">
        <v>2.5973344797936373</v>
      </c>
      <c r="T15" s="55">
        <v>2.8620808254514185</v>
      </c>
      <c r="U15" s="55">
        <v>2.3665520206362856</v>
      </c>
      <c r="V15" s="55">
        <v>1.9062768701633708</v>
      </c>
      <c r="W15" s="55">
        <v>1.8798796216680997</v>
      </c>
      <c r="DA15" s="10" t="s">
        <v>980</v>
      </c>
    </row>
    <row r="16" spans="1:105" x14ac:dyDescent="0.25">
      <c r="A16" s="61" t="s">
        <v>172</v>
      </c>
      <c r="B16" s="55">
        <v>251.62416165090281</v>
      </c>
      <c r="C16" s="55">
        <v>231.08340498710231</v>
      </c>
      <c r="D16" s="55">
        <v>236.21857265692179</v>
      </c>
      <c r="E16" s="55">
        <v>234.1644883920894</v>
      </c>
      <c r="F16" s="55">
        <v>219.7859845227859</v>
      </c>
      <c r="G16" s="55">
        <v>228.0023215821152</v>
      </c>
      <c r="H16" s="55">
        <v>227</v>
      </c>
      <c r="I16" s="55">
        <v>196.0017196904557</v>
      </c>
      <c r="J16" s="55">
        <v>110.12467755803959</v>
      </c>
      <c r="K16" s="55">
        <v>121.2381771281169</v>
      </c>
      <c r="L16" s="55">
        <v>121.2381771281169</v>
      </c>
      <c r="M16" s="55">
        <v>131.34135855546003</v>
      </c>
      <c r="N16" s="55">
        <v>133.36199484092862</v>
      </c>
      <c r="O16" s="55">
        <v>121.2381771281169</v>
      </c>
      <c r="P16" s="55">
        <v>123.2588134135855</v>
      </c>
      <c r="Q16" s="55">
        <v>128.3104041272571</v>
      </c>
      <c r="R16" s="55">
        <v>116.1865864144454</v>
      </c>
      <c r="S16" s="55">
        <v>114.34686156491831</v>
      </c>
      <c r="T16" s="55">
        <v>123.20928632846081</v>
      </c>
      <c r="U16" s="55">
        <v>122.27377472055026</v>
      </c>
      <c r="V16" s="55">
        <v>114.87721410146176</v>
      </c>
      <c r="W16" s="55">
        <v>124.79355116079101</v>
      </c>
      <c r="DA16" s="10" t="s">
        <v>981</v>
      </c>
    </row>
    <row r="17" spans="1:105" x14ac:dyDescent="0.25">
      <c r="A17" s="61" t="s">
        <v>113</v>
      </c>
      <c r="B17" s="55">
        <v>17.368873602751499</v>
      </c>
      <c r="C17" s="55">
        <v>12.544196044711949</v>
      </c>
      <c r="D17" s="55">
        <v>8.6844368013757514</v>
      </c>
      <c r="E17" s="55">
        <v>10.614273430782459</v>
      </c>
      <c r="F17" s="55">
        <v>15.4390369733448</v>
      </c>
      <c r="G17" s="55">
        <v>19.298710232158211</v>
      </c>
      <c r="H17" s="55">
        <v>7.5985382631126388</v>
      </c>
      <c r="I17" s="55">
        <v>6.6877042132416156</v>
      </c>
      <c r="J17" s="55">
        <v>5.732330180567498</v>
      </c>
      <c r="K17" s="55">
        <v>0.95537403267411869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7.454858125537403E-2</v>
      </c>
      <c r="T17" s="55">
        <v>8.5038693035253646E-2</v>
      </c>
      <c r="U17" s="55">
        <v>8.7544282029234726</v>
      </c>
      <c r="V17" s="55">
        <v>6.3654342218400686</v>
      </c>
      <c r="W17" s="55">
        <v>9.2004299226139281</v>
      </c>
      <c r="DA17" s="10" t="s">
        <v>982</v>
      </c>
    </row>
    <row r="18" spans="1:105" x14ac:dyDescent="0.25">
      <c r="A18" s="60" t="s">
        <v>153</v>
      </c>
      <c r="B18" s="55">
        <v>12.897506448839209</v>
      </c>
      <c r="C18" s="55">
        <v>14.359587274290631</v>
      </c>
      <c r="D18" s="55">
        <v>15.004385210662081</v>
      </c>
      <c r="E18" s="55">
        <v>16.61668099742046</v>
      </c>
      <c r="F18" s="55">
        <v>21.496216680997421</v>
      </c>
      <c r="G18" s="55">
        <v>26.54772141014617</v>
      </c>
      <c r="H18" s="55">
        <v>32.007652622527942</v>
      </c>
      <c r="I18" s="55">
        <v>32.438005159071373</v>
      </c>
      <c r="J18" s="55">
        <v>34.738091143594147</v>
      </c>
      <c r="K18" s="55">
        <v>25.967153912295789</v>
      </c>
      <c r="L18" s="55">
        <v>24.50584694754944</v>
      </c>
      <c r="M18" s="55">
        <v>27.5579535683577</v>
      </c>
      <c r="N18" s="55">
        <v>22.549527085124669</v>
      </c>
      <c r="O18" s="55">
        <v>20.464574376612209</v>
      </c>
      <c r="P18" s="55">
        <v>21.26001719690456</v>
      </c>
      <c r="Q18" s="55">
        <v>15.49896818572657</v>
      </c>
      <c r="R18" s="55">
        <v>14.5743766122098</v>
      </c>
      <c r="S18" s="55">
        <v>15.14075666380052</v>
      </c>
      <c r="T18" s="55">
        <v>14.31650902837489</v>
      </c>
      <c r="U18" s="55">
        <v>9.9295786758383482</v>
      </c>
      <c r="V18" s="55">
        <v>10.986414445399824</v>
      </c>
      <c r="W18" s="55">
        <v>12.49570077386071</v>
      </c>
      <c r="DA18" s="10" t="s">
        <v>983</v>
      </c>
    </row>
    <row r="19" spans="1:105" x14ac:dyDescent="0.25">
      <c r="A19" s="60" t="s">
        <v>51</v>
      </c>
      <c r="B19" s="55">
        <f>SUM(B20:B25)</f>
        <v>14.593465176268269</v>
      </c>
      <c r="C19" s="55">
        <f t="shared" ref="C19:W19" si="24">SUM(C20:C25)</f>
        <v>1.5525365434221841</v>
      </c>
      <c r="D19" s="55">
        <f t="shared" si="24"/>
        <v>2.412381771281169</v>
      </c>
      <c r="E19" s="55">
        <f t="shared" si="24"/>
        <v>3.1527944969905422</v>
      </c>
      <c r="F19" s="55">
        <f t="shared" si="24"/>
        <v>3.3915735167669818</v>
      </c>
      <c r="G19" s="55">
        <f t="shared" si="24"/>
        <v>5.3024075666380046</v>
      </c>
      <c r="H19" s="55">
        <f t="shared" si="24"/>
        <v>3.0094582975064492</v>
      </c>
      <c r="I19" s="55">
        <f t="shared" si="24"/>
        <v>2.3406706792777299</v>
      </c>
      <c r="J19" s="55">
        <f t="shared" si="24"/>
        <v>2.1496130696474629</v>
      </c>
      <c r="K19" s="55">
        <f t="shared" si="24"/>
        <v>3.654342218400688</v>
      </c>
      <c r="L19" s="55">
        <f t="shared" si="24"/>
        <v>3.3438521066208078</v>
      </c>
      <c r="M19" s="55">
        <f t="shared" si="24"/>
        <v>3.5827171109200342</v>
      </c>
      <c r="N19" s="55">
        <f t="shared" si="24"/>
        <v>3.988736027515047</v>
      </c>
      <c r="O19" s="55">
        <f t="shared" si="24"/>
        <v>11.848925193465174</v>
      </c>
      <c r="P19" s="55">
        <f t="shared" si="24"/>
        <v>6.8787618228718834</v>
      </c>
      <c r="Q19" s="55">
        <f t="shared" si="24"/>
        <v>11.22579535683577</v>
      </c>
      <c r="R19" s="55">
        <f t="shared" si="24"/>
        <v>17.698538263112638</v>
      </c>
      <c r="S19" s="55">
        <f t="shared" si="24"/>
        <v>7.7619948409286321</v>
      </c>
      <c r="T19" s="55">
        <f t="shared" si="24"/>
        <v>4.9063628546861562</v>
      </c>
      <c r="U19" s="55">
        <f t="shared" si="24"/>
        <v>4.82871883061049</v>
      </c>
      <c r="V19" s="55">
        <f t="shared" si="24"/>
        <v>5.6562338779019772</v>
      </c>
      <c r="W19" s="55">
        <f t="shared" si="24"/>
        <v>10.264918314703353</v>
      </c>
      <c r="DA19" s="10"/>
    </row>
    <row r="20" spans="1:105" x14ac:dyDescent="0.25">
      <c r="A20" s="61" t="s">
        <v>171</v>
      </c>
      <c r="B20" s="55">
        <v>14.593465176268269</v>
      </c>
      <c r="C20" s="55">
        <v>1.5525365434221841</v>
      </c>
      <c r="D20" s="55">
        <v>2.412381771281169</v>
      </c>
      <c r="E20" s="55">
        <v>3.1527944969905422</v>
      </c>
      <c r="F20" s="55">
        <v>3.3915735167669818</v>
      </c>
      <c r="G20" s="55">
        <v>5.3024075666380046</v>
      </c>
      <c r="H20" s="55">
        <v>3.0094582975064492</v>
      </c>
      <c r="I20" s="55">
        <v>2.3406706792777299</v>
      </c>
      <c r="J20" s="55">
        <v>2.1496130696474629</v>
      </c>
      <c r="K20" s="55">
        <v>3.654342218400688</v>
      </c>
      <c r="L20" s="55">
        <v>3.3438521066208078</v>
      </c>
      <c r="M20" s="55">
        <v>3.5827171109200342</v>
      </c>
      <c r="N20" s="55">
        <v>3.988736027515047</v>
      </c>
      <c r="O20" s="55">
        <v>5.5173688736027513</v>
      </c>
      <c r="P20" s="55">
        <v>6.8787618228718834</v>
      </c>
      <c r="Q20" s="55">
        <v>11.22579535683577</v>
      </c>
      <c r="R20" s="55">
        <v>2.412381771281169</v>
      </c>
      <c r="S20" s="55">
        <v>6.5677558039552872</v>
      </c>
      <c r="T20" s="55">
        <v>3.7121238177128109</v>
      </c>
      <c r="U20" s="55">
        <v>3.6344797936371451</v>
      </c>
      <c r="V20" s="55">
        <v>2.9572656921754081</v>
      </c>
      <c r="W20" s="55">
        <v>3.0396388650042989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15.28615649183147</v>
      </c>
      <c r="S21" s="55">
        <v>1.1942390369733451</v>
      </c>
      <c r="T21" s="55">
        <v>1.1942390369733451</v>
      </c>
      <c r="U21" s="55">
        <v>1.1942390369733451</v>
      </c>
      <c r="V21" s="55">
        <v>2.698968185726569</v>
      </c>
      <c r="W21" s="55">
        <v>7.2252794496990536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6.3315563198624236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7.1625107480653469E-2</v>
      </c>
      <c r="C26" s="55">
        <v>0.2149613069647463</v>
      </c>
      <c r="D26" s="55">
        <v>0.19105760963026661</v>
      </c>
      <c r="E26" s="55">
        <v>0.40601891659501288</v>
      </c>
      <c r="F26" s="55">
        <v>0.3343938091143594</v>
      </c>
      <c r="G26" s="55">
        <v>0.31049011177987962</v>
      </c>
      <c r="H26" s="55">
        <v>4.7807394668959592E-2</v>
      </c>
      <c r="I26" s="55">
        <v>0.64488392089423896</v>
      </c>
      <c r="J26" s="55">
        <v>0.42992261392949271</v>
      </c>
      <c r="K26" s="55">
        <v>0.23886500429922611</v>
      </c>
      <c r="L26" s="55">
        <v>8.8612209802235586</v>
      </c>
      <c r="M26" s="55">
        <v>9.7926913155631983</v>
      </c>
      <c r="N26" s="55">
        <v>10.628632846087701</v>
      </c>
      <c r="O26" s="55">
        <v>9.8404127257093723</v>
      </c>
      <c r="P26" s="55">
        <v>9.3866723989681855</v>
      </c>
      <c r="Q26" s="55">
        <v>2.7466895958727431</v>
      </c>
      <c r="R26" s="55">
        <v>7.9296646603611336</v>
      </c>
      <c r="S26" s="55">
        <v>9.0472914875322434</v>
      </c>
      <c r="T26" s="55">
        <v>8.7450558899398096</v>
      </c>
      <c r="U26" s="55">
        <v>10.366380051590712</v>
      </c>
      <c r="V26" s="55">
        <v>13.090627687016342</v>
      </c>
      <c r="W26" s="55">
        <v>8.1221840068787614</v>
      </c>
      <c r="DA26" s="10" t="s">
        <v>990</v>
      </c>
    </row>
    <row r="27" spans="1:105" x14ac:dyDescent="0.25">
      <c r="A27" s="62" t="s">
        <v>24</v>
      </c>
      <c r="B27" s="63">
        <v>15.04729148753224</v>
      </c>
      <c r="C27" s="63">
        <v>14.015477214101461</v>
      </c>
      <c r="D27" s="63">
        <v>14.27343078245916</v>
      </c>
      <c r="E27" s="63">
        <v>15.219260533104039</v>
      </c>
      <c r="F27" s="63">
        <v>13.499570077386068</v>
      </c>
      <c r="G27" s="63">
        <v>16.251074806534817</v>
      </c>
      <c r="H27" s="63">
        <v>16.852966466036111</v>
      </c>
      <c r="I27" s="63">
        <v>18.400687876182285</v>
      </c>
      <c r="J27" s="63">
        <v>24.591573516766985</v>
      </c>
      <c r="K27" s="63">
        <v>21.668099742046426</v>
      </c>
      <c r="L27" s="63">
        <v>19.432502149613065</v>
      </c>
      <c r="M27" s="63">
        <v>24.333619948409286</v>
      </c>
      <c r="N27" s="63">
        <v>23.0438521066208</v>
      </c>
      <c r="O27" s="63">
        <v>21.754084264832329</v>
      </c>
      <c r="P27" s="63">
        <v>20.722269991401546</v>
      </c>
      <c r="Q27" s="63">
        <v>19.002579535683576</v>
      </c>
      <c r="R27" s="63">
        <v>19.174548581255376</v>
      </c>
      <c r="S27" s="63">
        <v>19.126913155631978</v>
      </c>
      <c r="T27" s="63">
        <v>22.752536543422181</v>
      </c>
      <c r="U27" s="63">
        <v>28.439810834049865</v>
      </c>
      <c r="V27" s="63">
        <v>32.846603611349948</v>
      </c>
      <c r="W27" s="63">
        <v>27.309458297506445</v>
      </c>
      <c r="DA27" s="11" t="s">
        <v>991</v>
      </c>
    </row>
    <row r="29" spans="1:105" x14ac:dyDescent="0.25">
      <c r="A29" s="219" t="s">
        <v>84</v>
      </c>
      <c r="B29" s="220">
        <v>874.10779131401227</v>
      </c>
      <c r="C29" s="220">
        <v>797.54212029335929</v>
      </c>
      <c r="D29" s="220">
        <v>808.07463199517213</v>
      </c>
      <c r="E29" s="220">
        <v>810.70807775912635</v>
      </c>
      <c r="F29" s="220">
        <v>793.4654944114036</v>
      </c>
      <c r="G29" s="220">
        <v>861.58733497683045</v>
      </c>
      <c r="H29" s="220">
        <v>835.71772593767707</v>
      </c>
      <c r="I29" s="220">
        <v>745.42118558645711</v>
      </c>
      <c r="J29" s="220">
        <v>477.51263084694705</v>
      </c>
      <c r="K29" s="220">
        <v>475.82046673571</v>
      </c>
      <c r="L29" s="220">
        <v>458.74416710294139</v>
      </c>
      <c r="M29" s="220">
        <v>500.64363668769226</v>
      </c>
      <c r="N29" s="220">
        <v>490.61586505743838</v>
      </c>
      <c r="O29" s="220">
        <v>457.87089940067398</v>
      </c>
      <c r="P29" s="220">
        <v>464.49032606021353</v>
      </c>
      <c r="Q29" s="220">
        <v>468.11704802482268</v>
      </c>
      <c r="R29" s="220">
        <v>432.18653918555043</v>
      </c>
      <c r="S29" s="220">
        <v>437.26327358882025</v>
      </c>
      <c r="T29" s="220">
        <v>461.48613713855883</v>
      </c>
      <c r="U29" s="220">
        <v>475.9332600441839</v>
      </c>
      <c r="V29" s="220">
        <v>443.78713456750552</v>
      </c>
      <c r="W29" s="220">
        <v>487.40517607641243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105.42469618358659</v>
      </c>
      <c r="C31" s="59">
        <f t="shared" si="25"/>
        <v>92.535482473611339</v>
      </c>
      <c r="D31" s="59">
        <f t="shared" si="25"/>
        <v>96.344394444423074</v>
      </c>
      <c r="E31" s="59">
        <f t="shared" si="25"/>
        <v>98.11441506335386</v>
      </c>
      <c r="F31" s="59">
        <f t="shared" si="25"/>
        <v>96.376488493951285</v>
      </c>
      <c r="G31" s="59">
        <f t="shared" si="25"/>
        <v>114.70629875865065</v>
      </c>
      <c r="H31" s="59">
        <f t="shared" si="25"/>
        <v>123.17333322630292</v>
      </c>
      <c r="I31" s="59">
        <f t="shared" si="25"/>
        <v>137.64271198669343</v>
      </c>
      <c r="J31" s="59">
        <f t="shared" si="25"/>
        <v>71.612960863787748</v>
      </c>
      <c r="K31" s="59">
        <f t="shared" si="25"/>
        <v>101.65386731951754</v>
      </c>
      <c r="L31" s="59">
        <f t="shared" si="25"/>
        <v>105.53185926160228</v>
      </c>
      <c r="M31" s="59">
        <f t="shared" si="25"/>
        <v>99.317286357811724</v>
      </c>
      <c r="N31" s="59">
        <f t="shared" si="25"/>
        <v>101.5685319185388</v>
      </c>
      <c r="O31" s="59">
        <f t="shared" si="25"/>
        <v>97.343287477637872</v>
      </c>
      <c r="P31" s="59">
        <f t="shared" si="25"/>
        <v>94.323466848701003</v>
      </c>
      <c r="Q31" s="59">
        <f t="shared" si="25"/>
        <v>99.852976311062903</v>
      </c>
      <c r="R31" s="59">
        <f t="shared" si="25"/>
        <v>96.965325814704258</v>
      </c>
      <c r="S31" s="59">
        <f t="shared" si="25"/>
        <v>90.140869480258047</v>
      </c>
      <c r="T31" s="59">
        <f t="shared" si="25"/>
        <v>109.67938833149807</v>
      </c>
      <c r="U31" s="59">
        <f t="shared" si="25"/>
        <v>116.58088619175095</v>
      </c>
      <c r="V31" s="59">
        <f t="shared" si="25"/>
        <v>112.34080267549699</v>
      </c>
      <c r="W31" s="59">
        <f t="shared" si="25"/>
        <v>87.418162789514184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127.81056238438657</v>
      </c>
      <c r="E32" s="55">
        <f t="shared" si="26"/>
        <v>135.43288032890189</v>
      </c>
      <c r="F32" s="55">
        <f t="shared" si="26"/>
        <v>134.84363036747558</v>
      </c>
      <c r="G32" s="55">
        <f t="shared" si="26"/>
        <v>154.42655608236754</v>
      </c>
      <c r="H32" s="55">
        <f t="shared" si="26"/>
        <v>146.93020171673029</v>
      </c>
      <c r="I32" s="55">
        <f t="shared" si="26"/>
        <v>137.23851152262927</v>
      </c>
      <c r="J32" s="55">
        <f t="shared" si="26"/>
        <v>139.32723127138397</v>
      </c>
      <c r="K32" s="55">
        <f t="shared" si="26"/>
        <v>156.36023356757104</v>
      </c>
      <c r="L32" s="55">
        <f t="shared" si="26"/>
        <v>144.5858594059342</v>
      </c>
      <c r="M32" s="55">
        <f t="shared" si="26"/>
        <v>132.80026593791032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132.91816907674803</v>
      </c>
      <c r="R32" s="55">
        <f t="shared" si="26"/>
        <v>135.38540863538171</v>
      </c>
      <c r="S32" s="55">
        <f t="shared" si="26"/>
        <v>124.90211009173744</v>
      </c>
      <c r="T32" s="55">
        <f t="shared" si="26"/>
        <v>141.27985612939977</v>
      </c>
      <c r="U32" s="55">
        <f t="shared" si="26"/>
        <v>142.01198459584063</v>
      </c>
      <c r="V32" s="55">
        <f t="shared" si="26"/>
        <v>148.62601044661255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46.211523960917148</v>
      </c>
      <c r="C33" s="55">
        <f>IF(AGR_ued!C$5=0,"",AGR_ued!C$5/C$5*1000)</f>
        <v>45.223091142610329</v>
      </c>
      <c r="D33" s="55">
        <f>IF(AGR_ued!D$5=0,"",AGR_ued!D$5/D$5*1000)</f>
        <v>47.283177751372186</v>
      </c>
      <c r="E33" s="55">
        <f>IF(AGR_ued!E$5=0,"",AGR_ued!E$5/E$5*1000)</f>
        <v>50.150609681445452</v>
      </c>
      <c r="F33" s="55">
        <f>IF(AGR_ued!F$5=0,"",AGR_ued!F$5/F$5*1000)</f>
        <v>49.803196172679208</v>
      </c>
      <c r="G33" s="55">
        <f>IF(AGR_ued!G$5=0,"",AGR_ued!G$5/G$5*1000)</f>
        <v>56.994116822183486</v>
      </c>
      <c r="H33" s="55">
        <f>IF(AGR_ued!H$5=0,"",AGR_ued!H$5/H$5*1000)</f>
        <v>54.727369471630695</v>
      </c>
      <c r="I33" s="55">
        <f>IF(AGR_ued!I$5=0,"",AGR_ued!I$5/I$5*1000)</f>
        <v>51.423291361081624</v>
      </c>
      <c r="J33" s="55">
        <f>IF(AGR_ued!J$5=0,"",AGR_ued!J$5/J$5*1000)</f>
        <v>53.932524208136151</v>
      </c>
      <c r="K33" s="55">
        <f>IF(AGR_ued!K$5=0,"",AGR_ued!K$5/K$5*1000)</f>
        <v>59.913007273065148</v>
      </c>
      <c r="L33" s="55">
        <f>IF(AGR_ued!L$5=0,"",AGR_ued!L$5/L$5*1000)</f>
        <v>56.384146231782566</v>
      </c>
      <c r="M33" s="55">
        <f>IF(AGR_ued!M$5=0,"",AGR_ued!M$5/M$5*1000)</f>
        <v>52.106130782015804</v>
      </c>
      <c r="N33" s="55">
        <f>IF(AGR_ued!N$5=0,"",AGR_ued!N$5/N$5*1000)</f>
        <v>52.903278395123429</v>
      </c>
      <c r="O33" s="55">
        <f>IF(AGR_ued!O$5=0,"",AGR_ued!O$5/O$5*1000)</f>
        <v>51.749292683000235</v>
      </c>
      <c r="P33" s="55">
        <f>IF(AGR_ued!P$5=0,"",AGR_ued!P$5/P$5*1000)</f>
        <v>50.544759760291356</v>
      </c>
      <c r="Q33" s="55">
        <f>IF(AGR_ued!Q$5=0,"",AGR_ued!Q$5/Q$5*1000)</f>
        <v>50.205064353946248</v>
      </c>
      <c r="R33" s="55">
        <f>IF(AGR_ued!R$5=0,"",AGR_ued!R$5/R$5*1000)</f>
        <v>52.716303525872561</v>
      </c>
      <c r="S33" s="55">
        <f>IF(AGR_ued!S$5=0,"",AGR_ued!S$5/S$5*1000)</f>
        <v>48.238805149397834</v>
      </c>
      <c r="T33" s="55">
        <f>IF(AGR_ued!T$5=0,"",AGR_ued!T$5/T$5*1000)</f>
        <v>54.970026589115832</v>
      </c>
      <c r="U33" s="55">
        <f>IF(AGR_ued!U$5=0,"",AGR_ued!U$5/U$5*1000)</f>
        <v>55.549792698476843</v>
      </c>
      <c r="V33" s="55">
        <f>IF(AGR_ued!V$5=0,"",AGR_ued!V$5/V$5*1000)</f>
        <v>59.562304008942711</v>
      </c>
      <c r="W33" s="55">
        <f>IF(AGR_ued!W$5=0,"",AGR_ued!W$5/W$5*1000)</f>
        <v>55.440638872000491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2.7867268389807696</v>
      </c>
      <c r="C34" s="218">
        <f t="shared" si="27"/>
        <v>2.8932291356858371</v>
      </c>
      <c r="D34" s="218">
        <f t="shared" si="27"/>
        <v>2.8865507991240902</v>
      </c>
      <c r="E34" s="218">
        <f t="shared" si="27"/>
        <v>2.8588575116672366</v>
      </c>
      <c r="F34" s="218">
        <f t="shared" si="27"/>
        <v>2.86833475330703</v>
      </c>
      <c r="G34" s="218">
        <f t="shared" si="27"/>
        <v>2.8326537984363536</v>
      </c>
      <c r="H34" s="218">
        <f t="shared" si="27"/>
        <v>2.8318700570765554</v>
      </c>
      <c r="I34" s="218">
        <f t="shared" si="27"/>
        <v>2.7943071091693765</v>
      </c>
      <c r="J34" s="218">
        <f t="shared" si="27"/>
        <v>2.5457335411202076</v>
      </c>
      <c r="K34" s="218">
        <f t="shared" si="27"/>
        <v>2.5815967445356209</v>
      </c>
      <c r="L34" s="218">
        <f t="shared" si="27"/>
        <v>2.4842220005136868</v>
      </c>
      <c r="M34" s="218">
        <f t="shared" si="27"/>
        <v>2.4454710035834211</v>
      </c>
      <c r="N34" s="218">
        <f t="shared" si="27"/>
        <v>2.4512951281023785</v>
      </c>
      <c r="O34" s="218">
        <f t="shared" si="27"/>
        <v>2.3597869338457205</v>
      </c>
      <c r="P34" s="218">
        <f t="shared" si="27"/>
        <v>2.4382936403230722</v>
      </c>
      <c r="Q34" s="218">
        <f t="shared" si="27"/>
        <v>2.5200575409742725</v>
      </c>
      <c r="R34" s="218">
        <f t="shared" si="27"/>
        <v>2.3328429628635146</v>
      </c>
      <c r="S34" s="218">
        <f t="shared" si="27"/>
        <v>2.4620536779656161</v>
      </c>
      <c r="T34" s="218">
        <f t="shared" si="27"/>
        <v>2.4824130578908195</v>
      </c>
      <c r="U34" s="218">
        <f t="shared" si="27"/>
        <v>2.4163531058673979</v>
      </c>
      <c r="V34" s="218">
        <f t="shared" si="27"/>
        <v>2.2735677663882465</v>
      </c>
      <c r="W34" s="218">
        <f t="shared" si="27"/>
        <v>2.3937237673304872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313.6682717110919</v>
      </c>
      <c r="C5" s="80">
        <f t="shared" ref="C5:W5" si="1">SUM(C6:C9,C16:C17,C25:C27)</f>
        <v>275.65812553740329</v>
      </c>
      <c r="D5" s="80">
        <f t="shared" si="1"/>
        <v>279.94471195184883</v>
      </c>
      <c r="E5" s="80">
        <f t="shared" si="1"/>
        <v>283.5776440240756</v>
      </c>
      <c r="F5" s="80">
        <f t="shared" si="1"/>
        <v>276.62932072226994</v>
      </c>
      <c r="G5" s="80">
        <f t="shared" si="1"/>
        <v>304.16259673258816</v>
      </c>
      <c r="H5" s="80">
        <f t="shared" si="1"/>
        <v>295.11160791057614</v>
      </c>
      <c r="I5" s="80">
        <f t="shared" si="1"/>
        <v>266.764230438521</v>
      </c>
      <c r="J5" s="80">
        <f t="shared" si="1"/>
        <v>187.57368873602761</v>
      </c>
      <c r="K5" s="80">
        <f t="shared" si="1"/>
        <v>184.31246775580388</v>
      </c>
      <c r="L5" s="80">
        <f t="shared" si="1"/>
        <v>184.6631126397248</v>
      </c>
      <c r="M5" s="80">
        <f t="shared" si="1"/>
        <v>204.72278589853829</v>
      </c>
      <c r="N5" s="80">
        <f t="shared" si="1"/>
        <v>200.14557179707651</v>
      </c>
      <c r="O5" s="80">
        <f t="shared" si="1"/>
        <v>194.03061049011171</v>
      </c>
      <c r="P5" s="80">
        <f t="shared" si="1"/>
        <v>190.49810834049865</v>
      </c>
      <c r="Q5" s="80">
        <f t="shared" si="1"/>
        <v>185.75649183147021</v>
      </c>
      <c r="R5" s="80">
        <f t="shared" si="1"/>
        <v>185.26173688736023</v>
      </c>
      <c r="S5" s="80">
        <f t="shared" si="1"/>
        <v>177.60103181427343</v>
      </c>
      <c r="T5" s="80">
        <f t="shared" si="1"/>
        <v>185.90223559759232</v>
      </c>
      <c r="U5" s="80">
        <f t="shared" si="1"/>
        <v>196.96345657781592</v>
      </c>
      <c r="V5" s="80">
        <f t="shared" si="1"/>
        <v>195.1941530524505</v>
      </c>
      <c r="W5" s="80">
        <f t="shared" si="1"/>
        <v>203.61797076526221</v>
      </c>
      <c r="DA5" s="103"/>
    </row>
    <row r="6" spans="1:105" x14ac:dyDescent="0.25">
      <c r="A6" s="239" t="s">
        <v>125</v>
      </c>
      <c r="B6" s="240">
        <v>2.9452663670501642</v>
      </c>
      <c r="C6" s="240">
        <v>2.7407929220519032</v>
      </c>
      <c r="D6" s="240">
        <v>2.7914949863916481</v>
      </c>
      <c r="E6" s="240">
        <v>2.9684555530766521</v>
      </c>
      <c r="F6" s="240">
        <v>2.6432970333057608</v>
      </c>
      <c r="G6" s="240">
        <v>3.1651889071431998</v>
      </c>
      <c r="H6" s="240">
        <v>3.2762330551900081</v>
      </c>
      <c r="I6" s="240">
        <v>3.530893976446591</v>
      </c>
      <c r="J6" s="240">
        <v>4.2825200292295094</v>
      </c>
      <c r="K6" s="240">
        <v>3.8665599765290288</v>
      </c>
      <c r="L6" s="240">
        <v>3.570053403403624</v>
      </c>
      <c r="M6" s="240">
        <v>4.3781014029432264</v>
      </c>
      <c r="N6" s="240">
        <v>4.1743274272949229</v>
      </c>
      <c r="O6" s="240">
        <v>3.9474347058138219</v>
      </c>
      <c r="P6" s="240">
        <v>3.775389369765151</v>
      </c>
      <c r="Q6" s="240">
        <v>3.4699253590442929</v>
      </c>
      <c r="R6" s="240">
        <v>3.5281032780658061</v>
      </c>
      <c r="S6" s="240">
        <v>3.4811767298092469</v>
      </c>
      <c r="T6" s="240">
        <v>4.051497249081442</v>
      </c>
      <c r="U6" s="240">
        <v>4.8421262064751076</v>
      </c>
      <c r="V6" s="240">
        <v>5.4006521152644096</v>
      </c>
      <c r="W6" s="240">
        <v>4.7364683912101722</v>
      </c>
      <c r="DA6" s="268" t="s">
        <v>993</v>
      </c>
    </row>
    <row r="7" spans="1:105" x14ac:dyDescent="0.25">
      <c r="A7" s="241" t="s">
        <v>124</v>
      </c>
      <c r="B7" s="242">
        <v>1.914423138582606</v>
      </c>
      <c r="C7" s="242">
        <v>1.781515399333736</v>
      </c>
      <c r="D7" s="242">
        <v>1.8144717411545701</v>
      </c>
      <c r="E7" s="242">
        <v>1.9294961094998231</v>
      </c>
      <c r="F7" s="242">
        <v>1.718143071648744</v>
      </c>
      <c r="G7" s="242">
        <v>2.0573727896430789</v>
      </c>
      <c r="H7" s="242">
        <v>2.1295514858735038</v>
      </c>
      <c r="I7" s="242">
        <v>2.2950810846902829</v>
      </c>
      <c r="J7" s="242">
        <v>2.7836380189991812</v>
      </c>
      <c r="K7" s="242">
        <v>2.5132639847438671</v>
      </c>
      <c r="L7" s="242">
        <v>2.3205347122123561</v>
      </c>
      <c r="M7" s="242">
        <v>2.8457659119130971</v>
      </c>
      <c r="N7" s="242">
        <v>2.7133128277416989</v>
      </c>
      <c r="O7" s="242">
        <v>2.5658325587789839</v>
      </c>
      <c r="P7" s="242">
        <v>2.454003090347348</v>
      </c>
      <c r="Q7" s="242">
        <v>2.2554514833787902</v>
      </c>
      <c r="R7" s="242">
        <v>2.2932671307427741</v>
      </c>
      <c r="S7" s="242">
        <v>2.26276487437601</v>
      </c>
      <c r="T7" s="242">
        <v>2.6334732119029369</v>
      </c>
      <c r="U7" s="242">
        <v>3.1473820342088188</v>
      </c>
      <c r="V7" s="242">
        <v>3.5104238749218659</v>
      </c>
      <c r="W7" s="242">
        <v>3.0787044542866102</v>
      </c>
      <c r="DA7" s="269" t="s">
        <v>994</v>
      </c>
    </row>
    <row r="8" spans="1:105" x14ac:dyDescent="0.25">
      <c r="A8" s="241" t="s">
        <v>123</v>
      </c>
      <c r="B8" s="242">
        <v>2.6507397303451481</v>
      </c>
      <c r="C8" s="242">
        <v>2.4667136298467121</v>
      </c>
      <c r="D8" s="242">
        <v>2.5123454877524818</v>
      </c>
      <c r="E8" s="242">
        <v>2.6716099977689858</v>
      </c>
      <c r="F8" s="242">
        <v>2.3789673299751839</v>
      </c>
      <c r="G8" s="242">
        <v>2.8486700164288812</v>
      </c>
      <c r="H8" s="242">
        <v>2.948609749671006</v>
      </c>
      <c r="I8" s="242">
        <v>3.1778045788019309</v>
      </c>
      <c r="J8" s="242">
        <v>3.854268026306559</v>
      </c>
      <c r="K8" s="242">
        <v>3.4799039788761239</v>
      </c>
      <c r="L8" s="242">
        <v>3.2130480630632618</v>
      </c>
      <c r="M8" s="242">
        <v>3.9402912626489028</v>
      </c>
      <c r="N8" s="242">
        <v>3.756894684565431</v>
      </c>
      <c r="O8" s="242">
        <v>3.5526912352324409</v>
      </c>
      <c r="P8" s="242">
        <v>3.3978504327886361</v>
      </c>
      <c r="Q8" s="242">
        <v>3.122932823139863</v>
      </c>
      <c r="R8" s="242">
        <v>3.1752929502592249</v>
      </c>
      <c r="S8" s="242">
        <v>3.1330590568283232</v>
      </c>
      <c r="T8" s="242">
        <v>3.6463475241732981</v>
      </c>
      <c r="U8" s="242">
        <v>4.3579135858275952</v>
      </c>
      <c r="V8" s="242">
        <v>4.8605869037379703</v>
      </c>
      <c r="W8" s="242">
        <v>4.2628215520891546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65.169572784158234</v>
      </c>
      <c r="C9" s="244">
        <f t="shared" ref="C9:W9" si="3">SUM(C10:C15)</f>
        <v>58.323721220813972</v>
      </c>
      <c r="D9" s="244">
        <f t="shared" si="3"/>
        <v>59.373502354527254</v>
      </c>
      <c r="E9" s="244">
        <f t="shared" si="3"/>
        <v>59.837914286070003</v>
      </c>
      <c r="F9" s="244">
        <f t="shared" si="3"/>
        <v>58.525509346573102</v>
      </c>
      <c r="G9" s="244">
        <f t="shared" si="3"/>
        <v>63.299349067632669</v>
      </c>
      <c r="H9" s="244">
        <f t="shared" si="3"/>
        <v>62.271591105010849</v>
      </c>
      <c r="I9" s="244">
        <f t="shared" si="3"/>
        <v>55.664244662908644</v>
      </c>
      <c r="J9" s="244">
        <f t="shared" si="3"/>
        <v>37.422526641188739</v>
      </c>
      <c r="K9" s="244">
        <f t="shared" si="3"/>
        <v>36.757038830966721</v>
      </c>
      <c r="L9" s="244">
        <f t="shared" si="3"/>
        <v>40.304329465944363</v>
      </c>
      <c r="M9" s="244">
        <f t="shared" si="3"/>
        <v>44.320828889033791</v>
      </c>
      <c r="N9" s="244">
        <f t="shared" si="3"/>
        <v>43.692976290382305</v>
      </c>
      <c r="O9" s="244">
        <f t="shared" si="3"/>
        <v>41.927221803421915</v>
      </c>
      <c r="P9" s="244">
        <f t="shared" si="3"/>
        <v>41.073632071521871</v>
      </c>
      <c r="Q9" s="244">
        <f t="shared" si="3"/>
        <v>37.465243624863426</v>
      </c>
      <c r="R9" s="244">
        <f t="shared" si="3"/>
        <v>40.26571757292232</v>
      </c>
      <c r="S9" s="244">
        <f t="shared" si="3"/>
        <v>37.992069275310556</v>
      </c>
      <c r="T9" s="244">
        <f t="shared" si="3"/>
        <v>39.40624999795704</v>
      </c>
      <c r="U9" s="244">
        <f t="shared" si="3"/>
        <v>41.028732664931105</v>
      </c>
      <c r="V9" s="244">
        <f t="shared" si="3"/>
        <v>42.103142992221002</v>
      </c>
      <c r="W9" s="244">
        <f t="shared" si="3"/>
        <v>42.063586290928676</v>
      </c>
      <c r="DA9" s="270"/>
    </row>
    <row r="10" spans="1:105" x14ac:dyDescent="0.25">
      <c r="A10" s="254" t="s">
        <v>173</v>
      </c>
      <c r="B10" s="255">
        <v>59.573104706237601</v>
      </c>
      <c r="C10" s="255">
        <v>52.362553630490773</v>
      </c>
      <c r="D10" s="255">
        <v>53.234989696851962</v>
      </c>
      <c r="E10" s="255">
        <v>52.761062541308448</v>
      </c>
      <c r="F10" s="255">
        <v>49.577054568320023</v>
      </c>
      <c r="G10" s="255">
        <v>51.891042837977757</v>
      </c>
      <c r="H10" s="255">
        <v>49.555895915190582</v>
      </c>
      <c r="I10" s="255">
        <v>41.920185100650023</v>
      </c>
      <c r="J10" s="255">
        <v>20.769632951921562</v>
      </c>
      <c r="K10" s="255">
        <v>24.446265014580721</v>
      </c>
      <c r="L10" s="255">
        <v>21.699068650770741</v>
      </c>
      <c r="M10" s="255">
        <v>23.025368345058101</v>
      </c>
      <c r="N10" s="255">
        <v>23.584576508205359</v>
      </c>
      <c r="O10" s="255">
        <v>23.191417580389459</v>
      </c>
      <c r="P10" s="255">
        <v>22.562827720171409</v>
      </c>
      <c r="Q10" s="255">
        <v>27.139198731634249</v>
      </c>
      <c r="R10" s="255">
        <v>20.623300617109109</v>
      </c>
      <c r="S10" s="255">
        <v>21.477291482270211</v>
      </c>
      <c r="T10" s="255">
        <v>22.892288515382241</v>
      </c>
      <c r="U10" s="255">
        <v>22.57572299211585</v>
      </c>
      <c r="V10" s="255">
        <v>18.860252909917691</v>
      </c>
      <c r="W10" s="255">
        <v>23.283405465828629</v>
      </c>
      <c r="DA10" s="271" t="s">
        <v>996</v>
      </c>
    </row>
    <row r="11" spans="1:105" x14ac:dyDescent="0.25">
      <c r="A11" s="254" t="s">
        <v>176</v>
      </c>
      <c r="B11" s="256">
        <v>5.2038833173262411</v>
      </c>
      <c r="C11" s="256">
        <v>5.4346936788075348</v>
      </c>
      <c r="D11" s="256">
        <v>5.6314991968218413</v>
      </c>
      <c r="E11" s="256">
        <v>6.2938500597795297</v>
      </c>
      <c r="F11" s="256">
        <v>8.3309760575391092</v>
      </c>
      <c r="G11" s="256">
        <v>10.67268584637422</v>
      </c>
      <c r="H11" s="256">
        <v>12.19608660444819</v>
      </c>
      <c r="I11" s="256">
        <v>12.352957646697099</v>
      </c>
      <c r="J11" s="256">
        <v>13.0439977039458</v>
      </c>
      <c r="K11" s="256">
        <v>9.736608951904504</v>
      </c>
      <c r="L11" s="256">
        <v>8.1618047014815485</v>
      </c>
      <c r="M11" s="256">
        <v>9.0596562942814423</v>
      </c>
      <c r="N11" s="256">
        <v>7.3075519653961827</v>
      </c>
      <c r="O11" s="256">
        <v>6.878480760967256</v>
      </c>
      <c r="P11" s="256">
        <v>7.2788088091191296</v>
      </c>
      <c r="Q11" s="256">
        <v>5.9264025560756766</v>
      </c>
      <c r="R11" s="256">
        <v>10.17872010358308</v>
      </c>
      <c r="S11" s="256">
        <v>5.7464567982818462</v>
      </c>
      <c r="T11" s="256">
        <v>5.2738552939618746</v>
      </c>
      <c r="U11" s="256">
        <v>3.857449818691725</v>
      </c>
      <c r="V11" s="256">
        <v>4.3089193597611883</v>
      </c>
      <c r="W11" s="256">
        <v>7.0308804760462191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7.1625107480471004E-2</v>
      </c>
      <c r="C14" s="255">
        <v>0.2149613069642137</v>
      </c>
      <c r="D14" s="255">
        <v>0.19105760962979129</v>
      </c>
      <c r="E14" s="255">
        <v>0.4060189165941015</v>
      </c>
      <c r="F14" s="255">
        <v>0.3343938091134927</v>
      </c>
      <c r="G14" s="255">
        <v>0.31049011177922248</v>
      </c>
      <c r="H14" s="255">
        <v>4.7807394668865272E-2</v>
      </c>
      <c r="I14" s="255">
        <v>0.64488392089268243</v>
      </c>
      <c r="J14" s="255">
        <v>0.42992261392876813</v>
      </c>
      <c r="K14" s="255">
        <v>0.23886500429866581</v>
      </c>
      <c r="L14" s="255">
        <v>8.8612209801947941</v>
      </c>
      <c r="M14" s="255">
        <v>9.7926913155515276</v>
      </c>
      <c r="N14" s="255">
        <v>10.62863284607042</v>
      </c>
      <c r="O14" s="255">
        <v>9.8404127256914542</v>
      </c>
      <c r="P14" s="255">
        <v>9.3866723989472245</v>
      </c>
      <c r="Q14" s="255">
        <v>2.7466895958648871</v>
      </c>
      <c r="R14" s="255">
        <v>7.9296646603330183</v>
      </c>
      <c r="S14" s="255">
        <v>9.0472914875128261</v>
      </c>
      <c r="T14" s="255">
        <v>8.7450558899253004</v>
      </c>
      <c r="U14" s="255">
        <v>10.366380051587329</v>
      </c>
      <c r="V14" s="255">
        <v>13.09062768702475</v>
      </c>
      <c r="W14" s="255">
        <v>8.1221840068708939</v>
      </c>
      <c r="DA14" s="271" t="s">
        <v>1000</v>
      </c>
    </row>
    <row r="15" spans="1:105" x14ac:dyDescent="0.25">
      <c r="A15" s="254" t="s">
        <v>24</v>
      </c>
      <c r="B15" s="256">
        <v>0.32095965311391528</v>
      </c>
      <c r="C15" s="256">
        <v>0.31151260455145169</v>
      </c>
      <c r="D15" s="256">
        <v>0.31595585122365533</v>
      </c>
      <c r="E15" s="256">
        <v>0.37698276838792388</v>
      </c>
      <c r="F15" s="256">
        <v>0.28308491160047361</v>
      </c>
      <c r="G15" s="256">
        <v>0.42513027150146421</v>
      </c>
      <c r="H15" s="256">
        <v>0.47180119070321319</v>
      </c>
      <c r="I15" s="256">
        <v>0.74621799466884087</v>
      </c>
      <c r="J15" s="256">
        <v>3.1789733713926109</v>
      </c>
      <c r="K15" s="256">
        <v>2.3352998601828281</v>
      </c>
      <c r="L15" s="256">
        <v>1.5822351334972791</v>
      </c>
      <c r="M15" s="256">
        <v>2.4431129341427189</v>
      </c>
      <c r="N15" s="256">
        <v>2.17221497071034</v>
      </c>
      <c r="O15" s="256">
        <v>2.016910736373744</v>
      </c>
      <c r="P15" s="256">
        <v>1.8453231432841051</v>
      </c>
      <c r="Q15" s="256">
        <v>1.652952741288618</v>
      </c>
      <c r="R15" s="256">
        <v>1.534032191897108</v>
      </c>
      <c r="S15" s="256">
        <v>1.7210295072456721</v>
      </c>
      <c r="T15" s="256">
        <v>2.49505029868762</v>
      </c>
      <c r="U15" s="256">
        <v>4.2291798025362013</v>
      </c>
      <c r="V15" s="256">
        <v>5.8433430355173703</v>
      </c>
      <c r="W15" s="256">
        <v>3.6271163421829322</v>
      </c>
      <c r="DA15" s="272" t="s">
        <v>1001</v>
      </c>
    </row>
    <row r="16" spans="1:105" x14ac:dyDescent="0.25">
      <c r="A16" s="257" t="s">
        <v>175</v>
      </c>
      <c r="B16" s="258">
        <v>87.216490581409204</v>
      </c>
      <c r="C16" s="258">
        <v>77.783865844054034</v>
      </c>
      <c r="D16" s="258">
        <v>79.168158123194132</v>
      </c>
      <c r="E16" s="258">
        <v>79.576340469072406</v>
      </c>
      <c r="F16" s="258">
        <v>77.056464068163493</v>
      </c>
      <c r="G16" s="258">
        <v>82.980751996133151</v>
      </c>
      <c r="H16" s="258">
        <v>81.318493439560257</v>
      </c>
      <c r="I16" s="258">
        <v>72.072840600224012</v>
      </c>
      <c r="J16" s="258">
        <v>45.977180979902528</v>
      </c>
      <c r="K16" s="258">
        <v>47.007973912364299</v>
      </c>
      <c r="L16" s="258">
        <v>47.046308023965587</v>
      </c>
      <c r="M16" s="258">
        <v>51.421066876186281</v>
      </c>
      <c r="N16" s="258">
        <v>50.81966363294584</v>
      </c>
      <c r="O16" s="258">
        <v>49.130703187223432</v>
      </c>
      <c r="P16" s="258">
        <v>48.111966402416932</v>
      </c>
      <c r="Q16" s="258">
        <v>48.093336195763769</v>
      </c>
      <c r="R16" s="258">
        <v>46.70989101739292</v>
      </c>
      <c r="S16" s="258">
        <v>44.704693780185892</v>
      </c>
      <c r="T16" s="258">
        <v>46.874303453560202</v>
      </c>
      <c r="U16" s="258">
        <v>47.956413098040827</v>
      </c>
      <c r="V16" s="258">
        <v>46.114626120258102</v>
      </c>
      <c r="W16" s="258">
        <v>49.897496790361728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129.7965010067897</v>
      </c>
      <c r="C17" s="258">
        <f t="shared" ref="C17:W17" si="5">SUM(C18:C24)</f>
        <v>110.89975581097721</v>
      </c>
      <c r="D17" s="258">
        <f t="shared" si="5"/>
        <v>112.2327551931224</v>
      </c>
      <c r="E17" s="258">
        <f t="shared" si="5"/>
        <v>114.02985451506314</v>
      </c>
      <c r="F17" s="258">
        <f t="shared" si="5"/>
        <v>113.02382040290992</v>
      </c>
      <c r="G17" s="258">
        <f t="shared" si="5"/>
        <v>126.11110809826468</v>
      </c>
      <c r="H17" s="258">
        <f t="shared" si="5"/>
        <v>119.51433188966479</v>
      </c>
      <c r="I17" s="258">
        <f t="shared" si="5"/>
        <v>107.52327833657382</v>
      </c>
      <c r="J17" s="258">
        <f t="shared" si="5"/>
        <v>73.926482482308387</v>
      </c>
      <c r="K17" s="258">
        <f t="shared" si="5"/>
        <v>72.181681191029753</v>
      </c>
      <c r="L17" s="258">
        <f t="shared" si="5"/>
        <v>70.421867974988601</v>
      </c>
      <c r="M17" s="258">
        <f t="shared" si="5"/>
        <v>77.209396589301619</v>
      </c>
      <c r="N17" s="258">
        <f t="shared" si="5"/>
        <v>74.995872853091328</v>
      </c>
      <c r="O17" s="258">
        <f t="shared" si="5"/>
        <v>73.794637911192638</v>
      </c>
      <c r="P17" s="258">
        <f t="shared" si="5"/>
        <v>73.190447721602467</v>
      </c>
      <c r="Q17" s="258">
        <f t="shared" si="5"/>
        <v>73.60674986895738</v>
      </c>
      <c r="R17" s="258">
        <f t="shared" si="5"/>
        <v>71.669917080327693</v>
      </c>
      <c r="S17" s="258">
        <f t="shared" si="5"/>
        <v>68.90800564323456</v>
      </c>
      <c r="T17" s="258">
        <f t="shared" si="5"/>
        <v>70.356907854501955</v>
      </c>
      <c r="U17" s="258">
        <f t="shared" si="5"/>
        <v>74.55245535011116</v>
      </c>
      <c r="V17" s="258">
        <f t="shared" si="5"/>
        <v>71.111813648019591</v>
      </c>
      <c r="W17" s="258">
        <f t="shared" si="5"/>
        <v>78.386325887626128</v>
      </c>
      <c r="DA17" s="273"/>
    </row>
    <row r="18" spans="1:105" x14ac:dyDescent="0.25">
      <c r="A18" s="61" t="s">
        <v>29</v>
      </c>
      <c r="B18" s="55">
        <v>0.93559759243068297</v>
      </c>
      <c r="C18" s="55">
        <v>0.75821152192394403</v>
      </c>
      <c r="D18" s="55">
        <v>2.0306964746289018</v>
      </c>
      <c r="E18" s="55">
        <v>1.1446259673229531</v>
      </c>
      <c r="F18" s="55">
        <v>2.6825451418666981</v>
      </c>
      <c r="G18" s="55">
        <v>4.7059329320607031</v>
      </c>
      <c r="H18" s="55">
        <v>6.0992261392809626</v>
      </c>
      <c r="I18" s="55">
        <v>8.0531384350572282</v>
      </c>
      <c r="J18" s="55">
        <v>6.5114359414945113</v>
      </c>
      <c r="K18" s="55">
        <v>5.0969905416745984</v>
      </c>
      <c r="L18" s="55">
        <v>3.9854686156247761</v>
      </c>
      <c r="M18" s="55">
        <v>4.818400687862332</v>
      </c>
      <c r="N18" s="55">
        <v>4.3754084264672324</v>
      </c>
      <c r="O18" s="55">
        <v>6.6870163370320901</v>
      </c>
      <c r="P18" s="55">
        <v>5.6955288047879709</v>
      </c>
      <c r="Q18" s="55">
        <v>6.7746345657402944</v>
      </c>
      <c r="R18" s="55">
        <v>7.5006018916106214</v>
      </c>
      <c r="S18" s="55">
        <v>9.5053310403670448</v>
      </c>
      <c r="T18" s="55">
        <v>9.0253654341777825</v>
      </c>
      <c r="U18" s="55">
        <v>10.00421324155004</v>
      </c>
      <c r="V18" s="55">
        <v>9.465348237277901</v>
      </c>
      <c r="W18" s="55">
        <v>9.5518486671913223</v>
      </c>
      <c r="DA18" s="101" t="s">
        <v>1003</v>
      </c>
    </row>
    <row r="19" spans="1:105" x14ac:dyDescent="0.25">
      <c r="A19" s="61" t="s">
        <v>27</v>
      </c>
      <c r="B19" s="55">
        <v>1.129750644880686</v>
      </c>
      <c r="C19" s="55">
        <v>1.129750644880779</v>
      </c>
      <c r="D19" s="55">
        <v>1.1297506448807699</v>
      </c>
      <c r="E19" s="55">
        <v>2.2595012897620612</v>
      </c>
      <c r="F19" s="55">
        <v>0</v>
      </c>
      <c r="G19" s="55">
        <v>3.7439380911344271</v>
      </c>
      <c r="H19" s="55">
        <v>2.495958727423349</v>
      </c>
      <c r="I19" s="55">
        <v>2.197420464309749</v>
      </c>
      <c r="J19" s="55">
        <v>3.296044711933618</v>
      </c>
      <c r="K19" s="55">
        <v>5.4934651762382058</v>
      </c>
      <c r="L19" s="55">
        <v>3.2960447119316632</v>
      </c>
      <c r="M19" s="55">
        <v>3.2960447119423728</v>
      </c>
      <c r="N19" s="55">
        <v>2.197420464308387</v>
      </c>
      <c r="O19" s="55">
        <v>2.1974204643074722</v>
      </c>
      <c r="P19" s="55">
        <v>3.296044711936128</v>
      </c>
      <c r="Q19" s="55">
        <v>2.1974204643041411</v>
      </c>
      <c r="R19" s="55">
        <v>2.1974204643021031</v>
      </c>
      <c r="S19" s="55">
        <v>2.5973344797811548</v>
      </c>
      <c r="T19" s="55">
        <v>2.8620808254374479</v>
      </c>
      <c r="U19" s="55">
        <v>2.3665520206205608</v>
      </c>
      <c r="V19" s="55">
        <v>1.9062768701554389</v>
      </c>
      <c r="W19" s="55">
        <v>1.8798796216585409</v>
      </c>
      <c r="DA19" s="101" t="s">
        <v>1004</v>
      </c>
    </row>
    <row r="20" spans="1:105" x14ac:dyDescent="0.25">
      <c r="A20" s="61" t="s">
        <v>173</v>
      </c>
      <c r="B20" s="55">
        <v>88.075190859072407</v>
      </c>
      <c r="C20" s="55">
        <v>85.990167460632762</v>
      </c>
      <c r="D20" s="55">
        <v>88.602603487186656</v>
      </c>
      <c r="E20" s="55">
        <v>86.535828392639957</v>
      </c>
      <c r="F20" s="55">
        <v>78.345424147587352</v>
      </c>
      <c r="G20" s="55">
        <v>77.185083712623083</v>
      </c>
      <c r="H20" s="55">
        <v>80.499584444355307</v>
      </c>
      <c r="I20" s="55">
        <v>68.159297032431454</v>
      </c>
      <c r="J20" s="55">
        <v>34.542965139202501</v>
      </c>
      <c r="K20" s="55">
        <v>40.750964261787743</v>
      </c>
      <c r="L20" s="55">
        <v>43.452460294890507</v>
      </c>
      <c r="M20" s="55">
        <v>47.013936804574897</v>
      </c>
      <c r="N20" s="55">
        <v>49.192332815154373</v>
      </c>
      <c r="O20" s="55">
        <v>45.806738620695711</v>
      </c>
      <c r="P20" s="55">
        <v>43.338903994336789</v>
      </c>
      <c r="Q20" s="55">
        <v>43.83633385255947</v>
      </c>
      <c r="R20" s="55">
        <v>39.877699952855679</v>
      </c>
      <c r="S20" s="55">
        <v>39.574496835478811</v>
      </c>
      <c r="T20" s="55">
        <v>44.435406312829549</v>
      </c>
      <c r="U20" s="55">
        <v>42.526414197391823</v>
      </c>
      <c r="V20" s="55">
        <v>41.041025355280603</v>
      </c>
      <c r="W20" s="55">
        <v>42.024429063778072</v>
      </c>
      <c r="DA20" s="101" t="s">
        <v>1005</v>
      </c>
    </row>
    <row r="21" spans="1:105" x14ac:dyDescent="0.25">
      <c r="A21" s="61" t="s">
        <v>129</v>
      </c>
      <c r="B21" s="55">
        <v>17.368873602701761</v>
      </c>
      <c r="C21" s="55">
        <v>12.544196044677051</v>
      </c>
      <c r="D21" s="55">
        <v>8.6844368013515307</v>
      </c>
      <c r="E21" s="55">
        <v>10.614273430755309</v>
      </c>
      <c r="F21" s="55">
        <v>15.43903697330011</v>
      </c>
      <c r="G21" s="55">
        <v>19.29871023211096</v>
      </c>
      <c r="H21" s="55">
        <v>7.5985382630952447</v>
      </c>
      <c r="I21" s="55">
        <v>6.6877042132213056</v>
      </c>
      <c r="J21" s="55">
        <v>5.7323301805357936</v>
      </c>
      <c r="K21" s="55">
        <v>0.95537403266889021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7.4548581255015775E-2</v>
      </c>
      <c r="T21" s="55">
        <v>8.5038693034838547E-2</v>
      </c>
      <c r="U21" s="55">
        <v>8.7544282028653075</v>
      </c>
      <c r="V21" s="55">
        <v>6.365434221813584</v>
      </c>
      <c r="W21" s="55">
        <v>9.2004299225671442</v>
      </c>
      <c r="DA21" s="101" t="s">
        <v>1006</v>
      </c>
    </row>
    <row r="22" spans="1:105" x14ac:dyDescent="0.25">
      <c r="A22" s="61" t="s">
        <v>176</v>
      </c>
      <c r="B22" s="55">
        <v>7.6936231314776808</v>
      </c>
      <c r="C22" s="55">
        <v>8.9248935954448054</v>
      </c>
      <c r="D22" s="55">
        <v>9.3728860138000911</v>
      </c>
      <c r="E22" s="55">
        <v>10.32283093760039</v>
      </c>
      <c r="F22" s="55">
        <v>13.16524062339861</v>
      </c>
      <c r="G22" s="55">
        <v>15.87503556371049</v>
      </c>
      <c r="H22" s="55">
        <v>19.81156601801035</v>
      </c>
      <c r="I22" s="55">
        <v>20.08504751228347</v>
      </c>
      <c r="J22" s="55">
        <v>21.694093439506389</v>
      </c>
      <c r="K22" s="55">
        <v>16.230544960279619</v>
      </c>
      <c r="L22" s="55">
        <v>16.34404224594131</v>
      </c>
      <c r="M22" s="55">
        <v>18.49829727401228</v>
      </c>
      <c r="N22" s="55">
        <v>15.24197511966087</v>
      </c>
      <c r="O22" s="55">
        <v>13.58609361557709</v>
      </c>
      <c r="P22" s="55">
        <v>13.9812083877025</v>
      </c>
      <c r="Q22" s="55">
        <v>9.5725656295804384</v>
      </c>
      <c r="R22" s="55">
        <v>19.68181300029384</v>
      </c>
      <c r="S22" s="55">
        <v>10.5885389024288</v>
      </c>
      <c r="T22" s="55">
        <v>10.236892771327639</v>
      </c>
      <c r="U22" s="55">
        <v>7.266367894070429</v>
      </c>
      <c r="V22" s="55">
        <v>9.3764632713289586</v>
      </c>
      <c r="W22" s="55">
        <v>12.690099747442209</v>
      </c>
      <c r="DA22" s="101" t="s">
        <v>1007</v>
      </c>
    </row>
    <row r="23" spans="1:105" x14ac:dyDescent="0.25">
      <c r="A23" s="61" t="s">
        <v>171</v>
      </c>
      <c r="B23" s="55">
        <v>14.593465176226481</v>
      </c>
      <c r="C23" s="55">
        <v>1.552536543417866</v>
      </c>
      <c r="D23" s="55">
        <v>2.4123817712744411</v>
      </c>
      <c r="E23" s="55">
        <v>3.152794496982477</v>
      </c>
      <c r="F23" s="55">
        <v>3.3915735167571648</v>
      </c>
      <c r="G23" s="55">
        <v>5.3024075666250212</v>
      </c>
      <c r="H23" s="55">
        <v>3.0094582974995601</v>
      </c>
      <c r="I23" s="55">
        <v>2.3406706792706209</v>
      </c>
      <c r="J23" s="55">
        <v>2.1496130696355742</v>
      </c>
      <c r="K23" s="55">
        <v>3.6543422183806888</v>
      </c>
      <c r="L23" s="55">
        <v>3.3438521066003308</v>
      </c>
      <c r="M23" s="55">
        <v>3.5827171109097349</v>
      </c>
      <c r="N23" s="55">
        <v>3.98873602750046</v>
      </c>
      <c r="O23" s="55">
        <v>5.5173688735802786</v>
      </c>
      <c r="P23" s="55">
        <v>6.8787618228390759</v>
      </c>
      <c r="Q23" s="55">
        <v>11.22579535677303</v>
      </c>
      <c r="R23" s="55">
        <v>2.4123817712654492</v>
      </c>
      <c r="S23" s="55">
        <v>6.567755803923724</v>
      </c>
      <c r="T23" s="55">
        <v>3.7121238176946911</v>
      </c>
      <c r="U23" s="55">
        <v>3.634479793612996</v>
      </c>
      <c r="V23" s="55">
        <v>2.9572656921631042</v>
      </c>
      <c r="W23" s="55">
        <v>3.0396388649888419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16.759375503483909</v>
      </c>
      <c r="C25" s="258">
        <v>14.94681805129855</v>
      </c>
      <c r="D25" s="258">
        <v>15.21282134904679</v>
      </c>
      <c r="E25" s="258">
        <v>15.291256988486809</v>
      </c>
      <c r="F25" s="258">
        <v>14.80704173809467</v>
      </c>
      <c r="G25" s="258">
        <v>15.94544303484169</v>
      </c>
      <c r="H25" s="258">
        <v>15.62602620039017</v>
      </c>
      <c r="I25" s="258">
        <v>13.849396956581581</v>
      </c>
      <c r="J25" s="258">
        <v>8.8348984864804017</v>
      </c>
      <c r="K25" s="258">
        <v>9.0329739387979782</v>
      </c>
      <c r="L25" s="258">
        <v>9.0403401578081191</v>
      </c>
      <c r="M25" s="258">
        <v>9.8809865293004506</v>
      </c>
      <c r="N25" s="258">
        <v>9.7654218841824321</v>
      </c>
      <c r="O25" s="258">
        <v>9.4408740592046296</v>
      </c>
      <c r="P25" s="258">
        <v>9.245115296131635</v>
      </c>
      <c r="Q25" s="258">
        <v>9.2415353466642074</v>
      </c>
      <c r="R25" s="258">
        <v>8.9756948263882919</v>
      </c>
      <c r="S25" s="258">
        <v>8.5903794664961985</v>
      </c>
      <c r="T25" s="258">
        <v>9.0072880461658986</v>
      </c>
      <c r="U25" s="258">
        <v>9.2152244323572763</v>
      </c>
      <c r="V25" s="258">
        <v>8.8613097156297567</v>
      </c>
      <c r="W25" s="258">
        <v>9.5882198402948333</v>
      </c>
      <c r="DA25" s="273" t="s">
        <v>1010</v>
      </c>
    </row>
    <row r="26" spans="1:105" x14ac:dyDescent="0.25">
      <c r="A26" s="257" t="s">
        <v>177</v>
      </c>
      <c r="B26" s="258">
        <v>2.9452663670501642</v>
      </c>
      <c r="C26" s="258">
        <v>2.7407929220519032</v>
      </c>
      <c r="D26" s="258">
        <v>2.7914949863916481</v>
      </c>
      <c r="E26" s="258">
        <v>2.9684555530766521</v>
      </c>
      <c r="F26" s="258">
        <v>2.6432970333057608</v>
      </c>
      <c r="G26" s="258">
        <v>3.1651889071431998</v>
      </c>
      <c r="H26" s="258">
        <v>3.2762330551900081</v>
      </c>
      <c r="I26" s="258">
        <v>3.530893976446591</v>
      </c>
      <c r="J26" s="258">
        <v>4.2825200292295094</v>
      </c>
      <c r="K26" s="258">
        <v>3.8665599765290288</v>
      </c>
      <c r="L26" s="258">
        <v>3.570053403403624</v>
      </c>
      <c r="M26" s="258">
        <v>4.3781014029432264</v>
      </c>
      <c r="N26" s="258">
        <v>4.1743274272949229</v>
      </c>
      <c r="O26" s="258">
        <v>3.9474347058138219</v>
      </c>
      <c r="P26" s="258">
        <v>3.775389369765151</v>
      </c>
      <c r="Q26" s="258">
        <v>3.4699253590442929</v>
      </c>
      <c r="R26" s="258">
        <v>3.5281032780658061</v>
      </c>
      <c r="S26" s="258">
        <v>3.4811767298092469</v>
      </c>
      <c r="T26" s="258">
        <v>4.051497249081442</v>
      </c>
      <c r="U26" s="258">
        <v>4.8421262064751076</v>
      </c>
      <c r="V26" s="258">
        <v>5.4006521152644096</v>
      </c>
      <c r="W26" s="258">
        <v>4.7364683912101722</v>
      </c>
      <c r="DA26" s="273" t="s">
        <v>1011</v>
      </c>
    </row>
    <row r="27" spans="1:105" x14ac:dyDescent="0.25">
      <c r="A27" s="129" t="s">
        <v>33</v>
      </c>
      <c r="B27" s="259">
        <v>4.2706362322227367</v>
      </c>
      <c r="C27" s="259">
        <v>3.9741497369752579</v>
      </c>
      <c r="D27" s="259">
        <v>4.0476677302678894</v>
      </c>
      <c r="E27" s="259">
        <v>4.3042605519611463</v>
      </c>
      <c r="F27" s="259">
        <v>3.832780698293353</v>
      </c>
      <c r="G27" s="259">
        <v>4.5895239153576393</v>
      </c>
      <c r="H27" s="259">
        <v>4.7505379300255113</v>
      </c>
      <c r="I27" s="259">
        <v>5.1197962658475573</v>
      </c>
      <c r="J27" s="259">
        <v>6.2096540423827902</v>
      </c>
      <c r="K27" s="259">
        <v>5.6065119659670897</v>
      </c>
      <c r="L27" s="259">
        <v>5.1765774349352558</v>
      </c>
      <c r="M27" s="259">
        <v>6.3482470342676782</v>
      </c>
      <c r="N27" s="259">
        <v>6.0527747695776366</v>
      </c>
      <c r="O27" s="259">
        <v>5.7237803234300433</v>
      </c>
      <c r="P27" s="259">
        <v>5.4743145861594691</v>
      </c>
      <c r="Q27" s="259">
        <v>5.0313917706142259</v>
      </c>
      <c r="R27" s="259">
        <v>5.1157497531954181</v>
      </c>
      <c r="S27" s="259">
        <v>5.0477062582234087</v>
      </c>
      <c r="T27" s="259">
        <v>5.8746710111680924</v>
      </c>
      <c r="U27" s="259">
        <v>7.0210829993889066</v>
      </c>
      <c r="V27" s="259">
        <v>7.8309455671333934</v>
      </c>
      <c r="W27" s="259">
        <v>6.8678791672547499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0.99999999999999989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1.0000000000000002</v>
      </c>
      <c r="K31" s="236">
        <f t="shared" si="6"/>
        <v>1.0000000000000002</v>
      </c>
      <c r="L31" s="236">
        <f t="shared" si="6"/>
        <v>0.99999999999999978</v>
      </c>
      <c r="M31" s="236">
        <f t="shared" si="6"/>
        <v>0.99999999999999989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0.99999999999999978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9.3897490842265955E-3</v>
      </c>
      <c r="C32" s="245">
        <f t="shared" si="8"/>
        <v>9.9427249485523062E-3</v>
      </c>
      <c r="D32" s="245">
        <f t="shared" si="8"/>
        <v>9.9715939155578404E-3</v>
      </c>
      <c r="E32" s="245">
        <f t="shared" si="8"/>
        <v>1.0467875785104667E-2</v>
      </c>
      <c r="F32" s="245">
        <f t="shared" si="8"/>
        <v>9.5553754981727908E-3</v>
      </c>
      <c r="G32" s="245">
        <f t="shared" si="8"/>
        <v>1.0406239758420893E-2</v>
      </c>
      <c r="H32" s="245">
        <f t="shared" si="8"/>
        <v>1.1101674645691208E-2</v>
      </c>
      <c r="I32" s="245">
        <f t="shared" si="8"/>
        <v>1.3236009830262185E-2</v>
      </c>
      <c r="J32" s="245">
        <f t="shared" si="8"/>
        <v>2.2831134036374892E-2</v>
      </c>
      <c r="K32" s="245">
        <f t="shared" si="8"/>
        <v>2.0978287706786312E-2</v>
      </c>
      <c r="L32" s="245">
        <f t="shared" si="8"/>
        <v>1.9332791223814955E-2</v>
      </c>
      <c r="M32" s="245">
        <f t="shared" si="8"/>
        <v>2.1385511064279075E-2</v>
      </c>
      <c r="N32" s="245">
        <f t="shared" si="8"/>
        <v>2.0856456577151693E-2</v>
      </c>
      <c r="O32" s="245">
        <f t="shared" si="8"/>
        <v>2.034439151555931E-2</v>
      </c>
      <c r="P32" s="245">
        <f t="shared" si="8"/>
        <v>1.9818513698923318E-2</v>
      </c>
      <c r="Q32" s="245">
        <f t="shared" si="8"/>
        <v>1.8679968192941671E-2</v>
      </c>
      <c r="R32" s="245">
        <f t="shared" si="8"/>
        <v>1.9043885355619357E-2</v>
      </c>
      <c r="S32" s="245">
        <f t="shared" si="8"/>
        <v>1.9601106447679276E-2</v>
      </c>
      <c r="T32" s="245">
        <f t="shared" si="8"/>
        <v>2.1793698370854417E-2</v>
      </c>
      <c r="U32" s="245">
        <f t="shared" si="8"/>
        <v>2.4583881145293012E-2</v>
      </c>
      <c r="V32" s="245">
        <f t="shared" si="8"/>
        <v>2.7668103940660577E-2</v>
      </c>
      <c r="W32" s="245">
        <f t="shared" si="8"/>
        <v>2.3261544024866722E-2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6.1033369047472849E-3</v>
      </c>
      <c r="C33" s="246">
        <f t="shared" si="9"/>
        <v>6.4627712165589947E-3</v>
      </c>
      <c r="D33" s="246">
        <f t="shared" si="9"/>
        <v>6.481536045112592E-3</v>
      </c>
      <c r="E33" s="246">
        <f t="shared" si="9"/>
        <v>6.804119260318031E-3</v>
      </c>
      <c r="F33" s="246">
        <f t="shared" si="9"/>
        <v>6.2109940738123122E-3</v>
      </c>
      <c r="G33" s="246">
        <f t="shared" si="9"/>
        <v>6.7640558429735778E-3</v>
      </c>
      <c r="H33" s="246">
        <f t="shared" si="9"/>
        <v>7.2160885196992808E-3</v>
      </c>
      <c r="I33" s="246">
        <f t="shared" si="9"/>
        <v>8.6034063896704167E-3</v>
      </c>
      <c r="J33" s="246">
        <f t="shared" si="9"/>
        <v>1.484023712364368E-2</v>
      </c>
      <c r="K33" s="246">
        <f t="shared" si="9"/>
        <v>1.3635887009411093E-2</v>
      </c>
      <c r="L33" s="246">
        <f t="shared" si="9"/>
        <v>1.2566314295479723E-2</v>
      </c>
      <c r="M33" s="246">
        <f t="shared" si="9"/>
        <v>1.3900582191781398E-2</v>
      </c>
      <c r="N33" s="246">
        <f t="shared" si="9"/>
        <v>1.3556696775148596E-2</v>
      </c>
      <c r="O33" s="246">
        <f t="shared" si="9"/>
        <v>1.322385448511355E-2</v>
      </c>
      <c r="P33" s="246">
        <f t="shared" si="9"/>
        <v>1.2882033904300157E-2</v>
      </c>
      <c r="Q33" s="246">
        <f t="shared" si="9"/>
        <v>1.2141979325412085E-2</v>
      </c>
      <c r="R33" s="246">
        <f t="shared" si="9"/>
        <v>1.2378525481152583E-2</v>
      </c>
      <c r="S33" s="246">
        <f t="shared" si="9"/>
        <v>1.2740719190991526E-2</v>
      </c>
      <c r="T33" s="246">
        <f t="shared" si="9"/>
        <v>1.416590394105537E-2</v>
      </c>
      <c r="U33" s="246">
        <f t="shared" si="9"/>
        <v>1.5979522744440453E-2</v>
      </c>
      <c r="V33" s="246">
        <f t="shared" si="9"/>
        <v>1.7984267561429373E-2</v>
      </c>
      <c r="W33" s="246">
        <f t="shared" si="9"/>
        <v>1.5120003616163362E-2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8.4507741758039368E-3</v>
      </c>
      <c r="C34" s="246">
        <f t="shared" si="10"/>
        <v>8.9484524536970721E-3</v>
      </c>
      <c r="D34" s="246">
        <f t="shared" si="10"/>
        <v>8.9744345240020517E-3</v>
      </c>
      <c r="E34" s="246">
        <f t="shared" si="10"/>
        <v>9.4210882065941959E-3</v>
      </c>
      <c r="F34" s="246">
        <f t="shared" si="10"/>
        <v>8.5998379483555095E-3</v>
      </c>
      <c r="G34" s="246">
        <f t="shared" si="10"/>
        <v>9.3656157825788081E-3</v>
      </c>
      <c r="H34" s="246">
        <f t="shared" si="10"/>
        <v>9.9915071811220828E-3</v>
      </c>
      <c r="I34" s="246">
        <f t="shared" si="10"/>
        <v>1.1912408847235963E-2</v>
      </c>
      <c r="J34" s="246">
        <f t="shared" si="10"/>
        <v>2.0548020632737404E-2</v>
      </c>
      <c r="K34" s="246">
        <f t="shared" si="10"/>
        <v>1.888045893610767E-2</v>
      </c>
      <c r="L34" s="246">
        <f t="shared" si="10"/>
        <v>1.7399512101433461E-2</v>
      </c>
      <c r="M34" s="246">
        <f t="shared" si="10"/>
        <v>1.924695995785116E-2</v>
      </c>
      <c r="N34" s="246">
        <f t="shared" si="10"/>
        <v>1.8770810919436526E-2</v>
      </c>
      <c r="O34" s="246">
        <f t="shared" si="10"/>
        <v>1.8309952364003384E-2</v>
      </c>
      <c r="P34" s="246">
        <f t="shared" si="10"/>
        <v>1.783666232903099E-2</v>
      </c>
      <c r="Q34" s="246">
        <f t="shared" si="10"/>
        <v>1.68119713736475E-2</v>
      </c>
      <c r="R34" s="246">
        <f t="shared" si="10"/>
        <v>1.7139496820057418E-2</v>
      </c>
      <c r="S34" s="246">
        <f t="shared" si="10"/>
        <v>1.7640995802911352E-2</v>
      </c>
      <c r="T34" s="246">
        <f t="shared" si="10"/>
        <v>1.9614328533768977E-2</v>
      </c>
      <c r="U34" s="246">
        <f t="shared" si="10"/>
        <v>2.2125493030763704E-2</v>
      </c>
      <c r="V34" s="246">
        <f t="shared" si="10"/>
        <v>2.4901293546594528E-2</v>
      </c>
      <c r="W34" s="246">
        <f t="shared" si="10"/>
        <v>2.0935389622380049E-2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0.20776590641014367</v>
      </c>
      <c r="C35" s="247">
        <f t="shared" si="11"/>
        <v>0.21157990937909132</v>
      </c>
      <c r="D35" s="247">
        <f t="shared" si="11"/>
        <v>0.21209010143667098</v>
      </c>
      <c r="E35" s="247">
        <f t="shared" si="11"/>
        <v>0.21101068983064755</v>
      </c>
      <c r="F35" s="247">
        <f t="shared" si="11"/>
        <v>0.21156654397214636</v>
      </c>
      <c r="G35" s="247">
        <f t="shared" si="11"/>
        <v>0.20811023363034939</v>
      </c>
      <c r="H35" s="247">
        <f t="shared" si="11"/>
        <v>0.21101030740844395</v>
      </c>
      <c r="I35" s="247">
        <f t="shared" si="11"/>
        <v>0.20866457459984364</v>
      </c>
      <c r="J35" s="247">
        <f t="shared" si="11"/>
        <v>0.19950840063636777</v>
      </c>
      <c r="K35" s="247">
        <f t="shared" si="11"/>
        <v>0.19942784814571649</v>
      </c>
      <c r="L35" s="247">
        <f t="shared" si="11"/>
        <v>0.2182586922195856</v>
      </c>
      <c r="M35" s="247">
        <f t="shared" si="11"/>
        <v>0.21649191952184274</v>
      </c>
      <c r="N35" s="247">
        <f t="shared" si="11"/>
        <v>0.21830598547881797</v>
      </c>
      <c r="O35" s="247">
        <f t="shared" si="11"/>
        <v>0.21608560472760369</v>
      </c>
      <c r="P35" s="247">
        <f t="shared" si="11"/>
        <v>0.21561175819187853</v>
      </c>
      <c r="Q35" s="247">
        <f t="shared" si="11"/>
        <v>0.20169009037301486</v>
      </c>
      <c r="R35" s="247">
        <f t="shared" si="11"/>
        <v>0.21734502898137037</v>
      </c>
      <c r="S35" s="247">
        <f t="shared" si="11"/>
        <v>0.21391806616889944</v>
      </c>
      <c r="T35" s="247">
        <f t="shared" si="11"/>
        <v>0.21197297531836354</v>
      </c>
      <c r="U35" s="247">
        <f t="shared" si="11"/>
        <v>0.20830631924212581</v>
      </c>
      <c r="V35" s="247">
        <f t="shared" si="11"/>
        <v>0.21569879186344015</v>
      </c>
      <c r="W35" s="247">
        <f t="shared" si="11"/>
        <v>0.20658091293631947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0.27805327617496822</v>
      </c>
      <c r="C36" s="260">
        <f t="shared" si="12"/>
        <v>0.28217512432260866</v>
      </c>
      <c r="D36" s="260">
        <f t="shared" si="12"/>
        <v>0.28279926265158833</v>
      </c>
      <c r="E36" s="260">
        <f t="shared" si="12"/>
        <v>0.28061570489074383</v>
      </c>
      <c r="F36" s="260">
        <f t="shared" si="12"/>
        <v>0.2785549408391404</v>
      </c>
      <c r="G36" s="260">
        <f t="shared" si="12"/>
        <v>0.2728170816778227</v>
      </c>
      <c r="H36" s="260">
        <f t="shared" si="12"/>
        <v>0.27555165998147096</v>
      </c>
      <c r="I36" s="260">
        <f t="shared" si="12"/>
        <v>0.27017430515982938</v>
      </c>
      <c r="J36" s="260">
        <f t="shared" si="12"/>
        <v>0.24511529996409145</v>
      </c>
      <c r="K36" s="260">
        <f t="shared" si="12"/>
        <v>0.2550450031120266</v>
      </c>
      <c r="L36" s="260">
        <f t="shared" si="12"/>
        <v>0.25476830402914463</v>
      </c>
      <c r="M36" s="260">
        <f t="shared" si="12"/>
        <v>0.25117412627273855</v>
      </c>
      <c r="N36" s="260">
        <f t="shared" si="12"/>
        <v>0.25391350493864961</v>
      </c>
      <c r="O36" s="260">
        <f t="shared" si="12"/>
        <v>0.25321109418313797</v>
      </c>
      <c r="P36" s="260">
        <f t="shared" si="12"/>
        <v>0.25255876198214533</v>
      </c>
      <c r="Q36" s="260">
        <f t="shared" si="12"/>
        <v>0.25890527820366582</v>
      </c>
      <c r="R36" s="260">
        <f t="shared" si="12"/>
        <v>0.25212918653457672</v>
      </c>
      <c r="S36" s="260">
        <f t="shared" si="12"/>
        <v>0.25171415573157196</v>
      </c>
      <c r="T36" s="260">
        <f t="shared" si="12"/>
        <v>0.25214491532541466</v>
      </c>
      <c r="U36" s="260">
        <f t="shared" si="12"/>
        <v>0.24347873423461325</v>
      </c>
      <c r="V36" s="260">
        <f t="shared" si="12"/>
        <v>0.23625003822664026</v>
      </c>
      <c r="W36" s="260">
        <f t="shared" si="12"/>
        <v>0.24505448415398107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0.41380181775713798</v>
      </c>
      <c r="C37" s="260">
        <f t="shared" si="13"/>
        <v>0.40230903984700256</v>
      </c>
      <c r="D37" s="260">
        <f t="shared" si="13"/>
        <v>0.40091043124410475</v>
      </c>
      <c r="E37" s="260">
        <f t="shared" si="13"/>
        <v>0.40211158008415521</v>
      </c>
      <c r="F37" s="260">
        <f t="shared" si="13"/>
        <v>0.40857498441527634</v>
      </c>
      <c r="G37" s="260">
        <f t="shared" si="13"/>
        <v>0.41461741007273911</v>
      </c>
      <c r="H37" s="260">
        <f t="shared" si="13"/>
        <v>0.40498011154437435</v>
      </c>
      <c r="I37" s="260">
        <f t="shared" si="13"/>
        <v>0.40306482679413741</v>
      </c>
      <c r="J37" s="260">
        <f t="shared" si="13"/>
        <v>0.39411968160601191</v>
      </c>
      <c r="K37" s="260">
        <f t="shared" si="13"/>
        <v>0.39162668738537793</v>
      </c>
      <c r="L37" s="260">
        <f t="shared" si="13"/>
        <v>0.38135319484395724</v>
      </c>
      <c r="M37" s="260">
        <f t="shared" si="13"/>
        <v>0.3771411973045688</v>
      </c>
      <c r="N37" s="260">
        <f t="shared" si="13"/>
        <v>0.37470663067743565</v>
      </c>
      <c r="O37" s="260">
        <f t="shared" si="13"/>
        <v>0.38032472157249331</v>
      </c>
      <c r="P37" s="260">
        <f t="shared" si="13"/>
        <v>0.38420564046116912</v>
      </c>
      <c r="Q37" s="260">
        <f t="shared" si="13"/>
        <v>0.39625398360633329</v>
      </c>
      <c r="R37" s="260">
        <f t="shared" si="13"/>
        <v>0.38685763333797979</v>
      </c>
      <c r="S37" s="260">
        <f t="shared" si="13"/>
        <v>0.38799327312070586</v>
      </c>
      <c r="T37" s="260">
        <f t="shared" si="13"/>
        <v>0.37846187071573423</v>
      </c>
      <c r="U37" s="260">
        <f t="shared" si="13"/>
        <v>0.37850907292874975</v>
      </c>
      <c r="V37" s="260">
        <f t="shared" si="13"/>
        <v>0.36431323651846875</v>
      </c>
      <c r="W37" s="260">
        <f t="shared" si="13"/>
        <v>0.38496762143844648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5.3430254236617028E-2</v>
      </c>
      <c r="C38" s="260">
        <f t="shared" si="14"/>
        <v>5.4222301708535911E-2</v>
      </c>
      <c r="D38" s="260">
        <f t="shared" si="14"/>
        <v>5.4342235089846709E-2</v>
      </c>
      <c r="E38" s="260">
        <f t="shared" si="14"/>
        <v>5.3922646268930105E-2</v>
      </c>
      <c r="F38" s="260">
        <f t="shared" si="14"/>
        <v>5.3526653282573146E-2</v>
      </c>
      <c r="G38" s="260">
        <f t="shared" si="14"/>
        <v>5.2424075826984433E-2</v>
      </c>
      <c r="H38" s="260">
        <f t="shared" si="14"/>
        <v>5.2949547837254585E-2</v>
      </c>
      <c r="I38" s="260">
        <f t="shared" si="14"/>
        <v>5.1916244294878733E-2</v>
      </c>
      <c r="J38" s="260">
        <f t="shared" si="14"/>
        <v>4.7100947611654384E-2</v>
      </c>
      <c r="K38" s="260">
        <f t="shared" si="14"/>
        <v>4.9009022822947557E-2</v>
      </c>
      <c r="L38" s="260">
        <f t="shared" si="14"/>
        <v>4.8955852788237671E-2</v>
      </c>
      <c r="M38" s="260">
        <f t="shared" si="14"/>
        <v>4.8265201579454478E-2</v>
      </c>
      <c r="N38" s="260">
        <f t="shared" si="14"/>
        <v>4.8791596019338329E-2</v>
      </c>
      <c r="O38" s="260">
        <f t="shared" si="14"/>
        <v>4.8656621938968546E-2</v>
      </c>
      <c r="P38" s="260">
        <f t="shared" si="14"/>
        <v>4.8531270870190497E-2</v>
      </c>
      <c r="Q38" s="260">
        <f t="shared" si="14"/>
        <v>4.9750806852277875E-2</v>
      </c>
      <c r="R38" s="260">
        <f t="shared" si="14"/>
        <v>4.8448724367976453E-2</v>
      </c>
      <c r="S38" s="260">
        <f t="shared" si="14"/>
        <v>4.8368972740426432E-2</v>
      </c>
      <c r="T38" s="260">
        <f t="shared" si="14"/>
        <v>4.8451746786215381E-2</v>
      </c>
      <c r="U38" s="260">
        <f t="shared" si="14"/>
        <v>4.6786467868046092E-2</v>
      </c>
      <c r="V38" s="260">
        <f t="shared" si="14"/>
        <v>4.5397413688147918E-2</v>
      </c>
      <c r="W38" s="260">
        <f t="shared" si="14"/>
        <v>4.7089261346919431E-2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9.3897490842265955E-3</v>
      </c>
      <c r="C39" s="260">
        <f t="shared" si="15"/>
        <v>9.9427249485523062E-3</v>
      </c>
      <c r="D39" s="260">
        <f t="shared" si="15"/>
        <v>9.9715939155578404E-3</v>
      </c>
      <c r="E39" s="260">
        <f t="shared" si="15"/>
        <v>1.0467875785104667E-2</v>
      </c>
      <c r="F39" s="260">
        <f t="shared" si="15"/>
        <v>9.5553754981727908E-3</v>
      </c>
      <c r="G39" s="260">
        <f t="shared" si="15"/>
        <v>1.0406239758420893E-2</v>
      </c>
      <c r="H39" s="260">
        <f t="shared" si="15"/>
        <v>1.1101674645691208E-2</v>
      </c>
      <c r="I39" s="260">
        <f t="shared" si="15"/>
        <v>1.3236009830262185E-2</v>
      </c>
      <c r="J39" s="260">
        <f t="shared" si="15"/>
        <v>2.2831134036374892E-2</v>
      </c>
      <c r="K39" s="260">
        <f t="shared" si="15"/>
        <v>2.0978287706786312E-2</v>
      </c>
      <c r="L39" s="260">
        <f t="shared" si="15"/>
        <v>1.9332791223814955E-2</v>
      </c>
      <c r="M39" s="260">
        <f t="shared" si="15"/>
        <v>2.1385511064279075E-2</v>
      </c>
      <c r="N39" s="260">
        <f t="shared" si="15"/>
        <v>2.0856456577151693E-2</v>
      </c>
      <c r="O39" s="260">
        <f t="shared" si="15"/>
        <v>2.034439151555931E-2</v>
      </c>
      <c r="P39" s="260">
        <f t="shared" si="15"/>
        <v>1.9818513698923318E-2</v>
      </c>
      <c r="Q39" s="260">
        <f t="shared" si="15"/>
        <v>1.8679968192941671E-2</v>
      </c>
      <c r="R39" s="260">
        <f t="shared" si="15"/>
        <v>1.9043885355619357E-2</v>
      </c>
      <c r="S39" s="260">
        <f t="shared" si="15"/>
        <v>1.9601106447679276E-2</v>
      </c>
      <c r="T39" s="260">
        <f t="shared" si="15"/>
        <v>2.1793698370854417E-2</v>
      </c>
      <c r="U39" s="260">
        <f t="shared" si="15"/>
        <v>2.4583881145293012E-2</v>
      </c>
      <c r="V39" s="260">
        <f t="shared" si="15"/>
        <v>2.7668103940660577E-2</v>
      </c>
      <c r="W39" s="260">
        <f t="shared" si="15"/>
        <v>2.3261544024866722E-2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1.361513617212856E-2</v>
      </c>
      <c r="C40" s="262">
        <f t="shared" si="16"/>
        <v>1.4416951175400837E-2</v>
      </c>
      <c r="D40" s="262">
        <f t="shared" si="16"/>
        <v>1.4458811177558867E-2</v>
      </c>
      <c r="E40" s="262">
        <f t="shared" si="16"/>
        <v>1.5178419888401769E-2</v>
      </c>
      <c r="F40" s="262">
        <f t="shared" si="16"/>
        <v>1.3855294472350546E-2</v>
      </c>
      <c r="G40" s="262">
        <f t="shared" si="16"/>
        <v>1.5089047649710294E-2</v>
      </c>
      <c r="H40" s="262">
        <f t="shared" si="16"/>
        <v>1.6097428236252251E-2</v>
      </c>
      <c r="I40" s="262">
        <f t="shared" si="16"/>
        <v>1.9192214253880173E-2</v>
      </c>
      <c r="J40" s="262">
        <f t="shared" si="16"/>
        <v>3.3105144352743601E-2</v>
      </c>
      <c r="K40" s="262">
        <f t="shared" si="16"/>
        <v>3.0418517174840138E-2</v>
      </c>
      <c r="L40" s="262">
        <f t="shared" si="16"/>
        <v>2.803254727453169E-2</v>
      </c>
      <c r="M40" s="262">
        <f t="shared" si="16"/>
        <v>3.1008991043204655E-2</v>
      </c>
      <c r="N40" s="262">
        <f t="shared" si="16"/>
        <v>3.0241862036869946E-2</v>
      </c>
      <c r="O40" s="262">
        <f t="shared" si="16"/>
        <v>2.9499367697561008E-2</v>
      </c>
      <c r="P40" s="262">
        <f t="shared" si="16"/>
        <v>2.8736844863438814E-2</v>
      </c>
      <c r="Q40" s="262">
        <f t="shared" si="16"/>
        <v>2.708595387976543E-2</v>
      </c>
      <c r="R40" s="262">
        <f t="shared" si="16"/>
        <v>2.7613633765648064E-2</v>
      </c>
      <c r="S40" s="262">
        <f t="shared" si="16"/>
        <v>2.8421604349134953E-2</v>
      </c>
      <c r="T40" s="262">
        <f t="shared" si="16"/>
        <v>3.1600862637738918E-2</v>
      </c>
      <c r="U40" s="262">
        <f t="shared" si="16"/>
        <v>3.5646627660674869E-2</v>
      </c>
      <c r="V40" s="262">
        <f t="shared" si="16"/>
        <v>4.0118750713957832E-2</v>
      </c>
      <c r="W40" s="262">
        <f t="shared" si="16"/>
        <v>3.3729238836056746E-2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122.34803499436492</v>
      </c>
      <c r="D44" s="237">
        <f t="shared" si="17"/>
        <v>127.81056238438663</v>
      </c>
      <c r="E44" s="237">
        <f t="shared" si="17"/>
        <v>135.43288032890189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156.36023356757102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135.04301399101357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132.91816907674797</v>
      </c>
      <c r="R44" s="237">
        <f t="shared" si="17"/>
        <v>135.38540863538171</v>
      </c>
      <c r="S44" s="237">
        <f t="shared" si="17"/>
        <v>124.90211009173748</v>
      </c>
      <c r="T44" s="237">
        <f t="shared" si="17"/>
        <v>141.27985612939972</v>
      </c>
      <c r="U44" s="237">
        <f t="shared" si="17"/>
        <v>142.01198459584063</v>
      </c>
      <c r="V44" s="237">
        <f t="shared" si="17"/>
        <v>148.62601044661253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1.1874171945422427</v>
      </c>
      <c r="C45" s="248">
        <f>IF(C$6=0,0,C$6/AGR!C$5*1000)</f>
        <v>1.2164728599448227</v>
      </c>
      <c r="D45" s="248">
        <f>IF(D$6=0,0,D$6/AGR!D$5*1000)</f>
        <v>1.2744750262161755</v>
      </c>
      <c r="E45" s="248">
        <f>IF(E$6=0,0,E$6/AGR!E$5*1000)</f>
        <v>1.4176945685018898</v>
      </c>
      <c r="F45" s="248">
        <f>IF(F$6=0,0,F$6/AGR!F$5*1000)</f>
        <v>1.2884815216980443</v>
      </c>
      <c r="G45" s="248">
        <f>IF(G$6=0,0,G$6/AGR!G$5*1000)</f>
        <v>1.6069997676603474</v>
      </c>
      <c r="H45" s="248">
        <f>IF(H$6=0,0,H$6/AGR!H$5*1000)</f>
        <v>1.63117129508492</v>
      </c>
      <c r="I45" s="248">
        <f>IF(I$6=0,0,I$6/AGR!I$5*1000)</f>
        <v>1.8164902876040709</v>
      </c>
      <c r="J45" s="248">
        <f>IF(J$6=0,0,J$6/AGR!J$5*1000)</f>
        <v>3.1809986920739712</v>
      </c>
      <c r="K45" s="248">
        <f>IF(K$6=0,0,K$6/AGR!K$5*1000)</f>
        <v>3.2801699656808112</v>
      </c>
      <c r="L45" s="248">
        <f>IF(L$6=0,0,L$6/AGR!L$5*1000)</f>
        <v>2.795248233810788</v>
      </c>
      <c r="M45" s="248">
        <f>IF(M$6=0,0,M$6/AGR!M$5*1000)</f>
        <v>2.8400015565543852</v>
      </c>
      <c r="N45" s="248">
        <f>IF(N$6=0,0,N$6/AGR!N$5*1000)</f>
        <v>2.8165187573512629</v>
      </c>
      <c r="O45" s="248">
        <f>IF(O$6=0,0,O$6/AGR!O$5*1000)</f>
        <v>2.7047910044826424</v>
      </c>
      <c r="P45" s="248">
        <f>IF(P$6=0,0,P$6/AGR!P$5*1000)</f>
        <v>2.5795657853767668</v>
      </c>
      <c r="Q45" s="248">
        <f>IF(Q$6=0,0,Q$6/AGR!Q$5*1000)</f>
        <v>2.4829071706176946</v>
      </c>
      <c r="R45" s="248">
        <f>IF(R$6=0,0,R$6/AGR!R$5*1000)</f>
        <v>2.5782642008758874</v>
      </c>
      <c r="S45" s="248">
        <f>IF(S$6=0,0,S$6/AGR!S$5*1000)</f>
        <v>2.4482195554479018</v>
      </c>
      <c r="T45" s="248">
        <f>IF(T$6=0,0,T$6/AGR!T$5*1000)</f>
        <v>3.0790105703618456</v>
      </c>
      <c r="U45" s="248">
        <f>IF(U$6=0,0,U$6/AGR!U$5*1000)</f>
        <v>3.4912057505113276</v>
      </c>
      <c r="V45" s="248">
        <f>IF(V$6=0,0,V$6/AGR!V$5*1000)</f>
        <v>4.11219990532258</v>
      </c>
      <c r="W45" s="248">
        <f>IF(W$6=0,0,W$6/AGR!W$5*1000)</f>
        <v>3.3157037779262311</v>
      </c>
      <c r="DA45" s="282"/>
    </row>
    <row r="46" spans="1:105" x14ac:dyDescent="0.25">
      <c r="A46" s="241" t="s">
        <v>124</v>
      </c>
      <c r="B46" s="249">
        <f>IF(B$7=0,0,B$7/AGR!B$5*1000)</f>
        <v>0.77182117645245751</v>
      </c>
      <c r="C46" s="249">
        <f>IF(C$7=0,0,C$7/AGR!C$5*1000)</f>
        <v>0.79070735896413435</v>
      </c>
      <c r="D46" s="249">
        <f>IF(D$7=0,0,D$7/AGR!D$5*1000)</f>
        <v>0.82840876704051358</v>
      </c>
      <c r="E46" s="249">
        <f>IF(E$7=0,0,E$7/AGR!E$5*1000)</f>
        <v>0.92150146952622802</v>
      </c>
      <c r="F46" s="249">
        <f>IF(F$7=0,0,F$7/AGR!F$5*1000)</f>
        <v>0.83751298910372862</v>
      </c>
      <c r="G46" s="249">
        <f>IF(G$7=0,0,G$7/AGR!G$5*1000)</f>
        <v>1.0445498489792253</v>
      </c>
      <c r="H46" s="249">
        <f>IF(H$7=0,0,H$7/AGR!H$5*1000)</f>
        <v>1.0602613418051974</v>
      </c>
      <c r="I46" s="249">
        <f>IF(I$7=0,0,I$7/AGR!I$5*1000)</f>
        <v>1.1807186869426456</v>
      </c>
      <c r="J46" s="249">
        <f>IF(J$7=0,0,J$7/AGR!J$5*1000)</f>
        <v>2.0676491498480813</v>
      </c>
      <c r="K46" s="249">
        <f>IF(K$7=0,0,K$7/AGR!K$5*1000)</f>
        <v>2.1321104776925264</v>
      </c>
      <c r="L46" s="249">
        <f>IF(L$7=0,0,L$7/AGR!L$5*1000)</f>
        <v>1.8169113519770126</v>
      </c>
      <c r="M46" s="249">
        <f>IF(M$7=0,0,M$7/AGR!M$5*1000)</f>
        <v>1.8460010117603503</v>
      </c>
      <c r="N46" s="249">
        <f>IF(N$7=0,0,N$7/AGR!N$5*1000)</f>
        <v>1.8307371922783204</v>
      </c>
      <c r="O46" s="249">
        <f>IF(O$7=0,0,O$7/AGR!O$5*1000)</f>
        <v>1.7581141529137172</v>
      </c>
      <c r="P46" s="249">
        <f>IF(P$7=0,0,P$7/AGR!P$5*1000)</f>
        <v>1.6767177604948982</v>
      </c>
      <c r="Q46" s="249">
        <f>IF(Q$7=0,0,Q$7/AGR!Q$5*1000)</f>
        <v>1.6138896609015017</v>
      </c>
      <c r="R46" s="249">
        <f>IF(R$7=0,0,R$7/AGR!R$5*1000)</f>
        <v>1.6758717305693271</v>
      </c>
      <c r="S46" s="249">
        <f>IF(S$7=0,0,S$7/AGR!S$5*1000)</f>
        <v>1.5913427110411358</v>
      </c>
      <c r="T46" s="249">
        <f>IF(T$7=0,0,T$7/AGR!T$5*1000)</f>
        <v>2.0013568707351994</v>
      </c>
      <c r="U46" s="249">
        <f>IF(U$7=0,0,U$7/AGR!U$5*1000)</f>
        <v>2.2692837378323625</v>
      </c>
      <c r="V46" s="249">
        <f>IF(V$7=0,0,V$7/AGR!V$5*1000)</f>
        <v>2.6729299384596774</v>
      </c>
      <c r="W46" s="249">
        <f>IF(W$7=0,0,W$7/AGR!W$5*1000)</f>
        <v>2.1552074556520489</v>
      </c>
      <c r="DA46" s="283"/>
    </row>
    <row r="47" spans="1:105" x14ac:dyDescent="0.25">
      <c r="A47" s="241" t="s">
        <v>123</v>
      </c>
      <c r="B47" s="249">
        <f>IF(B$8=0,0,B$8/AGR!B$5*1000)</f>
        <v>1.0686754750880185</v>
      </c>
      <c r="C47" s="249">
        <f>IF(C$8=0,0,C$8/AGR!C$5*1000)</f>
        <v>1.0948255739503401</v>
      </c>
      <c r="D47" s="249">
        <f>IF(D$8=0,0,D$8/AGR!D$5*1000)</f>
        <v>1.1470275235945573</v>
      </c>
      <c r="E47" s="249">
        <f>IF(E$8=0,0,E$8/AGR!E$5*1000)</f>
        <v>1.2759251116517003</v>
      </c>
      <c r="F47" s="249">
        <f>IF(F$8=0,0,F$8/AGR!F$5*1000)</f>
        <v>1.1596333695282395</v>
      </c>
      <c r="G47" s="249">
        <f>IF(G$8=0,0,G$8/AGR!G$5*1000)</f>
        <v>1.4462997908943132</v>
      </c>
      <c r="H47" s="249">
        <f>IF(H$8=0,0,H$8/AGR!H$5*1000)</f>
        <v>1.4680541655764272</v>
      </c>
      <c r="I47" s="249">
        <f>IF(I$8=0,0,I$8/AGR!I$5*1000)</f>
        <v>1.6348412588436634</v>
      </c>
      <c r="J47" s="249">
        <f>IF(J$8=0,0,J$8/AGR!J$5*1000)</f>
        <v>2.8628988228665744</v>
      </c>
      <c r="K47" s="249">
        <f>IF(K$8=0,0,K$8/AGR!K$5*1000)</f>
        <v>2.9521529691127286</v>
      </c>
      <c r="L47" s="249">
        <f>IF(L$8=0,0,L$8/AGR!L$5*1000)</f>
        <v>2.5157234104297093</v>
      </c>
      <c r="M47" s="249">
        <f>IF(M$8=0,0,M$8/AGR!M$5*1000)</f>
        <v>2.5560014008989458</v>
      </c>
      <c r="N47" s="249">
        <f>IF(N$8=0,0,N$8/AGR!N$5*1000)</f>
        <v>2.534866881616137</v>
      </c>
      <c r="O47" s="249">
        <f>IF(O$8=0,0,O$8/AGR!O$5*1000)</f>
        <v>2.434311904034379</v>
      </c>
      <c r="P47" s="249">
        <f>IF(P$8=0,0,P$8/AGR!P$5*1000)</f>
        <v>2.3216092068390903</v>
      </c>
      <c r="Q47" s="249">
        <f>IF(Q$8=0,0,Q$8/AGR!Q$5*1000)</f>
        <v>2.2346164535559252</v>
      </c>
      <c r="R47" s="249">
        <f>IF(R$8=0,0,R$8/AGR!R$5*1000)</f>
        <v>2.3204377807882985</v>
      </c>
      <c r="S47" s="249">
        <f>IF(S$8=0,0,S$8/AGR!S$5*1000)</f>
        <v>2.2033975999031123</v>
      </c>
      <c r="T47" s="249">
        <f>IF(T$8=0,0,T$8/AGR!T$5*1000)</f>
        <v>2.7711095133256616</v>
      </c>
      <c r="U47" s="249">
        <f>IF(U$8=0,0,U$8/AGR!U$5*1000)</f>
        <v>3.1420851754601937</v>
      </c>
      <c r="V47" s="249">
        <f>IF(V$8=0,0,V$8/AGR!V$5*1000)</f>
        <v>3.7009799147903237</v>
      </c>
      <c r="W47" s="249">
        <f>IF(W$8=0,0,W$8/AGR!W$5*1000)</f>
        <v>2.9841334001336075</v>
      </c>
      <c r="DA47" s="283"/>
    </row>
    <row r="48" spans="1:105" x14ac:dyDescent="0.25">
      <c r="A48" s="243" t="s">
        <v>122</v>
      </c>
      <c r="B48" s="250">
        <f>IF(B$9=0,0,B$9/AGR!B$5*1000)</f>
        <v>26.273844753262569</v>
      </c>
      <c r="C48" s="250">
        <f>IF(C$9=0,0,C$9/AGR!C$5*1000)</f>
        <v>25.886386156817625</v>
      </c>
      <c r="D48" s="250">
        <f>IF(D$9=0,0,D$9/AGR!D$5*1000)</f>
        <v>27.107355140782524</v>
      </c>
      <c r="E48" s="250">
        <f>IF(E$9=0,0,E$9/AGR!E$5*1000)</f>
        <v>28.577785503953116</v>
      </c>
      <c r="F48" s="250">
        <f>IF(F$9=0,0,F$9/AGR!F$5*1000)</f>
        <v>28.528400853504365</v>
      </c>
      <c r="G48" s="250">
        <f>IF(G$9=0,0,G$9/AGR!G$5*1000)</f>
        <v>32.13774666503177</v>
      </c>
      <c r="H48" s="250">
        <f>IF(H$9=0,0,H$9/AGR!H$5*1000)</f>
        <v>31.003787031831944</v>
      </c>
      <c r="I48" s="250">
        <f>IF(I$9=0,0,I$9/AGR!I$5*1000)</f>
        <v>28.636815625585175</v>
      </c>
      <c r="J48" s="250">
        <f>IF(J$9=0,0,J$9/AGR!J$5*1000)</f>
        <v>27.796953076047142</v>
      </c>
      <c r="K48" s="250">
        <f>IF(K$9=0,0,K$9/AGR!K$5*1000)</f>
        <v>31.182584915942311</v>
      </c>
      <c r="L48" s="250">
        <f>IF(L$9=0,0,L$9/AGR!L$5*1000)</f>
        <v>31.557120587384073</v>
      </c>
      <c r="M48" s="250">
        <f>IF(M$9=0,0,M$9/AGR!M$5*1000)</f>
        <v>28.750184485909397</v>
      </c>
      <c r="N48" s="250">
        <f>IF(N$9=0,0,N$9/AGR!N$5*1000)</f>
        <v>29.480698251338019</v>
      </c>
      <c r="O48" s="250">
        <f>IF(O$9=0,0,O$9/AGR!O$5*1000)</f>
        <v>28.728625253717553</v>
      </c>
      <c r="P48" s="250">
        <f>IF(P$9=0,0,P$9/AGR!P$5*1000)</f>
        <v>28.063896354998334</v>
      </c>
      <c r="Q48" s="250">
        <f>IF(Q$9=0,0,Q$9/AGR!Q$5*1000)</f>
        <v>26.808277533304963</v>
      </c>
      <c r="R48" s="250">
        <f>IF(R$9=0,0,R$9/AGR!R$5*1000)</f>
        <v>29.425345563511698</v>
      </c>
      <c r="S48" s="250">
        <f>IF(S$9=0,0,S$9/AGR!S$5*1000)</f>
        <v>26.718817851239457</v>
      </c>
      <c r="T48" s="250">
        <f>IF(T$9=0,0,T$9/AGR!T$5*1000)</f>
        <v>29.9475114562992</v>
      </c>
      <c r="U48" s="250">
        <f>IF(U$9=0,0,U$9/AGR!U$5*1000)</f>
        <v>29.581993799429029</v>
      </c>
      <c r="V48" s="250">
        <f>IF(V$9=0,0,V$9/AGR!V$5*1000)</f>
        <v>32.058450892817362</v>
      </c>
      <c r="W48" s="250">
        <f>IF(W$9=0,0,W$9/AGR!W$5*1000)</f>
        <v>29.44607257102869</v>
      </c>
      <c r="DA48" s="284"/>
    </row>
    <row r="49" spans="1:105" x14ac:dyDescent="0.25">
      <c r="A49" s="128" t="s">
        <v>175</v>
      </c>
      <c r="B49" s="263">
        <f>IF(B$16=0,0,B$16/AGR!B$5*1000)</f>
        <v>35.162307125287242</v>
      </c>
      <c r="C49" s="263">
        <f>IF(C$16=0,0,C$16/AGR!C$5*1000)</f>
        <v>34.523571985161794</v>
      </c>
      <c r="D49" s="263">
        <f>IF(D$16=0,0,D$16/AGR!D$5*1000)</f>
        <v>36.144732801389374</v>
      </c>
      <c r="E49" s="263">
        <f>IF(E$16=0,0,E$16/AGR!E$5*1000)</f>
        <v>38.004593178878544</v>
      </c>
      <c r="F49" s="263">
        <f>IF(F$16=0,0,F$16/AGR!F$5*1000)</f>
        <v>37.561359479547065</v>
      </c>
      <c r="G49" s="263">
        <f>IF(G$16=0,0,G$16/AGR!G$5*1000)</f>
        <v>42.130202363948143</v>
      </c>
      <c r="H49" s="263">
        <f>IF(H$16=0,0,H$16/AGR!H$5*1000)</f>
        <v>40.486860984457415</v>
      </c>
      <c r="I49" s="263">
        <f>IF(I$16=0,0,I$16/AGR!I$5*1000)</f>
        <v>37.078319491795597</v>
      </c>
      <c r="J49" s="263">
        <f>IF(J$16=0,0,J$16/AGR!J$5*1000)</f>
        <v>34.151236086251629</v>
      </c>
      <c r="K49" s="263">
        <f>IF(K$16=0,0,K$16/AGR!K$5*1000)</f>
        <v>39.878896256838352</v>
      </c>
      <c r="L49" s="263">
        <f>IF(L$16=0,0,L$16/AGR!L$5*1000)</f>
        <v>36.835894187446215</v>
      </c>
      <c r="M49" s="263">
        <f>IF(M$16=0,0,M$16/AGR!M$5*1000)</f>
        <v>33.355990765741957</v>
      </c>
      <c r="N49" s="263">
        <f>IF(N$16=0,0,N$16/AGR!N$5*1000)</f>
        <v>34.289244999937353</v>
      </c>
      <c r="O49" s="263">
        <f>IF(O$16=0,0,O$16/AGR!O$5*1000)</f>
        <v>33.66446665450588</v>
      </c>
      <c r="P49" s="263">
        <f>IF(P$16=0,0,P$16/AGR!P$5*1000)</f>
        <v>32.872896076038757</v>
      </c>
      <c r="Q49" s="263">
        <f>IF(Q$16=0,0,Q$16/AGR!Q$5*1000)</f>
        <v>34.413215543137319</v>
      </c>
      <c r="R49" s="263">
        <f>IF(R$16=0,0,R$16/AGR!R$5*1000)</f>
        <v>34.134612947890041</v>
      </c>
      <c r="S49" s="263">
        <f>IF(S$16=0,0,S$16/AGR!S$5*1000)</f>
        <v>31.439629190833553</v>
      </c>
      <c r="T49" s="263">
        <f>IF(T$16=0,0,T$16/AGR!T$5*1000)</f>
        <v>35.622997360934257</v>
      </c>
      <c r="U49" s="263">
        <f>IF(U$16=0,0,U$16/AGR!U$5*1000)</f>
        <v>34.576898255540669</v>
      </c>
      <c r="V49" s="263">
        <f>IF(V$16=0,0,V$16/AGR!V$5*1000)</f>
        <v>35.112900649485248</v>
      </c>
      <c r="W49" s="263">
        <f>IF(W$16=0,0,W$16/AGR!W$5*1000)</f>
        <v>34.930100858245765</v>
      </c>
      <c r="DA49" s="285"/>
    </row>
    <row r="50" spans="1:105" x14ac:dyDescent="0.25">
      <c r="A50" s="128" t="s">
        <v>121</v>
      </c>
      <c r="B50" s="263">
        <f>IF(B$17=0,0,B$17/AGR!B$5*1000)</f>
        <v>52.328916260719502</v>
      </c>
      <c r="C50" s="263">
        <f>IF(C$17=0,0,C$17/AGR!C$5*1000)</f>
        <v>49.221720485750424</v>
      </c>
      <c r="D50" s="263">
        <f>IF(D$17=0,0,D$17/AGR!D$5*1000)</f>
        <v>51.240587683075994</v>
      </c>
      <c r="E50" s="263">
        <f>IF(E$17=0,0,E$17/AGR!E$5*1000)</f>
        <v>54.45912950440303</v>
      </c>
      <c r="F50" s="263">
        <f>IF(F$17=0,0,F$17/AGR!F$5*1000)</f>
        <v>55.093734175890603</v>
      </c>
      <c r="G50" s="263">
        <f>IF(G$17=0,0,G$17/AGR!G$5*1000)</f>
        <v>64.02793872932385</v>
      </c>
      <c r="H50" s="263">
        <f>IF(H$17=0,0,H$17/AGR!H$5*1000)</f>
        <v>59.503809480478871</v>
      </c>
      <c r="I50" s="263">
        <f>IF(I$17=0,0,I$17/AGR!I$5*1000)</f>
        <v>55.316016876353792</v>
      </c>
      <c r="J50" s="263">
        <f>IF(J$17=0,0,J$17/AGR!J$5*1000)</f>
        <v>54.911604027725048</v>
      </c>
      <c r="K50" s="263">
        <f>IF(K$17=0,0,K$17/AGR!K$5*1000)</f>
        <v>61.234840310871803</v>
      </c>
      <c r="L50" s="263">
        <f>IF(L$17=0,0,L$17/AGR!L$5*1000)</f>
        <v>55.138279413712247</v>
      </c>
      <c r="M50" s="263">
        <f>IF(M$17=0,0,M$17/AGR!M$5*1000)</f>
        <v>50.084451298188647</v>
      </c>
      <c r="N50" s="263">
        <f>IF(N$17=0,0,N$17/AGR!N$5*1000)</f>
        <v>50.601512769098491</v>
      </c>
      <c r="O50" s="263">
        <f>IF(O$17=0,0,O$17/AGR!O$5*1000)</f>
        <v>50.564249361053662</v>
      </c>
      <c r="P50" s="263">
        <f>IF(P$17=0,0,P$17/AGR!P$5*1000)</f>
        <v>50.007974348562882</v>
      </c>
      <c r="Q50" s="263">
        <f>IF(Q$17=0,0,Q$17/AGR!Q$5*1000)</f>
        <v>52.669353990321511</v>
      </c>
      <c r="R50" s="263">
        <f>IF(R$17=0,0,R$17/AGR!R$5*1000)</f>
        <v>52.374878773179049</v>
      </c>
      <c r="S50" s="263">
        <f>IF(S$17=0,0,S$17/AGR!S$5*1000)</f>
        <v>48.46117851417597</v>
      </c>
      <c r="T50" s="263">
        <f>IF(T$17=0,0,T$17/AGR!T$5*1000)</f>
        <v>53.469038645182415</v>
      </c>
      <c r="U50" s="263">
        <f>IF(U$17=0,0,U$17/AGR!U$5*1000)</f>
        <v>53.752824634143529</v>
      </c>
      <c r="V50" s="263">
        <f>IF(V$17=0,0,V$17/AGR!V$5*1000)</f>
        <v>54.146422896633162</v>
      </c>
      <c r="W50" s="263">
        <f>IF(W$17=0,0,W$17/AGR!W$5*1000)</f>
        <v>54.873339251178344</v>
      </c>
      <c r="DA50" s="285"/>
    </row>
    <row r="51" spans="1:105" x14ac:dyDescent="0.25">
      <c r="A51" s="128" t="s">
        <v>174</v>
      </c>
      <c r="B51" s="263">
        <f>IF(B$25=0,0,B$25/AGR!B$5*1000)</f>
        <v>6.7567303471292126</v>
      </c>
      <c r="C51" s="263">
        <f>IF(C$25=0,0,C$25/AGR!C$5*1000)</f>
        <v>6.6339920669109649</v>
      </c>
      <c r="D51" s="263">
        <f>IF(D$25=0,0,D$25/AGR!D$5*1000)</f>
        <v>6.945511628057857</v>
      </c>
      <c r="E51" s="263">
        <f>IF(E$25=0,0,E$25/AGR!E$5*1000)</f>
        <v>7.3028992991577164</v>
      </c>
      <c r="F51" s="263">
        <f>IF(F$25=0,0,F$25/AGR!F$5*1000)</f>
        <v>7.217728250043316</v>
      </c>
      <c r="G51" s="263">
        <f>IF(G$25=0,0,G$25/AGR!G$5*1000)</f>
        <v>8.0956694857621017</v>
      </c>
      <c r="H51" s="263">
        <f>IF(H$25=0,0,H$25/AGR!H$5*1000)</f>
        <v>7.7798877445374774</v>
      </c>
      <c r="I51" s="263">
        <f>IF(I$25=0,0,I$25/AGR!I$5*1000)</f>
        <v>7.1249080908743494</v>
      </c>
      <c r="J51" s="263">
        <f>IF(J$25=0,0,J$25/AGR!J$5*1000)</f>
        <v>6.5624446209903109</v>
      </c>
      <c r="K51" s="263">
        <f>IF(K$25=0,0,K$25/AGR!K$5*1000)</f>
        <v>7.6630622555144985</v>
      </c>
      <c r="L51" s="263">
        <f>IF(L$25=0,0,L$25/AGR!L$5*1000)</f>
        <v>7.0783240483377456</v>
      </c>
      <c r="M51" s="263">
        <f>IF(M$25=0,0,M$25/AGR!M$5*1000)</f>
        <v>6.4096316052984053</v>
      </c>
      <c r="N51" s="263">
        <f>IF(N$25=0,0,N$25/AGR!N$5*1000)</f>
        <v>6.5889641838833874</v>
      </c>
      <c r="O51" s="263">
        <f>IF(O$25=0,0,O$25/AGR!O$5*1000)</f>
        <v>6.4689078180776827</v>
      </c>
      <c r="P51" s="263">
        <f>IF(P$25=0,0,P$25/AGR!P$5*1000)</f>
        <v>6.3168009346935401</v>
      </c>
      <c r="Q51" s="263">
        <f>IF(Q$25=0,0,Q$25/AGR!Q$5*1000)</f>
        <v>6.6127861568957007</v>
      </c>
      <c r="R51" s="263">
        <f>IF(R$25=0,0,R$25/AGR!R$5*1000)</f>
        <v>6.5592503464214653</v>
      </c>
      <c r="S51" s="263">
        <f>IF(S$25=0,0,S$25/AGR!S$5*1000)</f>
        <v>6.04138675824899</v>
      </c>
      <c r="T51" s="263">
        <f>IF(T$25=0,0,T$25/AGR!T$5*1000)</f>
        <v>6.8452558151746148</v>
      </c>
      <c r="U51" s="263">
        <f>IF(U$25=0,0,U$25/AGR!U$5*1000)</f>
        <v>6.6442391541707542</v>
      </c>
      <c r="V51" s="263">
        <f>IF(V$25=0,0,V$25/AGR!V$5*1000)</f>
        <v>6.7472364810638643</v>
      </c>
      <c r="W51" s="263">
        <f>IF(W$25=0,0,W$25/AGR!W$5*1000)</f>
        <v>6.7121099777739701</v>
      </c>
      <c r="DA51" s="285"/>
    </row>
    <row r="52" spans="1:105" x14ac:dyDescent="0.25">
      <c r="A52" s="128" t="s">
        <v>177</v>
      </c>
      <c r="B52" s="263">
        <f>IF(B$26=0,0,B$26/AGR!B$5*1000)</f>
        <v>1.1874171945422427</v>
      </c>
      <c r="C52" s="263">
        <f>IF(C$26=0,0,C$26/AGR!C$5*1000)</f>
        <v>1.2164728599448227</v>
      </c>
      <c r="D52" s="263">
        <f>IF(D$26=0,0,D$26/AGR!D$5*1000)</f>
        <v>1.2744750262161755</v>
      </c>
      <c r="E52" s="263">
        <f>IF(E$26=0,0,E$26/AGR!E$5*1000)</f>
        <v>1.4176945685018898</v>
      </c>
      <c r="F52" s="263">
        <f>IF(F$26=0,0,F$26/AGR!F$5*1000)</f>
        <v>1.2884815216980443</v>
      </c>
      <c r="G52" s="263">
        <f>IF(G$26=0,0,G$26/AGR!G$5*1000)</f>
        <v>1.6069997676603474</v>
      </c>
      <c r="H52" s="263">
        <f>IF(H$26=0,0,H$26/AGR!H$5*1000)</f>
        <v>1.63117129508492</v>
      </c>
      <c r="I52" s="263">
        <f>IF(I$26=0,0,I$26/AGR!I$5*1000)</f>
        <v>1.8164902876040709</v>
      </c>
      <c r="J52" s="263">
        <f>IF(J$26=0,0,J$26/AGR!J$5*1000)</f>
        <v>3.1809986920739712</v>
      </c>
      <c r="K52" s="263">
        <f>IF(K$26=0,0,K$26/AGR!K$5*1000)</f>
        <v>3.2801699656808112</v>
      </c>
      <c r="L52" s="263">
        <f>IF(L$26=0,0,L$26/AGR!L$5*1000)</f>
        <v>2.795248233810788</v>
      </c>
      <c r="M52" s="263">
        <f>IF(M$26=0,0,M$26/AGR!M$5*1000)</f>
        <v>2.8400015565543852</v>
      </c>
      <c r="N52" s="263">
        <f>IF(N$26=0,0,N$26/AGR!N$5*1000)</f>
        <v>2.8165187573512629</v>
      </c>
      <c r="O52" s="263">
        <f>IF(O$26=0,0,O$26/AGR!O$5*1000)</f>
        <v>2.7047910044826424</v>
      </c>
      <c r="P52" s="263">
        <f>IF(P$26=0,0,P$26/AGR!P$5*1000)</f>
        <v>2.5795657853767668</v>
      </c>
      <c r="Q52" s="263">
        <f>IF(Q$26=0,0,Q$26/AGR!Q$5*1000)</f>
        <v>2.4829071706176946</v>
      </c>
      <c r="R52" s="263">
        <f>IF(R$26=0,0,R$26/AGR!R$5*1000)</f>
        <v>2.5782642008758874</v>
      </c>
      <c r="S52" s="263">
        <f>IF(S$26=0,0,S$26/AGR!S$5*1000)</f>
        <v>2.4482195554479018</v>
      </c>
      <c r="T52" s="263">
        <f>IF(T$26=0,0,T$26/AGR!T$5*1000)</f>
        <v>3.0790105703618456</v>
      </c>
      <c r="U52" s="263">
        <f>IF(U$26=0,0,U$26/AGR!U$5*1000)</f>
        <v>3.4912057505113276</v>
      </c>
      <c r="V52" s="263">
        <f>IF(V$26=0,0,V$26/AGR!V$5*1000)</f>
        <v>4.11219990532258</v>
      </c>
      <c r="W52" s="263">
        <f>IF(W$26=0,0,W$26/AGR!W$5*1000)</f>
        <v>3.3157037779262311</v>
      </c>
      <c r="DA52" s="285"/>
    </row>
    <row r="53" spans="1:105" x14ac:dyDescent="0.25">
      <c r="A53" s="261" t="s">
        <v>33</v>
      </c>
      <c r="B53" s="264">
        <f>IF(B$27=0,0,B$27/AGR!B$5*1000)</f>
        <v>1.7217549320862513</v>
      </c>
      <c r="C53" s="264">
        <f>IF(C$27=0,0,C$27/AGR!C$5*1000)</f>
        <v>1.7638856469199922</v>
      </c>
      <c r="D53" s="264">
        <f>IF(D$27=0,0,D$27/AGR!D$5*1000)</f>
        <v>1.8479887880134542</v>
      </c>
      <c r="E53" s="264">
        <f>IF(E$27=0,0,E$27/AGR!E$5*1000)</f>
        <v>2.0556571243277406</v>
      </c>
      <c r="F53" s="264">
        <f>IF(F$27=0,0,F$27/AGR!F$5*1000)</f>
        <v>1.8682982064621643</v>
      </c>
      <c r="G53" s="264">
        <f>IF(G$27=0,0,G$27/AGR!G$5*1000)</f>
        <v>2.3301496631075036</v>
      </c>
      <c r="H53" s="264">
        <f>IF(H$27=0,0,H$27/AGR!H$5*1000)</f>
        <v>2.3651983778731336</v>
      </c>
      <c r="I53" s="264">
        <f>IF(I$27=0,0,I$27/AGR!I$5*1000)</f>
        <v>2.6339109170259034</v>
      </c>
      <c r="J53" s="264">
        <f>IF(J$27=0,0,J$27/AGR!J$5*1000)</f>
        <v>4.6124481035072593</v>
      </c>
      <c r="K53" s="264">
        <f>IF(K$27=0,0,K$27/AGR!K$5*1000)</f>
        <v>4.7562464502371746</v>
      </c>
      <c r="L53" s="264">
        <f>IF(L$27=0,0,L$27/AGR!L$5*1000)</f>
        <v>4.053109939025644</v>
      </c>
      <c r="M53" s="264">
        <f>IF(M$27=0,0,M$27/AGR!M$5*1000)</f>
        <v>4.1180022570038579</v>
      </c>
      <c r="N53" s="264">
        <f>IF(N$27=0,0,N$27/AGR!N$5*1000)</f>
        <v>4.0839521981593299</v>
      </c>
      <c r="O53" s="264">
        <f>IF(O$27=0,0,O$27/AGR!O$5*1000)</f>
        <v>3.9219469564998324</v>
      </c>
      <c r="P53" s="264">
        <f>IF(P$27=0,0,P$27/AGR!P$5*1000)</f>
        <v>3.740370388796312</v>
      </c>
      <c r="Q53" s="264">
        <f>IF(Q$27=0,0,Q$27/AGR!Q$5*1000)</f>
        <v>3.6002153973956585</v>
      </c>
      <c r="R53" s="264">
        <f>IF(R$27=0,0,R$27/AGR!R$5*1000)</f>
        <v>3.7384830912700364</v>
      </c>
      <c r="S53" s="264">
        <f>IF(S$27=0,0,S$27/AGR!S$5*1000)</f>
        <v>3.5499183553994582</v>
      </c>
      <c r="T53" s="264">
        <f>IF(T$27=0,0,T$27/AGR!T$5*1000)</f>
        <v>4.4645653270246779</v>
      </c>
      <c r="U53" s="264">
        <f>IF(U$27=0,0,U$27/AGR!U$5*1000)</f>
        <v>5.0622483382414263</v>
      </c>
      <c r="V53" s="264">
        <f>IF(V$27=0,0,V$27/AGR!V$5*1000)</f>
        <v>5.9626898627177409</v>
      </c>
      <c r="W53" s="264">
        <f>IF(W$27=0,0,W$27/AGR!W$5*1000)</f>
        <v>4.807770477993035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114.62293785015598</v>
      </c>
      <c r="C5" s="80">
        <f t="shared" ref="C5:W5" si="1">SUM(C6:C9,C16:C17,C25:C27)</f>
        <v>101.89058235347441</v>
      </c>
      <c r="D5" s="80">
        <f t="shared" si="1"/>
        <v>103.56480191337418</v>
      </c>
      <c r="E5" s="80">
        <f t="shared" si="1"/>
        <v>105.00841232422907</v>
      </c>
      <c r="F5" s="80">
        <f t="shared" si="1"/>
        <v>102.17037534143131</v>
      </c>
      <c r="G5" s="80">
        <f t="shared" si="1"/>
        <v>112.25710791523103</v>
      </c>
      <c r="H5" s="80">
        <f t="shared" si="1"/>
        <v>109.92077743571289</v>
      </c>
      <c r="I5" s="80">
        <f t="shared" si="1"/>
        <v>99.956598146962861</v>
      </c>
      <c r="J5" s="80">
        <f t="shared" si="1"/>
        <v>72.608365329965224</v>
      </c>
      <c r="K5" s="80">
        <f t="shared" si="1"/>
        <v>70.623546468405337</v>
      </c>
      <c r="L5" s="80">
        <f t="shared" si="1"/>
        <v>72.013072298182408</v>
      </c>
      <c r="M5" s="80">
        <f t="shared" si="1"/>
        <v>80.325985650324455</v>
      </c>
      <c r="N5" s="80">
        <f t="shared" si="1"/>
        <v>78.407291065323122</v>
      </c>
      <c r="O5" s="80">
        <f t="shared" si="1"/>
        <v>75.524117611913383</v>
      </c>
      <c r="P5" s="80">
        <f t="shared" si="1"/>
        <v>73.976073716788591</v>
      </c>
      <c r="Q5" s="80">
        <f t="shared" si="1"/>
        <v>70.162842983320047</v>
      </c>
      <c r="R5" s="80">
        <f t="shared" si="1"/>
        <v>72.137123578708099</v>
      </c>
      <c r="S5" s="80">
        <f t="shared" si="1"/>
        <v>68.591808110594002</v>
      </c>
      <c r="T5" s="80">
        <f t="shared" si="1"/>
        <v>72.331973670867754</v>
      </c>
      <c r="U5" s="80">
        <f t="shared" si="1"/>
        <v>77.044759378664281</v>
      </c>
      <c r="V5" s="80">
        <f t="shared" si="1"/>
        <v>78.224621988722248</v>
      </c>
      <c r="W5" s="80">
        <f t="shared" si="1"/>
        <v>79.196710922700092</v>
      </c>
      <c r="DA5" s="103"/>
    </row>
    <row r="6" spans="1:105" x14ac:dyDescent="0.25">
      <c r="A6" s="239" t="s">
        <v>125</v>
      </c>
      <c r="B6" s="240">
        <v>1.377203296855064</v>
      </c>
      <c r="C6" s="240">
        <v>1.2815917400460419</v>
      </c>
      <c r="D6" s="240">
        <v>1.305299969273537</v>
      </c>
      <c r="E6" s="240">
        <v>1.388046534602368</v>
      </c>
      <c r="F6" s="240">
        <v>1.2360027702628169</v>
      </c>
      <c r="G6" s="240">
        <v>1.480038833449405</v>
      </c>
      <c r="H6" s="240">
        <v>1.5319629543022479</v>
      </c>
      <c r="I6" s="240">
        <v>1.6510421195208349</v>
      </c>
      <c r="J6" s="240">
        <v>2.0025016307811159</v>
      </c>
      <c r="K6" s="240">
        <v>1.8079991700366711</v>
      </c>
      <c r="L6" s="240">
        <v>1.66935302427007</v>
      </c>
      <c r="M6" s="240">
        <v>2.0471953754519272</v>
      </c>
      <c r="N6" s="240">
        <v>1.9519108897375901</v>
      </c>
      <c r="O6" s="240">
        <v>1.845816104032638</v>
      </c>
      <c r="P6" s="240">
        <v>1.765367895114925</v>
      </c>
      <c r="Q6" s="240">
        <v>1.62253326143231</v>
      </c>
      <c r="R6" s="240">
        <v>1.649737192043462</v>
      </c>
      <c r="S6" s="240">
        <v>1.627794389962139</v>
      </c>
      <c r="T6" s="240">
        <v>1.894475634209811</v>
      </c>
      <c r="U6" s="240">
        <v>2.2641728605432601</v>
      </c>
      <c r="V6" s="240">
        <v>2.525338957969617</v>
      </c>
      <c r="W6" s="240">
        <v>2.2147673829439238</v>
      </c>
      <c r="DA6" s="268" t="s">
        <v>1014</v>
      </c>
    </row>
    <row r="7" spans="1:105" x14ac:dyDescent="0.25">
      <c r="A7" s="241" t="s">
        <v>124</v>
      </c>
      <c r="B7" s="242">
        <v>0.88768760086162279</v>
      </c>
      <c r="C7" s="242">
        <v>0.82606039326470593</v>
      </c>
      <c r="D7" s="242">
        <v>0.84134172549190156</v>
      </c>
      <c r="E7" s="242">
        <v>0.89467669805842531</v>
      </c>
      <c r="F7" s="242">
        <v>0.79667565151667363</v>
      </c>
      <c r="G7" s="242">
        <v>0.95397108346089154</v>
      </c>
      <c r="H7" s="242">
        <v>0.98743919842399364</v>
      </c>
      <c r="I7" s="242">
        <v>1.0641926441403069</v>
      </c>
      <c r="J7" s="242">
        <v>1.2907287343915279</v>
      </c>
      <c r="K7" s="242">
        <v>1.165360589300535</v>
      </c>
      <c r="L7" s="242">
        <v>1.075995086919505</v>
      </c>
      <c r="M7" s="242">
        <v>1.3195364515026851</v>
      </c>
      <c r="N7" s="242">
        <v>1.2581200602434981</v>
      </c>
      <c r="O7" s="242">
        <v>1.1897358020868261</v>
      </c>
      <c r="P7" s="242">
        <v>1.1378822538627871</v>
      </c>
      <c r="Q7" s="242">
        <v>1.0458170274846561</v>
      </c>
      <c r="R7" s="242">
        <v>1.063351542507504</v>
      </c>
      <c r="S7" s="242">
        <v>1.049208130724921</v>
      </c>
      <c r="T7" s="242">
        <v>1.2210996985432641</v>
      </c>
      <c r="U7" s="242">
        <v>1.4593910565719199</v>
      </c>
      <c r="V7" s="242">
        <v>1.62772779159151</v>
      </c>
      <c r="W7" s="242">
        <v>1.4275463536295681</v>
      </c>
      <c r="DA7" s="269" t="s">
        <v>1015</v>
      </c>
    </row>
    <row r="8" spans="1:105" x14ac:dyDescent="0.25">
      <c r="A8" s="241" t="s">
        <v>123</v>
      </c>
      <c r="B8" s="242">
        <v>1.7640414127649791</v>
      </c>
      <c r="C8" s="242">
        <v>1.6415738394334309</v>
      </c>
      <c r="D8" s="242">
        <v>1.6719413953898601</v>
      </c>
      <c r="E8" s="242">
        <v>1.7779303719900841</v>
      </c>
      <c r="F8" s="242">
        <v>1.583179533489967</v>
      </c>
      <c r="G8" s="242">
        <v>1.895762085864281</v>
      </c>
      <c r="H8" s="242">
        <v>1.9622710026777921</v>
      </c>
      <c r="I8" s="242">
        <v>2.1147979239556869</v>
      </c>
      <c r="J8" s="242">
        <v>2.5649777443126829</v>
      </c>
      <c r="K8" s="242">
        <v>2.3158421254672938</v>
      </c>
      <c r="L8" s="242">
        <v>2.1382521186679768</v>
      </c>
      <c r="M8" s="242">
        <v>2.6222253682988401</v>
      </c>
      <c r="N8" s="242">
        <v>2.5001767359887541</v>
      </c>
      <c r="O8" s="242">
        <v>2.3642813339886701</v>
      </c>
      <c r="P8" s="242">
        <v>2.261236291591743</v>
      </c>
      <c r="Q8" s="242">
        <v>2.0782813062467111</v>
      </c>
      <c r="R8" s="242">
        <v>2.1131264596802262</v>
      </c>
      <c r="S8" s="242">
        <v>2.0850202159092799</v>
      </c>
      <c r="T8" s="242">
        <v>2.4266086799616522</v>
      </c>
      <c r="U8" s="242">
        <v>2.90014894734687</v>
      </c>
      <c r="V8" s="242">
        <v>3.2346731330806451</v>
      </c>
      <c r="W8" s="242">
        <v>2.8368661272275162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39.47784049448066</v>
      </c>
      <c r="C9" s="244">
        <f t="shared" ref="C9:W9" si="3">SUM(C10:C15)</f>
        <v>35.399996080102191</v>
      </c>
      <c r="D9" s="244">
        <f t="shared" si="3"/>
        <v>36.04106729024511</v>
      </c>
      <c r="E9" s="244">
        <f t="shared" si="3"/>
        <v>36.394811586497568</v>
      </c>
      <c r="F9" s="244">
        <f t="shared" si="3"/>
        <v>35.714341497508173</v>
      </c>
      <c r="G9" s="244">
        <f t="shared" si="3"/>
        <v>38.759478409615497</v>
      </c>
      <c r="H9" s="244">
        <f t="shared" si="3"/>
        <v>38.232128151910572</v>
      </c>
      <c r="I9" s="244">
        <f t="shared" si="3"/>
        <v>34.395410021221323</v>
      </c>
      <c r="J9" s="244">
        <f t="shared" si="3"/>
        <v>24.047665418394434</v>
      </c>
      <c r="K9" s="244">
        <f t="shared" si="3"/>
        <v>23.222623867806448</v>
      </c>
      <c r="L9" s="244">
        <f t="shared" si="3"/>
        <v>25.794632779462127</v>
      </c>
      <c r="M9" s="244">
        <f t="shared" si="3"/>
        <v>28.535908710513162</v>
      </c>
      <c r="N9" s="244">
        <f t="shared" si="3"/>
        <v>28.052645375643756</v>
      </c>
      <c r="O9" s="244">
        <f t="shared" si="3"/>
        <v>26.864686644072584</v>
      </c>
      <c r="P9" s="244">
        <f t="shared" si="3"/>
        <v>26.302062317386902</v>
      </c>
      <c r="Q9" s="244">
        <f t="shared" si="3"/>
        <v>23.450811856738511</v>
      </c>
      <c r="R9" s="244">
        <f t="shared" si="3"/>
        <v>25.814713521302103</v>
      </c>
      <c r="S9" s="244">
        <f t="shared" si="3"/>
        <v>24.297857232107297</v>
      </c>
      <c r="T9" s="244">
        <f t="shared" si="3"/>
        <v>25.266464466344935</v>
      </c>
      <c r="U9" s="244">
        <f t="shared" si="3"/>
        <v>26.679073246025851</v>
      </c>
      <c r="V9" s="244">
        <f t="shared" si="3"/>
        <v>27.950553007202988</v>
      </c>
      <c r="W9" s="244">
        <f t="shared" si="3"/>
        <v>27.181521616915962</v>
      </c>
      <c r="DA9" s="270"/>
    </row>
    <row r="10" spans="1:105" x14ac:dyDescent="0.25">
      <c r="A10" s="254" t="s">
        <v>173</v>
      </c>
      <c r="B10" s="255">
        <v>35.703006129150403</v>
      </c>
      <c r="C10" s="255">
        <v>31.381620656269629</v>
      </c>
      <c r="D10" s="255">
        <v>31.90448395805964</v>
      </c>
      <c r="E10" s="255">
        <v>31.620452695586771</v>
      </c>
      <c r="F10" s="255">
        <v>29.71223158246142</v>
      </c>
      <c r="G10" s="255">
        <v>31.0990375544141</v>
      </c>
      <c r="H10" s="255">
        <v>29.699550901706399</v>
      </c>
      <c r="I10" s="255">
        <v>25.12336117051354</v>
      </c>
      <c r="J10" s="255">
        <v>12.447535448073049</v>
      </c>
      <c r="K10" s="255">
        <v>14.65099316133214</v>
      </c>
      <c r="L10" s="255">
        <v>13.004559437611549</v>
      </c>
      <c r="M10" s="255">
        <v>13.799429645362769</v>
      </c>
      <c r="N10" s="255">
        <v>14.134571024593701</v>
      </c>
      <c r="O10" s="255">
        <v>13.898945305928221</v>
      </c>
      <c r="P10" s="255">
        <v>13.522222492122321</v>
      </c>
      <c r="Q10" s="255">
        <v>16.264906511651301</v>
      </c>
      <c r="R10" s="255">
        <v>12.359836405485551</v>
      </c>
      <c r="S10" s="255">
        <v>12.87164523672635</v>
      </c>
      <c r="T10" s="255">
        <v>13.719673016964551</v>
      </c>
      <c r="U10" s="255">
        <v>13.52995081139559</v>
      </c>
      <c r="V10" s="255">
        <v>11.303216922478329</v>
      </c>
      <c r="W10" s="255">
        <v>13.954074949646429</v>
      </c>
      <c r="DA10" s="271" t="s">
        <v>1017</v>
      </c>
    </row>
    <row r="11" spans="1:105" x14ac:dyDescent="0.25">
      <c r="A11" s="254" t="s">
        <v>176</v>
      </c>
      <c r="B11" s="256">
        <v>3.4600091998281939</v>
      </c>
      <c r="C11" s="256">
        <v>3.6134726665208472</v>
      </c>
      <c r="D11" s="256">
        <v>3.744326657931309</v>
      </c>
      <c r="E11" s="256">
        <v>4.1847170240483651</v>
      </c>
      <c r="F11" s="256">
        <v>5.539181423738027</v>
      </c>
      <c r="G11" s="256">
        <v>7.0961604946792649</v>
      </c>
      <c r="H11" s="256">
        <v>8.1090541966597698</v>
      </c>
      <c r="I11" s="256">
        <v>8.2133561604568257</v>
      </c>
      <c r="J11" s="256">
        <v>8.6728216806712179</v>
      </c>
      <c r="K11" s="256">
        <v>6.4737724684473594</v>
      </c>
      <c r="L11" s="256">
        <v>5.4267011061341108</v>
      </c>
      <c r="M11" s="256">
        <v>6.0236735172611517</v>
      </c>
      <c r="N11" s="256">
        <v>4.858717132321182</v>
      </c>
      <c r="O11" s="256">
        <v>4.5734320434410112</v>
      </c>
      <c r="P11" s="256">
        <v>4.8396060994470238</v>
      </c>
      <c r="Q11" s="256">
        <v>3.9404049083181332</v>
      </c>
      <c r="R11" s="256">
        <v>6.7677276859022468</v>
      </c>
      <c r="S11" s="256">
        <v>3.8207608003567319</v>
      </c>
      <c r="T11" s="256">
        <v>3.5065328568985539</v>
      </c>
      <c r="U11" s="256">
        <v>2.5647792324841299</v>
      </c>
      <c r="V11" s="256">
        <v>2.864956748060163</v>
      </c>
      <c r="W11" s="256">
        <v>4.6747610671854058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4.8922685096743503E-2</v>
      </c>
      <c r="C14" s="255">
        <v>0.14682678600464261</v>
      </c>
      <c r="D14" s="255">
        <v>0.1304996474009251</v>
      </c>
      <c r="E14" s="255">
        <v>0.27732643340563368</v>
      </c>
      <c r="F14" s="255">
        <v>0.22840374830879609</v>
      </c>
      <c r="G14" s="255">
        <v>0.21207660970518249</v>
      </c>
      <c r="H14" s="255">
        <v>3.2654277207449012E-2</v>
      </c>
      <c r="I14" s="255">
        <v>0.44048035801395619</v>
      </c>
      <c r="J14" s="255">
        <v>0.29365357200951803</v>
      </c>
      <c r="K14" s="255">
        <v>0.16315392460838041</v>
      </c>
      <c r="L14" s="255">
        <v>6.0525525033931302</v>
      </c>
      <c r="M14" s="255">
        <v>6.6887823325217006</v>
      </c>
      <c r="N14" s="255">
        <v>7.2597623379341361</v>
      </c>
      <c r="O14" s="255">
        <v>6.7213778790105447</v>
      </c>
      <c r="P14" s="255">
        <v>6.4114558991090993</v>
      </c>
      <c r="Q14" s="255">
        <v>1.876093940852205</v>
      </c>
      <c r="R14" s="255">
        <v>5.4162639435622779</v>
      </c>
      <c r="S14" s="255">
        <v>6.1796457693654494</v>
      </c>
      <c r="T14" s="255">
        <v>5.9732073082457617</v>
      </c>
      <c r="U14" s="255">
        <v>7.0806336590175212</v>
      </c>
      <c r="V14" s="255">
        <v>8.9413988834242275</v>
      </c>
      <c r="W14" s="255">
        <v>5.5477620131221919</v>
      </c>
      <c r="DA14" s="271" t="s">
        <v>1021</v>
      </c>
    </row>
    <row r="15" spans="1:105" x14ac:dyDescent="0.25">
      <c r="A15" s="254" t="s">
        <v>24</v>
      </c>
      <c r="B15" s="256">
        <v>0.26590248040532349</v>
      </c>
      <c r="C15" s="256">
        <v>0.25807597130706922</v>
      </c>
      <c r="D15" s="256">
        <v>0.26175702685323871</v>
      </c>
      <c r="E15" s="256">
        <v>0.31231543345679352</v>
      </c>
      <c r="F15" s="256">
        <v>0.23452474299993001</v>
      </c>
      <c r="G15" s="256">
        <v>0.35220375081694938</v>
      </c>
      <c r="H15" s="256">
        <v>0.39086877633695438</v>
      </c>
      <c r="I15" s="256">
        <v>0.61821233223699745</v>
      </c>
      <c r="J15" s="256">
        <v>2.6336547176406482</v>
      </c>
      <c r="K15" s="256">
        <v>1.934704313418568</v>
      </c>
      <c r="L15" s="256">
        <v>1.3108197323233399</v>
      </c>
      <c r="M15" s="256">
        <v>2.024023215367539</v>
      </c>
      <c r="N15" s="256">
        <v>1.7995948807947371</v>
      </c>
      <c r="O15" s="256">
        <v>1.670931415692805</v>
      </c>
      <c r="P15" s="256">
        <v>1.5287778267084571</v>
      </c>
      <c r="Q15" s="256">
        <v>1.369406495916875</v>
      </c>
      <c r="R15" s="256">
        <v>1.270885486352028</v>
      </c>
      <c r="S15" s="256">
        <v>1.425805425658766</v>
      </c>
      <c r="T15" s="256">
        <v>2.0670512842360669</v>
      </c>
      <c r="U15" s="256">
        <v>3.5037095431286072</v>
      </c>
      <c r="V15" s="256">
        <v>4.8409804532402676</v>
      </c>
      <c r="W15" s="256">
        <v>3.004923586961938</v>
      </c>
      <c r="DA15" s="272" t="s">
        <v>1022</v>
      </c>
    </row>
    <row r="16" spans="1:105" x14ac:dyDescent="0.25">
      <c r="A16" s="257" t="s">
        <v>175</v>
      </c>
      <c r="B16" s="258">
        <v>29.18301114821351</v>
      </c>
      <c r="C16" s="258">
        <v>26.026814527229231</v>
      </c>
      <c r="D16" s="258">
        <v>26.49000465039548</v>
      </c>
      <c r="E16" s="258">
        <v>26.626584210876089</v>
      </c>
      <c r="F16" s="258">
        <v>25.78342277879343</v>
      </c>
      <c r="G16" s="258">
        <v>27.765714883126481</v>
      </c>
      <c r="H16" s="258">
        <v>27.209516053475099</v>
      </c>
      <c r="I16" s="258">
        <v>24.115881030050129</v>
      </c>
      <c r="J16" s="258">
        <v>15.384161597828941</v>
      </c>
      <c r="K16" s="258">
        <v>15.72906932616104</v>
      </c>
      <c r="L16" s="258">
        <v>15.741896084022541</v>
      </c>
      <c r="M16" s="258">
        <v>17.205709125616249</v>
      </c>
      <c r="N16" s="258">
        <v>17.004477025642281</v>
      </c>
      <c r="O16" s="258">
        <v>16.43934362956276</v>
      </c>
      <c r="P16" s="258">
        <v>16.09846993985207</v>
      </c>
      <c r="Q16" s="258">
        <v>16.092236192944469</v>
      </c>
      <c r="R16" s="258">
        <v>15.6293295133223</v>
      </c>
      <c r="S16" s="258">
        <v>14.9583819329085</v>
      </c>
      <c r="T16" s="258">
        <v>15.68434261836229</v>
      </c>
      <c r="U16" s="258">
        <v>16.046421138237971</v>
      </c>
      <c r="V16" s="258">
        <v>15.430151330235351</v>
      </c>
      <c r="W16" s="258">
        <v>16.695916052043771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34.560675077074492</v>
      </c>
      <c r="C17" s="258">
        <f t="shared" ref="C17:W17" si="5">SUM(C18:C24)</f>
        <v>30.005918918545802</v>
      </c>
      <c r="D17" s="258">
        <f t="shared" si="5"/>
        <v>30.384875827392225</v>
      </c>
      <c r="E17" s="258">
        <f t="shared" si="5"/>
        <v>30.870611322453037</v>
      </c>
      <c r="F17" s="258">
        <f t="shared" si="5"/>
        <v>30.494971221662038</v>
      </c>
      <c r="G17" s="258">
        <f t="shared" si="5"/>
        <v>33.962915037524837</v>
      </c>
      <c r="H17" s="258">
        <f t="shared" si="5"/>
        <v>32.503084662224609</v>
      </c>
      <c r="I17" s="258">
        <f t="shared" si="5"/>
        <v>29.238979241773436</v>
      </c>
      <c r="J17" s="258">
        <f t="shared" si="5"/>
        <v>20.236866267336129</v>
      </c>
      <c r="K17" s="258">
        <f t="shared" si="5"/>
        <v>19.741620266066729</v>
      </c>
      <c r="L17" s="258">
        <f t="shared" si="5"/>
        <v>19.297208765376585</v>
      </c>
      <c r="M17" s="258">
        <f t="shared" si="5"/>
        <v>21.157063354453847</v>
      </c>
      <c r="N17" s="258">
        <f t="shared" si="5"/>
        <v>20.46717230057391</v>
      </c>
      <c r="O17" s="258">
        <f t="shared" si="5"/>
        <v>19.989030131605016</v>
      </c>
      <c r="P17" s="258">
        <f t="shared" si="5"/>
        <v>19.827038738357629</v>
      </c>
      <c r="Q17" s="258">
        <f t="shared" si="5"/>
        <v>19.647491091219209</v>
      </c>
      <c r="R17" s="258">
        <f t="shared" si="5"/>
        <v>19.635369448645747</v>
      </c>
      <c r="S17" s="258">
        <f t="shared" si="5"/>
        <v>18.487221390900139</v>
      </c>
      <c r="T17" s="258">
        <f t="shared" si="5"/>
        <v>18.987522875467363</v>
      </c>
      <c r="U17" s="258">
        <f t="shared" si="5"/>
        <v>19.870061538134095</v>
      </c>
      <c r="V17" s="258">
        <f t="shared" si="5"/>
        <v>19.059900882823925</v>
      </c>
      <c r="W17" s="258">
        <f t="shared" si="5"/>
        <v>21.050897299124433</v>
      </c>
      <c r="DA17" s="273"/>
    </row>
    <row r="18" spans="1:105" x14ac:dyDescent="0.25">
      <c r="A18" s="61" t="s">
        <v>29</v>
      </c>
      <c r="B18" s="55">
        <v>0.22884740073289719</v>
      </c>
      <c r="C18" s="55">
        <v>0.18545872435096519</v>
      </c>
      <c r="D18" s="55">
        <v>0.49670885608944348</v>
      </c>
      <c r="E18" s="55">
        <v>0.27997579253352251</v>
      </c>
      <c r="F18" s="55">
        <v>0.65615120007946925</v>
      </c>
      <c r="G18" s="55">
        <v>1.1510723501623621</v>
      </c>
      <c r="H18" s="55">
        <v>1.491872210605335</v>
      </c>
      <c r="I18" s="55">
        <v>1.96979963770223</v>
      </c>
      <c r="J18" s="55">
        <v>1.592698829395701</v>
      </c>
      <c r="K18" s="55">
        <v>1.246725137451455</v>
      </c>
      <c r="L18" s="55">
        <v>0.97484660153808778</v>
      </c>
      <c r="M18" s="55">
        <v>1.1785819908344779</v>
      </c>
      <c r="N18" s="55">
        <v>1.0702259749733449</v>
      </c>
      <c r="O18" s="55">
        <v>1.635645837237008</v>
      </c>
      <c r="P18" s="55">
        <v>1.393127743508638</v>
      </c>
      <c r="Q18" s="55">
        <v>1.6570772774832361</v>
      </c>
      <c r="R18" s="55">
        <v>1.834649063565772</v>
      </c>
      <c r="S18" s="55">
        <v>2.3250063053736278</v>
      </c>
      <c r="T18" s="55">
        <v>2.2076066003014509</v>
      </c>
      <c r="U18" s="55">
        <v>2.4470330142239871</v>
      </c>
      <c r="V18" s="55">
        <v>2.315226501925018</v>
      </c>
      <c r="W18" s="55">
        <v>2.3363845283117</v>
      </c>
      <c r="DA18" s="101" t="s">
        <v>1024</v>
      </c>
    </row>
    <row r="19" spans="1:105" x14ac:dyDescent="0.25">
      <c r="A19" s="61" t="s">
        <v>27</v>
      </c>
      <c r="B19" s="55">
        <v>0.32073125966155502</v>
      </c>
      <c r="C19" s="55">
        <v>0.32073125966158123</v>
      </c>
      <c r="D19" s="55">
        <v>0.32073125966157889</v>
      </c>
      <c r="E19" s="55">
        <v>0.64146251932330545</v>
      </c>
      <c r="F19" s="55">
        <v>0</v>
      </c>
      <c r="G19" s="55">
        <v>1.062887625252243</v>
      </c>
      <c r="H19" s="55">
        <v>0.7085917501682748</v>
      </c>
      <c r="I19" s="55">
        <v>0.62383804489757777</v>
      </c>
      <c r="J19" s="55">
        <v>0.93573265671463501</v>
      </c>
      <c r="K19" s="55">
        <v>1.559570701610747</v>
      </c>
      <c r="L19" s="55">
        <v>0.93573265671408001</v>
      </c>
      <c r="M19" s="55">
        <v>0.93573265671712058</v>
      </c>
      <c r="N19" s="55">
        <v>0.62383804489719097</v>
      </c>
      <c r="O19" s="55">
        <v>0.62383804489693129</v>
      </c>
      <c r="P19" s="55">
        <v>0.93573265671534755</v>
      </c>
      <c r="Q19" s="55">
        <v>0.62383804489598571</v>
      </c>
      <c r="R19" s="55">
        <v>0.62383804489540695</v>
      </c>
      <c r="S19" s="55">
        <v>0.7373718822267884</v>
      </c>
      <c r="T19" s="55">
        <v>0.81253221014331178</v>
      </c>
      <c r="U19" s="55">
        <v>0.67185375292119642</v>
      </c>
      <c r="V19" s="55">
        <v>0.54118365375503841</v>
      </c>
      <c r="W19" s="55">
        <v>0.53368959052933995</v>
      </c>
      <c r="DA19" s="101" t="s">
        <v>1025</v>
      </c>
    </row>
    <row r="20" spans="1:105" x14ac:dyDescent="0.25">
      <c r="A20" s="61" t="s">
        <v>173</v>
      </c>
      <c r="B20" s="55">
        <v>23.901942889599638</v>
      </c>
      <c r="C20" s="55">
        <v>23.336106929360561</v>
      </c>
      <c r="D20" s="55">
        <v>24.045072713032109</v>
      </c>
      <c r="E20" s="55">
        <v>23.484188997724061</v>
      </c>
      <c r="F20" s="55">
        <v>21.2614680180872</v>
      </c>
      <c r="G20" s="55">
        <v>20.946573545097792</v>
      </c>
      <c r="H20" s="55">
        <v>21.846066426403748</v>
      </c>
      <c r="I20" s="55">
        <v>18.497145554543199</v>
      </c>
      <c r="J20" s="55">
        <v>9.3743081558091443</v>
      </c>
      <c r="K20" s="55">
        <v>11.059041836649451</v>
      </c>
      <c r="L20" s="55">
        <v>11.79217682358375</v>
      </c>
      <c r="M20" s="55">
        <v>12.758694265179029</v>
      </c>
      <c r="N20" s="55">
        <v>13.34986978836484</v>
      </c>
      <c r="O20" s="55">
        <v>12.43108348436701</v>
      </c>
      <c r="P20" s="55">
        <v>11.76135978891014</v>
      </c>
      <c r="Q20" s="55">
        <v>11.89635285502616</v>
      </c>
      <c r="R20" s="55">
        <v>10.822054400845669</v>
      </c>
      <c r="S20" s="55">
        <v>10.73977080287894</v>
      </c>
      <c r="T20" s="55">
        <v>12.058929803113831</v>
      </c>
      <c r="U20" s="55">
        <v>11.540865407512371</v>
      </c>
      <c r="V20" s="55">
        <v>11.13775893761213</v>
      </c>
      <c r="W20" s="55">
        <v>11.40463612571312</v>
      </c>
      <c r="DA20" s="101" t="s">
        <v>1026</v>
      </c>
    </row>
    <row r="21" spans="1:105" x14ac:dyDescent="0.25">
      <c r="A21" s="61" t="s">
        <v>129</v>
      </c>
      <c r="B21" s="55">
        <v>4.3939517353878736</v>
      </c>
      <c r="C21" s="55">
        <v>3.173412003584426</v>
      </c>
      <c r="D21" s="55">
        <v>2.1969758676941011</v>
      </c>
      <c r="E21" s="55">
        <v>2.685183059521715</v>
      </c>
      <c r="F21" s="55">
        <v>3.905744543560798</v>
      </c>
      <c r="G21" s="55">
        <v>4.8821589272168602</v>
      </c>
      <c r="H21" s="55">
        <v>1.9222668752880441</v>
      </c>
      <c r="I21" s="55">
        <v>1.691845436014549</v>
      </c>
      <c r="J21" s="55">
        <v>1.450156338328328</v>
      </c>
      <c r="K21" s="55">
        <v>0.24168909768201641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1.8859188884029151E-2</v>
      </c>
      <c r="T21" s="55">
        <v>2.1512961714306139E-2</v>
      </c>
      <c r="U21" s="55">
        <v>2.2146821880449989</v>
      </c>
      <c r="V21" s="55">
        <v>1.610318054308626</v>
      </c>
      <c r="W21" s="55">
        <v>2.3275110378078878</v>
      </c>
      <c r="DA21" s="101" t="s">
        <v>1027</v>
      </c>
    </row>
    <row r="22" spans="1:105" x14ac:dyDescent="0.25">
      <c r="A22" s="61" t="s">
        <v>176</v>
      </c>
      <c r="B22" s="55">
        <v>2.2608925167173211</v>
      </c>
      <c r="C22" s="55">
        <v>2.6227207646657842</v>
      </c>
      <c r="D22" s="55">
        <v>2.754370403450602</v>
      </c>
      <c r="E22" s="55">
        <v>3.033526703780224</v>
      </c>
      <c r="F22" s="55">
        <v>3.8688136262411299</v>
      </c>
      <c r="G22" s="55">
        <v>4.6651296138703406</v>
      </c>
      <c r="H22" s="55">
        <v>5.8219411828621492</v>
      </c>
      <c r="I22" s="55">
        <v>5.902308033862818</v>
      </c>
      <c r="J22" s="55">
        <v>6.3751515607349312</v>
      </c>
      <c r="K22" s="55">
        <v>4.769601657872248</v>
      </c>
      <c r="L22" s="55">
        <v>4.8029546255748592</v>
      </c>
      <c r="M22" s="55">
        <v>5.4360164468823013</v>
      </c>
      <c r="N22" s="55">
        <v>4.4790948164644728</v>
      </c>
      <c r="O22" s="55">
        <v>3.992487916545449</v>
      </c>
      <c r="P22" s="55">
        <v>4.1085986248914192</v>
      </c>
      <c r="Q22" s="55">
        <v>2.8130494083022559</v>
      </c>
      <c r="R22" s="55">
        <v>5.7838112118766336</v>
      </c>
      <c r="S22" s="55">
        <v>3.1116091805335868</v>
      </c>
      <c r="T22" s="55">
        <v>3.008272418028751</v>
      </c>
      <c r="U22" s="55">
        <v>2.135336825663241</v>
      </c>
      <c r="V22" s="55">
        <v>2.7554216370032698</v>
      </c>
      <c r="W22" s="55">
        <v>3.7291859849493179</v>
      </c>
      <c r="DA22" s="101" t="s">
        <v>1028</v>
      </c>
    </row>
    <row r="23" spans="1:105" x14ac:dyDescent="0.25">
      <c r="A23" s="61" t="s">
        <v>171</v>
      </c>
      <c r="B23" s="55">
        <v>3.45430927497521</v>
      </c>
      <c r="C23" s="55">
        <v>0.36748923692248209</v>
      </c>
      <c r="D23" s="55">
        <v>0.57101672746439303</v>
      </c>
      <c r="E23" s="55">
        <v>0.74627424957020727</v>
      </c>
      <c r="F23" s="55">
        <v>0.80279383369343982</v>
      </c>
      <c r="G23" s="55">
        <v>1.255092975925246</v>
      </c>
      <c r="H23" s="55">
        <v>0.71234621689705413</v>
      </c>
      <c r="I23" s="55">
        <v>0.55404253475306009</v>
      </c>
      <c r="J23" s="55">
        <v>0.50881872635338909</v>
      </c>
      <c r="K23" s="55">
        <v>0.8649918348008121</v>
      </c>
      <c r="L23" s="55">
        <v>0.79149805796580874</v>
      </c>
      <c r="M23" s="55">
        <v>0.84803799484091913</v>
      </c>
      <c r="N23" s="55">
        <v>0.94414367587406411</v>
      </c>
      <c r="O23" s="55">
        <v>1.3059748485586209</v>
      </c>
      <c r="P23" s="55">
        <v>1.628219924332085</v>
      </c>
      <c r="Q23" s="55">
        <v>2.6571735055115688</v>
      </c>
      <c r="R23" s="55">
        <v>0.57101672746226462</v>
      </c>
      <c r="S23" s="55">
        <v>1.5546040310031639</v>
      </c>
      <c r="T23" s="55">
        <v>0.87866888216571137</v>
      </c>
      <c r="U23" s="55">
        <v>0.86029034976829832</v>
      </c>
      <c r="V23" s="55">
        <v>0.69999209821984354</v>
      </c>
      <c r="W23" s="55">
        <v>0.71949003181306703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3.9254311567274169</v>
      </c>
      <c r="C25" s="258">
        <v>3.500888518209186</v>
      </c>
      <c r="D25" s="258">
        <v>3.563192607795107</v>
      </c>
      <c r="E25" s="258">
        <v>3.5815640383291201</v>
      </c>
      <c r="F25" s="258">
        <v>3.4681496912338639</v>
      </c>
      <c r="G25" s="258">
        <v>3.734789454641557</v>
      </c>
      <c r="H25" s="258">
        <v>3.6599746864135541</v>
      </c>
      <c r="I25" s="258">
        <v>3.2438472605348529</v>
      </c>
      <c r="J25" s="258">
        <v>2.0693364008787021</v>
      </c>
      <c r="K25" s="258">
        <v>2.115730226934371</v>
      </c>
      <c r="L25" s="258">
        <v>2.117455564826805</v>
      </c>
      <c r="M25" s="258">
        <v>2.3143542772973191</v>
      </c>
      <c r="N25" s="258">
        <v>2.287286379781202</v>
      </c>
      <c r="O25" s="258">
        <v>2.2112698155750272</v>
      </c>
      <c r="P25" s="258">
        <v>2.165418611417127</v>
      </c>
      <c r="Q25" s="258">
        <v>2.164580104924088</v>
      </c>
      <c r="R25" s="258">
        <v>2.1023141415655631</v>
      </c>
      <c r="S25" s="258">
        <v>2.012064423217069</v>
      </c>
      <c r="T25" s="258">
        <v>2.1097140001838359</v>
      </c>
      <c r="U25" s="258">
        <v>2.1584174837237371</v>
      </c>
      <c r="V25" s="258">
        <v>2.0755225181220802</v>
      </c>
      <c r="W25" s="258">
        <v>2.2457815860036798</v>
      </c>
      <c r="DA25" s="273" t="s">
        <v>1031</v>
      </c>
    </row>
    <row r="26" spans="1:105" x14ac:dyDescent="0.25">
      <c r="A26" s="257" t="s">
        <v>177</v>
      </c>
      <c r="B26" s="258">
        <v>1.3656732320948051</v>
      </c>
      <c r="C26" s="258">
        <v>1.2708621434841629</v>
      </c>
      <c r="D26" s="258">
        <v>1.2943718853721571</v>
      </c>
      <c r="E26" s="258">
        <v>1.376425689320655</v>
      </c>
      <c r="F26" s="258">
        <v>1.225654848487191</v>
      </c>
      <c r="G26" s="258">
        <v>1.4676478207090651</v>
      </c>
      <c r="H26" s="258">
        <v>1.519137228344607</v>
      </c>
      <c r="I26" s="258">
        <v>1.6372194525235491</v>
      </c>
      <c r="J26" s="258">
        <v>1.985736514448504</v>
      </c>
      <c r="K26" s="258">
        <v>1.7928624450777471</v>
      </c>
      <c r="L26" s="258">
        <v>1.6553770567992381</v>
      </c>
      <c r="M26" s="258">
        <v>2.0300560792349009</v>
      </c>
      <c r="N26" s="258">
        <v>1.9355693234515361</v>
      </c>
      <c r="O26" s="258">
        <v>1.830362772441271</v>
      </c>
      <c r="P26" s="258">
        <v>1.7505880828658249</v>
      </c>
      <c r="Q26" s="258">
        <v>1.608949273053317</v>
      </c>
      <c r="R26" s="258">
        <v>1.6359254500115441</v>
      </c>
      <c r="S26" s="258">
        <v>1.6141663549614169</v>
      </c>
      <c r="T26" s="258">
        <v>1.878614920835791</v>
      </c>
      <c r="U26" s="258">
        <v>2.2452170101106468</v>
      </c>
      <c r="V26" s="258">
        <v>2.5041966024484781</v>
      </c>
      <c r="W26" s="258">
        <v>2.1962251594301061</v>
      </c>
      <c r="DA26" s="273" t="s">
        <v>1032</v>
      </c>
    </row>
    <row r="27" spans="1:105" x14ac:dyDescent="0.25">
      <c r="A27" s="129" t="s">
        <v>33</v>
      </c>
      <c r="B27" s="259">
        <v>2.081374431083439</v>
      </c>
      <c r="C27" s="259">
        <v>1.9368761931596581</v>
      </c>
      <c r="D27" s="259">
        <v>1.97270656201882</v>
      </c>
      <c r="E27" s="259">
        <v>2.0977618721017239</v>
      </c>
      <c r="F27" s="259">
        <v>1.86797734847716</v>
      </c>
      <c r="G27" s="259">
        <v>2.236790306839024</v>
      </c>
      <c r="H27" s="259">
        <v>2.3152634979404292</v>
      </c>
      <c r="I27" s="259">
        <v>2.4952284532427478</v>
      </c>
      <c r="J27" s="259">
        <v>3.0263910215931902</v>
      </c>
      <c r="K27" s="259">
        <v>2.732438451554501</v>
      </c>
      <c r="L27" s="259">
        <v>2.5229018178375711</v>
      </c>
      <c r="M27" s="259">
        <v>3.0939369079555181</v>
      </c>
      <c r="N27" s="259">
        <v>2.9499329742605882</v>
      </c>
      <c r="O27" s="259">
        <v>2.7895913785485922</v>
      </c>
      <c r="P27" s="259">
        <v>2.6680095863395872</v>
      </c>
      <c r="Q27" s="259">
        <v>2.4521428692767908</v>
      </c>
      <c r="R27" s="259">
        <v>2.4932563096296558</v>
      </c>
      <c r="S27" s="259">
        <v>2.4600940399032591</v>
      </c>
      <c r="T27" s="259">
        <v>2.8631307769588168</v>
      </c>
      <c r="U27" s="259">
        <v>3.4218560979699291</v>
      </c>
      <c r="V27" s="259">
        <v>3.8165577652476479</v>
      </c>
      <c r="W27" s="259">
        <v>3.3471893453811541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1.0000000000000004</v>
      </c>
      <c r="DA31" s="275"/>
    </row>
    <row r="32" spans="1:105" x14ac:dyDescent="0.25">
      <c r="A32" s="239" t="s">
        <v>125</v>
      </c>
      <c r="B32" s="245">
        <f t="shared" ref="B32:W32" si="8">IF(B$6=0,0,B$6/B$5)</f>
        <v>1.201507588869735E-2</v>
      </c>
      <c r="C32" s="245">
        <f t="shared" si="8"/>
        <v>1.2578117726327239E-2</v>
      </c>
      <c r="D32" s="245">
        <f t="shared" si="8"/>
        <v>1.2603702659184758E-2</v>
      </c>
      <c r="E32" s="245">
        <f t="shared" si="8"/>
        <v>1.3218431779699403E-2</v>
      </c>
      <c r="F32" s="245">
        <f t="shared" si="8"/>
        <v>1.2097467256358439E-2</v>
      </c>
      <c r="G32" s="245">
        <f t="shared" si="8"/>
        <v>1.3184366325979377E-2</v>
      </c>
      <c r="H32" s="245">
        <f t="shared" si="8"/>
        <v>1.3936973427960112E-2</v>
      </c>
      <c r="I32" s="245">
        <f t="shared" si="8"/>
        <v>1.6517590135404193E-2</v>
      </c>
      <c r="J32" s="245">
        <f t="shared" si="8"/>
        <v>2.7579489245913243E-2</v>
      </c>
      <c r="K32" s="245">
        <f t="shared" si="8"/>
        <v>2.5600515131954053E-2</v>
      </c>
      <c r="L32" s="245">
        <f t="shared" si="8"/>
        <v>2.3181249889712093E-2</v>
      </c>
      <c r="M32" s="245">
        <f t="shared" si="8"/>
        <v>2.5486090944016423E-2</v>
      </c>
      <c r="N32" s="245">
        <f t="shared" si="8"/>
        <v>2.4894507426757074E-2</v>
      </c>
      <c r="O32" s="245">
        <f t="shared" si="8"/>
        <v>2.4440088310829517E-2</v>
      </c>
      <c r="P32" s="245">
        <f t="shared" si="8"/>
        <v>2.3864038822518387E-2</v>
      </c>
      <c r="Q32" s="245">
        <f t="shared" si="8"/>
        <v>2.3125249668375585E-2</v>
      </c>
      <c r="R32" s="245">
        <f t="shared" si="8"/>
        <v>2.2869461799976683E-2</v>
      </c>
      <c r="S32" s="245">
        <f t="shared" si="8"/>
        <v>2.3731615112661336E-2</v>
      </c>
      <c r="T32" s="245">
        <f t="shared" si="8"/>
        <v>2.6191399709763835E-2</v>
      </c>
      <c r="U32" s="245">
        <f t="shared" si="8"/>
        <v>2.9387759515415775E-2</v>
      </c>
      <c r="V32" s="245">
        <f t="shared" si="8"/>
        <v>3.2283172404894443E-2</v>
      </c>
      <c r="W32" s="245">
        <f t="shared" si="8"/>
        <v>2.7965396001175431E-2</v>
      </c>
      <c r="DA32" s="276"/>
    </row>
    <row r="33" spans="1:105" x14ac:dyDescent="0.25">
      <c r="A33" s="241" t="s">
        <v>124</v>
      </c>
      <c r="B33" s="246">
        <f t="shared" ref="B33:W33" si="9">IF(B$7=0,0,B$7/B$5)</f>
        <v>7.7444150142275802E-3</v>
      </c>
      <c r="C33" s="246">
        <f t="shared" si="9"/>
        <v>8.107328216056052E-3</v>
      </c>
      <c r="D33" s="246">
        <f t="shared" si="9"/>
        <v>8.1238191928917521E-3</v>
      </c>
      <c r="E33" s="246">
        <f t="shared" si="9"/>
        <v>8.5200478538422064E-3</v>
      </c>
      <c r="F33" s="246">
        <f t="shared" si="9"/>
        <v>7.7975210412446448E-3</v>
      </c>
      <c r="G33" s="246">
        <f t="shared" si="9"/>
        <v>8.4980906882196356E-3</v>
      </c>
      <c r="H33" s="246">
        <f t="shared" si="9"/>
        <v>8.9831897249953215E-3</v>
      </c>
      <c r="I33" s="246">
        <f t="shared" si="9"/>
        <v>1.0646547240189786E-2</v>
      </c>
      <c r="J33" s="246">
        <f t="shared" si="9"/>
        <v>1.7776584399412841E-2</v>
      </c>
      <c r="K33" s="246">
        <f t="shared" si="9"/>
        <v>1.6501020517595773E-2</v>
      </c>
      <c r="L33" s="246">
        <f t="shared" si="9"/>
        <v>1.4941663403335491E-2</v>
      </c>
      <c r="M33" s="246">
        <f t="shared" si="9"/>
        <v>1.6427267475395805E-2</v>
      </c>
      <c r="N33" s="246">
        <f t="shared" si="9"/>
        <v>1.6045957501520186E-2</v>
      </c>
      <c r="O33" s="246">
        <f t="shared" si="9"/>
        <v>1.5753057959582886E-2</v>
      </c>
      <c r="P33" s="246">
        <f t="shared" si="9"/>
        <v>1.5381760570574173E-2</v>
      </c>
      <c r="Q33" s="246">
        <f t="shared" si="9"/>
        <v>1.4905568004610079E-2</v>
      </c>
      <c r="R33" s="246">
        <f t="shared" si="9"/>
        <v>1.4740697850910173E-2</v>
      </c>
      <c r="S33" s="246">
        <f t="shared" si="9"/>
        <v>1.529640578993384E-2</v>
      </c>
      <c r="T33" s="246">
        <f t="shared" si="9"/>
        <v>1.6881879984357057E-2</v>
      </c>
      <c r="U33" s="246">
        <f t="shared" si="9"/>
        <v>1.8942119728081904E-2</v>
      </c>
      <c r="V33" s="246">
        <f t="shared" si="9"/>
        <v>2.0808381686090879E-2</v>
      </c>
      <c r="W33" s="246">
        <f t="shared" si="9"/>
        <v>1.8025323741322086E-2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1.5389951137625448E-2</v>
      </c>
      <c r="C34" s="246">
        <f t="shared" si="10"/>
        <v>1.6111143949875111E-2</v>
      </c>
      <c r="D34" s="246">
        <f t="shared" si="10"/>
        <v>1.6143915350587356E-2</v>
      </c>
      <c r="E34" s="246">
        <f t="shared" si="10"/>
        <v>1.6931313717042592E-2</v>
      </c>
      <c r="F34" s="246">
        <f t="shared" si="10"/>
        <v>1.5495485146250302E-2</v>
      </c>
      <c r="G34" s="246">
        <f t="shared" si="10"/>
        <v>1.6887679729784524E-2</v>
      </c>
      <c r="H34" s="246">
        <f t="shared" si="10"/>
        <v>1.7851684171588264E-2</v>
      </c>
      <c r="I34" s="246">
        <f t="shared" si="10"/>
        <v>2.1157161839845427E-2</v>
      </c>
      <c r="J34" s="246">
        <f t="shared" si="10"/>
        <v>3.5326201501111681E-2</v>
      </c>
      <c r="K34" s="246">
        <f t="shared" si="10"/>
        <v>3.2791359840635102E-2</v>
      </c>
      <c r="L34" s="246">
        <f t="shared" si="10"/>
        <v>2.9692555121300465E-2</v>
      </c>
      <c r="M34" s="246">
        <f t="shared" si="10"/>
        <v>3.2644795417935198E-2</v>
      </c>
      <c r="N34" s="246">
        <f t="shared" si="10"/>
        <v>3.1887043947300679E-2</v>
      </c>
      <c r="O34" s="246">
        <f t="shared" si="10"/>
        <v>3.1304984536697479E-2</v>
      </c>
      <c r="P34" s="246">
        <f t="shared" si="10"/>
        <v>3.0567130397440436E-2</v>
      </c>
      <c r="Q34" s="246">
        <f t="shared" si="10"/>
        <v>2.9620825181510747E-2</v>
      </c>
      <c r="R34" s="246">
        <f t="shared" si="10"/>
        <v>2.9293189897911787E-2</v>
      </c>
      <c r="S34" s="246">
        <f t="shared" si="10"/>
        <v>3.0397510626159578E-2</v>
      </c>
      <c r="T34" s="246">
        <f t="shared" si="10"/>
        <v>3.3548216049011079E-2</v>
      </c>
      <c r="U34" s="246">
        <f t="shared" si="10"/>
        <v>3.76423908742844E-2</v>
      </c>
      <c r="V34" s="246">
        <f t="shared" si="10"/>
        <v>4.1351086791406831E-2</v>
      </c>
      <c r="W34" s="246">
        <f t="shared" si="10"/>
        <v>3.5820504338828385E-2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0.34441483733464556</v>
      </c>
      <c r="C35" s="247">
        <f t="shared" si="11"/>
        <v>0.34743148250241668</v>
      </c>
      <c r="D35" s="247">
        <f t="shared" si="11"/>
        <v>0.3480049845544177</v>
      </c>
      <c r="E35" s="247">
        <f t="shared" si="11"/>
        <v>0.34658948536545037</v>
      </c>
      <c r="F35" s="247">
        <f t="shared" si="11"/>
        <v>0.34955672207485355</v>
      </c>
      <c r="G35" s="247">
        <f t="shared" si="11"/>
        <v>0.34527415795251049</v>
      </c>
      <c r="H35" s="247">
        <f t="shared" si="11"/>
        <v>0.34781529974413267</v>
      </c>
      <c r="I35" s="247">
        <f t="shared" si="11"/>
        <v>0.34410344748478633</v>
      </c>
      <c r="J35" s="247">
        <f t="shared" si="11"/>
        <v>0.33119689871974084</v>
      </c>
      <c r="K35" s="247">
        <f t="shared" si="11"/>
        <v>0.32882268066494635</v>
      </c>
      <c r="L35" s="247">
        <f t="shared" si="11"/>
        <v>0.35819375505401368</v>
      </c>
      <c r="M35" s="247">
        <f t="shared" si="11"/>
        <v>0.35525127366299425</v>
      </c>
      <c r="N35" s="247">
        <f t="shared" si="11"/>
        <v>0.35778108125521618</v>
      </c>
      <c r="O35" s="247">
        <f t="shared" si="11"/>
        <v>0.35571003665503104</v>
      </c>
      <c r="P35" s="247">
        <f t="shared" si="11"/>
        <v>0.35554823331233038</v>
      </c>
      <c r="Q35" s="247">
        <f t="shared" si="11"/>
        <v>0.33423405979021575</v>
      </c>
      <c r="R35" s="247">
        <f t="shared" si="11"/>
        <v>0.35785615284668132</v>
      </c>
      <c r="S35" s="247">
        <f t="shared" si="11"/>
        <v>0.35423847105664058</v>
      </c>
      <c r="T35" s="247">
        <f t="shared" si="11"/>
        <v>0.34931252645358402</v>
      </c>
      <c r="U35" s="247">
        <f t="shared" si="11"/>
        <v>0.34628018130216898</v>
      </c>
      <c r="V35" s="247">
        <f t="shared" si="11"/>
        <v>0.35731144870514886</v>
      </c>
      <c r="W35" s="247">
        <f t="shared" si="11"/>
        <v>0.34321528381963329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0.2546000974635968</v>
      </c>
      <c r="C36" s="260">
        <f t="shared" si="12"/>
        <v>0.25543886320070414</v>
      </c>
      <c r="D36" s="260">
        <f t="shared" si="12"/>
        <v>0.25578192745980238</v>
      </c>
      <c r="E36" s="260">
        <f t="shared" si="12"/>
        <v>0.25356620123597867</v>
      </c>
      <c r="F36" s="260">
        <f t="shared" si="12"/>
        <v>0.25235713084767286</v>
      </c>
      <c r="G36" s="260">
        <f t="shared" si="12"/>
        <v>0.24734037246080906</v>
      </c>
      <c r="H36" s="260">
        <f t="shared" si="12"/>
        <v>0.24753751463765411</v>
      </c>
      <c r="I36" s="260">
        <f t="shared" si="12"/>
        <v>0.24126352314024685</v>
      </c>
      <c r="J36" s="260">
        <f t="shared" si="12"/>
        <v>0.21187863861025322</v>
      </c>
      <c r="K36" s="260">
        <f t="shared" si="12"/>
        <v>0.22271706976932559</v>
      </c>
      <c r="L36" s="260">
        <f t="shared" si="12"/>
        <v>0.2185977570688907</v>
      </c>
      <c r="M36" s="260">
        <f t="shared" si="12"/>
        <v>0.21419854342673417</v>
      </c>
      <c r="N36" s="260">
        <f t="shared" si="12"/>
        <v>0.21687367073395528</v>
      </c>
      <c r="O36" s="260">
        <f t="shared" si="12"/>
        <v>0.21767011849165349</v>
      </c>
      <c r="P36" s="260">
        <f t="shared" si="12"/>
        <v>0.21761725286318598</v>
      </c>
      <c r="Q36" s="260">
        <f t="shared" si="12"/>
        <v>0.22935553219772051</v>
      </c>
      <c r="R36" s="260">
        <f t="shared" si="12"/>
        <v>0.21666139066758455</v>
      </c>
      <c r="S36" s="260">
        <f t="shared" si="12"/>
        <v>0.21807825664531766</v>
      </c>
      <c r="T36" s="260">
        <f t="shared" si="12"/>
        <v>0.21683830569494439</v>
      </c>
      <c r="U36" s="260">
        <f t="shared" si="12"/>
        <v>0.20827401198531936</v>
      </c>
      <c r="V36" s="260">
        <f t="shared" si="12"/>
        <v>0.1972544058117652</v>
      </c>
      <c r="W36" s="260">
        <f t="shared" si="12"/>
        <v>0.21081577577558505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0.30151622114462723</v>
      </c>
      <c r="C37" s="260">
        <f t="shared" si="13"/>
        <v>0.29449158327950825</v>
      </c>
      <c r="D37" s="260">
        <f t="shared" si="13"/>
        <v>0.29338998642422326</v>
      </c>
      <c r="E37" s="260">
        <f t="shared" si="13"/>
        <v>0.29398226903131758</v>
      </c>
      <c r="F37" s="260">
        <f t="shared" si="13"/>
        <v>0.2984717548482565</v>
      </c>
      <c r="G37" s="260">
        <f t="shared" si="13"/>
        <v>0.30254578679482219</v>
      </c>
      <c r="H37" s="260">
        <f t="shared" si="13"/>
        <v>0.29569554928988762</v>
      </c>
      <c r="I37" s="260">
        <f t="shared" si="13"/>
        <v>0.2925167501077251</v>
      </c>
      <c r="J37" s="260">
        <f t="shared" si="13"/>
        <v>0.27871259978613572</v>
      </c>
      <c r="K37" s="260">
        <f t="shared" si="13"/>
        <v>0.27953311966425365</v>
      </c>
      <c r="L37" s="260">
        <f t="shared" si="13"/>
        <v>0.26796813619440096</v>
      </c>
      <c r="M37" s="260">
        <f t="shared" si="13"/>
        <v>0.26339002482403262</v>
      </c>
      <c r="N37" s="260">
        <f t="shared" si="13"/>
        <v>0.26103659522584688</v>
      </c>
      <c r="O37" s="260">
        <f t="shared" si="13"/>
        <v>0.26467081991371577</v>
      </c>
      <c r="P37" s="260">
        <f t="shared" si="13"/>
        <v>0.26801961421018156</v>
      </c>
      <c r="Q37" s="260">
        <f t="shared" si="13"/>
        <v>0.28002700939427505</v>
      </c>
      <c r="R37" s="260">
        <f t="shared" si="13"/>
        <v>0.27219507064516912</v>
      </c>
      <c r="S37" s="260">
        <f t="shared" si="13"/>
        <v>0.26952520862392587</v>
      </c>
      <c r="T37" s="260">
        <f t="shared" si="13"/>
        <v>0.26250525060834518</v>
      </c>
      <c r="U37" s="260">
        <f t="shared" si="13"/>
        <v>0.2579028307490131</v>
      </c>
      <c r="V37" s="260">
        <f t="shared" si="13"/>
        <v>0.24365603052158971</v>
      </c>
      <c r="W37" s="260">
        <f t="shared" si="13"/>
        <v>0.2658051963757832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3.4246471346416243E-2</v>
      </c>
      <c r="C38" s="260">
        <f t="shared" si="14"/>
        <v>3.435929442491608E-2</v>
      </c>
      <c r="D38" s="260">
        <f t="shared" si="14"/>
        <v>3.4405440284388383E-2</v>
      </c>
      <c r="E38" s="260">
        <f t="shared" si="14"/>
        <v>3.4107401102975533E-2</v>
      </c>
      <c r="F38" s="260">
        <f t="shared" si="14"/>
        <v>3.394476803715419E-2</v>
      </c>
      <c r="G38" s="260">
        <f t="shared" si="14"/>
        <v>3.3269959684528991E-2</v>
      </c>
      <c r="H38" s="260">
        <f t="shared" si="14"/>
        <v>3.3296477443075657E-2</v>
      </c>
      <c r="I38" s="260">
        <f t="shared" si="14"/>
        <v>3.2452557616712126E-2</v>
      </c>
      <c r="J38" s="260">
        <f t="shared" si="14"/>
        <v>2.8499972303118275E-2</v>
      </c>
      <c r="K38" s="260">
        <f t="shared" si="14"/>
        <v>2.9957858713324167E-2</v>
      </c>
      <c r="L38" s="260">
        <f t="shared" si="14"/>
        <v>2.9403766528098108E-2</v>
      </c>
      <c r="M38" s="260">
        <f t="shared" si="14"/>
        <v>2.8812024633873522E-2</v>
      </c>
      <c r="N38" s="260">
        <f t="shared" si="14"/>
        <v>2.9171858237974389E-2</v>
      </c>
      <c r="O38" s="260">
        <f t="shared" si="14"/>
        <v>2.9278989089787332E-2</v>
      </c>
      <c r="P38" s="260">
        <f t="shared" si="14"/>
        <v>2.9271878090032958E-2</v>
      </c>
      <c r="Q38" s="260">
        <f t="shared" si="14"/>
        <v>3.0850803828440618E-2</v>
      </c>
      <c r="R38" s="260">
        <f t="shared" si="14"/>
        <v>2.91433042692886E-2</v>
      </c>
      <c r="S38" s="260">
        <f t="shared" si="14"/>
        <v>2.9333888093063781E-2</v>
      </c>
      <c r="T38" s="260">
        <f t="shared" si="14"/>
        <v>2.9167101257096473E-2</v>
      </c>
      <c r="U38" s="260">
        <f t="shared" si="14"/>
        <v>2.8015110970954108E-2</v>
      </c>
      <c r="V38" s="260">
        <f t="shared" si="14"/>
        <v>2.6532854558521373E-2</v>
      </c>
      <c r="W38" s="260">
        <f t="shared" si="14"/>
        <v>2.8357005737216459E-2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1.1914484637273208E-2</v>
      </c>
      <c r="C39" s="260">
        <f t="shared" si="15"/>
        <v>1.2472812640086232E-2</v>
      </c>
      <c r="D39" s="260">
        <f t="shared" si="15"/>
        <v>1.2498183373679625E-2</v>
      </c>
      <c r="E39" s="260">
        <f t="shared" si="15"/>
        <v>1.3107765928988015E-2</v>
      </c>
      <c r="F39" s="260">
        <f t="shared" si="15"/>
        <v>1.199618621729946E-2</v>
      </c>
      <c r="G39" s="260">
        <f t="shared" si="15"/>
        <v>1.3073985674184064E-2</v>
      </c>
      <c r="H39" s="260">
        <f t="shared" si="15"/>
        <v>1.3820291884608199E-2</v>
      </c>
      <c r="I39" s="260">
        <f t="shared" si="15"/>
        <v>1.6379303446445823E-2</v>
      </c>
      <c r="J39" s="260">
        <f t="shared" si="15"/>
        <v>2.7348591383712054E-2</v>
      </c>
      <c r="K39" s="260">
        <f t="shared" si="15"/>
        <v>2.5386185411685819E-2</v>
      </c>
      <c r="L39" s="260">
        <f t="shared" si="15"/>
        <v>2.2987174466669983E-2</v>
      </c>
      <c r="M39" s="260">
        <f t="shared" si="15"/>
        <v>2.5272719192916633E-2</v>
      </c>
      <c r="N39" s="260">
        <f t="shared" si="15"/>
        <v>2.4686088463877213E-2</v>
      </c>
      <c r="O39" s="260">
        <f t="shared" si="15"/>
        <v>2.4235473783973671E-2</v>
      </c>
      <c r="P39" s="260">
        <f t="shared" si="15"/>
        <v>2.3664247031652555E-2</v>
      </c>
      <c r="Q39" s="260">
        <f t="shared" si="15"/>
        <v>2.2931643084015504E-2</v>
      </c>
      <c r="R39" s="260">
        <f t="shared" si="15"/>
        <v>2.2677996693707951E-2</v>
      </c>
      <c r="S39" s="260">
        <f t="shared" si="15"/>
        <v>2.3532931984513599E-2</v>
      </c>
      <c r="T39" s="260">
        <f t="shared" si="15"/>
        <v>2.5972123052857014E-2</v>
      </c>
      <c r="U39" s="260">
        <f t="shared" si="15"/>
        <v>2.9141722658587554E-2</v>
      </c>
      <c r="V39" s="260">
        <f t="shared" si="15"/>
        <v>3.2012894901678295E-2</v>
      </c>
      <c r="W39" s="260">
        <f t="shared" si="15"/>
        <v>2.7731267294341687E-2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1.8158446032890675E-2</v>
      </c>
      <c r="C40" s="262">
        <f t="shared" si="16"/>
        <v>1.9009374060110194E-2</v>
      </c>
      <c r="D40" s="262">
        <f t="shared" si="16"/>
        <v>1.90480407008249E-2</v>
      </c>
      <c r="E40" s="262">
        <f t="shared" si="16"/>
        <v>1.997708398470565E-2</v>
      </c>
      <c r="F40" s="262">
        <f t="shared" si="16"/>
        <v>1.8282964530910096E-2</v>
      </c>
      <c r="G40" s="262">
        <f t="shared" si="16"/>
        <v>1.9925600689161674E-2</v>
      </c>
      <c r="H40" s="262">
        <f t="shared" si="16"/>
        <v>2.1063019676098176E-2</v>
      </c>
      <c r="I40" s="262">
        <f t="shared" si="16"/>
        <v>2.4963118988644416E-2</v>
      </c>
      <c r="J40" s="262">
        <f t="shared" si="16"/>
        <v>4.1681024050602179E-2</v>
      </c>
      <c r="K40" s="262">
        <f t="shared" si="16"/>
        <v>3.8690190286279444E-2</v>
      </c>
      <c r="L40" s="262">
        <f t="shared" si="16"/>
        <v>3.5033942273578686E-2</v>
      </c>
      <c r="M40" s="262">
        <f t="shared" si="16"/>
        <v>3.8517260422101289E-2</v>
      </c>
      <c r="N40" s="262">
        <f t="shared" si="16"/>
        <v>3.7623197207552084E-2</v>
      </c>
      <c r="O40" s="262">
        <f t="shared" si="16"/>
        <v>3.6936431258728857E-2</v>
      </c>
      <c r="P40" s="262">
        <f t="shared" si="16"/>
        <v>3.606584470208362E-2</v>
      </c>
      <c r="Q40" s="262">
        <f t="shared" si="16"/>
        <v>3.4949308850836386E-2</v>
      </c>
      <c r="R40" s="262">
        <f t="shared" si="16"/>
        <v>3.4562735328769918E-2</v>
      </c>
      <c r="S40" s="262">
        <f t="shared" si="16"/>
        <v>3.586571206778405E-2</v>
      </c>
      <c r="T40" s="262">
        <f t="shared" si="16"/>
        <v>3.9583197190041067E-2</v>
      </c>
      <c r="U40" s="262">
        <f t="shared" si="16"/>
        <v>4.4413872216174786E-2</v>
      </c>
      <c r="V40" s="262">
        <f t="shared" si="16"/>
        <v>4.8789724618904344E-2</v>
      </c>
      <c r="W40" s="262">
        <f t="shared" si="16"/>
        <v>4.2264246916114689E-2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0.36542726245430035</v>
      </c>
      <c r="C44" s="238">
        <f>IF(C$5=0,0,C$5/AGR_fec!C$5)</f>
        <v>0.36962662411940822</v>
      </c>
      <c r="D44" s="238">
        <f>IF(D$5=0,0,D$5/AGR_fec!D$5)</f>
        <v>0.36994734135641605</v>
      </c>
      <c r="E44" s="238">
        <f>IF(E$5=0,0,E$5/AGR_fec!E$5)</f>
        <v>0.37029862733225161</v>
      </c>
      <c r="F44" s="238">
        <f>IF(F$5=0,0,F$5/AGR_fec!F$5)</f>
        <v>0.3693403688179831</v>
      </c>
      <c r="G44" s="238">
        <f>IF(G$5=0,0,G$5/AGR_fec!G$5)</f>
        <v>0.36906940275080752</v>
      </c>
      <c r="H44" s="238">
        <f>IF(H$5=0,0,H$5/AGR_fec!H$5)</f>
        <v>0.3724718868700711</v>
      </c>
      <c r="I44" s="238">
        <f>IF(I$5=0,0,I$5/AGR_fec!I$5)</f>
        <v>0.37470015369995063</v>
      </c>
      <c r="J44" s="238">
        <f>IF(J$5=0,0,J$5/AGR_fec!J$5)</f>
        <v>0.38709248519469569</v>
      </c>
      <c r="K44" s="238">
        <f>IF(K$5=0,0,K$5/AGR_fec!K$5)</f>
        <v>0.38317292003259745</v>
      </c>
      <c r="L44" s="238">
        <f>IF(L$5=0,0,L$5/AGR_fec!L$5)</f>
        <v>0.38996999058863979</v>
      </c>
      <c r="M44" s="238">
        <f>IF(M$5=0,0,M$5/AGR_fec!M$5)</f>
        <v>0.39236465690797334</v>
      </c>
      <c r="N44" s="238">
        <f>IF(N$5=0,0,N$5/AGR_fec!N$5)</f>
        <v>0.39175131561151233</v>
      </c>
      <c r="O44" s="238">
        <f>IF(O$5=0,0,O$5/AGR_fec!O$5)</f>
        <v>0.38923815897472674</v>
      </c>
      <c r="P44" s="238">
        <f>IF(P$5=0,0,P$5/AGR_fec!P$5)</f>
        <v>0.38832970238509062</v>
      </c>
      <c r="Q44" s="238">
        <f>IF(Q$5=0,0,Q$5/AGR_fec!Q$5)</f>
        <v>0.37771408305329174</v>
      </c>
      <c r="R44" s="238">
        <f>IF(R$5=0,0,R$5/AGR_fec!R$5)</f>
        <v>0.38937950593957626</v>
      </c>
      <c r="S44" s="238">
        <f>IF(S$5=0,0,S$5/AGR_fec!S$5)</f>
        <v>0.3862128919516864</v>
      </c>
      <c r="T44" s="238">
        <f>IF(T$5=0,0,T$5/AGR_fec!T$5)</f>
        <v>0.38908608838593517</v>
      </c>
      <c r="U44" s="238">
        <f>IF(U$5=0,0,U$5/AGR_fec!U$5)</f>
        <v>0.3911627096584061</v>
      </c>
      <c r="V44" s="238">
        <f>IF(V$5=0,0,V$5/AGR_fec!V$5)</f>
        <v>0.40075289533750819</v>
      </c>
      <c r="W44" s="238">
        <f>IF(W$5=0,0,W$5/AGR_fec!W$5)</f>
        <v>0.38894755028278316</v>
      </c>
      <c r="DA44" s="287"/>
    </row>
    <row r="45" spans="1:105" x14ac:dyDescent="0.25">
      <c r="A45" s="239" t="s">
        <v>125</v>
      </c>
      <c r="B45" s="251">
        <f>IF(B$6=0,0,B$6/AGR_fec!B$6)</f>
        <v>0.46759889436906993</v>
      </c>
      <c r="C45" s="251">
        <f>IF(C$6=0,0,C$6/AGR_fec!C$6)</f>
        <v>0.46759889436906976</v>
      </c>
      <c r="D45" s="251">
        <f>IF(D$6=0,0,D$6/AGR_fec!D$6)</f>
        <v>0.46759889436907009</v>
      </c>
      <c r="E45" s="251">
        <f>IF(E$6=0,0,E$6/AGR_fec!E$6)</f>
        <v>0.46759889436906976</v>
      </c>
      <c r="F45" s="251">
        <f>IF(F$6=0,0,F$6/AGR_fec!F$6)</f>
        <v>0.46759889436907015</v>
      </c>
      <c r="G45" s="251">
        <f>IF(G$6=0,0,G$6/AGR_fec!G$6)</f>
        <v>0.46759889436906993</v>
      </c>
      <c r="H45" s="251">
        <f>IF(H$6=0,0,H$6/AGR_fec!H$6)</f>
        <v>0.46759889436906998</v>
      </c>
      <c r="I45" s="251">
        <f>IF(I$6=0,0,I$6/AGR_fec!I$6)</f>
        <v>0.46759889436906998</v>
      </c>
      <c r="J45" s="251">
        <f>IF(J$6=0,0,J$6/AGR_fec!J$6)</f>
        <v>0.46759889436906998</v>
      </c>
      <c r="K45" s="251">
        <f>IF(K$6=0,0,K$6/AGR_fec!K$6)</f>
        <v>0.46759889436906998</v>
      </c>
      <c r="L45" s="251">
        <f>IF(L$6=0,0,L$6/AGR_fec!L$6)</f>
        <v>0.46759889436906998</v>
      </c>
      <c r="M45" s="251">
        <f>IF(M$6=0,0,M$6/AGR_fec!M$6)</f>
        <v>0.46759889436907009</v>
      </c>
      <c r="N45" s="251">
        <f>IF(N$6=0,0,N$6/AGR_fec!N$6)</f>
        <v>0.46759889436906993</v>
      </c>
      <c r="O45" s="251">
        <f>IF(O$6=0,0,O$6/AGR_fec!O$6)</f>
        <v>0.46759889436906993</v>
      </c>
      <c r="P45" s="251">
        <f>IF(P$6=0,0,P$6/AGR_fec!P$6)</f>
        <v>0.46759889436907009</v>
      </c>
      <c r="Q45" s="251">
        <f>IF(Q$6=0,0,Q$6/AGR_fec!Q$6)</f>
        <v>0.46759889436907009</v>
      </c>
      <c r="R45" s="251">
        <f>IF(R$6=0,0,R$6/AGR_fec!R$6)</f>
        <v>0.46759889436906987</v>
      </c>
      <c r="S45" s="251">
        <f>IF(S$6=0,0,S$6/AGR_fec!S$6)</f>
        <v>0.46759889436907015</v>
      </c>
      <c r="T45" s="251">
        <f>IF(T$6=0,0,T$6/AGR_fec!T$6)</f>
        <v>0.46759889436907004</v>
      </c>
      <c r="U45" s="251">
        <f>IF(U$6=0,0,U$6/AGR_fec!U$6)</f>
        <v>0.46759889436907009</v>
      </c>
      <c r="V45" s="251">
        <f>IF(V$6=0,0,V$6/AGR_fec!V$6)</f>
        <v>0.46759889436906998</v>
      </c>
      <c r="W45" s="251">
        <f>IF(W$6=0,0,W$6/AGR_fec!W$6)</f>
        <v>0.46759889436906993</v>
      </c>
      <c r="DA45" s="288"/>
    </row>
    <row r="46" spans="1:105" x14ac:dyDescent="0.25">
      <c r="A46" s="241" t="s">
        <v>124</v>
      </c>
      <c r="B46" s="252">
        <f>IF(B$7=0,0,B$7/AGR_fec!B$7)</f>
        <v>0.46368411610342625</v>
      </c>
      <c r="C46" s="252">
        <f>IF(C$7=0,0,C$7/AGR_fec!C$7)</f>
        <v>0.4636841161034263</v>
      </c>
      <c r="D46" s="252">
        <f>IF(D$7=0,0,D$7/AGR_fec!D$7)</f>
        <v>0.46368411610342619</v>
      </c>
      <c r="E46" s="252">
        <f>IF(E$7=0,0,E$7/AGR_fec!E$7)</f>
        <v>0.4636841161034263</v>
      </c>
      <c r="F46" s="252">
        <f>IF(F$7=0,0,F$7/AGR_fec!F$7)</f>
        <v>0.46368411610342625</v>
      </c>
      <c r="G46" s="252">
        <f>IF(G$7=0,0,G$7/AGR_fec!G$7)</f>
        <v>0.46368411610342636</v>
      </c>
      <c r="H46" s="252">
        <f>IF(H$7=0,0,H$7/AGR_fec!H$7)</f>
        <v>0.46368411610342625</v>
      </c>
      <c r="I46" s="252">
        <f>IF(I$7=0,0,I$7/AGR_fec!I$7)</f>
        <v>0.46368411610342636</v>
      </c>
      <c r="J46" s="252">
        <f>IF(J$7=0,0,J$7/AGR_fec!J$7)</f>
        <v>0.4636841161034263</v>
      </c>
      <c r="K46" s="252">
        <f>IF(K$7=0,0,K$7/AGR_fec!K$7)</f>
        <v>0.46368411610342625</v>
      </c>
      <c r="L46" s="252">
        <f>IF(L$7=0,0,L$7/AGR_fec!L$7)</f>
        <v>0.46368411610342625</v>
      </c>
      <c r="M46" s="252">
        <f>IF(M$7=0,0,M$7/AGR_fec!M$7)</f>
        <v>0.46368411610342619</v>
      </c>
      <c r="N46" s="252">
        <f>IF(N$7=0,0,N$7/AGR_fec!N$7)</f>
        <v>0.46368411610342641</v>
      </c>
      <c r="O46" s="252">
        <f>IF(O$7=0,0,O$7/AGR_fec!O$7)</f>
        <v>0.46368411610342641</v>
      </c>
      <c r="P46" s="252">
        <f>IF(P$7=0,0,P$7/AGR_fec!P$7)</f>
        <v>0.46368411610342647</v>
      </c>
      <c r="Q46" s="252">
        <f>IF(Q$7=0,0,Q$7/AGR_fec!Q$7)</f>
        <v>0.46368411610342636</v>
      </c>
      <c r="R46" s="252">
        <f>IF(R$7=0,0,R$7/AGR_fec!R$7)</f>
        <v>0.46368411610342636</v>
      </c>
      <c r="S46" s="252">
        <f>IF(S$7=0,0,S$7/AGR_fec!S$7)</f>
        <v>0.46368411610342647</v>
      </c>
      <c r="T46" s="252">
        <f>IF(T$7=0,0,T$7/AGR_fec!T$7)</f>
        <v>0.46368411610342619</v>
      </c>
      <c r="U46" s="252">
        <f>IF(U$7=0,0,U$7/AGR_fec!U$7)</f>
        <v>0.4636841161034263</v>
      </c>
      <c r="V46" s="252">
        <f>IF(V$7=0,0,V$7/AGR_fec!V$7)</f>
        <v>0.4636841161034263</v>
      </c>
      <c r="W46" s="252">
        <f>IF(W$7=0,0,W$7/AGR_fec!W$7)</f>
        <v>0.46368411610342625</v>
      </c>
      <c r="DA46" s="289"/>
    </row>
    <row r="47" spans="1:105" x14ac:dyDescent="0.25">
      <c r="A47" s="241" t="s">
        <v>123</v>
      </c>
      <c r="B47" s="252">
        <f>IF(B$8=0,0,B$8/AGR_fec!B$8)</f>
        <v>0.66549023752523839</v>
      </c>
      <c r="C47" s="252">
        <f>IF(C$8=0,0,C$8/AGR_fec!C$8)</f>
        <v>0.66549023752523817</v>
      </c>
      <c r="D47" s="252">
        <f>IF(D$8=0,0,D$8/AGR_fec!D$8)</f>
        <v>0.66549023752523839</v>
      </c>
      <c r="E47" s="252">
        <f>IF(E$8=0,0,E$8/AGR_fec!E$8)</f>
        <v>0.66549023752523839</v>
      </c>
      <c r="F47" s="252">
        <f>IF(F$8=0,0,F$8/AGR_fec!F$8)</f>
        <v>0.66549023752523828</v>
      </c>
      <c r="G47" s="252">
        <f>IF(G$8=0,0,G$8/AGR_fec!G$8)</f>
        <v>0.66549023752523839</v>
      </c>
      <c r="H47" s="252">
        <f>IF(H$8=0,0,H$8/AGR_fec!H$8)</f>
        <v>0.66549023752523861</v>
      </c>
      <c r="I47" s="252">
        <f>IF(I$8=0,0,I$8/AGR_fec!I$8)</f>
        <v>0.66549023752523828</v>
      </c>
      <c r="J47" s="252">
        <f>IF(J$8=0,0,J$8/AGR_fec!J$8)</f>
        <v>0.66549023752523817</v>
      </c>
      <c r="K47" s="252">
        <f>IF(K$8=0,0,K$8/AGR_fec!K$8)</f>
        <v>0.66549023752523839</v>
      </c>
      <c r="L47" s="252">
        <f>IF(L$8=0,0,L$8/AGR_fec!L$8)</f>
        <v>0.66549023752523828</v>
      </c>
      <c r="M47" s="252">
        <f>IF(M$8=0,0,M$8/AGR_fec!M$8)</f>
        <v>0.6654902375252385</v>
      </c>
      <c r="N47" s="252">
        <f>IF(N$8=0,0,N$8/AGR_fec!N$8)</f>
        <v>0.66549023752523839</v>
      </c>
      <c r="O47" s="252">
        <f>IF(O$8=0,0,O$8/AGR_fec!O$8)</f>
        <v>0.6654902375252385</v>
      </c>
      <c r="P47" s="252">
        <f>IF(P$8=0,0,P$8/AGR_fec!P$8)</f>
        <v>0.66549023752523828</v>
      </c>
      <c r="Q47" s="252">
        <f>IF(Q$8=0,0,Q$8/AGR_fec!Q$8)</f>
        <v>0.6654902375252385</v>
      </c>
      <c r="R47" s="252">
        <f>IF(R$8=0,0,R$8/AGR_fec!R$8)</f>
        <v>0.66549023752523828</v>
      </c>
      <c r="S47" s="252">
        <f>IF(S$8=0,0,S$8/AGR_fec!S$8)</f>
        <v>0.66549023752523828</v>
      </c>
      <c r="T47" s="252">
        <f>IF(T$8=0,0,T$8/AGR_fec!T$8)</f>
        <v>0.66549023752523817</v>
      </c>
      <c r="U47" s="252">
        <f>IF(U$8=0,0,U$8/AGR_fec!U$8)</f>
        <v>0.6654902375252385</v>
      </c>
      <c r="V47" s="252">
        <f>IF(V$8=0,0,V$8/AGR_fec!V$8)</f>
        <v>0.66549023752523839</v>
      </c>
      <c r="W47" s="252">
        <f>IF(W$8=0,0,W$8/AGR_fec!W$8)</f>
        <v>0.66549023752523828</v>
      </c>
      <c r="DA47" s="289"/>
    </row>
    <row r="48" spans="1:105" x14ac:dyDescent="0.25">
      <c r="A48" s="243" t="s">
        <v>122</v>
      </c>
      <c r="B48" s="253">
        <f>IF(B$9=0,0,B$9/AGR_fec!B$9)</f>
        <v>0.60577104940109627</v>
      </c>
      <c r="C48" s="253">
        <f>IF(C$9=0,0,C$9/AGR_fec!C$9)</f>
        <v>0.6069570894846984</v>
      </c>
      <c r="D48" s="253">
        <f>IF(D$9=0,0,D$9/AGR_fec!D$9)</f>
        <v>0.60702276033909874</v>
      </c>
      <c r="E48" s="253">
        <f>IF(E$9=0,0,E$9/AGR_fec!E$9)</f>
        <v>0.60822326481005229</v>
      </c>
      <c r="F48" s="253">
        <f>IF(F$9=0,0,F$9/AGR_fec!F$9)</f>
        <v>0.61023546648721971</v>
      </c>
      <c r="G48" s="253">
        <f>IF(G$9=0,0,G$9/AGR_fec!G$9)</f>
        <v>0.61232033157564758</v>
      </c>
      <c r="H48" s="253">
        <f>IF(H$9=0,0,H$9/AGR_fec!H$9)</f>
        <v>0.61395778513894639</v>
      </c>
      <c r="I48" s="253">
        <f>IF(I$9=0,0,I$9/AGR_fec!I$9)</f>
        <v>0.61790850175930601</v>
      </c>
      <c r="J48" s="253">
        <f>IF(J$9=0,0,J$9/AGR_fec!J$9)</f>
        <v>0.64259865852902098</v>
      </c>
      <c r="K48" s="253">
        <f>IF(K$9=0,0,K$9/AGR_fec!K$9)</f>
        <v>0.63178712449061791</v>
      </c>
      <c r="L48" s="253">
        <f>IF(L$9=0,0,L$9/AGR_fec!L$9)</f>
        <v>0.63999657409652766</v>
      </c>
      <c r="M48" s="253">
        <f>IF(M$9=0,0,M$9/AGR_fec!M$9)</f>
        <v>0.6438487146068187</v>
      </c>
      <c r="N48" s="253">
        <f>IF(N$9=0,0,N$9/AGR_fec!N$9)</f>
        <v>0.64204015742042053</v>
      </c>
      <c r="O48" s="253">
        <f>IF(O$9=0,0,O$9/AGR_fec!O$9)</f>
        <v>0.64074568951954758</v>
      </c>
      <c r="P48" s="253">
        <f>IF(P$9=0,0,P$9/AGR_fec!P$9)</f>
        <v>0.64036368324054938</v>
      </c>
      <c r="Q48" s="253">
        <f>IF(Q$9=0,0,Q$9/AGR_fec!Q$9)</f>
        <v>0.62593512247110061</v>
      </c>
      <c r="R48" s="253">
        <f>IF(R$9=0,0,R$9/AGR_fec!R$9)</f>
        <v>0.64110898991309295</v>
      </c>
      <c r="S48" s="253">
        <f>IF(S$9=0,0,S$9/AGR_fec!S$9)</f>
        <v>0.63955077192643073</v>
      </c>
      <c r="T48" s="253">
        <f>IF(T$9=0,0,T$9/AGR_fec!T$9)</f>
        <v>0.64117911416729167</v>
      </c>
      <c r="U48" s="253">
        <f>IF(U$9=0,0,U$9/AGR_fec!U$9)</f>
        <v>0.6502534081153698</v>
      </c>
      <c r="V48" s="253">
        <f>IF(V$9=0,0,V$9/AGR_fec!V$9)</f>
        <v>0.66385906183695464</v>
      </c>
      <c r="W48" s="253">
        <f>IF(W$9=0,0,W$9/AGR_fec!W$9)</f>
        <v>0.6462007644549761</v>
      </c>
      <c r="DA48" s="290"/>
    </row>
    <row r="49" spans="1:105" x14ac:dyDescent="0.25">
      <c r="A49" s="128" t="s">
        <v>175</v>
      </c>
      <c r="B49" s="265">
        <f>IF(B$16=0,0,B$16/AGR_fec!B$16)</f>
        <v>0.33460428129670777</v>
      </c>
      <c r="C49" s="265">
        <f>IF(C$16=0,0,C$16/AGR_fec!C$16)</f>
        <v>0.33460428129670772</v>
      </c>
      <c r="D49" s="265">
        <f>IF(D$16=0,0,D$16/AGR_fec!D$16)</f>
        <v>0.33460428129670766</v>
      </c>
      <c r="E49" s="265">
        <f>IF(E$16=0,0,E$16/AGR_fec!E$16)</f>
        <v>0.33460428129670772</v>
      </c>
      <c r="F49" s="265">
        <f>IF(F$16=0,0,F$16/AGR_fec!F$16)</f>
        <v>0.33460428129670772</v>
      </c>
      <c r="G49" s="265">
        <f>IF(G$16=0,0,G$16/AGR_fec!G$16)</f>
        <v>0.33460428129670777</v>
      </c>
      <c r="H49" s="265">
        <f>IF(H$16=0,0,H$16/AGR_fec!H$16)</f>
        <v>0.33460428129670766</v>
      </c>
      <c r="I49" s="265">
        <f>IF(I$16=0,0,I$16/AGR_fec!I$16)</f>
        <v>0.33460428129670766</v>
      </c>
      <c r="J49" s="265">
        <f>IF(J$16=0,0,J$16/AGR_fec!J$16)</f>
        <v>0.33460428129670761</v>
      </c>
      <c r="K49" s="265">
        <f>IF(K$16=0,0,K$16/AGR_fec!K$16)</f>
        <v>0.33460428129670766</v>
      </c>
      <c r="L49" s="265">
        <f>IF(L$16=0,0,L$16/AGR_fec!L$16)</f>
        <v>0.33460428129670777</v>
      </c>
      <c r="M49" s="265">
        <f>IF(M$16=0,0,M$16/AGR_fec!M$16)</f>
        <v>0.33460428129670761</v>
      </c>
      <c r="N49" s="265">
        <f>IF(N$16=0,0,N$16/AGR_fec!N$16)</f>
        <v>0.33460428129670777</v>
      </c>
      <c r="O49" s="265">
        <f>IF(O$16=0,0,O$16/AGR_fec!O$16)</f>
        <v>0.33460428129670766</v>
      </c>
      <c r="P49" s="265">
        <f>IF(P$16=0,0,P$16/AGR_fec!P$16)</f>
        <v>0.33460428129670777</v>
      </c>
      <c r="Q49" s="265">
        <f>IF(Q$16=0,0,Q$16/AGR_fec!Q$16)</f>
        <v>0.33460428129670761</v>
      </c>
      <c r="R49" s="265">
        <f>IF(R$16=0,0,R$16/AGR_fec!R$16)</f>
        <v>0.33460428129670772</v>
      </c>
      <c r="S49" s="265">
        <f>IF(S$16=0,0,S$16/AGR_fec!S$16)</f>
        <v>0.33460428129670772</v>
      </c>
      <c r="T49" s="265">
        <f>IF(T$16=0,0,T$16/AGR_fec!T$16)</f>
        <v>0.33460428129670761</v>
      </c>
      <c r="U49" s="265">
        <f>IF(U$16=0,0,U$16/AGR_fec!U$16)</f>
        <v>0.33460428129670772</v>
      </c>
      <c r="V49" s="265">
        <f>IF(V$16=0,0,V$16/AGR_fec!V$16)</f>
        <v>0.33460428129670777</v>
      </c>
      <c r="W49" s="265">
        <f>IF(W$16=0,0,W$16/AGR_fec!W$16)</f>
        <v>0.33460428129670783</v>
      </c>
      <c r="DA49" s="291"/>
    </row>
    <row r="50" spans="1:105" x14ac:dyDescent="0.25">
      <c r="A50" s="128" t="s">
        <v>121</v>
      </c>
      <c r="B50" s="265">
        <f>IF(B$17=0,0,B$17/AGR_fec!B$17)</f>
        <v>0.2662681567607636</v>
      </c>
      <c r="C50" s="265">
        <f>IF(C$17=0,0,C$17/AGR_fec!C$17)</f>
        <v>0.27056794398798595</v>
      </c>
      <c r="D50" s="265">
        <f>IF(D$17=0,0,D$17/AGR_fec!D$17)</f>
        <v>0.27073090894995872</v>
      </c>
      <c r="E50" s="265">
        <f>IF(E$17=0,0,E$17/AGR_fec!E$17)</f>
        <v>0.27072393851362042</v>
      </c>
      <c r="F50" s="265">
        <f>IF(F$17=0,0,F$17/AGR_fec!F$17)</f>
        <v>0.26981012598010634</v>
      </c>
      <c r="G50" s="265">
        <f>IF(G$17=0,0,G$17/AGR_fec!G$17)</f>
        <v>0.26930946488124763</v>
      </c>
      <c r="H50" s="265">
        <f>IF(H$17=0,0,H$17/AGR_fec!H$17)</f>
        <v>0.27195972356044579</v>
      </c>
      <c r="I50" s="265">
        <f>IF(I$17=0,0,I$17/AGR_fec!I$17)</f>
        <v>0.27193161977677399</v>
      </c>
      <c r="J50" s="265">
        <f>IF(J$17=0,0,J$17/AGR_fec!J$17)</f>
        <v>0.27374312408518947</v>
      </c>
      <c r="K50" s="265">
        <f>IF(K$17=0,0,K$17/AGR_fec!K$17)</f>
        <v>0.27349903660210234</v>
      </c>
      <c r="L50" s="265">
        <f>IF(L$17=0,0,L$17/AGR_fec!L$17)</f>
        <v>0.2740229607688095</v>
      </c>
      <c r="M50" s="265">
        <f>IF(M$17=0,0,M$17/AGR_fec!M$17)</f>
        <v>0.27402187154750329</v>
      </c>
      <c r="N50" s="265">
        <f>IF(N$17=0,0,N$17/AGR_fec!N$17)</f>
        <v>0.27291064857218011</v>
      </c>
      <c r="O50" s="265">
        <f>IF(O$17=0,0,O$17/AGR_fec!O$17)</f>
        <v>0.27087374770590511</v>
      </c>
      <c r="P50" s="265">
        <f>IF(P$17=0,0,P$17/AGR_fec!P$17)</f>
        <v>0.27089653575797973</v>
      </c>
      <c r="Q50" s="265">
        <f>IF(Q$17=0,0,Q$17/AGR_fec!Q$17)</f>
        <v>0.26692512746721975</v>
      </c>
      <c r="R50" s="265">
        <f>IF(R$17=0,0,R$17/AGR_fec!R$17)</f>
        <v>0.27396947350501899</v>
      </c>
      <c r="S50" s="265">
        <f>IF(S$17=0,0,S$17/AGR_fec!S$17)</f>
        <v>0.26828844077444619</v>
      </c>
      <c r="T50" s="265">
        <f>IF(T$17=0,0,T$17/AGR_fec!T$17)</f>
        <v>0.26987432299801389</v>
      </c>
      <c r="U50" s="265">
        <f>IF(U$17=0,0,U$17/AGR_fec!U$17)</f>
        <v>0.26652457581471822</v>
      </c>
      <c r="V50" s="265">
        <f>IF(V$17=0,0,V$17/AGR_fec!V$17)</f>
        <v>0.26802720820993614</v>
      </c>
      <c r="W50" s="265">
        <f>IF(W$17=0,0,W$17/AGR_fec!W$17)</f>
        <v>0.2685531827235122</v>
      </c>
      <c r="DA50" s="291"/>
    </row>
    <row r="51" spans="1:105" x14ac:dyDescent="0.25">
      <c r="A51" s="128" t="s">
        <v>174</v>
      </c>
      <c r="B51" s="265">
        <f>IF(B$25=0,0,B$25/AGR_fec!B$25)</f>
        <v>0.23422299690769535</v>
      </c>
      <c r="C51" s="265">
        <f>IF(C$25=0,0,C$25/AGR_fec!C$25)</f>
        <v>0.23422299690769541</v>
      </c>
      <c r="D51" s="265">
        <f>IF(D$25=0,0,D$25/AGR_fec!D$25)</f>
        <v>0.2342229969076953</v>
      </c>
      <c r="E51" s="265">
        <f>IF(E$25=0,0,E$25/AGR_fec!E$25)</f>
        <v>0.2342229969076953</v>
      </c>
      <c r="F51" s="265">
        <f>IF(F$25=0,0,F$25/AGR_fec!F$25)</f>
        <v>0.23422299690769535</v>
      </c>
      <c r="G51" s="265">
        <f>IF(G$25=0,0,G$25/AGR_fec!G$25)</f>
        <v>0.23422299690769532</v>
      </c>
      <c r="H51" s="265">
        <f>IF(H$25=0,0,H$25/AGR_fec!H$25)</f>
        <v>0.23422299690769541</v>
      </c>
      <c r="I51" s="265">
        <f>IF(I$25=0,0,I$25/AGR_fec!I$25)</f>
        <v>0.23422299690769535</v>
      </c>
      <c r="J51" s="265">
        <f>IF(J$25=0,0,J$25/AGR_fec!J$25)</f>
        <v>0.23422299690769541</v>
      </c>
      <c r="K51" s="265">
        <f>IF(K$25=0,0,K$25/AGR_fec!K$25)</f>
        <v>0.2342229969076953</v>
      </c>
      <c r="L51" s="265">
        <f>IF(L$25=0,0,L$25/AGR_fec!L$25)</f>
        <v>0.23422299690769532</v>
      </c>
      <c r="M51" s="265">
        <f>IF(M$25=0,0,M$25/AGR_fec!M$25)</f>
        <v>0.23422299690769538</v>
      </c>
      <c r="N51" s="265">
        <f>IF(N$25=0,0,N$25/AGR_fec!N$25)</f>
        <v>0.23422299690769532</v>
      </c>
      <c r="O51" s="265">
        <f>IF(O$25=0,0,O$25/AGR_fec!O$25)</f>
        <v>0.23422299690769535</v>
      </c>
      <c r="P51" s="265">
        <f>IF(P$25=0,0,P$25/AGR_fec!P$25)</f>
        <v>0.23422299690769535</v>
      </c>
      <c r="Q51" s="265">
        <f>IF(Q$25=0,0,Q$25/AGR_fec!Q$25)</f>
        <v>0.23422299690769535</v>
      </c>
      <c r="R51" s="265">
        <f>IF(R$25=0,0,R$25/AGR_fec!R$25)</f>
        <v>0.23422299690769546</v>
      </c>
      <c r="S51" s="265">
        <f>IF(S$25=0,0,S$25/AGR_fec!S$25)</f>
        <v>0.23422299690769538</v>
      </c>
      <c r="T51" s="265">
        <f>IF(T$25=0,0,T$25/AGR_fec!T$25)</f>
        <v>0.23422299690769527</v>
      </c>
      <c r="U51" s="265">
        <f>IF(U$25=0,0,U$25/AGR_fec!U$25)</f>
        <v>0.23422299690769535</v>
      </c>
      <c r="V51" s="265">
        <f>IF(V$25=0,0,V$25/AGR_fec!V$25)</f>
        <v>0.23422299690769546</v>
      </c>
      <c r="W51" s="265">
        <f>IF(W$25=0,0,W$25/AGR_fec!W$25)</f>
        <v>0.23422299690769532</v>
      </c>
      <c r="DA51" s="291"/>
    </row>
    <row r="52" spans="1:105" x14ac:dyDescent="0.25">
      <c r="A52" s="128" t="s">
        <v>177</v>
      </c>
      <c r="B52" s="265">
        <f>IF(B$26=0,0,B$26/AGR_fec!B$26)</f>
        <v>0.46368411610342636</v>
      </c>
      <c r="C52" s="265">
        <f>IF(C$26=0,0,C$26/AGR_fec!C$26)</f>
        <v>0.46368411610342603</v>
      </c>
      <c r="D52" s="265">
        <f>IF(D$26=0,0,D$26/AGR_fec!D$26)</f>
        <v>0.46368411610342619</v>
      </c>
      <c r="E52" s="265">
        <f>IF(E$26=0,0,E$26/AGR_fec!E$26)</f>
        <v>0.46368411610342636</v>
      </c>
      <c r="F52" s="265">
        <f>IF(F$26=0,0,F$26/AGR_fec!F$26)</f>
        <v>0.46368411610342641</v>
      </c>
      <c r="G52" s="265">
        <f>IF(G$26=0,0,G$26/AGR_fec!G$26)</f>
        <v>0.46368411610342647</v>
      </c>
      <c r="H52" s="265">
        <f>IF(H$26=0,0,H$26/AGR_fec!H$26)</f>
        <v>0.46368411610342636</v>
      </c>
      <c r="I52" s="265">
        <f>IF(I$26=0,0,I$26/AGR_fec!I$26)</f>
        <v>0.46368411610342614</v>
      </c>
      <c r="J52" s="265">
        <f>IF(J$26=0,0,J$26/AGR_fec!J$26)</f>
        <v>0.46368411610342619</v>
      </c>
      <c r="K52" s="265">
        <f>IF(K$26=0,0,K$26/AGR_fec!K$26)</f>
        <v>0.46368411610342619</v>
      </c>
      <c r="L52" s="265">
        <f>IF(L$26=0,0,L$26/AGR_fec!L$26)</f>
        <v>0.46368411610342625</v>
      </c>
      <c r="M52" s="265">
        <f>IF(M$26=0,0,M$26/AGR_fec!M$26)</f>
        <v>0.46368411610342641</v>
      </c>
      <c r="N52" s="265">
        <f>IF(N$26=0,0,N$26/AGR_fec!N$26)</f>
        <v>0.46368411610342636</v>
      </c>
      <c r="O52" s="265">
        <f>IF(O$26=0,0,O$26/AGR_fec!O$26)</f>
        <v>0.46368411610342636</v>
      </c>
      <c r="P52" s="265">
        <f>IF(P$26=0,0,P$26/AGR_fec!P$26)</f>
        <v>0.46368411610342608</v>
      </c>
      <c r="Q52" s="265">
        <f>IF(Q$26=0,0,Q$26/AGR_fec!Q$26)</f>
        <v>0.4636841161034263</v>
      </c>
      <c r="R52" s="265">
        <f>IF(R$26=0,0,R$26/AGR_fec!R$26)</f>
        <v>0.4636841161034263</v>
      </c>
      <c r="S52" s="265">
        <f>IF(S$26=0,0,S$26/AGR_fec!S$26)</f>
        <v>0.46368411610342636</v>
      </c>
      <c r="T52" s="265">
        <f>IF(T$26=0,0,T$26/AGR_fec!T$26)</f>
        <v>0.46368411610342614</v>
      </c>
      <c r="U52" s="265">
        <f>IF(U$26=0,0,U$26/AGR_fec!U$26)</f>
        <v>0.46368411610342625</v>
      </c>
      <c r="V52" s="265">
        <f>IF(V$26=0,0,V$26/AGR_fec!V$26)</f>
        <v>0.46368411610342641</v>
      </c>
      <c r="W52" s="265">
        <f>IF(W$26=0,0,W$26/AGR_fec!W$26)</f>
        <v>0.46368411610342625</v>
      </c>
      <c r="DA52" s="291"/>
    </row>
    <row r="53" spans="1:105" x14ac:dyDescent="0.25">
      <c r="A53" s="261" t="s">
        <v>33</v>
      </c>
      <c r="B53" s="266">
        <f>IF(B$27=0,0,B$27/AGR_fec!B$27)</f>
        <v>0.48736870056482118</v>
      </c>
      <c r="C53" s="266">
        <f>IF(C$27=0,0,C$27/AGR_fec!C$27)</f>
        <v>0.4873687005648214</v>
      </c>
      <c r="D53" s="266">
        <f>IF(D$27=0,0,D$27/AGR_fec!D$27)</f>
        <v>0.48736870056482107</v>
      </c>
      <c r="E53" s="266">
        <f>IF(E$27=0,0,E$27/AGR_fec!E$27)</f>
        <v>0.48736870056482118</v>
      </c>
      <c r="F53" s="266">
        <f>IF(F$27=0,0,F$27/AGR_fec!F$27)</f>
        <v>0.48736870056482134</v>
      </c>
      <c r="G53" s="266">
        <f>IF(G$27=0,0,G$27/AGR_fec!G$27)</f>
        <v>0.4873687005648214</v>
      </c>
      <c r="H53" s="266">
        <f>IF(H$27=0,0,H$27/AGR_fec!H$27)</f>
        <v>0.48736870056482123</v>
      </c>
      <c r="I53" s="266">
        <f>IF(I$27=0,0,I$27/AGR_fec!I$27)</f>
        <v>0.48736870056482118</v>
      </c>
      <c r="J53" s="266">
        <f>IF(J$27=0,0,J$27/AGR_fec!J$27)</f>
        <v>0.48736870056482129</v>
      </c>
      <c r="K53" s="266">
        <f>IF(K$27=0,0,K$27/AGR_fec!K$27)</f>
        <v>0.48736870056482112</v>
      </c>
      <c r="L53" s="266">
        <f>IF(L$27=0,0,L$27/AGR_fec!L$27)</f>
        <v>0.48736870056482123</v>
      </c>
      <c r="M53" s="266">
        <f>IF(M$27=0,0,M$27/AGR_fec!M$27)</f>
        <v>0.48736870056482118</v>
      </c>
      <c r="N53" s="266">
        <f>IF(N$27=0,0,N$27/AGR_fec!N$27)</f>
        <v>0.48736870056482129</v>
      </c>
      <c r="O53" s="266">
        <f>IF(O$27=0,0,O$27/AGR_fec!O$27)</f>
        <v>0.48736870056482118</v>
      </c>
      <c r="P53" s="266">
        <f>IF(P$27=0,0,P$27/AGR_fec!P$27)</f>
        <v>0.48736870056482118</v>
      </c>
      <c r="Q53" s="266">
        <f>IF(Q$27=0,0,Q$27/AGR_fec!Q$27)</f>
        <v>0.48736870056482129</v>
      </c>
      <c r="R53" s="266">
        <f>IF(R$27=0,0,R$27/AGR_fec!R$27)</f>
        <v>0.48736870056482123</v>
      </c>
      <c r="S53" s="266">
        <f>IF(S$27=0,0,S$27/AGR_fec!S$27)</f>
        <v>0.48736870056482134</v>
      </c>
      <c r="T53" s="266">
        <f>IF(T$27=0,0,T$27/AGR_fec!T$27)</f>
        <v>0.48736870056482107</v>
      </c>
      <c r="U53" s="266">
        <f>IF(U$27=0,0,U$27/AGR_fec!U$27)</f>
        <v>0.48736870056482123</v>
      </c>
      <c r="V53" s="266">
        <f>IF(V$27=0,0,V$27/AGR_fec!V$27)</f>
        <v>0.48736870056482107</v>
      </c>
      <c r="W53" s="266">
        <f>IF(W$27=0,0,W$27/AGR_fec!W$27)</f>
        <v>0.48736870056482123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874.10779131157767</v>
      </c>
      <c r="C5" s="80">
        <f t="shared" ref="C5:W5" si="0">SUM(C6:C9,C16:C17,C25:C27)</f>
        <v>797.54212029119606</v>
      </c>
      <c r="D5" s="80">
        <f t="shared" si="0"/>
        <v>808.07463199297354</v>
      </c>
      <c r="E5" s="80">
        <f t="shared" si="0"/>
        <v>810.7080777571108</v>
      </c>
      <c r="F5" s="80">
        <f t="shared" si="0"/>
        <v>793.46549440916192</v>
      </c>
      <c r="G5" s="80">
        <f t="shared" si="0"/>
        <v>861.5873349747875</v>
      </c>
      <c r="H5" s="80">
        <f t="shared" si="0"/>
        <v>835.7177259358225</v>
      </c>
      <c r="I5" s="80">
        <f t="shared" si="0"/>
        <v>745.42118558429388</v>
      </c>
      <c r="J5" s="80">
        <f t="shared" si="0"/>
        <v>477.5126308446612</v>
      </c>
      <c r="K5" s="80">
        <f t="shared" si="0"/>
        <v>475.8204667334175</v>
      </c>
      <c r="L5" s="80">
        <f t="shared" si="0"/>
        <v>458.74416710037508</v>
      </c>
      <c r="M5" s="80">
        <f t="shared" si="0"/>
        <v>500.64363668640453</v>
      </c>
      <c r="N5" s="80">
        <f t="shared" si="0"/>
        <v>490.615865055825</v>
      </c>
      <c r="O5" s="80">
        <f t="shared" si="0"/>
        <v>457.87089939900318</v>
      </c>
      <c r="P5" s="80">
        <f t="shared" si="0"/>
        <v>464.49032605822509</v>
      </c>
      <c r="Q5" s="80">
        <f t="shared" si="0"/>
        <v>468.11704802249784</v>
      </c>
      <c r="R5" s="80">
        <f t="shared" si="0"/>
        <v>432.18653918294785</v>
      </c>
      <c r="S5" s="80">
        <f t="shared" si="0"/>
        <v>437.26327358694545</v>
      </c>
      <c r="T5" s="80">
        <f t="shared" si="0"/>
        <v>461.48613713658665</v>
      </c>
      <c r="U5" s="80">
        <f t="shared" si="0"/>
        <v>475.93326004159377</v>
      </c>
      <c r="V5" s="80">
        <f t="shared" si="0"/>
        <v>443.78713456601554</v>
      </c>
      <c r="W5" s="80">
        <f t="shared" si="0"/>
        <v>487.40517607430843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197.04357409054265</v>
      </c>
      <c r="C9" s="244">
        <f t="shared" ref="C9:W9" si="1">SUM(C10:C15)</f>
        <v>175.2155510516188</v>
      </c>
      <c r="D9" s="244">
        <f t="shared" si="1"/>
        <v>178.38446888301914</v>
      </c>
      <c r="E9" s="244">
        <f t="shared" si="1"/>
        <v>178.46987462852093</v>
      </c>
      <c r="F9" s="244">
        <f t="shared" si="1"/>
        <v>173.37653938425424</v>
      </c>
      <c r="G9" s="244">
        <f t="shared" si="1"/>
        <v>186.05569587014497</v>
      </c>
      <c r="H9" s="244">
        <f t="shared" si="1"/>
        <v>182.38924793500794</v>
      </c>
      <c r="I9" s="244">
        <f t="shared" si="1"/>
        <v>159.06853304091888</v>
      </c>
      <c r="J9" s="244">
        <f t="shared" si="1"/>
        <v>95.073773717380774</v>
      </c>
      <c r="K9" s="244">
        <f t="shared" si="1"/>
        <v>98.711848646884278</v>
      </c>
      <c r="L9" s="244">
        <f t="shared" si="1"/>
        <v>86.490002966097194</v>
      </c>
      <c r="M9" s="244">
        <f t="shared" si="1"/>
        <v>92.713609224428666</v>
      </c>
      <c r="N9" s="244">
        <f t="shared" si="1"/>
        <v>90.333173606147</v>
      </c>
      <c r="O9" s="244">
        <f t="shared" si="1"/>
        <v>84.534624026086178</v>
      </c>
      <c r="P9" s="244">
        <f t="shared" si="1"/>
        <v>87.095769181274136</v>
      </c>
      <c r="Q9" s="244">
        <f t="shared" si="1"/>
        <v>98.117063868375524</v>
      </c>
      <c r="R9" s="244">
        <f t="shared" si="1"/>
        <v>75.651036019939298</v>
      </c>
      <c r="S9" s="244">
        <f t="shared" si="1"/>
        <v>79.142027251275692</v>
      </c>
      <c r="T9" s="244">
        <f t="shared" si="1"/>
        <v>82.454926185081504</v>
      </c>
      <c r="U9" s="244">
        <f t="shared" si="1"/>
        <v>78.126996896385009</v>
      </c>
      <c r="V9" s="244">
        <f t="shared" si="1"/>
        <v>66.637199415773608</v>
      </c>
      <c r="W9" s="244">
        <f t="shared" si="1"/>
        <v>82.698614152240282</v>
      </c>
      <c r="DA9" s="270"/>
    </row>
    <row r="10" spans="1:105" x14ac:dyDescent="0.25">
      <c r="A10" s="254" t="s">
        <v>173</v>
      </c>
      <c r="B10" s="255">
        <v>184.82072001500001</v>
      </c>
      <c r="C10" s="255">
        <v>162.4505707992428</v>
      </c>
      <c r="D10" s="255">
        <v>165.15723285331981</v>
      </c>
      <c r="E10" s="255">
        <v>163.68691233613109</v>
      </c>
      <c r="F10" s="255">
        <v>153.80878614138189</v>
      </c>
      <c r="G10" s="255">
        <v>160.98774685214761</v>
      </c>
      <c r="H10" s="255">
        <v>153.74314313813039</v>
      </c>
      <c r="I10" s="255">
        <v>130.05397035573651</v>
      </c>
      <c r="J10" s="255">
        <v>64.436099739140943</v>
      </c>
      <c r="K10" s="255">
        <v>75.84255217101753</v>
      </c>
      <c r="L10" s="255">
        <v>67.319598524641776</v>
      </c>
      <c r="M10" s="255">
        <v>71.434335630633129</v>
      </c>
      <c r="N10" s="255">
        <v>73.169233549094656</v>
      </c>
      <c r="O10" s="255">
        <v>68.378484182826242</v>
      </c>
      <c r="P10" s="255">
        <v>69.999340900220929</v>
      </c>
      <c r="Q10" s="255">
        <v>84.197160361958268</v>
      </c>
      <c r="R10" s="255">
        <v>63.982115552570903</v>
      </c>
      <c r="S10" s="255">
        <v>66.631552867674955</v>
      </c>
      <c r="T10" s="255">
        <v>71.021466265145946</v>
      </c>
      <c r="U10" s="255">
        <v>70.03934743433247</v>
      </c>
      <c r="V10" s="255">
        <v>58.512403200483362</v>
      </c>
      <c r="W10" s="255">
        <v>72.234874845209504</v>
      </c>
      <c r="DA10" s="271" t="s">
        <v>1038</v>
      </c>
    </row>
    <row r="11" spans="1:105" x14ac:dyDescent="0.25">
      <c r="A11" s="254" t="s">
        <v>176</v>
      </c>
      <c r="B11" s="256">
        <v>12.22285407554263</v>
      </c>
      <c r="C11" s="256">
        <v>12.764980252376009</v>
      </c>
      <c r="D11" s="256">
        <v>13.22723602969932</v>
      </c>
      <c r="E11" s="256">
        <v>14.78296229238985</v>
      </c>
      <c r="F11" s="256">
        <v>19.56775324287236</v>
      </c>
      <c r="G11" s="256">
        <v>25.067949017997371</v>
      </c>
      <c r="H11" s="256">
        <v>28.646104796877559</v>
      </c>
      <c r="I11" s="256">
        <v>29.01456268518238</v>
      </c>
      <c r="J11" s="256">
        <v>30.637673978239832</v>
      </c>
      <c r="K11" s="256">
        <v>22.869296475866751</v>
      </c>
      <c r="L11" s="256">
        <v>19.17040444145541</v>
      </c>
      <c r="M11" s="256">
        <v>21.27927359379553</v>
      </c>
      <c r="N11" s="256">
        <v>17.16394005705234</v>
      </c>
      <c r="O11" s="256">
        <v>16.15613984325994</v>
      </c>
      <c r="P11" s="256">
        <v>17.09642828105321</v>
      </c>
      <c r="Q11" s="256">
        <v>13.91990350641726</v>
      </c>
      <c r="R11" s="256">
        <v>11.668920467368389</v>
      </c>
      <c r="S11" s="256">
        <v>12.510474383600741</v>
      </c>
      <c r="T11" s="256">
        <v>11.43345991993556</v>
      </c>
      <c r="U11" s="256">
        <v>8.0876494620525392</v>
      </c>
      <c r="V11" s="256">
        <v>8.1247962152902531</v>
      </c>
      <c r="W11" s="256">
        <v>10.46373930703078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270.58208004978678</v>
      </c>
      <c r="C16" s="258">
        <v>241.31812773127109</v>
      </c>
      <c r="D16" s="258">
        <v>245.6127821227702</v>
      </c>
      <c r="E16" s="258">
        <v>246.87913470645111</v>
      </c>
      <c r="F16" s="258">
        <v>239.0614227865949</v>
      </c>
      <c r="G16" s="258">
        <v>257.44104503094098</v>
      </c>
      <c r="H16" s="258">
        <v>252.28402283456839</v>
      </c>
      <c r="I16" s="258">
        <v>223.60013564753831</v>
      </c>
      <c r="J16" s="258">
        <v>142.64047064305211</v>
      </c>
      <c r="K16" s="258">
        <v>145.83842201562859</v>
      </c>
      <c r="L16" s="258">
        <v>145.9573504841417</v>
      </c>
      <c r="M16" s="258">
        <v>159.5296845927376</v>
      </c>
      <c r="N16" s="258">
        <v>157.66387986452739</v>
      </c>
      <c r="O16" s="258">
        <v>144.85889011025569</v>
      </c>
      <c r="P16" s="258">
        <v>149.26346907182671</v>
      </c>
      <c r="Q16" s="258">
        <v>149.20567036845799</v>
      </c>
      <c r="R16" s="258">
        <v>144.91364403831091</v>
      </c>
      <c r="S16" s="258">
        <v>138.6926824318918</v>
      </c>
      <c r="T16" s="258">
        <v>145.42372027123011</v>
      </c>
      <c r="U16" s="258">
        <v>148.78087757592809</v>
      </c>
      <c r="V16" s="258">
        <v>143.06688303045979</v>
      </c>
      <c r="W16" s="258">
        <v>154.80293211535789</v>
      </c>
      <c r="DA16" s="273" t="s">
        <v>1044</v>
      </c>
    </row>
    <row r="17" spans="1:105" x14ac:dyDescent="0.25">
      <c r="A17" s="257" t="s">
        <v>121</v>
      </c>
      <c r="B17" s="258">
        <f>SUM(B18:B24)</f>
        <v>354.4875355329803</v>
      </c>
      <c r="C17" s="258">
        <f t="shared" ref="C17:W17" si="2">SUM(C18:C24)</f>
        <v>334.63715218577812</v>
      </c>
      <c r="D17" s="258">
        <f t="shared" si="2"/>
        <v>336.88083803286003</v>
      </c>
      <c r="E17" s="258">
        <f t="shared" si="2"/>
        <v>337.91918526542582</v>
      </c>
      <c r="F17" s="258">
        <f t="shared" si="2"/>
        <v>335.08988757766321</v>
      </c>
      <c r="G17" s="258">
        <f t="shared" si="2"/>
        <v>368.62115182807952</v>
      </c>
      <c r="H17" s="258">
        <f t="shared" si="2"/>
        <v>352.56597771286312</v>
      </c>
      <c r="I17" s="258">
        <f t="shared" si="2"/>
        <v>319.78588740907526</v>
      </c>
      <c r="J17" s="258">
        <f t="shared" si="2"/>
        <v>212.38883132367999</v>
      </c>
      <c r="K17" s="258">
        <f t="shared" si="2"/>
        <v>203.24612790326768</v>
      </c>
      <c r="L17" s="258">
        <f t="shared" si="2"/>
        <v>198.24989238615726</v>
      </c>
      <c r="M17" s="258">
        <f t="shared" si="2"/>
        <v>217.74538449818985</v>
      </c>
      <c r="N17" s="258">
        <f t="shared" si="2"/>
        <v>212.32238314173162</v>
      </c>
      <c r="O17" s="258">
        <f t="shared" si="2"/>
        <v>200.64154231379158</v>
      </c>
      <c r="P17" s="258">
        <f t="shared" si="2"/>
        <v>199.44886830223788</v>
      </c>
      <c r="Q17" s="258">
        <f t="shared" si="2"/>
        <v>192.12320078530877</v>
      </c>
      <c r="R17" s="258">
        <f t="shared" si="2"/>
        <v>183.77549475224788</v>
      </c>
      <c r="S17" s="258">
        <f t="shared" si="2"/>
        <v>192.77760914778617</v>
      </c>
      <c r="T17" s="258">
        <f t="shared" si="2"/>
        <v>205.66311090883468</v>
      </c>
      <c r="U17" s="258">
        <f t="shared" si="2"/>
        <v>220.43590004411615</v>
      </c>
      <c r="V17" s="258">
        <f t="shared" si="2"/>
        <v>206.59155826538978</v>
      </c>
      <c r="W17" s="258">
        <f t="shared" si="2"/>
        <v>220.1569563156466</v>
      </c>
      <c r="DA17" s="273"/>
    </row>
    <row r="18" spans="1:105" x14ac:dyDescent="0.25">
      <c r="A18" s="61" t="s">
        <v>29</v>
      </c>
      <c r="B18" s="55">
        <v>3.9007303540011349</v>
      </c>
      <c r="C18" s="55">
        <v>3.261730173350057</v>
      </c>
      <c r="D18" s="55">
        <v>8.8561740751471092</v>
      </c>
      <c r="E18" s="55">
        <v>4.8368461191141243</v>
      </c>
      <c r="F18" s="55">
        <v>11.07563825137156</v>
      </c>
      <c r="G18" s="55">
        <v>19.443419176782839</v>
      </c>
      <c r="H18" s="55">
        <v>25.071554377619691</v>
      </c>
      <c r="I18" s="55">
        <v>33.674184866354757</v>
      </c>
      <c r="J18" s="55">
        <v>26.983295846797692</v>
      </c>
      <c r="K18" s="55">
        <v>21.088356375594682</v>
      </c>
      <c r="L18" s="55">
        <v>16.345636942841399</v>
      </c>
      <c r="M18" s="55">
        <v>19.732034367635521</v>
      </c>
      <c r="N18" s="55">
        <v>18.10159213737224</v>
      </c>
      <c r="O18" s="55">
        <v>27.866912560560561</v>
      </c>
      <c r="P18" s="55">
        <v>23.446723940101901</v>
      </c>
      <c r="Q18" s="55">
        <v>27.835241184667051</v>
      </c>
      <c r="R18" s="55">
        <v>31.689568225343901</v>
      </c>
      <c r="S18" s="55">
        <v>39.845487028628668</v>
      </c>
      <c r="T18" s="55">
        <v>37.775966218374691</v>
      </c>
      <c r="U18" s="55">
        <v>40.649155003913947</v>
      </c>
      <c r="V18" s="55">
        <v>37.370734727349912</v>
      </c>
      <c r="W18" s="55">
        <v>38.219497516218198</v>
      </c>
      <c r="DA18" s="101" t="s">
        <v>1045</v>
      </c>
    </row>
    <row r="19" spans="1:105" x14ac:dyDescent="0.25">
      <c r="A19" s="61" t="s">
        <v>27</v>
      </c>
      <c r="B19" s="55">
        <v>2.9846552399914539</v>
      </c>
      <c r="C19" s="55">
        <v>2.984655239991699</v>
      </c>
      <c r="D19" s="55">
        <v>2.9846552399916768</v>
      </c>
      <c r="E19" s="55">
        <v>5.9693104799847294</v>
      </c>
      <c r="F19" s="55">
        <v>0</v>
      </c>
      <c r="G19" s="55">
        <v>9.8910007199757839</v>
      </c>
      <c r="H19" s="55">
        <v>6.5940004799849072</v>
      </c>
      <c r="I19" s="55">
        <v>5.8053009599823699</v>
      </c>
      <c r="J19" s="55">
        <v>8.7077242799518384</v>
      </c>
      <c r="K19" s="55">
        <v>14.513025239920569</v>
      </c>
      <c r="L19" s="55">
        <v>8.7077242799466745</v>
      </c>
      <c r="M19" s="55">
        <v>8.7077242799749683</v>
      </c>
      <c r="N19" s="55">
        <v>5.805300959978771</v>
      </c>
      <c r="O19" s="55">
        <v>5.8053009599763534</v>
      </c>
      <c r="P19" s="55">
        <v>8.7077242799584695</v>
      </c>
      <c r="Q19" s="55">
        <v>5.8053009599675534</v>
      </c>
      <c r="R19" s="55">
        <v>5.8053009599621683</v>
      </c>
      <c r="S19" s="55">
        <v>6.8618221199670248</v>
      </c>
      <c r="T19" s="55">
        <v>7.5612477599630932</v>
      </c>
      <c r="U19" s="55">
        <v>6.2521246799584604</v>
      </c>
      <c r="V19" s="55">
        <v>5.0361371999790459</v>
      </c>
      <c r="W19" s="55">
        <v>4.9663990799747468</v>
      </c>
      <c r="DA19" s="101" t="s">
        <v>1046</v>
      </c>
    </row>
    <row r="20" spans="1:105" x14ac:dyDescent="0.25">
      <c r="A20" s="61" t="s">
        <v>173</v>
      </c>
      <c r="B20" s="55">
        <v>273.24612793477439</v>
      </c>
      <c r="C20" s="55">
        <v>266.77751214501541</v>
      </c>
      <c r="D20" s="55">
        <v>274.88238278759337</v>
      </c>
      <c r="E20" s="55">
        <v>268.47038087890002</v>
      </c>
      <c r="F20" s="55">
        <v>243.060316769449</v>
      </c>
      <c r="G20" s="55">
        <v>239.46045478961571</v>
      </c>
      <c r="H20" s="55">
        <v>249.7434241723555</v>
      </c>
      <c r="I20" s="55">
        <v>211.45868450819961</v>
      </c>
      <c r="J20" s="55">
        <v>107.1667444556065</v>
      </c>
      <c r="K20" s="55">
        <v>126.42655764389841</v>
      </c>
      <c r="L20" s="55">
        <v>134.8077297251219</v>
      </c>
      <c r="M20" s="55">
        <v>145.85692140452511</v>
      </c>
      <c r="N20" s="55">
        <v>152.61521814159181</v>
      </c>
      <c r="O20" s="55">
        <v>135.05838275667401</v>
      </c>
      <c r="P20" s="55">
        <v>134.45543052342549</v>
      </c>
      <c r="Q20" s="55">
        <v>135.99866626725691</v>
      </c>
      <c r="R20" s="55">
        <v>123.7173260344986</v>
      </c>
      <c r="S20" s="55">
        <v>122.77666298293001</v>
      </c>
      <c r="T20" s="55">
        <v>137.85723993056109</v>
      </c>
      <c r="U20" s="55">
        <v>131.93474690257531</v>
      </c>
      <c r="V20" s="55">
        <v>127.3264486334992</v>
      </c>
      <c r="W20" s="55">
        <v>130.3773787867315</v>
      </c>
      <c r="DA20" s="101" t="s">
        <v>1047</v>
      </c>
    </row>
    <row r="21" spans="1:105" x14ac:dyDescent="0.25">
      <c r="A21" s="61" t="s">
        <v>129</v>
      </c>
      <c r="B21" s="55">
        <v>56.285279999838821</v>
      </c>
      <c r="C21" s="55">
        <v>40.650510959886923</v>
      </c>
      <c r="D21" s="55">
        <v>28.14263999992151</v>
      </c>
      <c r="E21" s="55">
        <v>34.396436159912007</v>
      </c>
      <c r="F21" s="55">
        <v>50.031483839855198</v>
      </c>
      <c r="G21" s="55">
        <v>62.539076159846893</v>
      </c>
      <c r="H21" s="55">
        <v>24.623695439943631</v>
      </c>
      <c r="I21" s="55">
        <v>21.67206191993418</v>
      </c>
      <c r="J21" s="55">
        <v>18.576092879897271</v>
      </c>
      <c r="K21" s="55">
        <v>3.0959690399830579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0.24158087999883909</v>
      </c>
      <c r="T21" s="55">
        <v>0.27557495999865478</v>
      </c>
      <c r="U21" s="55">
        <v>26.364980159824832</v>
      </c>
      <c r="V21" s="55">
        <v>19.178200799920209</v>
      </c>
      <c r="W21" s="55">
        <v>27.707583239859112</v>
      </c>
      <c r="DA21" s="101" t="s">
        <v>1048</v>
      </c>
    </row>
    <row r="22" spans="1:105" x14ac:dyDescent="0.25">
      <c r="A22" s="61" t="s">
        <v>176</v>
      </c>
      <c r="B22" s="55">
        <v>18.070742004374491</v>
      </c>
      <c r="C22" s="55">
        <v>20.96274366753407</v>
      </c>
      <c r="D22" s="55">
        <v>22.014985930206389</v>
      </c>
      <c r="E22" s="55">
        <v>24.246211627514931</v>
      </c>
      <c r="F22" s="55">
        <v>30.922448716987429</v>
      </c>
      <c r="G22" s="55">
        <v>37.287200981858277</v>
      </c>
      <c r="H22" s="55">
        <v>46.533303242959413</v>
      </c>
      <c r="I22" s="55">
        <v>47.17565515460435</v>
      </c>
      <c r="J22" s="55">
        <v>50.954973861426723</v>
      </c>
      <c r="K22" s="55">
        <v>38.122219603870988</v>
      </c>
      <c r="L22" s="55">
        <v>38.388801438247278</v>
      </c>
      <c r="M22" s="55">
        <v>43.448704446054244</v>
      </c>
      <c r="N22" s="55">
        <v>35.800271902788822</v>
      </c>
      <c r="O22" s="55">
        <v>31.910946036580661</v>
      </c>
      <c r="P22" s="55">
        <v>32.838989558752019</v>
      </c>
      <c r="Q22" s="55">
        <v>22.483992373417259</v>
      </c>
      <c r="R22" s="55">
        <v>22.5632995324432</v>
      </c>
      <c r="S22" s="55">
        <v>23.052056136261641</v>
      </c>
      <c r="T22" s="55">
        <v>22.193082039937131</v>
      </c>
      <c r="U22" s="55">
        <v>15.234893297843589</v>
      </c>
      <c r="V22" s="55">
        <v>17.680036904641401</v>
      </c>
      <c r="W22" s="55">
        <v>18.886097692863061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51.994601638267937</v>
      </c>
      <c r="C25" s="258">
        <v>46.371289322528</v>
      </c>
      <c r="D25" s="258">
        <v>47.196542954324123</v>
      </c>
      <c r="E25" s="258">
        <v>47.439883156712852</v>
      </c>
      <c r="F25" s="258">
        <v>45.937644660649589</v>
      </c>
      <c r="G25" s="258">
        <v>49.469442245621913</v>
      </c>
      <c r="H25" s="258">
        <v>48.478477453383043</v>
      </c>
      <c r="I25" s="258">
        <v>42.966629486761477</v>
      </c>
      <c r="J25" s="258">
        <v>27.40955516054834</v>
      </c>
      <c r="K25" s="258">
        <v>28.024068167636901</v>
      </c>
      <c r="L25" s="258">
        <v>28.046921263978881</v>
      </c>
      <c r="M25" s="258">
        <v>30.654958371048469</v>
      </c>
      <c r="N25" s="258">
        <v>30.296428443419</v>
      </c>
      <c r="O25" s="258">
        <v>27.835842948869772</v>
      </c>
      <c r="P25" s="258">
        <v>28.682219502886351</v>
      </c>
      <c r="Q25" s="258">
        <v>28.67111300035555</v>
      </c>
      <c r="R25" s="258">
        <v>27.84636437244977</v>
      </c>
      <c r="S25" s="258">
        <v>26.65095475599178</v>
      </c>
      <c r="T25" s="258">
        <v>27.944379771440349</v>
      </c>
      <c r="U25" s="258">
        <v>28.589485525164541</v>
      </c>
      <c r="V25" s="258">
        <v>27.491493854392409</v>
      </c>
      <c r="W25" s="258">
        <v>29.746673491063689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0.99999999999999978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1.0000000000000002</v>
      </c>
      <c r="W31" s="236">
        <f t="shared" si="4"/>
        <v>1.0000000000000002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0.22542251201637675</v>
      </c>
      <c r="C35" s="247">
        <f t="shared" si="8"/>
        <v>0.21969441687624555</v>
      </c>
      <c r="D35" s="247">
        <f t="shared" si="8"/>
        <v>0.22075246743368904</v>
      </c>
      <c r="E35" s="247">
        <f t="shared" si="8"/>
        <v>0.22014073810917514</v>
      </c>
      <c r="F35" s="247">
        <f t="shared" si="8"/>
        <v>0.21850545563213886</v>
      </c>
      <c r="G35" s="247">
        <f t="shared" si="8"/>
        <v>0.21594525397194875</v>
      </c>
      <c r="H35" s="247">
        <f t="shared" si="8"/>
        <v>0.21824264614080258</v>
      </c>
      <c r="I35" s="247">
        <f t="shared" si="8"/>
        <v>0.21339416710598852</v>
      </c>
      <c r="J35" s="247">
        <f t="shared" si="8"/>
        <v>0.19910211285763676</v>
      </c>
      <c r="K35" s="247">
        <f t="shared" si="8"/>
        <v>0.20745607965238796</v>
      </c>
      <c r="L35" s="247">
        <f t="shared" si="8"/>
        <v>0.18853646360842519</v>
      </c>
      <c r="M35" s="247">
        <f t="shared" si="8"/>
        <v>0.185188829799315</v>
      </c>
      <c r="N35" s="247">
        <f t="shared" si="8"/>
        <v>0.18412199857391157</v>
      </c>
      <c r="O35" s="247">
        <f t="shared" si="8"/>
        <v>0.18462545695095603</v>
      </c>
      <c r="P35" s="247">
        <f t="shared" si="8"/>
        <v>0.18750825215325678</v>
      </c>
      <c r="Q35" s="247">
        <f t="shared" si="8"/>
        <v>0.20959942450901722</v>
      </c>
      <c r="R35" s="247">
        <f t="shared" si="8"/>
        <v>0.17504255491843451</v>
      </c>
      <c r="S35" s="247">
        <f t="shared" si="8"/>
        <v>0.18099399613889386</v>
      </c>
      <c r="T35" s="247">
        <f t="shared" si="8"/>
        <v>0.1786725960972414</v>
      </c>
      <c r="U35" s="247">
        <f t="shared" si="8"/>
        <v>0.16415536264382358</v>
      </c>
      <c r="V35" s="247">
        <f t="shared" si="8"/>
        <v>0.15015577114676584</v>
      </c>
      <c r="W35" s="247">
        <f t="shared" si="8"/>
        <v>0.16967118572337911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0.30955230320483118</v>
      </c>
      <c r="C36" s="260">
        <f t="shared" si="9"/>
        <v>0.30257728286897473</v>
      </c>
      <c r="D36" s="260">
        <f t="shared" si="9"/>
        <v>0.30394814092481731</v>
      </c>
      <c r="E36" s="260">
        <f t="shared" si="9"/>
        <v>0.30452285043151678</v>
      </c>
      <c r="F36" s="260">
        <f t="shared" si="9"/>
        <v>0.3012877364813541</v>
      </c>
      <c r="G36" s="260">
        <f t="shared" si="9"/>
        <v>0.2987985484239673</v>
      </c>
      <c r="H36" s="260">
        <f t="shared" si="9"/>
        <v>0.30187707524339635</v>
      </c>
      <c r="I36" s="260">
        <f t="shared" si="9"/>
        <v>0.29996482521793461</v>
      </c>
      <c r="J36" s="260">
        <f t="shared" si="9"/>
        <v>0.29871559709475881</v>
      </c>
      <c r="K36" s="260">
        <f t="shared" si="9"/>
        <v>0.30649884192000471</v>
      </c>
      <c r="L36" s="260">
        <f t="shared" si="9"/>
        <v>0.3181672072403825</v>
      </c>
      <c r="M36" s="260">
        <f t="shared" si="9"/>
        <v>0.31864918058004704</v>
      </c>
      <c r="N36" s="260">
        <f t="shared" si="9"/>
        <v>0.32135911431764952</v>
      </c>
      <c r="O36" s="260">
        <f t="shared" si="9"/>
        <v>0.31637496573902391</v>
      </c>
      <c r="P36" s="260">
        <f t="shared" si="9"/>
        <v>0.32134892956439343</v>
      </c>
      <c r="Q36" s="260">
        <f t="shared" si="9"/>
        <v>0.31873581831458342</v>
      </c>
      <c r="R36" s="260">
        <f t="shared" si="9"/>
        <v>0.3353034648239423</v>
      </c>
      <c r="S36" s="260">
        <f t="shared" si="9"/>
        <v>0.3171834700275008</v>
      </c>
      <c r="T36" s="260">
        <f t="shared" si="9"/>
        <v>0.31512045231423463</v>
      </c>
      <c r="U36" s="260">
        <f t="shared" si="9"/>
        <v>0.31260869972173305</v>
      </c>
      <c r="V36" s="260">
        <f t="shared" si="9"/>
        <v>0.32237726578163767</v>
      </c>
      <c r="W36" s="260">
        <f t="shared" si="9"/>
        <v>0.31760625392241848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0.40554212999415129</v>
      </c>
      <c r="C37" s="260">
        <f t="shared" si="10"/>
        <v>0.41958555375557655</v>
      </c>
      <c r="D37" s="260">
        <f t="shared" si="10"/>
        <v>0.41689322334250595</v>
      </c>
      <c r="E37" s="260">
        <f t="shared" si="10"/>
        <v>0.41681980793913692</v>
      </c>
      <c r="F37" s="260">
        <f t="shared" si="10"/>
        <v>0.42231185847241048</v>
      </c>
      <c r="G37" s="260">
        <f t="shared" si="10"/>
        <v>0.42783956641942333</v>
      </c>
      <c r="H37" s="260">
        <f t="shared" si="10"/>
        <v>0.42187208284719069</v>
      </c>
      <c r="I37" s="260">
        <f t="shared" si="10"/>
        <v>0.42900026668602531</v>
      </c>
      <c r="J37" s="260">
        <f t="shared" si="10"/>
        <v>0.44478159865214506</v>
      </c>
      <c r="K37" s="260">
        <f t="shared" si="10"/>
        <v>0.42714877167555315</v>
      </c>
      <c r="L37" s="260">
        <f t="shared" si="10"/>
        <v>0.43215784876187729</v>
      </c>
      <c r="M37" s="260">
        <f t="shared" si="10"/>
        <v>0.4349308940374732</v>
      </c>
      <c r="N37" s="260">
        <f t="shared" si="10"/>
        <v>0.43276705517375064</v>
      </c>
      <c r="O37" s="260">
        <f t="shared" si="10"/>
        <v>0.43820549106123952</v>
      </c>
      <c r="P37" s="260">
        <f t="shared" si="10"/>
        <v>0.42939294343287665</v>
      </c>
      <c r="Q37" s="260">
        <f t="shared" si="10"/>
        <v>0.41041701343052833</v>
      </c>
      <c r="R37" s="260">
        <f t="shared" si="10"/>
        <v>0.4252226251647655</v>
      </c>
      <c r="S37" s="260">
        <f t="shared" si="10"/>
        <v>0.44087308674794123</v>
      </c>
      <c r="T37" s="260">
        <f t="shared" si="10"/>
        <v>0.4456539305490867</v>
      </c>
      <c r="U37" s="260">
        <f t="shared" si="10"/>
        <v>0.46316557078791121</v>
      </c>
      <c r="V37" s="260">
        <f t="shared" si="10"/>
        <v>0.46551948484810857</v>
      </c>
      <c r="W37" s="260">
        <f t="shared" si="10"/>
        <v>0.45169187181976517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5.9483054784640797E-2</v>
      </c>
      <c r="C38" s="260">
        <f t="shared" si="11"/>
        <v>5.8142746499203153E-2</v>
      </c>
      <c r="D38" s="260">
        <f t="shared" si="11"/>
        <v>5.8406168298987649E-2</v>
      </c>
      <c r="E38" s="260">
        <f t="shared" si="11"/>
        <v>5.8516603520171045E-2</v>
      </c>
      <c r="F38" s="260">
        <f t="shared" si="11"/>
        <v>5.7894949414096612E-2</v>
      </c>
      <c r="G38" s="260">
        <f t="shared" si="11"/>
        <v>5.7416631184660498E-2</v>
      </c>
      <c r="H38" s="260">
        <f t="shared" si="11"/>
        <v>5.8008195768610347E-2</v>
      </c>
      <c r="I38" s="260">
        <f t="shared" si="11"/>
        <v>5.7640740990051613E-2</v>
      </c>
      <c r="J38" s="260">
        <f t="shared" si="11"/>
        <v>5.7400691395459433E-2</v>
      </c>
      <c r="K38" s="260">
        <f t="shared" si="11"/>
        <v>5.8896306752054081E-2</v>
      </c>
      <c r="L38" s="260">
        <f t="shared" si="11"/>
        <v>6.1138480389314902E-2</v>
      </c>
      <c r="M38" s="260">
        <f t="shared" si="11"/>
        <v>6.12310955831648E-2</v>
      </c>
      <c r="N38" s="260">
        <f t="shared" si="11"/>
        <v>6.1751831934688257E-2</v>
      </c>
      <c r="O38" s="260">
        <f t="shared" si="11"/>
        <v>6.079408624878066E-2</v>
      </c>
      <c r="P38" s="260">
        <f t="shared" si="11"/>
        <v>6.1749874849473092E-2</v>
      </c>
      <c r="Q38" s="260">
        <f t="shared" si="11"/>
        <v>6.1247743745871032E-2</v>
      </c>
      <c r="R38" s="260">
        <f t="shared" si="11"/>
        <v>6.4431355092857703E-2</v>
      </c>
      <c r="S38" s="260">
        <f t="shared" si="11"/>
        <v>6.0949447085664063E-2</v>
      </c>
      <c r="T38" s="260">
        <f t="shared" si="11"/>
        <v>6.0553021039437237E-2</v>
      </c>
      <c r="U38" s="260">
        <f t="shared" si="11"/>
        <v>6.0070366846532199E-2</v>
      </c>
      <c r="V38" s="260">
        <f t="shared" si="11"/>
        <v>6.1947478223488055E-2</v>
      </c>
      <c r="W38" s="260">
        <f t="shared" si="11"/>
        <v>6.10306885344373E-2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2.7867268389730078</v>
      </c>
      <c r="C44" s="238">
        <f>IF(C$5=0,0,C$5/AGR_fec!C$5)</f>
        <v>2.8932291356779896</v>
      </c>
      <c r="D44" s="238">
        <f>IF(D$5=0,0,D$5/AGR_fec!D$5)</f>
        <v>2.8865507991162351</v>
      </c>
      <c r="E44" s="238">
        <f>IF(E$5=0,0,E$5/AGR_fec!E$5)</f>
        <v>2.8588575116601298</v>
      </c>
      <c r="F44" s="238">
        <f>IF(F$5=0,0,F$5/AGR_fec!F$5)</f>
        <v>2.8683347532989272</v>
      </c>
      <c r="G44" s="238">
        <f>IF(G$5=0,0,G$5/AGR_fec!G$5)</f>
        <v>2.8326537984296363</v>
      </c>
      <c r="H44" s="238">
        <f>IF(H$5=0,0,H$5/AGR_fec!H$5)</f>
        <v>2.8318700570702702</v>
      </c>
      <c r="I44" s="238">
        <f>IF(I$5=0,0,I$5/AGR_fec!I$5)</f>
        <v>2.7943071091612679</v>
      </c>
      <c r="J44" s="238">
        <f>IF(J$5=0,0,J$5/AGR_fec!J$5)</f>
        <v>2.5457335411080209</v>
      </c>
      <c r="K44" s="238">
        <f>IF(K$5=0,0,K$5/AGR_fec!K$5)</f>
        <v>2.5815967445231833</v>
      </c>
      <c r="L44" s="238">
        <f>IF(L$5=0,0,L$5/AGR_fec!L$5)</f>
        <v>2.4842220004997895</v>
      </c>
      <c r="M44" s="238">
        <f>IF(M$5=0,0,M$5/AGR_fec!M$5)</f>
        <v>2.445471003577131</v>
      </c>
      <c r="N44" s="238">
        <f>IF(N$5=0,0,N$5/AGR_fec!N$5)</f>
        <v>2.4512951280943169</v>
      </c>
      <c r="O44" s="238">
        <f>IF(O$5=0,0,O$5/AGR_fec!O$5)</f>
        <v>2.3597869338371091</v>
      </c>
      <c r="P44" s="238">
        <f>IF(P$5=0,0,P$5/AGR_fec!P$5)</f>
        <v>2.4382936403126347</v>
      </c>
      <c r="Q44" s="238">
        <f>IF(Q$5=0,0,Q$5/AGR_fec!Q$5)</f>
        <v>2.5200575409617585</v>
      </c>
      <c r="R44" s="238">
        <f>IF(R$5=0,0,R$5/AGR_fec!R$5)</f>
        <v>2.3328429628494671</v>
      </c>
      <c r="S44" s="238">
        <f>IF(S$5=0,0,S$5/AGR_fec!S$5)</f>
        <v>2.4620536779550597</v>
      </c>
      <c r="T44" s="238">
        <f>IF(T$5=0,0,T$5/AGR_fec!T$5)</f>
        <v>2.4824130578802115</v>
      </c>
      <c r="U44" s="238">
        <f>IF(U$5=0,0,U$5/AGR_fec!U$5)</f>
        <v>2.416353105854248</v>
      </c>
      <c r="V44" s="238">
        <f>IF(V$5=0,0,V$5/AGR_fec!V$5)</f>
        <v>2.2735677663806135</v>
      </c>
      <c r="W44" s="238">
        <f>IF(W$5=0,0,W$5/AGR_fec!W$5)</f>
        <v>2.3937237673201541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3.0235517231814821</v>
      </c>
      <c r="C48" s="253">
        <f>IF(C$9=0,0,C$9/AGR_fec!C$9)</f>
        <v>3.004190188555556</v>
      </c>
      <c r="D48" s="253">
        <f>IF(D$9=0,0,D$9/AGR_fec!D$9)</f>
        <v>3.0044457848866859</v>
      </c>
      <c r="E48" s="253">
        <f>IF(E$9=0,0,E$9/AGR_fec!E$9)</f>
        <v>2.9825550699394601</v>
      </c>
      <c r="F48" s="253">
        <f>IF(F$9=0,0,F$9/AGR_fec!F$9)</f>
        <v>2.9624097478171905</v>
      </c>
      <c r="G48" s="253">
        <f>IF(G$9=0,0,G$9/AGR_fec!G$9)</f>
        <v>2.939298722824975</v>
      </c>
      <c r="H48" s="253">
        <f>IF(H$9=0,0,H$9/AGR_fec!H$9)</f>
        <v>2.928931872439847</v>
      </c>
      <c r="I48" s="253">
        <f>IF(I$9=0,0,I$9/AGR_fec!I$9)</f>
        <v>2.8576428909474223</v>
      </c>
      <c r="J48" s="253">
        <f>IF(J$9=0,0,J$9/AGR_fec!J$9)</f>
        <v>2.5405492961220517</v>
      </c>
      <c r="K48" s="253">
        <f>IF(K$9=0,0,K$9/AGR_fec!K$9)</f>
        <v>2.685522332221236</v>
      </c>
      <c r="L48" s="253">
        <f>IF(L$9=0,0,L$9/AGR_fec!L$9)</f>
        <v>2.1459233812381862</v>
      </c>
      <c r="M48" s="253">
        <f>IF(M$9=0,0,M$9/AGR_fec!M$9)</f>
        <v>2.0918744425235376</v>
      </c>
      <c r="N48" s="253">
        <f>IF(N$9=0,0,N$9/AGR_fec!N$9)</f>
        <v>2.0674529701477704</v>
      </c>
      <c r="O48" s="253">
        <f>IF(O$9=0,0,O$9/AGR_fec!O$9)</f>
        <v>2.0162228831290423</v>
      </c>
      <c r="P48" s="253">
        <f>IF(P$9=0,0,P$9/AGR_fec!P$9)</f>
        <v>2.1204788763168914</v>
      </c>
      <c r="Q48" s="253">
        <f>IF(Q$9=0,0,Q$9/AGR_fec!Q$9)</f>
        <v>2.6188823126526031</v>
      </c>
      <c r="R48" s="253">
        <f>IF(R$9=0,0,R$9/AGR_fec!R$9)</f>
        <v>1.8787951781297128</v>
      </c>
      <c r="S48" s="253">
        <f>IF(S$9=0,0,S$9/AGR_fec!S$9)</f>
        <v>2.0831196815780384</v>
      </c>
      <c r="T48" s="253">
        <f>IF(T$9=0,0,T$9/AGR_fec!T$9)</f>
        <v>2.0924327026640763</v>
      </c>
      <c r="U48" s="253">
        <f>IF(U$9=0,0,U$9/AGR_fec!U$9)</f>
        <v>1.9042020511436188</v>
      </c>
      <c r="V48" s="253">
        <f>IF(V$9=0,0,V$9/AGR_fec!V$9)</f>
        <v>1.5827131819609175</v>
      </c>
      <c r="W48" s="253">
        <f>IF(W$9=0,0,W$9/AGR_fec!W$9)</f>
        <v>1.9660381209596209</v>
      </c>
      <c r="DA48" s="290"/>
    </row>
    <row r="49" spans="1:105" x14ac:dyDescent="0.25">
      <c r="A49" s="128" t="s">
        <v>175</v>
      </c>
      <c r="B49" s="265">
        <f>IF(B$16=0,0,B$16/AGR_fec!B$16)</f>
        <v>3.1024187999999993</v>
      </c>
      <c r="C49" s="265">
        <f>IF(C$16=0,0,C$16/AGR_fec!C$16)</f>
        <v>3.1024187999999997</v>
      </c>
      <c r="D49" s="265">
        <f>IF(D$16=0,0,D$16/AGR_fec!D$16)</f>
        <v>3.1024188000000001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3.1024188000000006</v>
      </c>
      <c r="J49" s="265">
        <f>IF(J$16=0,0,J$16/AGR_fec!J$16)</f>
        <v>3.1024188000000019</v>
      </c>
      <c r="K49" s="265">
        <f>IF(K$16=0,0,K$16/AGR_fec!K$16)</f>
        <v>3.102418800000001</v>
      </c>
      <c r="L49" s="265">
        <f>IF(L$16=0,0,L$16/AGR_fec!L$16)</f>
        <v>3.1024188000000001</v>
      </c>
      <c r="M49" s="265">
        <f>IF(M$16=0,0,M$16/AGR_fec!M$16)</f>
        <v>3.1024188000000001</v>
      </c>
      <c r="N49" s="265">
        <f>IF(N$16=0,0,N$16/AGR_fec!N$16)</f>
        <v>3.1024187999999984</v>
      </c>
      <c r="O49" s="265">
        <f>IF(O$16=0,0,O$16/AGR_fec!O$16)</f>
        <v>2.9484391778037207</v>
      </c>
      <c r="P49" s="265">
        <f>IF(P$16=0,0,P$16/AGR_fec!P$16)</f>
        <v>3.102418800000001</v>
      </c>
      <c r="Q49" s="265">
        <f>IF(Q$16=0,0,Q$16/AGR_fec!Q$16)</f>
        <v>3.1024187999999997</v>
      </c>
      <c r="R49" s="265">
        <f>IF(R$16=0,0,R$16/AGR_fec!R$16)</f>
        <v>3.1024187999999997</v>
      </c>
      <c r="S49" s="265">
        <f>IF(S$16=0,0,S$16/AGR_fec!S$16)</f>
        <v>3.1024188000000006</v>
      </c>
      <c r="T49" s="265">
        <f>IF(T$16=0,0,T$16/AGR_fec!T$16)</f>
        <v>3.1024188000000001</v>
      </c>
      <c r="U49" s="265">
        <f>IF(U$16=0,0,U$16/AGR_fec!U$16)</f>
        <v>3.1024187999999997</v>
      </c>
      <c r="V49" s="265">
        <f>IF(V$16=0,0,V$16/AGR_fec!V$16)</f>
        <v>3.1024188000000001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2.7311024009378877</v>
      </c>
      <c r="C50" s="265">
        <f>IF(C$17=0,0,C$17/AGR_fec!C$17)</f>
        <v>3.0174742021628029</v>
      </c>
      <c r="D50" s="265">
        <f>IF(D$17=0,0,D$17/AGR_fec!D$17)</f>
        <v>3.0016267305670139</v>
      </c>
      <c r="E50" s="265">
        <f>IF(E$17=0,0,E$17/AGR_fec!E$17)</f>
        <v>2.963427312106123</v>
      </c>
      <c r="F50" s="265">
        <f>IF(F$17=0,0,F$17/AGR_fec!F$17)</f>
        <v>2.9647722611315657</v>
      </c>
      <c r="G50" s="265">
        <f>IF(G$17=0,0,G$17/AGR_fec!G$17)</f>
        <v>2.9229871768381663</v>
      </c>
      <c r="H50" s="265">
        <f>IF(H$17=0,0,H$17/AGR_fec!H$17)</f>
        <v>2.9499891112502792</v>
      </c>
      <c r="I50" s="265">
        <f>IF(I$17=0,0,I$17/AGR_fec!I$17)</f>
        <v>2.9741084196490757</v>
      </c>
      <c r="J50" s="265">
        <f>IF(J$17=0,0,J$17/AGR_fec!J$17)</f>
        <v>2.8729735839184225</v>
      </c>
      <c r="K50" s="265">
        <f>IF(K$17=0,0,K$17/AGR_fec!K$17)</f>
        <v>2.8157577455888587</v>
      </c>
      <c r="L50" s="265">
        <f>IF(L$17=0,0,L$17/AGR_fec!L$17)</f>
        <v>2.8151751449786695</v>
      </c>
      <c r="M50" s="265">
        <f>IF(M$17=0,0,M$17/AGR_fec!M$17)</f>
        <v>2.8201928018740836</v>
      </c>
      <c r="N50" s="265">
        <f>IF(N$17=0,0,N$17/AGR_fec!N$17)</f>
        <v>2.8311209012480973</v>
      </c>
      <c r="O50" s="265">
        <f>IF(O$17=0,0,O$17/AGR_fec!O$17)</f>
        <v>2.7189176340325902</v>
      </c>
      <c r="P50" s="265">
        <f>IF(P$17=0,0,P$17/AGR_fec!P$17)</f>
        <v>2.7250669248655206</v>
      </c>
      <c r="Q50" s="265">
        <f>IF(Q$17=0,0,Q$17/AGR_fec!Q$17)</f>
        <v>2.6101302003871529</v>
      </c>
      <c r="R50" s="265">
        <f>IF(R$17=0,0,R$17/AGR_fec!R$17)</f>
        <v>2.5641929311327676</v>
      </c>
      <c r="S50" s="265">
        <f>IF(S$17=0,0,S$17/AGR_fec!S$17)</f>
        <v>2.797608309053031</v>
      </c>
      <c r="T50" s="265">
        <f>IF(T$17=0,0,T$17/AGR_fec!T$17)</f>
        <v>2.9231402740743793</v>
      </c>
      <c r="U50" s="265">
        <f>IF(U$17=0,0,U$17/AGR_fec!U$17)</f>
        <v>2.9567892701710661</v>
      </c>
      <c r="V50" s="265">
        <f>IF(V$17=0,0,V$17/AGR_fec!V$17)</f>
        <v>2.9051650867456562</v>
      </c>
      <c r="W50" s="265">
        <f>IF(W$17=0,0,W$17/AGR_fec!W$17)</f>
        <v>2.8086143064194826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3.102418800000001</v>
      </c>
      <c r="D51" s="265">
        <f>IF(D$25=0,0,D$25/AGR_fec!D$25)</f>
        <v>3.1024188000000001</v>
      </c>
      <c r="E51" s="265">
        <f>IF(E$25=0,0,E$25/AGR_fec!E$25)</f>
        <v>3.1024187999999993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3.102418800000001</v>
      </c>
      <c r="I51" s="265">
        <f>IF(I$25=0,0,I$25/AGR_fec!I$25)</f>
        <v>3.1024187999999997</v>
      </c>
      <c r="J51" s="265">
        <f>IF(J$25=0,0,J$25/AGR_fec!J$25)</f>
        <v>3.1024187999999997</v>
      </c>
      <c r="K51" s="265">
        <f>IF(K$25=0,0,K$25/AGR_fec!K$25)</f>
        <v>3.1024188000000006</v>
      </c>
      <c r="L51" s="265">
        <f>IF(L$25=0,0,L$25/AGR_fec!L$25)</f>
        <v>3.1024188000000006</v>
      </c>
      <c r="M51" s="265">
        <f>IF(M$25=0,0,M$25/AGR_fec!M$25)</f>
        <v>3.1024188000000001</v>
      </c>
      <c r="N51" s="265">
        <f>IF(N$25=0,0,N$25/AGR_fec!N$25)</f>
        <v>3.1024188000000001</v>
      </c>
      <c r="O51" s="265">
        <f>IF(O$25=0,0,O$25/AGR_fec!O$25)</f>
        <v>2.9484391778037207</v>
      </c>
      <c r="P51" s="265">
        <f>IF(P$25=0,0,P$25/AGR_fec!P$25)</f>
        <v>3.1024188000000001</v>
      </c>
      <c r="Q51" s="265">
        <f>IF(Q$25=0,0,Q$25/AGR_fec!Q$25)</f>
        <v>3.1024187999999997</v>
      </c>
      <c r="R51" s="265">
        <f>IF(R$25=0,0,R$25/AGR_fec!R$25)</f>
        <v>3.1024187999999997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3.1024187999999997</v>
      </c>
      <c r="V51" s="265">
        <f>IF(V$25=0,0,V$25/AGR_fec!V$25)</f>
        <v>3.1024187999999997</v>
      </c>
      <c r="W51" s="265">
        <f>IF(W$25=0,0,W$25/AGR_fec!W$25)</f>
        <v>3.1024188000000001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9FEEAC-0987-4EB3-8064-ECCF5A127B23}"/>
</file>

<file path=customXml/itemProps2.xml><?xml version="1.0" encoding="utf-8"?>
<ds:datastoreItem xmlns:ds="http://schemas.openxmlformats.org/officeDocument/2006/customXml" ds:itemID="{BF39A6CB-CA45-4E43-8B43-3E48B559C890}"/>
</file>

<file path=customXml/itemProps3.xml><?xml version="1.0" encoding="utf-8"?>
<ds:datastoreItem xmlns:ds="http://schemas.openxmlformats.org/officeDocument/2006/customXml" ds:itemID="{E97EE72D-5606-43F0-A6DF-9F887A0DC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2024-05-20T16:46:46Z</dcterms:created>
  <dcterms:modified xsi:type="dcterms:W3CDTF">2024-05-20T16:46:46Z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