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S242" i="3" l="1"/>
  <c r="E3" i="20"/>
  <c r="E22" i="20" s="1"/>
  <c r="Q14" i="18"/>
  <c r="W14" i="18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P14" i="18"/>
  <c r="J14" i="20"/>
  <c r="O3" i="20"/>
  <c r="O23" i="20" s="1"/>
  <c r="O3" i="18"/>
  <c r="O18" i="18" s="1"/>
  <c r="N3" i="20"/>
  <c r="R21" i="18"/>
  <c r="R23" i="18"/>
  <c r="N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G24" i="19" l="1"/>
  <c r="M24" i="19"/>
  <c r="M23" i="18"/>
  <c r="S23" i="18"/>
  <c r="M22" i="18"/>
  <c r="L23" i="18"/>
  <c r="S22" i="18"/>
  <c r="L10" i="20"/>
  <c r="D23" i="20"/>
  <c r="L20" i="19"/>
  <c r="E23" i="20"/>
  <c r="F19" i="18"/>
  <c r="D22" i="20"/>
  <c r="U18" i="18"/>
  <c r="I22" i="18"/>
  <c r="N24" i="19"/>
  <c r="P10" i="20"/>
  <c r="K23" i="18"/>
  <c r="U19" i="18"/>
  <c r="N29" i="3"/>
  <c r="N241" i="3" s="1"/>
  <c r="L21" i="20"/>
  <c r="W24" i="19"/>
  <c r="E19" i="18"/>
  <c r="I213" i="3"/>
  <c r="W17" i="20"/>
  <c r="W10" i="20"/>
  <c r="I21" i="18"/>
  <c r="H3" i="19"/>
  <c r="H28" i="19" s="1"/>
  <c r="M23" i="20"/>
  <c r="E23" i="18"/>
  <c r="H11" i="20"/>
  <c r="T24" i="19"/>
  <c r="F89" i="3"/>
  <c r="F181" i="3" s="1"/>
  <c r="E21" i="20"/>
  <c r="R29" i="3"/>
  <c r="R123" i="3" s="1"/>
  <c r="F22" i="20"/>
  <c r="G23" i="20"/>
  <c r="E13" i="18"/>
  <c r="E22" i="18"/>
  <c r="R212" i="3"/>
  <c r="F20" i="19"/>
  <c r="J11" i="20"/>
  <c r="J21" i="19"/>
  <c r="H20" i="19"/>
  <c r="H25" i="19"/>
  <c r="G25" i="19"/>
  <c r="Q24" i="19"/>
  <c r="Q10" i="20"/>
  <c r="Q21" i="19"/>
  <c r="P24" i="19"/>
  <c r="U24" i="19"/>
  <c r="Q25" i="19"/>
  <c r="F24" i="19"/>
  <c r="T22" i="18"/>
  <c r="M22" i="20"/>
  <c r="O21" i="19"/>
  <c r="Q11" i="20"/>
  <c r="N13" i="20"/>
  <c r="U29" i="3"/>
  <c r="U122" i="3" s="1"/>
  <c r="G18" i="18"/>
  <c r="R25" i="19"/>
  <c r="W3" i="19"/>
  <c r="W28" i="19" s="1"/>
  <c r="E13" i="20"/>
  <c r="T23" i="18"/>
  <c r="O11" i="20"/>
  <c r="T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O123" i="3"/>
  <c r="E123" i="3"/>
  <c r="W123" i="3"/>
  <c r="G123" i="3"/>
  <c r="B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9" i="19" l="1"/>
  <c r="N122" i="3"/>
  <c r="H27" i="19"/>
  <c r="N123" i="3"/>
  <c r="H19" i="19"/>
  <c r="H23" i="19"/>
  <c r="F151" i="3"/>
  <c r="F183" i="3"/>
  <c r="Q23" i="19"/>
  <c r="Q122" i="3"/>
  <c r="F182" i="3"/>
  <c r="P122" i="3"/>
  <c r="P121" i="3"/>
  <c r="Q241" i="3"/>
  <c r="P27" i="19"/>
  <c r="P9" i="20"/>
  <c r="G28" i="19"/>
  <c r="R121" i="3"/>
  <c r="G27" i="19"/>
  <c r="M19" i="19"/>
  <c r="F153" i="3"/>
  <c r="R122" i="3"/>
  <c r="T123" i="3"/>
  <c r="R241" i="3"/>
  <c r="U182" i="3"/>
  <c r="D123" i="3"/>
  <c r="W29" i="19"/>
  <c r="U121" i="3"/>
  <c r="F241" i="3"/>
  <c r="T241" i="3"/>
  <c r="M182" i="3"/>
  <c r="N27" i="19"/>
  <c r="E23" i="19"/>
  <c r="E27" i="19"/>
  <c r="N9" i="20"/>
  <c r="E28" i="19"/>
  <c r="L121" i="3"/>
  <c r="M9" i="20"/>
  <c r="K183" i="3"/>
  <c r="M27" i="19"/>
  <c r="Q9" i="20"/>
  <c r="W19" i="19"/>
  <c r="N19" i="19"/>
  <c r="U123" i="3"/>
  <c r="M23" i="19"/>
  <c r="M28" i="19"/>
  <c r="N29" i="19"/>
  <c r="W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T10" i="5"/>
  <c r="Q10" i="5"/>
  <c r="P10" i="5"/>
  <c r="N10" i="5"/>
  <c r="M10" i="5"/>
  <c r="L10" i="5"/>
  <c r="K10" i="5"/>
  <c r="I10" i="5"/>
  <c r="H10" i="5"/>
  <c r="F10" i="5"/>
  <c r="E10" i="5"/>
  <c r="D10" i="5"/>
  <c r="C10" i="5"/>
  <c r="B10" i="5" l="1"/>
  <c r="J10" i="5"/>
  <c r="R10" i="5"/>
  <c r="S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Q75" i="7"/>
  <c r="Q84" i="4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05" i="6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20" i="7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196" i="4" s="1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77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218" i="4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12" i="5" s="1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R200" i="4" s="1"/>
  <c r="M14" i="4"/>
  <c r="E17" i="4"/>
  <c r="E208" i="4" s="1"/>
  <c r="E18" i="4"/>
  <c r="E102" i="5" s="1"/>
  <c r="D22" i="4"/>
  <c r="D213" i="4" s="1"/>
  <c r="I24" i="4"/>
  <c r="I108" i="5" s="1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201" i="4" s="1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63" i="5" s="1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214" i="4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201" i="4" s="1"/>
  <c r="N15" i="4"/>
  <c r="N99" i="5" s="1"/>
  <c r="Q7" i="4"/>
  <c r="Q198" i="4" s="1"/>
  <c r="V9" i="4"/>
  <c r="V93" i="5" s="1"/>
  <c r="V10" i="4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B200" i="4" s="1"/>
  <c r="F11" i="4"/>
  <c r="F202" i="4" s="1"/>
  <c r="B16" i="4"/>
  <c r="B94" i="6" s="1"/>
  <c r="F17" i="4"/>
  <c r="F208" i="4" s="1"/>
  <c r="F18" i="4"/>
  <c r="F209" i="4" s="1"/>
  <c r="B28" i="4"/>
  <c r="B106" i="6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202" i="4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85" i="6" s="1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112" i="4" s="1"/>
  <c r="V31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214" i="4" s="1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M17" i="4"/>
  <c r="M208" i="4" s="1"/>
  <c r="Q18" i="4"/>
  <c r="Q102" i="5" s="1"/>
  <c r="D21" i="4"/>
  <c r="D212" i="4" s="1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87" i="6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258" i="4"/>
  <c r="R177" i="4"/>
  <c r="R258" i="4"/>
  <c r="R70" i="5"/>
  <c r="O46" i="4"/>
  <c r="O265" i="4" s="1"/>
  <c r="O71" i="6"/>
  <c r="P190" i="4"/>
  <c r="P83" i="5"/>
  <c r="P138" i="7" s="1"/>
  <c r="K112" i="4"/>
  <c r="N127" i="4"/>
  <c r="N46" i="7" s="1"/>
  <c r="N47" i="7"/>
  <c r="P106" i="5"/>
  <c r="G216" i="4"/>
  <c r="G103" i="6"/>
  <c r="G109" i="5"/>
  <c r="Q63" i="5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40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102" i="5"/>
  <c r="R199" i="4"/>
  <c r="R86" i="6"/>
  <c r="R92" i="5"/>
  <c r="N106" i="6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N273" i="4"/>
  <c r="N269" i="4"/>
  <c r="N267" i="4"/>
  <c r="N272" i="4"/>
  <c r="N270" i="4"/>
  <c r="N268" i="4"/>
  <c r="N266" i="4"/>
  <c r="N264" i="4"/>
  <c r="I184" i="4"/>
  <c r="I77" i="6"/>
  <c r="I83" i="5"/>
  <c r="O219" i="4"/>
  <c r="O106" i="6"/>
  <c r="O112" i="5"/>
  <c r="F58" i="4"/>
  <c r="F13" i="7"/>
  <c r="V73" i="4"/>
  <c r="V19" i="7" s="1"/>
  <c r="B85" i="4"/>
  <c r="B100" i="4"/>
  <c r="F127" i="4"/>
  <c r="F46" i="7" s="1"/>
  <c r="F47" i="7"/>
  <c r="U127" i="4"/>
  <c r="U46" i="7" s="1"/>
  <c r="U47" i="7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83" i="6"/>
  <c r="U89" i="5"/>
  <c r="D101" i="5"/>
  <c r="T201" i="4"/>
  <c r="T88" i="6"/>
  <c r="T94" i="5"/>
  <c r="Q212" i="4"/>
  <c r="Q99" i="6"/>
  <c r="Q105" i="5"/>
  <c r="P198" i="4"/>
  <c r="P85" i="6"/>
  <c r="P91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77" i="5"/>
  <c r="V132" i="7" s="1"/>
  <c r="J77" i="6"/>
  <c r="J219" i="7" s="1"/>
  <c r="D218" i="4"/>
  <c r="P73" i="4"/>
  <c r="P19" i="7" s="1"/>
  <c r="P20" i="7"/>
  <c r="V127" i="4"/>
  <c r="V46" i="7" s="1"/>
  <c r="V47" i="7"/>
  <c r="R47" i="7"/>
  <c r="U198" i="4"/>
  <c r="H199" i="4"/>
  <c r="H86" i="6"/>
  <c r="M200" i="4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H200" i="4"/>
  <c r="H87" i="6"/>
  <c r="H93" i="5"/>
  <c r="F213" i="4"/>
  <c r="F100" i="6"/>
  <c r="F106" i="5"/>
  <c r="F215" i="4"/>
  <c r="F102" i="6"/>
  <c r="F108" i="5"/>
  <c r="I218" i="4"/>
  <c r="I105" i="6"/>
  <c r="I111" i="5"/>
  <c r="D95" i="5"/>
  <c r="D229" i="4"/>
  <c r="N177" i="4"/>
  <c r="N70" i="5"/>
  <c r="N125" i="7" s="1"/>
  <c r="M184" i="4"/>
  <c r="M77" i="5"/>
  <c r="M132" i="7" s="1"/>
  <c r="S212" i="4"/>
  <c r="S99" i="6"/>
  <c r="S105" i="5"/>
  <c r="O106" i="5"/>
  <c r="S214" i="4"/>
  <c r="S107" i="5"/>
  <c r="N271" i="4"/>
  <c r="N83" i="5"/>
  <c r="U46" i="4"/>
  <c r="U265" i="4" s="1"/>
  <c r="U83" i="5"/>
  <c r="D26" i="7"/>
  <c r="M73" i="4"/>
  <c r="M26" i="7"/>
  <c r="J127" i="4"/>
  <c r="J46" i="7" s="1"/>
  <c r="J47" i="7"/>
  <c r="S47" i="7"/>
  <c r="I199" i="4"/>
  <c r="I88" i="6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D199" i="4"/>
  <c r="D86" i="6"/>
  <c r="D92" i="5"/>
  <c r="N196" i="4"/>
  <c r="N83" i="6"/>
  <c r="N89" i="5"/>
  <c r="V200" i="4"/>
  <c r="V87" i="6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177" i="4"/>
  <c r="Q64" i="6"/>
  <c r="Q206" i="7" s="1"/>
  <c r="Q70" i="5"/>
  <c r="Q125" i="7" s="1"/>
  <c r="V46" i="4"/>
  <c r="N71" i="6"/>
  <c r="N265" i="4"/>
  <c r="O77" i="6"/>
  <c r="O83" i="5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I59" i="7" l="1"/>
  <c r="J213" i="7"/>
  <c r="Q209" i="4"/>
  <c r="T125" i="6"/>
  <c r="T118" i="6"/>
  <c r="O47" i="6"/>
  <c r="S105" i="6"/>
  <c r="T73" i="4"/>
  <c r="M216" i="4"/>
  <c r="T184" i="4"/>
  <c r="B213" i="7"/>
  <c r="I58" i="4"/>
  <c r="I4" i="7" s="1"/>
  <c r="G77" i="5"/>
  <c r="G132" i="7" s="1"/>
  <c r="N18" i="5"/>
  <c r="N61" i="5" s="1"/>
  <c r="B77" i="5"/>
  <c r="B132" i="7" s="1"/>
  <c r="J18" i="6"/>
  <c r="J55" i="6" s="1"/>
  <c r="H58" i="4"/>
  <c r="E190" i="4"/>
  <c r="U89" i="6"/>
  <c r="D99" i="6"/>
  <c r="V257" i="4"/>
  <c r="U132" i="7"/>
  <c r="U184" i="4"/>
  <c r="I107" i="5"/>
  <c r="U73" i="4"/>
  <c r="Q101" i="5"/>
  <c r="V59" i="7"/>
  <c r="I101" i="6"/>
  <c r="Q95" i="6"/>
  <c r="U94" i="5"/>
  <c r="B88" i="6"/>
  <c r="B112" i="5"/>
  <c r="U88" i="6"/>
  <c r="E47" i="6"/>
  <c r="C111" i="5"/>
  <c r="U213" i="7"/>
  <c r="D73" i="4"/>
  <c r="U256" i="4"/>
  <c r="D26" i="4"/>
  <c r="O20" i="7"/>
  <c r="S218" i="4"/>
  <c r="V251" i="4"/>
  <c r="N219" i="4"/>
  <c r="U170" i="4"/>
  <c r="Q118" i="7"/>
  <c r="I200" i="4"/>
  <c r="R127" i="4"/>
  <c r="R46" i="7" s="1"/>
  <c r="O271" i="4"/>
  <c r="U250" i="4"/>
  <c r="E96" i="6"/>
  <c r="S26" i="4"/>
  <c r="Q170" i="4"/>
  <c r="M58" i="4"/>
  <c r="M4" i="7" s="1"/>
  <c r="I124" i="5"/>
  <c r="U63" i="5"/>
  <c r="U118" i="7" s="1"/>
  <c r="R93" i="5"/>
  <c r="O100" i="6"/>
  <c r="R266" i="4"/>
  <c r="D89" i="6"/>
  <c r="V213" i="7"/>
  <c r="I138" i="7"/>
  <c r="H107" i="5"/>
  <c r="B86" i="6"/>
  <c r="H199" i="7"/>
  <c r="U77" i="6"/>
  <c r="V131" i="5"/>
  <c r="R87" i="6"/>
  <c r="N111" i="5"/>
  <c r="R268" i="4"/>
  <c r="V184" i="4"/>
  <c r="S101" i="5"/>
  <c r="P94" i="5"/>
  <c r="M105" i="5"/>
  <c r="H101" i="6"/>
  <c r="O132" i="7"/>
  <c r="V252" i="4"/>
  <c r="V125" i="6"/>
  <c r="O64" i="6"/>
  <c r="O206" i="7" s="1"/>
  <c r="H118" i="7"/>
  <c r="O70" i="5"/>
  <c r="O125" i="7" s="1"/>
  <c r="U125" i="7"/>
  <c r="T47" i="6"/>
  <c r="I13" i="7"/>
  <c r="N105" i="6"/>
  <c r="R270" i="4"/>
  <c r="U91" i="5"/>
  <c r="D111" i="5"/>
  <c r="S95" i="6"/>
  <c r="P88" i="6"/>
  <c r="M99" i="6"/>
  <c r="O213" i="7"/>
  <c r="V250" i="4"/>
  <c r="O125" i="6"/>
  <c r="M199" i="7"/>
  <c r="C58" i="4"/>
  <c r="C4" i="7" s="1"/>
  <c r="U263" i="4"/>
  <c r="E209" i="4"/>
  <c r="S112" i="4"/>
  <c r="S31" i="7" s="1"/>
  <c r="N250" i="4"/>
  <c r="V262" i="4"/>
  <c r="F206" i="7"/>
  <c r="C111" i="6"/>
  <c r="U5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97" i="4" s="1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9" i="4"/>
  <c r="E267" i="4"/>
  <c r="E272" i="4"/>
  <c r="E270" i="4"/>
  <c r="E26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O19" i="4"/>
  <c r="O157" i="4"/>
  <c r="T6" i="4"/>
  <c r="C46" i="4"/>
  <c r="C271" i="4" s="1"/>
  <c r="R19" i="4"/>
  <c r="R244" i="4" s="1"/>
  <c r="I19" i="4"/>
  <c r="I244" i="4" s="1"/>
  <c r="E19" i="4"/>
  <c r="E238" i="4" s="1"/>
  <c r="E273" i="4" l="1"/>
  <c r="E76" i="5"/>
  <c r="E264" i="4"/>
  <c r="E70" i="6"/>
  <c r="O4" i="4"/>
  <c r="O232" i="4" s="1"/>
  <c r="E266" i="4"/>
  <c r="E30" i="4"/>
  <c r="H61" i="5"/>
  <c r="B17" i="5"/>
  <c r="B144" i="5" s="1"/>
  <c r="S231" i="4"/>
  <c r="F204" i="4"/>
  <c r="M104" i="6"/>
  <c r="F4" i="4"/>
  <c r="F231" i="4" s="1"/>
  <c r="M217" i="4"/>
  <c r="V90" i="5"/>
  <c r="M97" i="5"/>
  <c r="M150" i="4"/>
  <c r="V84" i="6"/>
  <c r="K163" i="4"/>
  <c r="E4" i="4"/>
  <c r="E141" i="4" s="1"/>
  <c r="M91" i="6"/>
  <c r="E90" i="5"/>
  <c r="H19" i="4"/>
  <c r="H242" i="4" s="1"/>
  <c r="E84" i="6"/>
  <c r="V197" i="4"/>
  <c r="J168" i="4"/>
  <c r="M4" i="4"/>
  <c r="M231" i="4" s="1"/>
  <c r="V4" i="4"/>
  <c r="V231" i="4" s="1"/>
  <c r="Q211" i="4"/>
  <c r="K90" i="5"/>
  <c r="N97" i="5"/>
  <c r="J57" i="4"/>
  <c r="J3" i="7" s="1"/>
  <c r="K110" i="5"/>
  <c r="K84" i="6"/>
  <c r="J183" i="4"/>
  <c r="N91" i="6"/>
  <c r="K104" i="6"/>
  <c r="K197" i="4"/>
  <c r="N204" i="4"/>
  <c r="K4" i="4"/>
  <c r="K223" i="4" s="1"/>
  <c r="R17" i="6"/>
  <c r="R136" i="6" s="1"/>
  <c r="G183" i="4"/>
  <c r="Q90" i="5"/>
  <c r="D204" i="4"/>
  <c r="D91" i="6"/>
  <c r="C61" i="5"/>
  <c r="Q84" i="6"/>
  <c r="S19" i="4"/>
  <c r="S239" i="4" s="1"/>
  <c r="Q143" i="4"/>
  <c r="F31" i="7"/>
  <c r="N57" i="4"/>
  <c r="Q4" i="4"/>
  <c r="Q195" i="4" s="1"/>
  <c r="Q150" i="4"/>
  <c r="N183" i="4"/>
  <c r="C258" i="4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167" i="4" s="1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52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2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61" i="5"/>
  <c r="J152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60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46" i="6"/>
  <c r="R153" i="6"/>
  <c r="R148" i="6"/>
  <c r="R141" i="6"/>
  <c r="R142" i="6"/>
  <c r="R137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234" i="4"/>
  <c r="N230" i="4"/>
  <c r="N233" i="4"/>
  <c r="N232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1" i="4"/>
  <c r="G243" i="4"/>
  <c r="G239" i="4"/>
  <c r="P143" i="4"/>
  <c r="P197" i="4"/>
  <c r="P84" i="6"/>
  <c r="P90" i="5"/>
  <c r="E88" i="5"/>
  <c r="E222" i="4"/>
  <c r="E236" i="4"/>
  <c r="E230" i="4"/>
  <c r="E228" i="4"/>
  <c r="E235" i="4"/>
  <c r="E232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30" i="4"/>
  <c r="Q234" i="4"/>
  <c r="Q232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32" i="4"/>
  <c r="J223" i="4"/>
  <c r="J234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222" i="4"/>
  <c r="V232" i="4"/>
  <c r="V230" i="4"/>
  <c r="V234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210" i="4"/>
  <c r="D237" i="4"/>
  <c r="D241" i="4"/>
  <c r="D239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33" i="4"/>
  <c r="O228" i="4"/>
  <c r="O227" i="4"/>
  <c r="O234" i="4"/>
  <c r="O229" i="4"/>
  <c r="O23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V228" i="4" l="1"/>
  <c r="V195" i="4"/>
  <c r="J222" i="4"/>
  <c r="E227" i="4"/>
  <c r="V224" i="4"/>
  <c r="V223" i="4"/>
  <c r="V235" i="4"/>
  <c r="V141" i="4"/>
  <c r="J88" i="5"/>
  <c r="E223" i="4"/>
  <c r="V229" i="4"/>
  <c r="V233" i="4"/>
  <c r="J236" i="4"/>
  <c r="E225" i="4"/>
  <c r="O226" i="4"/>
  <c r="O223" i="4"/>
  <c r="V225" i="4"/>
  <c r="V226" i="4"/>
  <c r="E226" i="4"/>
  <c r="E82" i="6"/>
  <c r="O235" i="4"/>
  <c r="O225" i="4"/>
  <c r="V227" i="4"/>
  <c r="V88" i="5"/>
  <c r="J228" i="4"/>
  <c r="E195" i="4"/>
  <c r="E224" i="4"/>
  <c r="S149" i="5"/>
  <c r="V236" i="4"/>
  <c r="V82" i="6"/>
  <c r="E233" i="4"/>
  <c r="S143" i="5"/>
  <c r="S156" i="5"/>
  <c r="J153" i="5"/>
  <c r="J144" i="5"/>
  <c r="S153" i="5"/>
  <c r="H147" i="6"/>
  <c r="S142" i="5"/>
  <c r="S145" i="5"/>
  <c r="H158" i="6"/>
  <c r="J155" i="5"/>
  <c r="S166" i="5"/>
  <c r="J159" i="5"/>
  <c r="H154" i="6"/>
  <c r="S159" i="5"/>
  <c r="J167" i="4"/>
  <c r="S150" i="5"/>
  <c r="J227" i="4"/>
  <c r="N225" i="4"/>
  <c r="R154" i="6"/>
  <c r="R151" i="6"/>
  <c r="H142" i="6"/>
  <c r="H145" i="6"/>
  <c r="H237" i="4"/>
  <c r="J82" i="6"/>
  <c r="N88" i="5"/>
  <c r="R140" i="6"/>
  <c r="H136" i="6"/>
  <c r="H159" i="6"/>
  <c r="H141" i="6"/>
  <c r="R145" i="6"/>
  <c r="S141" i="5"/>
  <c r="R139" i="6"/>
  <c r="N231" i="4"/>
  <c r="H103" i="5"/>
  <c r="J235" i="4"/>
  <c r="J195" i="4"/>
  <c r="U54" i="6"/>
  <c r="N141" i="4"/>
  <c r="R143" i="6"/>
  <c r="R156" i="6"/>
  <c r="H151" i="6"/>
  <c r="H139" i="6"/>
  <c r="H135" i="6"/>
  <c r="R158" i="6"/>
  <c r="S151" i="5"/>
  <c r="S147" i="5"/>
  <c r="H244" i="4"/>
  <c r="H97" i="6"/>
  <c r="M239" i="4"/>
  <c r="J226" i="4"/>
  <c r="J225" i="4"/>
  <c r="J141" i="4"/>
  <c r="N228" i="4"/>
  <c r="R138" i="6"/>
  <c r="R54" i="6"/>
  <c r="R149" i="6"/>
  <c r="R160" i="6"/>
  <c r="H140" i="6"/>
  <c r="H137" i="6"/>
  <c r="S158" i="5"/>
  <c r="S162" i="5"/>
  <c r="S243" i="4"/>
  <c r="R159" i="6"/>
  <c r="H210" i="4"/>
  <c r="M156" i="4"/>
  <c r="J233" i="4"/>
  <c r="R147" i="6"/>
  <c r="R155" i="6"/>
  <c r="R135" i="6"/>
  <c r="H152" i="6"/>
  <c r="H160" i="6"/>
  <c r="S155" i="5"/>
  <c r="S163" i="5"/>
  <c r="G245" i="4"/>
  <c r="G238" i="4"/>
  <c r="Q223" i="4"/>
  <c r="G237" i="4"/>
  <c r="G103" i="5"/>
  <c r="G244" i="4"/>
  <c r="Q236" i="4"/>
  <c r="G97" i="6"/>
  <c r="S164" i="5"/>
  <c r="E54" i="6"/>
  <c r="Q226" i="4"/>
  <c r="G210" i="4"/>
  <c r="S144" i="5"/>
  <c r="S161" i="5"/>
  <c r="S148" i="5"/>
  <c r="Q141" i="4"/>
  <c r="G246" i="4"/>
  <c r="G156" i="4"/>
  <c r="S157" i="5"/>
  <c r="S165" i="5"/>
  <c r="Q224" i="4"/>
  <c r="D103" i="5"/>
  <c r="Q225" i="4"/>
  <c r="Q235" i="4"/>
  <c r="N235" i="4"/>
  <c r="N82" i="6"/>
  <c r="S246" i="4"/>
  <c r="S244" i="4"/>
  <c r="D244" i="4"/>
  <c r="D97" i="6"/>
  <c r="Q233" i="4"/>
  <c r="N223" i="4"/>
  <c r="N195" i="4"/>
  <c r="D238" i="4"/>
  <c r="D156" i="4"/>
  <c r="Q231" i="4"/>
  <c r="Q229" i="4"/>
  <c r="Q222" i="4"/>
  <c r="N236" i="4"/>
  <c r="N226" i="4"/>
  <c r="S210" i="4"/>
  <c r="S237" i="4"/>
  <c r="S240" i="4"/>
  <c r="D246" i="4"/>
  <c r="Q227" i="4"/>
  <c r="Q88" i="5"/>
  <c r="N227" i="4"/>
  <c r="N224" i="4"/>
  <c r="S245" i="4"/>
  <c r="S156" i="4"/>
  <c r="D245" i="4"/>
  <c r="Q82" i="6"/>
  <c r="N229" i="4"/>
  <c r="D240" i="4"/>
  <c r="Q228" i="4"/>
  <c r="S97" i="6"/>
  <c r="S103" i="5"/>
  <c r="S238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K79" i="8"/>
  <c r="V77" i="8"/>
  <c r="O77" i="8"/>
  <c r="S76" i="8"/>
  <c r="P76" i="8"/>
  <c r="O76" i="8"/>
  <c r="T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5" i="1"/>
  <c r="B9" i="1"/>
  <c r="B17" i="1"/>
  <c r="B11" i="1"/>
  <c r="B16" i="1"/>
  <c r="B18" i="1"/>
  <c r="B22" i="1"/>
  <c r="B12" i="1"/>
  <c r="B7" i="1"/>
  <c r="B20" i="1"/>
  <c r="B8" i="1"/>
  <c r="B21" i="1"/>
  <c r="B6" i="1"/>
  <c r="B4" i="1"/>
  <c r="B13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I143" i="3"/>
  <c r="I142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R144" i="3"/>
  <c r="R139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<sst xmlns="http://schemas.openxmlformats.org/spreadsheetml/2006/main" count="2655" uniqueCount="1167">
  <si>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</si>
  <si>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</si>
  <si>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</si>
  <si>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</si>
  <si>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</si>
  <si>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</si>
  <si>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</si>
  <si>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</si>
  <si>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</si>
  <si>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</si>
  <si>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</si>
  <si>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</si>
  <si>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</si>
  <si>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</si>
  <si>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</si>
  <si>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</si>
  <si>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</si>
  <si>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</si>
  <si>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</si>
  <si>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</si>
  <si>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</si>
  <si>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</si>
  <si>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</si>
  <si>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</si>
  <si>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</si>
  <si>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</si>
  <si>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</si>
  <si>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</si>
  <si>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</si>
  <si>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</si>
  <si>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</si>
  <si>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</si>
  <si>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</si>
  <si>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</si>
  <si>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</si>
  <si>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</si>
  <si>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</si>
  <si>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</si>
  <si>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</si>
  <si>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</si>
  <si>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</si>
  <si>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</si>
  <si>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</si>
  <si>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</si>
  <si>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</si>
  <si>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</si>
  <si>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</si>
  <si>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</si>
  <si>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</si>
  <si>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</si>
  <si>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</si>
  <si>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</si>
  <si>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</si>
  <si>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</si>
  <si>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</si>
  <si>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</si>
  <si>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</si>
  <si>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</si>
  <si>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</si>
  <si>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</si>
  <si>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</si>
  <si>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</si>
  <si>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</si>
  <si>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</si>
  <si>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</si>
  <si>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</si>
  <si>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</si>
  <si>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</si>
  <si>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</si>
  <si>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</si>
  <si>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</si>
  <si>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</si>
  <si>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</si>
  <si>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</si>
  <si>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</si>
  <si>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</si>
  <si>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</si>
  <si>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</si>
  <si>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</si>
  <si>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</si>
  <si>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</si>
  <si>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</si>
  <si>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</si>
  <si>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</si>
  <si>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</si>
  <si>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</si>
  <si>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</si>
  <si>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</si>
  <si>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</si>
  <si>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</si>
  <si>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</si>
  <si>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</si>
  <si>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</si>
  <si>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</si>
  <si>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</si>
  <si>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</si>
  <si>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</si>
  <si>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</si>
  <si>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</si>
  <si>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</si>
  <si>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</si>
  <si>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</si>
  <si>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</si>
  <si>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</si>
  <si>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</si>
  <si>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</si>
  <si>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</si>
  <si>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</si>
  <si>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</si>
  <si>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</si>
  <si>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</si>
  <si>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</si>
  <si>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</si>
  <si>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</si>
  <si>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</si>
  <si>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</si>
  <si>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</si>
  <si>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</si>
  <si>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</si>
  <si>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</si>
  <si>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</si>
  <si>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</si>
  <si>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</si>
  <si>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</si>
  <si>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</si>
  <si>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</si>
  <si>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</si>
  <si>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</si>
  <si>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</si>
  <si>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</si>
  <si>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</si>
  <si>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</si>
  <si>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</si>
  <si>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</si>
  <si>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</si>
  <si>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</si>
  <si>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</si>
  <si>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</si>
  <si>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</si>
  <si>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</si>
  <si>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</si>
  <si>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</si>
  <si>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</si>
  <si>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</si>
  <si>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</si>
  <si>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</si>
  <si>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</si>
  <si>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</si>
  <si>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</si>
  <si>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</si>
  <si>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</si>
  <si>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</si>
  <si>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</si>
  <si>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</si>
  <si>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</si>
  <si>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</si>
  <si>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</si>
  <si>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</si>
  <si>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</si>
  <si>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</si>
  <si>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</si>
  <si>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</si>
  <si>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</si>
  <si>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</si>
  <si>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</si>
  <si>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</si>
  <si>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</si>
  <si>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</si>
  <si>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</si>
  <si>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</si>
  <si>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</si>
  <si>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</si>
  <si>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</si>
  <si>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</si>
  <si>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</si>
  <si>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</si>
  <si>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</si>
  <si>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</si>
  <si>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</si>
  <si>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</si>
  <si>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</si>
  <si>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</si>
  <si>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</si>
  <si>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</si>
  <si>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</si>
  <si>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</si>
  <si>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BG</t>
  </si>
  <si>
    <t>Bulgaria</t>
  </si>
  <si>
    <t>Aviation - BG - Bulgaria</t>
  </si>
  <si>
    <t>Activity.Mpkm.BG.Tr.Avia.Passenger</t>
  </si>
  <si>
    <t>Activity.Mpkm.BG.Tr.Avia.Passenger.Domestic</t>
  </si>
  <si>
    <t>Activity.Mpkm.BG.Tr.Avia.Passenger.IntraEEAwUK</t>
  </si>
  <si>
    <t>Activity.Mpkm.BG.Tr.Avia.Passenger.ExtraEEAwUK</t>
  </si>
  <si>
    <t>Activity.Mtkm.BG.Tr.Avia.Freight</t>
  </si>
  <si>
    <t>Activity.Mtkm.BG.Tr.Avia.Freight.Domestic</t>
  </si>
  <si>
    <t>Activity.Mtkm.BG.Tr.Avia.Freight.IntraEEAwUK</t>
  </si>
  <si>
    <t>Activity.Mtkm.BG.Tr.Avia.Freight.ExtraEEAwUK</t>
  </si>
  <si>
    <t>VehicleKm.Mkm.BG.Tr.Avia</t>
  </si>
  <si>
    <t>VehicleKm.Mkm.BG.Tr.Avia.Passenger</t>
  </si>
  <si>
    <t>VehicleKm.Mkm.BG.Tr.Avia.Passenger.Domestic</t>
  </si>
  <si>
    <t>VehicleKm.Mkm.BG.Tr.Avia.Passenger.IntraEEAwUK</t>
  </si>
  <si>
    <t>VehicleKm.Mkm.BG.Tr.Avia.Passenger.ExtraEEAwUK</t>
  </si>
  <si>
    <t>VehicleKm.Mkm.BG.Tr.Avia.Freight</t>
  </si>
  <si>
    <t>VehicleKm.Mkm.BG.Tr.Avia.Freight.Domestic</t>
  </si>
  <si>
    <t>VehicleKm.Mkm.BG.Tr.Avia.Freight.IntraEEAwUK</t>
  </si>
  <si>
    <t>VehicleKm.Mkm.BG.Tr.Avia.Freight.ExtraEEAwUK</t>
  </si>
  <si>
    <t>Flights.number.BG.Tr.Avia</t>
  </si>
  <si>
    <t>Flights.number.BG.Tr.Avia.Passenger</t>
  </si>
  <si>
    <t>Flights.number.BG.Tr.Avia.Passenger.Domestic</t>
  </si>
  <si>
    <t>Flights.number.BG.Tr.Avia.Passenger.IntraEEAwUK</t>
  </si>
  <si>
    <t>Flights.number.BG.Tr.Avia.Passenger.ExtraEEAwUK</t>
  </si>
  <si>
    <t>Flights.number.BG.Tr.Avia.Freight</t>
  </si>
  <si>
    <t>Flights.number.BG.Tr.Avia.Freight.Domestic</t>
  </si>
  <si>
    <t>Flights.number.BG.Tr.Avia.Freight.IntraEEAwUK</t>
  </si>
  <si>
    <t>Flights.number.BG.Tr.Avia.Freight.ExtraEEAwUK</t>
  </si>
  <si>
    <t>VolCarried.passenger.BG.Tr.Avia.Passenger</t>
  </si>
  <si>
    <t>VolCarried.passenger.BG.Tr.Avia.Passenger.Domestic</t>
  </si>
  <si>
    <t>VolCarried.passenger.BG.Tr.Avia.Passenger.IntraEEAwUK</t>
  </si>
  <si>
    <t>VolCarried.passenger.BG.Tr.Avia.Passenger.ExtraEEAwUK</t>
  </si>
  <si>
    <t>VolCarried.t.BG.Tr.Avia.Freight</t>
  </si>
  <si>
    <t>VolCarried.t.BG.Tr.Avia.Freight.Domestic</t>
  </si>
  <si>
    <t>VolCarried.t.BG.Tr.Avia.Freight.IntraEEAwUK</t>
  </si>
  <si>
    <t>VolCarried.t.BG.Tr.Avia.Freight.ExtraEEAwUK</t>
  </si>
  <si>
    <t>Stock.number.BG.Tr.Avia</t>
  </si>
  <si>
    <t>Stock.number.BG.Tr.Avia.Passenger</t>
  </si>
  <si>
    <t>Stock.number.BG.Tr.Avia.Passenger.Domestic</t>
  </si>
  <si>
    <t>Stock.number.BG.Tr.Avia.Passenger.IntraEEAwUK</t>
  </si>
  <si>
    <t>Stock.number.BG.Tr.Avia.Passenger.ExtraEEAwUK</t>
  </si>
  <si>
    <t>Stock.number.BG.Tr.Avia.Freight</t>
  </si>
  <si>
    <t>Stock.number.BG.Tr.Avia.Freight.Domestic</t>
  </si>
  <si>
    <t>Stock.number.BG.Tr.Avia.Freight.IntraEEAwUK</t>
  </si>
  <si>
    <t>Stock.number.BG.Tr.Avia.Freight.ExtraEEAwUK</t>
  </si>
  <si>
    <t>StockNew.number.BG.Tr.Avia</t>
  </si>
  <si>
    <t>StockNew.number.BG.Tr.Avia.Passenger</t>
  </si>
  <si>
    <t>StockNew.number.BG.Tr.Avia.Passenger.Domestic</t>
  </si>
  <si>
    <t>StockNew.number.BG.Tr.Avia.Passenger.IntraEEAwUK</t>
  </si>
  <si>
    <t>StockNew.number.BG.Tr.Avia.Passenger.ExtraEEAwUK</t>
  </si>
  <si>
    <t>StockNew.number.BG.Tr.Avia.Freight</t>
  </si>
  <si>
    <t>StockNew.number.BG.Tr.Avia.Freight.Domestic</t>
  </si>
  <si>
    <t>StockNew.number.BG.Tr.Avia.Freight.IntraEEAwUK</t>
  </si>
  <si>
    <t>StockNew.number.BG.Tr.Avia.Freight.ExtraEEAwUK</t>
  </si>
  <si>
    <t>Load.passenger_per_movement.BG.Tr.Avia.Passenger</t>
  </si>
  <si>
    <t>Load.passenger_per_movement.BG.Tr.Avia.Passenger.Domestic</t>
  </si>
  <si>
    <t>Load.passenger_per_movement.BG.Tr.Avia.Passenger.IntraEEAwUK</t>
  </si>
  <si>
    <t>Load.passenger_per_movement.BG.Tr.Avia.Passenger.ExtraEEAwUK</t>
  </si>
  <si>
    <t>Load.t_per_movement.BG.Tr.Avia.Freight</t>
  </si>
  <si>
    <t>Load.t_per_movement.BG.Tr.Avia.Freight.Domestic</t>
  </si>
  <si>
    <t>Load.t_per_movement.BG.Tr.Avia.Freight.IntraEEAwUK</t>
  </si>
  <si>
    <t>Load.t_per_movement.BG.Tr.Avia.Freight.ExtraEEAwUK</t>
  </si>
  <si>
    <t>VehicleKm_per_flight.km.BG.Tr.Avia</t>
  </si>
  <si>
    <t>VehicleKm_per_flight.km.BG.Tr.Avia.Passenger</t>
  </si>
  <si>
    <t>VehicleKm_per_flight.km.BG.Tr.Avia.Passenger.Domestic</t>
  </si>
  <si>
    <t>VehicleKm_per_flight.km.BG.Tr.Avia.Passenger.IntraEEAwUK</t>
  </si>
  <si>
    <t>VehicleKm_per_flight.km.BG.Tr.Avia.Passenger.ExtraEEAwUK</t>
  </si>
  <si>
    <t>VehicleKm_per_flight.km.BG.Tr.Avia.Freight</t>
  </si>
  <si>
    <t>VehicleKm_per_flight.km.BG.Tr.Avia.Freight.Domestic</t>
  </si>
  <si>
    <t>VehicleKm_per_flight.km.BG.Tr.Avia.Freight.IntraEEAwUK</t>
  </si>
  <si>
    <t>VehicleKm_per_flight.km.BG.Tr.Avia.Freight.ExtraEEAwUK</t>
  </si>
  <si>
    <t>Activity_per_flight.pkm.BG.Tr.Avia.Passenger</t>
  </si>
  <si>
    <t>Activity_per_flight.pkm.BG.Tr.Avia.Passenger.Domestic</t>
  </si>
  <si>
    <t>Activity_per_flight.pkm.BG.Tr.Avia.Passenger.IntraEEAwUK</t>
  </si>
  <si>
    <t>Activity_per_flight.pkm.BG.Tr.Avia.Passenger.ExtraEEAwUK</t>
  </si>
  <si>
    <t>Activity_per_flight.tkm.BG.Tr.Avia.Freight</t>
  </si>
  <si>
    <t>Activity_per_flight.tkm.BG.Tr.Avia.Freight.Domestic</t>
  </si>
  <si>
    <t>Activity_per_flight.tkm.BG.Tr.Avia.Freight.IntraEEAwUK</t>
  </si>
  <si>
    <t>Activity_per_flight.tkm.BG.Tr.Avia.Freight.ExtraEEAwUK</t>
  </si>
  <si>
    <t>Flights_per_vehicle.number.BG.Tr.Avia</t>
  </si>
  <si>
    <t>Flights_per_vehicle.number.BG.Tr.Avia.Passenger</t>
  </si>
  <si>
    <t>Flights_per_vehicle.number.BG.Tr.Avia.Passenger.Domestic</t>
  </si>
  <si>
    <t>Flights_per_vehicle.number.BG.Tr.Avia.Passenger.IntraEEAwUK</t>
  </si>
  <si>
    <t>Flights_per_vehicle.number.BG.Tr.Avia.Passenger.ExtraEEAwUK</t>
  </si>
  <si>
    <t>Flights_per_vehicle.number.BG.Tr.Avia.Freight</t>
  </si>
  <si>
    <t>Flights_per_vehicle.number.BG.Tr.Avia.Freight.Domestic</t>
  </si>
  <si>
    <t>Flights_per_vehicle.number.BG.Tr.Avia.Freight.IntraEEAwUK</t>
  </si>
  <si>
    <t>Flights_per_vehicle.number.BG.Tr.Avia.Freight.ExtraEEAwUK</t>
  </si>
  <si>
    <t>Aviation / energy consumption - BG - Bulgaria</t>
  </si>
  <si>
    <t>FEC.ktoe.BG.Tr.Avia</t>
  </si>
  <si>
    <t>FEC.ktoe.BG.Tr.Avia.Domestic</t>
  </si>
  <si>
    <t>FEC.ktoe.BG.Tr.Avia.International</t>
  </si>
  <si>
    <t>FEC.ktoe.BG.Tr.Avia.Passenger</t>
  </si>
  <si>
    <t>FEC.ktoe.BG.Tr.Avia.Passenger.Domestic</t>
  </si>
  <si>
    <t>FEC.ktoe.BG.Tr.Avia.Passenger.IntraEEAwUK</t>
  </si>
  <si>
    <t>FEC.ktoe.BG.Tr.Avia.Passenger.ExtraEEAwUK</t>
  </si>
  <si>
    <t>FEC.ktoe.BG.Tr.Avia.Freight</t>
  </si>
  <si>
    <t>FEC.ktoe.BG.Tr.Avia.Freight.Domestic</t>
  </si>
  <si>
    <t>FEC.ktoe.BG.Tr.Avia.Freight.IntraEEAwUK</t>
  </si>
  <si>
    <t>FEC.ktoe.BG.Tr.Avia.Freight.ExtraEEAwUK</t>
  </si>
  <si>
    <t>Eff.kgoe_per_100km.BG.Tr.Avia</t>
  </si>
  <si>
    <t>Eff.kgoe_per_100km.BG.Tr.Avia.Passenger</t>
  </si>
  <si>
    <t>Eff.kgoe_per_100km.BG.Tr.Avia.Passenger.Domestic</t>
  </si>
  <si>
    <t>Eff.kgoe_per_100km.BG.Tr.Avia.Passenger.IntraEEAwUK</t>
  </si>
  <si>
    <t>Eff.kgoe_per_100km.BG.Tr.Avia.Passenger.ExtraEEAwUK</t>
  </si>
  <si>
    <t>Eff.kgoe_per_100km.BG.Tr.Avia.Freight</t>
  </si>
  <si>
    <t>Eff.kgoe_per_100km.BG.Tr.Avia.Freight.Domestic</t>
  </si>
  <si>
    <t>Eff.kgoe_per_100km.BG.Tr.Avia.Freight.IntraEEAwUK</t>
  </si>
  <si>
    <t>Eff.kgoe_per_100km.BG.Tr.Avia.Freight.ExtraEEAwUK</t>
  </si>
  <si>
    <t>Eff.kgoe_per_kpkm.BG.Tr.Avia.Passenger</t>
  </si>
  <si>
    <t>Eff.kgoe_per_kpkm.BG.Tr.Avia.Passenger.Domestic</t>
  </si>
  <si>
    <t>Eff.kgoe_per_kpkm.BG.Tr.Avia.Passenger.IntraEEAwUK</t>
  </si>
  <si>
    <t>Eff.kgoe_per_kpkm.BG.Tr.Avia.Passenger.ExtraEEAwUK</t>
  </si>
  <si>
    <t>Eff.kgoe_per_ktkm.BG.Tr.Avia.Freight</t>
  </si>
  <si>
    <t>Eff.kgoe_per_ktkm.BG.Tr.Avia.Freight.Domestic</t>
  </si>
  <si>
    <t>Eff.kgoe_per_ktkm.BG.Tr.Avia.Freight.IntraEEAwUK</t>
  </si>
  <si>
    <t>Eff.kgoe_per_ktkm.BG.Tr.Avia.Freight.ExtraEEAwUK</t>
  </si>
  <si>
    <t>FEC_per_flight.kgoe.BG.Tr.Avia</t>
  </si>
  <si>
    <t>FEC_per_flight.kgoe.BG.Tr.Avia.Passenger</t>
  </si>
  <si>
    <t>FEC_per_flight.kgoe.BG.Tr.Avia.Passenger.Domestic</t>
  </si>
  <si>
    <t>FEC_per_flight.kgoe.BG.Tr.Avia.Passenger.IntraEEAwUK</t>
  </si>
  <si>
    <t>FEC_per_flight.kgoe.BG.Tr.Avia.Passenger.ExtraEEAwUK</t>
  </si>
  <si>
    <t>FEC_per_flight.kgoe.BG.Tr.Avia.Freight</t>
  </si>
  <si>
    <t>FEC_per_flight.kgoe.BG.Tr.Avia.Freight.Domestic</t>
  </si>
  <si>
    <t>FEC_per_flight.kgoe.BG.Tr.Avia.Freight.IntraEEAwUK</t>
  </si>
  <si>
    <t>FEC_per_flight.kgoe.BG.Tr.Avia.Freight.ExtraEEAwUK</t>
  </si>
  <si>
    <t>Eff_theor.kgoe_per_100km.BG.Tr.Avia</t>
  </si>
  <si>
    <t>Eff_theor.kgoe_per_100km.BG.Tr.Avia.Passenger</t>
  </si>
  <si>
    <t>Eff_theor.kgoe_per_100km.BG.Tr.Avia.Passenger.Domestic</t>
  </si>
  <si>
    <t>Eff_theor.kgoe_per_100km.BG.Tr.Avia.Passenger.IntraEEAwUK</t>
  </si>
  <si>
    <t>Eff_theor.kgoe_per_100km.BG.Tr.Avia.Passenger.ExtraEEAwUK</t>
  </si>
  <si>
    <t>Eff_theor.kgoe_per_100km.BG.Tr.Avia.Freight</t>
  </si>
  <si>
    <t>Eff_theor.kgoe_per_100km.BG.Tr.Avia.Freight.Domestic</t>
  </si>
  <si>
    <t>Eff_theor.kgoe_per_100km.BG.Tr.Avia.Freight.IntraEEAwUK</t>
  </si>
  <si>
    <t>Eff_theor.kgoe_per_100km.BG.Tr.Avia.Freight.ExtraEEAwUK</t>
  </si>
  <si>
    <t>Aviation / CO2 emissions - BG - Bulgaria</t>
  </si>
  <si>
    <t>EMI.ktCO2.BG.Tr.Avia</t>
  </si>
  <si>
    <t>EMI.ktCO2.BG.Tr.Avia.Domestic</t>
  </si>
  <si>
    <t>EMI.ktCO2.BG.Tr.Avia.International</t>
  </si>
  <si>
    <t>EMI.ktCO2.BG.Tr.Avia.Passenger</t>
  </si>
  <si>
    <t>EMI.ktCO2.BG.Tr.Avia.Passenger.Domestic</t>
  </si>
  <si>
    <t>EMI.ktCO2.BG.Tr.Avia.Passenger.IntraEEAwUK</t>
  </si>
  <si>
    <t>EMI.ktCO2.BG.Tr.Avia.Passenger.ExtraEEAwUK</t>
  </si>
  <si>
    <t>EMI.ktCO2.BG.Tr.Avia.Freight</t>
  </si>
  <si>
    <t>EMI.ktCO2.BG.Tr.Avia.Freight.Domestic</t>
  </si>
  <si>
    <t>EMI.ktCO2.BG.Tr.Avia.Freight.IntraEEAwUK</t>
  </si>
  <si>
    <t>EMI.ktCO2.BG.Tr.Avia.Freight.ExtraEEAwUK</t>
  </si>
  <si>
    <t>EMIint.gCO2_per_km.BG.Tr.Avia</t>
  </si>
  <si>
    <t>EMIint.gCO2_per_km.BG.Tr.Avia.Passenger</t>
  </si>
  <si>
    <t>EMIint.gCO2_per_km.BG.Tr.Avia.Passenger.Domestic</t>
  </si>
  <si>
    <t>EMIint.gCO2_per_km.BG.Tr.Avia.Passenger.IntraEEAwUK</t>
  </si>
  <si>
    <t>EMIint.gCO2_per_km.BG.Tr.Avia.Passenger.ExtraEEAwUK</t>
  </si>
  <si>
    <t>EMIint.gCO2_per_km.BG.Tr.Avia.Freight</t>
  </si>
  <si>
    <t>EMIint.gCO2_per_km.BG.Tr.Avia.Freight.Domestic</t>
  </si>
  <si>
    <t>EMIint.gCO2_per_km.BG.Tr.Avia.Freight.IntraEEAwUK</t>
  </si>
  <si>
    <t>EMIint.gCO2_per_km.BG.Tr.Avia.Freight.ExtraEEAwUK</t>
  </si>
  <si>
    <t>EMIint.gCO2_per_pkm.BG.Tr.Avia.Passenger</t>
  </si>
  <si>
    <t>EMIint.gCO2_per_pkm.BG.Tr.Avia.Passenger.Domestic</t>
  </si>
  <si>
    <t>EMIint.gCO2_per_pkm.BG.Tr.Avia.Passenger.IntraEEAwUK</t>
  </si>
  <si>
    <t>EMIint.gCO2_per_pkm.BG.Tr.Avia.Passenger.ExtraEEAwUK</t>
  </si>
  <si>
    <t>EMIint.gCO2_per_tkm.BG.Tr.Avia.Freight</t>
  </si>
  <si>
    <t>EMIint.gCO2_per_tkm.BG.Tr.Avia.Freight.Domestic</t>
  </si>
  <si>
    <t>EMIint.gCO2_per_tkm.BG.Tr.Avia.Freight.IntraEEAwUK</t>
  </si>
  <si>
    <t>EMIint.gCO2_per_tkm.BG.Tr.Avia.Freight.ExtraEEAwUK</t>
  </si>
  <si>
    <t>EMI_per_flight.kgCO2.BG.Tr.Avia</t>
  </si>
  <si>
    <t>EMI_per_flight.kgCO2.BG.Tr.Avia.Passenger</t>
  </si>
  <si>
    <t>EMI_per_flight.kgCO2.BG.Tr.Avia.Passenger.Domestic</t>
  </si>
  <si>
    <t>EMI_per_flight.kgCO2.BG.Tr.Avia.Passenger.IntraEEAwUK</t>
  </si>
  <si>
    <t>EMI_per_flight.kgCO2.BG.Tr.Avia.Passenger.ExtraEEAwUK</t>
  </si>
  <si>
    <t>EMI_per_flight.kgCO2.BG.Tr.Avia.Freight</t>
  </si>
  <si>
    <t>EMI_per_flight.kgCO2.BG.Tr.Avia.Freight.Domestic</t>
  </si>
  <si>
    <t>EMI_per_flight.kgCO2.BG.Tr.Avia.Freight.IntraEEAwUK</t>
  </si>
  <si>
    <t>EMI_per_flight.kgCO2.BG.Tr.Avia.Freight.ExtraEEAwUK</t>
  </si>
  <si>
    <t>Aviation / passenger transport specific data - BG - Bulgaria</t>
  </si>
  <si>
    <t>TrCap.seats.BG.Tr.Avia.Passenger</t>
  </si>
  <si>
    <t>TrCap.seats.BG.Tr.Avia.Passenger.Domestic</t>
  </si>
  <si>
    <t>TrCap.seats.BG.Tr.Avia.Passenger.IntraEEAwUK</t>
  </si>
  <si>
    <t>TrCap.seats.BG.Tr.Avia.Passenger.ExtraEEAwUK</t>
  </si>
  <si>
    <t>TrCap_per_flight.seats.BG.Tr.Avia.Passenger</t>
  </si>
  <si>
    <t>TrCap_per_flight.seats.BG.Tr.Avia.Passenger.Domestic</t>
  </si>
  <si>
    <t>TrCap_per_flight.seats.BG.Tr.Avia.Passenger.IntraEEAwUK</t>
  </si>
  <si>
    <t>TrCap_per_flight.seats.BG.Tr.Avia.Passenger.ExtraEEAwUK</t>
  </si>
  <si>
    <t>Transport overview - BG - Bulgaria</t>
  </si>
  <si>
    <t>Activity.Mpkm.BG.Tr</t>
  </si>
  <si>
    <t>Activity.Mpkm.BG.Tr.Road.Passenger</t>
  </si>
  <si>
    <t>Activity.Mpkm.BG.Tr.Road.Passenger.P2W</t>
  </si>
  <si>
    <t>Activity.Mpkm.BG.Tr.Road.Passenger.Car</t>
  </si>
  <si>
    <t>Activity.Mpkm.BG.Tr.Road.Passenger.Bus</t>
  </si>
  <si>
    <t>Activity.Mpkm.BG.Tr.Rail.Passenger</t>
  </si>
  <si>
    <t>Activity.Mpkm.BG.Tr.Rail.Passenger.MTU</t>
  </si>
  <si>
    <t>Activity.Mpkm.BG.Tr.Rail.Passenger.CPT</t>
  </si>
  <si>
    <t>Activity.Mpkm.BG.Tr.Rail.Passenger.HST</t>
  </si>
  <si>
    <t>Activity.Mtkm.BG.Tr</t>
  </si>
  <si>
    <t>Activity.Mtkm.BG.Tr.Road.Freight</t>
  </si>
  <si>
    <t>Activity.Mtkm.BG.Tr.Road.Freight.LCV</t>
  </si>
  <si>
    <t>Activity.Mtkm.BG.Tr.Road.Freight.HGV</t>
  </si>
  <si>
    <t>Activity.Mtkm.BG.Tr.Rail.Freight</t>
  </si>
  <si>
    <t>Activity.Mtkm.BG.Tr.DNavi.Freight</t>
  </si>
  <si>
    <t>Activity.Mtkm.BG.Tr.DNavi.Freight.DCS</t>
  </si>
  <si>
    <t>Activity.Mtkm.BG.Tr.DNavi.Freight.IWW</t>
  </si>
  <si>
    <t>Activity.Mtkm.BG.MBunk.Freight</t>
  </si>
  <si>
    <t>Activity.Mtkm.BG.MBunk.Freight.IntraEEA</t>
  </si>
  <si>
    <t>Activity.Mtkm.BG.MBunk.Freight.ExtraEEA</t>
  </si>
  <si>
    <t>FEC.ktoe.BG.Tr.Road.Passenger</t>
  </si>
  <si>
    <t>FEC.ktoe.BG.Tr.Road.Passenger.P2W</t>
  </si>
  <si>
    <t>FEC.ktoe.BG.Tr.Road.Passenger.Car</t>
  </si>
  <si>
    <t>FEC.ktoe.BG.Tr.Road.Passenger.Bus</t>
  </si>
  <si>
    <t>FEC.ktoe.BG.Tr.Rail.Passenger</t>
  </si>
  <si>
    <t>FEC.ktoe.BG.Tr.Rail.Passenger.MTU</t>
  </si>
  <si>
    <t>FEC.ktoe.BG.Tr.Rail.Passenger.CPT</t>
  </si>
  <si>
    <t>FEC.ktoe.BG.Tr.Rail.Passenger.HST</t>
  </si>
  <si>
    <t>FEC.ktoe.BG.Tr.Road.Freight</t>
  </si>
  <si>
    <t>FEC.ktoe.BG.Tr.Road.Freight.LCV</t>
  </si>
  <si>
    <t>FEC.ktoe.BG.Tr.Road.Freight.HGV</t>
  </si>
  <si>
    <t>FEC.ktoe.BG.Tr.Rail.Freight</t>
  </si>
  <si>
    <t>EMI.ktCO2.BG.Tr.Road.Passenger</t>
  </si>
  <si>
    <t>EMI.ktCO2.BG.Tr.Road.Passenger.P2W</t>
  </si>
  <si>
    <t>EMI.ktCO2.BG.Tr.Road.Passenger.Car</t>
  </si>
  <si>
    <t>EMI.ktCO2.BG.Tr.Road.Passenger.Bus</t>
  </si>
  <si>
    <t>EMI.ktCO2.BG.Tr.Rail.Passenger</t>
  </si>
  <si>
    <t>EMI.ktCO2.BG.Tr.Rail.Passenger.MTU</t>
  </si>
  <si>
    <t>EMI.ktCO2.BG.Tr.Rail.Passenger.CPT</t>
  </si>
  <si>
    <t>EMI.ktCO2.BG.Tr.Rail.Passenger.HST</t>
  </si>
  <si>
    <t>EMI.ktCO2.BG.Tr.Road.Freight</t>
  </si>
  <si>
    <t>EMI.ktCO2.BG.Tr.Road.Freight.LCV</t>
  </si>
  <si>
    <t>EMI.ktCO2.BG.Tr.Road.Freight.HGV</t>
  </si>
  <si>
    <t>EMI.ktCO2.BG.Tr.Rail.Freight</t>
  </si>
  <si>
    <t>Eff.kgoe_per_kpkm.BG.Tr</t>
  </si>
  <si>
    <t>Eff.kgoe_per_kpkm.BG.Tr.Road.Passenger</t>
  </si>
  <si>
    <t>Eff.kgoe_per_kpkm.BG.Tr.Road.Passenger.P2W</t>
  </si>
  <si>
    <t>Eff.kgoe_per_kpkm.BG.Tr.Road.Passenger.Car</t>
  </si>
  <si>
    <t>Eff.kgoe_per_kpkm.BG.Tr.Road.Passenger.Bus</t>
  </si>
  <si>
    <t>Eff.kgoe_per_kpkm.BG.Tr.Rail.Passenger</t>
  </si>
  <si>
    <t>Eff.kgoe_per_kpkm.BG.Tr.Rail.Passenger.MTU</t>
  </si>
  <si>
    <t>Eff.kgoe_per_kpkm.BG.Tr.Rail.Passenger.CPT</t>
  </si>
  <si>
    <t>Eff.kgoe_per_kpkm.BG.Tr.Rail.Passenger.HST</t>
  </si>
  <si>
    <t>Eff.kgoe_per_ktkm.BG.Tr</t>
  </si>
  <si>
    <t>Eff.kgoe_per_ktkm.BG.Tr.Road.Freight</t>
  </si>
  <si>
    <t>Eff.kgoe_per_ktkm.BG.Tr.Road.Freight.LCV</t>
  </si>
  <si>
    <t>Eff.kgoe_per_ktkm.BG.Tr.Road.Freight.HGV</t>
  </si>
  <si>
    <t>Eff.kgoe_per_ktkm.BG.Tr.Rail.Freight</t>
  </si>
  <si>
    <t>Eff.kgoe_per_ktkm.BG.Tr.DNavi.Freight</t>
  </si>
  <si>
    <t>Eff.kgoe_per_ktkm.BG.Tr.DNavi.Freight.DCS</t>
  </si>
  <si>
    <t>Eff.kgoe_per_ktkm.BG.Tr.DNavi.Freight.IWW</t>
  </si>
  <si>
    <t>Eff.kgoe_per_ktkm.BG.MBunk.Freight</t>
  </si>
  <si>
    <t>Eff.kgoe_per_ktkm.BG.MBunk.Freight.IntraEEA</t>
  </si>
  <si>
    <t>Eff.kgoe_per_ktkm.BG.MBunk.Freight.ExtraEEA</t>
  </si>
  <si>
    <t>EMIint.gCO2_per_pkm.BG.Tr</t>
  </si>
  <si>
    <t>EMIint.gCO2_per_pkm.BG.Tr.Road.Passenger</t>
  </si>
  <si>
    <t>EMIint.gCO2_per_pkm.BG.Tr.Road.Passenger.P2W</t>
  </si>
  <si>
    <t>EMIint.gCO2_per_pkm.BG.Tr.Road.Passenger.Car</t>
  </si>
  <si>
    <t>EMIint.gCO2_per_pkm.BG.Tr.Road.Passenger.Bus</t>
  </si>
  <si>
    <t>EMIint.gCO2_per_pkm.BG.Tr.Rail.Passenger</t>
  </si>
  <si>
    <t>EMIint.gCO2_per_pkm.BG.Tr.Rail.Passenger.MTU</t>
  </si>
  <si>
    <t>EMIint.gCO2_per_pkm.BG.Tr.Rail.Passenger.CPT</t>
  </si>
  <si>
    <t>EMIint.gCO2_per_pkm.BG.Tr.Rail.Passenger.HST</t>
  </si>
  <si>
    <t>EMIint.gCO2_per_tkm.BG.Tr</t>
  </si>
  <si>
    <t>EMIint.gCO2_per_tkm.BG.Tr.Road.Freight</t>
  </si>
  <si>
    <t>EMIint.gCO2_per_tkm.BG.Tr.Road.Freight.LCV</t>
  </si>
  <si>
    <t>EMIint.gCO2_per_tkm.BG.Tr.Road.Freight.HGV</t>
  </si>
  <si>
    <t>EMIint.gCO2_per_tkm.BG.Tr.Rail.Freight</t>
  </si>
  <si>
    <t>EMIint.gCO2_per_tkm.BG.Tr.DNavi.Freight</t>
  </si>
  <si>
    <t>EMIint.gCO2_per_tkm.BG.Tr.DNavi.Freight.DCS</t>
  </si>
  <si>
    <t>EMIint.gCO2_per_tkm.BG.Tr.DNavi.Freight.IWW</t>
  </si>
  <si>
    <t>EMIint.gCO2_per_tkm.BG.MBunk.Freight</t>
  </si>
  <si>
    <t>EMIint.gCO2_per_tkm.BG.MBunk.Freight.IntraEEA</t>
  </si>
  <si>
    <t>EMIint.gCO2_per_tkm.BG.MBunk.Freight.ExtraEEA</t>
  </si>
  <si>
    <t>Road transport - BG - Bulgaria</t>
  </si>
  <si>
    <t>Activity.Mpkm.BG.Tr.Road.Passenger.Car.ICE.Gasoline</t>
  </si>
  <si>
    <t>Activity.Mpkm.BG.Tr.Road.Passenger.Car.ICE.Diesel</t>
  </si>
  <si>
    <t>Activity.Mpkm.BG.Tr.Road.Passenger.Car.ICE.LPG</t>
  </si>
  <si>
    <t>Activity.Mpkm.BG.Tr.Road.Passenger.Car.ICE.NGas</t>
  </si>
  <si>
    <t>Activity.Mpkm.BG.Tr.Road.Passenger.Car.PHEV</t>
  </si>
  <si>
    <t>Activity.Mpkm.BG.Tr.Road.Passenger.Car.BEV</t>
  </si>
  <si>
    <t>Activity.Mpkm.BG.Tr.Road.Passenger.Bus.ICE.Gasoline</t>
  </si>
  <si>
    <t>Activity.Mpkm.BG.Tr.Road.Passenger.Bus.ICE.Diesel</t>
  </si>
  <si>
    <t>Activity.Mpkm.BG.Tr.Road.Passenger.Bus.ICE.LPG</t>
  </si>
  <si>
    <t>Activity.Mpkm.BG.Tr.Road.Passenger.Bus.ICE.NGas</t>
  </si>
  <si>
    <t>Activity.Mpkm.BG.Tr.Road.Passenger.Bus.ICE.BEV</t>
  </si>
  <si>
    <t>Activity.Mtkm.BG.Tr.Road.Freight.LCV.ICE.Gasoline</t>
  </si>
  <si>
    <t>Activity.Mtkm.BG.Tr.Road.Freight.LCV.ICE.Diesel</t>
  </si>
  <si>
    <t>Activity.Mtkm.BG.Tr.Road.Freight.LCV.ICE.LPG</t>
  </si>
  <si>
    <t>Activity.Mtkm.BG.Tr.Road.Freight.LCV.ICE.NGas</t>
  </si>
  <si>
    <t>Activity.Mtkm.BG.Tr.Road.Freight.LCV.ICE.BEV</t>
  </si>
  <si>
    <t>Activity.Mtkm.BG.Tr.Road.Freight.HGV.Domestic</t>
  </si>
  <si>
    <t>Activity.Mtkm.BG.Tr.Road.Freight.HGV.International</t>
  </si>
  <si>
    <t>VehicleKm.Mkm.BG.Tr.Road</t>
  </si>
  <si>
    <t>VehicleKm.Mkm.BG.Tr.Road.Passenger</t>
  </si>
  <si>
    <t>VehicleKm.Mkm.BG.Tr.Road.Passenger.P2W</t>
  </si>
  <si>
    <t>VehicleKm.Mkm.BG.Tr.Road.Passenger.Car</t>
  </si>
  <si>
    <t>VehicleKm.Mkm.BG.Tr.Road.Passenger.Car.ICE.Gasoline</t>
  </si>
  <si>
    <t>VehicleKm.Mkm.BG.Tr.Road.Passenger.Car.ICE.Diesel</t>
  </si>
  <si>
    <t>VehicleKm.Mkm.BG.Tr.Road.Passenger.Car.ICE.LPG</t>
  </si>
  <si>
    <t>VehicleKm.Mkm.BG.Tr.Road.Passenger.Car.ICE.NGas</t>
  </si>
  <si>
    <t>VehicleKm.Mkm.BG.Tr.Road.Passenger.Car.PHEV</t>
  </si>
  <si>
    <t>VehicleKm.Mkm.BG.Tr.Road.Passenger.Car.BEV</t>
  </si>
  <si>
    <t>VehicleKm.Mkm.BG.Tr.Road.Passenger.Bus</t>
  </si>
  <si>
    <t>VehicleKm.Mkm.BG.Tr.Road.Passenger.Bus.ICE.Gasoline</t>
  </si>
  <si>
    <t>VehicleKm.Mkm.BG.Tr.Road.Passenger.Bus.ICE.Diesel</t>
  </si>
  <si>
    <t>VehicleKm.Mkm.BG.Tr.Road.Passenger.Bus.ICE.LPG</t>
  </si>
  <si>
    <t>VehicleKm.Mkm.BG.Tr.Road.Passenger.Bus.ICE.NGas</t>
  </si>
  <si>
    <t>VehicleKm.Mkm.BG.Tr.Road.Passenger.Bus.ICE.BEV</t>
  </si>
  <si>
    <t>VehicleKm.Mkm.BG.Tr.Road.Freight</t>
  </si>
  <si>
    <t>VehicleKm.Mkm.BG.Tr.Road.Freight.LCV</t>
  </si>
  <si>
    <t>VehicleKm.Mkm.BG.Tr.Road.Freight.LCV.ICE.Gasoline</t>
  </si>
  <si>
    <t>VehicleKm.Mkm.BG.Tr.Road.Freight.LCV.ICE.Diesel</t>
  </si>
  <si>
    <t>VehicleKm.Mkm.BG.Tr.Road.Freight.LCV.ICE.LPG</t>
  </si>
  <si>
    <t>VehicleKm.Mkm.BG.Tr.Road.Freight.LCV.ICE.NGas</t>
  </si>
  <si>
    <t>VehicleKm.Mkm.BG.Tr.Road.Freight.LCV.ICE.BEV</t>
  </si>
  <si>
    <t>VehicleKm.Mkm.BG.Tr.Road.Freight.HGV</t>
  </si>
  <si>
    <t>VehicleKm.Mkm.BG.Tr.Road.Freight.HGV.Domestic</t>
  </si>
  <si>
    <t>VehicleKm.Mkm.BG.Tr.Road.Freight.HGV.International</t>
  </si>
  <si>
    <t>Stock.number.BG.Tr.Road</t>
  </si>
  <si>
    <t>Stock.number.BG.Tr.Road.Passenger</t>
  </si>
  <si>
    <t>Stock.number.BG.Tr.Road.Passenger.P2W</t>
  </si>
  <si>
    <t>Stock.number.BG.Tr.Road.Passenger.Car</t>
  </si>
  <si>
    <t>Stock.number.BG.Tr.Road.Passenger.Car.ICE.Gasoline</t>
  </si>
  <si>
    <t>Stock.number.BG.Tr.Road.Passenger.Car.ICE.Diesel</t>
  </si>
  <si>
    <t>Stock.number.BG.Tr.Road.Passenger.Car.ICE.LPG</t>
  </si>
  <si>
    <t>Stock.number.BG.Tr.Road.Passenger.Car.ICE.NGas</t>
  </si>
  <si>
    <t>Stock.number.BG.Tr.Road.Passenger.Car.PHEV</t>
  </si>
  <si>
    <t>Stock.number.BG.Tr.Road.Passenger.Car.BEV</t>
  </si>
  <si>
    <t>Stock.number.BG.Tr.Road.Passenger.Bus</t>
  </si>
  <si>
    <t>Stock.number.BG.Tr.Road.Passenger.Bus.ICE.Gasoline</t>
  </si>
  <si>
    <t>Stock.number.BG.Tr.Road.Passenger.Bus.ICE.Diesel</t>
  </si>
  <si>
    <t>Stock.number.BG.Tr.Road.Passenger.Bus.ICE.LPG</t>
  </si>
  <si>
    <t>Stock.number.BG.Tr.Road.Passenger.Bus.ICE.NGas</t>
  </si>
  <si>
    <t>Stock.number.BG.Tr.Road.Passenger.Bus.ICE.BEV</t>
  </si>
  <si>
    <t>Stock.number.BG.Tr.Road.Freight</t>
  </si>
  <si>
    <t>Stock.number.BG.Tr.Road.Freight.LCV</t>
  </si>
  <si>
    <t>Stock.number.BG.Tr.Road.Freight.LCV.ICE.Gasoline</t>
  </si>
  <si>
    <t>Stock.number.BG.Tr.Road.Freight.LCV.ICE.Diesel</t>
  </si>
  <si>
    <t>Stock.number.BG.Tr.Road.Freight.LCV.ICE.LPG</t>
  </si>
  <si>
    <t>Stock.number.BG.Tr.Road.Freight.LCV.ICE.NGas</t>
  </si>
  <si>
    <t>Stock.number.BG.Tr.Road.Freight.LCV.ICE.BEV</t>
  </si>
  <si>
    <t>Stock.number.BG.Tr.Road.Freight.HGV</t>
  </si>
  <si>
    <t>Stock.number.BG.Tr.Road.Freight.HGV.Domestic</t>
  </si>
  <si>
    <t>Stock.number.BG.Tr.Road.Freight.HGV.International</t>
  </si>
  <si>
    <t>StockNew.number.BG.Tr.Road</t>
  </si>
  <si>
    <t>StockNew.number.BG.Tr.Road.Passenger</t>
  </si>
  <si>
    <t>StockNew.number.BG.Tr.Road.Passenger.P2W</t>
  </si>
  <si>
    <t>StockNew.number.BG.Tr.Road.Passenger.Car</t>
  </si>
  <si>
    <t>StockNew.number.BG.Tr.Road.Passenger.Car.ICE.Gasoline</t>
  </si>
  <si>
    <t>StockNew.number.BG.Tr.Road.Passenger.Car.ICE.Diesel</t>
  </si>
  <si>
    <t>StockNew.number.BG.Tr.Road.Passenger.Car.ICE.LPG</t>
  </si>
  <si>
    <t>StockNew.number.BG.Tr.Road.Passenger.Car.ICE.NGas</t>
  </si>
  <si>
    <t>StockNew.number.BG.Tr.Road.Passenger.Car.PHEV</t>
  </si>
  <si>
    <t>StockNew.number.BG.Tr.Road.Passenger.Car.BEV</t>
  </si>
  <si>
    <t>StockNew.number.BG.Tr.Road.Passenger.Bus</t>
  </si>
  <si>
    <t>StockNew.number.BG.Tr.Road.Passenger.Bus.ICE.Gasoline</t>
  </si>
  <si>
    <t>StockNew.number.BG.Tr.Road.Passenger.Bus.ICE.Diesel</t>
  </si>
  <si>
    <t>StockNew.number.BG.Tr.Road.Passenger.Bus.ICE.LPG</t>
  </si>
  <si>
    <t>StockNew.number.BG.Tr.Road.Passenger.Bus.ICE.NGas</t>
  </si>
  <si>
    <t>StockNew.number.BG.Tr.Road.Passenger.Bus.ICE.BEV</t>
  </si>
  <si>
    <t>StockNew.number.BG.Tr.Road.Freight</t>
  </si>
  <si>
    <t>StockNew.number.BG.Tr.Road.Freight.LCV</t>
  </si>
  <si>
    <t>StockNew.number.BG.Tr.Road.Freight.LCV.ICE.Gasoline</t>
  </si>
  <si>
    <t>StockNew.number.BG.Tr.Road.Freight.LCV.ICE.Diesel</t>
  </si>
  <si>
    <t>StockNew.number.BG.Tr.Road.Freight.LCV.ICE.LPG</t>
  </si>
  <si>
    <t>StockNew.number.BG.Tr.Road.Freight.LCV.ICE.NGas</t>
  </si>
  <si>
    <t>StockNew.number.BG.Tr.Road.Freight.LCV.ICE.BEV</t>
  </si>
  <si>
    <t>StockNew.number.BG.Tr.Road.Freight.HGV</t>
  </si>
  <si>
    <t>StockNew.number.BG.Tr.Road.Freight.HGV.Domestic</t>
  </si>
  <si>
    <t>StockNew.number.BG.Tr.Road.Freight.HGV.International</t>
  </si>
  <si>
    <t>Load.passenger_per_movement.BG.Tr.Road.Passenger</t>
  </si>
  <si>
    <t>Load.passenger_per_movement.BG.Tr.Road.Passenger.P2W</t>
  </si>
  <si>
    <t>Load.passenger_per_movement.BG.Tr.Road.Passenger.Car</t>
  </si>
  <si>
    <t>Load.passenger_per_movement.BG.Tr.Road.Passenger.Car.ICE.Gasoline</t>
  </si>
  <si>
    <t>Load.passenger_per_movement.BG.Tr.Road.Passenger.Car.ICE.Diesel</t>
  </si>
  <si>
    <t>Load.passenger_per_movement.BG.Tr.Road.Passenger.Car.ICE.LPG</t>
  </si>
  <si>
    <t>Load.passenger_per_movement.BG.Tr.Road.Passenger.Car.ICE.NGas</t>
  </si>
  <si>
    <t>Load.passenger_per_movement.BG.Tr.Road.Passenger.Car.PHEV</t>
  </si>
  <si>
    <t>Load.passenger_per_movement.BG.Tr.Road.Passenger.Car.BEV</t>
  </si>
  <si>
    <t>Load.passenger_per_movement.BG.Tr.Road.Passenger.Bus</t>
  </si>
  <si>
    <t>Load.passenger_per_movement.BG.Tr.Road.Passenger.Bus.ICE.Gasoline</t>
  </si>
  <si>
    <t>Load.passenger_per_movement.BG.Tr.Road.Passenger.Bus.ICE.Diesel</t>
  </si>
  <si>
    <t>Load.passenger_per_movement.BG.Tr.Road.Passenger.Bus.ICE.LPG</t>
  </si>
  <si>
    <t>Load.passenger_per_movement.BG.Tr.Road.Passenger.Bus.ICE.NGas</t>
  </si>
  <si>
    <t>Load.passenger_per_movement.BG.Tr.Road.Passenger.Bus.ICE.BEV</t>
  </si>
  <si>
    <t>Load.t_per_movement.BG.Tr.Road.Freight</t>
  </si>
  <si>
    <t>Load.t_per_movement.BG.Tr.Road.Freight.LCV</t>
  </si>
  <si>
    <t>Load.t_per_movement.BG.Tr.Road.Freight.LCV.ICE.Gasoline</t>
  </si>
  <si>
    <t>Load.t_per_movement.BG.Tr.Road.Freight.LCV.ICE.Diesel</t>
  </si>
  <si>
    <t>Load.t_per_movement.BG.Tr.Road.Freight.LCV.ICE.LPG</t>
  </si>
  <si>
    <t>Load.t_per_movement.BG.Tr.Road.Freight.LCV.ICE.NGas</t>
  </si>
  <si>
    <t>Load.t_per_movement.BG.Tr.Road.Freight.LCV.ICE.BEV</t>
  </si>
  <si>
    <t>Load.t_per_movement.BG.Tr.Road.Freight.HGV</t>
  </si>
  <si>
    <t>Load.t_per_movement.BG.Tr.Road.Freight.HGV.Domestic</t>
  </si>
  <si>
    <t>Load.t_per_movement.BG.Tr.Road.Freight.HGV.International</t>
  </si>
  <si>
    <t>VehicleKm_per_vehicle.km.BG.Tr.Road</t>
  </si>
  <si>
    <t>VehicleKm_per_vehicle.km.BG.Tr.Road.Passenger</t>
  </si>
  <si>
    <t>VehicleKm_per_vehicle.km.BG.Tr.Road.Passenger.P2W</t>
  </si>
  <si>
    <t>VehicleKm_per_vehicle.km.BG.Tr.Road.Passenger.Car</t>
  </si>
  <si>
    <t>VehicleKm_per_vehicle.km.BG.Tr.Road.Passenger.Car.ICE.Gasoline</t>
  </si>
  <si>
    <t>VehicleKm_per_vehicle.km.BG.Tr.Road.Passenger.Car.ICE.Diesel</t>
  </si>
  <si>
    <t>VehicleKm_per_vehicle.km.BG.Tr.Road.Passenger.Car.ICE.LPG</t>
  </si>
  <si>
    <t>VehicleKm_per_vehicle.km.BG.Tr.Road.Passenger.Car.ICE.NGas</t>
  </si>
  <si>
    <t>VehicleKm_per_vehicle.km.BG.Tr.Road.Passenger.Car.PHEV</t>
  </si>
  <si>
    <t>VehicleKm_per_vehicle.km.BG.Tr.Road.Passenger.Car.BEV</t>
  </si>
  <si>
    <t>VehicleKm_per_vehicle.km.BG.Tr.Road.Passenger.Bus</t>
  </si>
  <si>
    <t>VehicleKm_per_vehicle.km.BG.Tr.Road.Passenger.Bus.ICE.Gasoline</t>
  </si>
  <si>
    <t>VehicleKm_per_vehicle.km.BG.Tr.Road.Passenger.Bus.ICE.Diesel</t>
  </si>
  <si>
    <t>VehicleKm_per_vehicle.km.BG.Tr.Road.Passenger.Bus.ICE.LPG</t>
  </si>
  <si>
    <t>VehicleKm_per_vehicle.km.BG.Tr.Road.Passenger.Bus.ICE.NGas</t>
  </si>
  <si>
    <t>VehicleKm_per_vehicle.km.BG.Tr.Road.Passenger.Bus.ICE.BEV</t>
  </si>
  <si>
    <t>VehicleKm_per_vehicle.km.BG.Tr.Road.Freight</t>
  </si>
  <si>
    <t>VehicleKm_per_vehicle.km.BG.Tr.Road.Freight.LCV</t>
  </si>
  <si>
    <t>VehicleKm_per_vehicle.km.BG.Tr.Road.Freight.LCV.ICE.Gasoline</t>
  </si>
  <si>
    <t>VehicleKm_per_vehicle.km.BG.Tr.Road.Freight.LCV.ICE.Diesel</t>
  </si>
  <si>
    <t>VehicleKm_per_vehicle.km.BG.Tr.Road.Freight.LCV.ICE.LPG</t>
  </si>
  <si>
    <t>VehicleKm_per_vehicle.km.BG.Tr.Road.Freight.LCV.ICE.NGas</t>
  </si>
  <si>
    <t>VehicleKm_per_vehicle.km.BG.Tr.Road.Freight.LCV.ICE.BEV</t>
  </si>
  <si>
    <t>VehicleKm_per_vehicle.km.BG.Tr.Road.Freight.HGV</t>
  </si>
  <si>
    <t>VehicleKm_per_vehicle.km.BG.Tr.Road.Freight.HGV.Domestic</t>
  </si>
  <si>
    <t>VehicleKm_per_vehicle.km.BG.Tr.Road.Freight.HGV.International</t>
  </si>
  <si>
    <t>Activity_per_vehicle.pkm.BG.Tr.Road.Passenger</t>
  </si>
  <si>
    <t>Activity_per_vehicle.pkm.BG.Tr.Road.Passenger.P2W</t>
  </si>
  <si>
    <t>Activity_per_vehicle.pkm.BG.Tr.Road.Passenger.Car</t>
  </si>
  <si>
    <t>Activity_per_vehicle.pkm.BG.Tr.Road.Passenger.Car.ICE.Gasoline</t>
  </si>
  <si>
    <t>Activity_per_vehicle.pkm.BG.Tr.Road.Passenger.Car.ICE.Diesel</t>
  </si>
  <si>
    <t>Activity_per_vehicle.pkm.BG.Tr.Road.Passenger.Car.ICE.LPG</t>
  </si>
  <si>
    <t>Activity_per_vehicle.pkm.BG.Tr.Road.Passenger.Car.ICE.NGas</t>
  </si>
  <si>
    <t>Activity_per_vehicle.pkm.BG.Tr.Road.Passenger.Car.PHEV</t>
  </si>
  <si>
    <t>Activity_per_vehicle.pkm.BG.Tr.Road.Passenger.Car.BEV</t>
  </si>
  <si>
    <t>Activity_per_vehicle.pkm.BG.Tr.Road.Passenger.Bus</t>
  </si>
  <si>
    <t>Activity_per_vehicle.pkm.BG.Tr.Road.Passenger.Bus.ICE.Gasoline</t>
  </si>
  <si>
    <t>Activity_per_vehicle.pkm.BG.Tr.Road.Passenger.Bus.ICE.Diesel</t>
  </si>
  <si>
    <t>Activity_per_vehicle.pkm.BG.Tr.Road.Passenger.Bus.ICE.LPG</t>
  </si>
  <si>
    <t>Activity_per_vehicle.pkm.BG.Tr.Road.Passenger.Bus.ICE.NGas</t>
  </si>
  <si>
    <t>Activity_per_vehicle.pkm.BG.Tr.Road.Passenger.Bus.ICE.BEV</t>
  </si>
  <si>
    <t>Activity_per_vehicle.tkm.BG.Tr.Road.Freight</t>
  </si>
  <si>
    <t>Activity_per_vehicle.tkm.BG.Tr.Road.Freight.LCV</t>
  </si>
  <si>
    <t>Activity_per_vehicle.tkm.BG.Tr.Road.Freight.LCV.ICE.Gasoline</t>
  </si>
  <si>
    <t>Activity_per_vehicle.tkm.BG.Tr.Road.Freight.LCV.ICE.Diesel</t>
  </si>
  <si>
    <t>Activity_per_vehicle.tkm.BG.Tr.Road.Freight.LCV.ICE.LPG</t>
  </si>
  <si>
    <t>Activity_per_vehicle.tkm.BG.Tr.Road.Freight.LCV.ICE.NGas</t>
  </si>
  <si>
    <t>Activity_per_vehicle.tkm.BG.Tr.Road.Freight.LCV.ICE.BEV</t>
  </si>
  <si>
    <t>Activity_per_vehicle.tkm.BG.Tr.Road.Freight.HGV</t>
  </si>
  <si>
    <t>Activity_per_vehicle.tkm.BG.Tr.Road.Freight.HGV.Domestic</t>
  </si>
  <si>
    <t>Activity_per_vehicle.tkm.BG.Tr.Road.Freight.HGV.International</t>
  </si>
  <si>
    <t>Road transport / energy consumption - BG - Bulgaria</t>
  </si>
  <si>
    <t>FEC.ktoe.BG.ES.Tr.Road</t>
  </si>
  <si>
    <t>FEC.ktoe.BG.ES.Tr.Road.LPG</t>
  </si>
  <si>
    <t>FEC.ktoe.BG.ES.Tr.Road.Gasoline</t>
  </si>
  <si>
    <t>FEC.ktoe.BG.ES.Tr.Road.Diesel</t>
  </si>
  <si>
    <t>FEC.ktoe.BG.ES.Tr.Road.NG</t>
  </si>
  <si>
    <t>FEC.ktoe.BG.ES.Tr.Road.Biogas</t>
  </si>
  <si>
    <t>FEC.ktoe.BG.ES.Tr.Road.Biogasoline</t>
  </si>
  <si>
    <t>FEC.ktoe.BG.ES.Tr.Road.Biodiesel</t>
  </si>
  <si>
    <t>FEC.ktoe.BG.ES.Tr.Road.OthLiqBio</t>
  </si>
  <si>
    <t>FEC.ktoe.BG.ES.Tr.Road.Elec</t>
  </si>
  <si>
    <t>FEC.ktoe.BG.Tr.Road</t>
  </si>
  <si>
    <t>FEC.ktoe.BG.Tr.Road.Passenger.P2W.Biogasoline</t>
  </si>
  <si>
    <t>FEC.ktoe.BG.Tr.Road.Passenger.Car.ICE.Gasoline</t>
  </si>
  <si>
    <t>FEC.ktoe.BG.Tr.Road.Passenger.Car.ICE.Gasoline.Biogasoline</t>
  </si>
  <si>
    <t>FEC.ktoe.BG.Tr.Road.Passenger.Car.ICE.Diesel</t>
  </si>
  <si>
    <t>FEC.ktoe.BG.Tr.Road.Passenger.Car.ICE.Diesel.BioDiesel_OthLiqBio</t>
  </si>
  <si>
    <t>FEC.ktoe.BG.Tr.Road.Passenger.Car.ICE.LPG</t>
  </si>
  <si>
    <t>FEC.ktoe.BG.Tr.Road.Passenger.Car.ICE.NGas</t>
  </si>
  <si>
    <t>FEC.ktoe.BG.Tr.Road.Passenger.Car.ICE.NGas.Biogas</t>
  </si>
  <si>
    <t>FEC.ktoe.BG.Tr.Road.Passenger.Car.PHEV</t>
  </si>
  <si>
    <t>FEC.ktoe.BG.Tr.Road.Passenger.Car.PHEV.Biogasoline</t>
  </si>
  <si>
    <t>FEC.ktoe.BG.Tr.Road.Passenger.Car.PHEV.Elec</t>
  </si>
  <si>
    <t>FEC.ktoe.BG.Tr.Road.Passenger.Car.BEV</t>
  </si>
  <si>
    <t>FEC.ktoe.BG.Tr.Road.Passenger.Bus.ICE.Gasoline</t>
  </si>
  <si>
    <t>FEC.ktoe.BG.Tr.Road.Passenger.Bus.ICE.Gasoline.Biogasoline</t>
  </si>
  <si>
    <t>FEC.ktoe.BG.Tr.Road.Passenger.Bus.ICE.Diesel</t>
  </si>
  <si>
    <t>FEC.ktoe.BG.Tr.Road.Passenger.Bus.ICE.Diesel.BioDiesel_OthLiqBio</t>
  </si>
  <si>
    <t>FEC.ktoe.BG.Tr.Road.Passenger.Bus.ICE.LPG</t>
  </si>
  <si>
    <t>FEC.ktoe.BG.Tr.Road.Passenger.Bus.ICE.NGas</t>
  </si>
  <si>
    <t>FEC.ktoe.BG.Tr.Road.Passenger.Bus.ICE.NGas.Biogas</t>
  </si>
  <si>
    <t>FEC.ktoe.BG.Tr.Road.Passenger.Bus.ICE.BEV</t>
  </si>
  <si>
    <t>FEC.ktoe.BG.Tr.Road.Freight.LCV.ICE.Gasoline</t>
  </si>
  <si>
    <t>FEC.ktoe.BG.Tr.Road.Freight.LCV.ICE.Gasoline.Biogasoline</t>
  </si>
  <si>
    <t>FEC.ktoe.BG.Tr.Road.Freight.LCV.ICE.Diesel</t>
  </si>
  <si>
    <t>FEC.ktoe.BG.Tr.Road.Freight.LCV.ICE.Diesel.BioDiesel_OthLiqBio</t>
  </si>
  <si>
    <t>FEC.ktoe.BG.Tr.Road.Freight.LCV.ICE.LPG</t>
  </si>
  <si>
    <t>FEC.ktoe.BG.Tr.Road.Freight.LCV.ICE.NGas</t>
  </si>
  <si>
    <t>FEC.ktoe.BG.Tr.Road.Freight.LCV.ICE.NGas.Biogas</t>
  </si>
  <si>
    <t>FEC.ktoe.BG.Tr.Road.Freight.LCV.ICE.BEV</t>
  </si>
  <si>
    <t>FEC.ktoe.BG.Tr.Road.Freight.HGV.Domestic</t>
  </si>
  <si>
    <t>FEC.ktoe.BG.Tr.Road.Freight.HGV.Domestic.BioDiesel_OthLiqBio</t>
  </si>
  <si>
    <t>FEC.ktoe.BG.Tr.Road.Freight.HGV.International</t>
  </si>
  <si>
    <t>FEC.ktoe.BG.Tr.Road.Freight.HGV.International.BioDiesel_OthLiqBio</t>
  </si>
  <si>
    <t>Eff.kgoe_per_100km.BG.Tr.Road</t>
  </si>
  <si>
    <t>Eff.kgoe_per_100km.BG.Tr.Road.Passenger</t>
  </si>
  <si>
    <t>Eff.kgoe_per_100km.BG.Tr.Road.Passenger.P2W</t>
  </si>
  <si>
    <t>Eff.kgoe_per_100km.BG.Tr.Road.Passenger.Car</t>
  </si>
  <si>
    <t>Eff.kgoe_per_100km.BG.Tr.Road.Passenger.Car.ICE.Gasoline</t>
  </si>
  <si>
    <t>Eff.kgoe_per_100km.BG.Tr.Road.Passenger.Car.ICE.Diesel</t>
  </si>
  <si>
    <t>Eff.kgoe_per_100km.BG.Tr.Road.Passenger.Car.ICE.LPG</t>
  </si>
  <si>
    <t>Eff.kgoe_per_100km.BG.Tr.Road.Passenger.Car.ICE.NGas</t>
  </si>
  <si>
    <t>Eff.kgoe_per_100km.BG.Tr.Road.Passenger.Car.PHEV</t>
  </si>
  <si>
    <t>Eff.kgoe_per_100km.BG.Tr.Road.Passenger.Car.BEV</t>
  </si>
  <si>
    <t>Eff.kgoe_per_100km.BG.Tr.Road.Passenger.Bus</t>
  </si>
  <si>
    <t>Eff.kgoe_per_100km.BG.Tr.Road.Passenger.Bus.ICE.Gasoline</t>
  </si>
  <si>
    <t>Eff.kgoe_per_100km.BG.Tr.Road.Passenger.Bus.ICE.Diesel</t>
  </si>
  <si>
    <t>Eff.kgoe_per_100km.BG.Tr.Road.Passenger.Bus.ICE.LPG</t>
  </si>
  <si>
    <t>Eff.kgoe_per_100km.BG.Tr.Road.Passenger.Bus.ICE.NGas</t>
  </si>
  <si>
    <t>Eff.kgoe_per_100km.BG.Tr.Road.Passenger.Bus.ICE.BEV</t>
  </si>
  <si>
    <t>Eff.kgoe_per_100km.BG.Tr.Road.Freight</t>
  </si>
  <si>
    <t>Eff.kgoe_per_100km.BG.Tr.Road.Freight.LCV</t>
  </si>
  <si>
    <t>Eff.kgoe_per_100km.BG.Tr.Road.Freight.LCV.ICE.Gasoline</t>
  </si>
  <si>
    <t>Eff.kgoe_per_100km.BG.Tr.Road.Freight.LCV.ICE.Diesel</t>
  </si>
  <si>
    <t>Eff.kgoe_per_100km.BG.Tr.Road.Freight.LCV.ICE.LPG</t>
  </si>
  <si>
    <t>Eff.kgoe_per_100km.BG.Tr.Road.Freight.LCV.ICE.NGas</t>
  </si>
  <si>
    <t>Eff.kgoe_per_100km.BG.Tr.Road.Freight.LCV.ICE.BEV</t>
  </si>
  <si>
    <t>Eff.kgoe_per_100km.BG.Tr.Road.Freight.HGV</t>
  </si>
  <si>
    <t>Eff.kgoe_per_100km.BG.Tr.Road.Freight.HGV.Domestic</t>
  </si>
  <si>
    <t>Eff.kgoe_per_100km.BG.Tr.Road.Freight.HGV.International</t>
  </si>
  <si>
    <t>Eff.kgoe_per_kpkm.BG.Tr.Road.Passenger.Car.ICE.Gasoline</t>
  </si>
  <si>
    <t>Eff.kgoe_per_kpkm.BG.Tr.Road.Passenger.Car.ICE.Diesel</t>
  </si>
  <si>
    <t>Eff.kgoe_per_kpkm.BG.Tr.Road.Passenger.Car.ICE.LPG</t>
  </si>
  <si>
    <t>Eff.kgoe_per_kpkm.BG.Tr.Road.Passenger.Car.ICE.NGas</t>
  </si>
  <si>
    <t>Eff.kgoe_per_kpkm.BG.Tr.Road.Passenger.Car.PHEV</t>
  </si>
  <si>
    <t>Eff.kgoe_per_kpkm.BG.Tr.Road.Passenger.Car.BEV</t>
  </si>
  <si>
    <t>Eff.kgoe_per_kpkm.BG.Tr.Road.Passenger.Bus.ICE.Gasoline</t>
  </si>
  <si>
    <t>Eff.kgoe_per_kpkm.BG.Tr.Road.Passenger.Bus.ICE.Diesel</t>
  </si>
  <si>
    <t>Eff.kgoe_per_kpkm.BG.Tr.Road.Passenger.Bus.ICE.LPG</t>
  </si>
  <si>
    <t>Eff.kgoe_per_kpkm.BG.Tr.Road.Passenger.Bus.ICE.NGas</t>
  </si>
  <si>
    <t>Eff.kgoe_per_kpkm.BG.Tr.Road.Passenger.Bus.ICE.BEV</t>
  </si>
  <si>
    <t>Eff.kgoe_per_ktkm.BG.Tr.Road.Freight.LCV.ICE.Gasoline</t>
  </si>
  <si>
    <t>Eff.kgoe_per_ktkm.BG.Tr.Road.Freight.LCV.ICE.Diesel</t>
  </si>
  <si>
    <t>Eff.kgoe_per_ktkm.BG.Tr.Road.Freight.LCV.ICE.LPG</t>
  </si>
  <si>
    <t>Eff.kgoe_per_ktkm.BG.Tr.Road.Freight.LCV.ICE.NGas</t>
  </si>
  <si>
    <t>Eff.kgoe_per_ktkm.BG.Tr.Road.Freight.LCV.ICE.BEV</t>
  </si>
  <si>
    <t>Eff.kgoe_per_ktkm.BG.Tr.Road.Freight.HGV.Domestic</t>
  </si>
  <si>
    <t>Eff.kgoe_per_ktkm.BG.Tr.Road.Freight.HGV.International</t>
  </si>
  <si>
    <t>FEC_per_vehicle.kgoe.BG.Tr.Road.Passenger.P2W</t>
  </si>
  <si>
    <t>FEC_per_vehicle.kgoe.BG.Tr.Road.Passenger.Car</t>
  </si>
  <si>
    <t>FEC_per_vehicle.kgoe.BG.Tr.Road.Passenger.Car.ICE.Gasoline</t>
  </si>
  <si>
    <t>FEC_per_vehicle.kgoe.BG.Tr.Road.Passenger.Car.ICE.Diesel</t>
  </si>
  <si>
    <t>FEC_per_vehicle.kgoe.BG.Tr.Road.Passenger.Car.ICE.LPG</t>
  </si>
  <si>
    <t>FEC_per_vehicle.kgoe.BG.Tr.Road.Passenger.Car.ICE.NGas</t>
  </si>
  <si>
    <t>FEC_per_vehicle.kgoe.BG.Tr.Road.Passenger.Car.PHEV</t>
  </si>
  <si>
    <t>FEC_per_vehicle.kgoe.BG.Tr.Road.Passenger.Car.BEV</t>
  </si>
  <si>
    <t>FEC_per_vehicle.kgoe.BG.Tr.Road.Passenger.Bus</t>
  </si>
  <si>
    <t>FEC_per_vehicle.kgoe.BG.Tr.Road.Passenger.Bus.ICE.Gasoline</t>
  </si>
  <si>
    <t>FEC_per_vehicle.kgoe.BG.Tr.Road.Passenger.Bus.ICE.Diesel</t>
  </si>
  <si>
    <t>FEC_per_vehicle.kgoe.BG.Tr.Road.Passenger.Bus.ICE.LPG</t>
  </si>
  <si>
    <t>FEC_per_vehicle.kgoe.BG.Tr.Road.Passenger.Bus.ICE.NGas</t>
  </si>
  <si>
    <t>FEC_per_vehicle.kgoe.BG.Tr.Road.Passenger.Bus.ICE.BEV</t>
  </si>
  <si>
    <t>FEC_per_vehicle.kgoe.BG.Tr.Road.Freight.LCV</t>
  </si>
  <si>
    <t>FEC_per_vehicle.kgoe.BG.Tr.Road.Freight.LCV.ICE.Gasoline</t>
  </si>
  <si>
    <t>FEC_per_vehicle.kgoe.BG.Tr.Road.Freight.LCV.ICE.Diesel</t>
  </si>
  <si>
    <t>FEC_per_vehicle.kgoe.BG.Tr.Road.Freight.LCV.ICE.LPG</t>
  </si>
  <si>
    <t>FEC_per_vehicle.kgoe.BG.Tr.Road.Freight.LCV.ICE.NGas</t>
  </si>
  <si>
    <t>FEC_per_vehicle.kgoe.BG.Tr.Road.Freight.LCV.ICE.BEV</t>
  </si>
  <si>
    <t>FEC_per_vehicle.kgoe.BG.Tr.Road.Freight.HGV</t>
  </si>
  <si>
    <t>FEC_per_vehicle.kgoe.BG.Tr.Road.Freight.HGV.Domestic</t>
  </si>
  <si>
    <t>FEC_per_vehicle.kgoe.BG.Tr.Road.Freight.HGV.International</t>
  </si>
  <si>
    <t>Road transport / CO2 emissions - BG - Bulgaria</t>
  </si>
  <si>
    <t>EMI.ktCO2.BG.ES.Tr.Road</t>
  </si>
  <si>
    <t>EMI.ktCO2.BG.ES.Tr.Road.LPG</t>
  </si>
  <si>
    <t>EMI.ktCO2.BG.ES.Tr.Road.Gasoline</t>
  </si>
  <si>
    <t>EMI.ktCO2.BG.ES.Tr.Road.Diesel</t>
  </si>
  <si>
    <t>EMI.ktCO2.BG.ES.Tr.Road.NG</t>
  </si>
  <si>
    <t>EMI.ktCO2.BG.ES.Tr.Road.Biogas</t>
  </si>
  <si>
    <t>EMI.ktCO2.BG.ES.Tr.Road.Biogasoline</t>
  </si>
  <si>
    <t>EMI.ktCO2.BG.ES.Tr.Road.Biodiesel</t>
  </si>
  <si>
    <t>EMI.ktCO2.BG.ES.Tr.Road.OthLiqBio</t>
  </si>
  <si>
    <t>EMI.ktCO2.BG.ES.Tr.Road.Elec</t>
  </si>
  <si>
    <t>EMI.ktCO2.BG.Tr.Road</t>
  </si>
  <si>
    <t>EMI.ktCO2.BG.Tr.Road.Passenger.Car.ICE.Gasoline</t>
  </si>
  <si>
    <t>EMI.ktCO2.BG.Tr.Road.Passenger.Car.ICE.Diesel</t>
  </si>
  <si>
    <t>EMI.ktCO2.BG.Tr.Road.Passenger.Car.ICE.LPG</t>
  </si>
  <si>
    <t>EMI.ktCO2.BG.Tr.Road.Passenger.Car.ICE.NGas</t>
  </si>
  <si>
    <t>EMI.ktCO2.BG.Tr.Road.Passenger.Car.PHEV</t>
  </si>
  <si>
    <t>EMI.ktCO2.BG.Tr.Road.Passenger.Car.BEV</t>
  </si>
  <si>
    <t>EMI.ktCO2.BG.Tr.Road.Passenger.Bus.ICE.Gasoline</t>
  </si>
  <si>
    <t>EMI.ktCO2.BG.Tr.Road.Passenger.Bus.ICE.Diesel</t>
  </si>
  <si>
    <t>EMI.ktCO2.BG.Tr.Road.Passenger.Bus.ICE.LPG</t>
  </si>
  <si>
    <t>EMI.ktCO2.BG.Tr.Road.Passenger.Bus.ICE.NGas</t>
  </si>
  <si>
    <t>EMI.ktCO2.BG.Tr.Road.Passenger.Bus.ICE.BEV</t>
  </si>
  <si>
    <t>EMI.ktCO2.BG.Tr.Road.Freight.LCV.ICE.Gasoline</t>
  </si>
  <si>
    <t>EMI.ktCO2.BG.Tr.Road.Freight.LCV.ICE.Diesel</t>
  </si>
  <si>
    <t>EMI.ktCO2.BG.Tr.Road.Freight.LCV.ICE.LPG</t>
  </si>
  <si>
    <t>EMI.ktCO2.BG.Tr.Road.Freight.LCV.ICE.NGas</t>
  </si>
  <si>
    <t>EMI.ktCO2.BG.Tr.Road.Freight.LCV.ICE.BEV</t>
  </si>
  <si>
    <t>EMI.ktCO2.BG.Tr.Road.Freight.HGV.Domestic</t>
  </si>
  <si>
    <t>EMI.ktCO2.BG.Tr.Road.Freight.HGV.International</t>
  </si>
  <si>
    <t>EMIint.gCO2_per_km.BG.Tr.Road</t>
  </si>
  <si>
    <t>EMIint.gCO2_per_km.BG.Tr.Road.Passenger</t>
  </si>
  <si>
    <t>EMIint.gCO2_per_km.BG.Tr.Road.Passenger.P2W</t>
  </si>
  <si>
    <t>EMIint.gCO2_per_km.BG.Tr.Road.Passenger.Car</t>
  </si>
  <si>
    <t>EMIint.gCO2_per_km.BG.Tr.Road.Passenger.Car.ICE.Gasoline</t>
  </si>
  <si>
    <t>EMIint.gCO2_per_km.BG.Tr.Road.Passenger.Car.ICE.Diesel</t>
  </si>
  <si>
    <t>EMIint.gCO2_per_km.BG.Tr.Road.Passenger.Car.ICE.LPG</t>
  </si>
  <si>
    <t>EMIint.gCO2_per_km.BG.Tr.Road.Passenger.Car.ICE.NGas</t>
  </si>
  <si>
    <t>EMIint.gCO2_per_km.BG.Tr.Road.Passenger.Car.PHEV</t>
  </si>
  <si>
    <t>EMIint.gCO2_per_km.BG.Tr.Road.Passenger.Car.BEV</t>
  </si>
  <si>
    <t>EMIint.gCO2_per_km.BG.Tr.Road.Passenger.Bus</t>
  </si>
  <si>
    <t>EMIint.gCO2_per_km.BG.Tr.Road.Passenger.Bus.ICE.Gasoline</t>
  </si>
  <si>
    <t>EMIint.gCO2_per_km.BG.Tr.Road.Passenger.Bus.ICE.Diesel</t>
  </si>
  <si>
    <t>EMIint.gCO2_per_km.BG.Tr.Road.Passenger.Bus.ICE.LPG</t>
  </si>
  <si>
    <t>EMIint.gCO2_per_km.BG.Tr.Road.Passenger.Bus.ICE.NGas</t>
  </si>
  <si>
    <t>EMIint.gCO2_per_km.BG.Tr.Road.Passenger.Bus.ICE.BEV</t>
  </si>
  <si>
    <t>EMIint.gCO2_per_km.BG.Tr.Road.Freight</t>
  </si>
  <si>
    <t>EMIint.gCO2_per_km.BG.Tr.Road.Freight.LCV</t>
  </si>
  <si>
    <t>EMIint.gCO2_per_km.BG.Tr.Road.Freight.LCV.ICE.Gasoline</t>
  </si>
  <si>
    <t>EMIint.gCO2_per_km.BG.Tr.Road.Freight.LCV.ICE.Diesel</t>
  </si>
  <si>
    <t>EMIint.gCO2_per_km.BG.Tr.Road.Freight.LCV.ICE.LPG</t>
  </si>
  <si>
    <t>EMIint.gCO2_per_km.BG.Tr.Road.Freight.LCV.ICE.NGas</t>
  </si>
  <si>
    <t>EMIint.gCO2_per_km.BG.Tr.Road.Freight.LCV.ICE.BEV</t>
  </si>
  <si>
    <t>EMIint.gCO2_per_km.BG.Tr.Road.Freight.HGV</t>
  </si>
  <si>
    <t>EMIint.gCO2_per_km.BG.Tr.Road.Freight.HGV.Domestic</t>
  </si>
  <si>
    <t>EMIint.gCO2_per_km.BG.Tr.Road.Freight.HGV.International</t>
  </si>
  <si>
    <t>EMIint.gCO2_per_pkm.BG.Tr.Road.Passenger.Car.ICE.Gasoline</t>
  </si>
  <si>
    <t>EMIint.gCO2_per_pkm.BG.Tr.Road.Passenger.Car.ICE.Diesel</t>
  </si>
  <si>
    <t>EMIint.gCO2_per_pkm.BG.Tr.Road.Passenger.Car.ICE.LPG</t>
  </si>
  <si>
    <t>EMIint.gCO2_per_pkm.BG.Tr.Road.Passenger.Car.ICE.NGas</t>
  </si>
  <si>
    <t>EMIint.gCO2_per_pkm.BG.Tr.Road.Passenger.Car.PHEV</t>
  </si>
  <si>
    <t>EMIint.gCO2_per_pkm.BG.Tr.Road.Passenger.Car.BEV</t>
  </si>
  <si>
    <t>EMIint.gCO2_per_pkm.BG.Tr.Road.Passenger.Bus.ICE.Gasoline</t>
  </si>
  <si>
    <t>EMIint.gCO2_per_pkm.BG.Tr.Road.Passenger.Bus.ICE.Diesel</t>
  </si>
  <si>
    <t>EMIint.gCO2_per_pkm.BG.Tr.Road.Passenger.Bus.ICE.LPG</t>
  </si>
  <si>
    <t>EMIint.gCO2_per_pkm.BG.Tr.Road.Passenger.Bus.ICE.NGas</t>
  </si>
  <si>
    <t>EMIint.gCO2_per_pkm.BG.Tr.Road.Passenger.Bus.ICE.BEV</t>
  </si>
  <si>
    <t>EMIint.gCO2_per_tkm.BG.Tr.Road.Freight.LCV.ICE.Gasoline</t>
  </si>
  <si>
    <t>EMIint.gCO2_per_tkm.BG.Tr.Road.Freight.LCV.ICE.Diesel</t>
  </si>
  <si>
    <t>EMIint.gCO2_per_tkm.BG.Tr.Road.Freight.LCV.ICE.LPG</t>
  </si>
  <si>
    <t>EMIint.gCO2_per_tkm.BG.Tr.Road.Freight.LCV.ICE.NGas</t>
  </si>
  <si>
    <t>EMIint.gCO2_per_tkm.BG.Tr.Road.Freight.LCV.ICE.BEV</t>
  </si>
  <si>
    <t>EMIint.gCO2_per_tkm.BG.Tr.Road.Freight.HGV.Domestic</t>
  </si>
  <si>
    <t>EMIint.gCO2_per_tkm.BG.Tr.Road.Freight.HGV.International</t>
  </si>
  <si>
    <t>EMI_per_vehicle.kgCO2.BG.Tr.Road.Passenger.P2W</t>
  </si>
  <si>
    <t>EMI_per_vehicle.kgCO2.BG.Tr.Road.Passenger.Car</t>
  </si>
  <si>
    <t>EMI_per_vehicle.kgCO2.BG.Tr.Road.Passenger.Car.ICE.Gasoline</t>
  </si>
  <si>
    <t>EMI_per_vehicle.kgCO2.BG.Tr.Road.Passenger.Car.ICE.Diesel</t>
  </si>
  <si>
    <t>EMI_per_vehicle.kgCO2.BG.Tr.Road.Passenger.Car.ICE.LPG</t>
  </si>
  <si>
    <t>EMI_per_vehicle.kgCO2.BG.Tr.Road.Passenger.Car.ICE.NGas</t>
  </si>
  <si>
    <t>EMI_per_vehicle.kgCO2.BG.Tr.Road.Passenger.Car.PHEV</t>
  </si>
  <si>
    <t>EMI_per_vehicle.kgCO2.BG.Tr.Road.Passenger.Car.BEV</t>
  </si>
  <si>
    <t>EMI_per_vehicle.kgCO2.BG.Tr.Road.Passenger.Bus</t>
  </si>
  <si>
    <t>EMI_per_vehicle.kgCO2.BG.Tr.Road.Passenger.Bus.ICE.Gasoline</t>
  </si>
  <si>
    <t>EMI_per_vehicle.kgCO2.BG.Tr.Road.Passenger.Bus.ICE.Diesel</t>
  </si>
  <si>
    <t>EMI_per_vehicle.kgCO2.BG.Tr.Road.Passenger.Bus.ICE.LPG</t>
  </si>
  <si>
    <t>EMI_per_vehicle.kgCO2.BG.Tr.Road.Passenger.Bus.ICE.NGas</t>
  </si>
  <si>
    <t>EMI_per_vehicle.kgCO2.BG.Tr.Road.Passenger.Bus.ICE.BEV</t>
  </si>
  <si>
    <t>EMI_per_vehicle.kgCO2.BG.Tr.Road.Freight.LCV</t>
  </si>
  <si>
    <t>EMI_per_vehicle.kgCO2.BG.Tr.Road.Freight.LCV.ICE.Gasoline</t>
  </si>
  <si>
    <t>EMI_per_vehicle.kgCO2.BG.Tr.Road.Freight.LCV.ICE.Diesel</t>
  </si>
  <si>
    <t>EMI_per_vehicle.kgCO2.BG.Tr.Road.Freight.LCV.ICE.LPG</t>
  </si>
  <si>
    <t>EMI_per_vehicle.kgCO2.BG.Tr.Road.Freight.LCV.ICE.NGas</t>
  </si>
  <si>
    <t>EMI_per_vehicle.kgCO2.BG.Tr.Road.Freight.LCV.ICE.BEV</t>
  </si>
  <si>
    <t>EMI_per_vehicle.kgCO2.BG.Tr.Road.Freight.HGV</t>
  </si>
  <si>
    <t>EMI_per_vehicle.kgCO2.BG.Tr.Road.Freight.HGV.Domestic</t>
  </si>
  <si>
    <t>EMI_per_vehicle.kgCO2.BG.Tr.Road.Freight.HGV.International</t>
  </si>
  <si>
    <t>Road transport / technologies - BG - Bulgaria</t>
  </si>
  <si>
    <t>StockVin.number.BG.Tr.Road</t>
  </si>
  <si>
    <t>StockVin.number.BG.Tr.Road.Passenger</t>
  </si>
  <si>
    <t>StockVin.number.BG.Tr.Road.Passenger.P2W</t>
  </si>
  <si>
    <t>StockVin.number.BG.Tr.Road.Passenger.Car</t>
  </si>
  <si>
    <t>StockVin.number.BG.Tr.Road.Passenger.Car.ICE.Gasoline</t>
  </si>
  <si>
    <t>StockVin.number.BG.Tr.Road.Passenger.Car.ICE.Diesel</t>
  </si>
  <si>
    <t>StockVin.number.BG.Tr.Road.Passenger.Car.ICE.LPG</t>
  </si>
  <si>
    <t>StockVin.number.BG.Tr.Road.Passenger.Car.ICE.NGas</t>
  </si>
  <si>
    <t>StockVin.number.BG.Tr.Road.Passenger.Car.PHEV</t>
  </si>
  <si>
    <t>StockVin.number.BG.Tr.Road.Passenger.Car.BEV</t>
  </si>
  <si>
    <t>StockVin.number.BG.Tr.Road.Passenger.Bus</t>
  </si>
  <si>
    <t>StockVin.number.BG.Tr.Road.Passenger.Bus.ICE.Gasoline</t>
  </si>
  <si>
    <t>StockVin.number.BG.Tr.Road.Passenger.Bus.ICE.Diesel</t>
  </si>
  <si>
    <t>StockVin.number.BG.Tr.Road.Passenger.Bus.ICE.LPG</t>
  </si>
  <si>
    <t>StockVin.number.BG.Tr.Road.Passenger.Bus.ICE.NGas</t>
  </si>
  <si>
    <t>StockVin.number.BG.Tr.Road.Passenger.Bus.ICE.BEV</t>
  </si>
  <si>
    <t>StockVin.number.BG.Tr.Road.Freight</t>
  </si>
  <si>
    <t>StockVin.number.BG.Tr.Road.Freight.LCV</t>
  </si>
  <si>
    <t>StockVin.number.BG.Tr.Road.Freight.LCV.ICE.Gasoline</t>
  </si>
  <si>
    <t>StockVin.number.BG.Tr.Road.Freight.LCV.ICE.Diesel</t>
  </si>
  <si>
    <t>StockVin.number.BG.Tr.Road.Freight.LCV.ICE.LPG</t>
  </si>
  <si>
    <t>StockVin.number.BG.Tr.Road.Freight.LCV.ICE.NGas</t>
  </si>
  <si>
    <t>StockVin.number.BG.Tr.Road.Freight.LCV.ICE.BEV</t>
  </si>
  <si>
    <t>StockVin.number.BG.Tr.Road.Freight.HGV</t>
  </si>
  <si>
    <t>StockVin.number.BG.Tr.Road.Freight.HGV.Domestic</t>
  </si>
  <si>
    <t>StockVin.number.BG.Tr.Road.Freight.HGV.International</t>
  </si>
  <si>
    <t>Eff_test_stock.kgoe_per_100km.BG.Tr.Road.Passenger.P2W</t>
  </si>
  <si>
    <t>Eff_test_stock.kgoe_per_100km.BG.Tr.Road.Passenger.Car</t>
  </si>
  <si>
    <t>Eff_test_stock.kgoe_per_100km.BG.Tr.Road.Passenger.Car.ICE.Gasoline</t>
  </si>
  <si>
    <t>Eff_test_stock.kgoe_per_100km.BG.Tr.Road.Passenger.Car.ICE.Diesel</t>
  </si>
  <si>
    <t>Eff_test_stock.kgoe_per_100km.BG.Tr.Road.Passenger.Car.ICE.LPG</t>
  </si>
  <si>
    <t>Eff_test_stock.kgoe_per_100km.BG.Tr.Road.Passenger.Car.ICE.NGas</t>
  </si>
  <si>
    <t>Eff_test_stock.kgoe_per_100km.BG.Tr.Road.Passenger.Car.PHEV</t>
  </si>
  <si>
    <t>Eff_test_stock.kgoe_per_100km.BG.Tr.Road.Passenger.Car.BEV</t>
  </si>
  <si>
    <t>Eff_test_stock.kgoe_per_100km.BG.Tr.Road.Passenger.Bus</t>
  </si>
  <si>
    <t>Eff_test_stock.kgoe_per_100km.BG.Tr.Road.Passenger.Bus.ICE.Gasoline</t>
  </si>
  <si>
    <t>Eff_test_stock.kgoe_per_100km.BG.Tr.Road.Passenger.Bus.ICE.Diesel</t>
  </si>
  <si>
    <t>Eff_test_stock.kgoe_per_100km.BG.Tr.Road.Passenger.Bus.ICE.LPG</t>
  </si>
  <si>
    <t>Eff_test_stock.kgoe_per_100km.BG.Tr.Road.Passenger.Bus.ICE.NGas</t>
  </si>
  <si>
    <t>Eff_test_stock.kgoe_per_100km.BG.Tr.Road.Passenger.Bus.ICE.BEV</t>
  </si>
  <si>
    <t>Eff_test_stock.kgoe_per_100km.BG.Tr.Road.Freight.LCV</t>
  </si>
  <si>
    <t>Eff_test_stock.kgoe_per_100km.BG.Tr.Road.Freight.LCV.ICE.Gasoline</t>
  </si>
  <si>
    <t>Eff_test_stock.kgoe_per_100km.BG.Tr.Road.Freight.LCV.ICE.Diesel</t>
  </si>
  <si>
    <t>Eff_test_stock.kgoe_per_100km.BG.Tr.Road.Freight.LCV.ICE.LPG</t>
  </si>
  <si>
    <t>Eff_test_stock.kgoe_per_100km.BG.Tr.Road.Freight.LCV.ICE.NGas</t>
  </si>
  <si>
    <t>Eff_test_stock.kgoe_per_100km.BG.Tr.Road.Freight.LCV.ICE.BEV</t>
  </si>
  <si>
    <t>Eff_test_stock.kgoe_per_100km.BG.Tr.Road.Freight.HGV</t>
  </si>
  <si>
    <t>Eff_test_stock.kgoe_per_100km.BG.Tr.Road.Freight.HGV.Domestic</t>
  </si>
  <si>
    <t>Eff_test_stock.kgoe_per_100km.BG.Tr.Road.Freight.HGV.International</t>
  </si>
  <si>
    <t>Eff_test_new.kgoe_per_100km.BG.Tr.Road.Passenger.P2W</t>
  </si>
  <si>
    <t>Eff_test_new.kgoe_per_100km.BG.Tr.Road.Passenger.Car</t>
  </si>
  <si>
    <t>Eff_test_new.kgoe_per_100km.BG.Tr.Road.Passenger.Car.ICE.Gasoline</t>
  </si>
  <si>
    <t>Eff_test_new.kgoe_per_100km.BG.Tr.Road.Passenger.Car.ICE.Diesel</t>
  </si>
  <si>
    <t>Eff_test_new.kgoe_per_100km.BG.Tr.Road.Passenger.Car.ICE.LPG</t>
  </si>
  <si>
    <t>Eff_test_new.kgoe_per_100km.BG.Tr.Road.Passenger.Car.ICE.NGas</t>
  </si>
  <si>
    <t>Eff_test_new.kgoe_per_100km.BG.Tr.Road.Passenger.Car.PHEV</t>
  </si>
  <si>
    <t>Eff_test_new.kgoe_per_100km.BG.Tr.Road.Passenger.Car.BEV</t>
  </si>
  <si>
    <t>Eff_test_new.kgoe_per_100km.BG.Tr.Road.Passenger.Bus</t>
  </si>
  <si>
    <t>Eff_test_new.kgoe_per_100km.BG.Tr.Road.Passenger.Bus.ICE.Gasoline</t>
  </si>
  <si>
    <t>Eff_test_new.kgoe_per_100km.BG.Tr.Road.Passenger.Bus.ICE.Diesel</t>
  </si>
  <si>
    <t>Eff_test_new.kgoe_per_100km.BG.Tr.Road.Passenger.Bus.ICE.LPG</t>
  </si>
  <si>
    <t>Eff_test_new.kgoe_per_100km.BG.Tr.Road.Passenger.Bus.ICE.NGas</t>
  </si>
  <si>
    <t>Eff_test_new.kgoe_per_100km.BG.Tr.Road.Passenger.Bus.ICE.BEV</t>
  </si>
  <si>
    <t>Eff_test_new.kgoe_per_100km.BG.Tr.Road.Freight.LCV</t>
  </si>
  <si>
    <t>Eff_test_new.kgoe_per_100km.BG.Tr.Road.Freight.LCV.ICE.Gasoline</t>
  </si>
  <si>
    <t>Eff_test_new.kgoe_per_100km.BG.Tr.Road.Freight.LCV.ICE.Diesel</t>
  </si>
  <si>
    <t>Eff_test_new.kgoe_per_100km.BG.Tr.Road.Freight.LCV.ICE.LPG</t>
  </si>
  <si>
    <t>Eff_test_new.kgoe_per_100km.BG.Tr.Road.Freight.LCV.ICE.NGas</t>
  </si>
  <si>
    <t>Eff_test_new.kgoe_per_100km.BG.Tr.Road.Freight.LCV.ICE.BEV</t>
  </si>
  <si>
    <t>Eff_test_new.kgoe_per_100km.BG.Tr.Road.Freight.HGV</t>
  </si>
  <si>
    <t>Eff_test_new.kgoe_per_100km.BG.Tr.Road.Freight.HGV.Domestic</t>
  </si>
  <si>
    <t>Eff_test_new.kgoe_per_100km.BG.Tr.Road.Freight.HGV.International</t>
  </si>
  <si>
    <t>EMIint_test_stock.gCO2_per_km.BG.Tr.Road.Passenger.P2W</t>
  </si>
  <si>
    <t>EMIint_test_stock.gCO2_per_km.BG.Tr.Road.Passenger.Car</t>
  </si>
  <si>
    <t>EMIint_test_stock.gCO2_per_km.BG.Tr.Road.Passenger.Car.ICE.Gasoline</t>
  </si>
  <si>
    <t>EMIint_test_stock.gCO2_per_km.BG.Tr.Road.Passenger.Car.ICE.Diesel</t>
  </si>
  <si>
    <t>EMIint_test_stock.gCO2_per_km.BG.Tr.Road.Passenger.Car.ICE.LPG</t>
  </si>
  <si>
    <t>EMIint_test_stock.gCO2_per_km.BG.Tr.Road.Passenger.Car.ICE.NGas</t>
  </si>
  <si>
    <t>EMIint_test_stock.gCO2_per_km.BG.Tr.Road.Passenger.Car.PHEV</t>
  </si>
  <si>
    <t>EMIint_test_stock.gCO2_per_km.BG.Tr.Road.Passenger.Car.BEV</t>
  </si>
  <si>
    <t>EMIint_test_stock.gCO2_per_km.BG.Tr.Road.Passenger.Bus</t>
  </si>
  <si>
    <t>EMIint_test_stock.gCO2_per_km.BG.Tr.Road.Passenger.Bus.ICE.Gasoline</t>
  </si>
  <si>
    <t>EMIint_test_stock.gCO2_per_km.BG.Tr.Road.Passenger.Bus.ICE.Diesel</t>
  </si>
  <si>
    <t>EMIint_test_stock.gCO2_per_km.BG.Tr.Road.Passenger.Bus.ICE.LPG</t>
  </si>
  <si>
    <t>EMIint_test_stock.gCO2_per_km.BG.Tr.Road.Passenger.Bus.ICE.NGas</t>
  </si>
  <si>
    <t>EMIint_test_stock.gCO2_per_km.BG.Tr.Road.Passenger.Bus.ICE.BEV</t>
  </si>
  <si>
    <t>EMIint_test_stock.gCO2_per_km.BG.Tr.Road.Freight.LCV</t>
  </si>
  <si>
    <t>EMIint_test_stock.gCO2_per_km.BG.Tr.Road.Freight.LCV.ICE.Gasoline</t>
  </si>
  <si>
    <t>EMIint_test_stock.gCO2_per_km.BG.Tr.Road.Freight.LCV.ICE.Diesel</t>
  </si>
  <si>
    <t>EMIint_test_stock.gCO2_per_km.BG.Tr.Road.Freight.LCV.ICE.LPG</t>
  </si>
  <si>
    <t>EMIint_test_stock.gCO2_per_km.BG.Tr.Road.Freight.LCV.ICE.NGas</t>
  </si>
  <si>
    <t>EMIint_test_stock.gCO2_per_km.BG.Tr.Road.Freight.LCV.ICE.BEV</t>
  </si>
  <si>
    <t>EMIint_test_stock.gCO2_per_km.BG.Tr.Road.Freight.HGV</t>
  </si>
  <si>
    <t>EMIint_test_stock.gCO2_per_km.BG.Tr.Road.Freight.HGV.Domestic</t>
  </si>
  <si>
    <t>EMIint_test_stock.gCO2_per_km.BG.Tr.Road.Freight.HGV.International</t>
  </si>
  <si>
    <t>EMIint_test_new.gCO2_per_km.BG.Tr.Road.Passenger.P2W</t>
  </si>
  <si>
    <t>EMIint_test_new.gCO2_per_km.BG.Tr.Road.Passenger.Car</t>
  </si>
  <si>
    <t>EMIint_test_new.gCO2_per_km.BG.Tr.Road.Passenger.Car.ICE.Gasoline</t>
  </si>
  <si>
    <t>EMIint_test_new.gCO2_per_km.BG.Tr.Road.Passenger.Car.ICE.Diesel</t>
  </si>
  <si>
    <t>EMIint_test_new.gCO2_per_km.BG.Tr.Road.Passenger.Car.ICE.LPG</t>
  </si>
  <si>
    <t>EMIint_test_new.gCO2_per_km.BG.Tr.Road.Passenger.Car.ICE.NGas</t>
  </si>
  <si>
    <t>EMIint_test_new.gCO2_per_km.BG.Tr.Road.Passenger.Car.PHEV</t>
  </si>
  <si>
    <t>EMIint_test_new.gCO2_per_km.BG.Tr.Road.Passenger.Car.BEV</t>
  </si>
  <si>
    <t>EMIint_test_new.gCO2_per_km.BG.Tr.Road.Passenger.Bus</t>
  </si>
  <si>
    <t>EMIint_test_new.gCO2_per_km.BG.Tr.Road.Passenger.Bus.ICE.Gasoline</t>
  </si>
  <si>
    <t>EMIint_test_new.gCO2_per_km.BG.Tr.Road.Passenger.Bus.ICE.Diesel</t>
  </si>
  <si>
    <t>EMIint_test_new.gCO2_per_km.BG.Tr.Road.Passenger.Bus.ICE.LPG</t>
  </si>
  <si>
    <t>EMIint_test_new.gCO2_per_km.BG.Tr.Road.Passenger.Bus.ICE.NGas</t>
  </si>
  <si>
    <t>EMIint_test_new.gCO2_per_km.BG.Tr.Road.Passenger.Bus.ICE.BEV</t>
  </si>
  <si>
    <t>EMIint_test_new.gCO2_per_km.BG.Tr.Road.Freight.LCV</t>
  </si>
  <si>
    <t>EMIint_test_new.gCO2_per_km.BG.Tr.Road.Freight.LCV.ICE.Gasoline</t>
  </si>
  <si>
    <t>EMIint_test_new.gCO2_per_km.BG.Tr.Road.Freight.LCV.ICE.Diesel</t>
  </si>
  <si>
    <t>EMIint_test_new.gCO2_per_km.BG.Tr.Road.Freight.LCV.ICE.LPG</t>
  </si>
  <si>
    <t>EMIint_test_new.gCO2_per_km.BG.Tr.Road.Freight.LCV.ICE.NGas</t>
  </si>
  <si>
    <t>EMIint_test_new.gCO2_per_km.BG.Tr.Road.Freight.LCV.ICE.BEV</t>
  </si>
  <si>
    <t>EMIint_test_new.gCO2_per_km.BG.Tr.Road.Freight.HGV</t>
  </si>
  <si>
    <t>EMIint_test_new.gCO2_per_km.BG.Tr.Road.Freight.HGV.Domestic</t>
  </si>
  <si>
    <t>EMIint_test_new.gCO2_per_km.BG.Tr.Road.Freight.HGV.International</t>
  </si>
  <si>
    <t>FEC.ktoe.BG.MBunk</t>
  </si>
  <si>
    <t>FEC.ktoe.BG.MBunk.IntraEEA</t>
  </si>
  <si>
    <t>FEC.ktoe.BG.MBunk.ExtraEEA</t>
  </si>
  <si>
    <t>EMI.ktCO2.BG.MBunk</t>
  </si>
  <si>
    <t>EMI.ktCO2.BG.MBunk.IntraEEA</t>
  </si>
  <si>
    <t>EMI.ktCO2.BG.MBunk.ExtraEEA</t>
  </si>
  <si>
    <t>International maritime bunkers - BG - Bulgaria</t>
  </si>
  <si>
    <t>VehicleKm.Mkm.BG.MBunk.Freight</t>
  </si>
  <si>
    <t>VehicleKm.Mkm.BG.MBunk.Freight.IntraEEA</t>
  </si>
  <si>
    <t>VehicleKm.Mkm.BG.MBunk.Freight.ExtraEEA</t>
  </si>
  <si>
    <t>Load.t_per_movement.BG.MBunk.Freight</t>
  </si>
  <si>
    <t>Load.t_per_movement.BG.MBunk.Freight.IntraEEA</t>
  </si>
  <si>
    <t>Load.t_per_movement.BG.MBunk.Freight.ExtraEEA</t>
  </si>
  <si>
    <t>International maritime bunkers / energy consumption - BG - Bulgaria</t>
  </si>
  <si>
    <t>FEC.ktoe.BG.ES.MBunk</t>
  </si>
  <si>
    <t>FEC.ktoe.BG.ES.MBunk.IntraEEA</t>
  </si>
  <si>
    <t>FEC.ktoe.BG.ES.MBunk.IntraEEA.Diesel</t>
  </si>
  <si>
    <t>FEC.ktoe.BG.ES.MBunk.IntraEEA.RFO_Other</t>
  </si>
  <si>
    <t>FEC.ktoe.BG.ES.MBunk.IntraEEA.LiqBio</t>
  </si>
  <si>
    <t>FEC.ktoe.BG.ES.MBunk.IntraEEA.NG</t>
  </si>
  <si>
    <t>FEC.ktoe.BG.ES.MBunk.IntraEEA.Biogas</t>
  </si>
  <si>
    <t>FEC.ktoe.BG.ES.MBunk.ExtraEEA</t>
  </si>
  <si>
    <t>FEC.ktoe.BG.ES.MBunk.ExtraEEA.Diesel</t>
  </si>
  <si>
    <t>FEC.ktoe.BG.ES.MBunk.ExtraEEA.RFO_Other</t>
  </si>
  <si>
    <t>FEC.ktoe.BG.ES.MBunk.ExtraEEA.LiqBio</t>
  </si>
  <si>
    <t>FEC.ktoe.BG.ES.MBunk.ExtraEEA.NG</t>
  </si>
  <si>
    <t>FEC.ktoe.BG.ES.MBunk.ExtraEEA.Biogas</t>
  </si>
  <si>
    <t>Eff.kgoe_per_100km.BG.MBunk.Freight</t>
  </si>
  <si>
    <t>Eff.kgoe_per_100km.BG.MBunk.Freight.IntraEEA</t>
  </si>
  <si>
    <t>Eff.kgoe_per_100km.BG.MBunk.Freight.ExtraEEA</t>
  </si>
  <si>
    <t>International maritime bunkers / CO2 emissions - BG - Bulgaria</t>
  </si>
  <si>
    <t>EMI.ktCO2.BG.ES.MBunk</t>
  </si>
  <si>
    <t>EMI.ktCO2.BG.ES.MBunk.IntraEEA</t>
  </si>
  <si>
    <t>EMI.ktCO2.BG.ES.MBunk.ExtraEEA</t>
  </si>
  <si>
    <t>EMIint.gCO2_per_km.BG.MBunk.Freight</t>
  </si>
  <si>
    <t>EMIint.gCO2_per_km.BG.MBunk.Freight.IntraEEA</t>
  </si>
  <si>
    <t>EMIint.gCO2_per_km.BG.MBunk.Freight.ExtraEEA</t>
  </si>
  <si>
    <t>FEC.ktoe.BG.Tr.DNavi</t>
  </si>
  <si>
    <t>FEC.ktoe.BG.Tr.Dnavi.DCS</t>
  </si>
  <si>
    <t>FEC.ktoe.BG.Tr.Dnavi.IWW</t>
  </si>
  <si>
    <t>EMI.ktCO2.BG.Tr.DNavi</t>
  </si>
  <si>
    <t>EMI.ktCO2.BG.Tr.Dnavi.DCS</t>
  </si>
  <si>
    <t>EMI.ktCO2.BG.Tr.Dnavi.IWW</t>
  </si>
  <si>
    <t>Domestic navigation - BG - Bulgaria</t>
  </si>
  <si>
    <t>VehicleKm.Mkm.BG.Tr.DNavi.Freight</t>
  </si>
  <si>
    <t>VehicleKm.Mkm.BG.Tr.DNavi.Freight.DCS</t>
  </si>
  <si>
    <t>VehicleKm.Mkm.BG.Tr.DNavi.Freight.IWW</t>
  </si>
  <si>
    <t>Load.t_per_movement.BG.Tr.DNavi.Freight</t>
  </si>
  <si>
    <t>Load.t_per_movement.BG.Tr.DNavi.Freight.DCS</t>
  </si>
  <si>
    <t>Load.t_per_movement.BG.Tr.DNavi.Freight.IWW</t>
  </si>
  <si>
    <t>Domestic navigation / energy consumption - BG - Bulgaria</t>
  </si>
  <si>
    <t>FEC.ktoe.BG.ES.Tr.DNavi</t>
  </si>
  <si>
    <t>FEC.ktoe.BG.ES.Tr.DNavi.DCS</t>
  </si>
  <si>
    <t>FEC.ktoe.BG.ES.Tr.DNavi.DCS.Diesel</t>
  </si>
  <si>
    <t>FEC.ktoe.BG.ES.Tr.DNavi.DCS.RFO_Other</t>
  </si>
  <si>
    <t>FEC.ktoe.BG.ES.Tr.DNavi.DCS.LiqBio</t>
  </si>
  <si>
    <t>FEC.ktoe.BG.ES.Tr.DNavi.DCS.NG</t>
  </si>
  <si>
    <t>FEC.ktoe.BG.ES.Tr.DNavi.DCS.Biogas</t>
  </si>
  <si>
    <t>FEC.ktoe.BG.ES.Tr.DNavi.IWW</t>
  </si>
  <si>
    <t>FEC.ktoe.BG.ES.Tr.DNavi.IWW.Diesel</t>
  </si>
  <si>
    <t>FEC.ktoe.BG.ES.Tr.DNavi.IWW.RFO_Other</t>
  </si>
  <si>
    <t>FEC.ktoe.BG.ES.Tr.DNavi.IWW.LiqBio</t>
  </si>
  <si>
    <t>FEC.ktoe.BG.ES.Tr.DNavi.IWW.NG</t>
  </si>
  <si>
    <t>FEC.ktoe.BG.ES.Tr.DNavi.IWW.Biogas</t>
  </si>
  <si>
    <t>Eff.kgoe_per_100km.BG.Tr.DNavi.Freight</t>
  </si>
  <si>
    <t>Eff.kgoe_per_100km.BG.Tr.DNavi.Freight.DCS</t>
  </si>
  <si>
    <t>Eff.kgoe_per_100km.BG.Tr.DNavi.Freight.IWW</t>
  </si>
  <si>
    <t>Domestic navigation / CO2 emissions - BG - Bulgaria</t>
  </si>
  <si>
    <t>EMI.ktCO2.BG.ES.Tr.DNavi</t>
  </si>
  <si>
    <t>EMI.ktCO2.BG.ES.Tr.DNavi.DCS</t>
  </si>
  <si>
    <t>EMI.ktCO2.BG.ES.Tr.DNavi.IWW</t>
  </si>
  <si>
    <t>EMIint.gCO2_per_km.BG.Tr.DNavi.Freight</t>
  </si>
  <si>
    <t>EMIint.gCO2_per_km.BG.Tr.DNavi.Freight.DCS</t>
  </si>
  <si>
    <t>EMIint.gCO2_per_km.BG.Tr.DNavi.Freight.IWW</t>
  </si>
  <si>
    <t>Rail, metro and tram - BG - Bulgaria</t>
  </si>
  <si>
    <t>Activity.Mpkm.BG.Tr.Rail.Passenger.CPT.Diesel</t>
  </si>
  <si>
    <t>Activity.Mpkm.BG.Tr.Rail.Passenger.CPT.Elc</t>
  </si>
  <si>
    <t>Activity.Mtkm.BG.Tr.Rail.Freight.Diesel</t>
  </si>
  <si>
    <t>Activity.Mtkm.BG.Tr.Rail.Freight.Elc</t>
  </si>
  <si>
    <t>VehicleKm.Mkm.BG.Tr.Rail</t>
  </si>
  <si>
    <t>VehicleKm.Mkm.BG.Tr.Rail.Passenger</t>
  </si>
  <si>
    <t>VehicleKm.Mkm.BG.Tr.Rail.Passenger.MTU</t>
  </si>
  <si>
    <t>VehicleKm.Mkm.BG.Tr.Rail.Passenger.CPT</t>
  </si>
  <si>
    <t>VehicleKm.Mkm.BG.Tr.Rail.Passenger.CPT.Diesel</t>
  </si>
  <si>
    <t>VehicleKm.Mkm.BG.Tr.Rail.Passenger.CPT.Elc</t>
  </si>
  <si>
    <t>VehicleKm.Mkm.BG.Tr.Rail.Passenger.HST</t>
  </si>
  <si>
    <t>VehicleKm.Mkm.BG.Tr.Rail.Freight</t>
  </si>
  <si>
    <t>VehicleKm.Mkm.BG.Tr.Rail.Freight.Diesel</t>
  </si>
  <si>
    <t>VehicleKm.Mkm.BG.Tr.Rail.Freight.Elc</t>
  </si>
  <si>
    <t>Stock.number.BG.Tr.Rail</t>
  </si>
  <si>
    <t>Stock.number.BG.Tr.Rail.Passenger</t>
  </si>
  <si>
    <t>Stock.number.BG.Tr.Rail.Passenger.MTU</t>
  </si>
  <si>
    <t>Stock.number.BG.Tr.Rail.Passenger.CPT</t>
  </si>
  <si>
    <t>Stock.number.BG.Tr.Rail.Passenger.CPT.Diesel</t>
  </si>
  <si>
    <t>Stock.number.BG.Tr.Rail.Passenger.CPT.Elc</t>
  </si>
  <si>
    <t>Stock.number.BG.Tr.Rail.Passenger.HST</t>
  </si>
  <si>
    <t>Stock.number.BG.Tr.Rail.Freight</t>
  </si>
  <si>
    <t>Stock.number.BG.Tr.Rail.Freight.Diesel</t>
  </si>
  <si>
    <t>Stock.number.BG.Tr.Rail.Freight.Elc</t>
  </si>
  <si>
    <t>StockNew.number.BG.Tr.Rail</t>
  </si>
  <si>
    <t>StockNew.number.BG.Tr.Rail.Passenger</t>
  </si>
  <si>
    <t>StockNew.number.BG.Tr.Rail.Passenger.MTU</t>
  </si>
  <si>
    <t>StockNew.number.BG.Tr.Rail.Passenger.CPT</t>
  </si>
  <si>
    <t>StockNew.number.BG.Tr.Rail.Passenger.CPT.Diesel</t>
  </si>
  <si>
    <t>StockNew.number.BG.Tr.Rail.Passenger.CPT.Elc</t>
  </si>
  <si>
    <t>StockNew.number.BG.Tr.Rail.Passenger.HST</t>
  </si>
  <si>
    <t>StockNew.number.BG.Tr.Rail.Freight</t>
  </si>
  <si>
    <t>StockNew.number.BG.Tr.Rail.Freight.Diesel</t>
  </si>
  <si>
    <t>StockNew.number.BG.Tr.Rail.Freight.Elc</t>
  </si>
  <si>
    <t>Load.passenger_per_movement.BG.Tr.Rail.Passenger</t>
  </si>
  <si>
    <t>Load.passenger_per_movement.BG.Tr.Rail.Passenger.MTU</t>
  </si>
  <si>
    <t>Load.passenger_per_movement.BG.Tr.Rail.Passenger.CPT</t>
  </si>
  <si>
    <t>Load.passenger_per_movement.BG.Tr.Rail.Passenger.CPT.Diesel</t>
  </si>
  <si>
    <t>Load.passenger_per_movement.BG.Tr.Rail.Passenger.CPT.Elc</t>
  </si>
  <si>
    <t>Load.passenger_per_movement.BG.Tr.Rail.Passenger.HST</t>
  </si>
  <si>
    <t>Load.t_per_movement.BG.Tr.Rail.Freight</t>
  </si>
  <si>
    <t>Load.t_per_movement.BG.Tr.Rail.Freight.Diesel</t>
  </si>
  <si>
    <t>Load.t_per_movement.BG.Tr.Rail.Freight.Elc</t>
  </si>
  <si>
    <t>TrCap.seats.BG.Tr.Rail.Passenger</t>
  </si>
  <si>
    <t>TrCap.seats.BG.Tr.Rail.Passenger.MTU</t>
  </si>
  <si>
    <t>TrCap.seats.BG.Tr.Rail.Passenger.CPT</t>
  </si>
  <si>
    <t>TrCap.seats.BG.Tr.Rail.Passenger.CPT.Diesel</t>
  </si>
  <si>
    <t>TrCap.seats.BG.Tr.Rail.Passenger.CPT.Elc</t>
  </si>
  <si>
    <t>TrCap.seats.BG.Tr.Rail.Passenger.HST</t>
  </si>
  <si>
    <t>TrCap.t.BG.Tr.Rail.Freight</t>
  </si>
  <si>
    <t>TrCap.t.BG.Tr.Rail.Freight.Diesel</t>
  </si>
  <si>
    <t>TrCap.t.BG.Tr.Rail.Freight.Elc</t>
  </si>
  <si>
    <t>VehicleKm_per_vehicle.km.BG.Tr.Rail</t>
  </si>
  <si>
    <t>VehicleKm_per_vehicle.km.BG.Tr.Rail.Passenger</t>
  </si>
  <si>
    <t>VehicleKm_per_vehicle.km.BG.Tr.Rail.Passenger.MTU</t>
  </si>
  <si>
    <t>VehicleKm_per_vehicle.km.BG.Tr.Rail.Passenger.CPT</t>
  </si>
  <si>
    <t>VehicleKm_per_vehicle.km.BG.Tr.Rail.Passenger.CPT.Diesel</t>
  </si>
  <si>
    <t>VehicleKm_per_vehicle.km.BG.Tr.Rail.Passenger.CPT.Elc</t>
  </si>
  <si>
    <t>VehicleKm_per_vehicle.km.BG.Tr.Rail.Passenger.HST</t>
  </si>
  <si>
    <t>VehicleKm_per_vehicle.km.BG.Tr.Rail.Freight</t>
  </si>
  <si>
    <t>VehicleKm_per_vehicle.km.BG.Tr.Rail.Freight.Diesel</t>
  </si>
  <si>
    <t>VehicleKm_per_vehicle.km.BG.Tr.Rail.Freight.Elc</t>
  </si>
  <si>
    <t>Activity_per_vehicle.pkm.BG.Tr.Rail.Passenger</t>
  </si>
  <si>
    <t>Activity_per_vehicle.pkm.BG.Tr.Rail.Passenger.MTU</t>
  </si>
  <si>
    <t>Activity_per_vehicle.pkm.BG.Tr.Rail.Passenger.CPT</t>
  </si>
  <si>
    <t>Activity_per_vehicle.pkm.BG.Tr.Rail.Passenger.CPT.Diesel</t>
  </si>
  <si>
    <t>Activity_per_vehicle.pkm.BG.Tr.Rail.Passenger.CPT.Elc</t>
  </si>
  <si>
    <t>Activity_per_vehicle.pkm.BG.Tr.Rail.Passenger.HST</t>
  </si>
  <si>
    <t>Activity_per_vehicle.tkm.BG.Tr.Rail.Freight</t>
  </si>
  <si>
    <t>Activity_per_vehicle.tkm.BG.Tr.Rail.Freight.Diesel</t>
  </si>
  <si>
    <t>Activity_per_vehicle.tkm.BG.Tr.Rail.Freight.Elc</t>
  </si>
  <si>
    <t>Rail, metro and tram / energy consumption - BG - Bulgaria</t>
  </si>
  <si>
    <t>FEC.ktoe.BG.ES.Tr.Rail</t>
  </si>
  <si>
    <t>FEC.ktoe.BG.ES.Tr.Rail.Diesel</t>
  </si>
  <si>
    <t>FEC.ktoe.BG.ES.Tr.Rail.LiqBio</t>
  </si>
  <si>
    <t>FEC.ktoe.BG.ES.Tr.Rail.Elec</t>
  </si>
  <si>
    <t>FEC.ktoe.BG.Tr.Rail</t>
  </si>
  <si>
    <t>FEC.ktoe.BG.Tr.Rail.Passenger.CPT.Diesel</t>
  </si>
  <si>
    <t>FEC.ktoe.BG.Tr.Rail.Passenger.CPT.Elc</t>
  </si>
  <si>
    <t>FEC.ktoe.BG.Tr.Rail.Freight.Diesel</t>
  </si>
  <si>
    <t>FEC.ktoe.BG.Tr.Rail.Freight.Elc</t>
  </si>
  <si>
    <t>Eff.kgoe_per_100km.BG.Tr.Rail</t>
  </si>
  <si>
    <t>Eff.kgoe_per_100km.BG.Tr.Rail.Passenger</t>
  </si>
  <si>
    <t>Eff.kgoe_per_100km.BG.Tr.Rail.Passenger.MTU</t>
  </si>
  <si>
    <t>Eff.kgoe_per_100km.BG.Tr.Rail.Passenger.CPT</t>
  </si>
  <si>
    <t>Eff.kgoe_per_100km.BG.Tr.Rail.Passenger.CPT.Diesel</t>
  </si>
  <si>
    <t>Eff.kgoe_per_100km.BG.Tr.Rail.Passenger.CPT.Elc</t>
  </si>
  <si>
    <t>Eff.kgoe_per_100km.BG.Tr.Rail.Passenger.HST</t>
  </si>
  <si>
    <t>Eff.kgoe_per_100km.BG.Tr.Rail.Freight</t>
  </si>
  <si>
    <t>Eff.kgoe_per_100km.BG.Tr.Rail.Freight.Diesel</t>
  </si>
  <si>
    <t>Eff.kgoe_per_100km.BG.Tr.Rail.Freight.Elc</t>
  </si>
  <si>
    <t>Eff.kgoe_per_kpkm.BG.Tr.Rail.Passenger.CPT.Diesel</t>
  </si>
  <si>
    <t>Eff.kgoe_per_kpkm.BG.Tr.Rail.Passenger.CPT.Elc</t>
  </si>
  <si>
    <t>Eff.kgoe_per_ktkm.BG.Tr.Rail.Freight.Diesel</t>
  </si>
  <si>
    <t>Eff.kgoe_per_ktkm.BG.Tr.Rail.Freight.Elc</t>
  </si>
  <si>
    <t>FEC_per_vehicle.kgoe.BG.Tr.Rail</t>
  </si>
  <si>
    <t>FEC_per_vehicle.kgoe.BG.Tr.Rail.Passenger</t>
  </si>
  <si>
    <t>FEC_per_vehicle.kgoe.BG.Tr.Rail.Passenger.MTU</t>
  </si>
  <si>
    <t>FEC_per_vehicle.kgoe.BG.Tr.Rail.Passenger.CPT</t>
  </si>
  <si>
    <t>FEC_per_vehicle.kgoe.BG.Tr.Rail.Passenger.CPT.Diesel</t>
  </si>
  <si>
    <t>FEC_per_vehicle.kgoe.BG.Tr.Rail.Passenger.CPT.Elc</t>
  </si>
  <si>
    <t>FEC_per_vehicle.kgoe.BG.Tr.Rail.Passenger.HST</t>
  </si>
  <si>
    <t>FEC_per_vehicle.kgoe.BG.Tr.Rail.Freight</t>
  </si>
  <si>
    <t>FEC_per_vehicle.kgoe.BG.Tr.Rail.Freight.Diesel</t>
  </si>
  <si>
    <t>FEC_per_vehicle.kgoe.BG.Tr.Rail.Freight.Elc</t>
  </si>
  <si>
    <t>Rail, metro and tram / CO2 emissions - BG - Bulgaria</t>
  </si>
  <si>
    <t>EMI.ktCO2.BG.ES.Tr.Rail</t>
  </si>
  <si>
    <t>EMI.ktCO2.BG.ES.Tr.Rail.Diesel</t>
  </si>
  <si>
    <t>EMI.ktCO2.BG.ES.Tr.Rail.Elec</t>
  </si>
  <si>
    <t>EMI.ktCO2.BG.Tr.Rail</t>
  </si>
  <si>
    <t>EMI.ktCO2.BG.Tr.Rail.Passenger.CPT.Diesel</t>
  </si>
  <si>
    <t>EMI.ktCO2.BG.Tr.Rail.Passenger.CPT.Elc</t>
  </si>
  <si>
    <t>EMI.ktCO2.BG.Tr.Rail.Freight.Diesel</t>
  </si>
  <si>
    <t>EMI.ktCO2.BG.Tr.Rail.Freight.Elc</t>
  </si>
  <si>
    <t>EMIint.gCO2_per_km.BG.Tr.Rail</t>
  </si>
  <si>
    <t>EMIint.gCO2_per_km.BG.Tr.Rail.Passenger</t>
  </si>
  <si>
    <t>EMIint.gCO2_per_km.BG.Tr.Rail.Passenger.MTU</t>
  </si>
  <si>
    <t>EMIint.gCO2_per_km.BG.Tr.Rail.Passenger.CPT</t>
  </si>
  <si>
    <t>EMIint.gCO2_per_km.BG.Tr.Rail.Passenger.CPT.Diesel</t>
  </si>
  <si>
    <t>EMIint.gCO2_per_km.BG.Tr.Rail.Passenger.CPT.Elc</t>
  </si>
  <si>
    <t>EMIint.gCO2_per_km.BG.Tr.Rail.Passenger.HST</t>
  </si>
  <si>
    <t>EMIint.gCO2_per_km.BG.Tr.Rail.Freight</t>
  </si>
  <si>
    <t>EMIint.gCO2_per_km.BG.Tr.Rail.Freight.Diesel</t>
  </si>
  <si>
    <t>EMIint.gCO2_per_km.BG.Tr.Rail.Freight.Elc</t>
  </si>
  <si>
    <t>EMIint.gCO2_per_pkm.BG.Tr.Rail.Passenger.CPT.Diesel</t>
  </si>
  <si>
    <t>EMIint.gCO2_per_pkm.BG.Tr.Rail.Passenger.CPT.Elc</t>
  </si>
  <si>
    <t>EMIint.gCO2_per_tkm.BG.Tr.Rail.Freight.Diesel</t>
  </si>
  <si>
    <t>EMIint.gCO2_per_tkm.BG.Tr.Rail.Freight.Elc</t>
  </si>
  <si>
    <t>EMI_per_vehicle.tCO2.BG.Tr.Rail</t>
  </si>
  <si>
    <t>EMI_per_vehicle.tCO2.BG.Tr.Rail.Passenger</t>
  </si>
  <si>
    <t>EMI_per_vehicle.tCO2.BG.Tr.Rail.Passenger.MTU</t>
  </si>
  <si>
    <t>EMI_per_vehicle.tCO2.BG.Tr.Rail.Passenger.CPT</t>
  </si>
  <si>
    <t>EMI_per_vehicle.tCO2.BG.Tr.Rail.Passenger.CPT.Diesel</t>
  </si>
  <si>
    <t>EMI_per_vehicle.tCO2.BG.Tr.Rail.Passenger.CPT.Elc</t>
  </si>
  <si>
    <t>EMI_per_vehicle.tCO2.BG.Tr.Rail.Passenger.HST</t>
  </si>
  <si>
    <t>EMI_per_vehicle.tCO2.BG.Tr.Rail.Freight</t>
  </si>
  <si>
    <t>EMI_per_vehicle.tCO2.BG.Tr.Rail.Freight.Diesel</t>
  </si>
  <si>
    <t>EMI_per_vehicle.tCO2.BG.Tr.Rail.Freight.Elc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</si>
</sst>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45432.782488425924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47768.353979995423</v>
      </c>
      <c r="C4" s="28">
        <f t="shared" si="0"/>
        <v>49355.100048135704</v>
      </c>
      <c r="D4" s="28">
        <f t="shared" si="0"/>
        <v>52868.848612812282</v>
      </c>
      <c r="E4" s="28">
        <f t="shared" si="0"/>
        <v>52512.534399498079</v>
      </c>
      <c r="F4" s="28">
        <f t="shared" si="0"/>
        <v>52827.69658101027</v>
      </c>
      <c r="G4" s="28">
        <f t="shared" si="0"/>
        <v>56422.97870442897</v>
      </c>
      <c r="H4" s="28">
        <f t="shared" si="0"/>
        <v>58864.842751043245</v>
      </c>
      <c r="I4" s="28">
        <f t="shared" si="0"/>
        <v>62482.694653788443</v>
      </c>
      <c r="J4" s="28">
        <f t="shared" si="0"/>
        <v>65635.063177348609</v>
      </c>
      <c r="K4" s="28">
        <f t="shared" si="0"/>
        <v>64878.872699716536</v>
      </c>
      <c r="L4" s="28">
        <f t="shared" si="0"/>
        <v>66219.943549524905</v>
      </c>
      <c r="M4" s="28">
        <f t="shared" si="0"/>
        <v>67795.983163303536</v>
      </c>
      <c r="N4" s="28">
        <f t="shared" si="0"/>
        <v>69288.555697304779</v>
      </c>
      <c r="O4" s="28">
        <f t="shared" si="0"/>
        <v>70947.35985411107</v>
      </c>
      <c r="P4" s="28">
        <f t="shared" si="0"/>
        <v>74750.394954291405</v>
      </c>
      <c r="Q4" s="28">
        <f t="shared" si="0"/>
        <v>78617.650354717509</v>
      </c>
      <c r="R4" s="28">
        <f t="shared" ref="R4:V4" si="1">R5+R9+R13</f>
        <v>79739.500345720371</v>
      </c>
      <c r="S4" s="28">
        <f t="shared" si="1"/>
        <v>80630.189113808621</v>
      </c>
      <c r="T4" s="28">
        <f t="shared" si="1"/>
        <v>80266.024039725045</v>
      </c>
      <c r="U4" s="28">
        <f t="shared" si="1"/>
        <v>81818.75090056342</v>
      </c>
      <c r="V4" s="28">
        <f t="shared" si="1"/>
        <v>60946.533159525985</v>
      </c>
      <c r="W4" s="28">
        <f t="shared" ref="W4" si="2">W5+W9+W13</f>
        <v>63945.771132413996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41812.382090762505</v>
      </c>
      <c r="C5" s="137">
        <f t="shared" si="3"/>
        <v>43197.662625014127</v>
      </c>
      <c r="D5" s="137">
        <f t="shared" si="3"/>
        <v>46629.532251980418</v>
      </c>
      <c r="E5" s="137">
        <f t="shared" si="3"/>
        <v>45449.096046442413</v>
      </c>
      <c r="F5" s="137">
        <f t="shared" si="3"/>
        <v>46199.757693466905</v>
      </c>
      <c r="G5" s="137">
        <f t="shared" si="3"/>
        <v>49185.184523559918</v>
      </c>
      <c r="H5" s="137">
        <f t="shared" si="3"/>
        <v>50950.800319418559</v>
      </c>
      <c r="I5" s="137">
        <f t="shared" si="3"/>
        <v>54404.968027773139</v>
      </c>
      <c r="J5" s="137">
        <f t="shared" si="3"/>
        <v>57532.926528992699</v>
      </c>
      <c r="K5" s="137">
        <f t="shared" si="3"/>
        <v>57278.231667354092</v>
      </c>
      <c r="L5" s="137">
        <f t="shared" si="3"/>
        <v>58087.172469468358</v>
      </c>
      <c r="M5" s="137">
        <f t="shared" si="3"/>
        <v>59519.375253725186</v>
      </c>
      <c r="N5" s="137">
        <f t="shared" si="3"/>
        <v>60843.874194119569</v>
      </c>
      <c r="O5" s="137">
        <f t="shared" si="3"/>
        <v>62382.037878036703</v>
      </c>
      <c r="P5" s="137">
        <f t="shared" si="3"/>
        <v>66174.463605772587</v>
      </c>
      <c r="Q5" s="137">
        <f t="shared" si="3"/>
        <v>70156.842488044262</v>
      </c>
      <c r="R5" s="137">
        <f t="shared" ref="R5:V5" si="4">R6+R7+R8</f>
        <v>69699.598359713607</v>
      </c>
      <c r="S5" s="137">
        <f t="shared" si="4"/>
        <v>69047.820357390432</v>
      </c>
      <c r="T5" s="137">
        <f t="shared" si="4"/>
        <v>67924.247970269265</v>
      </c>
      <c r="U5" s="137">
        <f t="shared" si="4"/>
        <v>69814.473535915196</v>
      </c>
      <c r="V5" s="137">
        <f t="shared" si="4"/>
        <v>55919.795462378694</v>
      </c>
      <c r="W5" s="137">
        <f t="shared" ref="W5" si="5">W6+W7+W8</f>
        <v>57756.172061647536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325.38209076250581</v>
      </c>
      <c r="C6" s="102">
        <f>TrRoad_act!C$5</f>
        <v>334.6626250141274</v>
      </c>
      <c r="D6" s="102">
        <f>TrRoad_act!D$5</f>
        <v>344.53225198042207</v>
      </c>
      <c r="E6" s="102">
        <f>TrRoad_act!E$5</f>
        <v>349.09604644242216</v>
      </c>
      <c r="F6" s="102">
        <f>TrRoad_act!F$5</f>
        <v>370.75769346690839</v>
      </c>
      <c r="G6" s="102">
        <f>TrRoad_act!G$5</f>
        <v>397.18452355992008</v>
      </c>
      <c r="H6" s="102">
        <f>TrRoad_act!H$5</f>
        <v>408.80031941855947</v>
      </c>
      <c r="I6" s="102">
        <f>TrRoad_act!I$5</f>
        <v>433.96802777313616</v>
      </c>
      <c r="J6" s="102">
        <f>TrRoad_act!J$5</f>
        <v>493.92652899270814</v>
      </c>
      <c r="K6" s="102">
        <f>TrRoad_act!K$5</f>
        <v>527.23166735409222</v>
      </c>
      <c r="L6" s="102">
        <f>TrRoad_act!L$5</f>
        <v>574.17246946836406</v>
      </c>
      <c r="M6" s="102">
        <f>TrRoad_act!M$5</f>
        <v>608.33776434039419</v>
      </c>
      <c r="N6" s="102">
        <f>TrRoad_act!N$5</f>
        <v>658.93726825716055</v>
      </c>
      <c r="O6" s="102">
        <f>TrRoad_act!O$5</f>
        <v>700.92386641919484</v>
      </c>
      <c r="P6" s="102">
        <f>TrRoad_act!P$5</f>
        <v>740.64084201945627</v>
      </c>
      <c r="Q6" s="102">
        <f>TrRoad_act!Q$5</f>
        <v>802.75315000730427</v>
      </c>
      <c r="R6" s="102">
        <f>TrRoad_act!R$5</f>
        <v>861.87292516142963</v>
      </c>
      <c r="S6" s="102">
        <f>TrRoad_act!S$5</f>
        <v>821.41538803863432</v>
      </c>
      <c r="T6" s="102">
        <f>TrRoad_act!T$5</f>
        <v>789.99099437229347</v>
      </c>
      <c r="U6" s="102">
        <f>TrRoad_act!U$5</f>
        <v>846.36736367121136</v>
      </c>
      <c r="V6" s="102">
        <f>TrRoad_act!V$5</f>
        <v>760.75212668955623</v>
      </c>
      <c r="W6" s="102">
        <f>TrRoad_act!W$5</f>
        <v>792.71366455554596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26900</v>
      </c>
      <c r="C7" s="102">
        <f>TrRoad_act!C$6</f>
        <v>27900</v>
      </c>
      <c r="D7" s="102">
        <f>TrRoad_act!D$6</f>
        <v>29300</v>
      </c>
      <c r="E7" s="102">
        <f>TrRoad_act!E$6</f>
        <v>30699.999999999996</v>
      </c>
      <c r="F7" s="102">
        <f>TrRoad_act!F$6</f>
        <v>32800</v>
      </c>
      <c r="G7" s="102">
        <f>TrRoad_act!G$6</f>
        <v>35100</v>
      </c>
      <c r="H7" s="102">
        <f>TrRoad_act!H$6</f>
        <v>37600</v>
      </c>
      <c r="I7" s="102">
        <f>TrRoad_act!I$6</f>
        <v>40400</v>
      </c>
      <c r="J7" s="102">
        <f>TrRoad_act!J$6</f>
        <v>43199.999999999993</v>
      </c>
      <c r="K7" s="102">
        <f>TrRoad_act!K$6</f>
        <v>46300</v>
      </c>
      <c r="L7" s="102">
        <f>TrRoad_act!L$6</f>
        <v>46899.999999999993</v>
      </c>
      <c r="M7" s="102">
        <f>TrRoad_act!M$6</f>
        <v>48068.037489384791</v>
      </c>
      <c r="N7" s="102">
        <f>TrRoad_act!N$6</f>
        <v>49702.936925862406</v>
      </c>
      <c r="O7" s="102">
        <f>TrRoad_act!O$6</f>
        <v>51364.114011617508</v>
      </c>
      <c r="P7" s="102">
        <f>TrRoad_act!P$6</f>
        <v>53956.822763753131</v>
      </c>
      <c r="Q7" s="102">
        <f>TrRoad_act!Q$6</f>
        <v>56846.089338036967</v>
      </c>
      <c r="R7" s="102">
        <f>TrRoad_act!R$6</f>
        <v>56627.72543455218</v>
      </c>
      <c r="S7" s="102">
        <f>TrRoad_act!S$6</f>
        <v>57673.404969351788</v>
      </c>
      <c r="T7" s="102">
        <f>TrRoad_act!T$6</f>
        <v>57248.256975896969</v>
      </c>
      <c r="U7" s="102">
        <f>TrRoad_act!U$6</f>
        <v>58133.106172243992</v>
      </c>
      <c r="V7" s="102">
        <f>TrRoad_act!V$6</f>
        <v>50122.043335689137</v>
      </c>
      <c r="W7" s="102">
        <f>TrRoad_act!W$6</f>
        <v>52013.458397091992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14587</v>
      </c>
      <c r="C8" s="102">
        <f>TrRoad_act!C$13</f>
        <v>14963</v>
      </c>
      <c r="D8" s="102">
        <f>TrRoad_act!D$13</f>
        <v>16985</v>
      </c>
      <c r="E8" s="102">
        <f>TrRoad_act!E$13</f>
        <v>14400</v>
      </c>
      <c r="F8" s="102">
        <f>TrRoad_act!F$13</f>
        <v>13029</v>
      </c>
      <c r="G8" s="102">
        <f>TrRoad_act!G$13</f>
        <v>13688</v>
      </c>
      <c r="H8" s="102">
        <f>TrRoad_act!H$13</f>
        <v>12942</v>
      </c>
      <c r="I8" s="102">
        <f>TrRoad_act!I$13</f>
        <v>13571</v>
      </c>
      <c r="J8" s="102">
        <f>TrRoad_act!J$13</f>
        <v>13839</v>
      </c>
      <c r="K8" s="102">
        <f>TrRoad_act!K$13</f>
        <v>10451</v>
      </c>
      <c r="L8" s="102">
        <f>TrRoad_act!L$13</f>
        <v>10613</v>
      </c>
      <c r="M8" s="102">
        <f>TrRoad_act!M$13</f>
        <v>10843</v>
      </c>
      <c r="N8" s="102">
        <f>TrRoad_act!N$13</f>
        <v>10482.000000000002</v>
      </c>
      <c r="O8" s="102">
        <f>TrRoad_act!O$13</f>
        <v>10317</v>
      </c>
      <c r="P8" s="102">
        <f>TrRoad_act!P$13</f>
        <v>11477</v>
      </c>
      <c r="Q8" s="102">
        <f>TrRoad_act!Q$13</f>
        <v>12507.999999999998</v>
      </c>
      <c r="R8" s="102">
        <f>TrRoad_act!R$13</f>
        <v>12210.000000000002</v>
      </c>
      <c r="S8" s="102">
        <f>TrRoad_act!S$13</f>
        <v>10553.000000000002</v>
      </c>
      <c r="T8" s="102">
        <f>TrRoad_act!T$13</f>
        <v>9886</v>
      </c>
      <c r="U8" s="102">
        <f>TrRoad_act!U$13</f>
        <v>10835</v>
      </c>
      <c r="V8" s="102">
        <f>TrRoad_act!V$13</f>
        <v>5037</v>
      </c>
      <c r="W8" s="102">
        <f>TrRoad_act!W$13</f>
        <v>4950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3891</v>
      </c>
      <c r="C9" s="110">
        <f t="shared" si="6"/>
        <v>3459</v>
      </c>
      <c r="D9" s="110">
        <f t="shared" si="6"/>
        <v>3034</v>
      </c>
      <c r="E9" s="110">
        <f t="shared" si="6"/>
        <v>3003</v>
      </c>
      <c r="F9" s="110">
        <f t="shared" si="6"/>
        <v>2844</v>
      </c>
      <c r="G9" s="110">
        <f t="shared" si="6"/>
        <v>2823</v>
      </c>
      <c r="H9" s="110">
        <f t="shared" si="6"/>
        <v>2857</v>
      </c>
      <c r="I9" s="110">
        <f t="shared" si="6"/>
        <v>2847</v>
      </c>
      <c r="J9" s="110">
        <f t="shared" si="6"/>
        <v>2803</v>
      </c>
      <c r="K9" s="110">
        <f t="shared" si="6"/>
        <v>2826</v>
      </c>
      <c r="L9" s="110">
        <f t="shared" si="6"/>
        <v>2999</v>
      </c>
      <c r="M9" s="110">
        <f t="shared" si="6"/>
        <v>2931</v>
      </c>
      <c r="N9" s="110">
        <f t="shared" si="6"/>
        <v>2890</v>
      </c>
      <c r="O9" s="110">
        <f t="shared" si="6"/>
        <v>2831</v>
      </c>
      <c r="P9" s="110">
        <f t="shared" si="6"/>
        <v>2427</v>
      </c>
      <c r="Q9" s="110">
        <f t="shared" si="6"/>
        <v>2289.4780000000001</v>
      </c>
      <c r="R9" s="110">
        <f t="shared" ref="R9:V9" si="7">R10+R11+R12</f>
        <v>2270</v>
      </c>
      <c r="S9" s="110">
        <f t="shared" si="7"/>
        <v>2504</v>
      </c>
      <c r="T9" s="110">
        <f t="shared" si="7"/>
        <v>2561</v>
      </c>
      <c r="U9" s="110">
        <f t="shared" si="7"/>
        <v>2574</v>
      </c>
      <c r="V9" s="110">
        <f t="shared" si="7"/>
        <v>1808</v>
      </c>
      <c r="W9" s="110">
        <f t="shared" ref="W9" si="8">W10+W11+W12</f>
        <v>1953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419</v>
      </c>
      <c r="C10" s="102">
        <f>TrRail_act!C$5</f>
        <v>469</v>
      </c>
      <c r="D10" s="102">
        <f>TrRail_act!D$5</f>
        <v>436</v>
      </c>
      <c r="E10" s="102">
        <f>TrRail_act!E$5</f>
        <v>486</v>
      </c>
      <c r="F10" s="102">
        <f>TrRail_act!F$5</f>
        <v>440</v>
      </c>
      <c r="G10" s="102">
        <f>TrRail_act!G$5</f>
        <v>434</v>
      </c>
      <c r="H10" s="102">
        <f>TrRail_act!H$5</f>
        <v>446</v>
      </c>
      <c r="I10" s="102">
        <f>TrRail_act!I$5</f>
        <v>443</v>
      </c>
      <c r="J10" s="102">
        <f>TrRail_act!J$5</f>
        <v>486</v>
      </c>
      <c r="K10" s="102">
        <f>TrRail_act!K$5</f>
        <v>688</v>
      </c>
      <c r="L10" s="102">
        <f>TrRail_act!L$5</f>
        <v>909</v>
      </c>
      <c r="M10" s="102">
        <f>TrRail_act!M$5</f>
        <v>872</v>
      </c>
      <c r="N10" s="102">
        <f>TrRail_act!N$5</f>
        <v>1020</v>
      </c>
      <c r="O10" s="102">
        <f>TrRail_act!O$5</f>
        <v>1010</v>
      </c>
      <c r="P10" s="102">
        <f>TrRail_act!P$5</f>
        <v>729</v>
      </c>
      <c r="Q10" s="102">
        <f>TrRail_act!Q$5</f>
        <v>740.47799999999995</v>
      </c>
      <c r="R10" s="102">
        <f>TrRail_act!R$5</f>
        <v>815</v>
      </c>
      <c r="S10" s="102">
        <f>TrRail_act!S$5</f>
        <v>1070</v>
      </c>
      <c r="T10" s="102">
        <f>TrRail_act!T$5</f>
        <v>1085</v>
      </c>
      <c r="U10" s="102">
        <f>TrRail_act!U$5</f>
        <v>1054</v>
      </c>
      <c r="V10" s="102">
        <f>TrRail_act!V$5</f>
        <v>690</v>
      </c>
      <c r="W10" s="102">
        <f>TrRail_act!W$5</f>
        <v>750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3472</v>
      </c>
      <c r="C11" s="102">
        <f>TrRail_act!C$6</f>
        <v>2990</v>
      </c>
      <c r="D11" s="102">
        <f>TrRail_act!D$6</f>
        <v>2598</v>
      </c>
      <c r="E11" s="102">
        <f>TrRail_act!E$6</f>
        <v>2517</v>
      </c>
      <c r="F11" s="102">
        <f>TrRail_act!F$6</f>
        <v>2404</v>
      </c>
      <c r="G11" s="102">
        <f>TrRail_act!G$6</f>
        <v>2389</v>
      </c>
      <c r="H11" s="102">
        <f>TrRail_act!H$6</f>
        <v>2411</v>
      </c>
      <c r="I11" s="102">
        <f>TrRail_act!I$6</f>
        <v>2404</v>
      </c>
      <c r="J11" s="102">
        <f>TrRail_act!J$6</f>
        <v>2317</v>
      </c>
      <c r="K11" s="102">
        <f>TrRail_act!K$6</f>
        <v>2138</v>
      </c>
      <c r="L11" s="102">
        <f>TrRail_act!L$6</f>
        <v>2090</v>
      </c>
      <c r="M11" s="102">
        <f>TrRail_act!M$6</f>
        <v>2059</v>
      </c>
      <c r="N11" s="102">
        <f>TrRail_act!N$6</f>
        <v>1870</v>
      </c>
      <c r="O11" s="102">
        <f>TrRail_act!O$6</f>
        <v>1821</v>
      </c>
      <c r="P11" s="102">
        <f>TrRail_act!P$6</f>
        <v>1698</v>
      </c>
      <c r="Q11" s="102">
        <f>TrRail_act!Q$6</f>
        <v>1549</v>
      </c>
      <c r="R11" s="102">
        <f>TrRail_act!R$6</f>
        <v>1455</v>
      </c>
      <c r="S11" s="102">
        <f>TrRail_act!S$6</f>
        <v>1434</v>
      </c>
      <c r="T11" s="102">
        <f>TrRail_act!T$6</f>
        <v>1476</v>
      </c>
      <c r="U11" s="102">
        <f>TrRail_act!U$6</f>
        <v>1520</v>
      </c>
      <c r="V11" s="102">
        <f>TrRail_act!V$6</f>
        <v>1118</v>
      </c>
      <c r="W11" s="102">
        <f>TrRail_act!W$6</f>
        <v>1203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2064.9718892329165</v>
      </c>
      <c r="C13" s="110">
        <f t="shared" ref="C13:V13" si="10">C14+C15+C16</f>
        <v>2698.437423121577</v>
      </c>
      <c r="D13" s="110">
        <f t="shared" si="10"/>
        <v>3205.3163608318628</v>
      </c>
      <c r="E13" s="110">
        <f t="shared" si="10"/>
        <v>4060.4383530556693</v>
      </c>
      <c r="F13" s="110">
        <f t="shared" si="10"/>
        <v>3783.9388875433683</v>
      </c>
      <c r="G13" s="110">
        <f t="shared" si="10"/>
        <v>4414.7941808690484</v>
      </c>
      <c r="H13" s="110">
        <f t="shared" si="10"/>
        <v>5057.0424316246881</v>
      </c>
      <c r="I13" s="110">
        <f t="shared" si="10"/>
        <v>5230.7266260153046</v>
      </c>
      <c r="J13" s="110">
        <f t="shared" si="10"/>
        <v>5299.1366483559068</v>
      </c>
      <c r="K13" s="110">
        <f t="shared" si="10"/>
        <v>4774.6410323624405</v>
      </c>
      <c r="L13" s="110">
        <f t="shared" si="10"/>
        <v>5133.7710800565437</v>
      </c>
      <c r="M13" s="110">
        <f t="shared" si="10"/>
        <v>5345.607909578348</v>
      </c>
      <c r="N13" s="110">
        <f t="shared" si="10"/>
        <v>5554.6815031852166</v>
      </c>
      <c r="O13" s="110">
        <f t="shared" si="10"/>
        <v>5734.321976074365</v>
      </c>
      <c r="P13" s="110">
        <f t="shared" si="10"/>
        <v>6148.9313485188231</v>
      </c>
      <c r="Q13" s="110">
        <f t="shared" si="10"/>
        <v>6171.3298666732508</v>
      </c>
      <c r="R13" s="110">
        <f t="shared" si="10"/>
        <v>7769.9019860067701</v>
      </c>
      <c r="S13" s="110">
        <f t="shared" si="10"/>
        <v>9078.3687564181928</v>
      </c>
      <c r="T13" s="110">
        <f t="shared" si="10"/>
        <v>9780.7760694557874</v>
      </c>
      <c r="U13" s="110">
        <f t="shared" si="10"/>
        <v>9430.2773646482274</v>
      </c>
      <c r="V13" s="110">
        <f t="shared" si="10"/>
        <v>3218.7376971472922</v>
      </c>
      <c r="W13" s="110">
        <f t="shared" ref="W13" si="11">W14+W15+W16</f>
        <v>4236.5990707664605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11.618779579814783</v>
      </c>
      <c r="C14" s="102">
        <f>TrAvia_act!C$5</f>
        <v>26.873350389762784</v>
      </c>
      <c r="D14" s="102">
        <f>TrAvia_act!D$5</f>
        <v>16.568022702950227</v>
      </c>
      <c r="E14" s="102">
        <f>TrAvia_act!E$5</f>
        <v>15.310667331693995</v>
      </c>
      <c r="F14" s="102">
        <f>TrAvia_act!F$5</f>
        <v>12.960846365222796</v>
      </c>
      <c r="G14" s="102">
        <f>TrAvia_act!G$5</f>
        <v>14.767308342609345</v>
      </c>
      <c r="H14" s="102">
        <f>TrAvia_act!H$5</f>
        <v>22.621798444620001</v>
      </c>
      <c r="I14" s="102">
        <f>TrAvia_act!I$5</f>
        <v>33.930937893759655</v>
      </c>
      <c r="J14" s="102">
        <f>TrAvia_act!J$5</f>
        <v>52.74628370270522</v>
      </c>
      <c r="K14" s="102">
        <f>TrAvia_act!K$5</f>
        <v>62.163519633300268</v>
      </c>
      <c r="L14" s="102">
        <f>TrAvia_act!L$5</f>
        <v>65.090960892059229</v>
      </c>
      <c r="M14" s="102">
        <f>TrAvia_act!M$5</f>
        <v>73.822700867393621</v>
      </c>
      <c r="N14" s="102">
        <f>TrAvia_act!N$5</f>
        <v>75.967799852320383</v>
      </c>
      <c r="O14" s="102">
        <f>TrAvia_act!O$5</f>
        <v>64.753095412406836</v>
      </c>
      <c r="P14" s="102">
        <f>TrAvia_act!P$5</f>
        <v>58.351105668017517</v>
      </c>
      <c r="Q14" s="102">
        <f>TrAvia_act!Q$5</f>
        <v>59.380850727014987</v>
      </c>
      <c r="R14" s="102">
        <f>TrAvia_act!R$5</f>
        <v>59.858682344644123</v>
      </c>
      <c r="S14" s="102">
        <f>TrAvia_act!S$5</f>
        <v>105.6945115197579</v>
      </c>
      <c r="T14" s="102">
        <f>TrAvia_act!T$5</f>
        <v>118.71147552756409</v>
      </c>
      <c r="U14" s="102">
        <f>TrAvia_act!U$5</f>
        <v>108.4121445574515</v>
      </c>
      <c r="V14" s="102">
        <f>TrAvia_act!V$5</f>
        <v>52.138464875647685</v>
      </c>
      <c r="W14" s="102">
        <f>TrAvia_act!W$5</f>
        <v>80.939625478499778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1771.7589377476454</v>
      </c>
      <c r="C15" s="102">
        <f>TrAvia_act!C$6</f>
        <v>2305.8085163066112</v>
      </c>
      <c r="D15" s="102">
        <f>TrAvia_act!D$6</f>
        <v>2748.7112931676784</v>
      </c>
      <c r="E15" s="102">
        <f>TrAvia_act!E$6</f>
        <v>3476.212678772707</v>
      </c>
      <c r="F15" s="102">
        <f>TrAvia_act!F$6</f>
        <v>3229.4781098373187</v>
      </c>
      <c r="G15" s="102">
        <f>TrAvia_act!G$6</f>
        <v>3858.8785041955116</v>
      </c>
      <c r="H15" s="102">
        <f>TrAvia_act!H$6</f>
        <v>4451.1774975554381</v>
      </c>
      <c r="I15" s="102">
        <f>TrAvia_act!I$6</f>
        <v>4466.54748287844</v>
      </c>
      <c r="J15" s="102">
        <f>TrAvia_act!J$6</f>
        <v>4336.6018350380045</v>
      </c>
      <c r="K15" s="102">
        <f>TrAvia_act!K$6</f>
        <v>3836.9155914355956</v>
      </c>
      <c r="L15" s="102">
        <f>TrAvia_act!L$6</f>
        <v>3944.6979452786541</v>
      </c>
      <c r="M15" s="102">
        <f>TrAvia_act!M$6</f>
        <v>4081.0590771492434</v>
      </c>
      <c r="N15" s="102">
        <f>TrAvia_act!N$6</f>
        <v>4148.8329261454091</v>
      </c>
      <c r="O15" s="102">
        <f>TrAvia_act!O$6</f>
        <v>4115.9068124571186</v>
      </c>
      <c r="P15" s="102">
        <f>TrAvia_act!P$6</f>
        <v>4281.4062945706419</v>
      </c>
      <c r="Q15" s="102">
        <f>TrAvia_act!Q$6</f>
        <v>4459.0912105835687</v>
      </c>
      <c r="R15" s="102">
        <f>TrAvia_act!R$6</f>
        <v>5607.4007572605396</v>
      </c>
      <c r="S15" s="102">
        <f>TrAvia_act!S$6</f>
        <v>6994.2044760280141</v>
      </c>
      <c r="T15" s="102">
        <f>TrAvia_act!T$6</f>
        <v>7612.9653815222682</v>
      </c>
      <c r="U15" s="102">
        <f>TrAvia_act!U$6</f>
        <v>7348.6095491641181</v>
      </c>
      <c r="V15" s="102">
        <f>TrAvia_act!V$6</f>
        <v>2688.6399071561891</v>
      </c>
      <c r="W15" s="102">
        <f>TrAvia_act!W$6</f>
        <v>3287.8305501669406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281.59417190545616</v>
      </c>
      <c r="C16" s="102">
        <f>TrAvia_act!C$7</f>
        <v>365.75555642520288</v>
      </c>
      <c r="D16" s="102">
        <f>TrAvia_act!D$7</f>
        <v>440.03704496123424</v>
      </c>
      <c r="E16" s="102">
        <f>TrAvia_act!E$7</f>
        <v>568.91500695126831</v>
      </c>
      <c r="F16" s="102">
        <f>TrAvia_act!F$7</f>
        <v>541.49993134082661</v>
      </c>
      <c r="G16" s="102">
        <f>TrAvia_act!G$7</f>
        <v>541.14836833092704</v>
      </c>
      <c r="H16" s="102">
        <f>TrAvia_act!H$7</f>
        <v>583.2431356246293</v>
      </c>
      <c r="I16" s="102">
        <f>TrAvia_act!I$7</f>
        <v>730.24820524310485</v>
      </c>
      <c r="J16" s="102">
        <f>TrAvia_act!J$7</f>
        <v>909.78852961519726</v>
      </c>
      <c r="K16" s="102">
        <f>TrAvia_act!K$7</f>
        <v>875.56192129354451</v>
      </c>
      <c r="L16" s="102">
        <f>TrAvia_act!L$7</f>
        <v>1123.9821738858307</v>
      </c>
      <c r="M16" s="102">
        <f>TrAvia_act!M$7</f>
        <v>1190.7261315617102</v>
      </c>
      <c r="N16" s="102">
        <f>TrAvia_act!N$7</f>
        <v>1329.8807771874876</v>
      </c>
      <c r="O16" s="102">
        <f>TrAvia_act!O$7</f>
        <v>1553.6620682048394</v>
      </c>
      <c r="P16" s="102">
        <f>TrAvia_act!P$7</f>
        <v>1809.173948280164</v>
      </c>
      <c r="Q16" s="102">
        <f>TrAvia_act!Q$7</f>
        <v>1652.8578053626668</v>
      </c>
      <c r="R16" s="102">
        <f>TrAvia_act!R$7</f>
        <v>2102.6425464015865</v>
      </c>
      <c r="S16" s="102">
        <f>TrAvia_act!S$7</f>
        <v>1978.4697688704202</v>
      </c>
      <c r="T16" s="102">
        <f>TrAvia_act!T$7</f>
        <v>2049.0992124059544</v>
      </c>
      <c r="U16" s="102">
        <f>TrAvia_act!U$7</f>
        <v>1973.2556709266571</v>
      </c>
      <c r="V16" s="102">
        <f>TrAvia_act!V$7</f>
        <v>477.95932511545584</v>
      </c>
      <c r="W16" s="102">
        <f>TrAvia_act!W$7</f>
        <v>867.82889512101985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13640.182332040358</v>
      </c>
      <c r="C17" s="28">
        <f t="shared" si="12"/>
        <v>13643.905938776405</v>
      </c>
      <c r="D17" s="28">
        <f t="shared" si="12"/>
        <v>14413.601072124304</v>
      </c>
      <c r="E17" s="28">
        <f t="shared" si="12"/>
        <v>15887.272679477643</v>
      </c>
      <c r="F17" s="28">
        <f t="shared" si="12"/>
        <v>16813.405762903356</v>
      </c>
      <c r="G17" s="28">
        <f t="shared" si="12"/>
        <v>17439.129381322811</v>
      </c>
      <c r="H17" s="28">
        <f t="shared" si="12"/>
        <v>17737.080373648045</v>
      </c>
      <c r="I17" s="28">
        <f t="shared" si="12"/>
        <v>17347.546073154685</v>
      </c>
      <c r="J17" s="28">
        <f t="shared" si="12"/>
        <v>18062.096430249003</v>
      </c>
      <c r="K17" s="28">
        <f t="shared" si="12"/>
        <v>18052.356376124029</v>
      </c>
      <c r="L17" s="28">
        <f t="shared" si="12"/>
        <v>18739.485158863899</v>
      </c>
      <c r="M17" s="28">
        <f t="shared" si="12"/>
        <v>18132.926886677804</v>
      </c>
      <c r="N17" s="28">
        <f t="shared" si="12"/>
        <v>18356.170351210963</v>
      </c>
      <c r="O17" s="28">
        <f t="shared" si="12"/>
        <v>20412.329538552287</v>
      </c>
      <c r="P17" s="28">
        <f t="shared" si="12"/>
        <v>19735.696093039427</v>
      </c>
      <c r="Q17" s="28">
        <f t="shared" si="12"/>
        <v>21417.228078117383</v>
      </c>
      <c r="R17" s="28">
        <f t="shared" ref="R17:V17" si="13">R18+R21+R22+R26</f>
        <v>21076.66751366375</v>
      </c>
      <c r="S17" s="28">
        <f t="shared" si="13"/>
        <v>22099.998138795949</v>
      </c>
      <c r="T17" s="28">
        <f t="shared" si="13"/>
        <v>20663.26561307858</v>
      </c>
      <c r="U17" s="28">
        <f t="shared" si="13"/>
        <v>19276.34899078677</v>
      </c>
      <c r="V17" s="28">
        <f t="shared" si="13"/>
        <v>22528.608901905871</v>
      </c>
      <c r="W17" s="28">
        <f t="shared" ref="W17" si="14">W18+W21+W22+W26</f>
        <v>24438.160715749429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7779.6002097903211</v>
      </c>
      <c r="C18" s="137">
        <f t="shared" si="15"/>
        <v>8317.389504658704</v>
      </c>
      <c r="D18" s="137">
        <f t="shared" si="15"/>
        <v>9216.2725944624199</v>
      </c>
      <c r="E18" s="137">
        <f t="shared" si="15"/>
        <v>9990.1980992718145</v>
      </c>
      <c r="F18" s="137">
        <f t="shared" si="15"/>
        <v>10895.235107528963</v>
      </c>
      <c r="G18" s="137">
        <f t="shared" si="15"/>
        <v>11507.375903218863</v>
      </c>
      <c r="H18" s="137">
        <f t="shared" si="15"/>
        <v>11543.06884487378</v>
      </c>
      <c r="I18" s="137">
        <f t="shared" si="15"/>
        <v>11081.369967176328</v>
      </c>
      <c r="J18" s="137">
        <f t="shared" si="15"/>
        <v>10464.992473694654</v>
      </c>
      <c r="K18" s="137">
        <f t="shared" si="15"/>
        <v>9452.3504960245336</v>
      </c>
      <c r="L18" s="137">
        <f t="shared" si="15"/>
        <v>9596.0506654966539</v>
      </c>
      <c r="M18" s="137">
        <f t="shared" si="15"/>
        <v>10509.117570757111</v>
      </c>
      <c r="N18" s="137">
        <f t="shared" si="15"/>
        <v>10088.879077327383</v>
      </c>
      <c r="O18" s="137">
        <f t="shared" si="15"/>
        <v>11779.564090677584</v>
      </c>
      <c r="P18" s="137">
        <f t="shared" si="15"/>
        <v>11203.316321846194</v>
      </c>
      <c r="Q18" s="137">
        <f t="shared" si="15"/>
        <v>12135.138742865656</v>
      </c>
      <c r="R18" s="137">
        <f t="shared" ref="R18:V18" si="16">R19+R20</f>
        <v>12120.012267216551</v>
      </c>
      <c r="S18" s="137">
        <f t="shared" si="16"/>
        <v>12839.515364847259</v>
      </c>
      <c r="T18" s="137">
        <f t="shared" si="16"/>
        <v>11942.343509853734</v>
      </c>
      <c r="U18" s="137">
        <f t="shared" si="16"/>
        <v>9481.6700822808671</v>
      </c>
      <c r="V18" s="137">
        <f t="shared" si="16"/>
        <v>11743.829475928002</v>
      </c>
      <c r="W18" s="137">
        <f t="shared" ref="W18" si="17">W19+W20</f>
        <v>13967.168405989869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416.1826622779837</v>
      </c>
      <c r="C19" s="102">
        <f>TrRoad_act!C$20</f>
        <v>398.58615862042979</v>
      </c>
      <c r="D19" s="102">
        <f>TrRoad_act!D$20</f>
        <v>404.64820807779017</v>
      </c>
      <c r="E19" s="102">
        <f>TrRoad_act!E$20</f>
        <v>444.91711706399178</v>
      </c>
      <c r="F19" s="102">
        <f>TrRoad_act!F$20</f>
        <v>526.93187778224512</v>
      </c>
      <c r="G19" s="102">
        <f>TrRoad_act!G$20</f>
        <v>500.34009269146514</v>
      </c>
      <c r="H19" s="102">
        <f>TrRoad_act!H$20</f>
        <v>570.19626859859738</v>
      </c>
      <c r="I19" s="102">
        <f>TrRoad_act!I$20</f>
        <v>641.5822122778668</v>
      </c>
      <c r="J19" s="102">
        <f>TrRoad_act!J$20</f>
        <v>696.01189558660178</v>
      </c>
      <c r="K19" s="102">
        <f>TrRoad_act!K$20</f>
        <v>705.81536894222324</v>
      </c>
      <c r="L19" s="102">
        <f>TrRoad_act!L$20</f>
        <v>701.90327886725333</v>
      </c>
      <c r="M19" s="102">
        <f>TrRoad_act!M$20</f>
        <v>779.93801333314184</v>
      </c>
      <c r="N19" s="102">
        <f>TrRoad_act!N$20</f>
        <v>821.61135758004252</v>
      </c>
      <c r="O19" s="102">
        <f>TrRoad_act!O$20</f>
        <v>824.50687664035922</v>
      </c>
      <c r="P19" s="102">
        <f>TrRoad_act!P$20</f>
        <v>860.33517432270833</v>
      </c>
      <c r="Q19" s="102">
        <f>TrRoad_act!Q$20</f>
        <v>956.3247236757361</v>
      </c>
      <c r="R19" s="102">
        <f>TrRoad_act!R$20</f>
        <v>945.61226984154075</v>
      </c>
      <c r="S19" s="102">
        <f>TrRoad_act!S$20</f>
        <v>803.66762342849643</v>
      </c>
      <c r="T19" s="102">
        <f>TrRoad_act!T$20</f>
        <v>799.34350985373408</v>
      </c>
      <c r="U19" s="102">
        <f>TrRoad_act!U$20</f>
        <v>775.67008228086615</v>
      </c>
      <c r="V19" s="102">
        <f>TrRoad_act!V$20</f>
        <v>738.82947592800122</v>
      </c>
      <c r="W19" s="102">
        <f>TrRoad_act!W$20</f>
        <v>700.16840598986948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7363.4175475123375</v>
      </c>
      <c r="C20" s="102">
        <f>TrRoad_act!C$26</f>
        <v>7918.803346038274</v>
      </c>
      <c r="D20" s="102">
        <f>TrRoad_act!D$26</f>
        <v>8811.6243863846303</v>
      </c>
      <c r="E20" s="102">
        <f>TrRoad_act!E$26</f>
        <v>9545.2809822078234</v>
      </c>
      <c r="F20" s="102">
        <f>TrRoad_act!F$26</f>
        <v>10368.303229746718</v>
      </c>
      <c r="G20" s="102">
        <f>TrRoad_act!G$26</f>
        <v>11007.035810527397</v>
      </c>
      <c r="H20" s="102">
        <f>TrRoad_act!H$26</f>
        <v>10972.872576275182</v>
      </c>
      <c r="I20" s="102">
        <f>TrRoad_act!I$26</f>
        <v>10439.787754898462</v>
      </c>
      <c r="J20" s="102">
        <f>TrRoad_act!J$26</f>
        <v>9768.9805781080522</v>
      </c>
      <c r="K20" s="102">
        <f>TrRoad_act!K$26</f>
        <v>8746.5351270823103</v>
      </c>
      <c r="L20" s="102">
        <f>TrRoad_act!L$26</f>
        <v>8894.1473866294</v>
      </c>
      <c r="M20" s="102">
        <f>TrRoad_act!M$26</f>
        <v>9729.1795574239695</v>
      </c>
      <c r="N20" s="102">
        <f>TrRoad_act!N$26</f>
        <v>9267.2677197473404</v>
      </c>
      <c r="O20" s="102">
        <f>TrRoad_act!O$26</f>
        <v>10955.057214037226</v>
      </c>
      <c r="P20" s="102">
        <f>TrRoad_act!P$26</f>
        <v>10342.981147523486</v>
      </c>
      <c r="Q20" s="102">
        <f>TrRoad_act!Q$26</f>
        <v>11178.81401918992</v>
      </c>
      <c r="R20" s="102">
        <f>TrRoad_act!R$26</f>
        <v>11174.399997375011</v>
      </c>
      <c r="S20" s="102">
        <f>TrRoad_act!S$26</f>
        <v>12035.847741418762</v>
      </c>
      <c r="T20" s="102">
        <f>TrRoad_act!T$26</f>
        <v>11143</v>
      </c>
      <c r="U20" s="102">
        <f>TrRoad_act!U$26</f>
        <v>8706</v>
      </c>
      <c r="V20" s="102">
        <f>TrRoad_act!V$26</f>
        <v>11005</v>
      </c>
      <c r="W20" s="102">
        <f>TrRoad_act!W$26</f>
        <v>13267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5538</v>
      </c>
      <c r="C21" s="110">
        <f>TrRail_act!C$10</f>
        <v>4900</v>
      </c>
      <c r="D21" s="110">
        <f>TrRail_act!D$10</f>
        <v>4627</v>
      </c>
      <c r="E21" s="110">
        <f>TrRail_act!E$10</f>
        <v>5274</v>
      </c>
      <c r="F21" s="110">
        <f>TrRail_act!F$10</f>
        <v>5211</v>
      </c>
      <c r="G21" s="110">
        <f>TrRail_act!G$10</f>
        <v>5163</v>
      </c>
      <c r="H21" s="110">
        <f>TrRail_act!H$10</f>
        <v>5396</v>
      </c>
      <c r="I21" s="110">
        <f>TrRail_act!I$10</f>
        <v>5241</v>
      </c>
      <c r="J21" s="110">
        <f>TrRail_act!J$10</f>
        <v>4693</v>
      </c>
      <c r="K21" s="110">
        <f>TrRail_act!K$10</f>
        <v>3145</v>
      </c>
      <c r="L21" s="110">
        <f>TrRail_act!L$10</f>
        <v>3064</v>
      </c>
      <c r="M21" s="110">
        <f>TrRail_act!M$10</f>
        <v>3291</v>
      </c>
      <c r="N21" s="110">
        <f>TrRail_act!N$10</f>
        <v>2907</v>
      </c>
      <c r="O21" s="110">
        <f>TrRail_act!O$10</f>
        <v>3246</v>
      </c>
      <c r="P21" s="110">
        <f>TrRail_act!P$10</f>
        <v>3439</v>
      </c>
      <c r="Q21" s="110">
        <f>TrRail_act!Q$10</f>
        <v>3650</v>
      </c>
      <c r="R21" s="110">
        <f>TrRail_act!R$10</f>
        <v>3434</v>
      </c>
      <c r="S21" s="110">
        <f>TrRail_act!S$10</f>
        <v>3931</v>
      </c>
      <c r="T21" s="110">
        <f>TrRail_act!T$10</f>
        <v>3824</v>
      </c>
      <c r="U21" s="110">
        <f>TrRail_act!U$10</f>
        <v>3902</v>
      </c>
      <c r="V21" s="110">
        <f>TrRail_act!V$10</f>
        <v>4503</v>
      </c>
      <c r="W21" s="110">
        <f>TrRail_act!W$10</f>
        <v>4657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9.582122250037127</v>
      </c>
      <c r="C22" s="110">
        <f t="shared" ref="C22:V22" si="19">C23+C24+C25</f>
        <v>8.5164341177004417</v>
      </c>
      <c r="D22" s="110">
        <f t="shared" si="19"/>
        <v>9.3284776618845946</v>
      </c>
      <c r="E22" s="110">
        <f t="shared" si="19"/>
        <v>10.074580205827584</v>
      </c>
      <c r="F22" s="110">
        <f t="shared" si="19"/>
        <v>10.170655374395514</v>
      </c>
      <c r="G22" s="110">
        <f t="shared" si="19"/>
        <v>11.753478103950282</v>
      </c>
      <c r="H22" s="110">
        <f t="shared" si="19"/>
        <v>13.011528774266242</v>
      </c>
      <c r="I22" s="110">
        <f t="shared" si="19"/>
        <v>14.176105978356773</v>
      </c>
      <c r="J22" s="110">
        <f t="shared" si="19"/>
        <v>14.10395655434742</v>
      </c>
      <c r="K22" s="110">
        <f t="shared" si="19"/>
        <v>19.005880099493169</v>
      </c>
      <c r="L22" s="110">
        <f t="shared" si="19"/>
        <v>31.434493367245793</v>
      </c>
      <c r="M22" s="110">
        <f t="shared" si="19"/>
        <v>22.80931592069323</v>
      </c>
      <c r="N22" s="110">
        <f t="shared" si="19"/>
        <v>11.29127388357977</v>
      </c>
      <c r="O22" s="110">
        <f t="shared" si="19"/>
        <v>12.765447874705313</v>
      </c>
      <c r="P22" s="110">
        <f t="shared" si="19"/>
        <v>19.379771193231207</v>
      </c>
      <c r="Q22" s="110">
        <f t="shared" si="19"/>
        <v>37.089335251728734</v>
      </c>
      <c r="R22" s="110">
        <f t="shared" si="19"/>
        <v>45.655246447199588</v>
      </c>
      <c r="S22" s="110">
        <f t="shared" si="19"/>
        <v>50.482773948688958</v>
      </c>
      <c r="T22" s="110">
        <f t="shared" si="19"/>
        <v>38.922103224846282</v>
      </c>
      <c r="U22" s="110">
        <f t="shared" si="19"/>
        <v>25.678908505904573</v>
      </c>
      <c r="V22" s="110">
        <f t="shared" si="19"/>
        <v>25.779425977866772</v>
      </c>
      <c r="W22" s="110">
        <f t="shared" ref="W22" si="20">W23+W24+W25</f>
        <v>21.992309759561387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6.4656732428438701</v>
      </c>
      <c r="C24" s="102">
        <f>TrAvia_act!C$10</f>
        <v>4.1635076886904701</v>
      </c>
      <c r="D24" s="102">
        <f>TrAvia_act!D$10</f>
        <v>4.3039233825953298</v>
      </c>
      <c r="E24" s="102">
        <f>TrAvia_act!E$10</f>
        <v>4.5744055563162211</v>
      </c>
      <c r="F24" s="102">
        <f>TrAvia_act!F$10</f>
        <v>4.4288025141191865</v>
      </c>
      <c r="G24" s="102">
        <f>TrAvia_act!G$10</f>
        <v>5.5408902799160593</v>
      </c>
      <c r="H24" s="102">
        <f>TrAvia_act!H$10</f>
        <v>6.1775584560471497</v>
      </c>
      <c r="I24" s="102">
        <f>TrAvia_act!I$10</f>
        <v>6.5674269758021504</v>
      </c>
      <c r="J24" s="102">
        <f>TrAvia_act!J$10</f>
        <v>7.2705954730890898</v>
      </c>
      <c r="K24" s="102">
        <f>TrAvia_act!K$10</f>
        <v>6.2434837101952265</v>
      </c>
      <c r="L24" s="102">
        <f>TrAvia_act!L$10</f>
        <v>6.455473357653541</v>
      </c>
      <c r="M24" s="102">
        <f>TrAvia_act!M$10</f>
        <v>5.9221872212111411</v>
      </c>
      <c r="N24" s="102">
        <f>TrAvia_act!N$10</f>
        <v>6.5426967261801199</v>
      </c>
      <c r="O24" s="102">
        <f>TrAvia_act!O$10</f>
        <v>7.0222064989221771</v>
      </c>
      <c r="P24" s="102">
        <f>TrAvia_act!P$10</f>
        <v>8.2578320934978287</v>
      </c>
      <c r="Q24" s="102">
        <f>TrAvia_act!Q$10</f>
        <v>8.5916994168607541</v>
      </c>
      <c r="R24" s="102">
        <f>TrAvia_act!R$10</f>
        <v>9.1913013360683689</v>
      </c>
      <c r="S24" s="102">
        <f>TrAvia_act!S$10</f>
        <v>9.9088055358465859</v>
      </c>
      <c r="T24" s="102">
        <f>TrAvia_act!T$10</f>
        <v>11.084366255818235</v>
      </c>
      <c r="U24" s="102">
        <f>TrAvia_act!U$10</f>
        <v>13.611474705275876</v>
      </c>
      <c r="V24" s="102">
        <f>TrAvia_act!V$10</f>
        <v>11.549754534007175</v>
      </c>
      <c r="W24" s="102">
        <f>TrAvia_act!W$10</f>
        <v>10.527758563293208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3.1164490071932569</v>
      </c>
      <c r="C25" s="102">
        <f>TrAvia_act!C$11</f>
        <v>4.3529264290099725</v>
      </c>
      <c r="D25" s="102">
        <f>TrAvia_act!D$11</f>
        <v>5.0245542792892657</v>
      </c>
      <c r="E25" s="102">
        <f>TrAvia_act!E$11</f>
        <v>5.5001746495113615</v>
      </c>
      <c r="F25" s="102">
        <f>TrAvia_act!F$11</f>
        <v>5.7418528602763272</v>
      </c>
      <c r="G25" s="102">
        <f>TrAvia_act!G$11</f>
        <v>6.2125878240342232</v>
      </c>
      <c r="H25" s="102">
        <f>TrAvia_act!H$11</f>
        <v>6.8339703182190918</v>
      </c>
      <c r="I25" s="102">
        <f>TrAvia_act!I$11</f>
        <v>7.6086790025546227</v>
      </c>
      <c r="J25" s="102">
        <f>TrAvia_act!J$11</f>
        <v>6.833361081258329</v>
      </c>
      <c r="K25" s="102">
        <f>TrAvia_act!K$11</f>
        <v>12.76239638929794</v>
      </c>
      <c r="L25" s="102">
        <f>TrAvia_act!L$11</f>
        <v>24.979020009592251</v>
      </c>
      <c r="M25" s="102">
        <f>TrAvia_act!M$11</f>
        <v>16.887128699482087</v>
      </c>
      <c r="N25" s="102">
        <f>TrAvia_act!N$11</f>
        <v>4.7485771573996507</v>
      </c>
      <c r="O25" s="102">
        <f>TrAvia_act!O$11</f>
        <v>5.7432413757831355</v>
      </c>
      <c r="P25" s="102">
        <f>TrAvia_act!P$11</f>
        <v>11.121939099733376</v>
      </c>
      <c r="Q25" s="102">
        <f>TrAvia_act!Q$11</f>
        <v>28.497635834867978</v>
      </c>
      <c r="R25" s="102">
        <f>TrAvia_act!R$11</f>
        <v>36.463945111131217</v>
      </c>
      <c r="S25" s="102">
        <f>TrAvia_act!S$11</f>
        <v>40.573968412842369</v>
      </c>
      <c r="T25" s="102">
        <f>TrAvia_act!T$11</f>
        <v>27.837736969028043</v>
      </c>
      <c r="U25" s="102">
        <f>TrAvia_act!U$11</f>
        <v>12.067433800628695</v>
      </c>
      <c r="V25" s="102">
        <f>TrAvia_act!V$11</f>
        <v>14.229671443859596</v>
      </c>
      <c r="W25" s="102">
        <f>TrAvia_act!W$11</f>
        <v>11.464551196268181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313</v>
      </c>
      <c r="C26" s="110">
        <f t="shared" si="21"/>
        <v>418</v>
      </c>
      <c r="D26" s="110">
        <f t="shared" si="21"/>
        <v>561</v>
      </c>
      <c r="E26" s="110">
        <f t="shared" si="21"/>
        <v>613</v>
      </c>
      <c r="F26" s="110">
        <f t="shared" si="21"/>
        <v>697</v>
      </c>
      <c r="G26" s="110">
        <f t="shared" si="21"/>
        <v>757</v>
      </c>
      <c r="H26" s="110">
        <f t="shared" si="21"/>
        <v>785</v>
      </c>
      <c r="I26" s="110">
        <f t="shared" si="21"/>
        <v>1010.9999999999999</v>
      </c>
      <c r="J26" s="110">
        <f t="shared" si="21"/>
        <v>2890</v>
      </c>
      <c r="K26" s="110">
        <f t="shared" si="21"/>
        <v>5436</v>
      </c>
      <c r="L26" s="110">
        <f t="shared" si="21"/>
        <v>6048</v>
      </c>
      <c r="M26" s="110">
        <f t="shared" si="21"/>
        <v>4310</v>
      </c>
      <c r="N26" s="110">
        <f t="shared" si="21"/>
        <v>5349</v>
      </c>
      <c r="O26" s="110">
        <f t="shared" si="21"/>
        <v>5374</v>
      </c>
      <c r="P26" s="110">
        <f t="shared" si="21"/>
        <v>5074</v>
      </c>
      <c r="Q26" s="110">
        <f t="shared" si="21"/>
        <v>5595</v>
      </c>
      <c r="R26" s="110">
        <f t="shared" ref="R26:V26" si="22">R27+R28</f>
        <v>5477</v>
      </c>
      <c r="S26" s="110">
        <f t="shared" si="22"/>
        <v>5279</v>
      </c>
      <c r="T26" s="110">
        <f t="shared" si="22"/>
        <v>4858</v>
      </c>
      <c r="U26" s="110">
        <f t="shared" si="22"/>
        <v>5867</v>
      </c>
      <c r="V26" s="110">
        <f t="shared" si="22"/>
        <v>6256</v>
      </c>
      <c r="W26" s="110">
        <f t="shared" ref="W26" si="23">W27+W28</f>
        <v>5792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313</v>
      </c>
      <c r="C28" s="169">
        <f>TrNavi_act!C5</f>
        <v>418</v>
      </c>
      <c r="D28" s="169">
        <f>TrNavi_act!D5</f>
        <v>561</v>
      </c>
      <c r="E28" s="169">
        <f>TrNavi_act!E5</f>
        <v>613</v>
      </c>
      <c r="F28" s="169">
        <f>TrNavi_act!F5</f>
        <v>697</v>
      </c>
      <c r="G28" s="169">
        <f>TrNavi_act!G5</f>
        <v>757</v>
      </c>
      <c r="H28" s="169">
        <f>TrNavi_act!H5</f>
        <v>785</v>
      </c>
      <c r="I28" s="169">
        <f>TrNavi_act!I5</f>
        <v>1010.9999999999999</v>
      </c>
      <c r="J28" s="169">
        <f>TrNavi_act!J5</f>
        <v>2890</v>
      </c>
      <c r="K28" s="169">
        <f>TrNavi_act!K5</f>
        <v>5436</v>
      </c>
      <c r="L28" s="169">
        <f>TrNavi_act!L5</f>
        <v>6048</v>
      </c>
      <c r="M28" s="169">
        <f>TrNavi_act!M5</f>
        <v>4310</v>
      </c>
      <c r="N28" s="169">
        <f>TrNavi_act!N5</f>
        <v>5349</v>
      </c>
      <c r="O28" s="169">
        <f>TrNavi_act!O5</f>
        <v>5374</v>
      </c>
      <c r="P28" s="169">
        <f>TrNavi_act!P5</f>
        <v>5074</v>
      </c>
      <c r="Q28" s="169">
        <f>TrNavi_act!Q5</f>
        <v>5595</v>
      </c>
      <c r="R28" s="169">
        <f>TrNavi_act!R5</f>
        <v>5477</v>
      </c>
      <c r="S28" s="169">
        <f>TrNavi_act!S5</f>
        <v>5279</v>
      </c>
      <c r="T28" s="169">
        <f>TrNavi_act!T5</f>
        <v>4858</v>
      </c>
      <c r="U28" s="169">
        <f>TrNavi_act!U5</f>
        <v>5867</v>
      </c>
      <c r="V28" s="169">
        <f>TrNavi_act!V5</f>
        <v>6256</v>
      </c>
      <c r="W28" s="169">
        <f>TrNavi_act!W5</f>
        <v>5792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28461.815849999999</v>
      </c>
      <c r="C29" s="28">
        <f t="shared" si="24"/>
        <v>42274.941124999998</v>
      </c>
      <c r="D29" s="28">
        <f t="shared" si="24"/>
        <v>41103.690401</v>
      </c>
      <c r="E29" s="28">
        <f t="shared" si="24"/>
        <v>47131.873369000008</v>
      </c>
      <c r="F29" s="28">
        <f t="shared" si="24"/>
        <v>48088.492197999993</v>
      </c>
      <c r="G29" s="28">
        <f t="shared" si="24"/>
        <v>50414.280232999998</v>
      </c>
      <c r="H29" s="28">
        <f t="shared" si="24"/>
        <v>54577.504864999995</v>
      </c>
      <c r="I29" s="28">
        <f t="shared" si="24"/>
        <v>39533.332917</v>
      </c>
      <c r="J29" s="28">
        <f t="shared" si="24"/>
        <v>39031.284270999997</v>
      </c>
      <c r="K29" s="28">
        <f t="shared" si="24"/>
        <v>33276.079912000001</v>
      </c>
      <c r="L29" s="28">
        <f t="shared" si="24"/>
        <v>34149.972772000001</v>
      </c>
      <c r="M29" s="28">
        <f t="shared" si="24"/>
        <v>32107.797025</v>
      </c>
      <c r="N29" s="28">
        <f t="shared" si="24"/>
        <v>31559.266976999999</v>
      </c>
      <c r="O29" s="28">
        <f t="shared" si="24"/>
        <v>43158.272568999993</v>
      </c>
      <c r="P29" s="28">
        <f t="shared" si="24"/>
        <v>44637.227810999997</v>
      </c>
      <c r="Q29" s="28">
        <f t="shared" si="24"/>
        <v>43390.032032000003</v>
      </c>
      <c r="R29" s="28">
        <f t="shared" si="24"/>
        <v>47686.152481999998</v>
      </c>
      <c r="S29" s="28">
        <f t="shared" si="24"/>
        <v>48029.495503999999</v>
      </c>
      <c r="T29" s="28">
        <f t="shared" si="24"/>
        <v>47467.022390999999</v>
      </c>
      <c r="U29" s="28">
        <f t="shared" si="24"/>
        <v>50915.292296999993</v>
      </c>
      <c r="V29" s="28">
        <f t="shared" si="24"/>
        <v>38524.078609000004</v>
      </c>
      <c r="W29" s="28">
        <f t="shared" si="24"/>
        <v>45404.572746999998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6801.1359659999998</v>
      </c>
      <c r="C30" s="102">
        <f>MBunk_act!C$4</f>
        <v>9904.2685430000001</v>
      </c>
      <c r="D30" s="102">
        <f>MBunk_act!D$4</f>
        <v>10044.867182</v>
      </c>
      <c r="E30" s="102">
        <f>MBunk_act!E$4</f>
        <v>7254.067153</v>
      </c>
      <c r="F30" s="102">
        <f>MBunk_act!F$4</f>
        <v>6609.9567299999999</v>
      </c>
      <c r="G30" s="102">
        <f>MBunk_act!G$4</f>
        <v>6715.6699619999999</v>
      </c>
      <c r="H30" s="102">
        <f>MBunk_act!H$4</f>
        <v>8568.1017780000002</v>
      </c>
      <c r="I30" s="102">
        <f>MBunk_act!I$4</f>
        <v>4040.0720379999998</v>
      </c>
      <c r="J30" s="102">
        <f>MBunk_act!J$4</f>
        <v>5102.6238890000004</v>
      </c>
      <c r="K30" s="102">
        <f>MBunk_act!K$4</f>
        <v>9422.0155740000009</v>
      </c>
      <c r="L30" s="102">
        <f>MBunk_act!L$4</f>
        <v>7952.7138000000004</v>
      </c>
      <c r="M30" s="102">
        <f>MBunk_act!M$4</f>
        <v>9634.1764210000001</v>
      </c>
      <c r="N30" s="102">
        <f>MBunk_act!N$4</f>
        <v>9022.7573999999986</v>
      </c>
      <c r="O30" s="102">
        <f>MBunk_act!O$4</f>
        <v>12692.614036999999</v>
      </c>
      <c r="P30" s="102">
        <f>MBunk_act!P$4</f>
        <v>10726.698391</v>
      </c>
      <c r="Q30" s="102">
        <f>MBunk_act!Q$4</f>
        <v>8708.6275270000006</v>
      </c>
      <c r="R30" s="102">
        <f>MBunk_act!R$4</f>
        <v>11836.200758000001</v>
      </c>
      <c r="S30" s="102">
        <f>MBunk_act!S$4</f>
        <v>13279.330486999999</v>
      </c>
      <c r="T30" s="102">
        <f>MBunk_act!T$4</f>
        <v>14782.834084</v>
      </c>
      <c r="U30" s="102">
        <f>MBunk_act!U$4</f>
        <v>14505.801914</v>
      </c>
      <c r="V30" s="102">
        <f>MBunk_act!V$4</f>
        <v>11232.519242999999</v>
      </c>
      <c r="W30" s="102">
        <f>MBunk_act!W$4</f>
        <v>10739.145908999999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21660.679884000001</v>
      </c>
      <c r="C31" s="86">
        <f>MBunk_act!C$5</f>
        <v>32370.672581999999</v>
      </c>
      <c r="D31" s="86">
        <f>MBunk_act!D$5</f>
        <v>31058.823219000002</v>
      </c>
      <c r="E31" s="86">
        <f>MBunk_act!E$5</f>
        <v>39877.806216000004</v>
      </c>
      <c r="F31" s="86">
        <f>MBunk_act!F$5</f>
        <v>41478.535467999995</v>
      </c>
      <c r="G31" s="86">
        <f>MBunk_act!G$5</f>
        <v>43698.610270999998</v>
      </c>
      <c r="H31" s="86">
        <f>MBunk_act!H$5</f>
        <v>46009.403086999999</v>
      </c>
      <c r="I31" s="86">
        <f>MBunk_act!I$5</f>
        <v>35493.260879000001</v>
      </c>
      <c r="J31" s="86">
        <f>MBunk_act!J$5</f>
        <v>33928.660381999995</v>
      </c>
      <c r="K31" s="86">
        <f>MBunk_act!K$5</f>
        <v>23854.064338</v>
      </c>
      <c r="L31" s="86">
        <f>MBunk_act!L$5</f>
        <v>26197.258972000003</v>
      </c>
      <c r="M31" s="86">
        <f>MBunk_act!M$5</f>
        <v>22473.620604</v>
      </c>
      <c r="N31" s="86">
        <f>MBunk_act!N$5</f>
        <v>22536.509577000001</v>
      </c>
      <c r="O31" s="86">
        <f>MBunk_act!O$5</f>
        <v>30465.658531999998</v>
      </c>
      <c r="P31" s="86">
        <f>MBunk_act!P$5</f>
        <v>33910.529419999999</v>
      </c>
      <c r="Q31" s="86">
        <f>MBunk_act!Q$5</f>
        <v>34681.404504999999</v>
      </c>
      <c r="R31" s="86">
        <f>MBunk_act!R$5</f>
        <v>35849.951723999999</v>
      </c>
      <c r="S31" s="86">
        <f>MBunk_act!S$5</f>
        <v>34750.165016999999</v>
      </c>
      <c r="T31" s="86">
        <f>MBunk_act!T$5</f>
        <v>32684.188307</v>
      </c>
      <c r="U31" s="86">
        <f>MBunk_act!U$5</f>
        <v>36409.490382999997</v>
      </c>
      <c r="V31" s="86">
        <f>MBunk_act!V$5</f>
        <v>27291.559366000001</v>
      </c>
      <c r="W31" s="86">
        <f>MBunk_act!W$5</f>
        <v>34665.426837999999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1474.987652059996</v>
      </c>
      <c r="C34" s="28">
        <f t="shared" si="25"/>
        <v>1552.0177435956055</v>
      </c>
      <c r="D34" s="28">
        <f t="shared" si="25"/>
        <v>1672.2399400409515</v>
      </c>
      <c r="E34" s="28">
        <f t="shared" si="25"/>
        <v>1796.7168341805389</v>
      </c>
      <c r="F34" s="28">
        <f t="shared" si="25"/>
        <v>1854.334624837953</v>
      </c>
      <c r="G34" s="28">
        <f t="shared" si="25"/>
        <v>2060.5725246972056</v>
      </c>
      <c r="H34" s="28">
        <f t="shared" si="25"/>
        <v>2173.4012073572253</v>
      </c>
      <c r="I34" s="28">
        <f t="shared" si="25"/>
        <v>2112.1686744742965</v>
      </c>
      <c r="J34" s="28">
        <f t="shared" si="25"/>
        <v>2208.5088688720025</v>
      </c>
      <c r="K34" s="28">
        <f t="shared" si="25"/>
        <v>2199.0088862940606</v>
      </c>
      <c r="L34" s="28">
        <f t="shared" si="25"/>
        <v>2157.9690341184246</v>
      </c>
      <c r="M34" s="28">
        <f t="shared" si="25"/>
        <v>2154.8912097167749</v>
      </c>
      <c r="N34" s="28">
        <f t="shared" si="25"/>
        <v>2280.8648632053023</v>
      </c>
      <c r="O34" s="28">
        <f t="shared" si="25"/>
        <v>2048.6066064799006</v>
      </c>
      <c r="P34" s="28">
        <f t="shared" si="25"/>
        <v>2323.9056830612158</v>
      </c>
      <c r="Q34" s="28">
        <f t="shared" si="25"/>
        <v>2572.938588769453</v>
      </c>
      <c r="R34" s="28">
        <f t="shared" ref="R34:V34" si="26">R35+R39+R43</f>
        <v>2672.3533506670688</v>
      </c>
      <c r="S34" s="28">
        <f t="shared" si="26"/>
        <v>2736.7222765953916</v>
      </c>
      <c r="T34" s="28">
        <f t="shared" si="26"/>
        <v>2852.655924654463</v>
      </c>
      <c r="U34" s="28">
        <f t="shared" si="26"/>
        <v>3005.9503900280324</v>
      </c>
      <c r="V34" s="28">
        <f t="shared" si="26"/>
        <v>2670.2269599927113</v>
      </c>
      <c r="W34" s="28">
        <f t="shared" ref="W34" si="27">W35+W39+W43</f>
        <v>2913.5608810222934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1331.949325850039</v>
      </c>
      <c r="C35" s="137">
        <f t="shared" si="28"/>
        <v>1362.108201502876</v>
      </c>
      <c r="D35" s="137">
        <f t="shared" si="28"/>
        <v>1480.0057557180164</v>
      </c>
      <c r="E35" s="137">
        <f t="shared" si="28"/>
        <v>1577.1731009804521</v>
      </c>
      <c r="F35" s="137">
        <f t="shared" si="28"/>
        <v>1650.1588562586367</v>
      </c>
      <c r="G35" s="137">
        <f t="shared" si="28"/>
        <v>1827.9859878568207</v>
      </c>
      <c r="H35" s="137">
        <f t="shared" si="28"/>
        <v>1936.7707206462037</v>
      </c>
      <c r="I35" s="137">
        <f t="shared" si="28"/>
        <v>1860.2130610237573</v>
      </c>
      <c r="J35" s="137">
        <f t="shared" si="28"/>
        <v>1951.9450929610198</v>
      </c>
      <c r="K35" s="137">
        <f t="shared" si="28"/>
        <v>1990.7683736752415</v>
      </c>
      <c r="L35" s="137">
        <f t="shared" si="28"/>
        <v>1947.3264782659635</v>
      </c>
      <c r="M35" s="137">
        <f t="shared" si="28"/>
        <v>1940.6533410300133</v>
      </c>
      <c r="N35" s="137">
        <f t="shared" si="28"/>
        <v>2078.9764363453464</v>
      </c>
      <c r="O35" s="137">
        <f t="shared" si="28"/>
        <v>1858.5972056328985</v>
      </c>
      <c r="P35" s="137">
        <f t="shared" si="28"/>
        <v>2130.4338330669852</v>
      </c>
      <c r="Q35" s="137">
        <f t="shared" si="28"/>
        <v>2360.9671221627905</v>
      </c>
      <c r="R35" s="137">
        <f t="shared" ref="R35:V35" si="29">R36+R37+R38</f>
        <v>2419.9763424278672</v>
      </c>
      <c r="S35" s="137">
        <f t="shared" si="29"/>
        <v>2456.5049657923914</v>
      </c>
      <c r="T35" s="137">
        <f t="shared" si="29"/>
        <v>2559.1851035207856</v>
      </c>
      <c r="U35" s="137">
        <f t="shared" si="29"/>
        <v>2733.8783673569933</v>
      </c>
      <c r="V35" s="137">
        <f t="shared" si="29"/>
        <v>2509.3877336054029</v>
      </c>
      <c r="W35" s="137">
        <f t="shared" ref="W35" si="30">W36+W37+W38</f>
        <v>2722.0136878246008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12.42420710908906</v>
      </c>
      <c r="C36" s="102">
        <f>TrRoad_ene!C$19</f>
        <v>12.733976628173769</v>
      </c>
      <c r="D36" s="102">
        <f>TrRoad_ene!D$19</f>
        <v>13.053311796047891</v>
      </c>
      <c r="E36" s="102">
        <f>TrRoad_ene!E$19</f>
        <v>13.148545372218258</v>
      </c>
      <c r="F36" s="102">
        <f>TrRoad_ene!F$19</f>
        <v>13.265764877789836</v>
      </c>
      <c r="G36" s="102">
        <f>TrRoad_ene!G$19</f>
        <v>14.196664110728653</v>
      </c>
      <c r="H36" s="102">
        <f>TrRoad_ene!H$19</f>
        <v>14.575308699894341</v>
      </c>
      <c r="I36" s="102">
        <f>TrRoad_ene!I$19</f>
        <v>15.182965821703386</v>
      </c>
      <c r="J36" s="102">
        <f>TrRoad_ene!J$19</f>
        <v>16.929940825618988</v>
      </c>
      <c r="K36" s="102">
        <f>TrRoad_ene!K$19</f>
        <v>17.802350935788549</v>
      </c>
      <c r="L36" s="102">
        <f>TrRoad_ene!L$19</f>
        <v>19.206999805497805</v>
      </c>
      <c r="M36" s="102">
        <f>TrRoad_ene!M$19</f>
        <v>20.116270577568965</v>
      </c>
      <c r="N36" s="102">
        <f>TrRoad_ene!N$19</f>
        <v>21.641038296412209</v>
      </c>
      <c r="O36" s="102">
        <f>TrRoad_ene!O$19</f>
        <v>22.752613075987178</v>
      </c>
      <c r="P36" s="102">
        <f>TrRoad_ene!P$19</f>
        <v>23.750052922164382</v>
      </c>
      <c r="Q36" s="102">
        <f>TrRoad_ene!Q$19</f>
        <v>25.375048663319806</v>
      </c>
      <c r="R36" s="102">
        <f>TrRoad_ene!R$19</f>
        <v>26.8681392423461</v>
      </c>
      <c r="S36" s="102">
        <f>TrRoad_ene!S$19</f>
        <v>25.438268163656755</v>
      </c>
      <c r="T36" s="102">
        <f>TrRoad_ene!T$19</f>
        <v>24.221412912407814</v>
      </c>
      <c r="U36" s="102">
        <f>TrRoad_ene!U$19</f>
        <v>25.788859191268109</v>
      </c>
      <c r="V36" s="102">
        <f>TrRoad_ene!V$19</f>
        <v>23.026805371729488</v>
      </c>
      <c r="W36" s="102">
        <f>TrRoad_ene!W$19</f>
        <v>22.540122716304563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1048.8634581368174</v>
      </c>
      <c r="C37" s="102">
        <f>TrRoad_ene!C$21</f>
        <v>1070.5964247529209</v>
      </c>
      <c r="D37" s="102">
        <f>TrRoad_ene!D$21</f>
        <v>1151.1886226133513</v>
      </c>
      <c r="E37" s="102">
        <f>TrRoad_ene!E$21</f>
        <v>1291.5536355025674</v>
      </c>
      <c r="F37" s="102">
        <f>TrRoad_ene!F$21</f>
        <v>1386.4858785050826</v>
      </c>
      <c r="G37" s="102">
        <f>TrRoad_ene!G$21</f>
        <v>1548.3047312108367</v>
      </c>
      <c r="H37" s="102">
        <f>TrRoad_ene!H$21</f>
        <v>1667.9401013679651</v>
      </c>
      <c r="I37" s="102">
        <f>TrRoad_ene!I$21</f>
        <v>1574.2817283769602</v>
      </c>
      <c r="J37" s="102">
        <f>TrRoad_ene!J$21</f>
        <v>1688.6435748420395</v>
      </c>
      <c r="K37" s="102">
        <f>TrRoad_ene!K$21</f>
        <v>1715.5324403386724</v>
      </c>
      <c r="L37" s="102">
        <f>TrRoad_ene!L$21</f>
        <v>1689.118425633882</v>
      </c>
      <c r="M37" s="102">
        <f>TrRoad_ene!M$21</f>
        <v>1657.7905984550023</v>
      </c>
      <c r="N37" s="102">
        <f>TrRoad_ene!N$21</f>
        <v>1814.5086989102786</v>
      </c>
      <c r="O37" s="102">
        <f>TrRoad_ene!O$21</f>
        <v>1611.168224269298</v>
      </c>
      <c r="P37" s="102">
        <f>TrRoad_ene!P$21</f>
        <v>1885.900964328966</v>
      </c>
      <c r="Q37" s="102">
        <f>TrRoad_ene!Q$21</f>
        <v>2093.1135094827564</v>
      </c>
      <c r="R37" s="102">
        <f>TrRoad_ene!R$21</f>
        <v>2161.7492430447451</v>
      </c>
      <c r="S37" s="102">
        <f>TrRoad_ene!S$21</f>
        <v>2214.61468544232</v>
      </c>
      <c r="T37" s="102">
        <f>TrRoad_ene!T$21</f>
        <v>2314.6863509279369</v>
      </c>
      <c r="U37" s="102">
        <f>TrRoad_ene!U$21</f>
        <v>2466.0293296349305</v>
      </c>
      <c r="V37" s="102">
        <f>TrRoad_ene!V$21</f>
        <v>2249.3751943900652</v>
      </c>
      <c r="W37" s="102">
        <f>TrRoad_ene!W$21</f>
        <v>2459.5653856899503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270.66166060413246</v>
      </c>
      <c r="C38" s="102">
        <f>TrRoad_ene!C$33</f>
        <v>278.77780012178113</v>
      </c>
      <c r="D38" s="102">
        <f>TrRoad_ene!D$33</f>
        <v>315.7638213086172</v>
      </c>
      <c r="E38" s="102">
        <f>TrRoad_ene!E$33</f>
        <v>272.47092010566632</v>
      </c>
      <c r="F38" s="102">
        <f>TrRoad_ene!F$33</f>
        <v>250.407212875764</v>
      </c>
      <c r="G38" s="102">
        <f>TrRoad_ene!G$33</f>
        <v>265.48459253525522</v>
      </c>
      <c r="H38" s="102">
        <f>TrRoad_ene!H$33</f>
        <v>254.25531057834419</v>
      </c>
      <c r="I38" s="102">
        <f>TrRoad_ene!I$33</f>
        <v>270.74836682509363</v>
      </c>
      <c r="J38" s="102">
        <f>TrRoad_ene!J$33</f>
        <v>246.37157729336124</v>
      </c>
      <c r="K38" s="102">
        <f>TrRoad_ene!K$33</f>
        <v>257.43358240078067</v>
      </c>
      <c r="L38" s="102">
        <f>TrRoad_ene!L$33</f>
        <v>239.00105282658359</v>
      </c>
      <c r="M38" s="102">
        <f>TrRoad_ene!M$33</f>
        <v>262.74647199744214</v>
      </c>
      <c r="N38" s="102">
        <f>TrRoad_ene!N$33</f>
        <v>242.82669913865558</v>
      </c>
      <c r="O38" s="102">
        <f>TrRoad_ene!O$33</f>
        <v>224.6763682876132</v>
      </c>
      <c r="P38" s="102">
        <f>TrRoad_ene!P$33</f>
        <v>220.78281581585475</v>
      </c>
      <c r="Q38" s="102">
        <f>TrRoad_ene!Q$33</f>
        <v>242.47856401671422</v>
      </c>
      <c r="R38" s="102">
        <f>TrRoad_ene!R$33</f>
        <v>231.35896014077628</v>
      </c>
      <c r="S38" s="102">
        <f>TrRoad_ene!S$33</f>
        <v>216.45201218641486</v>
      </c>
      <c r="T38" s="102">
        <f>TrRoad_ene!T$33</f>
        <v>220.27733968044072</v>
      </c>
      <c r="U38" s="102">
        <f>TrRoad_ene!U$33</f>
        <v>242.06017853079467</v>
      </c>
      <c r="V38" s="102">
        <f>TrRoad_ene!V$33</f>
        <v>236.98573384360819</v>
      </c>
      <c r="W38" s="102">
        <f>TrRoad_ene!W$33</f>
        <v>239.90817941834584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41.524940539503547</v>
      </c>
      <c r="C39" s="110">
        <f t="shared" si="31"/>
        <v>38.44233191992862</v>
      </c>
      <c r="D39" s="110">
        <f t="shared" si="31"/>
        <v>38.83175364829264</v>
      </c>
      <c r="E39" s="110">
        <f t="shared" si="31"/>
        <v>33.622808313466777</v>
      </c>
      <c r="F39" s="110">
        <f t="shared" si="31"/>
        <v>32.812819381922417</v>
      </c>
      <c r="G39" s="110">
        <f t="shared" si="31"/>
        <v>32.924365392145944</v>
      </c>
      <c r="H39" s="110">
        <f t="shared" si="31"/>
        <v>33.925545871788415</v>
      </c>
      <c r="I39" s="110">
        <f t="shared" si="31"/>
        <v>31.389533555067207</v>
      </c>
      <c r="J39" s="110">
        <f t="shared" si="31"/>
        <v>34.379825482464291</v>
      </c>
      <c r="K39" s="110">
        <f t="shared" si="31"/>
        <v>34.874777495352767</v>
      </c>
      <c r="L39" s="110">
        <f t="shared" si="31"/>
        <v>30.856426922866174</v>
      </c>
      <c r="M39" s="110">
        <f t="shared" si="31"/>
        <v>25.588117206221707</v>
      </c>
      <c r="N39" s="110">
        <f t="shared" si="31"/>
        <v>29.16894988430802</v>
      </c>
      <c r="O39" s="110">
        <f t="shared" si="31"/>
        <v>20.453258665090761</v>
      </c>
      <c r="P39" s="110">
        <f t="shared" si="31"/>
        <v>16.844005370878087</v>
      </c>
      <c r="Q39" s="110">
        <f t="shared" si="31"/>
        <v>24.771322730233603</v>
      </c>
      <c r="R39" s="110">
        <f t="shared" ref="R39:V39" si="32">R40+R41+R42</f>
        <v>22.954980219949054</v>
      </c>
      <c r="S39" s="110">
        <f t="shared" si="32"/>
        <v>24.757480774417068</v>
      </c>
      <c r="T39" s="110">
        <f t="shared" si="32"/>
        <v>22.702230990174616</v>
      </c>
      <c r="U39" s="110">
        <f t="shared" si="32"/>
        <v>29.275668240050386</v>
      </c>
      <c r="V39" s="110">
        <f t="shared" si="32"/>
        <v>24.337238901820612</v>
      </c>
      <c r="W39" s="110">
        <f t="shared" ref="W39" si="33">W40+W41+W42</f>
        <v>26.54996235298276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2.2826776204541912</v>
      </c>
      <c r="C40" s="102">
        <f>TrRail_ene!C$12</f>
        <v>2.6219572578502985</v>
      </c>
      <c r="D40" s="102">
        <f>TrRail_ene!D$12</f>
        <v>2.4961171932902868</v>
      </c>
      <c r="E40" s="102">
        <f>TrRail_ene!E$12</f>
        <v>2.7524310847394924</v>
      </c>
      <c r="F40" s="102">
        <f>TrRail_ene!F$12</f>
        <v>2.4688754653953136</v>
      </c>
      <c r="G40" s="102">
        <f>TrRail_ene!G$12</f>
        <v>2.3200948654425533</v>
      </c>
      <c r="H40" s="102">
        <f>TrRail_ene!H$12</f>
        <v>2.358419475260205</v>
      </c>
      <c r="I40" s="102">
        <f>TrRail_ene!I$12</f>
        <v>2.3300314998234506</v>
      </c>
      <c r="J40" s="102">
        <f>TrRail_ene!J$12</f>
        <v>2.543448483544037</v>
      </c>
      <c r="K40" s="102">
        <f>TrRail_ene!K$12</f>
        <v>3.618148822802802</v>
      </c>
      <c r="L40" s="102">
        <f>TrRail_ene!L$12</f>
        <v>4.786800010195928</v>
      </c>
      <c r="M40" s="102">
        <f>TrRail_ene!M$12</f>
        <v>4.5132672672487599</v>
      </c>
      <c r="N40" s="102">
        <f>TrRail_ene!N$12</f>
        <v>5.171747779498773</v>
      </c>
      <c r="O40" s="102">
        <f>TrRail_ene!O$12</f>
        <v>5.0553425264808265</v>
      </c>
      <c r="P40" s="102">
        <f>TrRail_ene!P$12</f>
        <v>3.6841040668514777</v>
      </c>
      <c r="Q40" s="102">
        <f>TrRail_ene!Q$12</f>
        <v>3.7637496446230392</v>
      </c>
      <c r="R40" s="102">
        <f>TrRail_ene!R$12</f>
        <v>4.1590109361083263</v>
      </c>
      <c r="S40" s="102">
        <f>TrRail_ene!S$12</f>
        <v>5.3287960268570007</v>
      </c>
      <c r="T40" s="102">
        <f>TrRail_ene!T$12</f>
        <v>5.2999965993760734</v>
      </c>
      <c r="U40" s="102">
        <f>TrRail_ene!U$12</f>
        <v>5.6543707148626874</v>
      </c>
      <c r="V40" s="102">
        <f>TrRail_ene!V$12</f>
        <v>4.4130137562371949</v>
      </c>
      <c r="W40" s="102">
        <f>TrRail_ene!W$12</f>
        <v>4.2988194432938247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39.242262919049352</v>
      </c>
      <c r="C41" s="102">
        <f>TrRail_ene!C$13</f>
        <v>35.820374662078322</v>
      </c>
      <c r="D41" s="102">
        <f>TrRail_ene!D$13</f>
        <v>36.335636455002351</v>
      </c>
      <c r="E41" s="102">
        <f>TrRail_ene!E$13</f>
        <v>30.870377228727286</v>
      </c>
      <c r="F41" s="102">
        <f>TrRail_ene!F$13</f>
        <v>30.343943916527103</v>
      </c>
      <c r="G41" s="102">
        <f>TrRail_ene!G$13</f>
        <v>30.604270526703392</v>
      </c>
      <c r="H41" s="102">
        <f>TrRail_ene!H$13</f>
        <v>31.567126396528209</v>
      </c>
      <c r="I41" s="102">
        <f>TrRail_ene!I$13</f>
        <v>29.059502055243755</v>
      </c>
      <c r="J41" s="102">
        <f>TrRail_ene!J$13</f>
        <v>31.836376998920251</v>
      </c>
      <c r="K41" s="102">
        <f>TrRail_ene!K$13</f>
        <v>31.256628672549965</v>
      </c>
      <c r="L41" s="102">
        <f>TrRail_ene!L$13</f>
        <v>26.069626912670245</v>
      </c>
      <c r="M41" s="102">
        <f>TrRail_ene!M$13</f>
        <v>21.074849938972946</v>
      </c>
      <c r="N41" s="102">
        <f>TrRail_ene!N$13</f>
        <v>23.997202104809247</v>
      </c>
      <c r="O41" s="102">
        <f>TrRail_ene!O$13</f>
        <v>15.397916138609935</v>
      </c>
      <c r="P41" s="102">
        <f>TrRail_ene!P$13</f>
        <v>13.159901304026608</v>
      </c>
      <c r="Q41" s="102">
        <f>TrRail_ene!Q$13</f>
        <v>21.007573085610563</v>
      </c>
      <c r="R41" s="102">
        <f>TrRail_ene!R$13</f>
        <v>18.795969283840726</v>
      </c>
      <c r="S41" s="102">
        <f>TrRail_ene!S$13</f>
        <v>19.428684747560069</v>
      </c>
      <c r="T41" s="102">
        <f>TrRail_ene!T$13</f>
        <v>17.402234390798544</v>
      </c>
      <c r="U41" s="102">
        <f>TrRail_ene!U$13</f>
        <v>23.6212975251877</v>
      </c>
      <c r="V41" s="102">
        <f>TrRail_ene!V$13</f>
        <v>19.924225145583417</v>
      </c>
      <c r="W41" s="102">
        <f>TrRail_ene!W$13</f>
        <v>22.251142909688934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101.51338567045326</v>
      </c>
      <c r="C43" s="110">
        <f t="shared" si="34"/>
        <v>151.46721017280083</v>
      </c>
      <c r="D43" s="110">
        <f t="shared" si="34"/>
        <v>153.40243067464263</v>
      </c>
      <c r="E43" s="110">
        <f t="shared" si="34"/>
        <v>185.9209248866201</v>
      </c>
      <c r="F43" s="110">
        <f t="shared" si="34"/>
        <v>171.36294919739379</v>
      </c>
      <c r="G43" s="110">
        <f t="shared" si="34"/>
        <v>199.66217144823906</v>
      </c>
      <c r="H43" s="110">
        <f t="shared" si="34"/>
        <v>202.70494083923319</v>
      </c>
      <c r="I43" s="110">
        <f t="shared" si="34"/>
        <v>220.56607989547186</v>
      </c>
      <c r="J43" s="110">
        <f t="shared" si="34"/>
        <v>222.18395042851841</v>
      </c>
      <c r="K43" s="110">
        <f t="shared" si="34"/>
        <v>173.36573512346629</v>
      </c>
      <c r="L43" s="110">
        <f t="shared" si="34"/>
        <v>179.78612892959489</v>
      </c>
      <c r="M43" s="110">
        <f t="shared" si="34"/>
        <v>188.64975148053969</v>
      </c>
      <c r="N43" s="110">
        <f t="shared" si="34"/>
        <v>172.71947697564798</v>
      </c>
      <c r="O43" s="110">
        <f t="shared" si="34"/>
        <v>169.55614218191158</v>
      </c>
      <c r="P43" s="110">
        <f t="shared" si="34"/>
        <v>176.62784462335247</v>
      </c>
      <c r="Q43" s="110">
        <f t="shared" si="34"/>
        <v>187.20014387642863</v>
      </c>
      <c r="R43" s="110">
        <f t="shared" ref="R43:V43" si="35">R44+R45+R46</f>
        <v>229.42202801925265</v>
      </c>
      <c r="S43" s="110">
        <f t="shared" si="35"/>
        <v>255.45983002858276</v>
      </c>
      <c r="T43" s="110">
        <f t="shared" si="35"/>
        <v>270.76859014350276</v>
      </c>
      <c r="U43" s="110">
        <f t="shared" si="35"/>
        <v>242.79635443098854</v>
      </c>
      <c r="V43" s="110">
        <f t="shared" si="35"/>
        <v>136.5019874854878</v>
      </c>
      <c r="W43" s="110">
        <f t="shared" ref="W43" si="36">W44+W45+W46</f>
        <v>164.99723084471006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21.066208082545138</v>
      </c>
      <c r="C44" s="102">
        <f>TrAvia_ene!C$7</f>
        <v>46.350472914875311</v>
      </c>
      <c r="D44" s="102">
        <f>TrAvia_ene!D$7</f>
        <v>27.390885640584688</v>
      </c>
      <c r="E44" s="102">
        <f>TrAvia_ene!E$7</f>
        <v>24.230954428202917</v>
      </c>
      <c r="F44" s="102">
        <f>TrAvia_ene!F$7</f>
        <v>19.588220120378324</v>
      </c>
      <c r="G44" s="102">
        <f>TrAvia_ene!G$7</f>
        <v>13.408770421324157</v>
      </c>
      <c r="H44" s="102">
        <f>TrAvia_ene!H$7</f>
        <v>24.71771281169389</v>
      </c>
      <c r="I44" s="102">
        <f>TrAvia_ene!I$7</f>
        <v>41.08151332760103</v>
      </c>
      <c r="J44" s="102">
        <f>TrAvia_ene!J$7</f>
        <v>13.375322441960442</v>
      </c>
      <c r="K44" s="102">
        <f>TrAvia_ene!K$7</f>
        <v>23.645743766122095</v>
      </c>
      <c r="L44" s="102">
        <f>TrAvia_ene!L$7</f>
        <v>15.429406706792783</v>
      </c>
      <c r="M44" s="102">
        <f>TrAvia_ene!M$7</f>
        <v>21.591659501289769</v>
      </c>
      <c r="N44" s="102">
        <f>TrAvia_ene!N$7</f>
        <v>11.321238177128112</v>
      </c>
      <c r="O44" s="102">
        <f>TrAvia_ene!O$7</f>
        <v>12.348323301805673</v>
      </c>
      <c r="P44" s="102">
        <f>TrAvia_ene!P$7</f>
        <v>9.2672398968185714</v>
      </c>
      <c r="Q44" s="102">
        <f>TrAvia_ene!Q$7</f>
        <v>13.375322441960442</v>
      </c>
      <c r="R44" s="102">
        <f>TrAvia_ene!R$7</f>
        <v>19.51367153912296</v>
      </c>
      <c r="S44" s="102">
        <f>TrAvia_ene!S$7</f>
        <v>20.602063628546862</v>
      </c>
      <c r="T44" s="102">
        <f>TrAvia_ene!T$7</f>
        <v>17.52476354256234</v>
      </c>
      <c r="U44" s="102">
        <f>TrAvia_ene!U$7</f>
        <v>7.2072226999140145</v>
      </c>
      <c r="V44" s="102">
        <f>TrAvia_ene!V$7</f>
        <v>3.8766981943250216</v>
      </c>
      <c r="W44" s="102">
        <f>TrAvia_ene!W$7</f>
        <v>5.0638005159071362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67.227030608254381</v>
      </c>
      <c r="C45" s="102">
        <f>TrAvia_ene!C$8</f>
        <v>87.843594182371305</v>
      </c>
      <c r="D45" s="102">
        <f>TrAvia_ene!D$8</f>
        <v>105.30305104916533</v>
      </c>
      <c r="E45" s="102">
        <f>TrAvia_ene!E$8</f>
        <v>135.12362219854248</v>
      </c>
      <c r="F45" s="102">
        <f>TrAvia_ene!F$8</f>
        <v>126.83707675881537</v>
      </c>
      <c r="G45" s="102">
        <f>TrAvia_ene!G$8</f>
        <v>157.35062485133329</v>
      </c>
      <c r="H45" s="102">
        <f>TrAvia_ene!H$8</f>
        <v>152.2931448270736</v>
      </c>
      <c r="I45" s="102">
        <f>TrAvia_ene!I$8</f>
        <v>153.94527072825196</v>
      </c>
      <c r="J45" s="102">
        <f>TrAvia_ene!J$8</f>
        <v>178.30563450758149</v>
      </c>
      <c r="K45" s="102">
        <f>TrAvia_ene!K$8</f>
        <v>126.23692651954963</v>
      </c>
      <c r="L45" s="102">
        <f>TrAvia_ene!L$8</f>
        <v>138.11826250997848</v>
      </c>
      <c r="M45" s="102">
        <f>TrAvia_ene!M$8</f>
        <v>140.49167255199444</v>
      </c>
      <c r="N45" s="102">
        <f>TrAvia_ene!N$8</f>
        <v>135.37737480582507</v>
      </c>
      <c r="O45" s="102">
        <f>TrAvia_ene!O$8</f>
        <v>132.10507784162471</v>
      </c>
      <c r="P45" s="102">
        <f>TrAvia_ene!P$8</f>
        <v>140.85147448933182</v>
      </c>
      <c r="Q45" s="102">
        <f>TrAvia_ene!Q$8</f>
        <v>146.75802801483778</v>
      </c>
      <c r="R45" s="102">
        <f>TrAvia_ene!R$8</f>
        <v>180.50335731523808</v>
      </c>
      <c r="S45" s="102">
        <f>TrAvia_ene!S$8</f>
        <v>204.18929686788502</v>
      </c>
      <c r="T45" s="102">
        <f>TrAvia_ene!T$8</f>
        <v>219.91799777768978</v>
      </c>
      <c r="U45" s="102">
        <f>TrAvia_ene!U$8</f>
        <v>204.15365415173855</v>
      </c>
      <c r="V45" s="102">
        <f>TrAvia_ene!V$8</f>
        <v>109.24265228643065</v>
      </c>
      <c r="W45" s="102">
        <f>TrAvia_ene!W$8</f>
        <v>133.80478500588163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13.220146979653752</v>
      </c>
      <c r="C46" s="102">
        <f>TrAvia_ene!C$9</f>
        <v>17.273143075554216</v>
      </c>
      <c r="D46" s="102">
        <f>TrAvia_ene!D$9</f>
        <v>20.708493984892627</v>
      </c>
      <c r="E46" s="102">
        <f>TrAvia_ene!E$9</f>
        <v>26.566348259874708</v>
      </c>
      <c r="F46" s="102">
        <f>TrAvia_ene!F$9</f>
        <v>24.937652318200097</v>
      </c>
      <c r="G46" s="102">
        <f>TrAvia_ene!G$9</f>
        <v>28.902776175581618</v>
      </c>
      <c r="H46" s="102">
        <f>TrAvia_ene!H$9</f>
        <v>25.694083200465673</v>
      </c>
      <c r="I46" s="102">
        <f>TrAvia_ene!I$9</f>
        <v>25.53929583961887</v>
      </c>
      <c r="J46" s="102">
        <f>TrAvia_ene!J$9</f>
        <v>30.502993478976499</v>
      </c>
      <c r="K46" s="102">
        <f>TrAvia_ene!K$9</f>
        <v>23.483064837794558</v>
      </c>
      <c r="L46" s="102">
        <f>TrAvia_ene!L$9</f>
        <v>26.238459712823634</v>
      </c>
      <c r="M46" s="102">
        <f>TrAvia_ene!M$9</f>
        <v>26.566419427255472</v>
      </c>
      <c r="N46" s="102">
        <f>TrAvia_ene!N$9</f>
        <v>26.020863992694792</v>
      </c>
      <c r="O46" s="102">
        <f>TrAvia_ene!O$9</f>
        <v>25.102741038481224</v>
      </c>
      <c r="P46" s="102">
        <f>TrAvia_ene!P$9</f>
        <v>26.509130237202069</v>
      </c>
      <c r="Q46" s="102">
        <f>TrAvia_ene!Q$9</f>
        <v>27.066793419630415</v>
      </c>
      <c r="R46" s="102">
        <f>TrAvia_ene!R$9</f>
        <v>29.404999164891631</v>
      </c>
      <c r="S46" s="102">
        <f>TrAvia_ene!S$9</f>
        <v>30.668469532150869</v>
      </c>
      <c r="T46" s="102">
        <f>TrAvia_ene!T$9</f>
        <v>33.325828823250667</v>
      </c>
      <c r="U46" s="102">
        <f>TrAvia_ene!U$9</f>
        <v>31.435477579335984</v>
      </c>
      <c r="V46" s="102">
        <f>TrAvia_ene!V$9</f>
        <v>23.382637004732125</v>
      </c>
      <c r="W46" s="102">
        <f>TrAvia_ene!W$9</f>
        <v>26.128645322921294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367.57468671902399</v>
      </c>
      <c r="C47" s="28">
        <f t="shared" si="37"/>
        <v>395.80168890654403</v>
      </c>
      <c r="D47" s="28">
        <f t="shared" si="37"/>
        <v>379.67570914219516</v>
      </c>
      <c r="E47" s="28">
        <f t="shared" si="37"/>
        <v>523.33664819263436</v>
      </c>
      <c r="F47" s="28">
        <f t="shared" si="37"/>
        <v>578.05462709669882</v>
      </c>
      <c r="G47" s="28">
        <f t="shared" si="37"/>
        <v>620.76264297261355</v>
      </c>
      <c r="H47" s="28">
        <f t="shared" si="37"/>
        <v>628.6190849901518</v>
      </c>
      <c r="I47" s="28">
        <f t="shared" si="37"/>
        <v>568.20991537953012</v>
      </c>
      <c r="J47" s="28">
        <f t="shared" si="37"/>
        <v>622.65004662241358</v>
      </c>
      <c r="K47" s="28">
        <f t="shared" si="37"/>
        <v>566.01063713003236</v>
      </c>
      <c r="L47" s="28">
        <f t="shared" si="37"/>
        <v>554.75195977911744</v>
      </c>
      <c r="M47" s="28">
        <f t="shared" si="37"/>
        <v>561.56513697934702</v>
      </c>
      <c r="N47" s="28">
        <f t="shared" si="37"/>
        <v>587.94232941884218</v>
      </c>
      <c r="O47" s="28">
        <f t="shared" si="37"/>
        <v>546.95612807687189</v>
      </c>
      <c r="P47" s="28">
        <f t="shared" si="37"/>
        <v>590.70399019339345</v>
      </c>
      <c r="Q47" s="28">
        <f t="shared" si="37"/>
        <v>668.44317015019158</v>
      </c>
      <c r="R47" s="28">
        <f t="shared" ref="R47:V47" si="38">R48+R51+R52+R56</f>
        <v>664.53086842733171</v>
      </c>
      <c r="S47" s="28">
        <f t="shared" si="38"/>
        <v>655.52640732332634</v>
      </c>
      <c r="T47" s="28">
        <f t="shared" si="38"/>
        <v>642.93624598639121</v>
      </c>
      <c r="U47" s="28">
        <f t="shared" si="38"/>
        <v>594.28932430218072</v>
      </c>
      <c r="V47" s="28">
        <f t="shared" si="38"/>
        <v>644.30698758874485</v>
      </c>
      <c r="W47" s="28">
        <f t="shared" ref="W47" si="39">W48+W51+W52+W56</f>
        <v>632.4695836156385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326.87017543972888</v>
      </c>
      <c r="C48" s="137">
        <f t="shared" si="40"/>
        <v>358.08290941715831</v>
      </c>
      <c r="D48" s="137">
        <f t="shared" si="40"/>
        <v>342.26422106616229</v>
      </c>
      <c r="E48" s="137">
        <f t="shared" si="40"/>
        <v>483.83205465153458</v>
      </c>
      <c r="F48" s="137">
        <f t="shared" si="40"/>
        <v>534.36945242579998</v>
      </c>
      <c r="G48" s="137">
        <f t="shared" si="40"/>
        <v>575.97139563415078</v>
      </c>
      <c r="H48" s="137">
        <f t="shared" si="40"/>
        <v>587.82885287056286</v>
      </c>
      <c r="I48" s="137">
        <f t="shared" si="40"/>
        <v>530.63825625913194</v>
      </c>
      <c r="J48" s="137">
        <f t="shared" si="40"/>
        <v>565.23397214646593</v>
      </c>
      <c r="K48" s="137">
        <f t="shared" si="40"/>
        <v>492.23308268092364</v>
      </c>
      <c r="L48" s="137">
        <f t="shared" si="40"/>
        <v>479.97723016296283</v>
      </c>
      <c r="M48" s="137">
        <f t="shared" si="40"/>
        <v>500.60840033506804</v>
      </c>
      <c r="N48" s="137">
        <f t="shared" si="40"/>
        <v>521.82014148946018</v>
      </c>
      <c r="O48" s="137">
        <f t="shared" si="40"/>
        <v>482.71149882929132</v>
      </c>
      <c r="P48" s="137">
        <f t="shared" si="40"/>
        <v>523.98063468461442</v>
      </c>
      <c r="Q48" s="137">
        <f t="shared" si="40"/>
        <v>585.75103142581338</v>
      </c>
      <c r="R48" s="137">
        <f t="shared" ref="R48:V48" si="41">R49+R50</f>
        <v>585.86857744039412</v>
      </c>
      <c r="S48" s="137">
        <f t="shared" si="41"/>
        <v>576.65697264051369</v>
      </c>
      <c r="T48" s="137">
        <f t="shared" si="41"/>
        <v>557.40758474689574</v>
      </c>
      <c r="U48" s="137">
        <f t="shared" si="41"/>
        <v>495.17634869291021</v>
      </c>
      <c r="V48" s="137">
        <f t="shared" si="41"/>
        <v>534.51491389006867</v>
      </c>
      <c r="W48" s="137">
        <f t="shared" ref="W48" si="42">W49+W50</f>
        <v>610.28255497326245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127.63818988942762</v>
      </c>
      <c r="C49" s="102">
        <f>TrRoad_ene!C$43</f>
        <v>123.62239196430548</v>
      </c>
      <c r="D49" s="102">
        <f>TrRoad_ene!D$43</f>
        <v>125.7164966346062</v>
      </c>
      <c r="E49" s="102">
        <f>TrRoad_ene!E$43</f>
        <v>133.16978318948119</v>
      </c>
      <c r="F49" s="102">
        <f>TrRoad_ene!F$43</f>
        <v>148.74772550623854</v>
      </c>
      <c r="G49" s="102">
        <f>TrRoad_ene!G$43</f>
        <v>137.71127651010738</v>
      </c>
      <c r="H49" s="102">
        <f>TrRoad_ene!H$43</f>
        <v>147.05577306059556</v>
      </c>
      <c r="I49" s="102">
        <f>TrRoad_ene!I$43</f>
        <v>157.79240493520726</v>
      </c>
      <c r="J49" s="102">
        <f>TrRoad_ene!J$43</f>
        <v>167.08209032785169</v>
      </c>
      <c r="K49" s="102">
        <f>TrRoad_ene!K$43</f>
        <v>164.76550782561711</v>
      </c>
      <c r="L49" s="102">
        <f>TrRoad_ene!L$43</f>
        <v>160.8537752922752</v>
      </c>
      <c r="M49" s="102">
        <f>TrRoad_ene!M$43</f>
        <v>178.00643509044963</v>
      </c>
      <c r="N49" s="102">
        <f>TrRoad_ene!N$43</f>
        <v>186.83961966064342</v>
      </c>
      <c r="O49" s="102">
        <f>TrRoad_ene!O$43</f>
        <v>185.79115998006949</v>
      </c>
      <c r="P49" s="102">
        <f>TrRoad_ene!P$43</f>
        <v>193.33842095554726</v>
      </c>
      <c r="Q49" s="102">
        <f>TrRoad_ene!Q$43</f>
        <v>215.2585010546172</v>
      </c>
      <c r="R49" s="102">
        <f>TrRoad_ene!R$43</f>
        <v>210.86002221150773</v>
      </c>
      <c r="S49" s="102">
        <f>TrRoad_ene!S$43</f>
        <v>179.25702374849678</v>
      </c>
      <c r="T49" s="102">
        <f>TrRoad_ene!T$43</f>
        <v>178.21822818829071</v>
      </c>
      <c r="U49" s="102">
        <f>TrRoad_ene!U$43</f>
        <v>173.95521136090744</v>
      </c>
      <c r="V49" s="102">
        <f>TrRoad_ene!V$43</f>
        <v>167.24649024807886</v>
      </c>
      <c r="W49" s="102">
        <f>TrRoad_ene!W$43</f>
        <v>161.13631896555867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199.23198555030123</v>
      </c>
      <c r="C50" s="102">
        <f>TrRoad_ene!C$52</f>
        <v>234.46051745285283</v>
      </c>
      <c r="D50" s="102">
        <f>TrRoad_ene!D$52</f>
        <v>216.54772443155611</v>
      </c>
      <c r="E50" s="102">
        <f>TrRoad_ene!E$52</f>
        <v>350.66227146205335</v>
      </c>
      <c r="F50" s="102">
        <f>TrRoad_ene!F$52</f>
        <v>385.62172691956147</v>
      </c>
      <c r="G50" s="102">
        <f>TrRoad_ene!G$52</f>
        <v>438.2601191240434</v>
      </c>
      <c r="H50" s="102">
        <f>TrRoad_ene!H$52</f>
        <v>440.77307980996727</v>
      </c>
      <c r="I50" s="102">
        <f>TrRoad_ene!I$52</f>
        <v>372.84585132392465</v>
      </c>
      <c r="J50" s="102">
        <f>TrRoad_ene!J$52</f>
        <v>398.15188181861424</v>
      </c>
      <c r="K50" s="102">
        <f>TrRoad_ene!K$52</f>
        <v>327.46757485530657</v>
      </c>
      <c r="L50" s="102">
        <f>TrRoad_ene!L$52</f>
        <v>319.12345487068762</v>
      </c>
      <c r="M50" s="102">
        <f>TrRoad_ene!M$52</f>
        <v>322.60196524461844</v>
      </c>
      <c r="N50" s="102">
        <f>TrRoad_ene!N$52</f>
        <v>334.98052182881673</v>
      </c>
      <c r="O50" s="102">
        <f>TrRoad_ene!O$52</f>
        <v>296.92033884922182</v>
      </c>
      <c r="P50" s="102">
        <f>TrRoad_ene!P$52</f>
        <v>330.64221372906712</v>
      </c>
      <c r="Q50" s="102">
        <f>TrRoad_ene!Q$52</f>
        <v>370.49253037119615</v>
      </c>
      <c r="R50" s="102">
        <f>TrRoad_ene!R$52</f>
        <v>375.00855522888645</v>
      </c>
      <c r="S50" s="102">
        <f>TrRoad_ene!S$52</f>
        <v>397.39994889201688</v>
      </c>
      <c r="T50" s="102">
        <f>TrRoad_ene!T$52</f>
        <v>379.18935655860497</v>
      </c>
      <c r="U50" s="102">
        <f>TrRoad_ene!U$52</f>
        <v>321.22113733200274</v>
      </c>
      <c r="V50" s="102">
        <f>TrRoad_ene!V$52</f>
        <v>367.26842364198984</v>
      </c>
      <c r="W50" s="102">
        <f>TrRoad_ene!W$52</f>
        <v>449.14623600770381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36.453477345277193</v>
      </c>
      <c r="C51" s="110">
        <f>TrRail_ene!C$17</f>
        <v>33.025165930458307</v>
      </c>
      <c r="D51" s="110">
        <f>TrRail_ene!D$17</f>
        <v>31.613474210692736</v>
      </c>
      <c r="E51" s="110">
        <f>TrRail_ene!E$17</f>
        <v>32.623451359792043</v>
      </c>
      <c r="F51" s="110">
        <f>TrRail_ene!F$17</f>
        <v>32.525271761671732</v>
      </c>
      <c r="G51" s="110">
        <f>TrRail_ene!G$17</f>
        <v>32.371335381714772</v>
      </c>
      <c r="H51" s="110">
        <f>TrRail_ene!H$17</f>
        <v>28.952356105855607</v>
      </c>
      <c r="I51" s="110">
        <f>TrRail_ene!I$17</f>
        <v>26.284585103574244</v>
      </c>
      <c r="J51" s="110">
        <f>TrRail_ene!J$17</f>
        <v>27.872969014526255</v>
      </c>
      <c r="K51" s="110">
        <f>TrRail_ene!K$17</f>
        <v>16.371998085042762</v>
      </c>
      <c r="L51" s="110">
        <f>TrRail_ene!L$17</f>
        <v>14.543401108088258</v>
      </c>
      <c r="M51" s="110">
        <f>TrRail_ene!M$17</f>
        <v>14.351693627828165</v>
      </c>
      <c r="N51" s="110">
        <f>TrRail_ene!N$17</f>
        <v>13.006458542175213</v>
      </c>
      <c r="O51" s="110">
        <f>TrRail_ene!O$17</f>
        <v>11.362648471624633</v>
      </c>
      <c r="P51" s="110">
        <f>TrRail_ene!P$17</f>
        <v>11.874825239612024</v>
      </c>
      <c r="Q51" s="110">
        <f>TrRail_ene!Q$17</f>
        <v>14.695573228493817</v>
      </c>
      <c r="R51" s="110">
        <f>TrRail_ene!R$17</f>
        <v>13.738914878933148</v>
      </c>
      <c r="S51" s="110">
        <f>TrRail_ene!S$17</f>
        <v>14.966594891962981</v>
      </c>
      <c r="T51" s="110">
        <f>TrRail_ene!T$17</f>
        <v>14.266728597099672</v>
      </c>
      <c r="U51" s="110">
        <f>TrRail_ene!U$17</f>
        <v>15.794581115065689</v>
      </c>
      <c r="V51" s="110">
        <f>TrRail_ene!V$17</f>
        <v>17.503259808411542</v>
      </c>
      <c r="W51" s="110">
        <f>TrRail_ene!W$17</f>
        <v>18.132238850800569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1.7110339340179301</v>
      </c>
      <c r="C52" s="110">
        <f t="shared" si="43"/>
        <v>1.267613558927476</v>
      </c>
      <c r="D52" s="110">
        <f t="shared" si="43"/>
        <v>1.4390138653401661</v>
      </c>
      <c r="E52" s="110">
        <f t="shared" si="43"/>
        <v>1.5731421813076876</v>
      </c>
      <c r="F52" s="110">
        <f t="shared" si="43"/>
        <v>1.6809029092270413</v>
      </c>
      <c r="G52" s="110">
        <f t="shared" si="43"/>
        <v>2.2189119567479523</v>
      </c>
      <c r="H52" s="110">
        <f t="shared" si="43"/>
        <v>2.2458760137333464</v>
      </c>
      <c r="I52" s="110">
        <f t="shared" si="43"/>
        <v>2.3010740168238923</v>
      </c>
      <c r="J52" s="110">
        <f t="shared" si="43"/>
        <v>2.7611054614213764</v>
      </c>
      <c r="K52" s="110">
        <f t="shared" si="43"/>
        <v>2.2815563640659207</v>
      </c>
      <c r="L52" s="110">
        <f t="shared" si="43"/>
        <v>3.0503285080663201</v>
      </c>
      <c r="M52" s="110">
        <f t="shared" si="43"/>
        <v>2.4030430164509013</v>
      </c>
      <c r="N52" s="110">
        <f t="shared" si="43"/>
        <v>1.9007293872067768</v>
      </c>
      <c r="O52" s="110">
        <f t="shared" si="43"/>
        <v>1.982980775955963</v>
      </c>
      <c r="P52" s="110">
        <f t="shared" si="43"/>
        <v>2.1005302691668968</v>
      </c>
      <c r="Q52" s="110">
        <f t="shared" si="43"/>
        <v>2.8255654958843346</v>
      </c>
      <c r="R52" s="110">
        <f t="shared" si="43"/>
        <v>2.6883761080044075</v>
      </c>
      <c r="S52" s="110">
        <f t="shared" si="43"/>
        <v>3.1078397908497628</v>
      </c>
      <c r="T52" s="110">
        <f t="shared" si="43"/>
        <v>2.8159326423957118</v>
      </c>
      <c r="U52" s="110">
        <f t="shared" si="43"/>
        <v>2.5873944942048448</v>
      </c>
      <c r="V52" s="110">
        <f t="shared" si="43"/>
        <v>4.9348138902645484</v>
      </c>
      <c r="W52" s="110">
        <f t="shared" ref="W52" si="44">W53+W54+W55</f>
        <v>3.935529258471381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1.4273876286651459</v>
      </c>
      <c r="C54" s="102">
        <f>TrAvia_ene!C$12</f>
        <v>0.88630059634270963</v>
      </c>
      <c r="D54" s="102">
        <f>TrAvia_ene!D$12</f>
        <v>0.97318106405439786</v>
      </c>
      <c r="E54" s="102">
        <f>TrAvia_ene!E$12</f>
        <v>1.01166616880942</v>
      </c>
      <c r="F54" s="102">
        <f>TrAvia_ene!F$12</f>
        <v>1.0784734062494232</v>
      </c>
      <c r="G54" s="102">
        <f>TrAvia_ene!G$12</f>
        <v>1.4044423988918588</v>
      </c>
      <c r="H54" s="102">
        <f>TrAvia_ene!H$12</f>
        <v>1.483283781544247</v>
      </c>
      <c r="I54" s="102">
        <f>TrAvia_ene!I$12</f>
        <v>1.6086308413061547</v>
      </c>
      <c r="J54" s="102">
        <f>TrAvia_ene!J$12</f>
        <v>2.1705154284726529</v>
      </c>
      <c r="K54" s="102">
        <f>TrAvia_ene!K$12</f>
        <v>1.456988911602429</v>
      </c>
      <c r="L54" s="102">
        <f>TrAvia_ene!L$12</f>
        <v>1.5643874850792852</v>
      </c>
      <c r="M54" s="102">
        <f>TrAvia_ene!M$12</f>
        <v>1.4765396462065332</v>
      </c>
      <c r="N54" s="102">
        <f>TrAvia_ene!N$12</f>
        <v>1.6032549758372425</v>
      </c>
      <c r="O54" s="102">
        <f>TrAvia_ene!O$12</f>
        <v>1.6916265290443748</v>
      </c>
      <c r="P54" s="102">
        <f>TrAvia_ene!P$12</f>
        <v>1.7107242889422154</v>
      </c>
      <c r="Q54" s="102">
        <f>TrAvia_ene!Q$12</f>
        <v>1.8217667768372046</v>
      </c>
      <c r="R54" s="102">
        <f>TrAvia_ene!R$12</f>
        <v>1.690944680339324</v>
      </c>
      <c r="S54" s="102">
        <f>TrAvia_ene!S$12</f>
        <v>1.8555472812608289</v>
      </c>
      <c r="T54" s="102">
        <f>TrAvia_ene!T$12</f>
        <v>1.9765350961249164</v>
      </c>
      <c r="U54" s="102">
        <f>TrAvia_ene!U$12</f>
        <v>2.1633530786118915</v>
      </c>
      <c r="V54" s="102">
        <f>TrAvia_ene!V$12</f>
        <v>3.1959689842137147</v>
      </c>
      <c r="W54" s="102">
        <f>TrAvia_ene!W$12</f>
        <v>3.0096139054952809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0.28364630535278418</v>
      </c>
      <c r="C55" s="102">
        <f>TrAvia_ene!C$13</f>
        <v>0.38131296258476638</v>
      </c>
      <c r="D55" s="102">
        <f>TrAvia_ene!D$13</f>
        <v>0.46583280128576821</v>
      </c>
      <c r="E55" s="102">
        <f>TrAvia_ene!E$13</f>
        <v>0.56147601249826762</v>
      </c>
      <c r="F55" s="102">
        <f>TrAvia_ene!F$13</f>
        <v>0.6024295029776181</v>
      </c>
      <c r="G55" s="102">
        <f>TrAvia_ene!G$13</f>
        <v>0.81446955785609354</v>
      </c>
      <c r="H55" s="102">
        <f>TrAvia_ene!H$13</f>
        <v>0.76259223218909955</v>
      </c>
      <c r="I55" s="102">
        <f>TrAvia_ene!I$13</f>
        <v>0.69244317551773737</v>
      </c>
      <c r="J55" s="102">
        <f>TrAvia_ene!J$13</f>
        <v>0.59059003294872336</v>
      </c>
      <c r="K55" s="102">
        <f>TrAvia_ene!K$13</f>
        <v>0.82456745246349172</v>
      </c>
      <c r="L55" s="102">
        <f>TrAvia_ene!L$13</f>
        <v>1.4859410229870351</v>
      </c>
      <c r="M55" s="102">
        <f>TrAvia_ene!M$13</f>
        <v>0.92650337024436791</v>
      </c>
      <c r="N55" s="102">
        <f>TrAvia_ene!N$13</f>
        <v>0.29747441136953423</v>
      </c>
      <c r="O55" s="102">
        <f>TrAvia_ene!O$13</f>
        <v>0.29135424691158812</v>
      </c>
      <c r="P55" s="102">
        <f>TrAvia_ene!P$13</f>
        <v>0.38980598022468155</v>
      </c>
      <c r="Q55" s="102">
        <f>TrAvia_ene!Q$13</f>
        <v>1.0037987190471298</v>
      </c>
      <c r="R55" s="102">
        <f>TrAvia_ene!R$13</f>
        <v>0.99743142766508341</v>
      </c>
      <c r="S55" s="102">
        <f>TrAvia_ene!S$13</f>
        <v>1.2522925095889341</v>
      </c>
      <c r="T55" s="102">
        <f>TrAvia_ene!T$13</f>
        <v>0.83939754627079555</v>
      </c>
      <c r="U55" s="102">
        <f>TrAvia_ene!U$13</f>
        <v>0.42404141559295327</v>
      </c>
      <c r="V55" s="102">
        <f>TrAvia_ene!V$13</f>
        <v>1.7388449060508337</v>
      </c>
      <c r="W55" s="102">
        <f>TrAvia_ene!W$13</f>
        <v>0.92591535297610017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2.54</v>
      </c>
      <c r="C56" s="110">
        <f t="shared" si="45"/>
        <v>3.4260000000000002</v>
      </c>
      <c r="D56" s="110">
        <f t="shared" si="45"/>
        <v>4.359</v>
      </c>
      <c r="E56" s="110">
        <f t="shared" si="45"/>
        <v>5.3079999999999998</v>
      </c>
      <c r="F56" s="110">
        <f t="shared" si="45"/>
        <v>9.4789999999999992</v>
      </c>
      <c r="G56" s="110">
        <f t="shared" si="45"/>
        <v>10.201000000000001</v>
      </c>
      <c r="H56" s="110">
        <f t="shared" si="45"/>
        <v>9.5920000000000005</v>
      </c>
      <c r="I56" s="110">
        <f t="shared" si="45"/>
        <v>8.9860000000000007</v>
      </c>
      <c r="J56" s="110">
        <f t="shared" si="45"/>
        <v>26.782</v>
      </c>
      <c r="K56" s="110">
        <f t="shared" si="45"/>
        <v>55.124000000000002</v>
      </c>
      <c r="L56" s="110">
        <f t="shared" si="45"/>
        <v>57.180999999999997</v>
      </c>
      <c r="M56" s="110">
        <f t="shared" si="45"/>
        <v>44.201999999999998</v>
      </c>
      <c r="N56" s="110">
        <f t="shared" si="45"/>
        <v>51.215000000000003</v>
      </c>
      <c r="O56" s="110">
        <f t="shared" si="45"/>
        <v>50.899000000000001</v>
      </c>
      <c r="P56" s="110">
        <f t="shared" si="45"/>
        <v>52.747999999999998</v>
      </c>
      <c r="Q56" s="110">
        <f t="shared" si="45"/>
        <v>65.171000000000006</v>
      </c>
      <c r="R56" s="110">
        <f t="shared" ref="R56:V56" si="46">R57+R58</f>
        <v>62.234999999999999</v>
      </c>
      <c r="S56" s="110">
        <f t="shared" si="46"/>
        <v>60.795000000000002</v>
      </c>
      <c r="T56" s="110">
        <f t="shared" si="46"/>
        <v>68.445999999999998</v>
      </c>
      <c r="U56" s="110">
        <f t="shared" si="46"/>
        <v>80.730999999999995</v>
      </c>
      <c r="V56" s="110">
        <f t="shared" si="46"/>
        <v>87.353999999999999</v>
      </c>
      <c r="W56" s="110">
        <f t="shared" ref="W56" si="47">W57+W58</f>
        <v>0.11926053310404131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2.54</v>
      </c>
      <c r="C58" s="169">
        <f>TrNavi_ene!C10</f>
        <v>3.4260000000000002</v>
      </c>
      <c r="D58" s="169">
        <f>TrNavi_ene!D10</f>
        <v>4.359</v>
      </c>
      <c r="E58" s="169">
        <f>TrNavi_ene!E10</f>
        <v>5.3079999999999998</v>
      </c>
      <c r="F58" s="169">
        <f>TrNavi_ene!F10</f>
        <v>9.4789999999999992</v>
      </c>
      <c r="G58" s="169">
        <f>TrNavi_ene!G10</f>
        <v>10.201000000000001</v>
      </c>
      <c r="H58" s="169">
        <f>TrNavi_ene!H10</f>
        <v>9.5920000000000005</v>
      </c>
      <c r="I58" s="169">
        <f>TrNavi_ene!I10</f>
        <v>8.9860000000000007</v>
      </c>
      <c r="J58" s="169">
        <f>TrNavi_ene!J10</f>
        <v>26.782</v>
      </c>
      <c r="K58" s="169">
        <f>TrNavi_ene!K10</f>
        <v>55.124000000000002</v>
      </c>
      <c r="L58" s="169">
        <f>TrNavi_ene!L10</f>
        <v>57.180999999999997</v>
      </c>
      <c r="M58" s="169">
        <f>TrNavi_ene!M10</f>
        <v>44.201999999999998</v>
      </c>
      <c r="N58" s="169">
        <f>TrNavi_ene!N10</f>
        <v>51.215000000000003</v>
      </c>
      <c r="O58" s="169">
        <f>TrNavi_ene!O10</f>
        <v>50.899000000000001</v>
      </c>
      <c r="P58" s="169">
        <f>TrNavi_ene!P10</f>
        <v>52.747999999999998</v>
      </c>
      <c r="Q58" s="169">
        <f>TrNavi_ene!Q10</f>
        <v>65.171000000000006</v>
      </c>
      <c r="R58" s="169">
        <f>TrNavi_ene!R10</f>
        <v>62.234999999999999</v>
      </c>
      <c r="S58" s="169">
        <f>TrNavi_ene!S10</f>
        <v>60.795000000000002</v>
      </c>
      <c r="T58" s="169">
        <f>TrNavi_ene!T10</f>
        <v>68.445999999999998</v>
      </c>
      <c r="U58" s="169">
        <f>TrNavi_ene!U10</f>
        <v>80.730999999999995</v>
      </c>
      <c r="V58" s="169">
        <f>TrNavi_ene!V10</f>
        <v>87.353999999999999</v>
      </c>
      <c r="W58" s="169">
        <f>TrNavi_ene!W10</f>
        <v>0.11926053310404131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65.730352536543421</v>
      </c>
      <c r="C59" s="28">
        <f t="shared" ref="C59:W59" si="48">C60+C61</f>
        <v>98.5334479793637</v>
      </c>
      <c r="D59" s="28">
        <f t="shared" si="48"/>
        <v>107.83895098882201</v>
      </c>
      <c r="E59" s="28">
        <f t="shared" si="48"/>
        <v>140.70412725709369</v>
      </c>
      <c r="F59" s="28">
        <f t="shared" si="48"/>
        <v>118.10928632846088</v>
      </c>
      <c r="G59" s="28">
        <f t="shared" si="48"/>
        <v>112.9741186586414</v>
      </c>
      <c r="H59" s="28">
        <f t="shared" si="48"/>
        <v>106.00000000000001</v>
      </c>
      <c r="I59" s="28">
        <f t="shared" si="48"/>
        <v>52.536543422184003</v>
      </c>
      <c r="J59" s="28">
        <f t="shared" si="48"/>
        <v>122.37987962166807</v>
      </c>
      <c r="K59" s="28">
        <f t="shared" si="48"/>
        <v>206.00455717970769</v>
      </c>
      <c r="L59" s="28">
        <f t="shared" si="48"/>
        <v>96.484178847807385</v>
      </c>
      <c r="M59" s="28">
        <f t="shared" si="48"/>
        <v>75.468099742046434</v>
      </c>
      <c r="N59" s="28">
        <f t="shared" si="48"/>
        <v>63.616595012897676</v>
      </c>
      <c r="O59" s="28">
        <f t="shared" si="48"/>
        <v>90.235941530524499</v>
      </c>
      <c r="P59" s="28">
        <f t="shared" si="48"/>
        <v>81.417798796216672</v>
      </c>
      <c r="Q59" s="28">
        <f t="shared" si="48"/>
        <v>86.744024075666374</v>
      </c>
      <c r="R59" s="28">
        <f t="shared" si="48"/>
        <v>77.761049011177988</v>
      </c>
      <c r="S59" s="28">
        <f t="shared" si="48"/>
        <v>80.080481513327584</v>
      </c>
      <c r="T59" s="28">
        <f t="shared" si="48"/>
        <v>82.119432502149607</v>
      </c>
      <c r="U59" s="28">
        <f t="shared" si="48"/>
        <v>75.8462596732588</v>
      </c>
      <c r="V59" s="28">
        <f t="shared" si="48"/>
        <v>84.746431642304387</v>
      </c>
      <c r="W59" s="28">
        <f t="shared" si="48"/>
        <v>85.220722269991398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27.579438707993702</v>
      </c>
      <c r="C60" s="102">
        <f>MBunk_ene!C$4</f>
        <v>41.124541557110405</v>
      </c>
      <c r="D60" s="102">
        <f>MBunk_ene!D$4</f>
        <v>45.657768579255844</v>
      </c>
      <c r="E60" s="102">
        <f>MBunk_ene!E$4</f>
        <v>47.644149632490112</v>
      </c>
      <c r="F60" s="102">
        <f>MBunk_ene!F$4</f>
        <v>37.275399654546433</v>
      </c>
      <c r="G60" s="102">
        <f>MBunk_ene!G$4</f>
        <v>35.336601340459538</v>
      </c>
      <c r="H60" s="102">
        <f>MBunk_ene!H$4</f>
        <v>36.301971746790585</v>
      </c>
      <c r="I60" s="102">
        <f>MBunk_ene!I$4</f>
        <v>13.875271261927837</v>
      </c>
      <c r="J60" s="102">
        <f>MBunk_ene!J$4</f>
        <v>37.038315299634434</v>
      </c>
      <c r="K60" s="102">
        <f>MBunk_ene!K$4</f>
        <v>92.551362816854763</v>
      </c>
      <c r="L60" s="102">
        <f>MBunk_ene!L$4</f>
        <v>38.39634121166754</v>
      </c>
      <c r="M60" s="102">
        <f>MBunk_ene!M$4</f>
        <v>32.546062851148811</v>
      </c>
      <c r="N60" s="102">
        <f>MBunk_ene!N$4</f>
        <v>27.258697780177524</v>
      </c>
      <c r="O60" s="102">
        <f>MBunk_ene!O$4</f>
        <v>40.557684665805212</v>
      </c>
      <c r="P60" s="102">
        <f>MBunk_ene!P$4</f>
        <v>34.703568362570145</v>
      </c>
      <c r="Q60" s="102">
        <f>MBunk_ene!Q$4</f>
        <v>34.53210163319681</v>
      </c>
      <c r="R60" s="102">
        <f>MBunk_ene!R$4</f>
        <v>33.578058325817878</v>
      </c>
      <c r="S60" s="102">
        <f>MBunk_ene!S$4</f>
        <v>36.307946461106241</v>
      </c>
      <c r="T60" s="102">
        <f>MBunk_ene!T$4</f>
        <v>38.153637453867333</v>
      </c>
      <c r="U60" s="102">
        <f>MBunk_ene!U$4</f>
        <v>34.263333653093525</v>
      </c>
      <c r="V60" s="102">
        <f>MBunk_ene!V$4</f>
        <v>35.491226096994332</v>
      </c>
      <c r="W60" s="102">
        <f>MBunk_ene!W$4</f>
        <v>32.746272324027721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38.150913828549719</v>
      </c>
      <c r="C61" s="86">
        <f>MBunk_ene!C$10</f>
        <v>57.408906422253295</v>
      </c>
      <c r="D61" s="86">
        <f>MBunk_ene!D$10</f>
        <v>62.181182409566162</v>
      </c>
      <c r="E61" s="86">
        <f>MBunk_ene!E$10</f>
        <v>93.059977624603576</v>
      </c>
      <c r="F61" s="86">
        <f>MBunk_ene!F$10</f>
        <v>80.833886673914449</v>
      </c>
      <c r="G61" s="86">
        <f>MBunk_ene!G$10</f>
        <v>77.637517318181864</v>
      </c>
      <c r="H61" s="86">
        <f>MBunk_ene!H$10</f>
        <v>69.698028253209429</v>
      </c>
      <c r="I61" s="86">
        <f>MBunk_ene!I$10</f>
        <v>38.661272160256168</v>
      </c>
      <c r="J61" s="86">
        <f>MBunk_ene!J$10</f>
        <v>85.341564322033634</v>
      </c>
      <c r="K61" s="86">
        <f>MBunk_ene!K$10</f>
        <v>113.45319436285293</v>
      </c>
      <c r="L61" s="86">
        <f>MBunk_ene!L$10</f>
        <v>58.087837636139845</v>
      </c>
      <c r="M61" s="86">
        <f>MBunk_ene!M$10</f>
        <v>42.922036890897623</v>
      </c>
      <c r="N61" s="86">
        <f>MBunk_ene!N$10</f>
        <v>36.357897232720148</v>
      </c>
      <c r="O61" s="86">
        <f>MBunk_ene!O$10</f>
        <v>49.678256864719287</v>
      </c>
      <c r="P61" s="86">
        <f>MBunk_ene!P$10</f>
        <v>46.714230433646527</v>
      </c>
      <c r="Q61" s="86">
        <f>MBunk_ene!Q$10</f>
        <v>52.211922442469564</v>
      </c>
      <c r="R61" s="86">
        <f>MBunk_ene!R$10</f>
        <v>44.18299068536011</v>
      </c>
      <c r="S61" s="86">
        <f>MBunk_ene!S$10</f>
        <v>43.772535052221343</v>
      </c>
      <c r="T61" s="86">
        <f>MBunk_ene!T$10</f>
        <v>43.965795048282274</v>
      </c>
      <c r="U61" s="86">
        <f>MBunk_ene!U$10</f>
        <v>41.582926020165274</v>
      </c>
      <c r="V61" s="86">
        <f>MBunk_ene!V$10</f>
        <v>49.255205545310055</v>
      </c>
      <c r="W61" s="86">
        <f>MBunk_ene!W$10</f>
        <v>52.47444994596367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4257.4654541145837</v>
      </c>
      <c r="C64" s="28">
        <f t="shared" si="49"/>
        <v>4478.7754571610631</v>
      </c>
      <c r="D64" s="28">
        <f t="shared" si="49"/>
        <v>4814.1017451453536</v>
      </c>
      <c r="E64" s="28">
        <f t="shared" si="49"/>
        <v>5199.5200124254425</v>
      </c>
      <c r="F64" s="28">
        <f t="shared" si="49"/>
        <v>5381.8339956626833</v>
      </c>
      <c r="G64" s="28">
        <f t="shared" si="49"/>
        <v>5985.6699429964001</v>
      </c>
      <c r="H64" s="28">
        <f t="shared" si="49"/>
        <v>6302.6018262550533</v>
      </c>
      <c r="I64" s="28">
        <f t="shared" si="49"/>
        <v>6142.6781060808917</v>
      </c>
      <c r="J64" s="28">
        <f t="shared" si="49"/>
        <v>6445.3593787688533</v>
      </c>
      <c r="K64" s="28">
        <f t="shared" si="49"/>
        <v>6379.969515501225</v>
      </c>
      <c r="L64" s="28">
        <f t="shared" si="49"/>
        <v>6246.9625014144085</v>
      </c>
      <c r="M64" s="28">
        <f t="shared" si="49"/>
        <v>6264.5686988264815</v>
      </c>
      <c r="N64" s="28">
        <f t="shared" si="49"/>
        <v>6503.1317705643205</v>
      </c>
      <c r="O64" s="28">
        <f t="shared" si="49"/>
        <v>5743.4598696039839</v>
      </c>
      <c r="P64" s="28">
        <f t="shared" si="49"/>
        <v>6534.2696892090707</v>
      </c>
      <c r="Q64" s="28">
        <f t="shared" si="49"/>
        <v>7175.3835906668965</v>
      </c>
      <c r="R64" s="28">
        <f t="shared" ref="R64:V64" si="50">R65+R69+R73</f>
        <v>7437.1170310642237</v>
      </c>
      <c r="S64" s="28">
        <f t="shared" si="50"/>
        <v>7627.8613752205247</v>
      </c>
      <c r="T64" s="28">
        <f t="shared" si="50"/>
        <v>7993.8868431141291</v>
      </c>
      <c r="U64" s="28">
        <f t="shared" si="50"/>
        <v>8394.9308423159673</v>
      </c>
      <c r="V64" s="28">
        <f t="shared" si="50"/>
        <v>7425.3028243535982</v>
      </c>
      <c r="W64" s="28">
        <f t="shared" ref="W64" si="51">W65+W69+W73</f>
        <v>8178.7328796262027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3895.6421570386742</v>
      </c>
      <c r="C65" s="137">
        <f t="shared" si="52"/>
        <v>3975.5715452186187</v>
      </c>
      <c r="D65" s="137">
        <f t="shared" si="52"/>
        <v>4311.4925882765647</v>
      </c>
      <c r="E65" s="137">
        <f t="shared" si="52"/>
        <v>4607.2458109059326</v>
      </c>
      <c r="F65" s="137">
        <f t="shared" si="52"/>
        <v>4832.3386958866686</v>
      </c>
      <c r="G65" s="137">
        <f t="shared" si="52"/>
        <v>5347.869140202587</v>
      </c>
      <c r="H65" s="137">
        <f t="shared" si="52"/>
        <v>5647.7996705967626</v>
      </c>
      <c r="I65" s="137">
        <f t="shared" si="52"/>
        <v>5441.1244346068588</v>
      </c>
      <c r="J65" s="137">
        <f t="shared" si="52"/>
        <v>5730.4793574371615</v>
      </c>
      <c r="K65" s="137">
        <f t="shared" si="52"/>
        <v>5825.307551785796</v>
      </c>
      <c r="L65" s="137">
        <f t="shared" si="52"/>
        <v>5670.4747918529101</v>
      </c>
      <c r="M65" s="137">
        <f t="shared" si="52"/>
        <v>5666.0203455495375</v>
      </c>
      <c r="N65" s="137">
        <f t="shared" si="52"/>
        <v>5939.579367554863</v>
      </c>
      <c r="O65" s="137">
        <f t="shared" si="52"/>
        <v>5206.0585370654762</v>
      </c>
      <c r="P65" s="137">
        <f t="shared" si="52"/>
        <v>5983.2745000407758</v>
      </c>
      <c r="Q65" s="137">
        <f t="shared" si="52"/>
        <v>6588.2816787131733</v>
      </c>
      <c r="R65" s="137">
        <f t="shared" ref="R65:V65" si="53">R66+R67+R68</f>
        <v>6724.2969349659488</v>
      </c>
      <c r="S65" s="137">
        <f t="shared" si="53"/>
        <v>6836.5998706940409</v>
      </c>
      <c r="T65" s="137">
        <f t="shared" si="53"/>
        <v>7161.0003395088861</v>
      </c>
      <c r="U65" s="137">
        <f t="shared" si="53"/>
        <v>7647.2657808754675</v>
      </c>
      <c r="V65" s="137">
        <f t="shared" si="53"/>
        <v>7002.3855838391901</v>
      </c>
      <c r="W65" s="137">
        <f t="shared" ref="W65" si="54">W66+W67+W68</f>
        <v>7669.2398546309641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36.048245534763517</v>
      </c>
      <c r="C66" s="102">
        <f>TrRoad_emi!C$19</f>
        <v>36.947027049358695</v>
      </c>
      <c r="D66" s="102">
        <f>TrRoad_emi!D$19</f>
        <v>37.873562838591468</v>
      </c>
      <c r="E66" s="102">
        <f>TrRoad_emi!E$19</f>
        <v>38.149878526731563</v>
      </c>
      <c r="F66" s="102">
        <f>TrRoad_emi!F$19</f>
        <v>38.489985342499033</v>
      </c>
      <c r="G66" s="102">
        <f>TrRoad_emi!G$19</f>
        <v>41.190945156067521</v>
      </c>
      <c r="H66" s="102">
        <f>TrRoad_emi!H$19</f>
        <v>42.289564408049316</v>
      </c>
      <c r="I66" s="102">
        <f>TrRoad_emi!I$19</f>
        <v>44.052652622499259</v>
      </c>
      <c r="J66" s="102">
        <f>TrRoad_emi!J$19</f>
        <v>49.1214174403502</v>
      </c>
      <c r="K66" s="102">
        <f>TrRoad_emi!K$19</f>
        <v>51.652673848285936</v>
      </c>
      <c r="L66" s="102">
        <f>TrRoad_emi!L$19</f>
        <v>55.728195682461141</v>
      </c>
      <c r="M66" s="102">
        <f>TrRoad_emi!M$19</f>
        <v>58.36640154633686</v>
      </c>
      <c r="N66" s="102">
        <f>TrRoad_emi!N$19</f>
        <v>62.790442503617115</v>
      </c>
      <c r="O66" s="102">
        <f>TrRoad_emi!O$19</f>
        <v>64.7879956304252</v>
      </c>
      <c r="P66" s="102">
        <f>TrRoad_emi!P$19</f>
        <v>66.945319813636743</v>
      </c>
      <c r="Q66" s="102">
        <f>TrRoad_emi!Q$19</f>
        <v>69.327346281408808</v>
      </c>
      <c r="R66" s="102">
        <f>TrRoad_emi!R$19</f>
        <v>73.08013231689047</v>
      </c>
      <c r="S66" s="102">
        <f>TrRoad_emi!S$19</f>
        <v>70.107878503819208</v>
      </c>
      <c r="T66" s="102">
        <f>TrRoad_emi!T$19</f>
        <v>66.306609619148873</v>
      </c>
      <c r="U66" s="102">
        <f>TrRoad_emi!U$19</f>
        <v>70.107201218874607</v>
      </c>
      <c r="V66" s="102">
        <f>TrRoad_emi!V$19</f>
        <v>63.165269216115021</v>
      </c>
      <c r="W66" s="102">
        <f>TrRoad_emi!W$19</f>
        <v>62.7998244235459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3019.8880872064306</v>
      </c>
      <c r="C67" s="102">
        <f>TrRoad_emi!C$20</f>
        <v>3073.7390300488037</v>
      </c>
      <c r="D67" s="102">
        <f>TrRoad_emi!D$20</f>
        <v>3293.9874098502787</v>
      </c>
      <c r="E67" s="102">
        <f>TrRoad_emi!E$20</f>
        <v>3723.7770273900833</v>
      </c>
      <c r="F67" s="102">
        <f>TrRoad_emi!F$20</f>
        <v>4017.9274040342739</v>
      </c>
      <c r="G67" s="102">
        <f>TrRoad_emi!G$20</f>
        <v>4485.1076236692343</v>
      </c>
      <c r="H67" s="102">
        <f>TrRoad_emi!H$20</f>
        <v>4823.3389396448856</v>
      </c>
      <c r="I67" s="102">
        <f>TrRoad_emi!I$20</f>
        <v>4564.7841431921324</v>
      </c>
      <c r="J67" s="102">
        <f>TrRoad_emi!J$20</f>
        <v>4925.6107197295305</v>
      </c>
      <c r="K67" s="102">
        <f>TrRoad_emi!K$20</f>
        <v>4987.3392196611921</v>
      </c>
      <c r="L67" s="102">
        <f>TrRoad_emi!L$20</f>
        <v>4895.4141489419953</v>
      </c>
      <c r="M67" s="102">
        <f>TrRoad_emi!M$20</f>
        <v>4817.2284602202908</v>
      </c>
      <c r="N67" s="102">
        <f>TrRoad_emi!N$20</f>
        <v>5176.4013448352607</v>
      </c>
      <c r="O67" s="102">
        <f>TrRoad_emi!O$20</f>
        <v>4516.7237974924483</v>
      </c>
      <c r="P67" s="102">
        <f>TrRoad_emi!P$20</f>
        <v>5297.9577922034223</v>
      </c>
      <c r="Q67" s="102">
        <f>TrRoad_emi!Q$20</f>
        <v>5844.0453837517407</v>
      </c>
      <c r="R67" s="102">
        <f>TrRoad_emi!R$20</f>
        <v>6012.8912776544566</v>
      </c>
      <c r="S67" s="102">
        <f>TrRoad_emi!S$20</f>
        <v>6173.2598822710679</v>
      </c>
      <c r="T67" s="102">
        <f>TrRoad_emi!T$20</f>
        <v>6487.4613390514414</v>
      </c>
      <c r="U67" s="102">
        <f>TrRoad_emi!U$20</f>
        <v>6911.4462253587817</v>
      </c>
      <c r="V67" s="102">
        <f>TrRoad_emi!V$20</f>
        <v>6288.3634633458896</v>
      </c>
      <c r="W67" s="102">
        <f>TrRoad_emi!W$20</f>
        <v>6948.4900464426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839.70582429747992</v>
      </c>
      <c r="C68" s="102">
        <f>TrRoad_emi!C$27</f>
        <v>864.88548812045599</v>
      </c>
      <c r="D68" s="102">
        <f>TrRoad_emi!D$27</f>
        <v>979.63161558769468</v>
      </c>
      <c r="E68" s="102">
        <f>TrRoad_emi!E$27</f>
        <v>845.31890498911719</v>
      </c>
      <c r="F68" s="102">
        <f>TrRoad_emi!F$27</f>
        <v>775.92130650989577</v>
      </c>
      <c r="G68" s="102">
        <f>TrRoad_emi!G$27</f>
        <v>821.57057137728452</v>
      </c>
      <c r="H68" s="102">
        <f>TrRoad_emi!H$27</f>
        <v>782.17116654382767</v>
      </c>
      <c r="I68" s="102">
        <f>TrRoad_emi!I$27</f>
        <v>832.28763879222697</v>
      </c>
      <c r="J68" s="102">
        <f>TrRoad_emi!J$27</f>
        <v>755.74722026728114</v>
      </c>
      <c r="K68" s="102">
        <f>TrRoad_emi!K$27</f>
        <v>786.31565827631778</v>
      </c>
      <c r="L68" s="102">
        <f>TrRoad_emi!L$27</f>
        <v>719.33244722845438</v>
      </c>
      <c r="M68" s="102">
        <f>TrRoad_emi!M$27</f>
        <v>790.42548378290996</v>
      </c>
      <c r="N68" s="102">
        <f>TrRoad_emi!N$27</f>
        <v>700.38758021598539</v>
      </c>
      <c r="O68" s="102">
        <f>TrRoad_emi!O$27</f>
        <v>624.54674394260292</v>
      </c>
      <c r="P68" s="102">
        <f>TrRoad_emi!P$27</f>
        <v>618.3713880237168</v>
      </c>
      <c r="Q68" s="102">
        <f>TrRoad_emi!Q$27</f>
        <v>674.90894868002374</v>
      </c>
      <c r="R68" s="102">
        <f>TrRoad_emi!R$27</f>
        <v>638.32552499460121</v>
      </c>
      <c r="S68" s="102">
        <f>TrRoad_emi!S$27</f>
        <v>593.23210991915448</v>
      </c>
      <c r="T68" s="102">
        <f>TrRoad_emi!T$27</f>
        <v>607.23239083829628</v>
      </c>
      <c r="U68" s="102">
        <f>TrRoad_emi!U$27</f>
        <v>665.71235429781166</v>
      </c>
      <c r="V68" s="102">
        <f>TrRoad_emi!V$27</f>
        <v>650.85685127718557</v>
      </c>
      <c r="W68" s="102">
        <f>TrRoad_emi!W$27</f>
        <v>657.94998376481794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56.236618268995628</v>
      </c>
      <c r="C69" s="110">
        <f t="shared" si="55"/>
        <v>47.32494870092863</v>
      </c>
      <c r="D69" s="110">
        <f t="shared" si="55"/>
        <v>40.904581546550091</v>
      </c>
      <c r="E69" s="110">
        <f t="shared" si="55"/>
        <v>32.678903900808052</v>
      </c>
      <c r="F69" s="110">
        <f t="shared" si="55"/>
        <v>33.723360507967151</v>
      </c>
      <c r="G69" s="110">
        <f t="shared" si="55"/>
        <v>36.83945443120146</v>
      </c>
      <c r="H69" s="110">
        <f t="shared" si="55"/>
        <v>44.597607364491509</v>
      </c>
      <c r="I69" s="110">
        <f t="shared" si="55"/>
        <v>37.581571956759269</v>
      </c>
      <c r="J69" s="110">
        <f t="shared" si="55"/>
        <v>46.12122974437812</v>
      </c>
      <c r="K69" s="110">
        <f t="shared" si="55"/>
        <v>32.86109478849513</v>
      </c>
      <c r="L69" s="110">
        <f t="shared" si="55"/>
        <v>35.359470092353213</v>
      </c>
      <c r="M69" s="110">
        <f t="shared" si="55"/>
        <v>30.737869297361616</v>
      </c>
      <c r="N69" s="110">
        <f t="shared" si="55"/>
        <v>43.696970930476908</v>
      </c>
      <c r="O69" s="110">
        <f t="shared" si="55"/>
        <v>27.068516291790555</v>
      </c>
      <c r="P69" s="110">
        <f t="shared" si="55"/>
        <v>19.374362002445739</v>
      </c>
      <c r="Q69" s="110">
        <f t="shared" si="55"/>
        <v>23.655195081186655</v>
      </c>
      <c r="R69" s="110">
        <f t="shared" ref="R69:V69" si="56">R70+R71+R72</f>
        <v>22.188854469260889</v>
      </c>
      <c r="S69" s="110">
        <f t="shared" si="56"/>
        <v>22.286718281005186</v>
      </c>
      <c r="T69" s="110">
        <f t="shared" si="56"/>
        <v>17.821514665227276</v>
      </c>
      <c r="U69" s="110">
        <f t="shared" si="56"/>
        <v>16.79344093043369</v>
      </c>
      <c r="V69" s="110">
        <f t="shared" si="56"/>
        <v>12.016760488559123</v>
      </c>
      <c r="W69" s="110">
        <f t="shared" ref="W69" si="57">W70+W71+W72</f>
        <v>12.819741248883552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56.236618268995628</v>
      </c>
      <c r="C71" s="102">
        <f>TrRail_emi!C$11</f>
        <v>47.32494870092863</v>
      </c>
      <c r="D71" s="102">
        <f>TrRail_emi!D$11</f>
        <v>40.904581546550091</v>
      </c>
      <c r="E71" s="102">
        <f>TrRail_emi!E$11</f>
        <v>32.678903900808052</v>
      </c>
      <c r="F71" s="102">
        <f>TrRail_emi!F$11</f>
        <v>33.723360507967151</v>
      </c>
      <c r="G71" s="102">
        <f>TrRail_emi!G$11</f>
        <v>36.83945443120146</v>
      </c>
      <c r="H71" s="102">
        <f>TrRail_emi!H$11</f>
        <v>44.597607364491509</v>
      </c>
      <c r="I71" s="102">
        <f>TrRail_emi!I$11</f>
        <v>37.581571956759269</v>
      </c>
      <c r="J71" s="102">
        <f>TrRail_emi!J$11</f>
        <v>46.12122974437812</v>
      </c>
      <c r="K71" s="102">
        <f>TrRail_emi!K$11</f>
        <v>32.86109478849513</v>
      </c>
      <c r="L71" s="102">
        <f>TrRail_emi!L$11</f>
        <v>35.359470092353213</v>
      </c>
      <c r="M71" s="102">
        <f>TrRail_emi!M$11</f>
        <v>30.737869297361616</v>
      </c>
      <c r="N71" s="102">
        <f>TrRail_emi!N$11</f>
        <v>43.696970930476908</v>
      </c>
      <c r="O71" s="102">
        <f>TrRail_emi!O$11</f>
        <v>27.068516291790555</v>
      </c>
      <c r="P71" s="102">
        <f>TrRail_emi!P$11</f>
        <v>19.374362002445739</v>
      </c>
      <c r="Q71" s="102">
        <f>TrRail_emi!Q$11</f>
        <v>23.655195081186655</v>
      </c>
      <c r="R71" s="102">
        <f>TrRail_emi!R$11</f>
        <v>22.188854469260889</v>
      </c>
      <c r="S71" s="102">
        <f>TrRail_emi!S$11</f>
        <v>22.286718281005186</v>
      </c>
      <c r="T71" s="102">
        <f>TrRail_emi!T$11</f>
        <v>17.821514665227276</v>
      </c>
      <c r="U71" s="102">
        <f>TrRail_emi!U$11</f>
        <v>16.79344093043369</v>
      </c>
      <c r="V71" s="102">
        <f>TrRail_emi!V$11</f>
        <v>12.016760488559123</v>
      </c>
      <c r="W71" s="102">
        <f>TrRail_emi!W$11</f>
        <v>12.819741248883552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305.58667880691365</v>
      </c>
      <c r="C73" s="110">
        <f t="shared" si="58"/>
        <v>455.87896324151592</v>
      </c>
      <c r="D73" s="110">
        <f t="shared" si="58"/>
        <v>461.70457532223895</v>
      </c>
      <c r="E73" s="110">
        <f t="shared" si="58"/>
        <v>559.59529761870169</v>
      </c>
      <c r="F73" s="110">
        <f t="shared" si="58"/>
        <v>515.77193926804716</v>
      </c>
      <c r="G73" s="110">
        <f t="shared" si="58"/>
        <v>600.96134836261172</v>
      </c>
      <c r="H73" s="110">
        <f t="shared" si="58"/>
        <v>610.20454829379923</v>
      </c>
      <c r="I73" s="110">
        <f t="shared" si="58"/>
        <v>663.97209951727416</v>
      </c>
      <c r="J73" s="110">
        <f t="shared" si="58"/>
        <v>668.75879158731323</v>
      </c>
      <c r="K73" s="110">
        <f t="shared" si="58"/>
        <v>521.80086892693373</v>
      </c>
      <c r="L73" s="110">
        <f t="shared" si="58"/>
        <v>541.12823946914546</v>
      </c>
      <c r="M73" s="110">
        <f t="shared" si="58"/>
        <v>567.81048397958216</v>
      </c>
      <c r="N73" s="110">
        <f t="shared" si="58"/>
        <v>519.85543207898115</v>
      </c>
      <c r="O73" s="110">
        <f t="shared" si="58"/>
        <v>510.33281624671673</v>
      </c>
      <c r="P73" s="110">
        <f t="shared" si="58"/>
        <v>531.6208271658486</v>
      </c>
      <c r="Q73" s="110">
        <f t="shared" si="58"/>
        <v>563.44671687253685</v>
      </c>
      <c r="R73" s="110">
        <f t="shared" ref="R73:V73" si="59">R74+R75+R76</f>
        <v>690.63124162901408</v>
      </c>
      <c r="S73" s="110">
        <f t="shared" si="59"/>
        <v>768.97478624547898</v>
      </c>
      <c r="T73" s="110">
        <f t="shared" si="59"/>
        <v>815.06498894001584</v>
      </c>
      <c r="U73" s="110">
        <f t="shared" si="59"/>
        <v>730.87162051006555</v>
      </c>
      <c r="V73" s="110">
        <f t="shared" si="59"/>
        <v>410.90048002584876</v>
      </c>
      <c r="W73" s="110">
        <f t="shared" ref="W73" si="60">W74+W75+W76</f>
        <v>496.67328374635463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63.415799999999997</v>
      </c>
      <c r="C74" s="102">
        <f>TrAvia_emi!C$7</f>
        <v>139.44508200000001</v>
      </c>
      <c r="D74" s="102">
        <f>TrAvia_emi!D$7</f>
        <v>82.370861999999988</v>
      </c>
      <c r="E74" s="102">
        <f>TrAvia_emi!E$7</f>
        <v>72.858491999999998</v>
      </c>
      <c r="F74" s="102">
        <f>TrAvia_emi!F$7</f>
        <v>58.883075999999988</v>
      </c>
      <c r="G74" s="102">
        <f>TrAvia_emi!G$7</f>
        <v>40.281021719999991</v>
      </c>
      <c r="H74" s="102">
        <f>TrAvia_emi!H$7</f>
        <v>74.407958279999988</v>
      </c>
      <c r="I74" s="102">
        <f>TrAvia_emi!I$7</f>
        <v>123.66805752000002</v>
      </c>
      <c r="J74" s="102">
        <f>TrAvia_emi!J$7</f>
        <v>40.180257719999986</v>
      </c>
      <c r="K74" s="102">
        <f>TrAvia_emi!K$7</f>
        <v>71.097401519999991</v>
      </c>
      <c r="L74" s="102">
        <f>TrAvia_emi!L$7</f>
        <v>46.36368648000002</v>
      </c>
      <c r="M74" s="102">
        <f>TrAvia_emi!M$7</f>
        <v>64.913972760000021</v>
      </c>
      <c r="N74" s="102">
        <f>TrAvia_emi!N$7</f>
        <v>33.996828959999988</v>
      </c>
      <c r="O74" s="102">
        <f>TrAvia_emi!O$7</f>
        <v>37.088672759999994</v>
      </c>
      <c r="P74" s="102">
        <f>TrAvia_emi!P$7</f>
        <v>27.813659040000001</v>
      </c>
      <c r="Q74" s="102">
        <f>TrAvia_emi!Q$7</f>
        <v>40.180257719999986</v>
      </c>
      <c r="R74" s="102">
        <f>TrAvia_emi!R$7</f>
        <v>58.742184960000017</v>
      </c>
      <c r="S74" s="102">
        <f>TrAvia_emi!S$7</f>
        <v>61.98029136000001</v>
      </c>
      <c r="T74" s="102">
        <f>TrAvia_emi!T$7</f>
        <v>52.722767880000013</v>
      </c>
      <c r="U74" s="102">
        <f>TrAvia_emi!U$7</f>
        <v>21.675489839999997</v>
      </c>
      <c r="V74" s="102">
        <f>TrAvia_emi!V$7</f>
        <v>11.657351520000002</v>
      </c>
      <c r="W74" s="102">
        <f>TrAvia_emi!W$7</f>
        <v>15.22420704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202.37414872870974</v>
      </c>
      <c r="C75" s="102">
        <f>TrAvia_emi!C$8</f>
        <v>264.43637972825877</v>
      </c>
      <c r="D75" s="102">
        <f>TrAvia_emi!D$8</f>
        <v>316.994743361372</v>
      </c>
      <c r="E75" s="102">
        <f>TrAvia_emi!E$8</f>
        <v>406.76388304159678</v>
      </c>
      <c r="F75" s="102">
        <f>TrAvia_emi!F$8</f>
        <v>381.81881906816807</v>
      </c>
      <c r="G75" s="102">
        <f>TrAvia_emi!G$8</f>
        <v>473.67403361571752</v>
      </c>
      <c r="H75" s="102">
        <f>TrAvia_emi!H$8</f>
        <v>458.44945496987202</v>
      </c>
      <c r="I75" s="102">
        <f>TrAvia_emi!I$8</f>
        <v>463.42286476974766</v>
      </c>
      <c r="J75" s="102">
        <f>TrAvia_emi!J$8</f>
        <v>536.7550919700102</v>
      </c>
      <c r="K75" s="102">
        <f>TrAvia_emi!K$8</f>
        <v>380.01218128152425</v>
      </c>
      <c r="L75" s="102">
        <f>TrAvia_emi!L$8</f>
        <v>415.77867632180318</v>
      </c>
      <c r="M75" s="102">
        <f>TrAvia_emi!M$8</f>
        <v>422.92337440665631</v>
      </c>
      <c r="N75" s="102">
        <f>TrAvia_emi!N$8</f>
        <v>407.52775684982328</v>
      </c>
      <c r="O75" s="102">
        <f>TrAvia_emi!O$8</f>
        <v>397.67713119335912</v>
      </c>
      <c r="P75" s="102">
        <f>TrAvia_emi!P$8</f>
        <v>424.00648948880104</v>
      </c>
      <c r="Q75" s="102">
        <f>TrAvia_emi!Q$8</f>
        <v>441.78704190692395</v>
      </c>
      <c r="R75" s="102">
        <f>TrAvia_emi!R$8</f>
        <v>543.37091715694851</v>
      </c>
      <c r="S75" s="102">
        <f>TrAvia_emi!S$8</f>
        <v>614.67291890292552</v>
      </c>
      <c r="T75" s="102">
        <f>TrAvia_emi!T$8</f>
        <v>662.0211719557592</v>
      </c>
      <c r="U75" s="102">
        <f>TrAvia_emi!U$8</f>
        <v>614.56562330659676</v>
      </c>
      <c r="V75" s="102">
        <f>TrAvia_emi!V$8</f>
        <v>328.85416121024321</v>
      </c>
      <c r="W75" s="102">
        <f>TrAvia_emi!W$8</f>
        <v>402.79377530722763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39.7967300782039</v>
      </c>
      <c r="C76" s="102">
        <f>TrAvia_emi!C$9</f>
        <v>51.997501513257149</v>
      </c>
      <c r="D76" s="102">
        <f>TrAvia_emi!D$9</f>
        <v>62.33896996086694</v>
      </c>
      <c r="E76" s="102">
        <f>TrAvia_emi!E$9</f>
        <v>79.972922577104853</v>
      </c>
      <c r="F76" s="102">
        <f>TrAvia_emi!F$9</f>
        <v>75.070044199879078</v>
      </c>
      <c r="G76" s="102">
        <f>TrAvia_emi!G$9</f>
        <v>87.006293026894198</v>
      </c>
      <c r="H76" s="102">
        <f>TrAvia_emi!H$9</f>
        <v>77.347135043927267</v>
      </c>
      <c r="I76" s="102">
        <f>TrAvia_emi!I$9</f>
        <v>76.881177227526422</v>
      </c>
      <c r="J76" s="102">
        <f>TrAvia_emi!J$9</f>
        <v>91.823441897302999</v>
      </c>
      <c r="K76" s="102">
        <f>TrAvia_emi!K$9</f>
        <v>70.691286125409462</v>
      </c>
      <c r="L76" s="102">
        <f>TrAvia_emi!L$9</f>
        <v>78.985876667342325</v>
      </c>
      <c r="M76" s="102">
        <f>TrAvia_emi!M$9</f>
        <v>79.973136812925873</v>
      </c>
      <c r="N76" s="102">
        <f>TrAvia_emi!N$9</f>
        <v>78.330846269157874</v>
      </c>
      <c r="O76" s="102">
        <f>TrAvia_emi!O$9</f>
        <v>75.567012293357593</v>
      </c>
      <c r="P76" s="102">
        <f>TrAvia_emi!P$9</f>
        <v>79.800678637047582</v>
      </c>
      <c r="Q76" s="102">
        <f>TrAvia_emi!Q$9</f>
        <v>81.479417245612908</v>
      </c>
      <c r="R76" s="102">
        <f>TrAvia_emi!R$9</f>
        <v>88.518139512065602</v>
      </c>
      <c r="S76" s="102">
        <f>TrAvia_emi!S$9</f>
        <v>92.321575982553455</v>
      </c>
      <c r="T76" s="102">
        <f>TrAvia_emi!T$9</f>
        <v>100.32104910425669</v>
      </c>
      <c r="U76" s="102">
        <f>TrAvia_emi!U$9</f>
        <v>94.630507363468851</v>
      </c>
      <c r="V76" s="102">
        <f>TrAvia_emi!V$9</f>
        <v>70.388967295605568</v>
      </c>
      <c r="W76" s="102">
        <f>TrAvia_emi!W$9</f>
        <v>78.655301399126955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1085.9554922054167</v>
      </c>
      <c r="C77" s="28">
        <f t="shared" si="61"/>
        <v>1177.0843526789361</v>
      </c>
      <c r="D77" s="28">
        <f t="shared" si="61"/>
        <v>1131.3574248146458</v>
      </c>
      <c r="E77" s="28">
        <f t="shared" si="61"/>
        <v>1572.4523528545601</v>
      </c>
      <c r="F77" s="28">
        <f t="shared" si="61"/>
        <v>1742.8958694573159</v>
      </c>
      <c r="G77" s="28">
        <f t="shared" si="61"/>
        <v>1874.9145435236007</v>
      </c>
      <c r="H77" s="28">
        <f t="shared" si="61"/>
        <v>1893.7091778649458</v>
      </c>
      <c r="I77" s="28">
        <f t="shared" si="61"/>
        <v>1714.6357663991093</v>
      </c>
      <c r="J77" s="28">
        <f t="shared" si="61"/>
        <v>1890.5045190711455</v>
      </c>
      <c r="K77" s="28">
        <f t="shared" si="61"/>
        <v>1727.5893663387758</v>
      </c>
      <c r="L77" s="28">
        <f t="shared" si="61"/>
        <v>1686.3690689855898</v>
      </c>
      <c r="M77" s="28">
        <f t="shared" si="61"/>
        <v>1702.7143448535185</v>
      </c>
      <c r="N77" s="28">
        <f t="shared" si="61"/>
        <v>1722.6883979156767</v>
      </c>
      <c r="O77" s="28">
        <f t="shared" si="61"/>
        <v>1577.3368833560153</v>
      </c>
      <c r="P77" s="28">
        <f t="shared" si="61"/>
        <v>1716.2468662709302</v>
      </c>
      <c r="Q77" s="28">
        <f t="shared" si="61"/>
        <v>1940.0291765331046</v>
      </c>
      <c r="R77" s="28">
        <f t="shared" ref="R77:V77" si="62">R78+R81+R82+R86+R92</f>
        <v>1910.7999750157774</v>
      </c>
      <c r="S77" s="28">
        <f t="shared" si="62"/>
        <v>1876.4014971394722</v>
      </c>
      <c r="T77" s="28">
        <f t="shared" si="62"/>
        <v>1851.5619727658695</v>
      </c>
      <c r="U77" s="28">
        <f t="shared" si="62"/>
        <v>1702.6507102440326</v>
      </c>
      <c r="V77" s="28">
        <f t="shared" si="62"/>
        <v>1841.6543148864021</v>
      </c>
      <c r="W77" s="28">
        <f t="shared" ref="W77" si="63">W78+W81+W82+W86+W92</f>
        <v>1802.1092276137965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1008.0817958893259</v>
      </c>
      <c r="C78" s="137">
        <f t="shared" si="64"/>
        <v>1104.8165168925807</v>
      </c>
      <c r="D78" s="137">
        <f t="shared" si="64"/>
        <v>1055.6313268542349</v>
      </c>
      <c r="E78" s="137">
        <f t="shared" si="64"/>
        <v>1494.7116919436694</v>
      </c>
      <c r="F78" s="137">
        <f t="shared" si="64"/>
        <v>1651.3773452281303</v>
      </c>
      <c r="G78" s="137">
        <f t="shared" si="64"/>
        <v>1781.0238830586136</v>
      </c>
      <c r="H78" s="137">
        <f t="shared" si="64"/>
        <v>1811.8174576736365</v>
      </c>
      <c r="I78" s="137">
        <f t="shared" si="64"/>
        <v>1639.0513087363424</v>
      </c>
      <c r="J78" s="137">
        <f t="shared" si="64"/>
        <v>1744.9232273412365</v>
      </c>
      <c r="K78" s="137">
        <f t="shared" si="64"/>
        <v>1519.8759370830048</v>
      </c>
      <c r="L78" s="137">
        <f t="shared" si="64"/>
        <v>1472.4580977042885</v>
      </c>
      <c r="M78" s="137">
        <f t="shared" si="64"/>
        <v>1532.6654558528621</v>
      </c>
      <c r="N78" s="137">
        <f t="shared" si="64"/>
        <v>1532.8157468431345</v>
      </c>
      <c r="O78" s="137">
        <f t="shared" si="64"/>
        <v>1396.6439798733222</v>
      </c>
      <c r="P78" s="137">
        <f t="shared" si="64"/>
        <v>1528.0384358168244</v>
      </c>
      <c r="Q78" s="137">
        <f t="shared" si="64"/>
        <v>1702.8399301920281</v>
      </c>
      <c r="R78" s="137">
        <f t="shared" ref="R78:V78" si="65">R79+R80</f>
        <v>1691.0693621360524</v>
      </c>
      <c r="S78" s="137">
        <f t="shared" si="65"/>
        <v>1658.6914671999562</v>
      </c>
      <c r="T78" s="137">
        <f t="shared" si="65"/>
        <v>1614.0704357063125</v>
      </c>
      <c r="U78" s="137">
        <f t="shared" si="65"/>
        <v>1430.1035771017323</v>
      </c>
      <c r="V78" s="137">
        <f t="shared" si="65"/>
        <v>1538.1929732256099</v>
      </c>
      <c r="W78" s="137">
        <f t="shared" ref="W78" si="66">W79+W80</f>
        <v>1770.6339228090344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389.98073835674302</v>
      </c>
      <c r="C79" s="102">
        <f>TrRoad_emi!C$34</f>
        <v>377.42179968912205</v>
      </c>
      <c r="D79" s="102">
        <f>TrRoad_emi!D$34</f>
        <v>383.80959548055586</v>
      </c>
      <c r="E79" s="102">
        <f>TrRoad_emi!E$34</f>
        <v>406.81046850909149</v>
      </c>
      <c r="F79" s="102">
        <f>TrRoad_emi!F$34</f>
        <v>455.01724994441645</v>
      </c>
      <c r="G79" s="102">
        <f>TrRoad_emi!G$34</f>
        <v>421.35745019794177</v>
      </c>
      <c r="H79" s="102">
        <f>TrRoad_emi!H$34</f>
        <v>449.62007244587028</v>
      </c>
      <c r="I79" s="102">
        <f>TrRoad_emi!I$34</f>
        <v>484.32662651248859</v>
      </c>
      <c r="J79" s="102">
        <f>TrRoad_emi!J$34</f>
        <v>513.15767219014515</v>
      </c>
      <c r="K79" s="102">
        <f>TrRoad_emi!K$34</f>
        <v>506.65654937769443</v>
      </c>
      <c r="L79" s="102">
        <f>TrRoad_emi!L$34</f>
        <v>492.04617114072317</v>
      </c>
      <c r="M79" s="102">
        <f>TrRoad_emi!M$34</f>
        <v>543.54991563654755</v>
      </c>
      <c r="N79" s="102">
        <f>TrRoad_emi!N$34</f>
        <v>548.52192324790758</v>
      </c>
      <c r="O79" s="102">
        <f>TrRoad_emi!O$34</f>
        <v>537.20942993854101</v>
      </c>
      <c r="P79" s="102">
        <f>TrRoad_emi!P$34</f>
        <v>563.13913148504798</v>
      </c>
      <c r="Q79" s="102">
        <f>TrRoad_emi!Q$34</f>
        <v>624.33521660074132</v>
      </c>
      <c r="R79" s="102">
        <f>TrRoad_emi!R$34</f>
        <v>607.23418726079478</v>
      </c>
      <c r="S79" s="102">
        <f>TrRoad_emi!S$34</f>
        <v>514.45624892935302</v>
      </c>
      <c r="T79" s="102">
        <f>TrRoad_emi!T$34</f>
        <v>514.46730193215512</v>
      </c>
      <c r="U79" s="102">
        <f>TrRoad_emi!U$34</f>
        <v>500.65854702503782</v>
      </c>
      <c r="V79" s="102">
        <f>TrRoad_emi!V$34</f>
        <v>479.6838840842986</v>
      </c>
      <c r="W79" s="102">
        <f>TrRoad_emi!W$34</f>
        <v>465.78405574582683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618.1010575325829</v>
      </c>
      <c r="C80" s="102">
        <f>TrRoad_emi!C$40</f>
        <v>727.39471720345864</v>
      </c>
      <c r="D80" s="102">
        <f>TrRoad_emi!D$40</f>
        <v>671.82173137367897</v>
      </c>
      <c r="E80" s="102">
        <f>TrRoad_emi!E$40</f>
        <v>1087.9012234345778</v>
      </c>
      <c r="F80" s="102">
        <f>TrRoad_emi!F$40</f>
        <v>1196.3600952837137</v>
      </c>
      <c r="G80" s="102">
        <f>TrRoad_emi!G$40</f>
        <v>1359.6664328606719</v>
      </c>
      <c r="H80" s="102">
        <f>TrRoad_emi!H$40</f>
        <v>1362.1973852277661</v>
      </c>
      <c r="I80" s="102">
        <f>TrRoad_emi!I$40</f>
        <v>1154.724682223854</v>
      </c>
      <c r="J80" s="102">
        <f>TrRoad_emi!J$40</f>
        <v>1231.7655551510913</v>
      </c>
      <c r="K80" s="102">
        <f>TrRoad_emi!K$40</f>
        <v>1013.2193877053103</v>
      </c>
      <c r="L80" s="102">
        <f>TrRoad_emi!L$40</f>
        <v>980.41192656356543</v>
      </c>
      <c r="M80" s="102">
        <f>TrRoad_emi!M$40</f>
        <v>989.11554021631446</v>
      </c>
      <c r="N80" s="102">
        <f>TrRoad_emi!N$40</f>
        <v>984.29382359522708</v>
      </c>
      <c r="O80" s="102">
        <f>TrRoad_emi!O$40</f>
        <v>859.4345499347811</v>
      </c>
      <c r="P80" s="102">
        <f>TrRoad_emi!P$40</f>
        <v>964.89930433177642</v>
      </c>
      <c r="Q80" s="102">
        <f>TrRoad_emi!Q$40</f>
        <v>1078.5047135912869</v>
      </c>
      <c r="R80" s="102">
        <f>TrRoad_emi!R$40</f>
        <v>1083.8351748752575</v>
      </c>
      <c r="S80" s="102">
        <f>TrRoad_emi!S$40</f>
        <v>1144.2352182706031</v>
      </c>
      <c r="T80" s="102">
        <f>TrRoad_emi!T$40</f>
        <v>1099.6031337741574</v>
      </c>
      <c r="U80" s="102">
        <f>TrRoad_emi!U$40</f>
        <v>929.44503007669459</v>
      </c>
      <c r="V80" s="102">
        <f>TrRoad_emi!V$40</f>
        <v>1058.5090891413113</v>
      </c>
      <c r="W80" s="102">
        <f>TrRoad_emi!W$40</f>
        <v>1304.8498670632075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64.842811371004345</v>
      </c>
      <c r="C81" s="110">
        <f>TrRail_emi!C$15</f>
        <v>57.823040219071387</v>
      </c>
      <c r="D81" s="110">
        <f>TrRail_emi!D$15</f>
        <v>57.870777733449913</v>
      </c>
      <c r="E81" s="110">
        <f>TrRail_emi!E$15</f>
        <v>56.537377539191958</v>
      </c>
      <c r="F81" s="110">
        <f>TrRail_emi!F$15</f>
        <v>57.050658932032867</v>
      </c>
      <c r="G81" s="110">
        <f>TrRail_emi!G$15</f>
        <v>55.563275208798551</v>
      </c>
      <c r="H81" s="110">
        <f>TrRail_emi!H$15</f>
        <v>45.372537835508496</v>
      </c>
      <c r="I81" s="110">
        <f>TrRail_emi!I$15</f>
        <v>40.779178043240755</v>
      </c>
      <c r="J81" s="110">
        <f>TrRail_emi!J$15</f>
        <v>54.180530255621882</v>
      </c>
      <c r="K81" s="110">
        <f>TrRail_emi!K$15</f>
        <v>29.827505211504889</v>
      </c>
      <c r="L81" s="110">
        <f>TrRail_emi!L$15</f>
        <v>27.329129907646799</v>
      </c>
      <c r="M81" s="110">
        <f>TrRail_emi!M$15</f>
        <v>25.681870702638385</v>
      </c>
      <c r="N81" s="110">
        <f>TrRail_emi!N$15</f>
        <v>25.260489069523096</v>
      </c>
      <c r="O81" s="110">
        <f>TrRail_emi!O$15</f>
        <v>16.813503708209446</v>
      </c>
      <c r="P81" s="110">
        <f>TrRail_emi!P$15</f>
        <v>18.238797997554251</v>
      </c>
      <c r="Q81" s="110">
        <f>TrRail_emi!Q$15</f>
        <v>26.495684918813335</v>
      </c>
      <c r="R81" s="110">
        <f>TrRail_emi!R$15</f>
        <v>18.558735530739117</v>
      </c>
      <c r="S81" s="110">
        <f>TrRail_emi!S$15</f>
        <v>19.742920278994816</v>
      </c>
      <c r="T81" s="110">
        <f>TrRail_emi!T$15</f>
        <v>16.66655193477272</v>
      </c>
      <c r="U81" s="110">
        <f>TrRail_emi!U$15</f>
        <v>14.296903549566304</v>
      </c>
      <c r="V81" s="110">
        <f>TrRail_emi!V$15</f>
        <v>17.597334151440876</v>
      </c>
      <c r="W81" s="110">
        <f>TrRail_emi!W$15</f>
        <v>19.258148751116455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5.1507411930863674</v>
      </c>
      <c r="C82" s="110">
        <f t="shared" si="67"/>
        <v>3.8159087584841229</v>
      </c>
      <c r="D82" s="110">
        <f t="shared" si="67"/>
        <v>4.3318766777610636</v>
      </c>
      <c r="E82" s="110">
        <f t="shared" si="67"/>
        <v>4.7356443812986013</v>
      </c>
      <c r="F82" s="110">
        <f t="shared" si="67"/>
        <v>5.0600374919529276</v>
      </c>
      <c r="G82" s="110">
        <f t="shared" si="67"/>
        <v>6.6796110773883672</v>
      </c>
      <c r="H82" s="110">
        <f t="shared" si="67"/>
        <v>6.7607812262008187</v>
      </c>
      <c r="I82" s="110">
        <f t="shared" si="67"/>
        <v>6.926944282725918</v>
      </c>
      <c r="J82" s="110">
        <f t="shared" si="67"/>
        <v>8.3117811726870166</v>
      </c>
      <c r="K82" s="110">
        <f t="shared" si="67"/>
        <v>6.8681901130661913</v>
      </c>
      <c r="L82" s="110">
        <f t="shared" si="67"/>
        <v>9.1824319708543172</v>
      </c>
      <c r="M82" s="110">
        <f t="shared" si="67"/>
        <v>7.2339025004178987</v>
      </c>
      <c r="N82" s="110">
        <f t="shared" si="67"/>
        <v>5.721783161018922</v>
      </c>
      <c r="O82" s="110">
        <f t="shared" si="67"/>
        <v>5.9693852732833745</v>
      </c>
      <c r="P82" s="110">
        <f t="shared" si="67"/>
        <v>6.3232455941515866</v>
      </c>
      <c r="Q82" s="110">
        <f t="shared" si="67"/>
        <v>8.5058258074631752</v>
      </c>
      <c r="R82" s="110">
        <f t="shared" si="67"/>
        <v>8.0928433309858629</v>
      </c>
      <c r="S82" s="110">
        <f t="shared" si="67"/>
        <v>9.3555587145211163</v>
      </c>
      <c r="T82" s="110">
        <f t="shared" si="67"/>
        <v>8.4768279399841227</v>
      </c>
      <c r="U82" s="110">
        <f t="shared" si="67"/>
        <v>7.7888574499341914</v>
      </c>
      <c r="V82" s="110">
        <f t="shared" si="67"/>
        <v>14.855315654151159</v>
      </c>
      <c r="W82" s="110">
        <f t="shared" ref="W82" si="68">W83+W84+W85</f>
        <v>11.847159933645578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4.2968781105368716</v>
      </c>
      <c r="C84" s="102">
        <f>TrAvia_emi!C$12</f>
        <v>2.6680388391359449</v>
      </c>
      <c r="D84" s="102">
        <f>TrAvia_emi!D$12</f>
        <v>2.9295759103887433</v>
      </c>
      <c r="E84" s="102">
        <f>TrAvia_emi!E$12</f>
        <v>3.0454279752957509</v>
      </c>
      <c r="F84" s="102">
        <f>TrAvia_emi!F$12</f>
        <v>3.2465384167879767</v>
      </c>
      <c r="G84" s="102">
        <f>TrAvia_emi!G$12</f>
        <v>4.2278058742542353</v>
      </c>
      <c r="H84" s="102">
        <f>TrAvia_emi!H$12</f>
        <v>4.4651428137934364</v>
      </c>
      <c r="I84" s="102">
        <f>TrAvia_emi!I$12</f>
        <v>4.842476220987658</v>
      </c>
      <c r="J84" s="102">
        <f>TrAvia_emi!J$12</f>
        <v>6.5339225630731717</v>
      </c>
      <c r="K84" s="102">
        <f>TrAvia_emi!K$12</f>
        <v>4.385987124894779</v>
      </c>
      <c r="L84" s="102">
        <f>TrAvia_emi!L$12</f>
        <v>4.7092900386990335</v>
      </c>
      <c r="M84" s="102">
        <f>TrAvia_emi!M$12</f>
        <v>4.444840881140272</v>
      </c>
      <c r="N84" s="102">
        <f>TrAvia_emi!N$12</f>
        <v>4.8262932037086284</v>
      </c>
      <c r="O84" s="102">
        <f>TrAvia_emi!O$12</f>
        <v>5.0923189033463494</v>
      </c>
      <c r="P84" s="102">
        <f>TrAvia_emi!P$12</f>
        <v>5.1498090656662097</v>
      </c>
      <c r="Q84" s="102">
        <f>TrAvia_emi!Q$12</f>
        <v>5.484081288567384</v>
      </c>
      <c r="R84" s="102">
        <f>TrAvia_emi!R$12</f>
        <v>5.0902663279165266</v>
      </c>
      <c r="S84" s="102">
        <f>TrAvia_emi!S$12</f>
        <v>5.5857710518144605</v>
      </c>
      <c r="T84" s="102">
        <f>TrAvia_emi!T$12</f>
        <v>5.9499817839877212</v>
      </c>
      <c r="U84" s="102">
        <f>TrAvia_emi!U$12</f>
        <v>6.5123616753937004</v>
      </c>
      <c r="V84" s="102">
        <f>TrAvia_emi!V$12</f>
        <v>9.6208548360931996</v>
      </c>
      <c r="W84" s="102">
        <f>TrAvia_emi!W$12</f>
        <v>9.0598684281603763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0.85386308254949539</v>
      </c>
      <c r="C85" s="102">
        <f>TrAvia_emi!C$13</f>
        <v>1.1478699193481781</v>
      </c>
      <c r="D85" s="102">
        <f>TrAvia_emi!D$13</f>
        <v>1.40230076737232</v>
      </c>
      <c r="E85" s="102">
        <f>TrAvia_emi!E$13</f>
        <v>1.6902164060028506</v>
      </c>
      <c r="F85" s="102">
        <f>TrAvia_emi!F$13</f>
        <v>1.8134990751649513</v>
      </c>
      <c r="G85" s="102">
        <f>TrAvia_emi!G$13</f>
        <v>2.451805203134132</v>
      </c>
      <c r="H85" s="102">
        <f>TrAvia_emi!H$13</f>
        <v>2.2956384124073823</v>
      </c>
      <c r="I85" s="102">
        <f>TrAvia_emi!I$13</f>
        <v>2.0844680617382596</v>
      </c>
      <c r="J85" s="102">
        <f>TrAvia_emi!J$13</f>
        <v>1.7778586096138458</v>
      </c>
      <c r="K85" s="102">
        <f>TrAvia_emi!K$13</f>
        <v>2.4822029881714118</v>
      </c>
      <c r="L85" s="102">
        <f>TrAvia_emi!L$13</f>
        <v>4.4731419321552828</v>
      </c>
      <c r="M85" s="102">
        <f>TrAvia_emi!M$13</f>
        <v>2.7890616192776267</v>
      </c>
      <c r="N85" s="102">
        <f>TrAvia_emi!N$13</f>
        <v>0.89548995731029346</v>
      </c>
      <c r="O85" s="102">
        <f>TrAvia_emi!O$13</f>
        <v>0.87706636993702536</v>
      </c>
      <c r="P85" s="102">
        <f>TrAvia_emi!P$13</f>
        <v>1.1734365284853772</v>
      </c>
      <c r="Q85" s="102">
        <f>TrAvia_emi!Q$13</f>
        <v>3.0217445188957903</v>
      </c>
      <c r="R85" s="102">
        <f>TrAvia_emi!R$13</f>
        <v>3.0025770030693359</v>
      </c>
      <c r="S85" s="102">
        <f>TrAvia_emi!S$13</f>
        <v>3.7697876627066567</v>
      </c>
      <c r="T85" s="102">
        <f>TrAvia_emi!T$13</f>
        <v>2.5268461559964019</v>
      </c>
      <c r="U85" s="102">
        <f>TrAvia_emi!U$13</f>
        <v>1.2764957745404908</v>
      </c>
      <c r="V85" s="102">
        <f>TrAvia_emi!V$13</f>
        <v>5.2344608180579604</v>
      </c>
      <c r="W85" s="102">
        <f>TrAvia_emi!W$13</f>
        <v>2.7872915054852023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7.8801437520000004</v>
      </c>
      <c r="C86" s="110">
        <f t="shared" si="69"/>
        <v>10.628886808800001</v>
      </c>
      <c r="D86" s="110">
        <f t="shared" si="69"/>
        <v>13.523443549200001</v>
      </c>
      <c r="E86" s="110">
        <f t="shared" si="69"/>
        <v>16.467638990400001</v>
      </c>
      <c r="F86" s="110">
        <f t="shared" si="69"/>
        <v>29.4078278052</v>
      </c>
      <c r="G86" s="110">
        <f t="shared" si="69"/>
        <v>31.647774178800002</v>
      </c>
      <c r="H86" s="110">
        <f t="shared" si="69"/>
        <v>29.758401129600003</v>
      </c>
      <c r="I86" s="110">
        <f t="shared" si="69"/>
        <v>27.878335336800003</v>
      </c>
      <c r="J86" s="110">
        <f t="shared" si="69"/>
        <v>83.088980301600003</v>
      </c>
      <c r="K86" s="110">
        <f t="shared" si="69"/>
        <v>171.01773393120001</v>
      </c>
      <c r="L86" s="110">
        <f t="shared" si="69"/>
        <v>177.39940940279999</v>
      </c>
      <c r="M86" s="110">
        <f t="shared" si="69"/>
        <v>137.1331157976</v>
      </c>
      <c r="N86" s="110">
        <f t="shared" si="69"/>
        <v>158.89037884200002</v>
      </c>
      <c r="O86" s="110">
        <f t="shared" si="69"/>
        <v>157.91001450120001</v>
      </c>
      <c r="P86" s="110">
        <f t="shared" si="69"/>
        <v>163.64638686239999</v>
      </c>
      <c r="Q86" s="110">
        <f t="shared" si="69"/>
        <v>202.18773561480003</v>
      </c>
      <c r="R86" s="110">
        <f t="shared" ref="R86:V86" si="70">R87+R88</f>
        <v>193.07903401800002</v>
      </c>
      <c r="S86" s="110">
        <f t="shared" si="70"/>
        <v>188.61155094600002</v>
      </c>
      <c r="T86" s="110">
        <f t="shared" si="70"/>
        <v>212.34815718480002</v>
      </c>
      <c r="U86" s="110">
        <f t="shared" si="70"/>
        <v>250.4613721428</v>
      </c>
      <c r="V86" s="110">
        <f t="shared" si="70"/>
        <v>271.00869185520003</v>
      </c>
      <c r="W86" s="110">
        <f t="shared" ref="W86" si="71">W87+W88</f>
        <v>0.36999612000000009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7.8801437520000004</v>
      </c>
      <c r="C88" s="169">
        <f>TrNavi_emi!C$5</f>
        <v>10.628886808800001</v>
      </c>
      <c r="D88" s="169">
        <f>TrNavi_emi!D$5</f>
        <v>13.523443549200001</v>
      </c>
      <c r="E88" s="169">
        <f>TrNavi_emi!E$5</f>
        <v>16.467638990400001</v>
      </c>
      <c r="F88" s="169">
        <f>TrNavi_emi!F$5</f>
        <v>29.4078278052</v>
      </c>
      <c r="G88" s="169">
        <f>TrNavi_emi!G$5</f>
        <v>31.647774178800002</v>
      </c>
      <c r="H88" s="169">
        <f>TrNavi_emi!H$5</f>
        <v>29.758401129600003</v>
      </c>
      <c r="I88" s="169">
        <f>TrNavi_emi!I$5</f>
        <v>27.878335336800003</v>
      </c>
      <c r="J88" s="169">
        <f>TrNavi_emi!J$5</f>
        <v>83.088980301600003</v>
      </c>
      <c r="K88" s="169">
        <f>TrNavi_emi!K$5</f>
        <v>171.01773393120001</v>
      </c>
      <c r="L88" s="169">
        <f>TrNavi_emi!L$5</f>
        <v>177.39940940279999</v>
      </c>
      <c r="M88" s="169">
        <f>TrNavi_emi!M$5</f>
        <v>137.1331157976</v>
      </c>
      <c r="N88" s="169">
        <f>TrNavi_emi!N$5</f>
        <v>158.89037884200002</v>
      </c>
      <c r="O88" s="169">
        <f>TrNavi_emi!O$5</f>
        <v>157.91001450120001</v>
      </c>
      <c r="P88" s="169">
        <f>TrNavi_emi!P$5</f>
        <v>163.64638686239999</v>
      </c>
      <c r="Q88" s="169">
        <f>TrNavi_emi!Q$5</f>
        <v>202.18773561480003</v>
      </c>
      <c r="R88" s="169">
        <f>TrNavi_emi!R$5</f>
        <v>193.07903401800002</v>
      </c>
      <c r="S88" s="169">
        <f>TrNavi_emi!S$5</f>
        <v>188.61155094600002</v>
      </c>
      <c r="T88" s="169">
        <f>TrNavi_emi!T$5</f>
        <v>212.34815718480002</v>
      </c>
      <c r="U88" s="169">
        <f>TrNavi_emi!U$5</f>
        <v>250.4613721428</v>
      </c>
      <c r="V88" s="169">
        <f>TrNavi_emi!V$5</f>
        <v>271.00869185520003</v>
      </c>
      <c r="W88" s="169">
        <f>TrNavi_emi!W$5</f>
        <v>0.36999612000000009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203.92308144</v>
      </c>
      <c r="C89" s="28">
        <f t="shared" si="72"/>
        <v>305.82533879999994</v>
      </c>
      <c r="D89" s="28">
        <f t="shared" si="72"/>
        <v>334.56158892000002</v>
      </c>
      <c r="E89" s="28">
        <f t="shared" si="72"/>
        <v>436.52312963999987</v>
      </c>
      <c r="F89" s="28">
        <f t="shared" si="72"/>
        <v>366.4244703600001</v>
      </c>
      <c r="G89" s="28">
        <f t="shared" si="72"/>
        <v>350.49302963999992</v>
      </c>
      <c r="H89" s="28">
        <f t="shared" si="72"/>
        <v>328.85639280000004</v>
      </c>
      <c r="I89" s="28">
        <f t="shared" si="72"/>
        <v>162.99036000000001</v>
      </c>
      <c r="J89" s="28">
        <f t="shared" si="72"/>
        <v>381.78564191999999</v>
      </c>
      <c r="K89" s="28">
        <f t="shared" si="72"/>
        <v>646.63640712000017</v>
      </c>
      <c r="L89" s="28">
        <f t="shared" si="72"/>
        <v>305.40632904000006</v>
      </c>
      <c r="M89" s="28">
        <f t="shared" si="72"/>
        <v>237.99992616</v>
      </c>
      <c r="N89" s="28">
        <f t="shared" si="72"/>
        <v>199.87331904000001</v>
      </c>
      <c r="O89" s="28">
        <f t="shared" si="72"/>
        <v>284.04167616000001</v>
      </c>
      <c r="P89" s="28">
        <f t="shared" si="72"/>
        <v>256.02411095999992</v>
      </c>
      <c r="Q89" s="28">
        <f t="shared" si="72"/>
        <v>271.88828711999997</v>
      </c>
      <c r="R89" s="28">
        <f t="shared" si="72"/>
        <v>243.75533904000002</v>
      </c>
      <c r="S89" s="28">
        <f t="shared" si="72"/>
        <v>251.55641663999995</v>
      </c>
      <c r="T89" s="28">
        <f t="shared" si="72"/>
        <v>258.10741260000009</v>
      </c>
      <c r="U89" s="28">
        <f t="shared" si="72"/>
        <v>237.50302895999999</v>
      </c>
      <c r="V89" s="28">
        <f t="shared" si="72"/>
        <v>264.98887559999991</v>
      </c>
      <c r="W89" s="28">
        <f t="shared" si="72"/>
        <v>267.84444564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85.562969141127368</v>
      </c>
      <c r="C90" s="102">
        <f>MBunk_emi!C$4</f>
        <v>127.5855508681606</v>
      </c>
      <c r="D90" s="102">
        <f>MBunk_emi!D$4</f>
        <v>141.64951960633263</v>
      </c>
      <c r="E90" s="102">
        <f>MBunk_emi!E$4</f>
        <v>147.81210552985041</v>
      </c>
      <c r="F90" s="102">
        <f>MBunk_emi!F$4</f>
        <v>115.64390066577838</v>
      </c>
      <c r="G90" s="102">
        <f>MBunk_emi!G$4</f>
        <v>109.62893632674687</v>
      </c>
      <c r="H90" s="102">
        <f>MBunk_emi!H$4</f>
        <v>112.62391962431195</v>
      </c>
      <c r="I90" s="102">
        <f>MBunk_emi!I$4</f>
        <v>43.046902418104658</v>
      </c>
      <c r="J90" s="102">
        <f>MBunk_emi!J$4</f>
        <v>114.9083657059135</v>
      </c>
      <c r="K90" s="102">
        <f>MBunk_emi!K$4</f>
        <v>287.13308796863117</v>
      </c>
      <c r="L90" s="102">
        <f>MBunk_emi!L$4</f>
        <v>119.12432990124117</v>
      </c>
      <c r="M90" s="102">
        <f>MBunk_emi!M$4</f>
        <v>100.97191743440663</v>
      </c>
      <c r="N90" s="102">
        <f>MBunk_emi!N$4</f>
        <v>84.567896456741025</v>
      </c>
      <c r="O90" s="102">
        <f>MBunk_emi!O$4</f>
        <v>125.82692339166582</v>
      </c>
      <c r="P90" s="102">
        <f>MBunk_emi!P$4</f>
        <v>107.66500291512283</v>
      </c>
      <c r="Q90" s="102">
        <f>MBunk_emi!Q$4</f>
        <v>107.13304131034049</v>
      </c>
      <c r="R90" s="102">
        <f>MBunk_emi!R$4</f>
        <v>104.17319941751394</v>
      </c>
      <c r="S90" s="102">
        <f>MBunk_emi!S$4</f>
        <v>112.64245569032947</v>
      </c>
      <c r="T90" s="102">
        <f>MBunk_emi!T$4</f>
        <v>118.36856212526217</v>
      </c>
      <c r="U90" s="102">
        <f>MBunk_emi!U$4</f>
        <v>106.29921047603004</v>
      </c>
      <c r="V90" s="102">
        <f>MBunk_emi!V$4</f>
        <v>110.10864707836585</v>
      </c>
      <c r="W90" s="102">
        <f>MBunk_emi!W$4</f>
        <v>101.59265088798328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118.36011229887264</v>
      </c>
      <c r="C91" s="86">
        <f>MBunk_emi!C$5</f>
        <v>178.23978793183937</v>
      </c>
      <c r="D91" s="86">
        <f>MBunk_emi!D$5</f>
        <v>192.91206931366739</v>
      </c>
      <c r="E91" s="86">
        <f>MBunk_emi!E$5</f>
        <v>288.71102411014948</v>
      </c>
      <c r="F91" s="86">
        <f>MBunk_emi!F$5</f>
        <v>250.7805696942217</v>
      </c>
      <c r="G91" s="86">
        <f>MBunk_emi!G$5</f>
        <v>240.86409331325302</v>
      </c>
      <c r="H91" s="86">
        <f>MBunk_emi!H$5</f>
        <v>216.23247317568809</v>
      </c>
      <c r="I91" s="86">
        <f>MBunk_emi!I$5</f>
        <v>119.94345758189536</v>
      </c>
      <c r="J91" s="86">
        <f>MBunk_emi!J$5</f>
        <v>266.87727621408646</v>
      </c>
      <c r="K91" s="86">
        <f>MBunk_emi!K$5</f>
        <v>359.503319151369</v>
      </c>
      <c r="L91" s="86">
        <f>MBunk_emi!L$5</f>
        <v>186.28199913875886</v>
      </c>
      <c r="M91" s="86">
        <f>MBunk_emi!M$5</f>
        <v>137.02800872559337</v>
      </c>
      <c r="N91" s="86">
        <f>MBunk_emi!N$5</f>
        <v>115.30542258325899</v>
      </c>
      <c r="O91" s="86">
        <f>MBunk_emi!O$5</f>
        <v>158.21475276833419</v>
      </c>
      <c r="P91" s="86">
        <f>MBunk_emi!P$5</f>
        <v>148.3591080448771</v>
      </c>
      <c r="Q91" s="86">
        <f>MBunk_emi!Q$5</f>
        <v>164.75524580965947</v>
      </c>
      <c r="R91" s="86">
        <f>MBunk_emi!R$5</f>
        <v>139.5821396224861</v>
      </c>
      <c r="S91" s="86">
        <f>MBunk_emi!S$5</f>
        <v>138.9139609496705</v>
      </c>
      <c r="T91" s="86">
        <f>MBunk_emi!T$5</f>
        <v>139.73885047473789</v>
      </c>
      <c r="U91" s="86">
        <f>MBunk_emi!U$5</f>
        <v>131.20381848396994</v>
      </c>
      <c r="V91" s="86">
        <f>MBunk_emi!V$5</f>
        <v>154.88022852163408</v>
      </c>
      <c r="W91" s="86">
        <f>MBunk_emi!W$5</f>
        <v>166.25179475201674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0.87531553019961339</v>
      </c>
      <c r="C97" s="139">
        <f t="shared" si="76"/>
        <v>0.87524212458051409</v>
      </c>
      <c r="D97" s="139">
        <f t="shared" si="76"/>
        <v>0.88198501528705842</v>
      </c>
      <c r="E97" s="139">
        <f t="shared" si="76"/>
        <v>0.8654904313069457</v>
      </c>
      <c r="F97" s="139">
        <f t="shared" si="76"/>
        <v>0.87453666700421917</v>
      </c>
      <c r="G97" s="139">
        <f t="shared" si="76"/>
        <v>0.87172257922106278</v>
      </c>
      <c r="H97" s="139">
        <f t="shared" si="76"/>
        <v>0.8655557024912901</v>
      </c>
      <c r="I97" s="139">
        <f t="shared" si="76"/>
        <v>0.87072057838136885</v>
      </c>
      <c r="J97" s="139">
        <f t="shared" si="76"/>
        <v>0.87655779919852284</v>
      </c>
      <c r="K97" s="139">
        <f t="shared" si="76"/>
        <v>0.88284875004624341</v>
      </c>
      <c r="L97" s="139">
        <f t="shared" si="76"/>
        <v>0.87718547247062861</v>
      </c>
      <c r="M97" s="139">
        <f t="shared" si="76"/>
        <v>0.87791890428608321</v>
      </c>
      <c r="N97" s="139">
        <f t="shared" si="76"/>
        <v>0.8781229971068123</v>
      </c>
      <c r="O97" s="139">
        <f t="shared" si="76"/>
        <v>0.87927215341504994</v>
      </c>
      <c r="P97" s="139">
        <f t="shared" si="76"/>
        <v>0.88527242760706681</v>
      </c>
      <c r="Q97" s="139">
        <f t="shared" si="76"/>
        <v>0.89238030100748811</v>
      </c>
      <c r="R97" s="139">
        <f t="shared" ref="R97:V97" si="77">IF(R5=0,0,R5/R$4)</f>
        <v>0.87409123530398936</v>
      </c>
      <c r="S97" s="139">
        <f t="shared" si="77"/>
        <v>0.85635195844487222</v>
      </c>
      <c r="T97" s="139">
        <f t="shared" si="77"/>
        <v>0.84623910032783456</v>
      </c>
      <c r="U97" s="139">
        <f t="shared" si="77"/>
        <v>0.85328207492146446</v>
      </c>
      <c r="V97" s="139">
        <f t="shared" si="77"/>
        <v>0.91752217170433736</v>
      </c>
      <c r="W97" s="139">
        <f t="shared" ref="W97" si="78">IF(W5=0,0,W5/W$4)</f>
        <v>0.90320549801566219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6.8116663785143259E-3</v>
      </c>
      <c r="C98" s="140">
        <f t="shared" si="79"/>
        <v>6.7807100925280899E-3</v>
      </c>
      <c r="D98" s="140">
        <f t="shared" si="79"/>
        <v>6.5167345425587312E-3</v>
      </c>
      <c r="E98" s="140">
        <f t="shared" si="79"/>
        <v>6.6478613236720654E-3</v>
      </c>
      <c r="F98" s="140">
        <f t="shared" si="79"/>
        <v>7.0182445471261177E-3</v>
      </c>
      <c r="G98" s="140">
        <f t="shared" si="79"/>
        <v>7.0394107627774491E-3</v>
      </c>
      <c r="H98" s="140">
        <f t="shared" si="79"/>
        <v>6.9447279617733185E-3</v>
      </c>
      <c r="I98" s="140">
        <f t="shared" si="79"/>
        <v>6.945411528387466E-3</v>
      </c>
      <c r="J98" s="140">
        <f t="shared" si="79"/>
        <v>7.5253455254259234E-3</v>
      </c>
      <c r="K98" s="140">
        <f t="shared" si="79"/>
        <v>8.1263999421555266E-3</v>
      </c>
      <c r="L98" s="140">
        <f t="shared" si="79"/>
        <v>8.6706879935490901E-3</v>
      </c>
      <c r="M98" s="140">
        <f t="shared" si="79"/>
        <v>8.9730650099882903E-3</v>
      </c>
      <c r="N98" s="140">
        <f t="shared" si="79"/>
        <v>9.5100447920404875E-3</v>
      </c>
      <c r="O98" s="140">
        <f t="shared" si="79"/>
        <v>9.8794918917420368E-3</v>
      </c>
      <c r="P98" s="140">
        <f t="shared" si="79"/>
        <v>9.9081863376420352E-3</v>
      </c>
      <c r="Q98" s="140">
        <f t="shared" si="79"/>
        <v>1.0210851461285557E-2</v>
      </c>
      <c r="R98" s="140">
        <f t="shared" ref="R98:V98" si="80">IF(R6=0,0,R6/R$4)</f>
        <v>1.0808607044497069E-2</v>
      </c>
      <c r="S98" s="140">
        <f t="shared" si="80"/>
        <v>1.0187442161139119E-2</v>
      </c>
      <c r="T98" s="140">
        <f t="shared" si="80"/>
        <v>9.8421592924711615E-3</v>
      </c>
      <c r="U98" s="140">
        <f t="shared" si="80"/>
        <v>1.0344418050329623E-2</v>
      </c>
      <c r="V98" s="140">
        <f t="shared" si="80"/>
        <v>1.2482287133515979E-2</v>
      </c>
      <c r="W98" s="140">
        <f t="shared" ref="W98" si="81">IF(W6=0,0,W6/W$4)</f>
        <v>1.2396655017484352E-2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0.56313432971262234</v>
      </c>
      <c r="C99" s="140">
        <f t="shared" si="82"/>
        <v>0.56529112437801388</v>
      </c>
      <c r="D99" s="140">
        <f t="shared" si="82"/>
        <v>0.55420159070571118</v>
      </c>
      <c r="E99" s="140">
        <f t="shared" si="82"/>
        <v>0.5846223259087916</v>
      </c>
      <c r="F99" s="140">
        <f t="shared" si="82"/>
        <v>0.62088643122461007</v>
      </c>
      <c r="G99" s="140">
        <f t="shared" si="82"/>
        <v>0.62208697247039879</v>
      </c>
      <c r="H99" s="140">
        <f t="shared" si="82"/>
        <v>0.63875138780241836</v>
      </c>
      <c r="I99" s="140">
        <f t="shared" si="82"/>
        <v>0.64657902838302883</v>
      </c>
      <c r="J99" s="140">
        <f t="shared" si="82"/>
        <v>0.65818478582509832</v>
      </c>
      <c r="K99" s="140">
        <f t="shared" si="82"/>
        <v>0.71363755369630966</v>
      </c>
      <c r="L99" s="140">
        <f t="shared" si="82"/>
        <v>0.70824584688635661</v>
      </c>
      <c r="M99" s="140">
        <f t="shared" si="82"/>
        <v>0.7090101101358901</v>
      </c>
      <c r="N99" s="140">
        <f t="shared" si="82"/>
        <v>0.7173325583952932</v>
      </c>
      <c r="O99" s="140">
        <f t="shared" si="82"/>
        <v>0.72397498817767769</v>
      </c>
      <c r="P99" s="140">
        <f t="shared" si="82"/>
        <v>0.72182659097315549</v>
      </c>
      <c r="Q99" s="140">
        <f t="shared" si="82"/>
        <v>0.72307031667254451</v>
      </c>
      <c r="R99" s="140">
        <f t="shared" ref="R99:V99" si="83">IF(R7=0,0,R7/R$4)</f>
        <v>0.71015902017238308</v>
      </c>
      <c r="S99" s="140">
        <f t="shared" si="83"/>
        <v>0.71528301748054213</v>
      </c>
      <c r="T99" s="140">
        <f t="shared" si="83"/>
        <v>0.71323150312719885</v>
      </c>
      <c r="U99" s="140">
        <f t="shared" si="83"/>
        <v>0.7105108001819137</v>
      </c>
      <c r="V99" s="140">
        <f t="shared" si="83"/>
        <v>0.8223936742143475</v>
      </c>
      <c r="W99" s="140">
        <f t="shared" ref="W99" si="84">IF(W7=0,0,W7/W$4)</f>
        <v>0.81339950204660938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0.30536953410847667</v>
      </c>
      <c r="C100" s="140">
        <f t="shared" si="85"/>
        <v>0.3031702901099721</v>
      </c>
      <c r="D100" s="140">
        <f t="shared" si="85"/>
        <v>0.32126669003878855</v>
      </c>
      <c r="E100" s="140">
        <f t="shared" si="85"/>
        <v>0.27422024407448209</v>
      </c>
      <c r="F100" s="140">
        <f t="shared" si="85"/>
        <v>0.24663199123248306</v>
      </c>
      <c r="G100" s="140">
        <f t="shared" si="85"/>
        <v>0.24259619598788656</v>
      </c>
      <c r="H100" s="140">
        <f t="shared" si="85"/>
        <v>0.21985958672709838</v>
      </c>
      <c r="I100" s="140">
        <f t="shared" si="85"/>
        <v>0.21719613846995256</v>
      </c>
      <c r="J100" s="140">
        <f t="shared" si="85"/>
        <v>0.21084766784799855</v>
      </c>
      <c r="K100" s="140">
        <f t="shared" si="85"/>
        <v>0.16108479640777823</v>
      </c>
      <c r="L100" s="140">
        <f t="shared" si="85"/>
        <v>0.16026893759072289</v>
      </c>
      <c r="M100" s="140">
        <f t="shared" si="85"/>
        <v>0.15993572914020482</v>
      </c>
      <c r="N100" s="140">
        <f t="shared" si="85"/>
        <v>0.15128039391947862</v>
      </c>
      <c r="O100" s="140">
        <f t="shared" si="85"/>
        <v>0.14541767334563019</v>
      </c>
      <c r="P100" s="140">
        <f t="shared" si="85"/>
        <v>0.1535376502962692</v>
      </c>
      <c r="Q100" s="140">
        <f t="shared" si="85"/>
        <v>0.15909913287365815</v>
      </c>
      <c r="R100" s="140">
        <f t="shared" ref="R100:V100" si="86">IF(R8=0,0,R8/R$4)</f>
        <v>0.15312360808710929</v>
      </c>
      <c r="S100" s="140">
        <f t="shared" si="86"/>
        <v>0.13088149880319094</v>
      </c>
      <c r="T100" s="140">
        <f t="shared" si="86"/>
        <v>0.12316543790816457</v>
      </c>
      <c r="U100" s="140">
        <f t="shared" si="86"/>
        <v>0.13242685668922119</v>
      </c>
      <c r="V100" s="140">
        <f t="shared" si="86"/>
        <v>8.2646210356473959E-2</v>
      </c>
      <c r="W100" s="140">
        <f t="shared" ref="W100" si="87">IF(W8=0,0,W8/W$4)</f>
        <v>7.740934095156847E-2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8.1455601372186381E-2</v>
      </c>
      <c r="C101" s="124">
        <f t="shared" si="88"/>
        <v>7.0083942624500004E-2</v>
      </c>
      <c r="D101" s="124">
        <f t="shared" si="88"/>
        <v>5.7387290996625519E-2</v>
      </c>
      <c r="E101" s="124">
        <f t="shared" si="88"/>
        <v>5.718634673303262E-2</v>
      </c>
      <c r="F101" s="124">
        <f t="shared" si="88"/>
        <v>5.3835396658621679E-2</v>
      </c>
      <c r="G101" s="124">
        <f t="shared" si="88"/>
        <v>5.0032806931166261E-2</v>
      </c>
      <c r="H101" s="124">
        <f t="shared" si="88"/>
        <v>4.8534912631689076E-2</v>
      </c>
      <c r="I101" s="124">
        <f t="shared" si="88"/>
        <v>4.5564616183328785E-2</v>
      </c>
      <c r="J101" s="124">
        <f t="shared" si="88"/>
        <v>4.2705832283975717E-2</v>
      </c>
      <c r="K101" s="124">
        <f t="shared" si="88"/>
        <v>4.3558093450232642E-2</v>
      </c>
      <c r="L101" s="124">
        <f t="shared" si="88"/>
        <v>4.5288471104737396E-2</v>
      </c>
      <c r="M101" s="124">
        <f t="shared" si="88"/>
        <v>4.3232649830299757E-2</v>
      </c>
      <c r="N101" s="124">
        <f t="shared" si="88"/>
        <v>4.170962969159446E-2</v>
      </c>
      <c r="O101" s="124">
        <f t="shared" si="88"/>
        <v>3.9902823809390232E-2</v>
      </c>
      <c r="P101" s="124">
        <f t="shared" si="88"/>
        <v>3.2468055874274232E-2</v>
      </c>
      <c r="Q101" s="124">
        <f t="shared" si="88"/>
        <v>2.9121679287921105E-2</v>
      </c>
      <c r="R101" s="124">
        <f t="shared" ref="R101:V101" si="89">IF(R9=0,0,R9/R$4)</f>
        <v>2.8467697817996563E-2</v>
      </c>
      <c r="S101" s="124">
        <f t="shared" si="89"/>
        <v>3.1055365583548759E-2</v>
      </c>
      <c r="T101" s="124">
        <f t="shared" si="89"/>
        <v>3.1906401626826772E-2</v>
      </c>
      <c r="U101" s="124">
        <f t="shared" si="89"/>
        <v>3.145978118302311E-2</v>
      </c>
      <c r="V101" s="124">
        <f t="shared" si="89"/>
        <v>2.9665346103733357E-2</v>
      </c>
      <c r="W101" s="124">
        <f t="shared" ref="W101" si="90">IF(W9=0,0,W9/W$4)</f>
        <v>3.0541503611800653E-2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8.7714975520293229E-3</v>
      </c>
      <c r="C102" s="140">
        <f t="shared" si="91"/>
        <v>9.5025640621250358E-3</v>
      </c>
      <c r="D102" s="140">
        <f t="shared" si="91"/>
        <v>8.2468223053819133E-3</v>
      </c>
      <c r="E102" s="140">
        <f t="shared" si="91"/>
        <v>9.2549332375137707E-3</v>
      </c>
      <c r="F102" s="140">
        <f t="shared" si="91"/>
        <v>8.3289643213057436E-3</v>
      </c>
      <c r="G102" s="140">
        <f t="shared" si="91"/>
        <v>7.6919015969274373E-3</v>
      </c>
      <c r="H102" s="140">
        <f t="shared" si="91"/>
        <v>7.5766786957414522E-3</v>
      </c>
      <c r="I102" s="140">
        <f t="shared" si="91"/>
        <v>7.0899631082594495E-3</v>
      </c>
      <c r="J102" s="140">
        <f t="shared" si="91"/>
        <v>7.4045788405323575E-3</v>
      </c>
      <c r="K102" s="140">
        <f t="shared" si="91"/>
        <v>1.0604376607841491E-2</v>
      </c>
      <c r="L102" s="140">
        <f t="shared" si="91"/>
        <v>1.3726982405537276E-2</v>
      </c>
      <c r="M102" s="140">
        <f t="shared" si="91"/>
        <v>1.2862118953265571E-2</v>
      </c>
      <c r="N102" s="140">
        <f t="shared" si="91"/>
        <v>1.4721045773503928E-2</v>
      </c>
      <c r="O102" s="140">
        <f t="shared" si="91"/>
        <v>1.4235906763505524E-2</v>
      </c>
      <c r="P102" s="140">
        <f t="shared" si="91"/>
        <v>9.7524568324457838E-3</v>
      </c>
      <c r="Q102" s="140">
        <f t="shared" si="91"/>
        <v>9.4187246331964066E-3</v>
      </c>
      <c r="R102" s="140">
        <f t="shared" ref="R102:V102" si="92">IF(R10=0,0,R10/R$4)</f>
        <v>1.0220781375183789E-2</v>
      </c>
      <c r="S102" s="140">
        <f t="shared" si="92"/>
        <v>1.3270463727794397E-2</v>
      </c>
      <c r="T102" s="140">
        <f t="shared" si="92"/>
        <v>1.3517550083993381E-2</v>
      </c>
      <c r="U102" s="140">
        <f t="shared" si="92"/>
        <v>1.288213262117574E-2</v>
      </c>
      <c r="V102" s="140">
        <f t="shared" si="92"/>
        <v>1.1321398678969035E-2</v>
      </c>
      <c r="W102" s="140">
        <f t="shared" ref="W102" si="93">IF(W10=0,0,W10/W$4)</f>
        <v>1.1728688022964921E-2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7.2684103820157053E-2</v>
      </c>
      <c r="C103" s="140">
        <f t="shared" si="94"/>
        <v>6.0581378562374964E-2</v>
      </c>
      <c r="D103" s="140">
        <f t="shared" si="94"/>
        <v>4.9140468691243611E-2</v>
      </c>
      <c r="E103" s="140">
        <f t="shared" si="94"/>
        <v>4.7931413495518847E-2</v>
      </c>
      <c r="F103" s="140">
        <f t="shared" si="94"/>
        <v>4.5506432337315932E-2</v>
      </c>
      <c r="G103" s="140">
        <f t="shared" si="94"/>
        <v>4.2340905334238822E-2</v>
      </c>
      <c r="H103" s="140">
        <f t="shared" si="94"/>
        <v>4.0958233935947629E-2</v>
      </c>
      <c r="I103" s="140">
        <f t="shared" si="94"/>
        <v>3.8474653075069337E-2</v>
      </c>
      <c r="J103" s="140">
        <f t="shared" si="94"/>
        <v>3.5301253443443356E-2</v>
      </c>
      <c r="K103" s="140">
        <f t="shared" si="94"/>
        <v>3.2953716842391144E-2</v>
      </c>
      <c r="L103" s="140">
        <f t="shared" si="94"/>
        <v>3.156148869920012E-2</v>
      </c>
      <c r="M103" s="140">
        <f t="shared" si="94"/>
        <v>3.0370530877034188E-2</v>
      </c>
      <c r="N103" s="140">
        <f t="shared" si="94"/>
        <v>2.6988583918090534E-2</v>
      </c>
      <c r="O103" s="140">
        <f t="shared" si="94"/>
        <v>2.566691704588471E-2</v>
      </c>
      <c r="P103" s="140">
        <f t="shared" si="94"/>
        <v>2.271559904182845E-2</v>
      </c>
      <c r="Q103" s="140">
        <f t="shared" si="94"/>
        <v>1.9702954654724696E-2</v>
      </c>
      <c r="R103" s="140">
        <f t="shared" ref="R103:V103" si="95">IF(R11=0,0,R11/R$4)</f>
        <v>1.8246916442812774E-2</v>
      </c>
      <c r="S103" s="140">
        <f t="shared" si="95"/>
        <v>1.7784901855754362E-2</v>
      </c>
      <c r="T103" s="140">
        <f t="shared" si="95"/>
        <v>1.8388851542833391E-2</v>
      </c>
      <c r="U103" s="140">
        <f t="shared" si="95"/>
        <v>1.8577648561847366E-2</v>
      </c>
      <c r="V103" s="140">
        <f t="shared" si="95"/>
        <v>1.834394742476432E-2</v>
      </c>
      <c r="W103" s="140">
        <f t="shared" ref="W103" si="96">IF(W11=0,0,W11/W$4)</f>
        <v>1.8812815588835734E-2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4.3228868428200222E-2</v>
      </c>
      <c r="C105" s="124">
        <f t="shared" si="100"/>
        <v>5.4673932794985905E-2</v>
      </c>
      <c r="D105" s="124">
        <f t="shared" si="100"/>
        <v>6.0627693716316031E-2</v>
      </c>
      <c r="E105" s="124">
        <f t="shared" si="100"/>
        <v>7.7323221960021782E-2</v>
      </c>
      <c r="F105" s="124">
        <f t="shared" si="100"/>
        <v>7.1627936337159234E-2</v>
      </c>
      <c r="G105" s="124">
        <f t="shared" si="100"/>
        <v>7.8244613847770955E-2</v>
      </c>
      <c r="H105" s="124">
        <f t="shared" si="100"/>
        <v>8.5909384877020906E-2</v>
      </c>
      <c r="I105" s="124">
        <f t="shared" si="100"/>
        <v>8.3714805435302325E-2</v>
      </c>
      <c r="J105" s="124">
        <f t="shared" si="100"/>
        <v>8.0736368517501447E-2</v>
      </c>
      <c r="K105" s="124">
        <f t="shared" si="100"/>
        <v>7.3593156503523854E-2</v>
      </c>
      <c r="L105" s="124">
        <f t="shared" si="100"/>
        <v>7.7526056424633963E-2</v>
      </c>
      <c r="M105" s="124">
        <f t="shared" si="100"/>
        <v>7.8848445883617002E-2</v>
      </c>
      <c r="N105" s="124">
        <f t="shared" si="100"/>
        <v>8.0167373201593312E-2</v>
      </c>
      <c r="O105" s="124">
        <f t="shared" si="100"/>
        <v>8.0825022775559807E-2</v>
      </c>
      <c r="P105" s="124">
        <f t="shared" si="100"/>
        <v>8.2259516518659065E-2</v>
      </c>
      <c r="Q105" s="124">
        <f t="shared" si="100"/>
        <v>7.8498019704590874E-2</v>
      </c>
      <c r="R105" s="124">
        <f t="shared" ref="R105:V105" si="101">IF(R13=0,0,R13/R$4)</f>
        <v>9.744106687801414E-2</v>
      </c>
      <c r="S105" s="124">
        <f t="shared" si="101"/>
        <v>0.11259267597157903</v>
      </c>
      <c r="T105" s="124">
        <f t="shared" si="101"/>
        <v>0.12185449804533874</v>
      </c>
      <c r="U105" s="124">
        <f t="shared" si="101"/>
        <v>0.11525814389551245</v>
      </c>
      <c r="V105" s="124">
        <f t="shared" si="101"/>
        <v>5.2812482191929258E-2</v>
      </c>
      <c r="W105" s="124">
        <f t="shared" ref="W105" si="102">IF(W13=0,0,W13/W$4)</f>
        <v>6.6252998372537189E-2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2.4323173422891085E-4</v>
      </c>
      <c r="C106" s="140">
        <f t="shared" si="103"/>
        <v>5.4448983719115917E-4</v>
      </c>
      <c r="D106" s="140">
        <f t="shared" si="103"/>
        <v>3.133796770246878E-4</v>
      </c>
      <c r="E106" s="140">
        <f t="shared" si="103"/>
        <v>2.9156214810002268E-4</v>
      </c>
      <c r="F106" s="140">
        <f t="shared" si="103"/>
        <v>2.4534187943151345E-4</v>
      </c>
      <c r="G106" s="140">
        <f t="shared" si="103"/>
        <v>2.6172507516782648E-4</v>
      </c>
      <c r="H106" s="140">
        <f t="shared" si="103"/>
        <v>3.8430066891190467E-4</v>
      </c>
      <c r="I106" s="140">
        <f t="shared" si="103"/>
        <v>5.4304536770970321E-4</v>
      </c>
      <c r="J106" s="140">
        <f t="shared" si="103"/>
        <v>8.0362966300775269E-4</v>
      </c>
      <c r="K106" s="140">
        <f t="shared" si="103"/>
        <v>9.5814734514602419E-4</v>
      </c>
      <c r="L106" s="140">
        <f t="shared" si="103"/>
        <v>9.8295101751904495E-4</v>
      </c>
      <c r="M106" s="140">
        <f t="shared" si="103"/>
        <v>1.0888949082657779E-3</v>
      </c>
      <c r="N106" s="140">
        <f t="shared" si="103"/>
        <v>1.0963975087631306E-3</v>
      </c>
      <c r="O106" s="140">
        <f t="shared" si="103"/>
        <v>9.1269210786079299E-4</v>
      </c>
      <c r="P106" s="140">
        <f t="shared" si="103"/>
        <v>7.8061267373501133E-4</v>
      </c>
      <c r="Q106" s="140">
        <f t="shared" si="103"/>
        <v>7.5531194915000148E-4</v>
      </c>
      <c r="R106" s="140">
        <f t="shared" ref="R106:V106" si="104">IF(R14=0,0,R14/R$4)</f>
        <v>7.5067792104439423E-4</v>
      </c>
      <c r="S106" s="140">
        <f t="shared" si="104"/>
        <v>1.3108553096727983E-3</v>
      </c>
      <c r="T106" s="140">
        <f t="shared" si="104"/>
        <v>1.478975406441108E-3</v>
      </c>
      <c r="U106" s="140">
        <f t="shared" si="104"/>
        <v>1.3250281062003471E-3</v>
      </c>
      <c r="V106" s="140">
        <f t="shared" si="104"/>
        <v>8.5547876429946542E-4</v>
      </c>
      <c r="W106" s="140">
        <f t="shared" ref="W106" si="105">IF(W14=0,0,W14/W$4)</f>
        <v>1.2657541545772622E-3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3.7090642446872421E-2</v>
      </c>
      <c r="C107" s="140">
        <f t="shared" si="106"/>
        <v>4.6718748701912699E-2</v>
      </c>
      <c r="D107" s="140">
        <f t="shared" si="106"/>
        <v>5.1991132118234806E-2</v>
      </c>
      <c r="E107" s="140">
        <f t="shared" si="106"/>
        <v>6.6197770085268115E-2</v>
      </c>
      <c r="F107" s="140">
        <f t="shared" si="106"/>
        <v>6.113229080289305E-2</v>
      </c>
      <c r="G107" s="140">
        <f t="shared" si="106"/>
        <v>6.8391967116982533E-2</v>
      </c>
      <c r="H107" s="140">
        <f t="shared" si="106"/>
        <v>7.5616909678681704E-2</v>
      </c>
      <c r="I107" s="140">
        <f t="shared" si="106"/>
        <v>7.1484552765005066E-2</v>
      </c>
      <c r="J107" s="140">
        <f t="shared" si="106"/>
        <v>6.6071420138963374E-2</v>
      </c>
      <c r="K107" s="140">
        <f t="shared" si="106"/>
        <v>5.9139677244305133E-2</v>
      </c>
      <c r="L107" s="140">
        <f t="shared" si="106"/>
        <v>5.9569636182617305E-2</v>
      </c>
      <c r="M107" s="140">
        <f t="shared" si="106"/>
        <v>6.0196178102749756E-2</v>
      </c>
      <c r="N107" s="140">
        <f t="shared" si="106"/>
        <v>5.9877607267065501E-2</v>
      </c>
      <c r="O107" s="140">
        <f t="shared" si="106"/>
        <v>5.8013530326155201E-2</v>
      </c>
      <c r="P107" s="140">
        <f t="shared" si="106"/>
        <v>5.7276035761264527E-2</v>
      </c>
      <c r="Q107" s="140">
        <f t="shared" si="106"/>
        <v>5.671870363034829E-2</v>
      </c>
      <c r="R107" s="140">
        <f t="shared" ref="R107:V107" si="107">IF(R15=0,0,R15/R$4)</f>
        <v>7.0321493525153364E-2</v>
      </c>
      <c r="S107" s="140">
        <f t="shared" si="107"/>
        <v>8.6744240003651385E-2</v>
      </c>
      <c r="T107" s="140">
        <f t="shared" si="107"/>
        <v>9.4846673578281138E-2</v>
      </c>
      <c r="U107" s="140">
        <f t="shared" si="107"/>
        <v>8.9815714225399079E-2</v>
      </c>
      <c r="V107" s="140">
        <f t="shared" si="107"/>
        <v>4.4114730859567408E-2</v>
      </c>
      <c r="W107" s="140">
        <f t="shared" ref="W107" si="108">IF(W15=0,0,W15/W$4)</f>
        <v>5.1415918393708217E-2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5.8949942470988854E-3</v>
      </c>
      <c r="C108" s="140">
        <f t="shared" si="109"/>
        <v>7.4106942558820445E-3</v>
      </c>
      <c r="D108" s="140">
        <f t="shared" si="109"/>
        <v>8.323181921056539E-3</v>
      </c>
      <c r="E108" s="140">
        <f t="shared" si="109"/>
        <v>1.0833889726653645E-2</v>
      </c>
      <c r="F108" s="140">
        <f t="shared" si="109"/>
        <v>1.0250303654834671E-2</v>
      </c>
      <c r="G108" s="140">
        <f t="shared" si="109"/>
        <v>9.5909216556205878E-3</v>
      </c>
      <c r="H108" s="140">
        <f t="shared" si="109"/>
        <v>9.908174529427289E-3</v>
      </c>
      <c r="I108" s="140">
        <f t="shared" si="109"/>
        <v>1.1687207302587557E-2</v>
      </c>
      <c r="J108" s="140">
        <f t="shared" si="109"/>
        <v>1.386131871553032E-2</v>
      </c>
      <c r="K108" s="140">
        <f t="shared" si="109"/>
        <v>1.3495331914072699E-2</v>
      </c>
      <c r="L108" s="140">
        <f t="shared" si="109"/>
        <v>1.697346922449762E-2</v>
      </c>
      <c r="M108" s="140">
        <f t="shared" si="109"/>
        <v>1.7563372872601454E-2</v>
      </c>
      <c r="N108" s="140">
        <f t="shared" si="109"/>
        <v>1.919336842576469E-2</v>
      </c>
      <c r="O108" s="140">
        <f t="shared" si="109"/>
        <v>2.1898800341543814E-2</v>
      </c>
      <c r="P108" s="140">
        <f t="shared" si="109"/>
        <v>2.4202868083659533E-2</v>
      </c>
      <c r="Q108" s="140">
        <f t="shared" si="109"/>
        <v>2.1024004125092578E-2</v>
      </c>
      <c r="R108" s="140">
        <f t="shared" ref="R108:V108" si="110">IF(R16=0,0,R16/R$4)</f>
        <v>2.6368895431816381E-2</v>
      </c>
      <c r="S108" s="140">
        <f t="shared" si="110"/>
        <v>2.4537580658254839E-2</v>
      </c>
      <c r="T108" s="140">
        <f t="shared" si="110"/>
        <v>2.552884906061648E-2</v>
      </c>
      <c r="U108" s="140">
        <f t="shared" si="110"/>
        <v>2.411740156391301E-2</v>
      </c>
      <c r="V108" s="140">
        <f t="shared" si="110"/>
        <v>7.8422725680623966E-3</v>
      </c>
      <c r="W108" s="140">
        <f t="shared" ref="W108" si="111">IF(W16=0,0,W16/W$4)</f>
        <v>1.3571325824251714E-2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0.57034429748906545</v>
      </c>
      <c r="C110" s="139">
        <f t="shared" si="115"/>
        <v>0.60960472330877225</v>
      </c>
      <c r="D110" s="139">
        <f t="shared" si="115"/>
        <v>0.63941499062899398</v>
      </c>
      <c r="E110" s="139">
        <f t="shared" si="115"/>
        <v>0.62881768953186257</v>
      </c>
      <c r="F110" s="139">
        <f t="shared" si="115"/>
        <v>0.64800881279912459</v>
      </c>
      <c r="G110" s="139">
        <f t="shared" si="115"/>
        <v>0.65985954066853725</v>
      </c>
      <c r="H110" s="139">
        <f t="shared" si="115"/>
        <v>0.65078742395638578</v>
      </c>
      <c r="I110" s="139">
        <f t="shared" si="115"/>
        <v>0.63878602313238642</v>
      </c>
      <c r="J110" s="139">
        <f t="shared" si="115"/>
        <v>0.57938969123034323</v>
      </c>
      <c r="K110" s="139">
        <f t="shared" si="115"/>
        <v>0.52360757227938248</v>
      </c>
      <c r="L110" s="139">
        <f t="shared" si="115"/>
        <v>0.5120765370097512</v>
      </c>
      <c r="M110" s="139">
        <f t="shared" si="115"/>
        <v>0.57955991530954232</v>
      </c>
      <c r="N110" s="139">
        <f t="shared" si="115"/>
        <v>0.54961786060466666</v>
      </c>
      <c r="O110" s="139">
        <f t="shared" si="115"/>
        <v>0.57708083089829598</v>
      </c>
      <c r="P110" s="139">
        <f t="shared" si="115"/>
        <v>0.56766765504650663</v>
      </c>
      <c r="Q110" s="139">
        <f t="shared" si="115"/>
        <v>0.56660641137143641</v>
      </c>
      <c r="R110" s="139">
        <f t="shared" ref="R110:V110" si="116">IF(R18=0,0,R18/R$17)</f>
        <v>0.57504405093259137</v>
      </c>
      <c r="S110" s="139">
        <f t="shared" si="116"/>
        <v>0.58097359484876321</v>
      </c>
      <c r="T110" s="139">
        <f t="shared" si="116"/>
        <v>0.57795044275552276</v>
      </c>
      <c r="U110" s="139">
        <f t="shared" si="116"/>
        <v>0.49188101371336868</v>
      </c>
      <c r="V110" s="139">
        <f t="shared" si="116"/>
        <v>0.52128515910871442</v>
      </c>
      <c r="W110" s="139">
        <f t="shared" ref="W110" si="117">IF(W18=0,0,W18/W$17)</f>
        <v>0.57153108077354531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3.0511517525713988E-2</v>
      </c>
      <c r="C111" s="140">
        <f t="shared" si="118"/>
        <v>2.9213493585266925E-2</v>
      </c>
      <c r="D111" s="140">
        <f t="shared" si="118"/>
        <v>2.8074053531311753E-2</v>
      </c>
      <c r="E111" s="140">
        <f t="shared" si="118"/>
        <v>2.8004625214163581E-2</v>
      </c>
      <c r="F111" s="140">
        <f t="shared" si="118"/>
        <v>3.133998460590616E-2</v>
      </c>
      <c r="G111" s="140">
        <f t="shared" si="118"/>
        <v>2.8690657758828602E-2</v>
      </c>
      <c r="H111" s="140">
        <f t="shared" si="118"/>
        <v>3.2147132255528212E-2</v>
      </c>
      <c r="I111" s="140">
        <f t="shared" si="118"/>
        <v>3.6984032760155904E-2</v>
      </c>
      <c r="J111" s="140">
        <f t="shared" si="118"/>
        <v>3.8534391523952605E-2</v>
      </c>
      <c r="K111" s="140">
        <f t="shared" si="118"/>
        <v>3.9098240375740181E-2</v>
      </c>
      <c r="L111" s="140">
        <f t="shared" si="118"/>
        <v>3.7455846460928435E-2</v>
      </c>
      <c r="M111" s="140">
        <f t="shared" si="118"/>
        <v>4.3012251591118447E-2</v>
      </c>
      <c r="N111" s="140">
        <f t="shared" si="118"/>
        <v>4.4759410152556169E-2</v>
      </c>
      <c r="O111" s="140">
        <f t="shared" si="118"/>
        <v>4.0392590913405177E-2</v>
      </c>
      <c r="P111" s="140">
        <f t="shared" si="118"/>
        <v>4.3592846701066681E-2</v>
      </c>
      <c r="Q111" s="140">
        <f t="shared" si="118"/>
        <v>4.4652123990444936E-2</v>
      </c>
      <c r="R111" s="140">
        <f t="shared" ref="R111:V111" si="119">IF(R19=0,0,R19/R$17)</f>
        <v>4.4865359726745782E-2</v>
      </c>
      <c r="S111" s="140">
        <f t="shared" si="119"/>
        <v>3.6365053896438106E-2</v>
      </c>
      <c r="T111" s="140">
        <f t="shared" si="119"/>
        <v>3.8684277926902252E-2</v>
      </c>
      <c r="U111" s="140">
        <f t="shared" si="119"/>
        <v>4.0239470796653541E-2</v>
      </c>
      <c r="V111" s="140">
        <f t="shared" si="119"/>
        <v>3.279516632141001E-2</v>
      </c>
      <c r="W111" s="140">
        <f t="shared" ref="W111" si="120">IF(W19=0,0,W19/W$17)</f>
        <v>2.8650617946817846E-2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0.53983277996335155</v>
      </c>
      <c r="C112" s="140">
        <f t="shared" si="121"/>
        <v>0.58039122972350521</v>
      </c>
      <c r="D112" s="140">
        <f t="shared" si="121"/>
        <v>0.61134093709768234</v>
      </c>
      <c r="E112" s="140">
        <f t="shared" si="121"/>
        <v>0.60081306431769899</v>
      </c>
      <c r="F112" s="140">
        <f t="shared" si="121"/>
        <v>0.61666882819321844</v>
      </c>
      <c r="G112" s="140">
        <f t="shared" si="121"/>
        <v>0.63116888290970863</v>
      </c>
      <c r="H112" s="140">
        <f t="shared" si="121"/>
        <v>0.61864029170085755</v>
      </c>
      <c r="I112" s="140">
        <f t="shared" si="121"/>
        <v>0.60180199037223059</v>
      </c>
      <c r="J112" s="140">
        <f t="shared" si="121"/>
        <v>0.54085529970639057</v>
      </c>
      <c r="K112" s="140">
        <f t="shared" si="121"/>
        <v>0.48450933190364226</v>
      </c>
      <c r="L112" s="140">
        <f t="shared" si="121"/>
        <v>0.47462069054882278</v>
      </c>
      <c r="M112" s="140">
        <f t="shared" si="121"/>
        <v>0.53654766371842388</v>
      </c>
      <c r="N112" s="140">
        <f t="shared" si="121"/>
        <v>0.50485845045211053</v>
      </c>
      <c r="O112" s="140">
        <f t="shared" si="121"/>
        <v>0.53668823998489079</v>
      </c>
      <c r="P112" s="140">
        <f t="shared" si="121"/>
        <v>0.52407480834543996</v>
      </c>
      <c r="Q112" s="140">
        <f t="shared" si="121"/>
        <v>0.52195428738099148</v>
      </c>
      <c r="R112" s="140">
        <f t="shared" ref="R112:V112" si="122">IF(R20=0,0,R20/R$17)</f>
        <v>0.5301786912058456</v>
      </c>
      <c r="S112" s="140">
        <f t="shared" si="122"/>
        <v>0.54460854095232514</v>
      </c>
      <c r="T112" s="140">
        <f t="shared" si="122"/>
        <v>0.53926616482862055</v>
      </c>
      <c r="U112" s="140">
        <f t="shared" si="122"/>
        <v>0.45164154291671504</v>
      </c>
      <c r="V112" s="140">
        <f t="shared" si="122"/>
        <v>0.48848999278730437</v>
      </c>
      <c r="W112" s="140">
        <f t="shared" ref="W112" si="123">IF(W20=0,0,W20/W$17)</f>
        <v>0.54288046282672753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0.40600630293565892</v>
      </c>
      <c r="C113" s="124">
        <f t="shared" si="124"/>
        <v>0.3591346951516316</v>
      </c>
      <c r="D113" s="124">
        <f t="shared" si="124"/>
        <v>0.32101623854073158</v>
      </c>
      <c r="E113" s="124">
        <f t="shared" si="124"/>
        <v>0.33196383711678096</v>
      </c>
      <c r="F113" s="124">
        <f t="shared" si="124"/>
        <v>0.3099312580380002</v>
      </c>
      <c r="G113" s="124">
        <f t="shared" si="124"/>
        <v>0.29605835745043202</v>
      </c>
      <c r="H113" s="124">
        <f t="shared" si="124"/>
        <v>0.30422143252036166</v>
      </c>
      <c r="I113" s="124">
        <f t="shared" si="124"/>
        <v>0.30211765848026445</v>
      </c>
      <c r="J113" s="124">
        <f t="shared" si="124"/>
        <v>0.25982587448379063</v>
      </c>
      <c r="K113" s="124">
        <f t="shared" si="124"/>
        <v>0.17421548381127483</v>
      </c>
      <c r="L113" s="124">
        <f t="shared" si="124"/>
        <v>0.16350502556633514</v>
      </c>
      <c r="M113" s="124">
        <f t="shared" si="124"/>
        <v>0.18149303863447913</v>
      </c>
      <c r="N113" s="124">
        <f t="shared" si="124"/>
        <v>0.158366366425022</v>
      </c>
      <c r="O113" s="124">
        <f t="shared" si="124"/>
        <v>0.15902153616858655</v>
      </c>
      <c r="P113" s="124">
        <f t="shared" si="124"/>
        <v>0.17425278458827198</v>
      </c>
      <c r="Q113" s="124">
        <f t="shared" si="124"/>
        <v>0.17042354812149166</v>
      </c>
      <c r="R113" s="124">
        <f t="shared" ref="R113:V113" si="125">IF(R21=0,0,R21/R$17)</f>
        <v>0.16292898285622143</v>
      </c>
      <c r="S113" s="124">
        <f t="shared" si="125"/>
        <v>0.17787331814744525</v>
      </c>
      <c r="T113" s="124">
        <f t="shared" si="125"/>
        <v>0.18506271330024635</v>
      </c>
      <c r="U113" s="124">
        <f t="shared" si="125"/>
        <v>0.2024242247255941</v>
      </c>
      <c r="V113" s="124">
        <f t="shared" si="125"/>
        <v>0.19987918559938497</v>
      </c>
      <c r="W113" s="124">
        <f t="shared" ref="W113" si="126">IF(W21=0,0,W21/W$17)</f>
        <v>0.19056262270174643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7.0249224070333897E-4</v>
      </c>
      <c r="C114" s="124">
        <f t="shared" si="127"/>
        <v>6.2419325931414339E-4</v>
      </c>
      <c r="D114" s="124">
        <f t="shared" si="127"/>
        <v>6.4719965643601275E-4</v>
      </c>
      <c r="E114" s="124">
        <f t="shared" si="127"/>
        <v>6.3412899174578941E-4</v>
      </c>
      <c r="F114" s="124">
        <f t="shared" si="127"/>
        <v>6.0491345524032807E-4</v>
      </c>
      <c r="G114" s="124">
        <f t="shared" si="127"/>
        <v>6.7397160987509952E-4</v>
      </c>
      <c r="H114" s="124">
        <f t="shared" si="127"/>
        <v>7.3357782116144962E-4</v>
      </c>
      <c r="I114" s="124">
        <f t="shared" si="127"/>
        <v>8.1718220655394524E-4</v>
      </c>
      <c r="J114" s="124">
        <f t="shared" si="127"/>
        <v>7.8085933207217321E-4</v>
      </c>
      <c r="K114" s="124">
        <f t="shared" si="127"/>
        <v>1.0528199035905509E-3</v>
      </c>
      <c r="L114" s="124">
        <f t="shared" si="127"/>
        <v>1.6774470109909647E-3</v>
      </c>
      <c r="M114" s="124">
        <f t="shared" si="127"/>
        <v>1.2578948816835054E-3</v>
      </c>
      <c r="N114" s="124">
        <f t="shared" si="127"/>
        <v>6.1512143696328689E-4</v>
      </c>
      <c r="O114" s="124">
        <f t="shared" si="127"/>
        <v>6.253792763141273E-4</v>
      </c>
      <c r="P114" s="124">
        <f t="shared" si="127"/>
        <v>9.8196542457229313E-4</v>
      </c>
      <c r="Q114" s="124">
        <f t="shared" si="127"/>
        <v>1.7317523591964736E-3</v>
      </c>
      <c r="R114" s="124">
        <f t="shared" ref="R114:V114" si="128">IF(R22=0,0,R22/R$17)</f>
        <v>2.1661510965906654E-3</v>
      </c>
      <c r="S114" s="124">
        <f t="shared" si="128"/>
        <v>2.2842886063446227E-3</v>
      </c>
      <c r="T114" s="124">
        <f t="shared" si="128"/>
        <v>1.8836375601836612E-3</v>
      </c>
      <c r="U114" s="124">
        <f t="shared" si="128"/>
        <v>1.3321458600992304E-3</v>
      </c>
      <c r="V114" s="124">
        <f t="shared" si="128"/>
        <v>1.1442972839608347E-3</v>
      </c>
      <c r="W114" s="124">
        <f t="shared" ref="W114" si="129">IF(W22=0,0,W22/W$17)</f>
        <v>8.999167333157038E-4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4.7401662862351973E-4</v>
      </c>
      <c r="C116" s="140">
        <f t="shared" si="133"/>
        <v>3.0515511521210742E-4</v>
      </c>
      <c r="D116" s="140">
        <f t="shared" si="133"/>
        <v>2.986015334446196E-4</v>
      </c>
      <c r="E116" s="140">
        <f t="shared" si="133"/>
        <v>2.8792893837752289E-4</v>
      </c>
      <c r="F116" s="140">
        <f t="shared" si="133"/>
        <v>2.6340900687062325E-4</v>
      </c>
      <c r="G116" s="140">
        <f t="shared" si="133"/>
        <v>3.1772745982665366E-4</v>
      </c>
      <c r="H116" s="140">
        <f t="shared" si="133"/>
        <v>3.4828496719365039E-4</v>
      </c>
      <c r="I116" s="140">
        <f t="shared" si="133"/>
        <v>3.7857959552937802E-4</v>
      </c>
      <c r="J116" s="140">
        <f t="shared" si="133"/>
        <v>4.0253331063568336E-4</v>
      </c>
      <c r="K116" s="140">
        <f t="shared" si="133"/>
        <v>3.4585422424148637E-4</v>
      </c>
      <c r="L116" s="140">
        <f t="shared" si="133"/>
        <v>3.4448509673170289E-4</v>
      </c>
      <c r="M116" s="140">
        <f t="shared" si="133"/>
        <v>3.2659852754174785E-4</v>
      </c>
      <c r="N116" s="140">
        <f t="shared" si="133"/>
        <v>3.5643037741521592E-4</v>
      </c>
      <c r="O116" s="140">
        <f t="shared" si="133"/>
        <v>3.4401788809354175E-4</v>
      </c>
      <c r="P116" s="140">
        <f t="shared" si="133"/>
        <v>4.1842112153370051E-4</v>
      </c>
      <c r="Q116" s="140">
        <f t="shared" si="133"/>
        <v>4.0115832849719465E-4</v>
      </c>
      <c r="R116" s="140">
        <f t="shared" si="131"/>
        <v>4.3608892772587312E-4</v>
      </c>
      <c r="S116" s="140">
        <f t="shared" si="131"/>
        <v>4.4836227920091749E-4</v>
      </c>
      <c r="T116" s="140">
        <f t="shared" si="131"/>
        <v>5.364285812017299E-4</v>
      </c>
      <c r="U116" s="140">
        <f t="shared" si="131"/>
        <v>7.0612306883329151E-4</v>
      </c>
      <c r="V116" s="140">
        <f t="shared" si="131"/>
        <v>5.1267055965582018E-4</v>
      </c>
      <c r="W116" s="140">
        <f t="shared" ref="W116" si="134">IF(W24=0,0,W24/W$17)</f>
        <v>4.3079177216919125E-4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2.2847561207981924E-4</v>
      </c>
      <c r="C117" s="140">
        <f t="shared" si="135"/>
        <v>3.1903814410203608E-4</v>
      </c>
      <c r="D117" s="140">
        <f t="shared" si="135"/>
        <v>3.4859812299139326E-4</v>
      </c>
      <c r="E117" s="140">
        <f t="shared" si="135"/>
        <v>3.4620005336826647E-4</v>
      </c>
      <c r="F117" s="140">
        <f t="shared" si="135"/>
        <v>3.4150444836970488E-4</v>
      </c>
      <c r="G117" s="140">
        <f t="shared" si="135"/>
        <v>3.5624415004844581E-4</v>
      </c>
      <c r="H117" s="140">
        <f t="shared" si="135"/>
        <v>3.8529285396779911E-4</v>
      </c>
      <c r="I117" s="140">
        <f t="shared" si="135"/>
        <v>4.3860261102456722E-4</v>
      </c>
      <c r="J117" s="140">
        <f t="shared" si="135"/>
        <v>3.7832602143648975E-4</v>
      </c>
      <c r="K117" s="140">
        <f t="shared" si="135"/>
        <v>7.0696567934906446E-4</v>
      </c>
      <c r="L117" s="140">
        <f t="shared" si="135"/>
        <v>1.3329619142592617E-3</v>
      </c>
      <c r="M117" s="140">
        <f t="shared" si="135"/>
        <v>9.3129635414175745E-4</v>
      </c>
      <c r="N117" s="140">
        <f t="shared" si="135"/>
        <v>2.5869105954807098E-4</v>
      </c>
      <c r="O117" s="140">
        <f t="shared" si="135"/>
        <v>2.8136138822058555E-4</v>
      </c>
      <c r="P117" s="140">
        <f t="shared" si="135"/>
        <v>5.6354430303859251E-4</v>
      </c>
      <c r="Q117" s="140">
        <f t="shared" si="135"/>
        <v>1.3305940306992789E-3</v>
      </c>
      <c r="R117" s="140">
        <f t="shared" ref="R117:V117" si="136">IF(R25=0,0,R25/R$17)</f>
        <v>1.7300621688647923E-3</v>
      </c>
      <c r="S117" s="140">
        <f t="shared" si="136"/>
        <v>1.8359263271437052E-3</v>
      </c>
      <c r="T117" s="140">
        <f t="shared" si="136"/>
        <v>1.3472089789819312E-3</v>
      </c>
      <c r="U117" s="140">
        <f t="shared" si="136"/>
        <v>6.2602279126593879E-4</v>
      </c>
      <c r="V117" s="140">
        <f t="shared" si="136"/>
        <v>6.3162672430501455E-4</v>
      </c>
      <c r="W117" s="140">
        <f t="shared" ref="W117" si="137">IF(W25=0,0,W25/W$17)</f>
        <v>4.6912496114651255E-4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2.2946907334572272E-2</v>
      </c>
      <c r="C118" s="124">
        <f t="shared" si="138"/>
        <v>3.0636388280282041E-2</v>
      </c>
      <c r="D118" s="124">
        <f t="shared" si="138"/>
        <v>3.8921571173838432E-2</v>
      </c>
      <c r="E118" s="124">
        <f t="shared" si="138"/>
        <v>3.8584344359610681E-2</v>
      </c>
      <c r="F118" s="124">
        <f t="shared" si="138"/>
        <v>4.1455015707635032E-2</v>
      </c>
      <c r="G118" s="124">
        <f t="shared" si="138"/>
        <v>4.3408130271155726E-2</v>
      </c>
      <c r="H118" s="124">
        <f t="shared" si="138"/>
        <v>4.4257565702091162E-2</v>
      </c>
      <c r="I118" s="124">
        <f t="shared" si="138"/>
        <v>5.8279136180795145E-2</v>
      </c>
      <c r="J118" s="124">
        <f t="shared" si="138"/>
        <v>0.16000357495379391</v>
      </c>
      <c r="K118" s="124">
        <f t="shared" si="138"/>
        <v>0.301124124005752</v>
      </c>
      <c r="L118" s="124">
        <f t="shared" si="138"/>
        <v>0.32274099041292265</v>
      </c>
      <c r="M118" s="124">
        <f t="shared" si="138"/>
        <v>0.23768915117429507</v>
      </c>
      <c r="N118" s="124">
        <f t="shared" si="138"/>
        <v>0.29140065153334799</v>
      </c>
      <c r="O118" s="124">
        <f t="shared" si="138"/>
        <v>0.26327225365680346</v>
      </c>
      <c r="P118" s="124">
        <f t="shared" si="138"/>
        <v>0.25709759494064904</v>
      </c>
      <c r="Q118" s="124">
        <f t="shared" si="138"/>
        <v>0.26123828814787559</v>
      </c>
      <c r="R118" s="124">
        <f t="shared" ref="R118:V118" si="139">IF(R26=0,0,R26/R$17)</f>
        <v>0.25986081511459658</v>
      </c>
      <c r="S118" s="124">
        <f t="shared" si="139"/>
        <v>0.23886879839744685</v>
      </c>
      <c r="T118" s="124">
        <f t="shared" si="139"/>
        <v>0.23510320638404725</v>
      </c>
      <c r="U118" s="124">
        <f t="shared" si="139"/>
        <v>0.30436261570093814</v>
      </c>
      <c r="V118" s="124">
        <f t="shared" si="139"/>
        <v>0.2776913580079397</v>
      </c>
      <c r="W118" s="124">
        <f t="shared" ref="W118" si="140">IF(W26=0,0,W26/W$17)</f>
        <v>0.23700637979139261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2.2946907334572272E-2</v>
      </c>
      <c r="C120" s="127">
        <f t="shared" si="144"/>
        <v>3.0636388280282041E-2</v>
      </c>
      <c r="D120" s="127">
        <f t="shared" si="144"/>
        <v>3.8921571173838432E-2</v>
      </c>
      <c r="E120" s="127">
        <f t="shared" si="144"/>
        <v>3.8584344359610681E-2</v>
      </c>
      <c r="F120" s="127">
        <f t="shared" si="144"/>
        <v>4.1455015707635032E-2</v>
      </c>
      <c r="G120" s="127">
        <f t="shared" si="144"/>
        <v>4.3408130271155726E-2</v>
      </c>
      <c r="H120" s="127">
        <f t="shared" si="144"/>
        <v>4.4257565702091162E-2</v>
      </c>
      <c r="I120" s="127">
        <f t="shared" si="144"/>
        <v>5.8279136180795145E-2</v>
      </c>
      <c r="J120" s="127">
        <f t="shared" si="144"/>
        <v>0.16000357495379391</v>
      </c>
      <c r="K120" s="127">
        <f t="shared" si="144"/>
        <v>0.301124124005752</v>
      </c>
      <c r="L120" s="127">
        <f t="shared" si="144"/>
        <v>0.32274099041292265</v>
      </c>
      <c r="M120" s="127">
        <f t="shared" si="144"/>
        <v>0.23768915117429507</v>
      </c>
      <c r="N120" s="127">
        <f t="shared" si="144"/>
        <v>0.29140065153334799</v>
      </c>
      <c r="O120" s="127">
        <f t="shared" si="144"/>
        <v>0.26327225365680346</v>
      </c>
      <c r="P120" s="127">
        <f t="shared" si="144"/>
        <v>0.25709759494064904</v>
      </c>
      <c r="Q120" s="127">
        <f t="shared" si="144"/>
        <v>0.26123828814787559</v>
      </c>
      <c r="R120" s="127">
        <f t="shared" ref="R120:V120" si="145">IF(R28=0,0,R28/R$17)</f>
        <v>0.25986081511459658</v>
      </c>
      <c r="S120" s="127">
        <f t="shared" si="145"/>
        <v>0.23886879839744685</v>
      </c>
      <c r="T120" s="127">
        <f t="shared" si="145"/>
        <v>0.23510320638404725</v>
      </c>
      <c r="U120" s="127">
        <f t="shared" si="145"/>
        <v>0.30436261570093814</v>
      </c>
      <c r="V120" s="127">
        <f t="shared" si="145"/>
        <v>0.2776913580079397</v>
      </c>
      <c r="W120" s="127">
        <f t="shared" ref="W120" si="146">IF(W28=0,0,W28/W$17)</f>
        <v>0.23700637979139261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0.23895650234839111</v>
      </c>
      <c r="C122" s="140">
        <f>IF(C30=0,0,C30/C$29)</f>
        <v>0.23428225514767054</v>
      </c>
      <c r="D122" s="140">
        <f t="shared" ref="D122:W122" si="150">IF(D30=0,0,D30/D$29)</f>
        <v>0.2443787184071341</v>
      </c>
      <c r="E122" s="140">
        <f t="shared" si="150"/>
        <v>0.15391001109179778</v>
      </c>
      <c r="F122" s="140">
        <f t="shared" si="150"/>
        <v>0.13745402336143342</v>
      </c>
      <c r="G122" s="140">
        <f t="shared" si="150"/>
        <v>0.13320967652344029</v>
      </c>
      <c r="H122" s="140">
        <f t="shared" si="150"/>
        <v>0.15698962052577523</v>
      </c>
      <c r="I122" s="140">
        <f t="shared" si="150"/>
        <v>0.10219406611838439</v>
      </c>
      <c r="J122" s="140">
        <f t="shared" si="150"/>
        <v>0.13073164217635591</v>
      </c>
      <c r="K122" s="140">
        <f t="shared" si="150"/>
        <v>0.28314680091275535</v>
      </c>
      <c r="L122" s="140">
        <f t="shared" si="150"/>
        <v>0.23287613882142044</v>
      </c>
      <c r="M122" s="140">
        <f t="shared" si="150"/>
        <v>0.30005722328126622</v>
      </c>
      <c r="N122" s="140">
        <f t="shared" si="150"/>
        <v>0.28589882669251071</v>
      </c>
      <c r="O122" s="140">
        <f t="shared" si="150"/>
        <v>0.29409457982145776</v>
      </c>
      <c r="P122" s="140">
        <f t="shared" si="150"/>
        <v>0.24030834612799606</v>
      </c>
      <c r="Q122" s="140">
        <f t="shared" si="150"/>
        <v>0.20070571786113034</v>
      </c>
      <c r="R122" s="140">
        <f t="shared" si="150"/>
        <v>0.24821043724313446</v>
      </c>
      <c r="S122" s="140">
        <f t="shared" si="150"/>
        <v>0.27648282264164253</v>
      </c>
      <c r="T122" s="140">
        <f t="shared" si="150"/>
        <v>0.31143377737557232</v>
      </c>
      <c r="U122" s="140">
        <f t="shared" si="150"/>
        <v>0.28490069013813174</v>
      </c>
      <c r="V122" s="140">
        <f t="shared" si="150"/>
        <v>0.29157139245313074</v>
      </c>
      <c r="W122" s="140">
        <f t="shared" si="150"/>
        <v>0.23652124134808786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0.76104349765160895</v>
      </c>
      <c r="C123" s="127">
        <f>IF(C31=0,0,C31/C$29)</f>
        <v>0.76571774485232946</v>
      </c>
      <c r="D123" s="127">
        <f t="shared" ref="D123:W123" si="152">IF(D31=0,0,D31/D$29)</f>
        <v>0.7556212815928659</v>
      </c>
      <c r="E123" s="127">
        <f t="shared" si="152"/>
        <v>0.84608998890820208</v>
      </c>
      <c r="F123" s="127">
        <f t="shared" si="152"/>
        <v>0.86254597663856658</v>
      </c>
      <c r="G123" s="127">
        <f t="shared" si="152"/>
        <v>0.86679032347655971</v>
      </c>
      <c r="H123" s="127">
        <f t="shared" si="152"/>
        <v>0.84301037947422486</v>
      </c>
      <c r="I123" s="127">
        <f t="shared" si="152"/>
        <v>0.89780593388161567</v>
      </c>
      <c r="J123" s="127">
        <f t="shared" si="152"/>
        <v>0.86926835782364409</v>
      </c>
      <c r="K123" s="127">
        <f t="shared" si="152"/>
        <v>0.71685319908724465</v>
      </c>
      <c r="L123" s="127">
        <f t="shared" si="152"/>
        <v>0.76712386117857967</v>
      </c>
      <c r="M123" s="127">
        <f t="shared" si="152"/>
        <v>0.69994277671873384</v>
      </c>
      <c r="N123" s="127">
        <f t="shared" si="152"/>
        <v>0.71410117330748935</v>
      </c>
      <c r="O123" s="127">
        <f t="shared" si="152"/>
        <v>0.7059054201785423</v>
      </c>
      <c r="P123" s="127">
        <f t="shared" si="152"/>
        <v>0.75969165387200399</v>
      </c>
      <c r="Q123" s="127">
        <f t="shared" si="152"/>
        <v>0.79929428213886955</v>
      </c>
      <c r="R123" s="127">
        <f t="shared" si="152"/>
        <v>0.75178956275686559</v>
      </c>
      <c r="S123" s="127">
        <f t="shared" si="152"/>
        <v>0.72351717735835741</v>
      </c>
      <c r="T123" s="127">
        <f t="shared" si="152"/>
        <v>0.68856622262442768</v>
      </c>
      <c r="U123" s="127">
        <f t="shared" si="152"/>
        <v>0.71509930986186832</v>
      </c>
      <c r="V123" s="127">
        <f t="shared" si="152"/>
        <v>0.7084286075468692</v>
      </c>
      <c r="W123" s="127">
        <f t="shared" si="152"/>
        <v>0.76347875865191217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0.90302405175379818</v>
      </c>
      <c r="C127" s="139">
        <f t="shared" ref="C127:W127" si="155">IF(C35=0,0,C35/C$34)</f>
        <v>0.87763700326469185</v>
      </c>
      <c r="D127" s="139">
        <f t="shared" si="155"/>
        <v>0.88504389847414633</v>
      </c>
      <c r="E127" s="139">
        <f t="shared" si="155"/>
        <v>0.87780838414628759</v>
      </c>
      <c r="F127" s="139">
        <f t="shared" si="155"/>
        <v>0.8898927055319592</v>
      </c>
      <c r="G127" s="139">
        <f t="shared" si="155"/>
        <v>0.88712528481638242</v>
      </c>
      <c r="H127" s="139">
        <f t="shared" si="155"/>
        <v>0.8911243419254582</v>
      </c>
      <c r="I127" s="139">
        <f t="shared" si="155"/>
        <v>0.88071236142480469</v>
      </c>
      <c r="J127" s="139">
        <f t="shared" si="155"/>
        <v>0.88382941108947288</v>
      </c>
      <c r="K127" s="139">
        <f t="shared" si="155"/>
        <v>0.90530255975010532</v>
      </c>
      <c r="L127" s="139">
        <f t="shared" si="155"/>
        <v>0.90238851785076102</v>
      </c>
      <c r="M127" s="139">
        <f t="shared" si="155"/>
        <v>0.90058065682354349</v>
      </c>
      <c r="N127" s="139">
        <f t="shared" si="155"/>
        <v>0.91148602001074197</v>
      </c>
      <c r="O127" s="139">
        <f t="shared" si="155"/>
        <v>0.90724944445361655</v>
      </c>
      <c r="P127" s="139">
        <f t="shared" si="155"/>
        <v>0.9167471161138625</v>
      </c>
      <c r="Q127" s="139">
        <f t="shared" si="155"/>
        <v>0.91761503071550532</v>
      </c>
      <c r="R127" s="139">
        <f t="shared" si="155"/>
        <v>0.90556001579050027</v>
      </c>
      <c r="S127" s="139">
        <f t="shared" si="155"/>
        <v>0.89760842260121354</v>
      </c>
      <c r="T127" s="139">
        <f t="shared" si="155"/>
        <v>0.89712365287474161</v>
      </c>
      <c r="U127" s="139">
        <f t="shared" si="155"/>
        <v>0.90948885132182711</v>
      </c>
      <c r="V127" s="139">
        <f t="shared" si="155"/>
        <v>0.93976570950817329</v>
      </c>
      <c r="W127" s="139">
        <f t="shared" si="155"/>
        <v>0.93425667043879179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8.4232617756068492E-3</v>
      </c>
      <c r="C128" s="140">
        <f t="shared" ref="C128:W128" si="156">IF(C36=0,0,C36/C$34)</f>
        <v>8.2047880449308448E-3</v>
      </c>
      <c r="D128" s="140">
        <f t="shared" si="156"/>
        <v>7.8058844807451667E-3</v>
      </c>
      <c r="E128" s="140">
        <f t="shared" si="156"/>
        <v>7.318095496230575E-3</v>
      </c>
      <c r="F128" s="140">
        <f t="shared" si="156"/>
        <v>7.1539217895740404E-3</v>
      </c>
      <c r="G128" s="140">
        <f t="shared" si="156"/>
        <v>6.8896697110017065E-3</v>
      </c>
      <c r="H128" s="140">
        <f t="shared" si="156"/>
        <v>6.7062209455645665E-3</v>
      </c>
      <c r="I128" s="140">
        <f t="shared" si="156"/>
        <v>7.1883301770311108E-3</v>
      </c>
      <c r="J128" s="140">
        <f t="shared" si="156"/>
        <v>7.6657789625567442E-3</v>
      </c>
      <c r="K128" s="140">
        <f t="shared" si="156"/>
        <v>8.095624827506016E-3</v>
      </c>
      <c r="L128" s="140">
        <f t="shared" si="156"/>
        <v>8.9004983397939566E-3</v>
      </c>
      <c r="M128" s="140">
        <f t="shared" si="156"/>
        <v>9.335167588443093E-3</v>
      </c>
      <c r="N128" s="140">
        <f t="shared" si="156"/>
        <v>9.4880843865515242E-3</v>
      </c>
      <c r="O128" s="140">
        <f t="shared" si="156"/>
        <v>1.1106384702665171E-2</v>
      </c>
      <c r="P128" s="140">
        <f t="shared" si="156"/>
        <v>1.0219886760154184E-2</v>
      </c>
      <c r="Q128" s="140">
        <f t="shared" si="156"/>
        <v>9.8622830618960901E-3</v>
      </c>
      <c r="R128" s="140">
        <f t="shared" si="156"/>
        <v>1.0054111757204307E-2</v>
      </c>
      <c r="S128" s="140">
        <f t="shared" si="156"/>
        <v>9.2951588040943375E-3</v>
      </c>
      <c r="T128" s="140">
        <f t="shared" si="156"/>
        <v>8.490828740708261E-3</v>
      </c>
      <c r="U128" s="140">
        <f t="shared" si="156"/>
        <v>8.5792697300728273E-3</v>
      </c>
      <c r="V128" s="140">
        <f t="shared" si="156"/>
        <v>8.6235386417461458E-3</v>
      </c>
      <c r="W128" s="140">
        <f t="shared" si="156"/>
        <v>7.7362799806660687E-3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0.71109982288458795</v>
      </c>
      <c r="C129" s="140">
        <f t="shared" ref="C129:W129" si="157">IF(C37=0,0,C37/C$34)</f>
        <v>0.68980939758629212</v>
      </c>
      <c r="D129" s="140">
        <f t="shared" si="157"/>
        <v>0.68841115144347043</v>
      </c>
      <c r="E129" s="140">
        <f t="shared" si="157"/>
        <v>0.7188409497435525</v>
      </c>
      <c r="F129" s="140">
        <f t="shared" si="157"/>
        <v>0.7476999350245348</v>
      </c>
      <c r="G129" s="140">
        <f t="shared" si="157"/>
        <v>0.75139540717614639</v>
      </c>
      <c r="H129" s="140">
        <f t="shared" si="157"/>
        <v>0.76743313462870388</v>
      </c>
      <c r="I129" s="140">
        <f t="shared" si="157"/>
        <v>0.74533901927543145</v>
      </c>
      <c r="J129" s="140">
        <f t="shared" si="157"/>
        <v>0.76460801160581959</v>
      </c>
      <c r="K129" s="140">
        <f t="shared" si="157"/>
        <v>0.78013893032957227</v>
      </c>
      <c r="L129" s="140">
        <f t="shared" si="157"/>
        <v>0.78273524732199051</v>
      </c>
      <c r="M129" s="140">
        <f t="shared" si="157"/>
        <v>0.76931521692591232</v>
      </c>
      <c r="N129" s="140">
        <f t="shared" si="157"/>
        <v>0.79553538141683111</v>
      </c>
      <c r="O129" s="140">
        <f t="shared" si="157"/>
        <v>0.78647028627802362</v>
      </c>
      <c r="P129" s="140">
        <f t="shared" si="157"/>
        <v>0.81152216205466721</v>
      </c>
      <c r="Q129" s="140">
        <f t="shared" si="157"/>
        <v>0.81351086987420862</v>
      </c>
      <c r="R129" s="140">
        <f t="shared" si="157"/>
        <v>0.80893091570586373</v>
      </c>
      <c r="S129" s="140">
        <f t="shared" si="157"/>
        <v>0.80922156565970682</v>
      </c>
      <c r="T129" s="140">
        <f t="shared" si="157"/>
        <v>0.81141448953690787</v>
      </c>
      <c r="U129" s="140">
        <f t="shared" si="157"/>
        <v>0.82038257777498891</v>
      </c>
      <c r="V129" s="140">
        <f t="shared" si="157"/>
        <v>0.84239101323289955</v>
      </c>
      <c r="W129" s="140">
        <f t="shared" si="157"/>
        <v>0.84417847648577438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0.18350096709360325</v>
      </c>
      <c r="C130" s="140">
        <f t="shared" ref="C130:W130" si="158">IF(C38=0,0,C38/C$34)</f>
        <v>0.17962281763346877</v>
      </c>
      <c r="D130" s="140">
        <f t="shared" si="158"/>
        <v>0.18882686254993075</v>
      </c>
      <c r="E130" s="140">
        <f t="shared" si="158"/>
        <v>0.15164933890650448</v>
      </c>
      <c r="F130" s="140">
        <f t="shared" si="158"/>
        <v>0.1350388487178503</v>
      </c>
      <c r="G130" s="140">
        <f t="shared" si="158"/>
        <v>0.12884020792923429</v>
      </c>
      <c r="H130" s="140">
        <f t="shared" si="158"/>
        <v>0.11698498635118969</v>
      </c>
      <c r="I130" s="140">
        <f t="shared" si="158"/>
        <v>0.12818501197234208</v>
      </c>
      <c r="J130" s="140">
        <f t="shared" si="158"/>
        <v>0.11155562052109652</v>
      </c>
      <c r="K130" s="140">
        <f t="shared" si="158"/>
        <v>0.11706800459302717</v>
      </c>
      <c r="L130" s="140">
        <f t="shared" si="158"/>
        <v>0.11075277218897653</v>
      </c>
      <c r="M130" s="140">
        <f t="shared" si="158"/>
        <v>0.12193027230918811</v>
      </c>
      <c r="N130" s="140">
        <f t="shared" si="158"/>
        <v>0.10646255420735927</v>
      </c>
      <c r="O130" s="140">
        <f t="shared" si="158"/>
        <v>0.10967277347292766</v>
      </c>
      <c r="P130" s="140">
        <f t="shared" si="158"/>
        <v>9.5005067299041041E-2</v>
      </c>
      <c r="Q130" s="140">
        <f t="shared" si="158"/>
        <v>9.4241877779400587E-2</v>
      </c>
      <c r="R130" s="140">
        <f t="shared" si="158"/>
        <v>8.6574988327432378E-2</v>
      </c>
      <c r="S130" s="140">
        <f t="shared" si="158"/>
        <v>7.9091698137412444E-2</v>
      </c>
      <c r="T130" s="140">
        <f t="shared" si="158"/>
        <v>7.7218334597125488E-2</v>
      </c>
      <c r="U130" s="140">
        <f t="shared" si="158"/>
        <v>8.052700381676535E-2</v>
      </c>
      <c r="V130" s="140">
        <f t="shared" si="158"/>
        <v>8.8751157633527547E-2</v>
      </c>
      <c r="W130" s="140">
        <f t="shared" si="158"/>
        <v>8.2341913972351327E-2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2.8152737740894995E-2</v>
      </c>
      <c r="C131" s="124">
        <f t="shared" ref="C131:W131" si="159">IF(C39=0,0,C39/C$34)</f>
        <v>2.4769260582593683E-2</v>
      </c>
      <c r="D131" s="124">
        <f t="shared" si="159"/>
        <v>2.3221400660566504E-2</v>
      </c>
      <c r="E131" s="124">
        <f t="shared" si="159"/>
        <v>1.8713470967617298E-2</v>
      </c>
      <c r="F131" s="124">
        <f t="shared" si="159"/>
        <v>1.7695198559316051E-2</v>
      </c>
      <c r="G131" s="124">
        <f t="shared" si="159"/>
        <v>1.5978260894740443E-2</v>
      </c>
      <c r="H131" s="124">
        <f t="shared" si="159"/>
        <v>1.5609426256388535E-2</v>
      </c>
      <c r="I131" s="124">
        <f t="shared" si="159"/>
        <v>1.4861281645927182E-2</v>
      </c>
      <c r="J131" s="124">
        <f t="shared" si="159"/>
        <v>1.5566985474694432E-2</v>
      </c>
      <c r="K131" s="124">
        <f t="shared" si="159"/>
        <v>1.5859316309597291E-2</v>
      </c>
      <c r="L131" s="124">
        <f t="shared" si="159"/>
        <v>1.4298827478528517E-2</v>
      </c>
      <c r="M131" s="124">
        <f t="shared" si="159"/>
        <v>1.1874435744524126E-2</v>
      </c>
      <c r="N131" s="124">
        <f t="shared" si="159"/>
        <v>1.2788548043708674E-2</v>
      </c>
      <c r="O131" s="124">
        <f t="shared" si="159"/>
        <v>9.9839855052675942E-3</v>
      </c>
      <c r="P131" s="124">
        <f t="shared" si="159"/>
        <v>7.248145005906587E-3</v>
      </c>
      <c r="Q131" s="124">
        <f t="shared" si="159"/>
        <v>9.6276385446420094E-3</v>
      </c>
      <c r="R131" s="124">
        <f t="shared" si="159"/>
        <v>8.5897997786179986E-3</v>
      </c>
      <c r="S131" s="124">
        <f t="shared" si="159"/>
        <v>9.0463986741162912E-3</v>
      </c>
      <c r="T131" s="124">
        <f t="shared" si="159"/>
        <v>7.9582787373575371E-3</v>
      </c>
      <c r="U131" s="124">
        <f t="shared" si="159"/>
        <v>9.7392386571547411E-3</v>
      </c>
      <c r="V131" s="124">
        <f t="shared" si="159"/>
        <v>9.1142960004744478E-3</v>
      </c>
      <c r="W131" s="124">
        <f t="shared" si="159"/>
        <v>9.1125476477660096E-3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1.5475910034000353E-3</v>
      </c>
      <c r="C132" s="140">
        <f t="shared" ref="C132:W132" si="160">IF(C40=0,0,C40/C$34)</f>
        <v>1.6893861353517341E-3</v>
      </c>
      <c r="D132" s="140">
        <f t="shared" si="160"/>
        <v>1.4926788515942032E-3</v>
      </c>
      <c r="E132" s="140">
        <f t="shared" si="160"/>
        <v>1.5319225781033233E-3</v>
      </c>
      <c r="F132" s="140">
        <f t="shared" si="160"/>
        <v>1.331407736406294E-3</v>
      </c>
      <c r="G132" s="140">
        <f t="shared" si="160"/>
        <v>1.1259467151167046E-3</v>
      </c>
      <c r="H132" s="140">
        <f t="shared" si="160"/>
        <v>1.0851284462696858E-3</v>
      </c>
      <c r="I132" s="140">
        <f t="shared" si="160"/>
        <v>1.1031465090747918E-3</v>
      </c>
      <c r="J132" s="140">
        <f t="shared" si="160"/>
        <v>1.1516587138919235E-3</v>
      </c>
      <c r="K132" s="140">
        <f t="shared" si="160"/>
        <v>1.6453543436563303E-3</v>
      </c>
      <c r="L132" s="140">
        <f t="shared" si="160"/>
        <v>2.2181968019533865E-3</v>
      </c>
      <c r="M132" s="140">
        <f t="shared" si="160"/>
        <v>2.0944292903964999E-3</v>
      </c>
      <c r="N132" s="140">
        <f t="shared" si="160"/>
        <v>2.2674503268163416E-3</v>
      </c>
      <c r="O132" s="140">
        <f t="shared" si="160"/>
        <v>2.4676980492449787E-3</v>
      </c>
      <c r="P132" s="140">
        <f t="shared" si="160"/>
        <v>1.5853070517037984E-3</v>
      </c>
      <c r="Q132" s="140">
        <f t="shared" si="160"/>
        <v>1.4628214062517169E-3</v>
      </c>
      <c r="R132" s="140">
        <f t="shared" si="160"/>
        <v>1.5563102592964213E-3</v>
      </c>
      <c r="S132" s="140">
        <f t="shared" si="160"/>
        <v>1.9471453396748275E-3</v>
      </c>
      <c r="T132" s="140">
        <f t="shared" si="160"/>
        <v>1.8579165308967474E-3</v>
      </c>
      <c r="U132" s="140">
        <f t="shared" si="160"/>
        <v>1.8810592262668568E-3</v>
      </c>
      <c r="V132" s="140">
        <f t="shared" si="160"/>
        <v>1.652673657466645E-3</v>
      </c>
      <c r="W132" s="140">
        <f t="shared" si="160"/>
        <v>1.4754520735415283E-3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2.6605146737494961E-2</v>
      </c>
      <c r="C133" s="140">
        <f t="shared" ref="C133:W133" si="161">IF(C41=0,0,C41/C$34)</f>
        <v>2.3079874447241949E-2</v>
      </c>
      <c r="D133" s="140">
        <f t="shared" si="161"/>
        <v>2.1728721808972298E-2</v>
      </c>
      <c r="E133" s="140">
        <f t="shared" si="161"/>
        <v>1.7181548389513975E-2</v>
      </c>
      <c r="F133" s="140">
        <f t="shared" si="161"/>
        <v>1.6363790822909757E-2</v>
      </c>
      <c r="G133" s="140">
        <f t="shared" si="161"/>
        <v>1.4852314179623738E-2</v>
      </c>
      <c r="H133" s="140">
        <f t="shared" si="161"/>
        <v>1.4524297810118849E-2</v>
      </c>
      <c r="I133" s="140">
        <f t="shared" si="161"/>
        <v>1.375813513685239E-2</v>
      </c>
      <c r="J133" s="140">
        <f t="shared" si="161"/>
        <v>1.4415326760802507E-2</v>
      </c>
      <c r="K133" s="140">
        <f t="shared" si="161"/>
        <v>1.421396196594096E-2</v>
      </c>
      <c r="L133" s="140">
        <f t="shared" si="161"/>
        <v>1.2080630676575131E-2</v>
      </c>
      <c r="M133" s="140">
        <f t="shared" si="161"/>
        <v>9.7800064541276252E-3</v>
      </c>
      <c r="N133" s="140">
        <f t="shared" si="161"/>
        <v>1.0521097716892332E-2</v>
      </c>
      <c r="O133" s="140">
        <f t="shared" si="161"/>
        <v>7.5162874560226146E-3</v>
      </c>
      <c r="P133" s="140">
        <f t="shared" si="161"/>
        <v>5.6628379542027884E-3</v>
      </c>
      <c r="Q133" s="140">
        <f t="shared" si="161"/>
        <v>8.1648171383902918E-3</v>
      </c>
      <c r="R133" s="140">
        <f t="shared" si="161"/>
        <v>7.0334895193215766E-3</v>
      </c>
      <c r="S133" s="140">
        <f t="shared" si="161"/>
        <v>7.0992533344414648E-3</v>
      </c>
      <c r="T133" s="140">
        <f t="shared" si="161"/>
        <v>6.1003622064607892E-3</v>
      </c>
      <c r="U133" s="140">
        <f t="shared" si="161"/>
        <v>7.8581794308878843E-3</v>
      </c>
      <c r="V133" s="140">
        <f t="shared" si="161"/>
        <v>7.4616223430078029E-3</v>
      </c>
      <c r="W133" s="140">
        <f t="shared" si="161"/>
        <v>7.6370955742244796E-3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6.8823210505306751E-2</v>
      </c>
      <c r="C135" s="124">
        <f t="shared" ref="C135:W135" si="163">IF(C43=0,0,C43/C$34)</f>
        <v>9.7593736152714508E-2</v>
      </c>
      <c r="D135" s="124">
        <f t="shared" si="163"/>
        <v>9.1734700865287289E-2</v>
      </c>
      <c r="E135" s="124">
        <f t="shared" si="163"/>
        <v>0.10347814488609521</v>
      </c>
      <c r="F135" s="124">
        <f t="shared" si="163"/>
        <v>9.2412095908724609E-2</v>
      </c>
      <c r="G135" s="124">
        <f t="shared" si="163"/>
        <v>9.6896454288877193E-2</v>
      </c>
      <c r="H135" s="124">
        <f t="shared" si="163"/>
        <v>9.3266231818153272E-2</v>
      </c>
      <c r="I135" s="124">
        <f t="shared" si="163"/>
        <v>0.10442635692926805</v>
      </c>
      <c r="J135" s="124">
        <f t="shared" si="163"/>
        <v>0.10060360343583272</v>
      </c>
      <c r="K135" s="124">
        <f t="shared" si="163"/>
        <v>7.8838123940297308E-2</v>
      </c>
      <c r="L135" s="124">
        <f t="shared" si="163"/>
        <v>8.3312654670710459E-2</v>
      </c>
      <c r="M135" s="124">
        <f t="shared" si="163"/>
        <v>8.7544907431932315E-2</v>
      </c>
      <c r="N135" s="124">
        <f t="shared" si="163"/>
        <v>7.5725431945549412E-2</v>
      </c>
      <c r="O135" s="124">
        <f t="shared" si="163"/>
        <v>8.2766570041115969E-2</v>
      </c>
      <c r="P135" s="124">
        <f t="shared" si="163"/>
        <v>7.600473888023096E-2</v>
      </c>
      <c r="Q135" s="124">
        <f t="shared" si="163"/>
        <v>7.2757330739852577E-2</v>
      </c>
      <c r="R135" s="124">
        <f t="shared" si="163"/>
        <v>8.5850184430881743E-2</v>
      </c>
      <c r="S135" s="124">
        <f t="shared" si="163"/>
        <v>9.3345178724670061E-2</v>
      </c>
      <c r="T135" s="124">
        <f t="shared" si="163"/>
        <v>9.4918068387900817E-2</v>
      </c>
      <c r="U135" s="124">
        <f t="shared" si="163"/>
        <v>8.077191002101812E-2</v>
      </c>
      <c r="V135" s="124">
        <f t="shared" si="163"/>
        <v>5.1119994491352301E-2</v>
      </c>
      <c r="W135" s="124">
        <f t="shared" si="163"/>
        <v>5.6630781913442216E-2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1.4282294535227918E-2</v>
      </c>
      <c r="C136" s="140">
        <f t="shared" ref="C136:W136" si="164">IF(C44=0,0,C44/C$34)</f>
        <v>2.9864654000342675E-2</v>
      </c>
      <c r="D136" s="140">
        <f t="shared" si="164"/>
        <v>1.6379758062658109E-2</v>
      </c>
      <c r="E136" s="140">
        <f t="shared" si="164"/>
        <v>1.3486239994659128E-2</v>
      </c>
      <c r="F136" s="140">
        <f t="shared" si="164"/>
        <v>1.0563476439474943E-2</v>
      </c>
      <c r="G136" s="140">
        <f t="shared" si="164"/>
        <v>6.5073033152737644E-3</v>
      </c>
      <c r="H136" s="140">
        <f t="shared" si="164"/>
        <v>1.1372825563923241E-2</v>
      </c>
      <c r="I136" s="140">
        <f t="shared" si="164"/>
        <v>1.944992074926304E-2</v>
      </c>
      <c r="J136" s="140">
        <f t="shared" si="164"/>
        <v>6.0562683856424347E-3</v>
      </c>
      <c r="K136" s="140">
        <f t="shared" si="164"/>
        <v>1.0752909601002898E-2</v>
      </c>
      <c r="L136" s="140">
        <f t="shared" si="164"/>
        <v>7.149966687587812E-3</v>
      </c>
      <c r="M136" s="140">
        <f t="shared" si="164"/>
        <v>1.0019837383868505E-2</v>
      </c>
      <c r="N136" s="140">
        <f t="shared" si="164"/>
        <v>4.9635725288951849E-3</v>
      </c>
      <c r="O136" s="140">
        <f t="shared" si="164"/>
        <v>6.027669374269796E-3</v>
      </c>
      <c r="P136" s="140">
        <f t="shared" si="164"/>
        <v>3.9877865803103919E-3</v>
      </c>
      <c r="Q136" s="140">
        <f t="shared" si="164"/>
        <v>5.1984615957574769E-3</v>
      </c>
      <c r="R136" s="140">
        <f t="shared" si="164"/>
        <v>7.3020551471054485E-3</v>
      </c>
      <c r="S136" s="140">
        <f t="shared" si="164"/>
        <v>7.5280066979163032E-3</v>
      </c>
      <c r="T136" s="140">
        <f t="shared" si="164"/>
        <v>6.1433148635635345E-3</v>
      </c>
      <c r="U136" s="140">
        <f t="shared" si="164"/>
        <v>2.3976519119621276E-3</v>
      </c>
      <c r="V136" s="140">
        <f t="shared" si="164"/>
        <v>1.4518234788310292E-3</v>
      </c>
      <c r="W136" s="140">
        <f t="shared" si="164"/>
        <v>1.7380108817669118E-3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4.5578029425781173E-2</v>
      </c>
      <c r="C137" s="140">
        <f t="shared" ref="C137:W137" si="165">IF(C45=0,0,C45/C$34)</f>
        <v>5.6599606895512321E-2</v>
      </c>
      <c r="D137" s="140">
        <f t="shared" si="165"/>
        <v>6.2971257011470827E-2</v>
      </c>
      <c r="E137" s="140">
        <f t="shared" si="165"/>
        <v>7.5205853047049978E-2</v>
      </c>
      <c r="F137" s="140">
        <f t="shared" si="165"/>
        <v>6.8400317321313797E-2</v>
      </c>
      <c r="G137" s="140">
        <f t="shared" si="165"/>
        <v>7.6362575432502897E-2</v>
      </c>
      <c r="H137" s="140">
        <f t="shared" si="165"/>
        <v>7.0071344541239297E-2</v>
      </c>
      <c r="I137" s="140">
        <f t="shared" si="165"/>
        <v>7.2884932244612427E-2</v>
      </c>
      <c r="J137" s="140">
        <f t="shared" si="165"/>
        <v>8.073575660968535E-2</v>
      </c>
      <c r="K137" s="140">
        <f t="shared" si="165"/>
        <v>5.7406283033395934E-2</v>
      </c>
      <c r="L137" s="140">
        <f t="shared" si="165"/>
        <v>6.4003820409963705E-2</v>
      </c>
      <c r="M137" s="140">
        <f t="shared" si="165"/>
        <v>6.5196642836767502E-2</v>
      </c>
      <c r="N137" s="140">
        <f t="shared" si="165"/>
        <v>5.9353527247370134E-2</v>
      </c>
      <c r="O137" s="140">
        <f t="shared" si="165"/>
        <v>6.4485332334556653E-2</v>
      </c>
      <c r="P137" s="140">
        <f t="shared" si="165"/>
        <v>6.0609806807560333E-2</v>
      </c>
      <c r="Q137" s="140">
        <f t="shared" si="165"/>
        <v>5.7039071455268209E-2</v>
      </c>
      <c r="R137" s="140">
        <f t="shared" si="165"/>
        <v>6.7544719439957712E-2</v>
      </c>
      <c r="S137" s="140">
        <f t="shared" si="165"/>
        <v>7.4610894431679745E-2</v>
      </c>
      <c r="T137" s="140">
        <f t="shared" si="165"/>
        <v>7.7092367108496637E-2</v>
      </c>
      <c r="U137" s="140">
        <f t="shared" si="165"/>
        <v>6.791650814630866E-2</v>
      </c>
      <c r="V137" s="140">
        <f t="shared" si="165"/>
        <v>4.0911373423751535E-2</v>
      </c>
      <c r="W137" s="140">
        <f t="shared" si="165"/>
        <v>4.5924828918945733E-2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8.9628865442976709E-3</v>
      </c>
      <c r="C138" s="140">
        <f t="shared" ref="C138:W138" si="166">IF(C46=0,0,C46/C$34)</f>
        <v>1.1129475256859509E-2</v>
      </c>
      <c r="D138" s="140">
        <f t="shared" si="166"/>
        <v>1.2383685791158353E-2</v>
      </c>
      <c r="E138" s="140">
        <f t="shared" si="166"/>
        <v>1.4786051844386099E-2</v>
      </c>
      <c r="F138" s="140">
        <f t="shared" si="166"/>
        <v>1.3448302147935869E-2</v>
      </c>
      <c r="G138" s="140">
        <f t="shared" si="166"/>
        <v>1.4026575541100542E-2</v>
      </c>
      <c r="H138" s="140">
        <f t="shared" si="166"/>
        <v>1.1822061712990727E-2</v>
      </c>
      <c r="I138" s="140">
        <f t="shared" si="166"/>
        <v>1.2091503935392572E-2</v>
      </c>
      <c r="J138" s="140">
        <f t="shared" si="166"/>
        <v>1.381157844050494E-2</v>
      </c>
      <c r="K138" s="140">
        <f t="shared" si="166"/>
        <v>1.0678931305898464E-2</v>
      </c>
      <c r="L138" s="140">
        <f t="shared" si="166"/>
        <v>1.2158867573158941E-2</v>
      </c>
      <c r="M138" s="140">
        <f t="shared" si="166"/>
        <v>1.2328427211296291E-2</v>
      </c>
      <c r="N138" s="140">
        <f t="shared" si="166"/>
        <v>1.1408332169284083E-2</v>
      </c>
      <c r="O138" s="140">
        <f t="shared" si="166"/>
        <v>1.2253568332289527E-2</v>
      </c>
      <c r="P138" s="140">
        <f t="shared" si="166"/>
        <v>1.1407145492360229E-2</v>
      </c>
      <c r="Q138" s="140">
        <f t="shared" si="166"/>
        <v>1.051979768882689E-2</v>
      </c>
      <c r="R138" s="140">
        <f t="shared" si="166"/>
        <v>1.1003409843818595E-2</v>
      </c>
      <c r="S138" s="140">
        <f t="shared" si="166"/>
        <v>1.1206277595074008E-2</v>
      </c>
      <c r="T138" s="140">
        <f t="shared" si="166"/>
        <v>1.1682386415840657E-2</v>
      </c>
      <c r="U138" s="140">
        <f t="shared" si="166"/>
        <v>1.0457749962747332E-2</v>
      </c>
      <c r="V138" s="140">
        <f t="shared" si="166"/>
        <v>8.7567975887697398E-3</v>
      </c>
      <c r="W138" s="140">
        <f t="shared" si="166"/>
        <v>8.9679421127295701E-3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0.88926193029606027</v>
      </c>
      <c r="C140" s="139">
        <f t="shared" ref="C140:W140" si="169">IF(C48=0,0,C48/C$47)</f>
        <v>0.90470283339722735</v>
      </c>
      <c r="D140" s="139">
        <f t="shared" si="169"/>
        <v>0.90146462579721787</v>
      </c>
      <c r="E140" s="139">
        <f t="shared" si="169"/>
        <v>0.92451399366444031</v>
      </c>
      <c r="F140" s="139">
        <f t="shared" si="169"/>
        <v>0.92442725544762216</v>
      </c>
      <c r="G140" s="139">
        <f t="shared" si="169"/>
        <v>0.92784480856648643</v>
      </c>
      <c r="H140" s="139">
        <f t="shared" si="169"/>
        <v>0.93511136856395638</v>
      </c>
      <c r="I140" s="139">
        <f t="shared" si="169"/>
        <v>0.93387714979365932</v>
      </c>
      <c r="J140" s="139">
        <f t="shared" si="169"/>
        <v>0.90778756897650115</v>
      </c>
      <c r="K140" s="139">
        <f t="shared" si="169"/>
        <v>0.8696534135414854</v>
      </c>
      <c r="L140" s="139">
        <f t="shared" si="169"/>
        <v>0.86521051742489152</v>
      </c>
      <c r="M140" s="139">
        <f t="shared" si="169"/>
        <v>0.8914520638297373</v>
      </c>
      <c r="N140" s="139">
        <f t="shared" si="169"/>
        <v>0.88753626908485872</v>
      </c>
      <c r="O140" s="139">
        <f t="shared" si="169"/>
        <v>0.88254153130440594</v>
      </c>
      <c r="P140" s="139">
        <f t="shared" si="169"/>
        <v>0.88704434604050308</v>
      </c>
      <c r="Q140" s="139">
        <f t="shared" si="169"/>
        <v>0.87629144493196298</v>
      </c>
      <c r="R140" s="139">
        <f t="shared" si="169"/>
        <v>0.88162733331997278</v>
      </c>
      <c r="S140" s="139">
        <f t="shared" si="169"/>
        <v>0.87968534325740477</v>
      </c>
      <c r="T140" s="139">
        <f t="shared" si="169"/>
        <v>0.86697178488004267</v>
      </c>
      <c r="U140" s="139">
        <f t="shared" si="169"/>
        <v>0.83322437143616912</v>
      </c>
      <c r="V140" s="139">
        <f t="shared" si="169"/>
        <v>0.82959664288360091</v>
      </c>
      <c r="W140" s="139">
        <f t="shared" si="169"/>
        <v>0.96492000687916168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0.34724423226399953</v>
      </c>
      <c r="C141" s="140">
        <f t="shared" ref="C141:W141" si="170">IF(C49=0,0,C49/C$47)</f>
        <v>0.31233416993704383</v>
      </c>
      <c r="D141" s="140">
        <f t="shared" si="170"/>
        <v>0.33111545881783866</v>
      </c>
      <c r="E141" s="140">
        <f t="shared" si="170"/>
        <v>0.25446294206489983</v>
      </c>
      <c r="F141" s="140">
        <f t="shared" si="170"/>
        <v>0.257324686169073</v>
      </c>
      <c r="G141" s="140">
        <f t="shared" si="170"/>
        <v>0.22184208097745156</v>
      </c>
      <c r="H141" s="140">
        <f t="shared" si="170"/>
        <v>0.23393463000395445</v>
      </c>
      <c r="I141" s="140">
        <f t="shared" si="170"/>
        <v>0.27770090007987874</v>
      </c>
      <c r="J141" s="140">
        <f t="shared" si="170"/>
        <v>0.26834028397523485</v>
      </c>
      <c r="K141" s="140">
        <f t="shared" si="170"/>
        <v>0.29109966671485843</v>
      </c>
      <c r="L141" s="140">
        <f t="shared" si="170"/>
        <v>0.28995620917918247</v>
      </c>
      <c r="M141" s="140">
        <f t="shared" si="170"/>
        <v>0.31698270310714866</v>
      </c>
      <c r="N141" s="140">
        <f t="shared" si="170"/>
        <v>0.31778562337113408</v>
      </c>
      <c r="O141" s="140">
        <f t="shared" si="170"/>
        <v>0.33968201550885174</v>
      </c>
      <c r="P141" s="140">
        <f t="shared" si="170"/>
        <v>0.32730170130093289</v>
      </c>
      <c r="Q141" s="140">
        <f t="shared" si="170"/>
        <v>0.32202962146542846</v>
      </c>
      <c r="R141" s="140">
        <f t="shared" si="170"/>
        <v>0.31730658759393032</v>
      </c>
      <c r="S141" s="140">
        <f t="shared" si="170"/>
        <v>0.27345507632628679</v>
      </c>
      <c r="T141" s="140">
        <f t="shared" si="170"/>
        <v>0.27719424639820817</v>
      </c>
      <c r="U141" s="140">
        <f t="shared" si="170"/>
        <v>0.29271131795134808</v>
      </c>
      <c r="V141" s="140">
        <f t="shared" si="170"/>
        <v>0.25957578215003113</v>
      </c>
      <c r="W141" s="140">
        <f t="shared" si="170"/>
        <v>0.25477323042855399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0.54201769803206068</v>
      </c>
      <c r="C142" s="140">
        <f t="shared" ref="C142:W142" si="171">IF(C50=0,0,C50/C$47)</f>
        <v>0.59236866346018346</v>
      </c>
      <c r="D142" s="140">
        <f t="shared" si="171"/>
        <v>0.57034916697937932</v>
      </c>
      <c r="E142" s="140">
        <f t="shared" si="171"/>
        <v>0.67005105159954037</v>
      </c>
      <c r="F142" s="140">
        <f t="shared" si="171"/>
        <v>0.66710256927854927</v>
      </c>
      <c r="G142" s="140">
        <f t="shared" si="171"/>
        <v>0.70600272758903493</v>
      </c>
      <c r="H142" s="140">
        <f t="shared" si="171"/>
        <v>0.70117673856000184</v>
      </c>
      <c r="I142" s="140">
        <f t="shared" si="171"/>
        <v>0.65617624971378052</v>
      </c>
      <c r="J142" s="140">
        <f t="shared" si="171"/>
        <v>0.63944728500126624</v>
      </c>
      <c r="K142" s="140">
        <f t="shared" si="171"/>
        <v>0.57855374682662697</v>
      </c>
      <c r="L142" s="140">
        <f t="shared" si="171"/>
        <v>0.57525430824570911</v>
      </c>
      <c r="M142" s="140">
        <f t="shared" si="171"/>
        <v>0.5744693607225887</v>
      </c>
      <c r="N142" s="140">
        <f t="shared" si="171"/>
        <v>0.56975064571372469</v>
      </c>
      <c r="O142" s="140">
        <f t="shared" si="171"/>
        <v>0.54285951579555425</v>
      </c>
      <c r="P142" s="140">
        <f t="shared" si="171"/>
        <v>0.55974264473957014</v>
      </c>
      <c r="Q142" s="140">
        <f t="shared" si="171"/>
        <v>0.55426182346653452</v>
      </c>
      <c r="R142" s="140">
        <f t="shared" si="171"/>
        <v>0.56432074572604252</v>
      </c>
      <c r="S142" s="140">
        <f t="shared" si="171"/>
        <v>0.60623026693111792</v>
      </c>
      <c r="T142" s="140">
        <f t="shared" si="171"/>
        <v>0.58977753848183434</v>
      </c>
      <c r="U142" s="140">
        <f t="shared" si="171"/>
        <v>0.54051305348482104</v>
      </c>
      <c r="V142" s="140">
        <f t="shared" si="171"/>
        <v>0.57002086073356983</v>
      </c>
      <c r="W142" s="140">
        <f t="shared" si="171"/>
        <v>0.71014677645060775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9.9172980791091367E-2</v>
      </c>
      <c r="C143" s="124">
        <f t="shared" ref="C143:W143" si="172">IF(C51=0,0,C51/C$47)</f>
        <v>8.3438668545591149E-2</v>
      </c>
      <c r="D143" s="124">
        <f t="shared" si="172"/>
        <v>8.3264410783922285E-2</v>
      </c>
      <c r="E143" s="124">
        <f t="shared" si="172"/>
        <v>6.2337410293084837E-2</v>
      </c>
      <c r="F143" s="124">
        <f t="shared" si="172"/>
        <v>5.6266778669398665E-2</v>
      </c>
      <c r="G143" s="124">
        <f t="shared" si="172"/>
        <v>5.2147685992668398E-2</v>
      </c>
      <c r="H143" s="124">
        <f t="shared" si="172"/>
        <v>4.6057074621444538E-2</v>
      </c>
      <c r="I143" s="124">
        <f t="shared" si="172"/>
        <v>4.6258582245995689E-2</v>
      </c>
      <c r="J143" s="124">
        <f t="shared" si="172"/>
        <v>4.4765063723554065E-2</v>
      </c>
      <c r="K143" s="124">
        <f t="shared" si="172"/>
        <v>2.8925248062575799E-2</v>
      </c>
      <c r="L143" s="124">
        <f t="shared" si="172"/>
        <v>2.6216042776809521E-2</v>
      </c>
      <c r="M143" s="124">
        <f t="shared" si="172"/>
        <v>2.5556596524181994E-2</v>
      </c>
      <c r="N143" s="124">
        <f t="shared" si="172"/>
        <v>2.2121997160897713E-2</v>
      </c>
      <c r="O143" s="124">
        <f t="shared" si="172"/>
        <v>2.077433250739202E-2</v>
      </c>
      <c r="P143" s="124">
        <f t="shared" si="172"/>
        <v>2.0102835661774128E-2</v>
      </c>
      <c r="Q143" s="124">
        <f t="shared" si="172"/>
        <v>2.1984775796560069E-2</v>
      </c>
      <c r="R143" s="124">
        <f t="shared" si="172"/>
        <v>2.0674607503858244E-2</v>
      </c>
      <c r="S143" s="124">
        <f t="shared" si="172"/>
        <v>2.2831414150156399E-2</v>
      </c>
      <c r="T143" s="124">
        <f t="shared" si="172"/>
        <v>2.2189958469695067E-2</v>
      </c>
      <c r="U143" s="124">
        <f t="shared" si="172"/>
        <v>2.6577258700737749E-2</v>
      </c>
      <c r="V143" s="124">
        <f t="shared" si="172"/>
        <v>2.7166025117802556E-2</v>
      </c>
      <c r="W143" s="124">
        <f t="shared" si="172"/>
        <v>2.866894997091245E-2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4.6549286331184535E-3</v>
      </c>
      <c r="C144" s="124">
        <f t="shared" ref="C144:W144" si="173">IF(C52=0,0,C52/C$47)</f>
        <v>3.2026481807832371E-3</v>
      </c>
      <c r="D144" s="124">
        <f t="shared" si="173"/>
        <v>3.7901130640971038E-3</v>
      </c>
      <c r="E144" s="124">
        <f t="shared" si="173"/>
        <v>3.0059851278151487E-3</v>
      </c>
      <c r="F144" s="124">
        <f t="shared" si="173"/>
        <v>2.9078616975517341E-3</v>
      </c>
      <c r="G144" s="124">
        <f t="shared" si="173"/>
        <v>3.5744933782135549E-3</v>
      </c>
      <c r="H144" s="124">
        <f t="shared" si="173"/>
        <v>3.572713694762435E-3</v>
      </c>
      <c r="I144" s="124">
        <f t="shared" si="173"/>
        <v>4.0496900081141898E-3</v>
      </c>
      <c r="J144" s="124">
        <f t="shared" si="173"/>
        <v>4.4344419090612567E-3</v>
      </c>
      <c r="K144" s="124">
        <f t="shared" si="173"/>
        <v>4.0309425554872881E-3</v>
      </c>
      <c r="L144" s="124">
        <f t="shared" si="173"/>
        <v>5.4985448078107785E-3</v>
      </c>
      <c r="M144" s="124">
        <f t="shared" si="173"/>
        <v>4.2791883936685324E-3</v>
      </c>
      <c r="N144" s="124">
        <f t="shared" si="173"/>
        <v>3.2328500468499569E-3</v>
      </c>
      <c r="O144" s="124">
        <f t="shared" si="173"/>
        <v>3.6254841552433711E-3</v>
      </c>
      <c r="P144" s="124">
        <f t="shared" si="173"/>
        <v>3.5559777892802012E-3</v>
      </c>
      <c r="Q144" s="124">
        <f t="shared" si="173"/>
        <v>4.2270840993849368E-3</v>
      </c>
      <c r="R144" s="124">
        <f t="shared" si="173"/>
        <v>4.0455247991213351E-3</v>
      </c>
      <c r="S144" s="124">
        <f t="shared" si="173"/>
        <v>4.7409833625769986E-3</v>
      </c>
      <c r="T144" s="124">
        <f t="shared" si="173"/>
        <v>4.3798007344810911E-3</v>
      </c>
      <c r="U144" s="124">
        <f t="shared" si="173"/>
        <v>4.3537623652300742E-3</v>
      </c>
      <c r="V144" s="124">
        <f t="shared" si="173"/>
        <v>7.6591034791235173E-3</v>
      </c>
      <c r="W144" s="124">
        <f t="shared" si="173"/>
        <v>6.2224798795432077E-3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3.8832587777086198E-3</v>
      </c>
      <c r="C146" s="140">
        <f t="shared" ref="C146:W146" si="175">IF(C54=0,0,C54/C$47)</f>
        <v>2.2392542052845593E-3</v>
      </c>
      <c r="D146" s="140">
        <f t="shared" si="175"/>
        <v>2.563190218971645E-3</v>
      </c>
      <c r="E146" s="140">
        <f t="shared" si="175"/>
        <v>1.9331078232400743E-3</v>
      </c>
      <c r="F146" s="140">
        <f t="shared" si="175"/>
        <v>1.8656946172476753E-3</v>
      </c>
      <c r="G146" s="140">
        <f t="shared" si="175"/>
        <v>2.2624467093678175E-3</v>
      </c>
      <c r="H146" s="140">
        <f t="shared" si="175"/>
        <v>2.3595907552941774E-3</v>
      </c>
      <c r="I146" s="140">
        <f t="shared" si="175"/>
        <v>2.8310502822388906E-3</v>
      </c>
      <c r="J146" s="140">
        <f t="shared" si="175"/>
        <v>3.4859315280657056E-3</v>
      </c>
      <c r="K146" s="140">
        <f t="shared" si="175"/>
        <v>2.5741369791036418E-3</v>
      </c>
      <c r="L146" s="140">
        <f t="shared" si="175"/>
        <v>2.8199764912992262E-3</v>
      </c>
      <c r="M146" s="140">
        <f t="shared" si="175"/>
        <v>2.629329260268585E-3</v>
      </c>
      <c r="N146" s="140">
        <f t="shared" si="175"/>
        <v>2.7268915599630273E-3</v>
      </c>
      <c r="O146" s="140">
        <f t="shared" si="175"/>
        <v>3.0928011264673596E-3</v>
      </c>
      <c r="P146" s="140">
        <f t="shared" si="175"/>
        <v>2.8960770831802456E-3</v>
      </c>
      <c r="Q146" s="140">
        <f t="shared" si="175"/>
        <v>2.7253876742100217E-3</v>
      </c>
      <c r="R146" s="140">
        <f t="shared" si="175"/>
        <v>2.5445690496531592E-3</v>
      </c>
      <c r="S146" s="140">
        <f t="shared" si="175"/>
        <v>2.8306217118506016E-3</v>
      </c>
      <c r="T146" s="140">
        <f t="shared" si="175"/>
        <v>3.0742318674109297E-3</v>
      </c>
      <c r="U146" s="140">
        <f t="shared" si="175"/>
        <v>3.640235471421463E-3</v>
      </c>
      <c r="V146" s="140">
        <f t="shared" si="175"/>
        <v>4.9603202289863601E-3</v>
      </c>
      <c r="W146" s="140">
        <f t="shared" si="175"/>
        <v>4.7585116872976294E-3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7.7166985540983379E-4</v>
      </c>
      <c r="C147" s="140">
        <f t="shared" ref="C147:W147" si="176">IF(C55=0,0,C55/C$47)</f>
        <v>9.6339397549867782E-4</v>
      </c>
      <c r="D147" s="140">
        <f t="shared" si="176"/>
        <v>1.2269228451254586E-3</v>
      </c>
      <c r="E147" s="140">
        <f t="shared" si="176"/>
        <v>1.0728773045750747E-3</v>
      </c>
      <c r="F147" s="140">
        <f t="shared" si="176"/>
        <v>1.0421670803040589E-3</v>
      </c>
      <c r="G147" s="140">
        <f t="shared" si="176"/>
        <v>1.3120466688457376E-3</v>
      </c>
      <c r="H147" s="140">
        <f t="shared" si="176"/>
        <v>1.2131229394682578E-3</v>
      </c>
      <c r="I147" s="140">
        <f t="shared" si="176"/>
        <v>1.218639725875299E-3</v>
      </c>
      <c r="J147" s="140">
        <f t="shared" si="176"/>
        <v>9.4851038099555147E-4</v>
      </c>
      <c r="K147" s="140">
        <f t="shared" si="176"/>
        <v>1.4568055763836464E-3</v>
      </c>
      <c r="L147" s="140">
        <f t="shared" si="176"/>
        <v>2.6785683165115527E-3</v>
      </c>
      <c r="M147" s="140">
        <f t="shared" si="176"/>
        <v>1.6498591333999467E-3</v>
      </c>
      <c r="N147" s="140">
        <f t="shared" si="176"/>
        <v>5.0595848688692979E-4</v>
      </c>
      <c r="O147" s="140">
        <f t="shared" si="176"/>
        <v>5.3268302877601135E-4</v>
      </c>
      <c r="P147" s="140">
        <f t="shared" si="176"/>
        <v>6.5990070609995557E-4</v>
      </c>
      <c r="Q147" s="140">
        <f t="shared" si="176"/>
        <v>1.5016964251749144E-3</v>
      </c>
      <c r="R147" s="140">
        <f t="shared" si="176"/>
        <v>1.5009557494681759E-3</v>
      </c>
      <c r="S147" s="140">
        <f t="shared" si="176"/>
        <v>1.9103616507263968E-3</v>
      </c>
      <c r="T147" s="140">
        <f t="shared" si="176"/>
        <v>1.3055688670701616E-3</v>
      </c>
      <c r="U147" s="140">
        <f t="shared" si="176"/>
        <v>7.1352689380861103E-4</v>
      </c>
      <c r="V147" s="140">
        <f t="shared" si="176"/>
        <v>2.6987832501371573E-3</v>
      </c>
      <c r="W147" s="140">
        <f t="shared" si="176"/>
        <v>1.4639681922455788E-3</v>
      </c>
      <c r="DA147" s="175"/>
    </row>
    <row r="148" spans="1:105" ht="11.45" customHeight="1" x14ac:dyDescent="0.25">
      <c r="A148" s="109" t="s">
        <v>142</v>
      </c>
      <c r="B148" s="124">
        <f t="shared" si="167"/>
        <v>6.9101602797300059E-3</v>
      </c>
      <c r="C148" s="124">
        <f t="shared" ref="C148:W148" si="177">IF(C56=0,0,C56/C$47)</f>
        <v>8.6558498763984332E-3</v>
      </c>
      <c r="D148" s="124">
        <f t="shared" si="177"/>
        <v>1.1480850354762829E-2</v>
      </c>
      <c r="E148" s="124">
        <f t="shared" si="177"/>
        <v>1.0142610914659629E-2</v>
      </c>
      <c r="F148" s="124">
        <f t="shared" si="177"/>
        <v>1.6398104185427309E-2</v>
      </c>
      <c r="G148" s="124">
        <f t="shared" si="177"/>
        <v>1.643301206263155E-2</v>
      </c>
      <c r="H148" s="124">
        <f t="shared" si="177"/>
        <v>1.5258843119836669E-2</v>
      </c>
      <c r="I148" s="124">
        <f t="shared" si="177"/>
        <v>1.5814577952230721E-2</v>
      </c>
      <c r="J148" s="124">
        <f t="shared" si="177"/>
        <v>4.3012925390883486E-2</v>
      </c>
      <c r="K148" s="124">
        <f t="shared" si="177"/>
        <v>9.7390395840451491E-2</v>
      </c>
      <c r="L148" s="124">
        <f t="shared" si="177"/>
        <v>0.10307489499048808</v>
      </c>
      <c r="M148" s="124">
        <f t="shared" si="177"/>
        <v>7.8712151252412307E-2</v>
      </c>
      <c r="N148" s="124">
        <f t="shared" si="177"/>
        <v>8.7108883707393572E-2</v>
      </c>
      <c r="O148" s="124">
        <f t="shared" si="177"/>
        <v>9.3058652032958683E-2</v>
      </c>
      <c r="P148" s="124">
        <f t="shared" si="177"/>
        <v>8.9296840508442429E-2</v>
      </c>
      <c r="Q148" s="124">
        <f t="shared" si="177"/>
        <v>9.7496695172091932E-2</v>
      </c>
      <c r="R148" s="124">
        <f t="shared" si="177"/>
        <v>9.3652534377047625E-2</v>
      </c>
      <c r="S148" s="124">
        <f t="shared" si="177"/>
        <v>9.2742259229861942E-2</v>
      </c>
      <c r="T148" s="124">
        <f t="shared" si="177"/>
        <v>0.10645845591578106</v>
      </c>
      <c r="U148" s="124">
        <f t="shared" si="177"/>
        <v>0.13584460749786306</v>
      </c>
      <c r="V148" s="124">
        <f t="shared" si="177"/>
        <v>0.13557822851947285</v>
      </c>
      <c r="W148" s="124">
        <f t="shared" si="177"/>
        <v>1.8856327038252921E-4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6.9101602797300059E-3</v>
      </c>
      <c r="C150" s="127">
        <f t="shared" ref="C150:W150" si="179">IF(C58=0,0,C58/C$47)</f>
        <v>8.6558498763984332E-3</v>
      </c>
      <c r="D150" s="127">
        <f t="shared" si="179"/>
        <v>1.1480850354762829E-2</v>
      </c>
      <c r="E150" s="127">
        <f t="shared" si="179"/>
        <v>1.0142610914659629E-2</v>
      </c>
      <c r="F150" s="127">
        <f t="shared" si="179"/>
        <v>1.6398104185427309E-2</v>
      </c>
      <c r="G150" s="127">
        <f t="shared" si="179"/>
        <v>1.643301206263155E-2</v>
      </c>
      <c r="H150" s="127">
        <f t="shared" si="179"/>
        <v>1.5258843119836669E-2</v>
      </c>
      <c r="I150" s="127">
        <f t="shared" si="179"/>
        <v>1.5814577952230721E-2</v>
      </c>
      <c r="J150" s="127">
        <f t="shared" si="179"/>
        <v>4.3012925390883486E-2</v>
      </c>
      <c r="K150" s="127">
        <f t="shared" si="179"/>
        <v>9.7390395840451491E-2</v>
      </c>
      <c r="L150" s="127">
        <f t="shared" si="179"/>
        <v>0.10307489499048808</v>
      </c>
      <c r="M150" s="127">
        <f t="shared" si="179"/>
        <v>7.8712151252412307E-2</v>
      </c>
      <c r="N150" s="127">
        <f t="shared" si="179"/>
        <v>8.7108883707393572E-2</v>
      </c>
      <c r="O150" s="127">
        <f t="shared" si="179"/>
        <v>9.3058652032958683E-2</v>
      </c>
      <c r="P150" s="127">
        <f t="shared" si="179"/>
        <v>8.9296840508442429E-2</v>
      </c>
      <c r="Q150" s="127">
        <f t="shared" si="179"/>
        <v>9.7496695172091932E-2</v>
      </c>
      <c r="R150" s="127">
        <f t="shared" si="179"/>
        <v>9.3652534377047625E-2</v>
      </c>
      <c r="S150" s="127">
        <f t="shared" si="179"/>
        <v>9.2742259229861942E-2</v>
      </c>
      <c r="T150" s="127">
        <f t="shared" si="179"/>
        <v>0.10645845591578106</v>
      </c>
      <c r="U150" s="127">
        <f t="shared" si="179"/>
        <v>0.13584460749786306</v>
      </c>
      <c r="V150" s="127">
        <f t="shared" si="179"/>
        <v>0.13557822851947285</v>
      </c>
      <c r="W150" s="127">
        <f t="shared" si="179"/>
        <v>1.8856327038252921E-4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0.41958452440462185</v>
      </c>
      <c r="C152" s="140">
        <f t="shared" ref="C152:W152" si="181">IF(C60=0,0,C60/C$59)</f>
        <v>0.41736630961826587</v>
      </c>
      <c r="D152" s="140">
        <f t="shared" si="181"/>
        <v>0.42338847105428984</v>
      </c>
      <c r="E152" s="140">
        <f t="shared" si="181"/>
        <v>0.33861231053610125</v>
      </c>
      <c r="F152" s="140">
        <f t="shared" si="181"/>
        <v>0.31560092193668732</v>
      </c>
      <c r="G152" s="140">
        <f t="shared" si="181"/>
        <v>0.31278492596371882</v>
      </c>
      <c r="H152" s="140">
        <f t="shared" si="181"/>
        <v>0.34247143157349602</v>
      </c>
      <c r="I152" s="140">
        <f t="shared" si="181"/>
        <v>0.26410704546026309</v>
      </c>
      <c r="J152" s="140">
        <f t="shared" si="181"/>
        <v>0.30265036551871705</v>
      </c>
      <c r="K152" s="140">
        <f t="shared" si="181"/>
        <v>0.44926852145371599</v>
      </c>
      <c r="L152" s="140">
        <f t="shared" si="181"/>
        <v>0.39795479082879814</v>
      </c>
      <c r="M152" s="140">
        <f t="shared" si="181"/>
        <v>0.43125589437646911</v>
      </c>
      <c r="N152" s="140">
        <f t="shared" si="181"/>
        <v>0.42848407360769741</v>
      </c>
      <c r="O152" s="140">
        <f t="shared" si="181"/>
        <v>0.44946264180205392</v>
      </c>
      <c r="P152" s="140">
        <f t="shared" si="181"/>
        <v>0.42624056257564596</v>
      </c>
      <c r="Q152" s="140">
        <f t="shared" si="181"/>
        <v>0.39809199539872203</v>
      </c>
      <c r="R152" s="140">
        <f t="shared" si="181"/>
        <v>0.43181076840914406</v>
      </c>
      <c r="S152" s="140">
        <f t="shared" si="181"/>
        <v>0.45339320861930138</v>
      </c>
      <c r="T152" s="140">
        <f t="shared" si="181"/>
        <v>0.46461155771952761</v>
      </c>
      <c r="U152" s="140">
        <f t="shared" si="181"/>
        <v>0.45174717646852908</v>
      </c>
      <c r="V152" s="140">
        <f t="shared" si="181"/>
        <v>0.41879316225130053</v>
      </c>
      <c r="W152" s="140">
        <f t="shared" si="181"/>
        <v>0.38425246174613331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0.58041547559537809</v>
      </c>
      <c r="C153" s="127">
        <f t="shared" ref="C153:W153" si="182">IF(C61=0,0,C61/C$59)</f>
        <v>0.58263369038173407</v>
      </c>
      <c r="D153" s="127">
        <f t="shared" si="182"/>
        <v>0.57661152894571022</v>
      </c>
      <c r="E153" s="127">
        <f t="shared" si="182"/>
        <v>0.66138768946389881</v>
      </c>
      <c r="F153" s="127">
        <f t="shared" si="182"/>
        <v>0.68439907806331268</v>
      </c>
      <c r="G153" s="127">
        <f t="shared" si="182"/>
        <v>0.68721507403628113</v>
      </c>
      <c r="H153" s="127">
        <f t="shared" si="182"/>
        <v>0.65752856842650398</v>
      </c>
      <c r="I153" s="127">
        <f t="shared" si="182"/>
        <v>0.73589295453973691</v>
      </c>
      <c r="J153" s="127">
        <f t="shared" si="182"/>
        <v>0.69734963448128295</v>
      </c>
      <c r="K153" s="127">
        <f t="shared" si="182"/>
        <v>0.55073147854628401</v>
      </c>
      <c r="L153" s="127">
        <f t="shared" si="182"/>
        <v>0.60204520917120186</v>
      </c>
      <c r="M153" s="127">
        <f t="shared" si="182"/>
        <v>0.56874410562353095</v>
      </c>
      <c r="N153" s="127">
        <f t="shared" si="182"/>
        <v>0.57151592639230253</v>
      </c>
      <c r="O153" s="127">
        <f t="shared" si="182"/>
        <v>0.55053735819794614</v>
      </c>
      <c r="P153" s="127">
        <f t="shared" si="182"/>
        <v>0.57375943742435409</v>
      </c>
      <c r="Q153" s="127">
        <f t="shared" si="182"/>
        <v>0.60190800460127802</v>
      </c>
      <c r="R153" s="127">
        <f t="shared" si="182"/>
        <v>0.56818923159085599</v>
      </c>
      <c r="S153" s="127">
        <f t="shared" si="182"/>
        <v>0.54660679138069868</v>
      </c>
      <c r="T153" s="127">
        <f t="shared" si="182"/>
        <v>0.53538844228047244</v>
      </c>
      <c r="U153" s="127">
        <f t="shared" si="182"/>
        <v>0.54825282353147087</v>
      </c>
      <c r="V153" s="127">
        <f t="shared" si="182"/>
        <v>0.58120683774869941</v>
      </c>
      <c r="W153" s="127">
        <f t="shared" si="182"/>
        <v>0.61574753825386663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0.9150143903748581</v>
      </c>
      <c r="C157" s="139">
        <f t="shared" ref="C157:W157" si="185">IF(C65=0,0,C65/C$64)</f>
        <v>0.88764698816550913</v>
      </c>
      <c r="D157" s="139">
        <f t="shared" si="185"/>
        <v>0.89559648227717015</v>
      </c>
      <c r="E157" s="139">
        <f t="shared" si="185"/>
        <v>0.88609060065080325</v>
      </c>
      <c r="F157" s="139">
        <f t="shared" si="185"/>
        <v>0.89789813282630737</v>
      </c>
      <c r="G157" s="139">
        <f t="shared" si="185"/>
        <v>0.89344537723131912</v>
      </c>
      <c r="H157" s="139">
        <f t="shared" si="185"/>
        <v>0.89610605687788336</v>
      </c>
      <c r="I157" s="139">
        <f t="shared" si="185"/>
        <v>0.88579025966222524</v>
      </c>
      <c r="J157" s="139">
        <f t="shared" si="185"/>
        <v>0.88908608825032764</v>
      </c>
      <c r="K157" s="139">
        <f t="shared" si="185"/>
        <v>0.91306197273078138</v>
      </c>
      <c r="L157" s="139">
        <f t="shared" si="185"/>
        <v>0.9077171170099112</v>
      </c>
      <c r="M157" s="139">
        <f t="shared" si="185"/>
        <v>0.90445497813934617</v>
      </c>
      <c r="N157" s="139">
        <f t="shared" si="185"/>
        <v>0.91334138336850057</v>
      </c>
      <c r="O157" s="139">
        <f t="shared" si="185"/>
        <v>0.90643247367626134</v>
      </c>
      <c r="P157" s="139">
        <f t="shared" si="185"/>
        <v>0.91567608694232072</v>
      </c>
      <c r="Q157" s="139">
        <f t="shared" si="185"/>
        <v>0.91817832391325072</v>
      </c>
      <c r="R157" s="139">
        <f t="shared" si="185"/>
        <v>0.90415370726036925</v>
      </c>
      <c r="S157" s="139">
        <f t="shared" si="185"/>
        <v>0.8962669265205927</v>
      </c>
      <c r="T157" s="139">
        <f t="shared" si="185"/>
        <v>0.89580957049414767</v>
      </c>
      <c r="U157" s="139">
        <f t="shared" si="185"/>
        <v>0.91093850854949554</v>
      </c>
      <c r="V157" s="139">
        <f t="shared" si="185"/>
        <v>0.94304377201596157</v>
      </c>
      <c r="W157" s="139">
        <f t="shared" si="185"/>
        <v>0.93770513935423649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8.4670670668449133E-3</v>
      </c>
      <c r="C158" s="140">
        <f t="shared" ref="C158:W158" si="186">IF(C66=0,0,C66/C$64)</f>
        <v>8.2493590944115128E-3</v>
      </c>
      <c r="D158" s="140">
        <f t="shared" si="186"/>
        <v>7.8672127934944474E-3</v>
      </c>
      <c r="E158" s="140">
        <f t="shared" si="186"/>
        <v>7.3371923630573014E-3</v>
      </c>
      <c r="F158" s="140">
        <f t="shared" si="186"/>
        <v>7.1518343697555154E-3</v>
      </c>
      <c r="G158" s="140">
        <f t="shared" si="186"/>
        <v>6.8815931296484943E-3</v>
      </c>
      <c r="H158" s="140">
        <f t="shared" si="186"/>
        <v>6.7098581782338894E-3</v>
      </c>
      <c r="I158" s="140">
        <f t="shared" si="186"/>
        <v>7.1715710740059314E-3</v>
      </c>
      <c r="J158" s="140">
        <f t="shared" si="186"/>
        <v>7.6212069108445935E-3</v>
      </c>
      <c r="K158" s="140">
        <f t="shared" si="186"/>
        <v>8.0960690678516488E-3</v>
      </c>
      <c r="L158" s="140">
        <f t="shared" si="186"/>
        <v>8.9208468387385748E-3</v>
      </c>
      <c r="M158" s="140">
        <f t="shared" si="186"/>
        <v>9.3169066143804005E-3</v>
      </c>
      <c r="N158" s="140">
        <f t="shared" si="186"/>
        <v>9.6554159932343443E-3</v>
      </c>
      <c r="O158" s="140">
        <f t="shared" si="186"/>
        <v>1.1280307880847504E-2</v>
      </c>
      <c r="P158" s="140">
        <f t="shared" si="186"/>
        <v>1.0245264275545998E-2</v>
      </c>
      <c r="Q158" s="140">
        <f t="shared" si="186"/>
        <v>9.6618313718563678E-3</v>
      </c>
      <c r="R158" s="140">
        <f t="shared" si="186"/>
        <v>9.8264061210332973E-3</v>
      </c>
      <c r="S158" s="140">
        <f t="shared" si="186"/>
        <v>9.1910268232676638E-3</v>
      </c>
      <c r="T158" s="140">
        <f t="shared" si="186"/>
        <v>8.2946645255886839E-3</v>
      </c>
      <c r="U158" s="140">
        <f t="shared" si="186"/>
        <v>8.3511350522970651E-3</v>
      </c>
      <c r="V158" s="140">
        <f t="shared" si="186"/>
        <v>8.5067600218195552E-3</v>
      </c>
      <c r="W158" s="140">
        <f t="shared" si="186"/>
        <v>7.6784295743396475E-3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0.70931593450462194</v>
      </c>
      <c r="C159" s="140">
        <f t="shared" ref="C159:W159" si="187">IF(C67=0,0,C67/C$64)</f>
        <v>0.68629004946748051</v>
      </c>
      <c r="D159" s="140">
        <f t="shared" si="187"/>
        <v>0.68423718156185798</v>
      </c>
      <c r="E159" s="140">
        <f t="shared" si="187"/>
        <v>0.71617707374743556</v>
      </c>
      <c r="F159" s="140">
        <f t="shared" si="187"/>
        <v>0.74657215500745544</v>
      </c>
      <c r="G159" s="140">
        <f t="shared" si="187"/>
        <v>0.74930754057314575</v>
      </c>
      <c r="H159" s="140">
        <f t="shared" si="187"/>
        <v>0.76529329832515669</v>
      </c>
      <c r="I159" s="140">
        <f t="shared" si="187"/>
        <v>0.74312605419992028</v>
      </c>
      <c r="J159" s="140">
        <f t="shared" si="187"/>
        <v>0.76421040787183936</v>
      </c>
      <c r="K159" s="140">
        <f t="shared" si="187"/>
        <v>0.78171834638764337</v>
      </c>
      <c r="L159" s="140">
        <f t="shared" si="187"/>
        <v>0.78364711615182547</v>
      </c>
      <c r="M159" s="140">
        <f t="shared" si="187"/>
        <v>0.7689641046035115</v>
      </c>
      <c r="N159" s="140">
        <f t="shared" si="187"/>
        <v>0.79598592300799553</v>
      </c>
      <c r="O159" s="140">
        <f t="shared" si="187"/>
        <v>0.78641165778770905</v>
      </c>
      <c r="P159" s="140">
        <f t="shared" si="187"/>
        <v>0.81079570391051681</v>
      </c>
      <c r="Q159" s="140">
        <f t="shared" si="187"/>
        <v>0.81445755615813453</v>
      </c>
      <c r="R159" s="140">
        <f t="shared" si="187"/>
        <v>0.80849760095734757</v>
      </c>
      <c r="S159" s="140">
        <f t="shared" si="187"/>
        <v>0.80930415205567319</v>
      </c>
      <c r="T159" s="140">
        <f t="shared" si="187"/>
        <v>0.81155281108834931</v>
      </c>
      <c r="U159" s="140">
        <f t="shared" si="187"/>
        <v>0.82328804789201493</v>
      </c>
      <c r="V159" s="140">
        <f t="shared" si="187"/>
        <v>0.84688309852107835</v>
      </c>
      <c r="W159" s="140">
        <f t="shared" si="187"/>
        <v>0.84958026490286487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0.19723138880339119</v>
      </c>
      <c r="C160" s="140">
        <f t="shared" ref="C160:W160" si="188">IF(C68=0,0,C68/C$64)</f>
        <v>0.19310757960361696</v>
      </c>
      <c r="D160" s="140">
        <f t="shared" si="188"/>
        <v>0.20349208792181778</v>
      </c>
      <c r="E160" s="140">
        <f t="shared" si="188"/>
        <v>0.16257633454031031</v>
      </c>
      <c r="F160" s="140">
        <f t="shared" si="188"/>
        <v>0.14417414344909649</v>
      </c>
      <c r="G160" s="140">
        <f t="shared" si="188"/>
        <v>0.13725624352852472</v>
      </c>
      <c r="H160" s="140">
        <f t="shared" si="188"/>
        <v>0.12410290037449287</v>
      </c>
      <c r="I160" s="140">
        <f t="shared" si="188"/>
        <v>0.13549263438829898</v>
      </c>
      <c r="J160" s="140">
        <f t="shared" si="188"/>
        <v>0.11725447346764373</v>
      </c>
      <c r="K160" s="140">
        <f t="shared" si="188"/>
        <v>0.12324755727528629</v>
      </c>
      <c r="L160" s="140">
        <f t="shared" si="188"/>
        <v>0.11514915401934724</v>
      </c>
      <c r="M160" s="140">
        <f t="shared" si="188"/>
        <v>0.12617396692145422</v>
      </c>
      <c r="N160" s="140">
        <f t="shared" si="188"/>
        <v>0.10770004436727076</v>
      </c>
      <c r="O160" s="140">
        <f t="shared" si="188"/>
        <v>0.10874050800770475</v>
      </c>
      <c r="P160" s="140">
        <f t="shared" si="188"/>
        <v>9.4635118756257894E-2</v>
      </c>
      <c r="Q160" s="140">
        <f t="shared" si="188"/>
        <v>9.4058936383259781E-2</v>
      </c>
      <c r="R160" s="140">
        <f t="shared" si="188"/>
        <v>8.5829700181988294E-2</v>
      </c>
      <c r="S160" s="140">
        <f t="shared" si="188"/>
        <v>7.77717476416519E-2</v>
      </c>
      <c r="T160" s="140">
        <f t="shared" si="188"/>
        <v>7.5962094880209802E-2</v>
      </c>
      <c r="U160" s="140">
        <f t="shared" si="188"/>
        <v>7.9299325605183546E-2</v>
      </c>
      <c r="V160" s="140">
        <f t="shared" si="188"/>
        <v>8.7653913473063672E-2</v>
      </c>
      <c r="W160" s="140">
        <f t="shared" si="188"/>
        <v>8.0446444877031925E-2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1.3208942943893139E-2</v>
      </c>
      <c r="C161" s="124">
        <f t="shared" ref="C161:W161" si="189">IF(C69=0,0,C69/C$64)</f>
        <v>1.0566492817866389E-2</v>
      </c>
      <c r="D161" s="124">
        <f t="shared" si="189"/>
        <v>8.4968253086464517E-3</v>
      </c>
      <c r="E161" s="124">
        <f t="shared" si="189"/>
        <v>6.2849847337281776E-3</v>
      </c>
      <c r="F161" s="124">
        <f t="shared" si="189"/>
        <v>6.2661465469104798E-3</v>
      </c>
      <c r="G161" s="124">
        <f t="shared" si="189"/>
        <v>6.1546083867029576E-3</v>
      </c>
      <c r="H161" s="124">
        <f t="shared" si="189"/>
        <v>7.076062964775769E-3</v>
      </c>
      <c r="I161" s="124">
        <f t="shared" si="189"/>
        <v>6.1181086340102555E-3</v>
      </c>
      <c r="J161" s="124">
        <f t="shared" si="189"/>
        <v>7.1557266296589138E-3</v>
      </c>
      <c r="K161" s="124">
        <f t="shared" si="189"/>
        <v>5.1506664269560364E-3</v>
      </c>
      <c r="L161" s="124">
        <f t="shared" si="189"/>
        <v>5.6602661028215366E-3</v>
      </c>
      <c r="M161" s="124">
        <f t="shared" si="189"/>
        <v>4.9066217923541371E-3</v>
      </c>
      <c r="N161" s="124">
        <f t="shared" si="189"/>
        <v>6.7193734453092633E-3</v>
      </c>
      <c r="O161" s="124">
        <f t="shared" si="189"/>
        <v>4.7129286016334522E-3</v>
      </c>
      <c r="P161" s="124">
        <f t="shared" si="189"/>
        <v>2.9650386231289566E-3</v>
      </c>
      <c r="Q161" s="124">
        <f t="shared" si="189"/>
        <v>3.296715051158413E-3</v>
      </c>
      <c r="R161" s="124">
        <f t="shared" si="189"/>
        <v>2.9835290175722496E-3</v>
      </c>
      <c r="S161" s="124">
        <f t="shared" si="189"/>
        <v>2.9217518757491665E-3</v>
      </c>
      <c r="T161" s="124">
        <f t="shared" si="189"/>
        <v>2.2293929117321179E-3</v>
      </c>
      <c r="U161" s="124">
        <f t="shared" si="189"/>
        <v>2.00042635798543E-3</v>
      </c>
      <c r="V161" s="124">
        <f t="shared" si="189"/>
        <v>1.6183529174253212E-3</v>
      </c>
      <c r="W161" s="124">
        <f t="shared" si="189"/>
        <v>1.5674483367488902E-3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1.3208942943893139E-2</v>
      </c>
      <c r="C163" s="140">
        <f t="shared" ref="C163:W163" si="191">IF(C71=0,0,C71/C$64)</f>
        <v>1.0566492817866389E-2</v>
      </c>
      <c r="D163" s="140">
        <f t="shared" si="191"/>
        <v>8.4968253086464517E-3</v>
      </c>
      <c r="E163" s="140">
        <f t="shared" si="191"/>
        <v>6.2849847337281776E-3</v>
      </c>
      <c r="F163" s="140">
        <f t="shared" si="191"/>
        <v>6.2661465469104798E-3</v>
      </c>
      <c r="G163" s="140">
        <f t="shared" si="191"/>
        <v>6.1546083867029576E-3</v>
      </c>
      <c r="H163" s="140">
        <f t="shared" si="191"/>
        <v>7.076062964775769E-3</v>
      </c>
      <c r="I163" s="140">
        <f t="shared" si="191"/>
        <v>6.1181086340102555E-3</v>
      </c>
      <c r="J163" s="140">
        <f t="shared" si="191"/>
        <v>7.1557266296589138E-3</v>
      </c>
      <c r="K163" s="140">
        <f t="shared" si="191"/>
        <v>5.1506664269560364E-3</v>
      </c>
      <c r="L163" s="140">
        <f t="shared" si="191"/>
        <v>5.6602661028215366E-3</v>
      </c>
      <c r="M163" s="140">
        <f t="shared" si="191"/>
        <v>4.9066217923541371E-3</v>
      </c>
      <c r="N163" s="140">
        <f t="shared" si="191"/>
        <v>6.7193734453092633E-3</v>
      </c>
      <c r="O163" s="140">
        <f t="shared" si="191"/>
        <v>4.7129286016334522E-3</v>
      </c>
      <c r="P163" s="140">
        <f t="shared" si="191"/>
        <v>2.9650386231289566E-3</v>
      </c>
      <c r="Q163" s="140">
        <f t="shared" si="191"/>
        <v>3.296715051158413E-3</v>
      </c>
      <c r="R163" s="140">
        <f t="shared" si="191"/>
        <v>2.9835290175722496E-3</v>
      </c>
      <c r="S163" s="140">
        <f t="shared" si="191"/>
        <v>2.9217518757491665E-3</v>
      </c>
      <c r="T163" s="140">
        <f t="shared" si="191"/>
        <v>2.2293929117321179E-3</v>
      </c>
      <c r="U163" s="140">
        <f t="shared" si="191"/>
        <v>2.00042635798543E-3</v>
      </c>
      <c r="V163" s="140">
        <f t="shared" si="191"/>
        <v>1.6183529174253212E-3</v>
      </c>
      <c r="W163" s="140">
        <f t="shared" si="191"/>
        <v>1.5674483367488902E-3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7.1776666681248713E-2</v>
      </c>
      <c r="C165" s="124">
        <f t="shared" ref="C165:W165" si="193">IF(C73=0,0,C73/C$64)</f>
        <v>0.10178651901662457</v>
      </c>
      <c r="D165" s="124">
        <f t="shared" si="193"/>
        <v>9.5906692414183398E-2</v>
      </c>
      <c r="E165" s="124">
        <f t="shared" si="193"/>
        <v>0.10762441461546848</v>
      </c>
      <c r="F165" s="124">
        <f t="shared" si="193"/>
        <v>9.583572062678207E-2</v>
      </c>
      <c r="G165" s="124">
        <f t="shared" si="193"/>
        <v>0.10040001438197795</v>
      </c>
      <c r="H165" s="124">
        <f t="shared" si="193"/>
        <v>9.681788015734083E-2</v>
      </c>
      <c r="I165" s="124">
        <f t="shared" si="193"/>
        <v>0.10809163170376462</v>
      </c>
      <c r="J165" s="124">
        <f t="shared" si="193"/>
        <v>0.10375818512001339</v>
      </c>
      <c r="K165" s="124">
        <f t="shared" si="193"/>
        <v>8.1787360842262555E-2</v>
      </c>
      <c r="L165" s="124">
        <f t="shared" si="193"/>
        <v>8.6622616887267329E-2</v>
      </c>
      <c r="M165" s="124">
        <f t="shared" si="193"/>
        <v>9.0638400068299679E-2</v>
      </c>
      <c r="N165" s="124">
        <f t="shared" si="193"/>
        <v>7.9939243186190237E-2</v>
      </c>
      <c r="O165" s="124">
        <f t="shared" si="193"/>
        <v>8.8854597722105189E-2</v>
      </c>
      <c r="P165" s="124">
        <f t="shared" si="193"/>
        <v>8.1358874434550268E-2</v>
      </c>
      <c r="Q165" s="124">
        <f t="shared" si="193"/>
        <v>7.8524961035590965E-2</v>
      </c>
      <c r="R165" s="124">
        <f t="shared" si="193"/>
        <v>9.2862763722058483E-2</v>
      </c>
      <c r="S165" s="124">
        <f t="shared" si="193"/>
        <v>0.10081132160365822</v>
      </c>
      <c r="T165" s="124">
        <f t="shared" si="193"/>
        <v>0.10196103659412022</v>
      </c>
      <c r="U165" s="124">
        <f t="shared" si="193"/>
        <v>8.7061065092518972E-2</v>
      </c>
      <c r="V165" s="124">
        <f t="shared" si="193"/>
        <v>5.5337875066613092E-2</v>
      </c>
      <c r="W165" s="124">
        <f t="shared" si="193"/>
        <v>6.0727412309014593E-2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1.489520013338275E-2</v>
      </c>
      <c r="C166" s="140">
        <f t="shared" ref="C166:W166" si="194">IF(C74=0,0,C74/C$64)</f>
        <v>3.1134644577245518E-2</v>
      </c>
      <c r="D166" s="140">
        <f t="shared" si="194"/>
        <v>1.7110328439373886E-2</v>
      </c>
      <c r="E166" s="140">
        <f t="shared" si="194"/>
        <v>1.4012541893460928E-2</v>
      </c>
      <c r="F166" s="140">
        <f t="shared" si="194"/>
        <v>1.0941079945508338E-2</v>
      </c>
      <c r="G166" s="140">
        <f t="shared" si="194"/>
        <v>6.7295761549851655E-3</v>
      </c>
      <c r="H166" s="140">
        <f t="shared" si="194"/>
        <v>1.1805911325388692E-2</v>
      </c>
      <c r="I166" s="140">
        <f t="shared" si="194"/>
        <v>2.0132596138738881E-2</v>
      </c>
      <c r="J166" s="140">
        <f t="shared" si="194"/>
        <v>6.2339825227363714E-3</v>
      </c>
      <c r="K166" s="140">
        <f t="shared" si="194"/>
        <v>1.1143846588491798E-2</v>
      </c>
      <c r="L166" s="140">
        <f t="shared" si="194"/>
        <v>7.421796828379003E-3</v>
      </c>
      <c r="M166" s="140">
        <f t="shared" si="194"/>
        <v>1.0362081713967014E-2</v>
      </c>
      <c r="N166" s="140">
        <f t="shared" si="194"/>
        <v>5.2277625856949001E-3</v>
      </c>
      <c r="O166" s="140">
        <f t="shared" si="194"/>
        <v>6.4575488646284014E-3</v>
      </c>
      <c r="P166" s="140">
        <f t="shared" si="194"/>
        <v>4.2565826577272261E-3</v>
      </c>
      <c r="Q166" s="140">
        <f t="shared" si="194"/>
        <v>5.5997365454110229E-3</v>
      </c>
      <c r="R166" s="140">
        <f t="shared" si="194"/>
        <v>7.8985156095619791E-3</v>
      </c>
      <c r="S166" s="140">
        <f t="shared" si="194"/>
        <v>8.1255136021933985E-3</v>
      </c>
      <c r="T166" s="140">
        <f t="shared" si="194"/>
        <v>6.5953858135251175E-3</v>
      </c>
      <c r="U166" s="140">
        <f t="shared" si="194"/>
        <v>2.5819736037301566E-3</v>
      </c>
      <c r="V166" s="140">
        <f t="shared" si="194"/>
        <v>1.5699496432342234E-3</v>
      </c>
      <c r="W166" s="140">
        <f t="shared" si="194"/>
        <v>1.8614383504227858E-3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4.753394969608675E-2</v>
      </c>
      <c r="C167" s="140">
        <f t="shared" ref="C167:W167" si="195">IF(C75=0,0,C75/C$64)</f>
        <v>5.9042115921541558E-2</v>
      </c>
      <c r="D167" s="140">
        <f t="shared" si="195"/>
        <v>6.5847121673536818E-2</v>
      </c>
      <c r="E167" s="140">
        <f t="shared" si="195"/>
        <v>7.8231044802124325E-2</v>
      </c>
      <c r="F167" s="140">
        <f t="shared" si="195"/>
        <v>7.094585588776664E-2</v>
      </c>
      <c r="G167" s="140">
        <f t="shared" si="195"/>
        <v>7.9134672998457778E-2</v>
      </c>
      <c r="H167" s="140">
        <f t="shared" si="195"/>
        <v>7.273971410665464E-2</v>
      </c>
      <c r="I167" s="140">
        <f t="shared" si="195"/>
        <v>7.5443130303537498E-2</v>
      </c>
      <c r="J167" s="140">
        <f t="shared" si="195"/>
        <v>8.3277760079304888E-2</v>
      </c>
      <c r="K167" s="140">
        <f t="shared" si="195"/>
        <v>5.9563322419992723E-2</v>
      </c>
      <c r="L167" s="140">
        <f t="shared" si="195"/>
        <v>6.6556934866771569E-2</v>
      </c>
      <c r="M167" s="140">
        <f t="shared" si="195"/>
        <v>6.7510373776550808E-2</v>
      </c>
      <c r="N167" s="140">
        <f t="shared" si="195"/>
        <v>6.2666384632470609E-2</v>
      </c>
      <c r="O167" s="140">
        <f t="shared" si="195"/>
        <v>6.9239994745672218E-2</v>
      </c>
      <c r="P167" s="140">
        <f t="shared" si="195"/>
        <v>6.4889652502256021E-2</v>
      </c>
      <c r="Q167" s="140">
        <f t="shared" si="195"/>
        <v>6.1569815233510503E-2</v>
      </c>
      <c r="R167" s="140">
        <f t="shared" si="195"/>
        <v>7.3062036658470358E-2</v>
      </c>
      <c r="S167" s="140">
        <f t="shared" si="195"/>
        <v>8.0582602208755405E-2</v>
      </c>
      <c r="T167" s="140">
        <f t="shared" si="195"/>
        <v>8.2815929840940772E-2</v>
      </c>
      <c r="U167" s="140">
        <f t="shared" si="195"/>
        <v>7.3206752366414052E-2</v>
      </c>
      <c r="V167" s="140">
        <f t="shared" si="195"/>
        <v>4.4288316448409797E-2</v>
      </c>
      <c r="W167" s="140">
        <f t="shared" si="195"/>
        <v>4.9248921713853151E-2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9.3475168517792098E-3</v>
      </c>
      <c r="C168" s="140">
        <f t="shared" ref="C168:W168" si="196">IF(C76=0,0,C76/C$64)</f>
        <v>1.1609758517837489E-2</v>
      </c>
      <c r="D168" s="140">
        <f t="shared" si="196"/>
        <v>1.2949242301272701E-2</v>
      </c>
      <c r="E168" s="140">
        <f t="shared" si="196"/>
        <v>1.5380827919883232E-2</v>
      </c>
      <c r="F168" s="140">
        <f t="shared" si="196"/>
        <v>1.3948784793507078E-2</v>
      </c>
      <c r="G168" s="140">
        <f t="shared" si="196"/>
        <v>1.4535765228535008E-2</v>
      </c>
      <c r="H168" s="140">
        <f t="shared" si="196"/>
        <v>1.2272254725297506E-2</v>
      </c>
      <c r="I168" s="140">
        <f t="shared" si="196"/>
        <v>1.2515905261488236E-2</v>
      </c>
      <c r="J168" s="140">
        <f t="shared" si="196"/>
        <v>1.4246442517972125E-2</v>
      </c>
      <c r="K168" s="140">
        <f t="shared" si="196"/>
        <v>1.1080191833778032E-2</v>
      </c>
      <c r="L168" s="140">
        <f t="shared" si="196"/>
        <v>1.2643885192116762E-2</v>
      </c>
      <c r="M168" s="140">
        <f t="shared" si="196"/>
        <v>1.2765944577781858E-2</v>
      </c>
      <c r="N168" s="140">
        <f t="shared" si="196"/>
        <v>1.2045095968024739E-2</v>
      </c>
      <c r="O168" s="140">
        <f t="shared" si="196"/>
        <v>1.3157054111804562E-2</v>
      </c>
      <c r="P168" s="140">
        <f t="shared" si="196"/>
        <v>1.2212639274567028E-2</v>
      </c>
      <c r="Q168" s="140">
        <f t="shared" si="196"/>
        <v>1.1355409256669443E-2</v>
      </c>
      <c r="R168" s="140">
        <f t="shared" si="196"/>
        <v>1.1902211454026156E-2</v>
      </c>
      <c r="S168" s="140">
        <f t="shared" si="196"/>
        <v>1.2103205792709414E-2</v>
      </c>
      <c r="T168" s="140">
        <f t="shared" si="196"/>
        <v>1.2549720939654337E-2</v>
      </c>
      <c r="U168" s="140">
        <f t="shared" si="196"/>
        <v>1.1272339122374769E-2</v>
      </c>
      <c r="V168" s="140">
        <f t="shared" si="196"/>
        <v>9.4796089749690712E-3</v>
      </c>
      <c r="W168" s="140">
        <f t="shared" si="196"/>
        <v>9.6170522447386469E-3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0.9282901584134533</v>
      </c>
      <c r="C170" s="139">
        <f t="shared" ref="C170:W170" si="199">IF(C78=0,0,C78/C$77)</f>
        <v>0.93860436966825667</v>
      </c>
      <c r="D170" s="139">
        <f t="shared" si="199"/>
        <v>0.93306615902324819</v>
      </c>
      <c r="E170" s="139">
        <f t="shared" si="199"/>
        <v>0.95056087978134041</v>
      </c>
      <c r="F170" s="139">
        <f t="shared" si="199"/>
        <v>0.94749053811362716</v>
      </c>
      <c r="G170" s="139">
        <f t="shared" si="199"/>
        <v>0.94992269872282564</v>
      </c>
      <c r="H170" s="139">
        <f t="shared" si="199"/>
        <v>0.9567559152437346</v>
      </c>
      <c r="I170" s="139">
        <f t="shared" si="199"/>
        <v>0.95591806776461852</v>
      </c>
      <c r="J170" s="139">
        <f t="shared" si="199"/>
        <v>0.92299341775631571</v>
      </c>
      <c r="K170" s="139">
        <f t="shared" si="199"/>
        <v>0.87976689756086468</v>
      </c>
      <c r="L170" s="139">
        <f t="shared" si="199"/>
        <v>0.87315293240644154</v>
      </c>
      <c r="M170" s="139">
        <f t="shared" si="199"/>
        <v>0.90013070042275034</v>
      </c>
      <c r="N170" s="139">
        <f t="shared" si="199"/>
        <v>0.8897811982118915</v>
      </c>
      <c r="O170" s="139">
        <f t="shared" si="199"/>
        <v>0.8854443173241201</v>
      </c>
      <c r="P170" s="139">
        <f t="shared" si="199"/>
        <v>0.8903372037246331</v>
      </c>
      <c r="Q170" s="139">
        <f t="shared" si="199"/>
        <v>0.87773934061912329</v>
      </c>
      <c r="R170" s="139">
        <f t="shared" si="199"/>
        <v>0.88500595784343639</v>
      </c>
      <c r="S170" s="139">
        <f t="shared" si="199"/>
        <v>0.88397470889284113</v>
      </c>
      <c r="T170" s="139">
        <f t="shared" si="199"/>
        <v>0.87173449198419684</v>
      </c>
      <c r="U170" s="139">
        <f t="shared" si="199"/>
        <v>0.83992774824424354</v>
      </c>
      <c r="V170" s="139">
        <f t="shared" si="199"/>
        <v>0.83522350573185045</v>
      </c>
      <c r="W170" s="139">
        <f t="shared" si="199"/>
        <v>0.98253418587371688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0.35911300339275343</v>
      </c>
      <c r="C171" s="140">
        <f t="shared" ref="C171:W171" si="200">IF(C79=0,0,C79/C$77)</f>
        <v>0.32064125126644039</v>
      </c>
      <c r="D171" s="140">
        <f t="shared" si="200"/>
        <v>0.3392469851368472</v>
      </c>
      <c r="E171" s="140">
        <f t="shared" si="200"/>
        <v>0.25871083964521141</v>
      </c>
      <c r="F171" s="140">
        <f t="shared" si="200"/>
        <v>0.26106967026440586</v>
      </c>
      <c r="G171" s="140">
        <f t="shared" si="200"/>
        <v>0.224734216102494</v>
      </c>
      <c r="H171" s="140">
        <f t="shared" si="200"/>
        <v>0.23742825862669814</v>
      </c>
      <c r="I171" s="140">
        <f t="shared" si="200"/>
        <v>0.28246618669900864</v>
      </c>
      <c r="J171" s="140">
        <f t="shared" si="200"/>
        <v>0.27143953744277372</v>
      </c>
      <c r="K171" s="140">
        <f t="shared" si="200"/>
        <v>0.29327371379428852</v>
      </c>
      <c r="L171" s="140">
        <f t="shared" si="200"/>
        <v>0.29177846071186908</v>
      </c>
      <c r="M171" s="140">
        <f t="shared" si="200"/>
        <v>0.31922554554111554</v>
      </c>
      <c r="N171" s="140">
        <f t="shared" si="200"/>
        <v>0.31841041241792645</v>
      </c>
      <c r="O171" s="140">
        <f t="shared" si="200"/>
        <v>0.34058002168537976</v>
      </c>
      <c r="P171" s="140">
        <f t="shared" si="200"/>
        <v>0.32812245286637554</v>
      </c>
      <c r="Q171" s="140">
        <f t="shared" si="200"/>
        <v>0.32181743664105544</v>
      </c>
      <c r="R171" s="140">
        <f t="shared" si="200"/>
        <v>0.31779055641644588</v>
      </c>
      <c r="S171" s="140">
        <f t="shared" si="200"/>
        <v>0.27417173228311154</v>
      </c>
      <c r="T171" s="140">
        <f t="shared" si="200"/>
        <v>0.27785583712525813</v>
      </c>
      <c r="U171" s="140">
        <f t="shared" si="200"/>
        <v>0.29404653814949566</v>
      </c>
      <c r="V171" s="140">
        <f t="shared" si="200"/>
        <v>0.26046358440177014</v>
      </c>
      <c r="W171" s="140">
        <f t="shared" si="200"/>
        <v>0.25846605111865467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0.56917715502069988</v>
      </c>
      <c r="C172" s="140">
        <f t="shared" ref="C172:W172" si="201">IF(C80=0,0,C80/C$77)</f>
        <v>0.61796311840181628</v>
      </c>
      <c r="D172" s="140">
        <f t="shared" si="201"/>
        <v>0.59381917388640093</v>
      </c>
      <c r="E172" s="140">
        <f t="shared" si="201"/>
        <v>0.69185004013612894</v>
      </c>
      <c r="F172" s="140">
        <f t="shared" si="201"/>
        <v>0.68642086784922118</v>
      </c>
      <c r="G172" s="140">
        <f t="shared" si="201"/>
        <v>0.72518848262033175</v>
      </c>
      <c r="H172" s="140">
        <f t="shared" si="201"/>
        <v>0.71932765661703646</v>
      </c>
      <c r="I172" s="140">
        <f t="shared" si="201"/>
        <v>0.67345188106560994</v>
      </c>
      <c r="J172" s="140">
        <f t="shared" si="201"/>
        <v>0.651553880313542</v>
      </c>
      <c r="K172" s="140">
        <f t="shared" si="201"/>
        <v>0.586493183766576</v>
      </c>
      <c r="L172" s="140">
        <f t="shared" si="201"/>
        <v>0.58137447169457257</v>
      </c>
      <c r="M172" s="140">
        <f t="shared" si="201"/>
        <v>0.58090515488163474</v>
      </c>
      <c r="N172" s="140">
        <f t="shared" si="201"/>
        <v>0.57137078579396516</v>
      </c>
      <c r="O172" s="140">
        <f t="shared" si="201"/>
        <v>0.54486429563874028</v>
      </c>
      <c r="P172" s="140">
        <f t="shared" si="201"/>
        <v>0.56221475085825756</v>
      </c>
      <c r="Q172" s="140">
        <f t="shared" si="201"/>
        <v>0.55592190397806795</v>
      </c>
      <c r="R172" s="140">
        <f t="shared" si="201"/>
        <v>0.56721540142699045</v>
      </c>
      <c r="S172" s="140">
        <f t="shared" si="201"/>
        <v>0.6098029766097296</v>
      </c>
      <c r="T172" s="140">
        <f t="shared" si="201"/>
        <v>0.59387865485893865</v>
      </c>
      <c r="U172" s="140">
        <f t="shared" si="201"/>
        <v>0.54588121009474799</v>
      </c>
      <c r="V172" s="140">
        <f t="shared" si="201"/>
        <v>0.57475992133008025</v>
      </c>
      <c r="W172" s="140">
        <f t="shared" si="201"/>
        <v>0.72406813475506226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5.9710376563700672E-2</v>
      </c>
      <c r="C173" s="124">
        <f t="shared" ref="C173:W173" si="202">IF(C81=0,0,C81/C$77)</f>
        <v>4.9123956229195853E-2</v>
      </c>
      <c r="D173" s="124">
        <f t="shared" si="202"/>
        <v>5.1151631185812993E-2</v>
      </c>
      <c r="E173" s="124">
        <f t="shared" si="202"/>
        <v>3.5954906637747412E-2</v>
      </c>
      <c r="F173" s="124">
        <f t="shared" si="202"/>
        <v>3.2733257294250563E-2</v>
      </c>
      <c r="G173" s="124">
        <f t="shared" si="202"/>
        <v>2.9635097450562361E-2</v>
      </c>
      <c r="H173" s="124">
        <f t="shared" si="202"/>
        <v>2.3959612365961898E-2</v>
      </c>
      <c r="I173" s="124">
        <f t="shared" si="202"/>
        <v>2.3782997440255624E-2</v>
      </c>
      <c r="J173" s="124">
        <f t="shared" si="202"/>
        <v>2.8659296875017361E-2</v>
      </c>
      <c r="K173" s="124">
        <f t="shared" si="202"/>
        <v>1.7265390603044377E-2</v>
      </c>
      <c r="L173" s="124">
        <f t="shared" si="202"/>
        <v>1.6205900837641802E-2</v>
      </c>
      <c r="M173" s="124">
        <f t="shared" si="202"/>
        <v>1.5082900299901891E-2</v>
      </c>
      <c r="N173" s="124">
        <f t="shared" si="202"/>
        <v>1.4663411618773534E-2</v>
      </c>
      <c r="O173" s="124">
        <f t="shared" si="202"/>
        <v>1.0659424683226993E-2</v>
      </c>
      <c r="P173" s="124">
        <f t="shared" si="202"/>
        <v>1.0627141325643671E-2</v>
      </c>
      <c r="Q173" s="124">
        <f t="shared" si="202"/>
        <v>1.365736414653412E-2</v>
      </c>
      <c r="R173" s="124">
        <f t="shared" si="202"/>
        <v>9.7125475054425196E-3</v>
      </c>
      <c r="S173" s="124">
        <f t="shared" si="202"/>
        <v>1.0521692883475318E-2</v>
      </c>
      <c r="T173" s="124">
        <f t="shared" si="202"/>
        <v>9.0013470679980358E-3</v>
      </c>
      <c r="U173" s="124">
        <f t="shared" si="202"/>
        <v>8.396850548118116E-3</v>
      </c>
      <c r="V173" s="124">
        <f t="shared" si="202"/>
        <v>9.5551776515270317E-3</v>
      </c>
      <c r="W173" s="124">
        <f t="shared" si="202"/>
        <v>1.0686449220737023E-2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4.7430499961153708E-3</v>
      </c>
      <c r="C174" s="124">
        <f t="shared" ref="C174:W174" si="203">IF(C82=0,0,C82/C$77)</f>
        <v>3.2418311821064178E-3</v>
      </c>
      <c r="D174" s="124">
        <f t="shared" si="203"/>
        <v>3.8289196523996561E-3</v>
      </c>
      <c r="E174" s="124">
        <f t="shared" si="203"/>
        <v>3.0116298104052074E-3</v>
      </c>
      <c r="F174" s="124">
        <f t="shared" si="203"/>
        <v>2.9032356898800083E-3</v>
      </c>
      <c r="G174" s="124">
        <f t="shared" si="203"/>
        <v>3.5626216141217354E-3</v>
      </c>
      <c r="H174" s="124">
        <f t="shared" si="203"/>
        <v>3.5701264508963475E-3</v>
      </c>
      <c r="I174" s="124">
        <f t="shared" si="203"/>
        <v>4.0398925640476573E-3</v>
      </c>
      <c r="J174" s="124">
        <f t="shared" si="203"/>
        <v>4.3965941836366582E-3</v>
      </c>
      <c r="K174" s="124">
        <f t="shared" si="203"/>
        <v>3.9755917968062769E-3</v>
      </c>
      <c r="L174" s="124">
        <f t="shared" si="203"/>
        <v>5.4450903658816944E-3</v>
      </c>
      <c r="M174" s="124">
        <f t="shared" si="203"/>
        <v>4.2484533722773202E-3</v>
      </c>
      <c r="N174" s="124">
        <f t="shared" si="203"/>
        <v>3.3214266537940633E-3</v>
      </c>
      <c r="O174" s="124">
        <f t="shared" si="203"/>
        <v>3.7844707343574146E-3</v>
      </c>
      <c r="P174" s="124">
        <f t="shared" si="203"/>
        <v>3.6843450196012689E-3</v>
      </c>
      <c r="Q174" s="124">
        <f t="shared" si="203"/>
        <v>4.3843803538374422E-3</v>
      </c>
      <c r="R174" s="124">
        <f t="shared" si="203"/>
        <v>4.2353168499068257E-3</v>
      </c>
      <c r="S174" s="124">
        <f t="shared" si="203"/>
        <v>4.9859045245825243E-3</v>
      </c>
      <c r="T174" s="124">
        <f t="shared" si="203"/>
        <v>4.5782037353691209E-3</v>
      </c>
      <c r="U174" s="124">
        <f t="shared" si="203"/>
        <v>4.5745480285958665E-3</v>
      </c>
      <c r="V174" s="124">
        <f t="shared" si="203"/>
        <v>8.0662888437168373E-3</v>
      </c>
      <c r="W174" s="124">
        <f t="shared" si="203"/>
        <v>6.5740520896908142E-3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3.9567718395258919E-3</v>
      </c>
      <c r="C176" s="140">
        <f t="shared" ref="C176:W176" si="205">IF(C84=0,0,C84/C$77)</f>
        <v>2.2666505022037996E-3</v>
      </c>
      <c r="D176" s="140">
        <f t="shared" si="205"/>
        <v>2.5894344670683591E-3</v>
      </c>
      <c r="E176" s="140">
        <f t="shared" si="205"/>
        <v>1.9367378412243883E-3</v>
      </c>
      <c r="F176" s="140">
        <f t="shared" si="205"/>
        <v>1.8627265539385603E-3</v>
      </c>
      <c r="G176" s="140">
        <f t="shared" si="205"/>
        <v>2.2549325721847317E-3</v>
      </c>
      <c r="H176" s="140">
        <f t="shared" si="205"/>
        <v>2.3578820158793559E-3</v>
      </c>
      <c r="I176" s="140">
        <f t="shared" si="205"/>
        <v>2.8242011019968967E-3</v>
      </c>
      <c r="J176" s="140">
        <f t="shared" si="205"/>
        <v>3.4561792882058062E-3</v>
      </c>
      <c r="K176" s="140">
        <f t="shared" si="205"/>
        <v>2.5387902995663023E-3</v>
      </c>
      <c r="L176" s="140">
        <f t="shared" si="205"/>
        <v>2.7925619161953893E-3</v>
      </c>
      <c r="M176" s="140">
        <f t="shared" si="205"/>
        <v>2.6104442560050518E-3</v>
      </c>
      <c r="N176" s="140">
        <f t="shared" si="205"/>
        <v>2.8016054496843887E-3</v>
      </c>
      <c r="O176" s="140">
        <f t="shared" si="205"/>
        <v>3.2284282178907113E-3</v>
      </c>
      <c r="P176" s="140">
        <f t="shared" si="205"/>
        <v>3.0006225601190697E-3</v>
      </c>
      <c r="Q176" s="140">
        <f t="shared" si="205"/>
        <v>2.8268035114645111E-3</v>
      </c>
      <c r="R176" s="140">
        <f t="shared" si="205"/>
        <v>2.6639451509698165E-3</v>
      </c>
      <c r="S176" s="140">
        <f t="shared" si="205"/>
        <v>2.9768528006025525E-3</v>
      </c>
      <c r="T176" s="140">
        <f t="shared" si="205"/>
        <v>3.213493186565945E-3</v>
      </c>
      <c r="U176" s="140">
        <f t="shared" si="205"/>
        <v>3.8248371414124718E-3</v>
      </c>
      <c r="V176" s="140">
        <f t="shared" si="205"/>
        <v>5.2240286129303475E-3</v>
      </c>
      <c r="W176" s="140">
        <f t="shared" si="205"/>
        <v>5.027369201231327E-3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7.8627815658947897E-4</v>
      </c>
      <c r="C177" s="140">
        <f t="shared" ref="C177:W177" si="206">IF(C85=0,0,C85/C$77)</f>
        <v>9.7518067990261812E-4</v>
      </c>
      <c r="D177" s="140">
        <f t="shared" si="206"/>
        <v>1.2394851853312968E-3</v>
      </c>
      <c r="E177" s="140">
        <f t="shared" si="206"/>
        <v>1.0748919691808193E-3</v>
      </c>
      <c r="F177" s="140">
        <f t="shared" si="206"/>
        <v>1.0405091359414484E-3</v>
      </c>
      <c r="G177" s="140">
        <f t="shared" si="206"/>
        <v>1.3076890419370037E-3</v>
      </c>
      <c r="H177" s="140">
        <f t="shared" si="206"/>
        <v>1.2122444350169913E-3</v>
      </c>
      <c r="I177" s="140">
        <f t="shared" si="206"/>
        <v>1.2156914620507606E-3</v>
      </c>
      <c r="J177" s="140">
        <f t="shared" si="206"/>
        <v>9.4041489543085271E-4</v>
      </c>
      <c r="K177" s="140">
        <f t="shared" si="206"/>
        <v>1.4368014972399744E-3</v>
      </c>
      <c r="L177" s="140">
        <f t="shared" si="206"/>
        <v>2.6525284496863042E-3</v>
      </c>
      <c r="M177" s="140">
        <f t="shared" si="206"/>
        <v>1.6380091162722687E-3</v>
      </c>
      <c r="N177" s="140">
        <f t="shared" si="206"/>
        <v>5.1982120410967465E-4</v>
      </c>
      <c r="O177" s="140">
        <f t="shared" si="206"/>
        <v>5.5604251646670314E-4</v>
      </c>
      <c r="P177" s="140">
        <f t="shared" si="206"/>
        <v>6.8372245948219903E-4</v>
      </c>
      <c r="Q177" s="140">
        <f t="shared" si="206"/>
        <v>1.5575768423729309E-3</v>
      </c>
      <c r="R177" s="140">
        <f t="shared" si="206"/>
        <v>1.5713716989370088E-3</v>
      </c>
      <c r="S177" s="140">
        <f t="shared" si="206"/>
        <v>2.0090517239799719E-3</v>
      </c>
      <c r="T177" s="140">
        <f t="shared" si="206"/>
        <v>1.3647105488031764E-3</v>
      </c>
      <c r="U177" s="140">
        <f t="shared" si="206"/>
        <v>7.4971088718339468E-4</v>
      </c>
      <c r="V177" s="140">
        <f t="shared" si="206"/>
        <v>2.8422602307864903E-3</v>
      </c>
      <c r="W177" s="140">
        <f t="shared" si="206"/>
        <v>1.5466828884594871E-3</v>
      </c>
      <c r="DA177" s="175"/>
    </row>
    <row r="178" spans="1:105" ht="11.45" customHeight="1" x14ac:dyDescent="0.25">
      <c r="A178" s="109" t="s">
        <v>142</v>
      </c>
      <c r="B178" s="124">
        <f t="shared" si="197"/>
        <v>7.2564150267305904E-3</v>
      </c>
      <c r="C178" s="124">
        <f t="shared" ref="C178:W178" si="207">IF(C86=0,0,C86/C$77)</f>
        <v>9.0298429204411969E-3</v>
      </c>
      <c r="D178" s="124">
        <f t="shared" si="207"/>
        <v>1.1953290138539192E-2</v>
      </c>
      <c r="E178" s="124">
        <f t="shared" si="207"/>
        <v>1.0472583770506865E-2</v>
      </c>
      <c r="F178" s="124">
        <f t="shared" si="207"/>
        <v>1.6872968902242387E-2</v>
      </c>
      <c r="G178" s="124">
        <f t="shared" si="207"/>
        <v>1.687958221249012E-2</v>
      </c>
      <c r="H178" s="124">
        <f t="shared" si="207"/>
        <v>1.5714345939407119E-2</v>
      </c>
      <c r="I178" s="124">
        <f t="shared" si="207"/>
        <v>1.6259042231078054E-2</v>
      </c>
      <c r="J178" s="124">
        <f t="shared" si="207"/>
        <v>4.3950691185030227E-2</v>
      </c>
      <c r="K178" s="124">
        <f t="shared" si="207"/>
        <v>9.8992120039284773E-2</v>
      </c>
      <c r="L178" s="124">
        <f t="shared" si="207"/>
        <v>0.10519607639003481</v>
      </c>
      <c r="M178" s="124">
        <f t="shared" si="207"/>
        <v>8.0537945905070366E-2</v>
      </c>
      <c r="N178" s="124">
        <f t="shared" si="207"/>
        <v>9.2233963515540834E-2</v>
      </c>
      <c r="O178" s="124">
        <f t="shared" si="207"/>
        <v>0.10011178725829534</v>
      </c>
      <c r="P178" s="124">
        <f t="shared" si="207"/>
        <v>9.5351309930121933E-2</v>
      </c>
      <c r="Q178" s="124">
        <f t="shared" si="207"/>
        <v>0.1042189148805051</v>
      </c>
      <c r="R178" s="124">
        <f t="shared" si="207"/>
        <v>0.10104617780121426</v>
      </c>
      <c r="S178" s="124">
        <f t="shared" si="207"/>
        <v>0.100517693699101</v>
      </c>
      <c r="T178" s="124">
        <f t="shared" si="207"/>
        <v>0.11468595721243595</v>
      </c>
      <c r="U178" s="124">
        <f t="shared" si="207"/>
        <v>0.14710085317904259</v>
      </c>
      <c r="V178" s="124">
        <f t="shared" si="207"/>
        <v>0.14715502777290565</v>
      </c>
      <c r="W178" s="124">
        <f t="shared" si="207"/>
        <v>2.0531281585518447E-4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7.2564150267305904E-3</v>
      </c>
      <c r="C180" s="127">
        <f t="shared" ref="C180:W180" si="209">IF(C88=0,0,C88/C$77)</f>
        <v>9.0298429204411969E-3</v>
      </c>
      <c r="D180" s="127">
        <f t="shared" si="209"/>
        <v>1.1953290138539192E-2</v>
      </c>
      <c r="E180" s="127">
        <f t="shared" si="209"/>
        <v>1.0472583770506865E-2</v>
      </c>
      <c r="F180" s="127">
        <f t="shared" si="209"/>
        <v>1.6872968902242387E-2</v>
      </c>
      <c r="G180" s="127">
        <f t="shared" si="209"/>
        <v>1.687958221249012E-2</v>
      </c>
      <c r="H180" s="127">
        <f t="shared" si="209"/>
        <v>1.5714345939407119E-2</v>
      </c>
      <c r="I180" s="127">
        <f t="shared" si="209"/>
        <v>1.6259042231078054E-2</v>
      </c>
      <c r="J180" s="127">
        <f t="shared" si="209"/>
        <v>4.3950691185030227E-2</v>
      </c>
      <c r="K180" s="127">
        <f t="shared" si="209"/>
        <v>9.8992120039284773E-2</v>
      </c>
      <c r="L180" s="127">
        <f t="shared" si="209"/>
        <v>0.10519607639003481</v>
      </c>
      <c r="M180" s="127">
        <f t="shared" si="209"/>
        <v>8.0537945905070366E-2</v>
      </c>
      <c r="N180" s="127">
        <f t="shared" si="209"/>
        <v>9.2233963515540834E-2</v>
      </c>
      <c r="O180" s="127">
        <f t="shared" si="209"/>
        <v>0.10011178725829534</v>
      </c>
      <c r="P180" s="127">
        <f t="shared" si="209"/>
        <v>9.5351309930121933E-2</v>
      </c>
      <c r="Q180" s="127">
        <f t="shared" si="209"/>
        <v>0.1042189148805051</v>
      </c>
      <c r="R180" s="127">
        <f t="shared" si="209"/>
        <v>0.10104617780121426</v>
      </c>
      <c r="S180" s="127">
        <f t="shared" si="209"/>
        <v>0.100517693699101</v>
      </c>
      <c r="T180" s="127">
        <f t="shared" si="209"/>
        <v>0.11468595721243595</v>
      </c>
      <c r="U180" s="127">
        <f t="shared" si="209"/>
        <v>0.14710085317904259</v>
      </c>
      <c r="V180" s="127">
        <f t="shared" si="209"/>
        <v>0.14715502777290565</v>
      </c>
      <c r="W180" s="127">
        <f t="shared" si="209"/>
        <v>2.0531281585518447E-4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0.41958452440462185</v>
      </c>
      <c r="C182" s="140">
        <f t="shared" ref="C182:W182" si="211">IF(C90=0,0,C90/C$89)</f>
        <v>0.41718436859673519</v>
      </c>
      <c r="D182" s="140">
        <f t="shared" si="211"/>
        <v>0.42338847105428978</v>
      </c>
      <c r="E182" s="140">
        <f t="shared" si="211"/>
        <v>0.33861231053610125</v>
      </c>
      <c r="F182" s="140">
        <f t="shared" si="211"/>
        <v>0.31560092193668726</v>
      </c>
      <c r="G182" s="140">
        <f t="shared" si="211"/>
        <v>0.31278492596371876</v>
      </c>
      <c r="H182" s="140">
        <f t="shared" si="211"/>
        <v>0.34247143157349608</v>
      </c>
      <c r="I182" s="140">
        <f t="shared" si="211"/>
        <v>0.26410704546026315</v>
      </c>
      <c r="J182" s="140">
        <f t="shared" si="211"/>
        <v>0.30097613186299865</v>
      </c>
      <c r="K182" s="140">
        <f t="shared" si="211"/>
        <v>0.44404101718842159</v>
      </c>
      <c r="L182" s="140">
        <f t="shared" si="211"/>
        <v>0.39005193597556082</v>
      </c>
      <c r="M182" s="140">
        <f t="shared" si="211"/>
        <v>0.42425188555111709</v>
      </c>
      <c r="N182" s="140">
        <f t="shared" si="211"/>
        <v>0.42310748059282849</v>
      </c>
      <c r="O182" s="140">
        <f t="shared" si="211"/>
        <v>0.44298754004249646</v>
      </c>
      <c r="P182" s="140">
        <f t="shared" si="211"/>
        <v>0.42052681097658001</v>
      </c>
      <c r="Q182" s="140">
        <f t="shared" si="211"/>
        <v>0.39403330847811219</v>
      </c>
      <c r="R182" s="140">
        <f t="shared" si="211"/>
        <v>0.42736786741897465</v>
      </c>
      <c r="S182" s="140">
        <f t="shared" si="211"/>
        <v>0.44778208083449939</v>
      </c>
      <c r="T182" s="140">
        <f t="shared" si="211"/>
        <v>0.45860194766549733</v>
      </c>
      <c r="U182" s="140">
        <f t="shared" si="211"/>
        <v>0.44756991496699117</v>
      </c>
      <c r="V182" s="140">
        <f t="shared" si="211"/>
        <v>0.41552177173118238</v>
      </c>
      <c r="W182" s="140">
        <f t="shared" si="211"/>
        <v>0.37929720978619907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0.58041547559537821</v>
      </c>
      <c r="C183" s="127">
        <f t="shared" ref="C183:W183" si="212">IF(C91=0,0,C91/C$89)</f>
        <v>0.58281563140326487</v>
      </c>
      <c r="D183" s="127">
        <f t="shared" si="212"/>
        <v>0.57661152894571022</v>
      </c>
      <c r="E183" s="127">
        <f t="shared" si="212"/>
        <v>0.66138768946389881</v>
      </c>
      <c r="F183" s="127">
        <f t="shared" si="212"/>
        <v>0.68439907806331268</v>
      </c>
      <c r="G183" s="127">
        <f t="shared" si="212"/>
        <v>0.68721507403628113</v>
      </c>
      <c r="H183" s="127">
        <f t="shared" si="212"/>
        <v>0.65752856842650398</v>
      </c>
      <c r="I183" s="127">
        <f t="shared" si="212"/>
        <v>0.73589295453973691</v>
      </c>
      <c r="J183" s="127">
        <f t="shared" si="212"/>
        <v>0.69902386813700124</v>
      </c>
      <c r="K183" s="127">
        <f t="shared" si="212"/>
        <v>0.55595898281157841</v>
      </c>
      <c r="L183" s="127">
        <f t="shared" si="212"/>
        <v>0.60994806402443913</v>
      </c>
      <c r="M183" s="127">
        <f t="shared" si="212"/>
        <v>0.57574811444888296</v>
      </c>
      <c r="N183" s="127">
        <f t="shared" si="212"/>
        <v>0.57689251940717146</v>
      </c>
      <c r="O183" s="127">
        <f t="shared" si="212"/>
        <v>0.55701245995750359</v>
      </c>
      <c r="P183" s="127">
        <f t="shared" si="212"/>
        <v>0.57947318902342004</v>
      </c>
      <c r="Q183" s="127">
        <f t="shared" si="212"/>
        <v>0.60596669152188776</v>
      </c>
      <c r="R183" s="127">
        <f t="shared" si="212"/>
        <v>0.57263213258102541</v>
      </c>
      <c r="S183" s="127">
        <f t="shared" si="212"/>
        <v>0.55221791916550067</v>
      </c>
      <c r="T183" s="127">
        <f t="shared" si="212"/>
        <v>0.54139805233450256</v>
      </c>
      <c r="U183" s="127">
        <f t="shared" si="212"/>
        <v>0.55243008503300872</v>
      </c>
      <c r="V183" s="127">
        <f t="shared" si="212"/>
        <v>0.58447822826881768</v>
      </c>
      <c r="W183" s="127">
        <f t="shared" si="212"/>
        <v>0.62070279021380093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30.87792501030485</v>
      </c>
      <c r="C186" s="32">
        <f t="shared" si="213"/>
        <v>31.445944635547953</v>
      </c>
      <c r="D186" s="32">
        <f t="shared" si="213"/>
        <v>31.629967058440901</v>
      </c>
      <c r="E186" s="32">
        <f t="shared" si="213"/>
        <v>34.215008944563756</v>
      </c>
      <c r="F186" s="32">
        <f t="shared" si="213"/>
        <v>35.101561204629959</v>
      </c>
      <c r="G186" s="32">
        <f t="shared" si="213"/>
        <v>36.5200946850305</v>
      </c>
      <c r="H186" s="32">
        <f t="shared" si="213"/>
        <v>36.921889293906361</v>
      </c>
      <c r="I186" s="32">
        <f t="shared" si="213"/>
        <v>33.80405864660051</v>
      </c>
      <c r="J186" s="32">
        <f t="shared" si="213"/>
        <v>33.648308723410871</v>
      </c>
      <c r="K186" s="32">
        <f t="shared" si="213"/>
        <v>33.894067433506258</v>
      </c>
      <c r="L186" s="32">
        <f t="shared" si="213"/>
        <v>32.587902049546628</v>
      </c>
      <c r="M186" s="32">
        <f t="shared" si="213"/>
        <v>31.784939301288421</v>
      </c>
      <c r="N186" s="32">
        <f t="shared" si="213"/>
        <v>32.918349072962776</v>
      </c>
      <c r="O186" s="32">
        <f t="shared" si="213"/>
        <v>28.875022420741896</v>
      </c>
      <c r="P186" s="32">
        <f t="shared" si="213"/>
        <v>31.088874974938189</v>
      </c>
      <c r="Q186" s="32">
        <f t="shared" si="213"/>
        <v>32.727238440229755</v>
      </c>
      <c r="R186" s="32">
        <f t="shared" si="213"/>
        <v>33.513545220132471</v>
      </c>
      <c r="S186" s="32">
        <f t="shared" si="213"/>
        <v>33.941657667856127</v>
      </c>
      <c r="T186" s="32">
        <f t="shared" si="213"/>
        <v>35.540017819278475</v>
      </c>
      <c r="U186" s="32">
        <f t="shared" si="213"/>
        <v>36.739138118611059</v>
      </c>
      <c r="V186" s="32">
        <f t="shared" si="213"/>
        <v>43.812614460013023</v>
      </c>
      <c r="W186" s="32">
        <f t="shared" ref="W186" si="214">IF(W34=0,0,W34/W4*1000)</f>
        <v>45.562995479233727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31.855380134974492</v>
      </c>
      <c r="C187" s="141">
        <f t="shared" si="215"/>
        <v>31.531988508890546</v>
      </c>
      <c r="D187" s="141">
        <f t="shared" si="215"/>
        <v>31.739665491822702</v>
      </c>
      <c r="E187" s="141">
        <f t="shared" si="215"/>
        <v>34.701968535717612</v>
      </c>
      <c r="F187" s="141">
        <f t="shared" si="215"/>
        <v>35.717911492249783</v>
      </c>
      <c r="G187" s="141">
        <f t="shared" si="215"/>
        <v>37.16537826509947</v>
      </c>
      <c r="H187" s="141">
        <f t="shared" si="215"/>
        <v>38.012567192355846</v>
      </c>
      <c r="I187" s="141">
        <f t="shared" si="215"/>
        <v>34.191970484646532</v>
      </c>
      <c r="J187" s="141">
        <f t="shared" si="215"/>
        <v>33.927443130802175</v>
      </c>
      <c r="K187" s="141">
        <f t="shared" si="215"/>
        <v>34.756107437756086</v>
      </c>
      <c r="L187" s="141">
        <f t="shared" si="215"/>
        <v>33.524208452210551</v>
      </c>
      <c r="M187" s="141">
        <f t="shared" si="215"/>
        <v>32.6054050930004</v>
      </c>
      <c r="N187" s="141">
        <f t="shared" si="215"/>
        <v>34.169034498238361</v>
      </c>
      <c r="O187" s="141">
        <f t="shared" si="215"/>
        <v>29.79378790520834</v>
      </c>
      <c r="P187" s="141">
        <f t="shared" si="215"/>
        <v>32.194198743473322</v>
      </c>
      <c r="Q187" s="141">
        <f t="shared" si="215"/>
        <v>33.652699272563943</v>
      </c>
      <c r="R187" s="141">
        <f t="shared" si="215"/>
        <v>34.720090206812642</v>
      </c>
      <c r="S187" s="141">
        <f t="shared" si="215"/>
        <v>35.576864745006581</v>
      </c>
      <c r="T187" s="141">
        <f t="shared" si="215"/>
        <v>37.677047298940309</v>
      </c>
      <c r="U187" s="141">
        <f t="shared" si="215"/>
        <v>39.159191910980802</v>
      </c>
      <c r="V187" s="141">
        <f t="shared" si="215"/>
        <v>44.874765954636764</v>
      </c>
      <c r="W187" s="141">
        <f t="shared" ref="W187" si="216">IF(W35=0,0,W35/W5*1000)</f>
        <v>47.129399173463042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38.183438676584714</v>
      </c>
      <c r="C188" s="97">
        <f t="shared" si="217"/>
        <v>38.050190479550025</v>
      </c>
      <c r="D188" s="97">
        <f t="shared" si="217"/>
        <v>37.887053304924386</v>
      </c>
      <c r="E188" s="97">
        <f t="shared" si="217"/>
        <v>37.664549645327767</v>
      </c>
      <c r="F188" s="97">
        <f t="shared" si="217"/>
        <v>35.780147280946061</v>
      </c>
      <c r="G188" s="97">
        <f t="shared" si="217"/>
        <v>35.743245943939492</v>
      </c>
      <c r="H188" s="97">
        <f t="shared" si="217"/>
        <v>35.653858393811781</v>
      </c>
      <c r="I188" s="97">
        <f t="shared" si="217"/>
        <v>34.986369617165728</v>
      </c>
      <c r="J188" s="97">
        <f t="shared" si="217"/>
        <v>34.276233066778495</v>
      </c>
      <c r="K188" s="97">
        <f t="shared" si="217"/>
        <v>33.765708773013387</v>
      </c>
      <c r="L188" s="97">
        <f t="shared" si="217"/>
        <v>33.451620944629909</v>
      </c>
      <c r="M188" s="97">
        <f t="shared" si="217"/>
        <v>33.067601185963767</v>
      </c>
      <c r="N188" s="97">
        <f t="shared" si="217"/>
        <v>32.842334678764075</v>
      </c>
      <c r="O188" s="97">
        <f t="shared" si="217"/>
        <v>32.460890784363365</v>
      </c>
      <c r="P188" s="97">
        <f t="shared" si="217"/>
        <v>32.066896091507303</v>
      </c>
      <c r="Q188" s="97">
        <f t="shared" si="217"/>
        <v>31.610026896922072</v>
      </c>
      <c r="R188" s="97">
        <f t="shared" si="217"/>
        <v>31.174130730830967</v>
      </c>
      <c r="S188" s="97">
        <f t="shared" si="217"/>
        <v>30.96882348941373</v>
      </c>
      <c r="T188" s="97">
        <f t="shared" si="217"/>
        <v>30.660365858541876</v>
      </c>
      <c r="U188" s="97">
        <f t="shared" si="217"/>
        <v>30.470053901187896</v>
      </c>
      <c r="V188" s="97">
        <f t="shared" si="217"/>
        <v>30.26847321732976</v>
      </c>
      <c r="W188" s="97">
        <f t="shared" ref="W188" si="218">IF(W36=0,0,W36/W6*1000)</f>
        <v>28.434129149195662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38.991206622186517</v>
      </c>
      <c r="C189" s="97">
        <f t="shared" si="219"/>
        <v>38.372631711574229</v>
      </c>
      <c r="D189" s="97">
        <f t="shared" si="219"/>
        <v>39.289714082366935</v>
      </c>
      <c r="E189" s="97">
        <f t="shared" si="219"/>
        <v>42.07015099356898</v>
      </c>
      <c r="F189" s="97">
        <f t="shared" si="219"/>
        <v>42.270910930033004</v>
      </c>
      <c r="G189" s="97">
        <f t="shared" si="219"/>
        <v>44.111245903442644</v>
      </c>
      <c r="H189" s="97">
        <f t="shared" si="219"/>
        <v>44.360109078935245</v>
      </c>
      <c r="I189" s="97">
        <f t="shared" si="219"/>
        <v>38.967369514281195</v>
      </c>
      <c r="J189" s="97">
        <f t="shared" si="219"/>
        <v>39.088971639862031</v>
      </c>
      <c r="K189" s="97">
        <f t="shared" si="219"/>
        <v>37.052536508394653</v>
      </c>
      <c r="L189" s="97">
        <f t="shared" si="219"/>
        <v>36.015318243792798</v>
      </c>
      <c r="M189" s="97">
        <f t="shared" si="219"/>
        <v>34.488418605005542</v>
      </c>
      <c r="N189" s="97">
        <f t="shared" si="219"/>
        <v>36.50707203915988</v>
      </c>
      <c r="O189" s="97">
        <f t="shared" si="219"/>
        <v>31.367585234798067</v>
      </c>
      <c r="P189" s="97">
        <f t="shared" si="219"/>
        <v>34.952038829014747</v>
      </c>
      <c r="Q189" s="97">
        <f t="shared" si="219"/>
        <v>36.820712451053488</v>
      </c>
      <c r="R189" s="97">
        <f t="shared" si="219"/>
        <v>38.174749673518129</v>
      </c>
      <c r="S189" s="97">
        <f t="shared" si="219"/>
        <v>38.399235949727398</v>
      </c>
      <c r="T189" s="97">
        <f t="shared" si="219"/>
        <v>40.432433635533762</v>
      </c>
      <c r="U189" s="97">
        <f t="shared" si="219"/>
        <v>42.420395055586262</v>
      </c>
      <c r="V189" s="97">
        <f t="shared" si="219"/>
        <v>44.877962762312393</v>
      </c>
      <c r="W189" s="97">
        <f t="shared" ref="W189" si="220">IF(W37=0,0,W37/W7*1000)</f>
        <v>47.287095714970988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18.554991472141801</v>
      </c>
      <c r="C190" s="97">
        <f t="shared" si="221"/>
        <v>18.631143495407411</v>
      </c>
      <c r="D190" s="97">
        <f t="shared" si="221"/>
        <v>18.590746029356325</v>
      </c>
      <c r="E190" s="97">
        <f t="shared" si="221"/>
        <v>18.921591674004606</v>
      </c>
      <c r="F190" s="97">
        <f t="shared" si="221"/>
        <v>19.219219654291503</v>
      </c>
      <c r="G190" s="97">
        <f t="shared" si="221"/>
        <v>19.395426105731676</v>
      </c>
      <c r="H190" s="97">
        <f t="shared" si="221"/>
        <v>19.645751087802829</v>
      </c>
      <c r="I190" s="97">
        <f t="shared" si="221"/>
        <v>19.950509676891432</v>
      </c>
      <c r="J190" s="97">
        <f t="shared" si="221"/>
        <v>17.802700866634964</v>
      </c>
      <c r="K190" s="97">
        <f t="shared" si="221"/>
        <v>24.632435403385387</v>
      </c>
      <c r="L190" s="97">
        <f t="shared" si="221"/>
        <v>22.519650695051691</v>
      </c>
      <c r="M190" s="97">
        <f t="shared" si="221"/>
        <v>24.231898182923743</v>
      </c>
      <c r="N190" s="97">
        <f t="shared" si="221"/>
        <v>23.166065554155271</v>
      </c>
      <c r="O190" s="97">
        <f t="shared" si="221"/>
        <v>21.777296528798409</v>
      </c>
      <c r="P190" s="97">
        <f t="shared" si="221"/>
        <v>19.236979682482769</v>
      </c>
      <c r="Q190" s="97">
        <f t="shared" si="221"/>
        <v>19.385878159315176</v>
      </c>
      <c r="R190" s="97">
        <f t="shared" si="221"/>
        <v>18.948317783847358</v>
      </c>
      <c r="S190" s="97">
        <f t="shared" si="221"/>
        <v>20.510945909827992</v>
      </c>
      <c r="T190" s="97">
        <f t="shared" si="221"/>
        <v>22.281745870973168</v>
      </c>
      <c r="U190" s="97">
        <f t="shared" si="221"/>
        <v>22.340579467539889</v>
      </c>
      <c r="V190" s="97">
        <f t="shared" si="221"/>
        <v>47.048984285012544</v>
      </c>
      <c r="W190" s="97">
        <f t="shared" ref="W190" si="222">IF(W38=0,0,W38/W8*1000)</f>
        <v>48.466298872393104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10.672048455282331</v>
      </c>
      <c r="C191" s="130">
        <f t="shared" si="223"/>
        <v>11.113712610560455</v>
      </c>
      <c r="D191" s="130">
        <f t="shared" si="223"/>
        <v>12.798864089747079</v>
      </c>
      <c r="E191" s="130">
        <f t="shared" si="223"/>
        <v>11.1964063647908</v>
      </c>
      <c r="F191" s="130">
        <f t="shared" si="223"/>
        <v>11.53755955763798</v>
      </c>
      <c r="G191" s="130">
        <f t="shared" si="223"/>
        <v>11.662899536714823</v>
      </c>
      <c r="H191" s="130">
        <f t="shared" si="223"/>
        <v>11.874534781865039</v>
      </c>
      <c r="I191" s="130">
        <f t="shared" si="223"/>
        <v>11.025477188291958</v>
      </c>
      <c r="J191" s="130">
        <f t="shared" si="223"/>
        <v>12.265367635556295</v>
      </c>
      <c r="K191" s="130">
        <f t="shared" si="223"/>
        <v>12.340685596373945</v>
      </c>
      <c r="L191" s="130">
        <f t="shared" si="223"/>
        <v>10.288905276047407</v>
      </c>
      <c r="M191" s="130">
        <f t="shared" si="223"/>
        <v>8.7301662252547612</v>
      </c>
      <c r="N191" s="130">
        <f t="shared" si="223"/>
        <v>10.093062243705196</v>
      </c>
      <c r="O191" s="130">
        <f t="shared" si="223"/>
        <v>7.2247469675347089</v>
      </c>
      <c r="P191" s="130">
        <f t="shared" si="223"/>
        <v>6.940257672384873</v>
      </c>
      <c r="Q191" s="130">
        <f t="shared" si="223"/>
        <v>10.819637808370992</v>
      </c>
      <c r="R191" s="130">
        <f t="shared" si="223"/>
        <v>10.112326088083284</v>
      </c>
      <c r="S191" s="130">
        <f t="shared" si="223"/>
        <v>9.8871728332336541</v>
      </c>
      <c r="T191" s="130">
        <f t="shared" si="223"/>
        <v>8.8645962476277305</v>
      </c>
      <c r="U191" s="130">
        <f t="shared" si="223"/>
        <v>11.373608484868059</v>
      </c>
      <c r="V191" s="130">
        <f t="shared" si="223"/>
        <v>13.460862224458303</v>
      </c>
      <c r="W191" s="130">
        <f t="shared" ref="W191" si="224">IF(W39=0,0,W39/W9*1000)</f>
        <v>13.594450769576426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5.4479179485780218</v>
      </c>
      <c r="C192" s="97">
        <f t="shared" si="225"/>
        <v>5.5905272022394428</v>
      </c>
      <c r="D192" s="97">
        <f t="shared" si="225"/>
        <v>5.7250394341520341</v>
      </c>
      <c r="E192" s="97">
        <f t="shared" si="225"/>
        <v>5.6634384459660341</v>
      </c>
      <c r="F192" s="97">
        <f t="shared" si="225"/>
        <v>5.6110806031711675</v>
      </c>
      <c r="G192" s="97">
        <f t="shared" si="225"/>
        <v>5.3458407037846856</v>
      </c>
      <c r="H192" s="97">
        <f t="shared" si="225"/>
        <v>5.2879360431843168</v>
      </c>
      <c r="I192" s="97">
        <f t="shared" si="225"/>
        <v>5.2596647851545155</v>
      </c>
      <c r="J192" s="97">
        <f t="shared" si="225"/>
        <v>5.2334330937120104</v>
      </c>
      <c r="K192" s="97">
        <f t="shared" si="225"/>
        <v>5.2589372424459331</v>
      </c>
      <c r="L192" s="97">
        <f t="shared" si="225"/>
        <v>5.2660066118767084</v>
      </c>
      <c r="M192" s="97">
        <f t="shared" si="225"/>
        <v>5.1757652147348168</v>
      </c>
      <c r="N192" s="97">
        <f t="shared" si="225"/>
        <v>5.0703409602929153</v>
      </c>
      <c r="O192" s="97">
        <f t="shared" si="225"/>
        <v>5.0052896301790364</v>
      </c>
      <c r="P192" s="97">
        <f t="shared" si="225"/>
        <v>5.0536406952695172</v>
      </c>
      <c r="Q192" s="97">
        <f t="shared" si="225"/>
        <v>5.0828649124255412</v>
      </c>
      <c r="R192" s="97">
        <f t="shared" si="225"/>
        <v>5.1030809032004001</v>
      </c>
      <c r="S192" s="97">
        <f t="shared" si="225"/>
        <v>4.9801832026700943</v>
      </c>
      <c r="T192" s="97">
        <f t="shared" si="225"/>
        <v>4.8847894925125104</v>
      </c>
      <c r="U192" s="97">
        <f t="shared" si="225"/>
        <v>5.3646780975926829</v>
      </c>
      <c r="V192" s="97">
        <f t="shared" si="225"/>
        <v>6.3956721104886887</v>
      </c>
      <c r="W192" s="97">
        <f t="shared" ref="W192" si="226">IF(W40=0,0,W40/W10*1000)</f>
        <v>5.7317592577250993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11.302495080371358</v>
      </c>
      <c r="C193" s="97">
        <f t="shared" si="227"/>
        <v>11.980058415410809</v>
      </c>
      <c r="D193" s="97">
        <f t="shared" si="227"/>
        <v>13.986003254427388</v>
      </c>
      <c r="E193" s="97">
        <f t="shared" si="227"/>
        <v>12.264750587495943</v>
      </c>
      <c r="F193" s="97">
        <f t="shared" si="227"/>
        <v>12.622272843813271</v>
      </c>
      <c r="G193" s="97">
        <f t="shared" si="227"/>
        <v>12.810494150985095</v>
      </c>
      <c r="H193" s="97">
        <f t="shared" si="227"/>
        <v>13.092959932197514</v>
      </c>
      <c r="I193" s="97">
        <f t="shared" si="227"/>
        <v>12.087979224311045</v>
      </c>
      <c r="J193" s="97">
        <f t="shared" si="227"/>
        <v>13.740343978817545</v>
      </c>
      <c r="K193" s="97">
        <f t="shared" si="227"/>
        <v>14.619564393147785</v>
      </c>
      <c r="L193" s="97">
        <f t="shared" si="227"/>
        <v>12.473505699842221</v>
      </c>
      <c r="M193" s="97">
        <f t="shared" si="227"/>
        <v>10.235478357927608</v>
      </c>
      <c r="N193" s="97">
        <f t="shared" si="227"/>
        <v>12.832728398293716</v>
      </c>
      <c r="O193" s="97">
        <f t="shared" si="227"/>
        <v>8.4557474676605899</v>
      </c>
      <c r="P193" s="97">
        <f t="shared" si="227"/>
        <v>7.7502363392382847</v>
      </c>
      <c r="Q193" s="97">
        <f t="shared" si="227"/>
        <v>13.562022650491002</v>
      </c>
      <c r="R193" s="97">
        <f t="shared" si="227"/>
        <v>12.918191947656856</v>
      </c>
      <c r="S193" s="97">
        <f t="shared" si="227"/>
        <v>13.54859466357048</v>
      </c>
      <c r="T193" s="97">
        <f t="shared" si="227"/>
        <v>11.790131701083023</v>
      </c>
      <c r="U193" s="97">
        <f t="shared" si="227"/>
        <v>15.540327319202433</v>
      </c>
      <c r="V193" s="97">
        <f t="shared" si="227"/>
        <v>17.821310505888569</v>
      </c>
      <c r="W193" s="97">
        <f t="shared" ref="W193" si="228">IF(W41=0,0,W41/W11*1000)</f>
        <v>18.496378146042339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49.159693746805843</v>
      </c>
      <c r="C195" s="130">
        <f t="shared" si="231"/>
        <v>56.131451807980845</v>
      </c>
      <c r="D195" s="130">
        <f t="shared" si="231"/>
        <v>47.85874884276032</v>
      </c>
      <c r="E195" s="130">
        <f t="shared" si="231"/>
        <v>45.788387538676936</v>
      </c>
      <c r="F195" s="130">
        <f t="shared" si="231"/>
        <v>45.286923042419183</v>
      </c>
      <c r="G195" s="130">
        <f t="shared" si="231"/>
        <v>45.225703230617135</v>
      </c>
      <c r="H195" s="130">
        <f t="shared" si="231"/>
        <v>40.083693894201652</v>
      </c>
      <c r="I195" s="130">
        <f t="shared" si="231"/>
        <v>42.167388140392276</v>
      </c>
      <c r="J195" s="130">
        <f t="shared" si="231"/>
        <v>41.928330060605724</v>
      </c>
      <c r="K195" s="130">
        <f t="shared" si="231"/>
        <v>36.309689869541209</v>
      </c>
      <c r="L195" s="130">
        <f t="shared" si="231"/>
        <v>35.020285502799382</v>
      </c>
      <c r="M195" s="130">
        <f t="shared" si="231"/>
        <v>35.290607667373806</v>
      </c>
      <c r="N195" s="130">
        <f t="shared" si="231"/>
        <v>31.094397919413666</v>
      </c>
      <c r="O195" s="130">
        <f t="shared" si="231"/>
        <v>29.568646980298674</v>
      </c>
      <c r="P195" s="130">
        <f t="shared" si="231"/>
        <v>28.724966113973483</v>
      </c>
      <c r="Q195" s="130">
        <f t="shared" si="231"/>
        <v>30.33384180083404</v>
      </c>
      <c r="R195" s="130">
        <f t="shared" si="231"/>
        <v>29.527016998725465</v>
      </c>
      <c r="S195" s="130">
        <f t="shared" si="231"/>
        <v>28.139397823863312</v>
      </c>
      <c r="T195" s="130">
        <f t="shared" si="231"/>
        <v>27.683753131725528</v>
      </c>
      <c r="U195" s="130">
        <f t="shared" si="231"/>
        <v>25.746470124110228</v>
      </c>
      <c r="V195" s="130">
        <f t="shared" si="231"/>
        <v>42.408546557387069</v>
      </c>
      <c r="W195" s="130">
        <f t="shared" ref="W195" si="232">IF(W43=0,0,W43/W13*1000)</f>
        <v>38.945679798503974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1813.1171125014973</v>
      </c>
      <c r="C196" s="97">
        <f t="shared" si="233"/>
        <v>1724.7746277491401</v>
      </c>
      <c r="D196" s="97">
        <f t="shared" si="233"/>
        <v>1653.2380557220786</v>
      </c>
      <c r="E196" s="97">
        <f t="shared" si="233"/>
        <v>1582.6190918565251</v>
      </c>
      <c r="F196" s="97">
        <f t="shared" si="233"/>
        <v>1511.3380383042295</v>
      </c>
      <c r="G196" s="97">
        <f t="shared" si="233"/>
        <v>908.00368694372787</v>
      </c>
      <c r="H196" s="97">
        <f t="shared" si="233"/>
        <v>1092.6502095845676</v>
      </c>
      <c r="I196" s="97">
        <f t="shared" si="233"/>
        <v>1210.7391035352566</v>
      </c>
      <c r="J196" s="97">
        <f t="shared" si="233"/>
        <v>253.57847990482136</v>
      </c>
      <c r="K196" s="97">
        <f t="shared" si="233"/>
        <v>380.3797453169841</v>
      </c>
      <c r="L196" s="97">
        <f t="shared" si="233"/>
        <v>237.04376913991899</v>
      </c>
      <c r="M196" s="97">
        <f t="shared" si="233"/>
        <v>292.4799451604253</v>
      </c>
      <c r="N196" s="97">
        <f t="shared" si="233"/>
        <v>149.02680081740331</v>
      </c>
      <c r="O196" s="97">
        <f t="shared" si="233"/>
        <v>190.69857932134786</v>
      </c>
      <c r="P196" s="97">
        <f t="shared" si="233"/>
        <v>158.81858262538432</v>
      </c>
      <c r="Q196" s="97">
        <f t="shared" si="233"/>
        <v>225.24639304090357</v>
      </c>
      <c r="R196" s="97">
        <f t="shared" si="233"/>
        <v>325.99567472552218</v>
      </c>
      <c r="S196" s="97">
        <f t="shared" si="233"/>
        <v>194.92084624181868</v>
      </c>
      <c r="T196" s="97">
        <f t="shared" si="233"/>
        <v>147.624848100664</v>
      </c>
      <c r="U196" s="97">
        <f t="shared" si="233"/>
        <v>66.479846232491496</v>
      </c>
      <c r="V196" s="97">
        <f t="shared" si="233"/>
        <v>74.353899823692572</v>
      </c>
      <c r="W196" s="97">
        <f t="shared" ref="W196" si="234">IF(W44=0,0,W44/W14*1000)</f>
        <v>62.562687756100964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37.943666700909645</v>
      </c>
      <c r="C197" s="97">
        <f t="shared" si="235"/>
        <v>38.096656145184625</v>
      </c>
      <c r="D197" s="97">
        <f t="shared" si="235"/>
        <v>38.309971407659795</v>
      </c>
      <c r="E197" s="97">
        <f t="shared" si="235"/>
        <v>38.870930718269079</v>
      </c>
      <c r="F197" s="97">
        <f t="shared" si="235"/>
        <v>39.274790676690678</v>
      </c>
      <c r="G197" s="97">
        <f t="shared" si="235"/>
        <v>40.776257837673832</v>
      </c>
      <c r="H197" s="97">
        <f t="shared" si="235"/>
        <v>34.214125343397825</v>
      </c>
      <c r="I197" s="97">
        <f t="shared" si="235"/>
        <v>34.466278779833516</v>
      </c>
      <c r="J197" s="97">
        <f t="shared" si="235"/>
        <v>41.116441234457689</v>
      </c>
      <c r="K197" s="97">
        <f t="shared" si="235"/>
        <v>32.900626430595423</v>
      </c>
      <c r="L197" s="97">
        <f t="shared" si="235"/>
        <v>35.013647287060351</v>
      </c>
      <c r="M197" s="97">
        <f t="shared" si="235"/>
        <v>34.425297427973668</v>
      </c>
      <c r="N197" s="97">
        <f t="shared" si="235"/>
        <v>32.630230528854106</v>
      </c>
      <c r="O197" s="97">
        <f t="shared" si="235"/>
        <v>32.096226630252708</v>
      </c>
      <c r="P197" s="97">
        <f t="shared" si="235"/>
        <v>32.898413464741502</v>
      </c>
      <c r="Q197" s="97">
        <f t="shared" si="235"/>
        <v>32.912093761731171</v>
      </c>
      <c r="R197" s="97">
        <f t="shared" si="235"/>
        <v>32.190200973511629</v>
      </c>
      <c r="S197" s="97">
        <f t="shared" si="235"/>
        <v>29.194070257414531</v>
      </c>
      <c r="T197" s="97">
        <f t="shared" si="235"/>
        <v>28.887297755413616</v>
      </c>
      <c r="U197" s="97">
        <f t="shared" si="235"/>
        <v>27.781262943131932</v>
      </c>
      <c r="V197" s="97">
        <f t="shared" si="235"/>
        <v>40.631194975446931</v>
      </c>
      <c r="W197" s="97">
        <f t="shared" ref="W197" si="236">IF(W45=0,0,W45/W15*1000)</f>
        <v>40.696983303804281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46.947516314692585</v>
      </c>
      <c r="C198" s="97">
        <f t="shared" si="237"/>
        <v>47.225921170897045</v>
      </c>
      <c r="D198" s="97">
        <f t="shared" si="237"/>
        <v>47.060796862493639</v>
      </c>
      <c r="E198" s="97">
        <f t="shared" si="237"/>
        <v>46.696515182891474</v>
      </c>
      <c r="F198" s="97">
        <f t="shared" si="237"/>
        <v>46.052918707581583</v>
      </c>
      <c r="G198" s="97">
        <f t="shared" si="237"/>
        <v>53.410077285693262</v>
      </c>
      <c r="H198" s="97">
        <f t="shared" si="237"/>
        <v>44.053811577136479</v>
      </c>
      <c r="I198" s="97">
        <f t="shared" si="237"/>
        <v>34.973445543925237</v>
      </c>
      <c r="J198" s="97">
        <f t="shared" si="237"/>
        <v>33.527564358145952</v>
      </c>
      <c r="K198" s="97">
        <f t="shared" si="237"/>
        <v>26.820564333246658</v>
      </c>
      <c r="L198" s="97">
        <f t="shared" si="237"/>
        <v>23.344195595302054</v>
      </c>
      <c r="M198" s="97">
        <f t="shared" si="237"/>
        <v>22.311108090331391</v>
      </c>
      <c r="N198" s="97">
        <f t="shared" si="237"/>
        <v>19.566313341053991</v>
      </c>
      <c r="O198" s="97">
        <f t="shared" si="237"/>
        <v>16.157143533462129</v>
      </c>
      <c r="P198" s="97">
        <f t="shared" si="237"/>
        <v>14.652615500240961</v>
      </c>
      <c r="Q198" s="97">
        <f t="shared" si="237"/>
        <v>16.375754364236716</v>
      </c>
      <c r="R198" s="97">
        <f t="shared" si="237"/>
        <v>13.984782727437272</v>
      </c>
      <c r="S198" s="97">
        <f t="shared" si="237"/>
        <v>15.501105963150806</v>
      </c>
      <c r="T198" s="97">
        <f t="shared" si="237"/>
        <v>16.263648251624222</v>
      </c>
      <c r="U198" s="97">
        <f t="shared" si="237"/>
        <v>15.930767635687889</v>
      </c>
      <c r="V198" s="97">
        <f t="shared" si="237"/>
        <v>48.921813585463184</v>
      </c>
      <c r="W198" s="97">
        <f t="shared" ref="W198" si="238">IF(W46=0,0,W46/W16*1000)</f>
        <v>30.108061012738716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26.947930590018775</v>
      </c>
      <c r="C199" s="32">
        <f t="shared" si="239"/>
        <v>29.009412017541347</v>
      </c>
      <c r="D199" s="32">
        <f t="shared" si="239"/>
        <v>26.341488656605218</v>
      </c>
      <c r="E199" s="32">
        <f t="shared" si="239"/>
        <v>32.94062226732305</v>
      </c>
      <c r="F199" s="32">
        <f t="shared" si="239"/>
        <v>34.38057911931817</v>
      </c>
      <c r="G199" s="32">
        <f t="shared" si="239"/>
        <v>35.595965222750522</v>
      </c>
      <c r="H199" s="32">
        <f t="shared" si="239"/>
        <v>35.440955994318564</v>
      </c>
      <c r="I199" s="32">
        <f t="shared" si="239"/>
        <v>32.754483716796955</v>
      </c>
      <c r="J199" s="32">
        <f t="shared" si="239"/>
        <v>34.472745122744854</v>
      </c>
      <c r="K199" s="32">
        <f t="shared" si="239"/>
        <v>31.353836880742925</v>
      </c>
      <c r="L199" s="32">
        <f t="shared" si="239"/>
        <v>29.603372508700758</v>
      </c>
      <c r="M199" s="32">
        <f t="shared" si="239"/>
        <v>30.969359799929869</v>
      </c>
      <c r="N199" s="32">
        <f t="shared" si="239"/>
        <v>32.029683652399498</v>
      </c>
      <c r="O199" s="32">
        <f t="shared" si="239"/>
        <v>26.795380068886733</v>
      </c>
      <c r="P199" s="32">
        <f t="shared" si="239"/>
        <v>29.930740086828177</v>
      </c>
      <c r="Q199" s="32">
        <f t="shared" si="239"/>
        <v>31.210536102622907</v>
      </c>
      <c r="R199" s="32">
        <f t="shared" si="239"/>
        <v>31.529219123304213</v>
      </c>
      <c r="S199" s="32">
        <f t="shared" si="239"/>
        <v>29.661830883712497</v>
      </c>
      <c r="T199" s="32">
        <f t="shared" si="239"/>
        <v>31.114938849716573</v>
      </c>
      <c r="U199" s="32">
        <f t="shared" si="239"/>
        <v>30.829973278976446</v>
      </c>
      <c r="V199" s="32">
        <f t="shared" si="239"/>
        <v>28.599501655614336</v>
      </c>
      <c r="W199" s="32">
        <f t="shared" ref="W199" si="240">IF(W47=0,0,W47/W17*1000)</f>
        <v>25.880408553334249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42.016320456721623</v>
      </c>
      <c r="C200" s="141">
        <f t="shared" si="241"/>
        <v>43.052319386580407</v>
      </c>
      <c r="D200" s="141">
        <f t="shared" si="241"/>
        <v>37.136946369382684</v>
      </c>
      <c r="E200" s="141">
        <f t="shared" si="241"/>
        <v>48.430676733707728</v>
      </c>
      <c r="F200" s="141">
        <f t="shared" si="241"/>
        <v>49.046160743840517</v>
      </c>
      <c r="G200" s="141">
        <f t="shared" si="241"/>
        <v>50.052366454200829</v>
      </c>
      <c r="H200" s="141">
        <f t="shared" si="241"/>
        <v>50.924832968627292</v>
      </c>
      <c r="I200" s="141">
        <f t="shared" si="241"/>
        <v>47.885618640196455</v>
      </c>
      <c r="J200" s="141">
        <f t="shared" si="241"/>
        <v>54.011885203669969</v>
      </c>
      <c r="K200" s="141">
        <f t="shared" si="241"/>
        <v>52.075204245541556</v>
      </c>
      <c r="L200" s="141">
        <f t="shared" si="241"/>
        <v>50.018205081884183</v>
      </c>
      <c r="M200" s="141">
        <f t="shared" si="241"/>
        <v>47.635626584678377</v>
      </c>
      <c r="N200" s="141">
        <f t="shared" si="241"/>
        <v>51.722311020868545</v>
      </c>
      <c r="O200" s="141">
        <f t="shared" si="241"/>
        <v>40.978723415691761</v>
      </c>
      <c r="P200" s="141">
        <f t="shared" si="241"/>
        <v>46.770136594542535</v>
      </c>
      <c r="Q200" s="141">
        <f t="shared" si="241"/>
        <v>48.269001602489382</v>
      </c>
      <c r="R200" s="141">
        <f t="shared" si="241"/>
        <v>48.338942611890857</v>
      </c>
      <c r="S200" s="141">
        <f t="shared" si="241"/>
        <v>44.912674369261417</v>
      </c>
      <c r="T200" s="141">
        <f t="shared" si="241"/>
        <v>46.674891262922877</v>
      </c>
      <c r="U200" s="141">
        <f t="shared" si="241"/>
        <v>52.224591701232541</v>
      </c>
      <c r="V200" s="141">
        <f t="shared" si="241"/>
        <v>45.514532971182398</v>
      </c>
      <c r="W200" s="141">
        <f t="shared" ref="W200" si="242">IF(W48=0,0,W48/W18*1000)</f>
        <v>43.694078658888415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306.6879076384335</v>
      </c>
      <c r="C201" s="97">
        <f t="shared" si="243"/>
        <v>310.15224510600734</v>
      </c>
      <c r="D201" s="97">
        <f t="shared" si="243"/>
        <v>310.6809671338969</v>
      </c>
      <c r="E201" s="97">
        <f t="shared" si="243"/>
        <v>299.31368806007879</v>
      </c>
      <c r="F201" s="97">
        <f t="shared" si="243"/>
        <v>282.29023860216824</v>
      </c>
      <c r="G201" s="97">
        <f t="shared" si="243"/>
        <v>275.23534196374521</v>
      </c>
      <c r="H201" s="97">
        <f t="shared" si="243"/>
        <v>257.90378008264167</v>
      </c>
      <c r="I201" s="97">
        <f t="shared" si="243"/>
        <v>245.94261174258986</v>
      </c>
      <c r="J201" s="97">
        <f t="shared" si="243"/>
        <v>240.05637171909854</v>
      </c>
      <c r="K201" s="97">
        <f t="shared" si="243"/>
        <v>233.43995480368255</v>
      </c>
      <c r="L201" s="97">
        <f t="shared" si="243"/>
        <v>229.16800666875997</v>
      </c>
      <c r="M201" s="97">
        <f t="shared" si="243"/>
        <v>228.23151589922077</v>
      </c>
      <c r="N201" s="97">
        <f t="shared" si="243"/>
        <v>227.4063253104936</v>
      </c>
      <c r="O201" s="97">
        <f t="shared" si="243"/>
        <v>225.33609511799079</v>
      </c>
      <c r="P201" s="97">
        <f t="shared" si="243"/>
        <v>224.72453379318279</v>
      </c>
      <c r="Q201" s="97">
        <f t="shared" si="243"/>
        <v>225.08934018483615</v>
      </c>
      <c r="R201" s="97">
        <f t="shared" si="243"/>
        <v>222.98782380101963</v>
      </c>
      <c r="S201" s="97">
        <f t="shared" si="243"/>
        <v>223.04870635919747</v>
      </c>
      <c r="T201" s="97">
        <f t="shared" si="243"/>
        <v>222.95574554787032</v>
      </c>
      <c r="U201" s="97">
        <f t="shared" si="243"/>
        <v>224.26443321030288</v>
      </c>
      <c r="V201" s="97">
        <f t="shared" si="243"/>
        <v>226.36683524031056</v>
      </c>
      <c r="W201" s="97">
        <f t="shared" ref="W201" si="244">IF(W49=0,0,W49/W19*1000)</f>
        <v>230.13937445199448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27.056999588134168</v>
      </c>
      <c r="C202" s="97">
        <f t="shared" si="245"/>
        <v>29.608074251541037</v>
      </c>
      <c r="D202" s="97">
        <f t="shared" si="245"/>
        <v>24.57523323011328</v>
      </c>
      <c r="E202" s="97">
        <f t="shared" si="245"/>
        <v>36.736715463450423</v>
      </c>
      <c r="F202" s="97">
        <f t="shared" si="245"/>
        <v>37.192365845668043</v>
      </c>
      <c r="G202" s="97">
        <f t="shared" si="245"/>
        <v>39.816361704291062</v>
      </c>
      <c r="H202" s="97">
        <f t="shared" si="245"/>
        <v>40.169342781121657</v>
      </c>
      <c r="I202" s="97">
        <f t="shared" si="245"/>
        <v>35.713930213665634</v>
      </c>
      <c r="J202" s="97">
        <f t="shared" si="245"/>
        <v>40.75674822313178</v>
      </c>
      <c r="K202" s="97">
        <f t="shared" si="245"/>
        <v>37.439691271730361</v>
      </c>
      <c r="L202" s="97">
        <f t="shared" si="245"/>
        <v>35.880162650601783</v>
      </c>
      <c r="M202" s="97">
        <f t="shared" si="245"/>
        <v>33.158188040475942</v>
      </c>
      <c r="N202" s="97">
        <f t="shared" si="245"/>
        <v>36.1466326385518</v>
      </c>
      <c r="O202" s="97">
        <f t="shared" si="245"/>
        <v>27.103495038689886</v>
      </c>
      <c r="P202" s="97">
        <f t="shared" si="245"/>
        <v>31.96778656105699</v>
      </c>
      <c r="Q202" s="97">
        <f t="shared" si="245"/>
        <v>33.142382522439007</v>
      </c>
      <c r="R202" s="97">
        <f t="shared" si="245"/>
        <v>33.55961441482139</v>
      </c>
      <c r="S202" s="97">
        <f t="shared" si="245"/>
        <v>33.018027265703196</v>
      </c>
      <c r="T202" s="97">
        <f t="shared" si="245"/>
        <v>34.02937777605716</v>
      </c>
      <c r="U202" s="97">
        <f t="shared" si="245"/>
        <v>36.896523929703967</v>
      </c>
      <c r="V202" s="97">
        <f t="shared" si="245"/>
        <v>33.372869026986805</v>
      </c>
      <c r="W202" s="97">
        <f t="shared" ref="W202" si="246">IF(W50=0,0,W50/W20*1000)</f>
        <v>33.854393307281512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6.5824263895408439</v>
      </c>
      <c r="C203" s="130">
        <f t="shared" si="247"/>
        <v>6.7398297817261845</v>
      </c>
      <c r="D203" s="130">
        <f t="shared" si="247"/>
        <v>6.8323912277269798</v>
      </c>
      <c r="E203" s="130">
        <f t="shared" si="247"/>
        <v>6.1857131891907553</v>
      </c>
      <c r="F203" s="130">
        <f t="shared" si="247"/>
        <v>6.2416564501385023</v>
      </c>
      <c r="G203" s="130">
        <f t="shared" si="247"/>
        <v>6.2698693359896911</v>
      </c>
      <c r="H203" s="130">
        <f t="shared" si="247"/>
        <v>5.3655218876678301</v>
      </c>
      <c r="I203" s="130">
        <f t="shared" si="247"/>
        <v>5.0151850989456674</v>
      </c>
      <c r="J203" s="130">
        <f t="shared" si="247"/>
        <v>5.9392646525732484</v>
      </c>
      <c r="K203" s="130">
        <f t="shared" si="247"/>
        <v>5.2057227615398292</v>
      </c>
      <c r="L203" s="130">
        <f t="shared" si="247"/>
        <v>4.7465408316214948</v>
      </c>
      <c r="M203" s="130">
        <f t="shared" si="247"/>
        <v>4.3608914092458724</v>
      </c>
      <c r="N203" s="130">
        <f t="shared" si="247"/>
        <v>4.4741859450207127</v>
      </c>
      <c r="O203" s="130">
        <f t="shared" si="247"/>
        <v>3.5005078470809097</v>
      </c>
      <c r="P203" s="130">
        <f t="shared" si="247"/>
        <v>3.4529878568223391</v>
      </c>
      <c r="Q203" s="130">
        <f t="shared" si="247"/>
        <v>4.0261844461626897</v>
      </c>
      <c r="R203" s="130">
        <f t="shared" si="247"/>
        <v>4.0008488290428508</v>
      </c>
      <c r="S203" s="130">
        <f t="shared" si="247"/>
        <v>3.807325080631641</v>
      </c>
      <c r="T203" s="130">
        <f t="shared" si="247"/>
        <v>3.7308390682792028</v>
      </c>
      <c r="U203" s="130">
        <f t="shared" si="247"/>
        <v>4.0478167901244717</v>
      </c>
      <c r="V203" s="130">
        <f t="shared" si="247"/>
        <v>3.8870219427962565</v>
      </c>
      <c r="W203" s="130">
        <f t="shared" ref="W203" si="248">IF(W51=0,0,W51/W21*1000)</f>
        <v>3.8935449540048461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178.5652373628713</v>
      </c>
      <c r="C204" s="130">
        <f t="shared" si="249"/>
        <v>148.84322962035074</v>
      </c>
      <c r="D204" s="130">
        <f t="shared" si="249"/>
        <v>154.26031100657082</v>
      </c>
      <c r="E204" s="130">
        <f t="shared" si="249"/>
        <v>156.14965082095554</v>
      </c>
      <c r="F204" s="130">
        <f t="shared" si="249"/>
        <v>165.26987173891385</v>
      </c>
      <c r="G204" s="130">
        <f t="shared" si="249"/>
        <v>188.78768796125019</v>
      </c>
      <c r="H204" s="130">
        <f t="shared" si="249"/>
        <v>172.60662084344489</v>
      </c>
      <c r="I204" s="130">
        <f t="shared" si="249"/>
        <v>162.32059920665338</v>
      </c>
      <c r="J204" s="130">
        <f t="shared" si="249"/>
        <v>195.7681485178916</v>
      </c>
      <c r="K204" s="130">
        <f t="shared" si="249"/>
        <v>120.04476257464989</v>
      </c>
      <c r="L204" s="130">
        <f t="shared" si="249"/>
        <v>97.037622729581201</v>
      </c>
      <c r="M204" s="130">
        <f t="shared" si="249"/>
        <v>105.3535767931907</v>
      </c>
      <c r="N204" s="130">
        <f t="shared" si="249"/>
        <v>168.33613344291425</v>
      </c>
      <c r="O204" s="130">
        <f t="shared" si="249"/>
        <v>155.33969473058852</v>
      </c>
      <c r="P204" s="130">
        <f t="shared" si="249"/>
        <v>108.38777445940906</v>
      </c>
      <c r="Q204" s="130">
        <f t="shared" si="249"/>
        <v>76.1826944782634</v>
      </c>
      <c r="R204" s="130">
        <f t="shared" si="249"/>
        <v>58.884275460291761</v>
      </c>
      <c r="S204" s="130">
        <f t="shared" si="249"/>
        <v>61.562381536493866</v>
      </c>
      <c r="T204" s="130">
        <f t="shared" si="249"/>
        <v>72.347905408105888</v>
      </c>
      <c r="U204" s="130">
        <f t="shared" si="249"/>
        <v>100.75951996206938</v>
      </c>
      <c r="V204" s="130">
        <f t="shared" si="249"/>
        <v>191.42450629045777</v>
      </c>
      <c r="W204" s="130">
        <f t="shared" ref="W204" si="250">IF(W52=0,0,W52/W22*1000)</f>
        <v>178.9502467679807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220.76395992404372</v>
      </c>
      <c r="C206" s="97">
        <f t="shared" si="253"/>
        <v>212.87353419574779</v>
      </c>
      <c r="D206" s="97">
        <f t="shared" si="253"/>
        <v>226.11486719067827</v>
      </c>
      <c r="E206" s="97">
        <f t="shared" si="253"/>
        <v>221.15795295249617</v>
      </c>
      <c r="F206" s="97">
        <f t="shared" si="253"/>
        <v>243.51354633926667</v>
      </c>
      <c r="G206" s="97">
        <f t="shared" si="253"/>
        <v>253.46872577183305</v>
      </c>
      <c r="H206" s="97">
        <f t="shared" si="253"/>
        <v>240.10841695755633</v>
      </c>
      <c r="I206" s="97">
        <f t="shared" si="253"/>
        <v>244.94080364093816</v>
      </c>
      <c r="J206" s="97">
        <f t="shared" si="253"/>
        <v>298.53337825030394</v>
      </c>
      <c r="K206" s="97">
        <f t="shared" si="253"/>
        <v>233.36153007386812</v>
      </c>
      <c r="L206" s="97">
        <f t="shared" si="253"/>
        <v>242.33505405526364</v>
      </c>
      <c r="M206" s="97">
        <f t="shared" si="253"/>
        <v>249.32336500914732</v>
      </c>
      <c r="N206" s="97">
        <f t="shared" si="253"/>
        <v>245.04497807791327</v>
      </c>
      <c r="O206" s="97">
        <f t="shared" si="253"/>
        <v>240.89672231997434</v>
      </c>
      <c r="P206" s="97">
        <f t="shared" si="253"/>
        <v>207.16384997573761</v>
      </c>
      <c r="Q206" s="97">
        <f t="shared" si="253"/>
        <v>212.03800184886404</v>
      </c>
      <c r="R206" s="97">
        <f t="shared" si="253"/>
        <v>183.97228189045916</v>
      </c>
      <c r="S206" s="97">
        <f t="shared" si="253"/>
        <v>187.26245807813152</v>
      </c>
      <c r="T206" s="97">
        <f t="shared" si="253"/>
        <v>178.31737516679621</v>
      </c>
      <c r="U206" s="97">
        <f t="shared" si="253"/>
        <v>158.93598052041818</v>
      </c>
      <c r="V206" s="97">
        <f t="shared" si="253"/>
        <v>276.71315219760578</v>
      </c>
      <c r="W206" s="97">
        <f t="shared" ref="W206" si="254">IF(W54=0,0,W54/W24*1000)</f>
        <v>285.87413810844822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91.015866037943724</v>
      </c>
      <c r="C207" s="97">
        <f t="shared" si="255"/>
        <v>87.599220617080817</v>
      </c>
      <c r="D207" s="97">
        <f t="shared" si="255"/>
        <v>92.711268580754847</v>
      </c>
      <c r="E207" s="97">
        <f t="shared" si="255"/>
        <v>102.0833061270426</v>
      </c>
      <c r="F207" s="97">
        <f t="shared" si="255"/>
        <v>104.91900744189849</v>
      </c>
      <c r="G207" s="97">
        <f t="shared" si="255"/>
        <v>131.09988637990912</v>
      </c>
      <c r="H207" s="97">
        <f t="shared" si="255"/>
        <v>111.58846127207477</v>
      </c>
      <c r="I207" s="97">
        <f t="shared" si="255"/>
        <v>91.007016498560233</v>
      </c>
      <c r="J207" s="97">
        <f t="shared" si="255"/>
        <v>86.427458746255681</v>
      </c>
      <c r="K207" s="97">
        <f t="shared" si="255"/>
        <v>64.609139797204747</v>
      </c>
      <c r="L207" s="97">
        <f t="shared" si="255"/>
        <v>59.487562859408236</v>
      </c>
      <c r="M207" s="97">
        <f t="shared" si="255"/>
        <v>54.864470256141466</v>
      </c>
      <c r="N207" s="97">
        <f t="shared" si="255"/>
        <v>62.644956901665466</v>
      </c>
      <c r="O207" s="97">
        <f t="shared" si="255"/>
        <v>50.729932428072416</v>
      </c>
      <c r="P207" s="97">
        <f t="shared" si="255"/>
        <v>35.048382906001194</v>
      </c>
      <c r="Q207" s="97">
        <f t="shared" si="255"/>
        <v>35.223929622222997</v>
      </c>
      <c r="R207" s="97">
        <f t="shared" si="255"/>
        <v>27.353908761797722</v>
      </c>
      <c r="S207" s="97">
        <f t="shared" si="255"/>
        <v>30.864432506251021</v>
      </c>
      <c r="T207" s="97">
        <f t="shared" si="255"/>
        <v>30.153224998307152</v>
      </c>
      <c r="U207" s="97">
        <f t="shared" si="255"/>
        <v>35.139319808894363</v>
      </c>
      <c r="V207" s="97">
        <f t="shared" si="255"/>
        <v>122.19852811859421</v>
      </c>
      <c r="W207" s="97">
        <f t="shared" ref="W207" si="256">IF(W55=0,0,W55/W25*1000)</f>
        <v>80.763331867495552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8.1150159744408938</v>
      </c>
      <c r="C208" s="130">
        <f t="shared" si="257"/>
        <v>8.196172248803828</v>
      </c>
      <c r="D208" s="130">
        <f t="shared" si="257"/>
        <v>7.7700534759358284</v>
      </c>
      <c r="E208" s="130">
        <f t="shared" si="257"/>
        <v>8.6590538336052187</v>
      </c>
      <c r="F208" s="130">
        <f t="shared" si="257"/>
        <v>13.599713055954087</v>
      </c>
      <c r="G208" s="130">
        <f t="shared" si="257"/>
        <v>13.47556142668428</v>
      </c>
      <c r="H208" s="130">
        <f t="shared" si="257"/>
        <v>12.219108280254778</v>
      </c>
      <c r="I208" s="130">
        <f t="shared" si="257"/>
        <v>8.8882294757665701</v>
      </c>
      <c r="J208" s="130">
        <f t="shared" si="257"/>
        <v>9.267128027681661</v>
      </c>
      <c r="K208" s="130">
        <f t="shared" si="257"/>
        <v>10.140544518027962</v>
      </c>
      <c r="L208" s="130">
        <f t="shared" si="257"/>
        <v>9.4545304232804224</v>
      </c>
      <c r="M208" s="130">
        <f t="shared" si="257"/>
        <v>10.255684454756379</v>
      </c>
      <c r="N208" s="130">
        <f t="shared" si="257"/>
        <v>9.5746868573565163</v>
      </c>
      <c r="O208" s="130">
        <f t="shared" si="257"/>
        <v>9.471343505768516</v>
      </c>
      <c r="P208" s="130">
        <f t="shared" si="257"/>
        <v>10.395743003547496</v>
      </c>
      <c r="Q208" s="130">
        <f t="shared" si="257"/>
        <v>11.648078641644327</v>
      </c>
      <c r="R208" s="130">
        <f t="shared" si="257"/>
        <v>11.362972430162499</v>
      </c>
      <c r="S208" s="130">
        <f t="shared" si="257"/>
        <v>11.516385679105891</v>
      </c>
      <c r="T208" s="130">
        <f t="shared" si="257"/>
        <v>14.089337175792506</v>
      </c>
      <c r="U208" s="130">
        <f t="shared" si="257"/>
        <v>13.760184080449973</v>
      </c>
      <c r="V208" s="130">
        <f t="shared" si="257"/>
        <v>13.963235294117647</v>
      </c>
      <c r="W208" s="130">
        <f t="shared" ref="W208" si="258">IF(W56=0,0,W56/W26*1000)</f>
        <v>2.0590561654703264E-2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8.1150159744408938</v>
      </c>
      <c r="C210" s="98">
        <f t="shared" si="261"/>
        <v>8.196172248803828</v>
      </c>
      <c r="D210" s="98">
        <f t="shared" si="261"/>
        <v>7.7700534759358284</v>
      </c>
      <c r="E210" s="98">
        <f t="shared" si="261"/>
        <v>8.6590538336052187</v>
      </c>
      <c r="F210" s="98">
        <f t="shared" si="261"/>
        <v>13.599713055954087</v>
      </c>
      <c r="G210" s="98">
        <f t="shared" si="261"/>
        <v>13.47556142668428</v>
      </c>
      <c r="H210" s="98">
        <f t="shared" si="261"/>
        <v>12.219108280254778</v>
      </c>
      <c r="I210" s="98">
        <f t="shared" si="261"/>
        <v>8.8882294757665701</v>
      </c>
      <c r="J210" s="98">
        <f t="shared" si="261"/>
        <v>9.267128027681661</v>
      </c>
      <c r="K210" s="98">
        <f t="shared" si="261"/>
        <v>10.140544518027962</v>
      </c>
      <c r="L210" s="98">
        <f t="shared" si="261"/>
        <v>9.4545304232804224</v>
      </c>
      <c r="M210" s="98">
        <f t="shared" si="261"/>
        <v>10.255684454756379</v>
      </c>
      <c r="N210" s="98">
        <f t="shared" si="261"/>
        <v>9.5746868573565163</v>
      </c>
      <c r="O210" s="98">
        <f t="shared" si="261"/>
        <v>9.471343505768516</v>
      </c>
      <c r="P210" s="98">
        <f t="shared" si="261"/>
        <v>10.395743003547496</v>
      </c>
      <c r="Q210" s="98">
        <f t="shared" si="261"/>
        <v>11.648078641644327</v>
      </c>
      <c r="R210" s="98">
        <f t="shared" si="261"/>
        <v>11.362972430162499</v>
      </c>
      <c r="S210" s="98">
        <f t="shared" si="261"/>
        <v>11.516385679105891</v>
      </c>
      <c r="T210" s="98">
        <f t="shared" si="261"/>
        <v>14.089337175792506</v>
      </c>
      <c r="U210" s="98">
        <f t="shared" si="261"/>
        <v>13.760184080449973</v>
      </c>
      <c r="V210" s="98">
        <f t="shared" si="261"/>
        <v>13.963235294117647</v>
      </c>
      <c r="W210" s="98">
        <f t="shared" ref="W210:W213" si="262">IF(W58=0,0,W58/W28*1000)</f>
        <v>2.0590561654703264E-2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2.3094223110344321</v>
      </c>
      <c r="C211" s="32">
        <f t="shared" si="263"/>
        <v>2.3307767049992245</v>
      </c>
      <c r="D211" s="32">
        <f t="shared" si="263"/>
        <v>2.6235831852752183</v>
      </c>
      <c r="E211" s="32">
        <f t="shared" si="263"/>
        <v>2.9853285515622821</v>
      </c>
      <c r="F211" s="32">
        <f t="shared" si="263"/>
        <v>2.4560821296321089</v>
      </c>
      <c r="G211" s="32">
        <f t="shared" si="263"/>
        <v>2.2409150370987785</v>
      </c>
      <c r="H211" s="32">
        <f t="shared" si="263"/>
        <v>1.9421921222341689</v>
      </c>
      <c r="I211" s="32">
        <f t="shared" si="263"/>
        <v>1.3289176385022778</v>
      </c>
      <c r="J211" s="32">
        <f t="shared" si="263"/>
        <v>3.1354305118931372</v>
      </c>
      <c r="K211" s="32">
        <f t="shared" si="263"/>
        <v>6.1907699982839164</v>
      </c>
      <c r="L211" s="32">
        <f t="shared" si="263"/>
        <v>2.82530763617229</v>
      </c>
      <c r="M211" s="32">
        <f t="shared" si="263"/>
        <v>2.3504602225834721</v>
      </c>
      <c r="N211" s="32">
        <f t="shared" si="263"/>
        <v>2.0157817689257693</v>
      </c>
      <c r="O211" s="32">
        <f t="shared" si="263"/>
        <v>2.0908144872169827</v>
      </c>
      <c r="P211" s="32">
        <f t="shared" si="263"/>
        <v>1.8239886925987103</v>
      </c>
      <c r="Q211" s="32">
        <f t="shared" si="263"/>
        <v>1.9991693947516089</v>
      </c>
      <c r="R211" s="32">
        <f t="shared" si="263"/>
        <v>1.6306840657889166</v>
      </c>
      <c r="S211" s="32">
        <f t="shared" si="263"/>
        <v>1.6673188146783327</v>
      </c>
      <c r="T211" s="32">
        <f t="shared" si="263"/>
        <v>1.7300312588750015</v>
      </c>
      <c r="U211" s="32">
        <f t="shared" si="263"/>
        <v>1.4896557841764129</v>
      </c>
      <c r="V211" s="32">
        <f t="shared" si="263"/>
        <v>2.1998302023635139</v>
      </c>
      <c r="W211" s="32">
        <f t="shared" si="262"/>
        <v>1.876919374285317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4.0551223862995629</v>
      </c>
      <c r="C212" s="97">
        <f t="shared" si="264"/>
        <v>4.1522038077386165</v>
      </c>
      <c r="D212" s="97">
        <f t="shared" si="264"/>
        <v>4.54538300526987</v>
      </c>
      <c r="E212" s="97">
        <f t="shared" si="264"/>
        <v>6.5679223293082343</v>
      </c>
      <c r="F212" s="97">
        <f t="shared" si="264"/>
        <v>5.6392804336173672</v>
      </c>
      <c r="G212" s="97">
        <f t="shared" si="264"/>
        <v>5.2618132726010129</v>
      </c>
      <c r="H212" s="97">
        <f t="shared" si="264"/>
        <v>4.2368744778454683</v>
      </c>
      <c r="I212" s="97">
        <f t="shared" si="264"/>
        <v>3.4344118449919181</v>
      </c>
      <c r="J212" s="97">
        <f t="shared" si="264"/>
        <v>7.2586802604597045</v>
      </c>
      <c r="K212" s="97">
        <f t="shared" si="264"/>
        <v>9.8228836590176876</v>
      </c>
      <c r="L212" s="97">
        <f t="shared" si="264"/>
        <v>4.8280803480778527</v>
      </c>
      <c r="M212" s="97">
        <f t="shared" si="264"/>
        <v>3.378188381542075</v>
      </c>
      <c r="N212" s="97">
        <f t="shared" si="264"/>
        <v>3.0211050316145625</v>
      </c>
      <c r="O212" s="97">
        <f t="shared" si="264"/>
        <v>3.1953768189575666</v>
      </c>
      <c r="P212" s="97">
        <f t="shared" si="264"/>
        <v>3.2352516214763165</v>
      </c>
      <c r="Q212" s="97">
        <f t="shared" si="264"/>
        <v>3.9652748410853937</v>
      </c>
      <c r="R212" s="97">
        <f t="shared" si="264"/>
        <v>2.8368949642158374</v>
      </c>
      <c r="S212" s="97">
        <f t="shared" si="264"/>
        <v>2.7341699565840654</v>
      </c>
      <c r="T212" s="97">
        <f t="shared" si="264"/>
        <v>2.5809420059149826</v>
      </c>
      <c r="U212" s="97">
        <f t="shared" si="264"/>
        <v>2.3620433986503646</v>
      </c>
      <c r="V212" s="97">
        <f t="shared" si="264"/>
        <v>3.1596853145043249</v>
      </c>
      <c r="W212" s="97">
        <f t="shared" si="262"/>
        <v>3.0492436364594444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1.7612980771083961</v>
      </c>
      <c r="C213" s="98">
        <f t="shared" si="265"/>
        <v>1.7734851284546997</v>
      </c>
      <c r="D213" s="98">
        <f t="shared" si="265"/>
        <v>2.0020456657716279</v>
      </c>
      <c r="E213" s="98">
        <f t="shared" si="265"/>
        <v>2.3336283124638264</v>
      </c>
      <c r="F213" s="98">
        <f t="shared" si="265"/>
        <v>1.9488124583443034</v>
      </c>
      <c r="G213" s="98">
        <f t="shared" si="265"/>
        <v>1.7766587275134689</v>
      </c>
      <c r="H213" s="98">
        <f t="shared" si="265"/>
        <v>1.5148648662408464</v>
      </c>
      <c r="I213" s="98">
        <f t="shared" si="265"/>
        <v>1.0892566983928647</v>
      </c>
      <c r="J213" s="98">
        <f t="shared" si="265"/>
        <v>2.5153237222212721</v>
      </c>
      <c r="K213" s="98">
        <f t="shared" si="265"/>
        <v>4.7561368475945516</v>
      </c>
      <c r="L213" s="98">
        <f t="shared" si="265"/>
        <v>2.217325014736272</v>
      </c>
      <c r="M213" s="98">
        <f t="shared" si="265"/>
        <v>1.9098852671410713</v>
      </c>
      <c r="N213" s="98">
        <f t="shared" si="265"/>
        <v>1.613288744137459</v>
      </c>
      <c r="O213" s="98">
        <f t="shared" si="265"/>
        <v>1.6306313159959791</v>
      </c>
      <c r="P213" s="98">
        <f t="shared" si="265"/>
        <v>1.377573020316665</v>
      </c>
      <c r="Q213" s="98">
        <f t="shared" si="265"/>
        <v>1.5054731256613958</v>
      </c>
      <c r="R213" s="98">
        <f t="shared" si="265"/>
        <v>1.2324421250414543</v>
      </c>
      <c r="S213" s="98">
        <f t="shared" si="265"/>
        <v>1.2596353148483626</v>
      </c>
      <c r="T213" s="98">
        <f t="shared" si="265"/>
        <v>1.3451701671559053</v>
      </c>
      <c r="U213" s="98">
        <f t="shared" si="265"/>
        <v>1.1420903062016166</v>
      </c>
      <c r="V213" s="98">
        <f t="shared" si="265"/>
        <v>1.8047779859245603</v>
      </c>
      <c r="W213" s="98">
        <f t="shared" si="262"/>
        <v>1.5137401939745208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89.127321738939088</v>
      </c>
      <c r="C216" s="32">
        <f t="shared" si="266"/>
        <v>90.74595032312655</v>
      </c>
      <c r="D216" s="32">
        <f t="shared" si="266"/>
        <v>91.057434982208036</v>
      </c>
      <c r="E216" s="32">
        <f t="shared" si="266"/>
        <v>99.014836588712441</v>
      </c>
      <c r="F216" s="32">
        <f t="shared" si="266"/>
        <v>101.87523484787459</v>
      </c>
      <c r="G216" s="32">
        <f t="shared" si="266"/>
        <v>106.08567786454971</v>
      </c>
      <c r="H216" s="32">
        <f t="shared" si="266"/>
        <v>107.06903359804447</v>
      </c>
      <c r="I216" s="32">
        <f t="shared" si="266"/>
        <v>98.310070334145706</v>
      </c>
      <c r="J216" s="32">
        <f t="shared" si="266"/>
        <v>98.199941719462217</v>
      </c>
      <c r="K216" s="32">
        <f t="shared" si="266"/>
        <v>98.336627164132267</v>
      </c>
      <c r="L216" s="32">
        <f t="shared" si="266"/>
        <v>94.336572436707058</v>
      </c>
      <c r="M216" s="32">
        <f t="shared" si="266"/>
        <v>92.403242884415505</v>
      </c>
      <c r="N216" s="32">
        <f t="shared" si="266"/>
        <v>93.855784770200984</v>
      </c>
      <c r="O216" s="32">
        <f t="shared" si="266"/>
        <v>80.953820993681092</v>
      </c>
      <c r="P216" s="32">
        <f t="shared" si="266"/>
        <v>87.414517250439488</v>
      </c>
      <c r="Q216" s="32">
        <f t="shared" si="266"/>
        <v>91.269372186678837</v>
      </c>
      <c r="R216" s="32">
        <f t="shared" si="266"/>
        <v>93.267665320445843</v>
      </c>
      <c r="S216" s="32">
        <f t="shared" si="266"/>
        <v>94.603044579913899</v>
      </c>
      <c r="T216" s="32">
        <f t="shared" si="266"/>
        <v>99.592410845687539</v>
      </c>
      <c r="U216" s="32">
        <f t="shared" si="266"/>
        <v>102.60399663786798</v>
      </c>
      <c r="V216" s="32">
        <f t="shared" si="266"/>
        <v>121.83306316895924</v>
      </c>
      <c r="W216" s="32">
        <f t="shared" ref="W216" si="267">IF(W4=0,0,W64/W4*1000)</f>
        <v>127.90107515773499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93.16958188563305</v>
      </c>
      <c r="C217" s="141">
        <f t="shared" si="268"/>
        <v>92.032098582031054</v>
      </c>
      <c r="D217" s="141">
        <f t="shared" si="268"/>
        <v>92.462702927787788</v>
      </c>
      <c r="E217" s="141">
        <f t="shared" si="268"/>
        <v>101.37156097005742</v>
      </c>
      <c r="F217" s="141">
        <f t="shared" si="268"/>
        <v>104.59662424961178</v>
      </c>
      <c r="G217" s="141">
        <f t="shared" si="268"/>
        <v>108.72926862032884</v>
      </c>
      <c r="H217" s="141">
        <f t="shared" si="268"/>
        <v>110.84810513652035</v>
      </c>
      <c r="I217" s="141">
        <f t="shared" si="268"/>
        <v>100.01153629626664</v>
      </c>
      <c r="J217" s="141">
        <f t="shared" si="268"/>
        <v>99.603474100163979</v>
      </c>
      <c r="K217" s="141">
        <f t="shared" si="268"/>
        <v>101.70194473908573</v>
      </c>
      <c r="L217" s="141">
        <f t="shared" si="268"/>
        <v>97.620086342357453</v>
      </c>
      <c r="M217" s="141">
        <f t="shared" si="268"/>
        <v>95.196233518847521</v>
      </c>
      <c r="N217" s="141">
        <f t="shared" si="268"/>
        <v>97.620006060181325</v>
      </c>
      <c r="O217" s="141">
        <f t="shared" si="268"/>
        <v>83.454448013446694</v>
      </c>
      <c r="P217" s="141">
        <f t="shared" si="268"/>
        <v>90.41666791113721</v>
      </c>
      <c r="Q217" s="141">
        <f t="shared" si="268"/>
        <v>93.907899002665516</v>
      </c>
      <c r="R217" s="141">
        <f t="shared" si="268"/>
        <v>96.47540435258226</v>
      </c>
      <c r="S217" s="141">
        <f t="shared" si="268"/>
        <v>99.012537040386022</v>
      </c>
      <c r="T217" s="141">
        <f t="shared" si="268"/>
        <v>105.42627343689233</v>
      </c>
      <c r="U217" s="141">
        <f t="shared" si="268"/>
        <v>109.53696839010648</v>
      </c>
      <c r="V217" s="141">
        <f t="shared" si="268"/>
        <v>125.2219455729269</v>
      </c>
      <c r="W217" s="141">
        <f t="shared" ref="W217" si="269">IF(W5=0,0,W65/W5*1000)</f>
        <v>132.78649849655901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110.78742978842952</v>
      </c>
      <c r="C218" s="97">
        <f t="shared" si="270"/>
        <v>110.40081648734758</v>
      </c>
      <c r="D218" s="97">
        <f t="shared" si="270"/>
        <v>109.9274817405008</v>
      </c>
      <c r="E218" s="97">
        <f t="shared" si="270"/>
        <v>109.28189796335542</v>
      </c>
      <c r="F218" s="97">
        <f t="shared" si="270"/>
        <v>103.81439420065445</v>
      </c>
      <c r="G218" s="97">
        <f t="shared" si="270"/>
        <v>103.70732672783352</v>
      </c>
      <c r="H218" s="97">
        <f t="shared" si="270"/>
        <v>103.44797300598532</v>
      </c>
      <c r="I218" s="97">
        <f t="shared" si="270"/>
        <v>101.51128609301259</v>
      </c>
      <c r="J218" s="97">
        <f t="shared" si="270"/>
        <v>99.45085869456382</v>
      </c>
      <c r="K218" s="97">
        <f t="shared" si="270"/>
        <v>97.969596757160758</v>
      </c>
      <c r="L218" s="97">
        <f t="shared" si="270"/>
        <v>97.058285873686728</v>
      </c>
      <c r="M218" s="97">
        <f t="shared" si="270"/>
        <v>95.94407082325742</v>
      </c>
      <c r="N218" s="97">
        <f t="shared" si="270"/>
        <v>95.290470775303248</v>
      </c>
      <c r="O218" s="97">
        <f t="shared" si="270"/>
        <v>92.432286492693152</v>
      </c>
      <c r="P218" s="97">
        <f t="shared" si="270"/>
        <v>90.388371820140762</v>
      </c>
      <c r="Q218" s="97">
        <f t="shared" si="270"/>
        <v>86.361973516737976</v>
      </c>
      <c r="R218" s="97">
        <f t="shared" si="270"/>
        <v>84.792235819685942</v>
      </c>
      <c r="S218" s="97">
        <f t="shared" si="270"/>
        <v>85.350091469824974</v>
      </c>
      <c r="T218" s="97">
        <f t="shared" si="270"/>
        <v>83.933374040338776</v>
      </c>
      <c r="U218" s="97">
        <f t="shared" si="270"/>
        <v>82.833063074144221</v>
      </c>
      <c r="V218" s="97">
        <f t="shared" si="270"/>
        <v>83.030026469963687</v>
      </c>
      <c r="W218" s="97">
        <f t="shared" ref="W218" si="271">IF(W6=0,0,W66/W6*1000)</f>
        <v>79.22132193691418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112.26349766566656</v>
      </c>
      <c r="C219" s="97">
        <f t="shared" si="272"/>
        <v>110.16985770784243</v>
      </c>
      <c r="D219" s="97">
        <f t="shared" si="272"/>
        <v>112.42277849318357</v>
      </c>
      <c r="E219" s="97">
        <f t="shared" si="272"/>
        <v>121.29566864462814</v>
      </c>
      <c r="F219" s="97">
        <f t="shared" si="272"/>
        <v>122.497786708362</v>
      </c>
      <c r="G219" s="97">
        <f t="shared" si="272"/>
        <v>127.78084397918046</v>
      </c>
      <c r="H219" s="97">
        <f t="shared" si="272"/>
        <v>128.28029094800229</v>
      </c>
      <c r="I219" s="97">
        <f t="shared" si="272"/>
        <v>112.98970651465675</v>
      </c>
      <c r="J219" s="97">
        <f t="shared" si="272"/>
        <v>114.01876666040582</v>
      </c>
      <c r="K219" s="97">
        <f t="shared" si="272"/>
        <v>107.7179097119048</v>
      </c>
      <c r="L219" s="97">
        <f t="shared" si="272"/>
        <v>104.37983260004256</v>
      </c>
      <c r="M219" s="97">
        <f t="shared" si="272"/>
        <v>100.21687407737654</v>
      </c>
      <c r="N219" s="97">
        <f t="shared" si="272"/>
        <v>104.14679020993172</v>
      </c>
      <c r="O219" s="97">
        <f t="shared" si="272"/>
        <v>87.935397785131812</v>
      </c>
      <c r="P219" s="97">
        <f t="shared" si="272"/>
        <v>98.188839164978788</v>
      </c>
      <c r="Q219" s="97">
        <f t="shared" si="272"/>
        <v>102.8047039260687</v>
      </c>
      <c r="R219" s="97">
        <f t="shared" si="272"/>
        <v>106.18281471686322</v>
      </c>
      <c r="S219" s="97">
        <f t="shared" si="272"/>
        <v>107.03824207278205</v>
      </c>
      <c r="T219" s="97">
        <f t="shared" si="272"/>
        <v>113.32155216154152</v>
      </c>
      <c r="U219" s="97">
        <f t="shared" si="272"/>
        <v>118.89002120204432</v>
      </c>
      <c r="V219" s="97">
        <f t="shared" si="272"/>
        <v>125.461035601242</v>
      </c>
      <c r="W219" s="97">
        <f t="shared" ref="W219" si="273">IF(W7=0,0,W67/W7*1000)</f>
        <v>133.59023338527095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57.565354377012397</v>
      </c>
      <c r="C220" s="97">
        <f t="shared" si="274"/>
        <v>57.801609845649665</v>
      </c>
      <c r="D220" s="97">
        <f t="shared" si="274"/>
        <v>57.676279987500429</v>
      </c>
      <c r="E220" s="97">
        <f t="shared" si="274"/>
        <v>58.702701735355362</v>
      </c>
      <c r="F220" s="97">
        <f t="shared" si="274"/>
        <v>59.553404444692291</v>
      </c>
      <c r="G220" s="97">
        <f t="shared" si="274"/>
        <v>60.021228183612251</v>
      </c>
      <c r="H220" s="97">
        <f t="shared" si="274"/>
        <v>60.436653264088058</v>
      </c>
      <c r="I220" s="97">
        <f t="shared" si="274"/>
        <v>61.328394281351919</v>
      </c>
      <c r="J220" s="97">
        <f t="shared" si="274"/>
        <v>54.609958831366512</v>
      </c>
      <c r="K220" s="97">
        <f t="shared" si="274"/>
        <v>75.238317699389327</v>
      </c>
      <c r="L220" s="97">
        <f t="shared" si="274"/>
        <v>67.778427139211757</v>
      </c>
      <c r="M220" s="97">
        <f t="shared" si="274"/>
        <v>72.897305522725262</v>
      </c>
      <c r="N220" s="97">
        <f t="shared" si="274"/>
        <v>66.818124424345086</v>
      </c>
      <c r="O220" s="97">
        <f t="shared" si="274"/>
        <v>60.535692928429093</v>
      </c>
      <c r="P220" s="97">
        <f t="shared" si="274"/>
        <v>53.879183412365322</v>
      </c>
      <c r="Q220" s="97">
        <f t="shared" si="274"/>
        <v>53.958182657501112</v>
      </c>
      <c r="R220" s="97">
        <f t="shared" si="274"/>
        <v>52.278912775970603</v>
      </c>
      <c r="S220" s="97">
        <f t="shared" si="274"/>
        <v>56.214546566772896</v>
      </c>
      <c r="T220" s="97">
        <f t="shared" si="274"/>
        <v>61.423466603105027</v>
      </c>
      <c r="U220" s="97">
        <f t="shared" si="274"/>
        <v>61.440918716918475</v>
      </c>
      <c r="V220" s="97">
        <f t="shared" si="274"/>
        <v>129.2151779386908</v>
      </c>
      <c r="W220" s="97">
        <f t="shared" ref="W220" si="275">IF(W8=0,0,W68/W8*1000)</f>
        <v>132.91918863935717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14.452998784116071</v>
      </c>
      <c r="C221" s="130">
        <f t="shared" si="276"/>
        <v>13.681685082662224</v>
      </c>
      <c r="D221" s="130">
        <f t="shared" si="276"/>
        <v>13.482063792534637</v>
      </c>
      <c r="E221" s="130">
        <f t="shared" si="276"/>
        <v>10.882085881054962</v>
      </c>
      <c r="F221" s="130">
        <f t="shared" si="276"/>
        <v>11.85772169759745</v>
      </c>
      <c r="G221" s="130">
        <f t="shared" si="276"/>
        <v>13.049753606518406</v>
      </c>
      <c r="H221" s="130">
        <f t="shared" si="276"/>
        <v>15.609943074725765</v>
      </c>
      <c r="I221" s="130">
        <f t="shared" si="276"/>
        <v>13.200411646209789</v>
      </c>
      <c r="J221" s="130">
        <f t="shared" si="276"/>
        <v>16.454238224894084</v>
      </c>
      <c r="K221" s="130">
        <f t="shared" si="276"/>
        <v>11.628129790691835</v>
      </c>
      <c r="L221" s="130">
        <f t="shared" si="276"/>
        <v>11.790420170841351</v>
      </c>
      <c r="M221" s="130">
        <f t="shared" si="276"/>
        <v>10.487161138642653</v>
      </c>
      <c r="N221" s="130">
        <f t="shared" si="276"/>
        <v>15.120059145493741</v>
      </c>
      <c r="O221" s="130">
        <f t="shared" si="276"/>
        <v>9.561468135567134</v>
      </c>
      <c r="P221" s="130">
        <f t="shared" si="276"/>
        <v>7.9828438411395712</v>
      </c>
      <c r="Q221" s="130">
        <f t="shared" si="276"/>
        <v>10.332134696724168</v>
      </c>
      <c r="R221" s="130">
        <f t="shared" si="276"/>
        <v>9.7748257573836508</v>
      </c>
      <c r="S221" s="130">
        <f t="shared" si="276"/>
        <v>8.9004465978455212</v>
      </c>
      <c r="T221" s="130">
        <f t="shared" si="276"/>
        <v>6.9588108806041689</v>
      </c>
      <c r="U221" s="130">
        <f t="shared" si="276"/>
        <v>6.5242583257318136</v>
      </c>
      <c r="V221" s="130">
        <f t="shared" si="276"/>
        <v>6.6464383233180993</v>
      </c>
      <c r="W221" s="130">
        <f t="shared" ref="W221" si="277">IF(W9=0,0,W69/W9*1000)</f>
        <v>6.5641276235962884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16.197182681162335</v>
      </c>
      <c r="C223" s="97">
        <f t="shared" si="280"/>
        <v>15.827742040444358</v>
      </c>
      <c r="D223" s="97">
        <f t="shared" si="280"/>
        <v>15.744642627617434</v>
      </c>
      <c r="E223" s="97">
        <f t="shared" si="280"/>
        <v>12.983275288362357</v>
      </c>
      <c r="F223" s="97">
        <f t="shared" si="280"/>
        <v>14.02802017802294</v>
      </c>
      <c r="G223" s="97">
        <f t="shared" si="280"/>
        <v>15.420449740980102</v>
      </c>
      <c r="H223" s="97">
        <f t="shared" si="280"/>
        <v>18.497555937159479</v>
      </c>
      <c r="I223" s="97">
        <f t="shared" si="280"/>
        <v>15.632933426272574</v>
      </c>
      <c r="J223" s="97">
        <f t="shared" si="280"/>
        <v>19.905580381691031</v>
      </c>
      <c r="K223" s="97">
        <f t="shared" si="280"/>
        <v>15.370016271513158</v>
      </c>
      <c r="L223" s="97">
        <f t="shared" si="280"/>
        <v>16.918406742752733</v>
      </c>
      <c r="M223" s="97">
        <f t="shared" si="280"/>
        <v>14.928542640777861</v>
      </c>
      <c r="N223" s="97">
        <f t="shared" si="280"/>
        <v>23.367364133944871</v>
      </c>
      <c r="O223" s="97">
        <f t="shared" si="280"/>
        <v>14.864643762652692</v>
      </c>
      <c r="P223" s="97">
        <f t="shared" si="280"/>
        <v>11.410107186363804</v>
      </c>
      <c r="Q223" s="97">
        <f t="shared" si="280"/>
        <v>15.271268612773824</v>
      </c>
      <c r="R223" s="97">
        <f t="shared" si="280"/>
        <v>15.250071800179306</v>
      </c>
      <c r="S223" s="97">
        <f t="shared" si="280"/>
        <v>15.541644547423422</v>
      </c>
      <c r="T223" s="97">
        <f t="shared" si="280"/>
        <v>12.074196927660756</v>
      </c>
      <c r="U223" s="97">
        <f t="shared" si="280"/>
        <v>11.048316401601111</v>
      </c>
      <c r="V223" s="97">
        <f t="shared" si="280"/>
        <v>10.748444086367732</v>
      </c>
      <c r="W223" s="97">
        <f t="shared" ref="W223" si="281">IF(W11=0,0,W71/W11*1000)</f>
        <v>10.656476516112679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147.98587835519211</v>
      </c>
      <c r="C225" s="130">
        <f t="shared" si="284"/>
        <v>168.9418325343824</v>
      </c>
      <c r="D225" s="130">
        <f t="shared" si="284"/>
        <v>144.04337149497925</v>
      </c>
      <c r="E225" s="130">
        <f t="shared" si="284"/>
        <v>137.8164742231784</v>
      </c>
      <c r="F225" s="130">
        <f t="shared" si="284"/>
        <v>136.30556797995746</v>
      </c>
      <c r="G225" s="130">
        <f t="shared" si="284"/>
        <v>136.12443156847527</v>
      </c>
      <c r="H225" s="130">
        <f t="shared" si="284"/>
        <v>120.66431249969902</v>
      </c>
      <c r="I225" s="130">
        <f t="shared" si="284"/>
        <v>126.93687645899379</v>
      </c>
      <c r="J225" s="130">
        <f t="shared" si="284"/>
        <v>126.20146185413056</v>
      </c>
      <c r="K225" s="130">
        <f t="shared" si="284"/>
        <v>109.28588461209456</v>
      </c>
      <c r="L225" s="130">
        <f t="shared" si="284"/>
        <v>105.40560360614782</v>
      </c>
      <c r="M225" s="130">
        <f t="shared" si="284"/>
        <v>106.22000221194114</v>
      </c>
      <c r="N225" s="130">
        <f t="shared" si="284"/>
        <v>93.58870203104911</v>
      </c>
      <c r="O225" s="130">
        <f t="shared" si="284"/>
        <v>88.996191420015677</v>
      </c>
      <c r="P225" s="130">
        <f t="shared" si="284"/>
        <v>86.457434151368005</v>
      </c>
      <c r="Q225" s="130">
        <f t="shared" si="284"/>
        <v>91.300696777738665</v>
      </c>
      <c r="R225" s="130">
        <f t="shared" si="284"/>
        <v>88.885450919819661</v>
      </c>
      <c r="S225" s="130">
        <f t="shared" si="284"/>
        <v>84.704070398311586</v>
      </c>
      <c r="T225" s="130">
        <f t="shared" si="284"/>
        <v>83.333365691232601</v>
      </c>
      <c r="U225" s="130">
        <f t="shared" si="284"/>
        <v>77.5026642641416</v>
      </c>
      <c r="V225" s="130">
        <f t="shared" si="284"/>
        <v>127.65888950504487</v>
      </c>
      <c r="W225" s="130">
        <f t="shared" ref="W225" si="285">IF(W13=0,0,W73/W13*1000)</f>
        <v>117.23395946846097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5458.0431244406927</v>
      </c>
      <c r="C226" s="97">
        <f t="shared" si="286"/>
        <v>5188.9727174889458</v>
      </c>
      <c r="D226" s="97">
        <f t="shared" si="286"/>
        <v>4971.6772771763772</v>
      </c>
      <c r="E226" s="97">
        <f t="shared" si="286"/>
        <v>4758.6751394681905</v>
      </c>
      <c r="F226" s="97">
        <f t="shared" si="286"/>
        <v>4543.1505274221954</v>
      </c>
      <c r="G226" s="97">
        <f t="shared" si="286"/>
        <v>2727.7158968621115</v>
      </c>
      <c r="H226" s="97">
        <f t="shared" si="286"/>
        <v>3289.214978294352</v>
      </c>
      <c r="I226" s="97">
        <f t="shared" si="286"/>
        <v>3644.699062171936</v>
      </c>
      <c r="J226" s="97">
        <f t="shared" si="286"/>
        <v>761.76471401224512</v>
      </c>
      <c r="K226" s="97">
        <f t="shared" si="286"/>
        <v>1143.7158310758509</v>
      </c>
      <c r="L226" s="97">
        <f t="shared" si="286"/>
        <v>712.290705876738</v>
      </c>
      <c r="M226" s="97">
        <f t="shared" si="286"/>
        <v>879.3226473331531</v>
      </c>
      <c r="N226" s="97">
        <f t="shared" si="286"/>
        <v>447.51630330336047</v>
      </c>
      <c r="O226" s="97">
        <f t="shared" si="286"/>
        <v>572.77065326044192</v>
      </c>
      <c r="P226" s="97">
        <f t="shared" si="286"/>
        <v>476.66036010085037</v>
      </c>
      <c r="Q226" s="97">
        <f t="shared" si="286"/>
        <v>676.65345356394835</v>
      </c>
      <c r="R226" s="97">
        <f t="shared" si="286"/>
        <v>981.34777878644695</v>
      </c>
      <c r="S226" s="97">
        <f t="shared" si="286"/>
        <v>586.40974321938927</v>
      </c>
      <c r="T226" s="97">
        <f t="shared" si="286"/>
        <v>444.12528481931054</v>
      </c>
      <c r="U226" s="97">
        <f t="shared" si="286"/>
        <v>199.93599359630207</v>
      </c>
      <c r="V226" s="97">
        <f t="shared" si="286"/>
        <v>223.58447928613262</v>
      </c>
      <c r="W226" s="97">
        <f t="shared" ref="W226" si="287">IF(W14=0,0,W74/W14*1000)</f>
        <v>188.09337144813017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114.22216895148195</v>
      </c>
      <c r="C227" s="97">
        <f t="shared" si="288"/>
        <v>114.6827144830858</v>
      </c>
      <c r="D227" s="97">
        <f t="shared" si="288"/>
        <v>115.3248593802152</v>
      </c>
      <c r="E227" s="97">
        <f t="shared" si="288"/>
        <v>117.01352035376807</v>
      </c>
      <c r="F227" s="97">
        <f t="shared" si="288"/>
        <v>118.22926370211617</v>
      </c>
      <c r="G227" s="97">
        <f t="shared" si="288"/>
        <v>122.74914411032169</v>
      </c>
      <c r="H227" s="97">
        <f t="shared" si="288"/>
        <v>102.9950962911836</v>
      </c>
      <c r="I227" s="97">
        <f t="shared" si="288"/>
        <v>103.75415610069761</v>
      </c>
      <c r="J227" s="97">
        <f t="shared" si="288"/>
        <v>123.77320131934738</v>
      </c>
      <c r="K227" s="97">
        <f t="shared" si="288"/>
        <v>99.04105842978457</v>
      </c>
      <c r="L227" s="97">
        <f t="shared" si="288"/>
        <v>105.40190455379278</v>
      </c>
      <c r="M227" s="97">
        <f t="shared" si="288"/>
        <v>103.63078956016545</v>
      </c>
      <c r="N227" s="97">
        <f t="shared" si="288"/>
        <v>98.227083159130373</v>
      </c>
      <c r="O227" s="97">
        <f t="shared" si="288"/>
        <v>96.619566310334747</v>
      </c>
      <c r="P227" s="97">
        <f t="shared" si="288"/>
        <v>99.03439671831525</v>
      </c>
      <c r="Q227" s="97">
        <f t="shared" si="288"/>
        <v>99.075578642201975</v>
      </c>
      <c r="R227" s="97">
        <f t="shared" si="288"/>
        <v>96.902458140411028</v>
      </c>
      <c r="S227" s="97">
        <f t="shared" si="288"/>
        <v>87.88317828134133</v>
      </c>
      <c r="T227" s="97">
        <f t="shared" si="288"/>
        <v>86.959698196260973</v>
      </c>
      <c r="U227" s="97">
        <f t="shared" si="288"/>
        <v>83.63019142532913</v>
      </c>
      <c r="V227" s="97">
        <f t="shared" si="288"/>
        <v>122.31246004158167</v>
      </c>
      <c r="W227" s="97">
        <f t="shared" ref="W227" si="289">IF(W15=0,0,W75/W15*1000)</f>
        <v>122.51050325168845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141.32654027926918</v>
      </c>
      <c r="C228" s="97">
        <f t="shared" si="290"/>
        <v>142.16462497922615</v>
      </c>
      <c r="D228" s="97">
        <f t="shared" si="290"/>
        <v>141.66754975449575</v>
      </c>
      <c r="E228" s="97">
        <f t="shared" si="290"/>
        <v>140.57094926299794</v>
      </c>
      <c r="F228" s="97">
        <f t="shared" si="290"/>
        <v>138.63352487228494</v>
      </c>
      <c r="G228" s="97">
        <f t="shared" si="290"/>
        <v>160.78084702583354</v>
      </c>
      <c r="H228" s="97">
        <f t="shared" si="290"/>
        <v>132.61559428572045</v>
      </c>
      <c r="I228" s="97">
        <f t="shared" si="290"/>
        <v>105.28088487657718</v>
      </c>
      <c r="J228" s="97">
        <f t="shared" si="290"/>
        <v>100.92833544091889</v>
      </c>
      <c r="K228" s="97">
        <f t="shared" si="290"/>
        <v>80.738191561564278</v>
      </c>
      <c r="L228" s="97">
        <f t="shared" si="290"/>
        <v>70.273246767137223</v>
      </c>
      <c r="M228" s="97">
        <f t="shared" si="290"/>
        <v>67.163333946519003</v>
      </c>
      <c r="N228" s="97">
        <f t="shared" si="290"/>
        <v>58.900653060657582</v>
      </c>
      <c r="O228" s="97">
        <f t="shared" si="290"/>
        <v>48.637997824501575</v>
      </c>
      <c r="P228" s="97">
        <f t="shared" si="290"/>
        <v>44.108903244437975</v>
      </c>
      <c r="Q228" s="97">
        <f t="shared" si="290"/>
        <v>49.296084019601949</v>
      </c>
      <c r="R228" s="97">
        <f t="shared" si="290"/>
        <v>42.098520104405516</v>
      </c>
      <c r="S228" s="97">
        <f t="shared" si="290"/>
        <v>46.66312189104773</v>
      </c>
      <c r="T228" s="97">
        <f t="shared" si="290"/>
        <v>48.958609957428315</v>
      </c>
      <c r="U228" s="97">
        <f t="shared" si="290"/>
        <v>47.956536376773506</v>
      </c>
      <c r="V228" s="97">
        <f t="shared" si="290"/>
        <v>147.26978551700483</v>
      </c>
      <c r="W228" s="97">
        <f t="shared" ref="W228" si="291">IF(W16=0,0,W76/W16*1000)</f>
        <v>90.634573060808691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79.614441051461725</v>
      </c>
      <c r="C229" s="32">
        <f t="shared" si="292"/>
        <v>86.271802074919449</v>
      </c>
      <c r="D229" s="32">
        <f t="shared" si="292"/>
        <v>78.492350326156512</v>
      </c>
      <c r="E229" s="32">
        <f t="shared" si="292"/>
        <v>98.975600443100134</v>
      </c>
      <c r="F229" s="32">
        <f t="shared" si="292"/>
        <v>103.66108413934757</v>
      </c>
      <c r="G229" s="32">
        <f t="shared" si="292"/>
        <v>107.51193494393254</v>
      </c>
      <c r="H229" s="32">
        <f t="shared" si="292"/>
        <v>106.76555205096928</v>
      </c>
      <c r="I229" s="32">
        <f t="shared" si="292"/>
        <v>98.840248595881064</v>
      </c>
      <c r="J229" s="32">
        <f t="shared" si="292"/>
        <v>104.66694862203674</v>
      </c>
      <c r="K229" s="32">
        <f t="shared" si="292"/>
        <v>95.698829025094923</v>
      </c>
      <c r="L229" s="32">
        <f t="shared" si="292"/>
        <v>89.990149392547536</v>
      </c>
      <c r="M229" s="32">
        <f t="shared" si="292"/>
        <v>93.901792881793199</v>
      </c>
      <c r="N229" s="32">
        <f t="shared" si="292"/>
        <v>93.847919525437959</v>
      </c>
      <c r="O229" s="32">
        <f t="shared" si="292"/>
        <v>77.273732053802874</v>
      </c>
      <c r="P229" s="32">
        <f t="shared" si="292"/>
        <v>86.961557280780809</v>
      </c>
      <c r="Q229" s="32">
        <f t="shared" si="292"/>
        <v>90.58264540383216</v>
      </c>
      <c r="R229" s="32">
        <f t="shared" si="292"/>
        <v>90.659492245490355</v>
      </c>
      <c r="S229" s="32">
        <f t="shared" si="292"/>
        <v>84.905052269914009</v>
      </c>
      <c r="T229" s="32">
        <f t="shared" si="292"/>
        <v>89.60645463483489</v>
      </c>
      <c r="U229" s="32">
        <f t="shared" si="292"/>
        <v>88.328485392011913</v>
      </c>
      <c r="V229" s="32">
        <f t="shared" si="292"/>
        <v>81.74736056297742</v>
      </c>
      <c r="W229" s="32">
        <f t="shared" ref="W229" si="293">IF(W17=0,0,W77/W17*1000)</f>
        <v>73.741606357978014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129.58015434015422</v>
      </c>
      <c r="C230" s="141">
        <f t="shared" si="294"/>
        <v>132.83212434307123</v>
      </c>
      <c r="D230" s="141">
        <f t="shared" si="294"/>
        <v>114.53994182946683</v>
      </c>
      <c r="E230" s="141">
        <f t="shared" si="294"/>
        <v>149.6178230992856</v>
      </c>
      <c r="F230" s="141">
        <f t="shared" si="294"/>
        <v>151.56876643138932</v>
      </c>
      <c r="G230" s="141">
        <f t="shared" si="294"/>
        <v>154.77237365300829</v>
      </c>
      <c r="H230" s="141">
        <f t="shared" si="294"/>
        <v>156.96150495353371</v>
      </c>
      <c r="I230" s="141">
        <f t="shared" si="294"/>
        <v>147.91053033977829</v>
      </c>
      <c r="J230" s="141">
        <f t="shared" si="294"/>
        <v>166.73908096230033</v>
      </c>
      <c r="K230" s="141">
        <f t="shared" si="294"/>
        <v>160.7934383857469</v>
      </c>
      <c r="L230" s="141">
        <f t="shared" si="294"/>
        <v>153.44417709241844</v>
      </c>
      <c r="M230" s="141">
        <f t="shared" si="294"/>
        <v>145.84149863521262</v>
      </c>
      <c r="N230" s="141">
        <f t="shared" si="294"/>
        <v>151.93122398382326</v>
      </c>
      <c r="O230" s="141">
        <f t="shared" si="294"/>
        <v>118.56499689819884</v>
      </c>
      <c r="P230" s="141">
        <f t="shared" si="294"/>
        <v>136.39161761747158</v>
      </c>
      <c r="Q230" s="141">
        <f t="shared" si="294"/>
        <v>140.32307057001231</v>
      </c>
      <c r="R230" s="141">
        <f t="shared" si="294"/>
        <v>139.52703387192352</v>
      </c>
      <c r="S230" s="141">
        <f t="shared" si="294"/>
        <v>129.18645447796374</v>
      </c>
      <c r="T230" s="141">
        <f t="shared" si="294"/>
        <v>135.15525109242827</v>
      </c>
      <c r="U230" s="141">
        <f t="shared" si="294"/>
        <v>150.82823644900679</v>
      </c>
      <c r="V230" s="141">
        <f t="shared" si="294"/>
        <v>130.97882393290297</v>
      </c>
      <c r="W230" s="141">
        <f t="shared" ref="W230" si="295">IF(W18=0,0,W78/W18*1000)</f>
        <v>126.77114439671908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937.04225020373519</v>
      </c>
      <c r="C231" s="97">
        <f t="shared" si="296"/>
        <v>946.90142024860836</v>
      </c>
      <c r="D231" s="97">
        <f t="shared" si="296"/>
        <v>948.50190318097668</v>
      </c>
      <c r="E231" s="97">
        <f t="shared" si="296"/>
        <v>914.35112947245977</v>
      </c>
      <c r="F231" s="97">
        <f t="shared" si="296"/>
        <v>863.52196390071617</v>
      </c>
      <c r="G231" s="97">
        <f t="shared" si="296"/>
        <v>842.14208765750857</v>
      </c>
      <c r="H231" s="97">
        <f t="shared" si="296"/>
        <v>788.53562747951014</v>
      </c>
      <c r="I231" s="97">
        <f t="shared" si="296"/>
        <v>754.89409968667985</v>
      </c>
      <c r="J231" s="97">
        <f t="shared" si="296"/>
        <v>737.28290485273055</v>
      </c>
      <c r="K231" s="97">
        <f t="shared" si="296"/>
        <v>717.8315628589952</v>
      </c>
      <c r="L231" s="97">
        <f t="shared" si="296"/>
        <v>701.01705741394721</v>
      </c>
      <c r="M231" s="97">
        <f t="shared" si="296"/>
        <v>696.91425003588881</v>
      </c>
      <c r="N231" s="97">
        <f t="shared" si="296"/>
        <v>667.61725989707952</v>
      </c>
      <c r="O231" s="97">
        <f t="shared" si="296"/>
        <v>651.55239472049402</v>
      </c>
      <c r="P231" s="97">
        <f t="shared" si="296"/>
        <v>654.5578377966176</v>
      </c>
      <c r="Q231" s="97">
        <f t="shared" si="296"/>
        <v>652.84855775875189</v>
      </c>
      <c r="R231" s="97">
        <f t="shared" si="296"/>
        <v>642.1598012497775</v>
      </c>
      <c r="S231" s="97">
        <f t="shared" si="296"/>
        <v>640.1355907989057</v>
      </c>
      <c r="T231" s="97">
        <f t="shared" si="296"/>
        <v>643.6122838181218</v>
      </c>
      <c r="U231" s="97">
        <f t="shared" si="296"/>
        <v>645.45295540192296</v>
      </c>
      <c r="V231" s="97">
        <f t="shared" si="296"/>
        <v>649.24843920418209</v>
      </c>
      <c r="W231" s="97">
        <f t="shared" ref="W231" si="297">IF(W19=0,0,W79/W19*1000)</f>
        <v>665.24574910991646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83.942144193819701</v>
      </c>
      <c r="C232" s="97">
        <f t="shared" si="298"/>
        <v>91.856646189776839</v>
      </c>
      <c r="D232" s="97">
        <f t="shared" si="298"/>
        <v>76.242665587488176</v>
      </c>
      <c r="E232" s="97">
        <f t="shared" si="298"/>
        <v>113.9726767040593</v>
      </c>
      <c r="F232" s="97">
        <f t="shared" si="298"/>
        <v>115.38629501607845</v>
      </c>
      <c r="G232" s="97">
        <f t="shared" si="298"/>
        <v>123.52702909899264</v>
      </c>
      <c r="H232" s="97">
        <f t="shared" si="298"/>
        <v>124.14227685219083</v>
      </c>
      <c r="I232" s="97">
        <f t="shared" si="298"/>
        <v>110.60806113438892</v>
      </c>
      <c r="J232" s="97">
        <f t="shared" si="298"/>
        <v>126.08946709459484</v>
      </c>
      <c r="K232" s="97">
        <f t="shared" si="298"/>
        <v>115.84237334942281</v>
      </c>
      <c r="L232" s="97">
        <f t="shared" si="298"/>
        <v>110.2311310960983</v>
      </c>
      <c r="M232" s="97">
        <f t="shared" si="298"/>
        <v>101.66484587711795</v>
      </c>
      <c r="N232" s="97">
        <f t="shared" si="298"/>
        <v>106.21186884434397</v>
      </c>
      <c r="O232" s="97">
        <f t="shared" si="298"/>
        <v>78.450941254195143</v>
      </c>
      <c r="P232" s="97">
        <f t="shared" si="298"/>
        <v>93.290250709082173</v>
      </c>
      <c r="Q232" s="97">
        <f t="shared" si="298"/>
        <v>96.477561192080856</v>
      </c>
      <c r="R232" s="97">
        <f t="shared" si="298"/>
        <v>96.992695368866535</v>
      </c>
      <c r="S232" s="97">
        <f t="shared" si="298"/>
        <v>95.068934308047588</v>
      </c>
      <c r="T232" s="97">
        <f t="shared" si="298"/>
        <v>98.681067376304185</v>
      </c>
      <c r="U232" s="97">
        <f t="shared" si="298"/>
        <v>106.75913508806508</v>
      </c>
      <c r="V232" s="97">
        <f t="shared" si="298"/>
        <v>96.18437884064619</v>
      </c>
      <c r="W232" s="97">
        <f t="shared" ref="W232" si="299">IF(W20=0,0,W80/W20*1000)</f>
        <v>98.353046435758458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11.708705556338813</v>
      </c>
      <c r="C233" s="130">
        <f t="shared" si="300"/>
        <v>11.800620452871712</v>
      </c>
      <c r="D233" s="130">
        <f t="shared" si="300"/>
        <v>12.507192075524079</v>
      </c>
      <c r="E233" s="130">
        <f t="shared" si="300"/>
        <v>10.720018494348114</v>
      </c>
      <c r="F233" s="130">
        <f t="shared" si="300"/>
        <v>10.948121076958907</v>
      </c>
      <c r="G233" s="130">
        <f t="shared" si="300"/>
        <v>10.761819718922826</v>
      </c>
      <c r="H233" s="130">
        <f t="shared" si="300"/>
        <v>8.4085503772254437</v>
      </c>
      <c r="I233" s="130">
        <f t="shared" si="300"/>
        <v>7.7808010004275436</v>
      </c>
      <c r="J233" s="130">
        <f t="shared" si="300"/>
        <v>11.544967026554843</v>
      </c>
      <c r="K233" s="130">
        <f t="shared" si="300"/>
        <v>9.4841034058839071</v>
      </c>
      <c r="L233" s="130">
        <f t="shared" si="300"/>
        <v>8.9194288210335504</v>
      </c>
      <c r="M233" s="130">
        <f t="shared" si="300"/>
        <v>7.8036677917466992</v>
      </c>
      <c r="N233" s="130">
        <f t="shared" si="300"/>
        <v>8.6895387236061552</v>
      </c>
      <c r="O233" s="130">
        <f t="shared" si="300"/>
        <v>5.179760846644931</v>
      </c>
      <c r="P233" s="130">
        <f t="shared" si="300"/>
        <v>5.3035178823943738</v>
      </c>
      <c r="Q233" s="130">
        <f t="shared" si="300"/>
        <v>7.2590917585789958</v>
      </c>
      <c r="R233" s="130">
        <f t="shared" si="300"/>
        <v>5.4044075511762131</v>
      </c>
      <c r="S233" s="130">
        <f t="shared" si="300"/>
        <v>5.0223658811993941</v>
      </c>
      <c r="T233" s="130">
        <f t="shared" si="300"/>
        <v>4.358407932733452</v>
      </c>
      <c r="U233" s="130">
        <f t="shared" si="300"/>
        <v>3.6639937338714259</v>
      </c>
      <c r="V233" s="130">
        <f t="shared" si="300"/>
        <v>3.9079134247037253</v>
      </c>
      <c r="W233" s="130">
        <f t="shared" ref="W233" si="301">IF(W21=0,0,W81/W21*1000)</f>
        <v>4.1353121647233104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537.53657683363519</v>
      </c>
      <c r="C234" s="130">
        <f t="shared" si="302"/>
        <v>448.06414348385431</v>
      </c>
      <c r="D234" s="130">
        <f t="shared" si="302"/>
        <v>464.37123341794143</v>
      </c>
      <c r="E234" s="130">
        <f t="shared" si="302"/>
        <v>470.05873044311016</v>
      </c>
      <c r="F234" s="130">
        <f t="shared" si="302"/>
        <v>497.51341537847236</v>
      </c>
      <c r="G234" s="130">
        <f t="shared" si="302"/>
        <v>568.30931391648096</v>
      </c>
      <c r="H234" s="130">
        <f t="shared" si="302"/>
        <v>519.59929870593385</v>
      </c>
      <c r="I234" s="130">
        <f t="shared" si="302"/>
        <v>488.63519314130133</v>
      </c>
      <c r="J234" s="130">
        <f t="shared" si="302"/>
        <v>589.32265855037554</v>
      </c>
      <c r="K234" s="130">
        <f t="shared" si="302"/>
        <v>361.3718531902843</v>
      </c>
      <c r="L234" s="130">
        <f t="shared" si="302"/>
        <v>292.11324844898741</v>
      </c>
      <c r="M234" s="130">
        <f t="shared" si="302"/>
        <v>317.14684147344838</v>
      </c>
      <c r="N234" s="130">
        <f t="shared" si="302"/>
        <v>506.74381119563236</v>
      </c>
      <c r="O234" s="130">
        <f t="shared" si="302"/>
        <v>467.62051217268208</v>
      </c>
      <c r="P234" s="130">
        <f t="shared" si="302"/>
        <v>326.28071462268417</v>
      </c>
      <c r="Q234" s="130">
        <f t="shared" si="302"/>
        <v>229.33346606870552</v>
      </c>
      <c r="R234" s="130">
        <f t="shared" si="302"/>
        <v>177.25987615345056</v>
      </c>
      <c r="S234" s="130">
        <f t="shared" si="302"/>
        <v>185.32180351321762</v>
      </c>
      <c r="T234" s="130">
        <f t="shared" si="302"/>
        <v>217.78956525075094</v>
      </c>
      <c r="U234" s="130">
        <f t="shared" si="302"/>
        <v>303.31730992940106</v>
      </c>
      <c r="V234" s="130">
        <f t="shared" si="302"/>
        <v>576.24695239162281</v>
      </c>
      <c r="W234" s="130">
        <f t="shared" ref="W234" si="303">IF(W22=0,0,W82/W22*1000)</f>
        <v>538.69557418792272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664.56777958778002</v>
      </c>
      <c r="C236" s="97">
        <f t="shared" si="306"/>
        <v>640.81515842597412</v>
      </c>
      <c r="D236" s="97">
        <f t="shared" si="306"/>
        <v>680.67566496087704</v>
      </c>
      <c r="E236" s="97">
        <f t="shared" si="306"/>
        <v>665.75382042606668</v>
      </c>
      <c r="F236" s="97">
        <f t="shared" si="306"/>
        <v>733.05106886972078</v>
      </c>
      <c r="G236" s="97">
        <f t="shared" si="306"/>
        <v>763.0192371032266</v>
      </c>
      <c r="H236" s="97">
        <f t="shared" si="306"/>
        <v>722.80057656476777</v>
      </c>
      <c r="I236" s="97">
        <f t="shared" si="306"/>
        <v>737.3475546557097</v>
      </c>
      <c r="J236" s="97">
        <f t="shared" si="306"/>
        <v>898.67777505397032</v>
      </c>
      <c r="K236" s="97">
        <f t="shared" si="306"/>
        <v>702.49036090744187</v>
      </c>
      <c r="L236" s="97">
        <f t="shared" si="306"/>
        <v>729.5034427050573</v>
      </c>
      <c r="M236" s="97">
        <f t="shared" si="306"/>
        <v>750.54041946199425</v>
      </c>
      <c r="N236" s="97">
        <f t="shared" si="306"/>
        <v>737.66115192174061</v>
      </c>
      <c r="O236" s="97">
        <f t="shared" si="306"/>
        <v>725.17361944966422</v>
      </c>
      <c r="P236" s="97">
        <f t="shared" si="306"/>
        <v>623.62724348938275</v>
      </c>
      <c r="Q236" s="97">
        <f t="shared" si="306"/>
        <v>638.29994771525242</v>
      </c>
      <c r="R236" s="97">
        <f t="shared" si="306"/>
        <v>553.81345271984276</v>
      </c>
      <c r="S236" s="97">
        <f t="shared" si="306"/>
        <v>563.71790036721359</v>
      </c>
      <c r="T236" s="97">
        <f t="shared" si="306"/>
        <v>536.79043498445822</v>
      </c>
      <c r="U236" s="97">
        <f t="shared" si="306"/>
        <v>478.44644437163566</v>
      </c>
      <c r="V236" s="97">
        <f t="shared" si="306"/>
        <v>832.99214782145282</v>
      </c>
      <c r="W236" s="97">
        <f t="shared" ref="W236" si="307">IF(W24=0,0,W84/W24*1000)</f>
        <v>860.56954798993252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273.98589887998952</v>
      </c>
      <c r="C237" s="97">
        <f t="shared" si="308"/>
        <v>263.70073973642809</v>
      </c>
      <c r="D237" s="97">
        <f t="shared" si="308"/>
        <v>279.08958475231725</v>
      </c>
      <c r="E237" s="97">
        <f t="shared" si="308"/>
        <v>307.30231560065283</v>
      </c>
      <c r="F237" s="97">
        <f t="shared" si="308"/>
        <v>315.83865335721549</v>
      </c>
      <c r="G237" s="97">
        <f t="shared" si="308"/>
        <v>394.65119408839536</v>
      </c>
      <c r="H237" s="97">
        <f t="shared" si="308"/>
        <v>335.9157715811703</v>
      </c>
      <c r="I237" s="97">
        <f t="shared" si="308"/>
        <v>273.95925903016763</v>
      </c>
      <c r="J237" s="97">
        <f t="shared" si="308"/>
        <v>260.17337419647407</v>
      </c>
      <c r="K237" s="97">
        <f t="shared" si="308"/>
        <v>194.49348793561157</v>
      </c>
      <c r="L237" s="97">
        <f t="shared" si="308"/>
        <v>179.0759577612549</v>
      </c>
      <c r="M237" s="97">
        <f t="shared" si="308"/>
        <v>165.159019565189</v>
      </c>
      <c r="N237" s="97">
        <f t="shared" si="308"/>
        <v>188.58069009468704</v>
      </c>
      <c r="O237" s="97">
        <f t="shared" si="308"/>
        <v>152.71278230360474</v>
      </c>
      <c r="P237" s="97">
        <f t="shared" si="308"/>
        <v>105.50646950705814</v>
      </c>
      <c r="Q237" s="97">
        <f t="shared" si="308"/>
        <v>106.03491940193042</v>
      </c>
      <c r="R237" s="97">
        <f t="shared" si="308"/>
        <v>82.343723201600312</v>
      </c>
      <c r="S237" s="97">
        <f t="shared" si="308"/>
        <v>92.911485126346506</v>
      </c>
      <c r="T237" s="97">
        <f t="shared" si="308"/>
        <v>90.77053062207402</v>
      </c>
      <c r="U237" s="97">
        <f t="shared" si="308"/>
        <v>105.78021770245695</v>
      </c>
      <c r="V237" s="97">
        <f t="shared" si="308"/>
        <v>367.85535342186284</v>
      </c>
      <c r="W237" s="97">
        <f t="shared" ref="W237" si="309">IF(W25=0,0,W85/W25*1000)</f>
        <v>243.12260094337509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25.176178121405751</v>
      </c>
      <c r="C238" s="130">
        <f t="shared" si="310"/>
        <v>25.427958872727277</v>
      </c>
      <c r="D238" s="130">
        <f t="shared" si="310"/>
        <v>24.105959980748665</v>
      </c>
      <c r="E238" s="130">
        <f t="shared" si="310"/>
        <v>26.864011403588908</v>
      </c>
      <c r="F238" s="130">
        <f t="shared" si="310"/>
        <v>42.192005459397421</v>
      </c>
      <c r="G238" s="130">
        <f t="shared" si="310"/>
        <v>41.806835110700135</v>
      </c>
      <c r="H238" s="130">
        <f t="shared" si="310"/>
        <v>37.908791247898094</v>
      </c>
      <c r="I238" s="130">
        <f t="shared" si="310"/>
        <v>27.575010224332352</v>
      </c>
      <c r="J238" s="130">
        <f t="shared" si="310"/>
        <v>28.750512215086506</v>
      </c>
      <c r="K238" s="130">
        <f t="shared" si="310"/>
        <v>31.460215954966891</v>
      </c>
      <c r="L238" s="130">
        <f t="shared" si="310"/>
        <v>29.331912930357142</v>
      </c>
      <c r="M238" s="130">
        <f t="shared" si="310"/>
        <v>31.817428259303941</v>
      </c>
      <c r="N238" s="130">
        <f t="shared" si="310"/>
        <v>29.704688510375775</v>
      </c>
      <c r="O238" s="130">
        <f t="shared" si="310"/>
        <v>29.384074153554153</v>
      </c>
      <c r="P238" s="130">
        <f t="shared" si="310"/>
        <v>32.251948534174218</v>
      </c>
      <c r="Q238" s="130">
        <f t="shared" si="310"/>
        <v>36.137218161715829</v>
      </c>
      <c r="R238" s="130">
        <f t="shared" si="310"/>
        <v>35.252699291217823</v>
      </c>
      <c r="S238" s="130">
        <f t="shared" si="310"/>
        <v>35.728651438908891</v>
      </c>
      <c r="T238" s="130">
        <f t="shared" si="310"/>
        <v>43.711024533717584</v>
      </c>
      <c r="U238" s="130">
        <f t="shared" si="310"/>
        <v>42.689853782648719</v>
      </c>
      <c r="V238" s="130">
        <f t="shared" si="310"/>
        <v>43.319803685294126</v>
      </c>
      <c r="W238" s="130">
        <f t="shared" ref="W238" si="311">IF(W26=0,0,W86/W26*1000)</f>
        <v>6.3880545580110512E-2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25.176178121405751</v>
      </c>
      <c r="C240" s="98">
        <f t="shared" si="314"/>
        <v>25.427958872727277</v>
      </c>
      <c r="D240" s="98">
        <f t="shared" si="314"/>
        <v>24.105959980748665</v>
      </c>
      <c r="E240" s="98">
        <f t="shared" si="314"/>
        <v>26.864011403588908</v>
      </c>
      <c r="F240" s="98">
        <f t="shared" si="314"/>
        <v>42.192005459397421</v>
      </c>
      <c r="G240" s="98">
        <f t="shared" si="314"/>
        <v>41.806835110700135</v>
      </c>
      <c r="H240" s="98">
        <f t="shared" si="314"/>
        <v>37.908791247898094</v>
      </c>
      <c r="I240" s="98">
        <f t="shared" si="314"/>
        <v>27.575010224332352</v>
      </c>
      <c r="J240" s="98">
        <f t="shared" si="314"/>
        <v>28.750512215086506</v>
      </c>
      <c r="K240" s="98">
        <f t="shared" si="314"/>
        <v>31.460215954966891</v>
      </c>
      <c r="L240" s="98">
        <f t="shared" si="314"/>
        <v>29.331912930357142</v>
      </c>
      <c r="M240" s="98">
        <f t="shared" si="314"/>
        <v>31.817428259303941</v>
      </c>
      <c r="N240" s="98">
        <f t="shared" si="314"/>
        <v>29.704688510375775</v>
      </c>
      <c r="O240" s="98">
        <f t="shared" si="314"/>
        <v>29.384074153554153</v>
      </c>
      <c r="P240" s="98">
        <f t="shared" si="314"/>
        <v>32.251948534174218</v>
      </c>
      <c r="Q240" s="98">
        <f t="shared" si="314"/>
        <v>36.137218161715829</v>
      </c>
      <c r="R240" s="98">
        <f t="shared" si="314"/>
        <v>35.252699291217823</v>
      </c>
      <c r="S240" s="98">
        <f t="shared" si="314"/>
        <v>35.728651438908891</v>
      </c>
      <c r="T240" s="98">
        <f t="shared" si="314"/>
        <v>43.711024533717584</v>
      </c>
      <c r="U240" s="98">
        <f t="shared" si="314"/>
        <v>42.689853782648719</v>
      </c>
      <c r="V240" s="98">
        <f t="shared" si="314"/>
        <v>43.319803685294126</v>
      </c>
      <c r="W240" s="98">
        <f t="shared" ref="W240:W243" si="315">IF(W28=0,0,W88/W28*1000)</f>
        <v>6.3880545580110512E-2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7.1647951948926698</v>
      </c>
      <c r="C241" s="32">
        <f t="shared" si="316"/>
        <v>7.2341990470365189</v>
      </c>
      <c r="D241" s="32">
        <f t="shared" si="316"/>
        <v>8.1394537973617211</v>
      </c>
      <c r="E241" s="32">
        <f t="shared" si="316"/>
        <v>9.2617394225435916</v>
      </c>
      <c r="F241" s="32">
        <f t="shared" si="316"/>
        <v>7.6197953733146937</v>
      </c>
      <c r="G241" s="32">
        <f t="shared" si="316"/>
        <v>6.9522569402979482</v>
      </c>
      <c r="H241" s="32">
        <f t="shared" si="316"/>
        <v>6.025493353231183</v>
      </c>
      <c r="I241" s="32">
        <f t="shared" si="316"/>
        <v>4.1228590653410704</v>
      </c>
      <c r="J241" s="32">
        <f t="shared" si="316"/>
        <v>9.7815290747085246</v>
      </c>
      <c r="K241" s="32">
        <f t="shared" si="316"/>
        <v>19.432469474471073</v>
      </c>
      <c r="L241" s="32">
        <f t="shared" si="316"/>
        <v>8.9430914360905902</v>
      </c>
      <c r="M241" s="32">
        <f t="shared" si="316"/>
        <v>7.4125274298540882</v>
      </c>
      <c r="N241" s="32">
        <f t="shared" si="316"/>
        <v>6.3332687411803699</v>
      </c>
      <c r="O241" s="32">
        <f t="shared" si="316"/>
        <v>6.5813958541988384</v>
      </c>
      <c r="P241" s="32">
        <f t="shared" si="316"/>
        <v>5.7356633356363504</v>
      </c>
      <c r="Q241" s="32">
        <f t="shared" si="316"/>
        <v>6.2661462641807519</v>
      </c>
      <c r="R241" s="32">
        <f t="shared" si="316"/>
        <v>5.1116587594692167</v>
      </c>
      <c r="S241" s="32">
        <f t="shared" si="316"/>
        <v>5.2375402656280201</v>
      </c>
      <c r="T241" s="32">
        <f t="shared" si="316"/>
        <v>5.4376154137896506</v>
      </c>
      <c r="U241" s="32">
        <f t="shared" si="316"/>
        <v>4.6646698515368055</v>
      </c>
      <c r="V241" s="32">
        <f t="shared" si="316"/>
        <v>6.8785259808418404</v>
      </c>
      <c r="W241" s="32">
        <f t="shared" si="315"/>
        <v>5.8990632316366689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12.580687927556625</v>
      </c>
      <c r="C242" s="97">
        <f t="shared" si="317"/>
        <v>12.881875154559872</v>
      </c>
      <c r="D242" s="97">
        <f t="shared" si="317"/>
        <v>14.101681688749743</v>
      </c>
      <c r="E242" s="97">
        <f t="shared" si="317"/>
        <v>20.37644571138566</v>
      </c>
      <c r="F242" s="97">
        <f t="shared" si="317"/>
        <v>17.495409635726674</v>
      </c>
      <c r="G242" s="97">
        <f t="shared" si="317"/>
        <v>16.324348419006906</v>
      </c>
      <c r="H242" s="97">
        <f t="shared" si="317"/>
        <v>13.144559033307965</v>
      </c>
      <c r="I242" s="97">
        <f t="shared" si="317"/>
        <v>10.654983874845614</v>
      </c>
      <c r="J242" s="97">
        <f t="shared" si="317"/>
        <v>22.519466103239083</v>
      </c>
      <c r="K242" s="97">
        <f t="shared" si="317"/>
        <v>30.474698933949263</v>
      </c>
      <c r="L242" s="97">
        <f t="shared" si="317"/>
        <v>14.979079204540364</v>
      </c>
      <c r="M242" s="97">
        <f t="shared" si="317"/>
        <v>10.480596682277284</v>
      </c>
      <c r="N242" s="97">
        <f t="shared" si="317"/>
        <v>9.3727330468556147</v>
      </c>
      <c r="O242" s="97">
        <f t="shared" si="317"/>
        <v>9.9133971162181513</v>
      </c>
      <c r="P242" s="97">
        <f t="shared" si="317"/>
        <v>10.037105453198608</v>
      </c>
      <c r="Q242" s="97">
        <f t="shared" si="317"/>
        <v>12.301943214150338</v>
      </c>
      <c r="R242" s="97">
        <f t="shared" si="317"/>
        <v>8.801236270608543</v>
      </c>
      <c r="S242" s="97">
        <f t="shared" si="317"/>
        <v>8.4825402757015862</v>
      </c>
      <c r="T242" s="97">
        <f t="shared" si="317"/>
        <v>8.0071630008603538</v>
      </c>
      <c r="U242" s="97">
        <f t="shared" si="317"/>
        <v>7.3280478463887873</v>
      </c>
      <c r="V242" s="97">
        <f t="shared" si="317"/>
        <v>9.8026671218021306</v>
      </c>
      <c r="W242" s="97">
        <f t="shared" si="315"/>
        <v>9.4600307835321455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5.4642842668249383</v>
      </c>
      <c r="C243" s="98">
        <f t="shared" si="318"/>
        <v>5.5062120652677198</v>
      </c>
      <c r="D243" s="98">
        <f t="shared" si="318"/>
        <v>6.2111841119484161</v>
      </c>
      <c r="E243" s="98">
        <f t="shared" si="318"/>
        <v>7.2398923488000495</v>
      </c>
      <c r="F243" s="98">
        <f t="shared" si="318"/>
        <v>6.0460324084415848</v>
      </c>
      <c r="G243" s="98">
        <f t="shared" si="318"/>
        <v>5.511939437421864</v>
      </c>
      <c r="H243" s="98">
        <f t="shared" si="318"/>
        <v>4.699745240485087</v>
      </c>
      <c r="I243" s="98">
        <f t="shared" si="318"/>
        <v>3.3793304591199536</v>
      </c>
      <c r="J243" s="98">
        <f t="shared" si="318"/>
        <v>7.8658359395666428</v>
      </c>
      <c r="K243" s="98">
        <f t="shared" si="318"/>
        <v>15.070946152294603</v>
      </c>
      <c r="L243" s="98">
        <f t="shared" si="318"/>
        <v>7.1107438888114078</v>
      </c>
      <c r="M243" s="98">
        <f t="shared" si="318"/>
        <v>6.0972822821972992</v>
      </c>
      <c r="N243" s="98">
        <f t="shared" si="318"/>
        <v>5.1163833596013379</v>
      </c>
      <c r="O243" s="98">
        <f t="shared" si="318"/>
        <v>5.1932162438619631</v>
      </c>
      <c r="P243" s="98">
        <f t="shared" si="318"/>
        <v>4.3750159782930664</v>
      </c>
      <c r="Q243" s="98">
        <f t="shared" si="318"/>
        <v>4.750535572626732</v>
      </c>
      <c r="R243" s="98">
        <f t="shared" si="318"/>
        <v>3.8935098350227864</v>
      </c>
      <c r="S243" s="98">
        <f t="shared" si="318"/>
        <v>3.9975050731906716</v>
      </c>
      <c r="T243" s="98">
        <f t="shared" si="318"/>
        <v>4.2754266730500357</v>
      </c>
      <c r="U243" s="98">
        <f t="shared" si="318"/>
        <v>3.6035609700604456</v>
      </c>
      <c r="V243" s="98">
        <f t="shared" si="318"/>
        <v>5.675023051800582</v>
      </c>
      <c r="W243" s="98">
        <f t="shared" si="315"/>
        <v>4.7958963704370916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41812.382090762505</v>
      </c>
      <c r="C4" s="29">
        <f t="shared" si="0"/>
        <v>43197.662625014127</v>
      </c>
      <c r="D4" s="29">
        <f t="shared" si="0"/>
        <v>46629.532251980418</v>
      </c>
      <c r="E4" s="29">
        <f t="shared" si="0"/>
        <v>45449.096046442413</v>
      </c>
      <c r="F4" s="29">
        <f t="shared" si="0"/>
        <v>46199.757693466905</v>
      </c>
      <c r="G4" s="29">
        <f t="shared" si="0"/>
        <v>49185.184523559918</v>
      </c>
      <c r="H4" s="29">
        <f t="shared" si="0"/>
        <v>50950.800319418559</v>
      </c>
      <c r="I4" s="29">
        <f t="shared" si="0"/>
        <v>54404.968027773139</v>
      </c>
      <c r="J4" s="29">
        <f t="shared" si="0"/>
        <v>57532.926528992699</v>
      </c>
      <c r="K4" s="29">
        <f t="shared" si="0"/>
        <v>57278.231667354092</v>
      </c>
      <c r="L4" s="29">
        <f t="shared" ref="L4" si="1">L5+L6+L13</f>
        <v>58087.172469468358</v>
      </c>
      <c r="M4" s="29">
        <f t="shared" ref="M4:V4" si="2">M5+M6+M13</f>
        <v>59519.375253725186</v>
      </c>
      <c r="N4" s="29">
        <f t="shared" si="2"/>
        <v>60843.874194119569</v>
      </c>
      <c r="O4" s="29">
        <f t="shared" si="2"/>
        <v>62382.037878036703</v>
      </c>
      <c r="P4" s="29">
        <f t="shared" si="2"/>
        <v>66174.463605772587</v>
      </c>
      <c r="Q4" s="29">
        <f t="shared" si="2"/>
        <v>70156.842488044262</v>
      </c>
      <c r="R4" s="29">
        <f t="shared" si="2"/>
        <v>69699.598359713607</v>
      </c>
      <c r="S4" s="29">
        <f t="shared" si="2"/>
        <v>69047.820357390432</v>
      </c>
      <c r="T4" s="29">
        <f t="shared" si="2"/>
        <v>67924.247970269265</v>
      </c>
      <c r="U4" s="29">
        <f t="shared" si="2"/>
        <v>69814.473535915196</v>
      </c>
      <c r="V4" s="29">
        <f t="shared" si="2"/>
        <v>55919.795462378694</v>
      </c>
      <c r="W4" s="29">
        <f t="shared" ref="W4" si="3">W5+W6+W13</f>
        <v>57756.172061647536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325.38209076250581</v>
      </c>
      <c r="C5" s="152">
        <f t="shared" si="4"/>
        <v>334.6626250141274</v>
      </c>
      <c r="D5" s="152">
        <f t="shared" si="4"/>
        <v>344.53225198042207</v>
      </c>
      <c r="E5" s="152">
        <f t="shared" si="4"/>
        <v>349.09604644242216</v>
      </c>
      <c r="F5" s="152">
        <f t="shared" si="4"/>
        <v>370.75769346690839</v>
      </c>
      <c r="G5" s="152">
        <f t="shared" si="4"/>
        <v>397.18452355992008</v>
      </c>
      <c r="H5" s="152">
        <f t="shared" si="4"/>
        <v>408.80031941855947</v>
      </c>
      <c r="I5" s="152">
        <f t="shared" si="4"/>
        <v>433.96802777313616</v>
      </c>
      <c r="J5" s="152">
        <f t="shared" si="4"/>
        <v>493.92652899270814</v>
      </c>
      <c r="K5" s="152">
        <f t="shared" si="4"/>
        <v>527.23166735409222</v>
      </c>
      <c r="L5" s="152">
        <f t="shared" ref="L5:L7" si="5">IF(L32=0,0,L32*L142)</f>
        <v>574.17246946836406</v>
      </c>
      <c r="M5" s="152">
        <f t="shared" ref="M5:V5" si="6">IF(M32=0,0,M32*M142)</f>
        <v>608.33776434039419</v>
      </c>
      <c r="N5" s="152">
        <f t="shared" si="6"/>
        <v>658.93726825716055</v>
      </c>
      <c r="O5" s="152">
        <f t="shared" si="6"/>
        <v>700.92386641919484</v>
      </c>
      <c r="P5" s="152">
        <f t="shared" si="6"/>
        <v>740.64084201945627</v>
      </c>
      <c r="Q5" s="152">
        <f t="shared" si="6"/>
        <v>802.75315000730427</v>
      </c>
      <c r="R5" s="152">
        <f t="shared" si="6"/>
        <v>861.87292516142963</v>
      </c>
      <c r="S5" s="152">
        <f t="shared" si="6"/>
        <v>821.41538803863432</v>
      </c>
      <c r="T5" s="152">
        <f t="shared" si="6"/>
        <v>789.99099437229347</v>
      </c>
      <c r="U5" s="152">
        <f t="shared" si="6"/>
        <v>846.36736367121136</v>
      </c>
      <c r="V5" s="152">
        <f t="shared" si="6"/>
        <v>760.75212668955623</v>
      </c>
      <c r="W5" s="152">
        <f t="shared" ref="W5" si="7">IF(W32=0,0,W32*W142)</f>
        <v>792.71366455554596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26900</v>
      </c>
      <c r="C6" s="116">
        <f t="shared" si="8"/>
        <v>27900</v>
      </c>
      <c r="D6" s="116">
        <f t="shared" si="8"/>
        <v>29300</v>
      </c>
      <c r="E6" s="116">
        <f t="shared" si="8"/>
        <v>30699.999999999996</v>
      </c>
      <c r="F6" s="116">
        <f t="shared" si="8"/>
        <v>32800</v>
      </c>
      <c r="G6" s="116">
        <f t="shared" si="8"/>
        <v>35100</v>
      </c>
      <c r="H6" s="116">
        <f t="shared" si="8"/>
        <v>37600</v>
      </c>
      <c r="I6" s="116">
        <f t="shared" si="8"/>
        <v>40400</v>
      </c>
      <c r="J6" s="116">
        <f t="shared" si="8"/>
        <v>43199.999999999993</v>
      </c>
      <c r="K6" s="116">
        <f t="shared" si="8"/>
        <v>46300</v>
      </c>
      <c r="L6" s="116">
        <f t="shared" ref="L6" si="9">SUM(L7:L12)</f>
        <v>46899.999999999993</v>
      </c>
      <c r="M6" s="116">
        <f t="shared" ref="M6:V6" si="10">SUM(M7:M12)</f>
        <v>48068.037489384791</v>
      </c>
      <c r="N6" s="116">
        <f t="shared" si="10"/>
        <v>49702.936925862406</v>
      </c>
      <c r="O6" s="116">
        <f t="shared" si="10"/>
        <v>51364.114011617508</v>
      </c>
      <c r="P6" s="116">
        <f t="shared" si="10"/>
        <v>53956.822763753131</v>
      </c>
      <c r="Q6" s="116">
        <f t="shared" si="10"/>
        <v>56846.089338036967</v>
      </c>
      <c r="R6" s="116">
        <f t="shared" si="10"/>
        <v>56627.72543455218</v>
      </c>
      <c r="S6" s="116">
        <f t="shared" si="10"/>
        <v>57673.404969351788</v>
      </c>
      <c r="T6" s="116">
        <f t="shared" si="10"/>
        <v>57248.256975896969</v>
      </c>
      <c r="U6" s="116">
        <f t="shared" si="10"/>
        <v>58133.106172243992</v>
      </c>
      <c r="V6" s="116">
        <f t="shared" si="10"/>
        <v>50122.043335689137</v>
      </c>
      <c r="W6" s="116">
        <f t="shared" ref="W6" si="11">SUM(W7:W12)</f>
        <v>52013.458397091992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16392.399081864161</v>
      </c>
      <c r="C7" s="87">
        <f t="shared" si="12"/>
        <v>14566.558317637377</v>
      </c>
      <c r="D7" s="87">
        <f t="shared" si="12"/>
        <v>14842.13925634151</v>
      </c>
      <c r="E7" s="87">
        <f t="shared" si="12"/>
        <v>13662.21749336372</v>
      </c>
      <c r="F7" s="87">
        <f t="shared" si="12"/>
        <v>12099.02373875364</v>
      </c>
      <c r="G7" s="87">
        <f t="shared" si="12"/>
        <v>11298.325045195827</v>
      </c>
      <c r="H7" s="87">
        <f t="shared" si="12"/>
        <v>12078.014389802087</v>
      </c>
      <c r="I7" s="87">
        <f t="shared" si="12"/>
        <v>13028.763268277131</v>
      </c>
      <c r="J7" s="87">
        <f t="shared" si="12"/>
        <v>13044.381542008339</v>
      </c>
      <c r="K7" s="87">
        <f t="shared" si="12"/>
        <v>14349.537488563014</v>
      </c>
      <c r="L7" s="87">
        <f t="shared" si="5"/>
        <v>13640.372185843074</v>
      </c>
      <c r="M7" s="87">
        <f t="shared" ref="M7:V7" si="13">IF(M34=0,0,M34*M144)</f>
        <v>13061.679583653875</v>
      </c>
      <c r="N7" s="87">
        <f t="shared" si="13"/>
        <v>11966.683162593024</v>
      </c>
      <c r="O7" s="87">
        <f t="shared" si="13"/>
        <v>11775.649750250253</v>
      </c>
      <c r="P7" s="87">
        <f t="shared" si="13"/>
        <v>11976.902821853037</v>
      </c>
      <c r="Q7" s="87">
        <f t="shared" si="13"/>
        <v>11781.757133863479</v>
      </c>
      <c r="R7" s="87">
        <f t="shared" si="13"/>
        <v>11218.203300578863</v>
      </c>
      <c r="S7" s="87">
        <f t="shared" si="13"/>
        <v>11657.990037961388</v>
      </c>
      <c r="T7" s="87">
        <f t="shared" si="13"/>
        <v>11023.589786169905</v>
      </c>
      <c r="U7" s="87">
        <f t="shared" si="13"/>
        <v>10905.182207908849</v>
      </c>
      <c r="V7" s="87">
        <f t="shared" si="13"/>
        <v>9500.3210903903437</v>
      </c>
      <c r="W7" s="87">
        <f t="shared" ref="W7" si="14">IF(W34=0,0,W34*W144)</f>
        <v>9783.4319229953162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5501.7799436494497</v>
      </c>
      <c r="C8" s="87">
        <f t="shared" si="15"/>
        <v>6780.2423316895511</v>
      </c>
      <c r="D8" s="87">
        <f t="shared" si="15"/>
        <v>6935.7590083101895</v>
      </c>
      <c r="E8" s="87">
        <f t="shared" si="15"/>
        <v>9271.3138748135498</v>
      </c>
      <c r="F8" s="87">
        <f t="shared" si="15"/>
        <v>12535.077630852349</v>
      </c>
      <c r="G8" s="87">
        <f t="shared" si="15"/>
        <v>13909.430054019103</v>
      </c>
      <c r="H8" s="87">
        <f t="shared" si="15"/>
        <v>14891.164548356177</v>
      </c>
      <c r="I8" s="87">
        <f t="shared" si="15"/>
        <v>17096.464446728489</v>
      </c>
      <c r="J8" s="87">
        <f t="shared" si="15"/>
        <v>20136.113887287687</v>
      </c>
      <c r="K8" s="87">
        <f t="shared" si="15"/>
        <v>21400.03972414037</v>
      </c>
      <c r="L8" s="87">
        <f t="shared" ref="L8" si="16">IF(L35=0,0,L35*L145)</f>
        <v>22111.826788757131</v>
      </c>
      <c r="M8" s="87">
        <f t="shared" ref="M8:V8" si="17">IF(M35=0,0,M35*M145)</f>
        <v>24889.052419753727</v>
      </c>
      <c r="N8" s="87">
        <f t="shared" si="17"/>
        <v>27085.082310602105</v>
      </c>
      <c r="O8" s="87">
        <f t="shared" si="17"/>
        <v>28242.651133149982</v>
      </c>
      <c r="P8" s="87">
        <f t="shared" si="17"/>
        <v>29134.649290945887</v>
      </c>
      <c r="Q8" s="87">
        <f t="shared" si="17"/>
        <v>31586.856770542625</v>
      </c>
      <c r="R8" s="87">
        <f t="shared" si="17"/>
        <v>31571.496835520189</v>
      </c>
      <c r="S8" s="87">
        <f t="shared" si="17"/>
        <v>32452.036937352277</v>
      </c>
      <c r="T8" s="87">
        <f t="shared" si="17"/>
        <v>33670.903866522414</v>
      </c>
      <c r="U8" s="87">
        <f t="shared" si="17"/>
        <v>35149.320639521888</v>
      </c>
      <c r="V8" s="87">
        <f t="shared" si="17"/>
        <v>30722.895437358384</v>
      </c>
      <c r="W8" s="87">
        <f t="shared" ref="W8" si="18">IF(W35=0,0,W35*W145)</f>
        <v>32731.017696646606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5005.820974486388</v>
      </c>
      <c r="C9" s="87">
        <f t="shared" si="19"/>
        <v>6553.1993506730742</v>
      </c>
      <c r="D9" s="87">
        <f t="shared" si="19"/>
        <v>7522.1017353482985</v>
      </c>
      <c r="E9" s="87">
        <f t="shared" si="19"/>
        <v>7766.4686318227295</v>
      </c>
      <c r="F9" s="87">
        <f t="shared" si="19"/>
        <v>8081.1238228530683</v>
      </c>
      <c r="G9" s="87">
        <f t="shared" si="19"/>
        <v>9594.7767173398533</v>
      </c>
      <c r="H9" s="87">
        <f t="shared" si="19"/>
        <v>10270.16926919513</v>
      </c>
      <c r="I9" s="87">
        <f t="shared" si="19"/>
        <v>9718.8735503801945</v>
      </c>
      <c r="J9" s="87">
        <f t="shared" si="19"/>
        <v>9502.6160299799594</v>
      </c>
      <c r="K9" s="87">
        <f t="shared" si="19"/>
        <v>9796.2020137623658</v>
      </c>
      <c r="L9" s="87">
        <f t="shared" ref="L9" si="20">IF(L36=0,0,L36*L146)</f>
        <v>10019.637015660704</v>
      </c>
      <c r="M9" s="87">
        <f t="shared" ref="M9:V9" si="21">IF(M36=0,0,M36*M146)</f>
        <v>9076.1551985207352</v>
      </c>
      <c r="N9" s="87">
        <f t="shared" si="21"/>
        <v>9546.1000263096121</v>
      </c>
      <c r="O9" s="87">
        <f t="shared" si="21"/>
        <v>10135.878577731926</v>
      </c>
      <c r="P9" s="87">
        <f t="shared" si="21"/>
        <v>11170.383370739582</v>
      </c>
      <c r="Q9" s="87">
        <f t="shared" si="21"/>
        <v>12063.538070661478</v>
      </c>
      <c r="R9" s="87">
        <f t="shared" si="21"/>
        <v>12545.57778123137</v>
      </c>
      <c r="S9" s="87">
        <f t="shared" si="21"/>
        <v>12237.698433654768</v>
      </c>
      <c r="T9" s="87">
        <f t="shared" si="21"/>
        <v>11194.766238600814</v>
      </c>
      <c r="U9" s="87">
        <f t="shared" si="21"/>
        <v>10644.296651314733</v>
      </c>
      <c r="V9" s="87">
        <f t="shared" si="21"/>
        <v>8582.0904265066783</v>
      </c>
      <c r="W9" s="87">
        <f t="shared" ref="W9" si="22">IF(W36=0,0,W36*W146)</f>
        <v>8274.7835833670688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84.774807540945133</v>
      </c>
      <c r="G10" s="87">
        <f t="shared" si="23"/>
        <v>297.46818344521768</v>
      </c>
      <c r="H10" s="87">
        <f t="shared" si="23"/>
        <v>360.65179264660765</v>
      </c>
      <c r="I10" s="87">
        <f t="shared" si="23"/>
        <v>555.89873461418654</v>
      </c>
      <c r="J10" s="87">
        <f t="shared" si="23"/>
        <v>516.88854072401114</v>
      </c>
      <c r="K10" s="87">
        <f t="shared" si="23"/>
        <v>754.22077353425129</v>
      </c>
      <c r="L10" s="87">
        <f t="shared" ref="L10" si="24">IF(L37=0,0,L37*L147)</f>
        <v>1128.1640097390848</v>
      </c>
      <c r="M10" s="87">
        <f t="shared" ref="M10:V10" si="25">IF(M37=0,0,M37*M147)</f>
        <v>1041.1502874564537</v>
      </c>
      <c r="N10" s="87">
        <f t="shared" si="25"/>
        <v>1105.0021238644169</v>
      </c>
      <c r="O10" s="87">
        <f t="shared" si="25"/>
        <v>1209.8718381757974</v>
      </c>
      <c r="P10" s="87">
        <f t="shared" si="25"/>
        <v>1674.7800565547211</v>
      </c>
      <c r="Q10" s="87">
        <f t="shared" si="25"/>
        <v>1413.4879167418192</v>
      </c>
      <c r="R10" s="87">
        <f t="shared" si="25"/>
        <v>1291.0967235722017</v>
      </c>
      <c r="S10" s="87">
        <f t="shared" si="25"/>
        <v>1320.8514961607202</v>
      </c>
      <c r="T10" s="87">
        <f t="shared" si="25"/>
        <v>1347.2270981733063</v>
      </c>
      <c r="U10" s="87">
        <f t="shared" si="25"/>
        <v>1409.9127070902118</v>
      </c>
      <c r="V10" s="87">
        <f t="shared" si="25"/>
        <v>1282.9424779472429</v>
      </c>
      <c r="W10" s="87">
        <f t="shared" ref="W10" si="26">IF(W37=0,0,W37*W147)</f>
        <v>1178.0897240967113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6.9302493241381019E-2</v>
      </c>
      <c r="O11" s="87">
        <f t="shared" si="29"/>
        <v>6.2712309540968944E-2</v>
      </c>
      <c r="P11" s="87">
        <f t="shared" si="29"/>
        <v>0.10722365990988734</v>
      </c>
      <c r="Q11" s="87">
        <f t="shared" si="29"/>
        <v>0.44944622756535113</v>
      </c>
      <c r="R11" s="87">
        <f t="shared" si="29"/>
        <v>0.74305744084465564</v>
      </c>
      <c r="S11" s="87">
        <f t="shared" si="29"/>
        <v>2.5667072333675982</v>
      </c>
      <c r="T11" s="87">
        <f t="shared" si="29"/>
        <v>4.8024798530750976</v>
      </c>
      <c r="U11" s="87">
        <f t="shared" si="29"/>
        <v>12.935852004748801</v>
      </c>
      <c r="V11" s="87">
        <f t="shared" si="29"/>
        <v>15.978177344253655</v>
      </c>
      <c r="W11" s="87">
        <f t="shared" ref="W11" si="30">IF(W38=0,0,W38*W148)</f>
        <v>22.683049355918072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0</v>
      </c>
      <c r="P12" s="87">
        <f t="shared" si="33"/>
        <v>0</v>
      </c>
      <c r="Q12" s="87">
        <f t="shared" si="33"/>
        <v>0</v>
      </c>
      <c r="R12" s="87">
        <f t="shared" si="33"/>
        <v>0.60773620871626177</v>
      </c>
      <c r="S12" s="87">
        <f t="shared" si="33"/>
        <v>2.2613569892638803</v>
      </c>
      <c r="T12" s="87">
        <f t="shared" si="33"/>
        <v>6.9675065774479803</v>
      </c>
      <c r="U12" s="87">
        <f t="shared" si="33"/>
        <v>11.458114403566135</v>
      </c>
      <c r="V12" s="87">
        <f t="shared" si="33"/>
        <v>17.815726142235839</v>
      </c>
      <c r="W12" s="87">
        <f t="shared" ref="W12" si="34">IF(W39=0,0,W39*W149)</f>
        <v>23.452420630372682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14587</v>
      </c>
      <c r="C13" s="116">
        <f t="shared" si="35"/>
        <v>14963</v>
      </c>
      <c r="D13" s="116">
        <f t="shared" si="35"/>
        <v>16985</v>
      </c>
      <c r="E13" s="116">
        <f t="shared" si="35"/>
        <v>14400</v>
      </c>
      <c r="F13" s="116">
        <f t="shared" si="35"/>
        <v>13029</v>
      </c>
      <c r="G13" s="116">
        <f t="shared" si="35"/>
        <v>13688</v>
      </c>
      <c r="H13" s="116">
        <f t="shared" si="35"/>
        <v>12942</v>
      </c>
      <c r="I13" s="116">
        <f t="shared" si="35"/>
        <v>13571</v>
      </c>
      <c r="J13" s="116">
        <f t="shared" si="35"/>
        <v>13839</v>
      </c>
      <c r="K13" s="116">
        <f t="shared" si="35"/>
        <v>10451</v>
      </c>
      <c r="L13" s="116">
        <f t="shared" ref="L13" si="36">SUM(L14:L18)</f>
        <v>10613</v>
      </c>
      <c r="M13" s="116">
        <f t="shared" ref="M13:V13" si="37">SUM(M14:M18)</f>
        <v>10843</v>
      </c>
      <c r="N13" s="116">
        <f t="shared" si="37"/>
        <v>10482.000000000002</v>
      </c>
      <c r="O13" s="116">
        <f t="shared" si="37"/>
        <v>10317</v>
      </c>
      <c r="P13" s="116">
        <f t="shared" si="37"/>
        <v>11477</v>
      </c>
      <c r="Q13" s="116">
        <f t="shared" si="37"/>
        <v>12507.999999999998</v>
      </c>
      <c r="R13" s="116">
        <f t="shared" si="37"/>
        <v>12210.000000000002</v>
      </c>
      <c r="S13" s="116">
        <f t="shared" si="37"/>
        <v>10553.000000000002</v>
      </c>
      <c r="T13" s="116">
        <f t="shared" si="37"/>
        <v>9886</v>
      </c>
      <c r="U13" s="116">
        <f t="shared" si="37"/>
        <v>10835</v>
      </c>
      <c r="V13" s="116">
        <f t="shared" si="37"/>
        <v>5037</v>
      </c>
      <c r="W13" s="116">
        <f t="shared" ref="W13" si="38">SUM(W14:W18)</f>
        <v>4950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14587</v>
      </c>
      <c r="C15" s="101">
        <f t="shared" si="43"/>
        <v>14963</v>
      </c>
      <c r="D15" s="101">
        <f t="shared" si="43"/>
        <v>16985</v>
      </c>
      <c r="E15" s="101">
        <f t="shared" si="43"/>
        <v>14400</v>
      </c>
      <c r="F15" s="101">
        <f t="shared" si="43"/>
        <v>12940.394716537448</v>
      </c>
      <c r="G15" s="101">
        <f t="shared" si="43"/>
        <v>13486.562877113869</v>
      </c>
      <c r="H15" s="101">
        <f t="shared" si="43"/>
        <v>12583.270067294117</v>
      </c>
      <c r="I15" s="101">
        <f t="shared" si="43"/>
        <v>13024.8749654899</v>
      </c>
      <c r="J15" s="101">
        <f t="shared" si="43"/>
        <v>13229.706657251063</v>
      </c>
      <c r="K15" s="101">
        <f t="shared" si="43"/>
        <v>9796.5177402047411</v>
      </c>
      <c r="L15" s="101">
        <f t="shared" ref="L15" si="44">IF(L42=0,0,L42*L152)</f>
        <v>9646.2821073960386</v>
      </c>
      <c r="M15" s="101">
        <f t="shared" ref="M15:V15" si="45">IF(M42=0,0,M42*M152)</f>
        <v>9902.7277185860003</v>
      </c>
      <c r="N15" s="101">
        <f t="shared" si="45"/>
        <v>9557.1488447427546</v>
      </c>
      <c r="O15" s="101">
        <f t="shared" si="45"/>
        <v>8538.1443861003318</v>
      </c>
      <c r="P15" s="101">
        <f t="shared" si="45"/>
        <v>9310.5348916959592</v>
      </c>
      <c r="Q15" s="101">
        <f t="shared" si="45"/>
        <v>10304.291067730675</v>
      </c>
      <c r="R15" s="101">
        <f t="shared" si="45"/>
        <v>10225.050319210148</v>
      </c>
      <c r="S15" s="101">
        <f t="shared" si="45"/>
        <v>8680.8983406887746</v>
      </c>
      <c r="T15" s="101">
        <f t="shared" si="45"/>
        <v>8041.9329890821537</v>
      </c>
      <c r="U15" s="101">
        <f t="shared" si="45"/>
        <v>8670.6966006988441</v>
      </c>
      <c r="V15" s="101">
        <f t="shared" si="45"/>
        <v>4003.3041745256191</v>
      </c>
      <c r="W15" s="101">
        <f t="shared" ref="W15" si="46">IF(W42=0,0,W42*W152)</f>
        <v>3838.5252549852576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88.605283462551853</v>
      </c>
      <c r="G17" s="101">
        <f t="shared" si="51"/>
        <v>201.4371228861317</v>
      </c>
      <c r="H17" s="101">
        <f t="shared" si="51"/>
        <v>358.72993270588182</v>
      </c>
      <c r="I17" s="101">
        <f t="shared" si="51"/>
        <v>546.12503451009979</v>
      </c>
      <c r="J17" s="101">
        <f t="shared" si="51"/>
        <v>600.762737577027</v>
      </c>
      <c r="K17" s="101">
        <f t="shared" si="51"/>
        <v>637.43265207013667</v>
      </c>
      <c r="L17" s="101">
        <f t="shared" ref="L17" si="52">IF(L44=0,0,L44*L154)</f>
        <v>929.27931424341966</v>
      </c>
      <c r="M17" s="101">
        <f t="shared" ref="M17:V17" si="53">IF(M44=0,0,M44*M154)</f>
        <v>901.99209912760784</v>
      </c>
      <c r="N17" s="101">
        <f t="shared" si="53"/>
        <v>881.41241340539045</v>
      </c>
      <c r="O17" s="101">
        <f t="shared" si="53"/>
        <v>1432.5434522022592</v>
      </c>
      <c r="P17" s="101">
        <f t="shared" si="53"/>
        <v>1676.181214567933</v>
      </c>
      <c r="Q17" s="101">
        <f t="shared" si="53"/>
        <v>1660.3391805960114</v>
      </c>
      <c r="R17" s="101">
        <f t="shared" si="53"/>
        <v>1422.9355474637771</v>
      </c>
      <c r="S17" s="101">
        <f t="shared" si="53"/>
        <v>1363.2757711472018</v>
      </c>
      <c r="T17" s="101">
        <f t="shared" si="53"/>
        <v>1377.0818728581844</v>
      </c>
      <c r="U17" s="101">
        <f t="shared" si="53"/>
        <v>1700.125180262821</v>
      </c>
      <c r="V17" s="101">
        <f t="shared" si="53"/>
        <v>827.85387353724263</v>
      </c>
      <c r="W17" s="101">
        <f t="shared" ref="W17" si="54">IF(W44=0,0,W44*W154)</f>
        <v>884.67799159040646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8.5306051719099862</v>
      </c>
      <c r="K18" s="101">
        <f t="shared" si="55"/>
        <v>17.049607725122765</v>
      </c>
      <c r="L18" s="101">
        <f t="shared" ref="L18" si="56">IF(L45=0,0,L45*L155)</f>
        <v>37.438578360541555</v>
      </c>
      <c r="M18" s="101">
        <f t="shared" ref="M18:V18" si="57">IF(M45=0,0,M45*M155)</f>
        <v>38.280182286391891</v>
      </c>
      <c r="N18" s="101">
        <f t="shared" si="57"/>
        <v>43.438741851855603</v>
      </c>
      <c r="O18" s="101">
        <f t="shared" si="57"/>
        <v>346.31216169740935</v>
      </c>
      <c r="P18" s="101">
        <f t="shared" si="57"/>
        <v>490.2838937361077</v>
      </c>
      <c r="Q18" s="101">
        <f t="shared" si="57"/>
        <v>543.36975167331218</v>
      </c>
      <c r="R18" s="101">
        <f t="shared" si="57"/>
        <v>562.01413332607558</v>
      </c>
      <c r="S18" s="101">
        <f t="shared" si="57"/>
        <v>508.82588816402421</v>
      </c>
      <c r="T18" s="101">
        <f t="shared" si="57"/>
        <v>466.98513805966275</v>
      </c>
      <c r="U18" s="101">
        <f t="shared" si="57"/>
        <v>464.17821903833544</v>
      </c>
      <c r="V18" s="101">
        <f t="shared" si="57"/>
        <v>205.84195193713796</v>
      </c>
      <c r="W18" s="101">
        <f t="shared" ref="W18" si="58">IF(W45=0,0,W45*W155)</f>
        <v>226.79675342433589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7779.6002097903211</v>
      </c>
      <c r="C19" s="29">
        <f t="shared" si="59"/>
        <v>8317.389504658704</v>
      </c>
      <c r="D19" s="29">
        <f t="shared" si="59"/>
        <v>9216.2725944624199</v>
      </c>
      <c r="E19" s="29">
        <f t="shared" si="59"/>
        <v>9990.1980992718145</v>
      </c>
      <c r="F19" s="29">
        <f t="shared" si="59"/>
        <v>10895.235107528963</v>
      </c>
      <c r="G19" s="29">
        <f t="shared" si="59"/>
        <v>11507.375903218863</v>
      </c>
      <c r="H19" s="29">
        <f t="shared" si="59"/>
        <v>11543.06884487378</v>
      </c>
      <c r="I19" s="29">
        <f t="shared" si="59"/>
        <v>11081.369967176328</v>
      </c>
      <c r="J19" s="29">
        <f t="shared" si="59"/>
        <v>10464.992473694654</v>
      </c>
      <c r="K19" s="29">
        <f t="shared" si="59"/>
        <v>9452.3504960245336</v>
      </c>
      <c r="L19" s="29">
        <f t="shared" ref="L19" si="60">L20+L26</f>
        <v>9596.0506654966539</v>
      </c>
      <c r="M19" s="29">
        <f t="shared" ref="M19:V19" si="61">M20+M26</f>
        <v>10509.117570757111</v>
      </c>
      <c r="N19" s="29">
        <f t="shared" si="61"/>
        <v>10088.879077327383</v>
      </c>
      <c r="O19" s="29">
        <f t="shared" si="61"/>
        <v>11779.564090677584</v>
      </c>
      <c r="P19" s="29">
        <f t="shared" si="61"/>
        <v>11203.316321846194</v>
      </c>
      <c r="Q19" s="29">
        <f t="shared" si="61"/>
        <v>12135.138742865656</v>
      </c>
      <c r="R19" s="29">
        <f t="shared" si="61"/>
        <v>12120.012267216551</v>
      </c>
      <c r="S19" s="29">
        <f t="shared" si="61"/>
        <v>12839.515364847259</v>
      </c>
      <c r="T19" s="29">
        <f t="shared" si="61"/>
        <v>11942.343509853734</v>
      </c>
      <c r="U19" s="29">
        <f t="shared" si="61"/>
        <v>9481.6700822808671</v>
      </c>
      <c r="V19" s="29">
        <f t="shared" si="61"/>
        <v>11743.829475928002</v>
      </c>
      <c r="W19" s="29">
        <f t="shared" ref="W19" si="62">W20+W26</f>
        <v>13967.168405989869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416.1826622779837</v>
      </c>
      <c r="C20" s="152">
        <f t="shared" si="63"/>
        <v>398.58615862042979</v>
      </c>
      <c r="D20" s="152">
        <f t="shared" si="63"/>
        <v>404.64820807779017</v>
      </c>
      <c r="E20" s="152">
        <f t="shared" si="63"/>
        <v>444.91711706399178</v>
      </c>
      <c r="F20" s="152">
        <f t="shared" si="63"/>
        <v>526.93187778224512</v>
      </c>
      <c r="G20" s="152">
        <f t="shared" si="63"/>
        <v>500.34009269146514</v>
      </c>
      <c r="H20" s="152">
        <f t="shared" si="63"/>
        <v>570.19626859859738</v>
      </c>
      <c r="I20" s="152">
        <f t="shared" si="63"/>
        <v>641.5822122778668</v>
      </c>
      <c r="J20" s="152">
        <f t="shared" si="63"/>
        <v>696.01189558660178</v>
      </c>
      <c r="K20" s="152">
        <f t="shared" si="63"/>
        <v>705.81536894222324</v>
      </c>
      <c r="L20" s="152">
        <f t="shared" ref="L20" si="64">SUM(L21:L25)</f>
        <v>701.90327886725333</v>
      </c>
      <c r="M20" s="152">
        <f t="shared" ref="M20:V20" si="65">SUM(M21:M25)</f>
        <v>779.93801333314184</v>
      </c>
      <c r="N20" s="152">
        <f t="shared" si="65"/>
        <v>821.61135758004252</v>
      </c>
      <c r="O20" s="152">
        <f t="shared" si="65"/>
        <v>824.50687664035922</v>
      </c>
      <c r="P20" s="152">
        <f t="shared" si="65"/>
        <v>860.33517432270833</v>
      </c>
      <c r="Q20" s="152">
        <f t="shared" si="65"/>
        <v>956.3247236757361</v>
      </c>
      <c r="R20" s="152">
        <f t="shared" si="65"/>
        <v>945.61226984154075</v>
      </c>
      <c r="S20" s="152">
        <f t="shared" si="65"/>
        <v>803.66762342849643</v>
      </c>
      <c r="T20" s="152">
        <f t="shared" si="65"/>
        <v>799.34350985373408</v>
      </c>
      <c r="U20" s="152">
        <f t="shared" si="65"/>
        <v>775.67008228086615</v>
      </c>
      <c r="V20" s="152">
        <f t="shared" si="65"/>
        <v>738.82947592800122</v>
      </c>
      <c r="W20" s="152">
        <f t="shared" ref="W20" si="66">SUM(W21:W25)</f>
        <v>700.16840598986948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61.090366941375663</v>
      </c>
      <c r="C21" s="87">
        <f t="shared" si="67"/>
        <v>62.510901791607033</v>
      </c>
      <c r="D21" s="87">
        <f t="shared" si="67"/>
        <v>64.089814937172292</v>
      </c>
      <c r="E21" s="87">
        <f t="shared" si="67"/>
        <v>65.855003814206356</v>
      </c>
      <c r="F21" s="87">
        <f t="shared" si="67"/>
        <v>67.544826278967122</v>
      </c>
      <c r="G21" s="87">
        <f t="shared" si="67"/>
        <v>62.344940378499793</v>
      </c>
      <c r="H21" s="87">
        <f t="shared" si="67"/>
        <v>55.212412271047782</v>
      </c>
      <c r="I21" s="87">
        <f t="shared" si="67"/>
        <v>48.404454408407517</v>
      </c>
      <c r="J21" s="87">
        <f t="shared" si="67"/>
        <v>42.309045227705965</v>
      </c>
      <c r="K21" s="87">
        <f t="shared" si="67"/>
        <v>35.894374774148211</v>
      </c>
      <c r="L21" s="87">
        <f t="shared" ref="L21" si="68">IF(L48=0,0,L48*L158)</f>
        <v>27.852895996485586</v>
      </c>
      <c r="M21" s="87">
        <f t="shared" ref="M21:V21" si="69">IF(M48=0,0,M48*M158)</f>
        <v>30.446300799847375</v>
      </c>
      <c r="N21" s="87">
        <f t="shared" si="69"/>
        <v>29.448622239557793</v>
      </c>
      <c r="O21" s="87">
        <f t="shared" si="69"/>
        <v>27.89006992362944</v>
      </c>
      <c r="P21" s="87">
        <f t="shared" si="69"/>
        <v>26.750029078352107</v>
      </c>
      <c r="Q21" s="87">
        <f t="shared" si="69"/>
        <v>33.151426310641277</v>
      </c>
      <c r="R21" s="87">
        <f t="shared" si="69"/>
        <v>33.978205400610101</v>
      </c>
      <c r="S21" s="87">
        <f t="shared" si="69"/>
        <v>34.537320270247307</v>
      </c>
      <c r="T21" s="87">
        <f t="shared" si="69"/>
        <v>36.297771875999871</v>
      </c>
      <c r="U21" s="87">
        <f t="shared" si="69"/>
        <v>36.256858105875438</v>
      </c>
      <c r="V21" s="87">
        <f t="shared" si="69"/>
        <v>35.716309018166243</v>
      </c>
      <c r="W21" s="87">
        <f t="shared" ref="W21" si="70">IF(W48=0,0,W48*W158)</f>
        <v>35.018752575346284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355.092295336608</v>
      </c>
      <c r="C22" s="87">
        <f t="shared" si="71"/>
        <v>336.07525682882277</v>
      </c>
      <c r="D22" s="87">
        <f t="shared" si="71"/>
        <v>340.55839314061791</v>
      </c>
      <c r="E22" s="87">
        <f t="shared" si="71"/>
        <v>379.0621132497854</v>
      </c>
      <c r="F22" s="87">
        <f t="shared" si="71"/>
        <v>459.38705150327797</v>
      </c>
      <c r="G22" s="87">
        <f t="shared" si="71"/>
        <v>437.99515231296533</v>
      </c>
      <c r="H22" s="87">
        <f t="shared" si="71"/>
        <v>514.98385632754957</v>
      </c>
      <c r="I22" s="87">
        <f t="shared" si="71"/>
        <v>593.17775786945924</v>
      </c>
      <c r="J22" s="87">
        <f t="shared" si="71"/>
        <v>653.70285035889583</v>
      </c>
      <c r="K22" s="87">
        <f t="shared" si="71"/>
        <v>669.92099416807503</v>
      </c>
      <c r="L22" s="87">
        <f t="shared" ref="L22" si="72">IF(L49=0,0,L49*L159)</f>
        <v>674.05038287076775</v>
      </c>
      <c r="M22" s="87">
        <f t="shared" ref="M22:V22" si="73">IF(M49=0,0,M49*M159)</f>
        <v>749.4917125332945</v>
      </c>
      <c r="N22" s="87">
        <f t="shared" si="73"/>
        <v>792.09271817983119</v>
      </c>
      <c r="O22" s="87">
        <f t="shared" si="73"/>
        <v>796.54453196506154</v>
      </c>
      <c r="P22" s="87">
        <f t="shared" si="73"/>
        <v>833.51058863190894</v>
      </c>
      <c r="Q22" s="87">
        <f t="shared" si="73"/>
        <v>923.07887635293071</v>
      </c>
      <c r="R22" s="87">
        <f t="shared" si="73"/>
        <v>911.50685000378257</v>
      </c>
      <c r="S22" s="87">
        <f t="shared" si="73"/>
        <v>768.9900448848349</v>
      </c>
      <c r="T22" s="87">
        <f t="shared" si="73"/>
        <v>762.87717916172346</v>
      </c>
      <c r="U22" s="87">
        <f t="shared" si="73"/>
        <v>739.18361862976167</v>
      </c>
      <c r="V22" s="87">
        <f t="shared" si="73"/>
        <v>702.85912636054798</v>
      </c>
      <c r="W22" s="87">
        <f t="shared" ref="W22" si="74">IF(W49=0,0,W49*W159)</f>
        <v>664.87251546822517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7.0017160653449345E-2</v>
      </c>
      <c r="O25" s="87">
        <f t="shared" si="85"/>
        <v>7.2274751668221712E-2</v>
      </c>
      <c r="P25" s="87">
        <f t="shared" si="85"/>
        <v>7.4556612447332624E-2</v>
      </c>
      <c r="Q25" s="87">
        <f t="shared" si="85"/>
        <v>9.4421012164198612E-2</v>
      </c>
      <c r="R25" s="87">
        <f t="shared" si="85"/>
        <v>0.12721443714801958</v>
      </c>
      <c r="S25" s="87">
        <f t="shared" si="85"/>
        <v>0.14025827341427988</v>
      </c>
      <c r="T25" s="87">
        <f t="shared" si="85"/>
        <v>0.1685588160107446</v>
      </c>
      <c r="U25" s="87">
        <f t="shared" si="85"/>
        <v>0.22960554522907312</v>
      </c>
      <c r="V25" s="87">
        <f t="shared" si="85"/>
        <v>0.25404054928692266</v>
      </c>
      <c r="W25" s="87">
        <f t="shared" ref="W25" si="86">IF(W52=0,0,W52*W162)</f>
        <v>0.27713794629795852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7363.4175475123375</v>
      </c>
      <c r="C26" s="116">
        <f t="shared" si="87"/>
        <v>7918.803346038274</v>
      </c>
      <c r="D26" s="116">
        <f t="shared" si="87"/>
        <v>8811.6243863846303</v>
      </c>
      <c r="E26" s="116">
        <f t="shared" si="87"/>
        <v>9545.2809822078234</v>
      </c>
      <c r="F26" s="116">
        <f t="shared" si="87"/>
        <v>10368.303229746718</v>
      </c>
      <c r="G26" s="116">
        <f t="shared" si="87"/>
        <v>11007.035810527397</v>
      </c>
      <c r="H26" s="116">
        <f t="shared" si="87"/>
        <v>10972.872576275182</v>
      </c>
      <c r="I26" s="116">
        <f t="shared" si="87"/>
        <v>10439.787754898462</v>
      </c>
      <c r="J26" s="116">
        <f t="shared" si="87"/>
        <v>9768.9805781080522</v>
      </c>
      <c r="K26" s="116">
        <f t="shared" si="87"/>
        <v>8746.5351270823103</v>
      </c>
      <c r="L26" s="116">
        <f t="shared" ref="L26" si="88">SUM(L27:L28)</f>
        <v>8894.1473866294</v>
      </c>
      <c r="M26" s="116">
        <f t="shared" ref="M26:V26" si="89">SUM(M27:M28)</f>
        <v>9729.1795574239695</v>
      </c>
      <c r="N26" s="116">
        <f t="shared" si="89"/>
        <v>9267.2677197473404</v>
      </c>
      <c r="O26" s="116">
        <f t="shared" si="89"/>
        <v>10955.057214037226</v>
      </c>
      <c r="P26" s="116">
        <f t="shared" si="89"/>
        <v>10342.981147523486</v>
      </c>
      <c r="Q26" s="116">
        <f t="shared" si="89"/>
        <v>11178.81401918992</v>
      </c>
      <c r="R26" s="116">
        <f t="shared" si="89"/>
        <v>11174.399997375011</v>
      </c>
      <c r="S26" s="116">
        <f t="shared" si="89"/>
        <v>12035.847741418762</v>
      </c>
      <c r="T26" s="116">
        <f t="shared" si="89"/>
        <v>11143</v>
      </c>
      <c r="U26" s="116">
        <f t="shared" si="89"/>
        <v>8706</v>
      </c>
      <c r="V26" s="116">
        <f t="shared" si="89"/>
        <v>11005</v>
      </c>
      <c r="W26" s="116">
        <f t="shared" ref="W26" si="90">SUM(W27:W28)</f>
        <v>13267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3061</v>
      </c>
      <c r="C27" s="101">
        <f t="shared" si="91"/>
        <v>3310</v>
      </c>
      <c r="D27" s="101">
        <f t="shared" si="91"/>
        <v>3930.9999999999995</v>
      </c>
      <c r="E27" s="101">
        <f t="shared" si="91"/>
        <v>4586</v>
      </c>
      <c r="F27" s="101">
        <f t="shared" si="91"/>
        <v>4612</v>
      </c>
      <c r="G27" s="101">
        <f t="shared" si="91"/>
        <v>5045</v>
      </c>
      <c r="H27" s="101">
        <f t="shared" si="91"/>
        <v>5806</v>
      </c>
      <c r="I27" s="101">
        <f t="shared" si="91"/>
        <v>5890</v>
      </c>
      <c r="J27" s="101">
        <f t="shared" si="91"/>
        <v>7122</v>
      </c>
      <c r="K27" s="101">
        <f t="shared" si="91"/>
        <v>6306</v>
      </c>
      <c r="L27" s="101">
        <f t="shared" ref="L27:V27" si="92">IF(L54=0,0,L54*L164)</f>
        <v>6120</v>
      </c>
      <c r="M27" s="101">
        <f t="shared" si="92"/>
        <v>6518</v>
      </c>
      <c r="N27" s="101">
        <f t="shared" si="92"/>
        <v>6286</v>
      </c>
      <c r="O27" s="101">
        <f t="shared" si="92"/>
        <v>7192</v>
      </c>
      <c r="P27" s="101">
        <f t="shared" si="92"/>
        <v>6826</v>
      </c>
      <c r="Q27" s="101">
        <f t="shared" si="92"/>
        <v>7172</v>
      </c>
      <c r="R27" s="101">
        <f t="shared" si="92"/>
        <v>7324</v>
      </c>
      <c r="S27" s="101">
        <f t="shared" si="92"/>
        <v>8328</v>
      </c>
      <c r="T27" s="101">
        <f t="shared" si="92"/>
        <v>7734</v>
      </c>
      <c r="U27" s="101">
        <f t="shared" si="92"/>
        <v>5719</v>
      </c>
      <c r="V27" s="101">
        <f t="shared" si="92"/>
        <v>7410</v>
      </c>
      <c r="W27" s="101">
        <f t="shared" ref="W27" si="93">IF(W54=0,0,W54*W164)</f>
        <v>9029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4302.4175475123375</v>
      </c>
      <c r="C28" s="88">
        <f t="shared" si="94"/>
        <v>4608.803346038274</v>
      </c>
      <c r="D28" s="88">
        <f t="shared" si="94"/>
        <v>4880.6243863846303</v>
      </c>
      <c r="E28" s="88">
        <f t="shared" si="94"/>
        <v>4959.2809822078234</v>
      </c>
      <c r="F28" s="88">
        <f t="shared" si="94"/>
        <v>5756.303229746718</v>
      </c>
      <c r="G28" s="88">
        <f t="shared" si="94"/>
        <v>5962.0358105273972</v>
      </c>
      <c r="H28" s="88">
        <f t="shared" si="94"/>
        <v>5166.8725762751819</v>
      </c>
      <c r="I28" s="88">
        <f t="shared" si="94"/>
        <v>4549.7877548984616</v>
      </c>
      <c r="J28" s="88">
        <f t="shared" si="94"/>
        <v>2646.9805781080522</v>
      </c>
      <c r="K28" s="88">
        <f t="shared" si="94"/>
        <v>2440.5351270823103</v>
      </c>
      <c r="L28" s="88">
        <f t="shared" ref="L28:V28" si="95">IF(L55=0,0,L55*L165)</f>
        <v>2774.1473866294</v>
      </c>
      <c r="M28" s="88">
        <f t="shared" si="95"/>
        <v>3211.1795574239695</v>
      </c>
      <c r="N28" s="88">
        <f t="shared" si="95"/>
        <v>2981.2677197473404</v>
      </c>
      <c r="O28" s="88">
        <f t="shared" si="95"/>
        <v>3763.057214037226</v>
      </c>
      <c r="P28" s="88">
        <f t="shared" si="95"/>
        <v>3516.9811475234856</v>
      </c>
      <c r="Q28" s="88">
        <f t="shared" si="95"/>
        <v>4006.8140191899201</v>
      </c>
      <c r="R28" s="88">
        <f t="shared" si="95"/>
        <v>3850.3999973750106</v>
      </c>
      <c r="S28" s="88">
        <f t="shared" si="95"/>
        <v>3707.8477414187619</v>
      </c>
      <c r="T28" s="88">
        <f t="shared" si="95"/>
        <v>3409</v>
      </c>
      <c r="U28" s="88">
        <f t="shared" si="95"/>
        <v>2987</v>
      </c>
      <c r="V28" s="88">
        <f t="shared" si="95"/>
        <v>3595</v>
      </c>
      <c r="W28" s="88">
        <f t="shared" ref="W28" si="96">IF(W55=0,0,W55*W165)</f>
        <v>4238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15482.79508993811</v>
      </c>
      <c r="C30" s="62">
        <f t="shared" ref="C30:V30" si="98">C31+C46</f>
        <v>15818.33031256651</v>
      </c>
      <c r="D30" s="62">
        <f t="shared" si="98"/>
        <v>17341.102381579516</v>
      </c>
      <c r="E30" s="62">
        <f t="shared" si="98"/>
        <v>18917.521817535671</v>
      </c>
      <c r="F30" s="62">
        <f t="shared" si="98"/>
        <v>20973.679645101212</v>
      </c>
      <c r="G30" s="62">
        <f t="shared" si="98"/>
        <v>22838.257498142062</v>
      </c>
      <c r="H30" s="62">
        <f t="shared" si="98"/>
        <v>25198.32562326096</v>
      </c>
      <c r="I30" s="62">
        <f t="shared" si="98"/>
        <v>25078.081558668982</v>
      </c>
      <c r="J30" s="62">
        <f t="shared" si="98"/>
        <v>26891.626449838277</v>
      </c>
      <c r="K30" s="62">
        <f t="shared" si="98"/>
        <v>27653.359771626194</v>
      </c>
      <c r="L30" s="62">
        <f t="shared" si="98"/>
        <v>27551.715030487139</v>
      </c>
      <c r="M30" s="62">
        <f t="shared" si="98"/>
        <v>27975.131526543002</v>
      </c>
      <c r="N30" s="62">
        <f t="shared" si="98"/>
        <v>29713.624478068428</v>
      </c>
      <c r="O30" s="62">
        <f t="shared" si="98"/>
        <v>30369.682373226336</v>
      </c>
      <c r="P30" s="62">
        <f t="shared" si="98"/>
        <v>31585.130945935369</v>
      </c>
      <c r="Q30" s="62">
        <f t="shared" si="98"/>
        <v>35458.956356306939</v>
      </c>
      <c r="R30" s="62">
        <f t="shared" si="98"/>
        <v>36204.685078430331</v>
      </c>
      <c r="S30" s="62">
        <f t="shared" si="98"/>
        <v>35944.572269323886</v>
      </c>
      <c r="T30" s="62">
        <f t="shared" si="98"/>
        <v>36197.99594532606</v>
      </c>
      <c r="U30" s="62">
        <f t="shared" si="98"/>
        <v>37109.283876941023</v>
      </c>
      <c r="V30" s="62">
        <f t="shared" si="98"/>
        <v>36181.64109375589</v>
      </c>
      <c r="W30" s="62">
        <f t="shared" ref="W30" si="99">W31+W46</f>
        <v>39671.005258906247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13593.358507866604</v>
      </c>
      <c r="C31" s="29">
        <f t="shared" ref="C31:V31" si="101">C32+C33+C40</f>
        <v>13909.020352015263</v>
      </c>
      <c r="D31" s="29">
        <f t="shared" si="101"/>
        <v>15386.822485506575</v>
      </c>
      <c r="E31" s="29">
        <f t="shared" si="101"/>
        <v>16585.500853625843</v>
      </c>
      <c r="F31" s="29">
        <f t="shared" si="101"/>
        <v>18235.076415910404</v>
      </c>
      <c r="G31" s="29">
        <f t="shared" si="101"/>
        <v>20114.873906403591</v>
      </c>
      <c r="H31" s="29">
        <f t="shared" si="101"/>
        <v>22200.930215926004</v>
      </c>
      <c r="I31" s="29">
        <f t="shared" si="101"/>
        <v>21972.421101615106</v>
      </c>
      <c r="J31" s="29">
        <f t="shared" si="101"/>
        <v>23560.284518030981</v>
      </c>
      <c r="K31" s="29">
        <f t="shared" si="101"/>
        <v>24465.895282552727</v>
      </c>
      <c r="L31" s="29">
        <f t="shared" si="101"/>
        <v>24413.433839655336</v>
      </c>
      <c r="M31" s="29">
        <f t="shared" si="101"/>
        <v>24548.95377515052</v>
      </c>
      <c r="N31" s="29">
        <f t="shared" si="101"/>
        <v>26183.427900447692</v>
      </c>
      <c r="O31" s="29">
        <f t="shared" si="101"/>
        <v>26741.930704235077</v>
      </c>
      <c r="P31" s="29">
        <f t="shared" si="101"/>
        <v>27897.197365662993</v>
      </c>
      <c r="Q31" s="29">
        <f t="shared" si="101"/>
        <v>31350.434240756549</v>
      </c>
      <c r="R31" s="29">
        <f t="shared" si="101"/>
        <v>32134.617309853998</v>
      </c>
      <c r="S31" s="29">
        <f t="shared" si="101"/>
        <v>32251.563600165191</v>
      </c>
      <c r="T31" s="29">
        <f t="shared" si="101"/>
        <v>32613.957441655875</v>
      </c>
      <c r="U31" s="29">
        <f t="shared" si="101"/>
        <v>33799.395861964345</v>
      </c>
      <c r="V31" s="29">
        <f t="shared" si="101"/>
        <v>32728.796026800639</v>
      </c>
      <c r="W31" s="29">
        <f t="shared" ref="W31" si="102">W32+W33+W40</f>
        <v>36089.221481913824</v>
      </c>
      <c r="DA31" s="173" t="s">
        <v>474</v>
      </c>
    </row>
    <row r="32" spans="1:105" ht="11.45" customHeight="1" x14ac:dyDescent="0.25">
      <c r="A32" s="136" t="s">
        <v>180</v>
      </c>
      <c r="B32" s="152">
        <v>269.99025161697443</v>
      </c>
      <c r="C32" s="152">
        <v>277.69622844867411</v>
      </c>
      <c r="D32" s="152">
        <v>285.93552889652688</v>
      </c>
      <c r="E32" s="152">
        <v>289.6015069028856</v>
      </c>
      <c r="F32" s="152">
        <v>307.53029339568332</v>
      </c>
      <c r="G32" s="152">
        <v>329.74900363378737</v>
      </c>
      <c r="H32" s="152">
        <v>339.29797945206565</v>
      </c>
      <c r="I32" s="152">
        <v>359.60959254471049</v>
      </c>
      <c r="J32" s="152">
        <v>409.07919050151031</v>
      </c>
      <c r="K32" s="152">
        <v>436.4536789914178</v>
      </c>
      <c r="L32" s="152">
        <v>476.13026920418184</v>
      </c>
      <c r="M32" s="152">
        <v>504.90400304799152</v>
      </c>
      <c r="N32" s="152">
        <v>550.29655095550834</v>
      </c>
      <c r="O32" s="152">
        <v>585.66199512324852</v>
      </c>
      <c r="P32" s="152">
        <v>617.50702155486579</v>
      </c>
      <c r="Q32" s="152">
        <v>668.1382071950718</v>
      </c>
      <c r="R32" s="152">
        <v>716.27935240259831</v>
      </c>
      <c r="S32" s="152">
        <v>683.48195956388213</v>
      </c>
      <c r="T32" s="152">
        <v>658.01107873612966</v>
      </c>
      <c r="U32" s="152">
        <v>704.29433448483667</v>
      </c>
      <c r="V32" s="152">
        <v>633.77946887335645</v>
      </c>
      <c r="W32" s="152">
        <v>660.36888689114551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12858.369850129131</v>
      </c>
      <c r="C33" s="116">
        <f t="shared" ref="C33:V33" si="104">SUM(C34:C39)</f>
        <v>13144.722497550329</v>
      </c>
      <c r="D33" s="116">
        <f t="shared" si="104"/>
        <v>14537.537039528786</v>
      </c>
      <c r="E33" s="116">
        <f t="shared" si="104"/>
        <v>15808.754556465854</v>
      </c>
      <c r="F33" s="116">
        <f t="shared" si="104"/>
        <v>17477.960201189668</v>
      </c>
      <c r="G33" s="116">
        <f t="shared" si="104"/>
        <v>19303.322720439639</v>
      </c>
      <c r="H33" s="116">
        <f t="shared" si="104"/>
        <v>21396.928466276451</v>
      </c>
      <c r="I33" s="116">
        <f t="shared" si="104"/>
        <v>21115.787897665959</v>
      </c>
      <c r="J33" s="116">
        <f t="shared" si="104"/>
        <v>22697.405327529472</v>
      </c>
      <c r="K33" s="116">
        <f t="shared" si="104"/>
        <v>23552.841603561312</v>
      </c>
      <c r="L33" s="116">
        <f t="shared" si="104"/>
        <v>23494.303570451153</v>
      </c>
      <c r="M33" s="116">
        <f t="shared" si="104"/>
        <v>23555.049772102528</v>
      </c>
      <c r="N33" s="116">
        <f t="shared" si="104"/>
        <v>25184.131349492185</v>
      </c>
      <c r="O33" s="116">
        <f t="shared" si="104"/>
        <v>25716.368709111826</v>
      </c>
      <c r="P33" s="116">
        <f t="shared" si="104"/>
        <v>26823.890344108127</v>
      </c>
      <c r="Q33" s="116">
        <f t="shared" si="104"/>
        <v>30202.886666163344</v>
      </c>
      <c r="R33" s="116">
        <f t="shared" si="104"/>
        <v>30971.637957451399</v>
      </c>
      <c r="S33" s="116">
        <f t="shared" si="104"/>
        <v>31148.801640601308</v>
      </c>
      <c r="T33" s="116">
        <f t="shared" si="104"/>
        <v>31528.346362919747</v>
      </c>
      <c r="U33" s="116">
        <f t="shared" si="104"/>
        <v>32626.024581244816</v>
      </c>
      <c r="V33" s="116">
        <f t="shared" si="104"/>
        <v>31629.518879343876</v>
      </c>
      <c r="W33" s="116">
        <f t="shared" ref="W33" si="105">SUM(W34:W39)</f>
        <v>34963.4360134546</v>
      </c>
      <c r="DA33" s="176" t="s">
        <v>476</v>
      </c>
    </row>
    <row r="34" spans="1:105" ht="11.45" customHeight="1" x14ac:dyDescent="0.25">
      <c r="A34" s="111" t="s">
        <v>110</v>
      </c>
      <c r="B34" s="87">
        <v>7881.6625889652087</v>
      </c>
      <c r="C34" s="87">
        <v>6910.0532000242647</v>
      </c>
      <c r="D34" s="87">
        <v>7406.1927878410206</v>
      </c>
      <c r="E34" s="87">
        <v>7108.7119794270138</v>
      </c>
      <c r="F34" s="87">
        <v>6551.7286924177415</v>
      </c>
      <c r="G34" s="87">
        <v>6316.5699250611688</v>
      </c>
      <c r="H34" s="87">
        <v>6986.9214751966629</v>
      </c>
      <c r="I34" s="87">
        <v>6939.5139301454319</v>
      </c>
      <c r="J34" s="87">
        <v>7007.2635823465716</v>
      </c>
      <c r="K34" s="87">
        <v>7461.6719691729404</v>
      </c>
      <c r="L34" s="87">
        <v>6988.4605236071984</v>
      </c>
      <c r="M34" s="87">
        <v>6568.4596425851341</v>
      </c>
      <c r="N34" s="87">
        <v>6233.6361822096605</v>
      </c>
      <c r="O34" s="87">
        <v>6063.0659474612157</v>
      </c>
      <c r="P34" s="87">
        <v>6118.6107429969807</v>
      </c>
      <c r="Q34" s="87">
        <v>6439.7268326439025</v>
      </c>
      <c r="R34" s="87">
        <v>6312.6902067784013</v>
      </c>
      <c r="S34" s="87">
        <v>6480.497086557345</v>
      </c>
      <c r="T34" s="87">
        <v>6259.4925380199038</v>
      </c>
      <c r="U34" s="87">
        <v>6317.136192705525</v>
      </c>
      <c r="V34" s="87">
        <v>6191.0165391611599</v>
      </c>
      <c r="W34" s="87">
        <v>6798.0598894206796</v>
      </c>
      <c r="DA34" s="171" t="s">
        <v>477</v>
      </c>
    </row>
    <row r="35" spans="1:105" ht="11.45" customHeight="1" x14ac:dyDescent="0.25">
      <c r="A35" s="111" t="s">
        <v>111</v>
      </c>
      <c r="B35" s="87">
        <v>2509.8886702207637</v>
      </c>
      <c r="C35" s="87">
        <v>3051.7262780631609</v>
      </c>
      <c r="D35" s="87">
        <v>3283.7374611902578</v>
      </c>
      <c r="E35" s="87">
        <v>4577.063418202858</v>
      </c>
      <c r="F35" s="87">
        <v>6440.3360074840239</v>
      </c>
      <c r="G35" s="87">
        <v>7378.2352828376434</v>
      </c>
      <c r="H35" s="87">
        <v>8173.2522806714569</v>
      </c>
      <c r="I35" s="87">
        <v>8639.8875158833434</v>
      </c>
      <c r="J35" s="87">
        <v>10263.05229256973</v>
      </c>
      <c r="K35" s="87">
        <v>10558.172445285454</v>
      </c>
      <c r="L35" s="87">
        <v>10748.697520417265</v>
      </c>
      <c r="M35" s="87">
        <v>11875.414972686503</v>
      </c>
      <c r="N35" s="87">
        <v>13386.706476286399</v>
      </c>
      <c r="O35" s="87">
        <v>13797.131254544367</v>
      </c>
      <c r="P35" s="87">
        <v>14121.928743436887</v>
      </c>
      <c r="Q35" s="87">
        <v>16380.97367910655</v>
      </c>
      <c r="R35" s="87">
        <v>16856.300525432842</v>
      </c>
      <c r="S35" s="87">
        <v>17116.00968395366</v>
      </c>
      <c r="T35" s="87">
        <v>18140.396660464874</v>
      </c>
      <c r="U35" s="87">
        <v>19318.801104137881</v>
      </c>
      <c r="V35" s="87">
        <v>18995.98182165801</v>
      </c>
      <c r="W35" s="87">
        <v>21578.89440951058</v>
      </c>
      <c r="DA35" s="171" t="s">
        <v>478</v>
      </c>
    </row>
    <row r="36" spans="1:105" ht="11.45" customHeight="1" x14ac:dyDescent="0.25">
      <c r="A36" s="111" t="s">
        <v>112</v>
      </c>
      <c r="B36" s="87">
        <v>2466.8185909431572</v>
      </c>
      <c r="C36" s="87">
        <v>3182.9430194629044</v>
      </c>
      <c r="D36" s="87">
        <v>3847.6067904975075</v>
      </c>
      <c r="E36" s="87">
        <v>4122.9791588359822</v>
      </c>
      <c r="F36" s="87">
        <v>4439.3248854887997</v>
      </c>
      <c r="G36" s="87">
        <v>5439.8646402141649</v>
      </c>
      <c r="H36" s="87">
        <v>6025.1721098244934</v>
      </c>
      <c r="I36" s="87">
        <v>5236.8498646030403</v>
      </c>
      <c r="J36" s="87">
        <v>5147.115495044246</v>
      </c>
      <c r="K36" s="87">
        <v>5137.4584032115381</v>
      </c>
      <c r="L36" s="87">
        <v>5174.5190185668534</v>
      </c>
      <c r="M36" s="87">
        <v>4585.1950437315591</v>
      </c>
      <c r="N36" s="87">
        <v>4986.5384305233883</v>
      </c>
      <c r="O36" s="87">
        <v>5231.6599479564438</v>
      </c>
      <c r="P36" s="87">
        <v>5724.9505642438153</v>
      </c>
      <c r="Q36" s="87">
        <v>6607.7077212967115</v>
      </c>
      <c r="R36" s="87">
        <v>7073.8197519684954</v>
      </c>
      <c r="S36" s="87">
        <v>6813.868742411084</v>
      </c>
      <c r="T36" s="87">
        <v>6355.9755761508213</v>
      </c>
      <c r="U36" s="87">
        <v>6158.6548501915022</v>
      </c>
      <c r="V36" s="87">
        <v>5583.2255168541697</v>
      </c>
      <c r="W36" s="87">
        <v>5734.3379578679878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46.570615799099606</v>
      </c>
      <c r="G37" s="87">
        <v>168.65287232666543</v>
      </c>
      <c r="H37" s="87">
        <v>211.58260058384053</v>
      </c>
      <c r="I37" s="87">
        <v>299.5365870341447</v>
      </c>
      <c r="J37" s="87">
        <v>279.97395756892195</v>
      </c>
      <c r="K37" s="87">
        <v>395.53878589137872</v>
      </c>
      <c r="L37" s="87">
        <v>582.62650785983499</v>
      </c>
      <c r="M37" s="87">
        <v>525.98011309933133</v>
      </c>
      <c r="N37" s="87">
        <v>577.21326418889635</v>
      </c>
      <c r="O37" s="87">
        <v>624.478479038876</v>
      </c>
      <c r="P37" s="87">
        <v>858.34413301093559</v>
      </c>
      <c r="Q37" s="87">
        <v>774.22684511844773</v>
      </c>
      <c r="R37" s="87">
        <v>727.98444712288335</v>
      </c>
      <c r="S37" s="87">
        <v>735.4412900309211</v>
      </c>
      <c r="T37" s="87">
        <v>764.90588092782946</v>
      </c>
      <c r="U37" s="87">
        <v>815.75758514727795</v>
      </c>
      <c r="V37" s="87">
        <v>834.64014285000144</v>
      </c>
      <c r="W37" s="87">
        <v>816.40378320481818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3.6996283836396894E-2</v>
      </c>
      <c r="O38" s="87">
        <v>3.3080110924051581E-2</v>
      </c>
      <c r="P38" s="87">
        <v>5.6160419510270017E-2</v>
      </c>
      <c r="Q38" s="87">
        <v>0.25158799773362073</v>
      </c>
      <c r="R38" s="87">
        <v>0.42817545045353006</v>
      </c>
      <c r="S38" s="87">
        <v>1.4605162882283518</v>
      </c>
      <c r="T38" s="87">
        <v>2.7865625476508575</v>
      </c>
      <c r="U38" s="87">
        <v>7.6489176997284991</v>
      </c>
      <c r="V38" s="87">
        <v>10.623200415663447</v>
      </c>
      <c r="W38" s="87">
        <v>16.064386048423287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0.41485069833018301</v>
      </c>
      <c r="S39" s="87">
        <v>1.5243213600704504</v>
      </c>
      <c r="T39" s="87">
        <v>4.7891448086677517</v>
      </c>
      <c r="U39" s="87">
        <v>8.0259313628978433</v>
      </c>
      <c r="V39" s="87">
        <v>14.031658404868979</v>
      </c>
      <c r="W39" s="87">
        <v>19.675587402114608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464.99840612049729</v>
      </c>
      <c r="C40" s="116">
        <f t="shared" ref="C40:V40" si="107">SUM(C41:C45)</f>
        <v>486.60162601626024</v>
      </c>
      <c r="D40" s="116">
        <f t="shared" si="107"/>
        <v>563.3499170812604</v>
      </c>
      <c r="E40" s="116">
        <f t="shared" si="107"/>
        <v>487.14479025710421</v>
      </c>
      <c r="F40" s="116">
        <f t="shared" si="107"/>
        <v>449.58592132505174</v>
      </c>
      <c r="G40" s="116">
        <f t="shared" si="107"/>
        <v>481.80218233016546</v>
      </c>
      <c r="H40" s="116">
        <f t="shared" si="107"/>
        <v>464.70377019748651</v>
      </c>
      <c r="I40" s="116">
        <f t="shared" si="107"/>
        <v>497.02361140443503</v>
      </c>
      <c r="J40" s="116">
        <f t="shared" si="107"/>
        <v>453.79999999999995</v>
      </c>
      <c r="K40" s="116">
        <f t="shared" si="107"/>
        <v>476.6</v>
      </c>
      <c r="L40" s="116">
        <f t="shared" si="107"/>
        <v>443</v>
      </c>
      <c r="M40" s="116">
        <f t="shared" si="107"/>
        <v>489.00000000000006</v>
      </c>
      <c r="N40" s="116">
        <f t="shared" si="107"/>
        <v>448.99999999999989</v>
      </c>
      <c r="O40" s="116">
        <f t="shared" si="107"/>
        <v>439.9</v>
      </c>
      <c r="P40" s="116">
        <f t="shared" si="107"/>
        <v>455.8</v>
      </c>
      <c r="Q40" s="116">
        <f t="shared" si="107"/>
        <v>479.40936739813219</v>
      </c>
      <c r="R40" s="116">
        <f t="shared" si="107"/>
        <v>446.7</v>
      </c>
      <c r="S40" s="116">
        <f t="shared" si="107"/>
        <v>419.28</v>
      </c>
      <c r="T40" s="116">
        <f t="shared" si="107"/>
        <v>427.6</v>
      </c>
      <c r="U40" s="116">
        <f t="shared" si="107"/>
        <v>469.07694623469655</v>
      </c>
      <c r="V40" s="116">
        <f t="shared" si="107"/>
        <v>465.497678583408</v>
      </c>
      <c r="W40" s="116">
        <f t="shared" ref="W40" si="108">SUM(W41:W45)</f>
        <v>465.41658156807728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464.99840612049729</v>
      </c>
      <c r="C42" s="101">
        <v>486.60162601626024</v>
      </c>
      <c r="D42" s="101">
        <v>563.3499170812604</v>
      </c>
      <c r="E42" s="101">
        <v>487.14479025710421</v>
      </c>
      <c r="F42" s="101">
        <v>446.52845812758619</v>
      </c>
      <c r="G42" s="101">
        <v>474.7118224960883</v>
      </c>
      <c r="H42" s="101">
        <v>451.82298266765235</v>
      </c>
      <c r="I42" s="101">
        <v>477.02235601201136</v>
      </c>
      <c r="J42" s="101">
        <v>433.82042640801592</v>
      </c>
      <c r="K42" s="101">
        <v>446.75345469156821</v>
      </c>
      <c r="L42" s="101">
        <v>402.64797640407471</v>
      </c>
      <c r="M42" s="101">
        <v>446.59539374606243</v>
      </c>
      <c r="N42" s="101">
        <v>409.38368930447393</v>
      </c>
      <c r="O42" s="101">
        <v>364.0525070704212</v>
      </c>
      <c r="P42" s="101">
        <v>369.76054749804115</v>
      </c>
      <c r="Q42" s="101">
        <v>394.94512809937544</v>
      </c>
      <c r="R42" s="101">
        <v>374.08107924579627</v>
      </c>
      <c r="S42" s="101">
        <v>344.89974948204201</v>
      </c>
      <c r="T42" s="101">
        <v>347.8384125158334</v>
      </c>
      <c r="U42" s="101">
        <v>375.37830024765827</v>
      </c>
      <c r="V42" s="101">
        <v>369.96799680463414</v>
      </c>
      <c r="W42" s="101">
        <v>360.91177827029713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3.0574631974655575</v>
      </c>
      <c r="G44" s="101">
        <v>7.0903598340771463</v>
      </c>
      <c r="H44" s="101">
        <v>12.880787529834176</v>
      </c>
      <c r="I44" s="101">
        <v>20.001255392423662</v>
      </c>
      <c r="J44" s="101">
        <v>19.699843219340622</v>
      </c>
      <c r="K44" s="101">
        <v>29.069027076512022</v>
      </c>
      <c r="L44" s="101">
        <v>38.789290135667095</v>
      </c>
      <c r="M44" s="101">
        <v>40.678238169639428</v>
      </c>
      <c r="N44" s="101">
        <v>37.755597559532553</v>
      </c>
      <c r="O44" s="101">
        <v>61.081308968088962</v>
      </c>
      <c r="P44" s="101">
        <v>66.568214481141752</v>
      </c>
      <c r="Q44" s="101">
        <v>63.637844278531098</v>
      </c>
      <c r="R44" s="101">
        <v>52.057764869129336</v>
      </c>
      <c r="S44" s="101">
        <v>54.164149088088571</v>
      </c>
      <c r="T44" s="101">
        <v>59.56303953410476</v>
      </c>
      <c r="U44" s="101">
        <v>73.603094395421977</v>
      </c>
      <c r="V44" s="101">
        <v>76.506661969003105</v>
      </c>
      <c r="W44" s="101">
        <v>83.180566996872571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0.27973037264345341</v>
      </c>
      <c r="K45" s="101">
        <v>0.77751823191976943</v>
      </c>
      <c r="L45" s="101">
        <v>1.5627334602581653</v>
      </c>
      <c r="M45" s="101">
        <v>1.7263680842982236</v>
      </c>
      <c r="N45" s="101">
        <v>1.8607131359934328</v>
      </c>
      <c r="O45" s="101">
        <v>14.766183961489808</v>
      </c>
      <c r="P45" s="101">
        <v>19.471238020817104</v>
      </c>
      <c r="Q45" s="101">
        <v>20.826395020225675</v>
      </c>
      <c r="R45" s="101">
        <v>20.561155885074363</v>
      </c>
      <c r="S45" s="101">
        <v>20.216101429869425</v>
      </c>
      <c r="T45" s="101">
        <v>20.198547950061887</v>
      </c>
      <c r="U45" s="101">
        <v>20.095551591616289</v>
      </c>
      <c r="V45" s="101">
        <v>19.02301980977073</v>
      </c>
      <c r="W45" s="101">
        <v>21.324236300907582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1889.4365820715072</v>
      </c>
      <c r="C46" s="29">
        <f t="shared" ref="C46:V46" si="110">C47+C53</f>
        <v>1909.3099605512466</v>
      </c>
      <c r="D46" s="29">
        <f t="shared" si="110"/>
        <v>1954.2798960729413</v>
      </c>
      <c r="E46" s="29">
        <f t="shared" si="110"/>
        <v>2332.0209639098271</v>
      </c>
      <c r="F46" s="29">
        <f t="shared" si="110"/>
        <v>2738.6032291908095</v>
      </c>
      <c r="G46" s="29">
        <f t="shared" si="110"/>
        <v>2723.3835917384713</v>
      </c>
      <c r="H46" s="29">
        <f t="shared" si="110"/>
        <v>2997.3954073349555</v>
      </c>
      <c r="I46" s="29">
        <f t="shared" si="110"/>
        <v>3105.6604570538752</v>
      </c>
      <c r="J46" s="29">
        <f t="shared" si="110"/>
        <v>3331.3419318072965</v>
      </c>
      <c r="K46" s="29">
        <f t="shared" si="110"/>
        <v>3187.4644890734685</v>
      </c>
      <c r="L46" s="29">
        <f t="shared" si="110"/>
        <v>3138.2811908318049</v>
      </c>
      <c r="M46" s="29">
        <f t="shared" si="110"/>
        <v>3426.1777513924826</v>
      </c>
      <c r="N46" s="29">
        <f t="shared" si="110"/>
        <v>3530.1965776207344</v>
      </c>
      <c r="O46" s="29">
        <f t="shared" si="110"/>
        <v>3627.7516689912609</v>
      </c>
      <c r="P46" s="29">
        <f t="shared" si="110"/>
        <v>3687.9335802723763</v>
      </c>
      <c r="Q46" s="29">
        <f t="shared" si="110"/>
        <v>4108.5221155503887</v>
      </c>
      <c r="R46" s="29">
        <f t="shared" si="110"/>
        <v>4070.067768576333</v>
      </c>
      <c r="S46" s="29">
        <f t="shared" si="110"/>
        <v>3693.0086691586966</v>
      </c>
      <c r="T46" s="29">
        <f t="shared" si="110"/>
        <v>3584.0385036701864</v>
      </c>
      <c r="U46" s="29">
        <f t="shared" si="110"/>
        <v>3309.8880149766769</v>
      </c>
      <c r="V46" s="29">
        <f t="shared" si="110"/>
        <v>3452.8450669552503</v>
      </c>
      <c r="W46" s="29">
        <f t="shared" ref="W46" si="111">W47+W53</f>
        <v>3581.7837769924236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1270.9239082196359</v>
      </c>
      <c r="C47" s="152">
        <f t="shared" ref="C47:V47" si="113">SUM(C48:C52)</f>
        <v>1230.9649982821816</v>
      </c>
      <c r="D47" s="152">
        <f t="shared" si="113"/>
        <v>1260.2757324625586</v>
      </c>
      <c r="E47" s="152">
        <f t="shared" si="113"/>
        <v>1392.0210327610139</v>
      </c>
      <c r="F47" s="152">
        <f t="shared" si="113"/>
        <v>1646.0225299977851</v>
      </c>
      <c r="G47" s="152">
        <f t="shared" si="113"/>
        <v>1548.170547783687</v>
      </c>
      <c r="H47" s="152">
        <f t="shared" si="113"/>
        <v>1733.6605126193367</v>
      </c>
      <c r="I47" s="152">
        <f t="shared" si="113"/>
        <v>1925.3293711333092</v>
      </c>
      <c r="J47" s="152">
        <f t="shared" si="113"/>
        <v>2085.1230775075546</v>
      </c>
      <c r="K47" s="152">
        <f t="shared" si="113"/>
        <v>2089.7357972363707</v>
      </c>
      <c r="L47" s="152">
        <f t="shared" si="113"/>
        <v>2069.6252173731559</v>
      </c>
      <c r="M47" s="152">
        <f t="shared" si="113"/>
        <v>2305.9695661643577</v>
      </c>
      <c r="N47" s="152">
        <f t="shared" si="113"/>
        <v>2446.5554074973766</v>
      </c>
      <c r="O47" s="152">
        <f t="shared" si="113"/>
        <v>2453.9659294849089</v>
      </c>
      <c r="P47" s="152">
        <f t="shared" si="113"/>
        <v>2579.1764351622078</v>
      </c>
      <c r="Q47" s="152">
        <f t="shared" si="113"/>
        <v>2897.4346565242167</v>
      </c>
      <c r="R47" s="152">
        <f t="shared" si="113"/>
        <v>2880.6778761432829</v>
      </c>
      <c r="S47" s="152">
        <f t="shared" si="113"/>
        <v>2476.0985483081149</v>
      </c>
      <c r="T47" s="152">
        <f t="shared" si="113"/>
        <v>2491.2214052153827</v>
      </c>
      <c r="U47" s="152">
        <f t="shared" si="113"/>
        <v>2446.07457167348</v>
      </c>
      <c r="V47" s="152">
        <f t="shared" si="113"/>
        <v>2354.9659487305335</v>
      </c>
      <c r="W47" s="152">
        <f t="shared" ref="W47" si="114">SUM(W48:W52)</f>
        <v>2258.9485794168354</v>
      </c>
      <c r="DA47" s="174" t="s">
        <v>490</v>
      </c>
    </row>
    <row r="48" spans="1:105" ht="11.45" customHeight="1" x14ac:dyDescent="0.25">
      <c r="A48" s="111" t="s">
        <v>110</v>
      </c>
      <c r="B48" s="87">
        <v>248.74174068441783</v>
      </c>
      <c r="C48" s="87">
        <v>255.99262703949569</v>
      </c>
      <c r="D48" s="87">
        <v>264.10382064554875</v>
      </c>
      <c r="E48" s="87">
        <v>273.26488913425521</v>
      </c>
      <c r="F48" s="87">
        <v>282.44153052610693</v>
      </c>
      <c r="G48" s="87">
        <v>259.02039697508968</v>
      </c>
      <c r="H48" s="87">
        <v>228.27286099150479</v>
      </c>
      <c r="I48" s="87">
        <v>199.57517119047733</v>
      </c>
      <c r="J48" s="87">
        <v>175.50546072295984</v>
      </c>
      <c r="K48" s="87">
        <v>148.02751159783543</v>
      </c>
      <c r="L48" s="87">
        <v>115.14102331748157</v>
      </c>
      <c r="M48" s="87">
        <v>126.47582588663968</v>
      </c>
      <c r="N48" s="87">
        <v>123.13572607786855</v>
      </c>
      <c r="O48" s="87">
        <v>116.88117594085142</v>
      </c>
      <c r="P48" s="87">
        <v>112.83030627307905</v>
      </c>
      <c r="Q48" s="87">
        <v>140.83693814868255</v>
      </c>
      <c r="R48" s="87">
        <v>145.21005345122225</v>
      </c>
      <c r="S48" s="87">
        <v>148.24304356683189</v>
      </c>
      <c r="T48" s="87">
        <v>156.72072479942767</v>
      </c>
      <c r="U48" s="87">
        <v>157.43160276387761</v>
      </c>
      <c r="V48" s="87">
        <v>155.93317974358436</v>
      </c>
      <c r="W48" s="87">
        <v>153.72044115726766</v>
      </c>
      <c r="DA48" s="171" t="s">
        <v>491</v>
      </c>
    </row>
    <row r="49" spans="1:105" ht="11.45" customHeight="1" x14ac:dyDescent="0.25">
      <c r="A49" s="111" t="s">
        <v>111</v>
      </c>
      <c r="B49" s="87">
        <v>1022.182167535218</v>
      </c>
      <c r="C49" s="87">
        <v>974.97237124268599</v>
      </c>
      <c r="D49" s="87">
        <v>996.1719118170098</v>
      </c>
      <c r="E49" s="87">
        <v>1118.7561436267588</v>
      </c>
      <c r="F49" s="87">
        <v>1363.5809994716781</v>
      </c>
      <c r="G49" s="87">
        <v>1289.1501508085973</v>
      </c>
      <c r="H49" s="87">
        <v>1505.3876516278319</v>
      </c>
      <c r="I49" s="87">
        <v>1725.754199942832</v>
      </c>
      <c r="J49" s="87">
        <v>1909.6176167845947</v>
      </c>
      <c r="K49" s="87">
        <v>1941.708285638535</v>
      </c>
      <c r="L49" s="87">
        <v>1954.4841940556742</v>
      </c>
      <c r="M49" s="87">
        <v>2179.4937402777182</v>
      </c>
      <c r="N49" s="87">
        <v>2323.185439623433</v>
      </c>
      <c r="O49" s="87">
        <v>2336.8429007883565</v>
      </c>
      <c r="P49" s="87">
        <v>2466.0965635635212</v>
      </c>
      <c r="Q49" s="87">
        <v>2756.2815525205224</v>
      </c>
      <c r="R49" s="87">
        <v>2732.458865514122</v>
      </c>
      <c r="S49" s="87">
        <v>2319.8939133547678</v>
      </c>
      <c r="T49" s="87">
        <v>2319.6747001087469</v>
      </c>
      <c r="U49" s="87">
        <v>2264.8756158458882</v>
      </c>
      <c r="V49" s="87">
        <v>2169.6755684753748</v>
      </c>
      <c r="W49" s="87">
        <v>2067.7029756933662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1.8588161419137046</v>
      </c>
      <c r="S50" s="87">
        <v>6.1170142494155915</v>
      </c>
      <c r="T50" s="87">
        <v>12.204914624395936</v>
      </c>
      <c r="U50" s="87">
        <v>19.889848336345882</v>
      </c>
      <c r="V50" s="87">
        <v>24.58259983850721</v>
      </c>
      <c r="W50" s="87">
        <v>31.99017852249041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0.72428798066112698</v>
      </c>
      <c r="S51" s="87">
        <v>1.3751568205420712</v>
      </c>
      <c r="T51" s="87">
        <v>2.0570866950482447</v>
      </c>
      <c r="U51" s="87">
        <v>3.1094769882500541</v>
      </c>
      <c r="V51" s="87">
        <v>3.928144323744053</v>
      </c>
      <c r="W51" s="87">
        <v>4.6084415806363195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0.2342417960750813</v>
      </c>
      <c r="O52" s="87">
        <v>0.24185275570093476</v>
      </c>
      <c r="P52" s="87">
        <v>0.24956532560724828</v>
      </c>
      <c r="Q52" s="87">
        <v>0.3161658550117642</v>
      </c>
      <c r="R52" s="87">
        <v>0.42585305536345613</v>
      </c>
      <c r="S52" s="87">
        <v>0.46942031655748673</v>
      </c>
      <c r="T52" s="87">
        <v>0.56397898776432542</v>
      </c>
      <c r="U52" s="87">
        <v>0.76802773911829314</v>
      </c>
      <c r="V52" s="87">
        <v>0.84645634932305125</v>
      </c>
      <c r="W52" s="87">
        <v>0.92654246307485566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618.51267385187134</v>
      </c>
      <c r="C53" s="116">
        <f t="shared" ref="C53:V53" si="116">SUM(C54:C55)</f>
        <v>678.34496226906504</v>
      </c>
      <c r="D53" s="116">
        <f t="shared" si="116"/>
        <v>694.00416361038265</v>
      </c>
      <c r="E53" s="116">
        <f t="shared" si="116"/>
        <v>939.99993114881306</v>
      </c>
      <c r="F53" s="116">
        <f t="shared" si="116"/>
        <v>1092.5806991930244</v>
      </c>
      <c r="G53" s="116">
        <f t="shared" si="116"/>
        <v>1175.2130439547841</v>
      </c>
      <c r="H53" s="116">
        <f t="shared" si="116"/>
        <v>1263.7348947156188</v>
      </c>
      <c r="I53" s="116">
        <f t="shared" si="116"/>
        <v>1180.331085920566</v>
      </c>
      <c r="J53" s="116">
        <f t="shared" si="116"/>
        <v>1246.2188542997421</v>
      </c>
      <c r="K53" s="116">
        <f t="shared" si="116"/>
        <v>1097.7286918370978</v>
      </c>
      <c r="L53" s="116">
        <f t="shared" si="116"/>
        <v>1068.655973458649</v>
      </c>
      <c r="M53" s="116">
        <f t="shared" si="116"/>
        <v>1120.2081852281251</v>
      </c>
      <c r="N53" s="116">
        <f t="shared" si="116"/>
        <v>1083.6411701233578</v>
      </c>
      <c r="O53" s="116">
        <f t="shared" si="116"/>
        <v>1173.785739506352</v>
      </c>
      <c r="P53" s="116">
        <f t="shared" si="116"/>
        <v>1108.7571451101687</v>
      </c>
      <c r="Q53" s="116">
        <f t="shared" si="116"/>
        <v>1211.0874590261722</v>
      </c>
      <c r="R53" s="116">
        <f t="shared" si="116"/>
        <v>1189.3898924330501</v>
      </c>
      <c r="S53" s="116">
        <f t="shared" si="116"/>
        <v>1216.9101208505815</v>
      </c>
      <c r="T53" s="116">
        <f t="shared" si="116"/>
        <v>1092.8170984548037</v>
      </c>
      <c r="U53" s="116">
        <f t="shared" si="116"/>
        <v>863.813443303197</v>
      </c>
      <c r="V53" s="116">
        <f t="shared" si="116"/>
        <v>1097.8791182247169</v>
      </c>
      <c r="W53" s="116">
        <f t="shared" ref="W53" si="117">SUM(W54:W55)</f>
        <v>1322.8351975755879</v>
      </c>
      <c r="DA53" s="176" t="s">
        <v>496</v>
      </c>
    </row>
    <row r="54" spans="1:105" ht="11.45" customHeight="1" x14ac:dyDescent="0.25">
      <c r="A54" s="128" t="s">
        <v>27</v>
      </c>
      <c r="B54" s="101">
        <v>316.74580772809469</v>
      </c>
      <c r="C54" s="101">
        <v>354.80796996131767</v>
      </c>
      <c r="D54" s="101">
        <v>353.62064426474274</v>
      </c>
      <c r="E54" s="101">
        <v>592.08159758078671</v>
      </c>
      <c r="F54" s="101">
        <v>681.21455181060628</v>
      </c>
      <c r="G54" s="101">
        <v>749.33520428495206</v>
      </c>
      <c r="H54" s="101">
        <v>897</v>
      </c>
      <c r="I54" s="101">
        <v>858</v>
      </c>
      <c r="J54" s="101">
        <v>1056</v>
      </c>
      <c r="K54" s="101">
        <v>920</v>
      </c>
      <c r="L54" s="101">
        <v>873</v>
      </c>
      <c r="M54" s="101">
        <v>893</v>
      </c>
      <c r="N54" s="101">
        <v>872</v>
      </c>
      <c r="O54" s="101">
        <v>907</v>
      </c>
      <c r="P54" s="101">
        <v>860</v>
      </c>
      <c r="Q54" s="101">
        <v>925</v>
      </c>
      <c r="R54" s="101">
        <v>913</v>
      </c>
      <c r="S54" s="101">
        <v>953</v>
      </c>
      <c r="T54" s="101">
        <v>852</v>
      </c>
      <c r="U54" s="101">
        <v>652</v>
      </c>
      <c r="V54" s="101">
        <v>839</v>
      </c>
      <c r="W54" s="101">
        <v>1021</v>
      </c>
      <c r="DA54" s="175" t="s">
        <v>497</v>
      </c>
    </row>
    <row r="55" spans="1:105" ht="11.45" customHeight="1" x14ac:dyDescent="0.25">
      <c r="A55" s="138" t="s">
        <v>116</v>
      </c>
      <c r="B55" s="88">
        <v>301.76686612377659</v>
      </c>
      <c r="C55" s="88">
        <v>323.53699230774743</v>
      </c>
      <c r="D55" s="88">
        <v>340.38351934563991</v>
      </c>
      <c r="E55" s="88">
        <v>347.91833356802636</v>
      </c>
      <c r="F55" s="88">
        <v>411.36614738241826</v>
      </c>
      <c r="G55" s="88">
        <v>425.87783966983216</v>
      </c>
      <c r="H55" s="88">
        <v>366.73489471561885</v>
      </c>
      <c r="I55" s="88">
        <v>322.33108592056607</v>
      </c>
      <c r="J55" s="88">
        <v>190.21885429974222</v>
      </c>
      <c r="K55" s="88">
        <v>177.72869183709773</v>
      </c>
      <c r="L55" s="88">
        <v>195.6559734586491</v>
      </c>
      <c r="M55" s="88">
        <v>227.20818522812516</v>
      </c>
      <c r="N55" s="88">
        <v>211.64117012335785</v>
      </c>
      <c r="O55" s="88">
        <v>266.78573950635206</v>
      </c>
      <c r="P55" s="88">
        <v>248.75714511016878</v>
      </c>
      <c r="Q55" s="88">
        <v>286.08745902617221</v>
      </c>
      <c r="R55" s="88">
        <v>276.38989243305025</v>
      </c>
      <c r="S55" s="88">
        <v>263.91012085058151</v>
      </c>
      <c r="T55" s="88">
        <v>240.8170984548037</v>
      </c>
      <c r="U55" s="88">
        <v>211.81344330319698</v>
      </c>
      <c r="V55" s="88">
        <v>258.87911822471699</v>
      </c>
      <c r="W55" s="88">
        <v>301.83519757558793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2235047</v>
      </c>
      <c r="C57" s="54">
        <f t="shared" si="118"/>
        <v>2322787</v>
      </c>
      <c r="D57" s="54">
        <f t="shared" si="118"/>
        <v>2415496.0000000005</v>
      </c>
      <c r="E57" s="54">
        <f t="shared" si="118"/>
        <v>2568532</v>
      </c>
      <c r="F57" s="54">
        <f t="shared" si="118"/>
        <v>2721471</v>
      </c>
      <c r="G57" s="54">
        <f t="shared" si="118"/>
        <v>2821541</v>
      </c>
      <c r="H57" s="54">
        <f t="shared" si="118"/>
        <v>2909618</v>
      </c>
      <c r="I57" s="54">
        <f t="shared" si="118"/>
        <v>3080614.9999999995</v>
      </c>
      <c r="J57" s="54">
        <f t="shared" si="118"/>
        <v>3169289.0000000005</v>
      </c>
      <c r="K57" s="54">
        <f t="shared" si="118"/>
        <v>3178451</v>
      </c>
      <c r="L57" s="54">
        <f t="shared" ref="L57" si="119">L58+L73</f>
        <v>3244798.0000000005</v>
      </c>
      <c r="M57" s="54">
        <f t="shared" ref="M57:V57" si="120">M58+M73</f>
        <v>3340336</v>
      </c>
      <c r="N57" s="54">
        <f t="shared" si="120"/>
        <v>3408246</v>
      </c>
      <c r="O57" s="54">
        <f t="shared" si="120"/>
        <v>3480153.0000000005</v>
      </c>
      <c r="P57" s="54">
        <f t="shared" si="120"/>
        <v>3550197</v>
      </c>
      <c r="Q57" s="54">
        <f t="shared" si="120"/>
        <v>3642847.0000000005</v>
      </c>
      <c r="R57" s="54">
        <f t="shared" si="120"/>
        <v>3691718</v>
      </c>
      <c r="S57" s="54">
        <f t="shared" si="120"/>
        <v>3625493</v>
      </c>
      <c r="T57" s="54">
        <f t="shared" si="120"/>
        <v>3679957</v>
      </c>
      <c r="U57" s="54">
        <f t="shared" si="120"/>
        <v>3693861</v>
      </c>
      <c r="V57" s="54">
        <f t="shared" si="120"/>
        <v>3694303</v>
      </c>
      <c r="W57" s="54">
        <f t="shared" ref="W57" si="121">W58+W73</f>
        <v>3698737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2075067</v>
      </c>
      <c r="C58" s="28">
        <f t="shared" si="122"/>
        <v>2169804</v>
      </c>
      <c r="D58" s="28">
        <f t="shared" si="122"/>
        <v>2262203.0000000005</v>
      </c>
      <c r="E58" s="28">
        <f t="shared" si="122"/>
        <v>2399230</v>
      </c>
      <c r="F58" s="28">
        <f t="shared" si="122"/>
        <v>2527235</v>
      </c>
      <c r="G58" s="28">
        <f t="shared" si="122"/>
        <v>2628281</v>
      </c>
      <c r="H58" s="28">
        <f t="shared" si="122"/>
        <v>2691453</v>
      </c>
      <c r="I58" s="28">
        <f t="shared" si="122"/>
        <v>2843535.9999999995</v>
      </c>
      <c r="J58" s="28">
        <f t="shared" si="122"/>
        <v>2918400.0000000005</v>
      </c>
      <c r="K58" s="28">
        <f t="shared" si="122"/>
        <v>2923186</v>
      </c>
      <c r="L58" s="28">
        <f t="shared" ref="L58" si="123">L59+L60+L67</f>
        <v>2994709.0000000005</v>
      </c>
      <c r="M58" s="28">
        <f t="shared" ref="M58:V58" si="124">M59+M60+M67</f>
        <v>3070108</v>
      </c>
      <c r="N58" s="28">
        <f t="shared" si="124"/>
        <v>3136145</v>
      </c>
      <c r="O58" s="28">
        <f t="shared" si="124"/>
        <v>3208067.0000000005</v>
      </c>
      <c r="P58" s="28">
        <f t="shared" si="124"/>
        <v>3278463</v>
      </c>
      <c r="Q58" s="28">
        <f t="shared" si="124"/>
        <v>3352433.0000000005</v>
      </c>
      <c r="R58" s="28">
        <f t="shared" si="124"/>
        <v>3404192</v>
      </c>
      <c r="S58" s="28">
        <f t="shared" si="124"/>
        <v>3374021</v>
      </c>
      <c r="T58" s="28">
        <f t="shared" si="124"/>
        <v>3422217</v>
      </c>
      <c r="U58" s="28">
        <f t="shared" si="124"/>
        <v>3435831</v>
      </c>
      <c r="V58" s="28">
        <f t="shared" si="124"/>
        <v>3451149</v>
      </c>
      <c r="W58" s="28">
        <f t="shared" ref="W58" si="125">W59+W60+W67</f>
        <v>3464281</v>
      </c>
      <c r="DA58" s="173" t="s">
        <v>500</v>
      </c>
    </row>
    <row r="59" spans="1:105" ht="11.45" customHeight="1" x14ac:dyDescent="0.25">
      <c r="A59" s="136" t="s">
        <v>180</v>
      </c>
      <c r="B59" s="137">
        <v>70362</v>
      </c>
      <c r="C59" s="137">
        <v>71538</v>
      </c>
      <c r="D59" s="137">
        <v>73443</v>
      </c>
      <c r="E59" s="137">
        <v>76082</v>
      </c>
      <c r="F59" s="137">
        <v>75705</v>
      </c>
      <c r="G59" s="137">
        <v>75913</v>
      </c>
      <c r="H59" s="137">
        <v>76254</v>
      </c>
      <c r="I59" s="137">
        <v>90318</v>
      </c>
      <c r="J59" s="137">
        <v>106911</v>
      </c>
      <c r="K59" s="137">
        <v>117595</v>
      </c>
      <c r="L59" s="137">
        <v>125400</v>
      </c>
      <c r="M59" s="137">
        <v>131800</v>
      </c>
      <c r="N59" s="137">
        <v>139800</v>
      </c>
      <c r="O59" s="137">
        <v>147900</v>
      </c>
      <c r="P59" s="137">
        <v>154800</v>
      </c>
      <c r="Q59" s="137">
        <v>163300</v>
      </c>
      <c r="R59" s="137">
        <v>171700</v>
      </c>
      <c r="S59" s="137">
        <v>180900</v>
      </c>
      <c r="T59" s="137">
        <v>190000</v>
      </c>
      <c r="U59" s="137">
        <v>199100</v>
      </c>
      <c r="V59" s="137">
        <v>206300</v>
      </c>
      <c r="W59" s="137">
        <v>212900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1992700</v>
      </c>
      <c r="C60" s="110">
        <f t="shared" si="126"/>
        <v>2085699.9999999998</v>
      </c>
      <c r="D60" s="110">
        <f t="shared" si="126"/>
        <v>2174100.0000000005</v>
      </c>
      <c r="E60" s="110">
        <f t="shared" si="126"/>
        <v>2309300</v>
      </c>
      <c r="F60" s="110">
        <f t="shared" si="126"/>
        <v>2438400</v>
      </c>
      <c r="G60" s="110">
        <f t="shared" si="126"/>
        <v>2538092</v>
      </c>
      <c r="H60" s="110">
        <f t="shared" si="126"/>
        <v>2601444</v>
      </c>
      <c r="I60" s="110">
        <f t="shared" si="126"/>
        <v>2738834.9999999995</v>
      </c>
      <c r="J60" s="110">
        <f t="shared" si="126"/>
        <v>2798240.0000000005</v>
      </c>
      <c r="K60" s="110">
        <f t="shared" si="126"/>
        <v>2791500</v>
      </c>
      <c r="L60" s="110">
        <f t="shared" ref="L60" si="127">SUM(L61:L66)</f>
        <v>2854852.0000000005</v>
      </c>
      <c r="M60" s="110">
        <f t="shared" ref="M60:V60" si="128">SUM(M61:M66)</f>
        <v>2923657</v>
      </c>
      <c r="N60" s="110">
        <f t="shared" si="128"/>
        <v>2981556</v>
      </c>
      <c r="O60" s="110">
        <f t="shared" si="128"/>
        <v>3044908.0000000005</v>
      </c>
      <c r="P60" s="110">
        <f t="shared" si="128"/>
        <v>3108260</v>
      </c>
      <c r="Q60" s="110">
        <f t="shared" si="128"/>
        <v>3173323.0000000005</v>
      </c>
      <c r="R60" s="110">
        <f t="shared" si="128"/>
        <v>3217127</v>
      </c>
      <c r="S60" s="110">
        <f t="shared" si="128"/>
        <v>3179103</v>
      </c>
      <c r="T60" s="110">
        <f t="shared" si="128"/>
        <v>3218599</v>
      </c>
      <c r="U60" s="110">
        <f t="shared" si="128"/>
        <v>3223244</v>
      </c>
      <c r="V60" s="110">
        <f t="shared" si="128"/>
        <v>3230599</v>
      </c>
      <c r="W60" s="110">
        <f t="shared" ref="W60" si="129">SUM(W61:W66)</f>
        <v>3236850</v>
      </c>
      <c r="DA60" s="176" t="s">
        <v>502</v>
      </c>
    </row>
    <row r="61" spans="1:105" ht="11.45" customHeight="1" x14ac:dyDescent="0.25">
      <c r="A61" s="111" t="s">
        <v>110</v>
      </c>
      <c r="B61" s="84">
        <v>1548238</v>
      </c>
      <c r="C61" s="84">
        <v>1548237.9999999998</v>
      </c>
      <c r="D61" s="84">
        <v>1548238.0000000005</v>
      </c>
      <c r="E61" s="84">
        <v>1548238</v>
      </c>
      <c r="F61" s="84">
        <v>1550532</v>
      </c>
      <c r="G61" s="84">
        <v>1554926</v>
      </c>
      <c r="H61" s="84">
        <v>1493935</v>
      </c>
      <c r="I61" s="84">
        <v>1537180.9999999995</v>
      </c>
      <c r="J61" s="84">
        <v>1545111.0000000005</v>
      </c>
      <c r="K61" s="84">
        <v>1498604</v>
      </c>
      <c r="L61" s="84">
        <v>1519546.0000000005</v>
      </c>
      <c r="M61" s="84">
        <v>1440011</v>
      </c>
      <c r="N61" s="84">
        <v>1427572</v>
      </c>
      <c r="O61" s="84">
        <v>1424838.0000000005</v>
      </c>
      <c r="P61" s="84">
        <v>1405601</v>
      </c>
      <c r="Q61" s="84">
        <v>1402348.0000000005</v>
      </c>
      <c r="R61" s="84">
        <v>1388324</v>
      </c>
      <c r="S61" s="84">
        <v>1360558</v>
      </c>
      <c r="T61" s="84">
        <v>1346953</v>
      </c>
      <c r="U61" s="84">
        <v>1326749</v>
      </c>
      <c r="V61" s="84">
        <v>1313482</v>
      </c>
      <c r="W61" s="84">
        <v>1300347</v>
      </c>
      <c r="DA61" s="171" t="s">
        <v>503</v>
      </c>
    </row>
    <row r="62" spans="1:105" ht="11.45" customHeight="1" x14ac:dyDescent="0.25">
      <c r="A62" s="111" t="s">
        <v>111</v>
      </c>
      <c r="B62" s="84">
        <v>194462</v>
      </c>
      <c r="C62" s="84">
        <v>196877</v>
      </c>
      <c r="D62" s="84">
        <v>227363</v>
      </c>
      <c r="E62" s="84">
        <v>331952</v>
      </c>
      <c r="F62" s="84">
        <v>428702</v>
      </c>
      <c r="G62" s="84">
        <v>424728</v>
      </c>
      <c r="H62" s="84">
        <v>516538</v>
      </c>
      <c r="I62" s="84">
        <v>623553</v>
      </c>
      <c r="J62" s="84">
        <v>707742</v>
      </c>
      <c r="K62" s="84">
        <v>769726</v>
      </c>
      <c r="L62" s="84">
        <v>758419</v>
      </c>
      <c r="M62" s="84">
        <v>949545</v>
      </c>
      <c r="N62" s="84">
        <v>982678</v>
      </c>
      <c r="O62" s="84">
        <v>1001978</v>
      </c>
      <c r="P62" s="84">
        <v>1001444</v>
      </c>
      <c r="Q62" s="84">
        <v>1036781</v>
      </c>
      <c r="R62" s="84">
        <v>1055445</v>
      </c>
      <c r="S62" s="84">
        <v>1065999</v>
      </c>
      <c r="T62" s="84">
        <v>1144884</v>
      </c>
      <c r="U62" s="84">
        <v>1190680</v>
      </c>
      <c r="V62" s="84">
        <v>1238312</v>
      </c>
      <c r="W62" s="84">
        <v>1287859</v>
      </c>
      <c r="DA62" s="171" t="s">
        <v>504</v>
      </c>
    </row>
    <row r="63" spans="1:105" ht="11.45" customHeight="1" x14ac:dyDescent="0.25">
      <c r="A63" s="111" t="s">
        <v>112</v>
      </c>
      <c r="B63" s="84">
        <v>250000</v>
      </c>
      <c r="C63" s="84">
        <v>340585</v>
      </c>
      <c r="D63" s="84">
        <v>398499</v>
      </c>
      <c r="E63" s="84">
        <v>429110</v>
      </c>
      <c r="F63" s="84">
        <v>453466</v>
      </c>
      <c r="G63" s="84">
        <v>537808</v>
      </c>
      <c r="H63" s="84">
        <v>565110</v>
      </c>
      <c r="I63" s="84">
        <v>541466</v>
      </c>
      <c r="J63" s="84">
        <v>511162</v>
      </c>
      <c r="K63" s="84">
        <v>474837</v>
      </c>
      <c r="L63" s="84">
        <v>505675</v>
      </c>
      <c r="M63" s="84">
        <v>469799</v>
      </c>
      <c r="N63" s="84">
        <v>500770</v>
      </c>
      <c r="O63" s="84">
        <v>541779</v>
      </c>
      <c r="P63" s="84">
        <v>596347</v>
      </c>
      <c r="Q63" s="84">
        <v>639677</v>
      </c>
      <c r="R63" s="84">
        <v>684454</v>
      </c>
      <c r="S63" s="84">
        <v>662551</v>
      </c>
      <c r="T63" s="84">
        <v>632736</v>
      </c>
      <c r="U63" s="84">
        <v>604896</v>
      </c>
      <c r="V63" s="84">
        <v>574651</v>
      </c>
      <c r="W63" s="84">
        <v>545918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5700</v>
      </c>
      <c r="G64" s="84">
        <v>20630</v>
      </c>
      <c r="H64" s="84">
        <v>25861</v>
      </c>
      <c r="I64" s="84">
        <v>36635</v>
      </c>
      <c r="J64" s="84">
        <v>34225</v>
      </c>
      <c r="K64" s="84">
        <v>48333</v>
      </c>
      <c r="L64" s="84">
        <v>71212</v>
      </c>
      <c r="M64" s="84">
        <v>64302</v>
      </c>
      <c r="N64" s="84">
        <v>70532</v>
      </c>
      <c r="O64" s="84">
        <v>76309</v>
      </c>
      <c r="P64" s="84">
        <v>104862</v>
      </c>
      <c r="Q64" s="84">
        <v>94493</v>
      </c>
      <c r="R64" s="84">
        <v>88823</v>
      </c>
      <c r="S64" s="84">
        <v>89711</v>
      </c>
      <c r="T64" s="84">
        <v>93299</v>
      </c>
      <c r="U64" s="84">
        <v>99460</v>
      </c>
      <c r="V64" s="84">
        <v>101797</v>
      </c>
      <c r="W64" s="84">
        <v>99470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</v>
      </c>
      <c r="O65" s="84">
        <v>4</v>
      </c>
      <c r="P65" s="84">
        <v>6</v>
      </c>
      <c r="Q65" s="84">
        <v>24</v>
      </c>
      <c r="R65" s="84">
        <v>40</v>
      </c>
      <c r="S65" s="84">
        <v>133</v>
      </c>
      <c r="T65" s="84">
        <v>252</v>
      </c>
      <c r="U65" s="84">
        <v>662</v>
      </c>
      <c r="V65" s="84">
        <v>953</v>
      </c>
      <c r="W65" s="84">
        <v>1293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41</v>
      </c>
      <c r="S66" s="84">
        <v>151</v>
      </c>
      <c r="T66" s="84">
        <v>475</v>
      </c>
      <c r="U66" s="84">
        <v>797</v>
      </c>
      <c r="V66" s="84">
        <v>1404</v>
      </c>
      <c r="W66" s="84">
        <v>1963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12005</v>
      </c>
      <c r="C67" s="110">
        <f t="shared" si="130"/>
        <v>12566</v>
      </c>
      <c r="D67" s="110">
        <f t="shared" si="130"/>
        <v>14660</v>
      </c>
      <c r="E67" s="110">
        <f t="shared" si="130"/>
        <v>13848</v>
      </c>
      <c r="F67" s="110">
        <f t="shared" si="130"/>
        <v>13130</v>
      </c>
      <c r="G67" s="110">
        <f t="shared" si="130"/>
        <v>14276</v>
      </c>
      <c r="H67" s="110">
        <f t="shared" si="130"/>
        <v>13755</v>
      </c>
      <c r="I67" s="110">
        <f t="shared" si="130"/>
        <v>14383</v>
      </c>
      <c r="J67" s="110">
        <f t="shared" si="130"/>
        <v>13249</v>
      </c>
      <c r="K67" s="110">
        <f t="shared" si="130"/>
        <v>14091</v>
      </c>
      <c r="L67" s="110">
        <f t="shared" ref="L67" si="131">SUM(L68:L72)</f>
        <v>14457</v>
      </c>
      <c r="M67" s="110">
        <f t="shared" ref="M67:V67" si="132">SUM(M68:M72)</f>
        <v>14651</v>
      </c>
      <c r="N67" s="110">
        <f t="shared" si="132"/>
        <v>14789</v>
      </c>
      <c r="O67" s="110">
        <f t="shared" si="132"/>
        <v>15259</v>
      </c>
      <c r="P67" s="110">
        <f t="shared" si="132"/>
        <v>15403</v>
      </c>
      <c r="Q67" s="110">
        <f t="shared" si="132"/>
        <v>15810</v>
      </c>
      <c r="R67" s="110">
        <f t="shared" si="132"/>
        <v>15365</v>
      </c>
      <c r="S67" s="110">
        <f t="shared" si="132"/>
        <v>14018</v>
      </c>
      <c r="T67" s="110">
        <f t="shared" si="132"/>
        <v>13618</v>
      </c>
      <c r="U67" s="110">
        <f t="shared" si="132"/>
        <v>13487</v>
      </c>
      <c r="V67" s="110">
        <f t="shared" si="132"/>
        <v>14250</v>
      </c>
      <c r="W67" s="110">
        <f t="shared" ref="W67" si="133">SUM(W68:W72)</f>
        <v>14531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12005</v>
      </c>
      <c r="C69" s="102">
        <v>12566</v>
      </c>
      <c r="D69" s="102">
        <v>14660</v>
      </c>
      <c r="E69" s="102">
        <v>13848</v>
      </c>
      <c r="F69" s="102">
        <v>13030</v>
      </c>
      <c r="G69" s="102">
        <v>14017</v>
      </c>
      <c r="H69" s="102">
        <v>13285</v>
      </c>
      <c r="I69" s="102">
        <v>13683</v>
      </c>
      <c r="J69" s="102">
        <v>12540</v>
      </c>
      <c r="K69" s="102">
        <v>13124</v>
      </c>
      <c r="L69" s="102">
        <v>13124</v>
      </c>
      <c r="M69" s="102">
        <v>13366</v>
      </c>
      <c r="N69" s="102">
        <v>13469</v>
      </c>
      <c r="O69" s="102">
        <v>12638</v>
      </c>
      <c r="P69" s="102">
        <v>12504</v>
      </c>
      <c r="Q69" s="102">
        <v>12812</v>
      </c>
      <c r="R69" s="102">
        <v>12491</v>
      </c>
      <c r="S69" s="102">
        <v>11132</v>
      </c>
      <c r="T69" s="102">
        <v>10630</v>
      </c>
      <c r="U69" s="102">
        <v>10241</v>
      </c>
      <c r="V69" s="102">
        <v>10722</v>
      </c>
      <c r="W69" s="102">
        <v>10638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100</v>
      </c>
      <c r="G71" s="102">
        <v>259</v>
      </c>
      <c r="H71" s="102">
        <v>470</v>
      </c>
      <c r="I71" s="102">
        <v>700</v>
      </c>
      <c r="J71" s="102">
        <v>700</v>
      </c>
      <c r="K71" s="102">
        <v>942</v>
      </c>
      <c r="L71" s="102">
        <v>1283</v>
      </c>
      <c r="M71" s="102">
        <v>1230</v>
      </c>
      <c r="N71" s="102">
        <v>1261</v>
      </c>
      <c r="O71" s="102">
        <v>2154</v>
      </c>
      <c r="P71" s="102">
        <v>2284</v>
      </c>
      <c r="Q71" s="102">
        <v>2341</v>
      </c>
      <c r="R71" s="102">
        <v>2224</v>
      </c>
      <c r="S71" s="102">
        <v>2246</v>
      </c>
      <c r="T71" s="102">
        <v>2347</v>
      </c>
      <c r="U71" s="102">
        <v>2605</v>
      </c>
      <c r="V71" s="102">
        <v>2892</v>
      </c>
      <c r="W71" s="102">
        <v>3210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9</v>
      </c>
      <c r="K72" s="102">
        <v>25</v>
      </c>
      <c r="L72" s="102">
        <v>50</v>
      </c>
      <c r="M72" s="102">
        <v>55</v>
      </c>
      <c r="N72" s="102">
        <v>59</v>
      </c>
      <c r="O72" s="102">
        <v>467</v>
      </c>
      <c r="P72" s="102">
        <v>615</v>
      </c>
      <c r="Q72" s="102">
        <v>657</v>
      </c>
      <c r="R72" s="102">
        <v>650</v>
      </c>
      <c r="S72" s="102">
        <v>640</v>
      </c>
      <c r="T72" s="102">
        <v>641</v>
      </c>
      <c r="U72" s="102">
        <v>641</v>
      </c>
      <c r="V72" s="102">
        <v>636</v>
      </c>
      <c r="W72" s="102">
        <v>683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159980</v>
      </c>
      <c r="C73" s="28">
        <f t="shared" si="134"/>
        <v>152983</v>
      </c>
      <c r="D73" s="28">
        <f t="shared" si="134"/>
        <v>153293</v>
      </c>
      <c r="E73" s="28">
        <f t="shared" si="134"/>
        <v>169302</v>
      </c>
      <c r="F73" s="28">
        <f t="shared" si="134"/>
        <v>194236</v>
      </c>
      <c r="G73" s="28">
        <f t="shared" si="134"/>
        <v>193260</v>
      </c>
      <c r="H73" s="28">
        <f t="shared" si="134"/>
        <v>218165</v>
      </c>
      <c r="I73" s="28">
        <f t="shared" si="134"/>
        <v>237079</v>
      </c>
      <c r="J73" s="28">
        <f t="shared" si="134"/>
        <v>250889</v>
      </c>
      <c r="K73" s="28">
        <f t="shared" si="134"/>
        <v>255265</v>
      </c>
      <c r="L73" s="28">
        <f t="shared" ref="L73" si="135">L74+L80</f>
        <v>250089</v>
      </c>
      <c r="M73" s="28">
        <f t="shared" ref="M73:V73" si="136">M74+M80</f>
        <v>270228</v>
      </c>
      <c r="N73" s="28">
        <f t="shared" si="136"/>
        <v>272101</v>
      </c>
      <c r="O73" s="28">
        <f t="shared" si="136"/>
        <v>272086</v>
      </c>
      <c r="P73" s="28">
        <f t="shared" si="136"/>
        <v>271734</v>
      </c>
      <c r="Q73" s="28">
        <f t="shared" si="136"/>
        <v>290414</v>
      </c>
      <c r="R73" s="28">
        <f t="shared" si="136"/>
        <v>287526</v>
      </c>
      <c r="S73" s="28">
        <f t="shared" si="136"/>
        <v>251472</v>
      </c>
      <c r="T73" s="28">
        <f t="shared" si="136"/>
        <v>257740</v>
      </c>
      <c r="U73" s="28">
        <f t="shared" si="136"/>
        <v>258030</v>
      </c>
      <c r="V73" s="28">
        <f t="shared" si="136"/>
        <v>243154</v>
      </c>
      <c r="W73" s="28">
        <f t="shared" ref="W73" si="137">W74+W80</f>
        <v>234456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140840</v>
      </c>
      <c r="C74" s="137">
        <f t="shared" si="138"/>
        <v>132389</v>
      </c>
      <c r="D74" s="137">
        <f t="shared" si="138"/>
        <v>130545</v>
      </c>
      <c r="E74" s="137">
        <f t="shared" si="138"/>
        <v>137342</v>
      </c>
      <c r="F74" s="137">
        <f t="shared" si="138"/>
        <v>155406</v>
      </c>
      <c r="G74" s="137">
        <f t="shared" si="138"/>
        <v>151772</v>
      </c>
      <c r="H74" s="137">
        <f t="shared" si="138"/>
        <v>172381</v>
      </c>
      <c r="I74" s="137">
        <f t="shared" si="138"/>
        <v>192982</v>
      </c>
      <c r="J74" s="137">
        <f t="shared" si="138"/>
        <v>202549</v>
      </c>
      <c r="K74" s="137">
        <f t="shared" si="138"/>
        <v>209527</v>
      </c>
      <c r="L74" s="137">
        <f t="shared" ref="L74" si="139">SUM(L75:L79)</f>
        <v>205416</v>
      </c>
      <c r="M74" s="137">
        <f t="shared" ref="M74:V74" si="140">SUM(M75:M79)</f>
        <v>225347</v>
      </c>
      <c r="N74" s="137">
        <f t="shared" si="140"/>
        <v>228773</v>
      </c>
      <c r="O74" s="137">
        <f t="shared" si="140"/>
        <v>228726</v>
      </c>
      <c r="P74" s="137">
        <f t="shared" si="140"/>
        <v>230166</v>
      </c>
      <c r="Q74" s="137">
        <f t="shared" si="140"/>
        <v>247713</v>
      </c>
      <c r="R74" s="137">
        <f t="shared" si="140"/>
        <v>241601</v>
      </c>
      <c r="S74" s="137">
        <f t="shared" si="140"/>
        <v>202442</v>
      </c>
      <c r="T74" s="137">
        <f t="shared" si="140"/>
        <v>196535</v>
      </c>
      <c r="U74" s="137">
        <f t="shared" si="140"/>
        <v>186437</v>
      </c>
      <c r="V74" s="137">
        <f t="shared" si="140"/>
        <v>173589</v>
      </c>
      <c r="W74" s="137">
        <f t="shared" ref="W74" si="141">SUM(W75:W79)</f>
        <v>161229</v>
      </c>
      <c r="DA74" s="174" t="s">
        <v>516</v>
      </c>
    </row>
    <row r="75" spans="1:105" ht="11.45" customHeight="1" x14ac:dyDescent="0.25">
      <c r="A75" s="111" t="s">
        <v>110</v>
      </c>
      <c r="B75" s="84">
        <v>38366</v>
      </c>
      <c r="C75" s="84">
        <v>38366</v>
      </c>
      <c r="D75" s="84">
        <v>38364</v>
      </c>
      <c r="E75" s="84">
        <v>38343</v>
      </c>
      <c r="F75" s="84">
        <v>38135</v>
      </c>
      <c r="G75" s="84">
        <v>36120</v>
      </c>
      <c r="H75" s="84">
        <v>32617</v>
      </c>
      <c r="I75" s="84">
        <v>28912</v>
      </c>
      <c r="J75" s="84">
        <v>24665</v>
      </c>
      <c r="K75" s="84">
        <v>21421</v>
      </c>
      <c r="L75" s="84">
        <v>16463</v>
      </c>
      <c r="M75" s="84">
        <v>17649</v>
      </c>
      <c r="N75" s="84">
        <v>16629</v>
      </c>
      <c r="O75" s="84">
        <v>15608</v>
      </c>
      <c r="P75" s="84">
        <v>14588</v>
      </c>
      <c r="Q75" s="84">
        <v>17568</v>
      </c>
      <c r="R75" s="84">
        <v>17583</v>
      </c>
      <c r="S75" s="84">
        <v>17564</v>
      </c>
      <c r="T75" s="84">
        <v>18029</v>
      </c>
      <c r="U75" s="84">
        <v>17606</v>
      </c>
      <c r="V75" s="84">
        <v>16969</v>
      </c>
      <c r="W75" s="84">
        <v>16280</v>
      </c>
      <c r="DA75" s="171" t="s">
        <v>517</v>
      </c>
    </row>
    <row r="76" spans="1:105" ht="11.45" customHeight="1" x14ac:dyDescent="0.25">
      <c r="A76" s="111" t="s">
        <v>111</v>
      </c>
      <c r="B76" s="84">
        <v>102474</v>
      </c>
      <c r="C76" s="84">
        <v>94023</v>
      </c>
      <c r="D76" s="84">
        <v>92181</v>
      </c>
      <c r="E76" s="84">
        <v>98999</v>
      </c>
      <c r="F76" s="84">
        <v>117271</v>
      </c>
      <c r="G76" s="84">
        <v>115652</v>
      </c>
      <c r="H76" s="84">
        <v>139764</v>
      </c>
      <c r="I76" s="84">
        <v>164070</v>
      </c>
      <c r="J76" s="84">
        <v>177884</v>
      </c>
      <c r="K76" s="84">
        <v>188106</v>
      </c>
      <c r="L76" s="84">
        <v>188953</v>
      </c>
      <c r="M76" s="84">
        <v>207698</v>
      </c>
      <c r="N76" s="84">
        <v>212112</v>
      </c>
      <c r="O76" s="84">
        <v>213085</v>
      </c>
      <c r="P76" s="84">
        <v>215544</v>
      </c>
      <c r="Q76" s="84">
        <v>230102</v>
      </c>
      <c r="R76" s="84">
        <v>223669</v>
      </c>
      <c r="S76" s="84">
        <v>183972</v>
      </c>
      <c r="T76" s="84">
        <v>176842</v>
      </c>
      <c r="U76" s="84">
        <v>166190</v>
      </c>
      <c r="V76" s="84">
        <v>153385</v>
      </c>
      <c r="W76" s="84">
        <v>140851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210</v>
      </c>
      <c r="S77" s="84">
        <v>690</v>
      </c>
      <c r="T77" s="84">
        <v>1364</v>
      </c>
      <c r="U77" s="84">
        <v>2205</v>
      </c>
      <c r="V77" s="84">
        <v>2706</v>
      </c>
      <c r="W77" s="84">
        <v>3497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81</v>
      </c>
      <c r="S78" s="84">
        <v>152</v>
      </c>
      <c r="T78" s="84">
        <v>223</v>
      </c>
      <c r="U78" s="84">
        <v>331</v>
      </c>
      <c r="V78" s="84">
        <v>411</v>
      </c>
      <c r="W78" s="84">
        <v>474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32</v>
      </c>
      <c r="O79" s="84">
        <v>33</v>
      </c>
      <c r="P79" s="84">
        <v>34</v>
      </c>
      <c r="Q79" s="84">
        <v>43</v>
      </c>
      <c r="R79" s="84">
        <v>58</v>
      </c>
      <c r="S79" s="84">
        <v>64</v>
      </c>
      <c r="T79" s="84">
        <v>77</v>
      </c>
      <c r="U79" s="84">
        <v>105</v>
      </c>
      <c r="V79" s="84">
        <v>118</v>
      </c>
      <c r="W79" s="84">
        <v>127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19140</v>
      </c>
      <c r="C80" s="110">
        <f t="shared" si="142"/>
        <v>20594</v>
      </c>
      <c r="D80" s="110">
        <f t="shared" si="142"/>
        <v>22748</v>
      </c>
      <c r="E80" s="110">
        <f t="shared" si="142"/>
        <v>31960</v>
      </c>
      <c r="F80" s="110">
        <f t="shared" si="142"/>
        <v>38830</v>
      </c>
      <c r="G80" s="110">
        <f t="shared" si="142"/>
        <v>41488</v>
      </c>
      <c r="H80" s="110">
        <f t="shared" si="142"/>
        <v>45784</v>
      </c>
      <c r="I80" s="110">
        <f t="shared" si="142"/>
        <v>44097</v>
      </c>
      <c r="J80" s="110">
        <f t="shared" si="142"/>
        <v>48340</v>
      </c>
      <c r="K80" s="110">
        <f t="shared" si="142"/>
        <v>45738</v>
      </c>
      <c r="L80" s="110">
        <f t="shared" ref="L80" si="143">SUM(L81:L82)</f>
        <v>44673</v>
      </c>
      <c r="M80" s="110">
        <f t="shared" ref="M80:V80" si="144">SUM(M81:M82)</f>
        <v>44881</v>
      </c>
      <c r="N80" s="110">
        <f t="shared" si="144"/>
        <v>43328</v>
      </c>
      <c r="O80" s="110">
        <f t="shared" si="144"/>
        <v>43360</v>
      </c>
      <c r="P80" s="110">
        <f t="shared" si="144"/>
        <v>41568</v>
      </c>
      <c r="Q80" s="110">
        <f t="shared" si="144"/>
        <v>42701</v>
      </c>
      <c r="R80" s="110">
        <f t="shared" si="144"/>
        <v>45925</v>
      </c>
      <c r="S80" s="110">
        <f t="shared" si="144"/>
        <v>49030</v>
      </c>
      <c r="T80" s="110">
        <f t="shared" si="144"/>
        <v>61205</v>
      </c>
      <c r="U80" s="110">
        <f t="shared" si="144"/>
        <v>71593</v>
      </c>
      <c r="V80" s="110">
        <f t="shared" si="144"/>
        <v>69565</v>
      </c>
      <c r="W80" s="110">
        <f t="shared" ref="W80" si="145">SUM(W81:W82)</f>
        <v>73227</v>
      </c>
      <c r="DA80" s="176" t="s">
        <v>522</v>
      </c>
    </row>
    <row r="81" spans="1:105" ht="11.45" customHeight="1" x14ac:dyDescent="0.25">
      <c r="A81" s="128" t="s">
        <v>27</v>
      </c>
      <c r="B81" s="102">
        <v>15590</v>
      </c>
      <c r="C81" s="102">
        <v>16788</v>
      </c>
      <c r="D81" s="102">
        <v>18743</v>
      </c>
      <c r="E81" s="102">
        <v>27867</v>
      </c>
      <c r="F81" s="102">
        <v>33990</v>
      </c>
      <c r="G81" s="102">
        <v>36478</v>
      </c>
      <c r="H81" s="102">
        <v>41469</v>
      </c>
      <c r="I81" s="102">
        <v>40305</v>
      </c>
      <c r="J81" s="102">
        <v>46102</v>
      </c>
      <c r="K81" s="102">
        <v>43647</v>
      </c>
      <c r="L81" s="102">
        <v>42371</v>
      </c>
      <c r="M81" s="102">
        <v>42208</v>
      </c>
      <c r="N81" s="102">
        <v>40838</v>
      </c>
      <c r="O81" s="102">
        <v>40221</v>
      </c>
      <c r="P81" s="102">
        <v>38641</v>
      </c>
      <c r="Q81" s="102">
        <v>39335</v>
      </c>
      <c r="R81" s="102">
        <v>42673</v>
      </c>
      <c r="S81" s="102">
        <v>45925</v>
      </c>
      <c r="T81" s="102">
        <v>58372</v>
      </c>
      <c r="U81" s="102">
        <v>69101</v>
      </c>
      <c r="V81" s="102">
        <v>66519</v>
      </c>
      <c r="W81" s="102">
        <v>69676</v>
      </c>
      <c r="DA81" s="175" t="s">
        <v>523</v>
      </c>
    </row>
    <row r="82" spans="1:105" ht="11.45" customHeight="1" x14ac:dyDescent="0.25">
      <c r="A82" s="138" t="s">
        <v>116</v>
      </c>
      <c r="B82" s="86">
        <v>3550</v>
      </c>
      <c r="C82" s="86">
        <v>3806</v>
      </c>
      <c r="D82" s="86">
        <v>4005</v>
      </c>
      <c r="E82" s="86">
        <v>4093</v>
      </c>
      <c r="F82" s="86">
        <v>4840</v>
      </c>
      <c r="G82" s="86">
        <v>5010</v>
      </c>
      <c r="H82" s="86">
        <v>4315</v>
      </c>
      <c r="I82" s="86">
        <v>3792</v>
      </c>
      <c r="J82" s="86">
        <v>2238</v>
      </c>
      <c r="K82" s="86">
        <v>2091</v>
      </c>
      <c r="L82" s="86">
        <v>2302</v>
      </c>
      <c r="M82" s="86">
        <v>2673</v>
      </c>
      <c r="N82" s="86">
        <v>2490</v>
      </c>
      <c r="O82" s="86">
        <v>3139</v>
      </c>
      <c r="P82" s="86">
        <v>2927</v>
      </c>
      <c r="Q82" s="86">
        <v>3366</v>
      </c>
      <c r="R82" s="86">
        <v>3252</v>
      </c>
      <c r="S82" s="86">
        <v>3105</v>
      </c>
      <c r="T82" s="86">
        <v>2833</v>
      </c>
      <c r="U82" s="86">
        <v>2492</v>
      </c>
      <c r="V82" s="86">
        <v>3046</v>
      </c>
      <c r="W82" s="86">
        <v>3551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2235047</v>
      </c>
      <c r="C84" s="54">
        <f t="shared" si="146"/>
        <v>2322787</v>
      </c>
      <c r="D84" s="54">
        <f t="shared" ref="D84:V84" si="147">D85+D100</f>
        <v>2415496.0000000005</v>
      </c>
      <c r="E84" s="54">
        <f t="shared" si="147"/>
        <v>2568532</v>
      </c>
      <c r="F84" s="54">
        <f t="shared" si="147"/>
        <v>2721471</v>
      </c>
      <c r="G84" s="54">
        <f t="shared" si="147"/>
        <v>2821541</v>
      </c>
      <c r="H84" s="54">
        <f t="shared" si="147"/>
        <v>2909618</v>
      </c>
      <c r="I84" s="54">
        <f t="shared" si="147"/>
        <v>3080614.9999999995</v>
      </c>
      <c r="J84" s="54">
        <f t="shared" si="147"/>
        <v>3169289.0000000005</v>
      </c>
      <c r="K84" s="54">
        <f t="shared" si="147"/>
        <v>3178451</v>
      </c>
      <c r="L84" s="54">
        <f t="shared" si="147"/>
        <v>3244798.0000000005</v>
      </c>
      <c r="M84" s="54">
        <f t="shared" si="147"/>
        <v>3340336</v>
      </c>
      <c r="N84" s="54">
        <f t="shared" si="147"/>
        <v>3408246</v>
      </c>
      <c r="O84" s="54">
        <f t="shared" si="147"/>
        <v>3480153.0000000005</v>
      </c>
      <c r="P84" s="54">
        <f t="shared" si="147"/>
        <v>3550197</v>
      </c>
      <c r="Q84" s="54">
        <f t="shared" si="147"/>
        <v>3642847.0000000005</v>
      </c>
      <c r="R84" s="54">
        <f t="shared" si="147"/>
        <v>3691718</v>
      </c>
      <c r="S84" s="54">
        <f t="shared" si="147"/>
        <v>3625493</v>
      </c>
      <c r="T84" s="54">
        <f t="shared" si="147"/>
        <v>3679957</v>
      </c>
      <c r="U84" s="54">
        <f t="shared" si="147"/>
        <v>3693861</v>
      </c>
      <c r="V84" s="54">
        <f t="shared" si="147"/>
        <v>3694303</v>
      </c>
      <c r="W84" s="54">
        <f t="shared" ref="W84" si="148">W85+W100</f>
        <v>3698737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2075067</v>
      </c>
      <c r="C85" s="28">
        <f t="shared" si="149"/>
        <v>2169804</v>
      </c>
      <c r="D85" s="28">
        <f t="shared" ref="D85:V85" si="150">D86+D87+D94</f>
        <v>2262203.0000000005</v>
      </c>
      <c r="E85" s="28">
        <f t="shared" si="150"/>
        <v>2399230</v>
      </c>
      <c r="F85" s="28">
        <f t="shared" si="150"/>
        <v>2527235</v>
      </c>
      <c r="G85" s="28">
        <f t="shared" si="150"/>
        <v>2628281</v>
      </c>
      <c r="H85" s="28">
        <f t="shared" si="150"/>
        <v>2691453</v>
      </c>
      <c r="I85" s="28">
        <f t="shared" si="150"/>
        <v>2843535.9999999995</v>
      </c>
      <c r="J85" s="28">
        <f t="shared" si="150"/>
        <v>2918400.0000000005</v>
      </c>
      <c r="K85" s="28">
        <f t="shared" si="150"/>
        <v>2923186</v>
      </c>
      <c r="L85" s="28">
        <f t="shared" si="150"/>
        <v>2994709.0000000005</v>
      </c>
      <c r="M85" s="28">
        <f t="shared" si="150"/>
        <v>3070108</v>
      </c>
      <c r="N85" s="28">
        <f t="shared" si="150"/>
        <v>3136145</v>
      </c>
      <c r="O85" s="28">
        <f t="shared" si="150"/>
        <v>3208067.0000000005</v>
      </c>
      <c r="P85" s="28">
        <f t="shared" si="150"/>
        <v>3278463</v>
      </c>
      <c r="Q85" s="28">
        <f t="shared" si="150"/>
        <v>3352433.0000000005</v>
      </c>
      <c r="R85" s="28">
        <f t="shared" si="150"/>
        <v>3404192</v>
      </c>
      <c r="S85" s="28">
        <f t="shared" si="150"/>
        <v>3374021</v>
      </c>
      <c r="T85" s="28">
        <f t="shared" si="150"/>
        <v>3422217</v>
      </c>
      <c r="U85" s="28">
        <f t="shared" si="150"/>
        <v>3435831</v>
      </c>
      <c r="V85" s="28">
        <f t="shared" si="150"/>
        <v>3451149</v>
      </c>
      <c r="W85" s="28">
        <f t="shared" ref="W85" si="151">W86+W87+W94</f>
        <v>3464281</v>
      </c>
      <c r="DA85" s="173"/>
    </row>
    <row r="86" spans="1:105" ht="11.45" hidden="1" customHeight="1" x14ac:dyDescent="0.25">
      <c r="A86" s="136" t="s">
        <v>180</v>
      </c>
      <c r="B86" s="137">
        <v>70362</v>
      </c>
      <c r="C86" s="137">
        <v>71538</v>
      </c>
      <c r="D86" s="137">
        <v>73443</v>
      </c>
      <c r="E86" s="137">
        <v>76082</v>
      </c>
      <c r="F86" s="137">
        <v>75705</v>
      </c>
      <c r="G86" s="137">
        <v>75913</v>
      </c>
      <c r="H86" s="137">
        <v>76254</v>
      </c>
      <c r="I86" s="137">
        <v>90318</v>
      </c>
      <c r="J86" s="137">
        <v>106911</v>
      </c>
      <c r="K86" s="137">
        <v>117595</v>
      </c>
      <c r="L86" s="137">
        <v>125400</v>
      </c>
      <c r="M86" s="137">
        <v>131800</v>
      </c>
      <c r="N86" s="137">
        <v>139800</v>
      </c>
      <c r="O86" s="137">
        <v>147900</v>
      </c>
      <c r="P86" s="137">
        <v>154800</v>
      </c>
      <c r="Q86" s="137">
        <v>163300</v>
      </c>
      <c r="R86" s="137">
        <v>171700</v>
      </c>
      <c r="S86" s="137">
        <v>180900</v>
      </c>
      <c r="T86" s="137">
        <v>190000</v>
      </c>
      <c r="U86" s="137">
        <v>199100</v>
      </c>
      <c r="V86" s="137">
        <v>206300</v>
      </c>
      <c r="W86" s="137">
        <v>212900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1992700</v>
      </c>
      <c r="C87" s="110">
        <f t="shared" si="152"/>
        <v>2085699.9999999998</v>
      </c>
      <c r="D87" s="110">
        <f t="shared" ref="D87:V87" si="153">SUM(D88:D93)</f>
        <v>2174100.0000000005</v>
      </c>
      <c r="E87" s="110">
        <f t="shared" si="153"/>
        <v>2309300</v>
      </c>
      <c r="F87" s="110">
        <f t="shared" si="153"/>
        <v>2438400</v>
      </c>
      <c r="G87" s="110">
        <f t="shared" si="153"/>
        <v>2538092</v>
      </c>
      <c r="H87" s="110">
        <f t="shared" si="153"/>
        <v>2601444</v>
      </c>
      <c r="I87" s="110">
        <f t="shared" si="153"/>
        <v>2738834.9999999995</v>
      </c>
      <c r="J87" s="110">
        <f t="shared" si="153"/>
        <v>2798240.0000000005</v>
      </c>
      <c r="K87" s="110">
        <f t="shared" si="153"/>
        <v>2791500</v>
      </c>
      <c r="L87" s="110">
        <f t="shared" si="153"/>
        <v>2854852.0000000005</v>
      </c>
      <c r="M87" s="110">
        <f t="shared" si="153"/>
        <v>2923657</v>
      </c>
      <c r="N87" s="110">
        <f t="shared" si="153"/>
        <v>2981556</v>
      </c>
      <c r="O87" s="110">
        <f t="shared" si="153"/>
        <v>3044908.0000000005</v>
      </c>
      <c r="P87" s="110">
        <f t="shared" si="153"/>
        <v>3108260</v>
      </c>
      <c r="Q87" s="110">
        <f t="shared" si="153"/>
        <v>3173323.0000000005</v>
      </c>
      <c r="R87" s="110">
        <f t="shared" si="153"/>
        <v>3217127</v>
      </c>
      <c r="S87" s="110">
        <f t="shared" si="153"/>
        <v>3179103</v>
      </c>
      <c r="T87" s="110">
        <f t="shared" si="153"/>
        <v>3218599</v>
      </c>
      <c r="U87" s="110">
        <f t="shared" si="153"/>
        <v>3223244</v>
      </c>
      <c r="V87" s="110">
        <f t="shared" si="153"/>
        <v>3230599</v>
      </c>
      <c r="W87" s="110">
        <f t="shared" ref="W87" si="154">SUM(W88:W93)</f>
        <v>3236850</v>
      </c>
      <c r="DA87" s="176"/>
    </row>
    <row r="88" spans="1:105" ht="11.45" hidden="1" customHeight="1" x14ac:dyDescent="0.25">
      <c r="A88" s="111" t="s">
        <v>110</v>
      </c>
      <c r="B88" s="84">
        <v>1548238</v>
      </c>
      <c r="C88" s="84">
        <v>1548237.9999999998</v>
      </c>
      <c r="D88" s="84">
        <v>1548238.0000000005</v>
      </c>
      <c r="E88" s="84">
        <v>1548238</v>
      </c>
      <c r="F88" s="84">
        <v>1550532</v>
      </c>
      <c r="G88" s="84">
        <v>1554926</v>
      </c>
      <c r="H88" s="84">
        <v>1493935</v>
      </c>
      <c r="I88" s="84">
        <v>1537180.9999999995</v>
      </c>
      <c r="J88" s="84">
        <v>1545111.0000000005</v>
      </c>
      <c r="K88" s="84">
        <v>1498604</v>
      </c>
      <c r="L88" s="84">
        <v>1519546.0000000005</v>
      </c>
      <c r="M88" s="84">
        <v>1440011</v>
      </c>
      <c r="N88" s="84">
        <v>1427572</v>
      </c>
      <c r="O88" s="84">
        <v>1424838.0000000005</v>
      </c>
      <c r="P88" s="84">
        <v>1405601</v>
      </c>
      <c r="Q88" s="84">
        <v>1402348.0000000005</v>
      </c>
      <c r="R88" s="84">
        <v>1388324</v>
      </c>
      <c r="S88" s="84">
        <v>1360558</v>
      </c>
      <c r="T88" s="84">
        <v>1346953</v>
      </c>
      <c r="U88" s="84">
        <v>1326749</v>
      </c>
      <c r="V88" s="84">
        <v>1313482</v>
      </c>
      <c r="W88" s="84">
        <v>1300347</v>
      </c>
      <c r="DA88" s="171"/>
    </row>
    <row r="89" spans="1:105" ht="11.45" hidden="1" customHeight="1" x14ac:dyDescent="0.25">
      <c r="A89" s="111" t="s">
        <v>111</v>
      </c>
      <c r="B89" s="84">
        <v>194462</v>
      </c>
      <c r="C89" s="84">
        <v>196877</v>
      </c>
      <c r="D89" s="84">
        <v>227363</v>
      </c>
      <c r="E89" s="84">
        <v>331952</v>
      </c>
      <c r="F89" s="84">
        <v>428702</v>
      </c>
      <c r="G89" s="84">
        <v>424728</v>
      </c>
      <c r="H89" s="84">
        <v>516538</v>
      </c>
      <c r="I89" s="84">
        <v>623553</v>
      </c>
      <c r="J89" s="84">
        <v>707742</v>
      </c>
      <c r="K89" s="84">
        <v>769726</v>
      </c>
      <c r="L89" s="84">
        <v>758419</v>
      </c>
      <c r="M89" s="84">
        <v>949545</v>
      </c>
      <c r="N89" s="84">
        <v>982678</v>
      </c>
      <c r="O89" s="84">
        <v>1001978</v>
      </c>
      <c r="P89" s="84">
        <v>1001444</v>
      </c>
      <c r="Q89" s="84">
        <v>1036781</v>
      </c>
      <c r="R89" s="84">
        <v>1055445</v>
      </c>
      <c r="S89" s="84">
        <v>1065999</v>
      </c>
      <c r="T89" s="84">
        <v>1144884</v>
      </c>
      <c r="U89" s="84">
        <v>1190680</v>
      </c>
      <c r="V89" s="84">
        <v>1238312</v>
      </c>
      <c r="W89" s="84">
        <v>1287859</v>
      </c>
      <c r="DA89" s="171"/>
    </row>
    <row r="90" spans="1:105" ht="11.45" hidden="1" customHeight="1" x14ac:dyDescent="0.25">
      <c r="A90" s="111" t="s">
        <v>112</v>
      </c>
      <c r="B90" s="84">
        <v>250000</v>
      </c>
      <c r="C90" s="84">
        <v>340585</v>
      </c>
      <c r="D90" s="84">
        <v>398499</v>
      </c>
      <c r="E90" s="84">
        <v>429110</v>
      </c>
      <c r="F90" s="84">
        <v>453466</v>
      </c>
      <c r="G90" s="84">
        <v>537808</v>
      </c>
      <c r="H90" s="84">
        <v>565110</v>
      </c>
      <c r="I90" s="84">
        <v>541466</v>
      </c>
      <c r="J90" s="84">
        <v>511162</v>
      </c>
      <c r="K90" s="84">
        <v>474837</v>
      </c>
      <c r="L90" s="84">
        <v>505675</v>
      </c>
      <c r="M90" s="84">
        <v>469799</v>
      </c>
      <c r="N90" s="84">
        <v>500770</v>
      </c>
      <c r="O90" s="84">
        <v>541779</v>
      </c>
      <c r="P90" s="84">
        <v>596347</v>
      </c>
      <c r="Q90" s="84">
        <v>639677</v>
      </c>
      <c r="R90" s="84">
        <v>684454</v>
      </c>
      <c r="S90" s="84">
        <v>662551</v>
      </c>
      <c r="T90" s="84">
        <v>632736</v>
      </c>
      <c r="U90" s="84">
        <v>604896</v>
      </c>
      <c r="V90" s="84">
        <v>574651</v>
      </c>
      <c r="W90" s="84">
        <v>545918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5700</v>
      </c>
      <c r="G91" s="84">
        <v>20630</v>
      </c>
      <c r="H91" s="84">
        <v>25861</v>
      </c>
      <c r="I91" s="84">
        <v>36635</v>
      </c>
      <c r="J91" s="84">
        <v>34225</v>
      </c>
      <c r="K91" s="84">
        <v>48333</v>
      </c>
      <c r="L91" s="84">
        <v>71212</v>
      </c>
      <c r="M91" s="84">
        <v>64302</v>
      </c>
      <c r="N91" s="84">
        <v>70532</v>
      </c>
      <c r="O91" s="84">
        <v>76309</v>
      </c>
      <c r="P91" s="84">
        <v>104862</v>
      </c>
      <c r="Q91" s="84">
        <v>94493</v>
      </c>
      <c r="R91" s="84">
        <v>88823</v>
      </c>
      <c r="S91" s="84">
        <v>89711</v>
      </c>
      <c r="T91" s="84">
        <v>93299</v>
      </c>
      <c r="U91" s="84">
        <v>99460</v>
      </c>
      <c r="V91" s="84">
        <v>101797</v>
      </c>
      <c r="W91" s="84">
        <v>99470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</v>
      </c>
      <c r="O92" s="84">
        <v>4</v>
      </c>
      <c r="P92" s="84">
        <v>6</v>
      </c>
      <c r="Q92" s="84">
        <v>24</v>
      </c>
      <c r="R92" s="84">
        <v>40</v>
      </c>
      <c r="S92" s="84">
        <v>133</v>
      </c>
      <c r="T92" s="84">
        <v>252</v>
      </c>
      <c r="U92" s="84">
        <v>662</v>
      </c>
      <c r="V92" s="84">
        <v>953</v>
      </c>
      <c r="W92" s="84">
        <v>1293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41</v>
      </c>
      <c r="S93" s="84">
        <v>151</v>
      </c>
      <c r="T93" s="84">
        <v>475</v>
      </c>
      <c r="U93" s="84">
        <v>797</v>
      </c>
      <c r="V93" s="84">
        <v>1404</v>
      </c>
      <c r="W93" s="84">
        <v>1963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12005</v>
      </c>
      <c r="C94" s="110">
        <f t="shared" si="155"/>
        <v>12566</v>
      </c>
      <c r="D94" s="110">
        <f t="shared" ref="D94:V94" si="156">SUM(D95:D99)</f>
        <v>14660</v>
      </c>
      <c r="E94" s="110">
        <f t="shared" si="156"/>
        <v>13848</v>
      </c>
      <c r="F94" s="110">
        <f t="shared" si="156"/>
        <v>13130</v>
      </c>
      <c r="G94" s="110">
        <f t="shared" si="156"/>
        <v>14276</v>
      </c>
      <c r="H94" s="110">
        <f t="shared" si="156"/>
        <v>13755</v>
      </c>
      <c r="I94" s="110">
        <f t="shared" si="156"/>
        <v>14383</v>
      </c>
      <c r="J94" s="110">
        <f t="shared" si="156"/>
        <v>13249</v>
      </c>
      <c r="K94" s="110">
        <f t="shared" si="156"/>
        <v>14091</v>
      </c>
      <c r="L94" s="110">
        <f t="shared" si="156"/>
        <v>14457</v>
      </c>
      <c r="M94" s="110">
        <f t="shared" si="156"/>
        <v>14651</v>
      </c>
      <c r="N94" s="110">
        <f t="shared" si="156"/>
        <v>14789</v>
      </c>
      <c r="O94" s="110">
        <f t="shared" si="156"/>
        <v>15259</v>
      </c>
      <c r="P94" s="110">
        <f t="shared" si="156"/>
        <v>15403</v>
      </c>
      <c r="Q94" s="110">
        <f t="shared" si="156"/>
        <v>15810</v>
      </c>
      <c r="R94" s="110">
        <f t="shared" si="156"/>
        <v>15365</v>
      </c>
      <c r="S94" s="110">
        <f t="shared" si="156"/>
        <v>14018</v>
      </c>
      <c r="T94" s="110">
        <f t="shared" si="156"/>
        <v>13618</v>
      </c>
      <c r="U94" s="110">
        <f t="shared" si="156"/>
        <v>13487</v>
      </c>
      <c r="V94" s="110">
        <f t="shared" si="156"/>
        <v>14250</v>
      </c>
      <c r="W94" s="110">
        <f t="shared" ref="W94" si="157">SUM(W95:W99)</f>
        <v>14531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12005</v>
      </c>
      <c r="C96" s="102">
        <v>12566</v>
      </c>
      <c r="D96" s="102">
        <v>14660</v>
      </c>
      <c r="E96" s="102">
        <v>13848</v>
      </c>
      <c r="F96" s="102">
        <v>13030</v>
      </c>
      <c r="G96" s="102">
        <v>14017</v>
      </c>
      <c r="H96" s="102">
        <v>13285</v>
      </c>
      <c r="I96" s="102">
        <v>13683</v>
      </c>
      <c r="J96" s="102">
        <v>12540</v>
      </c>
      <c r="K96" s="102">
        <v>13124</v>
      </c>
      <c r="L96" s="102">
        <v>13124</v>
      </c>
      <c r="M96" s="102">
        <v>13366</v>
      </c>
      <c r="N96" s="102">
        <v>13469</v>
      </c>
      <c r="O96" s="102">
        <v>12638</v>
      </c>
      <c r="P96" s="102">
        <v>12504</v>
      </c>
      <c r="Q96" s="102">
        <v>12812</v>
      </c>
      <c r="R96" s="102">
        <v>12491</v>
      </c>
      <c r="S96" s="102">
        <v>11132</v>
      </c>
      <c r="T96" s="102">
        <v>10630</v>
      </c>
      <c r="U96" s="102">
        <v>10241</v>
      </c>
      <c r="V96" s="102">
        <v>10722</v>
      </c>
      <c r="W96" s="102">
        <v>10638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100</v>
      </c>
      <c r="G98" s="102">
        <v>259</v>
      </c>
      <c r="H98" s="102">
        <v>470</v>
      </c>
      <c r="I98" s="102">
        <v>700</v>
      </c>
      <c r="J98" s="102">
        <v>700</v>
      </c>
      <c r="K98" s="102">
        <v>942</v>
      </c>
      <c r="L98" s="102">
        <v>1283</v>
      </c>
      <c r="M98" s="102">
        <v>1230</v>
      </c>
      <c r="N98" s="102">
        <v>1261</v>
      </c>
      <c r="O98" s="102">
        <v>2154</v>
      </c>
      <c r="P98" s="102">
        <v>2284</v>
      </c>
      <c r="Q98" s="102">
        <v>2341</v>
      </c>
      <c r="R98" s="102">
        <v>2224</v>
      </c>
      <c r="S98" s="102">
        <v>2246</v>
      </c>
      <c r="T98" s="102">
        <v>2347</v>
      </c>
      <c r="U98" s="102">
        <v>2605</v>
      </c>
      <c r="V98" s="102">
        <v>2892</v>
      </c>
      <c r="W98" s="102">
        <v>3210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9</v>
      </c>
      <c r="K99" s="102">
        <v>25</v>
      </c>
      <c r="L99" s="102">
        <v>50</v>
      </c>
      <c r="M99" s="102">
        <v>55</v>
      </c>
      <c r="N99" s="102">
        <v>59</v>
      </c>
      <c r="O99" s="102">
        <v>467</v>
      </c>
      <c r="P99" s="102">
        <v>615</v>
      </c>
      <c r="Q99" s="102">
        <v>657</v>
      </c>
      <c r="R99" s="102">
        <v>650</v>
      </c>
      <c r="S99" s="102">
        <v>640</v>
      </c>
      <c r="T99" s="102">
        <v>641</v>
      </c>
      <c r="U99" s="102">
        <v>641</v>
      </c>
      <c r="V99" s="102">
        <v>636</v>
      </c>
      <c r="W99" s="102">
        <v>683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159980</v>
      </c>
      <c r="C100" s="28">
        <f t="shared" si="158"/>
        <v>152983</v>
      </c>
      <c r="D100" s="28">
        <f t="shared" ref="D100:V100" si="159">D101+D107</f>
        <v>153293</v>
      </c>
      <c r="E100" s="28">
        <f t="shared" si="159"/>
        <v>169302</v>
      </c>
      <c r="F100" s="28">
        <f t="shared" si="159"/>
        <v>194236</v>
      </c>
      <c r="G100" s="28">
        <f t="shared" si="159"/>
        <v>193260</v>
      </c>
      <c r="H100" s="28">
        <f t="shared" si="159"/>
        <v>218165</v>
      </c>
      <c r="I100" s="28">
        <f t="shared" si="159"/>
        <v>237079</v>
      </c>
      <c r="J100" s="28">
        <f t="shared" si="159"/>
        <v>250889</v>
      </c>
      <c r="K100" s="28">
        <f t="shared" si="159"/>
        <v>255265</v>
      </c>
      <c r="L100" s="28">
        <f t="shared" si="159"/>
        <v>250089</v>
      </c>
      <c r="M100" s="28">
        <f t="shared" si="159"/>
        <v>270228</v>
      </c>
      <c r="N100" s="28">
        <f t="shared" si="159"/>
        <v>272101</v>
      </c>
      <c r="O100" s="28">
        <f t="shared" si="159"/>
        <v>272086</v>
      </c>
      <c r="P100" s="28">
        <f t="shared" si="159"/>
        <v>271734</v>
      </c>
      <c r="Q100" s="28">
        <f t="shared" si="159"/>
        <v>290414</v>
      </c>
      <c r="R100" s="28">
        <f t="shared" si="159"/>
        <v>287526</v>
      </c>
      <c r="S100" s="28">
        <f t="shared" si="159"/>
        <v>251472</v>
      </c>
      <c r="T100" s="28">
        <f t="shared" si="159"/>
        <v>257740</v>
      </c>
      <c r="U100" s="28">
        <f t="shared" si="159"/>
        <v>258030</v>
      </c>
      <c r="V100" s="28">
        <f t="shared" si="159"/>
        <v>243154</v>
      </c>
      <c r="W100" s="28">
        <f t="shared" ref="W100" si="160">W101+W107</f>
        <v>234456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140840</v>
      </c>
      <c r="C101" s="137">
        <f t="shared" si="161"/>
        <v>132389</v>
      </c>
      <c r="D101" s="137">
        <f t="shared" ref="D101:V101" si="162">SUM(D102:D106)</f>
        <v>130545</v>
      </c>
      <c r="E101" s="137">
        <f t="shared" si="162"/>
        <v>137342</v>
      </c>
      <c r="F101" s="137">
        <f t="shared" si="162"/>
        <v>155406</v>
      </c>
      <c r="G101" s="137">
        <f t="shared" si="162"/>
        <v>151772</v>
      </c>
      <c r="H101" s="137">
        <f t="shared" si="162"/>
        <v>172381</v>
      </c>
      <c r="I101" s="137">
        <f t="shared" si="162"/>
        <v>192982</v>
      </c>
      <c r="J101" s="137">
        <f t="shared" si="162"/>
        <v>202549</v>
      </c>
      <c r="K101" s="137">
        <f t="shared" si="162"/>
        <v>209527</v>
      </c>
      <c r="L101" s="137">
        <f t="shared" si="162"/>
        <v>205416</v>
      </c>
      <c r="M101" s="137">
        <f t="shared" si="162"/>
        <v>225347</v>
      </c>
      <c r="N101" s="137">
        <f t="shared" si="162"/>
        <v>228773</v>
      </c>
      <c r="O101" s="137">
        <f t="shared" si="162"/>
        <v>228726</v>
      </c>
      <c r="P101" s="137">
        <f t="shared" si="162"/>
        <v>230166</v>
      </c>
      <c r="Q101" s="137">
        <f t="shared" si="162"/>
        <v>247713</v>
      </c>
      <c r="R101" s="137">
        <f t="shared" si="162"/>
        <v>241601</v>
      </c>
      <c r="S101" s="137">
        <f t="shared" si="162"/>
        <v>202442</v>
      </c>
      <c r="T101" s="137">
        <f t="shared" si="162"/>
        <v>196535</v>
      </c>
      <c r="U101" s="137">
        <f t="shared" si="162"/>
        <v>186437</v>
      </c>
      <c r="V101" s="137">
        <f t="shared" si="162"/>
        <v>173589</v>
      </c>
      <c r="W101" s="137">
        <f t="shared" ref="W101" si="163">SUM(W102:W106)</f>
        <v>161229</v>
      </c>
      <c r="DA101" s="174"/>
    </row>
    <row r="102" spans="1:105" ht="11.45" hidden="1" customHeight="1" x14ac:dyDescent="0.25">
      <c r="A102" s="111" t="s">
        <v>110</v>
      </c>
      <c r="B102" s="84">
        <v>38366</v>
      </c>
      <c r="C102" s="84">
        <v>38366</v>
      </c>
      <c r="D102" s="84">
        <v>38364</v>
      </c>
      <c r="E102" s="84">
        <v>38343</v>
      </c>
      <c r="F102" s="84">
        <v>38135</v>
      </c>
      <c r="G102" s="84">
        <v>36120</v>
      </c>
      <c r="H102" s="84">
        <v>32617</v>
      </c>
      <c r="I102" s="84">
        <v>28912</v>
      </c>
      <c r="J102" s="84">
        <v>24665</v>
      </c>
      <c r="K102" s="84">
        <v>21421</v>
      </c>
      <c r="L102" s="84">
        <v>16463</v>
      </c>
      <c r="M102" s="84">
        <v>17649</v>
      </c>
      <c r="N102" s="84">
        <v>16629</v>
      </c>
      <c r="O102" s="84">
        <v>15608</v>
      </c>
      <c r="P102" s="84">
        <v>14588</v>
      </c>
      <c r="Q102" s="84">
        <v>17568</v>
      </c>
      <c r="R102" s="84">
        <v>17583</v>
      </c>
      <c r="S102" s="84">
        <v>17564</v>
      </c>
      <c r="T102" s="84">
        <v>18029</v>
      </c>
      <c r="U102" s="84">
        <v>17606</v>
      </c>
      <c r="V102" s="84">
        <v>16969</v>
      </c>
      <c r="W102" s="84">
        <v>16280</v>
      </c>
      <c r="DA102" s="171"/>
    </row>
    <row r="103" spans="1:105" ht="11.45" hidden="1" customHeight="1" x14ac:dyDescent="0.25">
      <c r="A103" s="111" t="s">
        <v>111</v>
      </c>
      <c r="B103" s="84">
        <v>102474</v>
      </c>
      <c r="C103" s="84">
        <v>94023</v>
      </c>
      <c r="D103" s="84">
        <v>92181</v>
      </c>
      <c r="E103" s="84">
        <v>98999</v>
      </c>
      <c r="F103" s="84">
        <v>117271</v>
      </c>
      <c r="G103" s="84">
        <v>115652</v>
      </c>
      <c r="H103" s="84">
        <v>139764</v>
      </c>
      <c r="I103" s="84">
        <v>164070</v>
      </c>
      <c r="J103" s="84">
        <v>177884</v>
      </c>
      <c r="K103" s="84">
        <v>188106</v>
      </c>
      <c r="L103" s="84">
        <v>188953</v>
      </c>
      <c r="M103" s="84">
        <v>207698</v>
      </c>
      <c r="N103" s="84">
        <v>212112</v>
      </c>
      <c r="O103" s="84">
        <v>213085</v>
      </c>
      <c r="P103" s="84">
        <v>215544</v>
      </c>
      <c r="Q103" s="84">
        <v>230102</v>
      </c>
      <c r="R103" s="84">
        <v>223669</v>
      </c>
      <c r="S103" s="84">
        <v>183972</v>
      </c>
      <c r="T103" s="84">
        <v>176842</v>
      </c>
      <c r="U103" s="84">
        <v>166190</v>
      </c>
      <c r="V103" s="84">
        <v>153385</v>
      </c>
      <c r="W103" s="84">
        <v>140851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210</v>
      </c>
      <c r="S104" s="84">
        <v>690</v>
      </c>
      <c r="T104" s="84">
        <v>1364</v>
      </c>
      <c r="U104" s="84">
        <v>2205</v>
      </c>
      <c r="V104" s="84">
        <v>2706</v>
      </c>
      <c r="W104" s="84">
        <v>3497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81</v>
      </c>
      <c r="S105" s="84">
        <v>152</v>
      </c>
      <c r="T105" s="84">
        <v>223</v>
      </c>
      <c r="U105" s="84">
        <v>331</v>
      </c>
      <c r="V105" s="84">
        <v>411</v>
      </c>
      <c r="W105" s="84">
        <v>474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32</v>
      </c>
      <c r="O106" s="84">
        <v>33</v>
      </c>
      <c r="P106" s="84">
        <v>34</v>
      </c>
      <c r="Q106" s="84">
        <v>43</v>
      </c>
      <c r="R106" s="84">
        <v>58</v>
      </c>
      <c r="S106" s="84">
        <v>64</v>
      </c>
      <c r="T106" s="84">
        <v>77</v>
      </c>
      <c r="U106" s="84">
        <v>105</v>
      </c>
      <c r="V106" s="84">
        <v>118</v>
      </c>
      <c r="W106" s="84">
        <v>127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19140</v>
      </c>
      <c r="C107" s="110">
        <f t="shared" si="164"/>
        <v>20594</v>
      </c>
      <c r="D107" s="110">
        <f t="shared" ref="D107:V107" si="165">SUM(D108:D109)</f>
        <v>22748</v>
      </c>
      <c r="E107" s="110">
        <f t="shared" si="165"/>
        <v>31960</v>
      </c>
      <c r="F107" s="110">
        <f t="shared" si="165"/>
        <v>38830</v>
      </c>
      <c r="G107" s="110">
        <f t="shared" si="165"/>
        <v>41488</v>
      </c>
      <c r="H107" s="110">
        <f t="shared" si="165"/>
        <v>45784</v>
      </c>
      <c r="I107" s="110">
        <f t="shared" si="165"/>
        <v>44097</v>
      </c>
      <c r="J107" s="110">
        <f t="shared" si="165"/>
        <v>48340</v>
      </c>
      <c r="K107" s="110">
        <f t="shared" si="165"/>
        <v>45738</v>
      </c>
      <c r="L107" s="110">
        <f t="shared" si="165"/>
        <v>44673</v>
      </c>
      <c r="M107" s="110">
        <f t="shared" si="165"/>
        <v>44881</v>
      </c>
      <c r="N107" s="110">
        <f t="shared" si="165"/>
        <v>43328</v>
      </c>
      <c r="O107" s="110">
        <f t="shared" si="165"/>
        <v>43360</v>
      </c>
      <c r="P107" s="110">
        <f t="shared" si="165"/>
        <v>41568</v>
      </c>
      <c r="Q107" s="110">
        <f t="shared" si="165"/>
        <v>42701</v>
      </c>
      <c r="R107" s="110">
        <f t="shared" si="165"/>
        <v>45925</v>
      </c>
      <c r="S107" s="110">
        <f t="shared" si="165"/>
        <v>49030</v>
      </c>
      <c r="T107" s="110">
        <f t="shared" si="165"/>
        <v>61205</v>
      </c>
      <c r="U107" s="110">
        <f t="shared" si="165"/>
        <v>71593</v>
      </c>
      <c r="V107" s="110">
        <f t="shared" si="165"/>
        <v>69565</v>
      </c>
      <c r="W107" s="110">
        <f t="shared" ref="W107" si="166">SUM(W108:W109)</f>
        <v>73227</v>
      </c>
      <c r="DA107" s="176"/>
    </row>
    <row r="108" spans="1:105" ht="11.45" hidden="1" customHeight="1" x14ac:dyDescent="0.25">
      <c r="A108" s="128" t="s">
        <v>27</v>
      </c>
      <c r="B108" s="102">
        <v>15590</v>
      </c>
      <c r="C108" s="102">
        <v>16788</v>
      </c>
      <c r="D108" s="102">
        <v>18743</v>
      </c>
      <c r="E108" s="102">
        <v>27867</v>
      </c>
      <c r="F108" s="102">
        <v>33990</v>
      </c>
      <c r="G108" s="102">
        <v>36478</v>
      </c>
      <c r="H108" s="102">
        <v>41469</v>
      </c>
      <c r="I108" s="102">
        <v>40305</v>
      </c>
      <c r="J108" s="102">
        <v>46102</v>
      </c>
      <c r="K108" s="102">
        <v>43647</v>
      </c>
      <c r="L108" s="102">
        <v>42371</v>
      </c>
      <c r="M108" s="102">
        <v>42208</v>
      </c>
      <c r="N108" s="102">
        <v>40838</v>
      </c>
      <c r="O108" s="102">
        <v>40221</v>
      </c>
      <c r="P108" s="102">
        <v>38641</v>
      </c>
      <c r="Q108" s="102">
        <v>39335</v>
      </c>
      <c r="R108" s="102">
        <v>42673</v>
      </c>
      <c r="S108" s="102">
        <v>45925</v>
      </c>
      <c r="T108" s="102">
        <v>58372</v>
      </c>
      <c r="U108" s="102">
        <v>69101</v>
      </c>
      <c r="V108" s="102">
        <v>66519</v>
      </c>
      <c r="W108" s="102">
        <v>69676</v>
      </c>
      <c r="DA108" s="175"/>
    </row>
    <row r="109" spans="1:105" ht="11.45" hidden="1" customHeight="1" x14ac:dyDescent="0.25">
      <c r="A109" s="138" t="s">
        <v>116</v>
      </c>
      <c r="B109" s="86">
        <v>3550</v>
      </c>
      <c r="C109" s="86">
        <v>3806</v>
      </c>
      <c r="D109" s="86">
        <v>4005</v>
      </c>
      <c r="E109" s="86">
        <v>4093</v>
      </c>
      <c r="F109" s="86">
        <v>4840</v>
      </c>
      <c r="G109" s="86">
        <v>5010</v>
      </c>
      <c r="H109" s="86">
        <v>4315</v>
      </c>
      <c r="I109" s="86">
        <v>3792</v>
      </c>
      <c r="J109" s="86">
        <v>2238</v>
      </c>
      <c r="K109" s="86">
        <v>2091</v>
      </c>
      <c r="L109" s="86">
        <v>2302</v>
      </c>
      <c r="M109" s="86">
        <v>2673</v>
      </c>
      <c r="N109" s="86">
        <v>2490</v>
      </c>
      <c r="O109" s="86">
        <v>3139</v>
      </c>
      <c r="P109" s="86">
        <v>2927</v>
      </c>
      <c r="Q109" s="86">
        <v>3366</v>
      </c>
      <c r="R109" s="86">
        <v>3252</v>
      </c>
      <c r="S109" s="86">
        <v>3105</v>
      </c>
      <c r="T109" s="86">
        <v>2833</v>
      </c>
      <c r="U109" s="86">
        <v>2492</v>
      </c>
      <c r="V109" s="86">
        <v>3046</v>
      </c>
      <c r="W109" s="86">
        <v>3551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108434</v>
      </c>
      <c r="C111" s="54">
        <f t="shared" si="167"/>
        <v>137047</v>
      </c>
      <c r="D111" s="54">
        <f t="shared" si="167"/>
        <v>154748</v>
      </c>
      <c r="E111" s="54">
        <f t="shared" si="167"/>
        <v>244299</v>
      </c>
      <c r="F111" s="54">
        <f t="shared" si="167"/>
        <v>250191</v>
      </c>
      <c r="G111" s="54">
        <f t="shared" si="167"/>
        <v>184901.99999999997</v>
      </c>
      <c r="H111" s="54">
        <f t="shared" si="167"/>
        <v>271960</v>
      </c>
      <c r="I111" s="54">
        <f t="shared" si="167"/>
        <v>404630</v>
      </c>
      <c r="J111" s="54">
        <f t="shared" si="167"/>
        <v>379686</v>
      </c>
      <c r="K111" s="54">
        <f t="shared" si="167"/>
        <v>244958</v>
      </c>
      <c r="L111" s="54">
        <f t="shared" ref="L111" si="168">L112+L127</f>
        <v>222698</v>
      </c>
      <c r="M111" s="54">
        <f t="shared" ref="M111:V111" si="169">M112+M127</f>
        <v>365538</v>
      </c>
      <c r="N111" s="54">
        <f t="shared" si="169"/>
        <v>242983</v>
      </c>
      <c r="O111" s="54">
        <f t="shared" si="169"/>
        <v>251430.99999999997</v>
      </c>
      <c r="P111" s="54">
        <f t="shared" si="169"/>
        <v>254823</v>
      </c>
      <c r="Q111" s="54">
        <f t="shared" si="169"/>
        <v>325928</v>
      </c>
      <c r="R111" s="54">
        <f t="shared" si="169"/>
        <v>224180</v>
      </c>
      <c r="S111" s="54">
        <f t="shared" si="169"/>
        <v>176866</v>
      </c>
      <c r="T111" s="54">
        <f t="shared" si="169"/>
        <v>226204</v>
      </c>
      <c r="U111" s="54">
        <f t="shared" si="169"/>
        <v>206170</v>
      </c>
      <c r="V111" s="54">
        <f t="shared" si="169"/>
        <v>181193</v>
      </c>
      <c r="W111" s="54">
        <f t="shared" ref="W111" si="170">W112+W127</f>
        <v>168389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108079</v>
      </c>
      <c r="C112" s="28">
        <f t="shared" si="171"/>
        <v>131604</v>
      </c>
      <c r="D112" s="28">
        <f t="shared" si="171"/>
        <v>148335</v>
      </c>
      <c r="E112" s="28">
        <f t="shared" si="171"/>
        <v>218433</v>
      </c>
      <c r="F112" s="28">
        <f t="shared" si="171"/>
        <v>211987</v>
      </c>
      <c r="G112" s="28">
        <f t="shared" si="171"/>
        <v>171928.99999999997</v>
      </c>
      <c r="H112" s="28">
        <f t="shared" si="171"/>
        <v>234450</v>
      </c>
      <c r="I112" s="28">
        <f t="shared" si="171"/>
        <v>370382</v>
      </c>
      <c r="J112" s="28">
        <f t="shared" si="171"/>
        <v>350171</v>
      </c>
      <c r="K112" s="28">
        <f t="shared" si="171"/>
        <v>222082</v>
      </c>
      <c r="L112" s="28">
        <f t="shared" ref="L112" si="172">L113+L114+L121</f>
        <v>209209</v>
      </c>
      <c r="M112" s="28">
        <f t="shared" ref="M112:V112" si="173">M113+M114+M121</f>
        <v>330948</v>
      </c>
      <c r="N112" s="28">
        <f t="shared" si="173"/>
        <v>222854</v>
      </c>
      <c r="O112" s="28">
        <f t="shared" si="173"/>
        <v>233717.99999999997</v>
      </c>
      <c r="P112" s="28">
        <f t="shared" si="173"/>
        <v>236448</v>
      </c>
      <c r="Q112" s="28">
        <f t="shared" si="173"/>
        <v>287968</v>
      </c>
      <c r="R112" s="28">
        <f t="shared" si="173"/>
        <v>190333</v>
      </c>
      <c r="S112" s="28">
        <f t="shared" si="173"/>
        <v>147069</v>
      </c>
      <c r="T112" s="28">
        <f t="shared" si="173"/>
        <v>185800</v>
      </c>
      <c r="U112" s="28">
        <f t="shared" si="173"/>
        <v>177534</v>
      </c>
      <c r="V112" s="28">
        <f t="shared" si="173"/>
        <v>161197</v>
      </c>
      <c r="W112" s="28">
        <f t="shared" ref="W112" si="174">W113+W114+W121</f>
        <v>148214</v>
      </c>
      <c r="DA112" s="173" t="s">
        <v>526</v>
      </c>
    </row>
    <row r="113" spans="1:105" ht="11.45" customHeight="1" x14ac:dyDescent="0.25">
      <c r="A113" s="136" t="s">
        <v>180</v>
      </c>
      <c r="B113" s="137">
        <v>1514</v>
      </c>
      <c r="C113" s="137">
        <v>2923</v>
      </c>
      <c r="D113" s="137">
        <v>3901</v>
      </c>
      <c r="E113" s="137">
        <v>4899</v>
      </c>
      <c r="F113" s="137">
        <v>1002</v>
      </c>
      <c r="G113" s="137">
        <v>1759</v>
      </c>
      <c r="H113" s="137">
        <v>1939</v>
      </c>
      <c r="I113" s="137">
        <v>19922</v>
      </c>
      <c r="J113" s="137">
        <v>23512</v>
      </c>
      <c r="K113" s="137">
        <v>16097</v>
      </c>
      <c r="L113" s="137">
        <v>12535</v>
      </c>
      <c r="M113" s="137">
        <v>10848</v>
      </c>
      <c r="N113" s="137">
        <v>13070</v>
      </c>
      <c r="O113" s="137">
        <v>13358</v>
      </c>
      <c r="P113" s="137">
        <v>11946</v>
      </c>
      <c r="Q113" s="137">
        <v>14177</v>
      </c>
      <c r="R113" s="137">
        <v>14214</v>
      </c>
      <c r="S113" s="137">
        <v>15427</v>
      </c>
      <c r="T113" s="137">
        <v>15476</v>
      </c>
      <c r="U113" s="137">
        <v>15655</v>
      </c>
      <c r="V113" s="137">
        <v>13345</v>
      </c>
      <c r="W113" s="137">
        <v>12700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106553</v>
      </c>
      <c r="C114" s="110">
        <f t="shared" si="175"/>
        <v>127333</v>
      </c>
      <c r="D114" s="110">
        <f t="shared" si="175"/>
        <v>141512</v>
      </c>
      <c r="E114" s="110">
        <f t="shared" si="175"/>
        <v>213480</v>
      </c>
      <c r="F114" s="110">
        <f t="shared" si="175"/>
        <v>210803</v>
      </c>
      <c r="G114" s="110">
        <f t="shared" si="175"/>
        <v>168101.99999999997</v>
      </c>
      <c r="H114" s="110">
        <f t="shared" si="175"/>
        <v>232095</v>
      </c>
      <c r="I114" s="110">
        <f t="shared" si="175"/>
        <v>348887</v>
      </c>
      <c r="J114" s="110">
        <f t="shared" si="175"/>
        <v>326595</v>
      </c>
      <c r="K114" s="110">
        <f t="shared" si="175"/>
        <v>204454</v>
      </c>
      <c r="L114" s="110">
        <f t="shared" ref="L114" si="176">SUM(L115:L120)</f>
        <v>195380</v>
      </c>
      <c r="M114" s="110">
        <f t="shared" ref="M114:V114" si="177">SUM(M115:M120)</f>
        <v>318955</v>
      </c>
      <c r="N114" s="110">
        <f t="shared" si="177"/>
        <v>208768</v>
      </c>
      <c r="O114" s="110">
        <f t="shared" si="177"/>
        <v>219018.99999999997</v>
      </c>
      <c r="P114" s="110">
        <f t="shared" si="177"/>
        <v>223486</v>
      </c>
      <c r="Q114" s="110">
        <f t="shared" si="177"/>
        <v>272521</v>
      </c>
      <c r="R114" s="110">
        <f t="shared" si="177"/>
        <v>175957</v>
      </c>
      <c r="S114" s="110">
        <f t="shared" si="177"/>
        <v>131365</v>
      </c>
      <c r="T114" s="110">
        <f t="shared" si="177"/>
        <v>169891</v>
      </c>
      <c r="U114" s="110">
        <f t="shared" si="177"/>
        <v>161284</v>
      </c>
      <c r="V114" s="110">
        <f t="shared" si="177"/>
        <v>146971</v>
      </c>
      <c r="W114" s="110">
        <f t="shared" ref="W114" si="178">SUM(W115:W120)</f>
        <v>134799</v>
      </c>
      <c r="DA114" s="176" t="s">
        <v>528</v>
      </c>
    </row>
    <row r="115" spans="1:105" ht="11.45" customHeight="1" x14ac:dyDescent="0.25">
      <c r="A115" s="111" t="s">
        <v>110</v>
      </c>
      <c r="B115" s="84">
        <v>28553</v>
      </c>
      <c r="C115" s="84">
        <v>985</v>
      </c>
      <c r="D115" s="84">
        <v>21761</v>
      </c>
      <c r="E115" s="84">
        <v>49538</v>
      </c>
      <c r="F115" s="84">
        <v>55920</v>
      </c>
      <c r="G115" s="84">
        <v>28690.999999999971</v>
      </c>
      <c r="H115" s="84">
        <v>72028</v>
      </c>
      <c r="I115" s="84">
        <v>192741</v>
      </c>
      <c r="J115" s="84">
        <v>184126</v>
      </c>
      <c r="K115" s="84">
        <v>76157</v>
      </c>
      <c r="L115" s="84">
        <v>57548</v>
      </c>
      <c r="M115" s="84">
        <v>90508</v>
      </c>
      <c r="N115" s="84">
        <v>56519</v>
      </c>
      <c r="O115" s="84">
        <v>59859.999999999971</v>
      </c>
      <c r="P115" s="84">
        <v>35244</v>
      </c>
      <c r="Q115" s="84">
        <v>56404</v>
      </c>
      <c r="R115" s="84">
        <v>47379</v>
      </c>
      <c r="S115" s="84">
        <v>36482</v>
      </c>
      <c r="T115" s="84">
        <v>52169</v>
      </c>
      <c r="U115" s="84">
        <v>48517</v>
      </c>
      <c r="V115" s="84">
        <v>45121</v>
      </c>
      <c r="W115" s="84">
        <v>41963</v>
      </c>
      <c r="DA115" s="171" t="s">
        <v>529</v>
      </c>
    </row>
    <row r="116" spans="1:105" ht="11.45" customHeight="1" x14ac:dyDescent="0.25">
      <c r="A116" s="111" t="s">
        <v>111</v>
      </c>
      <c r="B116" s="84">
        <v>30000</v>
      </c>
      <c r="C116" s="84">
        <v>10763</v>
      </c>
      <c r="D116" s="84">
        <v>36837</v>
      </c>
      <c r="E116" s="84">
        <v>108331</v>
      </c>
      <c r="F116" s="84">
        <v>101489</v>
      </c>
      <c r="G116" s="84">
        <v>18332</v>
      </c>
      <c r="H116" s="84">
        <v>106250</v>
      </c>
      <c r="I116" s="84">
        <v>145225</v>
      </c>
      <c r="J116" s="84">
        <v>142469</v>
      </c>
      <c r="K116" s="84">
        <v>110805</v>
      </c>
      <c r="L116" s="84">
        <v>35148</v>
      </c>
      <c r="M116" s="84">
        <v>207678</v>
      </c>
      <c r="N116" s="84">
        <v>54049</v>
      </c>
      <c r="O116" s="84">
        <v>50228</v>
      </c>
      <c r="P116" s="84">
        <v>46793</v>
      </c>
      <c r="Q116" s="84">
        <v>121103</v>
      </c>
      <c r="R116" s="84">
        <v>77508</v>
      </c>
      <c r="S116" s="84">
        <v>59680</v>
      </c>
      <c r="T116" s="84">
        <v>85343</v>
      </c>
      <c r="U116" s="84">
        <v>79369</v>
      </c>
      <c r="V116" s="84">
        <v>73817</v>
      </c>
      <c r="W116" s="84">
        <v>68660</v>
      </c>
      <c r="DA116" s="171" t="s">
        <v>530</v>
      </c>
    </row>
    <row r="117" spans="1:105" ht="11.45" customHeight="1" x14ac:dyDescent="0.25">
      <c r="A117" s="111" t="s">
        <v>112</v>
      </c>
      <c r="B117" s="84">
        <v>48000</v>
      </c>
      <c r="C117" s="84">
        <v>115585</v>
      </c>
      <c r="D117" s="84">
        <v>82914</v>
      </c>
      <c r="E117" s="84">
        <v>55611</v>
      </c>
      <c r="F117" s="84">
        <v>47694</v>
      </c>
      <c r="G117" s="84">
        <v>106139</v>
      </c>
      <c r="H117" s="84">
        <v>48527</v>
      </c>
      <c r="I117" s="84">
        <v>0</v>
      </c>
      <c r="J117" s="84">
        <v>0</v>
      </c>
      <c r="K117" s="84">
        <v>3275</v>
      </c>
      <c r="L117" s="84">
        <v>79521</v>
      </c>
      <c r="M117" s="84">
        <v>20180</v>
      </c>
      <c r="N117" s="84">
        <v>91954</v>
      </c>
      <c r="O117" s="84">
        <v>103029</v>
      </c>
      <c r="P117" s="84">
        <v>112776</v>
      </c>
      <c r="Q117" s="84">
        <v>94252</v>
      </c>
      <c r="R117" s="84">
        <v>50896</v>
      </c>
      <c r="S117" s="84">
        <v>34100</v>
      </c>
      <c r="T117" s="84">
        <v>28303</v>
      </c>
      <c r="U117" s="84">
        <v>26322</v>
      </c>
      <c r="V117" s="84">
        <v>24479</v>
      </c>
      <c r="W117" s="84">
        <v>22765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5700</v>
      </c>
      <c r="G118" s="84">
        <v>14940</v>
      </c>
      <c r="H118" s="84">
        <v>5290</v>
      </c>
      <c r="I118" s="84">
        <v>10921</v>
      </c>
      <c r="J118" s="84">
        <v>0</v>
      </c>
      <c r="K118" s="84">
        <v>14217</v>
      </c>
      <c r="L118" s="84">
        <v>23163</v>
      </c>
      <c r="M118" s="84">
        <v>589</v>
      </c>
      <c r="N118" s="84">
        <v>6242</v>
      </c>
      <c r="O118" s="84">
        <v>5902</v>
      </c>
      <c r="P118" s="84">
        <v>28671</v>
      </c>
      <c r="Q118" s="84">
        <v>744</v>
      </c>
      <c r="R118" s="84">
        <v>93</v>
      </c>
      <c r="S118" s="84">
        <v>893</v>
      </c>
      <c r="T118" s="84">
        <v>3633</v>
      </c>
      <c r="U118" s="84">
        <v>6343</v>
      </c>
      <c r="V118" s="84">
        <v>2654</v>
      </c>
      <c r="W118" s="84">
        <v>329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</v>
      </c>
      <c r="O119" s="84">
        <v>0</v>
      </c>
      <c r="P119" s="84">
        <v>2</v>
      </c>
      <c r="Q119" s="84">
        <v>18</v>
      </c>
      <c r="R119" s="84">
        <v>40</v>
      </c>
      <c r="S119" s="84">
        <v>100</v>
      </c>
      <c r="T119" s="84">
        <v>119</v>
      </c>
      <c r="U119" s="84">
        <v>411</v>
      </c>
      <c r="V119" s="84">
        <v>292</v>
      </c>
      <c r="W119" s="84">
        <v>521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41</v>
      </c>
      <c r="S120" s="84">
        <v>110</v>
      </c>
      <c r="T120" s="84">
        <v>324</v>
      </c>
      <c r="U120" s="84">
        <v>322</v>
      </c>
      <c r="V120" s="84">
        <v>608</v>
      </c>
      <c r="W120" s="84">
        <v>561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</v>
      </c>
      <c r="C121" s="110">
        <f t="shared" si="179"/>
        <v>1348</v>
      </c>
      <c r="D121" s="110">
        <f t="shared" si="179"/>
        <v>2922</v>
      </c>
      <c r="E121" s="110">
        <f t="shared" si="179"/>
        <v>54</v>
      </c>
      <c r="F121" s="110">
        <f t="shared" si="179"/>
        <v>182</v>
      </c>
      <c r="G121" s="110">
        <f t="shared" si="179"/>
        <v>2068</v>
      </c>
      <c r="H121" s="110">
        <f t="shared" si="179"/>
        <v>416</v>
      </c>
      <c r="I121" s="110">
        <f t="shared" si="179"/>
        <v>1573</v>
      </c>
      <c r="J121" s="110">
        <f t="shared" si="179"/>
        <v>64</v>
      </c>
      <c r="K121" s="110">
        <f t="shared" si="179"/>
        <v>1531</v>
      </c>
      <c r="L121" s="110">
        <f t="shared" ref="L121" si="180">SUM(L122:L126)</f>
        <v>1294</v>
      </c>
      <c r="M121" s="110">
        <f t="shared" ref="M121:V121" si="181">SUM(M122:M126)</f>
        <v>1145</v>
      </c>
      <c r="N121" s="110">
        <f t="shared" si="181"/>
        <v>1016</v>
      </c>
      <c r="O121" s="110">
        <f t="shared" si="181"/>
        <v>1341</v>
      </c>
      <c r="P121" s="110">
        <f t="shared" si="181"/>
        <v>1016</v>
      </c>
      <c r="Q121" s="110">
        <f t="shared" si="181"/>
        <v>1270</v>
      </c>
      <c r="R121" s="110">
        <f t="shared" si="181"/>
        <v>162</v>
      </c>
      <c r="S121" s="110">
        <f t="shared" si="181"/>
        <v>277</v>
      </c>
      <c r="T121" s="110">
        <f t="shared" si="181"/>
        <v>433</v>
      </c>
      <c r="U121" s="110">
        <f t="shared" si="181"/>
        <v>595</v>
      </c>
      <c r="V121" s="110">
        <f t="shared" si="181"/>
        <v>881</v>
      </c>
      <c r="W121" s="110">
        <f t="shared" ref="W121" si="182">SUM(W122:W126)</f>
        <v>715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</v>
      </c>
      <c r="C123" s="102">
        <v>1348</v>
      </c>
      <c r="D123" s="102">
        <v>2922</v>
      </c>
      <c r="E123" s="102">
        <v>54</v>
      </c>
      <c r="F123" s="102">
        <v>82</v>
      </c>
      <c r="G123" s="102">
        <v>1909</v>
      </c>
      <c r="H123" s="102">
        <v>204</v>
      </c>
      <c r="I123" s="102">
        <v>1340</v>
      </c>
      <c r="J123" s="102">
        <v>50</v>
      </c>
      <c r="K123" s="102">
        <v>1265</v>
      </c>
      <c r="L123" s="102">
        <v>916</v>
      </c>
      <c r="M123" s="102">
        <v>1140</v>
      </c>
      <c r="N123" s="102">
        <v>980</v>
      </c>
      <c r="O123" s="102">
        <v>24</v>
      </c>
      <c r="P123" s="102">
        <v>700</v>
      </c>
      <c r="Q123" s="102">
        <v>1119</v>
      </c>
      <c r="R123" s="102">
        <v>162</v>
      </c>
      <c r="S123" s="102">
        <v>247</v>
      </c>
      <c r="T123" s="102">
        <v>239</v>
      </c>
      <c r="U123" s="102">
        <v>233</v>
      </c>
      <c r="V123" s="102">
        <v>481</v>
      </c>
      <c r="W123" s="102">
        <v>218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100</v>
      </c>
      <c r="G125" s="102">
        <v>159</v>
      </c>
      <c r="H125" s="102">
        <v>212</v>
      </c>
      <c r="I125" s="102">
        <v>233</v>
      </c>
      <c r="J125" s="102">
        <v>5</v>
      </c>
      <c r="K125" s="102">
        <v>250</v>
      </c>
      <c r="L125" s="102">
        <v>353</v>
      </c>
      <c r="M125" s="102">
        <v>0</v>
      </c>
      <c r="N125" s="102">
        <v>31</v>
      </c>
      <c r="O125" s="102">
        <v>909</v>
      </c>
      <c r="P125" s="102">
        <v>166</v>
      </c>
      <c r="Q125" s="102">
        <v>104</v>
      </c>
      <c r="R125" s="102">
        <v>0</v>
      </c>
      <c r="S125" s="102">
        <v>30</v>
      </c>
      <c r="T125" s="102">
        <v>180</v>
      </c>
      <c r="U125" s="102">
        <v>346</v>
      </c>
      <c r="V125" s="102">
        <v>386</v>
      </c>
      <c r="W125" s="102">
        <v>428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9</v>
      </c>
      <c r="K126" s="102">
        <v>16</v>
      </c>
      <c r="L126" s="102">
        <v>25</v>
      </c>
      <c r="M126" s="102">
        <v>5</v>
      </c>
      <c r="N126" s="102">
        <v>5</v>
      </c>
      <c r="O126" s="102">
        <v>408</v>
      </c>
      <c r="P126" s="102">
        <v>150</v>
      </c>
      <c r="Q126" s="102">
        <v>47</v>
      </c>
      <c r="R126" s="102">
        <v>0</v>
      </c>
      <c r="S126" s="102">
        <v>0</v>
      </c>
      <c r="T126" s="102">
        <v>14</v>
      </c>
      <c r="U126" s="102">
        <v>16</v>
      </c>
      <c r="V126" s="102">
        <v>14</v>
      </c>
      <c r="W126" s="102">
        <v>69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355</v>
      </c>
      <c r="C127" s="28">
        <f t="shared" si="183"/>
        <v>5443</v>
      </c>
      <c r="D127" s="28">
        <f t="shared" si="183"/>
        <v>6413</v>
      </c>
      <c r="E127" s="28">
        <f t="shared" si="183"/>
        <v>25866</v>
      </c>
      <c r="F127" s="28">
        <f t="shared" si="183"/>
        <v>38204</v>
      </c>
      <c r="G127" s="28">
        <f t="shared" si="183"/>
        <v>12973</v>
      </c>
      <c r="H127" s="28">
        <f t="shared" si="183"/>
        <v>37510</v>
      </c>
      <c r="I127" s="28">
        <f t="shared" si="183"/>
        <v>34248</v>
      </c>
      <c r="J127" s="28">
        <f t="shared" si="183"/>
        <v>29515</v>
      </c>
      <c r="K127" s="28">
        <f t="shared" si="183"/>
        <v>22876</v>
      </c>
      <c r="L127" s="28">
        <f t="shared" ref="L127" si="184">L128+L134</f>
        <v>13489</v>
      </c>
      <c r="M127" s="28">
        <f t="shared" ref="M127:V127" si="185">M128+M134</f>
        <v>34590</v>
      </c>
      <c r="N127" s="28">
        <f t="shared" si="185"/>
        <v>20129</v>
      </c>
      <c r="O127" s="28">
        <f t="shared" si="185"/>
        <v>17713</v>
      </c>
      <c r="P127" s="28">
        <f t="shared" si="185"/>
        <v>18375</v>
      </c>
      <c r="Q127" s="28">
        <f t="shared" si="185"/>
        <v>37960</v>
      </c>
      <c r="R127" s="28">
        <f t="shared" si="185"/>
        <v>33847</v>
      </c>
      <c r="S127" s="28">
        <f t="shared" si="185"/>
        <v>29797</v>
      </c>
      <c r="T127" s="28">
        <f t="shared" si="185"/>
        <v>40404</v>
      </c>
      <c r="U127" s="28">
        <f t="shared" si="185"/>
        <v>28636</v>
      </c>
      <c r="V127" s="28">
        <f t="shared" si="185"/>
        <v>19996</v>
      </c>
      <c r="W127" s="28">
        <f t="shared" ref="W127" si="186">W128+W134</f>
        <v>20175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2039</v>
      </c>
      <c r="D128" s="137">
        <f t="shared" si="187"/>
        <v>3650</v>
      </c>
      <c r="E128" s="137">
        <f t="shared" si="187"/>
        <v>16193</v>
      </c>
      <c r="F128" s="137">
        <f t="shared" si="187"/>
        <v>28247</v>
      </c>
      <c r="G128" s="137">
        <f t="shared" si="187"/>
        <v>7280</v>
      </c>
      <c r="H128" s="137">
        <f t="shared" si="187"/>
        <v>32519</v>
      </c>
      <c r="I128" s="137">
        <f t="shared" si="187"/>
        <v>33164</v>
      </c>
      <c r="J128" s="137">
        <f t="shared" si="187"/>
        <v>23175</v>
      </c>
      <c r="K128" s="137">
        <f t="shared" si="187"/>
        <v>20118</v>
      </c>
      <c r="L128" s="137">
        <f t="shared" ref="L128" si="188">SUM(L129:L133)</f>
        <v>11281</v>
      </c>
      <c r="M128" s="137">
        <f t="shared" ref="M128:V128" si="189">SUM(M129:M133)</f>
        <v>30879</v>
      </c>
      <c r="N128" s="137">
        <f t="shared" si="189"/>
        <v>17546</v>
      </c>
      <c r="O128" s="137">
        <f t="shared" si="189"/>
        <v>14107</v>
      </c>
      <c r="P128" s="137">
        <f t="shared" si="189"/>
        <v>16727</v>
      </c>
      <c r="Q128" s="137">
        <f t="shared" si="189"/>
        <v>31753</v>
      </c>
      <c r="R128" s="137">
        <f t="shared" si="189"/>
        <v>27479</v>
      </c>
      <c r="S128" s="137">
        <f t="shared" si="189"/>
        <v>25766</v>
      </c>
      <c r="T128" s="137">
        <f t="shared" si="189"/>
        <v>27881</v>
      </c>
      <c r="U128" s="137">
        <f t="shared" si="189"/>
        <v>17892</v>
      </c>
      <c r="V128" s="137">
        <f t="shared" si="189"/>
        <v>10912</v>
      </c>
      <c r="W128" s="137">
        <f t="shared" ref="W128" si="190">SUM(W129:W133)</f>
        <v>13723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2039</v>
      </c>
      <c r="D129" s="84">
        <v>2318</v>
      </c>
      <c r="E129" s="84">
        <v>2558</v>
      </c>
      <c r="F129" s="84">
        <v>2599</v>
      </c>
      <c r="G129" s="84">
        <v>982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1186</v>
      </c>
      <c r="N129" s="84">
        <v>1617</v>
      </c>
      <c r="O129" s="84">
        <v>1060</v>
      </c>
      <c r="P129" s="84">
        <v>1594</v>
      </c>
      <c r="Q129" s="84">
        <v>3900</v>
      </c>
      <c r="R129" s="84">
        <v>3211</v>
      </c>
      <c r="S129" s="84">
        <v>2750</v>
      </c>
      <c r="T129" s="84">
        <v>3289</v>
      </c>
      <c r="U129" s="84">
        <v>1573</v>
      </c>
      <c r="V129" s="84">
        <v>746</v>
      </c>
      <c r="W129" s="84">
        <v>775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0</v>
      </c>
      <c r="D130" s="84">
        <v>1332</v>
      </c>
      <c r="E130" s="84">
        <v>13635</v>
      </c>
      <c r="F130" s="84">
        <v>25648</v>
      </c>
      <c r="G130" s="84">
        <v>6298</v>
      </c>
      <c r="H130" s="84">
        <v>32519</v>
      </c>
      <c r="I130" s="84">
        <v>33164</v>
      </c>
      <c r="J130" s="84">
        <v>23175</v>
      </c>
      <c r="K130" s="84">
        <v>20118</v>
      </c>
      <c r="L130" s="84">
        <v>11281</v>
      </c>
      <c r="M130" s="84">
        <v>29693</v>
      </c>
      <c r="N130" s="84">
        <v>15897</v>
      </c>
      <c r="O130" s="84">
        <v>13046</v>
      </c>
      <c r="P130" s="84">
        <v>15132</v>
      </c>
      <c r="Q130" s="84">
        <v>27844</v>
      </c>
      <c r="R130" s="84">
        <v>23962</v>
      </c>
      <c r="S130" s="84">
        <v>22458</v>
      </c>
      <c r="T130" s="84">
        <v>23829</v>
      </c>
      <c r="U130" s="84">
        <v>15327</v>
      </c>
      <c r="V130" s="84">
        <v>9544</v>
      </c>
      <c r="W130" s="84">
        <v>12020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210</v>
      </c>
      <c r="S131" s="84">
        <v>481</v>
      </c>
      <c r="T131" s="84">
        <v>677</v>
      </c>
      <c r="U131" s="84">
        <v>852</v>
      </c>
      <c r="V131" s="84">
        <v>524</v>
      </c>
      <c r="W131" s="84">
        <v>832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81</v>
      </c>
      <c r="S132" s="84">
        <v>71</v>
      </c>
      <c r="T132" s="84">
        <v>72</v>
      </c>
      <c r="U132" s="84">
        <v>111</v>
      </c>
      <c r="V132" s="84">
        <v>84</v>
      </c>
      <c r="W132" s="84">
        <v>70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32</v>
      </c>
      <c r="O133" s="84">
        <v>1</v>
      </c>
      <c r="P133" s="84">
        <v>1</v>
      </c>
      <c r="Q133" s="84">
        <v>9</v>
      </c>
      <c r="R133" s="84">
        <v>15</v>
      </c>
      <c r="S133" s="84">
        <v>6</v>
      </c>
      <c r="T133" s="84">
        <v>14</v>
      </c>
      <c r="U133" s="84">
        <v>29</v>
      </c>
      <c r="V133" s="84">
        <v>14</v>
      </c>
      <c r="W133" s="84">
        <v>26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355</v>
      </c>
      <c r="C134" s="110">
        <f t="shared" si="191"/>
        <v>3404</v>
      </c>
      <c r="D134" s="110">
        <f t="shared" si="191"/>
        <v>2763</v>
      </c>
      <c r="E134" s="110">
        <f t="shared" si="191"/>
        <v>9673</v>
      </c>
      <c r="F134" s="110">
        <f t="shared" si="191"/>
        <v>9957</v>
      </c>
      <c r="G134" s="110">
        <f t="shared" si="191"/>
        <v>5693</v>
      </c>
      <c r="H134" s="110">
        <f t="shared" si="191"/>
        <v>4991</v>
      </c>
      <c r="I134" s="110">
        <f t="shared" si="191"/>
        <v>1084</v>
      </c>
      <c r="J134" s="110">
        <f t="shared" si="191"/>
        <v>6340</v>
      </c>
      <c r="K134" s="110">
        <f t="shared" si="191"/>
        <v>2758</v>
      </c>
      <c r="L134" s="110">
        <f t="shared" ref="L134" si="192">SUM(L135:L136)</f>
        <v>2208</v>
      </c>
      <c r="M134" s="110">
        <f t="shared" ref="M134:V134" si="193">SUM(M135:M136)</f>
        <v>3711</v>
      </c>
      <c r="N134" s="110">
        <f t="shared" si="193"/>
        <v>2583</v>
      </c>
      <c r="O134" s="110">
        <f t="shared" si="193"/>
        <v>3606</v>
      </c>
      <c r="P134" s="110">
        <f t="shared" si="193"/>
        <v>1648</v>
      </c>
      <c r="Q134" s="110">
        <f t="shared" si="193"/>
        <v>6207</v>
      </c>
      <c r="R134" s="110">
        <f t="shared" si="193"/>
        <v>6368</v>
      </c>
      <c r="S134" s="110">
        <f t="shared" si="193"/>
        <v>4031</v>
      </c>
      <c r="T134" s="110">
        <f t="shared" si="193"/>
        <v>12523</v>
      </c>
      <c r="U134" s="110">
        <f t="shared" si="193"/>
        <v>10744</v>
      </c>
      <c r="V134" s="110">
        <f t="shared" si="193"/>
        <v>9084</v>
      </c>
      <c r="W134" s="110">
        <f t="shared" ref="W134" si="194">SUM(W135:W136)</f>
        <v>6452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2801</v>
      </c>
      <c r="D135" s="102">
        <v>2157</v>
      </c>
      <c r="E135" s="102">
        <v>9124</v>
      </c>
      <c r="F135" s="102">
        <v>8708</v>
      </c>
      <c r="G135" s="102">
        <v>4978</v>
      </c>
      <c r="H135" s="102">
        <v>4991</v>
      </c>
      <c r="I135" s="102">
        <v>1050</v>
      </c>
      <c r="J135" s="102">
        <v>6340</v>
      </c>
      <c r="K135" s="102">
        <v>2631</v>
      </c>
      <c r="L135" s="102">
        <v>1711</v>
      </c>
      <c r="M135" s="102">
        <v>3041</v>
      </c>
      <c r="N135" s="102">
        <v>2454</v>
      </c>
      <c r="O135" s="102">
        <v>2634</v>
      </c>
      <c r="P135" s="102">
        <v>1524</v>
      </c>
      <c r="Q135" s="102">
        <v>5421</v>
      </c>
      <c r="R135" s="102">
        <v>6131</v>
      </c>
      <c r="S135" s="102">
        <v>3825</v>
      </c>
      <c r="T135" s="102">
        <v>12447</v>
      </c>
      <c r="U135" s="102">
        <v>10729</v>
      </c>
      <c r="V135" s="102">
        <v>8171</v>
      </c>
      <c r="W135" s="102">
        <v>5578</v>
      </c>
      <c r="DA135" s="175" t="s">
        <v>549</v>
      </c>
    </row>
    <row r="136" spans="1:105" ht="11.45" customHeight="1" x14ac:dyDescent="0.25">
      <c r="A136" s="138" t="s">
        <v>116</v>
      </c>
      <c r="B136" s="86">
        <v>355</v>
      </c>
      <c r="C136" s="86">
        <v>603</v>
      </c>
      <c r="D136" s="86">
        <v>606</v>
      </c>
      <c r="E136" s="86">
        <v>549</v>
      </c>
      <c r="F136" s="86">
        <v>1249</v>
      </c>
      <c r="G136" s="86">
        <v>715</v>
      </c>
      <c r="H136" s="86">
        <v>0</v>
      </c>
      <c r="I136" s="86">
        <v>34</v>
      </c>
      <c r="J136" s="86">
        <v>0</v>
      </c>
      <c r="K136" s="86">
        <v>127</v>
      </c>
      <c r="L136" s="86">
        <v>497</v>
      </c>
      <c r="M136" s="86">
        <v>670</v>
      </c>
      <c r="N136" s="86">
        <v>129</v>
      </c>
      <c r="O136" s="86">
        <v>972</v>
      </c>
      <c r="P136" s="86">
        <v>124</v>
      </c>
      <c r="Q136" s="86">
        <v>786</v>
      </c>
      <c r="R136" s="86">
        <v>237</v>
      </c>
      <c r="S136" s="86">
        <v>206</v>
      </c>
      <c r="T136" s="86">
        <v>76</v>
      </c>
      <c r="U136" s="86">
        <v>15</v>
      </c>
      <c r="V136" s="86">
        <v>913</v>
      </c>
      <c r="W136" s="86">
        <v>874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3.0759419805315433</v>
      </c>
      <c r="C141" s="32">
        <f t="shared" si="195"/>
        <v>3.1057300609065011</v>
      </c>
      <c r="D141" s="32">
        <f t="shared" si="195"/>
        <v>3.0304848383025491</v>
      </c>
      <c r="E141" s="32">
        <f t="shared" si="195"/>
        <v>2.7402908388206164</v>
      </c>
      <c r="F141" s="32">
        <f t="shared" si="195"/>
        <v>2.5335653462442775</v>
      </c>
      <c r="G141" s="32">
        <f t="shared" si="195"/>
        <v>2.4452146581889216</v>
      </c>
      <c r="H141" s="32">
        <f t="shared" si="195"/>
        <v>2.2949849318867108</v>
      </c>
      <c r="I141" s="32">
        <f t="shared" si="195"/>
        <v>2.4760570433348397</v>
      </c>
      <c r="J141" s="32">
        <f t="shared" si="195"/>
        <v>2.4419453205228496</v>
      </c>
      <c r="K141" s="32">
        <f t="shared" si="195"/>
        <v>2.3411459505510392</v>
      </c>
      <c r="L141" s="32">
        <f t="shared" ref="L141" si="196">IF(L4=0,0,L4/L31)</f>
        <v>2.3793118514576164</v>
      </c>
      <c r="M141" s="32">
        <f t="shared" ref="M141:V141" si="197">IF(M4=0,0,M4/M31)</f>
        <v>2.4245177940728859</v>
      </c>
      <c r="N141" s="32">
        <f t="shared" si="197"/>
        <v>2.3237551028633359</v>
      </c>
      <c r="O141" s="32">
        <f t="shared" si="197"/>
        <v>2.3327424847510114</v>
      </c>
      <c r="P141" s="32">
        <f t="shared" si="197"/>
        <v>2.3720828561518088</v>
      </c>
      <c r="Q141" s="32">
        <f t="shared" si="197"/>
        <v>2.2378268176214977</v>
      </c>
      <c r="R141" s="32">
        <f t="shared" si="197"/>
        <v>2.1689879698159777</v>
      </c>
      <c r="S141" s="32">
        <f t="shared" si="197"/>
        <v>2.1409138860181272</v>
      </c>
      <c r="T141" s="32">
        <f t="shared" si="197"/>
        <v>2.0826742075622398</v>
      </c>
      <c r="U141" s="32">
        <f t="shared" si="197"/>
        <v>2.0655538880350193</v>
      </c>
      <c r="V141" s="32">
        <f t="shared" si="197"/>
        <v>1.7085808905585049</v>
      </c>
      <c r="W141" s="32">
        <f t="shared" ref="W141" si="198">IF(W4=0,0,W4/W31)</f>
        <v>1.6003717921870977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1.2051623672106273</v>
      </c>
      <c r="C142" s="141">
        <v>1.2051392519217532</v>
      </c>
      <c r="D142" s="141">
        <v>1.2049298431364224</v>
      </c>
      <c r="E142" s="141">
        <v>1.2054358769600164</v>
      </c>
      <c r="F142" s="141">
        <v>1.2055973067663732</v>
      </c>
      <c r="G142" s="141">
        <v>1.204505606333917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1.2079899717478597</v>
      </c>
      <c r="L142" s="141">
        <v>1.2059146553065254</v>
      </c>
      <c r="M142" s="141">
        <v>1.2048582714100036</v>
      </c>
      <c r="N142" s="141">
        <v>1.1974221301460344</v>
      </c>
      <c r="O142" s="141">
        <v>1.1968061309351143</v>
      </c>
      <c r="P142" s="141">
        <v>1.1994047292847665</v>
      </c>
      <c r="Q142" s="141">
        <v>1.201477690337996</v>
      </c>
      <c r="R142" s="141">
        <v>1.2032636739708751</v>
      </c>
      <c r="S142" s="141">
        <v>1.2018099037504444</v>
      </c>
      <c r="T142" s="141">
        <v>1.2005740023247988</v>
      </c>
      <c r="U142" s="141">
        <v>1.2017239415823151</v>
      </c>
      <c r="V142" s="141">
        <v>1.2003420180870072</v>
      </c>
      <c r="W142" s="141">
        <v>1.2004103771264076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2.0920225746757359</v>
      </c>
      <c r="C143" s="130">
        <f t="shared" si="199"/>
        <v>2.1225248387860214</v>
      </c>
      <c r="D143" s="130">
        <f t="shared" si="199"/>
        <v>2.0154720789588247</v>
      </c>
      <c r="E143" s="130">
        <f t="shared" si="199"/>
        <v>1.9419619610352894</v>
      </c>
      <c r="F143" s="130">
        <f t="shared" si="199"/>
        <v>1.8766491983296432</v>
      </c>
      <c r="G143" s="130">
        <f t="shared" si="199"/>
        <v>1.8183398013044558</v>
      </c>
      <c r="H143" s="130">
        <f t="shared" si="199"/>
        <v>1.757261564867177</v>
      </c>
      <c r="I143" s="130">
        <f t="shared" si="199"/>
        <v>1.9132603621419038</v>
      </c>
      <c r="J143" s="130">
        <f t="shared" si="199"/>
        <v>1.9033012530116433</v>
      </c>
      <c r="K143" s="130">
        <f t="shared" si="199"/>
        <v>1.9657925264100278</v>
      </c>
      <c r="L143" s="130">
        <f t="shared" ref="L143" si="200">IF(L6=0,0,L6/L33)</f>
        <v>1.9962285691662827</v>
      </c>
      <c r="M143" s="130">
        <f t="shared" ref="M143:V143" si="201">IF(M6=0,0,M6/M33)</f>
        <v>2.0406680501399013</v>
      </c>
      <c r="N143" s="130">
        <f t="shared" si="201"/>
        <v>1.9735815476861631</v>
      </c>
      <c r="O143" s="130">
        <f t="shared" si="201"/>
        <v>1.9973315281258264</v>
      </c>
      <c r="P143" s="130">
        <f t="shared" si="201"/>
        <v>2.0115211504212236</v>
      </c>
      <c r="Q143" s="130">
        <f t="shared" si="201"/>
        <v>1.8821409346187536</v>
      </c>
      <c r="R143" s="130">
        <f t="shared" si="201"/>
        <v>1.8283736078907715</v>
      </c>
      <c r="S143" s="130">
        <f t="shared" si="201"/>
        <v>1.8515449048343691</v>
      </c>
      <c r="T143" s="130">
        <f t="shared" si="201"/>
        <v>1.8157709991167257</v>
      </c>
      <c r="U143" s="130">
        <f t="shared" si="201"/>
        <v>1.7818017033451881</v>
      </c>
      <c r="V143" s="130">
        <f t="shared" si="201"/>
        <v>1.5846603145273284</v>
      </c>
      <c r="W143" s="130">
        <f t="shared" ref="W143" si="202">IF(W6=0,0,W6/W33)</f>
        <v>1.4876529405484122</v>
      </c>
      <c r="DA143" s="176" t="s">
        <v>553</v>
      </c>
    </row>
    <row r="144" spans="1:105" ht="11.45" customHeight="1" x14ac:dyDescent="0.25">
      <c r="A144" s="111" t="s">
        <v>110</v>
      </c>
      <c r="B144" s="96">
        <v>2.0798148736809012</v>
      </c>
      <c r="C144" s="96">
        <v>2.1080240478591721</v>
      </c>
      <c r="D144" s="96">
        <v>2.0040174056376601</v>
      </c>
      <c r="E144" s="96">
        <v>1.921897740814777</v>
      </c>
      <c r="F144" s="96">
        <v>1.8466918132241548</v>
      </c>
      <c r="G144" s="96">
        <v>1.7886804356220936</v>
      </c>
      <c r="H144" s="96">
        <v>1.7286603882237168</v>
      </c>
      <c r="I144" s="96">
        <v>1.8774749066616667</v>
      </c>
      <c r="J144" s="96">
        <v>1.8615514299863223</v>
      </c>
      <c r="K144" s="96">
        <v>1.9230994806320241</v>
      </c>
      <c r="L144" s="96">
        <v>1.9518422032671643</v>
      </c>
      <c r="M144" s="96">
        <v>1.9885453050470778</v>
      </c>
      <c r="N144" s="96">
        <v>1.9196954735255578</v>
      </c>
      <c r="O144" s="96">
        <v>1.9421939085424371</v>
      </c>
      <c r="P144" s="96">
        <v>1.9574546126440759</v>
      </c>
      <c r="Q144" s="96">
        <v>1.8295429977153777</v>
      </c>
      <c r="R144" s="96">
        <v>1.7770875701350037</v>
      </c>
      <c r="S144" s="96">
        <v>1.798934538855645</v>
      </c>
      <c r="T144" s="96">
        <v>1.7610995970061578</v>
      </c>
      <c r="U144" s="96">
        <v>1.7262857527911457</v>
      </c>
      <c r="V144" s="96">
        <v>1.5345333081080044</v>
      </c>
      <c r="W144" s="96">
        <v>1.4391505932774367</v>
      </c>
      <c r="DA144" s="171" t="s">
        <v>554</v>
      </c>
    </row>
    <row r="145" spans="1:105" ht="11.45" customHeight="1" x14ac:dyDescent="0.25">
      <c r="A145" s="111" t="s">
        <v>111</v>
      </c>
      <c r="B145" s="96">
        <v>2.1920414275448823</v>
      </c>
      <c r="C145" s="96">
        <v>2.2217727652798427</v>
      </c>
      <c r="D145" s="96">
        <v>2.1121539374820122</v>
      </c>
      <c r="E145" s="96">
        <v>2.0256031056816437</v>
      </c>
      <c r="F145" s="96">
        <v>1.9463390755211998</v>
      </c>
      <c r="G145" s="96">
        <v>1.8851974111443062</v>
      </c>
      <c r="H145" s="96">
        <v>1.8219386893968263</v>
      </c>
      <c r="I145" s="96">
        <v>1.9787832208809195</v>
      </c>
      <c r="J145" s="96">
        <v>1.9620005153696705</v>
      </c>
      <c r="K145" s="96">
        <v>2.0268696912310937</v>
      </c>
      <c r="L145" s="96">
        <v>2.0571633676317975</v>
      </c>
      <c r="M145" s="96">
        <v>2.095846964253345</v>
      </c>
      <c r="N145" s="96">
        <v>2.0232820043213322</v>
      </c>
      <c r="O145" s="96">
        <v>2.0469944521146517</v>
      </c>
      <c r="P145" s="96">
        <v>2.0630786219259254</v>
      </c>
      <c r="Q145" s="96">
        <v>1.9282649120443147</v>
      </c>
      <c r="R145" s="96">
        <v>1.8729789960664862</v>
      </c>
      <c r="S145" s="96">
        <v>1.8960048245226349</v>
      </c>
      <c r="T145" s="96">
        <v>1.8561283138810676</v>
      </c>
      <c r="U145" s="96">
        <v>1.8194359189294245</v>
      </c>
      <c r="V145" s="96">
        <v>1.6173365359999499</v>
      </c>
      <c r="W145" s="96">
        <v>1.5168069816505934</v>
      </c>
      <c r="DA145" s="171" t="s">
        <v>555</v>
      </c>
    </row>
    <row r="146" spans="1:105" ht="11.45" customHeight="1" x14ac:dyDescent="0.25">
      <c r="A146" s="111" t="s">
        <v>112</v>
      </c>
      <c r="B146" s="96">
        <v>2.0292618974354637</v>
      </c>
      <c r="C146" s="96">
        <v>2.0588490936224404</v>
      </c>
      <c r="D146" s="96">
        <v>1.9550079165900598</v>
      </c>
      <c r="E146" s="96">
        <v>1.8837031022042308</v>
      </c>
      <c r="F146" s="96">
        <v>1.8203497223797536</v>
      </c>
      <c r="G146" s="96">
        <v>1.7637896072653219</v>
      </c>
      <c r="H146" s="96">
        <v>1.7045437179211613</v>
      </c>
      <c r="I146" s="96">
        <v>1.8558625512776463</v>
      </c>
      <c r="J146" s="96">
        <v>1.8462022154212945</v>
      </c>
      <c r="K146" s="96">
        <v>1.9068187506177265</v>
      </c>
      <c r="L146" s="96">
        <v>1.9363417120912942</v>
      </c>
      <c r="M146" s="96">
        <v>1.9794480086357042</v>
      </c>
      <c r="N146" s="96">
        <v>1.9143741012555779</v>
      </c>
      <c r="O146" s="96">
        <v>1.937411582282051</v>
      </c>
      <c r="P146" s="96">
        <v>1.9511755159085871</v>
      </c>
      <c r="Q146" s="96">
        <v>1.8256767065801909</v>
      </c>
      <c r="R146" s="96">
        <v>1.7735223996540481</v>
      </c>
      <c r="S146" s="96">
        <v>1.7959985576893378</v>
      </c>
      <c r="T146" s="96">
        <v>1.7612978691432235</v>
      </c>
      <c r="U146" s="96">
        <v>1.7283476522448324</v>
      </c>
      <c r="V146" s="96">
        <v>1.5371205050915082</v>
      </c>
      <c r="W146" s="96">
        <v>1.44302335233196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1.8203497223797536</v>
      </c>
      <c r="G147" s="96">
        <v>1.7637896072653219</v>
      </c>
      <c r="H147" s="96">
        <v>1.7045437179211615</v>
      </c>
      <c r="I147" s="96">
        <v>1.8558625512776463</v>
      </c>
      <c r="J147" s="96">
        <v>1.8462022154212943</v>
      </c>
      <c r="K147" s="96">
        <v>1.9068187506177268</v>
      </c>
      <c r="L147" s="96">
        <v>1.9363417120912942</v>
      </c>
      <c r="M147" s="96">
        <v>1.9794480086357038</v>
      </c>
      <c r="N147" s="96">
        <v>1.9143741012555779</v>
      </c>
      <c r="O147" s="96">
        <v>1.937411582282051</v>
      </c>
      <c r="P147" s="96">
        <v>1.9511755159085871</v>
      </c>
      <c r="Q147" s="96">
        <v>1.8256767065801909</v>
      </c>
      <c r="R147" s="96">
        <v>1.7735223996540481</v>
      </c>
      <c r="S147" s="96">
        <v>1.7959985576893378</v>
      </c>
      <c r="T147" s="96">
        <v>1.7612978691432235</v>
      </c>
      <c r="U147" s="96">
        <v>1.7283476522448324</v>
      </c>
      <c r="V147" s="96">
        <v>1.5371205050915084</v>
      </c>
      <c r="W147" s="96">
        <v>1.4430233523319598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1.8732284990526891</v>
      </c>
      <c r="O148" s="96">
        <v>1.8957708359850951</v>
      </c>
      <c r="P148" s="96">
        <v>1.9092389416763424</v>
      </c>
      <c r="Q148" s="96">
        <v>1.7864374756113011</v>
      </c>
      <c r="R148" s="96">
        <v>1.7354041201044985</v>
      </c>
      <c r="S148" s="96">
        <v>1.7573971985489376</v>
      </c>
      <c r="T148" s="96">
        <v>1.7234423311702474</v>
      </c>
      <c r="U148" s="96">
        <v>1.691200312589056</v>
      </c>
      <c r="V148" s="96">
        <v>1.5040832064783911</v>
      </c>
      <c r="W148" s="96">
        <v>1.4120084818395162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1.4649516347988876</v>
      </c>
      <c r="S149" s="96">
        <v>1.4835172218274013</v>
      </c>
      <c r="T149" s="96">
        <v>1.4548540200408362</v>
      </c>
      <c r="U149" s="96">
        <v>1.4276367296803132</v>
      </c>
      <c r="V149" s="96">
        <v>1.2696807197112061</v>
      </c>
      <c r="W149" s="96">
        <v>1.1919552972457719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31.37</v>
      </c>
      <c r="C150" s="130">
        <f t="shared" si="203"/>
        <v>30.749999999999996</v>
      </c>
      <c r="D150" s="130">
        <f t="shared" si="203"/>
        <v>30.15</v>
      </c>
      <c r="E150" s="130">
        <f t="shared" si="203"/>
        <v>29.56</v>
      </c>
      <c r="F150" s="130">
        <f t="shared" si="203"/>
        <v>28.98</v>
      </c>
      <c r="G150" s="130">
        <f t="shared" si="203"/>
        <v>28.409999999999997</v>
      </c>
      <c r="H150" s="130">
        <f t="shared" si="203"/>
        <v>27.85</v>
      </c>
      <c r="I150" s="130">
        <f t="shared" si="203"/>
        <v>27.304537830008822</v>
      </c>
      <c r="J150" s="130">
        <f t="shared" si="203"/>
        <v>30.495813133539006</v>
      </c>
      <c r="K150" s="130">
        <f t="shared" si="203"/>
        <v>21.928241712127569</v>
      </c>
      <c r="L150" s="130">
        <f t="shared" ref="L150" si="204">IF(L13=0,0,L13/L40)</f>
        <v>23.957110609480814</v>
      </c>
      <c r="M150" s="130">
        <f t="shared" ref="M150:V150" si="205">IF(M13=0,0,M13/M40)</f>
        <v>22.173824130879343</v>
      </c>
      <c r="N150" s="130">
        <f t="shared" si="205"/>
        <v>23.345211581291771</v>
      </c>
      <c r="O150" s="130">
        <f t="shared" si="205"/>
        <v>23.453057513071155</v>
      </c>
      <c r="P150" s="130">
        <f t="shared" si="205"/>
        <v>25.179903466432645</v>
      </c>
      <c r="Q150" s="130">
        <f t="shared" si="205"/>
        <v>26.090437214199355</v>
      </c>
      <c r="R150" s="130">
        <f t="shared" si="205"/>
        <v>27.333781061114848</v>
      </c>
      <c r="S150" s="130">
        <f t="shared" si="205"/>
        <v>25.169337912612104</v>
      </c>
      <c r="T150" s="130">
        <f t="shared" si="205"/>
        <v>23.119738072965387</v>
      </c>
      <c r="U150" s="130">
        <f t="shared" si="205"/>
        <v>23.098555763554511</v>
      </c>
      <c r="V150" s="130">
        <f t="shared" si="205"/>
        <v>10.82067694801075</v>
      </c>
      <c r="W150" s="130">
        <f t="shared" ref="W150" si="206">IF(W13=0,0,W13/W40)</f>
        <v>10.635633099539568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31.37</v>
      </c>
      <c r="C152" s="97">
        <v>30.749999999999996</v>
      </c>
      <c r="D152" s="97">
        <v>30.15</v>
      </c>
      <c r="E152" s="97">
        <v>29.56</v>
      </c>
      <c r="F152" s="97">
        <v>28.98</v>
      </c>
      <c r="G152" s="97">
        <v>28.41</v>
      </c>
      <c r="H152" s="97">
        <v>27.849999999999998</v>
      </c>
      <c r="I152" s="97">
        <v>27.304537830008822</v>
      </c>
      <c r="J152" s="97">
        <v>30.495813133539006</v>
      </c>
      <c r="K152" s="97">
        <v>21.928241712127573</v>
      </c>
      <c r="L152" s="97">
        <v>23.957110609480814</v>
      </c>
      <c r="M152" s="97">
        <v>22.173824130879343</v>
      </c>
      <c r="N152" s="97">
        <v>23.345211581291764</v>
      </c>
      <c r="O152" s="97">
        <v>23.453057513071155</v>
      </c>
      <c r="P152" s="97">
        <v>25.179903466432645</v>
      </c>
      <c r="Q152" s="97">
        <v>26.090437214199351</v>
      </c>
      <c r="R152" s="97">
        <v>27.333781061114845</v>
      </c>
      <c r="S152" s="97">
        <v>25.169337912612097</v>
      </c>
      <c r="T152" s="97">
        <v>23.119738072965387</v>
      </c>
      <c r="U152" s="97">
        <v>23.098555763554515</v>
      </c>
      <c r="V152" s="97">
        <v>10.82067694801075</v>
      </c>
      <c r="W152" s="97">
        <v>10.635633099539568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28.98</v>
      </c>
      <c r="G154" s="97">
        <v>28.409999999999997</v>
      </c>
      <c r="H154" s="97">
        <v>27.85</v>
      </c>
      <c r="I154" s="97">
        <v>27.304537830008819</v>
      </c>
      <c r="J154" s="97">
        <v>30.495813133539002</v>
      </c>
      <c r="K154" s="97">
        <v>21.928241712127569</v>
      </c>
      <c r="L154" s="97">
        <v>23.957110609480814</v>
      </c>
      <c r="M154" s="97">
        <v>22.173824130879343</v>
      </c>
      <c r="N154" s="97">
        <v>23.345211581291764</v>
      </c>
      <c r="O154" s="97">
        <v>23.453057513071155</v>
      </c>
      <c r="P154" s="97">
        <v>25.179903466432645</v>
      </c>
      <c r="Q154" s="97">
        <v>26.090437214199358</v>
      </c>
      <c r="R154" s="97">
        <v>27.333781061114845</v>
      </c>
      <c r="S154" s="97">
        <v>25.1693379126121</v>
      </c>
      <c r="T154" s="97">
        <v>23.119738072965387</v>
      </c>
      <c r="U154" s="97">
        <v>23.098555763554511</v>
      </c>
      <c r="V154" s="97">
        <v>10.82067694801075</v>
      </c>
      <c r="W154" s="97">
        <v>10.635633099539568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30.495813133539006</v>
      </c>
      <c r="K155" s="97">
        <v>21.928241712127569</v>
      </c>
      <c r="L155" s="97">
        <v>23.957110609480814</v>
      </c>
      <c r="M155" s="97">
        <v>22.173824130879339</v>
      </c>
      <c r="N155" s="97">
        <v>23.345211581291764</v>
      </c>
      <c r="O155" s="97">
        <v>23.453057513071155</v>
      </c>
      <c r="P155" s="97">
        <v>25.179903466432645</v>
      </c>
      <c r="Q155" s="97">
        <v>26.090437214199358</v>
      </c>
      <c r="R155" s="97">
        <v>27.333781061114841</v>
      </c>
      <c r="S155" s="97">
        <v>25.1693379126121</v>
      </c>
      <c r="T155" s="97">
        <v>23.119738072965387</v>
      </c>
      <c r="U155" s="97">
        <v>23.098555763554511</v>
      </c>
      <c r="V155" s="97">
        <v>10.82067694801075</v>
      </c>
      <c r="W155" s="97">
        <v>10.635633099539568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4.1174180089500858</v>
      </c>
      <c r="C156" s="32">
        <f t="shared" si="207"/>
        <v>4.3562279967666164</v>
      </c>
      <c r="D156" s="32">
        <f t="shared" si="207"/>
        <v>4.7159429992511335</v>
      </c>
      <c r="E156" s="32">
        <f t="shared" si="207"/>
        <v>4.2839229380350066</v>
      </c>
      <c r="F156" s="32">
        <f t="shared" si="207"/>
        <v>3.9783912438999929</v>
      </c>
      <c r="G156" s="32">
        <f t="shared" si="207"/>
        <v>4.2253966492737556</v>
      </c>
      <c r="H156" s="32">
        <f t="shared" si="207"/>
        <v>3.851033072455714</v>
      </c>
      <c r="I156" s="32">
        <f t="shared" si="207"/>
        <v>3.5681202502376759</v>
      </c>
      <c r="J156" s="32">
        <f t="shared" si="207"/>
        <v>3.1413744634785234</v>
      </c>
      <c r="K156" s="32">
        <f t="shared" si="207"/>
        <v>2.965476330301688</v>
      </c>
      <c r="L156" s="32">
        <f t="shared" ref="L156" si="208">IF(L19=0,0,L19/L46)</f>
        <v>3.0577408721470269</v>
      </c>
      <c r="M156" s="32">
        <f t="shared" ref="M156:V156" si="209">IF(M19=0,0,M19/M46)</f>
        <v>3.0673007454111065</v>
      </c>
      <c r="N156" s="32">
        <f t="shared" si="209"/>
        <v>2.8578802498661533</v>
      </c>
      <c r="O156" s="32">
        <f t="shared" si="209"/>
        <v>3.2470701319952893</v>
      </c>
      <c r="P156" s="32">
        <f t="shared" si="209"/>
        <v>3.0378302857121309</v>
      </c>
      <c r="Q156" s="32">
        <f t="shared" si="209"/>
        <v>2.9536505832438484</v>
      </c>
      <c r="R156" s="32">
        <f t="shared" si="209"/>
        <v>2.9778404086514767</v>
      </c>
      <c r="S156" s="32">
        <f t="shared" si="209"/>
        <v>3.4767086988106706</v>
      </c>
      <c r="T156" s="32">
        <f t="shared" si="209"/>
        <v>3.3320912980215858</v>
      </c>
      <c r="U156" s="32">
        <f t="shared" si="209"/>
        <v>2.8646498127362414</v>
      </c>
      <c r="V156" s="32">
        <f t="shared" si="209"/>
        <v>3.4012037169926699</v>
      </c>
      <c r="W156" s="32">
        <f t="shared" ref="W156" si="210">IF(W19=0,0,W19/W46)</f>
        <v>3.8995007168517346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0.32746465747189385</v>
      </c>
      <c r="C157" s="141">
        <f t="shared" si="211"/>
        <v>0.32379974993331162</v>
      </c>
      <c r="D157" s="141">
        <f t="shared" si="211"/>
        <v>0.32107910805131035</v>
      </c>
      <c r="E157" s="141">
        <f t="shared" si="211"/>
        <v>0.31961953633812401</v>
      </c>
      <c r="F157" s="141">
        <f t="shared" si="211"/>
        <v>0.32012434105804988</v>
      </c>
      <c r="G157" s="141">
        <f t="shared" si="211"/>
        <v>0.3231815082697036</v>
      </c>
      <c r="H157" s="141">
        <f t="shared" si="211"/>
        <v>0.32889730396933631</v>
      </c>
      <c r="I157" s="141">
        <f t="shared" si="211"/>
        <v>0.33323244422340653</v>
      </c>
      <c r="J157" s="141">
        <f t="shared" si="211"/>
        <v>0.33379895081233163</v>
      </c>
      <c r="K157" s="141">
        <f t="shared" si="211"/>
        <v>0.3377533991979505</v>
      </c>
      <c r="L157" s="141">
        <f t="shared" ref="L157" si="212">IF(L20=0,0,L20/L47)</f>
        <v>0.33914511331579861</v>
      </c>
      <c r="M157" s="141">
        <f t="shared" ref="M157:V157" si="213">IF(M20=0,0,M20/M47)</f>
        <v>0.33822563175907583</v>
      </c>
      <c r="N157" s="141">
        <f t="shared" si="213"/>
        <v>0.33582372794919974</v>
      </c>
      <c r="O157" s="141">
        <f t="shared" si="213"/>
        <v>0.33598953707292278</v>
      </c>
      <c r="P157" s="141">
        <f t="shared" si="213"/>
        <v>0.3335697250462048</v>
      </c>
      <c r="Q157" s="141">
        <f t="shared" si="213"/>
        <v>0.3300591167853808</v>
      </c>
      <c r="R157" s="141">
        <f t="shared" si="213"/>
        <v>0.3282603298594246</v>
      </c>
      <c r="S157" s="141">
        <f t="shared" si="213"/>
        <v>0.32457012826796888</v>
      </c>
      <c r="T157" s="141">
        <f t="shared" si="213"/>
        <v>0.32086409830146168</v>
      </c>
      <c r="U157" s="141">
        <f t="shared" si="213"/>
        <v>0.31710810915719223</v>
      </c>
      <c r="V157" s="141">
        <f t="shared" si="213"/>
        <v>0.31373255155823981</v>
      </c>
      <c r="W157" s="141">
        <f t="shared" ref="W157" si="214">IF(W20=0,0,W20/W47)</f>
        <v>0.30995322884712284</v>
      </c>
      <c r="DA157" s="174" t="s">
        <v>567</v>
      </c>
    </row>
    <row r="158" spans="1:105" ht="11.45" customHeight="1" x14ac:dyDescent="0.25">
      <c r="A158" s="111" t="s">
        <v>110</v>
      </c>
      <c r="B158" s="96">
        <v>0.24559756948425426</v>
      </c>
      <c r="C158" s="96">
        <v>0.24419024295556205</v>
      </c>
      <c r="D158" s="96">
        <v>0.24266901849627776</v>
      </c>
      <c r="E158" s="96">
        <v>0.24099328685381075</v>
      </c>
      <c r="F158" s="96">
        <v>0.23914622666557087</v>
      </c>
      <c r="G158" s="96">
        <v>0.24069510010246639</v>
      </c>
      <c r="H158" s="96">
        <v>0.24187024261768253</v>
      </c>
      <c r="I158" s="96">
        <v>0.24253745653666323</v>
      </c>
      <c r="J158" s="96">
        <v>0.24106967984598468</v>
      </c>
      <c r="K158" s="96">
        <v>0.24248448404420173</v>
      </c>
      <c r="L158" s="96">
        <v>0.24190245313076658</v>
      </c>
      <c r="M158" s="96">
        <v>0.24072822285530202</v>
      </c>
      <c r="N158" s="96">
        <v>0.23915579318495331</v>
      </c>
      <c r="O158" s="96">
        <v>0.23861900514881382</v>
      </c>
      <c r="P158" s="96">
        <v>0.2370819504257127</v>
      </c>
      <c r="Q158" s="96">
        <v>0.23538871794871799</v>
      </c>
      <c r="R158" s="96">
        <v>0.2339934776762807</v>
      </c>
      <c r="S158" s="96">
        <v>0.23297767935179345</v>
      </c>
      <c r="T158" s="96">
        <v>0.23160798881229031</v>
      </c>
      <c r="U158" s="96">
        <v>0.23030228663970959</v>
      </c>
      <c r="V158" s="96">
        <v>0.22904880845050385</v>
      </c>
      <c r="W158" s="96">
        <v>0.22780804108881944</v>
      </c>
      <c r="DA158" s="171" t="s">
        <v>568</v>
      </c>
    </row>
    <row r="159" spans="1:105" ht="11.45" customHeight="1" x14ac:dyDescent="0.25">
      <c r="A159" s="111" t="s">
        <v>111</v>
      </c>
      <c r="B159" s="96">
        <v>0.34738650958159445</v>
      </c>
      <c r="C159" s="96">
        <v>0.34470233900112063</v>
      </c>
      <c r="D159" s="96">
        <v>0.34186709050995229</v>
      </c>
      <c r="E159" s="96">
        <v>0.3388246092852284</v>
      </c>
      <c r="F159" s="96">
        <v>0.3368975159387439</v>
      </c>
      <c r="G159" s="96">
        <v>0.33975495564906877</v>
      </c>
      <c r="H159" s="96">
        <v>0.34209384922925218</v>
      </c>
      <c r="I159" s="96">
        <v>0.34372088324577688</v>
      </c>
      <c r="J159" s="96">
        <v>0.34232133418395966</v>
      </c>
      <c r="K159" s="96">
        <v>0.34501629267537992</v>
      </c>
      <c r="L159" s="96">
        <v>0.34487379581825728</v>
      </c>
      <c r="M159" s="96">
        <v>0.34388339763609133</v>
      </c>
      <c r="N159" s="96">
        <v>0.34095113746418027</v>
      </c>
      <c r="O159" s="96">
        <v>0.34086353502682598</v>
      </c>
      <c r="P159" s="96">
        <v>0.3379878148110641</v>
      </c>
      <c r="Q159" s="96">
        <v>0.33490006690673801</v>
      </c>
      <c r="R159" s="96">
        <v>0.33358483873545131</v>
      </c>
      <c r="S159" s="96">
        <v>0.3314763836648067</v>
      </c>
      <c r="T159" s="96">
        <v>0.32887248333827135</v>
      </c>
      <c r="U159" s="96">
        <v>0.32636830625848323</v>
      </c>
      <c r="V159" s="96">
        <v>0.32394664740334667</v>
      </c>
      <c r="W159" s="96">
        <v>0.32155126886407481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0.29890976685905707</v>
      </c>
      <c r="O162" s="96">
        <v>0.29883782576202572</v>
      </c>
      <c r="P162" s="96">
        <v>0.29874587852266615</v>
      </c>
      <c r="Q162" s="96">
        <v>0.29864392586190341</v>
      </c>
      <c r="R162" s="96">
        <v>0.29872848285530063</v>
      </c>
      <c r="S162" s="96">
        <v>0.29879037712485418</v>
      </c>
      <c r="T162" s="96">
        <v>0.29887428373693536</v>
      </c>
      <c r="U162" s="96">
        <v>0.29895475584340686</v>
      </c>
      <c r="V162" s="96">
        <v>0.30012244516812964</v>
      </c>
      <c r="W162" s="96">
        <v>0.29910981670309961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11.905039070025289</v>
      </c>
      <c r="C163" s="130">
        <f t="shared" si="215"/>
        <v>11.673711439604215</v>
      </c>
      <c r="D163" s="130">
        <f t="shared" si="215"/>
        <v>12.696788936458773</v>
      </c>
      <c r="E163" s="130">
        <f t="shared" si="215"/>
        <v>10.154554980171262</v>
      </c>
      <c r="F163" s="130">
        <f t="shared" si="215"/>
        <v>9.4897367648949906</v>
      </c>
      <c r="G163" s="130">
        <f t="shared" si="215"/>
        <v>9.3659918660253485</v>
      </c>
      <c r="H163" s="130">
        <f t="shared" si="215"/>
        <v>8.6828911840283034</v>
      </c>
      <c r="I163" s="130">
        <f t="shared" si="215"/>
        <v>8.8447960741085137</v>
      </c>
      <c r="J163" s="130">
        <f t="shared" si="215"/>
        <v>7.8388964702329922</v>
      </c>
      <c r="K163" s="130">
        <f t="shared" si="215"/>
        <v>7.967847786181661</v>
      </c>
      <c r="L163" s="130">
        <f t="shared" ref="L163" si="216">IF(L26=0,0,L26/L53)</f>
        <v>8.3227414692157282</v>
      </c>
      <c r="M163" s="130">
        <f t="shared" ref="M163:V163" si="217">IF(M26=0,0,M26/M53)</f>
        <v>8.6851530686170335</v>
      </c>
      <c r="N163" s="130">
        <f t="shared" si="217"/>
        <v>8.5519708693721821</v>
      </c>
      <c r="O163" s="130">
        <f t="shared" si="217"/>
        <v>9.3330978945480219</v>
      </c>
      <c r="P163" s="130">
        <f t="shared" si="217"/>
        <v>9.3284459930093906</v>
      </c>
      <c r="Q163" s="130">
        <f t="shared" si="217"/>
        <v>9.2303936729546638</v>
      </c>
      <c r="R163" s="130">
        <f t="shared" si="217"/>
        <v>9.3950689075693568</v>
      </c>
      <c r="S163" s="130">
        <f t="shared" si="217"/>
        <v>9.8904985135681898</v>
      </c>
      <c r="T163" s="130">
        <f t="shared" si="217"/>
        <v>10.196582772868142</v>
      </c>
      <c r="U163" s="130">
        <f t="shared" si="217"/>
        <v>10.078565073852653</v>
      </c>
      <c r="V163" s="130">
        <f t="shared" si="217"/>
        <v>10.023872225382345</v>
      </c>
      <c r="W163" s="130">
        <f t="shared" ref="W163" si="218">IF(W26=0,0,W26/W53)</f>
        <v>10.029216053757077</v>
      </c>
      <c r="DA163" s="176" t="s">
        <v>573</v>
      </c>
    </row>
    <row r="164" spans="1:105" ht="11.45" customHeight="1" x14ac:dyDescent="0.25">
      <c r="A164" s="128" t="s">
        <v>27</v>
      </c>
      <c r="B164" s="97">
        <v>9.66390059573469</v>
      </c>
      <c r="C164" s="97">
        <v>9.328989989601606</v>
      </c>
      <c r="D164" s="97">
        <v>11.116432436158917</v>
      </c>
      <c r="E164" s="97">
        <v>7.745554022854531</v>
      </c>
      <c r="F164" s="97">
        <v>6.7702605408849879</v>
      </c>
      <c r="G164" s="97">
        <v>6.7326344353648198</v>
      </c>
      <c r="H164" s="97">
        <v>6.4726867335562988</v>
      </c>
      <c r="I164" s="97">
        <v>6.8648018648018647</v>
      </c>
      <c r="J164" s="97">
        <v>6.7443181818181817</v>
      </c>
      <c r="K164" s="97">
        <v>6.8543478260869568</v>
      </c>
      <c r="L164" s="97">
        <v>7.0103092783505154</v>
      </c>
      <c r="M164" s="97">
        <v>7.2989921612541995</v>
      </c>
      <c r="N164" s="97">
        <v>7.2087155963302756</v>
      </c>
      <c r="O164" s="97">
        <v>7.9294377067254684</v>
      </c>
      <c r="P164" s="97">
        <v>7.9372093023255816</v>
      </c>
      <c r="Q164" s="97">
        <v>7.7535135135135134</v>
      </c>
      <c r="R164" s="97">
        <v>8.0219058050383349</v>
      </c>
      <c r="S164" s="97">
        <v>8.7387198321091297</v>
      </c>
      <c r="T164" s="97">
        <v>9.077464788732394</v>
      </c>
      <c r="U164" s="97">
        <v>8.7714723926380369</v>
      </c>
      <c r="V164" s="97">
        <v>8.8319427890345654</v>
      </c>
      <c r="W164" s="97">
        <v>8.8432908912830559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14.245058387803747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6927.2794218368163</v>
      </c>
      <c r="C167" s="54">
        <f t="shared" si="219"/>
        <v>6810.0649403352563</v>
      </c>
      <c r="D167" s="54">
        <f t="shared" si="219"/>
        <v>7179.1062297679291</v>
      </c>
      <c r="E167" s="54">
        <f t="shared" si="219"/>
        <v>7365.1104278769626</v>
      </c>
      <c r="F167" s="54">
        <f t="shared" si="219"/>
        <v>7706.74375920273</v>
      </c>
      <c r="G167" s="54">
        <f t="shared" si="219"/>
        <v>8094.2497373392989</v>
      </c>
      <c r="H167" s="54">
        <f t="shared" si="219"/>
        <v>8660.3552848727777</v>
      </c>
      <c r="I167" s="54">
        <f t="shared" si="219"/>
        <v>8140.608793591211</v>
      </c>
      <c r="J167" s="54">
        <f t="shared" si="219"/>
        <v>8485.0660352647774</v>
      </c>
      <c r="K167" s="54">
        <f t="shared" si="219"/>
        <v>8700.2630437361458</v>
      </c>
      <c r="L167" s="54">
        <f t="shared" si="219"/>
        <v>8491.0416705407042</v>
      </c>
      <c r="M167" s="54">
        <f>IF(M30=0,0,M30*1000000/M57)</f>
        <v>8374.9453727238833</v>
      </c>
      <c r="N167" s="54">
        <f t="shared" ref="N167:V167" si="220">IF(N30=0,0,N30*1000000/N57)</f>
        <v>8718.1572216525528</v>
      </c>
      <c r="O167" s="54">
        <f t="shared" si="220"/>
        <v>8726.5365554980872</v>
      </c>
      <c r="P167" s="54">
        <f t="shared" si="220"/>
        <v>8896.726279115037</v>
      </c>
      <c r="Q167" s="54">
        <f t="shared" si="220"/>
        <v>9733.858258748427</v>
      </c>
      <c r="R167" s="54">
        <f t="shared" si="220"/>
        <v>9807.0018019876734</v>
      </c>
      <c r="S167" s="54">
        <f t="shared" si="220"/>
        <v>9914.3957164788026</v>
      </c>
      <c r="T167" s="54">
        <f t="shared" si="220"/>
        <v>9836.5268793428986</v>
      </c>
      <c r="U167" s="54">
        <f t="shared" si="220"/>
        <v>10046.20473724946</v>
      </c>
      <c r="V167" s="54">
        <f t="shared" si="220"/>
        <v>9793.9018791246654</v>
      </c>
      <c r="W167" s="54">
        <f t="shared" ref="W167:W191" si="221">IF(W30=0,0,W30*1000000/W57)</f>
        <v>10725.554495739019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6550.8046284127713</v>
      </c>
      <c r="C168" s="28">
        <f t="shared" si="219"/>
        <v>6410.2657899124815</v>
      </c>
      <c r="D168" s="28">
        <f t="shared" si="219"/>
        <v>6801.6983822877837</v>
      </c>
      <c r="E168" s="28">
        <f t="shared" si="219"/>
        <v>6912.8432262125107</v>
      </c>
      <c r="F168" s="28">
        <f t="shared" si="219"/>
        <v>7215.4257185858869</v>
      </c>
      <c r="G168" s="28">
        <f t="shared" si="219"/>
        <v>7653.2432819792066</v>
      </c>
      <c r="H168" s="28">
        <f t="shared" si="219"/>
        <v>8248.6783963628586</v>
      </c>
      <c r="I168" s="28">
        <f t="shared" si="219"/>
        <v>7727.147151157963</v>
      </c>
      <c r="J168" s="28">
        <f t="shared" si="219"/>
        <v>8073.0141577682907</v>
      </c>
      <c r="K168" s="28">
        <f t="shared" si="219"/>
        <v>8369.599225828506</v>
      </c>
      <c r="L168" s="28">
        <f t="shared" si="219"/>
        <v>8152.189023926976</v>
      </c>
      <c r="M168" s="28">
        <f t="shared" ref="M168:M192" si="222">IF(M31=0,0,M31*1000000/M58)</f>
        <v>7996.1205844063206</v>
      </c>
      <c r="N168" s="28">
        <f t="shared" si="219"/>
        <v>8348.9213350937825</v>
      </c>
      <c r="O168" s="28">
        <f t="shared" si="219"/>
        <v>8335.8392154013836</v>
      </c>
      <c r="P168" s="28">
        <f t="shared" si="219"/>
        <v>8509.2305039474268</v>
      </c>
      <c r="Q168" s="28">
        <f t="shared" si="219"/>
        <v>9351.5468439657252</v>
      </c>
      <c r="R168" s="28">
        <f t="shared" si="219"/>
        <v>9439.7194135507052</v>
      </c>
      <c r="S168" s="28">
        <f t="shared" si="219"/>
        <v>9558.791602116642</v>
      </c>
      <c r="T168" s="28">
        <f t="shared" si="219"/>
        <v>9530.0670418199297</v>
      </c>
      <c r="U168" s="28">
        <f t="shared" si="219"/>
        <v>9837.3278144251981</v>
      </c>
      <c r="V168" s="28">
        <f t="shared" si="219"/>
        <v>9483.449143111653</v>
      </c>
      <c r="W168" s="28">
        <f t="shared" si="221"/>
        <v>10417.521408313536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3837.1599956933346</v>
      </c>
      <c r="C169" s="137">
        <f t="shared" si="219"/>
        <v>3881.8002802520909</v>
      </c>
      <c r="D169" s="137">
        <f t="shared" si="219"/>
        <v>3893.2985975045526</v>
      </c>
      <c r="E169" s="137">
        <f t="shared" si="219"/>
        <v>3806.4391959055442</v>
      </c>
      <c r="F169" s="137">
        <f t="shared" si="219"/>
        <v>4062.2190528456945</v>
      </c>
      <c r="G169" s="137">
        <f t="shared" si="219"/>
        <v>4343.7751588500969</v>
      </c>
      <c r="H169" s="137">
        <f t="shared" si="219"/>
        <v>4449.5761461964703</v>
      </c>
      <c r="I169" s="137">
        <f t="shared" si="219"/>
        <v>3981.5938411469533</v>
      </c>
      <c r="J169" s="137">
        <f t="shared" si="219"/>
        <v>3826.352671862674</v>
      </c>
      <c r="K169" s="137">
        <f t="shared" si="219"/>
        <v>3711.4986095617828</v>
      </c>
      <c r="L169" s="137">
        <f t="shared" si="219"/>
        <v>3796.8920989169205</v>
      </c>
      <c r="M169" s="137">
        <f t="shared" si="222"/>
        <v>3830.8346210014529</v>
      </c>
      <c r="N169" s="137">
        <f t="shared" si="219"/>
        <v>3936.3129539020624</v>
      </c>
      <c r="O169" s="137">
        <f t="shared" si="219"/>
        <v>3959.8512178718624</v>
      </c>
      <c r="P169" s="137">
        <f t="shared" si="219"/>
        <v>3989.0634467368595</v>
      </c>
      <c r="Q169" s="137">
        <f t="shared" si="219"/>
        <v>4091.4770801902746</v>
      </c>
      <c r="R169" s="137">
        <f t="shared" si="219"/>
        <v>4171.6910448607932</v>
      </c>
      <c r="S169" s="137">
        <f t="shared" si="219"/>
        <v>3778.2308433603212</v>
      </c>
      <c r="T169" s="137">
        <f t="shared" si="219"/>
        <v>3463.2162038743663</v>
      </c>
      <c r="U169" s="137">
        <f t="shared" si="219"/>
        <v>3537.389927096116</v>
      </c>
      <c r="V169" s="137">
        <f t="shared" si="219"/>
        <v>3072.1253944418636</v>
      </c>
      <c r="W169" s="137">
        <f t="shared" si="221"/>
        <v>3101.7796472106411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6452.7374166352847</v>
      </c>
      <c r="C170" s="110">
        <f t="shared" si="219"/>
        <v>6302.3073776431565</v>
      </c>
      <c r="D170" s="110">
        <f t="shared" si="219"/>
        <v>6686.6919826727299</v>
      </c>
      <c r="E170" s="110">
        <f t="shared" si="219"/>
        <v>6845.6911429722659</v>
      </c>
      <c r="F170" s="110">
        <f t="shared" si="219"/>
        <v>7167.7986389393318</v>
      </c>
      <c r="G170" s="110">
        <f t="shared" si="219"/>
        <v>7605.4464221311282</v>
      </c>
      <c r="H170" s="110">
        <f t="shared" si="219"/>
        <v>8225.0198221743194</v>
      </c>
      <c r="I170" s="110">
        <f t="shared" si="219"/>
        <v>7709.7699925939178</v>
      </c>
      <c r="J170" s="110">
        <f t="shared" si="219"/>
        <v>8111.314729090238</v>
      </c>
      <c r="K170" s="110">
        <f t="shared" si="219"/>
        <v>8437.3425053058618</v>
      </c>
      <c r="L170" s="110">
        <f t="shared" si="219"/>
        <v>8229.604746743842</v>
      </c>
      <c r="M170" s="110">
        <f t="shared" si="222"/>
        <v>8056.7076685474831</v>
      </c>
      <c r="N170" s="110">
        <f t="shared" si="219"/>
        <v>8446.6403949790583</v>
      </c>
      <c r="O170" s="110">
        <f t="shared" si="219"/>
        <v>8445.69645753232</v>
      </c>
      <c r="P170" s="110">
        <f t="shared" si="219"/>
        <v>8629.873416029588</v>
      </c>
      <c r="Q170" s="110">
        <f t="shared" si="219"/>
        <v>9517.7473790607964</v>
      </c>
      <c r="R170" s="110">
        <f t="shared" si="219"/>
        <v>9627.1107598336657</v>
      </c>
      <c r="S170" s="110">
        <f t="shared" si="219"/>
        <v>9797.9844127734486</v>
      </c>
      <c r="T170" s="110">
        <f t="shared" si="219"/>
        <v>9795.6739447566306</v>
      </c>
      <c r="U170" s="110">
        <f t="shared" si="219"/>
        <v>10122.10821807</v>
      </c>
      <c r="V170" s="110">
        <f t="shared" si="219"/>
        <v>9790.6050485819742</v>
      </c>
      <c r="W170" s="110">
        <f t="shared" si="221"/>
        <v>10801.685593541437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5090.7306169756903</v>
      </c>
      <c r="C171" s="84">
        <f t="shared" si="219"/>
        <v>4463.1724579969396</v>
      </c>
      <c r="D171" s="84">
        <f t="shared" si="219"/>
        <v>4783.6267988778327</v>
      </c>
      <c r="E171" s="84">
        <f t="shared" si="219"/>
        <v>4591.4852751495655</v>
      </c>
      <c r="F171" s="84">
        <f t="shared" si="219"/>
        <v>4225.4714461989442</v>
      </c>
      <c r="G171" s="84">
        <f t="shared" si="219"/>
        <v>4062.2961639725418</v>
      </c>
      <c r="H171" s="84">
        <f t="shared" si="219"/>
        <v>4676.8577449465092</v>
      </c>
      <c r="I171" s="84">
        <f t="shared" si="219"/>
        <v>4514.4416501019941</v>
      </c>
      <c r="J171" s="84">
        <f t="shared" si="219"/>
        <v>4535.1198602214145</v>
      </c>
      <c r="K171" s="84">
        <f t="shared" si="219"/>
        <v>4979.0818449523294</v>
      </c>
      <c r="L171" s="84">
        <f t="shared" si="219"/>
        <v>4599.0450592526959</v>
      </c>
      <c r="M171" s="84">
        <f t="shared" si="222"/>
        <v>4561.395463357665</v>
      </c>
      <c r="N171" s="84">
        <f t="shared" si="219"/>
        <v>4366.6002010474149</v>
      </c>
      <c r="O171" s="84">
        <f t="shared" si="219"/>
        <v>4255.2668776809815</v>
      </c>
      <c r="P171" s="84">
        <f t="shared" si="219"/>
        <v>4353.0210514911278</v>
      </c>
      <c r="Q171" s="84">
        <f t="shared" si="219"/>
        <v>4592.1032672659712</v>
      </c>
      <c r="R171" s="84">
        <f t="shared" si="219"/>
        <v>4546.9862991480386</v>
      </c>
      <c r="S171" s="84">
        <f t="shared" si="219"/>
        <v>4763.117108243342</v>
      </c>
      <c r="T171" s="84">
        <f t="shared" si="219"/>
        <v>4647.1499287799234</v>
      </c>
      <c r="U171" s="84">
        <f t="shared" si="219"/>
        <v>4761.3649550182627</v>
      </c>
      <c r="V171" s="84">
        <f t="shared" si="219"/>
        <v>4713.4384324727398</v>
      </c>
      <c r="W171" s="84">
        <f t="shared" si="221"/>
        <v>5227.8813958279443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12906.833572732789</v>
      </c>
      <c r="C172" s="84">
        <f t="shared" si="219"/>
        <v>15500.67442140606</v>
      </c>
      <c r="D172" s="84">
        <f t="shared" si="219"/>
        <v>14442.708185545836</v>
      </c>
      <c r="E172" s="84">
        <f t="shared" si="219"/>
        <v>13788.329090359022</v>
      </c>
      <c r="F172" s="84">
        <f t="shared" si="219"/>
        <v>15022.873715270804</v>
      </c>
      <c r="G172" s="84">
        <f t="shared" si="219"/>
        <v>17371.671476421718</v>
      </c>
      <c r="H172" s="84">
        <f t="shared" si="219"/>
        <v>15823.138434483924</v>
      </c>
      <c r="I172" s="84">
        <f t="shared" si="219"/>
        <v>13855.899203248709</v>
      </c>
      <c r="J172" s="84">
        <f t="shared" si="219"/>
        <v>14501.120878186866</v>
      </c>
      <c r="K172" s="84">
        <f t="shared" si="219"/>
        <v>13716.793307339825</v>
      </c>
      <c r="L172" s="84">
        <f t="shared" si="219"/>
        <v>14172.505594423748</v>
      </c>
      <c r="M172" s="84">
        <f t="shared" si="222"/>
        <v>12506.426733526589</v>
      </c>
      <c r="N172" s="84">
        <f t="shared" si="219"/>
        <v>13622.678513497198</v>
      </c>
      <c r="O172" s="84">
        <f t="shared" si="219"/>
        <v>13769.894403414413</v>
      </c>
      <c r="P172" s="84">
        <f t="shared" si="219"/>
        <v>14101.566082014459</v>
      </c>
      <c r="Q172" s="84">
        <f t="shared" si="219"/>
        <v>15799.83977243656</v>
      </c>
      <c r="R172" s="84">
        <f t="shared" si="219"/>
        <v>15970.799544678162</v>
      </c>
      <c r="S172" s="84">
        <f t="shared" si="219"/>
        <v>16056.309324824562</v>
      </c>
      <c r="T172" s="84">
        <f t="shared" si="219"/>
        <v>15844.746420130663</v>
      </c>
      <c r="U172" s="84">
        <f t="shared" si="219"/>
        <v>16225.015204872747</v>
      </c>
      <c r="V172" s="84">
        <f t="shared" si="219"/>
        <v>15340.222675430754</v>
      </c>
      <c r="W172" s="84">
        <f t="shared" si="221"/>
        <v>16755.634281012579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9867.2743637726289</v>
      </c>
      <c r="C173" s="84">
        <f t="shared" si="219"/>
        <v>9345.5173288985261</v>
      </c>
      <c r="D173" s="84">
        <f t="shared" si="219"/>
        <v>9655.2482954725292</v>
      </c>
      <c r="E173" s="84">
        <f t="shared" si="219"/>
        <v>9608.2103862319273</v>
      </c>
      <c r="F173" s="84">
        <f t="shared" si="219"/>
        <v>9789.7634783838257</v>
      </c>
      <c r="G173" s="84">
        <f t="shared" si="219"/>
        <v>10114.882337589186</v>
      </c>
      <c r="H173" s="84">
        <f t="shared" si="219"/>
        <v>10661.94565628726</v>
      </c>
      <c r="I173" s="84">
        <f t="shared" si="219"/>
        <v>9671.6134800763866</v>
      </c>
      <c r="J173" s="84">
        <f t="shared" si="219"/>
        <v>10069.440793807533</v>
      </c>
      <c r="K173" s="84">
        <f t="shared" si="219"/>
        <v>10819.414669058095</v>
      </c>
      <c r="L173" s="84">
        <f t="shared" si="219"/>
        <v>10232.894682487475</v>
      </c>
      <c r="M173" s="84">
        <f t="shared" si="222"/>
        <v>9759.9080537241643</v>
      </c>
      <c r="N173" s="84">
        <f t="shared" si="219"/>
        <v>9957.7419384615459</v>
      </c>
      <c r="O173" s="84">
        <f t="shared" si="219"/>
        <v>9656.4465362379196</v>
      </c>
      <c r="P173" s="84">
        <f t="shared" si="219"/>
        <v>9600.0324714366216</v>
      </c>
      <c r="Q173" s="84">
        <f t="shared" si="219"/>
        <v>10329.756613567022</v>
      </c>
      <c r="R173" s="84">
        <f t="shared" si="219"/>
        <v>10334.981973906932</v>
      </c>
      <c r="S173" s="84">
        <f t="shared" si="219"/>
        <v>10284.293197672458</v>
      </c>
      <c r="T173" s="84">
        <f t="shared" si="219"/>
        <v>10045.225143109958</v>
      </c>
      <c r="U173" s="84">
        <f t="shared" si="219"/>
        <v>10181.344975320555</v>
      </c>
      <c r="V173" s="84">
        <f t="shared" si="219"/>
        <v>9715.8545218822728</v>
      </c>
      <c r="W173" s="84">
        <f t="shared" si="221"/>
        <v>10504.028000300388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8170.2834735262477</v>
      </c>
      <c r="G174" s="84">
        <f t="shared" si="219"/>
        <v>8175.1271122959488</v>
      </c>
      <c r="H174" s="84">
        <f t="shared" si="219"/>
        <v>8181.5320592336147</v>
      </c>
      <c r="I174" s="84">
        <f t="shared" si="219"/>
        <v>8176.240945384051</v>
      </c>
      <c r="J174" s="84">
        <f t="shared" si="219"/>
        <v>8180.3932087340227</v>
      </c>
      <c r="K174" s="84">
        <f t="shared" si="219"/>
        <v>8183.6175261493945</v>
      </c>
      <c r="L174" s="84">
        <f t="shared" si="219"/>
        <v>8181.5776534830511</v>
      </c>
      <c r="M174" s="84">
        <f t="shared" si="222"/>
        <v>8179.8406441375282</v>
      </c>
      <c r="N174" s="84">
        <f t="shared" si="219"/>
        <v>8183.7075963944917</v>
      </c>
      <c r="O174" s="84">
        <f t="shared" si="219"/>
        <v>8183.5495031893497</v>
      </c>
      <c r="P174" s="84">
        <f t="shared" si="219"/>
        <v>8185.464067163849</v>
      </c>
      <c r="Q174" s="84">
        <f t="shared" si="219"/>
        <v>8193.4835926306478</v>
      </c>
      <c r="R174" s="84">
        <f t="shared" si="219"/>
        <v>8195.9002411862166</v>
      </c>
      <c r="S174" s="84">
        <f t="shared" si="219"/>
        <v>8197.8942385094488</v>
      </c>
      <c r="T174" s="84">
        <f t="shared" si="219"/>
        <v>8198.4360060432537</v>
      </c>
      <c r="U174" s="84">
        <f t="shared" si="219"/>
        <v>8201.865927481178</v>
      </c>
      <c r="V174" s="84">
        <f t="shared" si="219"/>
        <v>8199.064244034711</v>
      </c>
      <c r="W174" s="84">
        <f t="shared" si="221"/>
        <v>8207.537782294341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9249.0709590992228</v>
      </c>
      <c r="O175" s="84">
        <f t="shared" si="219"/>
        <v>8270.0277310128949</v>
      </c>
      <c r="P175" s="84">
        <f t="shared" si="219"/>
        <v>9360.0699183783363</v>
      </c>
      <c r="Q175" s="84">
        <f t="shared" si="219"/>
        <v>10482.833238900863</v>
      </c>
      <c r="R175" s="84">
        <f t="shared" si="219"/>
        <v>10704.386261338252</v>
      </c>
      <c r="S175" s="84">
        <f t="shared" si="219"/>
        <v>10981.325475401141</v>
      </c>
      <c r="T175" s="84">
        <f t="shared" si="219"/>
        <v>11057.787887503402</v>
      </c>
      <c r="U175" s="84">
        <f t="shared" si="219"/>
        <v>11554.256344000754</v>
      </c>
      <c r="V175" s="84">
        <f t="shared" si="219"/>
        <v>11147.114811818938</v>
      </c>
      <c r="W175" s="84">
        <f t="shared" si="221"/>
        <v>12424.119140311899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0</v>
      </c>
      <c r="P176" s="84">
        <f t="shared" si="219"/>
        <v>0</v>
      </c>
      <c r="Q176" s="84">
        <f t="shared" si="219"/>
        <v>0</v>
      </c>
      <c r="R176" s="84">
        <f t="shared" si="219"/>
        <v>10118.309715370317</v>
      </c>
      <c r="S176" s="84">
        <f t="shared" si="219"/>
        <v>10094.843444175169</v>
      </c>
      <c r="T176" s="84">
        <f t="shared" si="219"/>
        <v>10082.410123511057</v>
      </c>
      <c r="U176" s="84">
        <f t="shared" si="219"/>
        <v>10070.177368755136</v>
      </c>
      <c r="V176" s="84">
        <f t="shared" si="219"/>
        <v>9994.0586929266228</v>
      </c>
      <c r="W176" s="84">
        <f t="shared" si="221"/>
        <v>10023.223332712485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38733.728123323388</v>
      </c>
      <c r="C177" s="110">
        <f t="shared" si="219"/>
        <v>38723.669108408423</v>
      </c>
      <c r="D177" s="110">
        <f t="shared" si="219"/>
        <v>38427.688750427042</v>
      </c>
      <c r="E177" s="110">
        <f t="shared" si="219"/>
        <v>35177.988897826704</v>
      </c>
      <c r="F177" s="110">
        <f t="shared" si="219"/>
        <v>34241.121197642933</v>
      </c>
      <c r="G177" s="110">
        <f t="shared" si="219"/>
        <v>33749.102152575331</v>
      </c>
      <c r="H177" s="110">
        <f t="shared" si="219"/>
        <v>33784.352613412324</v>
      </c>
      <c r="I177" s="110">
        <f t="shared" si="219"/>
        <v>34556.324230302096</v>
      </c>
      <c r="J177" s="110">
        <f t="shared" si="219"/>
        <v>34251.641633330815</v>
      </c>
      <c r="K177" s="110">
        <f t="shared" si="219"/>
        <v>33823.007593499395</v>
      </c>
      <c r="L177" s="110">
        <f t="shared" si="219"/>
        <v>30642.595282562081</v>
      </c>
      <c r="M177" s="110">
        <f t="shared" si="222"/>
        <v>33376.561326871888</v>
      </c>
      <c r="N177" s="110">
        <f t="shared" si="219"/>
        <v>30360.403002231382</v>
      </c>
      <c r="O177" s="110">
        <f t="shared" si="219"/>
        <v>28828.887869454094</v>
      </c>
      <c r="P177" s="110">
        <f t="shared" si="219"/>
        <v>29591.637992598844</v>
      </c>
      <c r="Q177" s="110">
        <f t="shared" si="219"/>
        <v>30323.173143461874</v>
      </c>
      <c r="R177" s="110">
        <f t="shared" si="219"/>
        <v>29072.567523592581</v>
      </c>
      <c r="S177" s="110">
        <f t="shared" si="219"/>
        <v>29910.115565701242</v>
      </c>
      <c r="T177" s="110">
        <f t="shared" si="219"/>
        <v>31399.618152445291</v>
      </c>
      <c r="U177" s="110">
        <f t="shared" si="219"/>
        <v>34779.932248438985</v>
      </c>
      <c r="V177" s="110">
        <f t="shared" si="219"/>
        <v>32666.503760239157</v>
      </c>
      <c r="W177" s="110">
        <f t="shared" si="221"/>
        <v>32029.219019205648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38733.728123323388</v>
      </c>
      <c r="C179" s="102">
        <f t="shared" si="219"/>
        <v>38723.669108408423</v>
      </c>
      <c r="D179" s="102">
        <f t="shared" si="219"/>
        <v>38427.688750427042</v>
      </c>
      <c r="E179" s="102">
        <f t="shared" si="219"/>
        <v>35177.988897826704</v>
      </c>
      <c r="F179" s="102">
        <f t="shared" si="219"/>
        <v>34269.260025140917</v>
      </c>
      <c r="G179" s="102">
        <f t="shared" si="219"/>
        <v>33866.863272889226</v>
      </c>
      <c r="H179" s="102">
        <f t="shared" si="219"/>
        <v>34010.00998627417</v>
      </c>
      <c r="I179" s="102">
        <f t="shared" si="219"/>
        <v>34862.409998685325</v>
      </c>
      <c r="J179" s="102">
        <f t="shared" si="219"/>
        <v>34594.930335567456</v>
      </c>
      <c r="K179" s="102">
        <f t="shared" si="219"/>
        <v>34040.952049037507</v>
      </c>
      <c r="L179" s="102">
        <f t="shared" si="219"/>
        <v>30680.2786043946</v>
      </c>
      <c r="M179" s="102">
        <f t="shared" si="222"/>
        <v>33412.793187644951</v>
      </c>
      <c r="N179" s="102">
        <f t="shared" si="219"/>
        <v>30394.512532814162</v>
      </c>
      <c r="O179" s="102">
        <f t="shared" si="219"/>
        <v>28806.180334738187</v>
      </c>
      <c r="P179" s="102">
        <f t="shared" si="219"/>
        <v>29571.380957936752</v>
      </c>
      <c r="Q179" s="102">
        <f t="shared" si="219"/>
        <v>30826.188580969047</v>
      </c>
      <c r="R179" s="102">
        <f t="shared" si="219"/>
        <v>29948.048934896826</v>
      </c>
      <c r="S179" s="102">
        <f t="shared" si="219"/>
        <v>30982.729921132053</v>
      </c>
      <c r="T179" s="102">
        <f t="shared" si="219"/>
        <v>32722.334197162123</v>
      </c>
      <c r="U179" s="102">
        <f t="shared" si="219"/>
        <v>36654.457596685701</v>
      </c>
      <c r="V179" s="102">
        <f t="shared" si="219"/>
        <v>34505.502406699699</v>
      </c>
      <c r="W179" s="102">
        <f t="shared" si="221"/>
        <v>33926.657103806836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30574.631974655575</v>
      </c>
      <c r="G181" s="102">
        <f t="shared" si="223"/>
        <v>27375.906695278554</v>
      </c>
      <c r="H181" s="102">
        <f t="shared" si="223"/>
        <v>27405.930914540801</v>
      </c>
      <c r="I181" s="102">
        <f t="shared" si="223"/>
        <v>28573.221989176662</v>
      </c>
      <c r="J181" s="102">
        <f t="shared" si="223"/>
        <v>28142.633170486602</v>
      </c>
      <c r="K181" s="102">
        <f t="shared" si="223"/>
        <v>30858.839783983036</v>
      </c>
      <c r="L181" s="102">
        <f t="shared" si="223"/>
        <v>30233.273683294694</v>
      </c>
      <c r="M181" s="102">
        <f t="shared" si="222"/>
        <v>33071.738349300351</v>
      </c>
      <c r="N181" s="102">
        <f t="shared" si="223"/>
        <v>29940.99727163565</v>
      </c>
      <c r="O181" s="102">
        <f t="shared" si="223"/>
        <v>28357.153652780391</v>
      </c>
      <c r="P181" s="102">
        <f t="shared" si="223"/>
        <v>29145.452925193411</v>
      </c>
      <c r="Q181" s="102">
        <f t="shared" si="223"/>
        <v>27184.042835767235</v>
      </c>
      <c r="R181" s="102">
        <f t="shared" si="223"/>
        <v>23407.268376407075</v>
      </c>
      <c r="S181" s="102">
        <f t="shared" si="223"/>
        <v>24115.827732897851</v>
      </c>
      <c r="T181" s="102">
        <f t="shared" si="223"/>
        <v>25378.372191778762</v>
      </c>
      <c r="U181" s="102">
        <f t="shared" si="223"/>
        <v>28254.546792868325</v>
      </c>
      <c r="V181" s="102">
        <f t="shared" si="223"/>
        <v>26454.585743085445</v>
      </c>
      <c r="W181" s="102">
        <f t="shared" si="221"/>
        <v>25912.949220209524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31081.15251593927</v>
      </c>
      <c r="K182" s="102">
        <f t="shared" si="223"/>
        <v>31100.729276790778</v>
      </c>
      <c r="L182" s="102">
        <f t="shared" si="223"/>
        <v>31254.669205163307</v>
      </c>
      <c r="M182" s="102">
        <f t="shared" si="222"/>
        <v>31388.510623604066</v>
      </c>
      <c r="N182" s="102">
        <f t="shared" si="223"/>
        <v>31537.510779549706</v>
      </c>
      <c r="O182" s="102">
        <f t="shared" si="223"/>
        <v>31619.237604903228</v>
      </c>
      <c r="P182" s="102">
        <f t="shared" si="223"/>
        <v>31660.549627344884</v>
      </c>
      <c r="Q182" s="102">
        <f t="shared" si="223"/>
        <v>31699.231385427207</v>
      </c>
      <c r="R182" s="102">
        <f t="shared" si="223"/>
        <v>31632.54751549902</v>
      </c>
      <c r="S182" s="102">
        <f t="shared" si="223"/>
        <v>31587.658484170977</v>
      </c>
      <c r="T182" s="102">
        <f t="shared" si="223"/>
        <v>31510.995241906221</v>
      </c>
      <c r="U182" s="102">
        <f t="shared" si="223"/>
        <v>31350.314495501229</v>
      </c>
      <c r="V182" s="102">
        <f t="shared" si="223"/>
        <v>29910.408505928819</v>
      </c>
      <c r="W182" s="102">
        <f t="shared" si="221"/>
        <v>31221.429430318567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11810.454944815023</v>
      </c>
      <c r="C183" s="28">
        <f t="shared" si="223"/>
        <v>12480.536795272983</v>
      </c>
      <c r="D183" s="28">
        <f t="shared" si="223"/>
        <v>12748.657121153225</v>
      </c>
      <c r="E183" s="28">
        <f t="shared" si="223"/>
        <v>13774.326138556115</v>
      </c>
      <c r="F183" s="28">
        <f t="shared" si="223"/>
        <v>14099.359692285723</v>
      </c>
      <c r="G183" s="28">
        <f t="shared" si="223"/>
        <v>14091.81202389771</v>
      </c>
      <c r="H183" s="28">
        <f t="shared" si="223"/>
        <v>13739.121340888574</v>
      </c>
      <c r="I183" s="28">
        <f t="shared" si="223"/>
        <v>13099.685999408954</v>
      </c>
      <c r="J183" s="28">
        <f t="shared" si="223"/>
        <v>13278.150623611624</v>
      </c>
      <c r="K183" s="28">
        <f t="shared" si="223"/>
        <v>12486.884175556652</v>
      </c>
      <c r="L183" s="28">
        <f t="shared" si="223"/>
        <v>12548.657441278125</v>
      </c>
      <c r="M183" s="28">
        <f t="shared" si="222"/>
        <v>12678.840650829976</v>
      </c>
      <c r="N183" s="28">
        <f t="shared" si="223"/>
        <v>12973.846393878503</v>
      </c>
      <c r="O183" s="28">
        <f t="shared" si="223"/>
        <v>13333.106697850169</v>
      </c>
      <c r="P183" s="28">
        <f t="shared" si="223"/>
        <v>13571.851811964554</v>
      </c>
      <c r="Q183" s="28">
        <f t="shared" si="223"/>
        <v>14147.121404444651</v>
      </c>
      <c r="R183" s="28">
        <f t="shared" si="223"/>
        <v>14155.477308404572</v>
      </c>
      <c r="S183" s="28">
        <f t="shared" si="223"/>
        <v>14685.566063652004</v>
      </c>
      <c r="T183" s="28">
        <f t="shared" si="223"/>
        <v>13905.635538411525</v>
      </c>
      <c r="U183" s="28">
        <f t="shared" si="223"/>
        <v>12827.531740404902</v>
      </c>
      <c r="V183" s="28">
        <f t="shared" si="223"/>
        <v>14200.239629844667</v>
      </c>
      <c r="W183" s="28">
        <f t="shared" si="221"/>
        <v>15276.997718089635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9023.8846082053115</v>
      </c>
      <c r="C184" s="137">
        <f t="shared" si="223"/>
        <v>9298.0912181690437</v>
      </c>
      <c r="D184" s="137">
        <f t="shared" si="223"/>
        <v>9653.9563557589991</v>
      </c>
      <c r="E184" s="137">
        <f t="shared" si="223"/>
        <v>10135.435866384747</v>
      </c>
      <c r="F184" s="137">
        <f t="shared" si="223"/>
        <v>10591.756624569098</v>
      </c>
      <c r="G184" s="137">
        <f t="shared" si="223"/>
        <v>10200.633501460657</v>
      </c>
      <c r="H184" s="137">
        <f t="shared" si="223"/>
        <v>10057.143841950892</v>
      </c>
      <c r="I184" s="137">
        <f t="shared" si="223"/>
        <v>9976.7303226897275</v>
      </c>
      <c r="J184" s="137">
        <f t="shared" si="223"/>
        <v>10294.413092671672</v>
      </c>
      <c r="K184" s="137">
        <f t="shared" si="223"/>
        <v>9973.5871617327157</v>
      </c>
      <c r="L184" s="137">
        <f t="shared" si="223"/>
        <v>10075.287306602972</v>
      </c>
      <c r="M184" s="137">
        <f t="shared" si="222"/>
        <v>10232.972110409091</v>
      </c>
      <c r="N184" s="137">
        <f t="shared" si="223"/>
        <v>10694.24891703731</v>
      </c>
      <c r="O184" s="137">
        <f t="shared" si="223"/>
        <v>10728.845559686739</v>
      </c>
      <c r="P184" s="137">
        <f t="shared" si="223"/>
        <v>11205.722978903086</v>
      </c>
      <c r="Q184" s="137">
        <f t="shared" si="223"/>
        <v>11696.740407343243</v>
      </c>
      <c r="R184" s="137">
        <f t="shared" si="223"/>
        <v>11923.286228712972</v>
      </c>
      <c r="S184" s="137">
        <f t="shared" si="223"/>
        <v>12231.150395215</v>
      </c>
      <c r="T184" s="137">
        <f t="shared" si="223"/>
        <v>12675.713767091778</v>
      </c>
      <c r="U184" s="137">
        <f t="shared" si="223"/>
        <v>13120.113344848287</v>
      </c>
      <c r="V184" s="137">
        <f t="shared" si="223"/>
        <v>13566.331672689706</v>
      </c>
      <c r="W184" s="137">
        <f t="shared" si="221"/>
        <v>14010.808101624616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6483.3899985512653</v>
      </c>
      <c r="C185" s="84">
        <f t="shared" si="223"/>
        <v>6672.3825011597683</v>
      </c>
      <c r="D185" s="84">
        <f t="shared" si="223"/>
        <v>6884.1575603573338</v>
      </c>
      <c r="E185" s="84">
        <f t="shared" si="223"/>
        <v>7126.852075587597</v>
      </c>
      <c r="F185" s="84">
        <f t="shared" si="223"/>
        <v>7406.3597882812892</v>
      </c>
      <c r="G185" s="84">
        <f t="shared" si="223"/>
        <v>7171.1073359659376</v>
      </c>
      <c r="H185" s="84">
        <f t="shared" si="223"/>
        <v>6998.5854306498077</v>
      </c>
      <c r="I185" s="84">
        <f t="shared" si="223"/>
        <v>6902.8490312146287</v>
      </c>
      <c r="J185" s="84">
        <f t="shared" si="223"/>
        <v>7115.5670270812834</v>
      </c>
      <c r="K185" s="84">
        <f t="shared" si="223"/>
        <v>6910.392213147632</v>
      </c>
      <c r="L185" s="84">
        <f t="shared" si="223"/>
        <v>6993.927189302166</v>
      </c>
      <c r="M185" s="84">
        <f t="shared" si="222"/>
        <v>7166.1751876389417</v>
      </c>
      <c r="N185" s="84">
        <f t="shared" si="223"/>
        <v>7404.87859028616</v>
      </c>
      <c r="O185" s="84">
        <f t="shared" si="223"/>
        <v>7488.5427947752059</v>
      </c>
      <c r="P185" s="84">
        <f t="shared" si="223"/>
        <v>7734.460260013645</v>
      </c>
      <c r="Q185" s="84">
        <f t="shared" si="223"/>
        <v>8016.6745303211828</v>
      </c>
      <c r="R185" s="84">
        <f t="shared" si="223"/>
        <v>8258.5482256282903</v>
      </c>
      <c r="S185" s="84">
        <f t="shared" si="223"/>
        <v>8440.1641748367056</v>
      </c>
      <c r="T185" s="84">
        <f t="shared" si="223"/>
        <v>8692.7020244843116</v>
      </c>
      <c r="U185" s="84">
        <f t="shared" si="223"/>
        <v>8941.929044864115</v>
      </c>
      <c r="V185" s="84">
        <f t="shared" si="223"/>
        <v>9189.2969381568964</v>
      </c>
      <c r="W185" s="84">
        <f t="shared" si="221"/>
        <v>9442.2875403727066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9975.0392054103286</v>
      </c>
      <c r="C186" s="84">
        <f t="shared" si="223"/>
        <v>10369.509282225477</v>
      </c>
      <c r="D186" s="84">
        <f t="shared" si="223"/>
        <v>10806.694566309867</v>
      </c>
      <c r="E186" s="84">
        <f t="shared" si="223"/>
        <v>11300.681255636509</v>
      </c>
      <c r="F186" s="84">
        <f t="shared" si="223"/>
        <v>11627.606138531079</v>
      </c>
      <c r="G186" s="84">
        <f t="shared" si="223"/>
        <v>11146.803780380775</v>
      </c>
      <c r="H186" s="84">
        <f t="shared" si="223"/>
        <v>10770.92564342629</v>
      </c>
      <c r="I186" s="84">
        <f t="shared" si="223"/>
        <v>10518.401901278918</v>
      </c>
      <c r="J186" s="84">
        <f t="shared" si="223"/>
        <v>10735.18482148251</v>
      </c>
      <c r="K186" s="84">
        <f t="shared" si="223"/>
        <v>10322.415476585196</v>
      </c>
      <c r="L186" s="84">
        <f t="shared" si="223"/>
        <v>10343.758469331919</v>
      </c>
      <c r="M186" s="84">
        <f t="shared" si="222"/>
        <v>10493.571147905699</v>
      </c>
      <c r="N186" s="84">
        <f t="shared" si="223"/>
        <v>10952.635586970247</v>
      </c>
      <c r="O186" s="84">
        <f t="shared" si="223"/>
        <v>10966.717041501543</v>
      </c>
      <c r="P186" s="84">
        <f t="shared" si="223"/>
        <v>11441.26750716105</v>
      </c>
      <c r="Q186" s="84">
        <f t="shared" si="223"/>
        <v>11978.520623551827</v>
      </c>
      <c r="R186" s="84">
        <f t="shared" si="223"/>
        <v>12216.529181576892</v>
      </c>
      <c r="S186" s="84">
        <f t="shared" si="223"/>
        <v>12610.038013147478</v>
      </c>
      <c r="T186" s="84">
        <f t="shared" si="223"/>
        <v>13117.215933481566</v>
      </c>
      <c r="U186" s="84">
        <f t="shared" si="223"/>
        <v>13628.230434116904</v>
      </c>
      <c r="V186" s="84">
        <f t="shared" si="223"/>
        <v>14145.291706981612</v>
      </c>
      <c r="W186" s="84">
        <f t="shared" si="221"/>
        <v>14680.073096345544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8851.5054376843073</v>
      </c>
      <c r="S187" s="84">
        <f t="shared" si="223"/>
        <v>8865.238042631292</v>
      </c>
      <c r="T187" s="84">
        <f t="shared" si="223"/>
        <v>8947.8846219911557</v>
      </c>
      <c r="U187" s="84">
        <f t="shared" si="223"/>
        <v>9020.3393815627587</v>
      </c>
      <c r="V187" s="84">
        <f t="shared" si="223"/>
        <v>9084.478876018924</v>
      </c>
      <c r="W187" s="84">
        <f t="shared" si="221"/>
        <v>9147.8920567601981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8941.8269217423094</v>
      </c>
      <c r="S188" s="84">
        <f t="shared" si="223"/>
        <v>9047.0843456715211</v>
      </c>
      <c r="T188" s="84">
        <f t="shared" si="223"/>
        <v>9224.6040136692591</v>
      </c>
      <c r="U188" s="84">
        <f t="shared" si="223"/>
        <v>9394.1902968279574</v>
      </c>
      <c r="V188" s="84">
        <f t="shared" si="223"/>
        <v>9557.5287682337057</v>
      </c>
      <c r="W188" s="84">
        <f t="shared" si="221"/>
        <v>9722.4505920597458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7320.0561273462909</v>
      </c>
      <c r="O189" s="84">
        <f t="shared" si="223"/>
        <v>7328.8713848768111</v>
      </c>
      <c r="P189" s="84">
        <f t="shared" si="223"/>
        <v>7340.1566355073028</v>
      </c>
      <c r="Q189" s="84">
        <f t="shared" si="223"/>
        <v>7352.6943025991677</v>
      </c>
      <c r="R189" s="84">
        <f t="shared" si="223"/>
        <v>7342.2940579906226</v>
      </c>
      <c r="S189" s="84">
        <f t="shared" si="223"/>
        <v>7334.6924462107299</v>
      </c>
      <c r="T189" s="84">
        <f t="shared" si="223"/>
        <v>7324.4024384977329</v>
      </c>
      <c r="U189" s="84">
        <f t="shared" si="223"/>
        <v>7314.5498963646969</v>
      </c>
      <c r="V189" s="84">
        <f t="shared" si="223"/>
        <v>7173.3588925682316</v>
      </c>
      <c r="W189" s="84">
        <f t="shared" si="221"/>
        <v>7295.6099454713039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32315.186721623373</v>
      </c>
      <c r="C190" s="110">
        <f t="shared" si="223"/>
        <v>32938.960972567984</v>
      </c>
      <c r="D190" s="110">
        <f t="shared" si="223"/>
        <v>30508.359574924507</v>
      </c>
      <c r="E190" s="110">
        <f t="shared" si="223"/>
        <v>29411.762551589894</v>
      </c>
      <c r="F190" s="110">
        <f t="shared" si="223"/>
        <v>28137.540540639311</v>
      </c>
      <c r="G190" s="110">
        <f t="shared" si="223"/>
        <v>28326.577418887005</v>
      </c>
      <c r="H190" s="110">
        <f t="shared" si="223"/>
        <v>27602.107607802263</v>
      </c>
      <c r="I190" s="110">
        <f t="shared" si="223"/>
        <v>26766.698095574895</v>
      </c>
      <c r="J190" s="110">
        <f t="shared" si="223"/>
        <v>25780.282463792762</v>
      </c>
      <c r="K190" s="110">
        <f t="shared" si="223"/>
        <v>24000.364944621495</v>
      </c>
      <c r="L190" s="110">
        <f t="shared" si="223"/>
        <v>23921.741845379736</v>
      </c>
      <c r="M190" s="110">
        <f t="shared" si="222"/>
        <v>24959.519289412561</v>
      </c>
      <c r="N190" s="110">
        <f t="shared" si="223"/>
        <v>25010.182102182371</v>
      </c>
      <c r="O190" s="110">
        <f t="shared" si="223"/>
        <v>27070.704324408485</v>
      </c>
      <c r="P190" s="110">
        <f t="shared" si="223"/>
        <v>26673.333937407831</v>
      </c>
      <c r="Q190" s="110">
        <f t="shared" si="223"/>
        <v>28362.039742070963</v>
      </c>
      <c r="R190" s="110">
        <f t="shared" si="223"/>
        <v>25898.527870071859</v>
      </c>
      <c r="S190" s="110">
        <f t="shared" si="223"/>
        <v>24819.704687958012</v>
      </c>
      <c r="T190" s="110">
        <f t="shared" si="223"/>
        <v>17855.029792579098</v>
      </c>
      <c r="U190" s="110">
        <f t="shared" si="223"/>
        <v>12065.613164739529</v>
      </c>
      <c r="V190" s="110">
        <f t="shared" si="223"/>
        <v>15782.061643422941</v>
      </c>
      <c r="W190" s="110">
        <f t="shared" si="221"/>
        <v>18064.855826069455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20317.242317389013</v>
      </c>
      <c r="C191" s="102">
        <f t="shared" si="223"/>
        <v>21134.618177347966</v>
      </c>
      <c r="D191" s="102">
        <f t="shared" si="223"/>
        <v>18866.811303672985</v>
      </c>
      <c r="E191" s="102">
        <f t="shared" si="223"/>
        <v>21246.693134560115</v>
      </c>
      <c r="F191" s="102">
        <f t="shared" si="223"/>
        <v>20041.616705225249</v>
      </c>
      <c r="G191" s="102">
        <f t="shared" si="223"/>
        <v>20542.113171910521</v>
      </c>
      <c r="H191" s="102">
        <f t="shared" si="223"/>
        <v>21630.615640599</v>
      </c>
      <c r="I191" s="102">
        <f t="shared" si="223"/>
        <v>21287.68142910309</v>
      </c>
      <c r="J191" s="102">
        <f t="shared" si="223"/>
        <v>22905.73077089931</v>
      </c>
      <c r="K191" s="102">
        <f t="shared" si="223"/>
        <v>21078.19552317456</v>
      </c>
      <c r="L191" s="102">
        <f t="shared" si="223"/>
        <v>20603.714804937339</v>
      </c>
      <c r="M191" s="102">
        <f t="shared" si="222"/>
        <v>21157.12661106899</v>
      </c>
      <c r="N191" s="102">
        <f t="shared" si="223"/>
        <v>21352.661736617854</v>
      </c>
      <c r="O191" s="102">
        <f t="shared" si="223"/>
        <v>22550.408990328437</v>
      </c>
      <c r="P191" s="102">
        <f t="shared" si="223"/>
        <v>22256.152791076835</v>
      </c>
      <c r="Q191" s="102">
        <f t="shared" si="223"/>
        <v>23515.952713868057</v>
      </c>
      <c r="R191" s="102">
        <f t="shared" si="223"/>
        <v>21395.261640850185</v>
      </c>
      <c r="S191" s="102">
        <f t="shared" si="223"/>
        <v>20751.224823081109</v>
      </c>
      <c r="T191" s="102">
        <f t="shared" si="223"/>
        <v>14596.039196875214</v>
      </c>
      <c r="U191" s="102">
        <f t="shared" si="223"/>
        <v>9435.4640309112747</v>
      </c>
      <c r="V191" s="102">
        <f t="shared" si="223"/>
        <v>12612.937656910055</v>
      </c>
      <c r="W191" s="102">
        <f t="shared" si="221"/>
        <v>14653.539238762271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85004.751020782147</v>
      </c>
      <c r="C192" s="86">
        <f t="shared" si="223"/>
        <v>85007.092040921547</v>
      </c>
      <c r="D192" s="86">
        <f t="shared" si="223"/>
        <v>84989.642782931303</v>
      </c>
      <c r="E192" s="86">
        <f t="shared" si="223"/>
        <v>85003.257651606735</v>
      </c>
      <c r="F192" s="86">
        <f t="shared" si="223"/>
        <v>84993.005657524438</v>
      </c>
      <c r="G192" s="86">
        <f t="shared" si="223"/>
        <v>85005.556820325786</v>
      </c>
      <c r="H192" s="86">
        <f t="shared" si="223"/>
        <v>84990.70561196265</v>
      </c>
      <c r="I192" s="86">
        <f t="shared" si="223"/>
        <v>85002.923502258986</v>
      </c>
      <c r="J192" s="86">
        <f t="shared" si="223"/>
        <v>84995.01979434416</v>
      </c>
      <c r="K192" s="86">
        <f t="shared" si="223"/>
        <v>84996.983183690929</v>
      </c>
      <c r="L192" s="86">
        <f t="shared" si="223"/>
        <v>84993.906802193349</v>
      </c>
      <c r="M192" s="86">
        <f t="shared" si="222"/>
        <v>85001.19163042467</v>
      </c>
      <c r="N192" s="86">
        <f t="shared" si="223"/>
        <v>84996.453864802359</v>
      </c>
      <c r="O192" s="86">
        <f t="shared" si="223"/>
        <v>84990.678402788166</v>
      </c>
      <c r="P192" s="86">
        <f t="shared" si="223"/>
        <v>84987.067000399315</v>
      </c>
      <c r="Q192" s="86">
        <f t="shared" si="223"/>
        <v>84993.303335167031</v>
      </c>
      <c r="R192" s="86">
        <f t="shared" si="223"/>
        <v>84990.741830581261</v>
      </c>
      <c r="S192" s="86">
        <f t="shared" si="223"/>
        <v>84995.208003407883</v>
      </c>
      <c r="T192" s="86">
        <f t="shared" si="223"/>
        <v>85004.270545288993</v>
      </c>
      <c r="U192" s="86">
        <f t="shared" si="223"/>
        <v>84997.368901764436</v>
      </c>
      <c r="V192" s="86">
        <f t="shared" ref="V192:W192" si="224">IF(V55=0,0,V55*1000000/V82)</f>
        <v>84989.861531423827</v>
      </c>
      <c r="W192" s="86">
        <f t="shared" si="224"/>
        <v>85000.05563942212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20149.894962795181</v>
      </c>
      <c r="C195" s="28">
        <f t="shared" si="225"/>
        <v>19908.555162131754</v>
      </c>
      <c r="D195" s="28">
        <f t="shared" si="225"/>
        <v>20612.443822230103</v>
      </c>
      <c r="E195" s="28">
        <f t="shared" si="225"/>
        <v>18943.200962993298</v>
      </c>
      <c r="F195" s="28">
        <f t="shared" si="225"/>
        <v>18280.752559008917</v>
      </c>
      <c r="G195" s="28">
        <f t="shared" si="225"/>
        <v>18713.822655781449</v>
      </c>
      <c r="H195" s="28">
        <f t="shared" si="225"/>
        <v>18930.592627632195</v>
      </c>
      <c r="I195" s="28">
        <f t="shared" si="225"/>
        <v>19132.857128509415</v>
      </c>
      <c r="J195" s="28">
        <f t="shared" si="225"/>
        <v>19713.859145076989</v>
      </c>
      <c r="K195" s="28">
        <f t="shared" si="225"/>
        <v>19594.453335283521</v>
      </c>
      <c r="L195" s="28">
        <f t="shared" si="225"/>
        <v>19396.599959952153</v>
      </c>
      <c r="M195" s="28">
        <f>IF(M4=0,0,M4*1000000/M58)</f>
        <v>19386.736640445608</v>
      </c>
      <c r="N195" s="28">
        <f t="shared" ref="N195:V195" si="226">IF(N4=0,0,N4*1000000/N58)</f>
        <v>19400.848555828754</v>
      </c>
      <c r="O195" s="28">
        <f t="shared" si="226"/>
        <v>19445.366283820349</v>
      </c>
      <c r="P195" s="28">
        <f t="shared" si="226"/>
        <v>20184.599797457708</v>
      </c>
      <c r="Q195" s="28">
        <f t="shared" si="226"/>
        <v>20927.142313670178</v>
      </c>
      <c r="R195" s="28">
        <f t="shared" si="226"/>
        <v>20474.637846429814</v>
      </c>
      <c r="S195" s="28">
        <f t="shared" si="226"/>
        <v>20464.549674524973</v>
      </c>
      <c r="T195" s="28">
        <f t="shared" si="226"/>
        <v>19848.024824337343</v>
      </c>
      <c r="U195" s="28">
        <f t="shared" si="226"/>
        <v>20319.530714961005</v>
      </c>
      <c r="V195" s="28">
        <f t="shared" si="226"/>
        <v>16203.239982503999</v>
      </c>
      <c r="W195" s="28">
        <f t="shared" ref="W195" si="227">IF(W4=0,0,W4*1000000/W58)</f>
        <v>16671.907406370192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4624.4008237757007</v>
      </c>
      <c r="C196" s="137">
        <f t="shared" si="228"/>
        <v>4678.1098858526566</v>
      </c>
      <c r="D196" s="137">
        <f t="shared" si="228"/>
        <v>4691.1516683744139</v>
      </c>
      <c r="E196" s="137">
        <f t="shared" si="228"/>
        <v>4588.4183702113796</v>
      </c>
      <c r="F196" s="137">
        <f t="shared" si="228"/>
        <v>4897.4003496058176</v>
      </c>
      <c r="G196" s="137">
        <f t="shared" si="228"/>
        <v>5232.1015314889419</v>
      </c>
      <c r="H196" s="137">
        <f t="shared" si="228"/>
        <v>5361.0344299126536</v>
      </c>
      <c r="I196" s="137">
        <f t="shared" si="228"/>
        <v>4804.8896983229934</v>
      </c>
      <c r="J196" s="137">
        <f t="shared" si="228"/>
        <v>4619.9785708926875</v>
      </c>
      <c r="K196" s="137">
        <f t="shared" si="228"/>
        <v>4483.4531005067583</v>
      </c>
      <c r="L196" s="137">
        <f t="shared" si="228"/>
        <v>4578.7278267014672</v>
      </c>
      <c r="M196" s="137">
        <f>IF(M5=0,0,M5*1000000/M59)</f>
        <v>4615.6127795174061</v>
      </c>
      <c r="N196" s="137">
        <f t="shared" ref="N196:V196" si="229">IF(N5=0,0,N5*1000000/N59)</f>
        <v>4713.4282421828366</v>
      </c>
      <c r="O196" s="137">
        <f t="shared" si="229"/>
        <v>4739.1742151399239</v>
      </c>
      <c r="P196" s="137">
        <f t="shared" si="229"/>
        <v>4784.5015634331803</v>
      </c>
      <c r="Q196" s="137">
        <f t="shared" si="229"/>
        <v>4915.8184323778587</v>
      </c>
      <c r="R196" s="137">
        <f t="shared" si="229"/>
        <v>5019.6442933105982</v>
      </c>
      <c r="S196" s="137">
        <f t="shared" si="229"/>
        <v>4540.7152462058284</v>
      </c>
      <c r="T196" s="137">
        <f t="shared" si="229"/>
        <v>4157.8473388015445</v>
      </c>
      <c r="U196" s="137">
        <f t="shared" si="229"/>
        <v>4250.9661661035225</v>
      </c>
      <c r="V196" s="137">
        <f t="shared" si="229"/>
        <v>3687.6011957806895</v>
      </c>
      <c r="W196" s="137">
        <f t="shared" ref="W196" si="230">IF(W5=0,0,W5*1000000/W59)</f>
        <v>3723.4084760711412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13499.272344055804</v>
      </c>
      <c r="C197" s="110">
        <f t="shared" si="231"/>
        <v>13376.803950711992</v>
      </c>
      <c r="D197" s="110">
        <f t="shared" si="231"/>
        <v>13476.840991674713</v>
      </c>
      <c r="E197" s="110">
        <f t="shared" si="231"/>
        <v>13294.071796648333</v>
      </c>
      <c r="F197" s="110">
        <f t="shared" si="231"/>
        <v>13451.443569553805</v>
      </c>
      <c r="G197" s="110">
        <f t="shared" si="231"/>
        <v>13829.285936049599</v>
      </c>
      <c r="H197" s="110">
        <f t="shared" si="231"/>
        <v>14453.511203777594</v>
      </c>
      <c r="I197" s="110">
        <f t="shared" si="231"/>
        <v>14750.79732806102</v>
      </c>
      <c r="J197" s="110">
        <f t="shared" si="231"/>
        <v>15438.275487449249</v>
      </c>
      <c r="K197" s="110">
        <f t="shared" si="231"/>
        <v>16586.06483969192</v>
      </c>
      <c r="L197" s="110">
        <f t="shared" si="231"/>
        <v>16428.172108396506</v>
      </c>
      <c r="M197" s="110">
        <f>IF(M6=0,0,M6*1000000/M60)</f>
        <v>16441.065928521981</v>
      </c>
      <c r="N197" s="110">
        <f t="shared" ref="N197:V197" si="232">IF(N6=0,0,N6*1000000/N60)</f>
        <v>16670.133623471236</v>
      </c>
      <c r="O197" s="110">
        <f t="shared" si="232"/>
        <v>16868.855811609908</v>
      </c>
      <c r="P197" s="110">
        <f t="shared" si="232"/>
        <v>17359.172901801372</v>
      </c>
      <c r="Q197" s="110">
        <f t="shared" si="232"/>
        <v>17913.741947490678</v>
      </c>
      <c r="R197" s="110">
        <f t="shared" si="232"/>
        <v>17601.955233521145</v>
      </c>
      <c r="S197" s="110">
        <f t="shared" si="232"/>
        <v>18141.408117117247</v>
      </c>
      <c r="T197" s="110">
        <f t="shared" si="232"/>
        <v>17786.700665692424</v>
      </c>
      <c r="U197" s="110">
        <f t="shared" si="232"/>
        <v>18035.58966440145</v>
      </c>
      <c r="V197" s="110">
        <f t="shared" si="232"/>
        <v>15514.783275698761</v>
      </c>
      <c r="W197" s="110">
        <f t="shared" ref="W197:W209" si="233">IF(W6=0,0,W6*1000000/W60)</f>
        <v>16069.159336111341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10587.777255088791</v>
      </c>
      <c r="C198" s="84">
        <f t="shared" si="231"/>
        <v>9408.4748712002802</v>
      </c>
      <c r="D198" s="84">
        <f t="shared" si="231"/>
        <v>9586.4713670259389</v>
      </c>
      <c r="E198" s="84">
        <f t="shared" si="231"/>
        <v>8824.3651772942667</v>
      </c>
      <c r="F198" s="84">
        <f t="shared" si="231"/>
        <v>7803.1435267080196</v>
      </c>
      <c r="G198" s="84">
        <f t="shared" si="231"/>
        <v>7266.1496722003667</v>
      </c>
      <c r="H198" s="84">
        <f t="shared" si="231"/>
        <v>8084.6987250463289</v>
      </c>
      <c r="I198" s="84">
        <f t="shared" si="231"/>
        <v>8475.7509156547821</v>
      </c>
      <c r="J198" s="84">
        <f t="shared" si="231"/>
        <v>8442.3588609545423</v>
      </c>
      <c r="K198" s="84">
        <f t="shared" si="231"/>
        <v>9575.2697100521636</v>
      </c>
      <c r="L198" s="84">
        <f t="shared" si="231"/>
        <v>8976.6102413767476</v>
      </c>
      <c r="M198" s="84">
        <f t="shared" ref="M198:M219" si="234">IF(M7=0,0,M7*1000000/M61)</f>
        <v>9070.5415331229251</v>
      </c>
      <c r="N198" s="84">
        <f t="shared" si="231"/>
        <v>8382.542640646514</v>
      </c>
      <c r="O198" s="84">
        <f t="shared" si="231"/>
        <v>8264.553409054397</v>
      </c>
      <c r="P198" s="84">
        <f t="shared" si="231"/>
        <v>8520.8411361780745</v>
      </c>
      <c r="Q198" s="84">
        <f t="shared" si="231"/>
        <v>8401.4503774123659</v>
      </c>
      <c r="R198" s="84">
        <f t="shared" si="231"/>
        <v>8080.3928337901407</v>
      </c>
      <c r="S198" s="84">
        <f t="shared" si="231"/>
        <v>8568.535878633169</v>
      </c>
      <c r="T198" s="84">
        <f t="shared" si="231"/>
        <v>8184.0938668015178</v>
      </c>
      <c r="U198" s="84">
        <f t="shared" si="231"/>
        <v>8219.4764856870806</v>
      </c>
      <c r="V198" s="84">
        <f t="shared" si="231"/>
        <v>7232.928270345802</v>
      </c>
      <c r="W198" s="84">
        <f t="shared" si="233"/>
        <v>7523.7086123898589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28292.3138898574</v>
      </c>
      <c r="C199" s="84">
        <f t="shared" si="231"/>
        <v>34438.976272949869</v>
      </c>
      <c r="D199" s="84">
        <f t="shared" si="231"/>
        <v>30505.222962004325</v>
      </c>
      <c r="E199" s="84">
        <f t="shared" si="231"/>
        <v>27929.682227591788</v>
      </c>
      <c r="F199" s="84">
        <f t="shared" si="231"/>
        <v>29239.606138651903</v>
      </c>
      <c r="G199" s="84">
        <f t="shared" si="231"/>
        <v>32749.030094599613</v>
      </c>
      <c r="H199" s="84">
        <f t="shared" si="231"/>
        <v>28828.788101468192</v>
      </c>
      <c r="I199" s="84">
        <f t="shared" si="231"/>
        <v>27417.820853605852</v>
      </c>
      <c r="J199" s="84">
        <f t="shared" si="231"/>
        <v>28451.206636440518</v>
      </c>
      <c r="K199" s="84">
        <f t="shared" si="231"/>
        <v>27802.152615528605</v>
      </c>
      <c r="L199" s="84">
        <f t="shared" si="231"/>
        <v>29155.159336405246</v>
      </c>
      <c r="M199" s="84">
        <f t="shared" si="234"/>
        <v>26211.556503118576</v>
      </c>
      <c r="N199" s="84">
        <f t="shared" si="231"/>
        <v>27562.520287013758</v>
      </c>
      <c r="O199" s="84">
        <f t="shared" si="231"/>
        <v>28186.897449993896</v>
      </c>
      <c r="P199" s="84">
        <f t="shared" si="231"/>
        <v>29092.639519479755</v>
      </c>
      <c r="Q199" s="84">
        <f t="shared" si="231"/>
        <v>30466.276649111649</v>
      </c>
      <c r="R199" s="84">
        <f t="shared" si="231"/>
        <v>29912.972097570397</v>
      </c>
      <c r="S199" s="84">
        <f t="shared" si="231"/>
        <v>30442.839943895142</v>
      </c>
      <c r="T199" s="84">
        <f t="shared" si="231"/>
        <v>29409.88245667021</v>
      </c>
      <c r="U199" s="84">
        <f t="shared" si="231"/>
        <v>29520.375448921532</v>
      </c>
      <c r="V199" s="84">
        <f t="shared" si="231"/>
        <v>24810.302603349061</v>
      </c>
      <c r="W199" s="84">
        <f t="shared" si="233"/>
        <v>25415.063059423901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20023.283897945552</v>
      </c>
      <c r="C200" s="84">
        <f t="shared" si="231"/>
        <v>19241.009882035538</v>
      </c>
      <c r="D200" s="84">
        <f t="shared" si="231"/>
        <v>18876.086854291472</v>
      </c>
      <c r="E200" s="84">
        <f t="shared" si="231"/>
        <v>18099.015711175991</v>
      </c>
      <c r="F200" s="84">
        <f t="shared" si="231"/>
        <v>17820.79323003945</v>
      </c>
      <c r="G200" s="84">
        <f t="shared" si="231"/>
        <v>17840.524345751372</v>
      </c>
      <c r="H200" s="84">
        <f t="shared" si="231"/>
        <v>18173.752489241262</v>
      </c>
      <c r="I200" s="84">
        <f t="shared" si="231"/>
        <v>17949.185268105834</v>
      </c>
      <c r="J200" s="84">
        <f t="shared" si="231"/>
        <v>18590.223901581023</v>
      </c>
      <c r="K200" s="84">
        <f t="shared" si="231"/>
        <v>20630.662761668456</v>
      </c>
      <c r="L200" s="84">
        <f t="shared" si="231"/>
        <v>19814.380809137696</v>
      </c>
      <c r="M200" s="84">
        <f t="shared" si="234"/>
        <v>19319.23056141187</v>
      </c>
      <c r="N200" s="84">
        <f t="shared" si="231"/>
        <v>19062.843273977298</v>
      </c>
      <c r="O200" s="84">
        <f t="shared" si="231"/>
        <v>18708.511362994737</v>
      </c>
      <c r="P200" s="84">
        <f t="shared" si="231"/>
        <v>18731.348310194538</v>
      </c>
      <c r="Q200" s="84">
        <f t="shared" si="231"/>
        <v>18858.796034031984</v>
      </c>
      <c r="R200" s="84">
        <f t="shared" si="231"/>
        <v>18329.322030744752</v>
      </c>
      <c r="S200" s="84">
        <f t="shared" si="231"/>
        <v>18470.575749873999</v>
      </c>
      <c r="T200" s="84">
        <f t="shared" si="231"/>
        <v>17692.633639623498</v>
      </c>
      <c r="U200" s="84">
        <f t="shared" si="231"/>
        <v>17596.903684790002</v>
      </c>
      <c r="V200" s="84">
        <f t="shared" si="231"/>
        <v>14934.439210071292</v>
      </c>
      <c r="W200" s="84">
        <f t="shared" si="233"/>
        <v>15157.557697982242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14872.773252797391</v>
      </c>
      <c r="G201" s="84">
        <f t="shared" si="231"/>
        <v>14419.204238740556</v>
      </c>
      <c r="H201" s="84">
        <f t="shared" si="231"/>
        <v>13945.779074537242</v>
      </c>
      <c r="I201" s="84">
        <f t="shared" si="231"/>
        <v>15173.979380761199</v>
      </c>
      <c r="J201" s="84">
        <f t="shared" si="231"/>
        <v>15102.660064982063</v>
      </c>
      <c r="K201" s="84">
        <f t="shared" si="231"/>
        <v>15604.675346745522</v>
      </c>
      <c r="L201" s="84">
        <f t="shared" si="231"/>
        <v>15842.330081153243</v>
      </c>
      <c r="M201" s="84">
        <f t="shared" si="234"/>
        <v>16191.569273995423</v>
      </c>
      <c r="N201" s="84">
        <f t="shared" si="231"/>
        <v>15666.677874786152</v>
      </c>
      <c r="O201" s="84">
        <f t="shared" si="231"/>
        <v>15854.903591657569</v>
      </c>
      <c r="P201" s="84">
        <f t="shared" si="231"/>
        <v>15971.277074199625</v>
      </c>
      <c r="Q201" s="84">
        <f t="shared" si="231"/>
        <v>14958.65214081275</v>
      </c>
      <c r="R201" s="84">
        <f t="shared" si="231"/>
        <v>14535.612663073773</v>
      </c>
      <c r="S201" s="84">
        <f t="shared" si="231"/>
        <v>14723.406228452699</v>
      </c>
      <c r="T201" s="84">
        <f t="shared" si="231"/>
        <v>14439.88786775106</v>
      </c>
      <c r="U201" s="84">
        <f t="shared" si="231"/>
        <v>14175.675719788978</v>
      </c>
      <c r="V201" s="84">
        <f t="shared" si="231"/>
        <v>12602.949772068361</v>
      </c>
      <c r="W201" s="84">
        <f t="shared" si="233"/>
        <v>11843.668684997601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17325.623310345254</v>
      </c>
      <c r="O202" s="84">
        <f t="shared" si="231"/>
        <v>15678.077385242235</v>
      </c>
      <c r="P202" s="84">
        <f t="shared" si="231"/>
        <v>17870.609984981224</v>
      </c>
      <c r="Q202" s="84">
        <f t="shared" si="231"/>
        <v>18726.926148556297</v>
      </c>
      <c r="R202" s="84">
        <f t="shared" si="231"/>
        <v>18576.436021116391</v>
      </c>
      <c r="S202" s="84">
        <f t="shared" si="231"/>
        <v>19298.550626824046</v>
      </c>
      <c r="T202" s="84">
        <f t="shared" si="231"/>
        <v>19057.459734424989</v>
      </c>
      <c r="U202" s="84">
        <f t="shared" si="231"/>
        <v>19540.561940708158</v>
      </c>
      <c r="V202" s="84">
        <f t="shared" si="231"/>
        <v>16766.188189143395</v>
      </c>
      <c r="W202" s="84">
        <f t="shared" si="233"/>
        <v>17542.961605505083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0</v>
      </c>
      <c r="O203" s="84">
        <f t="shared" si="231"/>
        <v>0</v>
      </c>
      <c r="P203" s="84">
        <f t="shared" si="231"/>
        <v>0</v>
      </c>
      <c r="Q203" s="84">
        <f t="shared" si="231"/>
        <v>0</v>
      </c>
      <c r="R203" s="84">
        <f t="shared" si="231"/>
        <v>14822.834358933214</v>
      </c>
      <c r="S203" s="84">
        <f t="shared" si="231"/>
        <v>14975.874101085299</v>
      </c>
      <c r="T203" s="84">
        <f t="shared" si="231"/>
        <v>14668.434899890486</v>
      </c>
      <c r="U203" s="84">
        <f t="shared" si="231"/>
        <v>14376.555086030283</v>
      </c>
      <c r="V203" s="84">
        <f t="shared" si="231"/>
        <v>12689.263634071109</v>
      </c>
      <c r="W203" s="84">
        <f t="shared" si="233"/>
        <v>11947.234146904066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1215077.0512286548</v>
      </c>
      <c r="C204" s="110">
        <f t="shared" si="231"/>
        <v>1190752.8250835589</v>
      </c>
      <c r="D204" s="110">
        <f t="shared" si="231"/>
        <v>1158594.8158253753</v>
      </c>
      <c r="E204" s="110">
        <f t="shared" si="231"/>
        <v>1039861.3518197574</v>
      </c>
      <c r="F204" s="110">
        <f t="shared" si="231"/>
        <v>992307.69230769225</v>
      </c>
      <c r="G204" s="110">
        <f t="shared" si="231"/>
        <v>958811.99215466517</v>
      </c>
      <c r="H204" s="110">
        <f t="shared" si="231"/>
        <v>940894.22028353321</v>
      </c>
      <c r="I204" s="110">
        <f t="shared" si="231"/>
        <v>943544.46221233404</v>
      </c>
      <c r="J204" s="110">
        <f t="shared" si="231"/>
        <v>1044531.6627670013</v>
      </c>
      <c r="K204" s="110">
        <f t="shared" si="231"/>
        <v>741679.08594138105</v>
      </c>
      <c r="L204" s="110">
        <f t="shared" si="231"/>
        <v>734108.04454589472</v>
      </c>
      <c r="M204" s="110">
        <f t="shared" si="234"/>
        <v>740086.00095556618</v>
      </c>
      <c r="N204" s="110">
        <f t="shared" si="231"/>
        <v>708770.03178037738</v>
      </c>
      <c r="O204" s="110">
        <f t="shared" si="231"/>
        <v>676125.56524018617</v>
      </c>
      <c r="P204" s="110">
        <f t="shared" si="231"/>
        <v>745114.58806725964</v>
      </c>
      <c r="Q204" s="110">
        <f t="shared" si="231"/>
        <v>791144.84503478801</v>
      </c>
      <c r="R204" s="110">
        <f t="shared" si="231"/>
        <v>794663.19557435741</v>
      </c>
      <c r="S204" s="110">
        <f t="shared" si="231"/>
        <v>752817.8056784136</v>
      </c>
      <c r="T204" s="110">
        <f t="shared" si="231"/>
        <v>725950.94727566454</v>
      </c>
      <c r="U204" s="110">
        <f t="shared" si="231"/>
        <v>803366.20449321566</v>
      </c>
      <c r="V204" s="110">
        <f t="shared" si="231"/>
        <v>353473.68421052629</v>
      </c>
      <c r="W204" s="110">
        <f t="shared" si="233"/>
        <v>340651.02195306588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1215077.0512286548</v>
      </c>
      <c r="C206" s="102">
        <f t="shared" si="231"/>
        <v>1190752.8250835589</v>
      </c>
      <c r="D206" s="102">
        <f t="shared" si="231"/>
        <v>1158594.8158253753</v>
      </c>
      <c r="E206" s="102">
        <f t="shared" si="231"/>
        <v>1039861.3518197574</v>
      </c>
      <c r="F206" s="102">
        <f t="shared" si="231"/>
        <v>993123.15552858391</v>
      </c>
      <c r="G206" s="102">
        <f t="shared" si="231"/>
        <v>962157.58558278298</v>
      </c>
      <c r="H206" s="102">
        <f t="shared" si="231"/>
        <v>947178.77811773552</v>
      </c>
      <c r="I206" s="102">
        <f t="shared" si="231"/>
        <v>951901.99265438144</v>
      </c>
      <c r="J206" s="102">
        <f t="shared" si="231"/>
        <v>1055000.5308812649</v>
      </c>
      <c r="K206" s="102">
        <f t="shared" si="231"/>
        <v>746458.2246422387</v>
      </c>
      <c r="L206" s="102">
        <f t="shared" si="231"/>
        <v>735010.82805516897</v>
      </c>
      <c r="M206" s="102">
        <f t="shared" si="234"/>
        <v>740889.39986428258</v>
      </c>
      <c r="N206" s="102">
        <f t="shared" si="231"/>
        <v>709566.32598877081</v>
      </c>
      <c r="O206" s="102">
        <f t="shared" si="231"/>
        <v>675593.00412251393</v>
      </c>
      <c r="P206" s="102">
        <f t="shared" si="231"/>
        <v>744604.51788995194</v>
      </c>
      <c r="Q206" s="102">
        <f t="shared" si="231"/>
        <v>804268.73772484192</v>
      </c>
      <c r="R206" s="102">
        <f t="shared" si="231"/>
        <v>818593.41279402352</v>
      </c>
      <c r="S206" s="102">
        <f t="shared" si="231"/>
        <v>779814.79884017014</v>
      </c>
      <c r="T206" s="102">
        <f t="shared" si="231"/>
        <v>756531.79577442643</v>
      </c>
      <c r="U206" s="102">
        <f t="shared" si="231"/>
        <v>846665.03277988918</v>
      </c>
      <c r="V206" s="102">
        <f t="shared" si="231"/>
        <v>373372.89447170484</v>
      </c>
      <c r="W206" s="102">
        <f t="shared" si="233"/>
        <v>360831.47724997724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886052.83462551842</v>
      </c>
      <c r="G208" s="102">
        <f t="shared" si="231"/>
        <v>777749.50921286375</v>
      </c>
      <c r="H208" s="102">
        <f t="shared" si="231"/>
        <v>763255.17596996133</v>
      </c>
      <c r="I208" s="102">
        <f t="shared" si="231"/>
        <v>780178.62072871393</v>
      </c>
      <c r="J208" s="102">
        <f t="shared" si="231"/>
        <v>858232.48225289572</v>
      </c>
      <c r="K208" s="102">
        <f t="shared" si="231"/>
        <v>676680.09773899859</v>
      </c>
      <c r="L208" s="102">
        <f t="shared" si="231"/>
        <v>724301.88171739643</v>
      </c>
      <c r="M208" s="102">
        <f t="shared" si="234"/>
        <v>733326.90985984378</v>
      </c>
      <c r="N208" s="102">
        <f t="shared" si="231"/>
        <v>698978.91626121372</v>
      </c>
      <c r="O208" s="102">
        <f t="shared" si="231"/>
        <v>665061.95552565425</v>
      </c>
      <c r="P208" s="102">
        <f t="shared" si="231"/>
        <v>733879.69114182715</v>
      </c>
      <c r="Q208" s="102">
        <f t="shared" si="231"/>
        <v>709243.56283469091</v>
      </c>
      <c r="R208" s="102">
        <f t="shared" si="231"/>
        <v>639809.14903946815</v>
      </c>
      <c r="S208" s="102">
        <f t="shared" si="231"/>
        <v>606979.41725164815</v>
      </c>
      <c r="T208" s="102">
        <f t="shared" si="231"/>
        <v>586741.31779215357</v>
      </c>
      <c r="U208" s="102">
        <f t="shared" si="231"/>
        <v>652639.22466902912</v>
      </c>
      <c r="V208" s="102">
        <f t="shared" si="231"/>
        <v>286256.52611937851</v>
      </c>
      <c r="W208" s="102">
        <f t="shared" si="233"/>
        <v>275600.6204331484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947845.01910110959</v>
      </c>
      <c r="K209" s="102">
        <f t="shared" si="231"/>
        <v>681984.30900491064</v>
      </c>
      <c r="L209" s="102">
        <f t="shared" si="231"/>
        <v>748771.5672108311</v>
      </c>
      <c r="M209" s="102">
        <f t="shared" si="234"/>
        <v>696003.31429803441</v>
      </c>
      <c r="N209" s="102">
        <f t="shared" si="231"/>
        <v>736249.86189585773</v>
      </c>
      <c r="O209" s="102">
        <f t="shared" si="231"/>
        <v>741567.79806725762</v>
      </c>
      <c r="P209" s="102">
        <f t="shared" si="231"/>
        <v>797209.58331074426</v>
      </c>
      <c r="Q209" s="102">
        <f t="shared" si="231"/>
        <v>827046.80619986635</v>
      </c>
      <c r="R209" s="102">
        <f t="shared" si="231"/>
        <v>864637.12819396239</v>
      </c>
      <c r="S209" s="102">
        <f t="shared" si="231"/>
        <v>795040.45025628782</v>
      </c>
      <c r="T209" s="102">
        <f t="shared" si="231"/>
        <v>728525.95641133038</v>
      </c>
      <c r="U209" s="102">
        <f t="shared" si="231"/>
        <v>724146.98757930647</v>
      </c>
      <c r="V209" s="102">
        <f t="shared" si="231"/>
        <v>323650.86782568862</v>
      </c>
      <c r="W209" s="102">
        <f t="shared" si="233"/>
        <v>332059.66826403496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48628.579883674967</v>
      </c>
      <c r="C210" s="28">
        <f t="shared" si="231"/>
        <v>54368.063802244062</v>
      </c>
      <c r="D210" s="28">
        <f t="shared" si="231"/>
        <v>60121.940300355658</v>
      </c>
      <c r="E210" s="28">
        <f t="shared" si="231"/>
        <v>59008.15170093569</v>
      </c>
      <c r="F210" s="28">
        <f t="shared" ref="B210:V219" si="235">IF(F19=0,0,F19*1000000/F73)</f>
        <v>56092.769144386024</v>
      </c>
      <c r="G210" s="28">
        <f t="shared" si="235"/>
        <v>59543.495307973004</v>
      </c>
      <c r="H210" s="28">
        <f t="shared" si="235"/>
        <v>52909.810670243984</v>
      </c>
      <c r="I210" s="28">
        <f t="shared" si="235"/>
        <v>46741.254886246054</v>
      </c>
      <c r="J210" s="28">
        <f t="shared" si="235"/>
        <v>41711.643291234985</v>
      </c>
      <c r="K210" s="28">
        <f t="shared" si="235"/>
        <v>37029.559461831959</v>
      </c>
      <c r="L210" s="28">
        <f t="shared" si="235"/>
        <v>38370.542748768057</v>
      </c>
      <c r="M210" s="28">
        <f t="shared" si="234"/>
        <v>38889.817379239423</v>
      </c>
      <c r="N210" s="28">
        <f t="shared" si="235"/>
        <v>37077.699373862582</v>
      </c>
      <c r="O210" s="28">
        <f t="shared" si="235"/>
        <v>43293.532525295617</v>
      </c>
      <c r="P210" s="28">
        <f t="shared" si="235"/>
        <v>41228.98246758298</v>
      </c>
      <c r="Q210" s="28">
        <f t="shared" si="235"/>
        <v>41785.653387459475</v>
      </c>
      <c r="R210" s="28">
        <f t="shared" si="235"/>
        <v>42152.752332716176</v>
      </c>
      <c r="S210" s="28">
        <f t="shared" si="235"/>
        <v>51057.435280457707</v>
      </c>
      <c r="T210" s="28">
        <f t="shared" si="235"/>
        <v>46334.847171000751</v>
      </c>
      <c r="U210" s="28">
        <f t="shared" si="235"/>
        <v>36746.386398019094</v>
      </c>
      <c r="V210" s="28">
        <f t="shared" si="235"/>
        <v>48297.907811214296</v>
      </c>
      <c r="W210" s="28">
        <f t="shared" ref="W210" si="236">IF(W19=0,0,W19*1000000/W73)</f>
        <v>59572.663553032842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2955.0032822918465</v>
      </c>
      <c r="C211" s="137">
        <f t="shared" si="235"/>
        <v>3010.7196113002578</v>
      </c>
      <c r="D211" s="137">
        <f t="shared" si="235"/>
        <v>3099.6836958733784</v>
      </c>
      <c r="E211" s="137">
        <f t="shared" si="235"/>
        <v>3239.4833121986849</v>
      </c>
      <c r="F211" s="137">
        <f t="shared" si="235"/>
        <v>3390.679110087417</v>
      </c>
      <c r="G211" s="137">
        <f t="shared" si="235"/>
        <v>3296.656120308523</v>
      </c>
      <c r="H211" s="137">
        <f t="shared" si="235"/>
        <v>3307.7674952494613</v>
      </c>
      <c r="I211" s="137">
        <f t="shared" si="235"/>
        <v>3324.5702307876736</v>
      </c>
      <c r="J211" s="137">
        <f t="shared" si="235"/>
        <v>3436.264289562534</v>
      </c>
      <c r="K211" s="137">
        <f t="shared" si="235"/>
        <v>3368.6129660722636</v>
      </c>
      <c r="L211" s="137">
        <f t="shared" si="235"/>
        <v>3416.9844552870923</v>
      </c>
      <c r="M211" s="137">
        <f t="shared" si="234"/>
        <v>3461.0534568161183</v>
      </c>
      <c r="N211" s="137">
        <f t="shared" si="235"/>
        <v>3591.3825389361614</v>
      </c>
      <c r="O211" s="137">
        <f t="shared" si="235"/>
        <v>3604.7798529260308</v>
      </c>
      <c r="P211" s="137">
        <f t="shared" si="235"/>
        <v>3737.8899330166419</v>
      </c>
      <c r="Q211" s="137">
        <f t="shared" si="235"/>
        <v>3860.6158081155859</v>
      </c>
      <c r="R211" s="137">
        <f t="shared" si="235"/>
        <v>3913.9418704456548</v>
      </c>
      <c r="S211" s="137">
        <f t="shared" si="235"/>
        <v>3969.8660526397512</v>
      </c>
      <c r="T211" s="137">
        <f t="shared" si="235"/>
        <v>4067.1814682053282</v>
      </c>
      <c r="U211" s="137">
        <f t="shared" si="235"/>
        <v>4160.4943347128847</v>
      </c>
      <c r="V211" s="137">
        <f t="shared" si="235"/>
        <v>4256.1998509583045</v>
      </c>
      <c r="W211" s="137">
        <f t="shared" ref="W211" si="237">IF(W20=0,0,W20*1000000/W74)</f>
        <v>4342.6952098559777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1592.3048256627135</v>
      </c>
      <c r="C212" s="84">
        <f t="shared" si="235"/>
        <v>1629.3307040506445</v>
      </c>
      <c r="D212" s="84">
        <f t="shared" si="235"/>
        <v>1670.5717583456442</v>
      </c>
      <c r="E212" s="84">
        <f t="shared" si="235"/>
        <v>1717.5235066167581</v>
      </c>
      <c r="F212" s="84">
        <f t="shared" si="235"/>
        <v>1771.2029966950865</v>
      </c>
      <c r="G212" s="84">
        <f t="shared" si="235"/>
        <v>1726.0503980758524</v>
      </c>
      <c r="H212" s="84">
        <f t="shared" si="235"/>
        <v>1692.7495560918471</v>
      </c>
      <c r="I212" s="84">
        <f t="shared" si="235"/>
        <v>1674.1994468873656</v>
      </c>
      <c r="J212" s="84">
        <f t="shared" si="235"/>
        <v>1715.3474651411298</v>
      </c>
      <c r="K212" s="84">
        <f t="shared" si="235"/>
        <v>1675.6628903481728</v>
      </c>
      <c r="L212" s="84">
        <f t="shared" si="235"/>
        <v>1691.8481441101615</v>
      </c>
      <c r="M212" s="84">
        <f t="shared" si="234"/>
        <v>1725.1006175900829</v>
      </c>
      <c r="N212" s="84">
        <f t="shared" si="235"/>
        <v>1770.9196126981653</v>
      </c>
      <c r="O212" s="84">
        <f t="shared" si="235"/>
        <v>1786.9086317035776</v>
      </c>
      <c r="P212" s="84">
        <f t="shared" si="235"/>
        <v>1833.7009239341996</v>
      </c>
      <c r="Q212" s="84">
        <f t="shared" si="235"/>
        <v>1887.0347399044442</v>
      </c>
      <c r="R212" s="84">
        <f t="shared" si="235"/>
        <v>1932.4464198720414</v>
      </c>
      <c r="S212" s="84">
        <f t="shared" si="235"/>
        <v>1966.3698628016</v>
      </c>
      <c r="T212" s="84">
        <f t="shared" si="235"/>
        <v>2013.2992332353358</v>
      </c>
      <c r="U212" s="84">
        <f t="shared" si="235"/>
        <v>2059.3467060022404</v>
      </c>
      <c r="V212" s="84">
        <f t="shared" si="235"/>
        <v>2104.7975141827005</v>
      </c>
      <c r="W212" s="84">
        <f t="shared" ref="W212" si="238">IF(W21=0,0,W21*1000000/W75)</f>
        <v>2151.0290279696733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3465.1940525070554</v>
      </c>
      <c r="C213" s="84">
        <f t="shared" si="235"/>
        <v>3574.3941038769535</v>
      </c>
      <c r="D213" s="84">
        <f t="shared" si="235"/>
        <v>3694.4532294140649</v>
      </c>
      <c r="E213" s="84">
        <f t="shared" si="235"/>
        <v>3828.9489110979448</v>
      </c>
      <c r="F213" s="84">
        <f t="shared" si="235"/>
        <v>3917.3116243852101</v>
      </c>
      <c r="G213" s="84">
        <f t="shared" si="235"/>
        <v>3787.1818240321422</v>
      </c>
      <c r="H213" s="84">
        <f t="shared" si="235"/>
        <v>3684.6674131217592</v>
      </c>
      <c r="I213" s="84">
        <f t="shared" si="235"/>
        <v>3615.3943918416485</v>
      </c>
      <c r="J213" s="84">
        <f t="shared" si="235"/>
        <v>3674.882790801285</v>
      </c>
      <c r="K213" s="84">
        <f t="shared" si="235"/>
        <v>3561.40151918639</v>
      </c>
      <c r="L213" s="84">
        <f t="shared" si="235"/>
        <v>3567.291246345746</v>
      </c>
      <c r="M213" s="84">
        <f t="shared" si="234"/>
        <v>3608.5648996778714</v>
      </c>
      <c r="N213" s="84">
        <f t="shared" si="235"/>
        <v>3734.3135616081654</v>
      </c>
      <c r="O213" s="84">
        <f t="shared" si="235"/>
        <v>3738.1539384051507</v>
      </c>
      <c r="P213" s="84">
        <f t="shared" si="235"/>
        <v>3867.0090034141936</v>
      </c>
      <c r="Q213" s="84">
        <f t="shared" si="235"/>
        <v>4011.6073582712479</v>
      </c>
      <c r="R213" s="84">
        <f t="shared" si="235"/>
        <v>4075.2489169432629</v>
      </c>
      <c r="S213" s="84">
        <f t="shared" si="235"/>
        <v>4179.9297984738705</v>
      </c>
      <c r="T213" s="84">
        <f t="shared" si="235"/>
        <v>4313.891378528424</v>
      </c>
      <c r="U213" s="84">
        <f t="shared" si="235"/>
        <v>4447.822484083048</v>
      </c>
      <c r="V213" s="84">
        <f t="shared" si="235"/>
        <v>4582.3198250190571</v>
      </c>
      <c r="W213" s="84">
        <f t="shared" ref="W213" si="239">IF(W22=0,0,W22*1000000/W76)</f>
        <v>4720.3961311472767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2188.0362704202921</v>
      </c>
      <c r="O216" s="84">
        <f t="shared" si="235"/>
        <v>2190.1439899461125</v>
      </c>
      <c r="P216" s="84">
        <f t="shared" si="235"/>
        <v>2192.8415425686067</v>
      </c>
      <c r="Q216" s="84">
        <f t="shared" si="235"/>
        <v>2195.8374921906657</v>
      </c>
      <c r="R216" s="84">
        <f t="shared" si="235"/>
        <v>2193.3523646210274</v>
      </c>
      <c r="S216" s="84">
        <f t="shared" si="235"/>
        <v>2191.5355220981232</v>
      </c>
      <c r="T216" s="84">
        <f t="shared" si="235"/>
        <v>2189.0755326070725</v>
      </c>
      <c r="U216" s="84">
        <f t="shared" si="235"/>
        <v>2186.7194783721247</v>
      </c>
      <c r="V216" s="84">
        <f t="shared" si="235"/>
        <v>2152.8860109061243</v>
      </c>
      <c r="W216" s="84">
        <f t="shared" ref="W216" si="242">IF(W25=0,0,W25*1000000/W79)</f>
        <v>2182.1885535272322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384713.56047608872</v>
      </c>
      <c r="C217" s="110">
        <f t="shared" si="235"/>
        <v>384519.9255141436</v>
      </c>
      <c r="D217" s="110">
        <f t="shared" si="235"/>
        <v>387358.20232040749</v>
      </c>
      <c r="E217" s="110">
        <f t="shared" si="235"/>
        <v>298663.35989386181</v>
      </c>
      <c r="F217" s="110">
        <f t="shared" si="235"/>
        <v>267017.85294222808</v>
      </c>
      <c r="G217" s="110">
        <f t="shared" si="235"/>
        <v>265306.49369763298</v>
      </c>
      <c r="H217" s="110">
        <f t="shared" si="235"/>
        <v>239666.09680838682</v>
      </c>
      <c r="I217" s="110">
        <f t="shared" si="235"/>
        <v>236745.98623258865</v>
      </c>
      <c r="J217" s="110">
        <f t="shared" si="235"/>
        <v>202088.96520703458</v>
      </c>
      <c r="K217" s="110">
        <f t="shared" si="235"/>
        <v>191231.25469155429</v>
      </c>
      <c r="L217" s="110">
        <f t="shared" si="235"/>
        <v>199094.47287241512</v>
      </c>
      <c r="M217" s="110">
        <f t="shared" si="234"/>
        <v>216777.24554764753</v>
      </c>
      <c r="N217" s="110">
        <f t="shared" si="235"/>
        <v>213886.34877555718</v>
      </c>
      <c r="O217" s="110">
        <f t="shared" si="235"/>
        <v>252653.53353406885</v>
      </c>
      <c r="P217" s="110">
        <f t="shared" si="235"/>
        <v>248820.75508861348</v>
      </c>
      <c r="Q217" s="110">
        <f t="shared" si="235"/>
        <v>261792.79218730054</v>
      </c>
      <c r="R217" s="110">
        <f t="shared" si="235"/>
        <v>243318.45394393057</v>
      </c>
      <c r="S217" s="110">
        <f t="shared" si="235"/>
        <v>245479.25232345017</v>
      </c>
      <c r="T217" s="110">
        <f t="shared" si="235"/>
        <v>182060.28919205948</v>
      </c>
      <c r="U217" s="110">
        <f t="shared" si="235"/>
        <v>121604.06743676058</v>
      </c>
      <c r="V217" s="110">
        <f t="shared" si="235"/>
        <v>158197.36936677928</v>
      </c>
      <c r="W217" s="110">
        <f t="shared" ref="W217" si="243">IF(W26=0,0,W26*1000000/W80)</f>
        <v>181176.34205962281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196343.81013470172</v>
      </c>
      <c r="C218" s="163">
        <f t="shared" si="235"/>
        <v>197164.64141053133</v>
      </c>
      <c r="D218" s="163">
        <f t="shared" si="235"/>
        <v>209731.63314304003</v>
      </c>
      <c r="E218" s="163">
        <f t="shared" si="235"/>
        <v>164567.40948074783</v>
      </c>
      <c r="F218" s="163">
        <f t="shared" si="235"/>
        <v>135686.96675492791</v>
      </c>
      <c r="G218" s="163">
        <f t="shared" si="235"/>
        <v>138302.53851636604</v>
      </c>
      <c r="H218" s="163">
        <f t="shared" si="235"/>
        <v>140008.19889556055</v>
      </c>
      <c r="I218" s="163">
        <f t="shared" si="235"/>
        <v>146135.71517181493</v>
      </c>
      <c r="J218" s="163">
        <f t="shared" si="235"/>
        <v>154483.53650600842</v>
      </c>
      <c r="K218" s="163">
        <f t="shared" si="235"/>
        <v>144477.28366210737</v>
      </c>
      <c r="L218" s="163">
        <f t="shared" si="235"/>
        <v>144438.41306554011</v>
      </c>
      <c r="M218" s="163">
        <f t="shared" si="234"/>
        <v>154425.7012888552</v>
      </c>
      <c r="N218" s="163">
        <f t="shared" si="235"/>
        <v>153925.26568392184</v>
      </c>
      <c r="O218" s="163">
        <f t="shared" si="235"/>
        <v>178812.06334999131</v>
      </c>
      <c r="P218" s="163">
        <f t="shared" si="235"/>
        <v>176651.74296731452</v>
      </c>
      <c r="Q218" s="163">
        <f t="shared" si="235"/>
        <v>182331.25715012077</v>
      </c>
      <c r="R218" s="163">
        <f t="shared" si="235"/>
        <v>171630.77355705012</v>
      </c>
      <c r="S218" s="163">
        <f t="shared" si="235"/>
        <v>181339.13990201414</v>
      </c>
      <c r="T218" s="163">
        <f t="shared" si="235"/>
        <v>132495.0318645926</v>
      </c>
      <c r="U218" s="163">
        <f t="shared" si="235"/>
        <v>82762.912258867451</v>
      </c>
      <c r="V218" s="163">
        <f t="shared" si="235"/>
        <v>111396.74378748929</v>
      </c>
      <c r="W218" s="163">
        <f t="shared" ref="W218" si="244">IF(W27=0,0,W27*1000000/W81)</f>
        <v>129585.51007520524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1211948.6049330528</v>
      </c>
      <c r="C219" s="86">
        <f t="shared" si="235"/>
        <v>1210930.9895003347</v>
      </c>
      <c r="D219" s="86">
        <f t="shared" si="235"/>
        <v>1218632.8055891711</v>
      </c>
      <c r="E219" s="86">
        <f t="shared" si="235"/>
        <v>1211649.3970700765</v>
      </c>
      <c r="F219" s="86">
        <f t="shared" si="235"/>
        <v>1189318.8491212227</v>
      </c>
      <c r="G219" s="86">
        <f t="shared" si="235"/>
        <v>1190027.1078897</v>
      </c>
      <c r="H219" s="86">
        <f t="shared" si="235"/>
        <v>1197421.2227752449</v>
      </c>
      <c r="I219" s="86">
        <f t="shared" si="235"/>
        <v>1199838.5429584549</v>
      </c>
      <c r="J219" s="86">
        <f t="shared" si="235"/>
        <v>1182743.7793154835</v>
      </c>
      <c r="K219" s="86">
        <f t="shared" si="235"/>
        <v>1167161.705921717</v>
      </c>
      <c r="L219" s="86">
        <f t="shared" si="235"/>
        <v>1205103.1219067767</v>
      </c>
      <c r="M219" s="86">
        <f t="shared" si="234"/>
        <v>1201339.153544321</v>
      </c>
      <c r="N219" s="86">
        <f t="shared" si="235"/>
        <v>1197296.2729908996</v>
      </c>
      <c r="O219" s="86">
        <f t="shared" si="235"/>
        <v>1198807.6502189315</v>
      </c>
      <c r="P219" s="86">
        <f t="shared" si="235"/>
        <v>1201565.1341043683</v>
      </c>
      <c r="Q219" s="86">
        <f t="shared" si="235"/>
        <v>1190378.4964913607</v>
      </c>
      <c r="R219" s="86">
        <f t="shared" si="235"/>
        <v>1184009.8392912087</v>
      </c>
      <c r="S219" s="86">
        <f t="shared" si="235"/>
        <v>1194153.8619706158</v>
      </c>
      <c r="T219" s="86">
        <f t="shared" si="235"/>
        <v>1203318.0374161666</v>
      </c>
      <c r="U219" s="86">
        <f t="shared" si="235"/>
        <v>1198635.6340288925</v>
      </c>
      <c r="V219" s="86">
        <f t="shared" si="235"/>
        <v>1180236.375574524</v>
      </c>
      <c r="W219" s="86">
        <f t="shared" ref="W219" si="245">IF(W28=0,0,W28*1000000/W82)</f>
        <v>1193466.6291185583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7.781955356099924E-3</v>
      </c>
      <c r="C223" s="154">
        <f t="shared" si="250"/>
        <v>7.7472391948433103E-3</v>
      </c>
      <c r="D223" s="154">
        <f t="shared" si="250"/>
        <v>7.3887134470620669E-3</v>
      </c>
      <c r="E223" s="154">
        <f t="shared" si="250"/>
        <v>7.681033877674848E-3</v>
      </c>
      <c r="F223" s="154">
        <f t="shared" si="250"/>
        <v>8.0251003896355307E-3</v>
      </c>
      <c r="G223" s="154">
        <f t="shared" si="250"/>
        <v>8.0752878617272837E-3</v>
      </c>
      <c r="H223" s="154">
        <f t="shared" si="250"/>
        <v>8.0234327401282439E-3</v>
      </c>
      <c r="I223" s="154">
        <f t="shared" si="250"/>
        <v>7.9766249940924558E-3</v>
      </c>
      <c r="J223" s="154">
        <f t="shared" si="250"/>
        <v>8.5851104539902481E-3</v>
      </c>
      <c r="K223" s="154">
        <f t="shared" si="250"/>
        <v>9.2047476328531563E-3</v>
      </c>
      <c r="L223" s="154">
        <f t="shared" ref="L223" si="251">IF(L5=0,0,L5/L$4)</f>
        <v>9.8846689390873557E-3</v>
      </c>
      <c r="M223" s="154">
        <f t="shared" ref="M223:V223" si="252">IF(M5=0,0,M5/M$4)</f>
        <v>1.0220835849622257E-2</v>
      </c>
      <c r="N223" s="154">
        <f t="shared" si="252"/>
        <v>1.0829968948966854E-2</v>
      </c>
      <c r="O223" s="154">
        <f t="shared" si="252"/>
        <v>1.1235988599628198E-2</v>
      </c>
      <c r="P223" s="154">
        <f t="shared" si="252"/>
        <v>1.1192245492638161E-2</v>
      </c>
      <c r="Q223" s="154">
        <f t="shared" si="252"/>
        <v>1.144226452528996E-2</v>
      </c>
      <c r="R223" s="154">
        <f t="shared" si="252"/>
        <v>1.2365536465696372E-2</v>
      </c>
      <c r="S223" s="154">
        <f t="shared" si="252"/>
        <v>1.1896326108297137E-2</v>
      </c>
      <c r="T223" s="154">
        <f t="shared" si="252"/>
        <v>1.1630470972870777E-2</v>
      </c>
      <c r="U223" s="154">
        <f t="shared" si="252"/>
        <v>1.2123093118159919E-2</v>
      </c>
      <c r="V223" s="154">
        <f t="shared" si="252"/>
        <v>1.3604343871417939E-2</v>
      </c>
      <c r="W223" s="154">
        <f t="shared" ref="W223" si="253">IF(W5=0,0,W5/W$4)</f>
        <v>1.3725176656607758E-2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0.64335009523274556</v>
      </c>
      <c r="C224" s="156">
        <f t="shared" si="254"/>
        <v>0.64586827861941232</v>
      </c>
      <c r="D224" s="156">
        <f t="shared" si="254"/>
        <v>0.62835715017826688</v>
      </c>
      <c r="E224" s="156">
        <f t="shared" si="254"/>
        <v>0.67548098137373358</v>
      </c>
      <c r="F224" s="156">
        <f t="shared" si="254"/>
        <v>0.70996043350760341</v>
      </c>
      <c r="G224" s="156">
        <f t="shared" si="254"/>
        <v>0.71362952767183274</v>
      </c>
      <c r="H224" s="156">
        <f t="shared" si="254"/>
        <v>0.73796681826938348</v>
      </c>
      <c r="I224" s="156">
        <f t="shared" si="254"/>
        <v>0.74257924348703308</v>
      </c>
      <c r="J224" s="156">
        <f t="shared" si="254"/>
        <v>0.75087437066546781</v>
      </c>
      <c r="K224" s="156">
        <f t="shared" si="254"/>
        <v>0.80833501056543322</v>
      </c>
      <c r="L224" s="156">
        <f t="shared" ref="L224" si="255">IF(L6=0,0,L6/L$4)</f>
        <v>0.80740717797292438</v>
      </c>
      <c r="M224" s="156">
        <f t="shared" ref="M224:V224" si="256">IF(M6=0,0,M6/M$4)</f>
        <v>0.80760319281705362</v>
      </c>
      <c r="N224" s="156">
        <f t="shared" si="256"/>
        <v>0.81689303293356175</v>
      </c>
      <c r="O224" s="156">
        <f t="shared" si="256"/>
        <v>0.82337986636537319</v>
      </c>
      <c r="P224" s="156">
        <f t="shared" si="256"/>
        <v>0.81537227237979948</v>
      </c>
      <c r="Q224" s="156">
        <f t="shared" si="256"/>
        <v>0.81027149059230197</v>
      </c>
      <c r="R224" s="156">
        <f t="shared" si="256"/>
        <v>0.81245411404383394</v>
      </c>
      <c r="S224" s="156">
        <f t="shared" si="256"/>
        <v>0.83526756776441535</v>
      </c>
      <c r="T224" s="156">
        <f t="shared" si="256"/>
        <v>0.84282503946094145</v>
      </c>
      <c r="U224" s="156">
        <f t="shared" si="256"/>
        <v>0.83267986175299502</v>
      </c>
      <c r="V224" s="156">
        <f t="shared" si="256"/>
        <v>0.89632021936507034</v>
      </c>
      <c r="W224" s="156">
        <f t="shared" ref="W224" si="257">IF(W6=0,0,W6/W$4)</f>
        <v>0.90056969740955284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0.39204652455057537</v>
      </c>
      <c r="C225" s="103">
        <f t="shared" si="258"/>
        <v>0.33720709483948874</v>
      </c>
      <c r="D225" s="103">
        <f t="shared" si="258"/>
        <v>0.31829912374278951</v>
      </c>
      <c r="E225" s="103">
        <f t="shared" si="258"/>
        <v>0.30060482345793865</v>
      </c>
      <c r="F225" s="103">
        <f t="shared" si="258"/>
        <v>0.26188500422513167</v>
      </c>
      <c r="G225" s="103">
        <f t="shared" si="258"/>
        <v>0.22970992494261924</v>
      </c>
      <c r="H225" s="103">
        <f t="shared" si="258"/>
        <v>0.23705249601739561</v>
      </c>
      <c r="I225" s="103">
        <f t="shared" si="258"/>
        <v>0.23947745473586329</v>
      </c>
      <c r="J225" s="103">
        <f t="shared" si="258"/>
        <v>0.22672897641379069</v>
      </c>
      <c r="K225" s="103">
        <f t="shared" si="258"/>
        <v>0.25052340253621302</v>
      </c>
      <c r="L225" s="103">
        <f t="shared" ref="L225" si="259">IF(L7=0,0,L7/L$4)</f>
        <v>0.23482589366891105</v>
      </c>
      <c r="M225" s="103">
        <f t="shared" ref="M225:V225" si="260">IF(M7=0,0,M7/M$4)</f>
        <v>0.21945256528606411</v>
      </c>
      <c r="N225" s="103">
        <f t="shared" si="260"/>
        <v>0.19667852057569304</v>
      </c>
      <c r="O225" s="103">
        <f t="shared" si="260"/>
        <v>0.18876667308100545</v>
      </c>
      <c r="P225" s="103">
        <f t="shared" si="260"/>
        <v>0.18098979831864112</v>
      </c>
      <c r="Q225" s="103">
        <f t="shared" si="260"/>
        <v>0.16793454089487081</v>
      </c>
      <c r="R225" s="103">
        <f t="shared" si="260"/>
        <v>0.16095075961101935</v>
      </c>
      <c r="S225" s="103">
        <f t="shared" si="260"/>
        <v>0.16883936346751882</v>
      </c>
      <c r="T225" s="103">
        <f t="shared" si="260"/>
        <v>0.16229240831631994</v>
      </c>
      <c r="U225" s="103">
        <f t="shared" si="260"/>
        <v>0.15620231243738897</v>
      </c>
      <c r="V225" s="103">
        <f t="shared" si="260"/>
        <v>0.16989191415733806</v>
      </c>
      <c r="W225" s="103">
        <f t="shared" ref="W225" si="261">IF(W7=0,0,W7/W$4)</f>
        <v>0.16939197273241582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0.13158255207050121</v>
      </c>
      <c r="C226" s="103">
        <f t="shared" si="262"/>
        <v>0.15695854635809323</v>
      </c>
      <c r="D226" s="103">
        <f t="shared" si="262"/>
        <v>0.14874176671621275</v>
      </c>
      <c r="E226" s="103">
        <f t="shared" si="262"/>
        <v>0.20399336139358207</v>
      </c>
      <c r="F226" s="103">
        <f t="shared" si="262"/>
        <v>0.27132344966010352</v>
      </c>
      <c r="G226" s="103">
        <f t="shared" si="262"/>
        <v>0.28279715098672498</v>
      </c>
      <c r="H226" s="103">
        <f t="shared" si="262"/>
        <v>0.29226556707649598</v>
      </c>
      <c r="I226" s="103">
        <f t="shared" si="262"/>
        <v>0.31424454542461877</v>
      </c>
      <c r="J226" s="103">
        <f t="shared" si="262"/>
        <v>0.34999286673067898</v>
      </c>
      <c r="K226" s="103">
        <f t="shared" si="262"/>
        <v>0.37361557962232606</v>
      </c>
      <c r="L226" s="103">
        <f t="shared" ref="L226" si="263">IF(L8=0,0,L8/L$4)</f>
        <v>0.38066626156367822</v>
      </c>
      <c r="M226" s="103">
        <f t="shared" ref="M226:V226" si="264">IF(M8=0,0,M8/M$4)</f>
        <v>0.41816723232819847</v>
      </c>
      <c r="N226" s="103">
        <f t="shared" si="264"/>
        <v>0.44515709542407511</v>
      </c>
      <c r="O226" s="103">
        <f t="shared" si="264"/>
        <v>0.45273691103787389</v>
      </c>
      <c r="P226" s="103">
        <f t="shared" si="264"/>
        <v>0.44027027501896349</v>
      </c>
      <c r="Q226" s="103">
        <f t="shared" si="264"/>
        <v>0.45023201800915541</v>
      </c>
      <c r="R226" s="103">
        <f t="shared" si="264"/>
        <v>0.45296526204616588</v>
      </c>
      <c r="S226" s="103">
        <f t="shared" si="264"/>
        <v>0.4699936474371102</v>
      </c>
      <c r="T226" s="103">
        <f t="shared" si="264"/>
        <v>0.49571257500355859</v>
      </c>
      <c r="U226" s="103">
        <f t="shared" si="264"/>
        <v>0.50346753129119781</v>
      </c>
      <c r="V226" s="103">
        <f t="shared" si="264"/>
        <v>0.54941001095091457</v>
      </c>
      <c r="W226" s="103">
        <f t="shared" ref="W226" si="265">IF(W8=0,0,W8/W$4)</f>
        <v>0.56671030174420689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0.11972101861166887</v>
      </c>
      <c r="C227" s="103">
        <f t="shared" si="266"/>
        <v>0.15170263742183043</v>
      </c>
      <c r="D227" s="103">
        <f t="shared" si="266"/>
        <v>0.16131625971926461</v>
      </c>
      <c r="E227" s="103">
        <f t="shared" si="266"/>
        <v>0.17088279652221289</v>
      </c>
      <c r="F227" s="103">
        <f t="shared" si="266"/>
        <v>0.17491701745431054</v>
      </c>
      <c r="G227" s="103">
        <f t="shared" si="266"/>
        <v>0.19507452925675034</v>
      </c>
      <c r="H227" s="103">
        <f t="shared" si="266"/>
        <v>0.20157032283712578</v>
      </c>
      <c r="I227" s="103">
        <f t="shared" si="266"/>
        <v>0.17863944971751139</v>
      </c>
      <c r="J227" s="103">
        <f t="shared" si="266"/>
        <v>0.16516830627747198</v>
      </c>
      <c r="K227" s="103">
        <f t="shared" si="266"/>
        <v>0.17102835979040432</v>
      </c>
      <c r="L227" s="103">
        <f t="shared" ref="L227" si="267">IF(L9=0,0,L9/L$4)</f>
        <v>0.17249310974685853</v>
      </c>
      <c r="M227" s="103">
        <f t="shared" ref="M227:V227" si="268">IF(M9=0,0,M9/M$4)</f>
        <v>0.1524907672473037</v>
      </c>
      <c r="N227" s="103">
        <f t="shared" si="268"/>
        <v>0.15689500632147815</v>
      </c>
      <c r="O227" s="103">
        <f t="shared" si="268"/>
        <v>0.16248072237634512</v>
      </c>
      <c r="P227" s="103">
        <f t="shared" si="268"/>
        <v>0.16880202365199312</v>
      </c>
      <c r="Q227" s="103">
        <f t="shared" si="268"/>
        <v>0.17195098357964556</v>
      </c>
      <c r="R227" s="103">
        <f t="shared" si="268"/>
        <v>0.17999497954758256</v>
      </c>
      <c r="S227" s="103">
        <f t="shared" si="268"/>
        <v>0.17723511575474263</v>
      </c>
      <c r="T227" s="103">
        <f t="shared" si="268"/>
        <v>0.16481251648896889</v>
      </c>
      <c r="U227" s="103">
        <f t="shared" si="268"/>
        <v>0.15246547187438012</v>
      </c>
      <c r="V227" s="103">
        <f t="shared" si="268"/>
        <v>0.15347142019288096</v>
      </c>
      <c r="W227" s="103">
        <f t="shared" ref="W227" si="269">IF(W9=0,0,W9/W$4)</f>
        <v>0.14327098365408922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1.834962168057715E-3</v>
      </c>
      <c r="G228" s="103">
        <f t="shared" si="270"/>
        <v>6.0479224857381414E-3</v>
      </c>
      <c r="H228" s="103">
        <f t="shared" si="270"/>
        <v>7.0784323383661293E-3</v>
      </c>
      <c r="I228" s="103">
        <f t="shared" si="270"/>
        <v>1.0217793609039644E-2</v>
      </c>
      <c r="J228" s="103">
        <f t="shared" si="270"/>
        <v>8.9842212435262501E-3</v>
      </c>
      <c r="K228" s="103">
        <f t="shared" si="270"/>
        <v>1.3167668616489811E-2</v>
      </c>
      <c r="L228" s="103">
        <f t="shared" ref="L228" si="271">IF(L10=0,0,L10/L$4)</f>
        <v>1.942191299347662E-2</v>
      </c>
      <c r="M228" s="103">
        <f t="shared" ref="M228:V228" si="272">IF(M10=0,0,M10/M$4)</f>
        <v>1.7492627955487325E-2</v>
      </c>
      <c r="N228" s="103">
        <f t="shared" si="272"/>
        <v>1.8161271590611715E-2</v>
      </c>
      <c r="O228" s="103">
        <f t="shared" si="272"/>
        <v>1.9394554575809485E-2</v>
      </c>
      <c r="P228" s="103">
        <f t="shared" si="272"/>
        <v>2.530855507242261E-2</v>
      </c>
      <c r="Q228" s="103">
        <f t="shared" si="272"/>
        <v>2.0147541802251118E-2</v>
      </c>
      <c r="R228" s="103">
        <f t="shared" si="272"/>
        <v>1.8523732617639531E-2</v>
      </c>
      <c r="S228" s="103">
        <f t="shared" si="272"/>
        <v>1.912951762016547E-2</v>
      </c>
      <c r="T228" s="103">
        <f t="shared" si="272"/>
        <v>1.9834258581162258E-2</v>
      </c>
      <c r="U228" s="103">
        <f t="shared" si="272"/>
        <v>2.0195134843563629E-2</v>
      </c>
      <c r="V228" s="103">
        <f t="shared" si="272"/>
        <v>2.2942545968544743E-2</v>
      </c>
      <c r="W228" s="103">
        <f t="shared" ref="W228" si="273">IF(W10=0,0,W10/W$4)</f>
        <v>2.0397642053549651E-2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1.1390217036521149E-6</v>
      </c>
      <c r="O229" s="103">
        <f t="shared" si="276"/>
        <v>1.0052943391105298E-6</v>
      </c>
      <c r="P229" s="103">
        <f t="shared" si="276"/>
        <v>1.6203177792065083E-6</v>
      </c>
      <c r="Q229" s="103">
        <f t="shared" si="276"/>
        <v>6.4063063790526672E-6</v>
      </c>
      <c r="R229" s="103">
        <f t="shared" si="276"/>
        <v>1.0660856853289173E-5</v>
      </c>
      <c r="S229" s="103">
        <f t="shared" si="276"/>
        <v>3.7172892932497537E-5</v>
      </c>
      <c r="T229" s="103">
        <f t="shared" si="276"/>
        <v>7.0703467415305995E-5</v>
      </c>
      <c r="U229" s="103">
        <f t="shared" si="276"/>
        <v>1.8528897160692776E-4</v>
      </c>
      <c r="V229" s="103">
        <f t="shared" si="276"/>
        <v>2.8573383024985019E-4</v>
      </c>
      <c r="W229" s="103">
        <f t="shared" ref="W229" si="277">IF(W11=0,0,W11/W$4)</f>
        <v>3.9273810133584922E-4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0</v>
      </c>
      <c r="O230" s="103">
        <f t="shared" si="280"/>
        <v>0</v>
      </c>
      <c r="P230" s="103">
        <f t="shared" si="280"/>
        <v>0</v>
      </c>
      <c r="Q230" s="103">
        <f t="shared" si="280"/>
        <v>0</v>
      </c>
      <c r="R230" s="103">
        <f t="shared" si="280"/>
        <v>8.7193645733765595E-6</v>
      </c>
      <c r="S230" s="103">
        <f t="shared" si="280"/>
        <v>3.2750591945685357E-5</v>
      </c>
      <c r="T230" s="103">
        <f t="shared" si="280"/>
        <v>1.0257760351645981E-4</v>
      </c>
      <c r="U230" s="103">
        <f t="shared" si="280"/>
        <v>1.6412233485756575E-4</v>
      </c>
      <c r="V230" s="103">
        <f t="shared" si="280"/>
        <v>3.1859426514214934E-4</v>
      </c>
      <c r="W230" s="103">
        <f t="shared" ref="W230" si="281">IF(W12=0,0,W12/W$4)</f>
        <v>4.0605912395544737E-4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0.34886794941115462</v>
      </c>
      <c r="C231" s="156">
        <f t="shared" si="282"/>
        <v>0.34638448218574436</v>
      </c>
      <c r="D231" s="156">
        <f t="shared" si="282"/>
        <v>0.36425413637467113</v>
      </c>
      <c r="E231" s="156">
        <f t="shared" si="282"/>
        <v>0.31683798474859171</v>
      </c>
      <c r="F231" s="156">
        <f t="shared" si="282"/>
        <v>0.28201446610276115</v>
      </c>
      <c r="G231" s="156">
        <f t="shared" si="282"/>
        <v>0.27829518446644008</v>
      </c>
      <c r="H231" s="156">
        <f t="shared" si="282"/>
        <v>0.25400974899048834</v>
      </c>
      <c r="I231" s="156">
        <f t="shared" si="282"/>
        <v>0.2494441315188744</v>
      </c>
      <c r="J231" s="156">
        <f t="shared" si="282"/>
        <v>0.24054051888054193</v>
      </c>
      <c r="K231" s="156">
        <f t="shared" si="282"/>
        <v>0.18246024180171366</v>
      </c>
      <c r="L231" s="156">
        <f t="shared" ref="L231" si="283">IF(L13=0,0,L13/L$4)</f>
        <v>0.18270815308798824</v>
      </c>
      <c r="M231" s="156">
        <f t="shared" ref="M231:V231" si="284">IF(M13=0,0,M13/M$4)</f>
        <v>0.18217597133332411</v>
      </c>
      <c r="N231" s="156">
        <f t="shared" si="284"/>
        <v>0.17227699811747138</v>
      </c>
      <c r="O231" s="156">
        <f t="shared" si="284"/>
        <v>0.16538414503499863</v>
      </c>
      <c r="P231" s="156">
        <f t="shared" si="284"/>
        <v>0.17343548212756241</v>
      </c>
      <c r="Q231" s="156">
        <f t="shared" si="284"/>
        <v>0.17828624488240818</v>
      </c>
      <c r="R231" s="156">
        <f t="shared" si="284"/>
        <v>0.17518034949046976</v>
      </c>
      <c r="S231" s="156">
        <f t="shared" si="284"/>
        <v>0.15283610612728743</v>
      </c>
      <c r="T231" s="156">
        <f t="shared" si="284"/>
        <v>0.14554448956618768</v>
      </c>
      <c r="U231" s="156">
        <f t="shared" si="284"/>
        <v>0.15519704512884522</v>
      </c>
      <c r="V231" s="156">
        <f t="shared" si="284"/>
        <v>9.0075436763511693E-2</v>
      </c>
      <c r="W231" s="156">
        <f t="shared" ref="W231" si="285">IF(W13=0,0,W13/W$4)</f>
        <v>8.5705125933839416E-2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0.34886794941115462</v>
      </c>
      <c r="C233" s="103">
        <f t="shared" si="290"/>
        <v>0.34638448218574436</v>
      </c>
      <c r="D233" s="103">
        <f t="shared" si="290"/>
        <v>0.36425413637467113</v>
      </c>
      <c r="E233" s="103">
        <f t="shared" si="290"/>
        <v>0.31683798474859171</v>
      </c>
      <c r="F233" s="103">
        <f t="shared" si="290"/>
        <v>0.28009659276562282</v>
      </c>
      <c r="G233" s="103">
        <f t="shared" si="290"/>
        <v>0.27419970073821209</v>
      </c>
      <c r="H233" s="103">
        <f t="shared" si="290"/>
        <v>0.2469690365687609</v>
      </c>
      <c r="I233" s="103">
        <f t="shared" si="290"/>
        <v>0.23940598510858135</v>
      </c>
      <c r="J233" s="103">
        <f t="shared" si="290"/>
        <v>0.2299501773229663</v>
      </c>
      <c r="K233" s="103">
        <f t="shared" si="290"/>
        <v>0.17103387194455405</v>
      </c>
      <c r="L233" s="103">
        <f t="shared" ref="L233" si="291">IF(L15=0,0,L15/L$4)</f>
        <v>0.16606561650881344</v>
      </c>
      <c r="M233" s="103">
        <f t="shared" ref="M233:V233" si="292">IF(M15=0,0,M15/M$4)</f>
        <v>0.16637822014044429</v>
      </c>
      <c r="N233" s="103">
        <f t="shared" si="292"/>
        <v>0.15707659926866446</v>
      </c>
      <c r="O233" s="103">
        <f t="shared" si="292"/>
        <v>0.13686863521184225</v>
      </c>
      <c r="P233" s="103">
        <f t="shared" si="292"/>
        <v>0.14069679426738527</v>
      </c>
      <c r="Q233" s="103">
        <f t="shared" si="292"/>
        <v>0.14687506880724679</v>
      </c>
      <c r="R233" s="103">
        <f t="shared" si="292"/>
        <v>0.14670171076796665</v>
      </c>
      <c r="S233" s="103">
        <f t="shared" si="292"/>
        <v>0.12572298873094881</v>
      </c>
      <c r="T233" s="103">
        <f t="shared" si="292"/>
        <v>0.11839561319253976</v>
      </c>
      <c r="U233" s="103">
        <f t="shared" si="292"/>
        <v>0.12419626134168742</v>
      </c>
      <c r="V233" s="103">
        <f t="shared" si="292"/>
        <v>7.1590107607223508E-2</v>
      </c>
      <c r="W233" s="103">
        <f t="shared" ref="W233" si="293">IF(W15=0,0,W15/W$4)</f>
        <v>6.6460866743178706E-2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1.9178733371383353E-3</v>
      </c>
      <c r="G235" s="103">
        <f t="shared" si="298"/>
        <v>4.0954837282280079E-3</v>
      </c>
      <c r="H235" s="103">
        <f t="shared" si="298"/>
        <v>7.0407124217273841E-3</v>
      </c>
      <c r="I235" s="103">
        <f t="shared" si="298"/>
        <v>1.0038146410293063E-2</v>
      </c>
      <c r="J235" s="103">
        <f t="shared" si="298"/>
        <v>1.0442068113366062E-2</v>
      </c>
      <c r="K235" s="103">
        <f t="shared" si="298"/>
        <v>1.1128706901638575E-2</v>
      </c>
      <c r="L235" s="103">
        <f t="shared" ref="L235" si="299">IF(L17=0,0,L17/L$4)</f>
        <v>1.599801255142631E-2</v>
      </c>
      <c r="M235" s="103">
        <f t="shared" ref="M235:V235" si="300">IF(M17=0,0,M17/M$4)</f>
        <v>1.5154596218164338E-2</v>
      </c>
      <c r="N235" s="103">
        <f t="shared" si="300"/>
        <v>1.4486461046074825E-2</v>
      </c>
      <c r="O235" s="103">
        <f t="shared" si="300"/>
        <v>2.2964037420563736E-2</v>
      </c>
      <c r="P235" s="103">
        <f t="shared" si="300"/>
        <v>2.5329728768994735E-2</v>
      </c>
      <c r="Q235" s="103">
        <f t="shared" si="300"/>
        <v>2.3666104712152022E-2</v>
      </c>
      <c r="R235" s="103">
        <f t="shared" si="300"/>
        <v>2.0415261794194704E-2</v>
      </c>
      <c r="S235" s="103">
        <f t="shared" si="300"/>
        <v>1.9743936363101802E-2</v>
      </c>
      <c r="T235" s="103">
        <f t="shared" si="300"/>
        <v>2.0273789022455413E-2</v>
      </c>
      <c r="U235" s="103">
        <f t="shared" si="300"/>
        <v>2.4352044700132452E-2</v>
      </c>
      <c r="V235" s="103">
        <f t="shared" si="300"/>
        <v>1.480430796808261E-2</v>
      </c>
      <c r="W235" s="103">
        <f t="shared" ref="W235" si="301">IF(W17=0,0,W17/W$4)</f>
        <v>1.531746235962665E-2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1.482734442095717E-4</v>
      </c>
      <c r="K236" s="103">
        <f t="shared" si="302"/>
        <v>2.976629555210281E-4</v>
      </c>
      <c r="L236" s="103">
        <f t="shared" ref="L236" si="303">IF(L18=0,0,L18/L$4)</f>
        <v>6.4452402774846601E-4</v>
      </c>
      <c r="M236" s="103">
        <f t="shared" ref="M236:V236" si="304">IF(M18=0,0,M18/M$4)</f>
        <v>6.4315497471549858E-4</v>
      </c>
      <c r="N236" s="103">
        <f t="shared" si="304"/>
        <v>7.1393780273205985E-4</v>
      </c>
      <c r="O236" s="103">
        <f t="shared" si="304"/>
        <v>5.5514724025926381E-3</v>
      </c>
      <c r="P236" s="103">
        <f t="shared" si="304"/>
        <v>7.4089590911824007E-3</v>
      </c>
      <c r="Q236" s="103">
        <f t="shared" si="304"/>
        <v>7.7450713630093917E-3</v>
      </c>
      <c r="R236" s="103">
        <f t="shared" si="304"/>
        <v>8.0633769283083839E-3</v>
      </c>
      <c r="S236" s="103">
        <f t="shared" si="304"/>
        <v>7.3691810332368124E-3</v>
      </c>
      <c r="T236" s="103">
        <f t="shared" si="304"/>
        <v>6.8750873511925249E-3</v>
      </c>
      <c r="U236" s="103">
        <f t="shared" si="304"/>
        <v>6.6487390870253382E-3</v>
      </c>
      <c r="V236" s="103">
        <f t="shared" si="304"/>
        <v>3.6810211882055753E-3</v>
      </c>
      <c r="W236" s="103">
        <f t="shared" ref="W236" si="305">IF(W18=0,0,W18/W$4)</f>
        <v>3.9267968310340677E-3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5.3496664488521424E-2</v>
      </c>
      <c r="C238" s="154">
        <f t="shared" si="310"/>
        <v>4.7922026303706858E-2</v>
      </c>
      <c r="D238" s="154">
        <f t="shared" si="310"/>
        <v>4.3905841969227588E-2</v>
      </c>
      <c r="E238" s="154">
        <f t="shared" si="310"/>
        <v>4.4535364828893816E-2</v>
      </c>
      <c r="F238" s="154">
        <f t="shared" si="310"/>
        <v>4.836351603079387E-2</v>
      </c>
      <c r="G238" s="154">
        <f t="shared" si="310"/>
        <v>4.3479946853175203E-2</v>
      </c>
      <c r="H238" s="154">
        <f t="shared" si="310"/>
        <v>4.9397285614545976E-2</v>
      </c>
      <c r="I238" s="154">
        <f t="shared" si="310"/>
        <v>5.7897373174821451E-2</v>
      </c>
      <c r="J238" s="154">
        <f t="shared" si="310"/>
        <v>6.6508590172055376E-2</v>
      </c>
      <c r="K238" s="154">
        <f t="shared" si="310"/>
        <v>7.4670884161465959E-2</v>
      </c>
      <c r="L238" s="154">
        <f t="shared" ref="L238" si="311">IF(L20=0,0,L20/L$19)</f>
        <v>7.314501593775459E-2</v>
      </c>
      <c r="M238" s="154">
        <f t="shared" ref="M238:V238" si="312">IF(M20=0,0,M20/M$19)</f>
        <v>7.4215366616833131E-2</v>
      </c>
      <c r="N238" s="154">
        <f t="shared" si="312"/>
        <v>8.1437328298090111E-2</v>
      </c>
      <c r="O238" s="154">
        <f t="shared" si="312"/>
        <v>6.9994684887607919E-2</v>
      </c>
      <c r="P238" s="154">
        <f t="shared" si="312"/>
        <v>7.6792902173535502E-2</v>
      </c>
      <c r="Q238" s="154">
        <f t="shared" si="312"/>
        <v>7.8806245560065546E-2</v>
      </c>
      <c r="R238" s="154">
        <f t="shared" si="312"/>
        <v>7.8020735374940961E-2</v>
      </c>
      <c r="S238" s="154">
        <f t="shared" si="312"/>
        <v>6.2593298936252886E-2</v>
      </c>
      <c r="T238" s="154">
        <f t="shared" si="312"/>
        <v>6.693355531049569E-2</v>
      </c>
      <c r="U238" s="154">
        <f t="shared" si="312"/>
        <v>8.1807326720892873E-2</v>
      </c>
      <c r="V238" s="154">
        <f t="shared" si="312"/>
        <v>6.2912142708000163E-2</v>
      </c>
      <c r="W238" s="154">
        <f t="shared" ref="W238" si="313">IF(W20=0,0,W20/W$19)</f>
        <v>5.0129588592173042E-2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7.8526357774138366E-3</v>
      </c>
      <c r="C239" s="103">
        <f t="shared" si="314"/>
        <v>7.5156876753930627E-3</v>
      </c>
      <c r="D239" s="103">
        <f t="shared" si="314"/>
        <v>6.9539843011675387E-3</v>
      </c>
      <c r="E239" s="103">
        <f t="shared" si="314"/>
        <v>6.5919617568951441E-3</v>
      </c>
      <c r="F239" s="103">
        <f t="shared" si="314"/>
        <v>6.1994831329790622E-3</v>
      </c>
      <c r="G239" s="103">
        <f t="shared" si="314"/>
        <v>5.4178242635717286E-3</v>
      </c>
      <c r="H239" s="103">
        <f t="shared" si="314"/>
        <v>4.7831658125791513E-3</v>
      </c>
      <c r="I239" s="103">
        <f t="shared" si="314"/>
        <v>4.3680929841512705E-3</v>
      </c>
      <c r="J239" s="103">
        <f t="shared" si="314"/>
        <v>4.042912150587415E-3</v>
      </c>
      <c r="K239" s="103">
        <f t="shared" si="314"/>
        <v>3.7974020101396639E-3</v>
      </c>
      <c r="L239" s="103">
        <f t="shared" ref="L239" si="315">IF(L21=0,0,L21/L$19)</f>
        <v>2.9025374049589836E-3</v>
      </c>
      <c r="M239" s="103">
        <f t="shared" ref="M239:V239" si="316">IF(M21=0,0,M21/M$19)</f>
        <v>2.8971319994142881E-3</v>
      </c>
      <c r="N239" s="103">
        <f t="shared" si="316"/>
        <v>2.9189191399604866E-3</v>
      </c>
      <c r="O239" s="103">
        <f t="shared" si="316"/>
        <v>2.3676657055333485E-3</v>
      </c>
      <c r="P239" s="103">
        <f t="shared" si="316"/>
        <v>2.3876884584781563E-3</v>
      </c>
      <c r="Q239" s="103">
        <f t="shared" si="316"/>
        <v>2.731853917214689E-3</v>
      </c>
      <c r="R239" s="103">
        <f t="shared" si="316"/>
        <v>2.8034794562475673E-3</v>
      </c>
      <c r="S239" s="103">
        <f t="shared" si="316"/>
        <v>2.6899239799039075E-3</v>
      </c>
      <c r="T239" s="103">
        <f t="shared" si="316"/>
        <v>3.0394178367127238E-3</v>
      </c>
      <c r="U239" s="103">
        <f t="shared" si="316"/>
        <v>3.823889440493341E-3</v>
      </c>
      <c r="V239" s="103">
        <f t="shared" si="316"/>
        <v>3.0412830066526429E-3</v>
      </c>
      <c r="W239" s="103">
        <f t="shared" ref="W239" si="317">IF(W21=0,0,W21/W$19)</f>
        <v>2.5072191841209826E-3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4.5644028711107586E-2</v>
      </c>
      <c r="C240" s="103">
        <f t="shared" si="318"/>
        <v>4.0406338628313797E-2</v>
      </c>
      <c r="D240" s="103">
        <f t="shared" si="318"/>
        <v>3.6951857668060056E-2</v>
      </c>
      <c r="E240" s="103">
        <f t="shared" si="318"/>
        <v>3.7943403071998665E-2</v>
      </c>
      <c r="F240" s="103">
        <f t="shared" si="318"/>
        <v>4.2164032897814806E-2</v>
      </c>
      <c r="G240" s="103">
        <f t="shared" si="318"/>
        <v>3.8062122589603474E-2</v>
      </c>
      <c r="H240" s="103">
        <f t="shared" si="318"/>
        <v>4.461411980196682E-2</v>
      </c>
      <c r="I240" s="103">
        <f t="shared" si="318"/>
        <v>5.352928019067018E-2</v>
      </c>
      <c r="J240" s="103">
        <f t="shared" si="318"/>
        <v>6.2465678021467963E-2</v>
      </c>
      <c r="K240" s="103">
        <f t="shared" si="318"/>
        <v>7.08734821513263E-2</v>
      </c>
      <c r="L240" s="103">
        <f t="shared" ref="L240" si="319">IF(L22=0,0,L22/L$19)</f>
        <v>7.024247853279561E-2</v>
      </c>
      <c r="M240" s="103">
        <f t="shared" ref="M240:V240" si="320">IF(M22=0,0,M22/M$19)</f>
        <v>7.1318234617418846E-2</v>
      </c>
      <c r="N240" s="103">
        <f t="shared" si="320"/>
        <v>7.8511469124443331E-2</v>
      </c>
      <c r="O240" s="103">
        <f t="shared" si="320"/>
        <v>6.7620883577130961E-2</v>
      </c>
      <c r="P240" s="103">
        <f t="shared" si="320"/>
        <v>7.4398558845168342E-2</v>
      </c>
      <c r="Q240" s="103">
        <f t="shared" si="320"/>
        <v>7.6066610849061453E-2</v>
      </c>
      <c r="R240" s="103">
        <f t="shared" si="320"/>
        <v>7.5206759688628333E-2</v>
      </c>
      <c r="S240" s="103">
        <f t="shared" si="320"/>
        <v>5.989245100249023E-2</v>
      </c>
      <c r="T240" s="103">
        <f t="shared" si="320"/>
        <v>6.3880023090297708E-2</v>
      </c>
      <c r="U240" s="103">
        <f t="shared" si="320"/>
        <v>7.7959221552238084E-2</v>
      </c>
      <c r="V240" s="103">
        <f t="shared" si="320"/>
        <v>5.9849227869089763E-2</v>
      </c>
      <c r="W240" s="103">
        <f t="shared" ref="W240" si="321">IF(W22=0,0,W22/W$19)</f>
        <v>4.760252730847666E-2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6.9400336862791897E-6</v>
      </c>
      <c r="O243" s="103">
        <f t="shared" si="332"/>
        <v>6.1356049436006184E-6</v>
      </c>
      <c r="P243" s="103">
        <f t="shared" si="332"/>
        <v>6.6548698890121532E-6</v>
      </c>
      <c r="Q243" s="103">
        <f t="shared" si="332"/>
        <v>7.7807937894166609E-6</v>
      </c>
      <c r="R243" s="103">
        <f t="shared" si="332"/>
        <v>1.0496230065057129E-5</v>
      </c>
      <c r="S243" s="103">
        <f t="shared" si="332"/>
        <v>1.0923953858748189E-5</v>
      </c>
      <c r="T243" s="103">
        <f t="shared" si="332"/>
        <v>1.4114383485256912E-5</v>
      </c>
      <c r="U243" s="103">
        <f t="shared" si="332"/>
        <v>2.4215728161450672E-5</v>
      </c>
      <c r="V243" s="103">
        <f t="shared" si="332"/>
        <v>2.1631832257752386E-5</v>
      </c>
      <c r="W243" s="103">
        <f t="shared" ref="W243" si="333">IF(W25=0,0,W25/W$19)</f>
        <v>1.9842099575394748E-5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0.94650333551147858</v>
      </c>
      <c r="C244" s="156">
        <f t="shared" si="334"/>
        <v>0.9520779736962931</v>
      </c>
      <c r="D244" s="156">
        <f t="shared" si="334"/>
        <v>0.95609415803077247</v>
      </c>
      <c r="E244" s="156">
        <f t="shared" si="334"/>
        <v>0.95546463517110625</v>
      </c>
      <c r="F244" s="156">
        <f t="shared" si="334"/>
        <v>0.95163648396920619</v>
      </c>
      <c r="G244" s="156">
        <f t="shared" si="334"/>
        <v>0.95652005314682476</v>
      </c>
      <c r="H244" s="156">
        <f t="shared" si="334"/>
        <v>0.95060271438545396</v>
      </c>
      <c r="I244" s="156">
        <f t="shared" si="334"/>
        <v>0.94210262682517854</v>
      </c>
      <c r="J244" s="156">
        <f t="shared" si="334"/>
        <v>0.93349140982794465</v>
      </c>
      <c r="K244" s="156">
        <f t="shared" si="334"/>
        <v>0.92532911583853406</v>
      </c>
      <c r="L244" s="156">
        <f t="shared" ref="L244" si="335">IF(L26=0,0,L26/L$19)</f>
        <v>0.92685498406224531</v>
      </c>
      <c r="M244" s="156">
        <f t="shared" ref="M244:V244" si="336">IF(M26=0,0,M26/M$19)</f>
        <v>0.92578463338316686</v>
      </c>
      <c r="N244" s="156">
        <f t="shared" si="336"/>
        <v>0.91856267170190986</v>
      </c>
      <c r="O244" s="156">
        <f t="shared" si="336"/>
        <v>0.93000531511239215</v>
      </c>
      <c r="P244" s="156">
        <f t="shared" si="336"/>
        <v>0.92320709782646448</v>
      </c>
      <c r="Q244" s="156">
        <f t="shared" si="336"/>
        <v>0.92119375443993445</v>
      </c>
      <c r="R244" s="156">
        <f t="shared" si="336"/>
        <v>0.92197926462505908</v>
      </c>
      <c r="S244" s="156">
        <f t="shared" si="336"/>
        <v>0.93740670106374713</v>
      </c>
      <c r="T244" s="156">
        <f t="shared" si="336"/>
        <v>0.93306644468950428</v>
      </c>
      <c r="U244" s="156">
        <f t="shared" si="336"/>
        <v>0.91819267327910703</v>
      </c>
      <c r="V244" s="156">
        <f t="shared" si="336"/>
        <v>0.93708785729199984</v>
      </c>
      <c r="W244" s="156">
        <f t="shared" ref="W244" si="337">IF(W26=0,0,W26/W$19)</f>
        <v>0.94987041140782702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0.39346494902756723</v>
      </c>
      <c r="C245" s="103">
        <f t="shared" si="338"/>
        <v>0.39796140341221431</v>
      </c>
      <c r="D245" s="103">
        <f t="shared" si="338"/>
        <v>0.42652818259324637</v>
      </c>
      <c r="E245" s="103">
        <f t="shared" si="338"/>
        <v>0.45904995621000483</v>
      </c>
      <c r="F245" s="103">
        <f t="shared" si="338"/>
        <v>0.42330431188336243</v>
      </c>
      <c r="G245" s="103">
        <f t="shared" si="338"/>
        <v>0.43841446064074469</v>
      </c>
      <c r="H245" s="103">
        <f t="shared" si="338"/>
        <v>0.50298582448275153</v>
      </c>
      <c r="I245" s="103">
        <f t="shared" si="338"/>
        <v>0.53152272845744952</v>
      </c>
      <c r="J245" s="103">
        <f t="shared" si="338"/>
        <v>0.68055471782729204</v>
      </c>
      <c r="K245" s="103">
        <f t="shared" si="338"/>
        <v>0.6671356508259163</v>
      </c>
      <c r="L245" s="103">
        <f t="shared" ref="L245" si="339">IF(L27=0,0,L27/L$19)</f>
        <v>0.63776236842985168</v>
      </c>
      <c r="M245" s="103">
        <f t="shared" ref="M245:V245" si="340">IF(M27=0,0,M27/M$19)</f>
        <v>0.62022333998214296</v>
      </c>
      <c r="N245" s="103">
        <f t="shared" si="340"/>
        <v>0.62306227994410723</v>
      </c>
      <c r="O245" s="103">
        <f t="shared" si="340"/>
        <v>0.6105489086554392</v>
      </c>
      <c r="P245" s="103">
        <f t="shared" si="340"/>
        <v>0.60928387665797368</v>
      </c>
      <c r="Q245" s="103">
        <f t="shared" si="340"/>
        <v>0.59101096015210175</v>
      </c>
      <c r="R245" s="103">
        <f t="shared" si="340"/>
        <v>0.60428981741303223</v>
      </c>
      <c r="S245" s="103">
        <f t="shared" si="340"/>
        <v>0.64862261256377818</v>
      </c>
      <c r="T245" s="103">
        <f t="shared" si="340"/>
        <v>0.64761158424379672</v>
      </c>
      <c r="U245" s="103">
        <f t="shared" si="340"/>
        <v>0.6031637834232958</v>
      </c>
      <c r="V245" s="103">
        <f t="shared" si="340"/>
        <v>0.63096965220660772</v>
      </c>
      <c r="W245" s="103">
        <f t="shared" ref="W245" si="341">IF(W27=0,0,W27/W$19)</f>
        <v>0.64644455751875107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0.55303838648391135</v>
      </c>
      <c r="C246" s="105">
        <f t="shared" si="342"/>
        <v>0.55411657028407879</v>
      </c>
      <c r="D246" s="105">
        <f t="shared" si="342"/>
        <v>0.52956597543752604</v>
      </c>
      <c r="E246" s="105">
        <f t="shared" si="342"/>
        <v>0.49641467896110142</v>
      </c>
      <c r="F246" s="105">
        <f t="shared" si="342"/>
        <v>0.52833217208584371</v>
      </c>
      <c r="G246" s="105">
        <f t="shared" si="342"/>
        <v>0.51810559250608013</v>
      </c>
      <c r="H246" s="105">
        <f t="shared" si="342"/>
        <v>0.44761688990270249</v>
      </c>
      <c r="I246" s="105">
        <f t="shared" si="342"/>
        <v>0.41057989836772901</v>
      </c>
      <c r="J246" s="105">
        <f t="shared" si="342"/>
        <v>0.25293669200065261</v>
      </c>
      <c r="K246" s="105">
        <f t="shared" si="342"/>
        <v>0.25819346501261775</v>
      </c>
      <c r="L246" s="105">
        <f t="shared" ref="L246" si="343">IF(L28=0,0,L28/L$19)</f>
        <v>0.28909261563239369</v>
      </c>
      <c r="M246" s="105">
        <f t="shared" ref="M246:V246" si="344">IF(M28=0,0,M28/M$19)</f>
        <v>0.30556129340102395</v>
      </c>
      <c r="N246" s="105">
        <f t="shared" si="344"/>
        <v>0.29550039175780268</v>
      </c>
      <c r="O246" s="105">
        <f t="shared" si="344"/>
        <v>0.31945640645695295</v>
      </c>
      <c r="P246" s="105">
        <f t="shared" si="344"/>
        <v>0.31392322116849081</v>
      </c>
      <c r="Q246" s="105">
        <f t="shared" si="344"/>
        <v>0.33018279428783276</v>
      </c>
      <c r="R246" s="105">
        <f t="shared" si="344"/>
        <v>0.31768944721202685</v>
      </c>
      <c r="S246" s="105">
        <f t="shared" si="344"/>
        <v>0.28878408849996895</v>
      </c>
      <c r="T246" s="105">
        <f t="shared" si="344"/>
        <v>0.28545486044570767</v>
      </c>
      <c r="U246" s="105">
        <f t="shared" si="344"/>
        <v>0.31502888985581123</v>
      </c>
      <c r="V246" s="105">
        <f t="shared" si="344"/>
        <v>0.30611820508539206</v>
      </c>
      <c r="W246" s="105">
        <f t="shared" ref="W246" si="345">IF(W28=0,0,W28/W$19)</f>
        <v>0.30342585388907595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1.9861923855000848E-2</v>
      </c>
      <c r="C250" s="154">
        <f t="shared" si="350"/>
        <v>1.9965189597874088E-2</v>
      </c>
      <c r="D250" s="154">
        <f t="shared" si="350"/>
        <v>1.8583143411569237E-2</v>
      </c>
      <c r="E250" s="154">
        <f t="shared" si="350"/>
        <v>1.7461125199579024E-2</v>
      </c>
      <c r="F250" s="154">
        <f t="shared" si="350"/>
        <v>1.6864765816246213E-2</v>
      </c>
      <c r="G250" s="154">
        <f t="shared" si="350"/>
        <v>1.6393292106534729E-2</v>
      </c>
      <c r="H250" s="154">
        <f t="shared" si="350"/>
        <v>1.5283052383483809E-2</v>
      </c>
      <c r="I250" s="154">
        <f t="shared" si="350"/>
        <v>1.6366407273992988E-2</v>
      </c>
      <c r="J250" s="154">
        <f t="shared" si="350"/>
        <v>1.736308363290082E-2</v>
      </c>
      <c r="K250" s="154">
        <f t="shared" si="350"/>
        <v>1.783926866157497E-2</v>
      </c>
      <c r="L250" s="154">
        <f t="shared" ref="L250" si="351">IF(L32=0,0,L32/L$31)</f>
        <v>1.950279802224265E-2</v>
      </c>
      <c r="M250" s="154">
        <f t="shared" ref="M250:V250" si="352">IF(M32=0,0,M32/M$31)</f>
        <v>2.0567230997806371E-2</v>
      </c>
      <c r="N250" s="154">
        <f t="shared" si="352"/>
        <v>2.1016978871055275E-2</v>
      </c>
      <c r="O250" s="154">
        <f t="shared" si="352"/>
        <v>2.1900512779000587E-2</v>
      </c>
      <c r="P250" s="154">
        <f t="shared" si="352"/>
        <v>2.2135091688992335E-2</v>
      </c>
      <c r="Q250" s="154">
        <f t="shared" si="352"/>
        <v>2.1311928315381073E-2</v>
      </c>
      <c r="R250" s="154">
        <f t="shared" si="352"/>
        <v>2.2289960558607713E-2</v>
      </c>
      <c r="S250" s="154">
        <f t="shared" si="352"/>
        <v>2.1192211578863772E-2</v>
      </c>
      <c r="T250" s="154">
        <f t="shared" si="352"/>
        <v>2.017575082426799E-2</v>
      </c>
      <c r="U250" s="154">
        <f t="shared" si="352"/>
        <v>2.083748293493624E-2</v>
      </c>
      <c r="V250" s="154">
        <f t="shared" si="352"/>
        <v>1.9364582441540875E-2</v>
      </c>
      <c r="W250" s="154">
        <f t="shared" ref="W250" si="353">IF(W32=0,0,W32/W$31)</f>
        <v>1.8298230324034298E-2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0.94593031168036013</v>
      </c>
      <c r="C251" s="156">
        <f t="shared" si="354"/>
        <v>0.94505020230600234</v>
      </c>
      <c r="D251" s="156">
        <f t="shared" si="354"/>
        <v>0.94480436446330862</v>
      </c>
      <c r="E251" s="156">
        <f t="shared" si="354"/>
        <v>0.95316714858266216</v>
      </c>
      <c r="F251" s="156">
        <f t="shared" si="354"/>
        <v>0.95848022802579869</v>
      </c>
      <c r="G251" s="156">
        <f t="shared" si="354"/>
        <v>0.95965417482902571</v>
      </c>
      <c r="H251" s="156">
        <f t="shared" si="354"/>
        <v>0.96378522242852704</v>
      </c>
      <c r="I251" s="156">
        <f t="shared" si="354"/>
        <v>0.9610132538427375</v>
      </c>
      <c r="J251" s="156">
        <f t="shared" si="354"/>
        <v>0.96337568886992275</v>
      </c>
      <c r="K251" s="156">
        <f t="shared" si="354"/>
        <v>0.96268055313542777</v>
      </c>
      <c r="L251" s="156">
        <f t="shared" ref="L251" si="355">IF(L33=0,0,L33/L$31)</f>
        <v>0.96235145472607719</v>
      </c>
      <c r="M251" s="156">
        <f t="shared" ref="M251:V251" si="356">IF(M33=0,0,M33/M$31)</f>
        <v>0.95951338651123852</v>
      </c>
      <c r="N251" s="156">
        <f t="shared" si="356"/>
        <v>0.96183476988746686</v>
      </c>
      <c r="O251" s="156">
        <f t="shared" si="356"/>
        <v>0.96164966522178463</v>
      </c>
      <c r="P251" s="156">
        <f t="shared" si="356"/>
        <v>0.96152634949358984</v>
      </c>
      <c r="Q251" s="156">
        <f t="shared" si="356"/>
        <v>0.96339611866998143</v>
      </c>
      <c r="R251" s="156">
        <f t="shared" si="356"/>
        <v>0.96380914260815009</v>
      </c>
      <c r="S251" s="156">
        <f t="shared" si="356"/>
        <v>0.96580748849155851</v>
      </c>
      <c r="T251" s="156">
        <f t="shared" si="356"/>
        <v>0.96671329811237372</v>
      </c>
      <c r="U251" s="156">
        <f t="shared" si="356"/>
        <v>0.96528425284547859</v>
      </c>
      <c r="V251" s="156">
        <f t="shared" si="356"/>
        <v>0.96641253938713179</v>
      </c>
      <c r="W251" s="156">
        <f t="shared" ref="W251" si="357">IF(W33=0,0,W33/W$31)</f>
        <v>0.96880549310204955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0.57981716471348976</v>
      </c>
      <c r="C252" s="103">
        <f t="shared" si="358"/>
        <v>0.49680373061091071</v>
      </c>
      <c r="D252" s="103">
        <f t="shared" si="358"/>
        <v>0.48133347835897838</v>
      </c>
      <c r="E252" s="103">
        <f t="shared" si="358"/>
        <v>0.4286100276479104</v>
      </c>
      <c r="F252" s="103">
        <f t="shared" si="358"/>
        <v>0.35929263705751463</v>
      </c>
      <c r="G252" s="103">
        <f t="shared" si="358"/>
        <v>0.31402483328768382</v>
      </c>
      <c r="H252" s="103">
        <f t="shared" si="358"/>
        <v>0.3147130055921955</v>
      </c>
      <c r="I252" s="103">
        <f t="shared" si="358"/>
        <v>0.31582836948429571</v>
      </c>
      <c r="J252" s="103">
        <f t="shared" si="358"/>
        <v>0.29741846186041704</v>
      </c>
      <c r="K252" s="103">
        <f t="shared" si="358"/>
        <v>0.30498258424632657</v>
      </c>
      <c r="L252" s="103">
        <f t="shared" ref="L252" si="359">IF(L34=0,0,L34/L$31)</f>
        <v>0.2862547140851473</v>
      </c>
      <c r="M252" s="103">
        <f t="shared" ref="M252:V252" si="360">IF(M34=0,0,M34/M$31)</f>
        <v>0.26756576686514455</v>
      </c>
      <c r="N252" s="103">
        <f t="shared" si="360"/>
        <v>0.23807563340868274</v>
      </c>
      <c r="O252" s="103">
        <f t="shared" si="360"/>
        <v>0.22672506389005853</v>
      </c>
      <c r="P252" s="103">
        <f t="shared" si="360"/>
        <v>0.21932707658038855</v>
      </c>
      <c r="Q252" s="103">
        <f t="shared" si="360"/>
        <v>0.20541108882862155</v>
      </c>
      <c r="R252" s="103">
        <f t="shared" si="360"/>
        <v>0.19644516522194994</v>
      </c>
      <c r="S252" s="103">
        <f t="shared" si="360"/>
        <v>0.20093590397347905</v>
      </c>
      <c r="T252" s="103">
        <f t="shared" si="360"/>
        <v>0.19192680156088709</v>
      </c>
      <c r="U252" s="103">
        <f t="shared" si="360"/>
        <v>0.18690086114274077</v>
      </c>
      <c r="V252" s="103">
        <f t="shared" si="360"/>
        <v>0.1891611452523802</v>
      </c>
      <c r="W252" s="103">
        <f t="shared" ref="W252" si="361">IF(W34=0,0,W34/W$31)</f>
        <v>0.18836815010896091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0.18464080593241675</v>
      </c>
      <c r="C253" s="103">
        <f t="shared" si="362"/>
        <v>0.21940627023534404</v>
      </c>
      <c r="D253" s="103">
        <f t="shared" si="362"/>
        <v>0.2134123185136719</v>
      </c>
      <c r="E253" s="103">
        <f t="shared" si="362"/>
        <v>0.2759677539193664</v>
      </c>
      <c r="F253" s="103">
        <f t="shared" si="362"/>
        <v>0.353183933019591</v>
      </c>
      <c r="G253" s="103">
        <f t="shared" si="362"/>
        <v>0.36680494827704463</v>
      </c>
      <c r="H253" s="103">
        <f t="shared" si="362"/>
        <v>0.3681490911046742</v>
      </c>
      <c r="I253" s="103">
        <f t="shared" si="362"/>
        <v>0.39321508885737949</v>
      </c>
      <c r="J253" s="103">
        <f t="shared" si="362"/>
        <v>0.43560816443941019</v>
      </c>
      <c r="K253" s="103">
        <f t="shared" si="362"/>
        <v>0.43154653951350658</v>
      </c>
      <c r="L253" s="103">
        <f t="shared" ref="L253" si="363">IF(L35=0,0,L35/L$31)</f>
        <v>0.44027798756264647</v>
      </c>
      <c r="M253" s="103">
        <f t="shared" ref="M253:V253" si="364">IF(M35=0,0,M35/M$31)</f>
        <v>0.48374423942690775</v>
      </c>
      <c r="N253" s="103">
        <f t="shared" si="364"/>
        <v>0.51126638296498639</v>
      </c>
      <c r="O253" s="103">
        <f t="shared" si="364"/>
        <v>0.51593624286668793</v>
      </c>
      <c r="P253" s="103">
        <f t="shared" si="364"/>
        <v>0.5062131711058091</v>
      </c>
      <c r="Q253" s="103">
        <f t="shared" si="364"/>
        <v>0.52251185911201092</v>
      </c>
      <c r="R253" s="103">
        <f t="shared" si="364"/>
        <v>0.52455270784456798</v>
      </c>
      <c r="S253" s="103">
        <f t="shared" si="364"/>
        <v>0.53070325197709156</v>
      </c>
      <c r="T253" s="103">
        <f t="shared" si="364"/>
        <v>0.55621574575599408</v>
      </c>
      <c r="U253" s="103">
        <f t="shared" si="364"/>
        <v>0.57157237907550917</v>
      </c>
      <c r="V253" s="103">
        <f t="shared" si="364"/>
        <v>0.58040576274491629</v>
      </c>
      <c r="W253" s="103">
        <f t="shared" ref="W253" si="365">IF(W35=0,0,W35/W$31)</f>
        <v>0.59793183458736787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0.18147234103445342</v>
      </c>
      <c r="C254" s="103">
        <f t="shared" si="366"/>
        <v>0.22884020145974776</v>
      </c>
      <c r="D254" s="103">
        <f t="shared" si="366"/>
        <v>0.25005856759065836</v>
      </c>
      <c r="E254" s="103">
        <f t="shared" si="366"/>
        <v>0.24858936701538539</v>
      </c>
      <c r="F254" s="103">
        <f t="shared" si="366"/>
        <v>0.24344975497966193</v>
      </c>
      <c r="G254" s="103">
        <f t="shared" si="366"/>
        <v>0.27043990757915604</v>
      </c>
      <c r="H254" s="103">
        <f t="shared" si="366"/>
        <v>0.27139277729463296</v>
      </c>
      <c r="I254" s="103">
        <f t="shared" si="366"/>
        <v>0.23833740671473386</v>
      </c>
      <c r="J254" s="103">
        <f t="shared" si="366"/>
        <v>0.21846576135806398</v>
      </c>
      <c r="K254" s="103">
        <f t="shared" si="366"/>
        <v>0.2099844842741232</v>
      </c>
      <c r="L254" s="103">
        <f t="shared" ref="L254" si="367">IF(L36=0,0,L36/L$31)</f>
        <v>0.21195375679441522</v>
      </c>
      <c r="M254" s="103">
        <f t="shared" ref="M254:V254" si="368">IF(M36=0,0,M36/M$31)</f>
        <v>0.1867776152795923</v>
      </c>
      <c r="N254" s="103">
        <f t="shared" si="368"/>
        <v>0.19044635597305146</v>
      </c>
      <c r="O254" s="103">
        <f t="shared" si="368"/>
        <v>0.19563508730235077</v>
      </c>
      <c r="P254" s="103">
        <f t="shared" si="368"/>
        <v>0.20521597525385535</v>
      </c>
      <c r="Q254" s="103">
        <f t="shared" si="368"/>
        <v>0.21076925667289431</v>
      </c>
      <c r="R254" s="103">
        <f t="shared" si="368"/>
        <v>0.22013082289918315</v>
      </c>
      <c r="S254" s="103">
        <f t="shared" si="368"/>
        <v>0.21127250842424841</v>
      </c>
      <c r="T254" s="103">
        <f t="shared" si="368"/>
        <v>0.19488513736860127</v>
      </c>
      <c r="U254" s="103">
        <f t="shared" si="368"/>
        <v>0.18221198021832261</v>
      </c>
      <c r="V254" s="103">
        <f t="shared" si="368"/>
        <v>0.17059061727422642</v>
      </c>
      <c r="W254" s="103">
        <f t="shared" ref="W254" si="369">IF(W36=0,0,W36/W$31)</f>
        <v>0.15889336822468617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2.5539029690309373E-3</v>
      </c>
      <c r="G255" s="103">
        <f t="shared" si="370"/>
        <v>8.3844856851414129E-3</v>
      </c>
      <c r="H255" s="103">
        <f t="shared" si="370"/>
        <v>9.5303484370245061E-3</v>
      </c>
      <c r="I255" s="103">
        <f t="shared" si="370"/>
        <v>1.3632388786328465E-2</v>
      </c>
      <c r="J255" s="103">
        <f t="shared" si="370"/>
        <v>1.188330121203139E-2</v>
      </c>
      <c r="K255" s="103">
        <f t="shared" si="370"/>
        <v>1.6166945101471427E-2</v>
      </c>
      <c r="L255" s="103">
        <f t="shared" ref="L255" si="371">IF(L37=0,0,L37/L$31)</f>
        <v>2.3864996283868126E-2</v>
      </c>
      <c r="M255" s="103">
        <f t="shared" ref="M255:V255" si="372">IF(M37=0,0,M37/M$31)</f>
        <v>2.1425764939593899E-2</v>
      </c>
      <c r="N255" s="103">
        <f t="shared" si="372"/>
        <v>2.2044984575110848E-2</v>
      </c>
      <c r="O255" s="103">
        <f t="shared" si="372"/>
        <v>2.3352034149874537E-2</v>
      </c>
      <c r="P255" s="103">
        <f t="shared" si="372"/>
        <v>3.0768113433051181E-2</v>
      </c>
      <c r="Q255" s="103">
        <f t="shared" si="372"/>
        <v>2.4695889032118366E-2</v>
      </c>
      <c r="R255" s="103">
        <f t="shared" si="372"/>
        <v>2.2654212437116805E-2</v>
      </c>
      <c r="S255" s="103">
        <f t="shared" si="372"/>
        <v>2.2803275498467744E-2</v>
      </c>
      <c r="T255" s="103">
        <f t="shared" si="372"/>
        <v>2.3453329216369813E-2</v>
      </c>
      <c r="U255" s="103">
        <f t="shared" si="372"/>
        <v>2.4135271188834437E-2</v>
      </c>
      <c r="V255" s="103">
        <f t="shared" si="372"/>
        <v>2.5501706270115755E-2</v>
      </c>
      <c r="W255" s="103">
        <f t="shared" ref="W255" si="373">IF(W37=0,0,W37/W$31)</f>
        <v>2.262181753114182E-2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1.4129656352506968E-6</v>
      </c>
      <c r="O256" s="103">
        <f t="shared" si="376"/>
        <v>1.2370128129459529E-6</v>
      </c>
      <c r="P256" s="103">
        <f t="shared" si="376"/>
        <v>2.0131204856941849E-6</v>
      </c>
      <c r="Q256" s="103">
        <f t="shared" si="376"/>
        <v>8.0250243362354587E-6</v>
      </c>
      <c r="R256" s="103">
        <f t="shared" si="376"/>
        <v>1.3324429736470867E-5</v>
      </c>
      <c r="S256" s="103">
        <f t="shared" si="376"/>
        <v>4.5285131174876467E-5</v>
      </c>
      <c r="T256" s="103">
        <f t="shared" si="376"/>
        <v>8.5440797935541123E-5</v>
      </c>
      <c r="U256" s="103">
        <f t="shared" si="376"/>
        <v>2.263033851541736E-4</v>
      </c>
      <c r="V256" s="103">
        <f t="shared" si="376"/>
        <v>3.2458268269215966E-4</v>
      </c>
      <c r="W256" s="103">
        <f t="shared" ref="W256" si="377">IF(W38=0,0,W38/W$31)</f>
        <v>4.4512974757501995E-4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0</v>
      </c>
      <c r="O257" s="103">
        <f t="shared" si="380"/>
        <v>0</v>
      </c>
      <c r="P257" s="103">
        <f t="shared" si="380"/>
        <v>0</v>
      </c>
      <c r="Q257" s="103">
        <f t="shared" si="380"/>
        <v>0</v>
      </c>
      <c r="R257" s="103">
        <f t="shared" si="380"/>
        <v>1.290977559589515E-5</v>
      </c>
      <c r="S257" s="103">
        <f t="shared" si="380"/>
        <v>4.7263487096874986E-5</v>
      </c>
      <c r="T257" s="103">
        <f t="shared" si="380"/>
        <v>1.4684341258601328E-4</v>
      </c>
      <c r="U257" s="103">
        <f t="shared" si="380"/>
        <v>2.3745783491738997E-4</v>
      </c>
      <c r="V257" s="103">
        <f t="shared" si="380"/>
        <v>4.287251628009436E-4</v>
      </c>
      <c r="W257" s="103">
        <f t="shared" ref="W257" si="381">IF(W39=0,0,W39/W$31)</f>
        <v>5.4519290231780316E-4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3.4207764464638989E-2</v>
      </c>
      <c r="C258" s="156">
        <f t="shared" si="382"/>
        <v>3.498460809612354E-2</v>
      </c>
      <c r="D258" s="156">
        <f t="shared" si="382"/>
        <v>3.6612492125122055E-2</v>
      </c>
      <c r="E258" s="156">
        <f t="shared" si="382"/>
        <v>2.9371726217758864E-2</v>
      </c>
      <c r="F258" s="156">
        <f t="shared" si="382"/>
        <v>2.4655006157955042E-2</v>
      </c>
      <c r="G258" s="156">
        <f t="shared" si="382"/>
        <v>2.3952533064439605E-2</v>
      </c>
      <c r="H258" s="156">
        <f t="shared" si="382"/>
        <v>2.0931725187989095E-2</v>
      </c>
      <c r="I258" s="156">
        <f t="shared" si="382"/>
        <v>2.2620338883269482E-2</v>
      </c>
      <c r="J258" s="156">
        <f t="shared" si="382"/>
        <v>1.9261227497176493E-2</v>
      </c>
      <c r="K258" s="156">
        <f t="shared" si="382"/>
        <v>1.948017820299738E-2</v>
      </c>
      <c r="L258" s="156">
        <f t="shared" ref="L258" si="383">IF(L40=0,0,L40/L$31)</f>
        <v>1.8145747251680111E-2</v>
      </c>
      <c r="M258" s="156">
        <f t="shared" ref="M258:V258" si="384">IF(M40=0,0,M40/M$31)</f>
        <v>1.9919382490955127E-2</v>
      </c>
      <c r="N258" s="156">
        <f t="shared" si="384"/>
        <v>1.7148251241477924E-2</v>
      </c>
      <c r="O258" s="156">
        <f t="shared" si="384"/>
        <v>1.6449821999214652E-2</v>
      </c>
      <c r="P258" s="156">
        <f t="shared" si="384"/>
        <v>1.6338558817417883E-2</v>
      </c>
      <c r="Q258" s="156">
        <f t="shared" si="384"/>
        <v>1.5291953014637512E-2</v>
      </c>
      <c r="R258" s="156">
        <f t="shared" si="384"/>
        <v>1.3900896833242218E-2</v>
      </c>
      <c r="S258" s="156">
        <f t="shared" si="384"/>
        <v>1.3000299929577753E-2</v>
      </c>
      <c r="T258" s="156">
        <f t="shared" si="384"/>
        <v>1.3110951063358287E-2</v>
      </c>
      <c r="U258" s="156">
        <f t="shared" si="384"/>
        <v>1.3878264219585221E-2</v>
      </c>
      <c r="V258" s="156">
        <f t="shared" si="384"/>
        <v>1.4222878171327346E-2</v>
      </c>
      <c r="W258" s="156">
        <f t="shared" ref="W258" si="385">IF(W40=0,0,W40/W$31)</f>
        <v>1.2896276573916165E-2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3.4207764464638989E-2</v>
      </c>
      <c r="C260" s="103">
        <f t="shared" si="390"/>
        <v>3.498460809612354E-2</v>
      </c>
      <c r="D260" s="103">
        <f t="shared" si="390"/>
        <v>3.6612492125122055E-2</v>
      </c>
      <c r="E260" s="103">
        <f t="shared" si="390"/>
        <v>2.9371726217758864E-2</v>
      </c>
      <c r="F260" s="103">
        <f t="shared" si="390"/>
        <v>2.4487336819602398E-2</v>
      </c>
      <c r="G260" s="103">
        <f t="shared" si="390"/>
        <v>2.3600039687296438E-2</v>
      </c>
      <c r="H260" s="103">
        <f t="shared" si="390"/>
        <v>2.0351533844448273E-2</v>
      </c>
      <c r="I260" s="103">
        <f t="shared" si="390"/>
        <v>2.1710049784952799E-2</v>
      </c>
      <c r="J260" s="103">
        <f t="shared" si="390"/>
        <v>1.8413208298737126E-2</v>
      </c>
      <c r="K260" s="103">
        <f t="shared" si="390"/>
        <v>1.8260253693236389E-2</v>
      </c>
      <c r="L260" s="103">
        <f t="shared" ref="L260" si="391">IF(L42=0,0,L42/L$31)</f>
        <v>1.6492885804128207E-2</v>
      </c>
      <c r="M260" s="103">
        <f t="shared" ref="M260:V260" si="392">IF(M42=0,0,M42/M$31)</f>
        <v>1.8192033674287376E-2</v>
      </c>
      <c r="N260" s="103">
        <f t="shared" si="392"/>
        <v>1.5635221288098574E-2</v>
      </c>
      <c r="O260" s="103">
        <f t="shared" si="392"/>
        <v>1.3613546123383185E-2</v>
      </c>
      <c r="P260" s="103">
        <f t="shared" si="392"/>
        <v>1.3254397660503256E-2</v>
      </c>
      <c r="Q260" s="103">
        <f t="shared" si="392"/>
        <v>1.2597756224567198E-2</v>
      </c>
      <c r="R260" s="103">
        <f t="shared" si="392"/>
        <v>1.164106221147016E-2</v>
      </c>
      <c r="S260" s="103">
        <f t="shared" si="392"/>
        <v>1.0694047388148196E-2</v>
      </c>
      <c r="T260" s="103">
        <f t="shared" si="392"/>
        <v>1.0665323677388504E-2</v>
      </c>
      <c r="U260" s="103">
        <f t="shared" si="392"/>
        <v>1.1106065380005348E-2</v>
      </c>
      <c r="V260" s="103">
        <f t="shared" si="392"/>
        <v>1.1304051530086177E-2</v>
      </c>
      <c r="W260" s="103">
        <f t="shared" ref="W260" si="393">IF(W42=0,0,W42/W$31)</f>
        <v>1.0000542085707465E-2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1.6766933835264165E-4</v>
      </c>
      <c r="G262" s="103">
        <f t="shared" si="398"/>
        <v>3.5249337714316582E-4</v>
      </c>
      <c r="H262" s="103">
        <f t="shared" si="398"/>
        <v>5.8019134354082369E-4</v>
      </c>
      <c r="I262" s="103">
        <f t="shared" si="398"/>
        <v>9.1028909831668248E-4</v>
      </c>
      <c r="J262" s="103">
        <f t="shared" si="398"/>
        <v>8.3614623602121967E-4</v>
      </c>
      <c r="K262" s="103">
        <f t="shared" si="398"/>
        <v>1.1881448334834454E-3</v>
      </c>
      <c r="L262" s="103">
        <f t="shared" ref="L262" si="399">IF(L44=0,0,L44/L$31)</f>
        <v>1.588850236735674E-3</v>
      </c>
      <c r="M262" s="103">
        <f t="shared" ref="M262:V262" si="400">IF(M44=0,0,M44/M$31)</f>
        <v>1.6570253275239634E-3</v>
      </c>
      <c r="N262" s="103">
        <f t="shared" si="400"/>
        <v>1.4419654180913035E-3</v>
      </c>
      <c r="O262" s="103">
        <f t="shared" si="400"/>
        <v>2.284102432380307E-3</v>
      </c>
      <c r="P262" s="103">
        <f t="shared" si="400"/>
        <v>2.3861972085796913E-3</v>
      </c>
      <c r="Q262" s="103">
        <f t="shared" si="400"/>
        <v>2.0298871712532743E-3</v>
      </c>
      <c r="R262" s="103">
        <f t="shared" si="400"/>
        <v>1.6199901921086814E-3</v>
      </c>
      <c r="S262" s="103">
        <f t="shared" si="400"/>
        <v>1.67942707397328E-3</v>
      </c>
      <c r="T262" s="103">
        <f t="shared" si="400"/>
        <v>1.8263051836214276E-3</v>
      </c>
      <c r="U262" s="103">
        <f t="shared" si="400"/>
        <v>2.1776452660874374E-3</v>
      </c>
      <c r="V262" s="103">
        <f t="shared" si="400"/>
        <v>2.337594756200444E-3</v>
      </c>
      <c r="W262" s="103">
        <f t="shared" ref="W262" si="401">IF(W44=0,0,W44/W$31)</f>
        <v>2.3048590016982954E-3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1.187296241814789E-5</v>
      </c>
      <c r="K263" s="103">
        <f t="shared" si="402"/>
        <v>3.1779676277542073E-5</v>
      </c>
      <c r="L263" s="103">
        <f t="shared" ref="L263" si="403">IF(L45=0,0,L45/L$31)</f>
        <v>6.401121081622607E-5</v>
      </c>
      <c r="M263" s="103">
        <f t="shared" ref="M263:V263" si="404">IF(M45=0,0,M45/M$31)</f>
        <v>7.0323489143790953E-5</v>
      </c>
      <c r="N263" s="103">
        <f t="shared" si="404"/>
        <v>7.1064535288048271E-5</v>
      </c>
      <c r="O263" s="103">
        <f t="shared" si="404"/>
        <v>5.5217344345116076E-4</v>
      </c>
      <c r="P263" s="103">
        <f t="shared" si="404"/>
        <v>6.9796394833493555E-4</v>
      </c>
      <c r="Q263" s="103">
        <f t="shared" si="404"/>
        <v>6.6430961881704044E-4</v>
      </c>
      <c r="R263" s="103">
        <f t="shared" si="404"/>
        <v>6.3984442966337539E-4</v>
      </c>
      <c r="S263" s="103">
        <f t="shared" si="404"/>
        <v>6.2682546745627802E-4</v>
      </c>
      <c r="T263" s="103">
        <f t="shared" si="404"/>
        <v>6.1932220234835644E-4</v>
      </c>
      <c r="U263" s="103">
        <f t="shared" si="404"/>
        <v>5.9455357349243404E-4</v>
      </c>
      <c r="V263" s="103">
        <f t="shared" si="404"/>
        <v>5.8123188504072515E-4</v>
      </c>
      <c r="W263" s="103">
        <f t="shared" ref="W263" si="405">IF(W45=0,0,W45/W$31)</f>
        <v>5.9087548651040481E-4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0.67264703154325656</v>
      </c>
      <c r="C265" s="154">
        <f t="shared" si="410"/>
        <v>0.6447172139230779</v>
      </c>
      <c r="D265" s="154">
        <f t="shared" si="410"/>
        <v>0.64487985318532914</v>
      </c>
      <c r="E265" s="154">
        <f t="shared" si="410"/>
        <v>0.59691617455581314</v>
      </c>
      <c r="F265" s="154">
        <f t="shared" si="410"/>
        <v>0.60104454433296806</v>
      </c>
      <c r="G265" s="154">
        <f t="shared" si="410"/>
        <v>0.568473186252625</v>
      </c>
      <c r="H265" s="154">
        <f t="shared" si="410"/>
        <v>0.57838899344973949</v>
      </c>
      <c r="I265" s="154">
        <f t="shared" si="410"/>
        <v>0.61994200517326858</v>
      </c>
      <c r="J265" s="154">
        <f t="shared" si="410"/>
        <v>0.62591085520193002</v>
      </c>
      <c r="K265" s="154">
        <f t="shared" si="410"/>
        <v>0.65561069131904737</v>
      </c>
      <c r="L265" s="154">
        <f t="shared" ref="L265" si="411">IF(L47=0,0,L47/L$46)</f>
        <v>0.65947730350593581</v>
      </c>
      <c r="M265" s="154">
        <f t="shared" ref="M265:V265" si="412">IF(M47=0,0,M47/M$46)</f>
        <v>0.67304434664172197</v>
      </c>
      <c r="N265" s="154">
        <f t="shared" si="412"/>
        <v>0.69303659263821926</v>
      </c>
      <c r="O265" s="154">
        <f t="shared" si="412"/>
        <v>0.67644264365186357</v>
      </c>
      <c r="P265" s="154">
        <f t="shared" si="412"/>
        <v>0.69935544635587499</v>
      </c>
      <c r="Q265" s="154">
        <f t="shared" si="412"/>
        <v>0.70522552271477035</v>
      </c>
      <c r="R265" s="154">
        <f t="shared" si="412"/>
        <v>0.70777147702160104</v>
      </c>
      <c r="S265" s="154">
        <f t="shared" si="412"/>
        <v>0.67048273376303613</v>
      </c>
      <c r="T265" s="154">
        <f t="shared" si="412"/>
        <v>0.69508779067643411</v>
      </c>
      <c r="U265" s="154">
        <f t="shared" si="412"/>
        <v>0.73902034165669994</v>
      </c>
      <c r="V265" s="154">
        <f t="shared" si="412"/>
        <v>0.68203637958397112</v>
      </c>
      <c r="W265" s="154">
        <f t="shared" ref="W265" si="413">IF(W47=0,0,W47/W$46)</f>
        <v>0.63067698109729131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0.13164863168453461</v>
      </c>
      <c r="C266" s="103">
        <f t="shared" si="414"/>
        <v>0.13407599202257697</v>
      </c>
      <c r="D266" s="103">
        <f t="shared" si="414"/>
        <v>0.13514124623410206</v>
      </c>
      <c r="E266" s="103">
        <f t="shared" si="414"/>
        <v>0.11717943078697882</v>
      </c>
      <c r="F266" s="103">
        <f t="shared" si="414"/>
        <v>0.10313342492098117</v>
      </c>
      <c r="G266" s="103">
        <f t="shared" si="414"/>
        <v>9.5109773650998639E-2</v>
      </c>
      <c r="H266" s="103">
        <f t="shared" si="414"/>
        <v>7.6157073048452678E-2</v>
      </c>
      <c r="I266" s="103">
        <f t="shared" si="414"/>
        <v>6.4261748491269532E-2</v>
      </c>
      <c r="J266" s="103">
        <f t="shared" si="414"/>
        <v>5.2683112185888954E-2</v>
      </c>
      <c r="K266" s="103">
        <f t="shared" si="414"/>
        <v>4.6440521017651878E-2</v>
      </c>
      <c r="L266" s="103">
        <f t="shared" ref="L266" si="415">IF(L48=0,0,L48/L$46)</f>
        <v>3.66891990602548E-2</v>
      </c>
      <c r="M266" s="103">
        <f t="shared" ref="M266:V266" si="416">IF(M48=0,0,M48/M$46)</f>
        <v>3.6914554662330873E-2</v>
      </c>
      <c r="N266" s="103">
        <f t="shared" si="416"/>
        <v>3.4880699522081289E-2</v>
      </c>
      <c r="O266" s="103">
        <f t="shared" si="416"/>
        <v>3.2218626467712883E-2</v>
      </c>
      <c r="P266" s="103">
        <f t="shared" si="416"/>
        <v>3.0594451829782099E-2</v>
      </c>
      <c r="Q266" s="103">
        <f t="shared" si="416"/>
        <v>3.4279221137845976E-2</v>
      </c>
      <c r="R266" s="103">
        <f t="shared" si="416"/>
        <v>3.5677551752907349E-2</v>
      </c>
      <c r="S266" s="103">
        <f t="shared" si="416"/>
        <v>4.0141536846325113E-2</v>
      </c>
      <c r="T266" s="103">
        <f t="shared" si="416"/>
        <v>4.3727411030584612E-2</v>
      </c>
      <c r="U266" s="103">
        <f t="shared" si="416"/>
        <v>4.7564026955451831E-2</v>
      </c>
      <c r="V266" s="103">
        <f t="shared" si="416"/>
        <v>4.5160780955945883E-2</v>
      </c>
      <c r="W266" s="103">
        <f t="shared" ref="W266" si="417">IF(W48=0,0,W48/W$46)</f>
        <v>4.2917286672827772E-2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0.54099839985872189</v>
      </c>
      <c r="C267" s="103">
        <f t="shared" si="418"/>
        <v>0.51064122190050099</v>
      </c>
      <c r="D267" s="103">
        <f t="shared" si="418"/>
        <v>0.50973860695122697</v>
      </c>
      <c r="E267" s="103">
        <f t="shared" si="418"/>
        <v>0.47973674376883435</v>
      </c>
      <c r="F267" s="103">
        <f t="shared" si="418"/>
        <v>0.4979111194119869</v>
      </c>
      <c r="G267" s="103">
        <f t="shared" si="418"/>
        <v>0.47336341260162645</v>
      </c>
      <c r="H267" s="103">
        <f t="shared" si="418"/>
        <v>0.50223192040128672</v>
      </c>
      <c r="I267" s="103">
        <f t="shared" si="418"/>
        <v>0.55568025668199905</v>
      </c>
      <c r="J267" s="103">
        <f t="shared" si="418"/>
        <v>0.57322774301604107</v>
      </c>
      <c r="K267" s="103">
        <f t="shared" si="418"/>
        <v>0.60917017030139542</v>
      </c>
      <c r="L267" s="103">
        <f t="shared" ref="L267" si="419">IF(L49=0,0,L49/L$46)</f>
        <v>0.622788104445681</v>
      </c>
      <c r="M267" s="103">
        <f t="shared" ref="M267:V267" si="420">IF(M49=0,0,M49/M$46)</f>
        <v>0.63612979197939123</v>
      </c>
      <c r="N267" s="103">
        <f t="shared" si="420"/>
        <v>0.65808953936191361</v>
      </c>
      <c r="O267" s="103">
        <f t="shared" si="420"/>
        <v>0.64415734978853811</v>
      </c>
      <c r="P267" s="103">
        <f t="shared" si="420"/>
        <v>0.66869332375052837</v>
      </c>
      <c r="Q267" s="103">
        <f t="shared" si="420"/>
        <v>0.67086934790693797</v>
      </c>
      <c r="R267" s="103">
        <f t="shared" si="420"/>
        <v>0.67135463606049672</v>
      </c>
      <c r="S267" s="103">
        <f t="shared" si="420"/>
        <v>0.62818534186741082</v>
      </c>
      <c r="T267" s="103">
        <f t="shared" si="420"/>
        <v>0.64722371083159824</v>
      </c>
      <c r="U267" s="103">
        <f t="shared" si="420"/>
        <v>0.68427560255746223</v>
      </c>
      <c r="V267" s="103">
        <f t="shared" si="420"/>
        <v>0.62837327664650011</v>
      </c>
      <c r="W267" s="103">
        <f t="shared" ref="W267" si="421">IF(W49=0,0,W49/W$46)</f>
        <v>0.57728302556263988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4.5670397831333874E-4</v>
      </c>
      <c r="S268" s="103">
        <f t="shared" si="424"/>
        <v>1.6563768995454611E-3</v>
      </c>
      <c r="T268" s="103">
        <f t="shared" si="424"/>
        <v>3.4053525406877345E-3</v>
      </c>
      <c r="U268" s="103">
        <f t="shared" si="424"/>
        <v>6.0092209302392468E-3</v>
      </c>
      <c r="V268" s="103">
        <f t="shared" si="424"/>
        <v>7.1195200948255596E-3</v>
      </c>
      <c r="W268" s="103">
        <f t="shared" ref="W268" si="425">IF(W50=0,0,W50/W$46)</f>
        <v>8.9313539047161973E-3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1.7795477172471635E-4</v>
      </c>
      <c r="S269" s="103">
        <f t="shared" si="428"/>
        <v>3.7236761235530629E-4</v>
      </c>
      <c r="T269" s="103">
        <f t="shared" si="428"/>
        <v>5.7395775545985705E-4</v>
      </c>
      <c r="U269" s="103">
        <f t="shared" si="428"/>
        <v>9.3945081349586538E-4</v>
      </c>
      <c r="V269" s="103">
        <f t="shared" si="428"/>
        <v>1.1376543828559113E-3</v>
      </c>
      <c r="W269" s="103">
        <f t="shared" ref="W269" si="429">IF(W51=0,0,W51/W$46)</f>
        <v>1.2866331044991126E-3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6.6353754224348185E-5</v>
      </c>
      <c r="O270" s="103">
        <f t="shared" si="432"/>
        <v>6.6667395612606738E-5</v>
      </c>
      <c r="P270" s="103">
        <f t="shared" si="432"/>
        <v>6.7670775564460236E-5</v>
      </c>
      <c r="Q270" s="103">
        <f t="shared" si="432"/>
        <v>7.6953669986369234E-5</v>
      </c>
      <c r="R270" s="103">
        <f t="shared" si="432"/>
        <v>1.0463045815878762E-4</v>
      </c>
      <c r="S270" s="103">
        <f t="shared" si="432"/>
        <v>1.2711053739942216E-4</v>
      </c>
      <c r="T270" s="103">
        <f t="shared" si="432"/>
        <v>1.5735851810375092E-4</v>
      </c>
      <c r="U270" s="103">
        <f t="shared" si="432"/>
        <v>2.3204040005072649E-4</v>
      </c>
      <c r="V270" s="103">
        <f t="shared" si="432"/>
        <v>2.4514750384368219E-4</v>
      </c>
      <c r="W270" s="103">
        <f t="shared" ref="W270" si="433">IF(W52=0,0,W52/W$46)</f>
        <v>2.5868185260832831E-4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0.3273529684567435</v>
      </c>
      <c r="C271" s="156">
        <f t="shared" si="434"/>
        <v>0.35528278607692204</v>
      </c>
      <c r="D271" s="156">
        <f t="shared" si="434"/>
        <v>0.35512014681467086</v>
      </c>
      <c r="E271" s="156">
        <f t="shared" si="434"/>
        <v>0.40308382544418686</v>
      </c>
      <c r="F271" s="156">
        <f t="shared" si="434"/>
        <v>0.39895545566703189</v>
      </c>
      <c r="G271" s="156">
        <f t="shared" si="434"/>
        <v>0.43152681374737489</v>
      </c>
      <c r="H271" s="156">
        <f t="shared" si="434"/>
        <v>0.42161100655026057</v>
      </c>
      <c r="I271" s="156">
        <f t="shared" si="434"/>
        <v>0.38005799482673142</v>
      </c>
      <c r="J271" s="156">
        <f t="shared" si="434"/>
        <v>0.37408914479807004</v>
      </c>
      <c r="K271" s="156">
        <f t="shared" si="434"/>
        <v>0.34438930868095269</v>
      </c>
      <c r="L271" s="156">
        <f t="shared" ref="L271" si="435">IF(L53=0,0,L53/L$46)</f>
        <v>0.34052269649406419</v>
      </c>
      <c r="M271" s="156">
        <f t="shared" ref="M271:V271" si="436">IF(M53=0,0,M53/M$46)</f>
        <v>0.32695565335827803</v>
      </c>
      <c r="N271" s="156">
        <f t="shared" si="436"/>
        <v>0.30696340736178079</v>
      </c>
      <c r="O271" s="156">
        <f t="shared" si="436"/>
        <v>0.32355735634813643</v>
      </c>
      <c r="P271" s="156">
        <f t="shared" si="436"/>
        <v>0.30064455364412507</v>
      </c>
      <c r="Q271" s="156">
        <f t="shared" si="436"/>
        <v>0.29477447728522976</v>
      </c>
      <c r="R271" s="156">
        <f t="shared" si="436"/>
        <v>0.29222852297839902</v>
      </c>
      <c r="S271" s="156">
        <f t="shared" si="436"/>
        <v>0.32951726623696376</v>
      </c>
      <c r="T271" s="156">
        <f t="shared" si="436"/>
        <v>0.30491220932356589</v>
      </c>
      <c r="U271" s="156">
        <f t="shared" si="436"/>
        <v>0.26097965834330011</v>
      </c>
      <c r="V271" s="156">
        <f t="shared" si="436"/>
        <v>0.31796362041602882</v>
      </c>
      <c r="W271" s="156">
        <f t="shared" ref="W271" si="437">IF(W53=0,0,W53/W$46)</f>
        <v>0.36932301890270863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0.16764034883924311</v>
      </c>
      <c r="C272" s="104">
        <f t="shared" si="438"/>
        <v>0.18583047137033698</v>
      </c>
      <c r="D272" s="104">
        <f t="shared" si="438"/>
        <v>0.18094677480709459</v>
      </c>
      <c r="E272" s="104">
        <f t="shared" si="438"/>
        <v>0.25389205617950905</v>
      </c>
      <c r="F272" s="104">
        <f t="shared" si="438"/>
        <v>0.24874525252491161</v>
      </c>
      <c r="G272" s="104">
        <f t="shared" si="438"/>
        <v>0.27514860798827612</v>
      </c>
      <c r="H272" s="104">
        <f t="shared" si="438"/>
        <v>0.299259816641122</v>
      </c>
      <c r="I272" s="104">
        <f t="shared" si="438"/>
        <v>0.27626973774651631</v>
      </c>
      <c r="J272" s="104">
        <f t="shared" si="438"/>
        <v>0.31698937593809418</v>
      </c>
      <c r="K272" s="104">
        <f t="shared" si="438"/>
        <v>0.28863066652310387</v>
      </c>
      <c r="L272" s="104">
        <f t="shared" ref="L272" si="439">IF(L54=0,0,L54/L$46)</f>
        <v>0.27817774983018984</v>
      </c>
      <c r="M272" s="104">
        <f t="shared" ref="M272:V272" si="440">IF(M54=0,0,M54/M$46)</f>
        <v>0.2606403008825397</v>
      </c>
      <c r="N272" s="104">
        <f t="shared" si="440"/>
        <v>0.24701174023224126</v>
      </c>
      <c r="O272" s="104">
        <f t="shared" si="440"/>
        <v>0.25001711328609272</v>
      </c>
      <c r="P272" s="104">
        <f t="shared" si="440"/>
        <v>0.23319291990515831</v>
      </c>
      <c r="Q272" s="104">
        <f t="shared" si="440"/>
        <v>0.22514178431678822</v>
      </c>
      <c r="R272" s="104">
        <f t="shared" si="440"/>
        <v>0.22432058921695985</v>
      </c>
      <c r="S272" s="104">
        <f t="shared" si="440"/>
        <v>0.2580551754342626</v>
      </c>
      <c r="T272" s="104">
        <f t="shared" si="440"/>
        <v>0.23772066040237036</v>
      </c>
      <c r="U272" s="104">
        <f t="shared" si="440"/>
        <v>0.19698551644339976</v>
      </c>
      <c r="V272" s="104">
        <f t="shared" si="440"/>
        <v>0.24298802400069391</v>
      </c>
      <c r="W272" s="104">
        <f t="shared" ref="W272" si="441">IF(W54=0,0,W54/W$46)</f>
        <v>0.28505349947654302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0.15971261961750033</v>
      </c>
      <c r="C273" s="105">
        <f t="shared" si="442"/>
        <v>0.16945231470658509</v>
      </c>
      <c r="D273" s="105">
        <f t="shared" si="442"/>
        <v>0.17417337200757629</v>
      </c>
      <c r="E273" s="105">
        <f t="shared" si="442"/>
        <v>0.14919176926467775</v>
      </c>
      <c r="F273" s="105">
        <f t="shared" si="442"/>
        <v>0.15021020314212036</v>
      </c>
      <c r="G273" s="105">
        <f t="shared" si="442"/>
        <v>0.15637820575909878</v>
      </c>
      <c r="H273" s="105">
        <f t="shared" si="442"/>
        <v>0.12235118990913856</v>
      </c>
      <c r="I273" s="105">
        <f t="shared" si="442"/>
        <v>0.10378825708021515</v>
      </c>
      <c r="J273" s="105">
        <f t="shared" si="442"/>
        <v>5.7099768859975898E-2</v>
      </c>
      <c r="K273" s="105">
        <f t="shared" si="442"/>
        <v>5.5758642157848752E-2</v>
      </c>
      <c r="L273" s="105">
        <f t="shared" ref="L273" si="443">IF(L55=0,0,L55/L$46)</f>
        <v>6.2344946663874398E-2</v>
      </c>
      <c r="M273" s="105">
        <f t="shared" ref="M273:V273" si="444">IF(M55=0,0,M55/M$46)</f>
        <v>6.6315352475738359E-2</v>
      </c>
      <c r="N273" s="105">
        <f t="shared" si="444"/>
        <v>5.9951667129539511E-2</v>
      </c>
      <c r="O273" s="105">
        <f t="shared" si="444"/>
        <v>7.3540243062043709E-2</v>
      </c>
      <c r="P273" s="105">
        <f t="shared" si="444"/>
        <v>6.7451633738966787E-2</v>
      </c>
      <c r="Q273" s="105">
        <f t="shared" si="444"/>
        <v>6.9632692968441559E-2</v>
      </c>
      <c r="R273" s="105">
        <f t="shared" si="444"/>
        <v>6.7907933761439193E-2</v>
      </c>
      <c r="S273" s="105">
        <f t="shared" si="444"/>
        <v>7.1462090802701203E-2</v>
      </c>
      <c r="T273" s="105">
        <f t="shared" si="444"/>
        <v>6.7191548921195512E-2</v>
      </c>
      <c r="U273" s="105">
        <f t="shared" si="444"/>
        <v>6.3994141899900353E-2</v>
      </c>
      <c r="V273" s="105">
        <f t="shared" si="444"/>
        <v>7.4975596415334939E-2</v>
      </c>
      <c r="W273" s="105">
        <f t="shared" ref="W273" si="445">IF(W55=0,0,W55/W$46)</f>
        <v>8.4269519426165632E-2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1658.8195012897677</v>
      </c>
      <c r="C4" s="145">
        <f t="shared" si="0"/>
        <v>1720.1911109200341</v>
      </c>
      <c r="D4" s="145">
        <f t="shared" si="0"/>
        <v>1822.2699767841787</v>
      </c>
      <c r="E4" s="145">
        <f t="shared" si="0"/>
        <v>2061.0051556319868</v>
      </c>
      <c r="F4" s="145">
        <f t="shared" si="0"/>
        <v>2184.5283086844365</v>
      </c>
      <c r="G4" s="145">
        <f t="shared" si="0"/>
        <v>2403.9573834909716</v>
      </c>
      <c r="H4" s="145">
        <f t="shared" si="0"/>
        <v>2524.5995735167667</v>
      </c>
      <c r="I4" s="145">
        <f t="shared" si="0"/>
        <v>2390.8513172828893</v>
      </c>
      <c r="J4" s="145">
        <f t="shared" si="0"/>
        <v>2517.1790651074857</v>
      </c>
      <c r="K4" s="145">
        <f t="shared" si="0"/>
        <v>2483.0014563561649</v>
      </c>
      <c r="L4" s="145">
        <f t="shared" ref="L4" si="1">L5+L9+L10+L15</f>
        <v>2427.3037084289263</v>
      </c>
      <c r="M4" s="145">
        <f t="shared" ref="M4:V4" si="2">M5+M9+M10+M15</f>
        <v>2441.2617413650814</v>
      </c>
      <c r="N4" s="145">
        <f t="shared" si="2"/>
        <v>2600.7965778348071</v>
      </c>
      <c r="O4" s="145">
        <f t="shared" si="2"/>
        <v>2341.3087044621898</v>
      </c>
      <c r="P4" s="145">
        <f t="shared" si="2"/>
        <v>2654.4144677515997</v>
      </c>
      <c r="Q4" s="145">
        <f t="shared" si="2"/>
        <v>2946.7181535886039</v>
      </c>
      <c r="R4" s="145">
        <f t="shared" si="2"/>
        <v>3005.8449198682615</v>
      </c>
      <c r="S4" s="145">
        <f t="shared" si="2"/>
        <v>3033.1619384329056</v>
      </c>
      <c r="T4" s="145">
        <f t="shared" si="2"/>
        <v>3116.5926882676813</v>
      </c>
      <c r="U4" s="145">
        <f t="shared" si="2"/>
        <v>3229.0547160499032</v>
      </c>
      <c r="V4" s="145">
        <f t="shared" si="2"/>
        <v>3043.9026474954717</v>
      </c>
      <c r="W4" s="145">
        <f t="shared" ref="W4" si="3">W5+W9+W10+W15</f>
        <v>3332.2962427978632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1658.8195012897677</v>
      </c>
      <c r="C5" s="97">
        <f t="shared" si="4"/>
        <v>1720.1911109200341</v>
      </c>
      <c r="D5" s="97">
        <f t="shared" si="4"/>
        <v>1822.2699767841787</v>
      </c>
      <c r="E5" s="97">
        <f t="shared" si="4"/>
        <v>2061.0051556319868</v>
      </c>
      <c r="F5" s="97">
        <f t="shared" si="4"/>
        <v>2178.7243533963883</v>
      </c>
      <c r="G5" s="97">
        <f t="shared" si="4"/>
        <v>2384.8688194325023</v>
      </c>
      <c r="H5" s="97">
        <f t="shared" si="4"/>
        <v>2493.9132450558895</v>
      </c>
      <c r="I5" s="97">
        <f t="shared" si="4"/>
        <v>2351.5543267411867</v>
      </c>
      <c r="J5" s="97">
        <f t="shared" si="4"/>
        <v>2477.870708512467</v>
      </c>
      <c r="K5" s="97">
        <f t="shared" si="4"/>
        <v>2429.888467755804</v>
      </c>
      <c r="L5" s="97">
        <f t="shared" ref="L5" si="5">SUM(L6:L8)</f>
        <v>2347.4668933791918</v>
      </c>
      <c r="M5" s="97">
        <f t="shared" ref="M5:V5" si="6">SUM(M6:M8)</f>
        <v>2362.7770197764403</v>
      </c>
      <c r="N5" s="97">
        <f t="shared" si="6"/>
        <v>2449.4585167669816</v>
      </c>
      <c r="O5" s="97">
        <f t="shared" si="6"/>
        <v>2162.2877583834907</v>
      </c>
      <c r="P5" s="97">
        <f t="shared" si="6"/>
        <v>2458.7834703353396</v>
      </c>
      <c r="Q5" s="97">
        <f t="shared" si="6"/>
        <v>2715.9505821152197</v>
      </c>
      <c r="R5" s="97">
        <f t="shared" si="6"/>
        <v>2761.905154772141</v>
      </c>
      <c r="S5" s="97">
        <f t="shared" si="6"/>
        <v>2785.2838478073941</v>
      </c>
      <c r="T5" s="97">
        <f t="shared" si="6"/>
        <v>2867.8635442820287</v>
      </c>
      <c r="U5" s="97">
        <f t="shared" si="6"/>
        <v>2955.487744625967</v>
      </c>
      <c r="V5" s="97">
        <f t="shared" si="6"/>
        <v>2779.0866706792776</v>
      </c>
      <c r="W5" s="97">
        <f t="shared" ref="W5" si="7">SUM(W6:W8)</f>
        <v>3065.3755803955282</v>
      </c>
      <c r="DA5" s="175"/>
    </row>
    <row r="6" spans="1:105" ht="11.45" customHeight="1" x14ac:dyDescent="0.25">
      <c r="A6" s="128" t="s">
        <v>52</v>
      </c>
      <c r="B6" s="97">
        <v>222.55898538263111</v>
      </c>
      <c r="C6" s="97">
        <v>294.86242476354249</v>
      </c>
      <c r="D6" s="97">
        <v>340.05210662080822</v>
      </c>
      <c r="E6" s="97">
        <v>363.77661220980218</v>
      </c>
      <c r="F6" s="97">
        <v>371.89501289767838</v>
      </c>
      <c r="G6" s="97">
        <v>434.29346517626823</v>
      </c>
      <c r="H6" s="97">
        <v>454.26104901117787</v>
      </c>
      <c r="I6" s="97">
        <v>382.3445399828031</v>
      </c>
      <c r="J6" s="97">
        <v>364.76543422184</v>
      </c>
      <c r="K6" s="97">
        <v>387.83800515907132</v>
      </c>
      <c r="L6" s="97">
        <v>373.55494411006021</v>
      </c>
      <c r="M6" s="97">
        <v>349.38374892519352</v>
      </c>
      <c r="N6" s="97">
        <v>370.25889939810833</v>
      </c>
      <c r="O6" s="97">
        <v>397.72622527944958</v>
      </c>
      <c r="P6" s="97">
        <v>433.98297506448841</v>
      </c>
      <c r="Q6" s="97">
        <v>462.54892519346521</v>
      </c>
      <c r="R6" s="97">
        <v>495.50971625107479</v>
      </c>
      <c r="S6" s="97">
        <v>478.86448839208941</v>
      </c>
      <c r="T6" s="97">
        <v>457.02141014617371</v>
      </c>
      <c r="U6" s="97">
        <v>438.50963026655199</v>
      </c>
      <c r="V6" s="97">
        <v>415.71289767841779</v>
      </c>
      <c r="W6" s="97">
        <v>402.27368873602751</v>
      </c>
      <c r="DA6" s="175" t="s">
        <v>629</v>
      </c>
    </row>
    <row r="7" spans="1:105" ht="11.45" customHeight="1" x14ac:dyDescent="0.25">
      <c r="A7" s="128" t="s">
        <v>53</v>
      </c>
      <c r="B7" s="97">
        <v>697.27953568357691</v>
      </c>
      <c r="C7" s="97">
        <v>599.93551160791048</v>
      </c>
      <c r="D7" s="97">
        <v>645.43327601031808</v>
      </c>
      <c r="E7" s="97">
        <v>620.03920894239025</v>
      </c>
      <c r="F7" s="97">
        <v>586.94462596732581</v>
      </c>
      <c r="G7" s="97">
        <v>571.19484092863286</v>
      </c>
      <c r="H7" s="97">
        <v>635.24419604471188</v>
      </c>
      <c r="I7" s="97">
        <v>627.40042992261397</v>
      </c>
      <c r="J7" s="97">
        <v>628.45133276010313</v>
      </c>
      <c r="K7" s="97">
        <v>647.36792777300082</v>
      </c>
      <c r="L7" s="97">
        <v>610.58564058469472</v>
      </c>
      <c r="M7" s="97">
        <v>564.34505588993977</v>
      </c>
      <c r="N7" s="97">
        <v>540.17386070507303</v>
      </c>
      <c r="O7" s="97">
        <v>442.43817712811688</v>
      </c>
      <c r="P7" s="97">
        <v>505.49346517626827</v>
      </c>
      <c r="Q7" s="97">
        <v>520.20636285468618</v>
      </c>
      <c r="R7" s="97">
        <v>492.88237317282892</v>
      </c>
      <c r="S7" s="97">
        <v>504.95752364574372</v>
      </c>
      <c r="T7" s="97">
        <v>477.50842648323288</v>
      </c>
      <c r="U7" s="97">
        <v>472.81401547721413</v>
      </c>
      <c r="V7" s="97">
        <v>459.23817712811689</v>
      </c>
      <c r="W7" s="97">
        <v>501.34333619948399</v>
      </c>
      <c r="DA7" s="175" t="s">
        <v>630</v>
      </c>
    </row>
    <row r="8" spans="1:105" ht="11.45" customHeight="1" x14ac:dyDescent="0.25">
      <c r="A8" s="128" t="s">
        <v>54</v>
      </c>
      <c r="B8" s="97">
        <v>738.98098022355964</v>
      </c>
      <c r="C8" s="97">
        <v>825.3931745485811</v>
      </c>
      <c r="D8" s="97">
        <v>836.78459415305235</v>
      </c>
      <c r="E8" s="97">
        <v>1077.1893344797941</v>
      </c>
      <c r="F8" s="97">
        <v>1219.8847145313839</v>
      </c>
      <c r="G8" s="97">
        <v>1379.380513327601</v>
      </c>
      <c r="H8" s="97">
        <v>1404.4079999999999</v>
      </c>
      <c r="I8" s="97">
        <v>1341.8093568357699</v>
      </c>
      <c r="J8" s="97">
        <v>1484.653941530524</v>
      </c>
      <c r="K8" s="97">
        <v>1394.6825348237319</v>
      </c>
      <c r="L8" s="97">
        <v>1363.326308684437</v>
      </c>
      <c r="M8" s="97">
        <v>1449.0482149613069</v>
      </c>
      <c r="N8" s="97">
        <v>1539.0257566638002</v>
      </c>
      <c r="O8" s="97">
        <v>1322.1233559759239</v>
      </c>
      <c r="P8" s="97">
        <v>1519.3070300945828</v>
      </c>
      <c r="Q8" s="97">
        <v>1733.1952940670681</v>
      </c>
      <c r="R8" s="97">
        <v>1773.5130653482372</v>
      </c>
      <c r="S8" s="97">
        <v>1801.4618357695608</v>
      </c>
      <c r="T8" s="97">
        <v>1933.333707652622</v>
      </c>
      <c r="U8" s="97">
        <v>2044.1640988822012</v>
      </c>
      <c r="V8" s="97">
        <v>1904.1355958727429</v>
      </c>
      <c r="W8" s="97">
        <v>2161.7585554600169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5.8039552880481509</v>
      </c>
      <c r="G9" s="97">
        <v>19.088564058469469</v>
      </c>
      <c r="H9" s="97">
        <v>25.257867583834908</v>
      </c>
      <c r="I9" s="97">
        <v>36.973774720550303</v>
      </c>
      <c r="J9" s="97">
        <v>35.0390369733448</v>
      </c>
      <c r="K9" s="97">
        <v>49.118400687876168</v>
      </c>
      <c r="L9" s="97">
        <v>65.929406706792776</v>
      </c>
      <c r="M9" s="97">
        <v>60.747893379191737</v>
      </c>
      <c r="N9" s="97">
        <v>64.811006018916586</v>
      </c>
      <c r="O9" s="97">
        <v>70.87360275150472</v>
      </c>
      <c r="P9" s="97">
        <v>78.590971625107471</v>
      </c>
      <c r="Q9" s="97">
        <v>77.774118658641441</v>
      </c>
      <c r="R9" s="97">
        <v>74.096990541702496</v>
      </c>
      <c r="S9" s="97">
        <v>75.014617368873587</v>
      </c>
      <c r="T9" s="97">
        <v>78.423387790197751</v>
      </c>
      <c r="U9" s="97">
        <v>87.356749785038687</v>
      </c>
      <c r="V9" s="97">
        <v>86.186758383490968</v>
      </c>
      <c r="W9" s="97">
        <v>91.883061049011161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5.4284608770421334</v>
      </c>
      <c r="I10" s="97">
        <f t="shared" si="8"/>
        <v>2.3232158211521918</v>
      </c>
      <c r="J10" s="97">
        <f t="shared" si="8"/>
        <v>4.1803955288048149</v>
      </c>
      <c r="K10" s="97">
        <f t="shared" si="8"/>
        <v>3.7470335339638856</v>
      </c>
      <c r="L10" s="97">
        <f t="shared" si="8"/>
        <v>13.40877042132416</v>
      </c>
      <c r="M10" s="97">
        <f t="shared" si="8"/>
        <v>17.185640584694749</v>
      </c>
      <c r="N10" s="97">
        <f t="shared" si="8"/>
        <v>85.928374892519344</v>
      </c>
      <c r="O10" s="97">
        <f t="shared" si="8"/>
        <v>103.35700773860704</v>
      </c>
      <c r="P10" s="97">
        <f t="shared" si="8"/>
        <v>110.71031814273429</v>
      </c>
      <c r="Q10" s="97">
        <f t="shared" si="8"/>
        <v>146.21238177128114</v>
      </c>
      <c r="R10" s="97">
        <f t="shared" si="8"/>
        <v>163.13843508168529</v>
      </c>
      <c r="S10" s="97">
        <f t="shared" si="8"/>
        <v>166.24368013757521</v>
      </c>
      <c r="T10" s="97">
        <f t="shared" si="8"/>
        <v>163.62725709372313</v>
      </c>
      <c r="U10" s="97">
        <f t="shared" si="8"/>
        <v>179.43258813413587</v>
      </c>
      <c r="V10" s="97">
        <f t="shared" si="8"/>
        <v>172.05752364574369</v>
      </c>
      <c r="W10" s="97">
        <f t="shared" si="8"/>
        <v>167.51822871883064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8.3834909716251076</v>
      </c>
      <c r="P12" s="97">
        <v>14.832330180567499</v>
      </c>
      <c r="Q12" s="97">
        <v>32.244196044711948</v>
      </c>
      <c r="R12" s="97">
        <v>32.889079965606193</v>
      </c>
      <c r="S12" s="97">
        <v>26.64987102321582</v>
      </c>
      <c r="T12" s="97">
        <v>28.594840928632841</v>
      </c>
      <c r="U12" s="97">
        <v>31.818572656921749</v>
      </c>
      <c r="V12" s="97">
        <v>26.507308684436801</v>
      </c>
      <c r="W12" s="97">
        <v>20.750472914875321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5.4284608770421334</v>
      </c>
      <c r="I13" s="97">
        <v>2.3232158211521918</v>
      </c>
      <c r="J13" s="97">
        <v>4.1803955288048149</v>
      </c>
      <c r="K13" s="97">
        <v>3.7470335339638856</v>
      </c>
      <c r="L13" s="97">
        <v>13.40877042132416</v>
      </c>
      <c r="M13" s="97">
        <v>17.185640584694749</v>
      </c>
      <c r="N13" s="97">
        <v>85.928374892519344</v>
      </c>
      <c r="O13" s="97">
        <v>94.97351676698193</v>
      </c>
      <c r="P13" s="97">
        <v>95.877987962166799</v>
      </c>
      <c r="Q13" s="97">
        <v>113.9681857265692</v>
      </c>
      <c r="R13" s="97">
        <v>130.2493551160791</v>
      </c>
      <c r="S13" s="97">
        <v>139.5938091143594</v>
      </c>
      <c r="T13" s="97">
        <v>135.0324161650903</v>
      </c>
      <c r="U13" s="97">
        <v>147.61401547721411</v>
      </c>
      <c r="V13" s="97">
        <v>145.55021496130689</v>
      </c>
      <c r="W13" s="97">
        <v>146.76775580395531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8.8924092868873927E-2</v>
      </c>
      <c r="K15" s="98">
        <v>0.24755437852095166</v>
      </c>
      <c r="L15" s="98">
        <v>0.49863792161737402</v>
      </c>
      <c r="M15" s="98">
        <v>0.55118762475486061</v>
      </c>
      <c r="N15" s="98">
        <v>0.59868015638936134</v>
      </c>
      <c r="O15" s="98">
        <v>4.7903355885875083</v>
      </c>
      <c r="P15" s="98">
        <v>6.329707648418208</v>
      </c>
      <c r="Q15" s="98">
        <v>6.7810710434616555</v>
      </c>
      <c r="R15" s="98">
        <v>6.7043394727330474</v>
      </c>
      <c r="S15" s="98">
        <v>6.6197931190626775</v>
      </c>
      <c r="T15" s="98">
        <v>6.6784991017315853</v>
      </c>
      <c r="U15" s="98">
        <v>6.7776335047616625</v>
      </c>
      <c r="V15" s="98">
        <v>6.5716947869596423</v>
      </c>
      <c r="W15" s="98">
        <v>7.5193726344928642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1658.8195012897679</v>
      </c>
      <c r="C17" s="79">
        <f t="shared" si="9"/>
        <v>1720.1911109200344</v>
      </c>
      <c r="D17" s="79">
        <f t="shared" si="9"/>
        <v>1822.2699767841787</v>
      </c>
      <c r="E17" s="79">
        <f t="shared" si="9"/>
        <v>2061.0051556319868</v>
      </c>
      <c r="F17" s="79">
        <f t="shared" si="9"/>
        <v>2184.5283086844365</v>
      </c>
      <c r="G17" s="79">
        <f t="shared" si="9"/>
        <v>2403.9573834909716</v>
      </c>
      <c r="H17" s="79">
        <f t="shared" si="9"/>
        <v>2524.5995735167667</v>
      </c>
      <c r="I17" s="79">
        <f t="shared" si="9"/>
        <v>2390.8513172828893</v>
      </c>
      <c r="J17" s="79">
        <f t="shared" si="9"/>
        <v>2517.1790651074857</v>
      </c>
      <c r="K17" s="79">
        <f t="shared" si="9"/>
        <v>2483.0014563561654</v>
      </c>
      <c r="L17" s="79">
        <f t="shared" ref="L17" si="10">L18+L42</f>
        <v>2427.3037084289263</v>
      </c>
      <c r="M17" s="79">
        <f t="shared" ref="M17:V17" si="11">M18+M42</f>
        <v>2441.2617413650814</v>
      </c>
      <c r="N17" s="79">
        <f t="shared" si="11"/>
        <v>2600.7965778348066</v>
      </c>
      <c r="O17" s="79">
        <f t="shared" si="11"/>
        <v>2341.3087044621898</v>
      </c>
      <c r="P17" s="79">
        <f t="shared" si="11"/>
        <v>2654.4144677515997</v>
      </c>
      <c r="Q17" s="79">
        <f t="shared" si="11"/>
        <v>2946.7181535886039</v>
      </c>
      <c r="R17" s="79">
        <f t="shared" si="11"/>
        <v>3005.8449198682611</v>
      </c>
      <c r="S17" s="79">
        <f t="shared" si="11"/>
        <v>3033.1619384329051</v>
      </c>
      <c r="T17" s="79">
        <f t="shared" si="11"/>
        <v>3116.5926882676813</v>
      </c>
      <c r="U17" s="79">
        <f t="shared" si="11"/>
        <v>3229.0547160499036</v>
      </c>
      <c r="V17" s="79">
        <f t="shared" si="11"/>
        <v>3043.9026474954717</v>
      </c>
      <c r="W17" s="79">
        <f t="shared" ref="W17" si="12">W18+W42</f>
        <v>3332.2962427978632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1331.949325850039</v>
      </c>
      <c r="C18" s="32">
        <f t="shared" si="13"/>
        <v>1362.108201502876</v>
      </c>
      <c r="D18" s="32">
        <f t="shared" si="13"/>
        <v>1480.0057557180164</v>
      </c>
      <c r="E18" s="32">
        <f t="shared" si="13"/>
        <v>1577.1731009804521</v>
      </c>
      <c r="F18" s="32">
        <f t="shared" si="13"/>
        <v>1650.1588562586367</v>
      </c>
      <c r="G18" s="32">
        <f t="shared" si="13"/>
        <v>1827.9859878568207</v>
      </c>
      <c r="H18" s="32">
        <f t="shared" si="13"/>
        <v>1936.7707206462037</v>
      </c>
      <c r="I18" s="32">
        <f t="shared" si="13"/>
        <v>1860.2130610237573</v>
      </c>
      <c r="J18" s="32">
        <f t="shared" si="13"/>
        <v>1951.9450929610198</v>
      </c>
      <c r="K18" s="32">
        <f t="shared" si="13"/>
        <v>1990.7683736752415</v>
      </c>
      <c r="L18" s="32">
        <f t="shared" ref="L18" si="14">L19+L21+L33</f>
        <v>1947.3264782659635</v>
      </c>
      <c r="M18" s="32">
        <f t="shared" ref="M18:V18" si="15">M19+M21+M33</f>
        <v>1940.6533410300133</v>
      </c>
      <c r="N18" s="32">
        <f t="shared" si="15"/>
        <v>2078.9764363453464</v>
      </c>
      <c r="O18" s="32">
        <f t="shared" si="15"/>
        <v>1858.5972056328985</v>
      </c>
      <c r="P18" s="32">
        <f t="shared" si="15"/>
        <v>2130.4338330669852</v>
      </c>
      <c r="Q18" s="32">
        <f t="shared" si="15"/>
        <v>2360.9671221627905</v>
      </c>
      <c r="R18" s="32">
        <f t="shared" si="15"/>
        <v>2419.9763424278672</v>
      </c>
      <c r="S18" s="32">
        <f t="shared" si="15"/>
        <v>2456.5049657923914</v>
      </c>
      <c r="T18" s="32">
        <f t="shared" si="15"/>
        <v>2559.1851035207856</v>
      </c>
      <c r="U18" s="32">
        <f t="shared" si="15"/>
        <v>2733.8783673569933</v>
      </c>
      <c r="V18" s="32">
        <f t="shared" si="15"/>
        <v>2509.3877336054029</v>
      </c>
      <c r="W18" s="32">
        <f t="shared" ref="W18" si="16">W19+W21+W33</f>
        <v>2722.0136878246008</v>
      </c>
      <c r="DA18" s="173" t="s">
        <v>390</v>
      </c>
    </row>
    <row r="19" spans="1:105" ht="11.45" customHeight="1" x14ac:dyDescent="0.25">
      <c r="A19" s="107" t="s">
        <v>181</v>
      </c>
      <c r="B19" s="129">
        <v>12.42420710908906</v>
      </c>
      <c r="C19" s="129">
        <v>12.733976628173769</v>
      </c>
      <c r="D19" s="129">
        <v>13.053311796047891</v>
      </c>
      <c r="E19" s="129">
        <v>13.148545372218258</v>
      </c>
      <c r="F19" s="129">
        <v>13.265764877789836</v>
      </c>
      <c r="G19" s="129">
        <v>14.196664110728653</v>
      </c>
      <c r="H19" s="129">
        <v>14.575308699894341</v>
      </c>
      <c r="I19" s="129">
        <v>15.182965821703386</v>
      </c>
      <c r="J19" s="129">
        <v>16.929940825618988</v>
      </c>
      <c r="K19" s="129">
        <v>17.802350935788549</v>
      </c>
      <c r="L19" s="129">
        <v>19.206999805497805</v>
      </c>
      <c r="M19" s="129">
        <v>20.116270577568965</v>
      </c>
      <c r="N19" s="129">
        <v>21.641038296412209</v>
      </c>
      <c r="O19" s="129">
        <v>22.752613075987178</v>
      </c>
      <c r="P19" s="129">
        <v>23.750052922164382</v>
      </c>
      <c r="Q19" s="129">
        <v>25.375048663319806</v>
      </c>
      <c r="R19" s="129">
        <v>26.8681392423461</v>
      </c>
      <c r="S19" s="129">
        <v>25.438268163656755</v>
      </c>
      <c r="T19" s="129">
        <v>24.221412912407814</v>
      </c>
      <c r="U19" s="129">
        <v>25.788859191268109</v>
      </c>
      <c r="V19" s="129">
        <v>23.026805371729488</v>
      </c>
      <c r="W19" s="129">
        <v>22.540122716304563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0.42310815961316267</v>
      </c>
      <c r="P20" s="97">
        <v>0.67701549661959537</v>
      </c>
      <c r="Q20" s="97">
        <v>1.481033968676253</v>
      </c>
      <c r="R20" s="97">
        <v>1.6807081761357887</v>
      </c>
      <c r="S20" s="97">
        <v>1.2752391565914645</v>
      </c>
      <c r="T20" s="97">
        <v>1.3685101320110478</v>
      </c>
      <c r="U20" s="97">
        <v>1.6260636138274429</v>
      </c>
      <c r="V20" s="97">
        <v>1.2565811846585488</v>
      </c>
      <c r="W20" s="97">
        <v>0.89585089452802713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1048.8634581368174</v>
      </c>
      <c r="C21" s="130">
        <f t="shared" si="17"/>
        <v>1070.5964247529209</v>
      </c>
      <c r="D21" s="130">
        <f t="shared" si="17"/>
        <v>1151.1886226133513</v>
      </c>
      <c r="E21" s="130">
        <f t="shared" si="17"/>
        <v>1291.5536355025674</v>
      </c>
      <c r="F21" s="130">
        <f t="shared" si="17"/>
        <v>1386.4858785050826</v>
      </c>
      <c r="G21" s="130">
        <f t="shared" si="17"/>
        <v>1548.3047312108367</v>
      </c>
      <c r="H21" s="130">
        <f t="shared" si="17"/>
        <v>1667.9401013679651</v>
      </c>
      <c r="I21" s="130">
        <f t="shared" si="17"/>
        <v>1574.2817283769602</v>
      </c>
      <c r="J21" s="130">
        <f t="shared" si="17"/>
        <v>1688.6435748420395</v>
      </c>
      <c r="K21" s="130">
        <f t="shared" si="17"/>
        <v>1715.5324403386724</v>
      </c>
      <c r="L21" s="130">
        <f t="shared" ref="L21" si="18">L22+L24+L26+L27+L29+L32</f>
        <v>1689.118425633882</v>
      </c>
      <c r="M21" s="130">
        <f t="shared" ref="M21:V21" si="19">M22+M24+M26+M27+M29+M32</f>
        <v>1657.7905984550023</v>
      </c>
      <c r="N21" s="130">
        <f t="shared" si="19"/>
        <v>1814.5086989102786</v>
      </c>
      <c r="O21" s="130">
        <f t="shared" si="19"/>
        <v>1611.168224269298</v>
      </c>
      <c r="P21" s="130">
        <f t="shared" si="19"/>
        <v>1885.900964328966</v>
      </c>
      <c r="Q21" s="130">
        <f t="shared" si="19"/>
        <v>2093.1135094827564</v>
      </c>
      <c r="R21" s="130">
        <f t="shared" si="19"/>
        <v>2161.7492430447451</v>
      </c>
      <c r="S21" s="130">
        <f t="shared" si="19"/>
        <v>2214.61468544232</v>
      </c>
      <c r="T21" s="130">
        <f t="shared" si="19"/>
        <v>2314.6863509279369</v>
      </c>
      <c r="U21" s="130">
        <f t="shared" si="19"/>
        <v>2466.0293296349305</v>
      </c>
      <c r="V21" s="130">
        <f t="shared" si="19"/>
        <v>2249.3751943900652</v>
      </c>
      <c r="W21" s="130">
        <f t="shared" ref="W21" si="20">W22+W24+W26+W27+W29+W32</f>
        <v>2459.5653856899503</v>
      </c>
      <c r="DA21" s="176" t="s">
        <v>392</v>
      </c>
    </row>
    <row r="22" spans="1:105" ht="11.45" customHeight="1" x14ac:dyDescent="0.25">
      <c r="A22" s="111" t="s">
        <v>110</v>
      </c>
      <c r="B22" s="96">
        <v>654.96783716205675</v>
      </c>
      <c r="C22" s="96">
        <v>556.81519556226124</v>
      </c>
      <c r="D22" s="96">
        <v>601.45127589232584</v>
      </c>
      <c r="E22" s="96">
        <v>575.35320034309052</v>
      </c>
      <c r="F22" s="96">
        <v>541.53174533596962</v>
      </c>
      <c r="G22" s="96">
        <v>527.73655388484804</v>
      </c>
      <c r="H22" s="96">
        <v>595.00053936746519</v>
      </c>
      <c r="I22" s="96">
        <v>589.90007785723867</v>
      </c>
      <c r="J22" s="96">
        <v>592.0395786373947</v>
      </c>
      <c r="K22" s="96">
        <v>613.23888078738264</v>
      </c>
      <c r="L22" s="96">
        <v>578.90882072427985</v>
      </c>
      <c r="M22" s="96">
        <v>530.69502444476416</v>
      </c>
      <c r="N22" s="96">
        <v>505.80238590325911</v>
      </c>
      <c r="O22" s="96">
        <v>416.3344376862911</v>
      </c>
      <c r="P22" s="96">
        <v>485.91184249190212</v>
      </c>
      <c r="Q22" s="96">
        <v>514.38992545323208</v>
      </c>
      <c r="R22" s="96">
        <v>486.57987993720678</v>
      </c>
      <c r="S22" s="96">
        <v>494.13264638728413</v>
      </c>
      <c r="T22" s="96">
        <v>469.73914637522512</v>
      </c>
      <c r="U22" s="96">
        <v>466.80022841539306</v>
      </c>
      <c r="V22" s="96">
        <v>450.81803528187027</v>
      </c>
      <c r="W22" s="96">
        <v>487.73908132849175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7.7421655756515637</v>
      </c>
      <c r="P23" s="96">
        <v>13.851331129076833</v>
      </c>
      <c r="Q23" s="96">
        <v>30.02275829493572</v>
      </c>
      <c r="R23" s="96">
        <v>30.437492346501049</v>
      </c>
      <c r="S23" s="96">
        <v>24.771234235335857</v>
      </c>
      <c r="T23" s="96">
        <v>26.540267635973027</v>
      </c>
      <c r="U23" s="96">
        <v>29.433130823003474</v>
      </c>
      <c r="V23" s="96">
        <v>24.60130494416839</v>
      </c>
      <c r="W23" s="96">
        <v>19.38505383505932</v>
      </c>
      <c r="DA23" s="171" t="s">
        <v>641</v>
      </c>
    </row>
    <row r="24" spans="1:105" ht="11.45" customHeight="1" x14ac:dyDescent="0.25">
      <c r="A24" s="111" t="s">
        <v>111</v>
      </c>
      <c r="B24" s="96">
        <v>171.33663559212945</v>
      </c>
      <c r="C24" s="96">
        <v>218.91880442711724</v>
      </c>
      <c r="D24" s="96">
        <v>209.68524010021724</v>
      </c>
      <c r="E24" s="96">
        <v>352.42382294967467</v>
      </c>
      <c r="F24" s="96">
        <v>468.51141262342497</v>
      </c>
      <c r="G24" s="96">
        <v>569.93794423154247</v>
      </c>
      <c r="H24" s="96">
        <v>598.27187716613707</v>
      </c>
      <c r="I24" s="96">
        <v>573.39646448346912</v>
      </c>
      <c r="J24" s="96">
        <v>705.09489463793966</v>
      </c>
      <c r="K24" s="96">
        <v>678.00994568720023</v>
      </c>
      <c r="L24" s="96">
        <v>689.24220248731308</v>
      </c>
      <c r="M24" s="96">
        <v>735.75740214703717</v>
      </c>
      <c r="N24" s="96">
        <v>892.93343649286612</v>
      </c>
      <c r="O24" s="96">
        <v>748.08401230488619</v>
      </c>
      <c r="P24" s="96">
        <v>900.53281146519134</v>
      </c>
      <c r="Q24" s="96">
        <v>1058.366751827969</v>
      </c>
      <c r="R24" s="96">
        <v>1126.1140917901307</v>
      </c>
      <c r="S24" s="96">
        <v>1188.0369720755314</v>
      </c>
      <c r="T24" s="96">
        <v>1333.2290015874787</v>
      </c>
      <c r="U24" s="96">
        <v>1503.8774141472127</v>
      </c>
      <c r="V24" s="96">
        <v>1325.3413235458227</v>
      </c>
      <c r="W24" s="96">
        <v>1513.6953696746264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2.3035973101522571</v>
      </c>
      <c r="I25" s="96">
        <v>0.9910657365050991</v>
      </c>
      <c r="J25" s="96">
        <v>1.9797874562387168</v>
      </c>
      <c r="K25" s="96">
        <v>1.816699289213789</v>
      </c>
      <c r="L25" s="96">
        <v>6.7129040278708825</v>
      </c>
      <c r="M25" s="96">
        <v>8.6237691368264748</v>
      </c>
      <c r="N25" s="96">
        <v>47.218759960650175</v>
      </c>
      <c r="O25" s="96">
        <v>50.136423876392975</v>
      </c>
      <c r="P25" s="96">
        <v>53.455965163095783</v>
      </c>
      <c r="Q25" s="96">
        <v>65.300196684611407</v>
      </c>
      <c r="R25" s="96">
        <v>77.045135814278922</v>
      </c>
      <c r="S25" s="96">
        <v>85.439387962847931</v>
      </c>
      <c r="T25" s="96">
        <v>87.039297014513693</v>
      </c>
      <c r="U25" s="96">
        <v>101.28460651804653</v>
      </c>
      <c r="V25" s="96">
        <v>94.113797109568651</v>
      </c>
      <c r="W25" s="96">
        <v>96.23527845188157</v>
      </c>
      <c r="DA25" s="171" t="s">
        <v>643</v>
      </c>
    </row>
    <row r="26" spans="1:105" ht="11.45" customHeight="1" x14ac:dyDescent="0.25">
      <c r="A26" s="111" t="s">
        <v>112</v>
      </c>
      <c r="B26" s="96">
        <v>222.55898538263111</v>
      </c>
      <c r="C26" s="96">
        <v>294.86242476354249</v>
      </c>
      <c r="D26" s="96">
        <v>340.05210662080822</v>
      </c>
      <c r="E26" s="96">
        <v>363.77661220980218</v>
      </c>
      <c r="F26" s="96">
        <v>371.89501289767838</v>
      </c>
      <c r="G26" s="96">
        <v>434.29346517626823</v>
      </c>
      <c r="H26" s="96">
        <v>454.26104901117787</v>
      </c>
      <c r="I26" s="96">
        <v>382.3445399828031</v>
      </c>
      <c r="J26" s="96">
        <v>364.76543422184</v>
      </c>
      <c r="K26" s="96">
        <v>387.83800515907132</v>
      </c>
      <c r="L26" s="96">
        <v>373.55494411006021</v>
      </c>
      <c r="M26" s="96">
        <v>349.38374892519352</v>
      </c>
      <c r="N26" s="96">
        <v>370.25889939810833</v>
      </c>
      <c r="O26" s="96">
        <v>397.72622527944958</v>
      </c>
      <c r="P26" s="96">
        <v>433.98297506448841</v>
      </c>
      <c r="Q26" s="96">
        <v>462.54892519346521</v>
      </c>
      <c r="R26" s="96">
        <v>495.32150167848027</v>
      </c>
      <c r="S26" s="96">
        <v>478.30439002108415</v>
      </c>
      <c r="T26" s="96">
        <v>455.92184014629896</v>
      </c>
      <c r="U26" s="96">
        <v>436.69984414206556</v>
      </c>
      <c r="V26" s="96">
        <v>413.52044446696175</v>
      </c>
      <c r="W26" s="96">
        <v>399.47506355896212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4.5477076480094105</v>
      </c>
      <c r="G27" s="96">
        <v>16.336767918177944</v>
      </c>
      <c r="H27" s="96">
        <v>20.406635823185159</v>
      </c>
      <c r="I27" s="96">
        <v>28.640646053449462</v>
      </c>
      <c r="J27" s="96">
        <v>26.743667344865127</v>
      </c>
      <c r="K27" s="96">
        <v>36.445608705017989</v>
      </c>
      <c r="L27" s="96">
        <v>47.412458312228829</v>
      </c>
      <c r="M27" s="96">
        <v>41.954422938007518</v>
      </c>
      <c r="N27" s="96">
        <v>45.512923486581357</v>
      </c>
      <c r="O27" s="96">
        <v>49.022697909576209</v>
      </c>
      <c r="P27" s="96">
        <v>65.471502472728631</v>
      </c>
      <c r="Q27" s="96">
        <v>57.798935550774601</v>
      </c>
      <c r="R27" s="96">
        <v>53.714052556454561</v>
      </c>
      <c r="S27" s="96">
        <v>54.071668251896725</v>
      </c>
      <c r="T27" s="96">
        <v>55.639695761805896</v>
      </c>
      <c r="U27" s="96">
        <v>58.242869271329376</v>
      </c>
      <c r="V27" s="96">
        <v>59.090784967380422</v>
      </c>
      <c r="W27" s="96">
        <v>57.730018785011445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1.0536294637879299E-3</v>
      </c>
      <c r="O29" s="96">
        <v>8.5108909478010539E-4</v>
      </c>
      <c r="P29" s="96">
        <v>1.8328346552485743E-3</v>
      </c>
      <c r="Q29" s="96">
        <v>8.9714573154880146E-3</v>
      </c>
      <c r="R29" s="96">
        <v>1.4691906089039513E-2</v>
      </c>
      <c r="S29" s="96">
        <v>5.129215474437189E-2</v>
      </c>
      <c r="T29" s="96">
        <v>9.7231557907364069E-2</v>
      </c>
      <c r="U29" s="96">
        <v>0.29865573502808074</v>
      </c>
      <c r="V29" s="96">
        <v>0.40159480697178307</v>
      </c>
      <c r="W29" s="96">
        <v>0.63142502233918951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9.7326924285221595E-6</v>
      </c>
      <c r="P30" s="96">
        <v>3.5208036211706335E-5</v>
      </c>
      <c r="Q30" s="96">
        <v>3.5068253143670942E-4</v>
      </c>
      <c r="R30" s="96">
        <v>5.9569115575556651E-4</v>
      </c>
      <c r="S30" s="96">
        <v>1.6181167093860904E-3</v>
      </c>
      <c r="T30" s="96">
        <v>3.4198234665573941E-3</v>
      </c>
      <c r="U30" s="96">
        <v>1.1852116982540057E-2</v>
      </c>
      <c r="V30" s="96">
        <v>1.3383725087276307E-2</v>
      </c>
      <c r="W30" s="96">
        <v>1.5275447265726093E-2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3.6651049613089018E-4</v>
      </c>
      <c r="O31" s="96">
        <v>3.2771420828248821E-4</v>
      </c>
      <c r="P31" s="96">
        <v>5.9771857963627671E-4</v>
      </c>
      <c r="Q31" s="96">
        <v>2.9630966102057238E-3</v>
      </c>
      <c r="R31" s="96">
        <v>5.1690673562186278E-3</v>
      </c>
      <c r="S31" s="96">
        <v>1.9014219612990175E-2</v>
      </c>
      <c r="T31" s="96">
        <v>3.6703722319253264E-2</v>
      </c>
      <c r="U31" s="96">
        <v>0.11068487498176603</v>
      </c>
      <c r="V31" s="96">
        <v>0.15633852230348455</v>
      </c>
      <c r="W31" s="96">
        <v>0.2470860011706022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5.0251763838923356E-3</v>
      </c>
      <c r="S32" s="96">
        <v>1.7716551779261829E-2</v>
      </c>
      <c r="T32" s="96">
        <v>5.943549922087131E-2</v>
      </c>
      <c r="U32" s="96">
        <v>0.11031792390179214</v>
      </c>
      <c r="V32" s="96">
        <v>0.20301132105853426</v>
      </c>
      <c r="W32" s="96">
        <v>0.29442732051920656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270.66166060413246</v>
      </c>
      <c r="C33" s="130">
        <f t="shared" si="21"/>
        <v>278.77780012178113</v>
      </c>
      <c r="D33" s="130">
        <f t="shared" si="21"/>
        <v>315.7638213086172</v>
      </c>
      <c r="E33" s="130">
        <f t="shared" si="21"/>
        <v>272.47092010566632</v>
      </c>
      <c r="F33" s="130">
        <f t="shared" si="21"/>
        <v>250.407212875764</v>
      </c>
      <c r="G33" s="130">
        <f t="shared" si="21"/>
        <v>265.48459253525522</v>
      </c>
      <c r="H33" s="130">
        <f t="shared" si="21"/>
        <v>254.25531057834419</v>
      </c>
      <c r="I33" s="130">
        <f t="shared" si="21"/>
        <v>270.74836682509363</v>
      </c>
      <c r="J33" s="130">
        <f t="shared" si="21"/>
        <v>246.37157729336124</v>
      </c>
      <c r="K33" s="130">
        <f t="shared" si="21"/>
        <v>257.43358240078067</v>
      </c>
      <c r="L33" s="130">
        <f t="shared" ref="L33" si="22">L34+L36+L38+L39+L41</f>
        <v>239.00105282658359</v>
      </c>
      <c r="M33" s="130">
        <f t="shared" ref="M33:V33" si="23">M34+M36+M38+M39+M41</f>
        <v>262.74647199744214</v>
      </c>
      <c r="N33" s="130">
        <f t="shared" si="23"/>
        <v>242.82669913865558</v>
      </c>
      <c r="O33" s="130">
        <f t="shared" si="23"/>
        <v>224.6763682876132</v>
      </c>
      <c r="P33" s="130">
        <f t="shared" si="23"/>
        <v>220.78281581585475</v>
      </c>
      <c r="Q33" s="130">
        <f t="shared" si="23"/>
        <v>242.47856401671422</v>
      </c>
      <c r="R33" s="130">
        <f t="shared" si="23"/>
        <v>231.35896014077628</v>
      </c>
      <c r="S33" s="130">
        <f t="shared" si="23"/>
        <v>216.45201218641486</v>
      </c>
      <c r="T33" s="130">
        <f t="shared" si="23"/>
        <v>220.27733968044072</v>
      </c>
      <c r="U33" s="130">
        <f t="shared" si="23"/>
        <v>242.06017853079467</v>
      </c>
      <c r="V33" s="130">
        <f t="shared" si="23"/>
        <v>236.98573384360819</v>
      </c>
      <c r="W33" s="130">
        <f t="shared" ref="W33" si="24">W34+W36+W38+W39+W41</f>
        <v>239.90817941834584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270.66166060413246</v>
      </c>
      <c r="C36" s="97">
        <v>278.77780012178113</v>
      </c>
      <c r="D36" s="97">
        <v>315.7638213086172</v>
      </c>
      <c r="E36" s="97">
        <v>272.47092010566632</v>
      </c>
      <c r="F36" s="97">
        <v>249.15096523572527</v>
      </c>
      <c r="G36" s="97">
        <v>262.73279639496371</v>
      </c>
      <c r="H36" s="97">
        <v>249.40407881769445</v>
      </c>
      <c r="I36" s="97">
        <v>262.4152381579928</v>
      </c>
      <c r="J36" s="97">
        <v>237.9872835720127</v>
      </c>
      <c r="K36" s="97">
        <v>244.51323603940153</v>
      </c>
      <c r="L36" s="97">
        <v>219.98546651040226</v>
      </c>
      <c r="M36" s="97">
        <v>243.40181393150309</v>
      </c>
      <c r="N36" s="97">
        <v>222.93389504994764</v>
      </c>
      <c r="O36" s="97">
        <v>198.0391662152829</v>
      </c>
      <c r="P36" s="97">
        <v>201.33807070616393</v>
      </c>
      <c r="Q36" s="97">
        <v>215.73025930237691</v>
      </c>
      <c r="R36" s="97">
        <v>204.33055586909137</v>
      </c>
      <c r="S36" s="97">
        <v>189.01624537225675</v>
      </c>
      <c r="T36" s="97">
        <v>191.05053603859676</v>
      </c>
      <c r="U36" s="97">
        <v>206.60111202434553</v>
      </c>
      <c r="V36" s="97">
        <v>203.97032923746602</v>
      </c>
      <c r="W36" s="97">
        <v>199.1395421149268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0.96031016504875655</v>
      </c>
      <c r="I37" s="97">
        <v>0.4535618326657993</v>
      </c>
      <c r="J37" s="97">
        <v>0.66822812410538879</v>
      </c>
      <c r="K37" s="97">
        <v>0.65516298830383091</v>
      </c>
      <c r="L37" s="97">
        <v>2.1425578974727926</v>
      </c>
      <c r="M37" s="97">
        <v>2.8528983122762992</v>
      </c>
      <c r="N37" s="97">
        <v>11.788854182458826</v>
      </c>
      <c r="O37" s="97">
        <v>13.272540808491776</v>
      </c>
      <c r="P37" s="97">
        <v>11.951503328526558</v>
      </c>
      <c r="Q37" s="97">
        <v>13.310346662852487</v>
      </c>
      <c r="R37" s="97">
        <v>13.979645173355268</v>
      </c>
      <c r="S37" s="97">
        <v>13.593375205678683</v>
      </c>
      <c r="T37" s="97">
        <v>12.472654233627832</v>
      </c>
      <c r="U37" s="97">
        <v>13.914373698764997</v>
      </c>
      <c r="V37" s="97">
        <v>14.484134646061305</v>
      </c>
      <c r="W37" s="97">
        <v>12.660572047815403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1.2562476400387403</v>
      </c>
      <c r="G39" s="97">
        <v>2.7517961402915248</v>
      </c>
      <c r="H39" s="97">
        <v>4.8512317606497497</v>
      </c>
      <c r="I39" s="97">
        <v>8.3331286671008407</v>
      </c>
      <c r="J39" s="97">
        <v>8.2953696284796727</v>
      </c>
      <c r="K39" s="97">
        <v>12.672791982858179</v>
      </c>
      <c r="L39" s="97">
        <v>18.516948394563947</v>
      </c>
      <c r="M39" s="97">
        <v>18.793470441184219</v>
      </c>
      <c r="N39" s="97">
        <v>19.298082532335229</v>
      </c>
      <c r="O39" s="97">
        <v>21.850904841928511</v>
      </c>
      <c r="P39" s="97">
        <v>13.119469152378841</v>
      </c>
      <c r="Q39" s="97">
        <v>19.97518310786684</v>
      </c>
      <c r="R39" s="97">
        <v>20.341189896634845</v>
      </c>
      <c r="S39" s="97">
        <v>20.860442795770609</v>
      </c>
      <c r="T39" s="97">
        <v>22.653751218447326</v>
      </c>
      <c r="U39" s="97">
        <v>28.915848590030144</v>
      </c>
      <c r="V39" s="97">
        <v>26.818570458497796</v>
      </c>
      <c r="W39" s="97">
        <v>33.810582867423868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8.8924092868873927E-2</v>
      </c>
      <c r="K41" s="97">
        <v>0.24755437852095166</v>
      </c>
      <c r="L41" s="97">
        <v>0.49863792161737402</v>
      </c>
      <c r="M41" s="97">
        <v>0.55118762475486061</v>
      </c>
      <c r="N41" s="97">
        <v>0.59472155637270796</v>
      </c>
      <c r="O41" s="97">
        <v>4.7862972304018081</v>
      </c>
      <c r="P41" s="97">
        <v>6.3252759573119839</v>
      </c>
      <c r="Q41" s="97">
        <v>6.7731216064704771</v>
      </c>
      <c r="R41" s="97">
        <v>6.687214375050071</v>
      </c>
      <c r="S41" s="97">
        <v>6.5753240183875183</v>
      </c>
      <c r="T41" s="97">
        <v>6.5730524233966214</v>
      </c>
      <c r="U41" s="97">
        <v>6.5432179164189908</v>
      </c>
      <c r="V41" s="97">
        <v>6.1968341476443847</v>
      </c>
      <c r="W41" s="97">
        <v>6.9580544359951739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326.87017543972888</v>
      </c>
      <c r="C42" s="32">
        <f t="shared" si="25"/>
        <v>358.08290941715831</v>
      </c>
      <c r="D42" s="32">
        <f t="shared" si="25"/>
        <v>342.26422106616229</v>
      </c>
      <c r="E42" s="32">
        <f t="shared" si="25"/>
        <v>483.83205465153458</v>
      </c>
      <c r="F42" s="32">
        <f t="shared" si="25"/>
        <v>534.36945242579998</v>
      </c>
      <c r="G42" s="32">
        <f t="shared" si="25"/>
        <v>575.97139563415078</v>
      </c>
      <c r="H42" s="32">
        <f t="shared" si="25"/>
        <v>587.82885287056286</v>
      </c>
      <c r="I42" s="32">
        <f t="shared" si="25"/>
        <v>530.63825625913194</v>
      </c>
      <c r="J42" s="32">
        <f t="shared" si="25"/>
        <v>565.23397214646593</v>
      </c>
      <c r="K42" s="32">
        <f t="shared" si="25"/>
        <v>492.23308268092364</v>
      </c>
      <c r="L42" s="32">
        <f t="shared" ref="L42" si="26">L43+L52</f>
        <v>479.97723016296283</v>
      </c>
      <c r="M42" s="32">
        <f t="shared" ref="M42:V42" si="27">M43+M52</f>
        <v>500.60840033506804</v>
      </c>
      <c r="N42" s="32">
        <f t="shared" si="27"/>
        <v>521.82014148946018</v>
      </c>
      <c r="O42" s="32">
        <f t="shared" si="27"/>
        <v>482.71149882929132</v>
      </c>
      <c r="P42" s="32">
        <f t="shared" si="27"/>
        <v>523.98063468461442</v>
      </c>
      <c r="Q42" s="32">
        <f t="shared" si="27"/>
        <v>585.75103142581338</v>
      </c>
      <c r="R42" s="32">
        <f t="shared" si="27"/>
        <v>585.86857744039412</v>
      </c>
      <c r="S42" s="32">
        <f t="shared" si="27"/>
        <v>576.65697264051369</v>
      </c>
      <c r="T42" s="32">
        <f t="shared" si="27"/>
        <v>557.40758474689574</v>
      </c>
      <c r="U42" s="32">
        <f t="shared" si="27"/>
        <v>495.17634869291021</v>
      </c>
      <c r="V42" s="32">
        <f t="shared" si="27"/>
        <v>534.51491389006867</v>
      </c>
      <c r="W42" s="32">
        <f t="shared" ref="W42" si="28">W43+W52</f>
        <v>610.28255497326245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127.63818988942762</v>
      </c>
      <c r="C43" s="141">
        <f t="shared" si="29"/>
        <v>123.62239196430548</v>
      </c>
      <c r="D43" s="141">
        <f t="shared" si="29"/>
        <v>125.7164966346062</v>
      </c>
      <c r="E43" s="141">
        <f t="shared" si="29"/>
        <v>133.16978318948119</v>
      </c>
      <c r="F43" s="141">
        <f t="shared" si="29"/>
        <v>148.74772550623854</v>
      </c>
      <c r="G43" s="141">
        <f t="shared" si="29"/>
        <v>137.71127651010738</v>
      </c>
      <c r="H43" s="141">
        <f t="shared" si="29"/>
        <v>147.05577306059556</v>
      </c>
      <c r="I43" s="141">
        <f t="shared" si="29"/>
        <v>157.79240493520726</v>
      </c>
      <c r="J43" s="141">
        <f t="shared" si="29"/>
        <v>167.08209032785169</v>
      </c>
      <c r="K43" s="141">
        <f t="shared" si="29"/>
        <v>164.76550782561711</v>
      </c>
      <c r="L43" s="141">
        <f t="shared" ref="L43" si="30">L44+L46+L48+L49+L51</f>
        <v>160.8537752922752</v>
      </c>
      <c r="M43" s="141">
        <f t="shared" ref="M43:V43" si="31">M44+M46+M48+M49+M51</f>
        <v>178.00643509044963</v>
      </c>
      <c r="N43" s="141">
        <f t="shared" si="31"/>
        <v>186.83961966064342</v>
      </c>
      <c r="O43" s="141">
        <f t="shared" si="31"/>
        <v>185.79115998006949</v>
      </c>
      <c r="P43" s="141">
        <f t="shared" si="31"/>
        <v>193.33842095554726</v>
      </c>
      <c r="Q43" s="141">
        <f t="shared" si="31"/>
        <v>215.2585010546172</v>
      </c>
      <c r="R43" s="141">
        <f t="shared" si="31"/>
        <v>210.86002221150773</v>
      </c>
      <c r="S43" s="141">
        <f t="shared" si="31"/>
        <v>179.25702374849678</v>
      </c>
      <c r="T43" s="141">
        <f t="shared" si="31"/>
        <v>178.21822818829071</v>
      </c>
      <c r="U43" s="141">
        <f t="shared" si="31"/>
        <v>173.95521136090744</v>
      </c>
      <c r="V43" s="141">
        <f t="shared" si="31"/>
        <v>167.24649024807886</v>
      </c>
      <c r="W43" s="141">
        <f t="shared" ref="W43" si="32">W44+W46+W48+W49+W51</f>
        <v>161.13631896555867</v>
      </c>
      <c r="DA43" s="174" t="s">
        <v>399</v>
      </c>
    </row>
    <row r="44" spans="1:105" ht="11.45" customHeight="1" x14ac:dyDescent="0.25">
      <c r="A44" s="111" t="s">
        <v>110</v>
      </c>
      <c r="B44" s="96">
        <v>29.887491412431096</v>
      </c>
      <c r="C44" s="96">
        <v>30.386339417475536</v>
      </c>
      <c r="D44" s="96">
        <v>30.928688321944367</v>
      </c>
      <c r="E44" s="96">
        <v>31.537463227081467</v>
      </c>
      <c r="F44" s="96">
        <v>32.147115753566361</v>
      </c>
      <c r="G44" s="96">
        <v>29.261622933056159</v>
      </c>
      <c r="H44" s="96">
        <v>25.668347977352383</v>
      </c>
      <c r="I44" s="96">
        <v>22.317386243671841</v>
      </c>
      <c r="J44" s="96">
        <v>19.481813297089335</v>
      </c>
      <c r="K44" s="96">
        <v>16.326696049829614</v>
      </c>
      <c r="L44" s="96">
        <v>12.469820054917017</v>
      </c>
      <c r="M44" s="96">
        <v>13.533760867606663</v>
      </c>
      <c r="N44" s="96">
        <v>12.729749386433996</v>
      </c>
      <c r="O44" s="96">
        <v>11.734093962577219</v>
      </c>
      <c r="P44" s="96">
        <v>10.662664826693639</v>
      </c>
      <c r="Q44" s="96">
        <v>12.679576422140961</v>
      </c>
      <c r="R44" s="96">
        <v>12.313911120149443</v>
      </c>
      <c r="S44" s="96">
        <v>12.004202182887258</v>
      </c>
      <c r="T44" s="96">
        <v>12.082180288644656</v>
      </c>
      <c r="U44" s="96">
        <v>11.855529667428403</v>
      </c>
      <c r="V44" s="96">
        <v>11.655388874285643</v>
      </c>
      <c r="W44" s="96">
        <v>11.43026604839438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0.21820750366795225</v>
      </c>
      <c r="P45" s="96">
        <v>0.30394834683485938</v>
      </c>
      <c r="Q45" s="96">
        <v>0.7400530985685384</v>
      </c>
      <c r="R45" s="96">
        <v>0.77028375181360031</v>
      </c>
      <c r="S45" s="96">
        <v>0.60177951457910894</v>
      </c>
      <c r="T45" s="96">
        <v>0.68264333718221148</v>
      </c>
      <c r="U45" s="96">
        <v>0.74752610310829137</v>
      </c>
      <c r="V45" s="96">
        <v>0.63603883052258159</v>
      </c>
      <c r="W45" s="96">
        <v>0.45429273802224679</v>
      </c>
      <c r="DA45" s="171" t="s">
        <v>660</v>
      </c>
    </row>
    <row r="46" spans="1:105" ht="11.45" customHeight="1" x14ac:dyDescent="0.25">
      <c r="A46" s="111" t="s">
        <v>111</v>
      </c>
      <c r="B46" s="96">
        <v>97.750698476996533</v>
      </c>
      <c r="C46" s="96">
        <v>93.236052546829939</v>
      </c>
      <c r="D46" s="96">
        <v>94.787808312661838</v>
      </c>
      <c r="E46" s="96">
        <v>101.63231996239972</v>
      </c>
      <c r="F46" s="96">
        <v>116.60060975267218</v>
      </c>
      <c r="G46" s="96">
        <v>108.44965357705121</v>
      </c>
      <c r="H46" s="96">
        <v>121.38742508324317</v>
      </c>
      <c r="I46" s="96">
        <v>135.47501869153541</v>
      </c>
      <c r="J46" s="96">
        <v>147.60027703076236</v>
      </c>
      <c r="K46" s="96">
        <v>148.43881177578749</v>
      </c>
      <c r="L46" s="96">
        <v>148.38395523735818</v>
      </c>
      <c r="M46" s="96">
        <v>164.47267422284295</v>
      </c>
      <c r="N46" s="96">
        <v>174.1062781846889</v>
      </c>
      <c r="O46" s="96">
        <v>174.05335537351485</v>
      </c>
      <c r="P46" s="96">
        <v>182.67192215632704</v>
      </c>
      <c r="Q46" s="96">
        <v>202.57393829209525</v>
      </c>
      <c r="R46" s="96">
        <v>198.3092175762078</v>
      </c>
      <c r="S46" s="96">
        <v>166.60247854411509</v>
      </c>
      <c r="T46" s="96">
        <v>164.89722963303194</v>
      </c>
      <c r="U46" s="96">
        <v>160.07845085585433</v>
      </c>
      <c r="V46" s="96">
        <v>153.10573440877118</v>
      </c>
      <c r="W46" s="96">
        <v>146.54516346671514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0.46739242906184003</v>
      </c>
      <c r="I47" s="96">
        <v>0.23415674405756551</v>
      </c>
      <c r="J47" s="96">
        <v>0.41443666551140468</v>
      </c>
      <c r="K47" s="96">
        <v>0.39773558715497687</v>
      </c>
      <c r="L47" s="96">
        <v>1.445191903788871</v>
      </c>
      <c r="M47" s="96">
        <v>1.9277745187140012</v>
      </c>
      <c r="N47" s="96">
        <v>9.2068257512391742</v>
      </c>
      <c r="O47" s="96">
        <v>11.665017108477514</v>
      </c>
      <c r="P47" s="96">
        <v>10.843473755472161</v>
      </c>
      <c r="Q47" s="96">
        <v>12.498614483876288</v>
      </c>
      <c r="R47" s="96">
        <v>13.567684404956152</v>
      </c>
      <c r="S47" s="96">
        <v>11.981456919673812</v>
      </c>
      <c r="T47" s="96">
        <v>10.765246577902472</v>
      </c>
      <c r="U47" s="96">
        <v>10.781120026426928</v>
      </c>
      <c r="V47" s="96">
        <v>10.872189502027855</v>
      </c>
      <c r="W47" s="96">
        <v>9.3168116217646091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0.18821457259453245</v>
      </c>
      <c r="S48" s="96">
        <v>0.56009837100526583</v>
      </c>
      <c r="T48" s="96">
        <v>1.099569999874733</v>
      </c>
      <c r="U48" s="96">
        <v>1.8097861244864129</v>
      </c>
      <c r="V48" s="96">
        <v>2.1924532114560349</v>
      </c>
      <c r="W48" s="96">
        <v>2.7986251770654142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4.1748088613084836E-2</v>
      </c>
      <c r="S49" s="96">
        <v>8.2506321206246819E-2</v>
      </c>
      <c r="T49" s="96">
        <v>0.12994080994452925</v>
      </c>
      <c r="U49" s="96">
        <v>0.19803192367916136</v>
      </c>
      <c r="V49" s="96">
        <v>0.27740295761274669</v>
      </c>
      <c r="W49" s="96">
        <v>0.34245939657584917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3.5920895205224491E-3</v>
      </c>
      <c r="O51" s="96">
        <v>3.7106439774178563E-3</v>
      </c>
      <c r="P51" s="96">
        <v>3.8339725265873303E-3</v>
      </c>
      <c r="Q51" s="96">
        <v>4.9863403809724616E-3</v>
      </c>
      <c r="R51" s="96">
        <v>6.9308539428653559E-3</v>
      </c>
      <c r="S51" s="96">
        <v>7.7383292829077445E-3</v>
      </c>
      <c r="T51" s="96">
        <v>9.3074567948386276E-3</v>
      </c>
      <c r="U51" s="96">
        <v>1.3412789459113943E-2</v>
      </c>
      <c r="V51" s="96">
        <v>1.5510795953238073E-2</v>
      </c>
      <c r="W51" s="96">
        <v>1.9804876807882173E-2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199.23198555030123</v>
      </c>
      <c r="C52" s="130">
        <f t="shared" si="33"/>
        <v>234.46051745285283</v>
      </c>
      <c r="D52" s="130">
        <f t="shared" si="33"/>
        <v>216.54772443155611</v>
      </c>
      <c r="E52" s="130">
        <f t="shared" si="33"/>
        <v>350.66227146205335</v>
      </c>
      <c r="F52" s="130">
        <f t="shared" si="33"/>
        <v>385.62172691956147</v>
      </c>
      <c r="G52" s="130">
        <f t="shared" si="33"/>
        <v>438.2601191240434</v>
      </c>
      <c r="H52" s="130">
        <f t="shared" si="33"/>
        <v>440.77307980996727</v>
      </c>
      <c r="I52" s="130">
        <f t="shared" si="33"/>
        <v>372.84585132392465</v>
      </c>
      <c r="J52" s="130">
        <f t="shared" si="33"/>
        <v>398.15188181861424</v>
      </c>
      <c r="K52" s="130">
        <f t="shared" si="33"/>
        <v>327.46757485530657</v>
      </c>
      <c r="L52" s="130">
        <f t="shared" ref="L52" si="34">L53+L55</f>
        <v>319.12345487068762</v>
      </c>
      <c r="M52" s="130">
        <f t="shared" ref="M52:V52" si="35">M53+M55</f>
        <v>322.60196524461844</v>
      </c>
      <c r="N52" s="130">
        <f t="shared" si="35"/>
        <v>334.98052182881673</v>
      </c>
      <c r="O52" s="130">
        <f t="shared" si="35"/>
        <v>296.92033884922182</v>
      </c>
      <c r="P52" s="130">
        <f t="shared" si="35"/>
        <v>330.64221372906712</v>
      </c>
      <c r="Q52" s="130">
        <f t="shared" si="35"/>
        <v>370.49253037119615</v>
      </c>
      <c r="R52" s="130">
        <f t="shared" si="35"/>
        <v>375.00855522888645</v>
      </c>
      <c r="S52" s="130">
        <f t="shared" si="35"/>
        <v>397.39994889201688</v>
      </c>
      <c r="T52" s="130">
        <f t="shared" si="35"/>
        <v>379.18935655860497</v>
      </c>
      <c r="U52" s="130">
        <f t="shared" si="35"/>
        <v>321.22113733200274</v>
      </c>
      <c r="V52" s="130">
        <f t="shared" si="35"/>
        <v>367.26842364198984</v>
      </c>
      <c r="W52" s="130">
        <f t="shared" ref="W52" si="36">W53+W55</f>
        <v>449.14623600770381</v>
      </c>
      <c r="DA52" s="176" t="s">
        <v>400</v>
      </c>
    </row>
    <row r="53" spans="1:105" ht="11.45" customHeight="1" x14ac:dyDescent="0.25">
      <c r="A53" s="128" t="s">
        <v>27</v>
      </c>
      <c r="B53" s="97">
        <v>74.565912978786301</v>
      </c>
      <c r="C53" s="97">
        <v>104.73355811982159</v>
      </c>
      <c r="D53" s="97">
        <v>79.401581024955817</v>
      </c>
      <c r="E53" s="97">
        <v>217.68842617837979</v>
      </c>
      <c r="F53" s="97">
        <v>229.49003845489344</v>
      </c>
      <c r="G53" s="97">
        <v>280.33638100991971</v>
      </c>
      <c r="H53" s="97">
        <v>304.09211112451101</v>
      </c>
      <c r="I53" s="97">
        <v>251.1856294974308</v>
      </c>
      <c r="J53" s="97">
        <v>328.071960525853</v>
      </c>
      <c r="K53" s="97">
        <v>261.16136380191972</v>
      </c>
      <c r="L53" s="97">
        <v>246.16513845378751</v>
      </c>
      <c r="M53" s="97">
        <v>237.37493880948554</v>
      </c>
      <c r="N53" s="97">
        <v>256.69263230410974</v>
      </c>
      <c r="O53" s="97">
        <v>194.95384332829968</v>
      </c>
      <c r="P53" s="97">
        <v>238.23579605842005</v>
      </c>
      <c r="Q53" s="97">
        <v>265.07287330863323</v>
      </c>
      <c r="R53" s="97">
        <v>274.0366084938729</v>
      </c>
      <c r="S53" s="97">
        <v>301.94503455176152</v>
      </c>
      <c r="T53" s="97">
        <v>293.3689992552454</v>
      </c>
      <c r="U53" s="97">
        <v>246.95909125784675</v>
      </c>
      <c r="V53" s="97">
        <v>275.00613311559965</v>
      </c>
      <c r="W53" s="97">
        <v>342.11600752513863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1.170881995227762</v>
      </c>
      <c r="I54" s="97">
        <v>0.43415243433986223</v>
      </c>
      <c r="J54" s="97">
        <v>0.92117069224596604</v>
      </c>
      <c r="K54" s="97">
        <v>0.69977095027443692</v>
      </c>
      <c r="L54" s="97">
        <v>2.3975359365465438</v>
      </c>
      <c r="M54" s="97">
        <v>2.782257664262302</v>
      </c>
      <c r="N54" s="97">
        <v>13.574032837252849</v>
      </c>
      <c r="O54" s="97">
        <v>13.065763155831167</v>
      </c>
      <c r="P54" s="97">
        <v>14.141766132852961</v>
      </c>
      <c r="Q54" s="97">
        <v>16.354737838195394</v>
      </c>
      <c r="R54" s="97">
        <v>18.748711052831407</v>
      </c>
      <c r="S54" s="97">
        <v>21.714811539453798</v>
      </c>
      <c r="T54" s="97">
        <v>19.152472253921719</v>
      </c>
      <c r="U54" s="97">
        <v>16.632442344570567</v>
      </c>
      <c r="V54" s="97">
        <v>19.528457278223346</v>
      </c>
      <c r="W54" s="97">
        <v>21.750498750686411</v>
      </c>
      <c r="DA54" s="175" t="s">
        <v>668</v>
      </c>
    </row>
    <row r="55" spans="1:105" ht="11.45" customHeight="1" x14ac:dyDescent="0.25">
      <c r="A55" s="128" t="s">
        <v>116</v>
      </c>
      <c r="B55" s="97">
        <v>124.66607257151493</v>
      </c>
      <c r="C55" s="97">
        <v>129.72695933303123</v>
      </c>
      <c r="D55" s="97">
        <v>137.14614340660029</v>
      </c>
      <c r="E55" s="97">
        <v>132.97384528367357</v>
      </c>
      <c r="F55" s="97">
        <v>156.13168846466803</v>
      </c>
      <c r="G55" s="97">
        <v>157.92373811412367</v>
      </c>
      <c r="H55" s="97">
        <v>136.68096868545624</v>
      </c>
      <c r="I55" s="97">
        <v>121.66022182649382</v>
      </c>
      <c r="J55" s="97">
        <v>70.079921292761213</v>
      </c>
      <c r="K55" s="97">
        <v>66.306211053386818</v>
      </c>
      <c r="L55" s="97">
        <v>72.95831641690009</v>
      </c>
      <c r="M55" s="97">
        <v>85.227026435132885</v>
      </c>
      <c r="N55" s="97">
        <v>78.287889524706983</v>
      </c>
      <c r="O55" s="97">
        <v>101.96649552092215</v>
      </c>
      <c r="P55" s="97">
        <v>92.406417670647087</v>
      </c>
      <c r="Q55" s="97">
        <v>105.41965706256293</v>
      </c>
      <c r="R55" s="97">
        <v>100.97194673501356</v>
      </c>
      <c r="S55" s="97">
        <v>95.454914340255357</v>
      </c>
      <c r="T55" s="97">
        <v>85.820357303359572</v>
      </c>
      <c r="U55" s="97">
        <v>74.262046074155961</v>
      </c>
      <c r="V55" s="97">
        <v>92.262290526390203</v>
      </c>
      <c r="W55" s="97">
        <v>107.03022848256518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0.52627897755151787</v>
      </c>
      <c r="I56" s="98">
        <v>0.21027907358386583</v>
      </c>
      <c r="J56" s="98">
        <v>0.196772590703339</v>
      </c>
      <c r="K56" s="98">
        <v>0.17766471901685166</v>
      </c>
      <c r="L56" s="98">
        <v>0.71058065564506978</v>
      </c>
      <c r="M56" s="98">
        <v>0.99894095261567217</v>
      </c>
      <c r="N56" s="98">
        <v>4.1399021609183198</v>
      </c>
      <c r="O56" s="98">
        <v>6.8337718177884916</v>
      </c>
      <c r="P56" s="98">
        <v>5.485279582219337</v>
      </c>
      <c r="Q56" s="98">
        <v>6.5042900570336384</v>
      </c>
      <c r="R56" s="98">
        <v>6.9081786706573531</v>
      </c>
      <c r="S56" s="98">
        <v>6.8647774867051732</v>
      </c>
      <c r="T56" s="98">
        <v>5.6027460851245765</v>
      </c>
      <c r="U56" s="98">
        <v>5.001472889405103</v>
      </c>
      <c r="V56" s="98">
        <v>6.5516364254257384</v>
      </c>
      <c r="W56" s="98">
        <v>6.8045949318073244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10.713953725111264</v>
      </c>
      <c r="C60" s="79">
        <f>IF(C17=0,0,C17/TrRoad_act!C30*100)</f>
        <v>10.874669304088739</v>
      </c>
      <c r="D60" s="79">
        <f>IF(D17=0,0,D17/TrRoad_act!D30*100)</f>
        <v>10.508386010798681</v>
      </c>
      <c r="E60" s="79">
        <f>IF(E17=0,0,E17/TrRoad_act!E30*100)</f>
        <v>10.894688931832128</v>
      </c>
      <c r="F60" s="79">
        <f>IF(F17=0,0,F17/TrRoad_act!F30*100)</f>
        <v>10.415570112870839</v>
      </c>
      <c r="G60" s="79">
        <f>IF(G17=0,0,G17/TrRoad_act!G30*100)</f>
        <v>10.526010505339729</v>
      </c>
      <c r="H60" s="79">
        <f>IF(H17=0,0,H17/TrRoad_act!H30*100)</f>
        <v>10.018917968050504</v>
      </c>
      <c r="I60" s="79">
        <f>IF(I17=0,0,I17/TrRoad_act!I30*100)</f>
        <v>9.5336292438861641</v>
      </c>
      <c r="J60" s="79">
        <f>IF(J17=0,0,J17/TrRoad_act!J30*100)</f>
        <v>9.3604567570609838</v>
      </c>
      <c r="K60" s="79">
        <f>IF(K17=0,0,K17/TrRoad_act!K30*100)</f>
        <v>8.9790227186204543</v>
      </c>
      <c r="L60" s="79">
        <f>IF(L17=0,0,L17/TrRoad_act!L30*100)</f>
        <v>8.8099913408040553</v>
      </c>
      <c r="M60" s="79">
        <f>IF(M17=0,0,M17/TrRoad_act!M30*100)</f>
        <v>8.7265424973919963</v>
      </c>
      <c r="N60" s="79">
        <f>IF(N17=0,0,N17/TrRoad_act!N30*100)</f>
        <v>8.7528755697725469</v>
      </c>
      <c r="O60" s="79">
        <f>IF(O17=0,0,O17/TrRoad_act!O30*100)</f>
        <v>7.7093618421451406</v>
      </c>
      <c r="P60" s="79">
        <f>IF(P17=0,0,P17/TrRoad_act!P30*100)</f>
        <v>8.4040001996356803</v>
      </c>
      <c r="Q60" s="79">
        <f>IF(Q17=0,0,Q17/TrRoad_act!Q30*100)</f>
        <v>8.3102224554459667</v>
      </c>
      <c r="R60" s="79">
        <f>IF(R17=0,0,R17/TrRoad_act!R30*100)</f>
        <v>8.3023644960774803</v>
      </c>
      <c r="S60" s="79">
        <f>IF(S17=0,0,S17/TrRoad_act!S30*100)</f>
        <v>8.4384421539534937</v>
      </c>
      <c r="T60" s="79">
        <f>IF(T17=0,0,T17/TrRoad_act!T30*100)</f>
        <v>8.6098487136553778</v>
      </c>
      <c r="U60" s="79">
        <f>IF(U17=0,0,U17/TrRoad_act!U30*100)</f>
        <v>8.7014740752148398</v>
      </c>
      <c r="V60" s="79">
        <f>IF(V17=0,0,V17/TrRoad_act!V30*100)</f>
        <v>8.4128374376605564</v>
      </c>
      <c r="W60" s="79">
        <f>IF(W17=0,0,W17/TrRoad_act!W30*100)</f>
        <v>8.3998280886763101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9.7985301062958605</v>
      </c>
      <c r="C61" s="32">
        <f>IF(C18=0,0,C18/TrRoad_act!C31*100)</f>
        <v>9.792984459221973</v>
      </c>
      <c r="D61" s="32">
        <f>IF(D18=0,0,D18/TrRoad_act!D31*100)</f>
        <v>9.6186575045763298</v>
      </c>
      <c r="E61" s="32">
        <f>IF(E18=0,0,E18/TrRoad_act!E31*100)</f>
        <v>9.5093486467468242</v>
      </c>
      <c r="F61" s="32">
        <f>IF(F18=0,0,F18/TrRoad_act!F31*100)</f>
        <v>9.0493662796984271</v>
      </c>
      <c r="G61" s="32">
        <f>IF(G18=0,0,G18/TrRoad_act!G31*100)</f>
        <v>9.0877327710957196</v>
      </c>
      <c r="H61" s="32">
        <f>IF(H18=0,0,H18/TrRoad_act!H31*100)</f>
        <v>8.7238268928787797</v>
      </c>
      <c r="I61" s="32">
        <f>IF(I18=0,0,I18/TrRoad_act!I31*100)</f>
        <v>8.4661269344005987</v>
      </c>
      <c r="J61" s="32">
        <f>IF(J18=0,0,J18/TrRoad_act!J31*100)</f>
        <v>8.2848960990567484</v>
      </c>
      <c r="K61" s="32">
        <f>IF(K18=0,0,K18/TrRoad_act!K31*100)</f>
        <v>8.1369120184819508</v>
      </c>
      <c r="L61" s="32">
        <f>IF(L18=0,0,L18/TrRoad_act!L31*100)</f>
        <v>7.9764546481080165</v>
      </c>
      <c r="M61" s="32">
        <f>IF(M18=0,0,M18/TrRoad_act!M31*100)</f>
        <v>7.9052384830934184</v>
      </c>
      <c r="N61" s="32">
        <f>IF(N18=0,0,N18/TrRoad_act!N31*100)</f>
        <v>7.9400468275194758</v>
      </c>
      <c r="O61" s="32">
        <f>IF(O18=0,0,O18/TrRoad_act!O31*100)</f>
        <v>6.9501234828140346</v>
      </c>
      <c r="P61" s="32">
        <f>IF(P18=0,0,P18/TrRoad_act!P31*100)</f>
        <v>7.6367306906937191</v>
      </c>
      <c r="Q61" s="32">
        <f>IF(Q18=0,0,Q18/TrRoad_act!Q31*100)</f>
        <v>7.5308912917495068</v>
      </c>
      <c r="R61" s="32">
        <f>IF(R18=0,0,R18/TrRoad_act!R31*100)</f>
        <v>7.5307457969502183</v>
      </c>
      <c r="S61" s="32">
        <f>IF(S18=0,0,S18/TrRoad_act!S31*100)</f>
        <v>7.6167003753573344</v>
      </c>
      <c r="T61" s="32">
        <f>IF(T18=0,0,T18/TrRoad_act!T31*100)</f>
        <v>7.8469014626605551</v>
      </c>
      <c r="U61" s="32">
        <f>IF(U18=0,0,U18/TrRoad_act!U31*100)</f>
        <v>8.0885421104035871</v>
      </c>
      <c r="V61" s="32">
        <f>IF(V18=0,0,V18/TrRoad_act!V31*100)</f>
        <v>7.6672167578377763</v>
      </c>
      <c r="W61" s="32">
        <f>IF(W18=0,0,W18/TrRoad_act!W31*100)</f>
        <v>7.5424561019936176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4.6017243343714656</v>
      </c>
      <c r="C62" s="141">
        <f>IF(C19=0,0,C19/TrRoad_act!C32*100)</f>
        <v>4.5855778090005126</v>
      </c>
      <c r="D62" s="141">
        <f>IF(D19=0,0,D19/TrRoad_act!D32*100)</f>
        <v>4.5651241195603811</v>
      </c>
      <c r="E62" s="141">
        <f>IF(E19=0,0,E19/TrRoad_act!E32*100)</f>
        <v>4.5402199432019756</v>
      </c>
      <c r="F62" s="141">
        <f>IF(F19=0,0,F19/TrRoad_act!F32*100)</f>
        <v>4.3136449197612743</v>
      </c>
      <c r="G62" s="141">
        <f>IF(G19=0,0,G19/TrRoad_act!G32*100)</f>
        <v>4.3052940128047164</v>
      </c>
      <c r="H62" s="141">
        <f>IF(H19=0,0,H19/TrRoad_act!H32*100)</f>
        <v>4.2957251686061007</v>
      </c>
      <c r="I62" s="141">
        <f>IF(I19=0,0,I19/TrRoad_act!I32*100)</f>
        <v>4.2220691929444785</v>
      </c>
      <c r="J62" s="141">
        <f>IF(J19=0,0,J19/TrRoad_act!J32*100)</f>
        <v>4.1385485301424749</v>
      </c>
      <c r="K62" s="141">
        <f>IF(K19=0,0,K19/TrRoad_act!K32*100)</f>
        <v>4.0788637586758911</v>
      </c>
      <c r="L62" s="141">
        <f>IF(L19=0,0,L19/TrRoad_act!L32*100)</f>
        <v>4.0339799940887922</v>
      </c>
      <c r="M62" s="141">
        <f>IF(M19=0,0,M19/TrRoad_act!M32*100)</f>
        <v>3.9841772804595688</v>
      </c>
      <c r="N62" s="141">
        <f>IF(N19=0,0,N19/TrRoad_act!N32*100)</f>
        <v>3.9326138350014652</v>
      </c>
      <c r="O62" s="141">
        <f>IF(O19=0,0,O19/TrRoad_act!O32*100)</f>
        <v>3.8849393106341221</v>
      </c>
      <c r="P62" s="141">
        <f>IF(P19=0,0,P19/TrRoad_act!P32*100)</f>
        <v>3.8461186825637061</v>
      </c>
      <c r="Q62" s="141">
        <f>IF(Q19=0,0,Q19/TrRoad_act!Q32*100)</f>
        <v>3.7978742107635863</v>
      </c>
      <c r="R62" s="141">
        <f>IF(R19=0,0,R19/TrRoad_act!R32*100)</f>
        <v>3.7510699076028033</v>
      </c>
      <c r="S62" s="141">
        <f>IF(S19=0,0,S19/TrRoad_act!S32*100)</f>
        <v>3.7218638777076816</v>
      </c>
      <c r="T62" s="141">
        <f>IF(T19=0,0,T19/TrRoad_act!T32*100)</f>
        <v>3.6810038151532236</v>
      </c>
      <c r="U62" s="141">
        <f>IF(U19=0,0,U19/TrRoad_act!U32*100)</f>
        <v>3.6616593274361122</v>
      </c>
      <c r="V62" s="141">
        <f>IF(V19=0,0,V19/TrRoad_act!V32*100)</f>
        <v>3.633252022610213</v>
      </c>
      <c r="W62" s="141">
        <f>IF(W19=0,0,W19/TrRoad_act!W32*100)</f>
        <v>3.4132623695246944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8.1570484467460247</v>
      </c>
      <c r="C63" s="130">
        <f>IF(C21=0,0,C21/TrRoad_act!C33*100)</f>
        <v>8.1446863937404448</v>
      </c>
      <c r="D63" s="130">
        <f>IF(D21=0,0,D21/TrRoad_act!D33*100)</f>
        <v>7.9187321723285908</v>
      </c>
      <c r="E63" s="130">
        <f>IF(E21=0,0,E21/TrRoad_act!E33*100)</f>
        <v>8.1698632924521934</v>
      </c>
      <c r="F63" s="130">
        <f>IF(F21=0,0,F21/TrRoad_act!F33*100)</f>
        <v>7.9327671109510192</v>
      </c>
      <c r="G63" s="130">
        <f>IF(G21=0,0,G21/TrRoad_act!G33*100)</f>
        <v>8.0209234111357883</v>
      </c>
      <c r="H63" s="130">
        <f>IF(H21=0,0,H21/TrRoad_act!H33*100)</f>
        <v>7.7952314697728413</v>
      </c>
      <c r="I63" s="130">
        <f>IF(I21=0,0,I21/TrRoad_act!I33*100)</f>
        <v>7.4554723508611014</v>
      </c>
      <c r="J63" s="130">
        <f>IF(J21=0,0,J21/TrRoad_act!J33*100)</f>
        <v>7.4398088701085996</v>
      </c>
      <c r="K63" s="130">
        <f>IF(K21=0,0,K21/TrRoad_act!K33*100)</f>
        <v>7.2837599352736913</v>
      </c>
      <c r="L63" s="130">
        <f>IF(L21=0,0,L21/TrRoad_act!L33*100)</f>
        <v>7.1894807205874827</v>
      </c>
      <c r="M63" s="130">
        <f>IF(M21=0,0,M21/TrRoad_act!M33*100)</f>
        <v>7.0379413947085361</v>
      </c>
      <c r="N63" s="130">
        <f>IF(N21=0,0,N21/TrRoad_act!N33*100)</f>
        <v>7.2049683736535401</v>
      </c>
      <c r="O63" s="130">
        <f>IF(O21=0,0,O21/TrRoad_act!O33*100)</f>
        <v>6.2651466950636339</v>
      </c>
      <c r="P63" s="130">
        <f>IF(P21=0,0,P21/TrRoad_act!P33*100)</f>
        <v>7.0306765354907013</v>
      </c>
      <c r="Q63" s="130">
        <f>IF(Q21=0,0,Q21/TrRoad_act!Q33*100)</f>
        <v>6.9301770145954178</v>
      </c>
      <c r="R63" s="130">
        <f>IF(R21=0,0,R21/TrRoad_act!R33*100)</f>
        <v>6.9797704790897388</v>
      </c>
      <c r="S63" s="130">
        <f>IF(S21=0,0,S21/TrRoad_act!S33*100)</f>
        <v>7.1097909672250506</v>
      </c>
      <c r="T63" s="130">
        <f>IF(T21=0,0,T21/TrRoad_act!T33*100)</f>
        <v>7.3416040419113839</v>
      </c>
      <c r="U63" s="130">
        <f>IF(U21=0,0,U21/TrRoad_act!U33*100)</f>
        <v>7.5584732166619402</v>
      </c>
      <c r="V63" s="130">
        <f>IF(V21=0,0,V21/TrRoad_act!V33*100)</f>
        <v>7.111632658627169</v>
      </c>
      <c r="W63" s="130">
        <f>IF(W21=0,0,W21/TrRoad_act!W33*100)</f>
        <v>7.0346786990370811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8.3100212647906329</v>
      </c>
      <c r="C64" s="96">
        <f>IF(C22=0,0,C22/TrRoad_act!C34*100)</f>
        <v>8.0580449881385281</v>
      </c>
      <c r="D64" s="96">
        <f>IF(D22=0,0,D22/TrRoad_act!D34*100)</f>
        <v>8.1209238420008081</v>
      </c>
      <c r="E64" s="96">
        <f>IF(E22=0,0,E22/TrRoad_act!E34*100)</f>
        <v>8.0936349933460932</v>
      </c>
      <c r="F64" s="96">
        <f>IF(F22=0,0,F22/TrRoad_act!F34*100)</f>
        <v>8.2654787882575125</v>
      </c>
      <c r="G64" s="96">
        <f>IF(G22=0,0,G22/TrRoad_act!G34*100)</f>
        <v>8.3547963553927964</v>
      </c>
      <c r="H64" s="96">
        <f>IF(H22=0,0,H22/TrRoad_act!H34*100)</f>
        <v>8.5159185126052606</v>
      </c>
      <c r="I64" s="96">
        <f>IF(I22=0,0,I22/TrRoad_act!I34*100)</f>
        <v>8.5005964941535339</v>
      </c>
      <c r="J64" s="96">
        <f>IF(J22=0,0,J22/TrRoad_act!J34*100)</f>
        <v>8.4489411833875128</v>
      </c>
      <c r="K64" s="96">
        <f>IF(K22=0,0,K22/TrRoad_act!K34*100)</f>
        <v>8.2185183605083445</v>
      </c>
      <c r="L64" s="96">
        <f>IF(L22=0,0,L22/TrRoad_act!L34*100)</f>
        <v>8.2837817967020211</v>
      </c>
      <c r="M64" s="96">
        <f>IF(M22=0,0,M22/TrRoad_act!M34*100)</f>
        <v>8.0794440907290053</v>
      </c>
      <c r="N64" s="96">
        <f>IF(N22=0,0,N22/TrRoad_act!N34*100)</f>
        <v>8.1140825534024899</v>
      </c>
      <c r="O64" s="96">
        <f>IF(O22=0,0,O22/TrRoad_act!O34*100)</f>
        <v>6.8667311438468284</v>
      </c>
      <c r="P64" s="96">
        <f>IF(P22=0,0,P22/TrRoad_act!P34*100)</f>
        <v>7.9415387397874531</v>
      </c>
      <c r="Q64" s="96">
        <f>IF(Q22=0,0,Q22/TrRoad_act!Q34*100)</f>
        <v>7.9877600218337754</v>
      </c>
      <c r="R64" s="96">
        <f>IF(R22=0,0,R22/TrRoad_act!R34*100)</f>
        <v>7.707963863246925</v>
      </c>
      <c r="S64" s="96">
        <f>IF(S22=0,0,S22/TrRoad_act!S34*100)</f>
        <v>7.6249188879704253</v>
      </c>
      <c r="T64" s="96">
        <f>IF(T22=0,0,T22/TrRoad_act!T34*100)</f>
        <v>7.5044285702402975</v>
      </c>
      <c r="U64" s="96">
        <f>IF(U22=0,0,U22/TrRoad_act!U34*100)</f>
        <v>7.3894279650708343</v>
      </c>
      <c r="V64" s="96">
        <f>IF(V22=0,0,V22/TrRoad_act!V34*100)</f>
        <v>7.2818095773162481</v>
      </c>
      <c r="W64" s="96">
        <f>IF(W22=0,0,W22/TrRoad_act!W34*100)</f>
        <v>7.1746805597803593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6.8264635648982424</v>
      </c>
      <c r="C65" s="96">
        <f>IF(C24=0,0,C24/TrRoad_act!C35*100)</f>
        <v>7.1736055097988149</v>
      </c>
      <c r="D65" s="96">
        <f>IF(D24=0,0,D24/TrRoad_act!D35*100)</f>
        <v>6.3855665252913525</v>
      </c>
      <c r="E65" s="96">
        <f>IF(E24=0,0,E24/TrRoad_act!E35*100)</f>
        <v>7.6997802029155782</v>
      </c>
      <c r="F65" s="96">
        <f>IF(F24=0,0,F24/TrRoad_act!F35*100)</f>
        <v>7.2746423801334128</v>
      </c>
      <c r="G65" s="96">
        <f>IF(G24=0,0,G24/TrRoad_act!G35*100)</f>
        <v>7.7245834862065603</v>
      </c>
      <c r="H65" s="96">
        <f>IF(H24=0,0,H24/TrRoad_act!H35*100)</f>
        <v>7.3198753277316824</v>
      </c>
      <c r="I65" s="96">
        <f>IF(I24=0,0,I24/TrRoad_act!I35*100)</f>
        <v>6.6366195558605598</v>
      </c>
      <c r="J65" s="96">
        <f>IF(J24=0,0,J24/TrRoad_act!J35*100)</f>
        <v>6.8702260744439165</v>
      </c>
      <c r="K65" s="96">
        <f>IF(K24=0,0,K24/TrRoad_act!K35*100)</f>
        <v>6.4216600855951391</v>
      </c>
      <c r="L65" s="96">
        <f>IF(L24=0,0,L24/TrRoad_act!L35*100)</f>
        <v>6.4123322958720363</v>
      </c>
      <c r="M65" s="96">
        <f>IF(M24=0,0,M24/TrRoad_act!M35*100)</f>
        <v>6.1956353006550238</v>
      </c>
      <c r="N65" s="96">
        <f>IF(N24=0,0,N24/TrRoad_act!N35*100)</f>
        <v>6.6702996594019179</v>
      </c>
      <c r="O65" s="96">
        <f>IF(O24=0,0,O24/TrRoad_act!O35*100)</f>
        <v>5.4220257711797117</v>
      </c>
      <c r="P65" s="96">
        <f>IF(P24=0,0,P24/TrRoad_act!P35*100)</f>
        <v>6.3768400749345977</v>
      </c>
      <c r="Q65" s="96">
        <f>IF(Q24=0,0,Q24/TrRoad_act!Q35*100)</f>
        <v>6.4609514218186224</v>
      </c>
      <c r="R65" s="96">
        <f>IF(R24=0,0,R24/TrRoad_act!R35*100)</f>
        <v>6.680671658001387</v>
      </c>
      <c r="S65" s="96">
        <f>IF(S24=0,0,S24/TrRoad_act!S35*100)</f>
        <v>6.9410861176908627</v>
      </c>
      <c r="T65" s="96">
        <f>IF(T24=0,0,T24/TrRoad_act!T35*100)</f>
        <v>7.3495030265413872</v>
      </c>
      <c r="U65" s="96">
        <f>IF(U24=0,0,U24/TrRoad_act!U35*100)</f>
        <v>7.7845276528319252</v>
      </c>
      <c r="V65" s="96">
        <f>IF(V24=0,0,V24/TrRoad_act!V35*100)</f>
        <v>6.9769561583531994</v>
      </c>
      <c r="W65" s="96">
        <f>IF(W24=0,0,W24/TrRoad_act!W35*100)</f>
        <v>7.0147030749058548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9.0221058897378601</v>
      </c>
      <c r="C66" s="96">
        <f>IF(C26=0,0,C26/TrRoad_act!C36*100)</f>
        <v>9.2638298254330085</v>
      </c>
      <c r="D66" s="96">
        <f>IF(D26=0,0,D26/TrRoad_act!D36*100)</f>
        <v>8.8380160743202776</v>
      </c>
      <c r="E66" s="96">
        <f>IF(E26=0,0,E26/TrRoad_act!E36*100)</f>
        <v>8.8231494314054491</v>
      </c>
      <c r="F66" s="96">
        <f>IF(F26=0,0,F26/TrRoad_act!F36*100)</f>
        <v>8.3772875941862992</v>
      </c>
      <c r="G66" s="96">
        <f>IF(G26=0,0,G26/TrRoad_act!G36*100)</f>
        <v>7.9835344057231969</v>
      </c>
      <c r="H66" s="96">
        <f>IF(H26=0,0,H26/TrRoad_act!H36*100)</f>
        <v>7.5393871034898945</v>
      </c>
      <c r="I66" s="96">
        <f>IF(I26=0,0,I26/TrRoad_act!I36*100)</f>
        <v>7.3010406994317236</v>
      </c>
      <c r="J66" s="96">
        <f>IF(J26=0,0,J26/TrRoad_act!J36*100)</f>
        <v>7.0867932645584508</v>
      </c>
      <c r="K66" s="96">
        <f>IF(K26=0,0,K26/TrRoad_act!K36*100)</f>
        <v>7.5492193750245313</v>
      </c>
      <c r="L66" s="96">
        <f>IF(L26=0,0,L26/TrRoad_act!L36*100)</f>
        <v>7.219123995287215</v>
      </c>
      <c r="M66" s="96">
        <f>IF(M26=0,0,M26/TrRoad_act!M36*100)</f>
        <v>7.6198230520823236</v>
      </c>
      <c r="N66" s="96">
        <f>IF(N26=0,0,N26/TrRoad_act!N36*100)</f>
        <v>7.4251688732948535</v>
      </c>
      <c r="O66" s="96">
        <f>IF(O26=0,0,O26/TrRoad_act!O36*100)</f>
        <v>7.6022950504420068</v>
      </c>
      <c r="P66" s="96">
        <f>IF(P26=0,0,P26/TrRoad_act!P36*100)</f>
        <v>7.5805541060040822</v>
      </c>
      <c r="Q66" s="96">
        <f>IF(Q26=0,0,Q26/TrRoad_act!Q36*100)</f>
        <v>7.0001420266012246</v>
      </c>
      <c r="R66" s="96">
        <f>IF(R26=0,0,R26/TrRoad_act!R36*100)</f>
        <v>7.0021787244528344</v>
      </c>
      <c r="S66" s="96">
        <f>IF(S26=0,0,S26/TrRoad_act!S36*100)</f>
        <v>7.0195715254097539</v>
      </c>
      <c r="T66" s="96">
        <f>IF(T26=0,0,T26/TrRoad_act!T36*100)</f>
        <v>7.1731213357242822</v>
      </c>
      <c r="U66" s="96">
        <f>IF(U26=0,0,U26/TrRoad_act!U36*100)</f>
        <v>7.0908315982098982</v>
      </c>
      <c r="V66" s="96">
        <f>IF(V26=0,0,V26/TrRoad_act!V36*100)</f>
        <v>7.4064793409949345</v>
      </c>
      <c r="W66" s="96">
        <f>IF(W26=0,0,W26/TrRoad_act!W36*100)</f>
        <v>6.9663676346604086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9.7651868457735436</v>
      </c>
      <c r="G67" s="96">
        <f>IF(G27=0,0,G27/TrRoad_act!G37*100)</f>
        <v>9.6866229983531476</v>
      </c>
      <c r="H67" s="96">
        <f>IF(H27=0,0,H27/TrRoad_act!H37*100)</f>
        <v>9.6447608484228553</v>
      </c>
      <c r="I67" s="96">
        <f>IF(I27=0,0,I27/TrRoad_act!I37*100)</f>
        <v>9.5616519961832456</v>
      </c>
      <c r="J67" s="96">
        <f>IF(J27=0,0,J27/TrRoad_act!J37*100)</f>
        <v>9.5521982033923862</v>
      </c>
      <c r="K67" s="96">
        <f>IF(K27=0,0,K27/TrRoad_act!K37*100)</f>
        <v>9.2141681182756461</v>
      </c>
      <c r="L67" s="96">
        <f>IF(L27=0,0,L27/TrRoad_act!L37*100)</f>
        <v>8.1377104667601312</v>
      </c>
      <c r="M67" s="96">
        <f>IF(M27=0,0,M27/TrRoad_act!M37*100)</f>
        <v>7.9764276049890173</v>
      </c>
      <c r="N67" s="96">
        <f>IF(N27=0,0,N27/TrRoad_act!N37*100)</f>
        <v>7.8849406814197875</v>
      </c>
      <c r="O67" s="96">
        <f>IF(O27=0,0,O27/TrRoad_act!O37*100)</f>
        <v>7.8501821207715903</v>
      </c>
      <c r="P67" s="96">
        <f>IF(P27=0,0,P27/TrRoad_act!P37*100)</f>
        <v>7.6276518886504121</v>
      </c>
      <c r="Q67" s="96">
        <f>IF(Q27=0,0,Q27/TrRoad_act!Q37*100)</f>
        <v>7.4653747690616488</v>
      </c>
      <c r="R67" s="96">
        <f>IF(R27=0,0,R27/TrRoad_act!R37*100)</f>
        <v>7.3784615548781991</v>
      </c>
      <c r="S67" s="96">
        <f>IF(S27=0,0,S27/TrRoad_act!S37*100)</f>
        <v>7.3522752916991267</v>
      </c>
      <c r="T67" s="96">
        <f>IF(T27=0,0,T27/TrRoad_act!T37*100)</f>
        <v>7.2740577826797521</v>
      </c>
      <c r="U67" s="96">
        <f>IF(U27=0,0,U27/TrRoad_act!U37*100)</f>
        <v>7.1397275773800049</v>
      </c>
      <c r="V67" s="96">
        <f>IF(V27=0,0,V27/TrRoad_act!V37*100)</f>
        <v>7.0797918688174102</v>
      </c>
      <c r="W67" s="96">
        <f>IF(W27=0,0,W27/TrRoad_act!W37*100)</f>
        <v>7.0712581167116202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2.847933236881945</v>
      </c>
      <c r="O68" s="96">
        <f>IF(O29=0,0,O29/TrRoad_act!O38*100)</f>
        <v>2.572812094657468</v>
      </c>
      <c r="P68" s="96">
        <f>IF(P29=0,0,P29/TrRoad_act!P38*100)</f>
        <v>3.2635700930143603</v>
      </c>
      <c r="Q68" s="96">
        <f>IF(Q29=0,0,Q29/TrRoad_act!Q38*100)</f>
        <v>3.5659321574580507</v>
      </c>
      <c r="R68" s="96">
        <f>IF(R29=0,0,R29/TrRoad_act!R38*100)</f>
        <v>3.431281749917614</v>
      </c>
      <c r="S68" s="96">
        <f>IF(S29=0,0,S29/TrRoad_act!S38*100)</f>
        <v>3.5119193916413454</v>
      </c>
      <c r="T68" s="96">
        <f>IF(T29=0,0,T29/TrRoad_act!T38*100)</f>
        <v>3.4893011100480313</v>
      </c>
      <c r="U68" s="96">
        <f>IF(U29=0,0,U29/TrRoad_act!U38*100)</f>
        <v>3.9045489408087315</v>
      </c>
      <c r="V68" s="96">
        <f>IF(V29=0,0,V29/TrRoad_act!V38*100)</f>
        <v>3.7803561192317239</v>
      </c>
      <c r="W68" s="96">
        <f>IF(W29=0,0,W29/TrRoad_act!W38*100)</f>
        <v>3.9305891954779284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0</v>
      </c>
      <c r="P69" s="96">
        <f>IF(P32=0,0,P32/TrRoad_act!P39*100)</f>
        <v>0</v>
      </c>
      <c r="Q69" s="96">
        <f>IF(Q32=0,0,Q32/TrRoad_act!Q39*100)</f>
        <v>0</v>
      </c>
      <c r="R69" s="96">
        <f>IF(R32=0,0,R32/TrRoad_act!R39*100)</f>
        <v>1.2113216644251028</v>
      </c>
      <c r="S69" s="96">
        <f>IF(S32=0,0,S32/TrRoad_act!S39*100)</f>
        <v>1.1622583166087113</v>
      </c>
      <c r="T69" s="96">
        <f>IF(T32=0,0,T32/TrRoad_act!T39*100)</f>
        <v>1.2410461908209689</v>
      </c>
      <c r="U69" s="96">
        <f>IF(U32=0,0,U32/TrRoad_act!U39*100)</f>
        <v>1.3745186560125371</v>
      </c>
      <c r="V69" s="96">
        <f>IF(V32=0,0,V32/TrRoad_act!V39*100)</f>
        <v>1.4468091739468902</v>
      </c>
      <c r="W69" s="96">
        <f>IF(W32=0,0,W32/TrRoad_act!W39*100)</f>
        <v>1.4964093040879856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58.207008248108828</v>
      </c>
      <c r="C70" s="130">
        <f>IF(C33=0,0,C33/TrRoad_act!C40*100)</f>
        <v>57.290766248377793</v>
      </c>
      <c r="D70" s="130">
        <f>IF(D33=0,0,D33/TrRoad_act!D40*100)</f>
        <v>56.051099278509319</v>
      </c>
      <c r="E70" s="130">
        <f>IF(E33=0,0,E33/TrRoad_act!E40*100)</f>
        <v>55.932224988357618</v>
      </c>
      <c r="F70" s="130">
        <f>IF(F33=0,0,F33/TrRoad_act!F40*100)</f>
        <v>55.697298558136779</v>
      </c>
      <c r="G70" s="130">
        <f>IF(G33=0,0,G33/TrRoad_act!G40*100)</f>
        <v>55.102405566383695</v>
      </c>
      <c r="H70" s="130">
        <f>IF(H33=0,0,H33/TrRoad_act!H40*100)</f>
        <v>54.713416779530874</v>
      </c>
      <c r="I70" s="130">
        <f>IF(I33=0,0,I33/TrRoad_act!I40*100)</f>
        <v>54.473944620063918</v>
      </c>
      <c r="J70" s="130">
        <f>IF(J33=0,0,J33/TrRoad_act!J40*100)</f>
        <v>54.290783890119279</v>
      </c>
      <c r="K70" s="130">
        <f>IF(K33=0,0,K33/TrRoad_act!K40*100)</f>
        <v>54.014599748380334</v>
      </c>
      <c r="L70" s="130">
        <f>IF(L33=0,0,L33/TrRoad_act!L40*100)</f>
        <v>53.95057625882248</v>
      </c>
      <c r="M70" s="130">
        <f>IF(M33=0,0,M33/TrRoad_act!M40*100)</f>
        <v>53.731384866552581</v>
      </c>
      <c r="N70" s="130">
        <f>IF(N33=0,0,N33/TrRoad_act!N40*100)</f>
        <v>54.081670186782993</v>
      </c>
      <c r="O70" s="130">
        <f>IF(O33=0,0,O33/TrRoad_act!O40*100)</f>
        <v>51.074418796911388</v>
      </c>
      <c r="P70" s="130">
        <f>IF(P33=0,0,P33/TrRoad_act!P40*100)</f>
        <v>48.438529139064222</v>
      </c>
      <c r="Q70" s="130">
        <f>IF(Q33=0,0,Q33/TrRoad_act!Q40*100)</f>
        <v>50.578603695773118</v>
      </c>
      <c r="R70" s="130">
        <f>IF(R33=0,0,R33/TrRoad_act!R40*100)</f>
        <v>51.792916978011263</v>
      </c>
      <c r="S70" s="130">
        <f>IF(S33=0,0,S33/TrRoad_act!S40*100)</f>
        <v>51.624692851176988</v>
      </c>
      <c r="T70" s="130">
        <f>IF(T33=0,0,T33/TrRoad_act!T40*100)</f>
        <v>51.51481283452776</v>
      </c>
      <c r="U70" s="130">
        <f>IF(U33=0,0,U33/TrRoad_act!U40*100)</f>
        <v>51.603512062109104</v>
      </c>
      <c r="V70" s="130">
        <f>IF(V33=0,0,V33/TrRoad_act!V40*100)</f>
        <v>50.910185968015519</v>
      </c>
      <c r="W70" s="130">
        <f>IF(W33=0,0,W33/TrRoad_act!W40*100)</f>
        <v>51.546977249940127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58.207008248108828</v>
      </c>
      <c r="C72" s="97">
        <f>IF(C36=0,0,C36/TrRoad_act!C42*100)</f>
        <v>57.290766248377793</v>
      </c>
      <c r="D72" s="97">
        <f>IF(D36=0,0,D36/TrRoad_act!D42*100)</f>
        <v>56.051099278509319</v>
      </c>
      <c r="E72" s="97">
        <f>IF(E36=0,0,E36/TrRoad_act!E42*100)</f>
        <v>55.932224988357618</v>
      </c>
      <c r="F72" s="97">
        <f>IF(F36=0,0,F36/TrRoad_act!F42*100)</f>
        <v>55.797331771525208</v>
      </c>
      <c r="G72" s="97">
        <f>IF(G36=0,0,G36/TrRoad_act!G42*100)</f>
        <v>55.345745343666621</v>
      </c>
      <c r="H72" s="97">
        <f>IF(H36=0,0,H36/TrRoad_act!H42*100)</f>
        <v>55.199511398283327</v>
      </c>
      <c r="I72" s="97">
        <f>IF(I36=0,0,I36/TrRoad_act!I42*100)</f>
        <v>55.011098505283726</v>
      </c>
      <c r="J72" s="97">
        <f>IF(J36=0,0,J36/TrRoad_act!J42*100)</f>
        <v>54.858478090236673</v>
      </c>
      <c r="K72" s="97">
        <f>IF(K36=0,0,K36/TrRoad_act!K42*100)</f>
        <v>54.731134918298451</v>
      </c>
      <c r="L72" s="97">
        <f>IF(L36=0,0,L36/TrRoad_act!L42*100)</f>
        <v>54.634688214510561</v>
      </c>
      <c r="M72" s="97">
        <f>IF(M36=0,0,M36/TrRoad_act!M42*100)</f>
        <v>54.501640039284247</v>
      </c>
      <c r="N72" s="97">
        <f>IF(N36=0,0,N36/TrRoad_act!N42*100)</f>
        <v>54.45597879795924</v>
      </c>
      <c r="O72" s="97">
        <f>IF(O36=0,0,O36/TrRoad_act!O42*100)</f>
        <v>54.398517348206269</v>
      </c>
      <c r="P72" s="97">
        <f>IF(P36=0,0,P36/TrRoad_act!P42*100)</f>
        <v>54.450933737659113</v>
      </c>
      <c r="Q72" s="97">
        <f>IF(Q36=0,0,Q36/TrRoad_act!Q42*100)</f>
        <v>54.622843517668414</v>
      </c>
      <c r="R72" s="97">
        <f>IF(R36=0,0,R36/TrRoad_act!R42*100)</f>
        <v>54.621996996226727</v>
      </c>
      <c r="S72" s="97">
        <f>IF(S36=0,0,S36/TrRoad_act!S42*100)</f>
        <v>54.803242291742606</v>
      </c>
      <c r="T72" s="97">
        <f>IF(T36=0,0,T36/TrRoad_act!T42*100)</f>
        <v>54.925082786795507</v>
      </c>
      <c r="U72" s="97">
        <f>IF(U36=0,0,U36/TrRoad_act!U42*100)</f>
        <v>55.038107394071289</v>
      </c>
      <c r="V72" s="97">
        <f>IF(V36=0,0,V36/TrRoad_act!V42*100)</f>
        <v>55.131884649248434</v>
      </c>
      <c r="W72" s="97">
        <f>IF(W36=0,0,W36/TrRoad_act!W42*100)</f>
        <v>55.176792253586562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41.087907160422724</v>
      </c>
      <c r="G74" s="97">
        <f>IF(G39=0,0,G39/TrRoad_act!G44*100)</f>
        <v>38.81038769098928</v>
      </c>
      <c r="H74" s="97">
        <f>IF(H39=0,0,H39/TrRoad_act!H44*100)</f>
        <v>37.662540038126089</v>
      </c>
      <c r="I74" s="97">
        <f>IF(I39=0,0,I39/TrRoad_act!I44*100)</f>
        <v>41.663028163009066</v>
      </c>
      <c r="J74" s="97">
        <f>IF(J39=0,0,J39/TrRoad_act!J44*100)</f>
        <v>42.108810390610458</v>
      </c>
      <c r="K74" s="97">
        <f>IF(K39=0,0,K39/TrRoad_act!K44*100)</f>
        <v>43.595514736363107</v>
      </c>
      <c r="L74" s="97">
        <f>IF(L39=0,0,L39/TrRoad_act!L44*100)</f>
        <v>47.737270596600709</v>
      </c>
      <c r="M74" s="97">
        <f>IF(M39=0,0,M39/TrRoad_act!M44*100)</f>
        <v>46.200305831364389</v>
      </c>
      <c r="N74" s="97">
        <f>IF(N39=0,0,N39/TrRoad_act!N44*100)</f>
        <v>51.113169383443747</v>
      </c>
      <c r="O74" s="97">
        <f>IF(O39=0,0,O39/TrRoad_act!O44*100)</f>
        <v>35.773471805170701</v>
      </c>
      <c r="P74" s="97">
        <f>IF(P39=0,0,P39/TrRoad_act!P44*100)</f>
        <v>19.708308619416979</v>
      </c>
      <c r="Q74" s="97">
        <f>IF(Q39=0,0,Q39/TrRoad_act!Q44*100)</f>
        <v>31.388843123659488</v>
      </c>
      <c r="R74" s="97">
        <f>IF(R39=0,0,R39/TrRoad_act!R44*100)</f>
        <v>39.074266726148529</v>
      </c>
      <c r="S74" s="97">
        <f>IF(S39=0,0,S39/TrRoad_act!S44*100)</f>
        <v>38.513376739002631</v>
      </c>
      <c r="T74" s="97">
        <f>IF(T39=0,0,T39/TrRoad_act!T44*100)</f>
        <v>38.033235703957288</v>
      </c>
      <c r="U74" s="97">
        <f>IF(U39=0,0,U39/TrRoad_act!U44*100)</f>
        <v>39.286186032728367</v>
      </c>
      <c r="V74" s="97">
        <f>IF(V39=0,0,V39/TrRoad_act!V44*100)</f>
        <v>35.053902193985955</v>
      </c>
      <c r="W74" s="97">
        <f>IF(W39=0,0,W39/TrRoad_act!W44*100)</f>
        <v>40.647213752095581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31.789216175755534</v>
      </c>
      <c r="K75" s="97">
        <f>IF(K41=0,0,K41/TrRoad_act!K45*100)</f>
        <v>31.839044842680465</v>
      </c>
      <c r="L75" s="97">
        <f>IF(L41=0,0,L41/TrRoad_act!L45*100)</f>
        <v>31.908059454681322</v>
      </c>
      <c r="M75" s="97">
        <f>IF(M41=0,0,M41/TrRoad_act!M45*100)</f>
        <v>31.927584260162039</v>
      </c>
      <c r="N75" s="97">
        <f>IF(N41=0,0,N41/TrRoad_act!N45*100)</f>
        <v>31.962022778712029</v>
      </c>
      <c r="O75" s="97">
        <f>IF(O41=0,0,O41/TrRoad_act!O45*100)</f>
        <v>32.41390763439265</v>
      </c>
      <c r="P75" s="97">
        <f>IF(P41=0,0,P41/TrRoad_act!P45*100)</f>
        <v>32.485227444446522</v>
      </c>
      <c r="Q75" s="97">
        <f>IF(Q41=0,0,Q41/TrRoad_act!Q45*100)</f>
        <v>32.521814744667623</v>
      </c>
      <c r="R75" s="97">
        <f>IF(R41=0,0,R41/TrRoad_act!R45*100)</f>
        <v>32.523533270347002</v>
      </c>
      <c r="S75" s="97">
        <f>IF(S41=0,0,S41/TrRoad_act!S45*100)</f>
        <v>32.525183162528229</v>
      </c>
      <c r="T75" s="97">
        <f>IF(T41=0,0,T41/TrRoad_act!T45*100)</f>
        <v>32.542202734808377</v>
      </c>
      <c r="U75" s="97">
        <f>IF(U41=0,0,U41/TrRoad_act!U45*100)</f>
        <v>32.560529063301608</v>
      </c>
      <c r="V75" s="97">
        <f>IF(V41=0,0,V41/TrRoad_act!V45*100)</f>
        <v>32.575449164288443</v>
      </c>
      <c r="W75" s="97">
        <f>IF(W41=0,0,W41/TrRoad_act!W45*100)</f>
        <v>32.629794276379464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17.299875451832349</v>
      </c>
      <c r="C76" s="32">
        <f>IF(C42=0,0,C42/TrRoad_act!C46*100)</f>
        <v>18.75457190375597</v>
      </c>
      <c r="D76" s="32">
        <f>IF(D42=0,0,D42/TrRoad_act!D46*100)</f>
        <v>17.513572224425506</v>
      </c>
      <c r="E76" s="32">
        <f>IF(E42=0,0,E42/TrRoad_act!E46*100)</f>
        <v>20.747328696408882</v>
      </c>
      <c r="F76" s="32">
        <f>IF(F42=0,0,F42/TrRoad_act!F46*100)</f>
        <v>19.512481645020667</v>
      </c>
      <c r="G76" s="32">
        <f>IF(G42=0,0,G42/TrRoad_act!G46*100)</f>
        <v>21.149110150380231</v>
      </c>
      <c r="H76" s="32">
        <f>IF(H42=0,0,H42/TrRoad_act!H46*100)</f>
        <v>19.611321597146681</v>
      </c>
      <c r="I76" s="32">
        <f>IF(I42=0,0,I42/TrRoad_act!I46*100)</f>
        <v>17.08616455652437</v>
      </c>
      <c r="J76" s="32">
        <f>IF(J42=0,0,J42/TrRoad_act!J46*100)</f>
        <v>16.967155690314236</v>
      </c>
      <c r="K76" s="32">
        <f>IF(K42=0,0,K42/TrRoad_act!K46*100)</f>
        <v>15.442778558577947</v>
      </c>
      <c r="L76" s="32">
        <f>IF(L42=0,0,L42/TrRoad_act!L46*100)</f>
        <v>15.294271003030941</v>
      </c>
      <c r="M76" s="32">
        <f>IF(M42=0,0,M42/TrRoad_act!M46*100)</f>
        <v>14.611279293130911</v>
      </c>
      <c r="N76" s="32">
        <f>IF(N42=0,0,N42/TrRoad_act!N46*100)</f>
        <v>14.781617114397468</v>
      </c>
      <c r="O76" s="32">
        <f>IF(O42=0,0,O42/TrRoad_act!O46*100)</f>
        <v>13.306078885038868</v>
      </c>
      <c r="P76" s="32">
        <f>IF(P42=0,0,P42/TrRoad_act!P46*100)</f>
        <v>14.207973741379455</v>
      </c>
      <c r="Q76" s="32">
        <f>IF(Q42=0,0,Q42/TrRoad_act!Q46*100)</f>
        <v>14.256976473579103</v>
      </c>
      <c r="R76" s="32">
        <f>IF(R42=0,0,R42/TrRoad_act!R46*100)</f>
        <v>14.394565662117337</v>
      </c>
      <c r="S76" s="32">
        <f>IF(S42=0,0,S42/TrRoad_act!S46*100)</f>
        <v>15.614828566646224</v>
      </c>
      <c r="T76" s="32">
        <f>IF(T42=0,0,T42/TrRoad_act!T46*100)</f>
        <v>15.552499901328906</v>
      </c>
      <c r="U76" s="32">
        <f>IF(U42=0,0,U42/TrRoad_act!U46*100)</f>
        <v>14.960516683716246</v>
      </c>
      <c r="V76" s="32">
        <f>IF(V42=0,0,V42/TrRoad_act!V46*100)</f>
        <v>15.4804198718771</v>
      </c>
      <c r="W76" s="32">
        <f>IF(W42=0,0,W42/TrRoad_act!W46*100)</f>
        <v>17.038509105251144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10.042945062559143</v>
      </c>
      <c r="C77" s="141">
        <f>IF(C43=0,0,C43/TrRoad_act!C47*100)</f>
        <v>10.042721940658037</v>
      </c>
      <c r="D77" s="141">
        <f>IF(D43=0,0,D43/TrRoad_act!D47*100)</f>
        <v>9.9753167815870079</v>
      </c>
      <c r="E77" s="141">
        <f>IF(E43=0,0,E43/TrRoad_act!E47*100)</f>
        <v>9.5666502197416268</v>
      </c>
      <c r="F77" s="141">
        <f>IF(F43=0,0,F43/TrRoad_act!F47*100)</f>
        <v>9.0367976619638792</v>
      </c>
      <c r="G77" s="141">
        <f>IF(G43=0,0,G43/TrRoad_act!G47*100)</f>
        <v>8.8950972944970808</v>
      </c>
      <c r="H77" s="141">
        <f>IF(H43=0,0,H43/TrRoad_act!H47*100)</f>
        <v>8.4823857952681472</v>
      </c>
      <c r="I77" s="141">
        <f>IF(I43=0,0,I43/TrRoad_act!I47*100)</f>
        <v>8.1956057649671497</v>
      </c>
      <c r="J77" s="141">
        <f>IF(J43=0,0,J43/TrRoad_act!J47*100)</f>
        <v>8.0130565015650177</v>
      </c>
      <c r="K77" s="141">
        <f>IF(K43=0,0,K43/TrRoad_act!K47*100)</f>
        <v>7.8845138243559711</v>
      </c>
      <c r="L77" s="141">
        <f>IF(L43=0,0,L43/TrRoad_act!L47*100)</f>
        <v>7.7721209590032299</v>
      </c>
      <c r="M77" s="141">
        <f>IF(M43=0,0,M43/TrRoad_act!M47*100)</f>
        <v>7.71937486523455</v>
      </c>
      <c r="N77" s="141">
        <f>IF(N43=0,0,N43/TrRoad_act!N47*100)</f>
        <v>7.6368439924998421</v>
      </c>
      <c r="O77" s="141">
        <f>IF(O43=0,0,O43/TrRoad_act!O47*100)</f>
        <v>7.5710570284513823</v>
      </c>
      <c r="P77" s="141">
        <f>IF(P43=0,0,P43/TrRoad_act!P47*100)</f>
        <v>7.4961300948528544</v>
      </c>
      <c r="Q77" s="141">
        <f>IF(Q43=0,0,Q43/TrRoad_act!Q47*100)</f>
        <v>7.429278881921114</v>
      </c>
      <c r="R77" s="141">
        <f>IF(R43=0,0,R43/TrRoad_act!R47*100)</f>
        <v>7.3198056595557963</v>
      </c>
      <c r="S77" s="141">
        <f>IF(S43=0,0,S43/TrRoad_act!S47*100)</f>
        <v>7.2394947233009255</v>
      </c>
      <c r="T77" s="141">
        <f>IF(T43=0,0,T43/TrRoad_act!T47*100)</f>
        <v>7.1538494256347551</v>
      </c>
      <c r="U77" s="141">
        <f>IF(U43=0,0,U43/TrRoad_act!U47*100)</f>
        <v>7.1116070366528579</v>
      </c>
      <c r="V77" s="141">
        <f>IF(V43=0,0,V43/TrRoad_act!V47*100)</f>
        <v>7.1018644808106313</v>
      </c>
      <c r="W77" s="141">
        <f>IF(W43=0,0,W43/TrRoad_act!W47*100)</f>
        <v>7.1332442196252748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12.015470877623944</v>
      </c>
      <c r="C78" s="96">
        <f>IF(C44=0,0,C44/TrRoad_act!C48*100)</f>
        <v>11.870005698557637</v>
      </c>
      <c r="D78" s="96">
        <f>IF(D44=0,0,D44/TrRoad_act!D48*100)</f>
        <v>11.710806851012379</v>
      </c>
      <c r="E78" s="96">
        <f>IF(E44=0,0,E44/TrRoad_act!E48*100)</f>
        <v>11.540986230246029</v>
      </c>
      <c r="F78" s="96">
        <f>IF(F44=0,0,F44/TrRoad_act!F48*100)</f>
        <v>11.381865724097153</v>
      </c>
      <c r="G78" s="96">
        <f>IF(G44=0,0,G44/TrRoad_act!G48*100)</f>
        <v>11.297034239303667</v>
      </c>
      <c r="H78" s="96">
        <f>IF(H44=0,0,H44/TrRoad_act!H48*100)</f>
        <v>11.244590296832365</v>
      </c>
      <c r="I78" s="96">
        <f>IF(I44=0,0,I44/TrRoad_act!I48*100)</f>
        <v>11.182446248472369</v>
      </c>
      <c r="J78" s="96">
        <f>IF(J44=0,0,J44/TrRoad_act!J48*100)</f>
        <v>11.100402925833693</v>
      </c>
      <c r="K78" s="96">
        <f>IF(K44=0,0,K44/TrRoad_act!K48*100)</f>
        <v>11.029501120160933</v>
      </c>
      <c r="L78" s="96">
        <f>IF(L44=0,0,L44/TrRoad_act!L48*100)</f>
        <v>10.830041018945639</v>
      </c>
      <c r="M78" s="96">
        <f>IF(M44=0,0,M44/TrRoad_act!M48*100)</f>
        <v>10.700670086738139</v>
      </c>
      <c r="N78" s="96">
        <f>IF(N44=0,0,N44/TrRoad_act!N48*100)</f>
        <v>10.337982153436085</v>
      </c>
      <c r="O78" s="96">
        <f>IF(O44=0,0,O44/TrRoad_act!O48*100)</f>
        <v>10.039335990694811</v>
      </c>
      <c r="P78" s="96">
        <f>IF(P44=0,0,P44/TrRoad_act!P48*100)</f>
        <v>9.4501780407182299</v>
      </c>
      <c r="Q78" s="96">
        <f>IF(Q44=0,0,Q44/TrRoad_act!Q48*100)</f>
        <v>9.00301908633873</v>
      </c>
      <c r="R78" s="96">
        <f>IF(R44=0,0,R44/TrRoad_act!R48*100)</f>
        <v>8.4800678930166704</v>
      </c>
      <c r="S78" s="96">
        <f>IF(S44=0,0,S44/TrRoad_act!S48*100)</f>
        <v>8.0976495719851069</v>
      </c>
      <c r="T78" s="96">
        <f>IF(T44=0,0,T44/TrRoad_act!T48*100)</f>
        <v>7.7093698386780165</v>
      </c>
      <c r="U78" s="96">
        <f>IF(U44=0,0,U44/TrRoad_act!U48*100)</f>
        <v>7.5305907195836745</v>
      </c>
      <c r="V78" s="96">
        <f>IF(V44=0,0,V44/TrRoad_act!V48*100)</f>
        <v>7.4746047591998694</v>
      </c>
      <c r="W78" s="96">
        <f>IF(W44=0,0,W44/TrRoad_act!W48*100)</f>
        <v>7.4357489233981262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9.5629430429902946</v>
      </c>
      <c r="C79" s="96">
        <f>IF(C46=0,0,C46/TrRoad_act!C49*100)</f>
        <v>9.5629430429902929</v>
      </c>
      <c r="D79" s="96">
        <f>IF(D46=0,0,D46/TrRoad_act!D49*100)</f>
        <v>9.5152058784481905</v>
      </c>
      <c r="E79" s="96">
        <f>IF(E46=0,0,E46/TrRoad_act!E49*100)</f>
        <v>9.0844032939055275</v>
      </c>
      <c r="F79" s="96">
        <f>IF(F46=0,0,F46/TrRoad_act!F49*100)</f>
        <v>8.5510585581530769</v>
      </c>
      <c r="G79" s="96">
        <f>IF(G46=0,0,G46/TrRoad_act!G49*100)</f>
        <v>8.4124920211216683</v>
      </c>
      <c r="H79" s="96">
        <f>IF(H46=0,0,H46/TrRoad_act!H49*100)</f>
        <v>8.0635326689429405</v>
      </c>
      <c r="I79" s="96">
        <f>IF(I46=0,0,I46/TrRoad_act!I49*100)</f>
        <v>7.8501920317518694</v>
      </c>
      <c r="J79" s="96">
        <f>IF(J46=0,0,J46/TrRoad_act!J49*100)</f>
        <v>7.7293106082300929</v>
      </c>
      <c r="K79" s="96">
        <f>IF(K46=0,0,K46/TrRoad_act!K49*100)</f>
        <v>7.644753481956382</v>
      </c>
      <c r="L79" s="96">
        <f>IF(L46=0,0,L46/TrRoad_act!L49*100)</f>
        <v>7.591975196762907</v>
      </c>
      <c r="M79" s="96">
        <f>IF(M46=0,0,M46/TrRoad_act!M49*100)</f>
        <v>7.5463705714468032</v>
      </c>
      <c r="N79" s="96">
        <f>IF(N46=0,0,N46/TrRoad_act!N49*100)</f>
        <v>7.4942910374347873</v>
      </c>
      <c r="O79" s="96">
        <f>IF(O46=0,0,O46/TrRoad_act!O49*100)</f>
        <v>7.44822663580835</v>
      </c>
      <c r="P79" s="96">
        <f>IF(P46=0,0,P46/TrRoad_act!P49*100)</f>
        <v>7.4073304693456627</v>
      </c>
      <c r="Q79" s="96">
        <f>IF(Q46=0,0,Q46/TrRoad_act!Q49*100)</f>
        <v>7.3495372091740228</v>
      </c>
      <c r="R79" s="96">
        <f>IF(R46=0,0,R46/TrRoad_act!R49*100)</f>
        <v>7.2575371610908119</v>
      </c>
      <c r="S79" s="96">
        <f>IF(S46=0,0,S46/TrRoad_act!S49*100)</f>
        <v>7.1814697036380188</v>
      </c>
      <c r="T79" s="96">
        <f>IF(T46=0,0,T46/TrRoad_act!T49*100)</f>
        <v>7.1086359490536113</v>
      </c>
      <c r="U79" s="96">
        <f>IF(U46=0,0,U46/TrRoad_act!U49*100)</f>
        <v>7.0678694112774956</v>
      </c>
      <c r="V79" s="96">
        <f>IF(V46=0,0,V46/TrRoad_act!V49*100)</f>
        <v>7.0566188158885979</v>
      </c>
      <c r="W79" s="96">
        <f>IF(W46=0,0,W46/TrRoad_act!W49*100)</f>
        <v>7.087341131168702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10.125507754670139</v>
      </c>
      <c r="S80" s="96">
        <f>IF(S48=0,0,S48/TrRoad_act!S50*100)</f>
        <v>9.1564012795748617</v>
      </c>
      <c r="T80" s="96">
        <f>IF(T48=0,0,T48/TrRoad_act!T50*100)</f>
        <v>9.0092395867878068</v>
      </c>
      <c r="U80" s="96">
        <f>IF(U48=0,0,U48/TrRoad_act!U50*100)</f>
        <v>9.0990443661618325</v>
      </c>
      <c r="V80" s="96">
        <f>IF(V48=0,0,V48/TrRoad_act!V50*100)</f>
        <v>8.9187198500529821</v>
      </c>
      <c r="W80" s="96">
        <f>IF(W48=0,0,W48/TrRoad_act!W50*100)</f>
        <v>8.7483887440573849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5.7640178668956175</v>
      </c>
      <c r="S81" s="96">
        <f>IF(S49=0,0,S49/TrRoad_act!S51*100)</f>
        <v>5.9997754418818765</v>
      </c>
      <c r="T81" s="96">
        <f>IF(T49=0,0,T49/TrRoad_act!T51*100)</f>
        <v>6.3167396035042538</v>
      </c>
      <c r="U81" s="96">
        <f>IF(U49=0,0,U49/TrRoad_act!U51*100)</f>
        <v>6.3686569936833468</v>
      </c>
      <c r="V81" s="96">
        <f>IF(V49=0,0,V49/TrRoad_act!V51*100)</f>
        <v>7.0619339502359253</v>
      </c>
      <c r="W81" s="96">
        <f>IF(W49=0,0,W49/TrRoad_act!W51*100)</f>
        <v>7.4311324247830308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1.5334964044465744</v>
      </c>
      <c r="O82" s="96">
        <f>IF(O51=0,0,O51/TrRoad_act!O52*100)</f>
        <v>1.5342574727601148</v>
      </c>
      <c r="P82" s="96">
        <f>IF(P51=0,0,P51/TrRoad_act!P52*100)</f>
        <v>1.5362601023433111</v>
      </c>
      <c r="Q82" s="96">
        <f>IF(Q51=0,0,Q51/TrRoad_act!Q52*100)</f>
        <v>1.5771280490699808</v>
      </c>
      <c r="R82" s="96">
        <f>IF(R51=0,0,R51/TrRoad_act!R52*100)</f>
        <v>1.6275224177856435</v>
      </c>
      <c r="S82" s="96">
        <f>IF(S51=0,0,S51/TrRoad_act!S52*100)</f>
        <v>1.6484862307743948</v>
      </c>
      <c r="T82" s="96">
        <f>IF(T51=0,0,T51/TrRoad_act!T52*100)</f>
        <v>1.6503197808369434</v>
      </c>
      <c r="U82" s="96">
        <f>IF(U51=0,0,U51/TrRoad_act!U52*100)</f>
        <v>1.7463938834438475</v>
      </c>
      <c r="V82" s="96">
        <f>IF(V51=0,0,V51/TrRoad_act!V52*100)</f>
        <v>1.8324389634081835</v>
      </c>
      <c r="W82" s="96">
        <f>IF(W51=0,0,W51/TrRoad_act!W52*100)</f>
        <v>2.1375034169677476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32.211463721439543</v>
      </c>
      <c r="C83" s="130">
        <f>IF(C52=0,0,C52/TrRoad_act!C53*100)</f>
        <v>34.563611509486556</v>
      </c>
      <c r="D83" s="130">
        <f>IF(D52=0,0,D52/TrRoad_act!D53*100)</f>
        <v>31.202654938699624</v>
      </c>
      <c r="E83" s="130">
        <f>IF(E52=0,0,E52/TrRoad_act!E53*100)</f>
        <v>37.304499696451508</v>
      </c>
      <c r="F83" s="130">
        <f>IF(F52=0,0,F52/TrRoad_act!F53*100)</f>
        <v>35.294576153906078</v>
      </c>
      <c r="G83" s="130">
        <f>IF(G52=0,0,G52/TrRoad_act!G53*100)</f>
        <v>37.291971985711328</v>
      </c>
      <c r="H83" s="130">
        <f>IF(H52=0,0,H52/TrRoad_act!H53*100)</f>
        <v>34.878603230241218</v>
      </c>
      <c r="I83" s="130">
        <f>IF(I52=0,0,I52/TrRoad_act!I53*100)</f>
        <v>31.588242974481524</v>
      </c>
      <c r="J83" s="130">
        <f>IF(J52=0,0,J52/TrRoad_act!J53*100)</f>
        <v>31.94879297844825</v>
      </c>
      <c r="K83" s="130">
        <f>IF(K52=0,0,K52/TrRoad_act!K53*100)</f>
        <v>29.831376121478158</v>
      </c>
      <c r="L83" s="130">
        <f>IF(L52=0,0,L52/TrRoad_act!L53*100)</f>
        <v>29.862131761436871</v>
      </c>
      <c r="M83" s="130">
        <f>IF(M52=0,0,M52/TrRoad_act!M53*100)</f>
        <v>28.798393860952022</v>
      </c>
      <c r="N83" s="130">
        <f>IF(N52=0,0,N52/TrRoad_act!N53*100)</f>
        <v>30.91249493507927</v>
      </c>
      <c r="O83" s="130">
        <f>IF(O52=0,0,O52/TrRoad_act!O53*100)</f>
        <v>25.295957248048932</v>
      </c>
      <c r="P83" s="130">
        <f>IF(P52=0,0,P52/TrRoad_act!P53*100)</f>
        <v>29.820977045087162</v>
      </c>
      <c r="Q83" s="130">
        <f>IF(Q52=0,0,Q52/TrRoad_act!Q53*100)</f>
        <v>30.591723794176424</v>
      </c>
      <c r="R83" s="130">
        <f>IF(R52=0,0,R52/TrRoad_act!R53*100)</f>
        <v>31.529488993870476</v>
      </c>
      <c r="S83" s="130">
        <f>IF(S52=0,0,S52/TrRoad_act!S53*100)</f>
        <v>32.656474959239141</v>
      </c>
      <c r="T83" s="130">
        <f>IF(T52=0,0,T52/TrRoad_act!T53*100)</f>
        <v>34.698336720276643</v>
      </c>
      <c r="U83" s="130">
        <f>IF(U52=0,0,U52/TrRoad_act!U53*100)</f>
        <v>37.186401742448304</v>
      </c>
      <c r="V83" s="130">
        <f>IF(V52=0,0,V52/TrRoad_act!V53*100)</f>
        <v>33.452537492093583</v>
      </c>
      <c r="W83" s="130">
        <f>IF(W52=0,0,W52/TrRoad_act!W53*100)</f>
        <v>33.953302484759384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23.541247006115455</v>
      </c>
      <c r="C84" s="97">
        <f>IF(C53=0,0,C53/TrRoad_act!C54*100)</f>
        <v>29.518378104990141</v>
      </c>
      <c r="D84" s="97">
        <f>IF(D53=0,0,D53/TrRoad_act!D54*100)</f>
        <v>22.453887326077822</v>
      </c>
      <c r="E84" s="97">
        <f>IF(E53=0,0,E53/TrRoad_act!E54*100)</f>
        <v>36.766625929237264</v>
      </c>
      <c r="F84" s="97">
        <f>IF(F53=0,0,F53/TrRoad_act!F54*100)</f>
        <v>33.688364091009184</v>
      </c>
      <c r="G84" s="97">
        <f>IF(G53=0,0,G53/TrRoad_act!G54*100)</f>
        <v>37.411345337421956</v>
      </c>
      <c r="H84" s="97">
        <f>IF(H53=0,0,H53/TrRoad_act!H54*100)</f>
        <v>33.901015732944373</v>
      </c>
      <c r="I84" s="97">
        <f>IF(I53=0,0,I53/TrRoad_act!I54*100)</f>
        <v>29.275714393639952</v>
      </c>
      <c r="J84" s="97">
        <f>IF(J53=0,0,J53/TrRoad_act!J54*100)</f>
        <v>31.067420504342142</v>
      </c>
      <c r="K84" s="97">
        <f>IF(K53=0,0,K53/TrRoad_act!K54*100)</f>
        <v>28.387104761078231</v>
      </c>
      <c r="L84" s="97">
        <f>IF(L53=0,0,L53/TrRoad_act!L54*100)</f>
        <v>28.19761036125859</v>
      </c>
      <c r="M84" s="97">
        <f>IF(M53=0,0,M53/TrRoad_act!M54*100)</f>
        <v>26.58174006825146</v>
      </c>
      <c r="N84" s="97">
        <f>IF(N53=0,0,N53/TrRoad_act!N54*100)</f>
        <v>29.437228475241945</v>
      </c>
      <c r="O84" s="97">
        <f>IF(O53=0,0,O53/TrRoad_act!O54*100)</f>
        <v>21.494359793638335</v>
      </c>
      <c r="P84" s="97">
        <f>IF(P53=0,0,P53/TrRoad_act!P54*100)</f>
        <v>27.701836750979076</v>
      </c>
      <c r="Q84" s="97">
        <f>IF(Q53=0,0,Q53/TrRoad_act!Q54*100)</f>
        <v>28.656526844176568</v>
      </c>
      <c r="R84" s="97">
        <f>IF(R53=0,0,R53/TrRoad_act!R54*100)</f>
        <v>30.0149625951668</v>
      </c>
      <c r="S84" s="97">
        <f>IF(S53=0,0,S53/TrRoad_act!S54*100)</f>
        <v>31.683634265662281</v>
      </c>
      <c r="T84" s="97">
        <f>IF(T53=0,0,T53/TrRoad_act!T54*100)</f>
        <v>34.432981133244766</v>
      </c>
      <c r="U84" s="97">
        <f>IF(U53=0,0,U53/TrRoad_act!U54*100)</f>
        <v>37.877161235866062</v>
      </c>
      <c r="V84" s="97">
        <f>IF(V53=0,0,V53/TrRoad_act!V54*100)</f>
        <v>32.777846616877191</v>
      </c>
      <c r="W84" s="97">
        <f>IF(W53=0,0,W53/TrRoad_act!W54*100)</f>
        <v>33.507934135664904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41.312047996807003</v>
      </c>
      <c r="C85" s="98">
        <f>IF(C55=0,0,C55/TrRoad_act!C55*100)</f>
        <v>40.096484302368538</v>
      </c>
      <c r="D85" s="98">
        <f>IF(D55=0,0,D55/TrRoad_act!D55*100)</f>
        <v>40.291652095921911</v>
      </c>
      <c r="E85" s="98">
        <f>IF(E55=0,0,E55/TrRoad_act!E55*100)</f>
        <v>38.219844272067945</v>
      </c>
      <c r="F85" s="98">
        <f>IF(F55=0,0,F55/TrRoad_act!F55*100)</f>
        <v>37.954432920199274</v>
      </c>
      <c r="G85" s="98">
        <f>IF(G55=0,0,G55/TrRoad_act!G55*100)</f>
        <v>37.081933691726313</v>
      </c>
      <c r="H85" s="98">
        <f>IF(H55=0,0,H55/TrRoad_act!H55*100)</f>
        <v>37.2696928094187</v>
      </c>
      <c r="I85" s="98">
        <f>IF(I55=0,0,I55/TrRoad_act!I55*100)</f>
        <v>37.743868692973429</v>
      </c>
      <c r="J85" s="98">
        <f>IF(J55=0,0,J55/TrRoad_act!J55*100)</f>
        <v>36.841732409097041</v>
      </c>
      <c r="K85" s="98">
        <f>IF(K55=0,0,K55/TrRoad_act!K55*100)</f>
        <v>37.307544644598892</v>
      </c>
      <c r="L85" s="98">
        <f>IF(L55=0,0,L55/TrRoad_act!L55*100)</f>
        <v>37.289082018402809</v>
      </c>
      <c r="M85" s="98">
        <f>IF(M55=0,0,M55/TrRoad_act!M55*100)</f>
        <v>37.510544063173555</v>
      </c>
      <c r="N85" s="98">
        <f>IF(N55=0,0,N55/TrRoad_act!N55*100)</f>
        <v>36.990860275000301</v>
      </c>
      <c r="O85" s="98">
        <f>IF(O55=0,0,O55/TrRoad_act!O55*100)</f>
        <v>38.220369540589473</v>
      </c>
      <c r="P85" s="98">
        <f>IF(P55=0,0,P55/TrRoad_act!P55*100)</f>
        <v>37.147241591682693</v>
      </c>
      <c r="Q85" s="98">
        <f>IF(Q55=0,0,Q55/TrRoad_act!Q55*100)</f>
        <v>36.848751574573143</v>
      </c>
      <c r="R85" s="98">
        <f>IF(R55=0,0,R55/TrRoad_act!R55*100)</f>
        <v>36.532430996720308</v>
      </c>
      <c r="S85" s="98">
        <f>IF(S55=0,0,S55/TrRoad_act!S55*100)</f>
        <v>36.169478469641284</v>
      </c>
      <c r="T85" s="98">
        <f>IF(T55=0,0,T55/TrRoad_act!T55*100)</f>
        <v>35.637152782764822</v>
      </c>
      <c r="U85" s="98">
        <f>IF(U55=0,0,U55/TrRoad_act!U55*100)</f>
        <v>35.060119374885353</v>
      </c>
      <c r="V85" s="98">
        <f>IF(V55=0,0,V55/TrRoad_act!V55*100)</f>
        <v>35.63913967224773</v>
      </c>
      <c r="W85" s="98">
        <f>IF(W55=0,0,W55/TrRoad_act!W55*100)</f>
        <v>35.459823553468055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31.855380134974492</v>
      </c>
      <c r="C88" s="29">
        <f>IF(TrRoad_act!C4=0,0,C18/TrRoad_act!C4*1000)</f>
        <v>31.531988508890546</v>
      </c>
      <c r="D88" s="29">
        <f>IF(TrRoad_act!D4=0,0,D18/TrRoad_act!D4*1000)</f>
        <v>31.739665491822702</v>
      </c>
      <c r="E88" s="29">
        <f>IF(TrRoad_act!E4=0,0,E18/TrRoad_act!E4*1000)</f>
        <v>34.701968535717612</v>
      </c>
      <c r="F88" s="29">
        <f>IF(TrRoad_act!F4=0,0,F18/TrRoad_act!F4*1000)</f>
        <v>35.717911492249783</v>
      </c>
      <c r="G88" s="29">
        <f>IF(TrRoad_act!G4=0,0,G18/TrRoad_act!G4*1000)</f>
        <v>37.16537826509947</v>
      </c>
      <c r="H88" s="29">
        <f>IF(TrRoad_act!H4=0,0,H18/TrRoad_act!H4*1000)</f>
        <v>38.012567192355846</v>
      </c>
      <c r="I88" s="29">
        <f>IF(TrRoad_act!I4=0,0,I18/TrRoad_act!I4*1000)</f>
        <v>34.191970484646532</v>
      </c>
      <c r="J88" s="29">
        <f>IF(TrRoad_act!J4=0,0,J18/TrRoad_act!J4*1000)</f>
        <v>33.927443130802175</v>
      </c>
      <c r="K88" s="29">
        <f>IF(TrRoad_act!K4=0,0,K18/TrRoad_act!K4*1000)</f>
        <v>34.756107437756086</v>
      </c>
      <c r="L88" s="29">
        <f>IF(TrRoad_act!L4=0,0,L18/TrRoad_act!L4*1000)</f>
        <v>33.524208452210551</v>
      </c>
      <c r="M88" s="29">
        <f>IF(TrRoad_act!M4=0,0,M18/TrRoad_act!M4*1000)</f>
        <v>32.6054050930004</v>
      </c>
      <c r="N88" s="29">
        <f>IF(TrRoad_act!N4=0,0,N18/TrRoad_act!N4*1000)</f>
        <v>34.169034498238361</v>
      </c>
      <c r="O88" s="29">
        <f>IF(TrRoad_act!O4=0,0,O18/TrRoad_act!O4*1000)</f>
        <v>29.79378790520834</v>
      </c>
      <c r="P88" s="29">
        <f>IF(TrRoad_act!P4=0,0,P18/TrRoad_act!P4*1000)</f>
        <v>32.194198743473322</v>
      </c>
      <c r="Q88" s="29">
        <f>IF(TrRoad_act!Q4=0,0,Q18/TrRoad_act!Q4*1000)</f>
        <v>33.652699272563943</v>
      </c>
      <c r="R88" s="29">
        <f>IF(TrRoad_act!R4=0,0,R18/TrRoad_act!R4*1000)</f>
        <v>34.720090206812642</v>
      </c>
      <c r="S88" s="29">
        <f>IF(TrRoad_act!S4=0,0,S18/TrRoad_act!S4*1000)</f>
        <v>35.576864745006581</v>
      </c>
      <c r="T88" s="29">
        <f>IF(TrRoad_act!T4=0,0,T18/TrRoad_act!T4*1000)</f>
        <v>37.677047298940309</v>
      </c>
      <c r="U88" s="29">
        <f>IF(TrRoad_act!U4=0,0,U18/TrRoad_act!U4*1000)</f>
        <v>39.159191910980802</v>
      </c>
      <c r="V88" s="29">
        <f>IF(TrRoad_act!V4=0,0,V18/TrRoad_act!V4*1000)</f>
        <v>44.874765954636764</v>
      </c>
      <c r="W88" s="29">
        <f>IF(TrRoad_act!W4=0,0,W18/TrRoad_act!W4*1000)</f>
        <v>47.129399173463042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38.183438676584714</v>
      </c>
      <c r="C89" s="152">
        <f>IF(TrRoad_act!C5=0,0,C19/TrRoad_act!C5*1000)</f>
        <v>38.050190479550025</v>
      </c>
      <c r="D89" s="152">
        <f>IF(TrRoad_act!D5=0,0,D19/TrRoad_act!D5*1000)</f>
        <v>37.887053304924386</v>
      </c>
      <c r="E89" s="152">
        <f>IF(TrRoad_act!E5=0,0,E19/TrRoad_act!E5*1000)</f>
        <v>37.664549645327767</v>
      </c>
      <c r="F89" s="152">
        <f>IF(TrRoad_act!F5=0,0,F19/TrRoad_act!F5*1000)</f>
        <v>35.780147280946061</v>
      </c>
      <c r="G89" s="152">
        <f>IF(TrRoad_act!G5=0,0,G19/TrRoad_act!G5*1000)</f>
        <v>35.743245943939492</v>
      </c>
      <c r="H89" s="152">
        <f>IF(TrRoad_act!H5=0,0,H19/TrRoad_act!H5*1000)</f>
        <v>35.653858393811781</v>
      </c>
      <c r="I89" s="152">
        <f>IF(TrRoad_act!I5=0,0,I19/TrRoad_act!I5*1000)</f>
        <v>34.986369617165728</v>
      </c>
      <c r="J89" s="152">
        <f>IF(TrRoad_act!J5=0,0,J19/TrRoad_act!J5*1000)</f>
        <v>34.276233066778495</v>
      </c>
      <c r="K89" s="152">
        <f>IF(TrRoad_act!K5=0,0,K19/TrRoad_act!K5*1000)</f>
        <v>33.765708773013387</v>
      </c>
      <c r="L89" s="152">
        <f>IF(TrRoad_act!L5=0,0,L19/TrRoad_act!L5*1000)</f>
        <v>33.451620944629909</v>
      </c>
      <c r="M89" s="152">
        <f>IF(TrRoad_act!M5=0,0,M19/TrRoad_act!M5*1000)</f>
        <v>33.067601185963767</v>
      </c>
      <c r="N89" s="152">
        <f>IF(TrRoad_act!N5=0,0,N19/TrRoad_act!N5*1000)</f>
        <v>32.842334678764075</v>
      </c>
      <c r="O89" s="152">
        <f>IF(TrRoad_act!O5=0,0,O19/TrRoad_act!O5*1000)</f>
        <v>32.460890784363365</v>
      </c>
      <c r="P89" s="152">
        <f>IF(TrRoad_act!P5=0,0,P19/TrRoad_act!P5*1000)</f>
        <v>32.066896091507303</v>
      </c>
      <c r="Q89" s="152">
        <f>IF(TrRoad_act!Q5=0,0,Q19/TrRoad_act!Q5*1000)</f>
        <v>31.610026896922072</v>
      </c>
      <c r="R89" s="152">
        <f>IF(TrRoad_act!R5=0,0,R19/TrRoad_act!R5*1000)</f>
        <v>31.174130730830967</v>
      </c>
      <c r="S89" s="152">
        <f>IF(TrRoad_act!S5=0,0,S19/TrRoad_act!S5*1000)</f>
        <v>30.96882348941373</v>
      </c>
      <c r="T89" s="152">
        <f>IF(TrRoad_act!T5=0,0,T19/TrRoad_act!T5*1000)</f>
        <v>30.660365858541876</v>
      </c>
      <c r="U89" s="152">
        <f>IF(TrRoad_act!U5=0,0,U19/TrRoad_act!U5*1000)</f>
        <v>30.470053901187896</v>
      </c>
      <c r="V89" s="152">
        <f>IF(TrRoad_act!V5=0,0,V19/TrRoad_act!V5*1000)</f>
        <v>30.26847321732976</v>
      </c>
      <c r="W89" s="152">
        <f>IF(TrRoad_act!W5=0,0,W19/TrRoad_act!W5*1000)</f>
        <v>28.434129149195662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38.991206622186517</v>
      </c>
      <c r="C90" s="116">
        <f>IF(TrRoad_act!C6=0,0,C21/TrRoad_act!C6*1000)</f>
        <v>38.372631711574229</v>
      </c>
      <c r="D90" s="116">
        <f>IF(TrRoad_act!D6=0,0,D21/TrRoad_act!D6*1000)</f>
        <v>39.289714082366935</v>
      </c>
      <c r="E90" s="116">
        <f>IF(TrRoad_act!E6=0,0,E21/TrRoad_act!E6*1000)</f>
        <v>42.07015099356898</v>
      </c>
      <c r="F90" s="116">
        <f>IF(TrRoad_act!F6=0,0,F21/TrRoad_act!F6*1000)</f>
        <v>42.270910930033004</v>
      </c>
      <c r="G90" s="116">
        <f>IF(TrRoad_act!G6=0,0,G21/TrRoad_act!G6*1000)</f>
        <v>44.111245903442644</v>
      </c>
      <c r="H90" s="116">
        <f>IF(TrRoad_act!H6=0,0,H21/TrRoad_act!H6*1000)</f>
        <v>44.360109078935245</v>
      </c>
      <c r="I90" s="116">
        <f>IF(TrRoad_act!I6=0,0,I21/TrRoad_act!I6*1000)</f>
        <v>38.967369514281195</v>
      </c>
      <c r="J90" s="116">
        <f>IF(TrRoad_act!J6=0,0,J21/TrRoad_act!J6*1000)</f>
        <v>39.088971639862031</v>
      </c>
      <c r="K90" s="116">
        <f>IF(TrRoad_act!K6=0,0,K21/TrRoad_act!K6*1000)</f>
        <v>37.052536508394653</v>
      </c>
      <c r="L90" s="116">
        <f>IF(TrRoad_act!L6=0,0,L21/TrRoad_act!L6*1000)</f>
        <v>36.015318243792798</v>
      </c>
      <c r="M90" s="116">
        <f>IF(TrRoad_act!M6=0,0,M21/TrRoad_act!M6*1000)</f>
        <v>34.488418605005542</v>
      </c>
      <c r="N90" s="116">
        <f>IF(TrRoad_act!N6=0,0,N21/TrRoad_act!N6*1000)</f>
        <v>36.50707203915988</v>
      </c>
      <c r="O90" s="116">
        <f>IF(TrRoad_act!O6=0,0,O21/TrRoad_act!O6*1000)</f>
        <v>31.367585234798067</v>
      </c>
      <c r="P90" s="116">
        <f>IF(TrRoad_act!P6=0,0,P21/TrRoad_act!P6*1000)</f>
        <v>34.952038829014747</v>
      </c>
      <c r="Q90" s="116">
        <f>IF(TrRoad_act!Q6=0,0,Q21/TrRoad_act!Q6*1000)</f>
        <v>36.820712451053488</v>
      </c>
      <c r="R90" s="116">
        <f>IF(TrRoad_act!R6=0,0,R21/TrRoad_act!R6*1000)</f>
        <v>38.174749673518129</v>
      </c>
      <c r="S90" s="116">
        <f>IF(TrRoad_act!S6=0,0,S21/TrRoad_act!S6*1000)</f>
        <v>38.399235949727398</v>
      </c>
      <c r="T90" s="116">
        <f>IF(TrRoad_act!T6=0,0,T21/TrRoad_act!T6*1000)</f>
        <v>40.432433635533762</v>
      </c>
      <c r="U90" s="116">
        <f>IF(TrRoad_act!U6=0,0,U21/TrRoad_act!U6*1000)</f>
        <v>42.420395055586262</v>
      </c>
      <c r="V90" s="116">
        <f>IF(TrRoad_act!V6=0,0,V21/TrRoad_act!V6*1000)</f>
        <v>44.877962762312393</v>
      </c>
      <c r="W90" s="116">
        <f>IF(TrRoad_act!W6=0,0,W21/TrRoad_act!W6*1000)</f>
        <v>47.287095714970988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39.955581479631299</v>
      </c>
      <c r="C91" s="87">
        <f>IF(TrRoad_act!C7=0,0,C22/TrRoad_act!C7*1000)</f>
        <v>38.225583794084166</v>
      </c>
      <c r="D91" s="87">
        <f>IF(TrRoad_act!D7=0,0,D22/TrRoad_act!D7*1000)</f>
        <v>40.523220103553967</v>
      </c>
      <c r="E91" s="87">
        <f>IF(TrRoad_act!E7=0,0,E22/TrRoad_act!E7*1000)</f>
        <v>42.112724425779511</v>
      </c>
      <c r="F91" s="87">
        <f>IF(TrRoad_act!F7=0,0,F22/TrRoad_act!F7*1000)</f>
        <v>44.758300919885173</v>
      </c>
      <c r="G91" s="87">
        <f>IF(TrRoad_act!G7=0,0,G22/TrRoad_act!G7*1000)</f>
        <v>46.709273434228862</v>
      </c>
      <c r="H91" s="87">
        <f>IF(TrRoad_act!H7=0,0,H22/TrRoad_act!H7*1000)</f>
        <v>49.263108998267633</v>
      </c>
      <c r="I91" s="87">
        <f>IF(TrRoad_act!I7=0,0,I22/TrRoad_act!I7*1000)</f>
        <v>45.276751577300288</v>
      </c>
      <c r="J91" s="87">
        <f>IF(TrRoad_act!J7=0,0,J22/TrRoad_act!J7*1000)</f>
        <v>45.386557939200166</v>
      </c>
      <c r="K91" s="87">
        <f>IF(TrRoad_act!K7=0,0,K22/TrRoad_act!K7*1000)</f>
        <v>42.735794186826674</v>
      </c>
      <c r="L91" s="87">
        <f>IF(TrRoad_act!L7=0,0,L22/TrRoad_act!L7*1000)</f>
        <v>42.440837598633244</v>
      </c>
      <c r="M91" s="87">
        <f>IF(TrRoad_act!M7=0,0,M22/TrRoad_act!M7*1000)</f>
        <v>40.629922135657495</v>
      </c>
      <c r="N91" s="87">
        <f>IF(TrRoad_act!N7=0,0,N22/TrRoad_act!N7*1000)</f>
        <v>42.267550584472758</v>
      </c>
      <c r="O91" s="87">
        <f>IF(TrRoad_act!O7=0,0,O22/TrRoad_act!O7*1000)</f>
        <v>35.355538464231522</v>
      </c>
      <c r="P91" s="87">
        <f>IF(TrRoad_act!P7=0,0,P22/TrRoad_act!P7*1000)</f>
        <v>40.570742680261894</v>
      </c>
      <c r="Q91" s="87">
        <f>IF(TrRoad_act!Q7=0,0,Q22/TrRoad_act!Q7*1000)</f>
        <v>43.6598649597654</v>
      </c>
      <c r="R91" s="87">
        <f>IF(TrRoad_act!R7=0,0,R22/TrRoad_act!R7*1000)</f>
        <v>43.374136383506176</v>
      </c>
      <c r="S91" s="87">
        <f>IF(TrRoad_act!S7=0,0,S22/TrRoad_act!S7*1000)</f>
        <v>42.385749582755025</v>
      </c>
      <c r="T91" s="87">
        <f>IF(TrRoad_act!T7=0,0,T22/TrRoad_act!T7*1000)</f>
        <v>42.612175841716784</v>
      </c>
      <c r="U91" s="87">
        <f>IF(TrRoad_act!U7=0,0,U22/TrRoad_act!U7*1000)</f>
        <v>42.805357995472278</v>
      </c>
      <c r="V91" s="87">
        <f>IF(TrRoad_act!V7=0,0,V22/TrRoad_act!V7*1000)</f>
        <v>47.452926168766716</v>
      </c>
      <c r="W91" s="87">
        <f>IF(TrRoad_act!W7=0,0,W22/TrRoad_act!W7*1000)</f>
        <v>49.853577473370358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31.142037185601819</v>
      </c>
      <c r="C92" s="87">
        <f>IF(TrRoad_act!C8=0,0,C24/TrRoad_act!C8*1000)</f>
        <v>32.287755174167266</v>
      </c>
      <c r="D92" s="87">
        <f>IF(TrRoad_act!D8=0,0,D24/TrRoad_act!D8*1000)</f>
        <v>30.23248642996095</v>
      </c>
      <c r="E92" s="87">
        <f>IF(TrRoad_act!E8=0,0,E24/TrRoad_act!E8*1000)</f>
        <v>38.012284742842027</v>
      </c>
      <c r="F92" s="87">
        <f>IF(TrRoad_act!F8=0,0,F24/TrRoad_act!F8*1000)</f>
        <v>37.37602800881637</v>
      </c>
      <c r="G92" s="87">
        <f>IF(TrRoad_act!G8=0,0,G24/TrRoad_act!G8*1000)</f>
        <v>40.974931540552952</v>
      </c>
      <c r="H92" s="87">
        <f>IF(TrRoad_act!H8=0,0,H24/TrRoad_act!H8*1000)</f>
        <v>40.176298853146434</v>
      </c>
      <c r="I92" s="87">
        <f>IF(TrRoad_act!I8=0,0,I24/TrRoad_act!I8*1000)</f>
        <v>33.538891404719173</v>
      </c>
      <c r="J92" s="87">
        <f>IF(TrRoad_act!J8=0,0,J24/TrRoad_act!J8*1000)</f>
        <v>35.016433587171932</v>
      </c>
      <c r="K92" s="87">
        <f>IF(TrRoad_act!K8=0,0,K24/TrRoad_act!K8*1000)</f>
        <v>31.682648930897514</v>
      </c>
      <c r="L92" s="87">
        <f>IF(TrRoad_act!L8=0,0,L24/TrRoad_act!L8*1000)</f>
        <v>31.170748987494861</v>
      </c>
      <c r="M92" s="87">
        <f>IF(TrRoad_act!M8=0,0,M24/TrRoad_act!M8*1000)</f>
        <v>29.561487104390025</v>
      </c>
      <c r="N92" s="87">
        <f>IF(TrRoad_act!N8=0,0,N24/TrRoad_act!N8*1000)</f>
        <v>32.967720985781867</v>
      </c>
      <c r="O92" s="87">
        <f>IF(TrRoad_act!O8=0,0,O24/TrRoad_act!O8*1000)</f>
        <v>26.487740431237988</v>
      </c>
      <c r="P92" s="87">
        <f>IF(TrRoad_act!P8=0,0,P24/TrRoad_act!P8*1000)</f>
        <v>30.909341055464431</v>
      </c>
      <c r="Q92" s="87">
        <f>IF(TrRoad_act!Q8=0,0,Q24/TrRoad_act!Q8*1000)</f>
        <v>33.506554942022092</v>
      </c>
      <c r="R92" s="87">
        <f>IF(TrRoad_act!R8=0,0,R24/TrRoad_act!R8*1000)</f>
        <v>35.668695014902553</v>
      </c>
      <c r="S92" s="87">
        <f>IF(TrRoad_act!S8=0,0,S24/TrRoad_act!S8*1000)</f>
        <v>36.609010841723205</v>
      </c>
      <c r="T92" s="87">
        <f>IF(TrRoad_act!T8=0,0,T24/TrRoad_act!T8*1000)</f>
        <v>39.595877998186239</v>
      </c>
      <c r="U92" s="87">
        <f>IF(TrRoad_act!U8=0,0,U24/TrRoad_act!U8*1000)</f>
        <v>42.7853906358649</v>
      </c>
      <c r="V92" s="87">
        <f>IF(TrRoad_act!V8=0,0,V24/TrRoad_act!V8*1000)</f>
        <v>43.138555291707178</v>
      </c>
      <c r="W92" s="87">
        <f>IF(TrRoad_act!W8=0,0,W24/TrRoad_act!W8*1000)</f>
        <v>46.246510991612375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44.460036928401408</v>
      </c>
      <c r="C93" s="87">
        <f>IF(TrRoad_act!C9=0,0,C26/TrRoad_act!C9*1000)</f>
        <v>44.995186165557037</v>
      </c>
      <c r="D93" s="87">
        <f>IF(TrRoad_act!D9=0,0,D26/TrRoad_act!D9*1000)</f>
        <v>45.20706028513488</v>
      </c>
      <c r="E93" s="87">
        <f>IF(TrRoad_act!E9=0,0,E26/TrRoad_act!E9*1000)</f>
        <v>46.839384726186246</v>
      </c>
      <c r="F93" s="87">
        <f>IF(TrRoad_act!F9=0,0,F26/TrRoad_act!F9*1000)</f>
        <v>46.020209694841618</v>
      </c>
      <c r="G93" s="87">
        <f>IF(TrRoad_act!G9=0,0,G26/TrRoad_act!G9*1000)</f>
        <v>45.26353014462601</v>
      </c>
      <c r="H93" s="87">
        <f>IF(TrRoad_act!H9=0,0,H26/TrRoad_act!H9*1000)</f>
        <v>44.231116070668051</v>
      </c>
      <c r="I93" s="87">
        <f>IF(TrRoad_act!I9=0,0,I26/TrRoad_act!I9*1000)</f>
        <v>39.340417179092334</v>
      </c>
      <c r="J93" s="87">
        <f>IF(TrRoad_act!J9=0,0,J26/TrRoad_act!J9*1000)</f>
        <v>38.385791141201068</v>
      </c>
      <c r="K93" s="87">
        <f>IF(TrRoad_act!K9=0,0,K26/TrRoad_act!K9*1000)</f>
        <v>39.590649990089041</v>
      </c>
      <c r="L93" s="87">
        <f>IF(TrRoad_act!L9=0,0,L26/TrRoad_act!L9*1000)</f>
        <v>37.282283133230614</v>
      </c>
      <c r="M93" s="87">
        <f>IF(TrRoad_act!M9=0,0,M26/TrRoad_act!M9*1000)</f>
        <v>38.494686492595164</v>
      </c>
      <c r="N93" s="87">
        <f>IF(TrRoad_act!N9=0,0,N26/TrRoad_act!N9*1000)</f>
        <v>38.786404749337748</v>
      </c>
      <c r="O93" s="87">
        <f>IF(TrRoad_act!O9=0,0,O26/TrRoad_act!O9*1000)</f>
        <v>39.239442563295533</v>
      </c>
      <c r="P93" s="87">
        <f>IF(TrRoad_act!P9=0,0,P26/TrRoad_act!P9*1000)</f>
        <v>38.851215814247809</v>
      </c>
      <c r="Q93" s="87">
        <f>IF(TrRoad_act!Q9=0,0,Q26/TrRoad_act!Q9*1000)</f>
        <v>38.34272520085829</v>
      </c>
      <c r="R93" s="87">
        <f>IF(TrRoad_act!R9=0,0,R26/TrRoad_act!R9*1000)</f>
        <v>39.481760849587879</v>
      </c>
      <c r="S93" s="87">
        <f>IF(TrRoad_act!S9=0,0,S26/TrRoad_act!S9*1000)</f>
        <v>39.08450535974184</v>
      </c>
      <c r="T93" s="87">
        <f>IF(TrRoad_act!T9=0,0,T26/TrRoad_act!T9*1000)</f>
        <v>40.726338579025366</v>
      </c>
      <c r="U93" s="87">
        <f>IF(TrRoad_act!U9=0,0,U26/TrRoad_act!U9*1000)</f>
        <v>41.026651027066826</v>
      </c>
      <c r="V93" s="87">
        <f>IF(TrRoad_act!V9=0,0,V26/TrRoad_act!V9*1000)</f>
        <v>48.184116446706369</v>
      </c>
      <c r="W93" s="87">
        <f>IF(TrRoad_act!W9=0,0,W26/TrRoad_act!W9*1000)</f>
        <v>48.276194722715978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53.64456469939995</v>
      </c>
      <c r="G94" s="87">
        <f>IF(TrRoad_act!G10=0,0,G27/TrRoad_act!G10*1000)</f>
        <v>54.919379037343525</v>
      </c>
      <c r="H94" s="87">
        <f>IF(TrRoad_act!H10=0,0,H27/TrRoad_act!H10*1000)</f>
        <v>56.582654624930804</v>
      </c>
      <c r="I94" s="87">
        <f>IF(TrRoad_act!I10=0,0,I27/TrRoad_act!I10*1000)</f>
        <v>51.521337017122526</v>
      </c>
      <c r="J94" s="87">
        <f>IF(TrRoad_act!J10=0,0,J27/TrRoad_act!J10*1000)</f>
        <v>51.739718020068686</v>
      </c>
      <c r="K94" s="87">
        <f>IF(TrRoad_act!K10=0,0,K27/TrRoad_act!K10*1000)</f>
        <v>48.322202177268579</v>
      </c>
      <c r="L94" s="87">
        <f>IF(TrRoad_act!L10=0,0,L27/TrRoad_act!L10*1000)</f>
        <v>42.026210642186768</v>
      </c>
      <c r="M94" s="87">
        <f>IF(TrRoad_act!M10=0,0,M27/TrRoad_act!M10*1000)</f>
        <v>40.296221826440465</v>
      </c>
      <c r="N94" s="87">
        <f>IF(TrRoad_act!N10=0,0,N27/TrRoad_act!N10*1000)</f>
        <v>41.188086885673499</v>
      </c>
      <c r="O94" s="87">
        <f>IF(TrRoad_act!O10=0,0,O27/TrRoad_act!O10*1000)</f>
        <v>40.51891808928368</v>
      </c>
      <c r="P94" s="87">
        <f>IF(TrRoad_act!P10=0,0,P27/TrRoad_act!P10*1000)</f>
        <v>39.092597393005462</v>
      </c>
      <c r="Q94" s="87">
        <f>IF(TrRoad_act!Q10=0,0,Q27/TrRoad_act!Q10*1000)</f>
        <v>40.891000811669386</v>
      </c>
      <c r="R94" s="87">
        <f>IF(TrRoad_act!R10=0,0,R27/TrRoad_act!R10*1000)</f>
        <v>41.603430305235939</v>
      </c>
      <c r="S94" s="87">
        <f>IF(TrRoad_act!S10=0,0,S27/TrRoad_act!S10*1000)</f>
        <v>40.936977706475886</v>
      </c>
      <c r="T94" s="87">
        <f>IF(TrRoad_act!T10=0,0,T27/TrRoad_act!T10*1000)</f>
        <v>41.299418514701259</v>
      </c>
      <c r="U94" s="87">
        <f>IF(TrRoad_act!U10=0,0,U27/TrRoad_act!U10*1000)</f>
        <v>41.309556952310501</v>
      </c>
      <c r="V94" s="87">
        <f>IF(TrRoad_act!V10=0,0,V27/TrRoad_act!V10*1000)</f>
        <v>46.058795295271494</v>
      </c>
      <c r="W94" s="87">
        <f>IF(TrRoad_act!W10=0,0,W27/TrRoad_act!W10*1000)</f>
        <v>49.00307472699108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15.203341387994971</v>
      </c>
      <c r="O95" s="87">
        <f>IF(TrRoad_act!O11=0,0,O29/TrRoad_act!O11*1000)</f>
        <v>13.5713243701239</v>
      </c>
      <c r="P95" s="87">
        <f>IF(TrRoad_act!P11=0,0,P29/TrRoad_act!P11*1000)</f>
        <v>17.093565513329061</v>
      </c>
      <c r="Q95" s="87">
        <f>IF(TrRoad_act!Q11=0,0,Q29/TrRoad_act!Q11*1000)</f>
        <v>19.961136094269545</v>
      </c>
      <c r="R95" s="87">
        <f>IF(TrRoad_act!R11=0,0,R29/TrRoad_act!R11*1000)</f>
        <v>19.772234663768099</v>
      </c>
      <c r="S95" s="87">
        <f>IF(TrRoad_act!S11=0,0,S29/TrRoad_act!S11*1000)</f>
        <v>19.983640548312561</v>
      </c>
      <c r="T95" s="87">
        <f>IF(TrRoad_act!T11=0,0,T29/TrRoad_act!T11*1000)</f>
        <v>20.246114691164252</v>
      </c>
      <c r="U95" s="87">
        <f>IF(TrRoad_act!U11=0,0,U29/TrRoad_act!U11*1000)</f>
        <v>23.087442166039242</v>
      </c>
      <c r="V95" s="87">
        <f>IF(TrRoad_act!V11=0,0,V29/TrRoad_act!V11*1000)</f>
        <v>25.133956040124403</v>
      </c>
      <c r="W95" s="87">
        <f>IF(TrRoad_act!W11=0,0,W29/TrRoad_act!W11*1000)</f>
        <v>27.836866747126699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0</v>
      </c>
      <c r="P96" s="87">
        <f>IF(TrRoad_act!P12=0,0,P32/TrRoad_act!P12*1000)</f>
        <v>0</v>
      </c>
      <c r="Q96" s="87">
        <f>IF(TrRoad_act!Q12=0,0,Q32/TrRoad_act!Q12*1000)</f>
        <v>0</v>
      </c>
      <c r="R96" s="87">
        <f>IF(TrRoad_act!R12=0,0,R32/TrRoad_act!R12*1000)</f>
        <v>8.2686802461665998</v>
      </c>
      <c r="S96" s="87">
        <f>IF(TrRoad_act!S12=0,0,S32/TrRoad_act!S12*1000)</f>
        <v>7.8344780869954285</v>
      </c>
      <c r="T96" s="87">
        <f>IF(TrRoad_act!T12=0,0,T32/TrRoad_act!T12*1000)</f>
        <v>8.5303829368814199</v>
      </c>
      <c r="U96" s="87">
        <f>IF(TrRoad_act!U12=0,0,U32/TrRoad_act!U12*1000)</f>
        <v>9.6279300429621859</v>
      </c>
      <c r="V96" s="87">
        <f>IF(TrRoad_act!V12=0,0,V32/TrRoad_act!V12*1000)</f>
        <v>11.395062959418432</v>
      </c>
      <c r="W96" s="87">
        <f>IF(TrRoad_act!W12=0,0,W32/TrRoad_act!W12*1000)</f>
        <v>12.554240142610295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18.554991472141801</v>
      </c>
      <c r="C97" s="116">
        <f>IF(TrRoad_act!C13=0,0,C33/TrRoad_act!C13*1000)</f>
        <v>18.631143495407411</v>
      </c>
      <c r="D97" s="116">
        <f>IF(TrRoad_act!D13=0,0,D33/TrRoad_act!D13*1000)</f>
        <v>18.590746029356325</v>
      </c>
      <c r="E97" s="116">
        <f>IF(TrRoad_act!E13=0,0,E33/TrRoad_act!E13*1000)</f>
        <v>18.921591674004606</v>
      </c>
      <c r="F97" s="116">
        <f>IF(TrRoad_act!F13=0,0,F33/TrRoad_act!F13*1000)</f>
        <v>19.219219654291503</v>
      </c>
      <c r="G97" s="116">
        <f>IF(TrRoad_act!G13=0,0,G33/TrRoad_act!G13*1000)</f>
        <v>19.395426105731676</v>
      </c>
      <c r="H97" s="116">
        <f>IF(TrRoad_act!H13=0,0,H33/TrRoad_act!H13*1000)</f>
        <v>19.645751087802829</v>
      </c>
      <c r="I97" s="116">
        <f>IF(TrRoad_act!I13=0,0,I33/TrRoad_act!I13*1000)</f>
        <v>19.950509676891432</v>
      </c>
      <c r="J97" s="116">
        <f>IF(TrRoad_act!J13=0,0,J33/TrRoad_act!J13*1000)</f>
        <v>17.802700866634964</v>
      </c>
      <c r="K97" s="116">
        <f>IF(TrRoad_act!K13=0,0,K33/TrRoad_act!K13*1000)</f>
        <v>24.632435403385387</v>
      </c>
      <c r="L97" s="116">
        <f>IF(TrRoad_act!L13=0,0,L33/TrRoad_act!L13*1000)</f>
        <v>22.519650695051691</v>
      </c>
      <c r="M97" s="116">
        <f>IF(TrRoad_act!M13=0,0,M33/TrRoad_act!M13*1000)</f>
        <v>24.231898182923743</v>
      </c>
      <c r="N97" s="116">
        <f>IF(TrRoad_act!N13=0,0,N33/TrRoad_act!N13*1000)</f>
        <v>23.166065554155271</v>
      </c>
      <c r="O97" s="116">
        <f>IF(TrRoad_act!O13=0,0,O33/TrRoad_act!O13*1000)</f>
        <v>21.777296528798409</v>
      </c>
      <c r="P97" s="116">
        <f>IF(TrRoad_act!P13=0,0,P33/TrRoad_act!P13*1000)</f>
        <v>19.236979682482769</v>
      </c>
      <c r="Q97" s="116">
        <f>IF(TrRoad_act!Q13=0,0,Q33/TrRoad_act!Q13*1000)</f>
        <v>19.385878159315176</v>
      </c>
      <c r="R97" s="116">
        <f>IF(TrRoad_act!R13=0,0,R33/TrRoad_act!R13*1000)</f>
        <v>18.948317783847358</v>
      </c>
      <c r="S97" s="116">
        <f>IF(TrRoad_act!S13=0,0,S33/TrRoad_act!S13*1000)</f>
        <v>20.510945909827992</v>
      </c>
      <c r="T97" s="116">
        <f>IF(TrRoad_act!T13=0,0,T33/TrRoad_act!T13*1000)</f>
        <v>22.281745870973168</v>
      </c>
      <c r="U97" s="116">
        <f>IF(TrRoad_act!U13=0,0,U33/TrRoad_act!U13*1000)</f>
        <v>22.340579467539889</v>
      </c>
      <c r="V97" s="116">
        <f>IF(TrRoad_act!V13=0,0,V33/TrRoad_act!V13*1000)</f>
        <v>47.048984285012544</v>
      </c>
      <c r="W97" s="116">
        <f>IF(TrRoad_act!W13=0,0,W33/TrRoad_act!W13*1000)</f>
        <v>48.466298872393104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18.554991472141801</v>
      </c>
      <c r="C99" s="101">
        <f>IF(TrRoad_act!C15=0,0,C36/TrRoad_act!C15*1000)</f>
        <v>18.631143495407411</v>
      </c>
      <c r="D99" s="101">
        <f>IF(TrRoad_act!D15=0,0,D36/TrRoad_act!D15*1000)</f>
        <v>18.590746029356325</v>
      </c>
      <c r="E99" s="101">
        <f>IF(TrRoad_act!E15=0,0,E36/TrRoad_act!E15*1000)</f>
        <v>18.921591674004606</v>
      </c>
      <c r="F99" s="101">
        <f>IF(TrRoad_act!F15=0,0,F36/TrRoad_act!F15*1000)</f>
        <v>19.253737671333749</v>
      </c>
      <c r="G99" s="101">
        <f>IF(TrRoad_act!G15=0,0,G36/TrRoad_act!G15*1000)</f>
        <v>19.481078966443722</v>
      </c>
      <c r="H99" s="101">
        <f>IF(TrRoad_act!H15=0,0,H36/TrRoad_act!H15*1000)</f>
        <v>19.820291345882705</v>
      </c>
      <c r="I99" s="101">
        <f>IF(TrRoad_act!I15=0,0,I36/TrRoad_act!I15*1000)</f>
        <v>20.147236641678017</v>
      </c>
      <c r="J99" s="101">
        <f>IF(TrRoad_act!J15=0,0,J36/TrRoad_act!J15*1000)</f>
        <v>17.988855666846881</v>
      </c>
      <c r="K99" s="101">
        <f>IF(TrRoad_act!K15=0,0,K36/TrRoad_act!K15*1000)</f>
        <v>24.959199025988937</v>
      </c>
      <c r="L99" s="101">
        <f>IF(TrRoad_act!L15=0,0,L36/TrRoad_act!L15*1000)</f>
        <v>22.805207650078373</v>
      </c>
      <c r="M99" s="101">
        <f>IF(TrRoad_act!M15=0,0,M36/TrRoad_act!M15*1000)</f>
        <v>24.579269555667249</v>
      </c>
      <c r="N99" s="101">
        <f>IF(TrRoad_act!N15=0,0,N36/TrRoad_act!N15*1000)</f>
        <v>23.326401908303463</v>
      </c>
      <c r="O99" s="101">
        <f>IF(TrRoad_act!O15=0,0,O36/TrRoad_act!O15*1000)</f>
        <v>23.194637764346162</v>
      </c>
      <c r="P99" s="101">
        <f>IF(TrRoad_act!P15=0,0,P36/TrRoad_act!P15*1000)</f>
        <v>21.62475873279169</v>
      </c>
      <c r="Q99" s="101">
        <f>IF(TrRoad_act!Q15=0,0,Q36/TrRoad_act!Q15*1000)</f>
        <v>20.935963268542199</v>
      </c>
      <c r="R99" s="101">
        <f>IF(TrRoad_act!R15=0,0,R36/TrRoad_act!R15*1000)</f>
        <v>19.983330105007759</v>
      </c>
      <c r="S99" s="101">
        <f>IF(TrRoad_act!S15=0,0,S36/TrRoad_act!S15*1000)</f>
        <v>21.773811644159803</v>
      </c>
      <c r="T99" s="101">
        <f>IF(TrRoad_act!T15=0,0,T36/TrRoad_act!T15*1000)</f>
        <v>23.756792837986811</v>
      </c>
      <c r="U99" s="101">
        <f>IF(TrRoad_act!U15=0,0,U36/TrRoad_act!U15*1000)</f>
        <v>23.827510238069433</v>
      </c>
      <c r="V99" s="101">
        <f>IF(TrRoad_act!V15=0,0,V36/TrRoad_act!V15*1000)</f>
        <v>50.95049497747344</v>
      </c>
      <c r="W99" s="101">
        <f>IF(TrRoad_act!W15=0,0,W36/TrRoad_act!W15*1000)</f>
        <v>51.879179863749947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14.178021794486794</v>
      </c>
      <c r="G101" s="101">
        <f>IF(TrRoad_act!G17=0,0,G39/TrRoad_act!G17*1000)</f>
        <v>13.660819321009956</v>
      </c>
      <c r="H101" s="101">
        <f>IF(TrRoad_act!H17=0,0,H39/TrRoad_act!H17*1000)</f>
        <v>13.523353694120679</v>
      </c>
      <c r="I101" s="101">
        <f>IF(TrRoad_act!I17=0,0,I39/TrRoad_act!I17*1000)</f>
        <v>15.258646171706914</v>
      </c>
      <c r="J101" s="101">
        <f>IF(TrRoad_act!J17=0,0,J39/TrRoad_act!J17*1000)</f>
        <v>13.808062833484374</v>
      </c>
      <c r="K101" s="101">
        <f>IF(TrRoad_act!K17=0,0,K39/TrRoad_act!K17*1000)</f>
        <v>19.880989688403652</v>
      </c>
      <c r="L101" s="101">
        <f>IF(TrRoad_act!L17=0,0,L39/TrRoad_act!L17*1000)</f>
        <v>19.926138579378225</v>
      </c>
      <c r="M101" s="101">
        <f>IF(TrRoad_act!M17=0,0,M39/TrRoad_act!M17*1000)</f>
        <v>20.835515587510088</v>
      </c>
      <c r="N101" s="101">
        <f>IF(TrRoad_act!N17=0,0,N39/TrRoad_act!N17*1000)</f>
        <v>21.894498238090289</v>
      </c>
      <c r="O101" s="101">
        <f>IF(TrRoad_act!O17=0,0,O39/TrRoad_act!O17*1000)</f>
        <v>15.253223075598132</v>
      </c>
      <c r="P101" s="101">
        <f>IF(TrRoad_act!P17=0,0,P39/TrRoad_act!P17*1000)</f>
        <v>7.8269992757081619</v>
      </c>
      <c r="Q101" s="101">
        <f>IF(TrRoad_act!Q17=0,0,Q39/TrRoad_act!Q17*1000)</f>
        <v>12.030784638049893</v>
      </c>
      <c r="R101" s="101">
        <f>IF(TrRoad_act!R17=0,0,R39/TrRoad_act!R17*1000)</f>
        <v>14.295229276470556</v>
      </c>
      <c r="S101" s="101">
        <f>IF(TrRoad_act!S17=0,0,S39/TrRoad_act!S17*1000)</f>
        <v>15.301704348648745</v>
      </c>
      <c r="T101" s="101">
        <f>IF(TrRoad_act!T17=0,0,T39/TrRoad_act!T17*1000)</f>
        <v>16.450547832300359</v>
      </c>
      <c r="U101" s="101">
        <f>IF(TrRoad_act!U17=0,0,U39/TrRoad_act!U17*1000)</f>
        <v>17.008070303129131</v>
      </c>
      <c r="V101" s="101">
        <f>IF(TrRoad_act!V17=0,0,V39/TrRoad_act!V17*1000)</f>
        <v>32.395295010105805</v>
      </c>
      <c r="W101" s="101">
        <f>IF(TrRoad_act!W17=0,0,W39/TrRoad_act!W17*1000)</f>
        <v>38.217954090438923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10.424124792656885</v>
      </c>
      <c r="K102" s="101">
        <f>IF(TrRoad_act!K18=0,0,K41/TrRoad_act!K18*1000)</f>
        <v>14.519652446676403</v>
      </c>
      <c r="L102" s="101">
        <f>IF(TrRoad_act!L18=0,0,L41/TrRoad_act!L18*1000)</f>
        <v>13.318826287028948</v>
      </c>
      <c r="M102" s="101">
        <f>IF(TrRoad_act!M18=0,0,M41/TrRoad_act!M18*1000)</f>
        <v>14.398772206233737</v>
      </c>
      <c r="N102" s="101">
        <f>IF(TrRoad_act!N18=0,0,N41/TrRoad_act!N18*1000)</f>
        <v>13.691040095059815</v>
      </c>
      <c r="O102" s="101">
        <f>IF(TrRoad_act!O18=0,0,O41/TrRoad_act!O18*1000)</f>
        <v>13.820759880168</v>
      </c>
      <c r="P102" s="101">
        <f>IF(TrRoad_act!P18=0,0,P41/TrRoad_act!P18*1000)</f>
        <v>12.901251781108938</v>
      </c>
      <c r="Q102" s="101">
        <f>IF(TrRoad_act!Q18=0,0,Q41/TrRoad_act!Q18*1000)</f>
        <v>12.465032485913296</v>
      </c>
      <c r="R102" s="101">
        <f>IF(TrRoad_act!R18=0,0,R41/TrRoad_act!R18*1000)</f>
        <v>11.898658732075353</v>
      </c>
      <c r="S102" s="101">
        <f>IF(TrRoad_act!S18=0,0,S41/TrRoad_act!S18*1000)</f>
        <v>12.922542212058024</v>
      </c>
      <c r="T102" s="101">
        <f>IF(TrRoad_act!T18=0,0,T41/TrRoad_act!T18*1000)</f>
        <v>14.075506665389506</v>
      </c>
      <c r="U102" s="101">
        <f>IF(TrRoad_act!U18=0,0,U41/TrRoad_act!U18*1000)</f>
        <v>14.09634844559262</v>
      </c>
      <c r="V102" s="101">
        <f>IF(TrRoad_act!V18=0,0,V41/TrRoad_act!V18*1000)</f>
        <v>30.104816289037306</v>
      </c>
      <c r="W102" s="101">
        <f>IF(TrRoad_act!W18=0,0,W41/TrRoad_act!W18*1000)</f>
        <v>30.679691534105338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42.016320456721623</v>
      </c>
      <c r="C103" s="29">
        <f>IF(TrRoad_act!C19=0,0,C42/TrRoad_act!C19*1000)</f>
        <v>43.052319386580407</v>
      </c>
      <c r="D103" s="29">
        <f>IF(TrRoad_act!D19=0,0,D42/TrRoad_act!D19*1000)</f>
        <v>37.136946369382684</v>
      </c>
      <c r="E103" s="29">
        <f>IF(TrRoad_act!E19=0,0,E42/TrRoad_act!E19*1000)</f>
        <v>48.430676733707728</v>
      </c>
      <c r="F103" s="29">
        <f>IF(TrRoad_act!F19=0,0,F42/TrRoad_act!F19*1000)</f>
        <v>49.046160743840517</v>
      </c>
      <c r="G103" s="29">
        <f>IF(TrRoad_act!G19=0,0,G42/TrRoad_act!G19*1000)</f>
        <v>50.052366454200829</v>
      </c>
      <c r="H103" s="29">
        <f>IF(TrRoad_act!H19=0,0,H42/TrRoad_act!H19*1000)</f>
        <v>50.924832968627292</v>
      </c>
      <c r="I103" s="29">
        <f>IF(TrRoad_act!I19=0,0,I42/TrRoad_act!I19*1000)</f>
        <v>47.885618640196455</v>
      </c>
      <c r="J103" s="29">
        <f>IF(TrRoad_act!J19=0,0,J42/TrRoad_act!J19*1000)</f>
        <v>54.011885203669969</v>
      </c>
      <c r="K103" s="29">
        <f>IF(TrRoad_act!K19=0,0,K42/TrRoad_act!K19*1000)</f>
        <v>52.075204245541556</v>
      </c>
      <c r="L103" s="29">
        <f>IF(TrRoad_act!L19=0,0,L42/TrRoad_act!L19*1000)</f>
        <v>50.018205081884183</v>
      </c>
      <c r="M103" s="29">
        <f>IF(TrRoad_act!M19=0,0,M42/TrRoad_act!M19*1000)</f>
        <v>47.635626584678377</v>
      </c>
      <c r="N103" s="29">
        <f>IF(TrRoad_act!N19=0,0,N42/TrRoad_act!N19*1000)</f>
        <v>51.722311020868545</v>
      </c>
      <c r="O103" s="29">
        <f>IF(TrRoad_act!O19=0,0,O42/TrRoad_act!O19*1000)</f>
        <v>40.978723415691761</v>
      </c>
      <c r="P103" s="29">
        <f>IF(TrRoad_act!P19=0,0,P42/TrRoad_act!P19*1000)</f>
        <v>46.770136594542535</v>
      </c>
      <c r="Q103" s="29">
        <f>IF(TrRoad_act!Q19=0,0,Q42/TrRoad_act!Q19*1000)</f>
        <v>48.269001602489382</v>
      </c>
      <c r="R103" s="29">
        <f>IF(TrRoad_act!R19=0,0,R42/TrRoad_act!R19*1000)</f>
        <v>48.338942611890857</v>
      </c>
      <c r="S103" s="29">
        <f>IF(TrRoad_act!S19=0,0,S42/TrRoad_act!S19*1000)</f>
        <v>44.912674369261417</v>
      </c>
      <c r="T103" s="29">
        <f>IF(TrRoad_act!T19=0,0,T42/TrRoad_act!T19*1000)</f>
        <v>46.674891262922877</v>
      </c>
      <c r="U103" s="29">
        <f>IF(TrRoad_act!U19=0,0,U42/TrRoad_act!U19*1000)</f>
        <v>52.224591701232541</v>
      </c>
      <c r="V103" s="29">
        <f>IF(TrRoad_act!V19=0,0,V42/TrRoad_act!V19*1000)</f>
        <v>45.514532971182398</v>
      </c>
      <c r="W103" s="29">
        <f>IF(TrRoad_act!W19=0,0,W42/TrRoad_act!W19*1000)</f>
        <v>43.694078658888415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306.6879076384335</v>
      </c>
      <c r="C104" s="152">
        <f>IF(TrRoad_act!C20=0,0,C43/TrRoad_act!C20*1000)</f>
        <v>310.15224510600734</v>
      </c>
      <c r="D104" s="152">
        <f>IF(TrRoad_act!D20=0,0,D43/TrRoad_act!D20*1000)</f>
        <v>310.6809671338969</v>
      </c>
      <c r="E104" s="152">
        <f>IF(TrRoad_act!E20=0,0,E43/TrRoad_act!E20*1000)</f>
        <v>299.31368806007879</v>
      </c>
      <c r="F104" s="152">
        <f>IF(TrRoad_act!F20=0,0,F43/TrRoad_act!F20*1000)</f>
        <v>282.29023860216824</v>
      </c>
      <c r="G104" s="152">
        <f>IF(TrRoad_act!G20=0,0,G43/TrRoad_act!G20*1000)</f>
        <v>275.23534196374521</v>
      </c>
      <c r="H104" s="152">
        <f>IF(TrRoad_act!H20=0,0,H43/TrRoad_act!H20*1000)</f>
        <v>257.90378008264167</v>
      </c>
      <c r="I104" s="152">
        <f>IF(TrRoad_act!I20=0,0,I43/TrRoad_act!I20*1000)</f>
        <v>245.94261174258986</v>
      </c>
      <c r="J104" s="152">
        <f>IF(TrRoad_act!J20=0,0,J43/TrRoad_act!J20*1000)</f>
        <v>240.05637171909854</v>
      </c>
      <c r="K104" s="152">
        <f>IF(TrRoad_act!K20=0,0,K43/TrRoad_act!K20*1000)</f>
        <v>233.43995480368255</v>
      </c>
      <c r="L104" s="152">
        <f>IF(TrRoad_act!L20=0,0,L43/TrRoad_act!L20*1000)</f>
        <v>229.16800666875997</v>
      </c>
      <c r="M104" s="152">
        <f>IF(TrRoad_act!M20=0,0,M43/TrRoad_act!M20*1000)</f>
        <v>228.23151589922077</v>
      </c>
      <c r="N104" s="152">
        <f>IF(TrRoad_act!N20=0,0,N43/TrRoad_act!N20*1000)</f>
        <v>227.4063253104936</v>
      </c>
      <c r="O104" s="152">
        <f>IF(TrRoad_act!O20=0,0,O43/TrRoad_act!O20*1000)</f>
        <v>225.33609511799079</v>
      </c>
      <c r="P104" s="152">
        <f>IF(TrRoad_act!P20=0,0,P43/TrRoad_act!P20*1000)</f>
        <v>224.72453379318279</v>
      </c>
      <c r="Q104" s="152">
        <f>IF(TrRoad_act!Q20=0,0,Q43/TrRoad_act!Q20*1000)</f>
        <v>225.08934018483615</v>
      </c>
      <c r="R104" s="152">
        <f>IF(TrRoad_act!R20=0,0,R43/TrRoad_act!R20*1000)</f>
        <v>222.98782380101963</v>
      </c>
      <c r="S104" s="152">
        <f>IF(TrRoad_act!S20=0,0,S43/TrRoad_act!S20*1000)</f>
        <v>223.04870635919747</v>
      </c>
      <c r="T104" s="152">
        <f>IF(TrRoad_act!T20=0,0,T43/TrRoad_act!T20*1000)</f>
        <v>222.95574554787032</v>
      </c>
      <c r="U104" s="152">
        <f>IF(TrRoad_act!U20=0,0,U43/TrRoad_act!U20*1000)</f>
        <v>224.26443321030288</v>
      </c>
      <c r="V104" s="152">
        <f>IF(TrRoad_act!V20=0,0,V43/TrRoad_act!V20*1000)</f>
        <v>226.36683524031056</v>
      </c>
      <c r="W104" s="152">
        <f>IF(TrRoad_act!W20=0,0,W43/TrRoad_act!W20*1000)</f>
        <v>230.13937445199448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489.23411183815807</v>
      </c>
      <c r="C105" s="87">
        <f>IF(TrRoad_act!C21=0,0,C44/TrRoad_act!C21*1000)</f>
        <v>486.09664149102593</v>
      </c>
      <c r="D105" s="87">
        <f>IF(TrRoad_act!D21=0,0,D44/TrRoad_act!D21*1000)</f>
        <v>482.58351740075989</v>
      </c>
      <c r="E105" s="87">
        <f>IF(TrRoad_act!E21=0,0,E44/TrRoad_act!E21*1000)</f>
        <v>478.89243642072569</v>
      </c>
      <c r="F105" s="87">
        <f>IF(TrRoad_act!F21=0,0,F44/TrRoad_act!F21*1000)</f>
        <v>475.93749994700477</v>
      </c>
      <c r="G105" s="87">
        <f>IF(TrRoad_act!G21=0,0,G44/TrRoad_act!G21*1000)</f>
        <v>469.35040366398829</v>
      </c>
      <c r="H105" s="87">
        <f>IF(TrRoad_act!H21=0,0,H44/TrRoad_act!H21*1000)</f>
        <v>464.90176613442992</v>
      </c>
      <c r="I105" s="87">
        <f>IF(TrRoad_act!I21=0,0,I44/TrRoad_act!I21*1000)</f>
        <v>461.06058866754762</v>
      </c>
      <c r="J105" s="87">
        <f>IF(TrRoad_act!J21=0,0,J44/TrRoad_act!J21*1000)</f>
        <v>460.46449860163051</v>
      </c>
      <c r="K105" s="87">
        <f>IF(TrRoad_act!K21=0,0,K44/TrRoad_act!K21*1000)</f>
        <v>454.853891523649</v>
      </c>
      <c r="L105" s="87">
        <f>IF(TrRoad_act!L21=0,0,L44/TrRoad_act!L21*1000)</f>
        <v>447.70281899916012</v>
      </c>
      <c r="M105" s="87">
        <f>IF(TrRoad_act!M21=0,0,M44/TrRoad_act!M21*1000)</f>
        <v>444.51248631408475</v>
      </c>
      <c r="N105" s="87">
        <f>IF(TrRoad_act!N21=0,0,N44/TrRoad_act!N21*1000)</f>
        <v>432.26977761066041</v>
      </c>
      <c r="O105" s="87">
        <f>IF(TrRoad_act!O21=0,0,O44/TrRoad_act!O21*1000)</f>
        <v>420.72658816232246</v>
      </c>
      <c r="P105" s="87">
        <f>IF(TrRoad_act!P21=0,0,P44/TrRoad_act!P21*1000)</f>
        <v>398.60385928786047</v>
      </c>
      <c r="Q105" s="87">
        <f>IF(TrRoad_act!Q21=0,0,Q44/TrRoad_act!Q21*1000)</f>
        <v>382.47453679152693</v>
      </c>
      <c r="R105" s="87">
        <f>IF(TrRoad_act!R21=0,0,R44/TrRoad_act!R21*1000)</f>
        <v>362.40616521578676</v>
      </c>
      <c r="S105" s="87">
        <f>IF(TrRoad_act!S21=0,0,S44/TrRoad_act!S21*1000)</f>
        <v>347.57190450668691</v>
      </c>
      <c r="T105" s="87">
        <f>IF(TrRoad_act!T21=0,0,T44/TrRoad_act!T21*1000)</f>
        <v>332.86286359172942</v>
      </c>
      <c r="U105" s="87">
        <f>IF(TrRoad_act!U21=0,0,U44/TrRoad_act!U21*1000)</f>
        <v>326.98723184475847</v>
      </c>
      <c r="V105" s="87">
        <f>IF(TrRoad_act!V21=0,0,V44/TrRoad_act!V21*1000)</f>
        <v>326.33240093082992</v>
      </c>
      <c r="W105" s="87">
        <f>IF(TrRoad_act!W21=0,0,W44/TrRoad_act!W21*1000)</f>
        <v>326.40414657264103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275.28251038039065</v>
      </c>
      <c r="C106" s="87">
        <f>IF(TrRoad_act!C22=0,0,C46/TrRoad_act!C22*1000)</f>
        <v>277.42611409895903</v>
      </c>
      <c r="D106" s="87">
        <f>IF(TrRoad_act!D22=0,0,D46/TrRoad_act!D22*1000)</f>
        <v>278.33056010903709</v>
      </c>
      <c r="E106" s="87">
        <f>IF(TrRoad_act!E22=0,0,E46/TrRoad_act!E22*1000)</f>
        <v>268.11521492106613</v>
      </c>
      <c r="F106" s="87">
        <f>IF(TrRoad_act!F22=0,0,F46/TrRoad_act!F22*1000)</f>
        <v>253.81779780495222</v>
      </c>
      <c r="G106" s="87">
        <f>IF(TrRoad_act!G22=0,0,G46/TrRoad_act!G22*1000)</f>
        <v>247.60468923993824</v>
      </c>
      <c r="H106" s="87">
        <f>IF(TrRoad_act!H22=0,0,H46/TrRoad_act!H22*1000)</f>
        <v>235.71112684751051</v>
      </c>
      <c r="I106" s="87">
        <f>IF(TrRoad_act!I22=0,0,I46/TrRoad_act!I22*1000)</f>
        <v>228.38856800384184</v>
      </c>
      <c r="J106" s="87">
        <f>IF(TrRoad_act!J22=0,0,J46/TrRoad_act!J22*1000)</f>
        <v>225.79108680607231</v>
      </c>
      <c r="K106" s="87">
        <f>IF(TrRoad_act!K22=0,0,K46/TrRoad_act!K22*1000)</f>
        <v>221.57659346102832</v>
      </c>
      <c r="L106" s="87">
        <f>IF(TrRoad_act!L22=0,0,L46/TrRoad_act!L22*1000)</f>
        <v>220.13778051040299</v>
      </c>
      <c r="M106" s="87">
        <f>IF(TrRoad_act!M22=0,0,M46/TrRoad_act!M22*1000)</f>
        <v>219.4456209087657</v>
      </c>
      <c r="N106" s="87">
        <f>IF(TrRoad_act!N22=0,0,N46/TrRoad_act!N22*1000)</f>
        <v>219.80542705249442</v>
      </c>
      <c r="O106" s="87">
        <f>IF(TrRoad_act!O22=0,0,O46/TrRoad_act!O22*1000)</f>
        <v>218.51051433888856</v>
      </c>
      <c r="P106" s="87">
        <f>IF(TrRoad_act!P22=0,0,P46/TrRoad_act!P22*1000)</f>
        <v>219.15968992806373</v>
      </c>
      <c r="Q106" s="87">
        <f>IF(TrRoad_act!Q22=0,0,Q46/TrRoad_act!Q22*1000)</f>
        <v>219.45463543967284</v>
      </c>
      <c r="R106" s="87">
        <f>IF(TrRoad_act!R22=0,0,R46/TrRoad_act!R22*1000)</f>
        <v>217.56196080740904</v>
      </c>
      <c r="S106" s="87">
        <f>IF(TrRoad_act!S22=0,0,S46/TrRoad_act!S22*1000)</f>
        <v>216.65102123534734</v>
      </c>
      <c r="T106" s="87">
        <f>IF(TrRoad_act!T22=0,0,T46/TrRoad_act!T22*1000)</f>
        <v>216.15173993568254</v>
      </c>
      <c r="U106" s="87">
        <f>IF(TrRoad_act!U22=0,0,U46/TrRoad_act!U22*1000)</f>
        <v>216.56114505431643</v>
      </c>
      <c r="V106" s="87">
        <f>IF(TrRoad_act!V22=0,0,V46/TrRoad_act!V22*1000)</f>
        <v>217.83274722711934</v>
      </c>
      <c r="W106" s="87">
        <f>IF(TrRoad_act!W22=0,0,W46/TrRoad_act!W22*1000)</f>
        <v>220.4109209771037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51.302987539033936</v>
      </c>
      <c r="O109" s="87">
        <f>IF(TrRoad_act!O25=0,0,O51/TrRoad_act!O25*1000)</f>
        <v>51.340805630873987</v>
      </c>
      <c r="P109" s="87">
        <f>IF(TrRoad_act!P25=0,0,P51/TrRoad_act!P25*1000)</f>
        <v>51.423641723203005</v>
      </c>
      <c r="Q109" s="87">
        <f>IF(TrRoad_act!Q25=0,0,Q51/TrRoad_act!Q25*1000)</f>
        <v>52.80964762696243</v>
      </c>
      <c r="R109" s="87">
        <f>IF(TrRoad_act!R25=0,0,R51/TrRoad_act!R25*1000)</f>
        <v>54.481661816425785</v>
      </c>
      <c r="S109" s="87">
        <f>IF(TrRoad_act!S25=0,0,S51/TrRoad_act!S25*1000)</f>
        <v>55.171998731590655</v>
      </c>
      <c r="T109" s="87">
        <f>IF(TrRoad_act!T25=0,0,T51/TrRoad_act!T25*1000)</f>
        <v>55.217858164388943</v>
      </c>
      <c r="U109" s="87">
        <f>IF(TrRoad_act!U25=0,0,U51/TrRoad_act!U25*1000)</f>
        <v>58.416661695745439</v>
      </c>
      <c r="V109" s="87">
        <f>IF(TrRoad_act!V25=0,0,V51/TrRoad_act!V25*1000)</f>
        <v>61.056378585135299</v>
      </c>
      <c r="W109" s="87">
        <f>IF(TrRoad_act!W25=0,0,W51/TrRoad_act!W25*1000)</f>
        <v>71.462161975427989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27.056999588134168</v>
      </c>
      <c r="C110" s="116">
        <f>IF(TrRoad_act!C26=0,0,C52/TrRoad_act!C26*1000)</f>
        <v>29.608074251541037</v>
      </c>
      <c r="D110" s="116">
        <f>IF(TrRoad_act!D26=0,0,D52/TrRoad_act!D26*1000)</f>
        <v>24.57523323011328</v>
      </c>
      <c r="E110" s="116">
        <f>IF(TrRoad_act!E26=0,0,E52/TrRoad_act!E26*1000)</f>
        <v>36.736715463450423</v>
      </c>
      <c r="F110" s="116">
        <f>IF(TrRoad_act!F26=0,0,F52/TrRoad_act!F26*1000)</f>
        <v>37.192365845668043</v>
      </c>
      <c r="G110" s="116">
        <f>IF(TrRoad_act!G26=0,0,G52/TrRoad_act!G26*1000)</f>
        <v>39.816361704291062</v>
      </c>
      <c r="H110" s="116">
        <f>IF(TrRoad_act!H26=0,0,H52/TrRoad_act!H26*1000)</f>
        <v>40.169342781121657</v>
      </c>
      <c r="I110" s="116">
        <f>IF(TrRoad_act!I26=0,0,I52/TrRoad_act!I26*1000)</f>
        <v>35.713930213665634</v>
      </c>
      <c r="J110" s="116">
        <f>IF(TrRoad_act!J26=0,0,J52/TrRoad_act!J26*1000)</f>
        <v>40.75674822313178</v>
      </c>
      <c r="K110" s="116">
        <f>IF(TrRoad_act!K26=0,0,K52/TrRoad_act!K26*1000)</f>
        <v>37.439691271730361</v>
      </c>
      <c r="L110" s="116">
        <f>IF(TrRoad_act!L26=0,0,L52/TrRoad_act!L26*1000)</f>
        <v>35.880162650601783</v>
      </c>
      <c r="M110" s="116">
        <f>IF(TrRoad_act!M26=0,0,M52/TrRoad_act!M26*1000)</f>
        <v>33.158188040475942</v>
      </c>
      <c r="N110" s="116">
        <f>IF(TrRoad_act!N26=0,0,N52/TrRoad_act!N26*1000)</f>
        <v>36.1466326385518</v>
      </c>
      <c r="O110" s="116">
        <f>IF(TrRoad_act!O26=0,0,O52/TrRoad_act!O26*1000)</f>
        <v>27.103495038689886</v>
      </c>
      <c r="P110" s="116">
        <f>IF(TrRoad_act!P26=0,0,P52/TrRoad_act!P26*1000)</f>
        <v>31.96778656105699</v>
      </c>
      <c r="Q110" s="116">
        <f>IF(TrRoad_act!Q26=0,0,Q52/TrRoad_act!Q26*1000)</f>
        <v>33.142382522439007</v>
      </c>
      <c r="R110" s="116">
        <f>IF(TrRoad_act!R26=0,0,R52/TrRoad_act!R26*1000)</f>
        <v>33.55961441482139</v>
      </c>
      <c r="S110" s="116">
        <f>IF(TrRoad_act!S26=0,0,S52/TrRoad_act!S26*1000)</f>
        <v>33.018027265703196</v>
      </c>
      <c r="T110" s="116">
        <f>IF(TrRoad_act!T26=0,0,T52/TrRoad_act!T26*1000)</f>
        <v>34.02937777605716</v>
      </c>
      <c r="U110" s="116">
        <f>IF(TrRoad_act!U26=0,0,U52/TrRoad_act!U26*1000)</f>
        <v>36.896523929703967</v>
      </c>
      <c r="V110" s="116">
        <f>IF(TrRoad_act!V26=0,0,V52/TrRoad_act!V26*1000)</f>
        <v>33.372869026986805</v>
      </c>
      <c r="W110" s="116">
        <f>IF(TrRoad_act!W26=0,0,W52/TrRoad_act!W26*1000)</f>
        <v>33.854393307281512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24.359984638610356</v>
      </c>
      <c r="C111" s="101">
        <f>IF(TrRoad_act!C27=0,0,C53/TrRoad_act!C27*1000)</f>
        <v>31.64155834435698</v>
      </c>
      <c r="D111" s="101">
        <f>IF(TrRoad_act!D27=0,0,D53/TrRoad_act!D27*1000)</f>
        <v>20.198824987269354</v>
      </c>
      <c r="E111" s="101">
        <f>IF(TrRoad_act!E27=0,0,E53/TrRoad_act!E27*1000)</f>
        <v>47.468038852677665</v>
      </c>
      <c r="F111" s="101">
        <f>IF(TrRoad_act!F27=0,0,F53/TrRoad_act!F27*1000)</f>
        <v>49.759331841910985</v>
      </c>
      <c r="G111" s="101">
        <f>IF(TrRoad_act!G27=0,0,G53/TrRoad_act!G27*1000)</f>
        <v>55.567171657070304</v>
      </c>
      <c r="H111" s="101">
        <f>IF(TrRoad_act!H27=0,0,H53/TrRoad_act!H27*1000)</f>
        <v>52.375492787549256</v>
      </c>
      <c r="I111" s="101">
        <f>IF(TrRoad_act!I27=0,0,I53/TrRoad_act!I27*1000)</f>
        <v>42.646117062382139</v>
      </c>
      <c r="J111" s="101">
        <f>IF(TrRoad_act!J27=0,0,J53/TrRoad_act!J27*1000)</f>
        <v>46.064583056143363</v>
      </c>
      <c r="K111" s="101">
        <f>IF(TrRoad_act!K27=0,0,K53/TrRoad_act!K27*1000)</f>
        <v>41.414742118921623</v>
      </c>
      <c r="L111" s="101">
        <f>IF(TrRoad_act!L27=0,0,L53/TrRoad_act!L27*1000)</f>
        <v>40.223061838854171</v>
      </c>
      <c r="M111" s="101">
        <f>IF(TrRoad_act!M27=0,0,M53/TrRoad_act!M27*1000)</f>
        <v>36.418370483198146</v>
      </c>
      <c r="N111" s="101">
        <f>IF(TrRoad_act!N27=0,0,N53/TrRoad_act!N27*1000)</f>
        <v>40.835608066196265</v>
      </c>
      <c r="O111" s="101">
        <f>IF(TrRoad_act!O27=0,0,O53/TrRoad_act!O27*1000)</f>
        <v>27.107041619618975</v>
      </c>
      <c r="P111" s="101">
        <f>IF(TrRoad_act!P27=0,0,P53/TrRoad_act!P27*1000)</f>
        <v>34.901230011488437</v>
      </c>
      <c r="Q111" s="101">
        <f>IF(TrRoad_act!Q27=0,0,Q53/TrRoad_act!Q27*1000)</f>
        <v>36.959407879062077</v>
      </c>
      <c r="R111" s="101">
        <f>IF(TrRoad_act!R27=0,0,R53/TrRoad_act!R27*1000)</f>
        <v>37.416249111670247</v>
      </c>
      <c r="S111" s="101">
        <f>IF(TrRoad_act!S27=0,0,S53/TrRoad_act!S27*1000)</f>
        <v>36.256608375571751</v>
      </c>
      <c r="T111" s="101">
        <f>IF(TrRoad_act!T27=0,0,T53/TrRoad_act!T27*1000)</f>
        <v>37.932376422969405</v>
      </c>
      <c r="U111" s="101">
        <f>IF(TrRoad_act!U27=0,0,U53/TrRoad_act!U27*1000)</f>
        <v>43.182215642218353</v>
      </c>
      <c r="V111" s="101">
        <f>IF(TrRoad_act!V27=0,0,V53/TrRoad_act!V27*1000)</f>
        <v>37.112838477138958</v>
      </c>
      <c r="W111" s="101">
        <f>IF(TrRoad_act!W27=0,0,W53/TrRoad_act!W27*1000)</f>
        <v>37.890797156400332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28.975819105144037</v>
      </c>
      <c r="C112" s="88">
        <f>IF(TrRoad_act!C28=0,0,C55/TrRoad_act!C28*1000)</f>
        <v>28.147644755670576</v>
      </c>
      <c r="D112" s="88">
        <f>IF(TrRoad_act!D28=0,0,D55/TrRoad_act!D28*1000)</f>
        <v>28.100122555874989</v>
      </c>
      <c r="E112" s="88">
        <f>IF(TrRoad_act!E28=0,0,E55/TrRoad_act!E28*1000)</f>
        <v>26.813129919586629</v>
      </c>
      <c r="F112" s="88">
        <f>IF(TrRoad_act!F28=0,0,F55/TrRoad_act!F28*1000)</f>
        <v>27.123603853568699</v>
      </c>
      <c r="G112" s="88">
        <f>IF(TrRoad_act!G28=0,0,G55/TrRoad_act!G28*1000)</f>
        <v>26.488223676092588</v>
      </c>
      <c r="H112" s="88">
        <f>IF(TrRoad_act!H28=0,0,H55/TrRoad_act!H28*1000)</f>
        <v>26.453326778960371</v>
      </c>
      <c r="I112" s="88">
        <f>IF(TrRoad_act!I28=0,0,I55/TrRoad_act!I28*1000)</f>
        <v>26.739757628366323</v>
      </c>
      <c r="J112" s="88">
        <f>IF(TrRoad_act!J28=0,0,J55/TrRoad_act!J28*1000)</f>
        <v>26.475419529844579</v>
      </c>
      <c r="K112" s="88">
        <f>IF(TrRoad_act!K28=0,0,K55/TrRoad_act!K28*1000)</f>
        <v>27.168718170697552</v>
      </c>
      <c r="L112" s="88">
        <f>IF(TrRoad_act!L28=0,0,L55/TrRoad_act!L28*1000)</f>
        <v>26.299365624385494</v>
      </c>
      <c r="M112" s="88">
        <f>IF(TrRoad_act!M28=0,0,M55/TrRoad_act!M28*1000)</f>
        <v>26.540722781476159</v>
      </c>
      <c r="N112" s="88">
        <f>IF(TrRoad_act!N28=0,0,N55/TrRoad_act!N28*1000)</f>
        <v>26.259932647491926</v>
      </c>
      <c r="O112" s="88">
        <f>IF(TrRoad_act!O28=0,0,O55/TrRoad_act!O28*1000)</f>
        <v>27.096716770757411</v>
      </c>
      <c r="P112" s="88">
        <f>IF(TrRoad_act!P28=0,0,P55/TrRoad_act!P28*1000)</f>
        <v>26.274356840302062</v>
      </c>
      <c r="Q112" s="88">
        <f>IF(TrRoad_act!Q28=0,0,Q55/TrRoad_act!Q28*1000)</f>
        <v>26.310094892768745</v>
      </c>
      <c r="R112" s="88">
        <f>IF(TrRoad_act!R28=0,0,R55/TrRoad_act!R28*1000)</f>
        <v>26.22375514332294</v>
      </c>
      <c r="S112" s="88">
        <f>IF(TrRoad_act!S28=0,0,S55/TrRoad_act!S28*1000)</f>
        <v>25.744022138225858</v>
      </c>
      <c r="T112" s="88">
        <f>IF(TrRoad_act!T28=0,0,T55/TrRoad_act!T28*1000)</f>
        <v>25.174642799460127</v>
      </c>
      <c r="U112" s="88">
        <f>IF(TrRoad_act!U28=0,0,U55/TrRoad_act!U28*1000)</f>
        <v>24.861749606346152</v>
      </c>
      <c r="V112" s="88">
        <f>IF(TrRoad_act!V28=0,0,V55/TrRoad_act!V28*1000)</f>
        <v>25.664058560887398</v>
      </c>
      <c r="W112" s="88">
        <f>IF(TrRoad_act!W28=0,0,W55/TrRoad_act!W28*1000)</f>
        <v>25.254891100180554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176.57552527058724</v>
      </c>
      <c r="C116" s="152">
        <f>IF(C19=0,0,1000000*C19/TrRoad_act!C59)</f>
        <v>178.00297224095962</v>
      </c>
      <c r="D116" s="152">
        <f>IF(D19=0,0,1000000*D19/TrRoad_act!D59)</f>
        <v>177.73391332118641</v>
      </c>
      <c r="E116" s="152">
        <f>IF(E19=0,0,1000000*E19/TrRoad_act!E59)</f>
        <v>172.82071149836042</v>
      </c>
      <c r="F116" s="152">
        <f>IF(F19=0,0,1000000*F19/TrRoad_act!F59)</f>
        <v>175.22970580265289</v>
      </c>
      <c r="G116" s="152">
        <f>IF(G19=0,0,1000000*G19/TrRoad_act!G59)</f>
        <v>187.01229184367173</v>
      </c>
      <c r="H116" s="152">
        <f>IF(H19=0,0,1000000*H19/TrRoad_act!H59)</f>
        <v>191.14156240845517</v>
      </c>
      <c r="I116" s="152">
        <f>IF(I19=0,0,1000000*I19/TrRoad_act!I59)</f>
        <v>168.10564695524022</v>
      </c>
      <c r="J116" s="152">
        <f>IF(J19=0,0,1000000*J19/TrRoad_act!J59)</f>
        <v>158.35546225944</v>
      </c>
      <c r="K116" s="152">
        <f>IF(K19=0,0,1000000*K19/TrRoad_act!K59)</f>
        <v>151.38697168917514</v>
      </c>
      <c r="L116" s="152">
        <f>IF(L19=0,0,1000000*L19/TrRoad_act!L59)</f>
        <v>153.16586766744663</v>
      </c>
      <c r="M116" s="152">
        <f>IF(M19=0,0,1000000*M19/TrRoad_act!M59)</f>
        <v>152.62724262191932</v>
      </c>
      <c r="N116" s="152">
        <f>IF(N19=0,0,1000000*N19/TrRoad_act!N59)</f>
        <v>154.79998781410734</v>
      </c>
      <c r="O116" s="152">
        <f>IF(O19=0,0,1000000*O19/TrRoad_act!O59)</f>
        <v>153.83781660572805</v>
      </c>
      <c r="P116" s="152">
        <f>IF(P19=0,0,1000000*P19/TrRoad_act!P59)</f>
        <v>153.42411448426603</v>
      </c>
      <c r="Q116" s="152">
        <f>IF(Q19=0,0,1000000*Q19/TrRoad_act!Q59)</f>
        <v>155.38915286784939</v>
      </c>
      <c r="R116" s="152">
        <f>IF(R19=0,0,1000000*R19/TrRoad_act!R59)</f>
        <v>156.4830474219342</v>
      </c>
      <c r="S116" s="152">
        <f>IF(S19=0,0,1000000*S19/TrRoad_act!S59)</f>
        <v>140.62060897543813</v>
      </c>
      <c r="T116" s="152">
        <f>IF(T19=0,0,1000000*T19/TrRoad_act!T59)</f>
        <v>127.48112059162008</v>
      </c>
      <c r="U116" s="152">
        <f>IF(U19=0,0,1000000*U19/TrRoad_act!U59)</f>
        <v>129.5271682133004</v>
      </c>
      <c r="V116" s="152">
        <f>IF(V19=0,0,1000000*V19/TrRoad_act!V59)</f>
        <v>111.618058030681</v>
      </c>
      <c r="W116" s="152">
        <f>IF(W19=0,0,1000000*W19/TrRoad_act!W59)</f>
        <v>105.87187748381665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526.35291721624799</v>
      </c>
      <c r="C117" s="116">
        <f>IF(C21=0,0,1000000*C21/TrRoad_act!C60)</f>
        <v>513.30317147860239</v>
      </c>
      <c r="D117" s="116">
        <f>IF(D21=0,0,1000000*D21/TrRoad_act!D60)</f>
        <v>529.50122929642203</v>
      </c>
      <c r="E117" s="116">
        <f>IF(E21=0,0,1000000*E21/TrRoad_act!E60)</f>
        <v>559.28360780434218</v>
      </c>
      <c r="F117" s="116">
        <f>IF(F21=0,0,1000000*F21/TrRoad_act!F60)</f>
        <v>568.60477300897412</v>
      </c>
      <c r="G117" s="116">
        <f>IF(G21=0,0,1000000*G21/TrRoad_act!G60)</f>
        <v>610.02703259410475</v>
      </c>
      <c r="H117" s="116">
        <f>IF(H21=0,0,1000000*H21/TrRoad_act!H60)</f>
        <v>641.1593335731867</v>
      </c>
      <c r="I117" s="116">
        <f>IF(I21=0,0,1000000*I21/TrRoad_act!I60)</f>
        <v>574.79977011282551</v>
      </c>
      <c r="J117" s="116">
        <f>IF(J21=0,0,1000000*J21/TrRoad_act!J60)</f>
        <v>603.46631269728096</v>
      </c>
      <c r="K117" s="116">
        <f>IF(K21=0,0,1000000*K21/TrRoad_act!K60)</f>
        <v>614.55577300328582</v>
      </c>
      <c r="L117" s="116">
        <f>IF(L21=0,0,1000000*L21/TrRoad_act!L60)</f>
        <v>591.66584664770073</v>
      </c>
      <c r="M117" s="116">
        <f>IF(M21=0,0,1000000*M21/TrRoad_act!M60)</f>
        <v>567.0263640553602</v>
      </c>
      <c r="N117" s="116">
        <f>IF(N21=0,0,1000000*N21/TrRoad_act!N60)</f>
        <v>608.5777690944858</v>
      </c>
      <c r="O117" s="116">
        <f>IF(O21=0,0,1000000*O21/TrRoad_act!O60)</f>
        <v>529.13527248419257</v>
      </c>
      <c r="P117" s="116">
        <f>IF(P21=0,0,1000000*P21/TrRoad_act!P60)</f>
        <v>606.73848530334203</v>
      </c>
      <c r="Q117" s="116">
        <f>IF(Q21=0,0,1000000*Q21/TrRoad_act!Q60)</f>
        <v>659.59674117092902</v>
      </c>
      <c r="R117" s="116">
        <f>IF(R21=0,0,1000000*R21/TrRoad_act!R60)</f>
        <v>671.95023480414204</v>
      </c>
      <c r="S117" s="116">
        <f>IF(S21=0,0,1000000*S21/TrRoad_act!S60)</f>
        <v>696.61621074948494</v>
      </c>
      <c r="T117" s="116">
        <f>IF(T21=0,0,1000000*T21/TrRoad_act!T60)</f>
        <v>719.15959426071311</v>
      </c>
      <c r="U117" s="116">
        <f>IF(U21=0,0,1000000*U21/TrRoad_act!U60)</f>
        <v>765.07683862435817</v>
      </c>
      <c r="V117" s="116">
        <f>IF(V21=0,0,1000000*V21/TrRoad_act!V60)</f>
        <v>696.27186611215609</v>
      </c>
      <c r="W117" s="116">
        <f>IF(W21=0,0,1000000*W21/TrRoad_act!W60)</f>
        <v>759.86387558581657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423.04079680388725</v>
      </c>
      <c r="C118" s="87">
        <f>IF(C22=0,0,1000000*C22/TrRoad_act!C61)</f>
        <v>359.64444456360155</v>
      </c>
      <c r="D118" s="87">
        <f>IF(D22=0,0,1000000*D22/TrRoad_act!D61)</f>
        <v>388.47468922241006</v>
      </c>
      <c r="E118" s="87">
        <f>IF(E22=0,0,1000000*E22/TrRoad_act!E61)</f>
        <v>371.61805894383843</v>
      </c>
      <c r="F118" s="87">
        <f>IF(F22=0,0,1000000*F22/TrRoad_act!F61)</f>
        <v>349.2554460894516</v>
      </c>
      <c r="G118" s="87">
        <f>IF(G22=0,0,1000000*G22/TrRoad_act!G61)</f>
        <v>339.39657185283932</v>
      </c>
      <c r="H118" s="87">
        <f>IF(H22=0,0,1000000*H22/TrRoad_act!H61)</f>
        <v>398.27739451011263</v>
      </c>
      <c r="I118" s="87">
        <f>IF(I22=0,0,1000000*I22/TrRoad_act!I61)</f>
        <v>383.75446863917705</v>
      </c>
      <c r="J118" s="87">
        <f>IF(J22=0,0,1000000*J22/TrRoad_act!J61)</f>
        <v>383.16960958623326</v>
      </c>
      <c r="K118" s="87">
        <f>IF(K22=0,0,1000000*K22/TrRoad_act!K61)</f>
        <v>409.20675561214478</v>
      </c>
      <c r="L118" s="87">
        <f>IF(L22=0,0,1000000*L22/TrRoad_act!L61)</f>
        <v>380.97485744049845</v>
      </c>
      <c r="M118" s="87">
        <f>IF(M22=0,0,1000000*M22/TrRoad_act!M61)</f>
        <v>368.53539621903178</v>
      </c>
      <c r="N118" s="87">
        <f>IF(N22=0,0,1000000*N22/TrRoad_act!N61)</f>
        <v>354.30954509002635</v>
      </c>
      <c r="O118" s="87">
        <f>IF(O22=0,0,1000000*O22/TrRoad_act!O61)</f>
        <v>292.19773594351847</v>
      </c>
      <c r="P118" s="87">
        <f>IF(P22=0,0,1000000*P22/TrRoad_act!P61)</f>
        <v>345.69685315527101</v>
      </c>
      <c r="Q118" s="87">
        <f>IF(Q22=0,0,1000000*Q22/TrRoad_act!Q61)</f>
        <v>366.8061889439939</v>
      </c>
      <c r="R118" s="87">
        <f>IF(R22=0,0,1000000*R22/TrRoad_act!R61)</f>
        <v>350.48006080511954</v>
      </c>
      <c r="S118" s="87">
        <f>IF(S22=0,0,1000000*S22/TrRoad_act!S61)</f>
        <v>363.1838160425973</v>
      </c>
      <c r="T118" s="87">
        <f>IF(T22=0,0,1000000*T22/TrRoad_act!T61)</f>
        <v>348.74204695726218</v>
      </c>
      <c r="U118" s="87">
        <f>IF(U22=0,0,1000000*U22/TrRoad_act!U61)</f>
        <v>351.83763350520184</v>
      </c>
      <c r="V118" s="87">
        <f>IF(V22=0,0,1000000*V22/TrRoad_act!V61)</f>
        <v>343.22361119670484</v>
      </c>
      <c r="W118" s="87">
        <f>IF(W22=0,0,1000000*W22/TrRoad_act!W61)</f>
        <v>375.08379019484164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881.08029122465814</v>
      </c>
      <c r="C119" s="87">
        <f>IF(C24=0,0,1000000*C24/TrRoad_act!C62)</f>
        <v>1111.9572343499608</v>
      </c>
      <c r="D119" s="87">
        <f>IF(D24=0,0,1000000*D24/TrRoad_act!D62)</f>
        <v>922.24873924172914</v>
      </c>
      <c r="E119" s="87">
        <f>IF(E24=0,0,1000000*E24/TrRoad_act!E62)</f>
        <v>1061.6710336123135</v>
      </c>
      <c r="F119" s="87">
        <f>IF(F24=0,0,1000000*F24/TrRoad_act!F62)</f>
        <v>1092.8603380050126</v>
      </c>
      <c r="G119" s="87">
        <f>IF(G24=0,0,1000000*G24/TrRoad_act!G62)</f>
        <v>1341.8892661457273</v>
      </c>
      <c r="H119" s="87">
        <f>IF(H24=0,0,1000000*H24/TrRoad_act!H62)</f>
        <v>1158.234006338618</v>
      </c>
      <c r="I119" s="87">
        <f>IF(I24=0,0,1000000*I24/TrRoad_act!I62)</f>
        <v>919.5633161631315</v>
      </c>
      <c r="J119" s="87">
        <f>IF(J24=0,0,1000000*J24/TrRoad_act!J62)</f>
        <v>996.25978765982472</v>
      </c>
      <c r="K119" s="87">
        <f>IF(K24=0,0,1000000*K24/TrRoad_act!K62)</f>
        <v>880.84584084102676</v>
      </c>
      <c r="L119" s="87">
        <f>IF(L24=0,0,1000000*L24/TrRoad_act!L62)</f>
        <v>908.78815336550508</v>
      </c>
      <c r="M119" s="87">
        <f>IF(M24=0,0,1000000*M24/TrRoad_act!M62)</f>
        <v>774.85258955293023</v>
      </c>
      <c r="N119" s="87">
        <f>IF(N24=0,0,1000000*N24/TrRoad_act!N62)</f>
        <v>908.67347848722181</v>
      </c>
      <c r="O119" s="87">
        <f>IF(O24=0,0,1000000*O24/TrRoad_act!O62)</f>
        <v>746.60722321736228</v>
      </c>
      <c r="P119" s="87">
        <f>IF(P24=0,0,1000000*P24/TrRoad_act!P62)</f>
        <v>899.23431711128262</v>
      </c>
      <c r="Q119" s="87">
        <f>IF(Q24=0,0,1000000*Q24/TrRoad_act!Q62)</f>
        <v>1020.8199724223042</v>
      </c>
      <c r="R119" s="87">
        <f>IF(R24=0,0,1000000*R24/TrRoad_act!R62)</f>
        <v>1066.9566787375284</v>
      </c>
      <c r="S119" s="87">
        <f>IF(S24=0,0,1000000*S24/TrRoad_act!S62)</f>
        <v>1114.4822575589014</v>
      </c>
      <c r="T119" s="87">
        <f>IF(T24=0,0,1000000*T24/TrRoad_act!T62)</f>
        <v>1164.5101176953112</v>
      </c>
      <c r="U119" s="87">
        <f>IF(U24=0,0,1000000*U24/TrRoad_act!U62)</f>
        <v>1263.0407952995035</v>
      </c>
      <c r="V119" s="87">
        <f>IF(V24=0,0,1000000*V24/TrRoad_act!V62)</f>
        <v>1070.2806106585599</v>
      </c>
      <c r="W119" s="87">
        <f>IF(W24=0,0,1000000*W24/TrRoad_act!W62)</f>
        <v>1175.357993130169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890.23594153052443</v>
      </c>
      <c r="C120" s="87">
        <f>IF(C26=0,0,1000000*C26/TrRoad_act!C63)</f>
        <v>865.75282165551175</v>
      </c>
      <c r="D120" s="87">
        <f>IF(D26=0,0,1000000*D26/TrRoad_act!D63)</f>
        <v>853.33239636939675</v>
      </c>
      <c r="E120" s="87">
        <f>IF(E26=0,0,1000000*E26/TrRoad_act!E63)</f>
        <v>847.74676006106176</v>
      </c>
      <c r="F120" s="87">
        <f>IF(F26=0,0,1000000*F26/TrRoad_act!F63)</f>
        <v>820.11664137482933</v>
      </c>
      <c r="G120" s="87">
        <f>IF(G26=0,0,1000000*G26/TrRoad_act!G63)</f>
        <v>807.52511151985141</v>
      </c>
      <c r="H120" s="87">
        <f>IF(H26=0,0,1000000*H26/TrRoad_act!H63)</f>
        <v>803.8453557912228</v>
      </c>
      <c r="I120" s="87">
        <f>IF(I26=0,0,1000000*I26/TrRoad_act!I63)</f>
        <v>706.12843647210184</v>
      </c>
      <c r="J120" s="87">
        <f>IF(J26=0,0,1000000*J26/TrRoad_act!J63)</f>
        <v>713.60045195425334</v>
      </c>
      <c r="K120" s="87">
        <f>IF(K26=0,0,1000000*K26/TrRoad_act!K63)</f>
        <v>816.7813484607799</v>
      </c>
      <c r="L120" s="87">
        <f>IF(L26=0,0,1000000*L26/TrRoad_act!L63)</f>
        <v>738.72535543592267</v>
      </c>
      <c r="M120" s="87">
        <f>IF(M26=0,0,1000000*M26/TrRoad_act!M63)</f>
        <v>743.68772373971308</v>
      </c>
      <c r="N120" s="87">
        <f>IF(N26=0,0,1000000*N26/TrRoad_act!N63)</f>
        <v>739.3791548976742</v>
      </c>
      <c r="O120" s="87">
        <f>IF(O26=0,0,1000000*O26/TrRoad_act!O63)</f>
        <v>734.11155707299395</v>
      </c>
      <c r="P120" s="87">
        <f>IF(P26=0,0,1000000*P26/TrRoad_act!P63)</f>
        <v>727.73565569121399</v>
      </c>
      <c r="Q120" s="87">
        <f>IF(Q26=0,0,1000000*Q26/TrRoad_act!Q63)</f>
        <v>723.09763395192454</v>
      </c>
      <c r="R120" s="87">
        <f>IF(R26=0,0,1000000*R26/TrRoad_act!R63)</f>
        <v>723.67390895294682</v>
      </c>
      <c r="S120" s="87">
        <f>IF(S26=0,0,1000000*S26/TrRoad_act!S63)</f>
        <v>721.91331689346805</v>
      </c>
      <c r="T120" s="87">
        <f>IF(T26=0,0,1000000*T26/TrRoad_act!T63)</f>
        <v>720.5561879619604</v>
      </c>
      <c r="U120" s="87">
        <f>IF(U26=0,0,1000000*U26/TrRoad_act!U63)</f>
        <v>721.94202663278577</v>
      </c>
      <c r="V120" s="87">
        <f>IF(V26=0,0,1000000*V26/TrRoad_act!V63)</f>
        <v>719.60275796433268</v>
      </c>
      <c r="W120" s="87">
        <f>IF(W26=0,0,1000000*W26/TrRoad_act!W63)</f>
        <v>731.74920694859316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797.84344701919474</v>
      </c>
      <c r="G121" s="87">
        <f>IF(G27=0,0,1000000*G27/TrRoad_act!G64)</f>
        <v>791.89374300426289</v>
      </c>
      <c r="H121" s="87">
        <f>IF(H27=0,0,1000000*H27/TrRoad_act!H64)</f>
        <v>789.0892008501279</v>
      </c>
      <c r="I121" s="87">
        <f>IF(I27=0,0,1000000*I27/TrRoad_act!I64)</f>
        <v>781.78370556706602</v>
      </c>
      <c r="J121" s="87">
        <f>IF(J27=0,0,1000000*J27/TrRoad_act!J64)</f>
        <v>781.4073731151243</v>
      </c>
      <c r="K121" s="87">
        <f>IF(K27=0,0,1000000*K27/TrRoad_act!K64)</f>
        <v>754.05227701607578</v>
      </c>
      <c r="L121" s="87">
        <f>IF(L27=0,0,1000000*L27/TrRoad_act!L64)</f>
        <v>665.79310105359809</v>
      </c>
      <c r="M121" s="87">
        <f>IF(M27=0,0,1000000*M27/TrRoad_act!M64)</f>
        <v>652.4590671830972</v>
      </c>
      <c r="N121" s="87">
        <f>IF(N27=0,0,1000000*N27/TrRoad_act!N64)</f>
        <v>645.28048951655069</v>
      </c>
      <c r="O121" s="87">
        <f>IF(O27=0,0,1000000*O27/TrRoad_act!O64)</f>
        <v>642.42353994386258</v>
      </c>
      <c r="P121" s="87">
        <f>IF(P27=0,0,1000000*P27/TrRoad_act!P64)</f>
        <v>624.35870451382414</v>
      </c>
      <c r="Q121" s="87">
        <f>IF(Q27=0,0,1000000*Q27/TrRoad_act!Q64)</f>
        <v>611.67425683145427</v>
      </c>
      <c r="R121" s="87">
        <f>IF(R27=0,0,1000000*R27/TrRoad_act!R64)</f>
        <v>604.73134837209466</v>
      </c>
      <c r="S121" s="87">
        <f>IF(S27=0,0,1000000*S27/TrRoad_act!S64)</f>
        <v>602.73175253755642</v>
      </c>
      <c r="T121" s="87">
        <f>IF(T27=0,0,1000000*T27/TrRoad_act!T64)</f>
        <v>596.35897235560833</v>
      </c>
      <c r="U121" s="87">
        <f>IF(U27=0,0,1000000*U27/TrRoad_act!U64)</f>
        <v>585.59088348410796</v>
      </c>
      <c r="V121" s="87">
        <f>IF(V27=0,0,1000000*V27/TrRoad_act!V64)</f>
        <v>580.47668366828509</v>
      </c>
      <c r="W121" s="87">
        <f>IF(W27=0,0,1000000*W27/TrRoad_act!W64)</f>
        <v>580.37618161266164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263.40736594698245</v>
      </c>
      <c r="O122" s="87">
        <f>IF(O29=0,0,1000000*O29/TrRoad_act!O65)</f>
        <v>212.77227369502634</v>
      </c>
      <c r="P122" s="87">
        <f>IF(P29=0,0,1000000*P29/TrRoad_act!P65)</f>
        <v>305.47244254142907</v>
      </c>
      <c r="Q122" s="87">
        <f>IF(Q29=0,0,1000000*Q29/TrRoad_act!Q65)</f>
        <v>373.81072147866729</v>
      </c>
      <c r="R122" s="87">
        <f>IF(R29=0,0,1000000*R29/TrRoad_act!R65)</f>
        <v>367.2976522259878</v>
      </c>
      <c r="S122" s="87">
        <f>IF(S29=0,0,1000000*S29/TrRoad_act!S65)</f>
        <v>385.6552988298638</v>
      </c>
      <c r="T122" s="87">
        <f>IF(T29=0,0,1000000*T29/TrRoad_act!T65)</f>
        <v>385.83951550541298</v>
      </c>
      <c r="U122" s="87">
        <f>IF(U29=0,0,1000000*U29/TrRoad_act!U65)</f>
        <v>451.14159369800717</v>
      </c>
      <c r="V122" s="87">
        <f>IF(V29=0,0,1000000*V29/TrRoad_act!V65)</f>
        <v>421.40063690638306</v>
      </c>
      <c r="W122" s="87">
        <f>IF(W29=0,0,1000000*W29/TrRoad_act!W65)</f>
        <v>488.34108456240489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0</v>
      </c>
      <c r="P123" s="87">
        <f>IF(P32=0,0,1000000*P32/TrRoad_act!P66)</f>
        <v>0</v>
      </c>
      <c r="Q123" s="87">
        <f>IF(Q32=0,0,1000000*Q32/TrRoad_act!Q66)</f>
        <v>0</v>
      </c>
      <c r="R123" s="87">
        <f>IF(R32=0,0,1000000*R32/TrRoad_act!R66)</f>
        <v>122.56527765591062</v>
      </c>
      <c r="S123" s="87">
        <f>IF(S32=0,0,1000000*S32/TrRoad_act!S66)</f>
        <v>117.32815747855517</v>
      </c>
      <c r="T123" s="87">
        <f>IF(T32=0,0,1000000*T32/TrRoad_act!T66)</f>
        <v>125.1273667807817</v>
      </c>
      <c r="U123" s="87">
        <f>IF(U32=0,0,1000000*U32/TrRoad_act!U66)</f>
        <v>138.41646662709175</v>
      </c>
      <c r="V123" s="87">
        <f>IF(V32=0,0,1000000*V32/TrRoad_act!V66)</f>
        <v>144.59495801889904</v>
      </c>
      <c r="W123" s="87">
        <f>IF(W32=0,0,1000000*W32/TrRoad_act!W66)</f>
        <v>149.98844652022751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22545.744323542898</v>
      </c>
      <c r="C124" s="116">
        <f>IF(C33=0,0,1000000*C33/TrRoad_act!C67)</f>
        <v>22185.086751693547</v>
      </c>
      <c r="D124" s="116">
        <f>IF(D33=0,0,1000000*D33/TrRoad_act!D67)</f>
        <v>21539.141971938414</v>
      </c>
      <c r="E124" s="116">
        <f>IF(E33=0,0,1000000*E33/TrRoad_act!E67)</f>
        <v>19675.831896711898</v>
      </c>
      <c r="F124" s="116">
        <f>IF(F33=0,0,1000000*F33/TrRoad_act!F67)</f>
        <v>19071.379503104647</v>
      </c>
      <c r="G124" s="116">
        <f>IF(G33=0,0,1000000*G33/TrRoad_act!G67)</f>
        <v>18596.56714312519</v>
      </c>
      <c r="H124" s="116">
        <f>IF(H33=0,0,1000000*H33/TrRoad_act!H67)</f>
        <v>18484.573651642619</v>
      </c>
      <c r="I124" s="116">
        <f>IF(I33=0,0,1000000*I33/TrRoad_act!I67)</f>
        <v>18824.192923944491</v>
      </c>
      <c r="J124" s="116">
        <f>IF(J33=0,0,1000000*J33/TrRoad_act!J67)</f>
        <v>18595.484737969753</v>
      </c>
      <c r="K124" s="116">
        <f>IF(K33=0,0,1000000*K33/TrRoad_act!K67)</f>
        <v>18269.362174492988</v>
      </c>
      <c r="L124" s="116">
        <f>IF(L33=0,0,1000000*L33/TrRoad_act!L67)</f>
        <v>16531.856735600995</v>
      </c>
      <c r="M124" s="116">
        <f>IF(M33=0,0,1000000*M33/TrRoad_act!M67)</f>
        <v>17933.688621762485</v>
      </c>
      <c r="N124" s="116">
        <f>IF(N33=0,0,1000000*N33/TrRoad_act!N67)</f>
        <v>16419.413019044936</v>
      </c>
      <c r="O124" s="116">
        <f>IF(O33=0,0,1000000*O33/TrRoad_act!O67)</f>
        <v>14724.186924936968</v>
      </c>
      <c r="P124" s="116">
        <f>IF(P33=0,0,1000000*P33/TrRoad_act!P67)</f>
        <v>14333.754191771392</v>
      </c>
      <c r="Q124" s="116">
        <f>IF(Q33=0,0,1000000*Q33/TrRoad_act!Q67)</f>
        <v>15337.037572214687</v>
      </c>
      <c r="R124" s="116">
        <f>IF(R33=0,0,1000000*R33/TrRoad_act!R67)</f>
        <v>15057.530760870568</v>
      </c>
      <c r="S124" s="116">
        <f>IF(S33=0,0,1000000*S33/TrRoad_act!S67)</f>
        <v>15441.005292225344</v>
      </c>
      <c r="T124" s="116">
        <f>IF(T33=0,0,1000000*T33/TrRoad_act!T67)</f>
        <v>16175.454521988599</v>
      </c>
      <c r="U124" s="116">
        <f>IF(U33=0,0,1000000*U33/TrRoad_act!U67)</f>
        <v>17947.666533016585</v>
      </c>
      <c r="V124" s="116">
        <f>IF(V33=0,0,1000000*V33/TrRoad_act!V67)</f>
        <v>16630.57781358654</v>
      </c>
      <c r="W124" s="116">
        <f>IF(W33=0,0,1000000*W33/TrRoad_act!W67)</f>
        <v>16510.094241163431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22545.744323542898</v>
      </c>
      <c r="C126" s="101">
        <f>IF(C36=0,0,1000000*C36/TrRoad_act!C69)</f>
        <v>22185.086751693547</v>
      </c>
      <c r="D126" s="101">
        <f>IF(D36=0,0,1000000*D36/TrRoad_act!D69)</f>
        <v>21539.141971938414</v>
      </c>
      <c r="E126" s="101">
        <f>IF(E36=0,0,1000000*E36/TrRoad_act!E69)</f>
        <v>19675.831896711898</v>
      </c>
      <c r="F126" s="101">
        <f>IF(F36=0,0,1000000*F36/TrRoad_act!F69)</f>
        <v>19121.33271187454</v>
      </c>
      <c r="G126" s="101">
        <f>IF(G36=0,0,1000000*G36/TrRoad_act!G69)</f>
        <v>18743.867902901027</v>
      </c>
      <c r="H126" s="101">
        <f>IF(H36=0,0,1000000*H36/TrRoad_act!H69)</f>
        <v>18773.35933893071</v>
      </c>
      <c r="I126" s="101">
        <f>IF(I36=0,0,1000000*I36/TrRoad_act!I69)</f>
        <v>19178.194705692669</v>
      </c>
      <c r="J126" s="101">
        <f>IF(J36=0,0,1000000*J36/TrRoad_act!J69)</f>
        <v>18978.25227846991</v>
      </c>
      <c r="K126" s="101">
        <f>IF(K36=0,0,1000000*K36/TrRoad_act!K69)</f>
        <v>18630.999393431997</v>
      </c>
      <c r="L126" s="101">
        <f>IF(L36=0,0,1000000*L36/TrRoad_act!L69)</f>
        <v>16762.074558854179</v>
      </c>
      <c r="M126" s="101">
        <f>IF(M36=0,0,1000000*M36/TrRoad_act!M69)</f>
        <v>18210.520270200741</v>
      </c>
      <c r="N126" s="101">
        <f>IF(N36=0,0,1000000*N36/TrRoad_act!N69)</f>
        <v>16551.629300612341</v>
      </c>
      <c r="O126" s="101">
        <f>IF(O36=0,0,1000000*O36/TrRoad_act!O69)</f>
        <v>15670.135006748134</v>
      </c>
      <c r="P126" s="101">
        <f>IF(P36=0,0,1000000*P36/TrRoad_act!P69)</f>
        <v>16101.893050716886</v>
      </c>
      <c r="Q126" s="101">
        <f>IF(Q36=0,0,1000000*Q36/TrRoad_act!Q69)</f>
        <v>16838.140751044091</v>
      </c>
      <c r="R126" s="101">
        <f>IF(R36=0,0,1000000*R36/TrRoad_act!R69)</f>
        <v>16358.222389647855</v>
      </c>
      <c r="S126" s="101">
        <f>IF(S36=0,0,1000000*S36/TrRoad_act!S69)</f>
        <v>16979.540547274231</v>
      </c>
      <c r="T126" s="101">
        <f>IF(T36=0,0,1000000*T36/TrRoad_act!T69)</f>
        <v>17972.769147563195</v>
      </c>
      <c r="U126" s="101">
        <f>IF(U36=0,0,1000000*U36/TrRoad_act!U69)</f>
        <v>20173.919736778196</v>
      </c>
      <c r="V126" s="101">
        <f>IF(V36=0,0,1000000*V36/TrRoad_act!V69)</f>
        <v>19023.533784505318</v>
      </c>
      <c r="W126" s="101">
        <f>IF(W36=0,0,1000000*W36/TrRoad_act!W69)</f>
        <v>18719.641108754164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12562.476400387404</v>
      </c>
      <c r="G128" s="101">
        <f>IF(G39=0,0,1000000*G39/TrRoad_act!G71)</f>
        <v>10624.695522361098</v>
      </c>
      <c r="H128" s="101">
        <f>IF(H39=0,0,1000000*H39/TrRoad_act!H71)</f>
        <v>10321.769703510106</v>
      </c>
      <c r="I128" s="101">
        <f>IF(I39=0,0,1000000*I39/TrRoad_act!I71)</f>
        <v>11904.469524429771</v>
      </c>
      <c r="J128" s="101">
        <f>IF(J39=0,0,1000000*J39/TrRoad_act!J71)</f>
        <v>11850.528040685247</v>
      </c>
      <c r="K128" s="101">
        <f>IF(K39=0,0,1000000*K39/TrRoad_act!K71)</f>
        <v>13453.070045497005</v>
      </c>
      <c r="L128" s="101">
        <f>IF(L39=0,0,1000000*L39/TrRoad_act!L71)</f>
        <v>14432.539668405259</v>
      </c>
      <c r="M128" s="101">
        <f>IF(M39=0,0,1000000*M39/TrRoad_act!M71)</f>
        <v>15279.244261125381</v>
      </c>
      <c r="N128" s="101">
        <f>IF(N39=0,0,1000000*N39/TrRoad_act!N71)</f>
        <v>15303.792650543401</v>
      </c>
      <c r="O128" s="101">
        <f>IF(O39=0,0,1000000*O39/TrRoad_act!O71)</f>
        <v>10144.338366726328</v>
      </c>
      <c r="P128" s="101">
        <f>IF(P39=0,0,1000000*P39/TrRoad_act!P71)</f>
        <v>5744.0758110240104</v>
      </c>
      <c r="Q128" s="101">
        <f>IF(Q39=0,0,1000000*Q39/TrRoad_act!Q71)</f>
        <v>8532.7565603873718</v>
      </c>
      <c r="R128" s="101">
        <f>IF(R39=0,0,1000000*R39/TrRoad_act!R71)</f>
        <v>9146.2184787027181</v>
      </c>
      <c r="S128" s="101">
        <f>IF(S39=0,0,1000000*S39/TrRoad_act!S71)</f>
        <v>9287.8195884998258</v>
      </c>
      <c r="T128" s="101">
        <f>IF(T39=0,0,1000000*T39/TrRoad_act!T71)</f>
        <v>9652.2161135267688</v>
      </c>
      <c r="U128" s="101">
        <f>IF(U39=0,0,1000000*U39/TrRoad_act!U71)</f>
        <v>11100.133815750536</v>
      </c>
      <c r="V128" s="101">
        <f>IF(V39=0,0,1000000*V39/TrRoad_act!V71)</f>
        <v>9273.3646122053233</v>
      </c>
      <c r="W128" s="101">
        <f>IF(W39=0,0,1000000*W39/TrRoad_act!W71)</f>
        <v>10532.891859010551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9880.454763208214</v>
      </c>
      <c r="K129" s="101">
        <f>IF(K41=0,0,1000000*K41/TrRoad_act!K72)</f>
        <v>9902.175140838066</v>
      </c>
      <c r="L129" s="101">
        <f>IF(L41=0,0,1000000*L41/TrRoad_act!L72)</f>
        <v>9972.7584323474803</v>
      </c>
      <c r="M129" s="101">
        <f>IF(M41=0,0,1000000*M41/TrRoad_act!M72)</f>
        <v>10021.593177361103</v>
      </c>
      <c r="N129" s="101">
        <f>IF(N41=0,0,1000000*N41/TrRoad_act!N72)</f>
        <v>10080.02637919844</v>
      </c>
      <c r="O129" s="101">
        <f>IF(O41=0,0,1000000*O41/TrRoad_act!O72)</f>
        <v>10249.030471952481</v>
      </c>
      <c r="P129" s="101">
        <f>IF(P41=0,0,1000000*P41/TrRoad_act!P72)</f>
        <v>10285.001556604851</v>
      </c>
      <c r="Q129" s="101">
        <f>IF(Q41=0,0,1000000*Q41/TrRoad_act!Q72)</f>
        <v>10309.165306652172</v>
      </c>
      <c r="R129" s="101">
        <f>IF(R41=0,0,1000000*R41/TrRoad_act!R72)</f>
        <v>10288.022115461647</v>
      </c>
      <c r="S129" s="101">
        <f>IF(S41=0,0,1000000*S41/TrRoad_act!S72)</f>
        <v>10273.943778730496</v>
      </c>
      <c r="T129" s="101">
        <f>IF(T41=0,0,1000000*T41/TrRoad_act!T72)</f>
        <v>10254.371955376944</v>
      </c>
      <c r="U129" s="101">
        <f>IF(U41=0,0,1000000*U41/TrRoad_act!U72)</f>
        <v>10207.828262744135</v>
      </c>
      <c r="V129" s="101">
        <f>IF(V41=0,0,1000000*V41/TrRoad_act!V72)</f>
        <v>9743.4499176798508</v>
      </c>
      <c r="W129" s="101">
        <f>IF(W41=0,0,1000000*W41/TrRoad_act!W72)</f>
        <v>10187.488193257941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906.26377371078968</v>
      </c>
      <c r="C131" s="152">
        <f>IF(C43=0,0,1000000*C43/TrRoad_act!C74)</f>
        <v>933.78144682946072</v>
      </c>
      <c r="D131" s="152">
        <f>IF(D43=0,0,1000000*D43/TrRoad_act!D74)</f>
        <v>963.01272844311313</v>
      </c>
      <c r="E131" s="152">
        <f>IF(E43=0,0,1000000*E43/TrRoad_act!E74)</f>
        <v>969.62169758326809</v>
      </c>
      <c r="F131" s="152">
        <f>IF(F43=0,0,1000000*F43/TrRoad_act!F74)</f>
        <v>957.15561500996455</v>
      </c>
      <c r="G131" s="152">
        <f>IF(G43=0,0,1000000*G43/TrRoad_act!G74)</f>
        <v>907.35627460998978</v>
      </c>
      <c r="H131" s="152">
        <f>IF(H43=0,0,1000000*H43/TrRoad_act!H74)</f>
        <v>853.0857406593276</v>
      </c>
      <c r="I131" s="152">
        <f>IF(I43=0,0,1000000*I43/TrRoad_act!I74)</f>
        <v>817.65348548158511</v>
      </c>
      <c r="J131" s="152">
        <f>IF(J43=0,0,1000000*J43/TrRoad_act!J74)</f>
        <v>824.89713762028782</v>
      </c>
      <c r="K131" s="152">
        <f>IF(K43=0,0,1000000*K43/TrRoad_act!K74)</f>
        <v>786.3688585510082</v>
      </c>
      <c r="L131" s="152">
        <f>IF(L43=0,0,1000000*L43/TrRoad_act!L74)</f>
        <v>783.06351643628147</v>
      </c>
      <c r="M131" s="152">
        <f>IF(M43=0,0,1000000*M43/TrRoad_act!M74)</f>
        <v>789.92147705738103</v>
      </c>
      <c r="N131" s="152">
        <f>IF(N43=0,0,1000000*N43/TrRoad_act!N74)</f>
        <v>816.70310596374327</v>
      </c>
      <c r="O131" s="152">
        <f>IF(O43=0,0,1000000*O43/TrRoad_act!O74)</f>
        <v>812.28701581835685</v>
      </c>
      <c r="P131" s="152">
        <f>IF(P43=0,0,1000000*P43/TrRoad_act!P74)</f>
        <v>839.99557256739604</v>
      </c>
      <c r="Q131" s="152">
        <f>IF(Q43=0,0,1000000*Q43/TrRoad_act!Q74)</f>
        <v>868.98346495588521</v>
      </c>
      <c r="R131" s="152">
        <f>IF(R43=0,0,1000000*R43/TrRoad_act!R74)</f>
        <v>872.76138017436904</v>
      </c>
      <c r="S131" s="152">
        <f>IF(S43=0,0,1000000*S43/TrRoad_act!S74)</f>
        <v>885.47348746059004</v>
      </c>
      <c r="T131" s="152">
        <f>IF(T43=0,0,1000000*T43/TrRoad_act!T74)</f>
        <v>906.80147652220069</v>
      </c>
      <c r="U131" s="152">
        <f>IF(U43=0,0,1000000*U43/TrRoad_act!U74)</f>
        <v>933.05090384906123</v>
      </c>
      <c r="V131" s="152">
        <f>IF(V43=0,0,1000000*V43/TrRoad_act!V74)</f>
        <v>963.46249041171302</v>
      </c>
      <c r="W131" s="152">
        <f>IF(W43=0,0,1000000*W43/TrRoad_act!W74)</f>
        <v>999.42515903192771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779.00983715871075</v>
      </c>
      <c r="C132" s="87">
        <f>IF(C44=0,0,1000000*C44/TrRoad_act!C75)</f>
        <v>792.0121831172271</v>
      </c>
      <c r="D132" s="87">
        <f>IF(D44=0,0,1000000*D44/TrRoad_act!D75)</f>
        <v>806.1903952128132</v>
      </c>
      <c r="E132" s="87">
        <f>IF(E44=0,0,1000000*E44/TrRoad_act!E75)</f>
        <v>822.50901669356767</v>
      </c>
      <c r="F132" s="87">
        <f>IF(F44=0,0,1000000*F44/TrRoad_act!F75)</f>
        <v>842.98192614570246</v>
      </c>
      <c r="G132" s="87">
        <f>IF(G44=0,0,1000000*G44/TrRoad_act!G75)</f>
        <v>810.12245108128911</v>
      </c>
      <c r="H132" s="87">
        <f>IF(H44=0,0,1000000*H44/TrRoad_act!H75)</f>
        <v>786.96225825037197</v>
      </c>
      <c r="I132" s="87">
        <f>IF(I44=0,0,1000000*I44/TrRoad_act!I75)</f>
        <v>771.90738252877156</v>
      </c>
      <c r="J132" s="87">
        <f>IF(J44=0,0,1000000*J44/TrRoad_act!J75)</f>
        <v>789.85661046378812</v>
      </c>
      <c r="K132" s="87">
        <f>IF(K44=0,0,1000000*K44/TrRoad_act!K75)</f>
        <v>762.18178655663201</v>
      </c>
      <c r="L132" s="87">
        <f>IF(L44=0,0,1000000*L44/TrRoad_act!L75)</f>
        <v>757.4451834366165</v>
      </c>
      <c r="M132" s="87">
        <f>IF(M44=0,0,1000000*M44/TrRoad_act!M75)</f>
        <v>766.82876466693085</v>
      </c>
      <c r="N132" s="87">
        <f>IF(N44=0,0,1000000*N44/TrRoad_act!N75)</f>
        <v>765.51502714739286</v>
      </c>
      <c r="O132" s="87">
        <f>IF(O44=0,0,1000000*O44/TrRoad_act!O75)</f>
        <v>751.79997197445027</v>
      </c>
      <c r="P132" s="87">
        <f>IF(P44=0,0,1000000*P44/TrRoad_act!P75)</f>
        <v>730.92026505988747</v>
      </c>
      <c r="Q132" s="87">
        <f>IF(Q44=0,0,1000000*Q44/TrRoad_act!Q75)</f>
        <v>721.74273805447183</v>
      </c>
      <c r="R132" s="87">
        <f>IF(R44=0,0,1000000*R44/TrRoad_act!R75)</f>
        <v>700.33049651080262</v>
      </c>
      <c r="S132" s="87">
        <f>IF(S44=0,0,1000000*S44/TrRoad_act!S75)</f>
        <v>683.45491817850473</v>
      </c>
      <c r="T132" s="87">
        <f>IF(T44=0,0,1000000*T44/TrRoad_act!T75)</f>
        <v>670.15254804174697</v>
      </c>
      <c r="U132" s="87">
        <f>IF(U44=0,0,1000000*U44/TrRoad_act!U75)</f>
        <v>673.38007880429416</v>
      </c>
      <c r="V132" s="87">
        <f>IF(V44=0,0,1000000*V44/TrRoad_act!V75)</f>
        <v>686.86362627648327</v>
      </c>
      <c r="W132" s="87">
        <f>IF(W44=0,0,1000000*W44/TrRoad_act!W75)</f>
        <v>702.10479412741893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953.90731772934134</v>
      </c>
      <c r="C133" s="87">
        <f>IF(C46=0,0,1000000*C46/TrRoad_act!C76)</f>
        <v>991.63026649681399</v>
      </c>
      <c r="D133" s="87">
        <f>IF(D46=0,0,1000000*D46/TrRoad_act!D76)</f>
        <v>1028.2792366394576</v>
      </c>
      <c r="E133" s="87">
        <f>IF(E46=0,0,1000000*E46/TrRoad_act!E76)</f>
        <v>1026.5994602208075</v>
      </c>
      <c r="F133" s="87">
        <f>IF(F46=0,0,1000000*F46/TrRoad_act!F76)</f>
        <v>994.28340981719418</v>
      </c>
      <c r="G133" s="87">
        <f>IF(G46=0,0,1000000*G46/TrRoad_act!G76)</f>
        <v>937.72397863462118</v>
      </c>
      <c r="H133" s="87">
        <f>IF(H46=0,0,1000000*H46/TrRoad_act!H76)</f>
        <v>868.51710800523153</v>
      </c>
      <c r="I133" s="87">
        <f>IF(I46=0,0,1000000*I46/TrRoad_act!I76)</f>
        <v>825.71474792183471</v>
      </c>
      <c r="J133" s="87">
        <f>IF(J46=0,0,1000000*J46/TrRoad_act!J76)</f>
        <v>829.75577921995432</v>
      </c>
      <c r="K133" s="87">
        <f>IF(K46=0,0,1000000*K46/TrRoad_act!K76)</f>
        <v>789.12321656825122</v>
      </c>
      <c r="L133" s="87">
        <f>IF(L46=0,0,1000000*L46/TrRoad_act!L76)</f>
        <v>785.29557740474183</v>
      </c>
      <c r="M133" s="87">
        <f>IF(M46=0,0,1000000*M46/TrRoad_act!M76)</f>
        <v>791.8837649993884</v>
      </c>
      <c r="N133" s="87">
        <f>IF(N46=0,0,1000000*N46/TrRoad_act!N76)</f>
        <v>820.82238715720416</v>
      </c>
      <c r="O133" s="87">
        <f>IF(O46=0,0,1000000*O46/TrRoad_act!O76)</f>
        <v>816.8259397588514</v>
      </c>
      <c r="P133" s="87">
        <f>IF(P46=0,0,1000000*P46/TrRoad_act!P76)</f>
        <v>847.49249413728535</v>
      </c>
      <c r="Q133" s="87">
        <f>IF(Q46=0,0,1000000*Q46/TrRoad_act!Q76)</f>
        <v>880.36583033652573</v>
      </c>
      <c r="R133" s="87">
        <f>IF(R46=0,0,1000000*R46/TrRoad_act!R76)</f>
        <v>886.61914514844614</v>
      </c>
      <c r="S133" s="87">
        <f>IF(S46=0,0,1000000*S46/TrRoad_act!S76)</f>
        <v>905.58605953142376</v>
      </c>
      <c r="T133" s="87">
        <f>IF(T46=0,0,1000000*T46/TrRoad_act!T76)</f>
        <v>932.45512736245882</v>
      </c>
      <c r="U133" s="87">
        <f>IF(U46=0,0,1000000*U46/TrRoad_act!U76)</f>
        <v>963.22553015135884</v>
      </c>
      <c r="V133" s="87">
        <f>IF(V46=0,0,1000000*V46/TrRoad_act!V76)</f>
        <v>998.17931615719385</v>
      </c>
      <c r="W133" s="87">
        <f>IF(W46=0,0,1000000*W46/TrRoad_act!W76)</f>
        <v>1040.4268586429284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896.25986949777359</v>
      </c>
      <c r="S134" s="87">
        <f>IF(S48=0,0,1000000*S48/TrRoad_act!S77)</f>
        <v>811.73676957284908</v>
      </c>
      <c r="T134" s="87">
        <f>IF(T48=0,0,1000000*T48/TrRoad_act!T77)</f>
        <v>806.13636354452558</v>
      </c>
      <c r="U134" s="87">
        <f>IF(U48=0,0,1000000*U48/TrRoad_act!U77)</f>
        <v>820.76468230676323</v>
      </c>
      <c r="V134" s="87">
        <f>IF(V48=0,0,1000000*V48/TrRoad_act!V77)</f>
        <v>810.21922078936984</v>
      </c>
      <c r="W134" s="87">
        <f>IF(W48=0,0,1000000*W48/TrRoad_act!W77)</f>
        <v>800.29315901212874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515.40850139610916</v>
      </c>
      <c r="S135" s="87">
        <f>IF(S49=0,0,1000000*S49/TrRoad_act!S78)</f>
        <v>542.80474477793962</v>
      </c>
      <c r="T135" s="87">
        <f>IF(T49=0,0,1000000*T49/TrRoad_act!T78)</f>
        <v>582.69421499788905</v>
      </c>
      <c r="U135" s="87">
        <f>IF(U49=0,0,1000000*U49/TrRoad_act!U78)</f>
        <v>598.28375733885605</v>
      </c>
      <c r="V135" s="87">
        <f>IF(V49=0,0,1000000*V49/TrRoad_act!V78)</f>
        <v>674.94636888746152</v>
      </c>
      <c r="W135" s="87">
        <f>IF(W49=0,0,1000000*W49/TrRoad_act!W78)</f>
        <v>722.48817843006145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112.25279751632654</v>
      </c>
      <c r="O136" s="87">
        <f>IF(O51=0,0,1000000*O51/TrRoad_act!O79)</f>
        <v>112.44375689145019</v>
      </c>
      <c r="P136" s="87">
        <f>IF(P51=0,0,1000000*P51/TrRoad_act!P79)</f>
        <v>112.76389784080384</v>
      </c>
      <c r="Q136" s="87">
        <f>IF(Q51=0,0,1000000*Q51/TrRoad_act!Q79)</f>
        <v>115.96140420866189</v>
      </c>
      <c r="R136" s="87">
        <f>IF(R51=0,0,1000000*R51/TrRoad_act!R79)</f>
        <v>119.49748177354061</v>
      </c>
      <c r="S136" s="87">
        <f>IF(S51=0,0,1000000*S51/TrRoad_act!S79)</f>
        <v>120.91139504543351</v>
      </c>
      <c r="T136" s="87">
        <f>IF(T51=0,0,1000000*T51/TrRoad_act!T79)</f>
        <v>120.87606227063154</v>
      </c>
      <c r="U136" s="87">
        <f>IF(U51=0,0,1000000*U51/TrRoad_act!U79)</f>
        <v>127.74085199156136</v>
      </c>
      <c r="V136" s="87">
        <f>IF(V51=0,0,1000000*V51/TrRoad_act!V79)</f>
        <v>131.44742333252603</v>
      </c>
      <c r="W136" s="87">
        <f>IF(W51=0,0,1000000*W51/TrRoad_act!W79)</f>
        <v>155.94391187308798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10409.194647351162</v>
      </c>
      <c r="C137" s="116">
        <f>IF(C52=0,0,1000000*C52/TrRoad_act!C80)</f>
        <v>11384.894505819793</v>
      </c>
      <c r="D137" s="116">
        <f>IF(D52=0,0,1000000*D52/TrRoad_act!D80)</f>
        <v>9519.4181656214223</v>
      </c>
      <c r="E137" s="116">
        <f>IF(E52=0,0,1000000*E52/TrRoad_act!E80)</f>
        <v>10971.910871778891</v>
      </c>
      <c r="F137" s="116">
        <f>IF(F52=0,0,1000000*F52/TrRoad_act!F80)</f>
        <v>9931.0256739521355</v>
      </c>
      <c r="G137" s="116">
        <f>IF(G52=0,0,1000000*G52/TrRoad_act!G80)</f>
        <v>10563.539315562173</v>
      </c>
      <c r="H137" s="116">
        <f>IF(H52=0,0,1000000*H52/TrRoad_act!H80)</f>
        <v>9627.2295957095776</v>
      </c>
      <c r="I137" s="116">
        <f>IF(I52=0,0,1000000*I52/TrRoad_act!I80)</f>
        <v>8455.129630676116</v>
      </c>
      <c r="J137" s="116">
        <f>IF(J52=0,0,1000000*J52/TrRoad_act!J80)</f>
        <v>8236.489073616347</v>
      </c>
      <c r="K137" s="116">
        <f>IF(K52=0,0,1000000*K52/TrRoad_act!K80)</f>
        <v>7159.6391371574309</v>
      </c>
      <c r="L137" s="116">
        <f>IF(L52=0,0,1000000*L52/TrRoad_act!L80)</f>
        <v>7143.5420694980776</v>
      </c>
      <c r="M137" s="116">
        <f>IF(M52=0,0,1000000*M52/TrRoad_act!M80)</f>
        <v>7187.9406707653216</v>
      </c>
      <c r="N137" s="116">
        <f>IF(N52=0,0,1000000*N52/TrRoad_act!N80)</f>
        <v>7731.271275591228</v>
      </c>
      <c r="O137" s="116">
        <f>IF(O52=0,0,1000000*O52/TrRoad_act!O80)</f>
        <v>6847.7937926481045</v>
      </c>
      <c r="P137" s="116">
        <f>IF(P52=0,0,1000000*P52/TrRoad_act!P80)</f>
        <v>7954.2487906338329</v>
      </c>
      <c r="Q137" s="116">
        <f>IF(Q52=0,0,1000000*Q52/TrRoad_act!Q80)</f>
        <v>8676.4368602888953</v>
      </c>
      <c r="R137" s="116">
        <f>IF(R52=0,0,1000000*R52/TrRoad_act!R80)</f>
        <v>8165.6734943687843</v>
      </c>
      <c r="S137" s="116">
        <f>IF(S52=0,0,1000000*S52/TrRoad_act!S80)</f>
        <v>8105.2406463801117</v>
      </c>
      <c r="T137" s="116">
        <f>IF(T52=0,0,1000000*T52/TrRoad_act!T80)</f>
        <v>6195.3983589348081</v>
      </c>
      <c r="U137" s="116">
        <f>IF(U52=0,0,1000000*U52/TrRoad_act!U80)</f>
        <v>4486.7673841297719</v>
      </c>
      <c r="V137" s="116">
        <f>IF(V52=0,0,1000000*V52/TrRoad_act!V80)</f>
        <v>5279.5000882913801</v>
      </c>
      <c r="W137" s="116">
        <f>IF(W52=0,0,1000000*W52/TrRoad_act!W80)</f>
        <v>6133.6151420610404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4782.932198767563</v>
      </c>
      <c r="C138" s="101">
        <f>IF(C53=0,0,1000000*C53/TrRoad_act!C81)</f>
        <v>6238.5965046355486</v>
      </c>
      <c r="D138" s="101">
        <f>IF(D53=0,0,1000000*D53/TrRoad_act!D81)</f>
        <v>4236.3325521504466</v>
      </c>
      <c r="E138" s="101">
        <f>IF(E53=0,0,1000000*E53/TrRoad_act!E81)</f>
        <v>7811.6921871166533</v>
      </c>
      <c r="F138" s="101">
        <f>IF(F53=0,0,1000000*F53/TrRoad_act!F81)</f>
        <v>6751.6928053808015</v>
      </c>
      <c r="G138" s="101">
        <f>IF(G53=0,0,1000000*G53/TrRoad_act!G81)</f>
        <v>7685.080898347489</v>
      </c>
      <c r="H138" s="101">
        <f>IF(H53=0,0,1000000*H53/TrRoad_act!H81)</f>
        <v>7332.9984114521931</v>
      </c>
      <c r="I138" s="101">
        <f>IF(I53=0,0,1000000*I53/TrRoad_act!I81)</f>
        <v>6232.120816212152</v>
      </c>
      <c r="J138" s="101">
        <f>IF(J53=0,0,1000000*J53/TrRoad_act!J81)</f>
        <v>7116.2196981877787</v>
      </c>
      <c r="K138" s="101">
        <f>IF(K53=0,0,1000000*K53/TrRoad_act!K81)</f>
        <v>5983.4894449084641</v>
      </c>
      <c r="L138" s="101">
        <f>IF(L53=0,0,1000000*L53/TrRoad_act!L81)</f>
        <v>5809.7552206411819</v>
      </c>
      <c r="M138" s="101">
        <f>IF(M53=0,0,1000000*M53/TrRoad_act!M81)</f>
        <v>5623.932401665219</v>
      </c>
      <c r="N138" s="101">
        <f>IF(N53=0,0,1000000*N53/TrRoad_act!N81)</f>
        <v>6285.6318209537621</v>
      </c>
      <c r="O138" s="101">
        <f>IF(O53=0,0,1000000*O53/TrRoad_act!O81)</f>
        <v>4847.0660433181592</v>
      </c>
      <c r="P138" s="101">
        <f>IF(P53=0,0,1000000*P53/TrRoad_act!P81)</f>
        <v>6165.3631132325781</v>
      </c>
      <c r="Q138" s="101">
        <f>IF(Q53=0,0,1000000*Q53/TrRoad_act!Q81)</f>
        <v>6738.8553021134676</v>
      </c>
      <c r="R138" s="101">
        <f>IF(R53=0,0,1000000*R53/TrRoad_act!R81)</f>
        <v>6421.7797786392539</v>
      </c>
      <c r="S138" s="101">
        <f>IF(S53=0,0,1000000*S53/TrRoad_act!S81)</f>
        <v>6574.7421785903434</v>
      </c>
      <c r="T138" s="101">
        <f>IF(T53=0,0,1000000*T53/TrRoad_act!T81)</f>
        <v>5025.8514228610529</v>
      </c>
      <c r="U138" s="101">
        <f>IF(U53=0,0,1000000*U53/TrRoad_act!U81)</f>
        <v>3573.8859243404108</v>
      </c>
      <c r="V138" s="101">
        <f>IF(V53=0,0,1000000*V53/TrRoad_act!V81)</f>
        <v>4134.2493590643217</v>
      </c>
      <c r="W138" s="101">
        <f>IF(W53=0,0,1000000*W53/TrRoad_act!W81)</f>
        <v>4910.0982766682737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35117.203541271811</v>
      </c>
      <c r="C139" s="88">
        <f>IF(C55=0,0,1000000*C55/TrRoad_act!C82)</f>
        <v>34084.855316088084</v>
      </c>
      <c r="D139" s="88">
        <f>IF(D55=0,0,1000000*D55/TrRoad_act!D82)</f>
        <v>34243.731187665493</v>
      </c>
      <c r="E139" s="88">
        <f>IF(E55=0,0,1000000*E55/TrRoad_act!E82)</f>
        <v>32488.112700628775</v>
      </c>
      <c r="F139" s="88">
        <f>IF(F55=0,0,1000000*F55/TrRoad_act!F82)</f>
        <v>32258.613319146287</v>
      </c>
      <c r="G139" s="88">
        <f>IF(G55=0,0,1000000*G55/TrRoad_act!G82)</f>
        <v>31521.704214395944</v>
      </c>
      <c r="H139" s="88">
        <f>IF(H55=0,0,1000000*H55/TrRoad_act!H82)</f>
        <v>31675.774898135864</v>
      </c>
      <c r="I139" s="88">
        <f>IF(I55=0,0,1000000*I55/TrRoad_act!I82)</f>
        <v>32083.391831881283</v>
      </c>
      <c r="J139" s="88">
        <f>IF(J55=0,0,1000000*J55/TrRoad_act!J82)</f>
        <v>31313.637753691335</v>
      </c>
      <c r="K139" s="88">
        <f>IF(K55=0,0,1000000*K55/TrRoad_act!K82)</f>
        <v>31710.287447817704</v>
      </c>
      <c r="L139" s="88">
        <f>IF(L55=0,0,1000000*L55/TrRoad_act!L82)</f>
        <v>31693.447618114718</v>
      </c>
      <c r="M139" s="88">
        <f>IF(M55=0,0,1000000*M55/TrRoad_act!M82)</f>
        <v>31884.409440753047</v>
      </c>
      <c r="N139" s="88">
        <f>IF(N55=0,0,1000000*N55/TrRoad_act!N82)</f>
        <v>31440.919487834133</v>
      </c>
      <c r="O139" s="88">
        <f>IF(O55=0,0,1000000*O55/TrRoad_act!O82)</f>
        <v>32483.751360599603</v>
      </c>
      <c r="P139" s="88">
        <f>IF(P55=0,0,1000000*P55/TrRoad_act!P82)</f>
        <v>31570.351100323569</v>
      </c>
      <c r="Q139" s="88">
        <f>IF(Q55=0,0,1000000*Q55/TrRoad_act!Q82)</f>
        <v>31318.971200999087</v>
      </c>
      <c r="R139" s="88">
        <f>IF(R55=0,0,1000000*R55/TrRoad_act!R82)</f>
        <v>31049.184112857798</v>
      </c>
      <c r="S139" s="88">
        <f>IF(S55=0,0,1000000*S55/TrRoad_act!S82)</f>
        <v>30742.323459019437</v>
      </c>
      <c r="T139" s="88">
        <f>IF(T55=0,0,1000000*T55/TrRoad_act!T82)</f>
        <v>30293.101766099389</v>
      </c>
      <c r="U139" s="88">
        <f>IF(U55=0,0,1000000*U55/TrRoad_act!U82)</f>
        <v>29800.179002470286</v>
      </c>
      <c r="V139" s="88">
        <f>IF(V55=0,0,1000000*V55/TrRoad_act!V82)</f>
        <v>30289.655458434081</v>
      </c>
      <c r="W139" s="88">
        <f>IF(W55=0,0,1000000*W55/TrRoad_act!W82)</f>
        <v>30140.869750088757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0.80295012496201046</v>
      </c>
      <c r="C142" s="46">
        <f t="shared" si="41"/>
        <v>0.7918353913446049</v>
      </c>
      <c r="D142" s="46">
        <f t="shared" si="41"/>
        <v>0.81217699603975946</v>
      </c>
      <c r="E142" s="46">
        <f t="shared" si="41"/>
        <v>0.76524461701156088</v>
      </c>
      <c r="F142" s="46">
        <f t="shared" si="41"/>
        <v>0.75538451467923207</v>
      </c>
      <c r="G142" s="46">
        <f t="shared" si="41"/>
        <v>0.76040698575207744</v>
      </c>
      <c r="H142" s="46">
        <f t="shared" si="41"/>
        <v>0.7671595689720736</v>
      </c>
      <c r="I142" s="46">
        <f t="shared" si="41"/>
        <v>0.77805468185190951</v>
      </c>
      <c r="J142" s="46">
        <f t="shared" si="41"/>
        <v>0.77544943862691396</v>
      </c>
      <c r="K142" s="46">
        <f t="shared" si="41"/>
        <v>0.80175884254080065</v>
      </c>
      <c r="L142" s="46">
        <f t="shared" ref="L142" si="42">IF(L18=0,0,L18/L$17)</f>
        <v>0.80225909576283372</v>
      </c>
      <c r="M142" s="46">
        <f t="shared" ref="M142:V142" si="43">IF(M18=0,0,M18/M$17)</f>
        <v>0.79493866149102765</v>
      </c>
      <c r="N142" s="46">
        <f t="shared" si="43"/>
        <v>0.79936141644577163</v>
      </c>
      <c r="O142" s="46">
        <f t="shared" si="43"/>
        <v>0.79382834142746139</v>
      </c>
      <c r="P142" s="46">
        <f t="shared" si="43"/>
        <v>0.80260029432086089</v>
      </c>
      <c r="Q142" s="46">
        <f t="shared" si="43"/>
        <v>0.80121918660172242</v>
      </c>
      <c r="R142" s="46">
        <f t="shared" si="43"/>
        <v>0.80509021820524551</v>
      </c>
      <c r="S142" s="46">
        <f t="shared" si="43"/>
        <v>0.80988256336275743</v>
      </c>
      <c r="T142" s="46">
        <f t="shared" si="43"/>
        <v>0.82114840131492328</v>
      </c>
      <c r="U142" s="46">
        <f t="shared" si="43"/>
        <v>0.84664974977610208</v>
      </c>
      <c r="V142" s="46">
        <f t="shared" si="43"/>
        <v>0.82439815730313559</v>
      </c>
      <c r="W142" s="46">
        <f t="shared" ref="W142" si="44">IF(W18=0,0,W18/W$17)</f>
        <v>0.81685825313632476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7.4897884305248231E-3</v>
      </c>
      <c r="C143" s="154">
        <f t="shared" si="45"/>
        <v>7.4026522677256915E-3</v>
      </c>
      <c r="D143" s="154">
        <f t="shared" si="45"/>
        <v>7.1632150901610701E-3</v>
      </c>
      <c r="E143" s="154">
        <f t="shared" si="45"/>
        <v>6.3796761188529812E-3</v>
      </c>
      <c r="F143" s="154">
        <f t="shared" si="45"/>
        <v>6.0725992082834241E-3</v>
      </c>
      <c r="G143" s="154">
        <f t="shared" si="45"/>
        <v>5.9055390117243199E-3</v>
      </c>
      <c r="H143" s="154">
        <f t="shared" si="45"/>
        <v>5.7733150448056759E-3</v>
      </c>
      <c r="I143" s="154">
        <f t="shared" si="45"/>
        <v>6.3504433387176259E-3</v>
      </c>
      <c r="J143" s="154">
        <f t="shared" si="45"/>
        <v>6.725759426612769E-3</v>
      </c>
      <c r="K143" s="154">
        <f t="shared" si="45"/>
        <v>7.1696900902803798E-3</v>
      </c>
      <c r="L143" s="154">
        <f t="shared" ref="L143" si="46">IF(L19=0,0,L19/L$17)</f>
        <v>7.9128951761580531E-3</v>
      </c>
      <c r="M143" s="154">
        <f t="shared" ref="M143:V143" si="47">IF(M19=0,0,M19/M$17)</f>
        <v>8.2401121668832372E-3</v>
      </c>
      <c r="N143" s="154">
        <f t="shared" si="47"/>
        <v>8.3209269347888117E-3</v>
      </c>
      <c r="O143" s="154">
        <f t="shared" si="47"/>
        <v>9.7179039366419497E-3</v>
      </c>
      <c r="P143" s="154">
        <f t="shared" si="47"/>
        <v>8.9473792471759968E-3</v>
      </c>
      <c r="Q143" s="154">
        <f t="shared" si="47"/>
        <v>8.6112913895132082E-3</v>
      </c>
      <c r="R143" s="154">
        <f t="shared" si="47"/>
        <v>8.9386312197116489E-3</v>
      </c>
      <c r="S143" s="154">
        <f t="shared" si="47"/>
        <v>8.3867161331977989E-3</v>
      </c>
      <c r="T143" s="154">
        <f t="shared" si="47"/>
        <v>7.7717608090362876E-3</v>
      </c>
      <c r="U143" s="154">
        <f t="shared" si="47"/>
        <v>7.9865042432032771E-3</v>
      </c>
      <c r="V143" s="154">
        <f t="shared" si="47"/>
        <v>7.5648954774148189E-3</v>
      </c>
      <c r="W143" s="154">
        <f t="shared" ref="W143" si="48">IF(W19=0,0,W19/W$17)</f>
        <v>6.7641413229753604E-3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0.63229510945663669</v>
      </c>
      <c r="C144" s="156">
        <f t="shared" si="49"/>
        <v>0.62237062961005452</v>
      </c>
      <c r="D144" s="156">
        <f t="shared" si="49"/>
        <v>0.63173329818279322</v>
      </c>
      <c r="E144" s="156">
        <f t="shared" si="49"/>
        <v>0.62666201099653496</v>
      </c>
      <c r="F144" s="156">
        <f t="shared" si="49"/>
        <v>0.63468432658583862</v>
      </c>
      <c r="G144" s="156">
        <f t="shared" si="49"/>
        <v>0.64406496631085208</v>
      </c>
      <c r="H144" s="156">
        <f t="shared" si="49"/>
        <v>0.66067511016985747</v>
      </c>
      <c r="I144" s="156">
        <f t="shared" si="49"/>
        <v>0.65846074032159851</v>
      </c>
      <c r="J144" s="156">
        <f t="shared" si="49"/>
        <v>0.67084761598791265</v>
      </c>
      <c r="K144" s="156">
        <f t="shared" si="49"/>
        <v>0.69091076686529096</v>
      </c>
      <c r="L144" s="156">
        <f t="shared" ref="L144" si="50">IF(L21=0,0,L21/L$17)</f>
        <v>0.69588260412915737</v>
      </c>
      <c r="M144" s="156">
        <f t="shared" ref="M144:V144" si="51">IF(M21=0,0,M21/M$17)</f>
        <v>0.679071223853291</v>
      </c>
      <c r="N144" s="156">
        <f t="shared" si="51"/>
        <v>0.69767421042243838</v>
      </c>
      <c r="O144" s="156">
        <f t="shared" si="51"/>
        <v>0.68814856460348373</v>
      </c>
      <c r="P144" s="156">
        <f t="shared" si="51"/>
        <v>0.71047720212525933</v>
      </c>
      <c r="Q144" s="156">
        <f t="shared" si="51"/>
        <v>0.71032022758393043</v>
      </c>
      <c r="R144" s="156">
        <f t="shared" si="51"/>
        <v>0.71918189416754386</v>
      </c>
      <c r="S144" s="156">
        <f t="shared" si="51"/>
        <v>0.73013400879826063</v>
      </c>
      <c r="T144" s="156">
        <f t="shared" si="51"/>
        <v>0.74269774155650925</v>
      </c>
      <c r="U144" s="156">
        <f t="shared" si="51"/>
        <v>0.76370007525038763</v>
      </c>
      <c r="V144" s="156">
        <f t="shared" si="51"/>
        <v>0.7389773770330188</v>
      </c>
      <c r="W144" s="156">
        <f t="shared" ref="W144" si="52">IF(W21=0,0,W21/W$17)</f>
        <v>0.73809925843353275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0.39483972587301097</v>
      </c>
      <c r="C145" s="103">
        <f t="shared" si="53"/>
        <v>0.32369379892008149</v>
      </c>
      <c r="D145" s="103">
        <f t="shared" si="53"/>
        <v>0.33005607487081973</v>
      </c>
      <c r="E145" s="103">
        <f t="shared" si="53"/>
        <v>0.2791614561326336</v>
      </c>
      <c r="F145" s="103">
        <f t="shared" si="53"/>
        <v>0.24789413036358868</v>
      </c>
      <c r="G145" s="103">
        <f t="shared" si="53"/>
        <v>0.21952824850766745</v>
      </c>
      <c r="H145" s="103">
        <f t="shared" si="53"/>
        <v>0.23568115340312348</v>
      </c>
      <c r="I145" s="103">
        <f t="shared" si="53"/>
        <v>0.24673223031185287</v>
      </c>
      <c r="J145" s="103">
        <f t="shared" si="53"/>
        <v>0.23519962756885318</v>
      </c>
      <c r="K145" s="103">
        <f t="shared" si="53"/>
        <v>0.24697483733550366</v>
      </c>
      <c r="L145" s="103">
        <f t="shared" ref="L145" si="54">IF(L22=0,0,L22/L$17)</f>
        <v>0.23849871720378119</v>
      </c>
      <c r="M145" s="103">
        <f t="shared" ref="M145:V145" si="55">IF(M22=0,0,M22/M$17)</f>
        <v>0.21738554922341721</v>
      </c>
      <c r="N145" s="103">
        <f t="shared" si="55"/>
        <v>0.19447979523425299</v>
      </c>
      <c r="O145" s="103">
        <f t="shared" si="55"/>
        <v>0.17782124881388728</v>
      </c>
      <c r="P145" s="103">
        <f t="shared" si="55"/>
        <v>0.18305801463758967</v>
      </c>
      <c r="Q145" s="103">
        <f t="shared" si="55"/>
        <v>0.1745636666427674</v>
      </c>
      <c r="R145" s="103">
        <f t="shared" si="55"/>
        <v>0.16187790551700598</v>
      </c>
      <c r="S145" s="103">
        <f t="shared" si="55"/>
        <v>0.16291007747597536</v>
      </c>
      <c r="T145" s="103">
        <f t="shared" si="55"/>
        <v>0.15072202028309439</v>
      </c>
      <c r="U145" s="103">
        <f t="shared" si="55"/>
        <v>0.14456250186631364</v>
      </c>
      <c r="V145" s="103">
        <f t="shared" si="55"/>
        <v>0.14810527388344832</v>
      </c>
      <c r="W145" s="103">
        <f t="shared" ref="W145" si="56">IF(W22=0,0,W22/W$17)</f>
        <v>0.14636726322956695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0.1032882935478583</v>
      </c>
      <c r="C146" s="103">
        <f t="shared" si="57"/>
        <v>0.12726423421059871</v>
      </c>
      <c r="D146" s="103">
        <f t="shared" si="57"/>
        <v>0.11506815278285815</v>
      </c>
      <c r="E146" s="103">
        <f t="shared" si="57"/>
        <v>0.17099608993535362</v>
      </c>
      <c r="F146" s="103">
        <f t="shared" si="57"/>
        <v>0.21446799785605491</v>
      </c>
      <c r="G146" s="103">
        <f t="shared" si="57"/>
        <v>0.23708321459671292</v>
      </c>
      <c r="H146" s="103">
        <f t="shared" si="57"/>
        <v>0.23697693822103616</v>
      </c>
      <c r="I146" s="103">
        <f t="shared" si="57"/>
        <v>0.23982941153158455</v>
      </c>
      <c r="J146" s="103">
        <f t="shared" si="57"/>
        <v>0.28011312520900516</v>
      </c>
      <c r="K146" s="103">
        <f t="shared" si="57"/>
        <v>0.27306063149966414</v>
      </c>
      <c r="L146" s="103">
        <f t="shared" ref="L146" si="58">IF(L24=0,0,L24/L$17)</f>
        <v>0.28395383737679264</v>
      </c>
      <c r="M146" s="103">
        <f t="shared" ref="M146:V146" si="59">IF(M24=0,0,M24/M$17)</f>
        <v>0.30138407106467141</v>
      </c>
      <c r="N146" s="103">
        <f t="shared" si="59"/>
        <v>0.34333074878014624</v>
      </c>
      <c r="O146" s="103">
        <f t="shared" si="59"/>
        <v>0.31951532528758303</v>
      </c>
      <c r="P146" s="103">
        <f t="shared" si="59"/>
        <v>0.3392585530276967</v>
      </c>
      <c r="Q146" s="103">
        <f t="shared" si="59"/>
        <v>0.35916796132641915</v>
      </c>
      <c r="R146" s="103">
        <f t="shared" si="59"/>
        <v>0.37464144751668876</v>
      </c>
      <c r="S146" s="103">
        <f t="shared" si="59"/>
        <v>0.39168267180925237</v>
      </c>
      <c r="T146" s="103">
        <f t="shared" si="59"/>
        <v>0.42778416525405416</v>
      </c>
      <c r="U146" s="103">
        <f t="shared" si="59"/>
        <v>0.46573302294081376</v>
      </c>
      <c r="V146" s="103">
        <f t="shared" si="59"/>
        <v>0.43540857807535854</v>
      </c>
      <c r="W146" s="103">
        <f t="shared" ref="W146" si="60">IF(W24=0,0,W24/W$17)</f>
        <v>0.45424994039656486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0.13416709003576743</v>
      </c>
      <c r="C147" s="103">
        <f t="shared" si="61"/>
        <v>0.17141259647937432</v>
      </c>
      <c r="D147" s="103">
        <f t="shared" si="61"/>
        <v>0.18660907052911538</v>
      </c>
      <c r="E147" s="103">
        <f t="shared" si="61"/>
        <v>0.17650446492854779</v>
      </c>
      <c r="F147" s="103">
        <f t="shared" si="61"/>
        <v>0.17024041822632202</v>
      </c>
      <c r="G147" s="103">
        <f t="shared" si="61"/>
        <v>0.18065772220370949</v>
      </c>
      <c r="H147" s="103">
        <f t="shared" si="61"/>
        <v>0.17993390071693324</v>
      </c>
      <c r="I147" s="103">
        <f t="shared" si="61"/>
        <v>0.15991983157586018</v>
      </c>
      <c r="J147" s="103">
        <f t="shared" si="61"/>
        <v>0.14491040358555668</v>
      </c>
      <c r="K147" s="103">
        <f t="shared" si="61"/>
        <v>0.15619725238833659</v>
      </c>
      <c r="L147" s="103">
        <f t="shared" ref="L147" si="62">IF(L26=0,0,L26/L$17)</f>
        <v>0.15389707633736688</v>
      </c>
      <c r="M147" s="103">
        <f t="shared" ref="M147:V147" si="63">IF(M26=0,0,M26/M$17)</f>
        <v>0.14311605470449409</v>
      </c>
      <c r="N147" s="103">
        <f t="shared" si="63"/>
        <v>0.14236365218011521</v>
      </c>
      <c r="O147" s="103">
        <f t="shared" si="63"/>
        <v>0.16987346628893574</v>
      </c>
      <c r="P147" s="103">
        <f t="shared" si="63"/>
        <v>0.16349480472508507</v>
      </c>
      <c r="Q147" s="103">
        <f t="shared" si="63"/>
        <v>0.15697087440485577</v>
      </c>
      <c r="R147" s="103">
        <f t="shared" si="63"/>
        <v>0.16478611335018209</v>
      </c>
      <c r="S147" s="103">
        <f t="shared" si="63"/>
        <v>0.15769167612204774</v>
      </c>
      <c r="T147" s="103">
        <f t="shared" si="63"/>
        <v>0.14628855476129521</v>
      </c>
      <c r="U147" s="103">
        <f t="shared" si="63"/>
        <v>0.13524076937174964</v>
      </c>
      <c r="V147" s="103">
        <f t="shared" si="63"/>
        <v>0.13585205979146772</v>
      </c>
      <c r="W147" s="103">
        <f t="shared" ref="W147" si="64">IF(W26=0,0,W26/W$17)</f>
        <v>0.11987981693474971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2.0817801398729067E-3</v>
      </c>
      <c r="G148" s="103">
        <f t="shared" si="65"/>
        <v>6.7957810027622313E-3</v>
      </c>
      <c r="H148" s="103">
        <f t="shared" si="65"/>
        <v>8.0831178287647104E-3</v>
      </c>
      <c r="I148" s="103">
        <f t="shared" si="65"/>
        <v>1.1979266902300915E-2</v>
      </c>
      <c r="J148" s="103">
        <f t="shared" si="65"/>
        <v>1.0624459624497611E-2</v>
      </c>
      <c r="K148" s="103">
        <f t="shared" si="65"/>
        <v>1.4678045641786437E-2</v>
      </c>
      <c r="L148" s="103">
        <f t="shared" ref="L148" si="66">IF(L27=0,0,L27/L$17)</f>
        <v>1.953297321121656E-2</v>
      </c>
      <c r="M148" s="103">
        <f t="shared" ref="M148:V148" si="67">IF(M27=0,0,M27/M$17)</f>
        <v>1.7185548860708333E-2</v>
      </c>
      <c r="N148" s="103">
        <f t="shared" si="67"/>
        <v>1.7499609109941E-2</v>
      </c>
      <c r="O148" s="103">
        <f t="shared" si="67"/>
        <v>2.0938160703091464E-2</v>
      </c>
      <c r="P148" s="103">
        <f t="shared" si="67"/>
        <v>2.4665139249405062E-2</v>
      </c>
      <c r="Q148" s="103">
        <f t="shared" si="67"/>
        <v>1.9614680650874357E-2</v>
      </c>
      <c r="R148" s="103">
        <f t="shared" si="67"/>
        <v>1.7869868202917374E-2</v>
      </c>
      <c r="S148" s="103">
        <f t="shared" si="67"/>
        <v>1.7826831982414054E-2</v>
      </c>
      <c r="T148" s="103">
        <f t="shared" si="67"/>
        <v>1.7852732559907443E-2</v>
      </c>
      <c r="U148" s="103">
        <f t="shared" si="67"/>
        <v>1.8037126773304653E-2</v>
      </c>
      <c r="V148" s="103">
        <f t="shared" si="67"/>
        <v>1.941283668056875E-2</v>
      </c>
      <c r="W148" s="103">
        <f t="shared" ref="W148" si="68">IF(W27=0,0,W27/W$17)</f>
        <v>1.7324395725555348E-2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4.0511798299315227E-7</v>
      </c>
      <c r="O149" s="103">
        <f t="shared" si="71"/>
        <v>3.6350998617057836E-7</v>
      </c>
      <c r="P149" s="103">
        <f t="shared" si="71"/>
        <v>6.9048548277430919E-7</v>
      </c>
      <c r="Q149" s="103">
        <f t="shared" si="71"/>
        <v>3.0445590137496855E-6</v>
      </c>
      <c r="R149" s="103">
        <f t="shared" si="71"/>
        <v>4.8877791372162416E-6</v>
      </c>
      <c r="S149" s="103">
        <f t="shared" si="71"/>
        <v>1.6910457069388186E-5</v>
      </c>
      <c r="T149" s="103">
        <f t="shared" si="71"/>
        <v>3.1198031835661211E-5</v>
      </c>
      <c r="U149" s="103">
        <f t="shared" si="71"/>
        <v>9.2490143800791862E-5</v>
      </c>
      <c r="V149" s="103">
        <f t="shared" si="71"/>
        <v>1.3193418235705269E-4</v>
      </c>
      <c r="W149" s="103">
        <f t="shared" ref="W149" si="72">IF(W29=0,0,W29/W$17)</f>
        <v>1.8948646108637459E-4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0</v>
      </c>
      <c r="O150" s="103">
        <f t="shared" si="75"/>
        <v>0</v>
      </c>
      <c r="P150" s="103">
        <f t="shared" si="75"/>
        <v>0</v>
      </c>
      <c r="Q150" s="103">
        <f t="shared" si="75"/>
        <v>0</v>
      </c>
      <c r="R150" s="103">
        <f t="shared" si="75"/>
        <v>1.6718016124772588E-6</v>
      </c>
      <c r="S150" s="103">
        <f t="shared" si="75"/>
        <v>5.8409515017240241E-6</v>
      </c>
      <c r="T150" s="103">
        <f t="shared" si="75"/>
        <v>1.9070666322427839E-5</v>
      </c>
      <c r="U150" s="103">
        <f t="shared" si="75"/>
        <v>3.4164154405145489E-5</v>
      </c>
      <c r="V150" s="103">
        <f t="shared" si="75"/>
        <v>6.6694419818443378E-5</v>
      </c>
      <c r="W150" s="103">
        <f t="shared" ref="W150" si="76">IF(W32=0,0,W32/W$17)</f>
        <v>8.8355686009476591E-5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0.16316522707484882</v>
      </c>
      <c r="C151" s="156">
        <f t="shared" si="77"/>
        <v>0.16206210946682453</v>
      </c>
      <c r="D151" s="156">
        <f t="shared" si="77"/>
        <v>0.17328048276680511</v>
      </c>
      <c r="E151" s="156">
        <f t="shared" si="77"/>
        <v>0.13220292989617283</v>
      </c>
      <c r="F151" s="156">
        <f t="shared" si="77"/>
        <v>0.11462758888510988</v>
      </c>
      <c r="G151" s="156">
        <f t="shared" si="77"/>
        <v>0.11043648042950105</v>
      </c>
      <c r="H151" s="156">
        <f t="shared" si="77"/>
        <v>0.10071114375741044</v>
      </c>
      <c r="I151" s="156">
        <f t="shared" si="77"/>
        <v>0.11324349819159342</v>
      </c>
      <c r="J151" s="156">
        <f t="shared" si="77"/>
        <v>9.7876063212388495E-2</v>
      </c>
      <c r="K151" s="156">
        <f t="shared" si="77"/>
        <v>0.1036783855852294</v>
      </c>
      <c r="L151" s="156">
        <f t="shared" ref="L151" si="78">IF(L33=0,0,L33/L$17)</f>
        <v>9.8463596457518357E-2</v>
      </c>
      <c r="M151" s="156">
        <f t="shared" ref="M151:V151" si="79">IF(M33=0,0,M33/M$17)</f>
        <v>0.10762732547085348</v>
      </c>
      <c r="N151" s="156">
        <f t="shared" si="79"/>
        <v>9.3366279088544335E-2</v>
      </c>
      <c r="O151" s="156">
        <f t="shared" si="79"/>
        <v>9.5961872887335667E-2</v>
      </c>
      <c r="P151" s="156">
        <f t="shared" si="79"/>
        <v>8.3175712948425518E-2</v>
      </c>
      <c r="Q151" s="156">
        <f t="shared" si="79"/>
        <v>8.2287667628278729E-2</v>
      </c>
      <c r="R151" s="156">
        <f t="shared" si="79"/>
        <v>7.6969692817990154E-2</v>
      </c>
      <c r="S151" s="156">
        <f t="shared" si="79"/>
        <v>7.1361838431299063E-2</v>
      </c>
      <c r="T151" s="156">
        <f t="shared" si="79"/>
        <v>7.0678898949377664E-2</v>
      </c>
      <c r="U151" s="156">
        <f t="shared" si="79"/>
        <v>7.4963170282511163E-2</v>
      </c>
      <c r="V151" s="156">
        <f t="shared" si="79"/>
        <v>7.7855884792702043E-2</v>
      </c>
      <c r="W151" s="156">
        <f t="shared" ref="W151" si="80">IF(W33=0,0,W33/W$17)</f>
        <v>7.1994853379816579E-2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0.16316522707484882</v>
      </c>
      <c r="C153" s="103">
        <f t="shared" si="85"/>
        <v>0.16206210946682453</v>
      </c>
      <c r="D153" s="103">
        <f t="shared" si="85"/>
        <v>0.17328048276680511</v>
      </c>
      <c r="E153" s="103">
        <f t="shared" si="85"/>
        <v>0.13220292989617283</v>
      </c>
      <c r="F153" s="103">
        <f t="shared" si="85"/>
        <v>0.11405252302991148</v>
      </c>
      <c r="G153" s="103">
        <f t="shared" si="85"/>
        <v>0.10929178620189564</v>
      </c>
      <c r="H153" s="103">
        <f t="shared" si="85"/>
        <v>9.8789559118191025E-2</v>
      </c>
      <c r="I153" s="103">
        <f t="shared" si="85"/>
        <v>0.10975807498402604</v>
      </c>
      <c r="J153" s="103">
        <f t="shared" si="85"/>
        <v>9.4545233937042311E-2</v>
      </c>
      <c r="K153" s="103">
        <f t="shared" si="85"/>
        <v>9.8474866139719328E-2</v>
      </c>
      <c r="L153" s="103">
        <f t="shared" ref="L153" si="86">IF(L36=0,0,L36/L$17)</f>
        <v>9.0629559764809159E-2</v>
      </c>
      <c r="M153" s="103">
        <f t="shared" ref="M153:V153" si="87">IF(M36=0,0,M36/M$17)</f>
        <v>9.9703284497220684E-2</v>
      </c>
      <c r="N153" s="103">
        <f t="shared" si="87"/>
        <v>8.5717543982445063E-2</v>
      </c>
      <c r="O153" s="103">
        <f t="shared" si="87"/>
        <v>8.4584816106414926E-2</v>
      </c>
      <c r="P153" s="103">
        <f t="shared" si="87"/>
        <v>7.5850276267031391E-2</v>
      </c>
      <c r="Q153" s="103">
        <f t="shared" si="87"/>
        <v>7.3210347260274616E-2</v>
      </c>
      <c r="R153" s="103">
        <f t="shared" si="87"/>
        <v>6.7977743801249296E-2</v>
      </c>
      <c r="S153" s="103">
        <f t="shared" si="87"/>
        <v>6.2316569048704577E-2</v>
      </c>
      <c r="T153" s="103">
        <f t="shared" si="87"/>
        <v>6.1301092297944712E-2</v>
      </c>
      <c r="U153" s="103">
        <f t="shared" si="87"/>
        <v>6.3981917369638222E-2</v>
      </c>
      <c r="V153" s="103">
        <f t="shared" si="87"/>
        <v>6.7009478573598E-2</v>
      </c>
      <c r="W153" s="103">
        <f t="shared" ref="W153" si="88">IF(W36=0,0,W36/W$17)</f>
        <v>5.9760455735389607E-2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5.7506585519840486E-4</v>
      </c>
      <c r="G155" s="103">
        <f t="shared" si="93"/>
        <v>1.1446942276054119E-3</v>
      </c>
      <c r="H155" s="103">
        <f t="shared" si="93"/>
        <v>1.9215846392194326E-3</v>
      </c>
      <c r="I155" s="103">
        <f t="shared" si="93"/>
        <v>3.485423207567387E-3</v>
      </c>
      <c r="J155" s="103">
        <f t="shared" si="93"/>
        <v>3.2955023913348227E-3</v>
      </c>
      <c r="K155" s="103">
        <f t="shared" si="93"/>
        <v>5.1038197945544725E-3</v>
      </c>
      <c r="L155" s="103">
        <f t="shared" ref="L155" si="94">IF(L39=0,0,L39/L$17)</f>
        <v>7.6286079612794119E-3</v>
      </c>
      <c r="M155" s="103">
        <f t="shared" ref="M155:V155" si="95">IF(M39=0,0,M39/M$17)</f>
        <v>7.6982611584595862E-3</v>
      </c>
      <c r="N155" s="103">
        <f t="shared" si="95"/>
        <v>7.4200661046705573E-3</v>
      </c>
      <c r="O155" s="103">
        <f t="shared" si="95"/>
        <v>9.3327739312137285E-3</v>
      </c>
      <c r="P155" s="103">
        <f t="shared" si="95"/>
        <v>4.9425096614590042E-3</v>
      </c>
      <c r="Q155" s="103">
        <f t="shared" si="95"/>
        <v>6.7787898491548804E-3</v>
      </c>
      <c r="R155" s="103">
        <f t="shared" si="95"/>
        <v>6.7672120281994956E-3</v>
      </c>
      <c r="S155" s="103">
        <f t="shared" si="95"/>
        <v>6.877457656134324E-3</v>
      </c>
      <c r="T155" s="103">
        <f t="shared" si="95"/>
        <v>7.2687558126304681E-3</v>
      </c>
      <c r="U155" s="103">
        <f t="shared" si="95"/>
        <v>8.9548958233209644E-3</v>
      </c>
      <c r="V155" s="103">
        <f t="shared" si="95"/>
        <v>8.8105874478489523E-3</v>
      </c>
      <c r="W155" s="103">
        <f t="shared" ref="W155" si="96">IF(W39=0,0,W39/W$17)</f>
        <v>1.0146331659587331E-2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3.5326884011359279E-5</v>
      </c>
      <c r="K156" s="103">
        <f t="shared" si="97"/>
        <v>9.969965095559819E-5</v>
      </c>
      <c r="L156" s="103">
        <f t="shared" ref="L156" si="98">IF(L41=0,0,L41/L$17)</f>
        <v>2.0542873142978787E-4</v>
      </c>
      <c r="M156" s="103">
        <f t="shared" ref="M156:V156" si="99">IF(M41=0,0,M41/M$17)</f>
        <v>2.2577981517321971E-4</v>
      </c>
      <c r="N156" s="103">
        <f t="shared" si="99"/>
        <v>2.2866900142871633E-4</v>
      </c>
      <c r="O156" s="103">
        <f t="shared" si="99"/>
        <v>2.0442828497070163E-3</v>
      </c>
      <c r="P156" s="103">
        <f t="shared" si="99"/>
        <v>2.3829270199351186E-3</v>
      </c>
      <c r="Q156" s="103">
        <f t="shared" si="99"/>
        <v>2.2985305188492362E-3</v>
      </c>
      <c r="R156" s="103">
        <f t="shared" si="99"/>
        <v>2.2247369885413635E-3</v>
      </c>
      <c r="S156" s="103">
        <f t="shared" si="99"/>
        <v>2.1678117264601719E-3</v>
      </c>
      <c r="T156" s="103">
        <f t="shared" si="99"/>
        <v>2.1090508388024775E-3</v>
      </c>
      <c r="U156" s="103">
        <f t="shared" si="99"/>
        <v>2.0263570895519838E-3</v>
      </c>
      <c r="V156" s="103">
        <f t="shared" si="99"/>
        <v>2.0358187712551023E-3</v>
      </c>
      <c r="W156" s="103">
        <f t="shared" ref="W156" si="100">IF(W41=0,0,W41/W$17)</f>
        <v>2.0880659848396465E-3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0.19704987503798954</v>
      </c>
      <c r="C157" s="46">
        <f t="shared" si="101"/>
        <v>0.2081646086553951</v>
      </c>
      <c r="D157" s="46">
        <f t="shared" si="101"/>
        <v>0.18782300396024057</v>
      </c>
      <c r="E157" s="46">
        <f t="shared" si="101"/>
        <v>0.23475538298843909</v>
      </c>
      <c r="F157" s="46">
        <f t="shared" si="101"/>
        <v>0.24461548532076802</v>
      </c>
      <c r="G157" s="46">
        <f t="shared" si="101"/>
        <v>0.23959301424792248</v>
      </c>
      <c r="H157" s="46">
        <f t="shared" si="101"/>
        <v>0.23284043102792629</v>
      </c>
      <c r="I157" s="46">
        <f t="shared" si="101"/>
        <v>0.2219453181480904</v>
      </c>
      <c r="J157" s="46">
        <f t="shared" si="101"/>
        <v>0.2245505613730861</v>
      </c>
      <c r="K157" s="46">
        <f t="shared" si="101"/>
        <v>0.19824115745919926</v>
      </c>
      <c r="L157" s="46">
        <f t="shared" ref="L157" si="102">IF(L42=0,0,L42/L$17)</f>
        <v>0.19774090423716625</v>
      </c>
      <c r="M157" s="46">
        <f t="shared" ref="M157:V157" si="103">IF(M42=0,0,M42/M$17)</f>
        <v>0.20506133850897226</v>
      </c>
      <c r="N157" s="46">
        <f t="shared" si="103"/>
        <v>0.20063858355422842</v>
      </c>
      <c r="O157" s="46">
        <f t="shared" si="103"/>
        <v>0.20617165857253861</v>
      </c>
      <c r="P157" s="46">
        <f t="shared" si="103"/>
        <v>0.19739970567913909</v>
      </c>
      <c r="Q157" s="46">
        <f t="shared" si="103"/>
        <v>0.19878081339827761</v>
      </c>
      <c r="R157" s="46">
        <f t="shared" si="103"/>
        <v>0.19490978179475452</v>
      </c>
      <c r="S157" s="46">
        <f t="shared" si="103"/>
        <v>0.19011743663724257</v>
      </c>
      <c r="T157" s="46">
        <f t="shared" si="103"/>
        <v>0.17885159868507672</v>
      </c>
      <c r="U157" s="46">
        <f t="shared" si="103"/>
        <v>0.15335025022389787</v>
      </c>
      <c r="V157" s="46">
        <f t="shared" si="103"/>
        <v>0.17560184269686432</v>
      </c>
      <c r="W157" s="46">
        <f t="shared" ref="W157" si="104">IF(W42=0,0,W42/W$17)</f>
        <v>0.18314174686367526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7.6945194935426175E-2</v>
      </c>
      <c r="C158" s="154">
        <f t="shared" si="105"/>
        <v>7.1865498652755364E-2</v>
      </c>
      <c r="D158" s="154">
        <f t="shared" si="105"/>
        <v>6.8988952370527643E-2</v>
      </c>
      <c r="E158" s="154">
        <f t="shared" si="105"/>
        <v>6.4613998089997987E-2</v>
      </c>
      <c r="F158" s="154">
        <f t="shared" si="105"/>
        <v>6.8091461628078956E-2</v>
      </c>
      <c r="G158" s="154">
        <f t="shared" si="105"/>
        <v>5.7285240352358595E-2</v>
      </c>
      <c r="H158" s="154">
        <f t="shared" si="105"/>
        <v>5.8249147549267348E-2</v>
      </c>
      <c r="I158" s="154">
        <f t="shared" si="105"/>
        <v>6.5998418134395859E-2</v>
      </c>
      <c r="J158" s="154">
        <f t="shared" si="105"/>
        <v>6.6376720132430123E-2</v>
      </c>
      <c r="K158" s="154">
        <f t="shared" si="105"/>
        <v>6.6357394758604971E-2</v>
      </c>
      <c r="L158" s="154">
        <f t="shared" ref="L158" si="106">IF(L43=0,0,L43/L$17)</f>
        <v>6.6268499789994509E-2</v>
      </c>
      <c r="M158" s="154">
        <f t="shared" ref="M158:V158" si="107">IF(M43=0,0,M43/M$17)</f>
        <v>7.2915751750123145E-2</v>
      </c>
      <c r="N158" s="154">
        <f t="shared" si="107"/>
        <v>7.1839382308088687E-2</v>
      </c>
      <c r="O158" s="154">
        <f t="shared" si="107"/>
        <v>7.9353551125479052E-2</v>
      </c>
      <c r="P158" s="154">
        <f t="shared" si="107"/>
        <v>7.28365608703576E-2</v>
      </c>
      <c r="Q158" s="154">
        <f t="shared" si="107"/>
        <v>7.3050251104765068E-2</v>
      </c>
      <c r="R158" s="154">
        <f t="shared" si="107"/>
        <v>7.0150000360214598E-2</v>
      </c>
      <c r="S158" s="154">
        <f t="shared" si="107"/>
        <v>5.9099061437224355E-2</v>
      </c>
      <c r="T158" s="154">
        <f t="shared" si="107"/>
        <v>5.7183676538544108E-2</v>
      </c>
      <c r="U158" s="154">
        <f t="shared" si="107"/>
        <v>5.3871868598654941E-2</v>
      </c>
      <c r="V158" s="154">
        <f t="shared" si="107"/>
        <v>5.494475665497698E-2</v>
      </c>
      <c r="W158" s="154">
        <f t="shared" ref="W158" si="108">IF(W43=0,0,W43/W$17)</f>
        <v>4.8355940536146738E-2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1.8017325808620484E-2</v>
      </c>
      <c r="C159" s="103">
        <f t="shared" si="109"/>
        <v>1.7664513683728768E-2</v>
      </c>
      <c r="D159" s="103">
        <f t="shared" si="109"/>
        <v>1.6972615867010699E-2</v>
      </c>
      <c r="E159" s="103">
        <f t="shared" si="109"/>
        <v>1.5301981725228056E-2</v>
      </c>
      <c r="F159" s="103">
        <f t="shared" si="109"/>
        <v>1.4715815595416088E-2</v>
      </c>
      <c r="G159" s="103">
        <f t="shared" si="109"/>
        <v>1.2172271910479171E-2</v>
      </c>
      <c r="H159" s="103">
        <f t="shared" si="109"/>
        <v>1.0167294745121255E-2</v>
      </c>
      <c r="I159" s="103">
        <f t="shared" si="109"/>
        <v>9.3344935681883776E-3</v>
      </c>
      <c r="J159" s="103">
        <f t="shared" si="109"/>
        <v>7.7395420799185157E-3</v>
      </c>
      <c r="K159" s="103">
        <f t="shared" si="109"/>
        <v>6.575387222603259E-3</v>
      </c>
      <c r="L159" s="103">
        <f t="shared" ref="L159" si="110">IF(L44=0,0,L44/L$17)</f>
        <v>5.1373134773431859E-3</v>
      </c>
      <c r="M159" s="103">
        <f t="shared" ref="M159:V159" si="111">IF(M44=0,0,M44/M$17)</f>
        <v>5.5437565904092627E-3</v>
      </c>
      <c r="N159" s="103">
        <f t="shared" si="111"/>
        <v>4.8945578808134473E-3</v>
      </c>
      <c r="O159" s="103">
        <f t="shared" si="111"/>
        <v>5.0117671113654354E-3</v>
      </c>
      <c r="P159" s="103">
        <f t="shared" si="111"/>
        <v>4.0169555117461984E-3</v>
      </c>
      <c r="Q159" s="103">
        <f t="shared" si="111"/>
        <v>4.3029484875231052E-3</v>
      </c>
      <c r="R159" s="103">
        <f t="shared" si="111"/>
        <v>4.0966554990099534E-3</v>
      </c>
      <c r="S159" s="103">
        <f t="shared" si="111"/>
        <v>3.9576529135431776E-3</v>
      </c>
      <c r="T159" s="103">
        <f t="shared" si="111"/>
        <v>3.8767274062240014E-3</v>
      </c>
      <c r="U159" s="103">
        <f t="shared" si="111"/>
        <v>3.6715171187719142E-3</v>
      </c>
      <c r="V159" s="103">
        <f t="shared" si="111"/>
        <v>3.8290938390804705E-3</v>
      </c>
      <c r="W159" s="103">
        <f t="shared" ref="W159" si="112">IF(W44=0,0,W44/W$17)</f>
        <v>3.4301470264232262E-3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5.8927869126805692E-2</v>
      </c>
      <c r="C160" s="103">
        <f t="shared" si="113"/>
        <v>5.4200984969026596E-2</v>
      </c>
      <c r="D160" s="103">
        <f t="shared" si="113"/>
        <v>5.201633650351694E-2</v>
      </c>
      <c r="E160" s="103">
        <f t="shared" si="113"/>
        <v>4.9312016364769923E-2</v>
      </c>
      <c r="F160" s="103">
        <f t="shared" si="113"/>
        <v>5.3375646032662878E-2</v>
      </c>
      <c r="G160" s="103">
        <f t="shared" si="113"/>
        <v>4.5112968441879411E-2</v>
      </c>
      <c r="H160" s="103">
        <f t="shared" si="113"/>
        <v>4.8081852804146091E-2</v>
      </c>
      <c r="I160" s="103">
        <f t="shared" si="113"/>
        <v>5.6663924566207474E-2</v>
      </c>
      <c r="J160" s="103">
        <f t="shared" si="113"/>
        <v>5.8637178052511611E-2</v>
      </c>
      <c r="K160" s="103">
        <f t="shared" si="113"/>
        <v>5.9782007536001706E-2</v>
      </c>
      <c r="L160" s="103">
        <f t="shared" ref="L160" si="114">IF(L46=0,0,L46/L$17)</f>
        <v>6.1131186312651326E-2</v>
      </c>
      <c r="M160" s="103">
        <f t="shared" ref="M160:V160" si="115">IF(M46=0,0,M46/M$17)</f>
        <v>6.7371995159713885E-2</v>
      </c>
      <c r="N160" s="103">
        <f t="shared" si="115"/>
        <v>6.6943443277534001E-2</v>
      </c>
      <c r="O160" s="103">
        <f t="shared" si="115"/>
        <v>7.434019915519674E-2</v>
      </c>
      <c r="P160" s="103">
        <f t="shared" si="115"/>
        <v>6.881816098262071E-2</v>
      </c>
      <c r="Q160" s="103">
        <f t="shared" si="115"/>
        <v>6.8745610449847228E-2</v>
      </c>
      <c r="R160" s="103">
        <f t="shared" si="115"/>
        <v>6.5974533904064228E-2</v>
      </c>
      <c r="S160" s="103">
        <f t="shared" si="115"/>
        <v>5.4926997610352087E-2</v>
      </c>
      <c r="T160" s="103">
        <f t="shared" si="115"/>
        <v>5.2909457900540732E-2</v>
      </c>
      <c r="U160" s="103">
        <f t="shared" si="115"/>
        <v>4.9574400229327173E-2</v>
      </c>
      <c r="V160" s="103">
        <f t="shared" si="115"/>
        <v>5.0299156096449686E-2</v>
      </c>
      <c r="W160" s="103">
        <f t="shared" ref="W160" si="116">IF(W46=0,0,W46/W$17)</f>
        <v>4.3977231551199918E-2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6.2616195316816755E-5</v>
      </c>
      <c r="S161" s="103">
        <f t="shared" si="119"/>
        <v>1.8465824851232401E-4</v>
      </c>
      <c r="T161" s="103">
        <f t="shared" si="119"/>
        <v>3.5281158298741796E-4</v>
      </c>
      <c r="U161" s="103">
        <f t="shared" si="119"/>
        <v>5.6046932728978985E-4</v>
      </c>
      <c r="V161" s="103">
        <f t="shared" si="119"/>
        <v>7.2027704738191584E-4</v>
      </c>
      <c r="W161" s="103">
        <f t="shared" ref="W161" si="120">IF(W48=0,0,W48/W$17)</f>
        <v>8.398488529085974E-4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1.3888969566305687E-5</v>
      </c>
      <c r="S162" s="103">
        <f t="shared" si="123"/>
        <v>2.7201423096082376E-5</v>
      </c>
      <c r="T162" s="103">
        <f t="shared" si="123"/>
        <v>4.1693228131378055E-5</v>
      </c>
      <c r="U162" s="103">
        <f t="shared" si="123"/>
        <v>6.132814123429083E-5</v>
      </c>
      <c r="V162" s="103">
        <f t="shared" si="123"/>
        <v>9.1133978230543712E-5</v>
      </c>
      <c r="W162" s="103">
        <f t="shared" ref="W162" si="124">IF(W49=0,0,W49/W$17)</f>
        <v>1.0276979344678952E-4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1.3811497412507769E-6</v>
      </c>
      <c r="O163" s="103">
        <f t="shared" si="127"/>
        <v>1.5848589168723949E-6</v>
      </c>
      <c r="P163" s="103">
        <f t="shared" si="127"/>
        <v>1.4443759907000755E-6</v>
      </c>
      <c r="Q163" s="103">
        <f t="shared" si="127"/>
        <v>1.6921673947336779E-6</v>
      </c>
      <c r="R163" s="103">
        <f t="shared" si="127"/>
        <v>2.3057922572962008E-6</v>
      </c>
      <c r="S163" s="103">
        <f t="shared" si="127"/>
        <v>2.551241720679702E-6</v>
      </c>
      <c r="T163" s="103">
        <f t="shared" si="127"/>
        <v>2.9864206605746931E-6</v>
      </c>
      <c r="U163" s="103">
        <f t="shared" si="127"/>
        <v>4.1537820317649441E-6</v>
      </c>
      <c r="V163" s="103">
        <f t="shared" si="127"/>
        <v>5.0956938343610898E-6</v>
      </c>
      <c r="W163" s="103">
        <f t="shared" ref="W163" si="128">IF(W51=0,0,W51/W$17)</f>
        <v>5.9433121682043488E-6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0.12010468010256334</v>
      </c>
      <c r="C164" s="156">
        <f t="shared" si="129"/>
        <v>0.13629911000263975</v>
      </c>
      <c r="D164" s="156">
        <f t="shared" si="129"/>
        <v>0.11883405158971296</v>
      </c>
      <c r="E164" s="156">
        <f t="shared" si="129"/>
        <v>0.17014138489844111</v>
      </c>
      <c r="F164" s="156">
        <f t="shared" si="129"/>
        <v>0.17652402369268907</v>
      </c>
      <c r="G164" s="156">
        <f t="shared" si="129"/>
        <v>0.18230777389556388</v>
      </c>
      <c r="H164" s="156">
        <f t="shared" si="129"/>
        <v>0.17459128347865893</v>
      </c>
      <c r="I164" s="156">
        <f t="shared" si="129"/>
        <v>0.15594690001369454</v>
      </c>
      <c r="J164" s="156">
        <f t="shared" si="129"/>
        <v>0.15817384124065595</v>
      </c>
      <c r="K164" s="156">
        <f t="shared" si="129"/>
        <v>0.13188376270059429</v>
      </c>
      <c r="L164" s="156">
        <f t="shared" ref="L164" si="130">IF(L52=0,0,L52/L$17)</f>
        <v>0.13147240444717173</v>
      </c>
      <c r="M164" s="156">
        <f t="shared" ref="M164:V164" si="131">IF(M52=0,0,M52/M$17)</f>
        <v>0.1321455867588491</v>
      </c>
      <c r="N164" s="156">
        <f t="shared" si="131"/>
        <v>0.12879920124613972</v>
      </c>
      <c r="O164" s="156">
        <f t="shared" si="131"/>
        <v>0.12681810744705957</v>
      </c>
      <c r="P164" s="156">
        <f t="shared" si="131"/>
        <v>0.12456314480878147</v>
      </c>
      <c r="Q164" s="156">
        <f t="shared" si="131"/>
        <v>0.12573056229351251</v>
      </c>
      <c r="R164" s="156">
        <f t="shared" si="131"/>
        <v>0.12475978143453993</v>
      </c>
      <c r="S164" s="156">
        <f t="shared" si="131"/>
        <v>0.13101837520001822</v>
      </c>
      <c r="T164" s="156">
        <f t="shared" si="131"/>
        <v>0.12166792214653259</v>
      </c>
      <c r="U164" s="156">
        <f t="shared" si="131"/>
        <v>9.9478381625242918E-2</v>
      </c>
      <c r="V164" s="156">
        <f t="shared" si="131"/>
        <v>0.12065708604188735</v>
      </c>
      <c r="W164" s="156">
        <f t="shared" ref="W164" si="132">IF(W52=0,0,W52/W$17)</f>
        <v>0.13478580632752854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4.4951191447176561E-2</v>
      </c>
      <c r="C165" s="104">
        <f t="shared" si="133"/>
        <v>6.0884838582734829E-2</v>
      </c>
      <c r="D165" s="104">
        <f t="shared" si="133"/>
        <v>4.3572896462399313E-2</v>
      </c>
      <c r="E165" s="104">
        <f t="shared" si="133"/>
        <v>0.1056224559087179</v>
      </c>
      <c r="F165" s="104">
        <f t="shared" si="133"/>
        <v>0.10505244429315572</v>
      </c>
      <c r="G165" s="104">
        <f t="shared" si="133"/>
        <v>0.11661453856674517</v>
      </c>
      <c r="H165" s="104">
        <f t="shared" si="133"/>
        <v>0.12045162104694122</v>
      </c>
      <c r="I165" s="104">
        <f t="shared" si="133"/>
        <v>0.10506116699171976</v>
      </c>
      <c r="J165" s="104">
        <f t="shared" si="133"/>
        <v>0.13033318331361701</v>
      </c>
      <c r="K165" s="104">
        <f t="shared" si="133"/>
        <v>0.10517970625163353</v>
      </c>
      <c r="L165" s="104">
        <f t="shared" ref="L165" si="134">IF(L53=0,0,L53/L$17)</f>
        <v>0.10141505473705968</v>
      </c>
      <c r="M165" s="104">
        <f t="shared" ref="M165:V165" si="135">IF(M53=0,0,M53/M$17)</f>
        <v>9.7234530319863399E-2</v>
      </c>
      <c r="N165" s="104">
        <f t="shared" si="135"/>
        <v>9.8697696887085781E-2</v>
      </c>
      <c r="O165" s="104">
        <f t="shared" si="135"/>
        <v>8.3267039052452307E-2</v>
      </c>
      <c r="P165" s="104">
        <f t="shared" si="135"/>
        <v>8.9750790222378404E-2</v>
      </c>
      <c r="Q165" s="104">
        <f t="shared" si="135"/>
        <v>8.995528567461375E-2</v>
      </c>
      <c r="R165" s="104">
        <f t="shared" si="135"/>
        <v>9.1167913115718313E-2</v>
      </c>
      <c r="S165" s="104">
        <f t="shared" si="135"/>
        <v>9.9547943921438828E-2</v>
      </c>
      <c r="T165" s="104">
        <f t="shared" si="135"/>
        <v>9.4131325007475022E-2</v>
      </c>
      <c r="U165" s="104">
        <f t="shared" si="135"/>
        <v>7.6480305530391049E-2</v>
      </c>
      <c r="V165" s="104">
        <f t="shared" si="135"/>
        <v>9.0346559980121297E-2</v>
      </c>
      <c r="W165" s="104">
        <f t="shared" ref="W165" si="136">IF(W53=0,0,W53/W$17)</f>
        <v>0.10266674467030312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7.5153488655386777E-2</v>
      </c>
      <c r="C166" s="105">
        <f t="shared" si="137"/>
        <v>7.5414271419904907E-2</v>
      </c>
      <c r="D166" s="105">
        <f t="shared" si="137"/>
        <v>7.5261155127313642E-2</v>
      </c>
      <c r="E166" s="105">
        <f t="shared" si="137"/>
        <v>6.4518928989723195E-2</v>
      </c>
      <c r="F166" s="105">
        <f t="shared" si="137"/>
        <v>7.1471579399533358E-2</v>
      </c>
      <c r="G166" s="105">
        <f t="shared" si="137"/>
        <v>6.5693235328818697E-2</v>
      </c>
      <c r="H166" s="105">
        <f t="shared" si="137"/>
        <v>5.4139662431717708E-2</v>
      </c>
      <c r="I166" s="105">
        <f t="shared" si="137"/>
        <v>5.0885733021974779E-2</v>
      </c>
      <c r="J166" s="105">
        <f t="shared" si="137"/>
        <v>2.784065792703895E-2</v>
      </c>
      <c r="K166" s="105">
        <f t="shared" si="137"/>
        <v>2.6704056448960761E-2</v>
      </c>
      <c r="L166" s="105">
        <f t="shared" ref="L166" si="138">IF(L55=0,0,L55/L$17)</f>
        <v>3.005734971011205E-2</v>
      </c>
      <c r="M166" s="105">
        <f t="shared" ref="M166:V166" si="139">IF(M55=0,0,M55/M$17)</f>
        <v>3.4911056438985705E-2</v>
      </c>
      <c r="N166" s="105">
        <f t="shared" si="139"/>
        <v>3.0101504359053934E-2</v>
      </c>
      <c r="O166" s="105">
        <f t="shared" si="139"/>
        <v>4.3551068394607262E-2</v>
      </c>
      <c r="P166" s="105">
        <f t="shared" si="139"/>
        <v>3.4812354586403076E-2</v>
      </c>
      <c r="Q166" s="105">
        <f t="shared" si="139"/>
        <v>3.5775276618898767E-2</v>
      </c>
      <c r="R166" s="105">
        <f t="shared" si="139"/>
        <v>3.3591868318821626E-2</v>
      </c>
      <c r="S166" s="105">
        <f t="shared" si="139"/>
        <v>3.1470431278579382E-2</v>
      </c>
      <c r="T166" s="105">
        <f t="shared" si="139"/>
        <v>2.753659713905757E-2</v>
      </c>
      <c r="U166" s="105">
        <f t="shared" si="139"/>
        <v>2.2998076094851865E-2</v>
      </c>
      <c r="V166" s="105">
        <f t="shared" si="139"/>
        <v>3.0310526061766058E-2</v>
      </c>
      <c r="W166" s="105">
        <f t="shared" ref="W166" si="140">IF(W55=0,0,W55/W$17)</f>
        <v>3.2119061657225417E-2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4903.7239529279996</v>
      </c>
      <c r="C4" s="146">
        <f t="shared" si="0"/>
        <v>5080.3880621111985</v>
      </c>
      <c r="D4" s="146">
        <f t="shared" si="0"/>
        <v>5367.1239151308</v>
      </c>
      <c r="E4" s="146">
        <f t="shared" si="0"/>
        <v>6101.957502849601</v>
      </c>
      <c r="F4" s="146">
        <f t="shared" si="0"/>
        <v>6483.7160411147988</v>
      </c>
      <c r="G4" s="146">
        <f t="shared" si="0"/>
        <v>7128.8930232612001</v>
      </c>
      <c r="H4" s="146">
        <f t="shared" si="0"/>
        <v>7459.6171282703999</v>
      </c>
      <c r="I4" s="146">
        <f t="shared" si="0"/>
        <v>7080.1757433432022</v>
      </c>
      <c r="J4" s="146">
        <f t="shared" si="0"/>
        <v>7475.4025847783978</v>
      </c>
      <c r="K4" s="146">
        <f t="shared" si="0"/>
        <v>7345.1834888687999</v>
      </c>
      <c r="L4" s="146">
        <f t="shared" ref="L4" si="1">L5+L9+L10+L15</f>
        <v>7142.9328895572007</v>
      </c>
      <c r="M4" s="146">
        <f t="shared" ref="M4:V4" si="2">M5+M9+M10+M15</f>
        <v>7198.6858014024001</v>
      </c>
      <c r="N4" s="146">
        <f t="shared" si="2"/>
        <v>7472.3951143979994</v>
      </c>
      <c r="O4" s="146">
        <f t="shared" si="2"/>
        <v>6602.702516938798</v>
      </c>
      <c r="P4" s="146">
        <f t="shared" si="2"/>
        <v>7511.3129358575998</v>
      </c>
      <c r="Q4" s="146">
        <f t="shared" si="2"/>
        <v>8291.1216089052014</v>
      </c>
      <c r="R4" s="146">
        <f t="shared" si="2"/>
        <v>8415.3662971020021</v>
      </c>
      <c r="S4" s="146">
        <f t="shared" si="2"/>
        <v>8495.2913378939975</v>
      </c>
      <c r="T4" s="146">
        <f t="shared" si="2"/>
        <v>8775.0707752151975</v>
      </c>
      <c r="U4" s="146">
        <f t="shared" si="2"/>
        <v>9077.3693579772025</v>
      </c>
      <c r="V4" s="146">
        <f t="shared" si="2"/>
        <v>8540.5785570648004</v>
      </c>
      <c r="W4" s="146">
        <f t="shared" ref="W4" si="3">W5+W9+W10+W15</f>
        <v>9439.8737774399997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4903.7239529279996</v>
      </c>
      <c r="C5" s="101">
        <f t="shared" si="4"/>
        <v>5080.3880621111985</v>
      </c>
      <c r="D5" s="101">
        <f t="shared" si="4"/>
        <v>5367.1239151308</v>
      </c>
      <c r="E5" s="101">
        <f t="shared" si="4"/>
        <v>6101.957502849601</v>
      </c>
      <c r="F5" s="101">
        <f t="shared" si="4"/>
        <v>6470.0837411147986</v>
      </c>
      <c r="G5" s="101">
        <f t="shared" si="4"/>
        <v>7084.0579032612004</v>
      </c>
      <c r="H5" s="101">
        <f t="shared" si="4"/>
        <v>7400.2915802303996</v>
      </c>
      <c r="I5" s="101">
        <f t="shared" si="4"/>
        <v>6993.3319335432025</v>
      </c>
      <c r="J5" s="101">
        <f t="shared" si="4"/>
        <v>7393.1030769383979</v>
      </c>
      <c r="K5" s="101">
        <f t="shared" si="4"/>
        <v>7229.8144447488003</v>
      </c>
      <c r="L5" s="101">
        <f t="shared" ref="L5" si="5">SUM(L6:L8)</f>
        <v>6988.078241917201</v>
      </c>
      <c r="M5" s="101">
        <f t="shared" ref="M5:V5" si="6">SUM(M6:M8)</f>
        <v>7056.0014653223998</v>
      </c>
      <c r="N5" s="101">
        <f t="shared" si="6"/>
        <v>7320.167360477999</v>
      </c>
      <c r="O5" s="101">
        <f t="shared" si="6"/>
        <v>6436.234967338798</v>
      </c>
      <c r="P5" s="101">
        <f t="shared" si="6"/>
        <v>7326.7188703776001</v>
      </c>
      <c r="Q5" s="101">
        <f t="shared" si="6"/>
        <v>8108.4461634252011</v>
      </c>
      <c r="R5" s="101">
        <f t="shared" si="6"/>
        <v>8241.3276710220016</v>
      </c>
      <c r="S5" s="101">
        <f t="shared" si="6"/>
        <v>8319.0973946939976</v>
      </c>
      <c r="T5" s="101">
        <f t="shared" si="6"/>
        <v>8590.8703297751981</v>
      </c>
      <c r="U5" s="101">
        <f t="shared" si="6"/>
        <v>8872.1862783372017</v>
      </c>
      <c r="V5" s="101">
        <f t="shared" si="6"/>
        <v>8338.1435471448003</v>
      </c>
      <c r="W5" s="101">
        <f t="shared" ref="W5" si="7">SUM(W6:W8)</f>
        <v>9224.0593214399996</v>
      </c>
      <c r="DA5" s="175"/>
    </row>
    <row r="6" spans="1:105" ht="11.45" customHeight="1" x14ac:dyDescent="0.25">
      <c r="A6" s="128" t="s">
        <v>52</v>
      </c>
      <c r="B6" s="101">
        <v>587.97208476000003</v>
      </c>
      <c r="C6" s="101">
        <v>778.98842999999988</v>
      </c>
      <c r="D6" s="101">
        <v>898.37373095999999</v>
      </c>
      <c r="E6" s="101">
        <v>961.05080952000003</v>
      </c>
      <c r="F6" s="101">
        <v>982.49857524000004</v>
      </c>
      <c r="G6" s="101">
        <v>1147.3472242800001</v>
      </c>
      <c r="H6" s="101">
        <v>1200.0990009599998</v>
      </c>
      <c r="I6" s="101">
        <v>1010.1048757200001</v>
      </c>
      <c r="J6" s="101">
        <v>963.66314951999993</v>
      </c>
      <c r="K6" s="101">
        <v>1024.61790096</v>
      </c>
      <c r="L6" s="101">
        <v>986.88389904000019</v>
      </c>
      <c r="M6" s="101">
        <v>923.02672428000028</v>
      </c>
      <c r="N6" s="101">
        <v>978.17617476000009</v>
      </c>
      <c r="O6" s="101">
        <v>1050.7413009599998</v>
      </c>
      <c r="P6" s="101">
        <v>1146.5269495200002</v>
      </c>
      <c r="Q6" s="101">
        <v>1221.9944990400002</v>
      </c>
      <c r="R6" s="101">
        <v>1309.0726504800002</v>
      </c>
      <c r="S6" s="101">
        <v>1265.0981090400001</v>
      </c>
      <c r="T6" s="101">
        <v>1207.3915184400003</v>
      </c>
      <c r="U6" s="101">
        <v>1158.4857877200002</v>
      </c>
      <c r="V6" s="101">
        <v>1098.25976556</v>
      </c>
      <c r="W6" s="101">
        <v>1062.7551118800002</v>
      </c>
      <c r="DA6" s="175" t="s">
        <v>740</v>
      </c>
    </row>
    <row r="7" spans="1:105" ht="11.45" customHeight="1" x14ac:dyDescent="0.25">
      <c r="A7" s="128" t="s">
        <v>53</v>
      </c>
      <c r="B7" s="101">
        <v>2023.12338228</v>
      </c>
      <c r="C7" s="101">
        <v>1740.6843299999998</v>
      </c>
      <c r="D7" s="101">
        <v>1872.6939277199999</v>
      </c>
      <c r="E7" s="101">
        <v>1799.0142508799997</v>
      </c>
      <c r="F7" s="101">
        <v>1702.99189368</v>
      </c>
      <c r="G7" s="101">
        <v>1657.2946420800001</v>
      </c>
      <c r="H7" s="101">
        <v>1843.1307972</v>
      </c>
      <c r="I7" s="101">
        <v>1820.3724831600002</v>
      </c>
      <c r="J7" s="101">
        <v>1823.4216277199998</v>
      </c>
      <c r="K7" s="101">
        <v>1878.3072277199999</v>
      </c>
      <c r="L7" s="101">
        <v>1771.5851722800001</v>
      </c>
      <c r="M7" s="101">
        <v>1637.4203168399999</v>
      </c>
      <c r="N7" s="101">
        <v>1567.2887445599999</v>
      </c>
      <c r="O7" s="101">
        <v>1283.7133108799999</v>
      </c>
      <c r="P7" s="101">
        <v>1466.6652277200001</v>
      </c>
      <c r="Q7" s="101">
        <v>1509.354</v>
      </c>
      <c r="R7" s="101">
        <v>1430.0747445600002</v>
      </c>
      <c r="S7" s="101">
        <v>1465.11021888</v>
      </c>
      <c r="T7" s="101">
        <v>1385.4679700399997</v>
      </c>
      <c r="U7" s="101">
        <v>1371.8473599600002</v>
      </c>
      <c r="V7" s="101">
        <v>1332.4577111999999</v>
      </c>
      <c r="W7" s="101">
        <v>1454.6238260399998</v>
      </c>
      <c r="DA7" s="175" t="s">
        <v>741</v>
      </c>
    </row>
    <row r="8" spans="1:105" ht="11.45" customHeight="1" x14ac:dyDescent="0.25">
      <c r="A8" s="128" t="s">
        <v>54</v>
      </c>
      <c r="B8" s="101">
        <v>2292.6284858879999</v>
      </c>
      <c r="C8" s="101">
        <v>2560.7153021111994</v>
      </c>
      <c r="D8" s="101">
        <v>2596.0562564508</v>
      </c>
      <c r="E8" s="101">
        <v>3341.8924424496013</v>
      </c>
      <c r="F8" s="101">
        <v>3784.5932721947988</v>
      </c>
      <c r="G8" s="101">
        <v>4279.4160369011997</v>
      </c>
      <c r="H8" s="101">
        <v>4357.0617820704001</v>
      </c>
      <c r="I8" s="101">
        <v>4162.8545746632017</v>
      </c>
      <c r="J8" s="101">
        <v>4606.0182996983986</v>
      </c>
      <c r="K8" s="101">
        <v>4326.8893160688003</v>
      </c>
      <c r="L8" s="101">
        <v>4229.6091705972003</v>
      </c>
      <c r="M8" s="101">
        <v>4495.5544242023998</v>
      </c>
      <c r="N8" s="101">
        <v>4774.7024411579987</v>
      </c>
      <c r="O8" s="101">
        <v>4101.7803554987986</v>
      </c>
      <c r="P8" s="101">
        <v>4713.5266931376</v>
      </c>
      <c r="Q8" s="101">
        <v>5377.0976643852009</v>
      </c>
      <c r="R8" s="101">
        <v>5502.1802759820002</v>
      </c>
      <c r="S8" s="101">
        <v>5588.8890667739979</v>
      </c>
      <c r="T8" s="101">
        <v>5998.0108412951986</v>
      </c>
      <c r="U8" s="101">
        <v>6341.8531306572004</v>
      </c>
      <c r="V8" s="101">
        <v>5907.4260703848004</v>
      </c>
      <c r="W8" s="101">
        <v>6706.6803835199989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13.632300000000001</v>
      </c>
      <c r="G9" s="101">
        <v>44.835119999999989</v>
      </c>
      <c r="H9" s="101">
        <v>59.325548040000001</v>
      </c>
      <c r="I9" s="101">
        <v>86.843809800000017</v>
      </c>
      <c r="J9" s="101">
        <v>82.299507840000018</v>
      </c>
      <c r="K9" s="101">
        <v>115.36904411999998</v>
      </c>
      <c r="L9" s="101">
        <v>154.85464764000002</v>
      </c>
      <c r="M9" s="101">
        <v>142.68433608000001</v>
      </c>
      <c r="N9" s="101">
        <v>152.22775392</v>
      </c>
      <c r="O9" s="101">
        <v>166.46754960000001</v>
      </c>
      <c r="P9" s="101">
        <v>184.59406548000001</v>
      </c>
      <c r="Q9" s="101">
        <v>182.67544548000001</v>
      </c>
      <c r="R9" s="101">
        <v>174.03862608000003</v>
      </c>
      <c r="S9" s="101">
        <v>176.19394319999998</v>
      </c>
      <c r="T9" s="101">
        <v>184.20044543999998</v>
      </c>
      <c r="U9" s="101">
        <v>205.18307964000002</v>
      </c>
      <c r="V9" s="101">
        <v>202.43500992000003</v>
      </c>
      <c r="W9" s="101">
        <v>215.81445599999998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4903.7239529280005</v>
      </c>
      <c r="C17" s="79">
        <f t="shared" si="12"/>
        <v>5080.3880621111994</v>
      </c>
      <c r="D17" s="79">
        <f t="shared" si="12"/>
        <v>5367.1239151308</v>
      </c>
      <c r="E17" s="79">
        <f t="shared" si="12"/>
        <v>6101.957502849602</v>
      </c>
      <c r="F17" s="79">
        <f t="shared" si="12"/>
        <v>6483.7160411147988</v>
      </c>
      <c r="G17" s="79">
        <f t="shared" si="12"/>
        <v>7128.8930232612001</v>
      </c>
      <c r="H17" s="79">
        <f t="shared" si="12"/>
        <v>7459.617128270399</v>
      </c>
      <c r="I17" s="79">
        <f t="shared" si="12"/>
        <v>7080.1757433432012</v>
      </c>
      <c r="J17" s="79">
        <f t="shared" si="12"/>
        <v>7475.4025847783978</v>
      </c>
      <c r="K17" s="79">
        <f t="shared" si="12"/>
        <v>7345.1834888688009</v>
      </c>
      <c r="L17" s="79">
        <f t="shared" ref="L17" si="13">SUM(L18,L33)</f>
        <v>7142.9328895571989</v>
      </c>
      <c r="M17" s="79">
        <f t="shared" ref="M17:V17" si="14">SUM(M18,M33)</f>
        <v>7198.6858014024001</v>
      </c>
      <c r="N17" s="79">
        <f t="shared" si="14"/>
        <v>7472.3951143979975</v>
      </c>
      <c r="O17" s="79">
        <f t="shared" si="14"/>
        <v>6602.702516938798</v>
      </c>
      <c r="P17" s="79">
        <f t="shared" si="14"/>
        <v>7511.3129358576007</v>
      </c>
      <c r="Q17" s="79">
        <f t="shared" si="14"/>
        <v>8291.1216089052014</v>
      </c>
      <c r="R17" s="79">
        <f t="shared" si="14"/>
        <v>8415.3662971020021</v>
      </c>
      <c r="S17" s="79">
        <f t="shared" si="14"/>
        <v>8495.2913378939975</v>
      </c>
      <c r="T17" s="79">
        <f t="shared" si="14"/>
        <v>8775.0707752151993</v>
      </c>
      <c r="U17" s="79">
        <f t="shared" si="14"/>
        <v>9077.3693579772007</v>
      </c>
      <c r="V17" s="79">
        <f t="shared" si="14"/>
        <v>8540.5785570648004</v>
      </c>
      <c r="W17" s="79">
        <f t="shared" ref="W17" si="15">SUM(W18,W33)</f>
        <v>9439.8737774399979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3895.6421570386742</v>
      </c>
      <c r="C18" s="32">
        <f t="shared" si="16"/>
        <v>3975.5715452186187</v>
      </c>
      <c r="D18" s="32">
        <f t="shared" si="16"/>
        <v>4311.4925882765647</v>
      </c>
      <c r="E18" s="32">
        <f t="shared" si="16"/>
        <v>4607.2458109059326</v>
      </c>
      <c r="F18" s="32">
        <f t="shared" si="16"/>
        <v>4832.3386958866686</v>
      </c>
      <c r="G18" s="32">
        <f t="shared" si="16"/>
        <v>5347.869140202587</v>
      </c>
      <c r="H18" s="32">
        <f t="shared" si="16"/>
        <v>5647.7996705967626</v>
      </c>
      <c r="I18" s="32">
        <f t="shared" si="16"/>
        <v>5441.1244346068588</v>
      </c>
      <c r="J18" s="32">
        <f t="shared" si="16"/>
        <v>5730.4793574371615</v>
      </c>
      <c r="K18" s="32">
        <f t="shared" si="16"/>
        <v>5825.307551785796</v>
      </c>
      <c r="L18" s="32">
        <f t="shared" ref="L18" si="17">SUM(L19,L20,L27)</f>
        <v>5670.4747918529101</v>
      </c>
      <c r="M18" s="32">
        <f t="shared" ref="M18:V18" si="18">SUM(M19,M20,M27)</f>
        <v>5666.0203455495375</v>
      </c>
      <c r="N18" s="32">
        <f t="shared" si="18"/>
        <v>5939.579367554863</v>
      </c>
      <c r="O18" s="32">
        <f t="shared" si="18"/>
        <v>5206.0585370654762</v>
      </c>
      <c r="P18" s="32">
        <f t="shared" si="18"/>
        <v>5983.2745000407758</v>
      </c>
      <c r="Q18" s="32">
        <f t="shared" si="18"/>
        <v>6588.2816787131733</v>
      </c>
      <c r="R18" s="32">
        <f t="shared" si="18"/>
        <v>6724.2969349659488</v>
      </c>
      <c r="S18" s="32">
        <f t="shared" si="18"/>
        <v>6836.5998706940409</v>
      </c>
      <c r="T18" s="32">
        <f t="shared" si="18"/>
        <v>7161.0003395088861</v>
      </c>
      <c r="U18" s="32">
        <f t="shared" si="18"/>
        <v>7647.2657808754675</v>
      </c>
      <c r="V18" s="32">
        <f t="shared" si="18"/>
        <v>7002.3855838391901</v>
      </c>
      <c r="W18" s="32">
        <f t="shared" ref="W18" si="19">SUM(W19,W20,W27)</f>
        <v>7669.2398546309641</v>
      </c>
      <c r="DA18" s="173" t="s">
        <v>402</v>
      </c>
    </row>
    <row r="19" spans="1:105" ht="11.45" customHeight="1" x14ac:dyDescent="0.25">
      <c r="A19" s="136" t="s">
        <v>180</v>
      </c>
      <c r="B19" s="141">
        <v>36.048245534763517</v>
      </c>
      <c r="C19" s="141">
        <v>36.947027049358695</v>
      </c>
      <c r="D19" s="141">
        <v>37.873562838591468</v>
      </c>
      <c r="E19" s="141">
        <v>38.149878526731563</v>
      </c>
      <c r="F19" s="141">
        <v>38.489985342499033</v>
      </c>
      <c r="G19" s="141">
        <v>41.190945156067521</v>
      </c>
      <c r="H19" s="141">
        <v>42.289564408049316</v>
      </c>
      <c r="I19" s="141">
        <v>44.052652622499259</v>
      </c>
      <c r="J19" s="141">
        <v>49.1214174403502</v>
      </c>
      <c r="K19" s="141">
        <v>51.652673848285936</v>
      </c>
      <c r="L19" s="141">
        <v>55.728195682461141</v>
      </c>
      <c r="M19" s="141">
        <v>58.36640154633686</v>
      </c>
      <c r="N19" s="141">
        <v>62.790442503617115</v>
      </c>
      <c r="O19" s="141">
        <v>64.7879956304252</v>
      </c>
      <c r="P19" s="141">
        <v>66.945319813636743</v>
      </c>
      <c r="Q19" s="141">
        <v>69.327346281408808</v>
      </c>
      <c r="R19" s="141">
        <v>73.08013231689047</v>
      </c>
      <c r="S19" s="141">
        <v>70.107878503819208</v>
      </c>
      <c r="T19" s="141">
        <v>66.306609619148873</v>
      </c>
      <c r="U19" s="141">
        <v>70.107201218874607</v>
      </c>
      <c r="V19" s="141">
        <v>63.165269216115021</v>
      </c>
      <c r="W19" s="141">
        <v>62.7998244235459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3019.8880872064306</v>
      </c>
      <c r="C20" s="130">
        <f t="shared" si="20"/>
        <v>3073.7390300488037</v>
      </c>
      <c r="D20" s="130">
        <f t="shared" si="20"/>
        <v>3293.9874098502787</v>
      </c>
      <c r="E20" s="130">
        <f t="shared" si="20"/>
        <v>3723.7770273900833</v>
      </c>
      <c r="F20" s="130">
        <f t="shared" si="20"/>
        <v>4017.9274040342739</v>
      </c>
      <c r="G20" s="130">
        <f t="shared" si="20"/>
        <v>4485.1076236692343</v>
      </c>
      <c r="H20" s="130">
        <f t="shared" si="20"/>
        <v>4823.3389396448856</v>
      </c>
      <c r="I20" s="130">
        <f t="shared" si="20"/>
        <v>4564.7841431921324</v>
      </c>
      <c r="J20" s="130">
        <f t="shared" si="20"/>
        <v>4925.6107197295305</v>
      </c>
      <c r="K20" s="130">
        <f t="shared" si="20"/>
        <v>4987.3392196611921</v>
      </c>
      <c r="L20" s="130">
        <f t="shared" ref="L20" si="21">SUM(L21:L26)</f>
        <v>4895.4141489419953</v>
      </c>
      <c r="M20" s="130">
        <f t="shared" ref="M20:V20" si="22">SUM(M21:M26)</f>
        <v>4817.2284602202908</v>
      </c>
      <c r="N20" s="130">
        <f t="shared" si="22"/>
        <v>5176.4013448352607</v>
      </c>
      <c r="O20" s="130">
        <f t="shared" si="22"/>
        <v>4516.7237974924483</v>
      </c>
      <c r="P20" s="130">
        <f t="shared" si="22"/>
        <v>5297.9577922034223</v>
      </c>
      <c r="Q20" s="130">
        <f t="shared" si="22"/>
        <v>5844.0453837517407</v>
      </c>
      <c r="R20" s="130">
        <f t="shared" si="22"/>
        <v>6012.8912776544566</v>
      </c>
      <c r="S20" s="130">
        <f t="shared" si="22"/>
        <v>6173.2598822710679</v>
      </c>
      <c r="T20" s="130">
        <f t="shared" si="22"/>
        <v>6487.4613390514414</v>
      </c>
      <c r="U20" s="130">
        <f t="shared" si="22"/>
        <v>6911.4462253587817</v>
      </c>
      <c r="V20" s="130">
        <f t="shared" si="22"/>
        <v>6288.3634633458896</v>
      </c>
      <c r="W20" s="130">
        <f t="shared" ref="W20" si="23">SUM(W21:W26)</f>
        <v>6948.4900464426</v>
      </c>
      <c r="DA20" s="176" t="s">
        <v>404</v>
      </c>
    </row>
    <row r="21" spans="1:105" ht="11.45" customHeight="1" x14ac:dyDescent="0.25">
      <c r="A21" s="111" t="s">
        <v>110</v>
      </c>
      <c r="B21" s="96">
        <v>1900.3580030566588</v>
      </c>
      <c r="C21" s="96">
        <v>1615.5727855205923</v>
      </c>
      <c r="D21" s="96">
        <v>1745.0822479208509</v>
      </c>
      <c r="E21" s="96">
        <v>1669.359923983141</v>
      </c>
      <c r="F21" s="96">
        <v>1571.2285821812379</v>
      </c>
      <c r="G21" s="96">
        <v>1531.2024908369217</v>
      </c>
      <c r="H21" s="96">
        <v>1726.3657429490265</v>
      </c>
      <c r="I21" s="96">
        <v>1711.5669966590722</v>
      </c>
      <c r="J21" s="96">
        <v>1717.7746563324577</v>
      </c>
      <c r="K21" s="96">
        <v>1779.2834224338653</v>
      </c>
      <c r="L21" s="96">
        <v>1679.6763872716315</v>
      </c>
      <c r="M21" s="96">
        <v>1539.7863523433198</v>
      </c>
      <c r="N21" s="96">
        <v>1467.5615465047374</v>
      </c>
      <c r="O21" s="96">
        <v>1185.5110285368683</v>
      </c>
      <c r="P21" s="96">
        <v>1369.6611036388967</v>
      </c>
      <c r="Q21" s="96">
        <v>1405.3682796326402</v>
      </c>
      <c r="R21" s="96">
        <v>1323.4754252167834</v>
      </c>
      <c r="S21" s="96">
        <v>1361.8297957556597</v>
      </c>
      <c r="T21" s="96">
        <v>1285.9204503953122</v>
      </c>
      <c r="U21" s="96">
        <v>1268.9998149904732</v>
      </c>
      <c r="V21" s="96">
        <v>1236.6475551584779</v>
      </c>
      <c r="W21" s="96">
        <v>1358.9069171204856</v>
      </c>
      <c r="DA21" s="171" t="s">
        <v>750</v>
      </c>
    </row>
    <row r="22" spans="1:105" ht="11.45" customHeight="1" x14ac:dyDescent="0.25">
      <c r="A22" s="111" t="s">
        <v>111</v>
      </c>
      <c r="B22" s="96">
        <v>531.55799938977157</v>
      </c>
      <c r="C22" s="96">
        <v>679.17781452821168</v>
      </c>
      <c r="D22" s="96">
        <v>650.5314309694279</v>
      </c>
      <c r="E22" s="96">
        <v>1093.3662938869422</v>
      </c>
      <c r="F22" s="96">
        <v>1453.518614537471</v>
      </c>
      <c r="G22" s="96">
        <v>1768.186193017289</v>
      </c>
      <c r="H22" s="96">
        <v>1848.9431956288688</v>
      </c>
      <c r="I22" s="96">
        <v>1775.841270294078</v>
      </c>
      <c r="J22" s="96">
        <v>2181.357527084524</v>
      </c>
      <c r="K22" s="96">
        <v>2097.8346400581449</v>
      </c>
      <c r="L22" s="96">
        <v>2117.4917270913843</v>
      </c>
      <c r="M22" s="96">
        <v>2255.8730531631782</v>
      </c>
      <c r="N22" s="96">
        <v>2623.7611119094649</v>
      </c>
      <c r="O22" s="96">
        <v>2165.3257197552198</v>
      </c>
      <c r="P22" s="96">
        <v>2627.9871330123319</v>
      </c>
      <c r="Q22" s="96">
        <v>3080.9083503279894</v>
      </c>
      <c r="R22" s="96">
        <v>3254.6512515158552</v>
      </c>
      <c r="S22" s="96">
        <v>3420.7194737857708</v>
      </c>
      <c r="T22" s="96">
        <v>3866.2023678336127</v>
      </c>
      <c r="U22" s="96">
        <v>4351.4302951335085</v>
      </c>
      <c r="V22" s="96">
        <v>3819.7834250933315</v>
      </c>
      <c r="W22" s="96">
        <v>4397.5548352591586</v>
      </c>
      <c r="DA22" s="171" t="s">
        <v>751</v>
      </c>
    </row>
    <row r="23" spans="1:105" ht="11.45" customHeight="1" x14ac:dyDescent="0.25">
      <c r="A23" s="111" t="s">
        <v>112</v>
      </c>
      <c r="B23" s="96">
        <v>587.97208476000003</v>
      </c>
      <c r="C23" s="96">
        <v>778.98842999999988</v>
      </c>
      <c r="D23" s="96">
        <v>898.37373095999999</v>
      </c>
      <c r="E23" s="96">
        <v>961.05080952000003</v>
      </c>
      <c r="F23" s="96">
        <v>982.49857524000004</v>
      </c>
      <c r="G23" s="96">
        <v>1147.3472242800001</v>
      </c>
      <c r="H23" s="96">
        <v>1200.0990009599998</v>
      </c>
      <c r="I23" s="96">
        <v>1010.1048757200001</v>
      </c>
      <c r="J23" s="96">
        <v>963.66314951999993</v>
      </c>
      <c r="K23" s="96">
        <v>1024.61790096</v>
      </c>
      <c r="L23" s="96">
        <v>986.88389904000019</v>
      </c>
      <c r="M23" s="96">
        <v>923.02672428000028</v>
      </c>
      <c r="N23" s="96">
        <v>978.17617476000009</v>
      </c>
      <c r="O23" s="96">
        <v>1050.7413009599998</v>
      </c>
      <c r="P23" s="96">
        <v>1146.5269495200002</v>
      </c>
      <c r="Q23" s="96">
        <v>1221.9944990400002</v>
      </c>
      <c r="R23" s="96">
        <v>1308.5754118965283</v>
      </c>
      <c r="S23" s="96">
        <v>1263.6184015085137</v>
      </c>
      <c r="T23" s="96">
        <v>1204.4865965647753</v>
      </c>
      <c r="U23" s="96">
        <v>1153.7045666034742</v>
      </c>
      <c r="V23" s="96">
        <v>1092.4675874402881</v>
      </c>
      <c r="W23" s="96">
        <v>1055.3615057445663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10.681632075564735</v>
      </c>
      <c r="G24" s="96">
        <v>38.371715535023185</v>
      </c>
      <c r="H24" s="96">
        <v>47.931000106991029</v>
      </c>
      <c r="I24" s="96">
        <v>67.271000518982632</v>
      </c>
      <c r="J24" s="96">
        <v>62.815386792549027</v>
      </c>
      <c r="K24" s="96">
        <v>85.603256209180998</v>
      </c>
      <c r="L24" s="96">
        <v>111.36213553897986</v>
      </c>
      <c r="M24" s="96">
        <v>98.542330433792799</v>
      </c>
      <c r="N24" s="96">
        <v>106.90051801808018</v>
      </c>
      <c r="O24" s="96">
        <v>115.14425793198349</v>
      </c>
      <c r="P24" s="96">
        <v>153.77912455613216</v>
      </c>
      <c r="Q24" s="96">
        <v>135.75783926719453</v>
      </c>
      <c r="R24" s="96">
        <v>126.1632873315272</v>
      </c>
      <c r="S24" s="96">
        <v>127.00325321738013</v>
      </c>
      <c r="T24" s="96">
        <v>130.68622807891174</v>
      </c>
      <c r="U24" s="96">
        <v>136.80054848157823</v>
      </c>
      <c r="V24" s="96">
        <v>138.79212845930132</v>
      </c>
      <c r="W24" s="96">
        <v>135.59596792613721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1.9936429777940405E-3</v>
      </c>
      <c r="O25" s="96">
        <v>1.490308376723042E-3</v>
      </c>
      <c r="P25" s="96">
        <v>3.4814760606981404E-3</v>
      </c>
      <c r="Q25" s="96">
        <v>1.6415483915931884E-2</v>
      </c>
      <c r="R25" s="96">
        <v>2.5901693762630355E-2</v>
      </c>
      <c r="S25" s="96">
        <v>8.895800374406343E-2</v>
      </c>
      <c r="T25" s="96">
        <v>0.16569617882931026</v>
      </c>
      <c r="U25" s="96">
        <v>0.51100014974737229</v>
      </c>
      <c r="V25" s="96">
        <v>0.67276719449049993</v>
      </c>
      <c r="W25" s="96">
        <v>1.0708203922530342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839.70582429747992</v>
      </c>
      <c r="C27" s="130">
        <f t="shared" si="24"/>
        <v>864.88548812045599</v>
      </c>
      <c r="D27" s="130">
        <f t="shared" si="24"/>
        <v>979.63161558769468</v>
      </c>
      <c r="E27" s="130">
        <f t="shared" si="24"/>
        <v>845.31890498911719</v>
      </c>
      <c r="F27" s="130">
        <f t="shared" si="24"/>
        <v>775.92130650989577</v>
      </c>
      <c r="G27" s="130">
        <f t="shared" si="24"/>
        <v>821.57057137728452</v>
      </c>
      <c r="H27" s="130">
        <f t="shared" si="24"/>
        <v>782.17116654382767</v>
      </c>
      <c r="I27" s="130">
        <f t="shared" si="24"/>
        <v>832.28763879222697</v>
      </c>
      <c r="J27" s="130">
        <f t="shared" si="24"/>
        <v>755.74722026728114</v>
      </c>
      <c r="K27" s="130">
        <f t="shared" si="24"/>
        <v>786.31565827631778</v>
      </c>
      <c r="L27" s="130">
        <f t="shared" ref="L27" si="25">SUM(L28:L32)</f>
        <v>719.33244722845438</v>
      </c>
      <c r="M27" s="130">
        <f t="shared" ref="M27:V27" si="26">SUM(M28:M32)</f>
        <v>790.42548378290996</v>
      </c>
      <c r="N27" s="130">
        <f t="shared" si="26"/>
        <v>700.38758021598539</v>
      </c>
      <c r="O27" s="130">
        <f t="shared" si="26"/>
        <v>624.54674394260292</v>
      </c>
      <c r="P27" s="130">
        <f t="shared" si="26"/>
        <v>618.3713880237168</v>
      </c>
      <c r="Q27" s="130">
        <f t="shared" si="26"/>
        <v>674.90894868002374</v>
      </c>
      <c r="R27" s="130">
        <f t="shared" si="26"/>
        <v>638.32552499460121</v>
      </c>
      <c r="S27" s="130">
        <f t="shared" si="26"/>
        <v>593.23210991915448</v>
      </c>
      <c r="T27" s="130">
        <f t="shared" si="26"/>
        <v>607.23239083829628</v>
      </c>
      <c r="U27" s="130">
        <f t="shared" si="26"/>
        <v>665.71235429781166</v>
      </c>
      <c r="V27" s="130">
        <f t="shared" si="26"/>
        <v>650.85685127718557</v>
      </c>
      <c r="W27" s="130">
        <f t="shared" ref="W27" si="27">SUM(W28:W32)</f>
        <v>657.94998376481794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839.70582429747992</v>
      </c>
      <c r="C29" s="97">
        <v>864.88548812045599</v>
      </c>
      <c r="D29" s="97">
        <v>979.63161558769468</v>
      </c>
      <c r="E29" s="97">
        <v>845.31890498911719</v>
      </c>
      <c r="F29" s="97">
        <v>772.97063858546051</v>
      </c>
      <c r="G29" s="97">
        <v>815.10716691230766</v>
      </c>
      <c r="H29" s="97">
        <v>770.77661861081867</v>
      </c>
      <c r="I29" s="97">
        <v>812.71482951120959</v>
      </c>
      <c r="J29" s="97">
        <v>736.26309921983011</v>
      </c>
      <c r="K29" s="97">
        <v>756.5498703654988</v>
      </c>
      <c r="L29" s="97">
        <v>675.83993512743427</v>
      </c>
      <c r="M29" s="97">
        <v>746.2834781367028</v>
      </c>
      <c r="N29" s="97">
        <v>655.06034431406556</v>
      </c>
      <c r="O29" s="97">
        <v>573.22345227458641</v>
      </c>
      <c r="P29" s="97">
        <v>587.55644709984892</v>
      </c>
      <c r="Q29" s="97">
        <v>627.99134246721826</v>
      </c>
      <c r="R29" s="97">
        <v>590.54824393957279</v>
      </c>
      <c r="S29" s="97">
        <v>544.23521035475096</v>
      </c>
      <c r="T29" s="97">
        <v>554.02337777591356</v>
      </c>
      <c r="U29" s="97">
        <v>597.79495949196155</v>
      </c>
      <c r="V29" s="97">
        <v>587.86553244083234</v>
      </c>
      <c r="W29" s="97">
        <v>578.53586254084371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2.9506679244352654</v>
      </c>
      <c r="G31" s="97">
        <v>6.4634044649768043</v>
      </c>
      <c r="H31" s="97">
        <v>11.394547933008978</v>
      </c>
      <c r="I31" s="97">
        <v>19.572809281017388</v>
      </c>
      <c r="J31" s="97">
        <v>19.484121047450991</v>
      </c>
      <c r="K31" s="97">
        <v>29.765787910818982</v>
      </c>
      <c r="L31" s="97">
        <v>43.492512101020154</v>
      </c>
      <c r="M31" s="97">
        <v>44.142005646207203</v>
      </c>
      <c r="N31" s="97">
        <v>45.327235901919821</v>
      </c>
      <c r="O31" s="97">
        <v>51.323291668016516</v>
      </c>
      <c r="P31" s="97">
        <v>30.814940923867834</v>
      </c>
      <c r="Q31" s="97">
        <v>46.917606212805481</v>
      </c>
      <c r="R31" s="97">
        <v>47.777281055028467</v>
      </c>
      <c r="S31" s="97">
        <v>48.996899564403478</v>
      </c>
      <c r="T31" s="97">
        <v>53.209013062382752</v>
      </c>
      <c r="U31" s="97">
        <v>67.917394805850137</v>
      </c>
      <c r="V31" s="97">
        <v>62.991318836353244</v>
      </c>
      <c r="W31" s="97">
        <v>79.414121223974277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1008.0817958893259</v>
      </c>
      <c r="C33" s="32">
        <f t="shared" si="28"/>
        <v>1104.8165168925807</v>
      </c>
      <c r="D33" s="32">
        <f t="shared" si="28"/>
        <v>1055.6313268542349</v>
      </c>
      <c r="E33" s="32">
        <f t="shared" si="28"/>
        <v>1494.7116919436694</v>
      </c>
      <c r="F33" s="32">
        <f t="shared" si="28"/>
        <v>1651.3773452281303</v>
      </c>
      <c r="G33" s="32">
        <f t="shared" si="28"/>
        <v>1781.0238830586136</v>
      </c>
      <c r="H33" s="32">
        <f t="shared" si="28"/>
        <v>1811.8174576736365</v>
      </c>
      <c r="I33" s="32">
        <f t="shared" si="28"/>
        <v>1639.0513087363424</v>
      </c>
      <c r="J33" s="32">
        <f t="shared" si="28"/>
        <v>1744.9232273412365</v>
      </c>
      <c r="K33" s="32">
        <f t="shared" si="28"/>
        <v>1519.8759370830048</v>
      </c>
      <c r="L33" s="32">
        <f t="shared" ref="L33" si="29">L34+L40</f>
        <v>1472.4580977042885</v>
      </c>
      <c r="M33" s="32">
        <f t="shared" ref="M33:V33" si="30">M34+M40</f>
        <v>1532.6654558528621</v>
      </c>
      <c r="N33" s="32">
        <f t="shared" si="30"/>
        <v>1532.8157468431345</v>
      </c>
      <c r="O33" s="32">
        <f t="shared" si="30"/>
        <v>1396.6439798733222</v>
      </c>
      <c r="P33" s="32">
        <f t="shared" si="30"/>
        <v>1528.0384358168244</v>
      </c>
      <c r="Q33" s="32">
        <f t="shared" si="30"/>
        <v>1702.8399301920281</v>
      </c>
      <c r="R33" s="32">
        <f t="shared" si="30"/>
        <v>1691.0693621360524</v>
      </c>
      <c r="S33" s="32">
        <f t="shared" si="30"/>
        <v>1658.6914671999562</v>
      </c>
      <c r="T33" s="32">
        <f t="shared" si="30"/>
        <v>1614.0704357063125</v>
      </c>
      <c r="U33" s="32">
        <f t="shared" si="30"/>
        <v>1430.1035771017323</v>
      </c>
      <c r="V33" s="32">
        <f t="shared" si="30"/>
        <v>1538.1929732256099</v>
      </c>
      <c r="W33" s="32">
        <f t="shared" ref="W33" si="31">W34+W40</f>
        <v>1770.6339228090344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389.98073835674302</v>
      </c>
      <c r="C34" s="141">
        <f t="shared" si="32"/>
        <v>377.42179968912205</v>
      </c>
      <c r="D34" s="141">
        <f t="shared" si="32"/>
        <v>383.80959548055586</v>
      </c>
      <c r="E34" s="141">
        <f t="shared" si="32"/>
        <v>406.81046850909149</v>
      </c>
      <c r="F34" s="141">
        <f t="shared" si="32"/>
        <v>455.01724994441645</v>
      </c>
      <c r="G34" s="141">
        <f t="shared" si="32"/>
        <v>421.35745019794177</v>
      </c>
      <c r="H34" s="141">
        <f t="shared" si="32"/>
        <v>449.62007244587028</v>
      </c>
      <c r="I34" s="141">
        <f t="shared" si="32"/>
        <v>484.32662651248859</v>
      </c>
      <c r="J34" s="141">
        <f t="shared" si="32"/>
        <v>513.15767219014515</v>
      </c>
      <c r="K34" s="141">
        <f t="shared" si="32"/>
        <v>506.65654937769443</v>
      </c>
      <c r="L34" s="141">
        <f t="shared" ref="L34" si="33">SUM(L35:L39)</f>
        <v>492.04617114072317</v>
      </c>
      <c r="M34" s="141">
        <f t="shared" ref="M34:V34" si="34">SUM(M35:M39)</f>
        <v>543.54991563654755</v>
      </c>
      <c r="N34" s="141">
        <f t="shared" si="34"/>
        <v>548.52192324790758</v>
      </c>
      <c r="O34" s="141">
        <f t="shared" si="34"/>
        <v>537.20942993854101</v>
      </c>
      <c r="P34" s="141">
        <f t="shared" si="34"/>
        <v>563.13913148504798</v>
      </c>
      <c r="Q34" s="141">
        <f t="shared" si="34"/>
        <v>624.33521660074132</v>
      </c>
      <c r="R34" s="141">
        <f t="shared" si="34"/>
        <v>607.23418726079478</v>
      </c>
      <c r="S34" s="141">
        <f t="shared" si="34"/>
        <v>514.45624892935302</v>
      </c>
      <c r="T34" s="141">
        <f t="shared" si="34"/>
        <v>514.46730193215512</v>
      </c>
      <c r="U34" s="141">
        <f t="shared" si="34"/>
        <v>500.65854702503782</v>
      </c>
      <c r="V34" s="141">
        <f t="shared" si="34"/>
        <v>479.6838840842986</v>
      </c>
      <c r="W34" s="141">
        <f t="shared" ref="W34" si="35">SUM(W35:W39)</f>
        <v>465.78405574582683</v>
      </c>
      <c r="DA34" s="174" t="s">
        <v>411</v>
      </c>
    </row>
    <row r="35" spans="1:105" ht="11.45" customHeight="1" x14ac:dyDescent="0.25">
      <c r="A35" s="111" t="s">
        <v>110</v>
      </c>
      <c r="B35" s="96">
        <v>86.717133688577604</v>
      </c>
      <c r="C35" s="96">
        <v>88.164517430049003</v>
      </c>
      <c r="D35" s="96">
        <v>89.738116960557463</v>
      </c>
      <c r="E35" s="96">
        <v>91.504448370127278</v>
      </c>
      <c r="F35" s="96">
        <v>93.273326156262925</v>
      </c>
      <c r="G35" s="96">
        <v>84.901206087010834</v>
      </c>
      <c r="H35" s="96">
        <v>74.475489842924219</v>
      </c>
      <c r="I35" s="96">
        <v>64.752833878428646</v>
      </c>
      <c r="J35" s="96">
        <v>56.525553947191767</v>
      </c>
      <c r="K35" s="96">
        <v>47.371131437848653</v>
      </c>
      <c r="L35" s="96">
        <v>36.180589325907114</v>
      </c>
      <c r="M35" s="96">
        <v>39.267562950343439</v>
      </c>
      <c r="N35" s="96">
        <v>36.934761908667447</v>
      </c>
      <c r="O35" s="96">
        <v>33.412796404329796</v>
      </c>
      <c r="P35" s="96">
        <v>30.055322791405811</v>
      </c>
      <c r="Q35" s="96">
        <v>34.641958602035189</v>
      </c>
      <c r="R35" s="96">
        <v>33.493285332563715</v>
      </c>
      <c r="S35" s="96">
        <v>33.08358661677709</v>
      </c>
      <c r="T35" s="96">
        <v>33.075213846709396</v>
      </c>
      <c r="U35" s="96">
        <v>32.229343600905139</v>
      </c>
      <c r="V35" s="96">
        <v>31.972119630916442</v>
      </c>
      <c r="W35" s="96">
        <v>31.846264103715171</v>
      </c>
      <c r="DA35" s="171" t="s">
        <v>761</v>
      </c>
    </row>
    <row r="36" spans="1:105" ht="11.45" customHeight="1" x14ac:dyDescent="0.25">
      <c r="A36" s="111" t="s">
        <v>111</v>
      </c>
      <c r="B36" s="96">
        <v>303.26360466816544</v>
      </c>
      <c r="C36" s="96">
        <v>289.25728225907307</v>
      </c>
      <c r="D36" s="96">
        <v>294.07147851999838</v>
      </c>
      <c r="E36" s="96">
        <v>315.30602013896419</v>
      </c>
      <c r="F36" s="96">
        <v>361.74392378815355</v>
      </c>
      <c r="G36" s="96">
        <v>336.45624411093092</v>
      </c>
      <c r="H36" s="96">
        <v>375.14458260294606</v>
      </c>
      <c r="I36" s="96">
        <v>419.57379263405994</v>
      </c>
      <c r="J36" s="96">
        <v>456.63211824295342</v>
      </c>
      <c r="K36" s="96">
        <v>459.28541793984579</v>
      </c>
      <c r="L36" s="96">
        <v>455.86558181481604</v>
      </c>
      <c r="M36" s="96">
        <v>504.28235268620409</v>
      </c>
      <c r="N36" s="96">
        <v>511.58716133924014</v>
      </c>
      <c r="O36" s="96">
        <v>503.79663353421125</v>
      </c>
      <c r="P36" s="96">
        <v>533.08380869364214</v>
      </c>
      <c r="Q36" s="96">
        <v>589.69325799870614</v>
      </c>
      <c r="R36" s="96">
        <v>573.14560565131478</v>
      </c>
      <c r="S36" s="96">
        <v>479.6991643628732</v>
      </c>
      <c r="T36" s="96">
        <v>478.18196191151515</v>
      </c>
      <c r="U36" s="96">
        <v>463.18284595503519</v>
      </c>
      <c r="V36" s="96">
        <v>441.26802370932478</v>
      </c>
      <c r="W36" s="96">
        <v>425.73981865678923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0.49723858347197558</v>
      </c>
      <c r="S37" s="96">
        <v>1.4797075314863783</v>
      </c>
      <c r="T37" s="96">
        <v>2.9049218752250612</v>
      </c>
      <c r="U37" s="96">
        <v>4.7812211165258196</v>
      </c>
      <c r="V37" s="96">
        <v>5.7921781197119246</v>
      </c>
      <c r="W37" s="96">
        <v>7.3936061354339486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9.8057693444352889E-2</v>
      </c>
      <c r="S38" s="96">
        <v>0.19379041821636228</v>
      </c>
      <c r="T38" s="96">
        <v>0.30520429870549864</v>
      </c>
      <c r="U38" s="96">
        <v>0.46513635257161112</v>
      </c>
      <c r="V38" s="96">
        <v>0.65156262434543988</v>
      </c>
      <c r="W38" s="96">
        <v>0.8043668498884925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618.1010575325829</v>
      </c>
      <c r="C40" s="130">
        <f t="shared" si="36"/>
        <v>727.39471720345864</v>
      </c>
      <c r="D40" s="130">
        <f t="shared" si="36"/>
        <v>671.82173137367897</v>
      </c>
      <c r="E40" s="130">
        <f t="shared" si="36"/>
        <v>1087.9012234345778</v>
      </c>
      <c r="F40" s="130">
        <f t="shared" si="36"/>
        <v>1196.3600952837137</v>
      </c>
      <c r="G40" s="130">
        <f t="shared" si="36"/>
        <v>1359.6664328606719</v>
      </c>
      <c r="H40" s="130">
        <f t="shared" si="36"/>
        <v>1362.1973852277661</v>
      </c>
      <c r="I40" s="130">
        <f t="shared" si="36"/>
        <v>1154.724682223854</v>
      </c>
      <c r="J40" s="130">
        <f t="shared" si="36"/>
        <v>1231.7655551510913</v>
      </c>
      <c r="K40" s="130">
        <f t="shared" si="36"/>
        <v>1013.2193877053103</v>
      </c>
      <c r="L40" s="130">
        <f t="shared" ref="L40" si="37">SUM(L41:L42)</f>
        <v>980.41192656356543</v>
      </c>
      <c r="M40" s="130">
        <f t="shared" ref="M40:V40" si="38">SUM(M41:M42)</f>
        <v>989.11554021631446</v>
      </c>
      <c r="N40" s="130">
        <f t="shared" si="38"/>
        <v>984.29382359522708</v>
      </c>
      <c r="O40" s="130">
        <f t="shared" si="38"/>
        <v>859.4345499347811</v>
      </c>
      <c r="P40" s="130">
        <f t="shared" si="38"/>
        <v>964.89930433177642</v>
      </c>
      <c r="Q40" s="130">
        <f t="shared" si="38"/>
        <v>1078.5047135912869</v>
      </c>
      <c r="R40" s="130">
        <f t="shared" si="38"/>
        <v>1083.8351748752575</v>
      </c>
      <c r="S40" s="130">
        <f t="shared" si="38"/>
        <v>1144.2352182706031</v>
      </c>
      <c r="T40" s="130">
        <f t="shared" si="38"/>
        <v>1099.6031337741574</v>
      </c>
      <c r="U40" s="130">
        <f t="shared" si="38"/>
        <v>929.44503007669459</v>
      </c>
      <c r="V40" s="130">
        <f t="shared" si="38"/>
        <v>1058.5090891413113</v>
      </c>
      <c r="W40" s="130">
        <f t="shared" ref="W40" si="39">SUM(W41:W42)</f>
        <v>1304.8498670632075</v>
      </c>
      <c r="DA40" s="176" t="s">
        <v>412</v>
      </c>
    </row>
    <row r="41" spans="1:105" ht="11.45" customHeight="1" x14ac:dyDescent="0.25">
      <c r="A41" s="128" t="s">
        <v>27</v>
      </c>
      <c r="B41" s="97">
        <v>231.33469026455063</v>
      </c>
      <c r="C41" s="97">
        <v>324.92735970182713</v>
      </c>
      <c r="D41" s="97">
        <v>246.33695772154621</v>
      </c>
      <c r="E41" s="97">
        <v>675.36066591821759</v>
      </c>
      <c r="F41" s="97">
        <v>711.97420971518443</v>
      </c>
      <c r="G41" s="97">
        <v>869.72085876913798</v>
      </c>
      <c r="H41" s="97">
        <v>939.78851616979603</v>
      </c>
      <c r="I41" s="97">
        <v>777.93609656830222</v>
      </c>
      <c r="J41" s="97">
        <v>1014.9587608146313</v>
      </c>
      <c r="K41" s="97">
        <v>808.06094234088982</v>
      </c>
      <c r="L41" s="97">
        <v>756.26919288041563</v>
      </c>
      <c r="M41" s="97">
        <v>727.80474432734604</v>
      </c>
      <c r="N41" s="97">
        <v>754.25571361564675</v>
      </c>
      <c r="O41" s="97">
        <v>564.29299942297359</v>
      </c>
      <c r="P41" s="97">
        <v>695.23353140884205</v>
      </c>
      <c r="Q41" s="97">
        <v>771.62781938443322</v>
      </c>
      <c r="R41" s="97">
        <v>792.00997243355914</v>
      </c>
      <c r="S41" s="97">
        <v>869.39151220157612</v>
      </c>
      <c r="T41" s="97">
        <v>850.73450863961432</v>
      </c>
      <c r="U41" s="97">
        <v>714.5697257295476</v>
      </c>
      <c r="V41" s="97">
        <v>792.59874449818199</v>
      </c>
      <c r="W41" s="97">
        <v>993.90797729342557</v>
      </c>
      <c r="DA41" s="175" t="s">
        <v>766</v>
      </c>
    </row>
    <row r="42" spans="1:105" ht="11.45" customHeight="1" x14ac:dyDescent="0.25">
      <c r="A42" s="138" t="s">
        <v>116</v>
      </c>
      <c r="B42" s="98">
        <v>386.7663672680323</v>
      </c>
      <c r="C42" s="98">
        <v>402.46735750163151</v>
      </c>
      <c r="D42" s="98">
        <v>425.48477365213279</v>
      </c>
      <c r="E42" s="98">
        <v>412.54055751636025</v>
      </c>
      <c r="F42" s="98">
        <v>484.38588556852926</v>
      </c>
      <c r="G42" s="98">
        <v>489.94557409153384</v>
      </c>
      <c r="H42" s="98">
        <v>422.40886905797009</v>
      </c>
      <c r="I42" s="98">
        <v>376.78858565555169</v>
      </c>
      <c r="J42" s="98">
        <v>216.80679433645997</v>
      </c>
      <c r="K42" s="98">
        <v>205.15844536442046</v>
      </c>
      <c r="L42" s="98">
        <v>224.14273368314986</v>
      </c>
      <c r="M42" s="98">
        <v>261.31079588896847</v>
      </c>
      <c r="N42" s="98">
        <v>230.03810997958036</v>
      </c>
      <c r="O42" s="98">
        <v>295.14155051180751</v>
      </c>
      <c r="P42" s="98">
        <v>269.66577292293431</v>
      </c>
      <c r="Q42" s="98">
        <v>306.87689420685376</v>
      </c>
      <c r="R42" s="98">
        <v>291.82520244169831</v>
      </c>
      <c r="S42" s="98">
        <v>274.84370606902695</v>
      </c>
      <c r="T42" s="98">
        <v>248.86862513454315</v>
      </c>
      <c r="U42" s="98">
        <v>214.87530434714694</v>
      </c>
      <c r="V42" s="98">
        <v>265.91034464312924</v>
      </c>
      <c r="W42" s="98">
        <v>310.94188976978194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2.9561528238094916</v>
      </c>
      <c r="C47" s="145">
        <f>IF(C4=0,0,C4/TrRoad_ene!C4)</f>
        <v>2.9533858359458578</v>
      </c>
      <c r="D47" s="145">
        <f>IF(D4=0,0,D4/TrRoad_ene!D4)</f>
        <v>2.9452956935625667</v>
      </c>
      <c r="E47" s="145">
        <f>IF(E4=0,0,E4/TrRoad_ene!E4)</f>
        <v>2.9606706641053968</v>
      </c>
      <c r="F47" s="145">
        <f>IF(F4=0,0,F4/TrRoad_ene!F4)</f>
        <v>2.9680164891154068</v>
      </c>
      <c r="G47" s="145">
        <f>IF(G4=0,0,G4/TrRoad_ene!G4)</f>
        <v>2.9654822802677083</v>
      </c>
      <c r="H47" s="145">
        <f>IF(H4=0,0,H4/TrRoad_ene!H4)</f>
        <v>2.9547723950056581</v>
      </c>
      <c r="I47" s="145">
        <f>IF(I4=0,0,I4/TrRoad_ene!I4)</f>
        <v>2.961361792831831</v>
      </c>
      <c r="J47" s="145">
        <f>IF(J4=0,0,J4/TrRoad_ene!J4)</f>
        <v>2.9697539950179079</v>
      </c>
      <c r="K47" s="145">
        <f>IF(K4=0,0,K4/TrRoad_ene!K4)</f>
        <v>2.9581873462321471</v>
      </c>
      <c r="L47" s="145">
        <f>IF(L4=0,0,L4/TrRoad_ene!L4)</f>
        <v>2.9427437797557143</v>
      </c>
      <c r="M47" s="145">
        <f>IF(M4=0,0,M4/TrRoad_ene!M4)</f>
        <v>2.9487562433092931</v>
      </c>
      <c r="N47" s="145">
        <f>IF(N4=0,0,N4/TrRoad_ene!N4)</f>
        <v>2.8731178663034282</v>
      </c>
      <c r="O47" s="145">
        <f>IF(O4=0,0,O4/TrRoad_ene!O4)</f>
        <v>2.8200905349879828</v>
      </c>
      <c r="P47" s="145">
        <f>IF(P4=0,0,P4/TrRoad_ene!P4)</f>
        <v>2.8297438200071281</v>
      </c>
      <c r="Q47" s="145">
        <f>IF(Q4=0,0,Q4/TrRoad_ene!Q4)</f>
        <v>2.8136798895435651</v>
      </c>
      <c r="R47" s="145">
        <f>IF(R4=0,0,R4/TrRoad_ene!R4)</f>
        <v>2.7996674883249884</v>
      </c>
      <c r="S47" s="145">
        <f>IF(S4=0,0,S4/TrRoad_ene!S4)</f>
        <v>2.8008037521013867</v>
      </c>
      <c r="T47" s="145">
        <f>IF(T4=0,0,T4/TrRoad_ene!T4)</f>
        <v>2.8155975621224698</v>
      </c>
      <c r="U47" s="145">
        <f>IF(U4=0,0,U4/TrRoad_ene!U4)</f>
        <v>2.8111537760132888</v>
      </c>
      <c r="V47" s="145">
        <f>IF(V4=0,0,V4/TrRoad_ene!V4)</f>
        <v>2.8057988530257374</v>
      </c>
      <c r="W47" s="145">
        <f>IF(W4=0,0,W4/TrRoad_ene!W4)</f>
        <v>2.8328435077891188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2.8474969188836434</v>
      </c>
      <c r="P48" s="97">
        <f>IF(P7=0,0,(P7+P12)/(TrRoad_ene!P7+TrRoad_ene!P12))</f>
        <v>2.8187440269306103</v>
      </c>
      <c r="Q48" s="97">
        <f>IF(Q7=0,0,(Q7+Q12)/(TrRoad_ene!Q7+TrRoad_ene!Q12))</f>
        <v>2.732106929182879</v>
      </c>
      <c r="R48" s="97">
        <f>IF(R7=0,0,(R7+R12)/(TrRoad_ene!R7+TrRoad_ene!R12))</f>
        <v>2.7199550984055856</v>
      </c>
      <c r="S48" s="97">
        <f>IF(S7=0,0,(S7+S12)/(TrRoad_ene!S7+TrRoad_ene!S12))</f>
        <v>2.7560004499041022</v>
      </c>
      <c r="T48" s="97">
        <f>IF(T7=0,0,(T7+T12)/(TrRoad_ene!T7+TrRoad_ene!T12))</f>
        <v>2.737520303168699</v>
      </c>
      <c r="U48" s="97">
        <f>IF(U7=0,0,(U7+U12)/(TrRoad_ene!U7+TrRoad_ene!U12))</f>
        <v>2.7185072708688223</v>
      </c>
      <c r="V48" s="97">
        <f>IF(V7=0,0,(V7+V12)/(TrRoad_ene!V7+TrRoad_ene!V12))</f>
        <v>2.7431190821486862</v>
      </c>
      <c r="W48" s="97">
        <f>IF(W7=0,0,(W7+W12)/(TrRoad_ene!W7+TrRoad_ene!W12))</f>
        <v>2.7861349831125453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3.0904731881880294</v>
      </c>
      <c r="I49" s="97">
        <f>IF(I8=0,0,(I8+I13+I14)/(TrRoad_ene!I8+TrRoad_ene!I13+TrRoad_ene!I14))</f>
        <v>3.0970565399174603</v>
      </c>
      <c r="J49" s="97">
        <f>IF(J8=0,0,(J8+J13+J14)/(TrRoad_ene!J8+TrRoad_ene!J13+TrRoad_ene!J14))</f>
        <v>3.0937077316445936</v>
      </c>
      <c r="K49" s="97">
        <f>IF(K8=0,0,(K8+K13+K14)/(TrRoad_ene!K8+TrRoad_ene!K13+TrRoad_ene!K14))</f>
        <v>3.0941059985954555</v>
      </c>
      <c r="L49" s="97">
        <f>IF(L8=0,0,(L8+L13+L14)/(TrRoad_ene!L8+TrRoad_ene!L13+TrRoad_ene!L14))</f>
        <v>3.0722026588764511</v>
      </c>
      <c r="M49" s="97">
        <f>IF(M8=0,0,(M8+M13+M14)/(TrRoad_ene!M8+TrRoad_ene!M13+TrRoad_ene!M14))</f>
        <v>3.0660555321363305</v>
      </c>
      <c r="N49" s="97">
        <f>IF(N8=0,0,(N8+N13+N14)/(TrRoad_ene!N8+TrRoad_ene!N13+TrRoad_ene!N14))</f>
        <v>2.9383613656743468</v>
      </c>
      <c r="O49" s="97">
        <f>IF(O8=0,0,(O8+O13+O14)/(TrRoad_ene!O8+TrRoad_ene!O13+TrRoad_ene!O14))</f>
        <v>2.8944953830569609</v>
      </c>
      <c r="P49" s="97">
        <f>IF(P8=0,0,(P8+P13+P14)/(TrRoad_ene!P8+TrRoad_ene!P13+TrRoad_ene!P14))</f>
        <v>2.9182580574010686</v>
      </c>
      <c r="Q49" s="97">
        <f>IF(Q8=0,0,(Q8+Q13+Q14)/(TrRoad_ene!Q8+TrRoad_ene!Q13+TrRoad_ene!Q14))</f>
        <v>2.9110025848854071</v>
      </c>
      <c r="R49" s="97">
        <f>IF(R8=0,0,(R8+R13+R14)/(TrRoad_ene!R8+TrRoad_ene!R13+TrRoad_ene!R14))</f>
        <v>2.8901611970258614</v>
      </c>
      <c r="S49" s="97">
        <f>IF(S8=0,0,(S8+S13+S14)/(TrRoad_ene!S8+TrRoad_ene!S13+TrRoad_ene!S14))</f>
        <v>2.8793038888425206</v>
      </c>
      <c r="T49" s="97">
        <f>IF(T8=0,0,(T8+T13+T14)/(TrRoad_ene!T8+TrRoad_ene!T13+TrRoad_ene!T14))</f>
        <v>2.8998786879299181</v>
      </c>
      <c r="U49" s="97">
        <f>IF(U8=0,0,(U8+U13+U14)/(TrRoad_ene!U8+TrRoad_ene!U13+TrRoad_ene!U14))</f>
        <v>2.8934740652389057</v>
      </c>
      <c r="V49" s="97">
        <f>IF(V8=0,0,(V8+V13+V14)/(TrRoad_ene!V8+TrRoad_ene!V13+TrRoad_ene!V14))</f>
        <v>2.8821129751495791</v>
      </c>
      <c r="W49" s="97">
        <f>IF(W8=0,0,(W8+W13+W14)/(TrRoad_ene!W8+TrRoad_ene!W13+TrRoad_ene!W14))</f>
        <v>2.9051782302831688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316.72084558651886</v>
      </c>
      <c r="C54" s="62">
        <f>IF(TrRoad_act!C30=0,0,C17/TrRoad_act!C30*1000
)</f>
        <v>321.17094293290876</v>
      </c>
      <c r="D54" s="62">
        <f>IF(TrRoad_act!D30=0,0,D17/TrRoad_act!D30*1000
)</f>
        <v>309.50304063898477</v>
      </c>
      <c r="E54" s="62">
        <f>IF(TrRoad_act!E30=0,0,E17/TrRoad_act!E30*1000
)</f>
        <v>322.55585915029144</v>
      </c>
      <c r="F54" s="62">
        <f>IF(TrRoad_act!F30=0,0,F17/TrRoad_act!F30*1000
)</f>
        <v>309.13583838538267</v>
      </c>
      <c r="G54" s="62">
        <f>IF(TrRoad_act!G30=0,0,G17/TrRoad_act!G30*1000
)</f>
        <v>312.14697635496708</v>
      </c>
      <c r="H54" s="62">
        <f>IF(TrRoad_act!H30=0,0,H17/TrRoad_act!H30*1000
)</f>
        <v>296.03622239821806</v>
      </c>
      <c r="I54" s="62">
        <f>IF(TrRoad_act!I30=0,0,I17/TrRoad_act!I30*1000
)</f>
        <v>282.32525389868704</v>
      </c>
      <c r="J54" s="62">
        <f>IF(TrRoad_act!J30=0,0,J17/TrRoad_act!J30*1000
)</f>
        <v>277.98253849474224</v>
      </c>
      <c r="K54" s="62">
        <f>IF(TrRoad_act!K30=0,0,K17/TrRoad_act!K30*1000
)</f>
        <v>265.61631387753999</v>
      </c>
      <c r="L54" s="62">
        <f>IF(TrRoad_act!L30=0,0,L17/TrRoad_act!L30*1000
)</f>
        <v>259.25547217852829</v>
      </c>
      <c r="M54" s="62">
        <f>IF(TrRoad_act!M30=0,0,M17/TrRoad_act!M30*1000
)</f>
        <v>257.32446671688518</v>
      </c>
      <c r="N54" s="62">
        <f>IF(TrRoad_act!N30=0,0,N17/TrRoad_act!N30*1000
)</f>
        <v>251.48043181044301</v>
      </c>
      <c r="O54" s="62">
        <f>IF(TrRoad_act!O30=0,0,O17/TrRoad_act!O30*1000
)</f>
        <v>217.4109836183103</v>
      </c>
      <c r="P54" s="62">
        <f>IF(TrRoad_act!P30=0,0,P17/TrRoad_act!P30*1000
)</f>
        <v>237.81167628257742</v>
      </c>
      <c r="Q54" s="62">
        <f>IF(TrRoad_act!Q30=0,0,Q17/TrRoad_act!Q30*1000
)</f>
        <v>233.82305800521661</v>
      </c>
      <c r="R54" s="62">
        <f>IF(TrRoad_act!R30=0,0,R17/TrRoad_act!R30*1000
)</f>
        <v>232.43859955891801</v>
      </c>
      <c r="S54" s="62">
        <f>IF(TrRoad_act!S30=0,0,S17/TrRoad_act!S30*1000
)</f>
        <v>236.34420446683461</v>
      </c>
      <c r="T54" s="62">
        <f>IF(TrRoad_act!T30=0,0,T17/TrRoad_act!T30*1000
)</f>
        <v>242.41869048411365</v>
      </c>
      <c r="U54" s="62">
        <f>IF(TrRoad_act!U30=0,0,U17/TrRoad_act!U30*1000
)</f>
        <v>244.61181703421929</v>
      </c>
      <c r="V54" s="62">
        <f>IF(TrRoad_act!V30=0,0,V17/TrRoad_act!V30*1000
)</f>
        <v>236.04729633279973</v>
      </c>
      <c r="W54" s="62">
        <f>IF(TrRoad_act!W30=0,0,W17/TrRoad_act!W30*1000
)</f>
        <v>237.95398467551362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286.58422823058993</v>
      </c>
      <c r="C55" s="29">
        <f>IF(TrRoad_act!C31=0,0,C18/TrRoad_act!C31*1000
)</f>
        <v>285.82685513452446</v>
      </c>
      <c r="D55" s="29">
        <f>IF(TrRoad_act!D31=0,0,D18/TrRoad_act!D31*1000
)</f>
        <v>280.2068193311336</v>
      </c>
      <c r="E55" s="29">
        <f>IF(TrRoad_act!E31=0,0,E18/TrRoad_act!E31*1000
)</f>
        <v>277.78755984319395</v>
      </c>
      <c r="F55" s="29">
        <f>IF(TrRoad_act!F31=0,0,F18/TrRoad_act!F31*1000
)</f>
        <v>265.00238253295026</v>
      </c>
      <c r="G55" s="29">
        <f>IF(TrRoad_act!G31=0,0,G18/TrRoad_act!G31*1000
)</f>
        <v>265.86640140458883</v>
      </c>
      <c r="H55" s="29">
        <f>IF(TrRoad_act!H31=0,0,H18/TrRoad_act!H31*1000
)</f>
        <v>254.39473101650805</v>
      </c>
      <c r="I55" s="29">
        <f>IF(TrRoad_act!I31=0,0,I18/TrRoad_act!I31*1000
)</f>
        <v>247.63426886110895</v>
      </c>
      <c r="J55" s="29">
        <f>IF(TrRoad_act!J31=0,0,J18/TrRoad_act!J31*1000
)</f>
        <v>243.2262374867143</v>
      </c>
      <c r="K55" s="29">
        <f>IF(TrRoad_act!K31=0,0,K18/TrRoad_act!K31*1000
)</f>
        <v>238.09909608907611</v>
      </c>
      <c r="L55" s="29">
        <f>IF(TrRoad_act!L31=0,0,L18/TrRoad_act!L31*1000
)</f>
        <v>232.26862837468687</v>
      </c>
      <c r="M55" s="29">
        <f>IF(TrRoad_act!M31=0,0,M18/TrRoad_act!M31*1000
)</f>
        <v>230.80496209516355</v>
      </c>
      <c r="N55" s="29">
        <f>IF(TrRoad_act!N31=0,0,N18/TrRoad_act!N31*1000
)</f>
        <v>226.84498722389614</v>
      </c>
      <c r="O55" s="29">
        <f>IF(TrRoad_act!O31=0,0,O18/TrRoad_act!O31*1000
)</f>
        <v>194.67773642241175</v>
      </c>
      <c r="P55" s="29">
        <f>IF(TrRoad_act!P31=0,0,P18/TrRoad_act!P31*1000
)</f>
        <v>214.47582786237996</v>
      </c>
      <c r="Q55" s="29">
        <f>IF(TrRoad_act!Q31=0,0,Q18/TrRoad_act!Q31*1000
)</f>
        <v>210.14961477465599</v>
      </c>
      <c r="R55" s="29">
        <f>IF(TrRoad_act!R31=0,0,R18/TrRoad_act!R31*1000
)</f>
        <v>209.25399142388292</v>
      </c>
      <c r="S55" s="29">
        <f>IF(TrRoad_act!S31=0,0,S18/TrRoad_act!S31*1000
)</f>
        <v>211.97731543964659</v>
      </c>
      <c r="T55" s="29">
        <f>IF(TrRoad_act!T31=0,0,T18/TrRoad_act!T31*1000
)</f>
        <v>219.56858048641976</v>
      </c>
      <c r="U55" s="29">
        <f>IF(TrRoad_act!U31=0,0,U18/TrRoad_act!U31*1000
)</f>
        <v>226.25451094175341</v>
      </c>
      <c r="V55" s="29">
        <f>IF(TrRoad_act!V31=0,0,V18/TrRoad_act!V31*1000
)</f>
        <v>213.95182328446012</v>
      </c>
      <c r="W55" s="29">
        <f>IF(TrRoad_act!W31=0,0,W18/TrRoad_act!W31*1000
)</f>
        <v>212.50776657718751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133.5168411410049</v>
      </c>
      <c r="C56" s="152">
        <f>IF(TrRoad_act!C32=0,0,C19/TrRoad_act!C32*1000
)</f>
        <v>133.04835739311284</v>
      </c>
      <c r="D56" s="152">
        <f>IF(TrRoad_act!D32=0,0,D19/TrRoad_act!D32*1000
)</f>
        <v>132.45490332996354</v>
      </c>
      <c r="E56" s="152">
        <f>IF(TrRoad_act!E32=0,0,E19/TrRoad_act!E32*1000
)</f>
        <v>131.73232050731238</v>
      </c>
      <c r="F56" s="152">
        <f>IF(TrRoad_act!F32=0,0,F19/TrRoad_act!F32*1000
)</f>
        <v>125.15835405189161</v>
      </c>
      <c r="G56" s="152">
        <f>IF(TrRoad_act!G32=0,0,G19/TrRoad_act!G32*1000
)</f>
        <v>124.91605646157876</v>
      </c>
      <c r="H56" s="152">
        <f>IF(TrRoad_act!H32=0,0,H19/TrRoad_act!H32*1000
)</f>
        <v>124.63842100192576</v>
      </c>
      <c r="I56" s="152">
        <f>IF(TrRoad_act!I32=0,0,I19/TrRoad_act!I32*1000
)</f>
        <v>122.5013279283482</v>
      </c>
      <c r="J56" s="152">
        <f>IF(TrRoad_act!J32=0,0,J19/TrRoad_act!J32*1000
)</f>
        <v>120.07801565298357</v>
      </c>
      <c r="K56" s="152">
        <f>IF(TrRoad_act!K32=0,0,K19/TrRoad_act!K32*1000
)</f>
        <v>118.34629041883184</v>
      </c>
      <c r="L56" s="152">
        <f>IF(TrRoad_act!L32=0,0,L19/TrRoad_act!L32*1000
)</f>
        <v>117.04400935400912</v>
      </c>
      <c r="M56" s="152">
        <f>IF(TrRoad_act!M32=0,0,M19/TrRoad_act!M32*1000
)</f>
        <v>115.59900732414887</v>
      </c>
      <c r="N56" s="152">
        <f>IF(TrRoad_act!N32=0,0,N19/TrRoad_act!N32*1000
)</f>
        <v>114.10291849838205</v>
      </c>
      <c r="O56" s="152">
        <f>IF(TrRoad_act!O32=0,0,O19/TrRoad_act!O32*1000
)</f>
        <v>110.62352717080611</v>
      </c>
      <c r="P56" s="152">
        <f>IF(TrRoad_act!P32=0,0,P19/TrRoad_act!P32*1000
)</f>
        <v>108.41224063342673</v>
      </c>
      <c r="Q56" s="152">
        <f>IF(TrRoad_act!Q32=0,0,Q19/TrRoad_act!Q32*1000
)</f>
        <v>103.76198447392153</v>
      </c>
      <c r="R56" s="152">
        <f>IF(TrRoad_act!R32=0,0,R19/TrRoad_act!R32*1000
)</f>
        <v>102.02741719660014</v>
      </c>
      <c r="S56" s="152">
        <f>IF(TrRoad_act!S32=0,0,S19/TrRoad_act!S32*1000
)</f>
        <v>102.57458521444197</v>
      </c>
      <c r="T56" s="152">
        <f>IF(TrRoad_act!T32=0,0,T19/TrRoad_act!T32*1000
)</f>
        <v>100.76822680023389</v>
      </c>
      <c r="U56" s="152">
        <f>IF(TrRoad_act!U32=0,0,U19/TrRoad_act!U32*1000
)</f>
        <v>99.542475050797108</v>
      </c>
      <c r="V56" s="152">
        <f>IF(TrRoad_act!V32=0,0,V19/TrRoad_act!V32*1000
)</f>
        <v>99.664429534773831</v>
      </c>
      <c r="W56" s="152">
        <f>IF(TrRoad_act!W32=0,0,W19/TrRoad_act!W32*1000
)</f>
        <v>95.098096942743695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234.85777142863122</v>
      </c>
      <c r="C57" s="116">
        <f>IF(TrRoad_act!C33=0,0,C20/TrRoad_act!C33*1000
)</f>
        <v>233.83825947041717</v>
      </c>
      <c r="D57" s="116">
        <f>IF(TrRoad_act!D33=0,0,D20/TrRoad_act!D33*1000
)</f>
        <v>226.58497109198413</v>
      </c>
      <c r="E57" s="116">
        <f>IF(TrRoad_act!E33=0,0,E20/TrRoad_act!E33*1000
)</f>
        <v>235.55157454620871</v>
      </c>
      <c r="F57" s="116">
        <f>IF(TrRoad_act!F33=0,0,F20/TrRoad_act!F33*1000
)</f>
        <v>229.88537322340318</v>
      </c>
      <c r="G57" s="116">
        <f>IF(TrRoad_act!G33=0,0,G20/TrRoad_act!G33*1000
)</f>
        <v>232.34899445161867</v>
      </c>
      <c r="H57" s="116">
        <f>IF(TrRoad_act!H33=0,0,H20/TrRoad_act!H33*1000
)</f>
        <v>225.4220248129032</v>
      </c>
      <c r="I57" s="116">
        <f>IF(TrRoad_act!I33=0,0,I20/TrRoad_act!I33*1000
)</f>
        <v>216.17872680453956</v>
      </c>
      <c r="J57" s="116">
        <f>IF(TrRoad_act!J33=0,0,J20/TrRoad_act!J33*1000
)</f>
        <v>217.01206145159259</v>
      </c>
      <c r="K57" s="116">
        <f>IF(TrRoad_act!K33=0,0,K20/TrRoad_act!K33*1000
)</f>
        <v>211.75106187217261</v>
      </c>
      <c r="L57" s="116">
        <f>IF(TrRoad_act!L33=0,0,L20/TrRoad_act!L33*1000
)</f>
        <v>208.36600388099907</v>
      </c>
      <c r="M57" s="116">
        <f>IF(TrRoad_act!M33=0,0,M20/TrRoad_act!M33*1000
)</f>
        <v>204.50937301459601</v>
      </c>
      <c r="N57" s="116">
        <f>IF(TrRoad_act!N33=0,0,N20/TrRoad_act!N33*1000
)</f>
        <v>205.5421834090632</v>
      </c>
      <c r="O57" s="116">
        <f>IF(TrRoad_act!O33=0,0,O20/TrRoad_act!O33*1000
)</f>
        <v>175.63614243452975</v>
      </c>
      <c r="P57" s="116">
        <f>IF(TrRoad_act!P33=0,0,P20/TrRoad_act!P33*1000
)</f>
        <v>197.50892671566262</v>
      </c>
      <c r="Q57" s="116">
        <f>IF(TrRoad_act!Q33=0,0,Q20/TrRoad_act!Q33*1000
)</f>
        <v>193.49294153061518</v>
      </c>
      <c r="R57" s="116">
        <f>IF(TrRoad_act!R33=0,0,R20/TrRoad_act!R33*1000
)</f>
        <v>194.14185603986849</v>
      </c>
      <c r="S57" s="116">
        <f>IF(TrRoad_act!S33=0,0,S20/TrRoad_act!S33*1000
)</f>
        <v>198.1861117322874</v>
      </c>
      <c r="T57" s="116">
        <f>IF(TrRoad_act!T33=0,0,T20/TrRoad_act!T33*1000
)</f>
        <v>205.76598798982039</v>
      </c>
      <c r="U57" s="116">
        <f>IF(TrRoad_act!U33=0,0,U20/TrRoad_act!U33*1000
)</f>
        <v>211.83844228854812</v>
      </c>
      <c r="V57" s="116">
        <f>IF(TrRoad_act!V33=0,0,V20/TrRoad_act!V33*1000
)</f>
        <v>198.8131241367885</v>
      </c>
      <c r="W57" s="116">
        <f>IF(TrRoad_act!W33=0,0,W20/TrRoad_act!W33*1000
)</f>
        <v>198.73590352414701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241.11131142777816</v>
      </c>
      <c r="C58" s="87">
        <f>IF(TrRoad_act!C34=0,0,C21/TrRoad_act!C34*1000
)</f>
        <v>233.80033970142506</v>
      </c>
      <c r="D58" s="87">
        <f>IF(TrRoad_act!D34=0,0,D21/TrRoad_act!D34*1000
)</f>
        <v>235.62473971590467</v>
      </c>
      <c r="E58" s="87">
        <f>IF(TrRoad_act!E34=0,0,E21/TrRoad_act!E34*1000
)</f>
        <v>234.8329667616801</v>
      </c>
      <c r="F58" s="87">
        <f>IF(TrRoad_act!F34=0,0,F21/TrRoad_act!F34*1000
)</f>
        <v>239.8189326733885</v>
      </c>
      <c r="G58" s="87">
        <f>IF(TrRoad_act!G34=0,0,G21/TrRoad_act!G34*1000
)</f>
        <v>242.41043936865682</v>
      </c>
      <c r="H58" s="87">
        <f>IF(TrRoad_act!H34=0,0,H21/TrRoad_act!H34*1000
)</f>
        <v>247.08532206602965</v>
      </c>
      <c r="I58" s="87">
        <f>IF(TrRoad_act!I34=0,0,I21/TrRoad_act!I34*1000
)</f>
        <v>246.64076099393358</v>
      </c>
      <c r="J58" s="87">
        <f>IF(TrRoad_act!J34=0,0,J21/TrRoad_act!J34*1000
)</f>
        <v>245.14200673998542</v>
      </c>
      <c r="K58" s="87">
        <f>IF(TrRoad_act!K34=0,0,K21/TrRoad_act!K34*1000
)</f>
        <v>238.45639821541002</v>
      </c>
      <c r="L58" s="87">
        <f>IF(TrRoad_act!L34=0,0,L21/TrRoad_act!L34*1000
)</f>
        <v>240.3499857511739</v>
      </c>
      <c r="M58" s="87">
        <f>IF(TrRoad_act!M34=0,0,M21/TrRoad_act!M34*1000
)</f>
        <v>234.42122447711492</v>
      </c>
      <c r="N58" s="87">
        <f>IF(TrRoad_act!N34=0,0,N21/TrRoad_act!N34*1000
)</f>
        <v>235.42624298367784</v>
      </c>
      <c r="O58" s="87">
        <f>IF(TrRoad_act!O34=0,0,O21/TrRoad_act!O34*1000
)</f>
        <v>195.52995774906205</v>
      </c>
      <c r="P58" s="87">
        <f>IF(TrRoad_act!P34=0,0,P21/TrRoad_act!P34*1000
)</f>
        <v>223.8516488741393</v>
      </c>
      <c r="Q58" s="87">
        <f>IF(TrRoad_act!Q34=0,0,Q21/TrRoad_act!Q34*1000
)</f>
        <v>218.23414504302048</v>
      </c>
      <c r="R58" s="87">
        <f>IF(TrRoad_act!R34=0,0,R21/TrRoad_act!R34*1000
)</f>
        <v>209.65315608164488</v>
      </c>
      <c r="S58" s="87">
        <f>IF(TrRoad_act!S34=0,0,S21/TrRoad_act!S34*1000
)</f>
        <v>210.1427988572878</v>
      </c>
      <c r="T58" s="87">
        <f>IF(TrRoad_act!T34=0,0,T21/TrRoad_act!T34*1000
)</f>
        <v>205.43525574712064</v>
      </c>
      <c r="U58" s="87">
        <f>IF(TrRoad_act!U34=0,0,U21/TrRoad_act!U34*1000
)</f>
        <v>200.88213650606471</v>
      </c>
      <c r="V58" s="87">
        <f>IF(TrRoad_act!V34=0,0,V21/TrRoad_act!V34*1000
)</f>
        <v>199.74870804109258</v>
      </c>
      <c r="W58" s="87">
        <f>IF(TrRoad_act!W34=0,0,W21/TrRoad_act!W34*1000
)</f>
        <v>199.89628500261557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211.78548901255328</v>
      </c>
      <c r="C59" s="87">
        <f>IF(TrRoad_act!C35=0,0,C22/TrRoad_act!C35*1000
)</f>
        <v>222.55528597383429</v>
      </c>
      <c r="D59" s="87">
        <f>IF(TrRoad_act!D35=0,0,D22/TrRoad_act!D35*1000
)</f>
        <v>198.10701636714569</v>
      </c>
      <c r="E59" s="87">
        <f>IF(TrRoad_act!E35=0,0,E22/TrRoad_act!E35*1000
)</f>
        <v>238.87942857393102</v>
      </c>
      <c r="F59" s="87">
        <f>IF(TrRoad_act!F35=0,0,F22/TrRoad_act!F35*1000
)</f>
        <v>225.68987283402643</v>
      </c>
      <c r="G59" s="87">
        <f>IF(TrRoad_act!G35=0,0,G22/TrRoad_act!G35*1000
)</f>
        <v>239.64893029776775</v>
      </c>
      <c r="H59" s="87">
        <f>IF(TrRoad_act!H35=0,0,H22/TrRoad_act!H35*1000
)</f>
        <v>226.21878441233829</v>
      </c>
      <c r="I59" s="87">
        <f>IF(TrRoad_act!I35=0,0,I22/TrRoad_act!I35*1000
)</f>
        <v>205.53985998422061</v>
      </c>
      <c r="J59" s="87">
        <f>IF(TrRoad_act!J35=0,0,J22/TrRoad_act!J35*1000
)</f>
        <v>212.54471524653428</v>
      </c>
      <c r="K59" s="87">
        <f>IF(TrRoad_act!K35=0,0,K22/TrRoad_act!K35*1000
)</f>
        <v>198.69296991780922</v>
      </c>
      <c r="L59" s="87">
        <f>IF(TrRoad_act!L35=0,0,L22/TrRoad_act!L35*1000
)</f>
        <v>196.99984328977408</v>
      </c>
      <c r="M59" s="87">
        <f>IF(TrRoad_act!M35=0,0,M22/TrRoad_act!M35*1000
)</f>
        <v>189.96161888672472</v>
      </c>
      <c r="N59" s="87">
        <f>IF(TrRoad_act!N35=0,0,N22/TrRoad_act!N35*1000
)</f>
        <v>195.99750816657343</v>
      </c>
      <c r="O59" s="87">
        <f>IF(TrRoad_act!O35=0,0,O22/TrRoad_act!O35*1000
)</f>
        <v>156.94028561495531</v>
      </c>
      <c r="P59" s="87">
        <f>IF(TrRoad_act!P35=0,0,P22/TrRoad_act!P35*1000
)</f>
        <v>186.09264929435923</v>
      </c>
      <c r="Q59" s="87">
        <f>IF(TrRoad_act!Q35=0,0,Q22/TrRoad_act!Q35*1000
)</f>
        <v>188.07846289733055</v>
      </c>
      <c r="R59" s="87">
        <f>IF(TrRoad_act!R35=0,0,R22/TrRoad_act!R35*1000
)</f>
        <v>193.08217996026036</v>
      </c>
      <c r="S59" s="87">
        <f>IF(TrRoad_act!S35=0,0,S22/TrRoad_act!S35*1000
)</f>
        <v>199.85496251458142</v>
      </c>
      <c r="T59" s="87">
        <f>IF(TrRoad_act!T35=0,0,T22/TrRoad_act!T35*1000
)</f>
        <v>213.12667193543803</v>
      </c>
      <c r="U59" s="87">
        <f>IF(TrRoad_act!U35=0,0,U22/TrRoad_act!U35*1000
)</f>
        <v>225.24328873604264</v>
      </c>
      <c r="V59" s="87">
        <f>IF(TrRoad_act!V35=0,0,V22/TrRoad_act!V35*1000
)</f>
        <v>201.08375871039513</v>
      </c>
      <c r="W59" s="87">
        <f>IF(TrRoad_act!W35=0,0,W22/TrRoad_act!W35*1000
)</f>
        <v>203.78962665116899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238.35238104606481</v>
      </c>
      <c r="C60" s="87">
        <f>IF(TrRoad_act!C36=0,0,C23/TrRoad_act!C36*1000
)</f>
        <v>244.73841511980564</v>
      </c>
      <c r="D60" s="87">
        <f>IF(TrRoad_act!D36=0,0,D23/TrRoad_act!D36*1000
)</f>
        <v>233.48896596677372</v>
      </c>
      <c r="E60" s="87">
        <f>IF(TrRoad_act!E36=0,0,E23/TrRoad_act!E36*1000
)</f>
        <v>233.09620846866667</v>
      </c>
      <c r="F60" s="87">
        <f>IF(TrRoad_act!F36=0,0,F23/TrRoad_act!F36*1000
)</f>
        <v>221.3171147828304</v>
      </c>
      <c r="G60" s="87">
        <f>IF(TrRoad_act!G36=0,0,G23/TrRoad_act!G36*1000
)</f>
        <v>210.91466427275469</v>
      </c>
      <c r="H60" s="87">
        <f>IF(TrRoad_act!H36=0,0,H23/TrRoad_act!H36*1000
)</f>
        <v>199.18086638606533</v>
      </c>
      <c r="I60" s="87">
        <f>IF(TrRoad_act!I36=0,0,I23/TrRoad_act!I36*1000
)</f>
        <v>192.8840623344025</v>
      </c>
      <c r="J60" s="87">
        <f>IF(TrRoad_act!J36=0,0,J23/TrRoad_act!J36*1000
)</f>
        <v>187.22392191273647</v>
      </c>
      <c r="K60" s="87">
        <f>IF(TrRoad_act!K36=0,0,K23/TrRoad_act!K36*1000
)</f>
        <v>199.44062229671562</v>
      </c>
      <c r="L60" s="87">
        <f>IF(TrRoad_act!L36=0,0,L23/TrRoad_act!L36*1000
)</f>
        <v>190.71992884728633</v>
      </c>
      <c r="M60" s="87">
        <f>IF(TrRoad_act!M36=0,0,M23/TrRoad_act!M36*1000
)</f>
        <v>201.30588022463172</v>
      </c>
      <c r="N60" s="87">
        <f>IF(TrRoad_act!N36=0,0,N23/TrRoad_act!N36*1000
)</f>
        <v>196.16336831426577</v>
      </c>
      <c r="O60" s="87">
        <f>IF(TrRoad_act!O36=0,0,O23/TrRoad_act!O36*1000
)</f>
        <v>200.84281306747266</v>
      </c>
      <c r="P60" s="87">
        <f>IF(TrRoad_act!P36=0,0,P23/TrRoad_act!P36*1000
)</f>
        <v>200.26844540472294</v>
      </c>
      <c r="Q60" s="87">
        <f>IF(TrRoad_act!Q36=0,0,Q23/TrRoad_act!Q36*1000
)</f>
        <v>184.93470815930598</v>
      </c>
      <c r="R60" s="87">
        <f>IF(TrRoad_act!R36=0,0,R23/TrRoad_act!R36*1000
)</f>
        <v>184.98851508513195</v>
      </c>
      <c r="S60" s="87">
        <f>IF(TrRoad_act!S36=0,0,S23/TrRoad_act!S36*1000
)</f>
        <v>185.44801041491488</v>
      </c>
      <c r="T60" s="87">
        <f>IF(TrRoad_act!T36=0,0,T23/TrRoad_act!T36*1000
)</f>
        <v>189.50459801706984</v>
      </c>
      <c r="U60" s="87">
        <f>IF(TrRoad_act!U36=0,0,U23/TrRoad_act!U36*1000
)</f>
        <v>187.33060947028065</v>
      </c>
      <c r="V60" s="87">
        <f>IF(TrRoad_act!V36=0,0,V23/TrRoad_act!V36*1000
)</f>
        <v>195.66961501777766</v>
      </c>
      <c r="W60" s="87">
        <f>IF(TrRoad_act!W36=0,0,W23/TrRoad_act!W36*1000
)</f>
        <v>184.04243236074404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229.36420084381305</v>
      </c>
      <c r="G61" s="87">
        <f>IF(TrRoad_act!G37=0,0,G24/TrRoad_act!G37*1000
)</f>
        <v>227.51889728092283</v>
      </c>
      <c r="H61" s="87">
        <f>IF(TrRoad_act!H37=0,0,H24/TrRoad_act!H37*1000
)</f>
        <v>226.53564128019192</v>
      </c>
      <c r="I61" s="87">
        <f>IF(TrRoad_act!I37=0,0,I24/TrRoad_act!I37*1000
)</f>
        <v>224.58358488044834</v>
      </c>
      <c r="J61" s="87">
        <f>IF(TrRoad_act!J37=0,0,J24/TrRoad_act!J37*1000
)</f>
        <v>224.36153468697387</v>
      </c>
      <c r="K61" s="87">
        <f>IF(TrRoad_act!K37=0,0,K24/TrRoad_act!K37*1000
)</f>
        <v>216.42190162531628</v>
      </c>
      <c r="L61" s="87">
        <f>IF(TrRoad_act!L37=0,0,L24/TrRoad_act!L37*1000
)</f>
        <v>191.13812028231769</v>
      </c>
      <c r="M61" s="87">
        <f>IF(TrRoad_act!M37=0,0,M24/TrRoad_act!M37*1000
)</f>
        <v>187.34991681174662</v>
      </c>
      <c r="N61" s="87">
        <f>IF(TrRoad_act!N37=0,0,N24/TrRoad_act!N37*1000
)</f>
        <v>185.20107670827255</v>
      </c>
      <c r="O61" s="87">
        <f>IF(TrRoad_act!O37=0,0,O24/TrRoad_act!O37*1000
)</f>
        <v>184.38466944321289</v>
      </c>
      <c r="P61" s="87">
        <f>IF(TrRoad_act!P37=0,0,P24/TrRoad_act!P37*1000
)</f>
        <v>179.15789092272266</v>
      </c>
      <c r="Q61" s="87">
        <f>IF(TrRoad_act!Q37=0,0,Q24/TrRoad_act!Q37*1000
)</f>
        <v>175.34633437623202</v>
      </c>
      <c r="R61" s="87">
        <f>IF(TrRoad_act!R37=0,0,R24/TrRoad_act!R37*1000
)</f>
        <v>173.30492132097834</v>
      </c>
      <c r="S61" s="87">
        <f>IF(TrRoad_act!S37=0,0,S24/TrRoad_act!S37*1000
)</f>
        <v>172.68985973311393</v>
      </c>
      <c r="T61" s="87">
        <f>IF(TrRoad_act!T37=0,0,T24/TrRoad_act!T37*1000
)</f>
        <v>170.85269094857733</v>
      </c>
      <c r="U61" s="87">
        <f>IF(TrRoad_act!U37=0,0,U24/TrRoad_act!U37*1000
)</f>
        <v>167.69755007166754</v>
      </c>
      <c r="V61" s="87">
        <f>IF(TrRoad_act!V37=0,0,V24/TrRoad_act!V37*1000
)</f>
        <v>166.28978326560616</v>
      </c>
      <c r="W61" s="87">
        <f>IF(TrRoad_act!W37=0,0,W24/TrRoad_act!W37*1000
)</f>
        <v>166.08934293990046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53.887654949622188</v>
      </c>
      <c r="O62" s="87">
        <f>IF(TrRoad_act!O38=0,0,O25/TrRoad_act!O38*1000
)</f>
        <v>45.05149272759791</v>
      </c>
      <c r="P62" s="87">
        <f>IF(TrRoad_act!P38=0,0,P25/TrRoad_act!P38*1000
)</f>
        <v>61.991632025852041</v>
      </c>
      <c r="Q62" s="87">
        <f>IF(TrRoad_act!Q38=0,0,Q25/TrRoad_act!Q38*1000
)</f>
        <v>65.24748423536667</v>
      </c>
      <c r="R62" s="87">
        <f>IF(TrRoad_act!R38=0,0,R25/TrRoad_act!R38*1000
)</f>
        <v>60.493178053984366</v>
      </c>
      <c r="S62" s="87">
        <f>IF(TrRoad_act!S38=0,0,S25/TrRoad_act!S38*1000
)</f>
        <v>60.908600924931854</v>
      </c>
      <c r="T62" s="87">
        <f>IF(TrRoad_act!T38=0,0,T25/TrRoad_act!T38*1000
)</f>
        <v>59.462572971490026</v>
      </c>
      <c r="U62" s="87">
        <f>IF(TrRoad_act!U38=0,0,U25/TrRoad_act!U38*1000
)</f>
        <v>66.806856840087377</v>
      </c>
      <c r="V62" s="87">
        <f>IF(TrRoad_act!V38=0,0,V25/TrRoad_act!V38*1000
)</f>
        <v>63.329991731920444</v>
      </c>
      <c r="W62" s="87">
        <f>IF(TrRoad_act!W38=0,0,W25/TrRoad_act!W38*1000
)</f>
        <v>66.658034052794363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1805.825166806879</v>
      </c>
      <c r="C64" s="116">
        <f>IF(TrRoad_act!C40=0,0,C27/TrRoad_act!C40*1000
)</f>
        <v>1777.3995027537271</v>
      </c>
      <c r="D64" s="116">
        <f>IF(TrRoad_act!D40=0,0,D27/TrRoad_act!D40*1000
)</f>
        <v>1738.9398416231377</v>
      </c>
      <c r="E64" s="116">
        <f>IF(TrRoad_act!E40=0,0,E27/TrRoad_act!E40*1000
)</f>
        <v>1735.2518632971044</v>
      </c>
      <c r="F64" s="116">
        <f>IF(TrRoad_act!F40=0,0,F27/TrRoad_act!F40*1000
)</f>
        <v>1725.8576608071826</v>
      </c>
      <c r="G64" s="116">
        <f>IF(TrRoad_act!G40=0,0,G27/TrRoad_act!G40*1000
)</f>
        <v>1705.2030926964242</v>
      </c>
      <c r="H64" s="116">
        <f>IF(TrRoad_act!H40=0,0,H27/TrRoad_act!H40*1000
)</f>
        <v>1683.1607934048525</v>
      </c>
      <c r="I64" s="116">
        <f>IF(TrRoad_act!I40=0,0,I27/TrRoad_act!I40*1000
)</f>
        <v>1674.5434617088704</v>
      </c>
      <c r="J64" s="116">
        <f>IF(TrRoad_act!J40=0,0,J27/TrRoad_act!J40*1000
)</f>
        <v>1665.3750997516113</v>
      </c>
      <c r="K64" s="116">
        <f>IF(TrRoad_act!K40=0,0,K27/TrRoad_act!K40*1000
)</f>
        <v>1649.8440165260549</v>
      </c>
      <c r="L64" s="116">
        <f>IF(TrRoad_act!L40=0,0,L27/TrRoad_act!L40*1000
)</f>
        <v>1623.7752759107323</v>
      </c>
      <c r="M64" s="116">
        <f>IF(TrRoad_act!M40=0,0,M27/TrRoad_act!M40*1000
)</f>
        <v>1616.4120322758893</v>
      </c>
      <c r="N64" s="116">
        <f>IF(TrRoad_act!N40=0,0,N27/TrRoad_act!N40*1000
)</f>
        <v>1559.8832521514155</v>
      </c>
      <c r="O64" s="116">
        <f>IF(TrRoad_act!O40=0,0,O27/TrRoad_act!O40*1000
)</f>
        <v>1419.7470878440622</v>
      </c>
      <c r="P64" s="116">
        <f>IF(TrRoad_act!P40=0,0,P27/TrRoad_act!P40*1000
)</f>
        <v>1356.6726371735779</v>
      </c>
      <c r="Q64" s="116">
        <f>IF(TrRoad_act!Q40=0,0,Q27/TrRoad_act!Q40*1000
)</f>
        <v>1407.7925768178329</v>
      </c>
      <c r="R64" s="116">
        <f>IF(TrRoad_act!R40=0,0,R27/TrRoad_act!R40*1000
)</f>
        <v>1428.9803559315005</v>
      </c>
      <c r="S64" s="116">
        <f>IF(TrRoad_act!S40=0,0,S27/TrRoad_act!S40*1000
)</f>
        <v>1414.8829181433755</v>
      </c>
      <c r="T64" s="116">
        <f>IF(TrRoad_act!T40=0,0,T27/TrRoad_act!T40*1000
)</f>
        <v>1420.0944593973252</v>
      </c>
      <c r="U64" s="116">
        <f>IF(TrRoad_act!U40=0,0,U27/TrRoad_act!U40*1000
)</f>
        <v>1419.1964871467615</v>
      </c>
      <c r="V64" s="116">
        <f>IF(TrRoad_act!V40=0,0,V27/TrRoad_act!V40*1000
)</f>
        <v>1398.1956972542987</v>
      </c>
      <c r="W64" s="116">
        <f>IF(TrRoad_act!W40=0,0,W27/TrRoad_act!W40*1000
)</f>
        <v>1413.6797222566909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1805.825166806879</v>
      </c>
      <c r="C66" s="101">
        <f>IF(TrRoad_act!C42=0,0,C29/TrRoad_act!C42*1000
)</f>
        <v>1777.3995027537271</v>
      </c>
      <c r="D66" s="101">
        <f>IF(TrRoad_act!D42=0,0,D29/TrRoad_act!D42*1000
)</f>
        <v>1738.9398416231377</v>
      </c>
      <c r="E66" s="101">
        <f>IF(TrRoad_act!E42=0,0,E29/TrRoad_act!E42*1000
)</f>
        <v>1735.2518632971044</v>
      </c>
      <c r="F66" s="101">
        <f>IF(TrRoad_act!F42=0,0,F29/TrRoad_act!F42*1000
)</f>
        <v>1731.0669107781712</v>
      </c>
      <c r="G66" s="101">
        <f>IF(TrRoad_act!G42=0,0,G29/TrRoad_act!G42*1000
)</f>
        <v>1717.0568085420377</v>
      </c>
      <c r="H66" s="101">
        <f>IF(TrRoad_act!H42=0,0,H29/TrRoad_act!H42*1000
)</f>
        <v>1705.9260997747413</v>
      </c>
      <c r="I66" s="101">
        <f>IF(TrRoad_act!I42=0,0,I29/TrRoad_act!I42*1000
)</f>
        <v>1703.7248239383262</v>
      </c>
      <c r="J66" s="101">
        <f>IF(TrRoad_act!J42=0,0,J29/TrRoad_act!J42*1000
)</f>
        <v>1697.1609781402074</v>
      </c>
      <c r="K66" s="101">
        <f>IF(TrRoad_act!K42=0,0,K29/TrRoad_act!K42*1000
)</f>
        <v>1693.4393286064444</v>
      </c>
      <c r="L66" s="101">
        <f>IF(TrRoad_act!L42=0,0,L29/TrRoad_act!L42*1000
)</f>
        <v>1678.4883439950524</v>
      </c>
      <c r="M66" s="101">
        <f>IF(TrRoad_act!M42=0,0,M29/TrRoad_act!M42*1000
)</f>
        <v>1671.0505495295038</v>
      </c>
      <c r="N66" s="101">
        <f>IF(TrRoad_act!N42=0,0,N29/TrRoad_act!N42*1000
)</f>
        <v>1600.1134422990476</v>
      </c>
      <c r="O66" s="101">
        <f>IF(TrRoad_act!O42=0,0,O29/TrRoad_act!O42*1000
)</f>
        <v>1574.5625730952702</v>
      </c>
      <c r="P66" s="101">
        <f>IF(TrRoad_act!P42=0,0,P29/TrRoad_act!P42*1000
)</f>
        <v>1589.0187611293538</v>
      </c>
      <c r="Q66" s="101">
        <f>IF(TrRoad_act!Q42=0,0,Q29/TrRoad_act!Q42*1000
)</f>
        <v>1590.0723867372383</v>
      </c>
      <c r="R66" s="101">
        <f>IF(TrRoad_act!R42=0,0,R29/TrRoad_act!R42*1000
)</f>
        <v>1578.6637622255766</v>
      </c>
      <c r="S66" s="101">
        <f>IF(TrRoad_act!S42=0,0,S29/TrRoad_act!S42*1000
)</f>
        <v>1577.9518865179339</v>
      </c>
      <c r="T66" s="101">
        <f>IF(TrRoad_act!T42=0,0,T29/TrRoad_act!T42*1000
)</f>
        <v>1592.760770062147</v>
      </c>
      <c r="U66" s="101">
        <f>IF(TrRoad_act!U42=0,0,U29/TrRoad_act!U42*1000
)</f>
        <v>1592.5133634457891</v>
      </c>
      <c r="V66" s="101">
        <f>IF(TrRoad_act!V42=0,0,V29/TrRoad_act!V42*1000
)</f>
        <v>1588.9632009204879</v>
      </c>
      <c r="W66" s="101">
        <f>IF(TrRoad_act!W42=0,0,W29/TrRoad_act!W42*1000
)</f>
        <v>1602.9841567197668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965.07062681283662</v>
      </c>
      <c r="G68" s="101">
        <f>IF(TrRoad_act!G44=0,0,G31/TrRoad_act!G44*1000
)</f>
        <v>911.57636794579628</v>
      </c>
      <c r="H68" s="101">
        <f>IF(TrRoad_act!H44=0,0,H31/TrRoad_act!H44*1000
)</f>
        <v>884.61578196342384</v>
      </c>
      <c r="I68" s="101">
        <f>IF(TrRoad_act!I44=0,0,I31/TrRoad_act!I44*1000
)</f>
        <v>978.57903901529278</v>
      </c>
      <c r="J68" s="101">
        <f>IF(TrRoad_act!J44=0,0,J31/TrRoad_act!J44*1000
)</f>
        <v>989.04954879651814</v>
      </c>
      <c r="K68" s="101">
        <f>IF(TrRoad_act!K44=0,0,K31/TrRoad_act!K44*1000
)</f>
        <v>1023.9691831609304</v>
      </c>
      <c r="L68" s="101">
        <f>IF(TrRoad_act!L44=0,0,L31/TrRoad_act!L44*1000
)</f>
        <v>1121.2505294348866</v>
      </c>
      <c r="M68" s="101">
        <f>IF(TrRoad_act!M44=0,0,M31/TrRoad_act!M44*1000
)</f>
        <v>1085.1503809511835</v>
      </c>
      <c r="N68" s="101">
        <f>IF(TrRoad_act!N44=0,0,N31/TrRoad_act!N44*1000
)</f>
        <v>1200.5434645935188</v>
      </c>
      <c r="O68" s="101">
        <f>IF(TrRoad_act!O44=0,0,O31/TrRoad_act!O44*1000
)</f>
        <v>840.24544553931582</v>
      </c>
      <c r="P68" s="101">
        <f>IF(TrRoad_act!P44=0,0,P31/TrRoad_act!P44*1000
)</f>
        <v>462.90772802081784</v>
      </c>
      <c r="Q68" s="101">
        <f>IF(TrRoad_act!Q44=0,0,Q31/TrRoad_act!Q44*1000
)</f>
        <v>737.2595150686717</v>
      </c>
      <c r="R68" s="101">
        <f>IF(TrRoad_act!R44=0,0,R31/TrRoad_act!R44*1000
)</f>
        <v>917.77434500190714</v>
      </c>
      <c r="S68" s="101">
        <f>IF(TrRoad_act!S44=0,0,S31/TrRoad_act!S44*1000
)</f>
        <v>904.60019015010346</v>
      </c>
      <c r="T68" s="101">
        <f>IF(TrRoad_act!T44=0,0,T31/TrRoad_act!T44*1000
)</f>
        <v>893.3226624862923</v>
      </c>
      <c r="U68" s="101">
        <f>IF(TrRoad_act!U44=0,0,U31/TrRoad_act!U44*1000
)</f>
        <v>922.75189465505025</v>
      </c>
      <c r="V68" s="101">
        <f>IF(TrRoad_act!V44=0,0,V31/TrRoad_act!V44*1000
)</f>
        <v>823.34423192942802</v>
      </c>
      <c r="W68" s="101">
        <f>IF(TrRoad_act!W44=0,0,W31/TrRoad_act!W44*1000
)</f>
        <v>954.71964295410601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533.53566108268262</v>
      </c>
      <c r="C70" s="29">
        <f>IF(TrRoad_act!C46=0,0,C33/TrRoad_act!C46*1000
)</f>
        <v>578.64701893327128</v>
      </c>
      <c r="D70" s="29">
        <f>IF(TrRoad_act!D46=0,0,D33/TrRoad_act!D46*1000
)</f>
        <v>540.16383680530612</v>
      </c>
      <c r="E70" s="29">
        <f>IF(TrRoad_act!E46=0,0,E33/TrRoad_act!E46*1000
)</f>
        <v>640.95122431389336</v>
      </c>
      <c r="F70" s="29">
        <f>IF(TrRoad_act!F46=0,0,F33/TrRoad_act!F46*1000
)</f>
        <v>602.99985321936242</v>
      </c>
      <c r="G70" s="29">
        <f>IF(TrRoad_act!G46=0,0,G33/TrRoad_act!G46*1000
)</f>
        <v>653.9746690335669</v>
      </c>
      <c r="H70" s="29">
        <f>IF(TrRoad_act!H46=0,0,H33/TrRoad_act!H46*1000
)</f>
        <v>604.46394667847972</v>
      </c>
      <c r="I70" s="29">
        <f>IF(TrRoad_act!I46=0,0,I33/TrRoad_act!I46*1000
)</f>
        <v>527.76255852875704</v>
      </c>
      <c r="J70" s="29">
        <f>IF(TrRoad_act!J46=0,0,J33/TrRoad_act!J46*1000
)</f>
        <v>523.78989099884836</v>
      </c>
      <c r="K70" s="29">
        <f>IF(TrRoad_act!K46=0,0,K33/TrRoad_act!K46*1000
)</f>
        <v>476.82913560075519</v>
      </c>
      <c r="L70" s="29">
        <f>IF(TrRoad_act!L46=0,0,L33/TrRoad_act!L46*1000
)</f>
        <v>469.19253188845448</v>
      </c>
      <c r="M70" s="29">
        <f>IF(TrRoad_act!M46=0,0,M33/TrRoad_act!M46*1000
)</f>
        <v>447.33973747566051</v>
      </c>
      <c r="N70" s="29">
        <f>IF(TrRoad_act!N46=0,0,N33/TrRoad_act!N46*1000
)</f>
        <v>434.20124436135922</v>
      </c>
      <c r="O70" s="29">
        <f>IF(TrRoad_act!O46=0,0,O33/TrRoad_act!O46*1000
)</f>
        <v>384.98886012825557</v>
      </c>
      <c r="P70" s="29">
        <f>IF(TrRoad_act!P46=0,0,P33/TrRoad_act!P46*1000
)</f>
        <v>414.3345867156234</v>
      </c>
      <c r="Q70" s="29">
        <f>IF(TrRoad_act!Q46=0,0,Q33/TrRoad_act!Q46*1000
)</f>
        <v>414.46531923168459</v>
      </c>
      <c r="R70" s="29">
        <f>IF(TrRoad_act!R46=0,0,R33/TrRoad_act!R46*1000
)</f>
        <v>415.48923956309721</v>
      </c>
      <c r="S70" s="29">
        <f>IF(TrRoad_act!S46=0,0,S33/TrRoad_act!S46*1000
)</f>
        <v>449.1436700520452</v>
      </c>
      <c r="T70" s="29">
        <f>IF(TrRoad_act!T46=0,0,T33/TrRoad_act!T46*1000
)</f>
        <v>450.34963604700266</v>
      </c>
      <c r="U70" s="29">
        <f>IF(TrRoad_act!U46=0,0,U33/TrRoad_act!U46*1000
)</f>
        <v>432.07007929898481</v>
      </c>
      <c r="V70" s="29">
        <f>IF(TrRoad_act!V46=0,0,V33/TrRoad_act!V46*1000
)</f>
        <v>445.48566280791806</v>
      </c>
      <c r="W70" s="29">
        <f>IF(TrRoad_act!W46=0,0,W33/TrRoad_act!W46*1000
)</f>
        <v>494.34416845112082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306.8482194996588</v>
      </c>
      <c r="C71" s="152">
        <f>IF(TrRoad_act!C47=0,0,C34/TrRoad_act!C47*1000
)</f>
        <v>306.60644308799698</v>
      </c>
      <c r="D71" s="152">
        <f>IF(TrRoad_act!D47=0,0,D34/TrRoad_act!D47*1000
)</f>
        <v>304.54414505831835</v>
      </c>
      <c r="E71" s="152">
        <f>IF(TrRoad_act!E47=0,0,E34/TrRoad_act!E47*1000
)</f>
        <v>292.24448405222756</v>
      </c>
      <c r="F71" s="152">
        <f>IF(TrRoad_act!F47=0,0,F34/TrRoad_act!F47*1000
)</f>
        <v>276.43439968286992</v>
      </c>
      <c r="G71" s="152">
        <f>IF(TrRoad_act!G47=0,0,G34/TrRoad_act!G47*1000
)</f>
        <v>272.16475006655048</v>
      </c>
      <c r="H71" s="152">
        <f>IF(TrRoad_act!H47=0,0,H34/TrRoad_act!H47*1000
)</f>
        <v>259.34724196177979</v>
      </c>
      <c r="I71" s="152">
        <f>IF(TrRoad_act!I47=0,0,I34/TrRoad_act!I47*1000
)</f>
        <v>251.55520596842024</v>
      </c>
      <c r="J71" s="152">
        <f>IF(TrRoad_act!J47=0,0,J34/TrRoad_act!J47*1000
)</f>
        <v>246.10426009170956</v>
      </c>
      <c r="K71" s="152">
        <f>IF(TrRoad_act!K47=0,0,K34/TrRoad_act!K47*1000
)</f>
        <v>242.45005040720292</v>
      </c>
      <c r="L71" s="152">
        <f>IF(TrRoad_act!L47=0,0,L34/TrRoad_act!L47*1000
)</f>
        <v>237.74650937296084</v>
      </c>
      <c r="M71" s="152">
        <f>IF(TrRoad_act!M47=0,0,M34/TrRoad_act!M47*1000
)</f>
        <v>235.71426250029097</v>
      </c>
      <c r="N71" s="152">
        <f>IF(TrRoad_act!N47=0,0,N34/TrRoad_act!N47*1000
)</f>
        <v>224.20171706186701</v>
      </c>
      <c r="O71" s="152">
        <f>IF(TrRoad_act!O47=0,0,O34/TrRoad_act!O47*1000
)</f>
        <v>218.91478748089304</v>
      </c>
      <c r="P71" s="152">
        <f>IF(TrRoad_act!P47=0,0,P34/TrRoad_act!P47*1000
)</f>
        <v>218.34067798065604</v>
      </c>
      <c r="Q71" s="152">
        <f>IF(TrRoad_act!Q47=0,0,Q34/TrRoad_act!Q47*1000
)</f>
        <v>215.47861836846332</v>
      </c>
      <c r="R71" s="152">
        <f>IF(TrRoad_act!R47=0,0,R34/TrRoad_act!R47*1000
)</f>
        <v>210.7955881807145</v>
      </c>
      <c r="S71" s="152">
        <f>IF(TrRoad_act!S47=0,0,S34/TrRoad_act!S47*1000
)</f>
        <v>207.76889081449286</v>
      </c>
      <c r="T71" s="152">
        <f>IF(TrRoad_act!T47=0,0,T34/TrRoad_act!T47*1000
)</f>
        <v>206.5120751030461</v>
      </c>
      <c r="U71" s="152">
        <f>IF(TrRoad_act!U47=0,0,U34/TrRoad_act!U47*1000
)</f>
        <v>204.67836623742534</v>
      </c>
      <c r="V71" s="152">
        <f>IF(TrRoad_act!V47=0,0,V34/TrRoad_act!V47*1000
)</f>
        <v>203.69036942673276</v>
      </c>
      <c r="W71" s="152">
        <f>IF(TrRoad_act!W47=0,0,W34/TrRoad_act!W47*1000
)</f>
        <v>206.19506791344162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348.62316815012105</v>
      </c>
      <c r="C72" s="87">
        <f>IF(TrRoad_act!C48=0,0,C35/TrRoad_act!C48*1000
)</f>
        <v>344.40256522093739</v>
      </c>
      <c r="D72" s="87">
        <f>IF(TrRoad_act!D48=0,0,D35/TrRoad_act!D48*1000
)</f>
        <v>339.78348643806311</v>
      </c>
      <c r="E72" s="87">
        <f>IF(TrRoad_act!E48=0,0,E35/TrRoad_act!E48*1000
)</f>
        <v>334.85622196114298</v>
      </c>
      <c r="F72" s="87">
        <f>IF(TrRoad_act!F48=0,0,F35/TrRoad_act!F48*1000
)</f>
        <v>330.23941621659418</v>
      </c>
      <c r="G72" s="87">
        <f>IF(TrRoad_act!G48=0,0,G35/TrRoad_act!G48*1000
)</f>
        <v>327.778071065098</v>
      </c>
      <c r="H72" s="87">
        <f>IF(TrRoad_act!H48=0,0,H35/TrRoad_act!H48*1000
)</f>
        <v>326.25643503760983</v>
      </c>
      <c r="I72" s="87">
        <f>IF(TrRoad_act!I48=0,0,I35/TrRoad_act!I48*1000
)</f>
        <v>324.45335505501151</v>
      </c>
      <c r="J72" s="87">
        <f>IF(TrRoad_act!J48=0,0,J35/TrRoad_act!J48*1000
)</f>
        <v>322.07290710127188</v>
      </c>
      <c r="K72" s="87">
        <f>IF(TrRoad_act!K48=0,0,K35/TrRoad_act!K48*1000
)</f>
        <v>320.01572495893629</v>
      </c>
      <c r="L72" s="87">
        <f>IF(TrRoad_act!L48=0,0,L35/TrRoad_act!L48*1000
)</f>
        <v>314.22848506518272</v>
      </c>
      <c r="M72" s="87">
        <f>IF(TrRoad_act!M48=0,0,M35/TrRoad_act!M48*1000
)</f>
        <v>310.47484904774581</v>
      </c>
      <c r="N72" s="87">
        <f>IF(TrRoad_act!N48=0,0,N35/TrRoad_act!N48*1000
)</f>
        <v>299.95163130244299</v>
      </c>
      <c r="O72" s="87">
        <f>IF(TrRoad_act!O48=0,0,O35/TrRoad_act!O48*1000
)</f>
        <v>285.86978301141141</v>
      </c>
      <c r="P72" s="87">
        <f>IF(TrRoad_act!P48=0,0,P35/TrRoad_act!P48*1000
)</f>
        <v>266.37632905705334</v>
      </c>
      <c r="Q72" s="87">
        <f>IF(TrRoad_act!Q48=0,0,Q35/TrRoad_act!Q48*1000
)</f>
        <v>245.97210829351764</v>
      </c>
      <c r="R72" s="87">
        <f>IF(TrRoad_act!R48=0,0,R35/TrRoad_act!R48*1000
)</f>
        <v>230.65403900436203</v>
      </c>
      <c r="S72" s="87">
        <f>IF(TrRoad_act!S48=0,0,S35/TrRoad_act!S48*1000
)</f>
        <v>223.17125863556717</v>
      </c>
      <c r="T72" s="87">
        <f>IF(TrRoad_act!T48=0,0,T35/TrRoad_act!T48*1000
)</f>
        <v>211.04556458017467</v>
      </c>
      <c r="U72" s="87">
        <f>IF(TrRoad_act!U48=0,0,U35/TrRoad_act!U48*1000
)</f>
        <v>204.71965625125495</v>
      </c>
      <c r="V72" s="87">
        <f>IF(TrRoad_act!V48=0,0,V35/TrRoad_act!V48*1000
)</f>
        <v>205.03730946480547</v>
      </c>
      <c r="W72" s="87">
        <f>IF(TrRoad_act!W48=0,0,W35/TrRoad_act!W48*1000
)</f>
        <v>207.17000201120965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296.682542799023</v>
      </c>
      <c r="C73" s="87">
        <f>IF(TrRoad_act!C49=0,0,C36/TrRoad_act!C49*1000
)</f>
        <v>296.68254279902294</v>
      </c>
      <c r="D73" s="87">
        <f>IF(TrRoad_act!D49=0,0,D36/TrRoad_act!D49*1000
)</f>
        <v>295.20153603168183</v>
      </c>
      <c r="E73" s="87">
        <f>IF(TrRoad_act!E49=0,0,E36/TrRoad_act!E49*1000
)</f>
        <v>281.83623565794431</v>
      </c>
      <c r="F73" s="87">
        <f>IF(TrRoad_act!F49=0,0,F36/TrRoad_act!F49*1000
)</f>
        <v>265.28964830715</v>
      </c>
      <c r="G73" s="87">
        <f>IF(TrRoad_act!G49=0,0,G36/TrRoad_act!G49*1000
)</f>
        <v>260.99073401177861</v>
      </c>
      <c r="H73" s="87">
        <f>IF(TrRoad_act!H49=0,0,H36/TrRoad_act!H49*1000
)</f>
        <v>249.20131515446417</v>
      </c>
      <c r="I73" s="87">
        <f>IF(TrRoad_act!I49=0,0,I36/TrRoad_act!I49*1000
)</f>
        <v>243.12488571545063</v>
      </c>
      <c r="J73" s="87">
        <f>IF(TrRoad_act!J49=0,0,J36/TrRoad_act!J49*1000
)</f>
        <v>239.12227988964014</v>
      </c>
      <c r="K73" s="87">
        <f>IF(TrRoad_act!K49=0,0,K36/TrRoad_act!K49*1000
)</f>
        <v>236.53677606304737</v>
      </c>
      <c r="L73" s="87">
        <f>IF(TrRoad_act!L49=0,0,L36/TrRoad_act!L49*1000
)</f>
        <v>233.24086385619066</v>
      </c>
      <c r="M73" s="87">
        <f>IF(TrRoad_act!M49=0,0,M36/TrRoad_act!M49*1000
)</f>
        <v>231.37591238135275</v>
      </c>
      <c r="N73" s="87">
        <f>IF(TrRoad_act!N49=0,0,N36/TrRoad_act!N49*1000
)</f>
        <v>220.20935247517895</v>
      </c>
      <c r="O73" s="87">
        <f>IF(TrRoad_act!O49=0,0,O36/TrRoad_act!O49*1000
)</f>
        <v>215.58857609309149</v>
      </c>
      <c r="P73" s="87">
        <f>IF(TrRoad_act!P49=0,0,P36/TrRoad_act!P49*1000
)</f>
        <v>216.16501826000419</v>
      </c>
      <c r="Q73" s="87">
        <f>IF(TrRoad_act!Q49=0,0,Q36/TrRoad_act!Q49*1000
)</f>
        <v>213.94521813617058</v>
      </c>
      <c r="R73" s="87">
        <f>IF(TrRoad_act!R49=0,0,R36/TrRoad_act!R49*1000
)</f>
        <v>209.75452288957894</v>
      </c>
      <c r="S73" s="87">
        <f>IF(TrRoad_act!S49=0,0,S36/TrRoad_act!S49*1000
)</f>
        <v>206.77633645289694</v>
      </c>
      <c r="T73" s="87">
        <f>IF(TrRoad_act!T49=0,0,T36/TrRoad_act!T49*1000
)</f>
        <v>206.14181888913038</v>
      </c>
      <c r="U73" s="87">
        <f>IF(TrRoad_act!U49=0,0,U36/TrRoad_act!U49*1000
)</f>
        <v>204.50696838026806</v>
      </c>
      <c r="V73" s="87">
        <f>IF(TrRoad_act!V49=0,0,V36/TrRoad_act!V49*1000
)</f>
        <v>203.37972649957183</v>
      </c>
      <c r="W73" s="87">
        <f>IF(TrRoad_act!W49=0,0,W36/TrRoad_act!W49*1000
)</f>
        <v>205.89989164861805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267.50283272236607</v>
      </c>
      <c r="S74" s="87">
        <f>IF(TrRoad_act!S50=0,0,S37/TrRoad_act!S50*1000
)</f>
        <v>241.90029173591464</v>
      </c>
      <c r="T74" s="87">
        <f>IF(TrRoad_act!T50=0,0,T37/TrRoad_act!T50*1000
)</f>
        <v>238.01246994538775</v>
      </c>
      <c r="U74" s="87">
        <f>IF(TrRoad_act!U50=0,0,U37/TrRoad_act!U50*1000
)</f>
        <v>240.38499618867453</v>
      </c>
      <c r="V74" s="87">
        <f>IF(TrRoad_act!V50=0,0,V37/TrRoad_act!V50*1000
)</f>
        <v>235.62105545235354</v>
      </c>
      <c r="W74" s="87">
        <f>IF(TrRoad_act!W50=0,0,W37/TrRoad_act!W50*1000
)</f>
        <v>231.12112769973882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135.38495192871522</v>
      </c>
      <c r="S75" s="87">
        <f>IF(TrRoad_act!S51=0,0,S38/TrRoad_act!S51*1000
)</f>
        <v>140.92241359059858</v>
      </c>
      <c r="T75" s="87">
        <f>IF(TrRoad_act!T51=0,0,T38/TrRoad_act!T51*1000
)</f>
        <v>148.36725133664854</v>
      </c>
      <c r="U75" s="87">
        <f>IF(TrRoad_act!U51=0,0,U38/TrRoad_act!U51*1000
)</f>
        <v>149.58668429747078</v>
      </c>
      <c r="V75" s="87">
        <f>IF(TrRoad_act!V51=0,0,V38/TrRoad_act!V51*1000
)</f>
        <v>165.87033740257601</v>
      </c>
      <c r="W75" s="87">
        <f>IF(TrRoad_act!W51=0,0,W38/TrRoad_act!W51*1000
)</f>
        <v>174.54205197441777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999.33450624912007</v>
      </c>
      <c r="C77" s="116">
        <f>IF(TrRoad_act!C53=0,0,C40/TrRoad_act!C53*1000
)</f>
        <v>1072.3079814292746</v>
      </c>
      <c r="D77" s="116">
        <f>IF(TrRoad_act!D53=0,0,D40/TrRoad_act!D53*1000
)</f>
        <v>968.03703291734575</v>
      </c>
      <c r="E77" s="116">
        <f>IF(TrRoad_act!E53=0,0,E40/TrRoad_act!E53*1000
)</f>
        <v>1157.3418118286545</v>
      </c>
      <c r="F77" s="116">
        <f>IF(TrRoad_act!F53=0,0,F40/TrRoad_act!F53*1000
)</f>
        <v>1094.985565979099</v>
      </c>
      <c r="G77" s="116">
        <f>IF(TrRoad_act!G53=0,0,G40/TrRoad_act!G53*1000
)</f>
        <v>1156.9531497754415</v>
      </c>
      <c r="H77" s="116">
        <f>IF(TrRoad_act!H53=0,0,H40/TrRoad_act!H53*1000
)</f>
        <v>1077.9138812450885</v>
      </c>
      <c r="I77" s="116">
        <f>IF(TrRoad_act!I53=0,0,I40/TrRoad_act!I53*1000
)</f>
        <v>978.30574488619766</v>
      </c>
      <c r="J77" s="116">
        <f>IF(TrRoad_act!J53=0,0,J40/TrRoad_act!J53*1000
)</f>
        <v>988.40227854137856</v>
      </c>
      <c r="K77" s="116">
        <f>IF(TrRoad_act!K53=0,0,K40/TrRoad_act!K53*1000
)</f>
        <v>923.01439803822791</v>
      </c>
      <c r="L77" s="116">
        <f>IF(TrRoad_act!L53=0,0,L40/TrRoad_act!L53*1000
)</f>
        <v>917.42520597205259</v>
      </c>
      <c r="M77" s="116">
        <f>IF(TrRoad_act!M53=0,0,M40/TrRoad_act!M53*1000
)</f>
        <v>882.97474814012878</v>
      </c>
      <c r="N77" s="116">
        <f>IF(TrRoad_act!N53=0,0,N40/TrRoad_act!N53*1000
)</f>
        <v>908.32080833840837</v>
      </c>
      <c r="O77" s="116">
        <f>IF(TrRoad_act!O53=0,0,O40/TrRoad_act!O53*1000
)</f>
        <v>732.19031464483919</v>
      </c>
      <c r="P77" s="116">
        <f>IF(TrRoad_act!P53=0,0,P40/TrRoad_act!P53*1000
)</f>
        <v>870.25306541397913</v>
      </c>
      <c r="Q77" s="116">
        <f>IF(TrRoad_act!Q53=0,0,Q40/TrRoad_act!Q53*1000
)</f>
        <v>890.52587040947958</v>
      </c>
      <c r="R77" s="116">
        <f>IF(TrRoad_act!R53=0,0,R40/TrRoad_act!R53*1000
)</f>
        <v>911.25305652138434</v>
      </c>
      <c r="S77" s="116">
        <f>IF(TrRoad_act!S53=0,0,S40/TrRoad_act!S53*1000
)</f>
        <v>940.27915346025645</v>
      </c>
      <c r="T77" s="116">
        <f>IF(TrRoad_act!T53=0,0,T40/TrRoad_act!T53*1000
)</f>
        <v>1006.2096716174635</v>
      </c>
      <c r="U77" s="116">
        <f>IF(TrRoad_act!U53=0,0,U40/TrRoad_act!U53*1000
)</f>
        <v>1075.97889021329</v>
      </c>
      <c r="V77" s="116">
        <f>IF(TrRoad_act!V53=0,0,V40/TrRoad_act!V53*1000
)</f>
        <v>964.13992357640666</v>
      </c>
      <c r="W77" s="116">
        <f>IF(TrRoad_act!W53=0,0,W40/TrRoad_act!W53*1000
)</f>
        <v>986.40395224942392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730.34807287216302</v>
      </c>
      <c r="C78" s="101">
        <f>IF(TrRoad_act!C54=0,0,C41/TrRoad_act!C54*1000
)</f>
        <v>915.78371178429779</v>
      </c>
      <c r="D78" s="101">
        <f>IF(TrRoad_act!D54=0,0,D41/TrRoad_act!D54*1000
)</f>
        <v>696.61362173505586</v>
      </c>
      <c r="E78" s="101">
        <f>IF(TrRoad_act!E54=0,0,E41/TrRoad_act!E54*1000
)</f>
        <v>1140.6547149543319</v>
      </c>
      <c r="F78" s="101">
        <f>IF(TrRoad_act!F54=0,0,F41/TrRoad_act!F54*1000
)</f>
        <v>1045.154140971918</v>
      </c>
      <c r="G78" s="101">
        <f>IF(TrRoad_act!G54=0,0,G41/TrRoad_act!G54*1000
)</f>
        <v>1160.6566110811023</v>
      </c>
      <c r="H78" s="101">
        <f>IF(TrRoad_act!H54=0,0,H41/TrRoad_act!H54*1000
)</f>
        <v>1047.7018017500513</v>
      </c>
      <c r="I78" s="101">
        <f>IF(TrRoad_act!I54=0,0,I41/TrRoad_act!I54*1000
)</f>
        <v>906.68542723578344</v>
      </c>
      <c r="J78" s="101">
        <f>IF(TrRoad_act!J54=0,0,J41/TrRoad_act!J54*1000
)</f>
        <v>961.13519016537055</v>
      </c>
      <c r="K78" s="101">
        <f>IF(TrRoad_act!K54=0,0,K41/TrRoad_act!K54*1000
)</f>
        <v>878.32711124009768</v>
      </c>
      <c r="L78" s="101">
        <f>IF(TrRoad_act!L54=0,0,L41/TrRoad_act!L54*1000
)</f>
        <v>866.28773525820804</v>
      </c>
      <c r="M78" s="101">
        <f>IF(TrRoad_act!M54=0,0,M41/TrRoad_act!M54*1000
)</f>
        <v>815.0109119007235</v>
      </c>
      <c r="N78" s="101">
        <f>IF(TrRoad_act!N54=0,0,N41/TrRoad_act!N54*1000
)</f>
        <v>864.97214864179671</v>
      </c>
      <c r="O78" s="101">
        <f>IF(TrRoad_act!O54=0,0,O41/TrRoad_act!O54*1000
)</f>
        <v>622.15325184451331</v>
      </c>
      <c r="P78" s="101">
        <f>IF(TrRoad_act!P54=0,0,P41/TrRoad_act!P54*1000
)</f>
        <v>808.41108303353724</v>
      </c>
      <c r="Q78" s="101">
        <f>IF(TrRoad_act!Q54=0,0,Q41/TrRoad_act!Q54*1000
)</f>
        <v>834.19223717236025</v>
      </c>
      <c r="R78" s="101">
        <f>IF(TrRoad_act!R54=0,0,R41/TrRoad_act!R54*1000
)</f>
        <v>867.48080222733745</v>
      </c>
      <c r="S78" s="101">
        <f>IF(TrRoad_act!S54=0,0,S41/TrRoad_act!S54*1000
)</f>
        <v>912.26811353785536</v>
      </c>
      <c r="T78" s="101">
        <f>IF(TrRoad_act!T54=0,0,T41/TrRoad_act!T54*1000
)</f>
        <v>998.51468150189476</v>
      </c>
      <c r="U78" s="101">
        <f>IF(TrRoad_act!U54=0,0,U41/TrRoad_act!U54*1000
)</f>
        <v>1095.9658370085085</v>
      </c>
      <c r="V78" s="101">
        <f>IF(TrRoad_act!V54=0,0,V41/TrRoad_act!V54*1000
)</f>
        <v>944.69457031964475</v>
      </c>
      <c r="W78" s="101">
        <f>IF(TrRoad_act!W54=0,0,W41/TrRoad_act!W54*1000
)</f>
        <v>973.46520792695947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1281.6727437179641</v>
      </c>
      <c r="C79" s="88">
        <f>IF(TrRoad_act!C55=0,0,C42/TrRoad_act!C55*1000
)</f>
        <v>1243.96086713573</v>
      </c>
      <c r="D79" s="88">
        <f>IF(TrRoad_act!D55=0,0,D42/TrRoad_act!D55*1000
)</f>
        <v>1250.0157894544755</v>
      </c>
      <c r="E79" s="88">
        <f>IF(TrRoad_act!E55=0,0,E42/TrRoad_act!E55*1000
)</f>
        <v>1185.7396340273592</v>
      </c>
      <c r="F79" s="88">
        <f>IF(TrRoad_act!F55=0,0,F42/TrRoad_act!F55*1000
)</f>
        <v>1177.5054623496515</v>
      </c>
      <c r="G79" s="88">
        <f>IF(TrRoad_act!G55=0,0,G42/TrRoad_act!G55*1000
)</f>
        <v>1150.4368822556512</v>
      </c>
      <c r="H79" s="88">
        <f>IF(TrRoad_act!H55=0,0,H42/TrRoad_act!H55*1000
)</f>
        <v>1151.8098635951267</v>
      </c>
      <c r="I79" s="88">
        <f>IF(TrRoad_act!I55=0,0,I42/TrRoad_act!I55*1000
)</f>
        <v>1168.9489537735926</v>
      </c>
      <c r="J79" s="88">
        <f>IF(TrRoad_act!J55=0,0,J42/TrRoad_act!J55*1000
)</f>
        <v>1139.7755240120473</v>
      </c>
      <c r="K79" s="88">
        <f>IF(TrRoad_act!K55=0,0,K42/TrRoad_act!K55*1000
)</f>
        <v>1154.334976777212</v>
      </c>
      <c r="L79" s="88">
        <f>IF(TrRoad_act!L55=0,0,L42/TrRoad_act!L55*1000
)</f>
        <v>1145.5961692399915</v>
      </c>
      <c r="M79" s="88">
        <f>IF(TrRoad_act!M55=0,0,M42/TrRoad_act!M55*1000
)</f>
        <v>1150.094111383369</v>
      </c>
      <c r="N79" s="88">
        <f>IF(TrRoad_act!N55=0,0,N42/TrRoad_act!N55*1000
)</f>
        <v>1086.925147151188</v>
      </c>
      <c r="O79" s="88">
        <f>IF(TrRoad_act!O55=0,0,O42/TrRoad_act!O55*1000
)</f>
        <v>1106.2868317396715</v>
      </c>
      <c r="P79" s="88">
        <f>IF(TrRoad_act!P55=0,0,P42/TrRoad_act!P55*1000
)</f>
        <v>1084.0523708515211</v>
      </c>
      <c r="Q79" s="88">
        <f>IF(TrRoad_act!Q55=0,0,Q42/TrRoad_act!Q55*1000
)</f>
        <v>1072.6681108338262</v>
      </c>
      <c r="R79" s="88">
        <f>IF(TrRoad_act!R55=0,0,R42/TrRoad_act!R55*1000
)</f>
        <v>1055.8461449974584</v>
      </c>
      <c r="S79" s="88">
        <f>IF(TrRoad_act!S55=0,0,S42/TrRoad_act!S55*1000
)</f>
        <v>1041.4292001504396</v>
      </c>
      <c r="T79" s="88">
        <f>IF(TrRoad_act!T55=0,0,T42/TrRoad_act!T55*1000
)</f>
        <v>1033.4341985324209</v>
      </c>
      <c r="U79" s="88">
        <f>IF(TrRoad_act!U55=0,0,U42/TrRoad_act!U55*1000
)</f>
        <v>1014.4554613541081</v>
      </c>
      <c r="V79" s="88">
        <f>IF(TrRoad_act!V55=0,0,V42/TrRoad_act!V55*1000
)</f>
        <v>1027.1602687255327</v>
      </c>
      <c r="W79" s="88">
        <f>IF(TrRoad_act!W55=0,0,W42/TrRoad_act!W55*1000
)</f>
        <v>1030.1710743721776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93.16958188563305</v>
      </c>
      <c r="C82" s="29">
        <f>IF(TrRoad_act!C4=0,0,C18/TrRoad_act!C4*1000)</f>
        <v>92.032098582031054</v>
      </c>
      <c r="D82" s="29">
        <f>IF(TrRoad_act!D4=0,0,D18/TrRoad_act!D4*1000)</f>
        <v>92.462702927787788</v>
      </c>
      <c r="E82" s="29">
        <f>IF(TrRoad_act!E4=0,0,E18/TrRoad_act!E4*1000)</f>
        <v>101.37156097005742</v>
      </c>
      <c r="F82" s="29">
        <f>IF(TrRoad_act!F4=0,0,F18/TrRoad_act!F4*1000)</f>
        <v>104.59662424961178</v>
      </c>
      <c r="G82" s="29">
        <f>IF(TrRoad_act!G4=0,0,G18/TrRoad_act!G4*1000)</f>
        <v>108.72926862032884</v>
      </c>
      <c r="H82" s="29">
        <f>IF(TrRoad_act!H4=0,0,H18/TrRoad_act!H4*1000)</f>
        <v>110.84810513652035</v>
      </c>
      <c r="I82" s="29">
        <f>IF(TrRoad_act!I4=0,0,I18/TrRoad_act!I4*1000)</f>
        <v>100.01153629626664</v>
      </c>
      <c r="J82" s="29">
        <f>IF(TrRoad_act!J4=0,0,J18/TrRoad_act!J4*1000)</f>
        <v>99.603474100163979</v>
      </c>
      <c r="K82" s="29">
        <f>IF(TrRoad_act!K4=0,0,K18/TrRoad_act!K4*1000)</f>
        <v>101.70194473908573</v>
      </c>
      <c r="L82" s="29">
        <f>IF(TrRoad_act!L4=0,0,L18/TrRoad_act!L4*1000)</f>
        <v>97.620086342357453</v>
      </c>
      <c r="M82" s="29">
        <f>IF(TrRoad_act!M4=0,0,M18/TrRoad_act!M4*1000)</f>
        <v>95.196233518847521</v>
      </c>
      <c r="N82" s="29">
        <f>IF(TrRoad_act!N4=0,0,N18/TrRoad_act!N4*1000)</f>
        <v>97.620006060181325</v>
      </c>
      <c r="O82" s="29">
        <f>IF(TrRoad_act!O4=0,0,O18/TrRoad_act!O4*1000)</f>
        <v>83.454448013446694</v>
      </c>
      <c r="P82" s="29">
        <f>IF(TrRoad_act!P4=0,0,P18/TrRoad_act!P4*1000)</f>
        <v>90.41666791113721</v>
      </c>
      <c r="Q82" s="29">
        <f>IF(TrRoad_act!Q4=0,0,Q18/TrRoad_act!Q4*1000)</f>
        <v>93.907899002665516</v>
      </c>
      <c r="R82" s="29">
        <f>IF(TrRoad_act!R4=0,0,R18/TrRoad_act!R4*1000)</f>
        <v>96.47540435258226</v>
      </c>
      <c r="S82" s="29">
        <f>IF(TrRoad_act!S4=0,0,S18/TrRoad_act!S4*1000)</f>
        <v>99.012537040386022</v>
      </c>
      <c r="T82" s="29">
        <f>IF(TrRoad_act!T4=0,0,T18/TrRoad_act!T4*1000)</f>
        <v>105.42627343689233</v>
      </c>
      <c r="U82" s="29">
        <f>IF(TrRoad_act!U4=0,0,U18/TrRoad_act!U4*1000)</f>
        <v>109.53696839010648</v>
      </c>
      <c r="V82" s="29">
        <f>IF(TrRoad_act!V4=0,0,V18/TrRoad_act!V4*1000)</f>
        <v>125.2219455729269</v>
      </c>
      <c r="W82" s="29">
        <f>IF(TrRoad_act!W4=0,0,W18/TrRoad_act!W4*1000)</f>
        <v>132.78649849655901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110.78742978842952</v>
      </c>
      <c r="C83" s="152">
        <f>IF(TrRoad_act!C5=0,0,C19/TrRoad_act!C5*1000)</f>
        <v>110.40081648734758</v>
      </c>
      <c r="D83" s="152">
        <f>IF(TrRoad_act!D5=0,0,D19/TrRoad_act!D5*1000)</f>
        <v>109.9274817405008</v>
      </c>
      <c r="E83" s="152">
        <f>IF(TrRoad_act!E5=0,0,E19/TrRoad_act!E5*1000)</f>
        <v>109.28189796335542</v>
      </c>
      <c r="F83" s="152">
        <f>IF(TrRoad_act!F5=0,0,F19/TrRoad_act!F5*1000)</f>
        <v>103.81439420065445</v>
      </c>
      <c r="G83" s="152">
        <f>IF(TrRoad_act!G5=0,0,G19/TrRoad_act!G5*1000)</f>
        <v>103.70732672783352</v>
      </c>
      <c r="H83" s="152">
        <f>IF(TrRoad_act!H5=0,0,H19/TrRoad_act!H5*1000)</f>
        <v>103.44797300598532</v>
      </c>
      <c r="I83" s="152">
        <f>IF(TrRoad_act!I5=0,0,I19/TrRoad_act!I5*1000)</f>
        <v>101.51128609301259</v>
      </c>
      <c r="J83" s="152">
        <f>IF(TrRoad_act!J5=0,0,J19/TrRoad_act!J5*1000)</f>
        <v>99.45085869456382</v>
      </c>
      <c r="K83" s="152">
        <f>IF(TrRoad_act!K5=0,0,K19/TrRoad_act!K5*1000)</f>
        <v>97.969596757160758</v>
      </c>
      <c r="L83" s="152">
        <f>IF(TrRoad_act!L5=0,0,L19/TrRoad_act!L5*1000)</f>
        <v>97.058285873686728</v>
      </c>
      <c r="M83" s="152">
        <f>IF(TrRoad_act!M5=0,0,M19/TrRoad_act!M5*1000)</f>
        <v>95.94407082325742</v>
      </c>
      <c r="N83" s="152">
        <f>IF(TrRoad_act!N5=0,0,N19/TrRoad_act!N5*1000)</f>
        <v>95.290470775303248</v>
      </c>
      <c r="O83" s="152">
        <f>IF(TrRoad_act!O5=0,0,O19/TrRoad_act!O5*1000)</f>
        <v>92.432286492693152</v>
      </c>
      <c r="P83" s="152">
        <f>IF(TrRoad_act!P5=0,0,P19/TrRoad_act!P5*1000)</f>
        <v>90.388371820140762</v>
      </c>
      <c r="Q83" s="152">
        <f>IF(TrRoad_act!Q5=0,0,Q19/TrRoad_act!Q5*1000)</f>
        <v>86.361973516737976</v>
      </c>
      <c r="R83" s="152">
        <f>IF(TrRoad_act!R5=0,0,R19/TrRoad_act!R5*1000)</f>
        <v>84.792235819685942</v>
      </c>
      <c r="S83" s="152">
        <f>IF(TrRoad_act!S5=0,0,S19/TrRoad_act!S5*1000)</f>
        <v>85.350091469824974</v>
      </c>
      <c r="T83" s="152">
        <f>IF(TrRoad_act!T5=0,0,T19/TrRoad_act!T5*1000)</f>
        <v>83.933374040338776</v>
      </c>
      <c r="U83" s="152">
        <f>IF(TrRoad_act!U5=0,0,U19/TrRoad_act!U5*1000)</f>
        <v>82.833063074144221</v>
      </c>
      <c r="V83" s="152">
        <f>IF(TrRoad_act!V5=0,0,V19/TrRoad_act!V5*1000)</f>
        <v>83.030026469963687</v>
      </c>
      <c r="W83" s="152">
        <f>IF(TrRoad_act!W5=0,0,W19/TrRoad_act!W5*1000)</f>
        <v>79.22132193691418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112.26349766566656</v>
      </c>
      <c r="C84" s="116">
        <f>IF(TrRoad_act!C6=0,0,C20/TrRoad_act!C6*1000)</f>
        <v>110.16985770784243</v>
      </c>
      <c r="D84" s="116">
        <f>IF(TrRoad_act!D6=0,0,D20/TrRoad_act!D6*1000)</f>
        <v>112.42277849318357</v>
      </c>
      <c r="E84" s="116">
        <f>IF(TrRoad_act!E6=0,0,E20/TrRoad_act!E6*1000)</f>
        <v>121.29566864462814</v>
      </c>
      <c r="F84" s="116">
        <f>IF(TrRoad_act!F6=0,0,F20/TrRoad_act!F6*1000)</f>
        <v>122.497786708362</v>
      </c>
      <c r="G84" s="116">
        <f>IF(TrRoad_act!G6=0,0,G20/TrRoad_act!G6*1000)</f>
        <v>127.78084397918046</v>
      </c>
      <c r="H84" s="116">
        <f>IF(TrRoad_act!H6=0,0,H20/TrRoad_act!H6*1000)</f>
        <v>128.28029094800229</v>
      </c>
      <c r="I84" s="116">
        <f>IF(TrRoad_act!I6=0,0,I20/TrRoad_act!I6*1000)</f>
        <v>112.98970651465675</v>
      </c>
      <c r="J84" s="116">
        <f>IF(TrRoad_act!J6=0,0,J20/TrRoad_act!J6*1000)</f>
        <v>114.01876666040582</v>
      </c>
      <c r="K84" s="116">
        <f>IF(TrRoad_act!K6=0,0,K20/TrRoad_act!K6*1000)</f>
        <v>107.7179097119048</v>
      </c>
      <c r="L84" s="116">
        <f>IF(TrRoad_act!L6=0,0,L20/TrRoad_act!L6*1000)</f>
        <v>104.37983260004256</v>
      </c>
      <c r="M84" s="116">
        <f>IF(TrRoad_act!M6=0,0,M20/TrRoad_act!M6*1000)</f>
        <v>100.21687407737654</v>
      </c>
      <c r="N84" s="116">
        <f>IF(TrRoad_act!N6=0,0,N20/TrRoad_act!N6*1000)</f>
        <v>104.14679020993172</v>
      </c>
      <c r="O84" s="116">
        <f>IF(TrRoad_act!O6=0,0,O20/TrRoad_act!O6*1000)</f>
        <v>87.935397785131812</v>
      </c>
      <c r="P84" s="116">
        <f>IF(TrRoad_act!P6=0,0,P20/TrRoad_act!P6*1000)</f>
        <v>98.188839164978788</v>
      </c>
      <c r="Q84" s="116">
        <f>IF(TrRoad_act!Q6=0,0,Q20/TrRoad_act!Q6*1000)</f>
        <v>102.8047039260687</v>
      </c>
      <c r="R84" s="116">
        <f>IF(TrRoad_act!R6=0,0,R20/TrRoad_act!R6*1000)</f>
        <v>106.18281471686322</v>
      </c>
      <c r="S84" s="116">
        <f>IF(TrRoad_act!S6=0,0,S20/TrRoad_act!S6*1000)</f>
        <v>107.03824207278205</v>
      </c>
      <c r="T84" s="116">
        <f>IF(TrRoad_act!T6=0,0,T20/TrRoad_act!T6*1000)</f>
        <v>113.32155216154152</v>
      </c>
      <c r="U84" s="116">
        <f>IF(TrRoad_act!U6=0,0,U20/TrRoad_act!U6*1000)</f>
        <v>118.89002120204432</v>
      </c>
      <c r="V84" s="116">
        <f>IF(TrRoad_act!V6=0,0,V20/TrRoad_act!V6*1000)</f>
        <v>125.461035601242</v>
      </c>
      <c r="W84" s="116">
        <f>IF(TrRoad_act!W6=0,0,W20/TrRoad_act!W6*1000)</f>
        <v>133.59023338527095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115.92921777747178</v>
      </c>
      <c r="C85" s="87">
        <f>IF(TrRoad_act!C7=0,0,C21/TrRoad_act!C7*1000)</f>
        <v>110.90971184074662</v>
      </c>
      <c r="D85" s="87">
        <f>IF(TrRoad_act!D7=0,0,D21/TrRoad_act!D7*1000)</f>
        <v>117.57619422518491</v>
      </c>
      <c r="E85" s="87">
        <f>IF(TrRoad_act!E7=0,0,E21/TrRoad_act!E7*1000)</f>
        <v>122.18806535571662</v>
      </c>
      <c r="F85" s="87">
        <f>IF(TrRoad_act!F7=0,0,F21/TrRoad_act!F7*1000)</f>
        <v>129.86407962392303</v>
      </c>
      <c r="G85" s="87">
        <f>IF(TrRoad_act!G7=0,0,G21/TrRoad_act!G7*1000)</f>
        <v>135.52473350799957</v>
      </c>
      <c r="H85" s="87">
        <f>IF(TrRoad_act!H7=0,0,H21/TrRoad_act!H7*1000)</f>
        <v>142.93456583448526</v>
      </c>
      <c r="I85" s="87">
        <f>IF(TrRoad_act!I7=0,0,I21/TrRoad_act!I7*1000)</f>
        <v>131.36833952816173</v>
      </c>
      <c r="J85" s="87">
        <f>IF(TrRoad_act!J7=0,0,J21/TrRoad_act!J7*1000)</f>
        <v>131.68693746043138</v>
      </c>
      <c r="K85" s="87">
        <f>IF(TrRoad_act!K7=0,0,K21/TrRoad_act!K7*1000)</f>
        <v>123.9958726092743</v>
      </c>
      <c r="L85" s="87">
        <f>IF(TrRoad_act!L7=0,0,L21/TrRoad_act!L7*1000)</f>
        <v>123.14007010856464</v>
      </c>
      <c r="M85" s="87">
        <f>IF(TrRoad_act!M7=0,0,M21/TrRoad_act!M7*1000)</f>
        <v>117.88578509231658</v>
      </c>
      <c r="N85" s="87">
        <f>IF(TrRoad_act!N7=0,0,N21/TrRoad_act!N7*1000)</f>
        <v>122.63728608543988</v>
      </c>
      <c r="O85" s="87">
        <f>IF(TrRoad_act!O7=0,0,O21/TrRoad_act!O7*1000)</f>
        <v>100.6747868423714</v>
      </c>
      <c r="P85" s="87">
        <f>IF(TrRoad_act!P7=0,0,P21/TrRoad_act!P7*1000)</f>
        <v>114.358538598127</v>
      </c>
      <c r="Q85" s="87">
        <f>IF(TrRoad_act!Q7=0,0,Q21/TrRoad_act!Q7*1000)</f>
        <v>119.28341958376384</v>
      </c>
      <c r="R85" s="87">
        <f>IF(TrRoad_act!R7=0,0,R21/TrRoad_act!R7*1000)</f>
        <v>117.97570339525684</v>
      </c>
      <c r="S85" s="87">
        <f>IF(TrRoad_act!S7=0,0,S21/TrRoad_act!S7*1000)</f>
        <v>116.81514491959545</v>
      </c>
      <c r="T85" s="87">
        <f>IF(TrRoad_act!T7=0,0,T21/TrRoad_act!T7*1000)</f>
        <v>116.65169652889445</v>
      </c>
      <c r="U85" s="87">
        <f>IF(TrRoad_act!U7=0,0,U21/TrRoad_act!U7*1000)</f>
        <v>116.36667694283427</v>
      </c>
      <c r="V85" s="87">
        <f>IF(TrRoad_act!V7=0,0,V21/TrRoad_act!V7*1000)</f>
        <v>130.16902727733671</v>
      </c>
      <c r="W85" s="87">
        <f>IF(TrRoad_act!W7=0,0,W21/TrRoad_act!W7*1000)</f>
        <v>138.89879623186869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96.615641634910176</v>
      </c>
      <c r="C86" s="87">
        <f>IF(TrRoad_act!C8=0,0,C22/TrRoad_act!C8*1000)</f>
        <v>100.17013866213379</v>
      </c>
      <c r="D86" s="87">
        <f>IF(TrRoad_act!D8=0,0,D22/TrRoad_act!D8*1000)</f>
        <v>93.793834271055758</v>
      </c>
      <c r="E86" s="87">
        <f>IF(TrRoad_act!E8=0,0,E22/TrRoad_act!E8*1000)</f>
        <v>117.93002681714627</v>
      </c>
      <c r="F86" s="87">
        <f>IF(TrRoad_act!F8=0,0,F22/TrRoad_act!F8*1000)</f>
        <v>115.95609196387848</v>
      </c>
      <c r="G86" s="87">
        <f>IF(TrRoad_act!G8=0,0,G22/TrRoad_act!G8*1000)</f>
        <v>127.12139794012445</v>
      </c>
      <c r="H86" s="87">
        <f>IF(TrRoad_act!H8=0,0,H22/TrRoad_act!H8*1000)</f>
        <v>124.16377440627853</v>
      </c>
      <c r="I86" s="87">
        <f>IF(TrRoad_act!I8=0,0,I22/TrRoad_act!I8*1000)</f>
        <v>103.87184296656704</v>
      </c>
      <c r="J86" s="87">
        <f>IF(TrRoad_act!J8=0,0,J22/TrRoad_act!J8*1000)</f>
        <v>108.33061132325322</v>
      </c>
      <c r="K86" s="87">
        <f>IF(TrRoad_act!K8=0,0,K22/TrRoad_act!K8*1000)</f>
        <v>98.029474108483882</v>
      </c>
      <c r="L86" s="87">
        <f>IF(TrRoad_act!L8=0,0,L22/TrRoad_act!L8*1000)</f>
        <v>95.762857918552143</v>
      </c>
      <c r="M86" s="87">
        <f>IF(TrRoad_act!M8=0,0,M22/TrRoad_act!M8*1000)</f>
        <v>90.63716107459183</v>
      </c>
      <c r="N86" s="87">
        <f>IF(TrRoad_act!N8=0,0,N22/TrRoad_act!N8*1000)</f>
        <v>96.871077658952785</v>
      </c>
      <c r="O86" s="87">
        <f>IF(TrRoad_act!O8=0,0,O22/TrRoad_act!O8*1000)</f>
        <v>76.668642385829557</v>
      </c>
      <c r="P86" s="87">
        <f>IF(TrRoad_act!P8=0,0,P22/TrRoad_act!P8*1000)</f>
        <v>90.20143358406672</v>
      </c>
      <c r="Q86" s="87">
        <f>IF(TrRoad_act!Q8=0,0,Q22/TrRoad_act!Q8*1000)</f>
        <v>97.537668046831214</v>
      </c>
      <c r="R86" s="87">
        <f>IF(TrRoad_act!R8=0,0,R22/TrRoad_act!R8*1000)</f>
        <v>103.08827828062114</v>
      </c>
      <c r="S86" s="87">
        <f>IF(TrRoad_act!S8=0,0,S22/TrRoad_act!S8*1000)</f>
        <v>105.40846728325162</v>
      </c>
      <c r="T86" s="87">
        <f>IF(TrRoad_act!T8=0,0,T22/TrRoad_act!T8*1000)</f>
        <v>114.82324273681343</v>
      </c>
      <c r="U86" s="87">
        <f>IF(TrRoad_act!U8=0,0,U22/TrRoad_act!U8*1000)</f>
        <v>123.79841817599062</v>
      </c>
      <c r="V86" s="87">
        <f>IF(TrRoad_act!V8=0,0,V22/TrRoad_act!V8*1000)</f>
        <v>124.33018993543676</v>
      </c>
      <c r="W86" s="87">
        <f>IF(TrRoad_act!W8=0,0,W22/TrRoad_act!W8*1000)</f>
        <v>134.35435695938355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117.45767332806538</v>
      </c>
      <c r="C87" s="87">
        <f>IF(TrRoad_act!C9=0,0,C23/TrRoad_act!C9*1000)</f>
        <v>118.87146847134912</v>
      </c>
      <c r="D87" s="87">
        <f>IF(TrRoad_act!D9=0,0,D23/TrRoad_act!D9*1000)</f>
        <v>119.43121252113751</v>
      </c>
      <c r="E87" s="87">
        <f>IF(TrRoad_act!E9=0,0,E23/TrRoad_act!E9*1000)</f>
        <v>123.74360279807748</v>
      </c>
      <c r="F87" s="87">
        <f>IF(TrRoad_act!F9=0,0,F23/TrRoad_act!F9*1000)</f>
        <v>121.57944820267902</v>
      </c>
      <c r="G87" s="87">
        <f>IF(TrRoad_act!G9=0,0,G23/TrRoad_act!G9*1000)</f>
        <v>119.58039859400725</v>
      </c>
      <c r="H87" s="87">
        <f>IF(TrRoad_act!H9=0,0,H23/TrRoad_act!H9*1000)</f>
        <v>116.85289399850866</v>
      </c>
      <c r="I87" s="87">
        <f>IF(TrRoad_act!I9=0,0,I23/TrRoad_act!I9*1000)</f>
        <v>103.93229940526241</v>
      </c>
      <c r="J87" s="87">
        <f>IF(TrRoad_act!J9=0,0,J23/TrRoad_act!J9*1000)</f>
        <v>101.41030075083779</v>
      </c>
      <c r="K87" s="87">
        <f>IF(TrRoad_act!K9=0,0,K23/TrRoad_act!K9*1000)</f>
        <v>104.59338216183656</v>
      </c>
      <c r="L87" s="87">
        <f>IF(TrRoad_act!L9=0,0,L23/TrRoad_act!L9*1000)</f>
        <v>98.494975167014488</v>
      </c>
      <c r="M87" s="87">
        <f>IF(TrRoad_act!M9=0,0,M23/TrRoad_act!M9*1000)</f>
        <v>101.69798819994159</v>
      </c>
      <c r="N87" s="87">
        <f>IF(TrRoad_act!N9=0,0,N23/TrRoad_act!N9*1000)</f>
        <v>102.46867014425673</v>
      </c>
      <c r="O87" s="87">
        <f>IF(TrRoad_act!O9=0,0,O23/TrRoad_act!O9*1000)</f>
        <v>103.66553751624764</v>
      </c>
      <c r="P87" s="87">
        <f>IF(TrRoad_act!P9=0,0,P23/TrRoad_act!P9*1000)</f>
        <v>102.63989260415953</v>
      </c>
      <c r="Q87" s="87">
        <f>IF(TrRoad_act!Q9=0,0,Q23/TrRoad_act!Q9*1000)</f>
        <v>101.29652610057164</v>
      </c>
      <c r="R87" s="87">
        <f>IF(TrRoad_act!R9=0,0,R23/TrRoad_act!R9*1000)</f>
        <v>104.30571112110944</v>
      </c>
      <c r="S87" s="87">
        <f>IF(TrRoad_act!S9=0,0,S23/TrRoad_act!S9*1000)</f>
        <v>103.25621344234548</v>
      </c>
      <c r="T87" s="87">
        <f>IF(TrRoad_act!T9=0,0,T23/TrRoad_act!T9*1000)</f>
        <v>107.59372468284062</v>
      </c>
      <c r="U87" s="87">
        <f>IF(TrRoad_act!U9=0,0,U23/TrRoad_act!U9*1000)</f>
        <v>108.38711137019787</v>
      </c>
      <c r="V87" s="87">
        <f>IF(TrRoad_act!V9=0,0,V23/TrRoad_act!V9*1000)</f>
        <v>127.29621026435336</v>
      </c>
      <c r="W87" s="87">
        <f>IF(TrRoad_act!W9=0,0,W23/TrRoad_act!W9*1000)</f>
        <v>127.53946917305747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126.0000746142142</v>
      </c>
      <c r="G88" s="87">
        <f>IF(TrRoad_act!G10=0,0,G24/TrRoad_act!G10*1000)</f>
        <v>128.99435190214149</v>
      </c>
      <c r="H88" s="87">
        <f>IF(TrRoad_act!H10=0,0,H24/TrRoad_act!H10*1000)</f>
        <v>132.90104495323342</v>
      </c>
      <c r="I88" s="87">
        <f>IF(TrRoad_act!I10=0,0,I24/TrRoad_act!I10*1000)</f>
        <v>121.01304847486493</v>
      </c>
      <c r="J88" s="87">
        <f>IF(TrRoad_act!J10=0,0,J24/TrRoad_act!J10*1000)</f>
        <v>121.52598063900365</v>
      </c>
      <c r="K88" s="87">
        <f>IF(TrRoad_act!K10=0,0,K24/TrRoad_act!K10*1000)</f>
        <v>113.49893719851713</v>
      </c>
      <c r="L88" s="87">
        <f>IF(TrRoad_act!L10=0,0,L24/TrRoad_act!L10*1000)</f>
        <v>98.71094502007297</v>
      </c>
      <c r="M88" s="87">
        <f>IF(TrRoad_act!M10=0,0,M24/TrRoad_act!M10*1000)</f>
        <v>94.647556285589886</v>
      </c>
      <c r="N88" s="87">
        <f>IF(TrRoad_act!N10=0,0,N24/TrRoad_act!N10*1000)</f>
        <v>96.742364299018121</v>
      </c>
      <c r="O88" s="87">
        <f>IF(TrRoad_act!O10=0,0,O24/TrRoad_act!O10*1000)</f>
        <v>95.170624109735456</v>
      </c>
      <c r="P88" s="87">
        <f>IF(TrRoad_act!P10=0,0,P24/TrRoad_act!P10*1000)</f>
        <v>91.820489475184786</v>
      </c>
      <c r="Q88" s="87">
        <f>IF(TrRoad_act!Q10=0,0,Q24/TrRoad_act!Q10*1000)</f>
        <v>96.044570073244856</v>
      </c>
      <c r="R88" s="87">
        <f>IF(TrRoad_act!R10=0,0,R24/TrRoad_act!R10*1000)</f>
        <v>97.717920763100594</v>
      </c>
      <c r="S88" s="87">
        <f>IF(TrRoad_act!S10=0,0,S24/TrRoad_act!S10*1000)</f>
        <v>96.152560364686508</v>
      </c>
      <c r="T88" s="87">
        <f>IF(TrRoad_act!T10=0,0,T24/TrRoad_act!T10*1000)</f>
        <v>97.003859450354042</v>
      </c>
      <c r="U88" s="87">
        <f>IF(TrRoad_act!U10=0,0,U24/TrRoad_act!U10*1000)</f>
        <v>97.02767255989076</v>
      </c>
      <c r="V88" s="87">
        <f>IF(TrRoad_act!V10=0,0,V24/TrRoad_act!V10*1000)</f>
        <v>108.18265888379815</v>
      </c>
      <c r="W88" s="87">
        <f>IF(TrRoad_act!W10=0,0,W24/TrRoad_act!W10*1000)</f>
        <v>115.09816710276807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28.767261963435708</v>
      </c>
      <c r="O89" s="87">
        <f>IF(TrRoad_act!O11=0,0,O25/TrRoad_act!O11*1000)</f>
        <v>23.76420813762962</v>
      </c>
      <c r="P89" s="87">
        <f>IF(TrRoad_act!P11=0,0,P25/TrRoad_act!P11*1000)</f>
        <v>32.469289554413962</v>
      </c>
      <c r="Q89" s="87">
        <f>IF(TrRoad_act!Q11=0,0,Q25/TrRoad_act!Q11*1000)</f>
        <v>36.523799531824999</v>
      </c>
      <c r="R89" s="87">
        <f>IF(TrRoad_act!R11=0,0,R25/TrRoad_act!R11*1000)</f>
        <v>34.858265779812562</v>
      </c>
      <c r="S89" s="87">
        <f>IF(TrRoad_act!S11=0,0,S25/TrRoad_act!S11*1000)</f>
        <v>34.658414714228165</v>
      </c>
      <c r="T89" s="87">
        <f>IF(TrRoad_act!T11=0,0,T25/TrRoad_act!T11*1000)</f>
        <v>34.502212169242647</v>
      </c>
      <c r="U89" s="87">
        <f>IF(TrRoad_act!U11=0,0,U25/TrRoad_act!U11*1000)</f>
        <v>39.502628010878766</v>
      </c>
      <c r="V89" s="87">
        <f>IF(TrRoad_act!V11=0,0,V25/TrRoad_act!V11*1000)</f>
        <v>42.105377853529205</v>
      </c>
      <c r="W89" s="87">
        <f>IF(TrRoad_act!W11=0,0,W25/TrRoad_act!W11*1000)</f>
        <v>47.207955837456836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57.565354377012397</v>
      </c>
      <c r="C91" s="116">
        <f>IF(TrRoad_act!C13=0,0,C27/TrRoad_act!C13*1000)</f>
        <v>57.801609845649665</v>
      </c>
      <c r="D91" s="116">
        <f>IF(TrRoad_act!D13=0,0,D27/TrRoad_act!D13*1000)</f>
        <v>57.676279987500429</v>
      </c>
      <c r="E91" s="116">
        <f>IF(TrRoad_act!E13=0,0,E27/TrRoad_act!E13*1000)</f>
        <v>58.702701735355362</v>
      </c>
      <c r="F91" s="116">
        <f>IF(TrRoad_act!F13=0,0,F27/TrRoad_act!F13*1000)</f>
        <v>59.553404444692291</v>
      </c>
      <c r="G91" s="116">
        <f>IF(TrRoad_act!G13=0,0,G27/TrRoad_act!G13*1000)</f>
        <v>60.021228183612251</v>
      </c>
      <c r="H91" s="116">
        <f>IF(TrRoad_act!H13=0,0,H27/TrRoad_act!H13*1000)</f>
        <v>60.436653264088058</v>
      </c>
      <c r="I91" s="116">
        <f>IF(TrRoad_act!I13=0,0,I27/TrRoad_act!I13*1000)</f>
        <v>61.328394281351919</v>
      </c>
      <c r="J91" s="116">
        <f>IF(TrRoad_act!J13=0,0,J27/TrRoad_act!J13*1000)</f>
        <v>54.609958831366512</v>
      </c>
      <c r="K91" s="116">
        <f>IF(TrRoad_act!K13=0,0,K27/TrRoad_act!K13*1000)</f>
        <v>75.238317699389327</v>
      </c>
      <c r="L91" s="116">
        <f>IF(TrRoad_act!L13=0,0,L27/TrRoad_act!L13*1000)</f>
        <v>67.778427139211757</v>
      </c>
      <c r="M91" s="116">
        <f>IF(TrRoad_act!M13=0,0,M27/TrRoad_act!M13*1000)</f>
        <v>72.897305522725262</v>
      </c>
      <c r="N91" s="116">
        <f>IF(TrRoad_act!N13=0,0,N27/TrRoad_act!N13*1000)</f>
        <v>66.818124424345086</v>
      </c>
      <c r="O91" s="116">
        <f>IF(TrRoad_act!O13=0,0,O27/TrRoad_act!O13*1000)</f>
        <v>60.535692928429093</v>
      </c>
      <c r="P91" s="116">
        <f>IF(TrRoad_act!P13=0,0,P27/TrRoad_act!P13*1000)</f>
        <v>53.879183412365322</v>
      </c>
      <c r="Q91" s="116">
        <f>IF(TrRoad_act!Q13=0,0,Q27/TrRoad_act!Q13*1000)</f>
        <v>53.958182657501112</v>
      </c>
      <c r="R91" s="116">
        <f>IF(TrRoad_act!R13=0,0,R27/TrRoad_act!R13*1000)</f>
        <v>52.278912775970603</v>
      </c>
      <c r="S91" s="116">
        <f>IF(TrRoad_act!S13=0,0,S27/TrRoad_act!S13*1000)</f>
        <v>56.214546566772896</v>
      </c>
      <c r="T91" s="116">
        <f>IF(TrRoad_act!T13=0,0,T27/TrRoad_act!T13*1000)</f>
        <v>61.423466603105027</v>
      </c>
      <c r="U91" s="116">
        <f>IF(TrRoad_act!U13=0,0,U27/TrRoad_act!U13*1000)</f>
        <v>61.440918716918475</v>
      </c>
      <c r="V91" s="116">
        <f>IF(TrRoad_act!V13=0,0,V27/TrRoad_act!V13*1000)</f>
        <v>129.2151779386908</v>
      </c>
      <c r="W91" s="116">
        <f>IF(TrRoad_act!W13=0,0,W27/TrRoad_act!W13*1000)</f>
        <v>132.91918863935717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57.565354377012397</v>
      </c>
      <c r="C93" s="101">
        <f>IF(TrRoad_act!C15=0,0,C29/TrRoad_act!C15*1000)</f>
        <v>57.801609845649665</v>
      </c>
      <c r="D93" s="101">
        <f>IF(TrRoad_act!D15=0,0,D29/TrRoad_act!D15*1000)</f>
        <v>57.676279987500429</v>
      </c>
      <c r="E93" s="101">
        <f>IF(TrRoad_act!E15=0,0,E29/TrRoad_act!E15*1000)</f>
        <v>58.702701735355362</v>
      </c>
      <c r="F93" s="101">
        <f>IF(TrRoad_act!F15=0,0,F29/TrRoad_act!F15*1000)</f>
        <v>59.733157721814038</v>
      </c>
      <c r="G93" s="101">
        <f>IF(TrRoad_act!G15=0,0,G29/TrRoad_act!G15*1000)</f>
        <v>60.438465629779571</v>
      </c>
      <c r="H93" s="101">
        <f>IF(TrRoad_act!H15=0,0,H29/TrRoad_act!H15*1000)</f>
        <v>61.25407898652572</v>
      </c>
      <c r="I93" s="101">
        <f>IF(TrRoad_act!I15=0,0,I29/TrRoad_act!I15*1000)</f>
        <v>62.397131002373598</v>
      </c>
      <c r="J93" s="101">
        <f>IF(TrRoad_act!J15=0,0,J29/TrRoad_act!J15*1000)</f>
        <v>55.652261859962863</v>
      </c>
      <c r="K93" s="101">
        <f>IF(TrRoad_act!K15=0,0,K29/TrRoad_act!K15*1000)</f>
        <v>77.226407426450223</v>
      </c>
      <c r="L93" s="101">
        <f>IF(TrRoad_act!L15=0,0,L29/TrRoad_act!L15*1000)</f>
        <v>70.062219578800352</v>
      </c>
      <c r="M93" s="101">
        <f>IF(TrRoad_act!M15=0,0,M29/TrRoad_act!M15*1000)</f>
        <v>75.36140539702366</v>
      </c>
      <c r="N93" s="101">
        <f>IF(TrRoad_act!N15=0,0,N29/TrRoad_act!N15*1000)</f>
        <v>68.54139816755125</v>
      </c>
      <c r="O93" s="101">
        <f>IF(TrRoad_act!O15=0,0,O29/TrRoad_act!O15*1000)</f>
        <v>67.136771920578582</v>
      </c>
      <c r="P93" s="101">
        <f>IF(TrRoad_act!P15=0,0,P29/TrRoad_act!P15*1000)</f>
        <v>63.106626411323475</v>
      </c>
      <c r="Q93" s="101">
        <f>IF(TrRoad_act!Q15=0,0,Q29/TrRoad_act!Q15*1000)</f>
        <v>60.944643191792274</v>
      </c>
      <c r="R93" s="101">
        <f>IF(TrRoad_act!R15=0,0,R29/TrRoad_act!R15*1000)</f>
        <v>57.755045256852171</v>
      </c>
      <c r="S93" s="101">
        <f>IF(TrRoad_act!S15=0,0,S29/TrRoad_act!S15*1000)</f>
        <v>62.693420541953884</v>
      </c>
      <c r="T93" s="101">
        <f>IF(TrRoad_act!T15=0,0,T29/TrRoad_act!T15*1000)</f>
        <v>68.89181724444407</v>
      </c>
      <c r="U93" s="101">
        <f>IF(TrRoad_act!U15=0,0,U29/TrRoad_act!U15*1000)</f>
        <v>68.944282913068392</v>
      </c>
      <c r="V93" s="101">
        <f>IF(TrRoad_act!V15=0,0,V29/TrRoad_act!V15*1000)</f>
        <v>146.84508266486964</v>
      </c>
      <c r="W93" s="101">
        <f>IF(TrRoad_act!W15=0,0,W29/TrRoad_act!W15*1000)</f>
        <v>150.71826394511132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33.301263865177248</v>
      </c>
      <c r="G95" s="101">
        <f>IF(TrRoad_act!G17=0,0,G31/TrRoad_act!G17*1000)</f>
        <v>32.086461384927716</v>
      </c>
      <c r="H95" s="101">
        <f>IF(TrRoad_act!H17=0,0,H31/TrRoad_act!H17*1000)</f>
        <v>31.763582835311443</v>
      </c>
      <c r="I95" s="101">
        <f>IF(TrRoad_act!I17=0,0,I31/TrRoad_act!I17*1000)</f>
        <v>35.839428783145109</v>
      </c>
      <c r="J95" s="101">
        <f>IF(TrRoad_act!J17=0,0,J31/TrRoad_act!J17*1000)</f>
        <v>32.432306181361369</v>
      </c>
      <c r="K95" s="101">
        <f>IF(TrRoad_act!K17=0,0,K31/TrRoad_act!K17*1000)</f>
        <v>46.696365198976117</v>
      </c>
      <c r="L95" s="101">
        <f>IF(TrRoad_act!L17=0,0,L31/TrRoad_act!L17*1000)</f>
        <v>46.802410679322975</v>
      </c>
      <c r="M95" s="101">
        <f>IF(TrRoad_act!M17=0,0,M31/TrRoad_act!M17*1000)</f>
        <v>48.938350667262647</v>
      </c>
      <c r="N95" s="101">
        <f>IF(TrRoad_act!N17=0,0,N31/TrRoad_act!N17*1000)</f>
        <v>51.42568361023563</v>
      </c>
      <c r="O95" s="101">
        <f>IF(TrRoad_act!O17=0,0,O31/TrRoad_act!O17*1000)</f>
        <v>35.826691043204903</v>
      </c>
      <c r="P95" s="101">
        <f>IF(TrRoad_act!P17=0,0,P31/TrRoad_act!P17*1000)</f>
        <v>18.3840151983871</v>
      </c>
      <c r="Q95" s="101">
        <f>IF(TrRoad_act!Q17=0,0,Q31/TrRoad_act!Q17*1000)</f>
        <v>28.257844397771475</v>
      </c>
      <c r="R95" s="101">
        <f>IF(TrRoad_act!R17=0,0,R31/TrRoad_act!R17*1000)</f>
        <v>33.576560189381809</v>
      </c>
      <c r="S95" s="101">
        <f>IF(TrRoad_act!S17=0,0,S31/TrRoad_act!S17*1000)</f>
        <v>35.940563605243568</v>
      </c>
      <c r="T95" s="101">
        <f>IF(TrRoad_act!T17=0,0,T31/TrRoad_act!T17*1000)</f>
        <v>38.638961205658362</v>
      </c>
      <c r="U95" s="101">
        <f>IF(TrRoad_act!U17=0,0,U31/TrRoad_act!U17*1000)</f>
        <v>39.948467086024124</v>
      </c>
      <c r="V95" s="101">
        <f>IF(TrRoad_act!V17=0,0,V31/TrRoad_act!V17*1000)</f>
        <v>76.089900464202458</v>
      </c>
      <c r="W95" s="101">
        <f>IF(TrRoad_act!W17=0,0,W31/TrRoad_act!W17*1000)</f>
        <v>89.766131834261685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129.58015434015422</v>
      </c>
      <c r="C97" s="29">
        <f>IF(TrRoad_act!C19=0,0,C33/TrRoad_act!C19*1000)</f>
        <v>132.83212434307123</v>
      </c>
      <c r="D97" s="29">
        <f>IF(TrRoad_act!D19=0,0,D33/TrRoad_act!D19*1000)</f>
        <v>114.53994182946683</v>
      </c>
      <c r="E97" s="29">
        <f>IF(TrRoad_act!E19=0,0,E33/TrRoad_act!E19*1000)</f>
        <v>149.6178230992856</v>
      </c>
      <c r="F97" s="29">
        <f>IF(TrRoad_act!F19=0,0,F33/TrRoad_act!F19*1000)</f>
        <v>151.56876643138932</v>
      </c>
      <c r="G97" s="29">
        <f>IF(TrRoad_act!G19=0,0,G33/TrRoad_act!G19*1000)</f>
        <v>154.77237365300829</v>
      </c>
      <c r="H97" s="29">
        <f>IF(TrRoad_act!H19=0,0,H33/TrRoad_act!H19*1000)</f>
        <v>156.96150495353371</v>
      </c>
      <c r="I97" s="29">
        <f>IF(TrRoad_act!I19=0,0,I33/TrRoad_act!I19*1000)</f>
        <v>147.91053033977829</v>
      </c>
      <c r="J97" s="29">
        <f>IF(TrRoad_act!J19=0,0,J33/TrRoad_act!J19*1000)</f>
        <v>166.73908096230033</v>
      </c>
      <c r="K97" s="29">
        <f>IF(TrRoad_act!K19=0,0,K33/TrRoad_act!K19*1000)</f>
        <v>160.7934383857469</v>
      </c>
      <c r="L97" s="29">
        <f>IF(TrRoad_act!L19=0,0,L33/TrRoad_act!L19*1000)</f>
        <v>153.44417709241844</v>
      </c>
      <c r="M97" s="29">
        <f>IF(TrRoad_act!M19=0,0,M33/TrRoad_act!M19*1000)</f>
        <v>145.84149863521262</v>
      </c>
      <c r="N97" s="29">
        <f>IF(TrRoad_act!N19=0,0,N33/TrRoad_act!N19*1000)</f>
        <v>151.93122398382326</v>
      </c>
      <c r="O97" s="29">
        <f>IF(TrRoad_act!O19=0,0,O33/TrRoad_act!O19*1000)</f>
        <v>118.56499689819884</v>
      </c>
      <c r="P97" s="29">
        <f>IF(TrRoad_act!P19=0,0,P33/TrRoad_act!P19*1000)</f>
        <v>136.39161761747158</v>
      </c>
      <c r="Q97" s="29">
        <f>IF(TrRoad_act!Q19=0,0,Q33/TrRoad_act!Q19*1000)</f>
        <v>140.32307057001231</v>
      </c>
      <c r="R97" s="29">
        <f>IF(TrRoad_act!R19=0,0,R33/TrRoad_act!R19*1000)</f>
        <v>139.52703387192352</v>
      </c>
      <c r="S97" s="29">
        <f>IF(TrRoad_act!S19=0,0,S33/TrRoad_act!S19*1000)</f>
        <v>129.18645447796374</v>
      </c>
      <c r="T97" s="29">
        <f>IF(TrRoad_act!T19=0,0,T33/TrRoad_act!T19*1000)</f>
        <v>135.15525109242827</v>
      </c>
      <c r="U97" s="29">
        <f>IF(TrRoad_act!U19=0,0,U33/TrRoad_act!U19*1000)</f>
        <v>150.82823644900679</v>
      </c>
      <c r="V97" s="29">
        <f>IF(TrRoad_act!V19=0,0,V33/TrRoad_act!V19*1000)</f>
        <v>130.97882393290297</v>
      </c>
      <c r="W97" s="29">
        <f>IF(TrRoad_act!W19=0,0,W33/TrRoad_act!W19*1000)</f>
        <v>126.77114439671908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937.04225020373519</v>
      </c>
      <c r="C98" s="152">
        <f>IF(TrRoad_act!C20=0,0,C34/TrRoad_act!C20*1000)</f>
        <v>946.90142024860836</v>
      </c>
      <c r="D98" s="152">
        <f>IF(TrRoad_act!D20=0,0,D34/TrRoad_act!D20*1000)</f>
        <v>948.50190318097668</v>
      </c>
      <c r="E98" s="152">
        <f>IF(TrRoad_act!E20=0,0,E34/TrRoad_act!E20*1000)</f>
        <v>914.35112947245977</v>
      </c>
      <c r="F98" s="152">
        <f>IF(TrRoad_act!F20=0,0,F34/TrRoad_act!F20*1000)</f>
        <v>863.52196390071617</v>
      </c>
      <c r="G98" s="152">
        <f>IF(TrRoad_act!G20=0,0,G34/TrRoad_act!G20*1000)</f>
        <v>842.14208765750857</v>
      </c>
      <c r="H98" s="152">
        <f>IF(TrRoad_act!H20=0,0,H34/TrRoad_act!H20*1000)</f>
        <v>788.53562747951014</v>
      </c>
      <c r="I98" s="152">
        <f>IF(TrRoad_act!I20=0,0,I34/TrRoad_act!I20*1000)</f>
        <v>754.89409968667985</v>
      </c>
      <c r="J98" s="152">
        <f>IF(TrRoad_act!J20=0,0,J34/TrRoad_act!J20*1000)</f>
        <v>737.28290485273055</v>
      </c>
      <c r="K98" s="152">
        <f>IF(TrRoad_act!K20=0,0,K34/TrRoad_act!K20*1000)</f>
        <v>717.8315628589952</v>
      </c>
      <c r="L98" s="152">
        <f>IF(TrRoad_act!L20=0,0,L34/TrRoad_act!L20*1000)</f>
        <v>701.01705741394721</v>
      </c>
      <c r="M98" s="152">
        <f>IF(TrRoad_act!M20=0,0,M34/TrRoad_act!M20*1000)</f>
        <v>696.91425003588881</v>
      </c>
      <c r="N98" s="152">
        <f>IF(TrRoad_act!N20=0,0,N34/TrRoad_act!N20*1000)</f>
        <v>667.61725989707952</v>
      </c>
      <c r="O98" s="152">
        <f>IF(TrRoad_act!O20=0,0,O34/TrRoad_act!O20*1000)</f>
        <v>651.55239472049402</v>
      </c>
      <c r="P98" s="152">
        <f>IF(TrRoad_act!P20=0,0,P34/TrRoad_act!P20*1000)</f>
        <v>654.5578377966176</v>
      </c>
      <c r="Q98" s="152">
        <f>IF(TrRoad_act!Q20=0,0,Q34/TrRoad_act!Q20*1000)</f>
        <v>652.84855775875189</v>
      </c>
      <c r="R98" s="152">
        <f>IF(TrRoad_act!R20=0,0,R34/TrRoad_act!R20*1000)</f>
        <v>642.1598012497775</v>
      </c>
      <c r="S98" s="152">
        <f>IF(TrRoad_act!S20=0,0,S34/TrRoad_act!S20*1000)</f>
        <v>640.1355907989057</v>
      </c>
      <c r="T98" s="152">
        <f>IF(TrRoad_act!T20=0,0,T34/TrRoad_act!T20*1000)</f>
        <v>643.6122838181218</v>
      </c>
      <c r="U98" s="152">
        <f>IF(TrRoad_act!U20=0,0,U34/TrRoad_act!U20*1000)</f>
        <v>645.45295540192296</v>
      </c>
      <c r="V98" s="152">
        <f>IF(TrRoad_act!V20=0,0,V34/TrRoad_act!V20*1000)</f>
        <v>649.24843920418209</v>
      </c>
      <c r="W98" s="152">
        <f>IF(TrRoad_act!W20=0,0,W34/TrRoad_act!W20*1000)</f>
        <v>665.24574910991646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1419.4894879546923</v>
      </c>
      <c r="C99" s="87">
        <f>IF(TrRoad_act!C21=0,0,C35/TrRoad_act!C21*1000)</f>
        <v>1410.3862670860769</v>
      </c>
      <c r="D99" s="87">
        <f>IF(TrRoad_act!D21=0,0,D35/TrRoad_act!D21*1000)</f>
        <v>1400.1931047628766</v>
      </c>
      <c r="E99" s="87">
        <f>IF(TrRoad_act!E21=0,0,E35/TrRoad_act!E21*1000)</f>
        <v>1389.4836089947621</v>
      </c>
      <c r="F99" s="87">
        <f>IF(TrRoad_act!F21=0,0,F35/TrRoad_act!F21*1000)</f>
        <v>1380.9100014712367</v>
      </c>
      <c r="G99" s="87">
        <f>IF(TrRoad_act!G21=0,0,G35/TrRoad_act!G21*1000)</f>
        <v>1361.7978551518474</v>
      </c>
      <c r="H99" s="87">
        <f>IF(TrRoad_act!H21=0,0,H35/TrRoad_act!H21*1000)</f>
        <v>1348.8903451149804</v>
      </c>
      <c r="I99" s="87">
        <f>IF(TrRoad_act!I21=0,0,I35/TrRoad_act!I21*1000)</f>
        <v>1337.7453515348689</v>
      </c>
      <c r="J99" s="87">
        <f>IF(TrRoad_act!J21=0,0,J35/TrRoad_act!J21*1000)</f>
        <v>1336.0158245824975</v>
      </c>
      <c r="K99" s="87">
        <f>IF(TrRoad_act!K21=0,0,K35/TrRoad_act!K21*1000)</f>
        <v>1319.736915210631</v>
      </c>
      <c r="L99" s="87">
        <f>IF(TrRoad_act!L21=0,0,L35/TrRoad_act!L21*1000)</f>
        <v>1298.9884186718787</v>
      </c>
      <c r="M99" s="87">
        <f>IF(TrRoad_act!M21=0,0,M35/TrRoad_act!M21*1000)</f>
        <v>1289.7318202459685</v>
      </c>
      <c r="N99" s="87">
        <f>IF(TrRoad_act!N21=0,0,N35/TrRoad_act!N21*1000)</f>
        <v>1254.2101836959171</v>
      </c>
      <c r="O99" s="87">
        <f>IF(TrRoad_act!O21=0,0,O35/TrRoad_act!O21*1000)</f>
        <v>1198.0176634846409</v>
      </c>
      <c r="P99" s="87">
        <f>IF(TrRoad_act!P21=0,0,P35/TrRoad_act!P21*1000)</f>
        <v>1123.5622474791462</v>
      </c>
      <c r="Q99" s="87">
        <f>IF(TrRoad_act!Q21=0,0,Q35/TrRoad_act!Q21*1000)</f>
        <v>1044.9613322041432</v>
      </c>
      <c r="R99" s="87">
        <f>IF(TrRoad_act!R21=0,0,R35/TrRoad_act!R21*1000)</f>
        <v>985.72849677229635</v>
      </c>
      <c r="S99" s="87">
        <f>IF(TrRoad_act!S21=0,0,S35/TrRoad_act!S21*1000)</f>
        <v>957.90832519445485</v>
      </c>
      <c r="T99" s="87">
        <f>IF(TrRoad_act!T21=0,0,T35/TrRoad_act!T21*1000)</f>
        <v>911.21884725323218</v>
      </c>
      <c r="U99" s="87">
        <f>IF(TrRoad_act!U21=0,0,U35/TrRoad_act!U21*1000)</f>
        <v>888.91716725124513</v>
      </c>
      <c r="V99" s="87">
        <f>IF(TrRoad_act!V21=0,0,V35/TrRoad_act!V21*1000)</f>
        <v>895.16863611675524</v>
      </c>
      <c r="W99" s="87">
        <f>IF(TrRoad_act!W21=0,0,W35/TrRoad_act!W21*1000)</f>
        <v>909.40601139902992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854.04163551531917</v>
      </c>
      <c r="C100" s="87">
        <f>IF(TrRoad_act!C22=0,0,C36/TrRoad_act!C22*1000)</f>
        <v>860.69199199155548</v>
      </c>
      <c r="D100" s="87">
        <f>IF(TrRoad_act!D22=0,0,D36/TrRoad_act!D22*1000)</f>
        <v>863.4979622968068</v>
      </c>
      <c r="E100" s="87">
        <f>IF(TrRoad_act!E22=0,0,E36/TrRoad_act!E22*1000)</f>
        <v>831.8056833371561</v>
      </c>
      <c r="F100" s="87">
        <f>IF(TrRoad_act!F22=0,0,F36/TrRoad_act!F22*1000)</f>
        <v>787.44910768468253</v>
      </c>
      <c r="G100" s="87">
        <f>IF(TrRoad_act!G22=0,0,G36/TrRoad_act!G22*1000)</f>
        <v>768.17344286614218</v>
      </c>
      <c r="H100" s="87">
        <f>IF(TrRoad_act!H22=0,0,H36/TrRoad_act!H22*1000)</f>
        <v>728.4589176798188</v>
      </c>
      <c r="I100" s="87">
        <f>IF(TrRoad_act!I22=0,0,I36/TrRoad_act!I22*1000)</f>
        <v>707.33230817868196</v>
      </c>
      <c r="J100" s="87">
        <f>IF(TrRoad_act!J22=0,0,J36/TrRoad_act!J22*1000)</f>
        <v>698.53163098838161</v>
      </c>
      <c r="K100" s="87">
        <f>IF(TrRoad_act!K22=0,0,K36/TrRoad_act!K22*1000)</f>
        <v>685.58146697611437</v>
      </c>
      <c r="L100" s="87">
        <f>IF(TrRoad_act!L22=0,0,L36/TrRoad_act!L22*1000)</f>
        <v>676.30787460322063</v>
      </c>
      <c r="M100" s="87">
        <f>IF(TrRoad_act!M22=0,0,M36/TrRoad_act!M22*1000)</f>
        <v>672.8324599904131</v>
      </c>
      <c r="N100" s="87">
        <f>IF(TrRoad_act!N22=0,0,N36/TrRoad_act!N22*1000)</f>
        <v>645.86777481660044</v>
      </c>
      <c r="O100" s="87">
        <f>IF(TrRoad_act!O22=0,0,O36/TrRoad_act!O22*1000)</f>
        <v>632.47767490331489</v>
      </c>
      <c r="P100" s="87">
        <f>IF(TrRoad_act!P22=0,0,P36/TrRoad_act!P22*1000)</f>
        <v>639.56453099009173</v>
      </c>
      <c r="Q100" s="87">
        <f>IF(TrRoad_act!Q22=0,0,Q36/TrRoad_act!Q22*1000)</f>
        <v>638.83301102997223</v>
      </c>
      <c r="R100" s="87">
        <f>IF(TrRoad_act!R22=0,0,R36/TrRoad_act!R22*1000)</f>
        <v>628.78913707443485</v>
      </c>
      <c r="S100" s="87">
        <f>IF(TrRoad_act!S22=0,0,S36/TrRoad_act!S22*1000)</f>
        <v>623.80412796463929</v>
      </c>
      <c r="T100" s="87">
        <f>IF(TrRoad_act!T22=0,0,T36/TrRoad_act!T22*1000)</f>
        <v>626.81382399845609</v>
      </c>
      <c r="U100" s="87">
        <f>IF(TrRoad_act!U22=0,0,U36/TrRoad_act!U22*1000)</f>
        <v>626.61405675310527</v>
      </c>
      <c r="V100" s="87">
        <f>IF(TrRoad_act!V22=0,0,V36/TrRoad_act!V22*1000)</f>
        <v>627.81858719575916</v>
      </c>
      <c r="W100" s="87">
        <f>IF(TrRoad_act!W22=0,0,W36/TrRoad_act!W22*1000)</f>
        <v>640.33300933934561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83.942144193819701</v>
      </c>
      <c r="C104" s="116">
        <f>IF(TrRoad_act!C26=0,0,C40/TrRoad_act!C26*1000)</f>
        <v>91.856646189776839</v>
      </c>
      <c r="D104" s="116">
        <f>IF(TrRoad_act!D26=0,0,D40/TrRoad_act!D26*1000)</f>
        <v>76.242665587488176</v>
      </c>
      <c r="E104" s="116">
        <f>IF(TrRoad_act!E26=0,0,E40/TrRoad_act!E26*1000)</f>
        <v>113.9726767040593</v>
      </c>
      <c r="F104" s="116">
        <f>IF(TrRoad_act!F26=0,0,F40/TrRoad_act!F26*1000)</f>
        <v>115.38629501607845</v>
      </c>
      <c r="G104" s="116">
        <f>IF(TrRoad_act!G26=0,0,G40/TrRoad_act!G26*1000)</f>
        <v>123.52702909899264</v>
      </c>
      <c r="H104" s="116">
        <f>IF(TrRoad_act!H26=0,0,H40/TrRoad_act!H26*1000)</f>
        <v>124.14227685219083</v>
      </c>
      <c r="I104" s="116">
        <f>IF(TrRoad_act!I26=0,0,I40/TrRoad_act!I26*1000)</f>
        <v>110.60806113438892</v>
      </c>
      <c r="J104" s="116">
        <f>IF(TrRoad_act!J26=0,0,J40/TrRoad_act!J26*1000)</f>
        <v>126.08946709459484</v>
      </c>
      <c r="K104" s="116">
        <f>IF(TrRoad_act!K26=0,0,K40/TrRoad_act!K26*1000)</f>
        <v>115.84237334942281</v>
      </c>
      <c r="L104" s="116">
        <f>IF(TrRoad_act!L26=0,0,L40/TrRoad_act!L26*1000)</f>
        <v>110.2311310960983</v>
      </c>
      <c r="M104" s="116">
        <f>IF(TrRoad_act!M26=0,0,M40/TrRoad_act!M26*1000)</f>
        <v>101.66484587711795</v>
      </c>
      <c r="N104" s="116">
        <f>IF(TrRoad_act!N26=0,0,N40/TrRoad_act!N26*1000)</f>
        <v>106.21186884434397</v>
      </c>
      <c r="O104" s="116">
        <f>IF(TrRoad_act!O26=0,0,O40/TrRoad_act!O26*1000)</f>
        <v>78.450941254195143</v>
      </c>
      <c r="P104" s="116">
        <f>IF(TrRoad_act!P26=0,0,P40/TrRoad_act!P26*1000)</f>
        <v>93.290250709082173</v>
      </c>
      <c r="Q104" s="116">
        <f>IF(TrRoad_act!Q26=0,0,Q40/TrRoad_act!Q26*1000)</f>
        <v>96.477561192080856</v>
      </c>
      <c r="R104" s="116">
        <f>IF(TrRoad_act!R26=0,0,R40/TrRoad_act!R26*1000)</f>
        <v>96.992695368866535</v>
      </c>
      <c r="S104" s="116">
        <f>IF(TrRoad_act!S26=0,0,S40/TrRoad_act!S26*1000)</f>
        <v>95.068934308047588</v>
      </c>
      <c r="T104" s="116">
        <f>IF(TrRoad_act!T26=0,0,T40/TrRoad_act!T26*1000)</f>
        <v>98.681067376304185</v>
      </c>
      <c r="U104" s="116">
        <f>IF(TrRoad_act!U26=0,0,U40/TrRoad_act!U26*1000)</f>
        <v>106.75913508806508</v>
      </c>
      <c r="V104" s="116">
        <f>IF(TrRoad_act!V26=0,0,V40/TrRoad_act!V26*1000)</f>
        <v>96.18437884064619</v>
      </c>
      <c r="W104" s="116">
        <f>IF(TrRoad_act!W26=0,0,W40/TrRoad_act!W26*1000)</f>
        <v>98.353046435758458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75.574874310535975</v>
      </c>
      <c r="C105" s="101">
        <f>IF(TrRoad_act!C27=0,0,C41/TrRoad_act!C27*1000)</f>
        <v>98.165365468829947</v>
      </c>
      <c r="D105" s="101">
        <f>IF(TrRoad_act!D27=0,0,D41/TrRoad_act!D27*1000)</f>
        <v>62.665214378414198</v>
      </c>
      <c r="E105" s="101">
        <f>IF(TrRoad_act!E27=0,0,E41/TrRoad_act!E27*1000)</f>
        <v>147.26573613567763</v>
      </c>
      <c r="F105" s="101">
        <f>IF(TrRoad_act!F27=0,0,F41/TrRoad_act!F27*1000)</f>
        <v>154.37428658178325</v>
      </c>
      <c r="G105" s="101">
        <f>IF(TrRoad_act!G27=0,0,G41/TrRoad_act!G27*1000)</f>
        <v>172.39263801172211</v>
      </c>
      <c r="H105" s="101">
        <f>IF(TrRoad_act!H27=0,0,H41/TrRoad_act!H27*1000)</f>
        <v>161.86505617805651</v>
      </c>
      <c r="I105" s="101">
        <f>IF(TrRoad_act!I27=0,0,I41/TrRoad_act!I27*1000)</f>
        <v>132.0774357501362</v>
      </c>
      <c r="J105" s="101">
        <f>IF(TrRoad_act!J27=0,0,J41/TrRoad_act!J27*1000)</f>
        <v>142.51035675577526</v>
      </c>
      <c r="K105" s="101">
        <f>IF(TrRoad_act!K27=0,0,K41/TrRoad_act!K27*1000)</f>
        <v>128.14160202043922</v>
      </c>
      <c r="L105" s="101">
        <f>IF(TrRoad_act!L27=0,0,L41/TrRoad_act!L27*1000)</f>
        <v>123.57339752947968</v>
      </c>
      <c r="M105" s="101">
        <f>IF(TrRoad_act!M27=0,0,M41/TrRoad_act!M27*1000)</f>
        <v>111.66074629140013</v>
      </c>
      <c r="N105" s="101">
        <f>IF(TrRoad_act!N27=0,0,N41/TrRoad_act!N27*1000)</f>
        <v>119.98977308553083</v>
      </c>
      <c r="O105" s="101">
        <f>IF(TrRoad_act!O27=0,0,O41/TrRoad_act!O27*1000)</f>
        <v>78.461206816320015</v>
      </c>
      <c r="P105" s="101">
        <f>IF(TrRoad_act!P27=0,0,P41/TrRoad_act!P27*1000)</f>
        <v>101.85079569423411</v>
      </c>
      <c r="Q105" s="101">
        <f>IF(TrRoad_act!Q27=0,0,Q41/TrRoad_act!Q27*1000)</f>
        <v>107.58893187178377</v>
      </c>
      <c r="R105" s="101">
        <f>IF(TrRoad_act!R27=0,0,R41/TrRoad_act!R27*1000)</f>
        <v>108.13899132080272</v>
      </c>
      <c r="S105" s="101">
        <f>IF(TrRoad_act!S27=0,0,S41/TrRoad_act!S27*1000)</f>
        <v>104.39379349202403</v>
      </c>
      <c r="T105" s="101">
        <f>IF(TrRoad_act!T27=0,0,T41/TrRoad_act!T27*1000)</f>
        <v>109.99928997150431</v>
      </c>
      <c r="U105" s="101">
        <f>IF(TrRoad_act!U27=0,0,U41/TrRoad_act!U27*1000)</f>
        <v>124.94662104031256</v>
      </c>
      <c r="V105" s="101">
        <f>IF(TrRoad_act!V27=0,0,V41/TrRoad_act!V27*1000)</f>
        <v>106.96339331959271</v>
      </c>
      <c r="W105" s="101">
        <f>IF(TrRoad_act!W27=0,0,W41/TrRoad_act!W27*1000)</f>
        <v>110.07951902684967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89.895125937198031</v>
      </c>
      <c r="C106" s="88">
        <f>IF(TrRoad_act!C28=0,0,C42/TrRoad_act!C28*1000)</f>
        <v>87.325782265713798</v>
      </c>
      <c r="D106" s="88">
        <f>IF(TrRoad_act!D28=0,0,D42/TrRoad_act!D28*1000)</f>
        <v>87.178348499650625</v>
      </c>
      <c r="E106" s="88">
        <f>IF(TrRoad_act!E28=0,0,E42/TrRoad_act!E28*1000)</f>
        <v>83.185558349368065</v>
      </c>
      <c r="F106" s="88">
        <f>IF(TrRoad_act!F28=0,0,F42/TrRoad_act!F28*1000)</f>
        <v>84.148778519063981</v>
      </c>
      <c r="G106" s="88">
        <f>IF(TrRoad_act!G28=0,0,G42/TrRoad_act!G28*1000)</f>
        <v>82.177563111314754</v>
      </c>
      <c r="H106" s="88">
        <f>IF(TrRoad_act!H28=0,0,H42/TrRoad_act!H28*1000)</f>
        <v>81.753297148753433</v>
      </c>
      <c r="I106" s="88">
        <f>IF(TrRoad_act!I28=0,0,I42/TrRoad_act!I28*1000)</f>
        <v>82.814541238739722</v>
      </c>
      <c r="J106" s="88">
        <f>IF(TrRoad_act!J28=0,0,J42/TrRoad_act!J28*1000)</f>
        <v>81.907210098014446</v>
      </c>
      <c r="K106" s="88">
        <f>IF(TrRoad_act!K28=0,0,K42/TrRoad_act!K28*1000)</f>
        <v>84.062893866104645</v>
      </c>
      <c r="L106" s="88">
        <f>IF(TrRoad_act!L28=0,0,L42/TrRoad_act!L28*1000)</f>
        <v>80.796980998001033</v>
      </c>
      <c r="M106" s="88">
        <f>IF(TrRoad_act!M28=0,0,M42/TrRoad_act!M28*1000)</f>
        <v>81.375329911041717</v>
      </c>
      <c r="N106" s="88">
        <f>IF(TrRoad_act!N28=0,0,N42/TrRoad_act!N28*1000)</f>
        <v>77.161171556600706</v>
      </c>
      <c r="O106" s="88">
        <f>IF(TrRoad_act!O28=0,0,O42/TrRoad_act!O28*1000)</f>
        <v>78.431321588959463</v>
      </c>
      <c r="P106" s="88">
        <f>IF(TrRoad_act!P28=0,0,P42/TrRoad_act!P28*1000)</f>
        <v>76.67535355224237</v>
      </c>
      <c r="Q106" s="88">
        <f>IF(TrRoad_act!Q28=0,0,Q42/TrRoad_act!Q28*1000)</f>
        <v>76.588754241430152</v>
      </c>
      <c r="R106" s="88">
        <f>IF(TrRoad_act!R28=0,0,R42/TrRoad_act!R28*1000)</f>
        <v>75.79087955553932</v>
      </c>
      <c r="S106" s="88">
        <f>IF(TrRoad_act!S28=0,0,S42/TrRoad_act!S28*1000)</f>
        <v>74.124863057041665</v>
      </c>
      <c r="T106" s="88">
        <f>IF(TrRoad_act!T28=0,0,T42/TrRoad_act!T28*1000)</f>
        <v>73.003410130402798</v>
      </c>
      <c r="U106" s="88">
        <f>IF(TrRoad_act!U28=0,0,U42/TrRoad_act!U28*1000)</f>
        <v>71.936827702426157</v>
      </c>
      <c r="V106" s="88">
        <f>IF(TrRoad_act!V28=0,0,V42/TrRoad_act!V28*1000)</f>
        <v>73.966716173332202</v>
      </c>
      <c r="W106" s="88">
        <f>IF(TrRoad_act!W28=0,0,W42/TrRoad_act!W28*1000)</f>
        <v>73.369959832416683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512.32548157760607</v>
      </c>
      <c r="C110" s="152">
        <f>IF(C19=0,0,1000000*C19/TrRoad_act!C59)</f>
        <v>516.46715101566576</v>
      </c>
      <c r="D110" s="152">
        <f>IF(D19=0,0,1000000*D19/TrRoad_act!D59)</f>
        <v>515.68648936714828</v>
      </c>
      <c r="E110" s="152">
        <f>IF(E19=0,0,1000000*E19/TrRoad_act!E59)</f>
        <v>501.43106814662553</v>
      </c>
      <c r="F110" s="152">
        <f>IF(F19=0,0,1000000*F19/TrRoad_act!F59)</f>
        <v>508.42065045240122</v>
      </c>
      <c r="G110" s="152">
        <f>IF(G19=0,0,1000000*G19/TrRoad_act!G59)</f>
        <v>542.60726299932185</v>
      </c>
      <c r="H110" s="152">
        <f>IF(H19=0,0,1000000*H19/TrRoad_act!H59)</f>
        <v>554.5881449897621</v>
      </c>
      <c r="I110" s="152">
        <f>IF(I19=0,0,1000000*I19/TrRoad_act!I59)</f>
        <v>487.75053281183438</v>
      </c>
      <c r="J110" s="152">
        <f>IF(J19=0,0,1000000*J19/TrRoad_act!J59)</f>
        <v>459.46083602576158</v>
      </c>
      <c r="K110" s="152">
        <f>IF(K19=0,0,1000000*K19/TrRoad_act!K59)</f>
        <v>439.24209233628926</v>
      </c>
      <c r="L110" s="152">
        <f>IF(L19=0,0,1000000*L19/TrRoad_act!L59)</f>
        <v>444.4034743417954</v>
      </c>
      <c r="M110" s="152">
        <f>IF(M19=0,0,1000000*M19/TrRoad_act!M59)</f>
        <v>442.84067941075006</v>
      </c>
      <c r="N110" s="152">
        <f>IF(N19=0,0,1000000*N19/TrRoad_act!N59)</f>
        <v>449.14479616321256</v>
      </c>
      <c r="O110" s="152">
        <f>IF(O19=0,0,1000000*O19/TrRoad_act!O59)</f>
        <v>438.05270879259768</v>
      </c>
      <c r="P110" s="152">
        <f>IF(P19=0,0,1000000*P19/TrRoad_act!P59)</f>
        <v>432.46330628964301</v>
      </c>
      <c r="Q110" s="152">
        <f>IF(Q19=0,0,1000000*Q19/TrRoad_act!Q59)</f>
        <v>424.53978127010902</v>
      </c>
      <c r="R110" s="152">
        <f>IF(R19=0,0,1000000*R19/TrRoad_act!R59)</f>
        <v>425.62686264933291</v>
      </c>
      <c r="S110" s="152">
        <f>IF(S19=0,0,1000000*S19/TrRoad_act!S59)</f>
        <v>387.55046160209628</v>
      </c>
      <c r="T110" s="152">
        <f>IF(T19=0,0,1000000*T19/TrRoad_act!T59)</f>
        <v>348.98215589025722</v>
      </c>
      <c r="U110" s="152">
        <f>IF(U19=0,0,1000000*U19/TrRoad_act!U59)</f>
        <v>352.12054856290609</v>
      </c>
      <c r="V110" s="152">
        <f>IF(V19=0,0,1000000*V19/TrRoad_act!V59)</f>
        <v>306.1816248963404</v>
      </c>
      <c r="W110" s="152">
        <f>IF(W19=0,0,1000000*W19/TrRoad_act!W59)</f>
        <v>294.97334158546687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1515.4755292851059</v>
      </c>
      <c r="C111" s="116">
        <f>IF(C20=0,0,1000000*C20/TrRoad_act!C60)</f>
        <v>1473.7205878356447</v>
      </c>
      <c r="D111" s="116">
        <f>IF(D20=0,0,1000000*D20/TrRoad_act!D60)</f>
        <v>1515.1039095949027</v>
      </c>
      <c r="E111" s="116">
        <f>IF(E20=0,0,1000000*E20/TrRoad_act!E60)</f>
        <v>1612.5133275841524</v>
      </c>
      <c r="F111" s="116">
        <f>IF(F20=0,0,1000000*F20/TrRoad_act!F60)</f>
        <v>1647.77206530277</v>
      </c>
      <c r="G111" s="116">
        <f>IF(G20=0,0,1000000*G20/TrRoad_act!G60)</f>
        <v>1767.1178285378285</v>
      </c>
      <c r="H111" s="116">
        <f>IF(H20=0,0,1000000*H20/TrRoad_act!H60)</f>
        <v>1854.1006224408006</v>
      </c>
      <c r="I111" s="116">
        <f>IF(I20=0,0,1000000*I20/TrRoad_act!I60)</f>
        <v>1666.6882609547974</v>
      </c>
      <c r="J111" s="116">
        <f>IF(J20=0,0,1000000*J20/TrRoad_act!J60)</f>
        <v>1760.2531304425388</v>
      </c>
      <c r="K111" s="116">
        <f>IF(K20=0,0,1000000*K20/TrRoad_act!K60)</f>
        <v>1786.6162348777332</v>
      </c>
      <c r="L111" s="116">
        <f>IF(L20=0,0,1000000*L20/TrRoad_act!L60)</f>
        <v>1714.7698545991157</v>
      </c>
      <c r="M111" s="116">
        <f>IF(M20=0,0,1000000*M20/TrRoad_act!M60)</f>
        <v>1647.6722338565335</v>
      </c>
      <c r="N111" s="116">
        <f>IF(N20=0,0,1000000*N20/TrRoad_act!N60)</f>
        <v>1736.1409092551876</v>
      </c>
      <c r="O111" s="116">
        <f>IF(O20=0,0,1000000*O20/TrRoad_act!O60)</f>
        <v>1483.3695459739497</v>
      </c>
      <c r="P111" s="116">
        <f>IF(P20=0,0,1000000*P20/TrRoad_act!P60)</f>
        <v>1704.4770360920329</v>
      </c>
      <c r="Q111" s="116">
        <f>IF(Q20=0,0,1000000*Q20/TrRoad_act!Q60)</f>
        <v>1841.6169371197761</v>
      </c>
      <c r="R111" s="116">
        <f>IF(R20=0,0,1000000*R20/TrRoad_act!R60)</f>
        <v>1869.0251512154966</v>
      </c>
      <c r="S111" s="116">
        <f>IF(S20=0,0,1000000*S20/TrRoad_act!S60)</f>
        <v>1941.8244335811289</v>
      </c>
      <c r="T111" s="116">
        <f>IF(T20=0,0,1000000*T20/TrRoad_act!T60)</f>
        <v>2015.6165272689891</v>
      </c>
      <c r="U111" s="116">
        <f>IF(U20=0,0,1000000*U20/TrRoad_act!U60)</f>
        <v>2144.25163759206</v>
      </c>
      <c r="V111" s="116">
        <f>IF(V20=0,0,1000000*V20/TrRoad_act!V60)</f>
        <v>1946.5007768979963</v>
      </c>
      <c r="W111" s="116">
        <f>IF(W20=0,0,1000000*W20/TrRoad_act!W60)</f>
        <v>2146.6827460162194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1227.4327351845509</v>
      </c>
      <c r="C112" s="87">
        <f>IF(C21=0,0,1000000*C21/TrRoad_act!C61)</f>
        <v>1043.4912368257287</v>
      </c>
      <c r="D112" s="87">
        <f>IF(D21=0,0,1000000*D21/TrRoad_act!D61)</f>
        <v>1127.1408193836157</v>
      </c>
      <c r="E112" s="87">
        <f>IF(E21=0,0,1000000*E21/TrRoad_act!E61)</f>
        <v>1078.2321090059415</v>
      </c>
      <c r="F112" s="87">
        <f>IF(F21=0,0,1000000*F21/TrRoad_act!F61)</f>
        <v>1013.3480522693101</v>
      </c>
      <c r="G112" s="87">
        <f>IF(G21=0,0,1000000*G21/TrRoad_act!G61)</f>
        <v>984.74299795419313</v>
      </c>
      <c r="H112" s="87">
        <f>IF(H21=0,0,1000000*H21/TrRoad_act!H61)</f>
        <v>1155.5829021671134</v>
      </c>
      <c r="I112" s="87">
        <f>IF(I21=0,0,1000000*I21/TrRoad_act!I61)</f>
        <v>1113.4453240438652</v>
      </c>
      <c r="J112" s="87">
        <f>IF(J21=0,0,1000000*J21/TrRoad_act!J61)</f>
        <v>1111.7483833410397</v>
      </c>
      <c r="K112" s="87">
        <f>IF(K21=0,0,1000000*K21/TrRoad_act!K61)</f>
        <v>1187.2939231670709</v>
      </c>
      <c r="L112" s="87">
        <f>IF(L21=0,0,1000000*L21/TrRoad_act!L61)</f>
        <v>1105.3804144603921</v>
      </c>
      <c r="M112" s="87">
        <f>IF(M21=0,0,1000000*M21/TrRoad_act!M61)</f>
        <v>1069.2879098446608</v>
      </c>
      <c r="N112" s="87">
        <f>IF(N21=0,0,1000000*N21/TrRoad_act!N61)</f>
        <v>1028.0122799443652</v>
      </c>
      <c r="O112" s="87">
        <f>IF(O21=0,0,1000000*O21/TrRoad_act!O61)</f>
        <v>832.03215280394534</v>
      </c>
      <c r="P112" s="87">
        <f>IF(P21=0,0,1000000*P21/TrRoad_act!P61)</f>
        <v>974.43093996012863</v>
      </c>
      <c r="Q112" s="87">
        <f>IF(Q21=0,0,1000000*Q21/TrRoad_act!Q61)</f>
        <v>1002.1537304810502</v>
      </c>
      <c r="R112" s="87">
        <f>IF(R21=0,0,1000000*R21/TrRoad_act!R61)</f>
        <v>953.29002827638453</v>
      </c>
      <c r="S112" s="87">
        <f>IF(S21=0,0,1000000*S21/TrRoad_act!S61)</f>
        <v>1000.9347604112868</v>
      </c>
      <c r="T112" s="87">
        <f>IF(T21=0,0,1000000*T21/TrRoad_act!T61)</f>
        <v>954.68843411411683</v>
      </c>
      <c r="U112" s="87">
        <f>IF(U21=0,0,1000000*U21/TrRoad_act!U61)</f>
        <v>956.47316484917133</v>
      </c>
      <c r="V112" s="87">
        <f>IF(V21=0,0,1000000*V21/TrRoad_act!V61)</f>
        <v>941.5032373176623</v>
      </c>
      <c r="W112" s="87">
        <f>IF(W21=0,0,1000000*W21/TrRoad_act!W61)</f>
        <v>1045.0340694602944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2733.4800598048541</v>
      </c>
      <c r="C113" s="87">
        <f>IF(C22=0,0,1000000*C22/TrRoad_act!C62)</f>
        <v>3449.7570286433242</v>
      </c>
      <c r="D113" s="87">
        <f>IF(D22=0,0,1000000*D22/TrRoad_act!D62)</f>
        <v>2861.2018268998381</v>
      </c>
      <c r="E113" s="87">
        <f>IF(E22=0,0,1000000*E22/TrRoad_act!E62)</f>
        <v>3293.7481740942731</v>
      </c>
      <c r="F113" s="87">
        <f>IF(F22=0,0,1000000*F22/TrRoad_act!F62)</f>
        <v>3390.5104584011065</v>
      </c>
      <c r="G113" s="87">
        <f>IF(G22=0,0,1000000*G22/TrRoad_act!G62)</f>
        <v>4163.1024868087088</v>
      </c>
      <c r="H113" s="87">
        <f>IF(H22=0,0,1000000*H22/TrRoad_act!H62)</f>
        <v>3579.4911422371033</v>
      </c>
      <c r="I113" s="87">
        <f>IF(I22=0,0,1000000*I22/TrRoad_act!I62)</f>
        <v>2847.9395821912135</v>
      </c>
      <c r="J113" s="87">
        <f>IF(J22=0,0,1000000*J22/TrRoad_act!J62)</f>
        <v>3082.1366078098008</v>
      </c>
      <c r="K113" s="87">
        <f>IF(K22=0,0,1000000*K22/TrRoad_act!K62)</f>
        <v>2725.430399984079</v>
      </c>
      <c r="L113" s="87">
        <f>IF(L22=0,0,1000000*L22/TrRoad_act!L62)</f>
        <v>2791.9813811249246</v>
      </c>
      <c r="M113" s="87">
        <f>IF(M22=0,0,1000000*M22/TrRoad_act!M62)</f>
        <v>2375.7410687889233</v>
      </c>
      <c r="N113" s="87">
        <f>IF(N22=0,0,1000000*N22/TrRoad_act!N62)</f>
        <v>2670.0110431997714</v>
      </c>
      <c r="O113" s="87">
        <f>IF(O22=0,0,1000000*O22/TrRoad_act!O62)</f>
        <v>2161.051160559633</v>
      </c>
      <c r="P113" s="87">
        <f>IF(P22=0,0,1000000*P22/TrRoad_act!P62)</f>
        <v>2624.1977914015483</v>
      </c>
      <c r="Q113" s="87">
        <f>IF(Q22=0,0,1000000*Q22/TrRoad_act!Q62)</f>
        <v>2971.6095784239774</v>
      </c>
      <c r="R113" s="87">
        <f>IF(R22=0,0,1000000*R22/TrRoad_act!R62)</f>
        <v>3083.6767917947932</v>
      </c>
      <c r="S113" s="87">
        <f>IF(S22=0,0,1000000*S22/TrRoad_act!S62)</f>
        <v>3208.9330982353367</v>
      </c>
      <c r="T113" s="87">
        <f>IF(T22=0,0,1000000*T22/TrRoad_act!T62)</f>
        <v>3376.9380721833941</v>
      </c>
      <c r="U113" s="87">
        <f>IF(U22=0,0,1000000*U22/TrRoad_act!U62)</f>
        <v>3654.5757845378344</v>
      </c>
      <c r="V113" s="87">
        <f>IF(V22=0,0,1000000*V22/TrRoad_act!V62)</f>
        <v>3084.6696350300499</v>
      </c>
      <c r="W113" s="87">
        <f>IF(W22=0,0,1000000*W22/TrRoad_act!W62)</f>
        <v>3414.6244544310816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2351.8883390400001</v>
      </c>
      <c r="C114" s="87">
        <f>IF(C23=0,0,1000000*C23/TrRoad_act!C63)</f>
        <v>2287.2070995493045</v>
      </c>
      <c r="D114" s="87">
        <f>IF(D23=0,0,1000000*D23/TrRoad_act!D63)</f>
        <v>2254.3939406623354</v>
      </c>
      <c r="E114" s="87">
        <f>IF(E23=0,0,1000000*E23/TrRoad_act!E63)</f>
        <v>2239.6374111999253</v>
      </c>
      <c r="F114" s="87">
        <f>IF(F23=0,0,1000000*F23/TrRoad_act!F63)</f>
        <v>2166.6422074422339</v>
      </c>
      <c r="G114" s="87">
        <f>IF(G23=0,0,1000000*G23/TrRoad_act!G63)</f>
        <v>2133.3770123910394</v>
      </c>
      <c r="H114" s="87">
        <f>IF(H23=0,0,1000000*H23/TrRoad_act!H63)</f>
        <v>2123.6555731804424</v>
      </c>
      <c r="I114" s="87">
        <f>IF(I23=0,0,1000000*I23/TrRoad_act!I63)</f>
        <v>1865.5000973653011</v>
      </c>
      <c r="J114" s="87">
        <f>IF(J23=0,0,1000000*J23/TrRoad_act!J63)</f>
        <v>1885.2401968847448</v>
      </c>
      <c r="K114" s="87">
        <f>IF(K23=0,0,1000000*K23/TrRoad_act!K63)</f>
        <v>2157.8307944831595</v>
      </c>
      <c r="L114" s="87">
        <f>IF(L23=0,0,1000000*L23/TrRoad_act!L63)</f>
        <v>1951.6169457457856</v>
      </c>
      <c r="M114" s="87">
        <f>IF(M23=0,0,1000000*M23/TrRoad_act!M63)</f>
        <v>1964.7268816664155</v>
      </c>
      <c r="N114" s="87">
        <f>IF(N23=0,0,1000000*N23/TrRoad_act!N63)</f>
        <v>1953.3441994528428</v>
      </c>
      <c r="O114" s="87">
        <f>IF(O23=0,0,1000000*O23/TrRoad_act!O63)</f>
        <v>1939.4278865736765</v>
      </c>
      <c r="P114" s="87">
        <f>IF(P23=0,0,1000000*P23/TrRoad_act!P63)</f>
        <v>1922.5835788894724</v>
      </c>
      <c r="Q114" s="87">
        <f>IF(Q23=0,0,1000000*Q23/TrRoad_act!Q63)</f>
        <v>1910.330524686678</v>
      </c>
      <c r="R114" s="87">
        <f>IF(R23=0,0,1000000*R23/TrRoad_act!R63)</f>
        <v>1911.8529687846492</v>
      </c>
      <c r="S114" s="87">
        <f>IF(S23=0,0,1000000*S23/TrRoad_act!S63)</f>
        <v>1907.2017120320002</v>
      </c>
      <c r="T114" s="87">
        <f>IF(T23=0,0,1000000*T23/TrRoad_act!T63)</f>
        <v>1903.616352736015</v>
      </c>
      <c r="U114" s="87">
        <f>IF(U23=0,0,1000000*U23/TrRoad_act!U63)</f>
        <v>1907.2775594539792</v>
      </c>
      <c r="V114" s="87">
        <f>IF(V23=0,0,1000000*V23/TrRoad_act!V63)</f>
        <v>1901.0975138654385</v>
      </c>
      <c r="W114" s="87">
        <f>IF(W23=0,0,1000000*W23/TrRoad_act!W63)</f>
        <v>1933.1868627606459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1873.9705395727606</v>
      </c>
      <c r="G115" s="87">
        <f>IF(G24=0,0,1000000*G24/TrRoad_act!G64)</f>
        <v>1859.9959057209492</v>
      </c>
      <c r="H115" s="87">
        <f>IF(H24=0,0,1000000*H24/TrRoad_act!H64)</f>
        <v>1853.4086116929366</v>
      </c>
      <c r="I115" s="87">
        <f>IF(I24=0,0,1000000*I24/TrRoad_act!I64)</f>
        <v>1836.2495023606559</v>
      </c>
      <c r="J115" s="87">
        <f>IF(J24=0,0,1000000*J24/TrRoad_act!J64)</f>
        <v>1835.3655746544639</v>
      </c>
      <c r="K115" s="87">
        <f>IF(K24=0,0,1000000*K24/TrRoad_act!K64)</f>
        <v>1771.1140671835185</v>
      </c>
      <c r="L115" s="87">
        <f>IF(L24=0,0,1000000*L24/TrRoad_act!L64)</f>
        <v>1563.8113736305659</v>
      </c>
      <c r="M115" s="87">
        <f>IF(M24=0,0,1000000*M24/TrRoad_act!M64)</f>
        <v>1532.4924642125097</v>
      </c>
      <c r="N115" s="87">
        <f>IF(N24=0,0,1000000*N24/TrRoad_act!N64)</f>
        <v>1515.6314583179292</v>
      </c>
      <c r="O115" s="87">
        <f>IF(O24=0,0,1000000*O24/TrRoad_act!O64)</f>
        <v>1508.9210700177368</v>
      </c>
      <c r="P115" s="87">
        <f>IF(P24=0,0,1000000*P24/TrRoad_act!P64)</f>
        <v>1466.4904784968069</v>
      </c>
      <c r="Q115" s="87">
        <f>IF(Q24=0,0,1000000*Q24/TrRoad_act!Q64)</f>
        <v>1436.6973137395844</v>
      </c>
      <c r="R115" s="87">
        <f>IF(R24=0,0,1000000*R24/TrRoad_act!R64)</f>
        <v>1420.3898464533645</v>
      </c>
      <c r="S115" s="87">
        <f>IF(S24=0,0,1000000*S24/TrRoad_act!S64)</f>
        <v>1415.6932061550995</v>
      </c>
      <c r="T115" s="87">
        <f>IF(T24=0,0,1000000*T24/TrRoad_act!T64)</f>
        <v>1400.7248532021965</v>
      </c>
      <c r="U115" s="87">
        <f>IF(U24=0,0,1000000*U24/TrRoad_act!U64)</f>
        <v>1375.4328220548787</v>
      </c>
      <c r="V115" s="87">
        <f>IF(V24=0,0,1000000*V24/TrRoad_act!V64)</f>
        <v>1363.4206161213133</v>
      </c>
      <c r="W115" s="87">
        <f>IF(W24=0,0,1000000*W24/TrRoad_act!W64)</f>
        <v>1363.1845574156753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498.41074444851012</v>
      </c>
      <c r="O116" s="87">
        <f>IF(O25=0,0,1000000*O25/TrRoad_act!O65)</f>
        <v>372.57709418076047</v>
      </c>
      <c r="P116" s="87">
        <f>IF(P25=0,0,1000000*P25/TrRoad_act!P65)</f>
        <v>580.24601011635673</v>
      </c>
      <c r="Q116" s="87">
        <f>IF(Q25=0,0,1000000*Q25/TrRoad_act!Q65)</f>
        <v>683.97849649716181</v>
      </c>
      <c r="R116" s="87">
        <f>IF(R25=0,0,1000000*R25/TrRoad_act!R65)</f>
        <v>647.54234406575893</v>
      </c>
      <c r="S116" s="87">
        <f>IF(S25=0,0,1000000*S25/TrRoad_act!S65)</f>
        <v>668.8571710079957</v>
      </c>
      <c r="T116" s="87">
        <f>IF(T25=0,0,1000000*T25/TrRoad_act!T65)</f>
        <v>657.52451916392954</v>
      </c>
      <c r="U116" s="87">
        <f>IF(U25=0,0,1000000*U25/TrRoad_act!U65)</f>
        <v>771.90354946732975</v>
      </c>
      <c r="V116" s="87">
        <f>IF(V25=0,0,1000000*V25/TrRoad_act!V65)</f>
        <v>705.94668886726117</v>
      </c>
      <c r="W116" s="87">
        <f>IF(W25=0,0,1000000*W25/TrRoad_act!W65)</f>
        <v>828.16735673088476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69946.341049352763</v>
      </c>
      <c r="C118" s="116">
        <f>IF(C27=0,0,1000000*C27/TrRoad_act!C67)</f>
        <v>68827.430218084992</v>
      </c>
      <c r="D118" s="116">
        <f>IF(D27=0,0,1000000*D27/TrRoad_act!D67)</f>
        <v>66823.438989610819</v>
      </c>
      <c r="E118" s="116">
        <f>IF(E27=0,0,1000000*E27/TrRoad_act!E67)</f>
        <v>61042.67078199864</v>
      </c>
      <c r="F118" s="116">
        <f>IF(F27=0,0,1000000*F27/TrRoad_act!F67)</f>
        <v>59095.301333579271</v>
      </c>
      <c r="G118" s="116">
        <f>IF(G27=0,0,1000000*G27/TrRoad_act!G67)</f>
        <v>57549.073366299002</v>
      </c>
      <c r="H118" s="116">
        <f>IF(H27=0,0,1000000*H27/TrRoad_act!H67)</f>
        <v>56864.497749460388</v>
      </c>
      <c r="I118" s="116">
        <f>IF(I27=0,0,1000000*I27/TrRoad_act!I67)</f>
        <v>57866.066800544184</v>
      </c>
      <c r="J118" s="116">
        <f>IF(J27=0,0,1000000*J27/TrRoad_act!J67)</f>
        <v>57041.83110176475</v>
      </c>
      <c r="K118" s="116">
        <f>IF(K27=0,0,1000000*K27/TrRoad_act!K67)</f>
        <v>55802.686699050304</v>
      </c>
      <c r="L118" s="116">
        <f>IF(L27=0,0,1000000*L27/TrRoad_act!L67)</f>
        <v>49756.688609563142</v>
      </c>
      <c r="M118" s="116">
        <f>IF(M27=0,0,1000000*M27/TrRoad_act!M67)</f>
        <v>53950.275324749848</v>
      </c>
      <c r="N118" s="116">
        <f>IF(N27=0,0,1000000*N27/TrRoad_act!N67)</f>
        <v>47358.684171748289</v>
      </c>
      <c r="O118" s="116">
        <f>IF(O27=0,0,1000000*O27/TrRoad_act!O67)</f>
        <v>40929.729598440455</v>
      </c>
      <c r="P118" s="116">
        <f>IF(P27=0,0,1000000*P27/TrRoad_act!P67)</f>
        <v>40146.165553704916</v>
      </c>
      <c r="Q118" s="116">
        <f>IF(Q27=0,0,1000000*Q27/TrRoad_act!Q67)</f>
        <v>42688.738056927497</v>
      </c>
      <c r="R118" s="116">
        <f>IF(R27=0,0,1000000*R27/TrRoad_act!R67)</f>
        <v>41544.127887705909</v>
      </c>
      <c r="S118" s="116">
        <f>IF(S27=0,0,1000000*S27/TrRoad_act!S67)</f>
        <v>42319.311593604973</v>
      </c>
      <c r="T118" s="116">
        <f>IF(T27=0,0,1000000*T27/TrRoad_act!T67)</f>
        <v>44590.423765479238</v>
      </c>
      <c r="U118" s="116">
        <f>IF(U27=0,0,1000000*U27/TrRoad_act!U67)</f>
        <v>49359.557670186965</v>
      </c>
      <c r="V118" s="116">
        <f>IF(V27=0,0,1000000*V27/TrRoad_act!V67)</f>
        <v>45674.165001907757</v>
      </c>
      <c r="W118" s="116">
        <f>IF(W27=0,0,1000000*W27/TrRoad_act!W67)</f>
        <v>45279.057447169362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69946.341049352763</v>
      </c>
      <c r="C120" s="101">
        <f>IF(C29=0,0,1000000*C29/TrRoad_act!C69)</f>
        <v>68827.430218084992</v>
      </c>
      <c r="D120" s="101">
        <f>IF(D29=0,0,1000000*D29/TrRoad_act!D69)</f>
        <v>66823.438989610819</v>
      </c>
      <c r="E120" s="101">
        <f>IF(E29=0,0,1000000*E29/TrRoad_act!E69)</f>
        <v>61042.67078199864</v>
      </c>
      <c r="F120" s="101">
        <f>IF(F29=0,0,1000000*F29/TrRoad_act!F69)</f>
        <v>59322.382086374564</v>
      </c>
      <c r="G120" s="101">
        <f>IF(G29=0,0,1000000*G29/TrRoad_act!G69)</f>
        <v>58151.328166676722</v>
      </c>
      <c r="H120" s="101">
        <f>IF(H29=0,0,1000000*H29/TrRoad_act!H69)</f>
        <v>58018.563689184688</v>
      </c>
      <c r="I120" s="101">
        <f>IF(I29=0,0,1000000*I29/TrRoad_act!I69)</f>
        <v>59395.953337075902</v>
      </c>
      <c r="J120" s="101">
        <f>IF(J29=0,0,1000000*J29/TrRoad_act!J69)</f>
        <v>58713.165807003999</v>
      </c>
      <c r="K120" s="101">
        <f>IF(K29=0,0,1000000*K29/TrRoad_act!K69)</f>
        <v>57646.286983046237</v>
      </c>
      <c r="L120" s="101">
        <f>IF(L29=0,0,1000000*L29/TrRoad_act!L69)</f>
        <v>51496.490027997126</v>
      </c>
      <c r="M120" s="101">
        <f>IF(M29=0,0,1000000*M29/TrRoad_act!M69)</f>
        <v>55834.466417529758</v>
      </c>
      <c r="N120" s="101">
        <f>IF(N29=0,0,1000000*N29/TrRoad_act!N69)</f>
        <v>48634.668075882808</v>
      </c>
      <c r="O120" s="101">
        <f>IF(O29=0,0,1000000*O29/TrRoad_act!O69)</f>
        <v>45357.133428911729</v>
      </c>
      <c r="P120" s="101">
        <f>IF(P29=0,0,1000000*P29/TrRoad_act!P69)</f>
        <v>46989.47913466482</v>
      </c>
      <c r="Q120" s="101">
        <f>IF(Q29=0,0,1000000*Q29/TrRoad_act!Q69)</f>
        <v>49015.871250953656</v>
      </c>
      <c r="R120" s="101">
        <f>IF(R29=0,0,1000000*R29/TrRoad_act!R69)</f>
        <v>47277.899602879901</v>
      </c>
      <c r="S120" s="101">
        <f>IF(S29=0,0,1000000*S29/TrRoad_act!S69)</f>
        <v>48889.257128525962</v>
      </c>
      <c r="T120" s="101">
        <f>IF(T29=0,0,1000000*T29/TrRoad_act!T69)</f>
        <v>52118.85021410288</v>
      </c>
      <c r="U120" s="101">
        <f>IF(U29=0,0,1000000*U29/TrRoad_act!U69)</f>
        <v>58372.713552579007</v>
      </c>
      <c r="V120" s="101">
        <f>IF(V29=0,0,1000000*V29/TrRoad_act!V69)</f>
        <v>54827.973553519158</v>
      </c>
      <c r="W120" s="101">
        <f>IF(W29=0,0,1000000*W29/TrRoad_act!W69)</f>
        <v>54383.893827866494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29506.679244352654</v>
      </c>
      <c r="G122" s="101">
        <f>IF(G31=0,0,1000000*G31/TrRoad_act!G71)</f>
        <v>24955.229594505035</v>
      </c>
      <c r="H122" s="101">
        <f>IF(H31=0,0,1000000*H31/TrRoad_act!H71)</f>
        <v>24243.71900640208</v>
      </c>
      <c r="I122" s="101">
        <f>IF(I31=0,0,1000000*I31/TrRoad_act!I71)</f>
        <v>27961.156115739126</v>
      </c>
      <c r="J122" s="101">
        <f>IF(J31=0,0,1000000*J31/TrRoad_act!J71)</f>
        <v>27834.4586392157</v>
      </c>
      <c r="K122" s="101">
        <f>IF(K31=0,0,1000000*K31/TrRoad_act!K71)</f>
        <v>31598.500966899133</v>
      </c>
      <c r="L122" s="101">
        <f>IF(L31=0,0,1000000*L31/TrRoad_act!L71)</f>
        <v>33899.074123944003</v>
      </c>
      <c r="M122" s="101">
        <f>IF(M31=0,0,1000000*M31/TrRoad_act!M71)</f>
        <v>35887.809468461142</v>
      </c>
      <c r="N122" s="101">
        <f>IF(N31=0,0,1000000*N31/TrRoad_act!N71)</f>
        <v>35945.468597874562</v>
      </c>
      <c r="O122" s="101">
        <f>IF(O31=0,0,1000000*O31/TrRoad_act!O71)</f>
        <v>23826.969205207297</v>
      </c>
      <c r="P122" s="101">
        <f>IF(P31=0,0,1000000*P31/TrRoad_act!P71)</f>
        <v>13491.655395738981</v>
      </c>
      <c r="Q122" s="101">
        <f>IF(Q31=0,0,1000000*Q31/TrRoad_act!Q71)</f>
        <v>20041.694238703749</v>
      </c>
      <c r="R122" s="101">
        <f>IF(R31=0,0,1000000*R31/TrRoad_act!R71)</f>
        <v>21482.590402440859</v>
      </c>
      <c r="S122" s="101">
        <f>IF(S31=0,0,1000000*S31/TrRoad_act!S71)</f>
        <v>21815.182352806532</v>
      </c>
      <c r="T122" s="101">
        <f>IF(T31=0,0,1000000*T31/TrRoad_act!T71)</f>
        <v>22671.075015927887</v>
      </c>
      <c r="U122" s="101">
        <f>IF(U31=0,0,1000000*U31/TrRoad_act!U71)</f>
        <v>26071.936585739015</v>
      </c>
      <c r="V122" s="101">
        <f>IF(V31=0,0,1000000*V31/TrRoad_act!V71)</f>
        <v>21781.230579651881</v>
      </c>
      <c r="W122" s="101">
        <f>IF(W31=0,0,1000000*W31/TrRoad_act!W71)</f>
        <v>24739.601627406315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2768.9629249981754</v>
      </c>
      <c r="C125" s="152">
        <f>IF(C34=0,0,1000000*C34/TrRoad_act!C74)</f>
        <v>2850.854675910552</v>
      </c>
      <c r="D125" s="152">
        <f>IF(D34=0,0,1000000*D34/TrRoad_act!D74)</f>
        <v>2940.0558847949428</v>
      </c>
      <c r="E125" s="152">
        <f>IF(E34=0,0,1000000*E34/TrRoad_act!E74)</f>
        <v>2962.0252254160528</v>
      </c>
      <c r="F125" s="152">
        <f>IF(F34=0,0,1000000*F34/TrRoad_act!F74)</f>
        <v>2927.9258840998191</v>
      </c>
      <c r="G125" s="152">
        <f>IF(G34=0,0,1000000*G34/TrRoad_act!G74)</f>
        <v>2776.252867445522</v>
      </c>
      <c r="H125" s="152">
        <f>IF(H34=0,0,1000000*H34/TrRoad_act!H74)</f>
        <v>2608.2925174228612</v>
      </c>
      <c r="I125" s="152">
        <f>IF(I34=0,0,1000000*I34/TrRoad_act!I74)</f>
        <v>2509.6984512155982</v>
      </c>
      <c r="J125" s="152">
        <f>IF(J34=0,0,1000000*J34/TrRoad_act!J74)</f>
        <v>2533.4989172503697</v>
      </c>
      <c r="K125" s="152">
        <f>IF(K34=0,0,1000000*K34/TrRoad_act!K74)</f>
        <v>2418.0967101027286</v>
      </c>
      <c r="L125" s="152">
        <f>IF(L34=0,0,1000000*L34/TrRoad_act!L74)</f>
        <v>2395.3643880745567</v>
      </c>
      <c r="M125" s="152">
        <f>IF(M34=0,0,1000000*M34/TrRoad_act!M74)</f>
        <v>2412.0574741911255</v>
      </c>
      <c r="N125" s="152">
        <f>IF(N34=0,0,1000000*N34/TrRoad_act!N74)</f>
        <v>2397.6689698867772</v>
      </c>
      <c r="O125" s="152">
        <f>IF(O34=0,0,1000000*O34/TrRoad_act!O74)</f>
        <v>2348.7029456141454</v>
      </c>
      <c r="P125" s="152">
        <f>IF(P34=0,0,1000000*P34/TrRoad_act!P74)</f>
        <v>2446.6651524771164</v>
      </c>
      <c r="Q125" s="152">
        <f>IF(Q34=0,0,1000000*Q34/TrRoad_act!Q74)</f>
        <v>2520.3974623888989</v>
      </c>
      <c r="R125" s="152">
        <f>IF(R34=0,0,1000000*R34/TrRoad_act!R74)</f>
        <v>2513.3761336285643</v>
      </c>
      <c r="S125" s="152">
        <f>IF(S34=0,0,1000000*S34/TrRoad_act!S74)</f>
        <v>2541.2525509990664</v>
      </c>
      <c r="T125" s="152">
        <f>IF(T34=0,0,1000000*T34/TrRoad_act!T74)</f>
        <v>2617.6879534543727</v>
      </c>
      <c r="U125" s="152">
        <f>IF(U34=0,0,1000000*U34/TrRoad_act!U74)</f>
        <v>2685.4033642733889</v>
      </c>
      <c r="V125" s="152">
        <f>IF(V34=0,0,1000000*V34/TrRoad_act!V74)</f>
        <v>2763.3311101757522</v>
      </c>
      <c r="W125" s="152">
        <f>IF(W34=0,0,1000000*W34/TrRoad_act!W74)</f>
        <v>2888.9595280366862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2260.259961647751</v>
      </c>
      <c r="C126" s="87">
        <f>IF(C35=0,0,1000000*C35/TrRoad_act!C75)</f>
        <v>2297.9856495347185</v>
      </c>
      <c r="D126" s="87">
        <f>IF(D35=0,0,1000000*D35/TrRoad_act!D75)</f>
        <v>2339.1230570471657</v>
      </c>
      <c r="E126" s="87">
        <f>IF(E35=0,0,1000000*E35/TrRoad_act!E75)</f>
        <v>2386.4707605071922</v>
      </c>
      <c r="F126" s="87">
        <f>IF(F35=0,0,1000000*F35/TrRoad_act!F75)</f>
        <v>2445.871932772071</v>
      </c>
      <c r="G126" s="87">
        <f>IF(G35=0,0,1000000*G35/TrRoad_act!G75)</f>
        <v>2350.5317299836884</v>
      </c>
      <c r="H126" s="87">
        <f>IF(H35=0,0,1000000*H35/TrRoad_act!H75)</f>
        <v>2283.3335329099618</v>
      </c>
      <c r="I126" s="87">
        <f>IF(I35=0,0,1000000*I35/TrRoad_act!I75)</f>
        <v>2239.6525276158218</v>
      </c>
      <c r="J126" s="87">
        <f>IF(J35=0,0,1000000*J35/TrRoad_act!J75)</f>
        <v>2291.7313580860232</v>
      </c>
      <c r="K126" s="87">
        <f>IF(K35=0,0,1000000*K35/TrRoad_act!K75)</f>
        <v>2211.4341738410276</v>
      </c>
      <c r="L126" s="87">
        <f>IF(L35=0,0,1000000*L35/TrRoad_act!L75)</f>
        <v>2197.6911453506114</v>
      </c>
      <c r="M126" s="87">
        <f>IF(M35=0,0,1000000*M35/TrRoad_act!M75)</f>
        <v>2224.917159631902</v>
      </c>
      <c r="N126" s="87">
        <f>IF(N35=0,0,1000000*N35/TrRoad_act!N75)</f>
        <v>2221.1054127528682</v>
      </c>
      <c r="O126" s="87">
        <f>IF(O35=0,0,1000000*O35/TrRoad_act!O75)</f>
        <v>2140.7481038140568</v>
      </c>
      <c r="P126" s="87">
        <f>IF(P35=0,0,1000000*P35/TrRoad_act!P75)</f>
        <v>2060.2771313000967</v>
      </c>
      <c r="Q126" s="87">
        <f>IF(Q35=0,0,1000000*Q35/TrRoad_act!Q75)</f>
        <v>1971.8783357260465</v>
      </c>
      <c r="R126" s="87">
        <f>IF(R35=0,0,1000000*R35/TrRoad_act!R75)</f>
        <v>1904.8675045534731</v>
      </c>
      <c r="S126" s="87">
        <f>IF(S35=0,0,1000000*S35/TrRoad_act!S75)</f>
        <v>1883.6020619891306</v>
      </c>
      <c r="T126" s="87">
        <f>IF(T35=0,0,1000000*T35/TrRoad_act!T75)</f>
        <v>1834.5562064845192</v>
      </c>
      <c r="U126" s="87">
        <f>IF(U35=0,0,1000000*U35/TrRoad_act!U75)</f>
        <v>1830.5886402876938</v>
      </c>
      <c r="V126" s="87">
        <f>IF(V35=0,0,1000000*V35/TrRoad_act!V75)</f>
        <v>1884.1487200728648</v>
      </c>
      <c r="W126" s="87">
        <f>IF(W35=0,0,1000000*W35/TrRoad_act!W75)</f>
        <v>1956.1587287294331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2959.4199959810826</v>
      </c>
      <c r="C127" s="87">
        <f>IF(C36=0,0,1000000*C36/TrRoad_act!C76)</f>
        <v>3076.4523814287259</v>
      </c>
      <c r="D127" s="87">
        <f>IF(D36=0,0,1000000*D36/TrRoad_act!D76)</f>
        <v>3190.152835399902</v>
      </c>
      <c r="E127" s="87">
        <f>IF(E36=0,0,1000000*E36/TrRoad_act!E76)</f>
        <v>3184.941465458885</v>
      </c>
      <c r="F127" s="87">
        <f>IF(F36=0,0,1000000*F36/TrRoad_act!F76)</f>
        <v>3084.6835431449681</v>
      </c>
      <c r="G127" s="87">
        <f>IF(G36=0,0,1000000*G36/TrRoad_act!G76)</f>
        <v>2909.2125005268472</v>
      </c>
      <c r="H127" s="87">
        <f>IF(H36=0,0,1000000*H36/TrRoad_act!H76)</f>
        <v>2684.1288357727744</v>
      </c>
      <c r="I127" s="87">
        <f>IF(I36=0,0,1000000*I36/TrRoad_act!I76)</f>
        <v>2557.2852601576155</v>
      </c>
      <c r="J127" s="87">
        <f>IF(J36=0,0,1000000*J36/TrRoad_act!J76)</f>
        <v>2567.0218695495573</v>
      </c>
      <c r="K127" s="87">
        <f>IF(K36=0,0,1000000*K36/TrRoad_act!K76)</f>
        <v>2441.6308780147674</v>
      </c>
      <c r="L127" s="87">
        <f>IF(L36=0,0,1000000*L36/TrRoad_act!L76)</f>
        <v>2412.5871609067653</v>
      </c>
      <c r="M127" s="87">
        <f>IF(M36=0,0,1000000*M36/TrRoad_act!M76)</f>
        <v>2427.9595984853204</v>
      </c>
      <c r="N127" s="87">
        <f>IF(N36=0,0,1000000*N36/TrRoad_act!N76)</f>
        <v>2411.8727905033197</v>
      </c>
      <c r="O127" s="87">
        <f>IF(O36=0,0,1000000*O36/TrRoad_act!O76)</f>
        <v>2364.298911393159</v>
      </c>
      <c r="P127" s="87">
        <f>IF(P36=0,0,1000000*P36/TrRoad_act!P76)</f>
        <v>2473.2017996030609</v>
      </c>
      <c r="Q127" s="87">
        <f>IF(Q36=0,0,1000000*Q36/TrRoad_act!Q76)</f>
        <v>2562.7472077544139</v>
      </c>
      <c r="R127" s="87">
        <f>IF(R36=0,0,1000000*R36/TrRoad_act!R76)</f>
        <v>2562.4722498482793</v>
      </c>
      <c r="S127" s="87">
        <f>IF(S36=0,0,1000000*S36/TrRoad_act!S76)</f>
        <v>2607.4574628904029</v>
      </c>
      <c r="T127" s="87">
        <f>IF(T36=0,0,1000000*T36/TrRoad_act!T76)</f>
        <v>2704.006751289372</v>
      </c>
      <c r="U127" s="87">
        <f>IF(U36=0,0,1000000*U36/TrRoad_act!U76)</f>
        <v>2787.0680904689525</v>
      </c>
      <c r="V127" s="87">
        <f>IF(V36=0,0,1000000*V36/TrRoad_act!V76)</f>
        <v>2876.8655586225823</v>
      </c>
      <c r="W127" s="87">
        <f>IF(W36=0,0,1000000*W36/TrRoad_act!W76)</f>
        <v>3022.6254599313406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2367.8027784379788</v>
      </c>
      <c r="S128" s="87">
        <f>IF(S37=0,0,1000000*S37/TrRoad_act!S77)</f>
        <v>2144.5036688208379</v>
      </c>
      <c r="T128" s="87">
        <f>IF(T37=0,0,1000000*T37/TrRoad_act!T77)</f>
        <v>2129.7081196664672</v>
      </c>
      <c r="U128" s="87">
        <f>IF(U37=0,0,1000000*U37/TrRoad_act!U77)</f>
        <v>2168.3542478575146</v>
      </c>
      <c r="V128" s="87">
        <f>IF(V37=0,0,1000000*V37/TrRoad_act!V77)</f>
        <v>2140.4945010021893</v>
      </c>
      <c r="W128" s="87">
        <f>IF(W37=0,0,1000000*W37/TrRoad_act!W77)</f>
        <v>2114.2711282339001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1210.5888079549738</v>
      </c>
      <c r="S129" s="87">
        <f>IF(S38=0,0,1000000*S38/TrRoad_act!S78)</f>
        <v>1274.9369619497518</v>
      </c>
      <c r="T129" s="87">
        <f>IF(T38=0,0,1000000*T38/TrRoad_act!T78)</f>
        <v>1368.6291421771239</v>
      </c>
      <c r="U129" s="87">
        <f>IF(U38=0,0,1000000*U38/TrRoad_act!U78)</f>
        <v>1405.2457781619671</v>
      </c>
      <c r="V129" s="87">
        <f>IF(V38=0,0,1000000*V38/TrRoad_act!V78)</f>
        <v>1585.3105215217515</v>
      </c>
      <c r="W129" s="87">
        <f>IF(W38=0,0,1000000*W38/TrRoad_act!W78)</f>
        <v>1696.976476558001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32293.681166801613</v>
      </c>
      <c r="C131" s="116">
        <f>IF(C40=0,0,1000000*C40/TrRoad_act!C80)</f>
        <v>35320.710750872036</v>
      </c>
      <c r="D131" s="116">
        <f>IF(D40=0,0,1000000*D40/TrRoad_act!D80)</f>
        <v>29533.22188208541</v>
      </c>
      <c r="E131" s="116">
        <f>IF(E40=0,0,1000000*E40/TrRoad_act!E80)</f>
        <v>34039.462560531218</v>
      </c>
      <c r="F131" s="116">
        <f>IF(F40=0,0,1000000*F40/TrRoad_act!F80)</f>
        <v>30810.200754151778</v>
      </c>
      <c r="G131" s="116">
        <f>IF(G40=0,0,1000000*G40/TrRoad_act!G80)</f>
        <v>32772.522967139215</v>
      </c>
      <c r="H131" s="116">
        <f>IF(H40=0,0,1000000*H40/TrRoad_act!H80)</f>
        <v>29752.694942070724</v>
      </c>
      <c r="I131" s="116">
        <f>IF(I40=0,0,1000000*I40/TrRoad_act!I80)</f>
        <v>26186.014518535365</v>
      </c>
      <c r="J131" s="116">
        <f>IF(J40=0,0,1000000*J40/TrRoad_act!J80)</f>
        <v>25481.28992865311</v>
      </c>
      <c r="K131" s="116">
        <f>IF(K40=0,0,1000000*K40/TrRoad_act!K80)</f>
        <v>22152.682402057595</v>
      </c>
      <c r="L131" s="116">
        <f>IF(L40=0,0,1000000*L40/TrRoad_act!L80)</f>
        <v>21946.408939707773</v>
      </c>
      <c r="M131" s="116">
        <f>IF(M40=0,0,1000000*M40/TrRoad_act!M80)</f>
        <v>22038.625258267741</v>
      </c>
      <c r="N131" s="116">
        <f>IF(N40=0,0,1000000*N40/TrRoad_act!N80)</f>
        <v>22717.268823745086</v>
      </c>
      <c r="O131" s="116">
        <f>IF(O40=0,0,1000000*O40/TrRoad_act!O80)</f>
        <v>19820.907516946059</v>
      </c>
      <c r="P131" s="116">
        <f>IF(P40=0,0,1000000*P40/TrRoad_act!P80)</f>
        <v>23212.550623839885</v>
      </c>
      <c r="Q131" s="116">
        <f>IF(Q40=0,0,1000000*Q40/TrRoad_act!Q80)</f>
        <v>25257.130127895995</v>
      </c>
      <c r="R131" s="116">
        <f>IF(R40=0,0,1000000*R40/TrRoad_act!R80)</f>
        <v>23600.112681007238</v>
      </c>
      <c r="S131" s="116">
        <f>IF(S40=0,0,1000000*S40/TrRoad_act!S80)</f>
        <v>23337.450913126722</v>
      </c>
      <c r="T131" s="116">
        <f>IF(T40=0,0,1000000*T40/TrRoad_act!T80)</f>
        <v>17965.903664311045</v>
      </c>
      <c r="U131" s="116">
        <f>IF(U40=0,0,1000000*U40/TrRoad_act!U80)</f>
        <v>12982.345062739299</v>
      </c>
      <c r="V131" s="116">
        <f>IF(V40=0,0,1000000*V40/TrRoad_act!V80)</f>
        <v>15216.115706767934</v>
      </c>
      <c r="W131" s="116">
        <f>IF(W40=0,0,1000000*W40/TrRoad_act!W80)</f>
        <v>17819.245183650943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14838.658772581823</v>
      </c>
      <c r="C132" s="101">
        <f>IF(C41=0,0,1000000*C41/TrRoad_act!C81)</f>
        <v>19354.73908159561</v>
      </c>
      <c r="D132" s="101">
        <f>IF(D41=0,0,1000000*D41/TrRoad_act!D81)</f>
        <v>13142.877752843526</v>
      </c>
      <c r="E132" s="101">
        <f>IF(E41=0,0,1000000*E41/TrRoad_act!E81)</f>
        <v>24235.140701123823</v>
      </c>
      <c r="F132" s="101">
        <f>IF(F41=0,0,1000000*F41/TrRoad_act!F81)</f>
        <v>20946.578691238141</v>
      </c>
      <c r="G132" s="101">
        <f>IF(G41=0,0,1000000*G41/TrRoad_act!G81)</f>
        <v>23842.339458554143</v>
      </c>
      <c r="H132" s="101">
        <f>IF(H41=0,0,1000000*H41/TrRoad_act!H81)</f>
        <v>22662.434979618414</v>
      </c>
      <c r="I132" s="101">
        <f>IF(I41=0,0,1000000*I41/TrRoad_act!I81)</f>
        <v>19301.230531405588</v>
      </c>
      <c r="J132" s="101">
        <f>IF(J41=0,0,1000000*J41/TrRoad_act!J81)</f>
        <v>22015.503900365089</v>
      </c>
      <c r="K132" s="101">
        <f>IF(K41=0,0,1000000*K41/TrRoad_act!K81)</f>
        <v>18513.550584023869</v>
      </c>
      <c r="L132" s="101">
        <f>IF(L41=0,0,1000000*L41/TrRoad_act!L81)</f>
        <v>17848.745436275181</v>
      </c>
      <c r="M132" s="101">
        <f>IF(M41=0,0,1000000*M41/TrRoad_act!M81)</f>
        <v>17243.289052486401</v>
      </c>
      <c r="N132" s="101">
        <f>IF(N41=0,0,1000000*N41/TrRoad_act!N81)</f>
        <v>18469.457701543826</v>
      </c>
      <c r="O132" s="101">
        <f>IF(O41=0,0,1000000*O41/TrRoad_act!O81)</f>
        <v>14029.810283756586</v>
      </c>
      <c r="P132" s="101">
        <f>IF(P41=0,0,1000000*P41/TrRoad_act!P81)</f>
        <v>17992.12058199431</v>
      </c>
      <c r="Q132" s="101">
        <f>IF(Q41=0,0,1000000*Q41/TrRoad_act!Q81)</f>
        <v>19616.825203621032</v>
      </c>
      <c r="R132" s="101">
        <f>IF(R41=0,0,1000000*R41/TrRoad_act!R81)</f>
        <v>18559.978732068503</v>
      </c>
      <c r="S132" s="101">
        <f>IF(S41=0,0,1000000*S41/TrRoad_act!S81)</f>
        <v>18930.680722952122</v>
      </c>
      <c r="T132" s="101">
        <f>IF(T41=0,0,1000000*T41/TrRoad_act!T81)</f>
        <v>14574.359429857026</v>
      </c>
      <c r="U132" s="101">
        <f>IF(U41=0,0,1000000*U41/TrRoad_act!U81)</f>
        <v>10340.946234201352</v>
      </c>
      <c r="V132" s="101">
        <f>IF(V41=0,0,1000000*V41/TrRoad_act!V81)</f>
        <v>11915.373720263113</v>
      </c>
      <c r="W132" s="101">
        <f>IF(W41=0,0,1000000*W41/TrRoad_act!W81)</f>
        <v>14264.710621927572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108948.27246986826</v>
      </c>
      <c r="C133" s="88">
        <f>IF(C42=0,0,1000000*C42/TrRoad_act!C82)</f>
        <v>105745.49592791159</v>
      </c>
      <c r="D133" s="88">
        <f>IF(D42=0,0,1000000*D42/TrRoad_act!D82)</f>
        <v>106238.39541875976</v>
      </c>
      <c r="E133" s="88">
        <f>IF(E42=0,0,1000000*E42/TrRoad_act!E82)</f>
        <v>100791.73161894947</v>
      </c>
      <c r="F133" s="88">
        <f>IF(F42=0,0,1000000*F42/TrRoad_act!F82)</f>
        <v>100079.72842324985</v>
      </c>
      <c r="G133" s="88">
        <f>IF(G42=0,0,1000000*G42/TrRoad_act!G82)</f>
        <v>97793.527762781203</v>
      </c>
      <c r="H133" s="88">
        <f>IF(H42=0,0,1000000*H42/TrRoad_act!H82)</f>
        <v>97893.133037768275</v>
      </c>
      <c r="I133" s="88">
        <f>IF(I42=0,0,1000000*I42/TrRoad_act!I82)</f>
        <v>99364.078495662354</v>
      </c>
      <c r="J133" s="88">
        <f>IF(J42=0,0,1000000*J42/TrRoad_act!J82)</f>
        <v>96875.243224512946</v>
      </c>
      <c r="K133" s="88">
        <f>IF(K42=0,0,1000000*K42/TrRoad_act!K82)</f>
        <v>98114.990609478933</v>
      </c>
      <c r="L133" s="88">
        <f>IF(L42=0,0,1000000*L42/TrRoad_act!L82)</f>
        <v>97368.694041333554</v>
      </c>
      <c r="M133" s="88">
        <f>IF(M42=0,0,1000000*M42/TrRoad_act!M82)</f>
        <v>97759.369954720707</v>
      </c>
      <c r="N133" s="88">
        <f>IF(N42=0,0,1000000*N42/TrRoad_act!N82)</f>
        <v>92384.783124329449</v>
      </c>
      <c r="O133" s="88">
        <f>IF(O42=0,0,1000000*O42/TrRoad_act!O82)</f>
        <v>94024.068337625838</v>
      </c>
      <c r="P133" s="88">
        <f>IF(P42=0,0,1000000*P42/TrRoad_act!P82)</f>
        <v>92130.431473499935</v>
      </c>
      <c r="Q133" s="88">
        <f>IF(Q42=0,0,1000000*Q42/TrRoad_act!Q82)</f>
        <v>91169.606122059937</v>
      </c>
      <c r="R133" s="88">
        <f>IF(R42=0,0,1000000*R42/TrRoad_act!R82)</f>
        <v>89737.147122293449</v>
      </c>
      <c r="S133" s="88">
        <f>IF(S42=0,0,1000000*S42/TrRoad_act!S82)</f>
        <v>88516.491487609324</v>
      </c>
      <c r="T133" s="88">
        <f>IF(T42=0,0,1000000*T42/TrRoad_act!T82)</f>
        <v>87846.320202803792</v>
      </c>
      <c r="U133" s="88">
        <f>IF(U42=0,0,1000000*U42/TrRoad_act!U82)</f>
        <v>86226.045083124773</v>
      </c>
      <c r="V133" s="88">
        <f>IF(V42=0,0,1000000*V42/TrRoad_act!V82)</f>
        <v>87298.209009563114</v>
      </c>
      <c r="W133" s="88">
        <f>IF(W42=0,0,1000000*W42/TrRoad_act!W82)</f>
        <v>87564.598639758362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0.79442525607759729</v>
      </c>
      <c r="C136" s="46">
        <f t="shared" si="40"/>
        <v>0.78253304602218421</v>
      </c>
      <c r="D136" s="46">
        <f t="shared" si="40"/>
        <v>0.80331526837339495</v>
      </c>
      <c r="E136" s="46">
        <f t="shared" si="40"/>
        <v>0.75504390333009663</v>
      </c>
      <c r="F136" s="46">
        <f t="shared" si="40"/>
        <v>0.7453038759322046</v>
      </c>
      <c r="G136" s="46">
        <f t="shared" si="40"/>
        <v>0.750168241093361</v>
      </c>
      <c r="H136" s="46">
        <f t="shared" si="40"/>
        <v>0.75711656154479767</v>
      </c>
      <c r="I136" s="46">
        <f t="shared" si="40"/>
        <v>0.76850132423939022</v>
      </c>
      <c r="J136" s="46">
        <f t="shared" si="40"/>
        <v>0.76657802605918612</v>
      </c>
      <c r="K136" s="46">
        <f t="shared" si="40"/>
        <v>0.79307856102079843</v>
      </c>
      <c r="L136" s="46">
        <f t="shared" si="41"/>
        <v>0.7938580523615183</v>
      </c>
      <c r="M136" s="46">
        <f t="shared" si="40"/>
        <v>0.7870909360213667</v>
      </c>
      <c r="N136" s="46">
        <f t="shared" si="40"/>
        <v>0.79486955341940269</v>
      </c>
      <c r="O136" s="46">
        <f t="shared" si="40"/>
        <v>0.7884738898518715</v>
      </c>
      <c r="P136" s="46">
        <f t="shared" si="40"/>
        <v>0.79656839638217503</v>
      </c>
      <c r="Q136" s="46">
        <f t="shared" si="40"/>
        <v>0.79461886937431148</v>
      </c>
      <c r="R136" s="46">
        <f t="shared" si="40"/>
        <v>0.79904982119216761</v>
      </c>
      <c r="S136" s="46">
        <f t="shared" si="40"/>
        <v>0.80475166757363381</v>
      </c>
      <c r="T136" s="46">
        <f t="shared" si="40"/>
        <v>0.81606183277003486</v>
      </c>
      <c r="U136" s="46">
        <f t="shared" si="40"/>
        <v>0.8424539620782362</v>
      </c>
      <c r="V136" s="46">
        <f t="shared" si="40"/>
        <v>0.81989592825029267</v>
      </c>
      <c r="W136" s="46">
        <f t="shared" si="42"/>
        <v>0.81243033915976659</v>
      </c>
      <c r="DA136" s="211"/>
    </row>
    <row r="137" spans="1:105" ht="11.45" customHeight="1" x14ac:dyDescent="0.25">
      <c r="A137" s="153" t="s">
        <v>180</v>
      </c>
      <c r="B137" s="154">
        <f t="shared" si="40"/>
        <v>7.3511979631804532E-3</v>
      </c>
      <c r="C137" s="154">
        <f t="shared" si="40"/>
        <v>7.2724812745908699E-3</v>
      </c>
      <c r="D137" s="154">
        <f t="shared" si="40"/>
        <v>7.0565843899783459E-3</v>
      </c>
      <c r="E137" s="154">
        <f t="shared" si="40"/>
        <v>6.2520721438842613E-3</v>
      </c>
      <c r="F137" s="154">
        <f t="shared" si="40"/>
        <v>5.9364082415739369E-3</v>
      </c>
      <c r="G137" s="154">
        <f t="shared" si="40"/>
        <v>5.7780282326672103E-3</v>
      </c>
      <c r="H137" s="154">
        <f t="shared" si="40"/>
        <v>5.6691333725132692E-3</v>
      </c>
      <c r="I137" s="154">
        <f t="shared" si="40"/>
        <v>6.2219716316953954E-3</v>
      </c>
      <c r="J137" s="154">
        <f t="shared" si="40"/>
        <v>6.5710731807772415E-3</v>
      </c>
      <c r="K137" s="154">
        <f t="shared" si="40"/>
        <v>7.0321829164053645E-3</v>
      </c>
      <c r="L137" s="154">
        <f t="shared" si="41"/>
        <v>7.8018646603742366E-3</v>
      </c>
      <c r="M137" s="154">
        <f t="shared" si="40"/>
        <v>8.1079245790900197E-3</v>
      </c>
      <c r="N137" s="154">
        <f t="shared" si="40"/>
        <v>8.4029874681855257E-3</v>
      </c>
      <c r="O137" s="154">
        <f t="shared" si="40"/>
        <v>9.8123450911525804E-3</v>
      </c>
      <c r="P137" s="154">
        <f t="shared" si="40"/>
        <v>8.9125989537797486E-3</v>
      </c>
      <c r="Q137" s="154">
        <f t="shared" si="40"/>
        <v>8.3616366459933183E-3</v>
      </c>
      <c r="R137" s="154">
        <f t="shared" si="40"/>
        <v>8.6841296904755123E-3</v>
      </c>
      <c r="S137" s="154">
        <f t="shared" si="40"/>
        <v>8.2525572950155127E-3</v>
      </c>
      <c r="T137" s="154">
        <f t="shared" si="40"/>
        <v>7.5562478432001905E-3</v>
      </c>
      <c r="U137" s="154">
        <f t="shared" si="40"/>
        <v>7.7232949827324513E-3</v>
      </c>
      <c r="V137" s="154">
        <f t="shared" si="40"/>
        <v>7.3959004994883469E-3</v>
      </c>
      <c r="W137" s="154">
        <f t="shared" si="42"/>
        <v>6.6526127259909831E-3</v>
      </c>
      <c r="DA137" s="212"/>
    </row>
    <row r="138" spans="1:105" ht="11.45" customHeight="1" x14ac:dyDescent="0.25">
      <c r="A138" s="155" t="s">
        <v>20</v>
      </c>
      <c r="B138" s="156">
        <f t="shared" si="40"/>
        <v>0.61583566207948215</v>
      </c>
      <c r="C138" s="156">
        <f t="shared" si="40"/>
        <v>0.60502052057249434</v>
      </c>
      <c r="D138" s="156">
        <f t="shared" si="40"/>
        <v>0.61373418276481184</v>
      </c>
      <c r="E138" s="156">
        <f t="shared" si="40"/>
        <v>0.61025941685944007</v>
      </c>
      <c r="F138" s="156">
        <f t="shared" si="40"/>
        <v>0.61969515298875399</v>
      </c>
      <c r="G138" s="156">
        <f t="shared" si="40"/>
        <v>0.62914503121796972</v>
      </c>
      <c r="H138" s="156">
        <f t="shared" si="40"/>
        <v>0.64659336487464392</v>
      </c>
      <c r="I138" s="156">
        <f t="shared" si="40"/>
        <v>0.64472751929695438</v>
      </c>
      <c r="J138" s="156">
        <f t="shared" si="40"/>
        <v>0.65890909069689207</v>
      </c>
      <c r="K138" s="156">
        <f t="shared" si="40"/>
        <v>0.67899450397926953</v>
      </c>
      <c r="L138" s="156">
        <f t="shared" si="41"/>
        <v>0.68535071302419437</v>
      </c>
      <c r="M138" s="156">
        <f t="shared" si="40"/>
        <v>0.66918165247354322</v>
      </c>
      <c r="N138" s="156">
        <f t="shared" si="40"/>
        <v>0.69273656780558102</v>
      </c>
      <c r="O138" s="156">
        <f t="shared" si="40"/>
        <v>0.68407198202631292</v>
      </c>
      <c r="P138" s="156">
        <f t="shared" si="40"/>
        <v>0.70533045786336024</v>
      </c>
      <c r="Q138" s="156">
        <f t="shared" si="40"/>
        <v>0.7048558276451834</v>
      </c>
      <c r="R138" s="156">
        <f t="shared" si="40"/>
        <v>0.71451331592364731</v>
      </c>
      <c r="S138" s="156">
        <f t="shared" si="40"/>
        <v>0.72666841391709514</v>
      </c>
      <c r="T138" s="156">
        <f t="shared" si="40"/>
        <v>0.73930587060049591</v>
      </c>
      <c r="U138" s="156">
        <f t="shared" si="40"/>
        <v>0.76139308127690064</v>
      </c>
      <c r="V138" s="156">
        <f t="shared" si="40"/>
        <v>0.73629244451409326</v>
      </c>
      <c r="W138" s="156">
        <f t="shared" si="42"/>
        <v>0.7360787029852599</v>
      </c>
      <c r="DA138" s="213"/>
    </row>
    <row r="139" spans="1:105" ht="11.45" customHeight="1" x14ac:dyDescent="0.25">
      <c r="A139" s="157" t="s">
        <v>110</v>
      </c>
      <c r="B139" s="103">
        <f t="shared" si="40"/>
        <v>0.38753364204401436</v>
      </c>
      <c r="C139" s="103">
        <f t="shared" si="40"/>
        <v>0.31800184666389975</v>
      </c>
      <c r="D139" s="103">
        <f t="shared" si="40"/>
        <v>0.32514290251454392</v>
      </c>
      <c r="E139" s="103">
        <f t="shared" si="40"/>
        <v>0.27357776962614921</v>
      </c>
      <c r="F139" s="103">
        <f t="shared" si="40"/>
        <v>0.24233457668684139</v>
      </c>
      <c r="G139" s="103">
        <f t="shared" si="40"/>
        <v>0.21478825475998717</v>
      </c>
      <c r="H139" s="103">
        <f t="shared" si="40"/>
        <v>0.23142819708620957</v>
      </c>
      <c r="I139" s="103">
        <f t="shared" si="40"/>
        <v>0.24174075032929679</v>
      </c>
      <c r="J139" s="103">
        <f t="shared" si="40"/>
        <v>0.229790253682154</v>
      </c>
      <c r="K139" s="103">
        <f t="shared" si="40"/>
        <v>0.24223811769035669</v>
      </c>
      <c r="L139" s="103">
        <f t="shared" si="41"/>
        <v>0.23515220053758018</v>
      </c>
      <c r="M139" s="103">
        <f t="shared" si="40"/>
        <v>0.21389825793526768</v>
      </c>
      <c r="N139" s="103">
        <f t="shared" si="40"/>
        <v>0.19639774450323205</v>
      </c>
      <c r="O139" s="103">
        <f t="shared" si="40"/>
        <v>0.17954936262772977</v>
      </c>
      <c r="P139" s="103">
        <f t="shared" si="40"/>
        <v>0.18234643068862053</v>
      </c>
      <c r="Q139" s="103">
        <f t="shared" si="40"/>
        <v>0.1695027941844664</v>
      </c>
      <c r="R139" s="103">
        <f t="shared" si="40"/>
        <v>0.15726890292019116</v>
      </c>
      <c r="S139" s="103">
        <f t="shared" si="40"/>
        <v>0.16030407217243953</v>
      </c>
      <c r="T139" s="103">
        <f t="shared" si="40"/>
        <v>0.14654245912492669</v>
      </c>
      <c r="U139" s="103">
        <f t="shared" si="40"/>
        <v>0.13979819096765903</v>
      </c>
      <c r="V139" s="103">
        <f t="shared" si="40"/>
        <v>0.14479669578538307</v>
      </c>
      <c r="W139" s="103">
        <f t="shared" si="42"/>
        <v>0.14395392874511589</v>
      </c>
      <c r="DA139" s="191"/>
    </row>
    <row r="140" spans="1:105" ht="11.45" customHeight="1" x14ac:dyDescent="0.25">
      <c r="A140" s="157" t="s">
        <v>111</v>
      </c>
      <c r="B140" s="103">
        <f t="shared" si="40"/>
        <v>0.10839884228645857</v>
      </c>
      <c r="C140" s="103">
        <f t="shared" si="40"/>
        <v>0.13368620786932042</v>
      </c>
      <c r="D140" s="103">
        <f t="shared" si="40"/>
        <v>0.12120670982376118</v>
      </c>
      <c r="E140" s="103">
        <f t="shared" si="40"/>
        <v>0.17918287588472098</v>
      </c>
      <c r="F140" s="103">
        <f t="shared" si="40"/>
        <v>0.22417986927872238</v>
      </c>
      <c r="G140" s="103">
        <f t="shared" si="40"/>
        <v>0.24803096178435996</v>
      </c>
      <c r="H140" s="103">
        <f t="shared" si="40"/>
        <v>0.24786033436243776</v>
      </c>
      <c r="I140" s="103">
        <f t="shared" si="40"/>
        <v>0.25081881222563274</v>
      </c>
      <c r="J140" s="103">
        <f t="shared" si="40"/>
        <v>0.29180468909142887</v>
      </c>
      <c r="K140" s="103">
        <f t="shared" si="40"/>
        <v>0.28560683926239439</v>
      </c>
      <c r="L140" s="103">
        <f t="shared" si="41"/>
        <v>0.29644569812312077</v>
      </c>
      <c r="M140" s="103">
        <f t="shared" si="40"/>
        <v>0.31337290102642124</v>
      </c>
      <c r="N140" s="103">
        <f t="shared" si="40"/>
        <v>0.35112719171580425</v>
      </c>
      <c r="O140" s="103">
        <f t="shared" si="40"/>
        <v>0.32794536997543344</v>
      </c>
      <c r="P140" s="103">
        <f t="shared" si="40"/>
        <v>0.34987054266728973</v>
      </c>
      <c r="Q140" s="103">
        <f t="shared" si="40"/>
        <v>0.37159126299859047</v>
      </c>
      <c r="R140" s="103">
        <f t="shared" si="40"/>
        <v>0.38675099058215195</v>
      </c>
      <c r="S140" s="103">
        <f t="shared" si="40"/>
        <v>0.40266064314090672</v>
      </c>
      <c r="T140" s="103">
        <f t="shared" si="40"/>
        <v>0.44058930883538067</v>
      </c>
      <c r="U140" s="103">
        <f t="shared" si="40"/>
        <v>0.47937129398722411</v>
      </c>
      <c r="V140" s="103">
        <f t="shared" si="40"/>
        <v>0.44725113170858799</v>
      </c>
      <c r="W140" s="103">
        <f t="shared" si="42"/>
        <v>0.46584890210806745</v>
      </c>
      <c r="DA140" s="191"/>
    </row>
    <row r="141" spans="1:105" ht="11.45" customHeight="1" x14ac:dyDescent="0.25">
      <c r="A141" s="157" t="s">
        <v>112</v>
      </c>
      <c r="B141" s="103">
        <f t="shared" si="40"/>
        <v>0.11990317774900919</v>
      </c>
      <c r="C141" s="103">
        <f t="shared" si="40"/>
        <v>0.15333246603927428</v>
      </c>
      <c r="D141" s="103">
        <f t="shared" si="40"/>
        <v>0.16738457042650673</v>
      </c>
      <c r="E141" s="103">
        <f t="shared" si="40"/>
        <v>0.1574987713485699</v>
      </c>
      <c r="F141" s="103">
        <f t="shared" si="40"/>
        <v>0.15153325176638532</v>
      </c>
      <c r="G141" s="103">
        <f t="shared" si="40"/>
        <v>0.16094325171331186</v>
      </c>
      <c r="H141" s="103">
        <f t="shared" si="40"/>
        <v>0.16087943661503401</v>
      </c>
      <c r="I141" s="103">
        <f t="shared" si="40"/>
        <v>0.14266663884292749</v>
      </c>
      <c r="J141" s="103">
        <f t="shared" si="40"/>
        <v>0.12891120425838135</v>
      </c>
      <c r="K141" s="103">
        <f t="shared" si="40"/>
        <v>0.13949520832430518</v>
      </c>
      <c r="L141" s="103">
        <f t="shared" si="41"/>
        <v>0.13816228071844289</v>
      </c>
      <c r="M141" s="103">
        <f t="shared" si="40"/>
        <v>0.1282215601214575</v>
      </c>
      <c r="N141" s="103">
        <f t="shared" si="40"/>
        <v>0.13090530677041232</v>
      </c>
      <c r="O141" s="103">
        <f t="shared" si="40"/>
        <v>0.15913806479458861</v>
      </c>
      <c r="P141" s="103">
        <f t="shared" si="40"/>
        <v>0.15264001903671134</v>
      </c>
      <c r="Q141" s="103">
        <f t="shared" si="40"/>
        <v>0.1473859094923296</v>
      </c>
      <c r="R141" s="103">
        <f t="shared" si="40"/>
        <v>0.15549833075562761</v>
      </c>
      <c r="S141" s="103">
        <f t="shared" si="40"/>
        <v>0.14874338633591436</v>
      </c>
      <c r="T141" s="103">
        <f t="shared" si="40"/>
        <v>0.13726232271160646</v>
      </c>
      <c r="U141" s="103">
        <f t="shared" si="40"/>
        <v>0.12709679656139558</v>
      </c>
      <c r="V141" s="103">
        <f t="shared" si="40"/>
        <v>0.12791493926797201</v>
      </c>
      <c r="W141" s="103">
        <f t="shared" si="42"/>
        <v>0.11179826453471607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1.6474552568048852E-3</v>
      </c>
      <c r="G142" s="103">
        <f t="shared" si="40"/>
        <v>5.3825629603107116E-3</v>
      </c>
      <c r="H142" s="103">
        <f t="shared" si="40"/>
        <v>6.4253968109626563E-3</v>
      </c>
      <c r="I142" s="103">
        <f t="shared" si="40"/>
        <v>9.5013178990974896E-3</v>
      </c>
      <c r="J142" s="103">
        <f t="shared" si="40"/>
        <v>8.4029436649278658E-3</v>
      </c>
      <c r="K142" s="103">
        <f t="shared" si="40"/>
        <v>1.1654338702213194E-2</v>
      </c>
      <c r="L142" s="103">
        <f t="shared" si="41"/>
        <v>1.5590533645050579E-2</v>
      </c>
      <c r="M142" s="103">
        <f t="shared" si="40"/>
        <v>1.3688933390396819E-2</v>
      </c>
      <c r="N142" s="103">
        <f t="shared" si="40"/>
        <v>1.4306058015066894E-2</v>
      </c>
      <c r="O142" s="103">
        <f t="shared" si="40"/>
        <v>1.7438958916684264E-2</v>
      </c>
      <c r="P142" s="103">
        <f t="shared" si="40"/>
        <v>2.0473001973066444E-2</v>
      </c>
      <c r="Q142" s="103">
        <f t="shared" si="40"/>
        <v>1.637388108279365E-2</v>
      </c>
      <c r="R142" s="103">
        <f t="shared" si="40"/>
        <v>1.4992013761180428E-2</v>
      </c>
      <c r="S142" s="103">
        <f t="shared" si="40"/>
        <v>1.4949840819569177E-2</v>
      </c>
      <c r="T142" s="103">
        <f t="shared" si="40"/>
        <v>1.4892897325458529E-2</v>
      </c>
      <c r="U142" s="103">
        <f t="shared" si="40"/>
        <v>1.5070505901729975E-2</v>
      </c>
      <c r="V142" s="103">
        <f t="shared" si="40"/>
        <v>1.6250904728754227E-2</v>
      </c>
      <c r="W142" s="103">
        <f t="shared" si="42"/>
        <v>1.4364171717019453E-2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2.6680106542447672E-7</v>
      </c>
      <c r="O143" s="103">
        <f t="shared" si="40"/>
        <v>2.2571187675042969E-7</v>
      </c>
      <c r="P143" s="103">
        <f t="shared" si="40"/>
        <v>4.6349767216836698E-7</v>
      </c>
      <c r="Q143" s="103">
        <f t="shared" si="40"/>
        <v>1.9798870032614878E-6</v>
      </c>
      <c r="R143" s="103">
        <f t="shared" si="40"/>
        <v>3.0779044961536751E-6</v>
      </c>
      <c r="S143" s="103">
        <f t="shared" si="40"/>
        <v>1.0471448265377127E-5</v>
      </c>
      <c r="T143" s="103">
        <f t="shared" si="40"/>
        <v>1.8882603123533978E-5</v>
      </c>
      <c r="U143" s="103">
        <f t="shared" si="40"/>
        <v>5.6293858891872112E-5</v>
      </c>
      <c r="V143" s="103">
        <f t="shared" si="40"/>
        <v>7.8773023395936595E-5</v>
      </c>
      <c r="W143" s="103">
        <f t="shared" si="42"/>
        <v>1.1343588034112785E-4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0.1712383960349346</v>
      </c>
      <c r="C145" s="156">
        <f t="shared" si="40"/>
        <v>0.17024004417509897</v>
      </c>
      <c r="D145" s="156">
        <f t="shared" si="40"/>
        <v>0.18252450121860481</v>
      </c>
      <c r="E145" s="156">
        <f t="shared" si="40"/>
        <v>0.13853241432677219</v>
      </c>
      <c r="F145" s="156">
        <f t="shared" si="40"/>
        <v>0.11967231470187661</v>
      </c>
      <c r="G145" s="156">
        <f t="shared" si="40"/>
        <v>0.11524518164272396</v>
      </c>
      <c r="H145" s="156">
        <f t="shared" si="40"/>
        <v>0.10485406329764049</v>
      </c>
      <c r="I145" s="156">
        <f t="shared" si="40"/>
        <v>0.11755183331074033</v>
      </c>
      <c r="J145" s="156">
        <f t="shared" si="40"/>
        <v>0.10109786218151683</v>
      </c>
      <c r="K145" s="156">
        <f t="shared" si="40"/>
        <v>0.10705187412512342</v>
      </c>
      <c r="L145" s="156">
        <f t="shared" si="41"/>
        <v>0.1007054746769498</v>
      </c>
      <c r="M145" s="156">
        <f t="shared" si="40"/>
        <v>0.10980135896873351</v>
      </c>
      <c r="N145" s="156">
        <f t="shared" si="40"/>
        <v>9.3729998145636206E-2</v>
      </c>
      <c r="O145" s="156">
        <f t="shared" si="40"/>
        <v>9.458956273440601E-2</v>
      </c>
      <c r="P145" s="156">
        <f t="shared" si="40"/>
        <v>8.2325339565034988E-2</v>
      </c>
      <c r="Q145" s="156">
        <f t="shared" si="40"/>
        <v>8.140140508313469E-2</v>
      </c>
      <c r="R145" s="156">
        <f t="shared" si="40"/>
        <v>7.5852375578044806E-2</v>
      </c>
      <c r="S145" s="156">
        <f t="shared" si="40"/>
        <v>6.9830696361523267E-2</v>
      </c>
      <c r="T145" s="156">
        <f t="shared" si="40"/>
        <v>6.9199714326338813E-2</v>
      </c>
      <c r="U145" s="156">
        <f t="shared" si="40"/>
        <v>7.3337585818603168E-2</v>
      </c>
      <c r="V145" s="156">
        <f t="shared" si="40"/>
        <v>7.6207583236711077E-2</v>
      </c>
      <c r="W145" s="156">
        <f t="shared" si="42"/>
        <v>6.9699023448515599E-2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0.1712383960349346</v>
      </c>
      <c r="C147" s="103">
        <f t="shared" si="40"/>
        <v>0.17024004417509897</v>
      </c>
      <c r="D147" s="103">
        <f t="shared" si="40"/>
        <v>0.18252450121860481</v>
      </c>
      <c r="E147" s="103">
        <f t="shared" si="40"/>
        <v>0.13853241432677219</v>
      </c>
      <c r="F147" s="103">
        <f t="shared" si="40"/>
        <v>0.11921722569030911</v>
      </c>
      <c r="G147" s="103">
        <f t="shared" si="40"/>
        <v>0.11433853253971636</v>
      </c>
      <c r="H147" s="103">
        <f t="shared" si="40"/>
        <v>0.10332656560746736</v>
      </c>
      <c r="I147" s="103">
        <f t="shared" si="40"/>
        <v>0.11478738084648903</v>
      </c>
      <c r="J147" s="103">
        <f t="shared" si="40"/>
        <v>9.8491431179777197E-2</v>
      </c>
      <c r="K147" s="103">
        <f t="shared" si="40"/>
        <v>0.10299945147891897</v>
      </c>
      <c r="L147" s="103">
        <f t="shared" si="41"/>
        <v>9.461658755264192E-2</v>
      </c>
      <c r="M147" s="103">
        <f t="shared" si="40"/>
        <v>0.10366940560057737</v>
      </c>
      <c r="N147" s="103">
        <f t="shared" si="40"/>
        <v>8.7664040014677341E-2</v>
      </c>
      <c r="O147" s="103">
        <f t="shared" si="40"/>
        <v>8.6816489279051945E-2</v>
      </c>
      <c r="P147" s="103">
        <f t="shared" si="40"/>
        <v>7.8222868906841103E-2</v>
      </c>
      <c r="Q147" s="103">
        <f t="shared" si="40"/>
        <v>7.5742628330612696E-2</v>
      </c>
      <c r="R147" s="103">
        <f t="shared" ref="R147:V147" si="43">IF(R29=0,0,R29/R$17)</f>
        <v>7.017498978540479E-2</v>
      </c>
      <c r="S147" s="103">
        <f t="shared" si="43"/>
        <v>6.4063160250566298E-2</v>
      </c>
      <c r="T147" s="103">
        <f t="shared" si="43"/>
        <v>6.3136058040777085E-2</v>
      </c>
      <c r="U147" s="103">
        <f t="shared" si="43"/>
        <v>6.5855528834090987E-2</v>
      </c>
      <c r="V147" s="103">
        <f t="shared" si="43"/>
        <v>6.8832050254317684E-2</v>
      </c>
      <c r="W147" s="103">
        <f t="shared" ref="W147" si="44">IF(W29=0,0,W29/W$17)</f>
        <v>6.128639812149448E-2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4.5508901156749804E-4</v>
      </c>
      <c r="G149" s="103">
        <f t="shared" si="49"/>
        <v>9.066491030075859E-4</v>
      </c>
      <c r="H149" s="103">
        <f t="shared" si="49"/>
        <v>1.5274976901731335E-3</v>
      </c>
      <c r="I149" s="103">
        <f t="shared" si="49"/>
        <v>2.7644524642512994E-3</v>
      </c>
      <c r="J149" s="103">
        <f t="shared" si="49"/>
        <v>2.6064310017396316E-3</v>
      </c>
      <c r="K149" s="103">
        <f t="shared" si="49"/>
        <v>4.0524226462044554E-3</v>
      </c>
      <c r="L149" s="103">
        <f t="shared" si="46"/>
        <v>6.0888871243078863E-3</v>
      </c>
      <c r="M149" s="103">
        <f t="shared" ref="M149:V149" si="50">IF(M31=0,0,M31/M$17)</f>
        <v>6.1319533681561365E-3</v>
      </c>
      <c r="N149" s="103">
        <f t="shared" si="50"/>
        <v>6.0659581309588633E-3</v>
      </c>
      <c r="O149" s="103">
        <f t="shared" si="50"/>
        <v>7.7730734553540758E-3</v>
      </c>
      <c r="P149" s="103">
        <f t="shared" si="50"/>
        <v>4.1024706581938662E-3</v>
      </c>
      <c r="Q149" s="103">
        <f t="shared" si="50"/>
        <v>5.6587767525219908E-3</v>
      </c>
      <c r="R149" s="103">
        <f t="shared" si="50"/>
        <v>5.6773857926400093E-3</v>
      </c>
      <c r="S149" s="103">
        <f t="shared" si="50"/>
        <v>5.7675361109569582E-3</v>
      </c>
      <c r="T149" s="103">
        <f t="shared" si="50"/>
        <v>6.0636562855617372E-3</v>
      </c>
      <c r="U149" s="103">
        <f t="shared" si="50"/>
        <v>7.4820569845121775E-3</v>
      </c>
      <c r="V149" s="103">
        <f t="shared" si="50"/>
        <v>7.3755329823933973E-3</v>
      </c>
      <c r="W149" s="103">
        <f t="shared" ref="W149" si="51">IF(W31=0,0,W31/W$17)</f>
        <v>8.412625327021122E-3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0.20557474392240269</v>
      </c>
      <c r="C151" s="46">
        <f t="shared" si="55"/>
        <v>0.21746695397781574</v>
      </c>
      <c r="D151" s="46">
        <f t="shared" si="55"/>
        <v>0.19668473162660499</v>
      </c>
      <c r="E151" s="46">
        <f t="shared" si="55"/>
        <v>0.24495609666990339</v>
      </c>
      <c r="F151" s="46">
        <f t="shared" si="55"/>
        <v>0.25469612406779546</v>
      </c>
      <c r="G151" s="46">
        <f t="shared" si="55"/>
        <v>0.24983175890663908</v>
      </c>
      <c r="H151" s="46">
        <f t="shared" si="55"/>
        <v>0.2428834384552023</v>
      </c>
      <c r="I151" s="46">
        <f t="shared" si="55"/>
        <v>0.23149867576060984</v>
      </c>
      <c r="J151" s="46">
        <f t="shared" si="55"/>
        <v>0.23342197394081396</v>
      </c>
      <c r="K151" s="46">
        <f t="shared" si="55"/>
        <v>0.20692143897920162</v>
      </c>
      <c r="L151" s="46">
        <f t="shared" ref="L151" si="56">IF(L33=0,0,L33/L$17)</f>
        <v>0.20614194763848165</v>
      </c>
      <c r="M151" s="46">
        <f t="shared" ref="M151:V151" si="57">IF(M33=0,0,M33/M$17)</f>
        <v>0.21290906397863321</v>
      </c>
      <c r="N151" s="46">
        <f t="shared" si="57"/>
        <v>0.20513044658059729</v>
      </c>
      <c r="O151" s="46">
        <f t="shared" si="57"/>
        <v>0.21152611014812861</v>
      </c>
      <c r="P151" s="46">
        <f t="shared" si="57"/>
        <v>0.20343160361782495</v>
      </c>
      <c r="Q151" s="46">
        <f t="shared" si="57"/>
        <v>0.20538113062568855</v>
      </c>
      <c r="R151" s="46">
        <f t="shared" si="57"/>
        <v>0.20095017880783222</v>
      </c>
      <c r="S151" s="46">
        <f t="shared" si="57"/>
        <v>0.19524833242636616</v>
      </c>
      <c r="T151" s="46">
        <f t="shared" si="57"/>
        <v>0.18393816722996506</v>
      </c>
      <c r="U151" s="46">
        <f t="shared" si="57"/>
        <v>0.15754603792176375</v>
      </c>
      <c r="V151" s="46">
        <f t="shared" si="57"/>
        <v>0.18010407174970725</v>
      </c>
      <c r="W151" s="46">
        <f t="shared" ref="W151" si="58">IF(W33=0,0,W33/W$17)</f>
        <v>0.18756966084023352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7.9527465677158793E-2</v>
      </c>
      <c r="C152" s="154">
        <f t="shared" si="59"/>
        <v>7.4289954837088001E-2</v>
      </c>
      <c r="D152" s="154">
        <f t="shared" si="59"/>
        <v>7.1511223059064058E-2</v>
      </c>
      <c r="E152" s="154">
        <f t="shared" si="59"/>
        <v>6.6668846565894932E-2</v>
      </c>
      <c r="F152" s="154">
        <f t="shared" si="59"/>
        <v>7.0178466647682111E-2</v>
      </c>
      <c r="G152" s="154">
        <f t="shared" si="59"/>
        <v>5.9105593087604873E-2</v>
      </c>
      <c r="H152" s="154">
        <f t="shared" si="59"/>
        <v>6.02738806448797E-2</v>
      </c>
      <c r="I152" s="154">
        <f t="shared" si="59"/>
        <v>6.8406017600319266E-2</v>
      </c>
      <c r="J152" s="154">
        <f t="shared" si="59"/>
        <v>6.8646158701211574E-2</v>
      </c>
      <c r="K152" s="154">
        <f t="shared" si="59"/>
        <v>6.8978065714151729E-2</v>
      </c>
      <c r="L152" s="154">
        <f t="shared" ref="L152" si="60">IF(L34=0,0,L34/L$17)</f>
        <v>6.8885733458322593E-2</v>
      </c>
      <c r="M152" s="154">
        <f t="shared" ref="M152:V152" si="61">IF(M34=0,0,M34/M$17)</f>
        <v>7.5506825916843989E-2</v>
      </c>
      <c r="N152" s="154">
        <f t="shared" si="61"/>
        <v>7.3406439950023772E-2</v>
      </c>
      <c r="O152" s="154">
        <f t="shared" si="61"/>
        <v>8.1362052668640703E-2</v>
      </c>
      <c r="P152" s="154">
        <f t="shared" si="61"/>
        <v>7.497213021131463E-2</v>
      </c>
      <c r="Q152" s="154">
        <f t="shared" si="61"/>
        <v>7.5301659540268337E-2</v>
      </c>
      <c r="R152" s="154">
        <f t="shared" si="61"/>
        <v>7.2157784441291395E-2</v>
      </c>
      <c r="S152" s="154">
        <f t="shared" si="61"/>
        <v>6.0557811200020358E-2</v>
      </c>
      <c r="T152" s="154">
        <f t="shared" si="61"/>
        <v>5.8628279487527933E-2</v>
      </c>
      <c r="U152" s="154">
        <f t="shared" si="61"/>
        <v>5.5154585792530145E-2</v>
      </c>
      <c r="V152" s="154">
        <f t="shared" si="61"/>
        <v>5.6165268064597589E-2</v>
      </c>
      <c r="W152" s="154">
        <f t="shared" ref="W152" si="62">IF(W34=0,0,W34/W$17)</f>
        <v>4.9342191085116706E-2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1.7683934601742626E-2</v>
      </c>
      <c r="C153" s="103">
        <f t="shared" si="63"/>
        <v>1.7353894299446778E-2</v>
      </c>
      <c r="D153" s="103">
        <f t="shared" si="63"/>
        <v>1.6719963686243771E-2</v>
      </c>
      <c r="E153" s="103">
        <f t="shared" si="63"/>
        <v>1.4995917019644088E-2</v>
      </c>
      <c r="F153" s="103">
        <f t="shared" si="63"/>
        <v>1.4385782098536455E-2</v>
      </c>
      <c r="G153" s="103">
        <f t="shared" si="63"/>
        <v>1.1909451552994652E-2</v>
      </c>
      <c r="H153" s="103">
        <f t="shared" si="63"/>
        <v>9.9838220329938367E-3</v>
      </c>
      <c r="I153" s="103">
        <f t="shared" si="63"/>
        <v>9.1456534732643358E-3</v>
      </c>
      <c r="J153" s="103">
        <f t="shared" si="63"/>
        <v>7.5615397707530186E-3</v>
      </c>
      <c r="K153" s="103">
        <f t="shared" si="63"/>
        <v>6.4492781575350502E-3</v>
      </c>
      <c r="L153" s="103">
        <f t="shared" ref="L153" si="64">IF(L35=0,0,L35/L$17)</f>
        <v>5.0652287912157611E-3</v>
      </c>
      <c r="M153" s="103">
        <f t="shared" ref="M153:V153" si="65">IF(M35=0,0,M35/M$17)</f>
        <v>5.4548238433595186E-3</v>
      </c>
      <c r="N153" s="103">
        <f t="shared" si="65"/>
        <v>4.9428277470901696E-3</v>
      </c>
      <c r="O153" s="103">
        <f t="shared" si="65"/>
        <v>5.0604727865009016E-3</v>
      </c>
      <c r="P153" s="103">
        <f t="shared" si="65"/>
        <v>4.0013407839696478E-3</v>
      </c>
      <c r="Q153" s="103">
        <f t="shared" si="65"/>
        <v>4.1781993119998969E-3</v>
      </c>
      <c r="R153" s="103">
        <f t="shared" si="65"/>
        <v>3.9800151473023569E-3</v>
      </c>
      <c r="S153" s="103">
        <f t="shared" si="65"/>
        <v>3.8943439725492202E-3</v>
      </c>
      <c r="T153" s="103">
        <f t="shared" si="65"/>
        <v>3.7692247383495619E-3</v>
      </c>
      <c r="U153" s="103">
        <f t="shared" si="65"/>
        <v>3.5505158300716232E-3</v>
      </c>
      <c r="V153" s="103">
        <f t="shared" si="65"/>
        <v>3.743554305752387E-3</v>
      </c>
      <c r="W153" s="103">
        <f t="shared" ref="W153" si="66">IF(W35=0,0,W35/W$17)</f>
        <v>3.3735900346277266E-3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6.1843531075416174E-2</v>
      </c>
      <c r="C154" s="103">
        <f t="shared" si="67"/>
        <v>5.6936060537641234E-2</v>
      </c>
      <c r="D154" s="103">
        <f t="shared" si="67"/>
        <v>5.479125937282029E-2</v>
      </c>
      <c r="E154" s="103">
        <f t="shared" si="67"/>
        <v>5.1672929546250843E-2</v>
      </c>
      <c r="F154" s="103">
        <f t="shared" si="67"/>
        <v>5.5792684549145669E-2</v>
      </c>
      <c r="G154" s="103">
        <f t="shared" si="67"/>
        <v>4.7196141534610214E-2</v>
      </c>
      <c r="H154" s="103">
        <f t="shared" si="67"/>
        <v>5.029005861188586E-2</v>
      </c>
      <c r="I154" s="103">
        <f t="shared" si="67"/>
        <v>5.9260364127054932E-2</v>
      </c>
      <c r="J154" s="103">
        <f t="shared" si="67"/>
        <v>6.1084618930458565E-2</v>
      </c>
      <c r="K154" s="103">
        <f t="shared" si="67"/>
        <v>6.2528787556616686E-2</v>
      </c>
      <c r="L154" s="103">
        <f t="shared" ref="L154" si="68">IF(L36=0,0,L36/L$17)</f>
        <v>6.3820504667106828E-2</v>
      </c>
      <c r="M154" s="103">
        <f t="shared" ref="M154:V154" si="69">IF(M36=0,0,M36/M$17)</f>
        <v>7.0052002073484457E-2</v>
      </c>
      <c r="N154" s="103">
        <f t="shared" si="69"/>
        <v>6.8463612202933594E-2</v>
      </c>
      <c r="O154" s="103">
        <f t="shared" si="69"/>
        <v>7.63015798821398E-2</v>
      </c>
      <c r="P154" s="103">
        <f t="shared" si="69"/>
        <v>7.0970789427344971E-2</v>
      </c>
      <c r="Q154" s="103">
        <f t="shared" si="69"/>
        <v>7.1123460228268445E-2</v>
      </c>
      <c r="R154" s="103">
        <f t="shared" si="69"/>
        <v>6.8107030094303661E-2</v>
      </c>
      <c r="S154" s="103">
        <f t="shared" si="69"/>
        <v>5.6466475990426923E-2</v>
      </c>
      <c r="T154" s="103">
        <f t="shared" si="69"/>
        <v>5.4493231355138359E-2</v>
      </c>
      <c r="U154" s="103">
        <f t="shared" si="69"/>
        <v>5.1026109844036438E-2</v>
      </c>
      <c r="V154" s="103">
        <f t="shared" si="69"/>
        <v>5.1667228485862485E-2</v>
      </c>
      <c r="W154" s="103">
        <f t="shared" ref="W154" si="70">IF(W36=0,0,W36/W$17)</f>
        <v>4.510016009687004E-2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5.9086980401935623E-5</v>
      </c>
      <c r="S155" s="103">
        <f t="shared" si="73"/>
        <v>1.7417972764347848E-4</v>
      </c>
      <c r="T155" s="103">
        <f t="shared" si="73"/>
        <v>3.3104255790504674E-4</v>
      </c>
      <c r="U155" s="103">
        <f t="shared" si="73"/>
        <v>5.2671880232835059E-4</v>
      </c>
      <c r="V155" s="103">
        <f t="shared" si="73"/>
        <v>6.7819505212800973E-4</v>
      </c>
      <c r="W155" s="103">
        <f t="shared" ref="W155" si="74">IF(W37=0,0,W37/W$17)</f>
        <v>7.8323146153751037E-4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1.1652219283445927E-5</v>
      </c>
      <c r="S156" s="103">
        <f t="shared" si="77"/>
        <v>2.2811509400736266E-5</v>
      </c>
      <c r="T156" s="103">
        <f t="shared" si="77"/>
        <v>3.4780836134967107E-5</v>
      </c>
      <c r="U156" s="103">
        <f t="shared" si="77"/>
        <v>5.124131609372586E-5</v>
      </c>
      <c r="V156" s="103">
        <f t="shared" si="77"/>
        <v>7.6290220854706E-5</v>
      </c>
      <c r="W156" s="103">
        <f t="shared" ref="W156" si="78">IF(W38=0,0,W38/W$17)</f>
        <v>8.5209492081432151E-5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0.12604727824524389</v>
      </c>
      <c r="C158" s="156">
        <f t="shared" si="83"/>
        <v>0.14317699914072773</v>
      </c>
      <c r="D158" s="156">
        <f t="shared" si="83"/>
        <v>0.12517350856754092</v>
      </c>
      <c r="E158" s="156">
        <f t="shared" si="83"/>
        <v>0.17828725010400845</v>
      </c>
      <c r="F158" s="156">
        <f t="shared" si="83"/>
        <v>0.18451765742011331</v>
      </c>
      <c r="G158" s="156">
        <f t="shared" si="83"/>
        <v>0.19072616581903423</v>
      </c>
      <c r="H158" s="156">
        <f t="shared" si="83"/>
        <v>0.18260955781032259</v>
      </c>
      <c r="I158" s="156">
        <f t="shared" si="83"/>
        <v>0.16309265816029059</v>
      </c>
      <c r="J158" s="156">
        <f t="shared" si="83"/>
        <v>0.16477581523960239</v>
      </c>
      <c r="K158" s="156">
        <f t="shared" si="83"/>
        <v>0.13794337326504988</v>
      </c>
      <c r="L158" s="156">
        <f t="shared" ref="L158" si="84">IF(L40=0,0,L40/L$17)</f>
        <v>0.13725621418015907</v>
      </c>
      <c r="M158" s="156">
        <f t="shared" ref="M158:V158" si="85">IF(M40=0,0,M40/M$17)</f>
        <v>0.13740223806178922</v>
      </c>
      <c r="N158" s="156">
        <f t="shared" si="85"/>
        <v>0.13172400663057354</v>
      </c>
      <c r="O158" s="156">
        <f t="shared" si="85"/>
        <v>0.13016405747948789</v>
      </c>
      <c r="P158" s="156">
        <f t="shared" si="85"/>
        <v>0.12845947340651032</v>
      </c>
      <c r="Q158" s="156">
        <f t="shared" si="85"/>
        <v>0.13007947108542023</v>
      </c>
      <c r="R158" s="156">
        <f t="shared" si="85"/>
        <v>0.12879239436654083</v>
      </c>
      <c r="S158" s="156">
        <f t="shared" si="85"/>
        <v>0.13469052122634581</v>
      </c>
      <c r="T158" s="156">
        <f t="shared" si="85"/>
        <v>0.12530988774243712</v>
      </c>
      <c r="U158" s="156">
        <f t="shared" si="85"/>
        <v>0.10239145212923362</v>
      </c>
      <c r="V158" s="156">
        <f t="shared" si="85"/>
        <v>0.12393880368510964</v>
      </c>
      <c r="W158" s="156">
        <f t="shared" ref="W158" si="86">IF(W40=0,0,W40/W$17)</f>
        <v>0.13822746975511679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4.7175308497212881E-2</v>
      </c>
      <c r="C159" s="103">
        <f t="shared" si="87"/>
        <v>6.3957192980018285E-2</v>
      </c>
      <c r="D159" s="103">
        <f t="shared" si="87"/>
        <v>4.5897385940183354E-2</v>
      </c>
      <c r="E159" s="103">
        <f t="shared" si="87"/>
        <v>0.11067934602999538</v>
      </c>
      <c r="F159" s="103">
        <f t="shared" si="87"/>
        <v>0.10980959147507158</v>
      </c>
      <c r="G159" s="103">
        <f t="shared" si="87"/>
        <v>0.12199942626874676</v>
      </c>
      <c r="H159" s="103">
        <f t="shared" si="87"/>
        <v>0.12598347877777705</v>
      </c>
      <c r="I159" s="103">
        <f t="shared" si="87"/>
        <v>0.10987525236216342</v>
      </c>
      <c r="J159" s="103">
        <f t="shared" si="87"/>
        <v>0.1357731238289849</v>
      </c>
      <c r="K159" s="103">
        <f t="shared" si="87"/>
        <v>0.11001235620123843</v>
      </c>
      <c r="L159" s="103">
        <f t="shared" ref="L159" si="88">IF(L41=0,0,L41/L$17)</f>
        <v>0.10587656423120866</v>
      </c>
      <c r="M159" s="103">
        <f t="shared" ref="M159:V159" si="89">IF(M41=0,0,M41/M$17)</f>
        <v>0.10110244625283686</v>
      </c>
      <c r="N159" s="103">
        <f t="shared" si="89"/>
        <v>0.10093894956950657</v>
      </c>
      <c r="O159" s="103">
        <f t="shared" si="89"/>
        <v>8.5463944191839197E-2</v>
      </c>
      <c r="P159" s="103">
        <f t="shared" si="89"/>
        <v>9.2558190205327143E-2</v>
      </c>
      <c r="Q159" s="103">
        <f t="shared" si="89"/>
        <v>9.3066759333942831E-2</v>
      </c>
      <c r="R159" s="103">
        <f t="shared" si="89"/>
        <v>9.4114735410424546E-2</v>
      </c>
      <c r="S159" s="103">
        <f t="shared" si="89"/>
        <v>0.10233804558574448</v>
      </c>
      <c r="T159" s="103">
        <f t="shared" si="89"/>
        <v>9.6949019607052794E-2</v>
      </c>
      <c r="U159" s="103">
        <f t="shared" si="89"/>
        <v>7.8719912956013299E-2</v>
      </c>
      <c r="V159" s="103">
        <f t="shared" si="89"/>
        <v>9.2803870276743861E-2</v>
      </c>
      <c r="W159" s="103">
        <f t="shared" ref="W159" si="90">IF(W41=0,0,W41/W$17)</f>
        <v>0.10528826981444701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7.8871969748031012E-2</v>
      </c>
      <c r="C160" s="105">
        <f t="shared" si="91"/>
        <v>7.9219806160709449E-2</v>
      </c>
      <c r="D160" s="105">
        <f t="shared" si="91"/>
        <v>7.9276122627357573E-2</v>
      </c>
      <c r="E160" s="105">
        <f t="shared" si="91"/>
        <v>6.760790407401307E-2</v>
      </c>
      <c r="F160" s="105">
        <f t="shared" si="91"/>
        <v>7.4708065945041729E-2</v>
      </c>
      <c r="G160" s="105">
        <f t="shared" si="91"/>
        <v>6.8726739550287463E-2</v>
      </c>
      <c r="H160" s="105">
        <f t="shared" si="91"/>
        <v>5.6626079032545552E-2</v>
      </c>
      <c r="I160" s="105">
        <f t="shared" si="91"/>
        <v>5.321740579812715E-2</v>
      </c>
      <c r="J160" s="105">
        <f t="shared" si="91"/>
        <v>2.9002691410617457E-2</v>
      </c>
      <c r="K160" s="105">
        <f t="shared" si="91"/>
        <v>2.7931017063811431E-2</v>
      </c>
      <c r="L160" s="105">
        <f t="shared" ref="L160" si="92">IF(L42=0,0,L42/L$17)</f>
        <v>3.1379649948950421E-2</v>
      </c>
      <c r="M160" s="105">
        <f t="shared" ref="M160:V160" si="93">IF(M42=0,0,M42/M$17)</f>
        <v>3.6299791808952354E-2</v>
      </c>
      <c r="N160" s="105">
        <f t="shared" si="93"/>
        <v>3.0785057061066965E-2</v>
      </c>
      <c r="O160" s="105">
        <f t="shared" si="93"/>
        <v>4.4700113287648703E-2</v>
      </c>
      <c r="P160" s="105">
        <f t="shared" si="93"/>
        <v>3.5901283201183166E-2</v>
      </c>
      <c r="Q160" s="105">
        <f t="shared" si="93"/>
        <v>3.7012711751477398E-2</v>
      </c>
      <c r="R160" s="105">
        <f t="shared" si="93"/>
        <v>3.4677658956116277E-2</v>
      </c>
      <c r="S160" s="105">
        <f t="shared" si="93"/>
        <v>3.2352475640601321E-2</v>
      </c>
      <c r="T160" s="105">
        <f t="shared" si="93"/>
        <v>2.8360868135384347E-2</v>
      </c>
      <c r="U160" s="105">
        <f t="shared" si="93"/>
        <v>2.3671539173220305E-2</v>
      </c>
      <c r="V160" s="105">
        <f t="shared" si="93"/>
        <v>3.1134933408365775E-2</v>
      </c>
      <c r="W160" s="105">
        <f t="shared" ref="W160" si="94">IF(W42=0,0,W42/W$17)</f>
        <v>3.2939199940669794E-2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2235047</v>
      </c>
      <c r="C3" s="54">
        <f>TrRoad_act!C57</f>
        <v>2322787</v>
      </c>
      <c r="D3" s="54">
        <f>TrRoad_act!D57</f>
        <v>2415496.0000000005</v>
      </c>
      <c r="E3" s="54">
        <f>TrRoad_act!E57</f>
        <v>2568532</v>
      </c>
      <c r="F3" s="54">
        <f>TrRoad_act!F57</f>
        <v>2721471</v>
      </c>
      <c r="G3" s="54">
        <f>TrRoad_act!G57</f>
        <v>2821541</v>
      </c>
      <c r="H3" s="54">
        <f>TrRoad_act!H57</f>
        <v>2909618</v>
      </c>
      <c r="I3" s="54">
        <f>TrRoad_act!I57</f>
        <v>3080614.9999999995</v>
      </c>
      <c r="J3" s="54">
        <f>TrRoad_act!J57</f>
        <v>3169289.0000000005</v>
      </c>
      <c r="K3" s="54">
        <f>TrRoad_act!K57</f>
        <v>3178451</v>
      </c>
      <c r="L3" s="54">
        <f>TrRoad_act!L57</f>
        <v>3244798.0000000005</v>
      </c>
      <c r="M3" s="54">
        <f>TrRoad_act!M57</f>
        <v>3340336</v>
      </c>
      <c r="N3" s="54">
        <f>TrRoad_act!N57</f>
        <v>3408246</v>
      </c>
      <c r="O3" s="54">
        <f>TrRoad_act!O57</f>
        <v>3480153.0000000005</v>
      </c>
      <c r="P3" s="54">
        <f>TrRoad_act!P57</f>
        <v>3550197</v>
      </c>
      <c r="Q3" s="54">
        <f>TrRoad_act!Q57</f>
        <v>3642847.0000000005</v>
      </c>
      <c r="R3" s="54">
        <f>TrRoad_act!R57</f>
        <v>3691718</v>
      </c>
      <c r="S3" s="54">
        <f>TrRoad_act!S57</f>
        <v>3625493</v>
      </c>
      <c r="T3" s="54">
        <f>TrRoad_act!T57</f>
        <v>3679957</v>
      </c>
      <c r="U3" s="54">
        <f>TrRoad_act!U57</f>
        <v>3693861</v>
      </c>
      <c r="V3" s="54">
        <f>TrRoad_act!V57</f>
        <v>3694303</v>
      </c>
      <c r="W3" s="54">
        <f>TrRoad_act!W57</f>
        <v>3698737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2075067</v>
      </c>
      <c r="C4" s="28">
        <f>TrRoad_act!C58</f>
        <v>2169804</v>
      </c>
      <c r="D4" s="28">
        <f>TrRoad_act!D58</f>
        <v>2262203.0000000005</v>
      </c>
      <c r="E4" s="28">
        <f>TrRoad_act!E58</f>
        <v>2399230</v>
      </c>
      <c r="F4" s="28">
        <f>TrRoad_act!F58</f>
        <v>2527235</v>
      </c>
      <c r="G4" s="28">
        <f>TrRoad_act!G58</f>
        <v>2628281</v>
      </c>
      <c r="H4" s="28">
        <f>TrRoad_act!H58</f>
        <v>2691453</v>
      </c>
      <c r="I4" s="28">
        <f>TrRoad_act!I58</f>
        <v>2843535.9999999995</v>
      </c>
      <c r="J4" s="28">
        <f>TrRoad_act!J58</f>
        <v>2918400.0000000005</v>
      </c>
      <c r="K4" s="28">
        <f>TrRoad_act!K58</f>
        <v>2923186</v>
      </c>
      <c r="L4" s="28">
        <f>TrRoad_act!L58</f>
        <v>2994709.0000000005</v>
      </c>
      <c r="M4" s="28">
        <f>TrRoad_act!M58</f>
        <v>3070108</v>
      </c>
      <c r="N4" s="28">
        <f>TrRoad_act!N58</f>
        <v>3136145</v>
      </c>
      <c r="O4" s="28">
        <f>TrRoad_act!O58</f>
        <v>3208067.0000000005</v>
      </c>
      <c r="P4" s="28">
        <f>TrRoad_act!P58</f>
        <v>3278463</v>
      </c>
      <c r="Q4" s="28">
        <f>TrRoad_act!Q58</f>
        <v>3352433.0000000005</v>
      </c>
      <c r="R4" s="28">
        <f>TrRoad_act!R58</f>
        <v>3404192</v>
      </c>
      <c r="S4" s="28">
        <f>TrRoad_act!S58</f>
        <v>3374021</v>
      </c>
      <c r="T4" s="28">
        <f>TrRoad_act!T58</f>
        <v>3422217</v>
      </c>
      <c r="U4" s="28">
        <f>TrRoad_act!U58</f>
        <v>3435831</v>
      </c>
      <c r="V4" s="28">
        <f>TrRoad_act!V58</f>
        <v>3451149</v>
      </c>
      <c r="W4" s="28">
        <f>TrRoad_act!W58</f>
        <v>3464281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70362</v>
      </c>
      <c r="C5" s="137">
        <f>TrRoad_act!C59</f>
        <v>71538</v>
      </c>
      <c r="D5" s="137">
        <f>TrRoad_act!D59</f>
        <v>73443</v>
      </c>
      <c r="E5" s="137">
        <f>TrRoad_act!E59</f>
        <v>76082</v>
      </c>
      <c r="F5" s="137">
        <f>TrRoad_act!F59</f>
        <v>75705</v>
      </c>
      <c r="G5" s="137">
        <f>TrRoad_act!G59</f>
        <v>75913</v>
      </c>
      <c r="H5" s="137">
        <f>TrRoad_act!H59</f>
        <v>76254</v>
      </c>
      <c r="I5" s="137">
        <f>TrRoad_act!I59</f>
        <v>90318</v>
      </c>
      <c r="J5" s="137">
        <f>TrRoad_act!J59</f>
        <v>106911</v>
      </c>
      <c r="K5" s="137">
        <f>TrRoad_act!K59</f>
        <v>117595</v>
      </c>
      <c r="L5" s="137">
        <f>TrRoad_act!L59</f>
        <v>125400</v>
      </c>
      <c r="M5" s="137">
        <f>TrRoad_act!M59</f>
        <v>131800</v>
      </c>
      <c r="N5" s="137">
        <f>TrRoad_act!N59</f>
        <v>139800</v>
      </c>
      <c r="O5" s="137">
        <f>TrRoad_act!O59</f>
        <v>147900</v>
      </c>
      <c r="P5" s="137">
        <f>TrRoad_act!P59</f>
        <v>154800</v>
      </c>
      <c r="Q5" s="137">
        <f>TrRoad_act!Q59</f>
        <v>163300</v>
      </c>
      <c r="R5" s="137">
        <f>TrRoad_act!R59</f>
        <v>171700</v>
      </c>
      <c r="S5" s="137">
        <f>TrRoad_act!S59</f>
        <v>180900</v>
      </c>
      <c r="T5" s="137">
        <f>TrRoad_act!T59</f>
        <v>190000</v>
      </c>
      <c r="U5" s="137">
        <f>TrRoad_act!U59</f>
        <v>199100</v>
      </c>
      <c r="V5" s="137">
        <f>TrRoad_act!V59</f>
        <v>206300</v>
      </c>
      <c r="W5" s="137">
        <f>TrRoad_act!W59</f>
        <v>212900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1992700</v>
      </c>
      <c r="C6" s="110">
        <f>TrRoad_act!C60</f>
        <v>2085699.9999999998</v>
      </c>
      <c r="D6" s="110">
        <f>TrRoad_act!D60</f>
        <v>2174100.0000000005</v>
      </c>
      <c r="E6" s="110">
        <f>TrRoad_act!E60</f>
        <v>2309300</v>
      </c>
      <c r="F6" s="110">
        <f>TrRoad_act!F60</f>
        <v>2438400</v>
      </c>
      <c r="G6" s="110">
        <f>TrRoad_act!G60</f>
        <v>2538092</v>
      </c>
      <c r="H6" s="110">
        <f>TrRoad_act!H60</f>
        <v>2601444</v>
      </c>
      <c r="I6" s="110">
        <f>TrRoad_act!I60</f>
        <v>2738834.9999999995</v>
      </c>
      <c r="J6" s="110">
        <f>TrRoad_act!J60</f>
        <v>2798240.0000000005</v>
      </c>
      <c r="K6" s="110">
        <f>TrRoad_act!K60</f>
        <v>2791500</v>
      </c>
      <c r="L6" s="110">
        <f>TrRoad_act!L60</f>
        <v>2854852.0000000005</v>
      </c>
      <c r="M6" s="110">
        <f>TrRoad_act!M60</f>
        <v>2923657</v>
      </c>
      <c r="N6" s="110">
        <f>TrRoad_act!N60</f>
        <v>2981556</v>
      </c>
      <c r="O6" s="110">
        <f>TrRoad_act!O60</f>
        <v>3044908.0000000005</v>
      </c>
      <c r="P6" s="110">
        <f>TrRoad_act!P60</f>
        <v>3108260</v>
      </c>
      <c r="Q6" s="110">
        <f>TrRoad_act!Q60</f>
        <v>3173323.0000000005</v>
      </c>
      <c r="R6" s="110">
        <f>TrRoad_act!R60</f>
        <v>3217127</v>
      </c>
      <c r="S6" s="110">
        <f>TrRoad_act!S60</f>
        <v>3179103</v>
      </c>
      <c r="T6" s="110">
        <f>TrRoad_act!T60</f>
        <v>3218599</v>
      </c>
      <c r="U6" s="110">
        <f>TrRoad_act!U60</f>
        <v>3223244</v>
      </c>
      <c r="V6" s="110">
        <f>TrRoad_act!V60</f>
        <v>3230599</v>
      </c>
      <c r="W6" s="110">
        <f>TrRoad_act!W60</f>
        <v>3236850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1548238</v>
      </c>
      <c r="C7" s="84">
        <f>TrRoad_act!C61</f>
        <v>1548237.9999999998</v>
      </c>
      <c r="D7" s="84">
        <f>TrRoad_act!D61</f>
        <v>1548238.0000000005</v>
      </c>
      <c r="E7" s="84">
        <f>TrRoad_act!E61</f>
        <v>1548238</v>
      </c>
      <c r="F7" s="84">
        <f>TrRoad_act!F61</f>
        <v>1550532</v>
      </c>
      <c r="G7" s="84">
        <f>TrRoad_act!G61</f>
        <v>1554926</v>
      </c>
      <c r="H7" s="84">
        <f>TrRoad_act!H61</f>
        <v>1493935</v>
      </c>
      <c r="I7" s="84">
        <f>TrRoad_act!I61</f>
        <v>1537180.9999999995</v>
      </c>
      <c r="J7" s="84">
        <f>TrRoad_act!J61</f>
        <v>1545111.0000000005</v>
      </c>
      <c r="K7" s="84">
        <f>TrRoad_act!K61</f>
        <v>1498604</v>
      </c>
      <c r="L7" s="84">
        <f>TrRoad_act!L61</f>
        <v>1519546.0000000005</v>
      </c>
      <c r="M7" s="84">
        <f>TrRoad_act!M61</f>
        <v>1440011</v>
      </c>
      <c r="N7" s="84">
        <f>TrRoad_act!N61</f>
        <v>1427572</v>
      </c>
      <c r="O7" s="84">
        <f>TrRoad_act!O61</f>
        <v>1424838.0000000005</v>
      </c>
      <c r="P7" s="84">
        <f>TrRoad_act!P61</f>
        <v>1405601</v>
      </c>
      <c r="Q7" s="84">
        <f>TrRoad_act!Q61</f>
        <v>1402348.0000000005</v>
      </c>
      <c r="R7" s="84">
        <f>TrRoad_act!R61</f>
        <v>1388324</v>
      </c>
      <c r="S7" s="84">
        <f>TrRoad_act!S61</f>
        <v>1360558</v>
      </c>
      <c r="T7" s="84">
        <f>TrRoad_act!T61</f>
        <v>1346953</v>
      </c>
      <c r="U7" s="84">
        <f>TrRoad_act!U61</f>
        <v>1326749</v>
      </c>
      <c r="V7" s="84">
        <f>TrRoad_act!V61</f>
        <v>1313482</v>
      </c>
      <c r="W7" s="84">
        <f>TrRoad_act!W61</f>
        <v>1300347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194462</v>
      </c>
      <c r="C8" s="84">
        <f>TrRoad_act!C62</f>
        <v>196877</v>
      </c>
      <c r="D8" s="84">
        <f>TrRoad_act!D62</f>
        <v>227363</v>
      </c>
      <c r="E8" s="84">
        <f>TrRoad_act!E62</f>
        <v>331952</v>
      </c>
      <c r="F8" s="84">
        <f>TrRoad_act!F62</f>
        <v>428702</v>
      </c>
      <c r="G8" s="84">
        <f>TrRoad_act!G62</f>
        <v>424728</v>
      </c>
      <c r="H8" s="84">
        <f>TrRoad_act!H62</f>
        <v>516538</v>
      </c>
      <c r="I8" s="84">
        <f>TrRoad_act!I62</f>
        <v>623553</v>
      </c>
      <c r="J8" s="84">
        <f>TrRoad_act!J62</f>
        <v>707742</v>
      </c>
      <c r="K8" s="84">
        <f>TrRoad_act!K62</f>
        <v>769726</v>
      </c>
      <c r="L8" s="84">
        <f>TrRoad_act!L62</f>
        <v>758419</v>
      </c>
      <c r="M8" s="84">
        <f>TrRoad_act!M62</f>
        <v>949545</v>
      </c>
      <c r="N8" s="84">
        <f>TrRoad_act!N62</f>
        <v>982678</v>
      </c>
      <c r="O8" s="84">
        <f>TrRoad_act!O62</f>
        <v>1001978</v>
      </c>
      <c r="P8" s="84">
        <f>TrRoad_act!P62</f>
        <v>1001444</v>
      </c>
      <c r="Q8" s="84">
        <f>TrRoad_act!Q62</f>
        <v>1036781</v>
      </c>
      <c r="R8" s="84">
        <f>TrRoad_act!R62</f>
        <v>1055445</v>
      </c>
      <c r="S8" s="84">
        <f>TrRoad_act!S62</f>
        <v>1065999</v>
      </c>
      <c r="T8" s="84">
        <f>TrRoad_act!T62</f>
        <v>1144884</v>
      </c>
      <c r="U8" s="84">
        <f>TrRoad_act!U62</f>
        <v>1190680</v>
      </c>
      <c r="V8" s="84">
        <f>TrRoad_act!V62</f>
        <v>1238312</v>
      </c>
      <c r="W8" s="84">
        <f>TrRoad_act!W62</f>
        <v>1287859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250000</v>
      </c>
      <c r="C9" s="84">
        <f>TrRoad_act!C63</f>
        <v>340585</v>
      </c>
      <c r="D9" s="84">
        <f>TrRoad_act!D63</f>
        <v>398499</v>
      </c>
      <c r="E9" s="84">
        <f>TrRoad_act!E63</f>
        <v>429110</v>
      </c>
      <c r="F9" s="84">
        <f>TrRoad_act!F63</f>
        <v>453466</v>
      </c>
      <c r="G9" s="84">
        <f>TrRoad_act!G63</f>
        <v>537808</v>
      </c>
      <c r="H9" s="84">
        <f>TrRoad_act!H63</f>
        <v>565110</v>
      </c>
      <c r="I9" s="84">
        <f>TrRoad_act!I63</f>
        <v>541466</v>
      </c>
      <c r="J9" s="84">
        <f>TrRoad_act!J63</f>
        <v>511162</v>
      </c>
      <c r="K9" s="84">
        <f>TrRoad_act!K63</f>
        <v>474837</v>
      </c>
      <c r="L9" s="84">
        <f>TrRoad_act!L63</f>
        <v>505675</v>
      </c>
      <c r="M9" s="84">
        <f>TrRoad_act!M63</f>
        <v>469799</v>
      </c>
      <c r="N9" s="84">
        <f>TrRoad_act!N63</f>
        <v>500770</v>
      </c>
      <c r="O9" s="84">
        <f>TrRoad_act!O63</f>
        <v>541779</v>
      </c>
      <c r="P9" s="84">
        <f>TrRoad_act!P63</f>
        <v>596347</v>
      </c>
      <c r="Q9" s="84">
        <f>TrRoad_act!Q63</f>
        <v>639677</v>
      </c>
      <c r="R9" s="84">
        <f>TrRoad_act!R63</f>
        <v>684454</v>
      </c>
      <c r="S9" s="84">
        <f>TrRoad_act!S63</f>
        <v>662551</v>
      </c>
      <c r="T9" s="84">
        <f>TrRoad_act!T63</f>
        <v>632736</v>
      </c>
      <c r="U9" s="84">
        <f>TrRoad_act!U63</f>
        <v>604896</v>
      </c>
      <c r="V9" s="84">
        <f>TrRoad_act!V63</f>
        <v>574651</v>
      </c>
      <c r="W9" s="84">
        <f>TrRoad_act!W63</f>
        <v>545918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5700</v>
      </c>
      <c r="G10" s="84">
        <f>TrRoad_act!G64</f>
        <v>20630</v>
      </c>
      <c r="H10" s="84">
        <f>TrRoad_act!H64</f>
        <v>25861</v>
      </c>
      <c r="I10" s="84">
        <f>TrRoad_act!I64</f>
        <v>36635</v>
      </c>
      <c r="J10" s="84">
        <f>TrRoad_act!J64</f>
        <v>34225</v>
      </c>
      <c r="K10" s="84">
        <f>TrRoad_act!K64</f>
        <v>48333</v>
      </c>
      <c r="L10" s="84">
        <f>TrRoad_act!L64</f>
        <v>71212</v>
      </c>
      <c r="M10" s="84">
        <f>TrRoad_act!M64</f>
        <v>64302</v>
      </c>
      <c r="N10" s="84">
        <f>TrRoad_act!N64</f>
        <v>70532</v>
      </c>
      <c r="O10" s="84">
        <f>TrRoad_act!O64</f>
        <v>76309</v>
      </c>
      <c r="P10" s="84">
        <f>TrRoad_act!P64</f>
        <v>104862</v>
      </c>
      <c r="Q10" s="84">
        <f>TrRoad_act!Q64</f>
        <v>94493</v>
      </c>
      <c r="R10" s="84">
        <f>TrRoad_act!R64</f>
        <v>88823</v>
      </c>
      <c r="S10" s="84">
        <f>TrRoad_act!S64</f>
        <v>89711</v>
      </c>
      <c r="T10" s="84">
        <f>TrRoad_act!T64</f>
        <v>93299</v>
      </c>
      <c r="U10" s="84">
        <f>TrRoad_act!U64</f>
        <v>99460</v>
      </c>
      <c r="V10" s="84">
        <f>TrRoad_act!V64</f>
        <v>101797</v>
      </c>
      <c r="W10" s="84">
        <f>TrRoad_act!W64</f>
        <v>99470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</v>
      </c>
      <c r="O11" s="84">
        <f>TrRoad_act!O65</f>
        <v>4</v>
      </c>
      <c r="P11" s="84">
        <f>TrRoad_act!P65</f>
        <v>6</v>
      </c>
      <c r="Q11" s="84">
        <f>TrRoad_act!Q65</f>
        <v>24</v>
      </c>
      <c r="R11" s="84">
        <f>TrRoad_act!R65</f>
        <v>40</v>
      </c>
      <c r="S11" s="84">
        <f>TrRoad_act!S65</f>
        <v>133</v>
      </c>
      <c r="T11" s="84">
        <f>TrRoad_act!T65</f>
        <v>252</v>
      </c>
      <c r="U11" s="84">
        <f>TrRoad_act!U65</f>
        <v>662</v>
      </c>
      <c r="V11" s="84">
        <f>TrRoad_act!V65</f>
        <v>953</v>
      </c>
      <c r="W11" s="84">
        <f>TrRoad_act!W65</f>
        <v>1293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0</v>
      </c>
      <c r="P12" s="84">
        <f>TrRoad_act!P66</f>
        <v>0</v>
      </c>
      <c r="Q12" s="84">
        <f>TrRoad_act!Q66</f>
        <v>0</v>
      </c>
      <c r="R12" s="84">
        <f>TrRoad_act!R66</f>
        <v>41</v>
      </c>
      <c r="S12" s="84">
        <f>TrRoad_act!S66</f>
        <v>151</v>
      </c>
      <c r="T12" s="84">
        <f>TrRoad_act!T66</f>
        <v>475</v>
      </c>
      <c r="U12" s="84">
        <f>TrRoad_act!U66</f>
        <v>797</v>
      </c>
      <c r="V12" s="84">
        <f>TrRoad_act!V66</f>
        <v>1404</v>
      </c>
      <c r="W12" s="84">
        <f>TrRoad_act!W66</f>
        <v>1963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12005</v>
      </c>
      <c r="C13" s="110">
        <f>TrRoad_act!C67</f>
        <v>12566</v>
      </c>
      <c r="D13" s="110">
        <f>TrRoad_act!D67</f>
        <v>14660</v>
      </c>
      <c r="E13" s="110">
        <f>TrRoad_act!E67</f>
        <v>13848</v>
      </c>
      <c r="F13" s="110">
        <f>TrRoad_act!F67</f>
        <v>13130</v>
      </c>
      <c r="G13" s="110">
        <f>TrRoad_act!G67</f>
        <v>14276</v>
      </c>
      <c r="H13" s="110">
        <f>TrRoad_act!H67</f>
        <v>13755</v>
      </c>
      <c r="I13" s="110">
        <f>TrRoad_act!I67</f>
        <v>14383</v>
      </c>
      <c r="J13" s="110">
        <f>TrRoad_act!J67</f>
        <v>13249</v>
      </c>
      <c r="K13" s="110">
        <f>TrRoad_act!K67</f>
        <v>14091</v>
      </c>
      <c r="L13" s="110">
        <f>TrRoad_act!L67</f>
        <v>14457</v>
      </c>
      <c r="M13" s="110">
        <f>TrRoad_act!M67</f>
        <v>14651</v>
      </c>
      <c r="N13" s="110">
        <f>TrRoad_act!N67</f>
        <v>14789</v>
      </c>
      <c r="O13" s="110">
        <f>TrRoad_act!O67</f>
        <v>15259</v>
      </c>
      <c r="P13" s="110">
        <f>TrRoad_act!P67</f>
        <v>15403</v>
      </c>
      <c r="Q13" s="110">
        <f>TrRoad_act!Q67</f>
        <v>15810</v>
      </c>
      <c r="R13" s="110">
        <f>TrRoad_act!R67</f>
        <v>15365</v>
      </c>
      <c r="S13" s="110">
        <f>TrRoad_act!S67</f>
        <v>14018</v>
      </c>
      <c r="T13" s="110">
        <f>TrRoad_act!T67</f>
        <v>13618</v>
      </c>
      <c r="U13" s="110">
        <f>TrRoad_act!U67</f>
        <v>13487</v>
      </c>
      <c r="V13" s="110">
        <f>TrRoad_act!V67</f>
        <v>14250</v>
      </c>
      <c r="W13" s="110">
        <f>TrRoad_act!W67</f>
        <v>14531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12005</v>
      </c>
      <c r="C15" s="102">
        <f>TrRoad_act!C69</f>
        <v>12566</v>
      </c>
      <c r="D15" s="102">
        <f>TrRoad_act!D69</f>
        <v>14660</v>
      </c>
      <c r="E15" s="102">
        <f>TrRoad_act!E69</f>
        <v>13848</v>
      </c>
      <c r="F15" s="102">
        <f>TrRoad_act!F69</f>
        <v>13030</v>
      </c>
      <c r="G15" s="102">
        <f>TrRoad_act!G69</f>
        <v>14017</v>
      </c>
      <c r="H15" s="102">
        <f>TrRoad_act!H69</f>
        <v>13285</v>
      </c>
      <c r="I15" s="102">
        <f>TrRoad_act!I69</f>
        <v>13683</v>
      </c>
      <c r="J15" s="102">
        <f>TrRoad_act!J69</f>
        <v>12540</v>
      </c>
      <c r="K15" s="102">
        <f>TrRoad_act!K69</f>
        <v>13124</v>
      </c>
      <c r="L15" s="102">
        <f>TrRoad_act!L69</f>
        <v>13124</v>
      </c>
      <c r="M15" s="102">
        <f>TrRoad_act!M69</f>
        <v>13366</v>
      </c>
      <c r="N15" s="102">
        <f>TrRoad_act!N69</f>
        <v>13469</v>
      </c>
      <c r="O15" s="102">
        <f>TrRoad_act!O69</f>
        <v>12638</v>
      </c>
      <c r="P15" s="102">
        <f>TrRoad_act!P69</f>
        <v>12504</v>
      </c>
      <c r="Q15" s="102">
        <f>TrRoad_act!Q69</f>
        <v>12812</v>
      </c>
      <c r="R15" s="102">
        <f>TrRoad_act!R69</f>
        <v>12491</v>
      </c>
      <c r="S15" s="102">
        <f>TrRoad_act!S69</f>
        <v>11132</v>
      </c>
      <c r="T15" s="102">
        <f>TrRoad_act!T69</f>
        <v>10630</v>
      </c>
      <c r="U15" s="102">
        <f>TrRoad_act!U69</f>
        <v>10241</v>
      </c>
      <c r="V15" s="102">
        <f>TrRoad_act!V69</f>
        <v>10722</v>
      </c>
      <c r="W15" s="102">
        <f>TrRoad_act!W69</f>
        <v>10638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100</v>
      </c>
      <c r="G17" s="102">
        <f>TrRoad_act!G71</f>
        <v>259</v>
      </c>
      <c r="H17" s="102">
        <f>TrRoad_act!H71</f>
        <v>470</v>
      </c>
      <c r="I17" s="102">
        <f>TrRoad_act!I71</f>
        <v>700</v>
      </c>
      <c r="J17" s="102">
        <f>TrRoad_act!J71</f>
        <v>700</v>
      </c>
      <c r="K17" s="102">
        <f>TrRoad_act!K71</f>
        <v>942</v>
      </c>
      <c r="L17" s="102">
        <f>TrRoad_act!L71</f>
        <v>1283</v>
      </c>
      <c r="M17" s="102">
        <f>TrRoad_act!M71</f>
        <v>1230</v>
      </c>
      <c r="N17" s="102">
        <f>TrRoad_act!N71</f>
        <v>1261</v>
      </c>
      <c r="O17" s="102">
        <f>TrRoad_act!O71</f>
        <v>2154</v>
      </c>
      <c r="P17" s="102">
        <f>TrRoad_act!P71</f>
        <v>2284</v>
      </c>
      <c r="Q17" s="102">
        <f>TrRoad_act!Q71</f>
        <v>2341</v>
      </c>
      <c r="R17" s="102">
        <f>TrRoad_act!R71</f>
        <v>2224</v>
      </c>
      <c r="S17" s="102">
        <f>TrRoad_act!S71</f>
        <v>2246</v>
      </c>
      <c r="T17" s="102">
        <f>TrRoad_act!T71</f>
        <v>2347</v>
      </c>
      <c r="U17" s="102">
        <f>TrRoad_act!U71</f>
        <v>2605</v>
      </c>
      <c r="V17" s="102">
        <f>TrRoad_act!V71</f>
        <v>2892</v>
      </c>
      <c r="W17" s="102">
        <f>TrRoad_act!W71</f>
        <v>3210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9</v>
      </c>
      <c r="K18" s="102">
        <f>TrRoad_act!K72</f>
        <v>25</v>
      </c>
      <c r="L18" s="102">
        <f>TrRoad_act!L72</f>
        <v>50</v>
      </c>
      <c r="M18" s="102">
        <f>TrRoad_act!M72</f>
        <v>55</v>
      </c>
      <c r="N18" s="102">
        <f>TrRoad_act!N72</f>
        <v>59</v>
      </c>
      <c r="O18" s="102">
        <f>TrRoad_act!O72</f>
        <v>467</v>
      </c>
      <c r="P18" s="102">
        <f>TrRoad_act!P72</f>
        <v>615</v>
      </c>
      <c r="Q18" s="102">
        <f>TrRoad_act!Q72</f>
        <v>657</v>
      </c>
      <c r="R18" s="102">
        <f>TrRoad_act!R72</f>
        <v>650</v>
      </c>
      <c r="S18" s="102">
        <f>TrRoad_act!S72</f>
        <v>640</v>
      </c>
      <c r="T18" s="102">
        <f>TrRoad_act!T72</f>
        <v>641</v>
      </c>
      <c r="U18" s="102">
        <f>TrRoad_act!U72</f>
        <v>641</v>
      </c>
      <c r="V18" s="102">
        <f>TrRoad_act!V72</f>
        <v>636</v>
      </c>
      <c r="W18" s="102">
        <f>TrRoad_act!W72</f>
        <v>683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159980</v>
      </c>
      <c r="C19" s="28">
        <f>TrRoad_act!C73</f>
        <v>152983</v>
      </c>
      <c r="D19" s="28">
        <f>TrRoad_act!D73</f>
        <v>153293</v>
      </c>
      <c r="E19" s="28">
        <f>TrRoad_act!E73</f>
        <v>169302</v>
      </c>
      <c r="F19" s="28">
        <f>TrRoad_act!F73</f>
        <v>194236</v>
      </c>
      <c r="G19" s="28">
        <f>TrRoad_act!G73</f>
        <v>193260</v>
      </c>
      <c r="H19" s="28">
        <f>TrRoad_act!H73</f>
        <v>218165</v>
      </c>
      <c r="I19" s="28">
        <f>TrRoad_act!I73</f>
        <v>237079</v>
      </c>
      <c r="J19" s="28">
        <f>TrRoad_act!J73</f>
        <v>250889</v>
      </c>
      <c r="K19" s="28">
        <f>TrRoad_act!K73</f>
        <v>255265</v>
      </c>
      <c r="L19" s="28">
        <f>TrRoad_act!L73</f>
        <v>250089</v>
      </c>
      <c r="M19" s="28">
        <f>TrRoad_act!M73</f>
        <v>270228</v>
      </c>
      <c r="N19" s="28">
        <f>TrRoad_act!N73</f>
        <v>272101</v>
      </c>
      <c r="O19" s="28">
        <f>TrRoad_act!O73</f>
        <v>272086</v>
      </c>
      <c r="P19" s="28">
        <f>TrRoad_act!P73</f>
        <v>271734</v>
      </c>
      <c r="Q19" s="28">
        <f>TrRoad_act!Q73</f>
        <v>290414</v>
      </c>
      <c r="R19" s="28">
        <f>TrRoad_act!R73</f>
        <v>287526</v>
      </c>
      <c r="S19" s="28">
        <f>TrRoad_act!S73</f>
        <v>251472</v>
      </c>
      <c r="T19" s="28">
        <f>TrRoad_act!T73</f>
        <v>257740</v>
      </c>
      <c r="U19" s="28">
        <f>TrRoad_act!U73</f>
        <v>258030</v>
      </c>
      <c r="V19" s="28">
        <f>TrRoad_act!V73</f>
        <v>243154</v>
      </c>
      <c r="W19" s="28">
        <f>TrRoad_act!W73</f>
        <v>234456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140840</v>
      </c>
      <c r="C20" s="137">
        <f>TrRoad_act!C74</f>
        <v>132389</v>
      </c>
      <c r="D20" s="137">
        <f>TrRoad_act!D74</f>
        <v>130545</v>
      </c>
      <c r="E20" s="137">
        <f>TrRoad_act!E74</f>
        <v>137342</v>
      </c>
      <c r="F20" s="137">
        <f>TrRoad_act!F74</f>
        <v>155406</v>
      </c>
      <c r="G20" s="137">
        <f>TrRoad_act!G74</f>
        <v>151772</v>
      </c>
      <c r="H20" s="137">
        <f>TrRoad_act!H74</f>
        <v>172381</v>
      </c>
      <c r="I20" s="137">
        <f>TrRoad_act!I74</f>
        <v>192982</v>
      </c>
      <c r="J20" s="137">
        <f>TrRoad_act!J74</f>
        <v>202549</v>
      </c>
      <c r="K20" s="137">
        <f>TrRoad_act!K74</f>
        <v>209527</v>
      </c>
      <c r="L20" s="137">
        <f>TrRoad_act!L74</f>
        <v>205416</v>
      </c>
      <c r="M20" s="137">
        <f>TrRoad_act!M74</f>
        <v>225347</v>
      </c>
      <c r="N20" s="137">
        <f>TrRoad_act!N74</f>
        <v>228773</v>
      </c>
      <c r="O20" s="137">
        <f>TrRoad_act!O74</f>
        <v>228726</v>
      </c>
      <c r="P20" s="137">
        <f>TrRoad_act!P74</f>
        <v>230166</v>
      </c>
      <c r="Q20" s="137">
        <f>TrRoad_act!Q74</f>
        <v>247713</v>
      </c>
      <c r="R20" s="137">
        <f>TrRoad_act!R74</f>
        <v>241601</v>
      </c>
      <c r="S20" s="137">
        <f>TrRoad_act!S74</f>
        <v>202442</v>
      </c>
      <c r="T20" s="137">
        <f>TrRoad_act!T74</f>
        <v>196535</v>
      </c>
      <c r="U20" s="137">
        <f>TrRoad_act!U74</f>
        <v>186437</v>
      </c>
      <c r="V20" s="137">
        <f>TrRoad_act!V74</f>
        <v>173589</v>
      </c>
      <c r="W20" s="137">
        <f>TrRoad_act!W74</f>
        <v>161229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38366</v>
      </c>
      <c r="C21" s="84">
        <f>TrRoad_act!C75</f>
        <v>38366</v>
      </c>
      <c r="D21" s="84">
        <f>TrRoad_act!D75</f>
        <v>38364</v>
      </c>
      <c r="E21" s="84">
        <f>TrRoad_act!E75</f>
        <v>38343</v>
      </c>
      <c r="F21" s="84">
        <f>TrRoad_act!F75</f>
        <v>38135</v>
      </c>
      <c r="G21" s="84">
        <f>TrRoad_act!G75</f>
        <v>36120</v>
      </c>
      <c r="H21" s="84">
        <f>TrRoad_act!H75</f>
        <v>32617</v>
      </c>
      <c r="I21" s="84">
        <f>TrRoad_act!I75</f>
        <v>28912</v>
      </c>
      <c r="J21" s="84">
        <f>TrRoad_act!J75</f>
        <v>24665</v>
      </c>
      <c r="K21" s="84">
        <f>TrRoad_act!K75</f>
        <v>21421</v>
      </c>
      <c r="L21" s="84">
        <f>TrRoad_act!L75</f>
        <v>16463</v>
      </c>
      <c r="M21" s="84">
        <f>TrRoad_act!M75</f>
        <v>17649</v>
      </c>
      <c r="N21" s="84">
        <f>TrRoad_act!N75</f>
        <v>16629</v>
      </c>
      <c r="O21" s="84">
        <f>TrRoad_act!O75</f>
        <v>15608</v>
      </c>
      <c r="P21" s="84">
        <f>TrRoad_act!P75</f>
        <v>14588</v>
      </c>
      <c r="Q21" s="84">
        <f>TrRoad_act!Q75</f>
        <v>17568</v>
      </c>
      <c r="R21" s="84">
        <f>TrRoad_act!R75</f>
        <v>17583</v>
      </c>
      <c r="S21" s="84">
        <f>TrRoad_act!S75</f>
        <v>17564</v>
      </c>
      <c r="T21" s="84">
        <f>TrRoad_act!T75</f>
        <v>18029</v>
      </c>
      <c r="U21" s="84">
        <f>TrRoad_act!U75</f>
        <v>17606</v>
      </c>
      <c r="V21" s="84">
        <f>TrRoad_act!V75</f>
        <v>16969</v>
      </c>
      <c r="W21" s="84">
        <f>TrRoad_act!W75</f>
        <v>16280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102474</v>
      </c>
      <c r="C22" s="84">
        <f>TrRoad_act!C76</f>
        <v>94023</v>
      </c>
      <c r="D22" s="84">
        <f>TrRoad_act!D76</f>
        <v>92181</v>
      </c>
      <c r="E22" s="84">
        <f>TrRoad_act!E76</f>
        <v>98999</v>
      </c>
      <c r="F22" s="84">
        <f>TrRoad_act!F76</f>
        <v>117271</v>
      </c>
      <c r="G22" s="84">
        <f>TrRoad_act!G76</f>
        <v>115652</v>
      </c>
      <c r="H22" s="84">
        <f>TrRoad_act!H76</f>
        <v>139764</v>
      </c>
      <c r="I22" s="84">
        <f>TrRoad_act!I76</f>
        <v>164070</v>
      </c>
      <c r="J22" s="84">
        <f>TrRoad_act!J76</f>
        <v>177884</v>
      </c>
      <c r="K22" s="84">
        <f>TrRoad_act!K76</f>
        <v>188106</v>
      </c>
      <c r="L22" s="84">
        <f>TrRoad_act!L76</f>
        <v>188953</v>
      </c>
      <c r="M22" s="84">
        <f>TrRoad_act!M76</f>
        <v>207698</v>
      </c>
      <c r="N22" s="84">
        <f>TrRoad_act!N76</f>
        <v>212112</v>
      </c>
      <c r="O22" s="84">
        <f>TrRoad_act!O76</f>
        <v>213085</v>
      </c>
      <c r="P22" s="84">
        <f>TrRoad_act!P76</f>
        <v>215544</v>
      </c>
      <c r="Q22" s="84">
        <f>TrRoad_act!Q76</f>
        <v>230102</v>
      </c>
      <c r="R22" s="84">
        <f>TrRoad_act!R76</f>
        <v>223669</v>
      </c>
      <c r="S22" s="84">
        <f>TrRoad_act!S76</f>
        <v>183972</v>
      </c>
      <c r="T22" s="84">
        <f>TrRoad_act!T76</f>
        <v>176842</v>
      </c>
      <c r="U22" s="84">
        <f>TrRoad_act!U76</f>
        <v>166190</v>
      </c>
      <c r="V22" s="84">
        <f>TrRoad_act!V76</f>
        <v>153385</v>
      </c>
      <c r="W22" s="84">
        <f>TrRoad_act!W76</f>
        <v>140851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210</v>
      </c>
      <c r="S23" s="84">
        <f>TrRoad_act!S77</f>
        <v>690</v>
      </c>
      <c r="T23" s="84">
        <f>TrRoad_act!T77</f>
        <v>1364</v>
      </c>
      <c r="U23" s="84">
        <f>TrRoad_act!U77</f>
        <v>2205</v>
      </c>
      <c r="V23" s="84">
        <f>TrRoad_act!V77</f>
        <v>2706</v>
      </c>
      <c r="W23" s="84">
        <f>TrRoad_act!W77</f>
        <v>3497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81</v>
      </c>
      <c r="S24" s="84">
        <f>TrRoad_act!S78</f>
        <v>152</v>
      </c>
      <c r="T24" s="84">
        <f>TrRoad_act!T78</f>
        <v>223</v>
      </c>
      <c r="U24" s="84">
        <f>TrRoad_act!U78</f>
        <v>331</v>
      </c>
      <c r="V24" s="84">
        <f>TrRoad_act!V78</f>
        <v>411</v>
      </c>
      <c r="W24" s="84">
        <f>TrRoad_act!W78</f>
        <v>474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32</v>
      </c>
      <c r="O25" s="84">
        <f>TrRoad_act!O79</f>
        <v>33</v>
      </c>
      <c r="P25" s="84">
        <f>TrRoad_act!P79</f>
        <v>34</v>
      </c>
      <c r="Q25" s="84">
        <f>TrRoad_act!Q79</f>
        <v>43</v>
      </c>
      <c r="R25" s="84">
        <f>TrRoad_act!R79</f>
        <v>58</v>
      </c>
      <c r="S25" s="84">
        <f>TrRoad_act!S79</f>
        <v>64</v>
      </c>
      <c r="T25" s="84">
        <f>TrRoad_act!T79</f>
        <v>77</v>
      </c>
      <c r="U25" s="84">
        <f>TrRoad_act!U79</f>
        <v>105</v>
      </c>
      <c r="V25" s="84">
        <f>TrRoad_act!V79</f>
        <v>118</v>
      </c>
      <c r="W25" s="84">
        <f>TrRoad_act!W79</f>
        <v>127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19140</v>
      </c>
      <c r="C26" s="110">
        <f>TrRoad_act!C80</f>
        <v>20594</v>
      </c>
      <c r="D26" s="110">
        <f>TrRoad_act!D80</f>
        <v>22748</v>
      </c>
      <c r="E26" s="110">
        <f>TrRoad_act!E80</f>
        <v>31960</v>
      </c>
      <c r="F26" s="110">
        <f>TrRoad_act!F80</f>
        <v>38830</v>
      </c>
      <c r="G26" s="110">
        <f>TrRoad_act!G80</f>
        <v>41488</v>
      </c>
      <c r="H26" s="110">
        <f>TrRoad_act!H80</f>
        <v>45784</v>
      </c>
      <c r="I26" s="110">
        <f>TrRoad_act!I80</f>
        <v>44097</v>
      </c>
      <c r="J26" s="110">
        <f>TrRoad_act!J80</f>
        <v>48340</v>
      </c>
      <c r="K26" s="110">
        <f>TrRoad_act!K80</f>
        <v>45738</v>
      </c>
      <c r="L26" s="110">
        <f>TrRoad_act!L80</f>
        <v>44673</v>
      </c>
      <c r="M26" s="110">
        <f>TrRoad_act!M80</f>
        <v>44881</v>
      </c>
      <c r="N26" s="110">
        <f>TrRoad_act!N80</f>
        <v>43328</v>
      </c>
      <c r="O26" s="110">
        <f>TrRoad_act!O80</f>
        <v>43360</v>
      </c>
      <c r="P26" s="110">
        <f>TrRoad_act!P80</f>
        <v>41568</v>
      </c>
      <c r="Q26" s="110">
        <f>TrRoad_act!Q80</f>
        <v>42701</v>
      </c>
      <c r="R26" s="110">
        <f>TrRoad_act!R80</f>
        <v>45925</v>
      </c>
      <c r="S26" s="110">
        <f>TrRoad_act!S80</f>
        <v>49030</v>
      </c>
      <c r="T26" s="110">
        <f>TrRoad_act!T80</f>
        <v>61205</v>
      </c>
      <c r="U26" s="110">
        <f>TrRoad_act!U80</f>
        <v>71593</v>
      </c>
      <c r="V26" s="110">
        <f>TrRoad_act!V80</f>
        <v>69565</v>
      </c>
      <c r="W26" s="110">
        <f>TrRoad_act!W80</f>
        <v>73227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15590</v>
      </c>
      <c r="C27" s="102">
        <f>TrRoad_act!C81</f>
        <v>16788</v>
      </c>
      <c r="D27" s="102">
        <f>TrRoad_act!D81</f>
        <v>18743</v>
      </c>
      <c r="E27" s="102">
        <f>TrRoad_act!E81</f>
        <v>27867</v>
      </c>
      <c r="F27" s="102">
        <f>TrRoad_act!F81</f>
        <v>33990</v>
      </c>
      <c r="G27" s="102">
        <f>TrRoad_act!G81</f>
        <v>36478</v>
      </c>
      <c r="H27" s="102">
        <f>TrRoad_act!H81</f>
        <v>41469</v>
      </c>
      <c r="I27" s="102">
        <f>TrRoad_act!I81</f>
        <v>40305</v>
      </c>
      <c r="J27" s="102">
        <f>TrRoad_act!J81</f>
        <v>46102</v>
      </c>
      <c r="K27" s="102">
        <f>TrRoad_act!K81</f>
        <v>43647</v>
      </c>
      <c r="L27" s="102">
        <f>TrRoad_act!L81</f>
        <v>42371</v>
      </c>
      <c r="M27" s="102">
        <f>TrRoad_act!M81</f>
        <v>42208</v>
      </c>
      <c r="N27" s="102">
        <f>TrRoad_act!N81</f>
        <v>40838</v>
      </c>
      <c r="O27" s="102">
        <f>TrRoad_act!O81</f>
        <v>40221</v>
      </c>
      <c r="P27" s="102">
        <f>TrRoad_act!P81</f>
        <v>38641</v>
      </c>
      <c r="Q27" s="102">
        <f>TrRoad_act!Q81</f>
        <v>39335</v>
      </c>
      <c r="R27" s="102">
        <f>TrRoad_act!R81</f>
        <v>42673</v>
      </c>
      <c r="S27" s="102">
        <f>TrRoad_act!S81</f>
        <v>45925</v>
      </c>
      <c r="T27" s="102">
        <f>TrRoad_act!T81</f>
        <v>58372</v>
      </c>
      <c r="U27" s="102">
        <f>TrRoad_act!U81</f>
        <v>69101</v>
      </c>
      <c r="V27" s="102">
        <f>TrRoad_act!V81</f>
        <v>66519</v>
      </c>
      <c r="W27" s="102">
        <f>TrRoad_act!W81</f>
        <v>69676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3550</v>
      </c>
      <c r="C28" s="86">
        <f>TrRoad_act!C82</f>
        <v>3806</v>
      </c>
      <c r="D28" s="86">
        <f>TrRoad_act!D82</f>
        <v>4005</v>
      </c>
      <c r="E28" s="86">
        <f>TrRoad_act!E82</f>
        <v>4093</v>
      </c>
      <c r="F28" s="86">
        <f>TrRoad_act!F82</f>
        <v>4840</v>
      </c>
      <c r="G28" s="86">
        <f>TrRoad_act!G82</f>
        <v>5010</v>
      </c>
      <c r="H28" s="86">
        <f>TrRoad_act!H82</f>
        <v>4315</v>
      </c>
      <c r="I28" s="86">
        <f>TrRoad_act!I82</f>
        <v>3792</v>
      </c>
      <c r="J28" s="86">
        <f>TrRoad_act!J82</f>
        <v>2238</v>
      </c>
      <c r="K28" s="86">
        <f>TrRoad_act!K82</f>
        <v>2091</v>
      </c>
      <c r="L28" s="86">
        <f>TrRoad_act!L82</f>
        <v>2302</v>
      </c>
      <c r="M28" s="86">
        <f>TrRoad_act!M82</f>
        <v>2673</v>
      </c>
      <c r="N28" s="86">
        <f>TrRoad_act!N82</f>
        <v>2490</v>
      </c>
      <c r="O28" s="86">
        <f>TrRoad_act!O82</f>
        <v>3139</v>
      </c>
      <c r="P28" s="86">
        <f>TrRoad_act!P82</f>
        <v>2927</v>
      </c>
      <c r="Q28" s="86">
        <f>TrRoad_act!Q82</f>
        <v>3366</v>
      </c>
      <c r="R28" s="86">
        <f>TrRoad_act!R82</f>
        <v>3252</v>
      </c>
      <c r="S28" s="86">
        <f>TrRoad_act!S82</f>
        <v>3105</v>
      </c>
      <c r="T28" s="86">
        <f>TrRoad_act!T82</f>
        <v>2833</v>
      </c>
      <c r="U28" s="86">
        <f>TrRoad_act!U82</f>
        <v>2492</v>
      </c>
      <c r="V28" s="86">
        <f>TrRoad_act!V82</f>
        <v>3046</v>
      </c>
      <c r="W28" s="86">
        <f>TrRoad_act!W82</f>
        <v>3551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108434</v>
      </c>
      <c r="C30" s="54">
        <f>TrRoad_act!C111</f>
        <v>137047</v>
      </c>
      <c r="D30" s="54">
        <f>TrRoad_act!D111</f>
        <v>154748</v>
      </c>
      <c r="E30" s="54">
        <f>TrRoad_act!E111</f>
        <v>244299</v>
      </c>
      <c r="F30" s="54">
        <f>TrRoad_act!F111</f>
        <v>250191</v>
      </c>
      <c r="G30" s="54">
        <f>TrRoad_act!G111</f>
        <v>184901.99999999997</v>
      </c>
      <c r="H30" s="54">
        <f>TrRoad_act!H111</f>
        <v>271960</v>
      </c>
      <c r="I30" s="54">
        <f>TrRoad_act!I111</f>
        <v>404630</v>
      </c>
      <c r="J30" s="54">
        <f>TrRoad_act!J111</f>
        <v>379686</v>
      </c>
      <c r="K30" s="54">
        <f>TrRoad_act!K111</f>
        <v>244958</v>
      </c>
      <c r="L30" s="54">
        <f>TrRoad_act!L111</f>
        <v>222698</v>
      </c>
      <c r="M30" s="54">
        <f>TrRoad_act!M111</f>
        <v>365538</v>
      </c>
      <c r="N30" s="54">
        <f>TrRoad_act!N111</f>
        <v>242983</v>
      </c>
      <c r="O30" s="54">
        <f>TrRoad_act!O111</f>
        <v>251430.99999999997</v>
      </c>
      <c r="P30" s="54">
        <f>TrRoad_act!P111</f>
        <v>254823</v>
      </c>
      <c r="Q30" s="54">
        <f>TrRoad_act!Q111</f>
        <v>325928</v>
      </c>
      <c r="R30" s="54">
        <f>TrRoad_act!R111</f>
        <v>224180</v>
      </c>
      <c r="S30" s="54">
        <f>TrRoad_act!S111</f>
        <v>176866</v>
      </c>
      <c r="T30" s="54">
        <f>TrRoad_act!T111</f>
        <v>226204</v>
      </c>
      <c r="U30" s="54">
        <f>TrRoad_act!U111</f>
        <v>206170</v>
      </c>
      <c r="V30" s="54">
        <f>TrRoad_act!V111</f>
        <v>181193</v>
      </c>
      <c r="W30" s="54">
        <f>TrRoad_act!W111</f>
        <v>168389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108079</v>
      </c>
      <c r="C31" s="28">
        <f>TrRoad_act!C112</f>
        <v>131604</v>
      </c>
      <c r="D31" s="28">
        <f>TrRoad_act!D112</f>
        <v>148335</v>
      </c>
      <c r="E31" s="28">
        <f>TrRoad_act!E112</f>
        <v>218433</v>
      </c>
      <c r="F31" s="28">
        <f>TrRoad_act!F112</f>
        <v>211987</v>
      </c>
      <c r="G31" s="28">
        <f>TrRoad_act!G112</f>
        <v>171928.99999999997</v>
      </c>
      <c r="H31" s="28">
        <f>TrRoad_act!H112</f>
        <v>234450</v>
      </c>
      <c r="I31" s="28">
        <f>TrRoad_act!I112</f>
        <v>370382</v>
      </c>
      <c r="J31" s="28">
        <f>TrRoad_act!J112</f>
        <v>350171</v>
      </c>
      <c r="K31" s="28">
        <f>TrRoad_act!K112</f>
        <v>222082</v>
      </c>
      <c r="L31" s="28">
        <f>TrRoad_act!L112</f>
        <v>209209</v>
      </c>
      <c r="M31" s="28">
        <f>TrRoad_act!M112</f>
        <v>330948</v>
      </c>
      <c r="N31" s="28">
        <f>TrRoad_act!N112</f>
        <v>222854</v>
      </c>
      <c r="O31" s="28">
        <f>TrRoad_act!O112</f>
        <v>233717.99999999997</v>
      </c>
      <c r="P31" s="28">
        <f>TrRoad_act!P112</f>
        <v>236448</v>
      </c>
      <c r="Q31" s="28">
        <f>TrRoad_act!Q112</f>
        <v>287968</v>
      </c>
      <c r="R31" s="28">
        <f>TrRoad_act!R112</f>
        <v>190333</v>
      </c>
      <c r="S31" s="28">
        <f>TrRoad_act!S112</f>
        <v>147069</v>
      </c>
      <c r="T31" s="28">
        <f>TrRoad_act!T112</f>
        <v>185800</v>
      </c>
      <c r="U31" s="28">
        <f>TrRoad_act!U112</f>
        <v>177534</v>
      </c>
      <c r="V31" s="28">
        <f>TrRoad_act!V112</f>
        <v>161197</v>
      </c>
      <c r="W31" s="28">
        <f>TrRoad_act!W112</f>
        <v>148214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1514</v>
      </c>
      <c r="C32" s="137">
        <f>TrRoad_act!C113</f>
        <v>2923</v>
      </c>
      <c r="D32" s="137">
        <f>TrRoad_act!D113</f>
        <v>3901</v>
      </c>
      <c r="E32" s="137">
        <f>TrRoad_act!E113</f>
        <v>4899</v>
      </c>
      <c r="F32" s="137">
        <f>TrRoad_act!F113</f>
        <v>1002</v>
      </c>
      <c r="G32" s="137">
        <f>TrRoad_act!G113</f>
        <v>1759</v>
      </c>
      <c r="H32" s="137">
        <f>TrRoad_act!H113</f>
        <v>1939</v>
      </c>
      <c r="I32" s="137">
        <f>TrRoad_act!I113</f>
        <v>19922</v>
      </c>
      <c r="J32" s="137">
        <f>TrRoad_act!J113</f>
        <v>23512</v>
      </c>
      <c r="K32" s="137">
        <f>TrRoad_act!K113</f>
        <v>16097</v>
      </c>
      <c r="L32" s="137">
        <f>TrRoad_act!L113</f>
        <v>12535</v>
      </c>
      <c r="M32" s="137">
        <f>TrRoad_act!M113</f>
        <v>10848</v>
      </c>
      <c r="N32" s="137">
        <f>TrRoad_act!N113</f>
        <v>13070</v>
      </c>
      <c r="O32" s="137">
        <f>TrRoad_act!O113</f>
        <v>13358</v>
      </c>
      <c r="P32" s="137">
        <f>TrRoad_act!P113</f>
        <v>11946</v>
      </c>
      <c r="Q32" s="137">
        <f>TrRoad_act!Q113</f>
        <v>14177</v>
      </c>
      <c r="R32" s="137">
        <f>TrRoad_act!R113</f>
        <v>14214</v>
      </c>
      <c r="S32" s="137">
        <f>TrRoad_act!S113</f>
        <v>15427</v>
      </c>
      <c r="T32" s="137">
        <f>TrRoad_act!T113</f>
        <v>15476</v>
      </c>
      <c r="U32" s="137">
        <f>TrRoad_act!U113</f>
        <v>15655</v>
      </c>
      <c r="V32" s="137">
        <f>TrRoad_act!V113</f>
        <v>13345</v>
      </c>
      <c r="W32" s="137">
        <f>TrRoad_act!W113</f>
        <v>12700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106553</v>
      </c>
      <c r="C33" s="110">
        <f>TrRoad_act!C114</f>
        <v>127333</v>
      </c>
      <c r="D33" s="110">
        <f>TrRoad_act!D114</f>
        <v>141512</v>
      </c>
      <c r="E33" s="110">
        <f>TrRoad_act!E114</f>
        <v>213480</v>
      </c>
      <c r="F33" s="110">
        <f>TrRoad_act!F114</f>
        <v>210803</v>
      </c>
      <c r="G33" s="110">
        <f>TrRoad_act!G114</f>
        <v>168101.99999999997</v>
      </c>
      <c r="H33" s="110">
        <f>TrRoad_act!H114</f>
        <v>232095</v>
      </c>
      <c r="I33" s="110">
        <f>TrRoad_act!I114</f>
        <v>348887</v>
      </c>
      <c r="J33" s="110">
        <f>TrRoad_act!J114</f>
        <v>326595</v>
      </c>
      <c r="K33" s="110">
        <f>TrRoad_act!K114</f>
        <v>204454</v>
      </c>
      <c r="L33" s="110">
        <f>TrRoad_act!L114</f>
        <v>195380</v>
      </c>
      <c r="M33" s="110">
        <f>TrRoad_act!M114</f>
        <v>318955</v>
      </c>
      <c r="N33" s="110">
        <f>TrRoad_act!N114</f>
        <v>208768</v>
      </c>
      <c r="O33" s="110">
        <f>TrRoad_act!O114</f>
        <v>219018.99999999997</v>
      </c>
      <c r="P33" s="110">
        <f>TrRoad_act!P114</f>
        <v>223486</v>
      </c>
      <c r="Q33" s="110">
        <f>TrRoad_act!Q114</f>
        <v>272521</v>
      </c>
      <c r="R33" s="110">
        <f>TrRoad_act!R114</f>
        <v>175957</v>
      </c>
      <c r="S33" s="110">
        <f>TrRoad_act!S114</f>
        <v>131365</v>
      </c>
      <c r="T33" s="110">
        <f>TrRoad_act!T114</f>
        <v>169891</v>
      </c>
      <c r="U33" s="110">
        <f>TrRoad_act!U114</f>
        <v>161284</v>
      </c>
      <c r="V33" s="110">
        <f>TrRoad_act!V114</f>
        <v>146971</v>
      </c>
      <c r="W33" s="110">
        <f>TrRoad_act!W114</f>
        <v>134799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28553</v>
      </c>
      <c r="C34" s="84">
        <f>TrRoad_act!C115</f>
        <v>985</v>
      </c>
      <c r="D34" s="84">
        <f>TrRoad_act!D115</f>
        <v>21761</v>
      </c>
      <c r="E34" s="84">
        <f>TrRoad_act!E115</f>
        <v>49538</v>
      </c>
      <c r="F34" s="84">
        <f>TrRoad_act!F115</f>
        <v>55920</v>
      </c>
      <c r="G34" s="84">
        <f>TrRoad_act!G115</f>
        <v>28690.999999999971</v>
      </c>
      <c r="H34" s="84">
        <f>TrRoad_act!H115</f>
        <v>72028</v>
      </c>
      <c r="I34" s="84">
        <f>TrRoad_act!I115</f>
        <v>192741</v>
      </c>
      <c r="J34" s="84">
        <f>TrRoad_act!J115</f>
        <v>184126</v>
      </c>
      <c r="K34" s="84">
        <f>TrRoad_act!K115</f>
        <v>76157</v>
      </c>
      <c r="L34" s="84">
        <f>TrRoad_act!L115</f>
        <v>57548</v>
      </c>
      <c r="M34" s="84">
        <f>TrRoad_act!M115</f>
        <v>90508</v>
      </c>
      <c r="N34" s="84">
        <f>TrRoad_act!N115</f>
        <v>56519</v>
      </c>
      <c r="O34" s="84">
        <f>TrRoad_act!O115</f>
        <v>59859.999999999971</v>
      </c>
      <c r="P34" s="84">
        <f>TrRoad_act!P115</f>
        <v>35244</v>
      </c>
      <c r="Q34" s="84">
        <f>TrRoad_act!Q115</f>
        <v>56404</v>
      </c>
      <c r="R34" s="84">
        <f>TrRoad_act!R115</f>
        <v>47379</v>
      </c>
      <c r="S34" s="84">
        <f>TrRoad_act!S115</f>
        <v>36482</v>
      </c>
      <c r="T34" s="84">
        <f>TrRoad_act!T115</f>
        <v>52169</v>
      </c>
      <c r="U34" s="84">
        <f>TrRoad_act!U115</f>
        <v>48517</v>
      </c>
      <c r="V34" s="84">
        <f>TrRoad_act!V115</f>
        <v>45121</v>
      </c>
      <c r="W34" s="84">
        <f>TrRoad_act!W115</f>
        <v>41963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30000</v>
      </c>
      <c r="C35" s="84">
        <f>TrRoad_act!C116</f>
        <v>10763</v>
      </c>
      <c r="D35" s="84">
        <f>TrRoad_act!D116</f>
        <v>36837</v>
      </c>
      <c r="E35" s="84">
        <f>TrRoad_act!E116</f>
        <v>108331</v>
      </c>
      <c r="F35" s="84">
        <f>TrRoad_act!F116</f>
        <v>101489</v>
      </c>
      <c r="G35" s="84">
        <f>TrRoad_act!G116</f>
        <v>18332</v>
      </c>
      <c r="H35" s="84">
        <f>TrRoad_act!H116</f>
        <v>106250</v>
      </c>
      <c r="I35" s="84">
        <f>TrRoad_act!I116</f>
        <v>145225</v>
      </c>
      <c r="J35" s="84">
        <f>TrRoad_act!J116</f>
        <v>142469</v>
      </c>
      <c r="K35" s="84">
        <f>TrRoad_act!K116</f>
        <v>110805</v>
      </c>
      <c r="L35" s="84">
        <f>TrRoad_act!L116</f>
        <v>35148</v>
      </c>
      <c r="M35" s="84">
        <f>TrRoad_act!M116</f>
        <v>207678</v>
      </c>
      <c r="N35" s="84">
        <f>TrRoad_act!N116</f>
        <v>54049</v>
      </c>
      <c r="O35" s="84">
        <f>TrRoad_act!O116</f>
        <v>50228</v>
      </c>
      <c r="P35" s="84">
        <f>TrRoad_act!P116</f>
        <v>46793</v>
      </c>
      <c r="Q35" s="84">
        <f>TrRoad_act!Q116</f>
        <v>121103</v>
      </c>
      <c r="R35" s="84">
        <f>TrRoad_act!R116</f>
        <v>77508</v>
      </c>
      <c r="S35" s="84">
        <f>TrRoad_act!S116</f>
        <v>59680</v>
      </c>
      <c r="T35" s="84">
        <f>TrRoad_act!T116</f>
        <v>85343</v>
      </c>
      <c r="U35" s="84">
        <f>TrRoad_act!U116</f>
        <v>79369</v>
      </c>
      <c r="V35" s="84">
        <f>TrRoad_act!V116</f>
        <v>73817</v>
      </c>
      <c r="W35" s="84">
        <f>TrRoad_act!W116</f>
        <v>68660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48000</v>
      </c>
      <c r="C36" s="84">
        <f>TrRoad_act!C117</f>
        <v>115585</v>
      </c>
      <c r="D36" s="84">
        <f>TrRoad_act!D117</f>
        <v>82914</v>
      </c>
      <c r="E36" s="84">
        <f>TrRoad_act!E117</f>
        <v>55611</v>
      </c>
      <c r="F36" s="84">
        <f>TrRoad_act!F117</f>
        <v>47694</v>
      </c>
      <c r="G36" s="84">
        <f>TrRoad_act!G117</f>
        <v>106139</v>
      </c>
      <c r="H36" s="84">
        <f>TrRoad_act!H117</f>
        <v>48527</v>
      </c>
      <c r="I36" s="84">
        <f>TrRoad_act!I117</f>
        <v>0</v>
      </c>
      <c r="J36" s="84">
        <f>TrRoad_act!J117</f>
        <v>0</v>
      </c>
      <c r="K36" s="84">
        <f>TrRoad_act!K117</f>
        <v>3275</v>
      </c>
      <c r="L36" s="84">
        <f>TrRoad_act!L117</f>
        <v>79521</v>
      </c>
      <c r="M36" s="84">
        <f>TrRoad_act!M117</f>
        <v>20180</v>
      </c>
      <c r="N36" s="84">
        <f>TrRoad_act!N117</f>
        <v>91954</v>
      </c>
      <c r="O36" s="84">
        <f>TrRoad_act!O117</f>
        <v>103029</v>
      </c>
      <c r="P36" s="84">
        <f>TrRoad_act!P117</f>
        <v>112776</v>
      </c>
      <c r="Q36" s="84">
        <f>TrRoad_act!Q117</f>
        <v>94252</v>
      </c>
      <c r="R36" s="84">
        <f>TrRoad_act!R117</f>
        <v>50896</v>
      </c>
      <c r="S36" s="84">
        <f>TrRoad_act!S117</f>
        <v>34100</v>
      </c>
      <c r="T36" s="84">
        <f>TrRoad_act!T117</f>
        <v>28303</v>
      </c>
      <c r="U36" s="84">
        <f>TrRoad_act!U117</f>
        <v>26322</v>
      </c>
      <c r="V36" s="84">
        <f>TrRoad_act!V117</f>
        <v>24479</v>
      </c>
      <c r="W36" s="84">
        <f>TrRoad_act!W117</f>
        <v>22765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5700</v>
      </c>
      <c r="G37" s="84">
        <f>TrRoad_act!G118</f>
        <v>14940</v>
      </c>
      <c r="H37" s="84">
        <f>TrRoad_act!H118</f>
        <v>5290</v>
      </c>
      <c r="I37" s="84">
        <f>TrRoad_act!I118</f>
        <v>10921</v>
      </c>
      <c r="J37" s="84">
        <f>TrRoad_act!J118</f>
        <v>0</v>
      </c>
      <c r="K37" s="84">
        <f>TrRoad_act!K118</f>
        <v>14217</v>
      </c>
      <c r="L37" s="84">
        <f>TrRoad_act!L118</f>
        <v>23163</v>
      </c>
      <c r="M37" s="84">
        <f>TrRoad_act!M118</f>
        <v>589</v>
      </c>
      <c r="N37" s="84">
        <f>TrRoad_act!N118</f>
        <v>6242</v>
      </c>
      <c r="O37" s="84">
        <f>TrRoad_act!O118</f>
        <v>5902</v>
      </c>
      <c r="P37" s="84">
        <f>TrRoad_act!P118</f>
        <v>28671</v>
      </c>
      <c r="Q37" s="84">
        <f>TrRoad_act!Q118</f>
        <v>744</v>
      </c>
      <c r="R37" s="84">
        <f>TrRoad_act!R118</f>
        <v>93</v>
      </c>
      <c r="S37" s="84">
        <f>TrRoad_act!S118</f>
        <v>893</v>
      </c>
      <c r="T37" s="84">
        <f>TrRoad_act!T118</f>
        <v>3633</v>
      </c>
      <c r="U37" s="84">
        <f>TrRoad_act!U118</f>
        <v>6343</v>
      </c>
      <c r="V37" s="84">
        <f>TrRoad_act!V118</f>
        <v>2654</v>
      </c>
      <c r="W37" s="84">
        <f>TrRoad_act!W118</f>
        <v>329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</v>
      </c>
      <c r="O38" s="84">
        <f>TrRoad_act!O119</f>
        <v>0</v>
      </c>
      <c r="P38" s="84">
        <f>TrRoad_act!P119</f>
        <v>2</v>
      </c>
      <c r="Q38" s="84">
        <f>TrRoad_act!Q119</f>
        <v>18</v>
      </c>
      <c r="R38" s="84">
        <f>TrRoad_act!R119</f>
        <v>40</v>
      </c>
      <c r="S38" s="84">
        <f>TrRoad_act!S119</f>
        <v>100</v>
      </c>
      <c r="T38" s="84">
        <f>TrRoad_act!T119</f>
        <v>119</v>
      </c>
      <c r="U38" s="84">
        <f>TrRoad_act!U119</f>
        <v>411</v>
      </c>
      <c r="V38" s="84">
        <f>TrRoad_act!V119</f>
        <v>292</v>
      </c>
      <c r="W38" s="84">
        <f>TrRoad_act!W119</f>
        <v>521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0</v>
      </c>
      <c r="P39" s="84">
        <f>TrRoad_act!P120</f>
        <v>0</v>
      </c>
      <c r="Q39" s="84">
        <f>TrRoad_act!Q120</f>
        <v>0</v>
      </c>
      <c r="R39" s="84">
        <f>TrRoad_act!R120</f>
        <v>41</v>
      </c>
      <c r="S39" s="84">
        <f>TrRoad_act!S120</f>
        <v>110</v>
      </c>
      <c r="T39" s="84">
        <f>TrRoad_act!T120</f>
        <v>324</v>
      </c>
      <c r="U39" s="84">
        <f>TrRoad_act!U120</f>
        <v>322</v>
      </c>
      <c r="V39" s="84">
        <f>TrRoad_act!V120</f>
        <v>608</v>
      </c>
      <c r="W39" s="84">
        <f>TrRoad_act!W120</f>
        <v>561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</v>
      </c>
      <c r="C40" s="110">
        <f>TrRoad_act!C121</f>
        <v>1348</v>
      </c>
      <c r="D40" s="110">
        <f>TrRoad_act!D121</f>
        <v>2922</v>
      </c>
      <c r="E40" s="110">
        <f>TrRoad_act!E121</f>
        <v>54</v>
      </c>
      <c r="F40" s="110">
        <f>TrRoad_act!F121</f>
        <v>182</v>
      </c>
      <c r="G40" s="110">
        <f>TrRoad_act!G121</f>
        <v>2068</v>
      </c>
      <c r="H40" s="110">
        <f>TrRoad_act!H121</f>
        <v>416</v>
      </c>
      <c r="I40" s="110">
        <f>TrRoad_act!I121</f>
        <v>1573</v>
      </c>
      <c r="J40" s="110">
        <f>TrRoad_act!J121</f>
        <v>64</v>
      </c>
      <c r="K40" s="110">
        <f>TrRoad_act!K121</f>
        <v>1531</v>
      </c>
      <c r="L40" s="110">
        <f>TrRoad_act!L121</f>
        <v>1294</v>
      </c>
      <c r="M40" s="110">
        <f>TrRoad_act!M121</f>
        <v>1145</v>
      </c>
      <c r="N40" s="110">
        <f>TrRoad_act!N121</f>
        <v>1016</v>
      </c>
      <c r="O40" s="110">
        <f>TrRoad_act!O121</f>
        <v>1341</v>
      </c>
      <c r="P40" s="110">
        <f>TrRoad_act!P121</f>
        <v>1016</v>
      </c>
      <c r="Q40" s="110">
        <f>TrRoad_act!Q121</f>
        <v>1270</v>
      </c>
      <c r="R40" s="110">
        <f>TrRoad_act!R121</f>
        <v>162</v>
      </c>
      <c r="S40" s="110">
        <f>TrRoad_act!S121</f>
        <v>277</v>
      </c>
      <c r="T40" s="110">
        <f>TrRoad_act!T121</f>
        <v>433</v>
      </c>
      <c r="U40" s="110">
        <f>TrRoad_act!U121</f>
        <v>595</v>
      </c>
      <c r="V40" s="110">
        <f>TrRoad_act!V121</f>
        <v>881</v>
      </c>
      <c r="W40" s="110">
        <f>TrRoad_act!W121</f>
        <v>715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</v>
      </c>
      <c r="C42" s="102">
        <f>TrRoad_act!C123</f>
        <v>1348</v>
      </c>
      <c r="D42" s="102">
        <f>TrRoad_act!D123</f>
        <v>2922</v>
      </c>
      <c r="E42" s="102">
        <f>TrRoad_act!E123</f>
        <v>54</v>
      </c>
      <c r="F42" s="102">
        <f>TrRoad_act!F123</f>
        <v>82</v>
      </c>
      <c r="G42" s="102">
        <f>TrRoad_act!G123</f>
        <v>1909</v>
      </c>
      <c r="H42" s="102">
        <f>TrRoad_act!H123</f>
        <v>204</v>
      </c>
      <c r="I42" s="102">
        <f>TrRoad_act!I123</f>
        <v>1340</v>
      </c>
      <c r="J42" s="102">
        <f>TrRoad_act!J123</f>
        <v>50</v>
      </c>
      <c r="K42" s="102">
        <f>TrRoad_act!K123</f>
        <v>1265</v>
      </c>
      <c r="L42" s="102">
        <f>TrRoad_act!L123</f>
        <v>916</v>
      </c>
      <c r="M42" s="102">
        <f>TrRoad_act!M123</f>
        <v>1140</v>
      </c>
      <c r="N42" s="102">
        <f>TrRoad_act!N123</f>
        <v>980</v>
      </c>
      <c r="O42" s="102">
        <f>TrRoad_act!O123</f>
        <v>24</v>
      </c>
      <c r="P42" s="102">
        <f>TrRoad_act!P123</f>
        <v>700</v>
      </c>
      <c r="Q42" s="102">
        <f>TrRoad_act!Q123</f>
        <v>1119</v>
      </c>
      <c r="R42" s="102">
        <f>TrRoad_act!R123</f>
        <v>162</v>
      </c>
      <c r="S42" s="102">
        <f>TrRoad_act!S123</f>
        <v>247</v>
      </c>
      <c r="T42" s="102">
        <f>TrRoad_act!T123</f>
        <v>239</v>
      </c>
      <c r="U42" s="102">
        <f>TrRoad_act!U123</f>
        <v>233</v>
      </c>
      <c r="V42" s="102">
        <f>TrRoad_act!V123</f>
        <v>481</v>
      </c>
      <c r="W42" s="102">
        <f>TrRoad_act!W123</f>
        <v>218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100</v>
      </c>
      <c r="G44" s="102">
        <f>TrRoad_act!G125</f>
        <v>159</v>
      </c>
      <c r="H44" s="102">
        <f>TrRoad_act!H125</f>
        <v>212</v>
      </c>
      <c r="I44" s="102">
        <f>TrRoad_act!I125</f>
        <v>233</v>
      </c>
      <c r="J44" s="102">
        <f>TrRoad_act!J125</f>
        <v>5</v>
      </c>
      <c r="K44" s="102">
        <f>TrRoad_act!K125</f>
        <v>250</v>
      </c>
      <c r="L44" s="102">
        <f>TrRoad_act!L125</f>
        <v>353</v>
      </c>
      <c r="M44" s="102">
        <f>TrRoad_act!M125</f>
        <v>0</v>
      </c>
      <c r="N44" s="102">
        <f>TrRoad_act!N125</f>
        <v>31</v>
      </c>
      <c r="O44" s="102">
        <f>TrRoad_act!O125</f>
        <v>909</v>
      </c>
      <c r="P44" s="102">
        <f>TrRoad_act!P125</f>
        <v>166</v>
      </c>
      <c r="Q44" s="102">
        <f>TrRoad_act!Q125</f>
        <v>104</v>
      </c>
      <c r="R44" s="102">
        <f>TrRoad_act!R125</f>
        <v>0</v>
      </c>
      <c r="S44" s="102">
        <f>TrRoad_act!S125</f>
        <v>30</v>
      </c>
      <c r="T44" s="102">
        <f>TrRoad_act!T125</f>
        <v>180</v>
      </c>
      <c r="U44" s="102">
        <f>TrRoad_act!U125</f>
        <v>346</v>
      </c>
      <c r="V44" s="102">
        <f>TrRoad_act!V125</f>
        <v>386</v>
      </c>
      <c r="W44" s="102">
        <f>TrRoad_act!W125</f>
        <v>428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9</v>
      </c>
      <c r="K45" s="102">
        <f>TrRoad_act!K126</f>
        <v>16</v>
      </c>
      <c r="L45" s="102">
        <f>TrRoad_act!L126</f>
        <v>25</v>
      </c>
      <c r="M45" s="102">
        <f>TrRoad_act!M126</f>
        <v>5</v>
      </c>
      <c r="N45" s="102">
        <f>TrRoad_act!N126</f>
        <v>5</v>
      </c>
      <c r="O45" s="102">
        <f>TrRoad_act!O126</f>
        <v>408</v>
      </c>
      <c r="P45" s="102">
        <f>TrRoad_act!P126</f>
        <v>150</v>
      </c>
      <c r="Q45" s="102">
        <f>TrRoad_act!Q126</f>
        <v>47</v>
      </c>
      <c r="R45" s="102">
        <f>TrRoad_act!R126</f>
        <v>0</v>
      </c>
      <c r="S45" s="102">
        <f>TrRoad_act!S126</f>
        <v>0</v>
      </c>
      <c r="T45" s="102">
        <f>TrRoad_act!T126</f>
        <v>14</v>
      </c>
      <c r="U45" s="102">
        <f>TrRoad_act!U126</f>
        <v>16</v>
      </c>
      <c r="V45" s="102">
        <f>TrRoad_act!V126</f>
        <v>14</v>
      </c>
      <c r="W45" s="102">
        <f>TrRoad_act!W126</f>
        <v>69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355</v>
      </c>
      <c r="C46" s="28">
        <f>TrRoad_act!C127</f>
        <v>5443</v>
      </c>
      <c r="D46" s="28">
        <f>TrRoad_act!D127</f>
        <v>6413</v>
      </c>
      <c r="E46" s="28">
        <f>TrRoad_act!E127</f>
        <v>25866</v>
      </c>
      <c r="F46" s="28">
        <f>TrRoad_act!F127</f>
        <v>38204</v>
      </c>
      <c r="G46" s="28">
        <f>TrRoad_act!G127</f>
        <v>12973</v>
      </c>
      <c r="H46" s="28">
        <f>TrRoad_act!H127</f>
        <v>37510</v>
      </c>
      <c r="I46" s="28">
        <f>TrRoad_act!I127</f>
        <v>34248</v>
      </c>
      <c r="J46" s="28">
        <f>TrRoad_act!J127</f>
        <v>29515</v>
      </c>
      <c r="K46" s="28">
        <f>TrRoad_act!K127</f>
        <v>22876</v>
      </c>
      <c r="L46" s="28">
        <f>TrRoad_act!L127</f>
        <v>13489</v>
      </c>
      <c r="M46" s="28">
        <f>TrRoad_act!M127</f>
        <v>34590</v>
      </c>
      <c r="N46" s="28">
        <f>TrRoad_act!N127</f>
        <v>20129</v>
      </c>
      <c r="O46" s="28">
        <f>TrRoad_act!O127</f>
        <v>17713</v>
      </c>
      <c r="P46" s="28">
        <f>TrRoad_act!P127</f>
        <v>18375</v>
      </c>
      <c r="Q46" s="28">
        <f>TrRoad_act!Q127</f>
        <v>37960</v>
      </c>
      <c r="R46" s="28">
        <f>TrRoad_act!R127</f>
        <v>33847</v>
      </c>
      <c r="S46" s="28">
        <f>TrRoad_act!S127</f>
        <v>29797</v>
      </c>
      <c r="T46" s="28">
        <f>TrRoad_act!T127</f>
        <v>40404</v>
      </c>
      <c r="U46" s="28">
        <f>TrRoad_act!U127</f>
        <v>28636</v>
      </c>
      <c r="V46" s="28">
        <f>TrRoad_act!V127</f>
        <v>19996</v>
      </c>
      <c r="W46" s="28">
        <f>TrRoad_act!W127</f>
        <v>20175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2039</v>
      </c>
      <c r="D47" s="137">
        <f>TrRoad_act!D128</f>
        <v>3650</v>
      </c>
      <c r="E47" s="137">
        <f>TrRoad_act!E128</f>
        <v>16193</v>
      </c>
      <c r="F47" s="137">
        <f>TrRoad_act!F128</f>
        <v>28247</v>
      </c>
      <c r="G47" s="137">
        <f>TrRoad_act!G128</f>
        <v>7280</v>
      </c>
      <c r="H47" s="137">
        <f>TrRoad_act!H128</f>
        <v>32519</v>
      </c>
      <c r="I47" s="137">
        <f>TrRoad_act!I128</f>
        <v>33164</v>
      </c>
      <c r="J47" s="137">
        <f>TrRoad_act!J128</f>
        <v>23175</v>
      </c>
      <c r="K47" s="137">
        <f>TrRoad_act!K128</f>
        <v>20118</v>
      </c>
      <c r="L47" s="137">
        <f>TrRoad_act!L128</f>
        <v>11281</v>
      </c>
      <c r="M47" s="137">
        <f>TrRoad_act!M128</f>
        <v>30879</v>
      </c>
      <c r="N47" s="137">
        <f>TrRoad_act!N128</f>
        <v>17546</v>
      </c>
      <c r="O47" s="137">
        <f>TrRoad_act!O128</f>
        <v>14107</v>
      </c>
      <c r="P47" s="137">
        <f>TrRoad_act!P128</f>
        <v>16727</v>
      </c>
      <c r="Q47" s="137">
        <f>TrRoad_act!Q128</f>
        <v>31753</v>
      </c>
      <c r="R47" s="137">
        <f>TrRoad_act!R128</f>
        <v>27479</v>
      </c>
      <c r="S47" s="137">
        <f>TrRoad_act!S128</f>
        <v>25766</v>
      </c>
      <c r="T47" s="137">
        <f>TrRoad_act!T128</f>
        <v>27881</v>
      </c>
      <c r="U47" s="137">
        <f>TrRoad_act!U128</f>
        <v>17892</v>
      </c>
      <c r="V47" s="137">
        <f>TrRoad_act!V128</f>
        <v>10912</v>
      </c>
      <c r="W47" s="137">
        <f>TrRoad_act!W128</f>
        <v>13723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2039</v>
      </c>
      <c r="D48" s="84">
        <f>TrRoad_act!D129</f>
        <v>2318</v>
      </c>
      <c r="E48" s="84">
        <f>TrRoad_act!E129</f>
        <v>2558</v>
      </c>
      <c r="F48" s="84">
        <f>TrRoad_act!F129</f>
        <v>2599</v>
      </c>
      <c r="G48" s="84">
        <f>TrRoad_act!G129</f>
        <v>982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1186</v>
      </c>
      <c r="N48" s="84">
        <f>TrRoad_act!N129</f>
        <v>1617</v>
      </c>
      <c r="O48" s="84">
        <f>TrRoad_act!O129</f>
        <v>1060</v>
      </c>
      <c r="P48" s="84">
        <f>TrRoad_act!P129</f>
        <v>1594</v>
      </c>
      <c r="Q48" s="84">
        <f>TrRoad_act!Q129</f>
        <v>3900</v>
      </c>
      <c r="R48" s="84">
        <f>TrRoad_act!R129</f>
        <v>3211</v>
      </c>
      <c r="S48" s="84">
        <f>TrRoad_act!S129</f>
        <v>2750</v>
      </c>
      <c r="T48" s="84">
        <f>TrRoad_act!T129</f>
        <v>3289</v>
      </c>
      <c r="U48" s="84">
        <f>TrRoad_act!U129</f>
        <v>1573</v>
      </c>
      <c r="V48" s="84">
        <f>TrRoad_act!V129</f>
        <v>746</v>
      </c>
      <c r="W48" s="84">
        <f>TrRoad_act!W129</f>
        <v>775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0</v>
      </c>
      <c r="D49" s="84">
        <f>TrRoad_act!D130</f>
        <v>1332</v>
      </c>
      <c r="E49" s="84">
        <f>TrRoad_act!E130</f>
        <v>13635</v>
      </c>
      <c r="F49" s="84">
        <f>TrRoad_act!F130</f>
        <v>25648</v>
      </c>
      <c r="G49" s="84">
        <f>TrRoad_act!G130</f>
        <v>6298</v>
      </c>
      <c r="H49" s="84">
        <f>TrRoad_act!H130</f>
        <v>32519</v>
      </c>
      <c r="I49" s="84">
        <f>TrRoad_act!I130</f>
        <v>33164</v>
      </c>
      <c r="J49" s="84">
        <f>TrRoad_act!J130</f>
        <v>23175</v>
      </c>
      <c r="K49" s="84">
        <f>TrRoad_act!K130</f>
        <v>20118</v>
      </c>
      <c r="L49" s="84">
        <f>TrRoad_act!L130</f>
        <v>11281</v>
      </c>
      <c r="M49" s="84">
        <f>TrRoad_act!M130</f>
        <v>29693</v>
      </c>
      <c r="N49" s="84">
        <f>TrRoad_act!N130</f>
        <v>15897</v>
      </c>
      <c r="O49" s="84">
        <f>TrRoad_act!O130</f>
        <v>13046</v>
      </c>
      <c r="P49" s="84">
        <f>TrRoad_act!P130</f>
        <v>15132</v>
      </c>
      <c r="Q49" s="84">
        <f>TrRoad_act!Q130</f>
        <v>27844</v>
      </c>
      <c r="R49" s="84">
        <f>TrRoad_act!R130</f>
        <v>23962</v>
      </c>
      <c r="S49" s="84">
        <f>TrRoad_act!S130</f>
        <v>22458</v>
      </c>
      <c r="T49" s="84">
        <f>TrRoad_act!T130</f>
        <v>23829</v>
      </c>
      <c r="U49" s="84">
        <f>TrRoad_act!U130</f>
        <v>15327</v>
      </c>
      <c r="V49" s="84">
        <f>TrRoad_act!V130</f>
        <v>9544</v>
      </c>
      <c r="W49" s="84">
        <f>TrRoad_act!W130</f>
        <v>12020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210</v>
      </c>
      <c r="S50" s="84">
        <f>TrRoad_act!S131</f>
        <v>481</v>
      </c>
      <c r="T50" s="84">
        <f>TrRoad_act!T131</f>
        <v>677</v>
      </c>
      <c r="U50" s="84">
        <f>TrRoad_act!U131</f>
        <v>852</v>
      </c>
      <c r="V50" s="84">
        <f>TrRoad_act!V131</f>
        <v>524</v>
      </c>
      <c r="W50" s="84">
        <f>TrRoad_act!W131</f>
        <v>832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81</v>
      </c>
      <c r="S51" s="84">
        <f>TrRoad_act!S132</f>
        <v>71</v>
      </c>
      <c r="T51" s="84">
        <f>TrRoad_act!T132</f>
        <v>72</v>
      </c>
      <c r="U51" s="84">
        <f>TrRoad_act!U132</f>
        <v>111</v>
      </c>
      <c r="V51" s="84">
        <f>TrRoad_act!V132</f>
        <v>84</v>
      </c>
      <c r="W51" s="84">
        <f>TrRoad_act!W132</f>
        <v>70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32</v>
      </c>
      <c r="O52" s="84">
        <f>TrRoad_act!O133</f>
        <v>1</v>
      </c>
      <c r="P52" s="84">
        <f>TrRoad_act!P133</f>
        <v>1</v>
      </c>
      <c r="Q52" s="84">
        <f>TrRoad_act!Q133</f>
        <v>9</v>
      </c>
      <c r="R52" s="84">
        <f>TrRoad_act!R133</f>
        <v>15</v>
      </c>
      <c r="S52" s="84">
        <f>TrRoad_act!S133</f>
        <v>6</v>
      </c>
      <c r="T52" s="84">
        <f>TrRoad_act!T133</f>
        <v>14</v>
      </c>
      <c r="U52" s="84">
        <f>TrRoad_act!U133</f>
        <v>29</v>
      </c>
      <c r="V52" s="84">
        <f>TrRoad_act!V133</f>
        <v>14</v>
      </c>
      <c r="W52" s="84">
        <f>TrRoad_act!W133</f>
        <v>26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355</v>
      </c>
      <c r="C53" s="110">
        <f>TrRoad_act!C134</f>
        <v>3404</v>
      </c>
      <c r="D53" s="110">
        <f>TrRoad_act!D134</f>
        <v>2763</v>
      </c>
      <c r="E53" s="110">
        <f>TrRoad_act!E134</f>
        <v>9673</v>
      </c>
      <c r="F53" s="110">
        <f>TrRoad_act!F134</f>
        <v>9957</v>
      </c>
      <c r="G53" s="110">
        <f>TrRoad_act!G134</f>
        <v>5693</v>
      </c>
      <c r="H53" s="110">
        <f>TrRoad_act!H134</f>
        <v>4991</v>
      </c>
      <c r="I53" s="110">
        <f>TrRoad_act!I134</f>
        <v>1084</v>
      </c>
      <c r="J53" s="110">
        <f>TrRoad_act!J134</f>
        <v>6340</v>
      </c>
      <c r="K53" s="110">
        <f>TrRoad_act!K134</f>
        <v>2758</v>
      </c>
      <c r="L53" s="110">
        <f>TrRoad_act!L134</f>
        <v>2208</v>
      </c>
      <c r="M53" s="110">
        <f>TrRoad_act!M134</f>
        <v>3711</v>
      </c>
      <c r="N53" s="110">
        <f>TrRoad_act!N134</f>
        <v>2583</v>
      </c>
      <c r="O53" s="110">
        <f>TrRoad_act!O134</f>
        <v>3606</v>
      </c>
      <c r="P53" s="110">
        <f>TrRoad_act!P134</f>
        <v>1648</v>
      </c>
      <c r="Q53" s="110">
        <f>TrRoad_act!Q134</f>
        <v>6207</v>
      </c>
      <c r="R53" s="110">
        <f>TrRoad_act!R134</f>
        <v>6368</v>
      </c>
      <c r="S53" s="110">
        <f>TrRoad_act!S134</f>
        <v>4031</v>
      </c>
      <c r="T53" s="110">
        <f>TrRoad_act!T134</f>
        <v>12523</v>
      </c>
      <c r="U53" s="110">
        <f>TrRoad_act!U134</f>
        <v>10744</v>
      </c>
      <c r="V53" s="110">
        <f>TrRoad_act!V134</f>
        <v>9084</v>
      </c>
      <c r="W53" s="110">
        <f>TrRoad_act!W134</f>
        <v>6452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2801</v>
      </c>
      <c r="D54" s="102">
        <f>TrRoad_act!D135</f>
        <v>2157</v>
      </c>
      <c r="E54" s="102">
        <f>TrRoad_act!E135</f>
        <v>9124</v>
      </c>
      <c r="F54" s="102">
        <f>TrRoad_act!F135</f>
        <v>8708</v>
      </c>
      <c r="G54" s="102">
        <f>TrRoad_act!G135</f>
        <v>4978</v>
      </c>
      <c r="H54" s="102">
        <f>TrRoad_act!H135</f>
        <v>4991</v>
      </c>
      <c r="I54" s="102">
        <f>TrRoad_act!I135</f>
        <v>1050</v>
      </c>
      <c r="J54" s="102">
        <f>TrRoad_act!J135</f>
        <v>6340</v>
      </c>
      <c r="K54" s="102">
        <f>TrRoad_act!K135</f>
        <v>2631</v>
      </c>
      <c r="L54" s="102">
        <f>TrRoad_act!L135</f>
        <v>1711</v>
      </c>
      <c r="M54" s="102">
        <f>TrRoad_act!M135</f>
        <v>3041</v>
      </c>
      <c r="N54" s="102">
        <f>TrRoad_act!N135</f>
        <v>2454</v>
      </c>
      <c r="O54" s="102">
        <f>TrRoad_act!O135</f>
        <v>2634</v>
      </c>
      <c r="P54" s="102">
        <f>TrRoad_act!P135</f>
        <v>1524</v>
      </c>
      <c r="Q54" s="102">
        <f>TrRoad_act!Q135</f>
        <v>5421</v>
      </c>
      <c r="R54" s="102">
        <f>TrRoad_act!R135</f>
        <v>6131</v>
      </c>
      <c r="S54" s="102">
        <f>TrRoad_act!S135</f>
        <v>3825</v>
      </c>
      <c r="T54" s="102">
        <f>TrRoad_act!T135</f>
        <v>12447</v>
      </c>
      <c r="U54" s="102">
        <f>TrRoad_act!U135</f>
        <v>10729</v>
      </c>
      <c r="V54" s="102">
        <f>TrRoad_act!V135</f>
        <v>8171</v>
      </c>
      <c r="W54" s="102">
        <f>TrRoad_act!W135</f>
        <v>5578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355</v>
      </c>
      <c r="C55" s="86">
        <f>TrRoad_act!C136</f>
        <v>603</v>
      </c>
      <c r="D55" s="86">
        <f>TrRoad_act!D136</f>
        <v>606</v>
      </c>
      <c r="E55" s="86">
        <f>TrRoad_act!E136</f>
        <v>549</v>
      </c>
      <c r="F55" s="86">
        <f>TrRoad_act!F136</f>
        <v>1249</v>
      </c>
      <c r="G55" s="86">
        <f>TrRoad_act!G136</f>
        <v>715</v>
      </c>
      <c r="H55" s="86">
        <f>TrRoad_act!H136</f>
        <v>0</v>
      </c>
      <c r="I55" s="86">
        <f>TrRoad_act!I136</f>
        <v>34</v>
      </c>
      <c r="J55" s="86">
        <f>TrRoad_act!J136</f>
        <v>0</v>
      </c>
      <c r="K55" s="86">
        <f>TrRoad_act!K136</f>
        <v>127</v>
      </c>
      <c r="L55" s="86">
        <f>TrRoad_act!L136</f>
        <v>497</v>
      </c>
      <c r="M55" s="86">
        <f>TrRoad_act!M136</f>
        <v>670</v>
      </c>
      <c r="N55" s="86">
        <f>TrRoad_act!N136</f>
        <v>129</v>
      </c>
      <c r="O55" s="86">
        <f>TrRoad_act!O136</f>
        <v>972</v>
      </c>
      <c r="P55" s="86">
        <f>TrRoad_act!P136</f>
        <v>124</v>
      </c>
      <c r="Q55" s="86">
        <f>TrRoad_act!Q136</f>
        <v>786</v>
      </c>
      <c r="R55" s="86">
        <f>TrRoad_act!R136</f>
        <v>237</v>
      </c>
      <c r="S55" s="86">
        <f>TrRoad_act!S136</f>
        <v>206</v>
      </c>
      <c r="T55" s="86">
        <f>TrRoad_act!T136</f>
        <v>76</v>
      </c>
      <c r="U55" s="86">
        <f>TrRoad_act!U136</f>
        <v>15</v>
      </c>
      <c r="V55" s="86">
        <f>TrRoad_act!V136</f>
        <v>913</v>
      </c>
      <c r="W55" s="86">
        <f>TrRoad_act!W136</f>
        <v>874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215981</v>
      </c>
      <c r="C59" s="54">
        <f t="shared" si="0"/>
        <v>2042</v>
      </c>
      <c r="D59" s="54">
        <f t="shared" si="0"/>
        <v>14613</v>
      </c>
      <c r="E59" s="54">
        <f t="shared" si="0"/>
        <v>32009</v>
      </c>
      <c r="F59" s="54">
        <f t="shared" si="0"/>
        <v>36470</v>
      </c>
      <c r="G59" s="54">
        <f t="shared" si="0"/>
        <v>33377</v>
      </c>
      <c r="H59" s="54">
        <f t="shared" si="0"/>
        <v>126245</v>
      </c>
      <c r="I59" s="54">
        <f t="shared" si="0"/>
        <v>272734</v>
      </c>
      <c r="J59" s="54">
        <f t="shared" si="0"/>
        <v>275863</v>
      </c>
      <c r="K59" s="54">
        <f t="shared" si="0"/>
        <v>179524</v>
      </c>
      <c r="L59" s="54">
        <f t="shared" ref="L59" si="1">L60+L75</f>
        <v>111871</v>
      </c>
      <c r="M59" s="54">
        <f t="shared" ref="M59:V59" si="2">M60+M75</f>
        <v>275557</v>
      </c>
      <c r="N59" s="54">
        <f t="shared" si="2"/>
        <v>193496</v>
      </c>
      <c r="O59" s="54">
        <f t="shared" si="2"/>
        <v>213532</v>
      </c>
      <c r="P59" s="54">
        <f t="shared" si="2"/>
        <v>233629</v>
      </c>
      <c r="Q59" s="54">
        <f t="shared" si="2"/>
        <v>310829</v>
      </c>
      <c r="R59" s="54">
        <f t="shared" si="2"/>
        <v>217991</v>
      </c>
      <c r="S59" s="54">
        <f t="shared" si="2"/>
        <v>174098</v>
      </c>
      <c r="T59" s="54">
        <f t="shared" si="2"/>
        <v>224572</v>
      </c>
      <c r="U59" s="54">
        <f t="shared" si="2"/>
        <v>205606</v>
      </c>
      <c r="V59" s="54">
        <f t="shared" si="2"/>
        <v>180309</v>
      </c>
      <c r="W59" s="54">
        <f t="shared" ref="W59" si="3">W60+W75</f>
        <v>168389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215981</v>
      </c>
      <c r="C60" s="28">
        <f t="shared" si="4"/>
        <v>2042</v>
      </c>
      <c r="D60" s="28">
        <f t="shared" si="4"/>
        <v>14613</v>
      </c>
      <c r="E60" s="28">
        <f t="shared" si="4"/>
        <v>32009</v>
      </c>
      <c r="F60" s="28">
        <f t="shared" si="4"/>
        <v>36470</v>
      </c>
      <c r="G60" s="28">
        <f t="shared" si="4"/>
        <v>33377</v>
      </c>
      <c r="H60" s="28">
        <f t="shared" si="4"/>
        <v>126245</v>
      </c>
      <c r="I60" s="28">
        <f t="shared" si="4"/>
        <v>272734</v>
      </c>
      <c r="J60" s="28">
        <f t="shared" si="4"/>
        <v>271459</v>
      </c>
      <c r="K60" s="28">
        <f t="shared" si="4"/>
        <v>177297</v>
      </c>
      <c r="L60" s="28">
        <f t="shared" ref="L60" si="5">L61+L62+L69</f>
        <v>110331</v>
      </c>
      <c r="M60" s="28">
        <f t="shared" ref="M60:V60" si="6">M61+M62+M69</f>
        <v>272682</v>
      </c>
      <c r="N60" s="28">
        <f t="shared" si="6"/>
        <v>191046</v>
      </c>
      <c r="O60" s="28">
        <f t="shared" si="6"/>
        <v>210326</v>
      </c>
      <c r="P60" s="28">
        <f t="shared" si="6"/>
        <v>221416</v>
      </c>
      <c r="Q60" s="28">
        <f t="shared" si="6"/>
        <v>276045</v>
      </c>
      <c r="R60" s="28">
        <f t="shared" si="6"/>
        <v>185444</v>
      </c>
      <c r="S60" s="28">
        <f t="shared" si="6"/>
        <v>144823</v>
      </c>
      <c r="T60" s="28">
        <f t="shared" si="6"/>
        <v>184353</v>
      </c>
      <c r="U60" s="28">
        <f t="shared" si="6"/>
        <v>177000</v>
      </c>
      <c r="V60" s="28">
        <f t="shared" si="6"/>
        <v>160374</v>
      </c>
      <c r="W60" s="28">
        <f t="shared" ref="W60" si="7">W61+W62+W69</f>
        <v>148214</v>
      </c>
      <c r="DA60" s="173" t="s">
        <v>837</v>
      </c>
    </row>
    <row r="61" spans="1:105" ht="11.45" customHeight="1" x14ac:dyDescent="0.25">
      <c r="A61" s="136" t="s">
        <v>180</v>
      </c>
      <c r="B61" s="137">
        <v>3412</v>
      </c>
      <c r="C61" s="137">
        <v>1369</v>
      </c>
      <c r="D61" s="137">
        <v>2003</v>
      </c>
      <c r="E61" s="137">
        <v>2738</v>
      </c>
      <c r="F61" s="137">
        <v>605</v>
      </c>
      <c r="G61" s="137">
        <v>1138</v>
      </c>
      <c r="H61" s="137">
        <v>1337</v>
      </c>
      <c r="I61" s="137">
        <v>14549</v>
      </c>
      <c r="J61" s="137">
        <v>18075</v>
      </c>
      <c r="K61" s="137">
        <v>12955</v>
      </c>
      <c r="L61" s="137">
        <v>10506</v>
      </c>
      <c r="M61" s="137">
        <v>9421</v>
      </c>
      <c r="N61" s="137">
        <v>11708</v>
      </c>
      <c r="O61" s="137">
        <v>12288</v>
      </c>
      <c r="P61" s="137">
        <v>11238</v>
      </c>
      <c r="Q61" s="137">
        <v>13585</v>
      </c>
      <c r="R61" s="137">
        <v>13823</v>
      </c>
      <c r="S61" s="137">
        <v>15173</v>
      </c>
      <c r="T61" s="137">
        <v>15344</v>
      </c>
      <c r="U61" s="137">
        <v>15600</v>
      </c>
      <c r="V61" s="137">
        <v>13333</v>
      </c>
      <c r="W61" s="137">
        <v>12700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211951</v>
      </c>
      <c r="C62" s="110">
        <f t="shared" si="8"/>
        <v>498</v>
      </c>
      <c r="D62" s="110">
        <f t="shared" si="8"/>
        <v>11932</v>
      </c>
      <c r="E62" s="110">
        <f t="shared" si="8"/>
        <v>29253</v>
      </c>
      <c r="F62" s="110">
        <f t="shared" si="8"/>
        <v>35829</v>
      </c>
      <c r="G62" s="110">
        <f t="shared" si="8"/>
        <v>31216</v>
      </c>
      <c r="H62" s="110">
        <f t="shared" si="8"/>
        <v>124717</v>
      </c>
      <c r="I62" s="110">
        <f t="shared" si="8"/>
        <v>257157</v>
      </c>
      <c r="J62" s="110">
        <f t="shared" si="8"/>
        <v>253336</v>
      </c>
      <c r="K62" s="110">
        <f t="shared" si="8"/>
        <v>163139</v>
      </c>
      <c r="L62" s="110">
        <f t="shared" ref="L62" si="9">SUM(L63:L68)</f>
        <v>98742</v>
      </c>
      <c r="M62" s="110">
        <f t="shared" ref="M62:V62" si="10">SUM(M63:M68)</f>
        <v>262252</v>
      </c>
      <c r="N62" s="110">
        <f t="shared" si="10"/>
        <v>178410</v>
      </c>
      <c r="O62" s="110">
        <f t="shared" si="10"/>
        <v>196797</v>
      </c>
      <c r="P62" s="110">
        <f t="shared" si="10"/>
        <v>209211</v>
      </c>
      <c r="Q62" s="110">
        <f t="shared" si="10"/>
        <v>261226</v>
      </c>
      <c r="R62" s="110">
        <f t="shared" si="10"/>
        <v>171462</v>
      </c>
      <c r="S62" s="110">
        <f t="shared" si="10"/>
        <v>129376</v>
      </c>
      <c r="T62" s="110">
        <f t="shared" si="10"/>
        <v>168578</v>
      </c>
      <c r="U62" s="110">
        <f t="shared" si="10"/>
        <v>160806</v>
      </c>
      <c r="V62" s="110">
        <f t="shared" si="10"/>
        <v>146163</v>
      </c>
      <c r="W62" s="110">
        <f t="shared" ref="W62" si="11">SUM(W63:W68)</f>
        <v>134799</v>
      </c>
      <c r="DA62" s="176" t="s">
        <v>839</v>
      </c>
    </row>
    <row r="63" spans="1:105" ht="11.45" customHeight="1" x14ac:dyDescent="0.25">
      <c r="A63" s="111" t="s">
        <v>110</v>
      </c>
      <c r="B63" s="84">
        <v>211951</v>
      </c>
      <c r="C63" s="84">
        <v>498</v>
      </c>
      <c r="D63" s="84">
        <v>11932</v>
      </c>
      <c r="E63" s="84">
        <v>29253</v>
      </c>
      <c r="F63" s="84">
        <v>35341</v>
      </c>
      <c r="G63" s="84">
        <v>19291</v>
      </c>
      <c r="H63" s="84">
        <v>51239</v>
      </c>
      <c r="I63" s="84">
        <v>144292</v>
      </c>
      <c r="J63" s="84">
        <v>144331</v>
      </c>
      <c r="K63" s="84">
        <v>62209</v>
      </c>
      <c r="L63" s="84">
        <v>48765</v>
      </c>
      <c r="M63" s="84">
        <v>79219</v>
      </c>
      <c r="N63" s="84">
        <v>50890</v>
      </c>
      <c r="O63" s="84">
        <v>55233</v>
      </c>
      <c r="P63" s="84">
        <v>33203</v>
      </c>
      <c r="Q63" s="84">
        <v>54065</v>
      </c>
      <c r="R63" s="84">
        <v>46056</v>
      </c>
      <c r="S63" s="84">
        <v>35853</v>
      </c>
      <c r="T63" s="84">
        <v>51684</v>
      </c>
      <c r="U63" s="84">
        <v>48329</v>
      </c>
      <c r="V63" s="84">
        <v>44750</v>
      </c>
      <c r="W63" s="84">
        <v>41963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488</v>
      </c>
      <c r="G64" s="84">
        <v>9734</v>
      </c>
      <c r="H64" s="84">
        <v>70867</v>
      </c>
      <c r="I64" s="84">
        <v>105314</v>
      </c>
      <c r="J64" s="84">
        <v>109005</v>
      </c>
      <c r="K64" s="84">
        <v>88863</v>
      </c>
      <c r="L64" s="84">
        <v>29379</v>
      </c>
      <c r="M64" s="84">
        <v>179976</v>
      </c>
      <c r="N64" s="84">
        <v>48330</v>
      </c>
      <c r="O64" s="84">
        <v>46137</v>
      </c>
      <c r="P64" s="84">
        <v>43968</v>
      </c>
      <c r="Q64" s="84">
        <v>115951</v>
      </c>
      <c r="R64" s="84">
        <v>75341</v>
      </c>
      <c r="S64" s="84">
        <v>58692</v>
      </c>
      <c r="T64" s="84">
        <v>84634</v>
      </c>
      <c r="U64" s="84">
        <v>79124</v>
      </c>
      <c r="V64" s="84">
        <v>73396</v>
      </c>
      <c r="W64" s="84">
        <v>68660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2516</v>
      </c>
      <c r="N65" s="84">
        <v>73316</v>
      </c>
      <c r="O65" s="84">
        <v>89779</v>
      </c>
      <c r="P65" s="84">
        <v>104269</v>
      </c>
      <c r="Q65" s="84">
        <v>90483</v>
      </c>
      <c r="R65" s="84">
        <v>49934</v>
      </c>
      <c r="S65" s="84">
        <v>33836</v>
      </c>
      <c r="T65" s="84">
        <v>28233</v>
      </c>
      <c r="U65" s="84">
        <v>26309</v>
      </c>
      <c r="V65" s="84">
        <v>24478</v>
      </c>
      <c r="W65" s="84">
        <v>22765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2191</v>
      </c>
      <c r="H66" s="84">
        <v>2611</v>
      </c>
      <c r="I66" s="84">
        <v>7551</v>
      </c>
      <c r="J66" s="84">
        <v>0</v>
      </c>
      <c r="K66" s="84">
        <v>12067</v>
      </c>
      <c r="L66" s="84">
        <v>20598</v>
      </c>
      <c r="M66" s="84">
        <v>541</v>
      </c>
      <c r="N66" s="84">
        <v>5874</v>
      </c>
      <c r="O66" s="84">
        <v>5648</v>
      </c>
      <c r="P66" s="84">
        <v>27771</v>
      </c>
      <c r="Q66" s="84">
        <v>727</v>
      </c>
      <c r="R66" s="84">
        <v>92</v>
      </c>
      <c r="S66" s="84">
        <v>885</v>
      </c>
      <c r="T66" s="84">
        <v>3615</v>
      </c>
      <c r="U66" s="84">
        <v>6329</v>
      </c>
      <c r="V66" s="84">
        <v>2641</v>
      </c>
      <c r="W66" s="84">
        <v>329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88</v>
      </c>
      <c r="U67" s="84">
        <v>393</v>
      </c>
      <c r="V67" s="84">
        <v>291</v>
      </c>
      <c r="W67" s="84">
        <v>521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39</v>
      </c>
      <c r="S68" s="84">
        <v>110</v>
      </c>
      <c r="T68" s="84">
        <v>324</v>
      </c>
      <c r="U68" s="84">
        <v>322</v>
      </c>
      <c r="V68" s="84">
        <v>607</v>
      </c>
      <c r="W68" s="84">
        <v>561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618</v>
      </c>
      <c r="C69" s="110">
        <f t="shared" si="12"/>
        <v>175</v>
      </c>
      <c r="D69" s="110">
        <f t="shared" si="12"/>
        <v>678</v>
      </c>
      <c r="E69" s="110">
        <f t="shared" si="12"/>
        <v>18</v>
      </c>
      <c r="F69" s="110">
        <f t="shared" si="12"/>
        <v>36</v>
      </c>
      <c r="G69" s="110">
        <f t="shared" si="12"/>
        <v>1023</v>
      </c>
      <c r="H69" s="110">
        <f t="shared" si="12"/>
        <v>191</v>
      </c>
      <c r="I69" s="110">
        <f t="shared" si="12"/>
        <v>1028</v>
      </c>
      <c r="J69" s="110">
        <f t="shared" si="12"/>
        <v>48</v>
      </c>
      <c r="K69" s="110">
        <f t="shared" si="12"/>
        <v>1203</v>
      </c>
      <c r="L69" s="110">
        <f t="shared" ref="L69" si="13">SUM(L70:L74)</f>
        <v>1083</v>
      </c>
      <c r="M69" s="110">
        <f t="shared" ref="M69:V69" si="14">SUM(M70:M74)</f>
        <v>1009</v>
      </c>
      <c r="N69" s="110">
        <f t="shared" si="14"/>
        <v>928</v>
      </c>
      <c r="O69" s="110">
        <f t="shared" si="14"/>
        <v>1241</v>
      </c>
      <c r="P69" s="110">
        <f t="shared" si="14"/>
        <v>967</v>
      </c>
      <c r="Q69" s="110">
        <f t="shared" si="14"/>
        <v>1234</v>
      </c>
      <c r="R69" s="110">
        <f t="shared" si="14"/>
        <v>159</v>
      </c>
      <c r="S69" s="110">
        <f t="shared" si="14"/>
        <v>274</v>
      </c>
      <c r="T69" s="110">
        <f t="shared" si="14"/>
        <v>431</v>
      </c>
      <c r="U69" s="110">
        <f t="shared" si="14"/>
        <v>594</v>
      </c>
      <c r="V69" s="110">
        <f t="shared" si="14"/>
        <v>878</v>
      </c>
      <c r="W69" s="110">
        <f t="shared" ref="W69" si="15">SUM(W70:W74)</f>
        <v>715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618</v>
      </c>
      <c r="C71" s="102">
        <v>175</v>
      </c>
      <c r="D71" s="102">
        <v>678</v>
      </c>
      <c r="E71" s="102">
        <v>18</v>
      </c>
      <c r="F71" s="102">
        <v>36</v>
      </c>
      <c r="G71" s="102">
        <v>1019</v>
      </c>
      <c r="H71" s="102">
        <v>124</v>
      </c>
      <c r="I71" s="102">
        <v>908</v>
      </c>
      <c r="J71" s="102">
        <v>37</v>
      </c>
      <c r="K71" s="102">
        <v>1004</v>
      </c>
      <c r="L71" s="102">
        <v>771</v>
      </c>
      <c r="M71" s="102">
        <v>1005</v>
      </c>
      <c r="N71" s="102">
        <v>895</v>
      </c>
      <c r="O71" s="102">
        <v>23</v>
      </c>
      <c r="P71" s="102">
        <v>671</v>
      </c>
      <c r="Q71" s="102">
        <v>1088</v>
      </c>
      <c r="R71" s="102">
        <v>159</v>
      </c>
      <c r="S71" s="102">
        <v>244</v>
      </c>
      <c r="T71" s="102">
        <v>237</v>
      </c>
      <c r="U71" s="102">
        <v>232</v>
      </c>
      <c r="V71" s="102">
        <v>478</v>
      </c>
      <c r="W71" s="102">
        <v>218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4</v>
      </c>
      <c r="H73" s="102">
        <v>67</v>
      </c>
      <c r="I73" s="102">
        <v>120</v>
      </c>
      <c r="J73" s="102">
        <v>5</v>
      </c>
      <c r="K73" s="102">
        <v>188</v>
      </c>
      <c r="L73" s="102">
        <v>294</v>
      </c>
      <c r="M73" s="102">
        <v>0</v>
      </c>
      <c r="N73" s="102">
        <v>29</v>
      </c>
      <c r="O73" s="102">
        <v>868</v>
      </c>
      <c r="P73" s="102">
        <v>162</v>
      </c>
      <c r="Q73" s="102">
        <v>103</v>
      </c>
      <c r="R73" s="102">
        <v>0</v>
      </c>
      <c r="S73" s="102">
        <v>30</v>
      </c>
      <c r="T73" s="102">
        <v>180</v>
      </c>
      <c r="U73" s="102">
        <v>346</v>
      </c>
      <c r="V73" s="102">
        <v>386</v>
      </c>
      <c r="W73" s="102">
        <v>428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6</v>
      </c>
      <c r="K74" s="102">
        <v>11</v>
      </c>
      <c r="L74" s="102">
        <v>18</v>
      </c>
      <c r="M74" s="102">
        <v>4</v>
      </c>
      <c r="N74" s="102">
        <v>4</v>
      </c>
      <c r="O74" s="102">
        <v>350</v>
      </c>
      <c r="P74" s="102">
        <v>134</v>
      </c>
      <c r="Q74" s="102">
        <v>43</v>
      </c>
      <c r="R74" s="102">
        <v>0</v>
      </c>
      <c r="S74" s="102">
        <v>0</v>
      </c>
      <c r="T74" s="102">
        <v>14</v>
      </c>
      <c r="U74" s="102">
        <v>16</v>
      </c>
      <c r="V74" s="102">
        <v>14</v>
      </c>
      <c r="W74" s="102">
        <v>69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4404</v>
      </c>
      <c r="K75" s="28">
        <f t="shared" si="16"/>
        <v>2227</v>
      </c>
      <c r="L75" s="28">
        <f t="shared" ref="L75" si="17">L76+L82</f>
        <v>1540</v>
      </c>
      <c r="M75" s="28">
        <f t="shared" ref="M75:V75" si="18">M76+M82</f>
        <v>2875</v>
      </c>
      <c r="N75" s="28">
        <f t="shared" si="18"/>
        <v>2450</v>
      </c>
      <c r="O75" s="28">
        <f t="shared" si="18"/>
        <v>3206</v>
      </c>
      <c r="P75" s="28">
        <f t="shared" si="18"/>
        <v>12213</v>
      </c>
      <c r="Q75" s="28">
        <f t="shared" si="18"/>
        <v>34784</v>
      </c>
      <c r="R75" s="28">
        <f t="shared" si="18"/>
        <v>32547</v>
      </c>
      <c r="S75" s="28">
        <f t="shared" si="18"/>
        <v>29275</v>
      </c>
      <c r="T75" s="28">
        <f t="shared" si="18"/>
        <v>40219</v>
      </c>
      <c r="U75" s="28">
        <f t="shared" si="18"/>
        <v>28606</v>
      </c>
      <c r="V75" s="28">
        <f t="shared" si="18"/>
        <v>19935</v>
      </c>
      <c r="W75" s="28">
        <f t="shared" ref="W75" si="19">W76+W82</f>
        <v>20175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14</v>
      </c>
      <c r="O76" s="137">
        <f t="shared" si="22"/>
        <v>1</v>
      </c>
      <c r="P76" s="137">
        <f t="shared" si="22"/>
        <v>10625</v>
      </c>
      <c r="Q76" s="137">
        <f t="shared" si="22"/>
        <v>28842</v>
      </c>
      <c r="R76" s="137">
        <f t="shared" si="22"/>
        <v>26260</v>
      </c>
      <c r="S76" s="137">
        <f t="shared" si="22"/>
        <v>25292</v>
      </c>
      <c r="T76" s="137">
        <f t="shared" si="22"/>
        <v>27711</v>
      </c>
      <c r="U76" s="137">
        <f t="shared" si="22"/>
        <v>17864</v>
      </c>
      <c r="V76" s="137">
        <f t="shared" si="22"/>
        <v>10897</v>
      </c>
      <c r="W76" s="137">
        <f t="shared" ref="W76" si="23">SUM(W77:W81)</f>
        <v>13723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828</v>
      </c>
      <c r="Q77" s="84">
        <v>3404</v>
      </c>
      <c r="R77" s="84">
        <v>3011</v>
      </c>
      <c r="S77" s="84">
        <v>2681</v>
      </c>
      <c r="T77" s="84">
        <v>3264</v>
      </c>
      <c r="U77" s="84">
        <v>1571</v>
      </c>
      <c r="V77" s="84">
        <v>746</v>
      </c>
      <c r="W77" s="84">
        <v>775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9796</v>
      </c>
      <c r="Q78" s="84">
        <v>25430</v>
      </c>
      <c r="R78" s="84">
        <v>22967</v>
      </c>
      <c r="S78" s="84">
        <v>22080</v>
      </c>
      <c r="T78" s="84">
        <v>23704</v>
      </c>
      <c r="U78" s="84">
        <v>15311</v>
      </c>
      <c r="V78" s="84">
        <v>9543</v>
      </c>
      <c r="W78" s="84">
        <v>12020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194</v>
      </c>
      <c r="S79" s="84">
        <v>457</v>
      </c>
      <c r="T79" s="84">
        <v>659</v>
      </c>
      <c r="U79" s="84">
        <v>843</v>
      </c>
      <c r="V79" s="84">
        <v>512</v>
      </c>
      <c r="W79" s="84">
        <v>832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74</v>
      </c>
      <c r="S80" s="84">
        <v>68</v>
      </c>
      <c r="T80" s="84">
        <v>70</v>
      </c>
      <c r="U80" s="84">
        <v>110</v>
      </c>
      <c r="V80" s="84">
        <v>82</v>
      </c>
      <c r="W80" s="84">
        <v>70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14</v>
      </c>
      <c r="O81" s="84">
        <v>1</v>
      </c>
      <c r="P81" s="84">
        <v>1</v>
      </c>
      <c r="Q81" s="84">
        <v>8</v>
      </c>
      <c r="R81" s="84">
        <v>14</v>
      </c>
      <c r="S81" s="84">
        <v>6</v>
      </c>
      <c r="T81" s="84">
        <v>14</v>
      </c>
      <c r="U81" s="84">
        <v>29</v>
      </c>
      <c r="V81" s="84">
        <v>14</v>
      </c>
      <c r="W81" s="84">
        <v>26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4404</v>
      </c>
      <c r="K82" s="110">
        <f t="shared" si="24"/>
        <v>2227</v>
      </c>
      <c r="L82" s="110">
        <f t="shared" ref="L82" si="25">SUM(L83:L84)</f>
        <v>1540</v>
      </c>
      <c r="M82" s="110">
        <f t="shared" ref="M82:V82" si="26">SUM(M83:M84)</f>
        <v>2875</v>
      </c>
      <c r="N82" s="110">
        <f t="shared" si="26"/>
        <v>2436</v>
      </c>
      <c r="O82" s="110">
        <f t="shared" si="26"/>
        <v>3205</v>
      </c>
      <c r="P82" s="110">
        <f t="shared" si="26"/>
        <v>1588</v>
      </c>
      <c r="Q82" s="110">
        <f t="shared" si="26"/>
        <v>5942</v>
      </c>
      <c r="R82" s="110">
        <f t="shared" si="26"/>
        <v>6287</v>
      </c>
      <c r="S82" s="110">
        <f t="shared" si="26"/>
        <v>3983</v>
      </c>
      <c r="T82" s="110">
        <f t="shared" si="26"/>
        <v>12508</v>
      </c>
      <c r="U82" s="110">
        <f t="shared" si="26"/>
        <v>10742</v>
      </c>
      <c r="V82" s="110">
        <f t="shared" si="26"/>
        <v>9038</v>
      </c>
      <c r="W82" s="110">
        <f t="shared" ref="W82" si="27">SUM(W83:W84)</f>
        <v>6452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4404</v>
      </c>
      <c r="K83" s="102">
        <v>2227</v>
      </c>
      <c r="L83" s="102">
        <v>1540</v>
      </c>
      <c r="M83" s="102">
        <v>2845</v>
      </c>
      <c r="N83" s="102">
        <v>2354</v>
      </c>
      <c r="O83" s="102">
        <v>2570</v>
      </c>
      <c r="P83" s="102">
        <v>1503</v>
      </c>
      <c r="Q83" s="102">
        <v>5381</v>
      </c>
      <c r="R83" s="102">
        <v>6110</v>
      </c>
      <c r="S83" s="102">
        <v>3820</v>
      </c>
      <c r="T83" s="102">
        <v>12444</v>
      </c>
      <c r="U83" s="102">
        <v>10729</v>
      </c>
      <c r="V83" s="102">
        <v>8171</v>
      </c>
      <c r="W83" s="102">
        <v>5578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30</v>
      </c>
      <c r="N84" s="86">
        <v>82</v>
      </c>
      <c r="O84" s="86">
        <v>635</v>
      </c>
      <c r="P84" s="86">
        <v>85</v>
      </c>
      <c r="Q84" s="86">
        <v>561</v>
      </c>
      <c r="R84" s="86">
        <v>177</v>
      </c>
      <c r="S84" s="86">
        <v>163</v>
      </c>
      <c r="T84" s="86">
        <v>64</v>
      </c>
      <c r="U84" s="86">
        <v>13</v>
      </c>
      <c r="V84" s="86">
        <v>867</v>
      </c>
      <c r="W84" s="86">
        <v>874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4.0813519595062617</v>
      </c>
      <c r="C90" s="141">
        <v>4.066478341857338</v>
      </c>
      <c r="D90" s="141">
        <v>4.0466826584218394</v>
      </c>
      <c r="E90" s="141">
        <v>4.0212367098617845</v>
      </c>
      <c r="F90" s="141">
        <v>4.0153990383882068</v>
      </c>
      <c r="G90" s="141">
        <v>4.005091501922263</v>
      </c>
      <c r="H90" s="141">
        <v>3.9925899938364249</v>
      </c>
      <c r="I90" s="141">
        <v>3.8862745327855226</v>
      </c>
      <c r="J90" s="141">
        <v>3.7691270123033926</v>
      </c>
      <c r="K90" s="141">
        <v>3.6877141010072063</v>
      </c>
      <c r="L90" s="141">
        <v>3.6246199867549573</v>
      </c>
      <c r="M90" s="141">
        <v>3.5594300895615381</v>
      </c>
      <c r="N90" s="141">
        <v>3.4874984225629384</v>
      </c>
      <c r="O90" s="141">
        <v>3.4177164467948411</v>
      </c>
      <c r="P90" s="141">
        <v>3.3576521107878641</v>
      </c>
      <c r="Q90" s="141">
        <v>3.2814548496719795</v>
      </c>
      <c r="R90" s="141">
        <v>3.2080267769449455</v>
      </c>
      <c r="S90" s="141">
        <v>3.155756429947397</v>
      </c>
      <c r="T90" s="141">
        <v>3.0847878227916659</v>
      </c>
      <c r="U90" s="141">
        <v>3.0396276220921941</v>
      </c>
      <c r="V90" s="141">
        <v>2.9810707935617091</v>
      </c>
      <c r="W90" s="141">
        <v>2.796718166017842</v>
      </c>
      <c r="DA90" s="174" t="s">
        <v>862</v>
      </c>
    </row>
    <row r="91" spans="1:105" ht="11.45" customHeight="1" x14ac:dyDescent="0.25">
      <c r="A91" s="109" t="s">
        <v>20</v>
      </c>
      <c r="B91" s="130">
        <v>7.9990207504421393</v>
      </c>
      <c r="C91" s="130">
        <v>7.8778957119300514</v>
      </c>
      <c r="D91" s="130">
        <v>7.8194300949755213</v>
      </c>
      <c r="E91" s="130">
        <v>7.7383901724781348</v>
      </c>
      <c r="F91" s="130">
        <v>7.6797907561396634</v>
      </c>
      <c r="G91" s="130">
        <v>7.6739789390950506</v>
      </c>
      <c r="H91" s="130">
        <v>7.6235826754622904</v>
      </c>
      <c r="I91" s="130">
        <v>7.5763675657502505</v>
      </c>
      <c r="J91" s="130">
        <v>7.5051799997287683</v>
      </c>
      <c r="K91" s="130">
        <v>7.4559174659023828</v>
      </c>
      <c r="L91" s="130">
        <v>7.4518023492809151</v>
      </c>
      <c r="M91" s="130">
        <v>7.3740592295038994</v>
      </c>
      <c r="N91" s="130">
        <v>7.3727684034078997</v>
      </c>
      <c r="O91" s="130">
        <v>7.3529919518344702</v>
      </c>
      <c r="P91" s="130">
        <v>7.3101187788589916</v>
      </c>
      <c r="Q91" s="130">
        <v>7.1906864183388279</v>
      </c>
      <c r="R91" s="130">
        <v>7.1438792630079435</v>
      </c>
      <c r="S91" s="130">
        <v>7.0969907921818054</v>
      </c>
      <c r="T91" s="130">
        <v>6.9989286158157764</v>
      </c>
      <c r="U91" s="130">
        <v>6.8982285386872162</v>
      </c>
      <c r="V91" s="130">
        <v>6.7999436404179638</v>
      </c>
      <c r="W91" s="130">
        <v>6.701319700892447</v>
      </c>
      <c r="DA91" s="176" t="s">
        <v>863</v>
      </c>
    </row>
    <row r="92" spans="1:105" ht="11.45" customHeight="1" x14ac:dyDescent="0.25">
      <c r="A92" s="111" t="s">
        <v>110</v>
      </c>
      <c r="B92" s="96">
        <v>7.967642282657887</v>
      </c>
      <c r="C92" s="96">
        <v>7.9655891292803114</v>
      </c>
      <c r="D92" s="96">
        <v>7.9639412653088275</v>
      </c>
      <c r="E92" s="96">
        <v>7.9596682588960235</v>
      </c>
      <c r="F92" s="96">
        <v>7.9549278014728824</v>
      </c>
      <c r="G92" s="96">
        <v>7.9522289308080829</v>
      </c>
      <c r="H92" s="96">
        <v>7.9435326946860352</v>
      </c>
      <c r="I92" s="96">
        <v>7.9145326623507382</v>
      </c>
      <c r="J92" s="96">
        <v>7.8692229070406254</v>
      </c>
      <c r="K92" s="96">
        <v>7.8457417264366471</v>
      </c>
      <c r="L92" s="96">
        <v>7.8251825916469677</v>
      </c>
      <c r="M92" s="96">
        <v>7.7727052694581946</v>
      </c>
      <c r="N92" s="96">
        <v>7.7334326380190488</v>
      </c>
      <c r="O92" s="96">
        <v>7.6751470883738815</v>
      </c>
      <c r="P92" s="96">
        <v>7.6216472163442601</v>
      </c>
      <c r="Q92" s="96">
        <v>7.5355091815226514</v>
      </c>
      <c r="R92" s="96">
        <v>7.4328951923310722</v>
      </c>
      <c r="S92" s="96">
        <v>7.3438418696442183</v>
      </c>
      <c r="T92" s="96">
        <v>7.214089242362947</v>
      </c>
      <c r="U92" s="96">
        <v>7.0898607588079381</v>
      </c>
      <c r="V92" s="96">
        <v>6.9741000415080414</v>
      </c>
      <c r="W92" s="96">
        <v>6.8595308590845478</v>
      </c>
      <c r="DA92" s="171" t="s">
        <v>864</v>
      </c>
    </row>
    <row r="93" spans="1:105" ht="11.45" customHeight="1" x14ac:dyDescent="0.25">
      <c r="A93" s="111" t="s">
        <v>111</v>
      </c>
      <c r="B93" s="96">
        <v>7.4695163904535571</v>
      </c>
      <c r="C93" s="96">
        <v>7.2152647467406448</v>
      </c>
      <c r="D93" s="96">
        <v>7.0717355405938518</v>
      </c>
      <c r="E93" s="96">
        <v>6.8736879648990206</v>
      </c>
      <c r="F93" s="96">
        <v>6.7926719641767823</v>
      </c>
      <c r="G93" s="96">
        <v>6.7625837777845579</v>
      </c>
      <c r="H93" s="96">
        <v>6.7279232567746075</v>
      </c>
      <c r="I93" s="96">
        <v>6.6830175832662722</v>
      </c>
      <c r="J93" s="96">
        <v>6.6384831374498612</v>
      </c>
      <c r="K93" s="96">
        <v>6.6204418535040865</v>
      </c>
      <c r="L93" s="96">
        <v>6.617099330631099</v>
      </c>
      <c r="M93" s="96">
        <v>6.6345168313170424</v>
      </c>
      <c r="N93" s="96">
        <v>6.6333732220203983</v>
      </c>
      <c r="O93" s="96">
        <v>6.6126125079757978</v>
      </c>
      <c r="P93" s="96">
        <v>6.5784962306386836</v>
      </c>
      <c r="Q93" s="96">
        <v>6.4688462859682403</v>
      </c>
      <c r="R93" s="96">
        <v>6.4437594549780792</v>
      </c>
      <c r="S93" s="96">
        <v>6.4171226580121461</v>
      </c>
      <c r="T93" s="96">
        <v>6.3630181066902303</v>
      </c>
      <c r="U93" s="96">
        <v>6.2932135740915927</v>
      </c>
      <c r="V93" s="96">
        <v>6.2143935796100234</v>
      </c>
      <c r="W93" s="96">
        <v>6.1308777379190049</v>
      </c>
      <c r="DA93" s="171" t="s">
        <v>865</v>
      </c>
    </row>
    <row r="94" spans="1:105" ht="11.45" customHeight="1" x14ac:dyDescent="0.25">
      <c r="A94" s="111" t="s">
        <v>112</v>
      </c>
      <c r="B94" s="96">
        <v>8.6052200026719596</v>
      </c>
      <c r="C94" s="96">
        <v>7.6924863713286369</v>
      </c>
      <c r="D94" s="96">
        <v>7.523932689615104</v>
      </c>
      <c r="E94" s="96">
        <v>7.4493674756594626</v>
      </c>
      <c r="F94" s="96">
        <v>7.4099611725355858</v>
      </c>
      <c r="G94" s="96">
        <v>7.4274562842487883</v>
      </c>
      <c r="H94" s="96">
        <v>7.4412862468264107</v>
      </c>
      <c r="I94" s="96">
        <v>7.4496911808082187</v>
      </c>
      <c r="J94" s="96">
        <v>7.4154769349488765</v>
      </c>
      <c r="K94" s="96">
        <v>7.3735887670383278</v>
      </c>
      <c r="L94" s="96">
        <v>7.4640082170064472</v>
      </c>
      <c r="M94" s="96">
        <v>7.5241575442355888</v>
      </c>
      <c r="N94" s="96">
        <v>7.6838858694860894</v>
      </c>
      <c r="O94" s="96">
        <v>7.724168631561029</v>
      </c>
      <c r="P94" s="96">
        <v>7.6345427138925404</v>
      </c>
      <c r="Q94" s="96">
        <v>7.3352961892665158</v>
      </c>
      <c r="R94" s="96">
        <v>7.3506651930839446</v>
      </c>
      <c r="S94" s="96">
        <v>7.3445544074586193</v>
      </c>
      <c r="T94" s="96">
        <v>7.2614789209723121</v>
      </c>
      <c r="U94" s="96">
        <v>7.159371196706422</v>
      </c>
      <c r="V94" s="96">
        <v>7.0224762236877831</v>
      </c>
      <c r="W94" s="96">
        <v>6.8741870465929624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9.4400302482943861</v>
      </c>
      <c r="G95" s="96">
        <v>9.3470094126703245</v>
      </c>
      <c r="H95" s="96">
        <v>9.2997331447008733</v>
      </c>
      <c r="I95" s="96">
        <v>9.2025877846321578</v>
      </c>
      <c r="J95" s="96">
        <v>9.1916032687139566</v>
      </c>
      <c r="K95" s="96">
        <v>8.8367008746091873</v>
      </c>
      <c r="L95" s="96">
        <v>7.7788177383209511</v>
      </c>
      <c r="M95" s="96">
        <v>7.6154763458481201</v>
      </c>
      <c r="N95" s="96">
        <v>7.5165769195746872</v>
      </c>
      <c r="O95" s="96">
        <v>7.4702460825682859</v>
      </c>
      <c r="P95" s="96">
        <v>7.2069777664005414</v>
      </c>
      <c r="Q95" s="96">
        <v>7.0370339577190846</v>
      </c>
      <c r="R95" s="96">
        <v>6.9465084740545091</v>
      </c>
      <c r="S95" s="96">
        <v>6.9202060613396119</v>
      </c>
      <c r="T95" s="96">
        <v>6.8387591074619962</v>
      </c>
      <c r="U95" s="96">
        <v>6.6994505332384184</v>
      </c>
      <c r="V95" s="96">
        <v>6.638051524121634</v>
      </c>
      <c r="W95" s="96">
        <v>6.6290521159941909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2.6450945307222993</v>
      </c>
      <c r="O96" s="96">
        <v>2.6450945307222993</v>
      </c>
      <c r="P96" s="96">
        <v>3.0336427561595851</v>
      </c>
      <c r="Q96" s="96">
        <v>3.2494051866232545</v>
      </c>
      <c r="R96" s="96">
        <v>3.1526913632533957</v>
      </c>
      <c r="S96" s="96">
        <v>3.219028579446797</v>
      </c>
      <c r="T96" s="96">
        <v>3.1936025519628792</v>
      </c>
      <c r="U96" s="96">
        <v>3.5660371557392136</v>
      </c>
      <c r="V96" s="96">
        <v>3.4503459723351324</v>
      </c>
      <c r="W96" s="96">
        <v>3.5823532007748469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0</v>
      </c>
      <c r="P97" s="96">
        <v>0</v>
      </c>
      <c r="Q97" s="96">
        <v>0</v>
      </c>
      <c r="R97" s="96">
        <v>1.1129587088241777</v>
      </c>
      <c r="S97" s="96">
        <v>1.0654181036067099</v>
      </c>
      <c r="T97" s="96">
        <v>1.1349994011049331</v>
      </c>
      <c r="U97" s="96">
        <v>1.2554418988908405</v>
      </c>
      <c r="V97" s="96">
        <v>1.3197115475926606</v>
      </c>
      <c r="W97" s="96">
        <v>1.363862899104566</v>
      </c>
      <c r="DA97" s="171" t="s">
        <v>869</v>
      </c>
    </row>
    <row r="98" spans="1:105" ht="11.45" customHeight="1" x14ac:dyDescent="0.25">
      <c r="A98" s="109" t="s">
        <v>21</v>
      </c>
      <c r="B98" s="130">
        <v>52.915462043411537</v>
      </c>
      <c r="C98" s="130">
        <v>52.39404472848625</v>
      </c>
      <c r="D98" s="130">
        <v>51.494345827633047</v>
      </c>
      <c r="E98" s="130">
        <v>51.394152103522266</v>
      </c>
      <c r="F98" s="130">
        <v>51.174965316985841</v>
      </c>
      <c r="G98" s="130">
        <v>50.46289594609479</v>
      </c>
      <c r="H98" s="130">
        <v>50.076860769152354</v>
      </c>
      <c r="I98" s="130">
        <v>49.458851506061364</v>
      </c>
      <c r="J98" s="130">
        <v>49.168894834600444</v>
      </c>
      <c r="K98" s="130">
        <v>48.5012474281436</v>
      </c>
      <c r="L98" s="130">
        <v>47.771848881635265</v>
      </c>
      <c r="M98" s="130">
        <v>47.303502476580832</v>
      </c>
      <c r="N98" s="130">
        <v>46.830654969565117</v>
      </c>
      <c r="O98" s="130">
        <v>45.346552073535207</v>
      </c>
      <c r="P98" s="130">
        <v>44.705056122399363</v>
      </c>
      <c r="Q98" s="130">
        <v>44.232483585806015</v>
      </c>
      <c r="R98" s="130">
        <v>44.059310189106803</v>
      </c>
      <c r="S98" s="130">
        <v>43.603817809376359</v>
      </c>
      <c r="T98" s="130">
        <v>43.259580811419006</v>
      </c>
      <c r="U98" s="130">
        <v>42.823717605420292</v>
      </c>
      <c r="V98" s="130">
        <v>42.574810358333714</v>
      </c>
      <c r="W98" s="130">
        <v>42.212446795692763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52.915462043411537</v>
      </c>
      <c r="C100" s="97">
        <v>52.051413737522623</v>
      </c>
      <c r="D100" s="97">
        <v>50.810671861680575</v>
      </c>
      <c r="E100" s="97">
        <v>50.692312451680777</v>
      </c>
      <c r="F100" s="97">
        <v>50.553084825777709</v>
      </c>
      <c r="G100" s="97">
        <v>49.87905868985213</v>
      </c>
      <c r="H100" s="97">
        <v>49.692249873021929</v>
      </c>
      <c r="I100" s="97">
        <v>49.229323185162635</v>
      </c>
      <c r="J100" s="97">
        <v>49.033768102661988</v>
      </c>
      <c r="K100" s="97">
        <v>48.528772027865827</v>
      </c>
      <c r="L100" s="97">
        <v>48.111256790541979</v>
      </c>
      <c r="M100" s="97">
        <v>47.56586234319267</v>
      </c>
      <c r="N100" s="97">
        <v>47.118436158325693</v>
      </c>
      <c r="O100" s="97">
        <v>46.978014862295794</v>
      </c>
      <c r="P100" s="97">
        <v>46.606764233003055</v>
      </c>
      <c r="Q100" s="97">
        <v>46.104349665323561</v>
      </c>
      <c r="R100" s="97">
        <v>45.957086702693623</v>
      </c>
      <c r="S100" s="97">
        <v>45.643073237385536</v>
      </c>
      <c r="T100" s="97">
        <v>45.422756733265956</v>
      </c>
      <c r="U100" s="97">
        <v>45.207297935568441</v>
      </c>
      <c r="V100" s="97">
        <v>44.982774153107243</v>
      </c>
      <c r="W100" s="97">
        <v>44.880839614483683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38.285053520594701</v>
      </c>
      <c r="G102" s="97">
        <v>38.203960595366496</v>
      </c>
      <c r="H102" s="97">
        <v>38.090439769388311</v>
      </c>
      <c r="I102" s="97">
        <v>37.995482184194536</v>
      </c>
      <c r="J102" s="97">
        <v>37.988838692773129</v>
      </c>
      <c r="K102" s="97">
        <v>37.646344053181274</v>
      </c>
      <c r="L102" s="97">
        <v>37.287613079197271</v>
      </c>
      <c r="M102" s="97">
        <v>37.256572977473063</v>
      </c>
      <c r="N102" s="97">
        <v>37.204195589275045</v>
      </c>
      <c r="O102" s="97">
        <v>36.234788469404734</v>
      </c>
      <c r="P102" s="97">
        <v>36.100881749122919</v>
      </c>
      <c r="Q102" s="97">
        <v>35.991694609597644</v>
      </c>
      <c r="R102" s="97">
        <v>35.914310957641291</v>
      </c>
      <c r="S102" s="97">
        <v>35.882638190065421</v>
      </c>
      <c r="T102" s="97">
        <v>35.634437247106639</v>
      </c>
      <c r="U102" s="97">
        <v>35.245632131797365</v>
      </c>
      <c r="V102" s="97">
        <v>34.88804544022468</v>
      </c>
      <c r="W102" s="97">
        <v>34.559495129754048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27.185760697477914</v>
      </c>
      <c r="K103" s="97">
        <v>27.009480036199012</v>
      </c>
      <c r="L103" s="97">
        <v>26.822576105237125</v>
      </c>
      <c r="M103" s="97">
        <v>26.779877000680894</v>
      </c>
      <c r="N103" s="97">
        <v>26.712134658268969</v>
      </c>
      <c r="O103" s="97">
        <v>25.950993143078467</v>
      </c>
      <c r="P103" s="97">
        <v>25.859882412803469</v>
      </c>
      <c r="Q103" s="97">
        <v>25.817216887641308</v>
      </c>
      <c r="R103" s="97">
        <v>25.814470581473145</v>
      </c>
      <c r="S103" s="97">
        <v>25.811886725956573</v>
      </c>
      <c r="T103" s="97">
        <v>25.781986859073211</v>
      </c>
      <c r="U103" s="97">
        <v>25.743127714860581</v>
      </c>
      <c r="V103" s="97">
        <v>25.703991547761138</v>
      </c>
      <c r="W103" s="97">
        <v>25.516244943468458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9.3009384025037516</v>
      </c>
      <c r="C105" s="141">
        <v>9.3108918272061345</v>
      </c>
      <c r="D105" s="141">
        <v>9.2643947395075354</v>
      </c>
      <c r="E105" s="141">
        <v>8.9877393469974471</v>
      </c>
      <c r="F105" s="141">
        <v>8.5695734661095386</v>
      </c>
      <c r="G105" s="141">
        <v>8.439706014739178</v>
      </c>
      <c r="H105" s="141">
        <v>8.0343441798841848</v>
      </c>
      <c r="I105" s="141">
        <v>7.7084753277779283</v>
      </c>
      <c r="J105" s="141">
        <v>7.4780998403136696</v>
      </c>
      <c r="K105" s="141">
        <v>7.3003930908818644</v>
      </c>
      <c r="L105" s="141">
        <v>7.1406337129278361</v>
      </c>
      <c r="M105" s="141">
        <v>7.0397397290061345</v>
      </c>
      <c r="N105" s="141">
        <v>6.913198864377696</v>
      </c>
      <c r="O105" s="141">
        <v>6.8022424753877564</v>
      </c>
      <c r="P105" s="141">
        <v>6.6713056172255909</v>
      </c>
      <c r="Q105" s="141">
        <v>6.5412701757828655</v>
      </c>
      <c r="R105" s="141">
        <v>6.319216781091999</v>
      </c>
      <c r="S105" s="141">
        <v>6.096122243496926</v>
      </c>
      <c r="T105" s="141">
        <v>5.8922894866876883</v>
      </c>
      <c r="U105" s="141">
        <v>5.7549296227017583</v>
      </c>
      <c r="V105" s="141">
        <v>5.6648889657682835</v>
      </c>
      <c r="W105" s="141">
        <v>5.6186371709448144</v>
      </c>
      <c r="DA105" s="174" t="s">
        <v>876</v>
      </c>
    </row>
    <row r="106" spans="1:105" ht="11.45" customHeight="1" x14ac:dyDescent="0.25">
      <c r="A106" s="111" t="s">
        <v>110</v>
      </c>
      <c r="B106" s="96">
        <v>10.923155343227663</v>
      </c>
      <c r="C106" s="96">
        <v>10.789281018357121</v>
      </c>
      <c r="D106" s="96">
        <v>10.640276284136876</v>
      </c>
      <c r="E106" s="96">
        <v>10.478008457858046</v>
      </c>
      <c r="F106" s="96">
        <v>10.321458001792385</v>
      </c>
      <c r="G106" s="96">
        <v>10.23682973390796</v>
      </c>
      <c r="H106" s="96">
        <v>10.186553588149025</v>
      </c>
      <c r="I106" s="96">
        <v>10.12692890563102</v>
      </c>
      <c r="J106" s="96">
        <v>10.048140499232284</v>
      </c>
      <c r="K106" s="96">
        <v>9.9799732162122812</v>
      </c>
      <c r="L106" s="96">
        <v>9.7886189472762748</v>
      </c>
      <c r="M106" s="96">
        <v>9.6439813854556338</v>
      </c>
      <c r="N106" s="96">
        <v>9.2054024046660796</v>
      </c>
      <c r="O106" s="96">
        <v>8.8470232131643325</v>
      </c>
      <c r="P106" s="96">
        <v>8.1837806675900726</v>
      </c>
      <c r="Q106" s="96">
        <v>7.6371371899685307</v>
      </c>
      <c r="R106" s="96">
        <v>7.0226443449509945</v>
      </c>
      <c r="S106" s="96">
        <v>6.563605548394948</v>
      </c>
      <c r="T106" s="96">
        <v>6.1072112804711658</v>
      </c>
      <c r="U106" s="96">
        <v>5.9074177424575485</v>
      </c>
      <c r="V106" s="96">
        <v>5.8436285485627151</v>
      </c>
      <c r="W106" s="96">
        <v>5.7932493259996711</v>
      </c>
      <c r="DA106" s="171" t="s">
        <v>877</v>
      </c>
    </row>
    <row r="107" spans="1:105" ht="11.45" customHeight="1" x14ac:dyDescent="0.25">
      <c r="A107" s="111" t="s">
        <v>111</v>
      </c>
      <c r="B107" s="96">
        <v>8.6935845844834407</v>
      </c>
      <c r="C107" s="96">
        <v>8.6935845844834407</v>
      </c>
      <c r="D107" s="96">
        <v>8.649901140452716</v>
      </c>
      <c r="E107" s="96">
        <v>8.2537848528043174</v>
      </c>
      <c r="F107" s="96">
        <v>7.7598776566998495</v>
      </c>
      <c r="G107" s="96">
        <v>7.6306732247437834</v>
      </c>
      <c r="H107" s="96">
        <v>7.2937417566657174</v>
      </c>
      <c r="I107" s="96">
        <v>7.0775581303762074</v>
      </c>
      <c r="J107" s="96">
        <v>6.9484808684202619</v>
      </c>
      <c r="K107" s="96">
        <v>6.8505476688027649</v>
      </c>
      <c r="L107" s="96">
        <v>6.7924529926270285</v>
      </c>
      <c r="M107" s="96">
        <v>6.7222722835805842</v>
      </c>
      <c r="N107" s="96">
        <v>6.6409092980511506</v>
      </c>
      <c r="O107" s="96">
        <v>6.5636230271879841</v>
      </c>
      <c r="P107" s="96">
        <v>6.4813705738400911</v>
      </c>
      <c r="Q107" s="96">
        <v>6.3606307734709198</v>
      </c>
      <c r="R107" s="96">
        <v>6.1965555614958863</v>
      </c>
      <c r="S107" s="96">
        <v>5.9935862010540459</v>
      </c>
      <c r="T107" s="96">
        <v>5.8245528479712974</v>
      </c>
      <c r="U107" s="96">
        <v>5.7002994347383238</v>
      </c>
      <c r="V107" s="96">
        <v>5.6164977301162473</v>
      </c>
      <c r="W107" s="96">
        <v>5.572208369881066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7.6867742802032435</v>
      </c>
      <c r="S108" s="96">
        <v>6.9049810634355815</v>
      </c>
      <c r="T108" s="96">
        <v>6.7578996040678829</v>
      </c>
      <c r="U108" s="96">
        <v>6.7950119661353536</v>
      </c>
      <c r="V108" s="96">
        <v>6.6467816216405771</v>
      </c>
      <c r="W108" s="96">
        <v>6.5014330494894921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4.3757513562171573</v>
      </c>
      <c r="S109" s="96">
        <v>4.5324462476533656</v>
      </c>
      <c r="T109" s="96">
        <v>4.7501133614559192</v>
      </c>
      <c r="U109" s="96">
        <v>4.7660693642931387</v>
      </c>
      <c r="V109" s="96">
        <v>5.2649377176147247</v>
      </c>
      <c r="W109" s="96">
        <v>5.5265985267457252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1.2406928838497286</v>
      </c>
      <c r="O110" s="96">
        <v>1.2406784297113127</v>
      </c>
      <c r="P110" s="96">
        <v>1.2409987919112904</v>
      </c>
      <c r="Q110" s="96">
        <v>1.2589503307430143</v>
      </c>
      <c r="R110" s="96">
        <v>1.2797921114132544</v>
      </c>
      <c r="S110" s="96">
        <v>1.2896318550954795</v>
      </c>
      <c r="T110" s="96">
        <v>1.2783433681385123</v>
      </c>
      <c r="U110" s="96">
        <v>1.3326306476437986</v>
      </c>
      <c r="V110" s="96">
        <v>1.3900503172337073</v>
      </c>
      <c r="W110" s="96">
        <v>1.5987296076145054</v>
      </c>
      <c r="DA110" s="171" t="s">
        <v>881</v>
      </c>
    </row>
    <row r="111" spans="1:105" ht="11.45" customHeight="1" x14ac:dyDescent="0.25">
      <c r="A111" s="109" t="s">
        <v>158</v>
      </c>
      <c r="B111" s="130">
        <v>30.681391054693012</v>
      </c>
      <c r="C111" s="130">
        <v>30.379785618113043</v>
      </c>
      <c r="D111" s="130">
        <v>30.100808835150676</v>
      </c>
      <c r="E111" s="130">
        <v>29.329743374283449</v>
      </c>
      <c r="F111" s="130">
        <v>28.904546377265241</v>
      </c>
      <c r="G111" s="130">
        <v>28.633224109125795</v>
      </c>
      <c r="H111" s="130">
        <v>28.329964050514747</v>
      </c>
      <c r="I111" s="130">
        <v>28.152096426816829</v>
      </c>
      <c r="J111" s="130">
        <v>27.669727372507719</v>
      </c>
      <c r="K111" s="130">
        <v>27.363280116023763</v>
      </c>
      <c r="L111" s="130">
        <v>27.218313582334911</v>
      </c>
      <c r="M111" s="130">
        <v>27.048738406035319</v>
      </c>
      <c r="N111" s="130">
        <v>26.836082014050511</v>
      </c>
      <c r="O111" s="130">
        <v>26.628086335675587</v>
      </c>
      <c r="P111" s="130">
        <v>26.423781929422056</v>
      </c>
      <c r="Q111" s="130">
        <v>25.865182004953926</v>
      </c>
      <c r="R111" s="130">
        <v>25.29957853290032</v>
      </c>
      <c r="S111" s="130">
        <v>25.001834421154616</v>
      </c>
      <c r="T111" s="130">
        <v>24.341654004677395</v>
      </c>
      <c r="U111" s="130">
        <v>23.891242557233685</v>
      </c>
      <c r="V111" s="130">
        <v>23.106850980493583</v>
      </c>
      <c r="W111" s="130">
        <v>22.823315465318665</v>
      </c>
      <c r="DA111" s="176" t="s">
        <v>882</v>
      </c>
    </row>
    <row r="112" spans="1:105" ht="11.45" customHeight="1" x14ac:dyDescent="0.25">
      <c r="A112" s="128" t="s">
        <v>27</v>
      </c>
      <c r="B112" s="97">
        <v>29.301268328460061</v>
      </c>
      <c r="C112" s="97">
        <v>29.061281002551837</v>
      </c>
      <c r="D112" s="97">
        <v>28.904391815144216</v>
      </c>
      <c r="E112" s="97">
        <v>28.45871061882692</v>
      </c>
      <c r="F112" s="97">
        <v>28.105905164052608</v>
      </c>
      <c r="G112" s="97">
        <v>27.885371822059678</v>
      </c>
      <c r="H112" s="97">
        <v>27.755542551983606</v>
      </c>
      <c r="I112" s="97">
        <v>27.639087017819303</v>
      </c>
      <c r="J112" s="97">
        <v>27.415403400262285</v>
      </c>
      <c r="K112" s="97">
        <v>27.104551630383842</v>
      </c>
      <c r="L112" s="97">
        <v>26.944457893726209</v>
      </c>
      <c r="M112" s="97">
        <v>26.756790940620597</v>
      </c>
      <c r="N112" s="97">
        <v>26.553827168591106</v>
      </c>
      <c r="O112" s="97">
        <v>26.316155262108939</v>
      </c>
      <c r="P112" s="97">
        <v>26.121743719665652</v>
      </c>
      <c r="Q112" s="97">
        <v>25.539252418182574</v>
      </c>
      <c r="R112" s="97">
        <v>24.993353489865484</v>
      </c>
      <c r="S112" s="97">
        <v>24.735176445604719</v>
      </c>
      <c r="T112" s="97">
        <v>24.129286360806699</v>
      </c>
      <c r="U112" s="97">
        <v>23.72271607976273</v>
      </c>
      <c r="V112" s="97">
        <v>22.913467376786762</v>
      </c>
      <c r="W112" s="97">
        <v>22.636423151446383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36.195617327530158</v>
      </c>
      <c r="D113" s="98">
        <v>35.699920996444327</v>
      </c>
      <c r="E113" s="98">
        <v>35.260129349437882</v>
      </c>
      <c r="F113" s="98">
        <v>34.513185806417567</v>
      </c>
      <c r="G113" s="98">
        <v>34.078364972917775</v>
      </c>
      <c r="H113" s="98">
        <v>33.850400927128419</v>
      </c>
      <c r="I113" s="98">
        <v>33.604850706786564</v>
      </c>
      <c r="J113" s="98">
        <v>32.908710289602851</v>
      </c>
      <c r="K113" s="98">
        <v>32.763912451138857</v>
      </c>
      <c r="L113" s="98">
        <v>32.258947544993148</v>
      </c>
      <c r="M113" s="98">
        <v>31.658734148730634</v>
      </c>
      <c r="N113" s="98">
        <v>31.465288190303955</v>
      </c>
      <c r="O113" s="98">
        <v>30.624957858429383</v>
      </c>
      <c r="P113" s="98">
        <v>30.411160973903488</v>
      </c>
      <c r="Q113" s="98">
        <v>29.673987796888298</v>
      </c>
      <c r="R113" s="98">
        <v>29.317887653879865</v>
      </c>
      <c r="S113" s="98">
        <v>28.945881933917594</v>
      </c>
      <c r="T113" s="98">
        <v>28.717342006096523</v>
      </c>
      <c r="U113" s="98">
        <v>28.564335703188853</v>
      </c>
      <c r="V113" s="98">
        <v>27.329990814693804</v>
      </c>
      <c r="W113" s="98">
        <v>26.490425817716648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1.1275000000068987</v>
      </c>
      <c r="C117" s="150">
        <f>IF(TrRoad_act!C59=0,0,TrRoad_ene!C62/TrRoad_tech!C90)</f>
        <v>1.1276533214993294</v>
      </c>
      <c r="D117" s="150">
        <f>IF(TrRoad_act!D59=0,0,TrRoad_ene!D62/TrRoad_tech!D90)</f>
        <v>1.12811517603427</v>
      </c>
      <c r="E117" s="150">
        <f>IF(TrRoad_act!E59=0,0,TrRoad_ene!E62/TrRoad_tech!E90)</f>
        <v>1.1290606026915608</v>
      </c>
      <c r="F117" s="150">
        <f>IF(TrRoad_act!F59=0,0,TrRoad_ene!F62/TrRoad_tech!F90)</f>
        <v>1.0742755274187605</v>
      </c>
      <c r="G117" s="150">
        <f>IF(TrRoad_act!G59=0,0,TrRoad_ene!G62/TrRoad_tech!G90)</f>
        <v>1.0749552190601313</v>
      </c>
      <c r="H117" s="150">
        <f>IF(TrRoad_act!H59=0,0,TrRoad_ene!H62/TrRoad_tech!H90)</f>
        <v>1.0759244438416271</v>
      </c>
      <c r="I117" s="150">
        <f>IF(TrRoad_act!I59=0,0,TrRoad_ene!I62/TrRoad_tech!I90)</f>
        <v>1.0864052854027972</v>
      </c>
      <c r="J117" s="150">
        <f>IF(TrRoad_act!J59=0,0,TrRoad_ene!J62/TrRoad_tech!J90)</f>
        <v>1.0980124884709896</v>
      </c>
      <c r="K117" s="150">
        <f>IF(TrRoad_act!K59=0,0,TrRoad_ene!K62/TrRoad_tech!K90)</f>
        <v>1.10606832497179</v>
      </c>
      <c r="L117" s="150">
        <f>IF(TrRoad_act!L59=0,0,TrRoad_ene!L62/TrRoad_tech!L90)</f>
        <v>1.1129387380828095</v>
      </c>
      <c r="M117" s="150">
        <f>IF(TrRoad_act!M59=0,0,TrRoad_ene!M62/TrRoad_tech!M90)</f>
        <v>1.1193301119029289</v>
      </c>
      <c r="N117" s="150">
        <f>IF(TrRoad_act!N59=0,0,TrRoad_ene!N62/TrRoad_tech!N90)</f>
        <v>1.1276317172099004</v>
      </c>
      <c r="O117" s="150">
        <f>IF(TrRoad_act!O59=0,0,TrRoad_ene!O62/TrRoad_tech!O90)</f>
        <v>1.1367061519329511</v>
      </c>
      <c r="P117" s="150">
        <f>IF(TrRoad_act!P59=0,0,TrRoad_ene!P62/TrRoad_tech!P90)</f>
        <v>1.1454786129290877</v>
      </c>
      <c r="Q117" s="150">
        <f>IF(TrRoad_act!Q59=0,0,TrRoad_ene!Q62/TrRoad_tech!Q90)</f>
        <v>1.1573751231540574</v>
      </c>
      <c r="R117" s="150">
        <f>IF(TrRoad_act!R59=0,0,TrRoad_ene!R62/TrRoad_tech!R90)</f>
        <v>1.1692763709332272</v>
      </c>
      <c r="S117" s="150">
        <f>IF(TrRoad_act!S59=0,0,TrRoad_ene!S62/TrRoad_tech!S90)</f>
        <v>1.1793888281072824</v>
      </c>
      <c r="T117" s="150">
        <f>IF(TrRoad_act!T59=0,0,TrRoad_ene!T62/TrRoad_tech!T90)</f>
        <v>1.1932761754168217</v>
      </c>
      <c r="U117" s="150">
        <f>IF(TrRoad_act!U59=0,0,TrRoad_ene!U62/TrRoad_tech!U90)</f>
        <v>1.2046407595532278</v>
      </c>
      <c r="V117" s="150">
        <f>IF(TrRoad_act!V59=0,0,TrRoad_ene!V62/TrRoad_tech!V90)</f>
        <v>1.218774150032611</v>
      </c>
      <c r="W117" s="150">
        <f>IF(TrRoad_act!W59=0,0,TrRoad_ene!W62/TrRoad_tech!W90)</f>
        <v>1.2204527474374474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1.0197558802801143</v>
      </c>
      <c r="C118" s="151">
        <f>IF(TrRoad_act!C60=0,0,TrRoad_ene!C63/TrRoad_tech!C91)</f>
        <v>1.0338657290685345</v>
      </c>
      <c r="D118" s="151">
        <f>IF(TrRoad_act!D60=0,0,TrRoad_ene!D63/TrRoad_tech!D91)</f>
        <v>1.0126994008702601</v>
      </c>
      <c r="E118" s="151">
        <f>IF(TrRoad_act!E60=0,0,TrRoad_ene!E63/TrRoad_tech!E91)</f>
        <v>1.0557574780228334</v>
      </c>
      <c r="F118" s="151">
        <f>IF(TrRoad_act!F60=0,0,TrRoad_ene!F63/TrRoad_tech!F91)</f>
        <v>1.0329405270070817</v>
      </c>
      <c r="G118" s="151">
        <f>IF(TrRoad_act!G60=0,0,TrRoad_ene!G63/TrRoad_tech!G91)</f>
        <v>1.0452105061525816</v>
      </c>
      <c r="H118" s="151">
        <f>IF(TrRoad_act!H60=0,0,TrRoad_ene!H63/TrRoad_tech!H91)</f>
        <v>1.0225155024373291</v>
      </c>
      <c r="I118" s="151">
        <f>IF(TrRoad_act!I60=0,0,TrRoad_ene!I63/TrRoad_tech!I91)</f>
        <v>0.9840431164618163</v>
      </c>
      <c r="J118" s="151">
        <f>IF(TrRoad_act!J60=0,0,TrRoad_ene!J63/TrRoad_tech!J91)</f>
        <v>0.99128986518344253</v>
      </c>
      <c r="K118" s="151">
        <f>IF(TrRoad_act!K60=0,0,TrRoad_ene!K63/TrRoad_tech!K91)</f>
        <v>0.97690994684208787</v>
      </c>
      <c r="L118" s="151">
        <f>IF(TrRoad_act!L60=0,0,TrRoad_ene!L63/TrRoad_tech!L91)</f>
        <v>0.96479755951675961</v>
      </c>
      <c r="M118" s="151">
        <f>IF(TrRoad_act!M60=0,0,TrRoad_ene!M63/TrRoad_tech!M91)</f>
        <v>0.95441888594404789</v>
      </c>
      <c r="N118" s="151">
        <f>IF(TrRoad_act!N60=0,0,TrRoad_ene!N63/TrRoad_tech!N91)</f>
        <v>0.97724056683012073</v>
      </c>
      <c r="O118" s="151">
        <f>IF(TrRoad_act!O60=0,0,TrRoad_ene!O63/TrRoad_tech!O91)</f>
        <v>0.85205406671233552</v>
      </c>
      <c r="P118" s="151">
        <f>IF(TrRoad_act!P60=0,0,TrRoad_ene!P63/TrRoad_tech!P91)</f>
        <v>0.96177322806621923</v>
      </c>
      <c r="Q118" s="151">
        <f>IF(TrRoad_act!Q60=0,0,TrRoad_ene!Q63/TrRoad_tech!Q91)</f>
        <v>0.96377127459222556</v>
      </c>
      <c r="R118" s="151">
        <f>IF(TrRoad_act!R60=0,0,TrRoad_ene!R63/TrRoad_tech!R91)</f>
        <v>0.97702805746340304</v>
      </c>
      <c r="S118" s="151">
        <f>IF(TrRoad_act!S60=0,0,TrRoad_ene!S63/TrRoad_tech!S91)</f>
        <v>1.0018036059814741</v>
      </c>
      <c r="T118" s="151">
        <f>IF(TrRoad_act!T60=0,0,TrRoad_ene!T63/TrRoad_tech!T91)</f>
        <v>1.0489611260388125</v>
      </c>
      <c r="U118" s="151">
        <f>IF(TrRoad_act!U60=0,0,TrRoad_ene!U63/TrRoad_tech!U91)</f>
        <v>1.0957122070212497</v>
      </c>
      <c r="V118" s="151">
        <f>IF(TrRoad_act!V60=0,0,TrRoad_ene!V63/TrRoad_tech!V91)</f>
        <v>1.0458370002299089</v>
      </c>
      <c r="W118" s="151">
        <f>IF(TrRoad_act!W60=0,0,TrRoad_ene!W63/TrRoad_tech!W91)</f>
        <v>1.0497452760088792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1.0429711789242795</v>
      </c>
      <c r="C119" s="91">
        <f>IF(TrRoad_act!C61=0,0,TrRoad_ene!C64/TrRoad_tech!C92)</f>
        <v>1.0116069078328886</v>
      </c>
      <c r="D119" s="91">
        <f>IF(TrRoad_act!D61=0,0,TrRoad_ene!D64/TrRoad_tech!D92)</f>
        <v>1.0197116693182811</v>
      </c>
      <c r="E119" s="91">
        <f>IF(TrRoad_act!E61=0,0,TrRoad_ene!E64/TrRoad_tech!E92)</f>
        <v>1.0168306932013584</v>
      </c>
      <c r="F119" s="91">
        <f>IF(TrRoad_act!F61=0,0,TrRoad_ene!F64/TrRoad_tech!F92)</f>
        <v>1.0390388190232387</v>
      </c>
      <c r="G119" s="91">
        <f>IF(TrRoad_act!G61=0,0,TrRoad_ene!G64/TrRoad_tech!G92)</f>
        <v>1.0506232187336948</v>
      </c>
      <c r="H119" s="91">
        <f>IF(TrRoad_act!H61=0,0,TrRoad_ene!H64/TrRoad_tech!H92)</f>
        <v>1.0720568341466175</v>
      </c>
      <c r="I119" s="91">
        <f>IF(TrRoad_act!I61=0,0,TrRoad_ene!I64/TrRoad_tech!I92)</f>
        <v>1.074049076149586</v>
      </c>
      <c r="J119" s="91">
        <f>IF(TrRoad_act!J61=0,0,TrRoad_ene!J64/TrRoad_tech!J92)</f>
        <v>1.0736690627772421</v>
      </c>
      <c r="K119" s="91">
        <f>IF(TrRoad_act!K61=0,0,TrRoad_ene!K64/TrRoad_tech!K92)</f>
        <v>1.0475132431157663</v>
      </c>
      <c r="L119" s="91">
        <f>IF(TrRoad_act!L61=0,0,TrRoad_ene!L64/TrRoad_tech!L92)</f>
        <v>1.0586055596382618</v>
      </c>
      <c r="M119" s="91">
        <f>IF(TrRoad_act!M61=0,0,TrRoad_ene!M64/TrRoad_tech!M92)</f>
        <v>1.039463585796325</v>
      </c>
      <c r="N119" s="91">
        <f>IF(TrRoad_act!N61=0,0,TrRoad_ene!N64/TrRoad_tech!N92)</f>
        <v>1.0492213397595387</v>
      </c>
      <c r="O119" s="91">
        <f>IF(TrRoad_act!O61=0,0,TrRoad_ene!O64/TrRoad_tech!O92)</f>
        <v>0.89467095089921844</v>
      </c>
      <c r="P119" s="91">
        <f>IF(TrRoad_act!P61=0,0,TrRoad_ene!P64/TrRoad_tech!P92)</f>
        <v>1.0419714419157582</v>
      </c>
      <c r="Q119" s="91">
        <f>IF(TrRoad_act!Q61=0,0,TrRoad_ene!Q64/TrRoad_tech!Q92)</f>
        <v>1.0600159630115056</v>
      </c>
      <c r="R119" s="91">
        <f>IF(TrRoad_act!R61=0,0,TrRoad_ene!R64/TrRoad_tech!R92)</f>
        <v>1.0370069352248712</v>
      </c>
      <c r="S119" s="91">
        <f>IF(TrRoad_act!S61=0,0,TrRoad_ene!S64/TrRoad_tech!S92)</f>
        <v>1.0382738385868628</v>
      </c>
      <c r="T119" s="91">
        <f>IF(TrRoad_act!T61=0,0,TrRoad_ene!T64/TrRoad_tech!T92)</f>
        <v>1.0402461514022316</v>
      </c>
      <c r="U119" s="91">
        <f>IF(TrRoad_act!U61=0,0,TrRoad_ene!U64/TrRoad_tech!U92)</f>
        <v>1.0422529040349255</v>
      </c>
      <c r="V119" s="91">
        <f>IF(TrRoad_act!V61=0,0,TrRoad_ene!V64/TrRoad_tech!V92)</f>
        <v>1.0441217553486184</v>
      </c>
      <c r="W119" s="91">
        <f>IF(TrRoad_act!W61=0,0,TrRoad_ene!W64/TrRoad_tech!W92)</f>
        <v>1.0459433315732427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0.91390971089143458</v>
      </c>
      <c r="C120" s="91">
        <f>IF(TrRoad_act!C62=0,0,TrRoad_ene!C65/TrRoad_tech!C93)</f>
        <v>0.99422623584801262</v>
      </c>
      <c r="D120" s="91">
        <f>IF(TrRoad_act!D62=0,0,TrRoad_ene!D65/TrRoad_tech!D93)</f>
        <v>0.90297020987794485</v>
      </c>
      <c r="E120" s="91">
        <f>IF(TrRoad_act!E62=0,0,TrRoad_ene!E65/TrRoad_tech!E93)</f>
        <v>1.1201818066567841</v>
      </c>
      <c r="F120" s="91">
        <f>IF(TrRoad_act!F62=0,0,TrRoad_ene!F65/TrRoad_tech!F93)</f>
        <v>1.0709544665925939</v>
      </c>
      <c r="G120" s="91">
        <f>IF(TrRoad_act!G62=0,0,TrRoad_ene!G65/TrRoad_tech!G93)</f>
        <v>1.1422532777460328</v>
      </c>
      <c r="H120" s="91">
        <f>IF(TrRoad_act!H62=0,0,TrRoad_ene!H65/TrRoad_tech!H93)</f>
        <v>1.0879843672950662</v>
      </c>
      <c r="I120" s="91">
        <f>IF(TrRoad_act!I62=0,0,TrRoad_ene!I65/TrRoad_tech!I93)</f>
        <v>0.99305732375717681</v>
      </c>
      <c r="J120" s="91">
        <f>IF(TrRoad_act!J62=0,0,TrRoad_ene!J65/TrRoad_tech!J93)</f>
        <v>1.0349090194545674</v>
      </c>
      <c r="K120" s="91">
        <f>IF(TrRoad_act!K62=0,0,TrRoad_ene!K65/TrRoad_tech!K93)</f>
        <v>0.96997454666809957</v>
      </c>
      <c r="L120" s="91">
        <f>IF(TrRoad_act!L62=0,0,TrRoad_ene!L65/TrRoad_tech!L93)</f>
        <v>0.96905486459736534</v>
      </c>
      <c r="M120" s="91">
        <f>IF(TrRoad_act!M62=0,0,TrRoad_ene!M65/TrRoad_tech!M93)</f>
        <v>0.93384875766832676</v>
      </c>
      <c r="N120" s="91">
        <f>IF(TrRoad_act!N62=0,0,TrRoad_ene!N65/TrRoad_tech!N93)</f>
        <v>1.0055667661302303</v>
      </c>
      <c r="O120" s="91">
        <f>IF(TrRoad_act!O62=0,0,TrRoad_ene!O65/TrRoad_tech!O93)</f>
        <v>0.81995213913410758</v>
      </c>
      <c r="P120" s="91">
        <f>IF(TrRoad_act!P62=0,0,TrRoad_ene!P65/TrRoad_tech!P93)</f>
        <v>0.96934616230911663</v>
      </c>
      <c r="Q120" s="91">
        <f>IF(TrRoad_act!Q62=0,0,TrRoad_ene!Q65/TrRoad_tech!Q93)</f>
        <v>0.99877955607528612</v>
      </c>
      <c r="R120" s="91">
        <f>IF(TrRoad_act!R62=0,0,TrRoad_ene!R65/TrRoad_tech!R93)</f>
        <v>1.0367661463278681</v>
      </c>
      <c r="S120" s="91">
        <f>IF(TrRoad_act!S62=0,0,TrRoad_ene!S65/TrRoad_tech!S93)</f>
        <v>1.0816508406652503</v>
      </c>
      <c r="T120" s="91">
        <f>IF(TrRoad_act!T62=0,0,TrRoad_ene!T65/TrRoad_tech!T93)</f>
        <v>1.1550341211215387</v>
      </c>
      <c r="U120" s="91">
        <f>IF(TrRoad_act!U62=0,0,TrRoad_ene!U65/TrRoad_tech!U93)</f>
        <v>1.2369717889251199</v>
      </c>
      <c r="V120" s="91">
        <f>IF(TrRoad_act!V62=0,0,TrRoad_ene!V65/TrRoad_tech!V93)</f>
        <v>1.122709089627862</v>
      </c>
      <c r="W120" s="91">
        <f>IF(TrRoad_act!W62=0,0,TrRoad_ene!W65/TrRoad_tech!W93)</f>
        <v>1.1441596741557019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1.0484456977202739</v>
      </c>
      <c r="C121" s="91">
        <f>IF(TrRoad_act!C63=0,0,TrRoad_ene!C66/TrRoad_tech!C94)</f>
        <v>1.2042699041965246</v>
      </c>
      <c r="D121" s="91">
        <f>IF(TrRoad_act!D63=0,0,TrRoad_ene!D66/TrRoad_tech!D94)</f>
        <v>1.1746537932906995</v>
      </c>
      <c r="E121" s="91">
        <f>IF(TrRoad_act!E63=0,0,TrRoad_ene!E66/TrRoad_tech!E94)</f>
        <v>1.184415919906592</v>
      </c>
      <c r="F121" s="91">
        <f>IF(TrRoad_act!F63=0,0,TrRoad_ene!F66/TrRoad_tech!F94)</f>
        <v>1.1305440607753829</v>
      </c>
      <c r="G121" s="91">
        <f>IF(TrRoad_act!G63=0,0,TrRoad_ene!G66/TrRoad_tech!G94)</f>
        <v>1.0748679090382085</v>
      </c>
      <c r="H121" s="91">
        <f>IF(TrRoad_act!H63=0,0,TrRoad_ene!H66/TrRoad_tech!H94)</f>
        <v>1.013183319846797</v>
      </c>
      <c r="I121" s="91">
        <f>IF(TrRoad_act!I63=0,0,TrRoad_ene!I66/TrRoad_tech!I94)</f>
        <v>0.98004608811712268</v>
      </c>
      <c r="J121" s="91">
        <f>IF(TrRoad_act!J63=0,0,TrRoad_ene!J66/TrRoad_tech!J94)</f>
        <v>0.95567599046241369</v>
      </c>
      <c r="K121" s="91">
        <f>IF(TrRoad_act!K63=0,0,TrRoad_ene!K66/TrRoad_tech!K94)</f>
        <v>1.0238188775554331</v>
      </c>
      <c r="L121" s="91">
        <f>IF(TrRoad_act!L63=0,0,TrRoad_ene!L66/TrRoad_tech!L94)</f>
        <v>0.96719132474140723</v>
      </c>
      <c r="M121" s="91">
        <f>IF(TrRoad_act!M63=0,0,TrRoad_ene!M66/TrRoad_tech!M94)</f>
        <v>1.0127144477350858</v>
      </c>
      <c r="N121" s="91">
        <f>IF(TrRoad_act!N63=0,0,TrRoad_ene!N66/TrRoad_tech!N94)</f>
        <v>0.96632992725482281</v>
      </c>
      <c r="O121" s="91">
        <f>IF(TrRoad_act!O63=0,0,TrRoad_ene!O66/TrRoad_tech!O94)</f>
        <v>0.98422178658541382</v>
      </c>
      <c r="P121" s="91">
        <f>IF(TrRoad_act!P63=0,0,TrRoad_ene!P66/TrRoad_tech!P94)</f>
        <v>0.9929283769949685</v>
      </c>
      <c r="Q121" s="91">
        <f>IF(TrRoad_act!Q63=0,0,TrRoad_ene!Q66/TrRoad_tech!Q94)</f>
        <v>0.95430938928468756</v>
      </c>
      <c r="R121" s="91">
        <f>IF(TrRoad_act!R63=0,0,TrRoad_ene!R66/TrRoad_tech!R94)</f>
        <v>0.95259116563233048</v>
      </c>
      <c r="S121" s="91">
        <f>IF(TrRoad_act!S63=0,0,TrRoad_ene!S66/TrRoad_tech!S94)</f>
        <v>0.95575185858534384</v>
      </c>
      <c r="T121" s="91">
        <f>IF(TrRoad_act!T63=0,0,TrRoad_ene!T66/TrRoad_tech!T94)</f>
        <v>0.98783201243029994</v>
      </c>
      <c r="U121" s="91">
        <f>IF(TrRoad_act!U63=0,0,TrRoad_ene!U66/TrRoad_tech!U94)</f>
        <v>0.99042658962451136</v>
      </c>
      <c r="V121" s="91">
        <f>IF(TrRoad_act!V63=0,0,TrRoad_ene!V66/TrRoad_tech!V94)</f>
        <v>1.0546820103159418</v>
      </c>
      <c r="W121" s="91">
        <f>IF(TrRoad_act!W63=0,0,TrRoad_ene!W66/TrRoad_tech!W94)</f>
        <v>1.0134096712007761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1.0363339299971668</v>
      </c>
      <c r="H122" s="91">
        <f>IF(TrRoad_act!H64=0,0,TrRoad_ene!H67/TrRoad_tech!H95)</f>
        <v>1.037100817663632</v>
      </c>
      <c r="I122" s="91">
        <f>IF(TrRoad_act!I64=0,0,TrRoad_ene!I67/TrRoad_tech!I95)</f>
        <v>1.0390177436993002</v>
      </c>
      <c r="J122" s="91">
        <f>IF(TrRoad_act!J64=0,0,TrRoad_ene!J67/TrRoad_tech!J95)</f>
        <v>1.0392309071808843</v>
      </c>
      <c r="K122" s="91">
        <f>IF(TrRoad_act!K64=0,0,TrRoad_ene!K67/TrRoad_tech!K95)</f>
        <v>1.04271585618011</v>
      </c>
      <c r="L122" s="91">
        <f>IF(TrRoad_act!L64=0,0,TrRoad_ene!L67/TrRoad_tech!L95)</f>
        <v>1.0461371818330643</v>
      </c>
      <c r="M122" s="91">
        <f>IF(TrRoad_act!M64=0,0,TrRoad_ene!M67/TrRoad_tech!M95)</f>
        <v>1.0473970691718693</v>
      </c>
      <c r="N122" s="91">
        <f>IF(TrRoad_act!N64=0,0,TrRoad_ene!N67/TrRoad_tech!N95)</f>
        <v>1.0490068505632939</v>
      </c>
      <c r="O122" s="91">
        <f>IF(TrRoad_act!O64=0,0,TrRoad_ene!O67/TrRoad_tech!O95)</f>
        <v>1.0508599092993576</v>
      </c>
      <c r="P122" s="91">
        <f>IF(TrRoad_act!P64=0,0,TrRoad_ene!P67/TrRoad_tech!P95)</f>
        <v>1.0583703926784795</v>
      </c>
      <c r="Q122" s="91">
        <f>IF(TrRoad_act!Q64=0,0,TrRoad_ene!Q67/TrRoad_tech!Q95)</f>
        <v>1.0608695103528252</v>
      </c>
      <c r="R122" s="91">
        <f>IF(TrRoad_act!R64=0,0,TrRoad_ene!R67/TrRoad_tech!R95)</f>
        <v>1.0621827616617834</v>
      </c>
      <c r="S122" s="91">
        <f>IF(TrRoad_act!S64=0,0,TrRoad_ene!S67/TrRoad_tech!S95)</f>
        <v>1.0624358908578331</v>
      </c>
      <c r="T122" s="91">
        <f>IF(TrRoad_act!T64=0,0,TrRoad_ene!T67/TrRoad_tech!T95)</f>
        <v>1.0636517046992906</v>
      </c>
      <c r="U122" s="91">
        <f>IF(TrRoad_act!U64=0,0,TrRoad_ene!U67/TrRoad_tech!U95)</f>
        <v>1.065718381225029</v>
      </c>
      <c r="V122" s="91">
        <f>IF(TrRoad_act!V64=0,0,TrRoad_ene!V67/TrRoad_tech!V95)</f>
        <v>1.066546688149461</v>
      </c>
      <c r="W122" s="91">
        <f>IF(TrRoad_act!W64=0,0,TrRoad_ene!W67/TrRoad_tech!W95)</f>
        <v>1.0667072747324615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1.0766848609014577</v>
      </c>
      <c r="O123" s="91">
        <f>IF(TrRoad_act!O65=0,0,TrRoad_ene!O68/TrRoad_tech!O96)</f>
        <v>0.9726730235062363</v>
      </c>
      <c r="P123" s="91">
        <f>IF(TrRoad_act!P65=0,0,TrRoad_ene!P68/TrRoad_tech!P96)</f>
        <v>1.0757924895368529</v>
      </c>
      <c r="Q123" s="91">
        <f>IF(TrRoad_act!Q65=0,0,TrRoad_ene!Q68/TrRoad_tech!Q96)</f>
        <v>1.0974107421683927</v>
      </c>
      <c r="R123" s="91">
        <f>IF(TrRoad_act!R65=0,0,TrRoad_ene!R68/TrRoad_tech!R96)</f>
        <v>1.0883658926818416</v>
      </c>
      <c r="S123" s="91">
        <f>IF(TrRoad_act!S65=0,0,TrRoad_ene!S68/TrRoad_tech!S96)</f>
        <v>1.0909873289304199</v>
      </c>
      <c r="T123" s="91">
        <f>IF(TrRoad_act!T65=0,0,TrRoad_ene!T68/TrRoad_tech!T96)</f>
        <v>1.0925909073761879</v>
      </c>
      <c r="U123" s="91">
        <f>IF(TrRoad_act!U65=0,0,TrRoad_ene!U68/TrRoad_tech!U96)</f>
        <v>1.0949266006734433</v>
      </c>
      <c r="V123" s="91">
        <f>IF(TrRoad_act!V65=0,0,TrRoad_ene!V68/TrRoad_tech!V96)</f>
        <v>1.0956455235337592</v>
      </c>
      <c r="W123" s="91">
        <f>IF(TrRoad_act!W65=0,0,TrRoad_ene!W68/TrRoad_tech!W96)</f>
        <v>1.0972087271092532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0</v>
      </c>
      <c r="P124" s="91">
        <f>IF(TrRoad_act!P66=0,0,TrRoad_ene!P69/TrRoad_tech!P97)</f>
        <v>0</v>
      </c>
      <c r="Q124" s="91">
        <f>IF(TrRoad_act!Q66=0,0,TrRoad_ene!Q69/TrRoad_tech!Q97)</f>
        <v>0</v>
      </c>
      <c r="R124" s="91">
        <f>IF(TrRoad_act!R66=0,0,TrRoad_ene!R69/TrRoad_tech!R97)</f>
        <v>1.0883796989241801</v>
      </c>
      <c r="S124" s="91">
        <f>IF(TrRoad_act!S66=0,0,TrRoad_ene!S69/TrRoad_tech!S97)</f>
        <v>1.0908940937592226</v>
      </c>
      <c r="T124" s="91">
        <f>IF(TrRoad_act!T66=0,0,TrRoad_ene!T69/TrRoad_tech!T97)</f>
        <v>1.0934333442051143</v>
      </c>
      <c r="U124" s="91">
        <f>IF(TrRoad_act!U66=0,0,TrRoad_ene!U69/TrRoad_tech!U97)</f>
        <v>1.0948484810224182</v>
      </c>
      <c r="V124" s="91">
        <f>IF(TrRoad_act!V66=0,0,TrRoad_ene!V69/TrRoad_tech!V97)</f>
        <v>1.0963071260428641</v>
      </c>
      <c r="W124" s="91">
        <f>IF(TrRoad_act!W66=0,0,TrRoad_ene!W69/TrRoad_tech!W97)</f>
        <v>1.0971845521059644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1.0934595056607499</v>
      </c>
      <c r="D125" s="151">
        <f>IF(TrRoad_act!D67=0,0,TrRoad_ene!D70/TrRoad_tech!D98)</f>
        <v>1.0884903648670301</v>
      </c>
      <c r="E125" s="151">
        <f>IF(TrRoad_act!E67=0,0,TrRoad_ene!E70/TrRoad_tech!E98)</f>
        <v>1.0882994017625662</v>
      </c>
      <c r="F125" s="151">
        <f>IF(TrRoad_act!F67=0,0,TrRoad_ene!F70/TrRoad_tech!F98)</f>
        <v>1.0883700304072292</v>
      </c>
      <c r="G125" s="151">
        <f>IF(TrRoad_act!G67=0,0,TrRoad_ene!G70/TrRoad_tech!G98)</f>
        <v>1.0919390283356885</v>
      </c>
      <c r="H125" s="151">
        <f>IF(TrRoad_act!H67=0,0,TrRoad_ene!H70/TrRoad_tech!H98)</f>
        <v>1.0925887912932966</v>
      </c>
      <c r="I125" s="151">
        <f>IF(TrRoad_act!I67=0,0,TrRoad_ene!I70/TrRoad_tech!I98)</f>
        <v>1.1013993038918006</v>
      </c>
      <c r="J125" s="151">
        <f>IF(TrRoad_act!J67=0,0,TrRoad_ene!J70/TrRoad_tech!J98)</f>
        <v>1.1041692938746821</v>
      </c>
      <c r="K125" s="151">
        <f>IF(TrRoad_act!K67=0,0,TrRoad_ene!K70/TrRoad_tech!K98)</f>
        <v>1.1136744437017825</v>
      </c>
      <c r="L125" s="151">
        <f>IF(TrRoad_act!L67=0,0,TrRoad_ene!L70/TrRoad_tech!L98)</f>
        <v>1.1293382509120864</v>
      </c>
      <c r="M125" s="151">
        <f>IF(TrRoad_act!M67=0,0,TrRoad_ene!M70/TrRoad_tech!M98)</f>
        <v>1.1358859715124496</v>
      </c>
      <c r="N125" s="151">
        <f>IF(TrRoad_act!N67=0,0,TrRoad_ene!N70/TrRoad_tech!N98)</f>
        <v>1.1548348025866872</v>
      </c>
      <c r="O125" s="151">
        <f>IF(TrRoad_act!O67=0,0,TrRoad_ene!O70/TrRoad_tech!O98)</f>
        <v>1.1263131696118309</v>
      </c>
      <c r="P125" s="151">
        <f>IF(TrRoad_act!P67=0,0,TrRoad_ene!P70/TrRoad_tech!P98)</f>
        <v>1.0835134398767527</v>
      </c>
      <c r="Q125" s="151">
        <f>IF(TrRoad_act!Q67=0,0,TrRoad_ene!Q70/TrRoad_tech!Q98)</f>
        <v>1.143471937262043</v>
      </c>
      <c r="R125" s="151">
        <f>IF(TrRoad_act!R67=0,0,TrRoad_ene!R70/TrRoad_tech!R98)</f>
        <v>1.1755271872326434</v>
      </c>
      <c r="S125" s="151">
        <f>IF(TrRoad_act!S67=0,0,TrRoad_ene!S70/TrRoad_tech!S98)</f>
        <v>1.1839489165115229</v>
      </c>
      <c r="T125" s="151">
        <f>IF(TrRoad_act!T67=0,0,TrRoad_ene!T70/TrRoad_tech!T98)</f>
        <v>1.1908301437107236</v>
      </c>
      <c r="U125" s="151">
        <f>IF(TrRoad_act!U67=0,0,TrRoad_ene!U70/TrRoad_tech!U98)</f>
        <v>1.2050217717570959</v>
      </c>
      <c r="V125" s="151">
        <f>IF(TrRoad_act!V67=0,0,TrRoad_ene!V70/TrRoad_tech!V98)</f>
        <v>1.1957818611410493</v>
      </c>
      <c r="W125" s="151">
        <f>IF(TrRoad_act!W67=0,0,TrRoad_ene!W70/TrRoad_tech!W98)</f>
        <v>1.2211321816862755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1.1006572566362063</v>
      </c>
      <c r="D127" s="93">
        <f>IF(TrRoad_act!D69=0,0,TrRoad_ene!D72/TrRoad_tech!D100)</f>
        <v>1.1031363535419194</v>
      </c>
      <c r="E127" s="93">
        <f>IF(TrRoad_act!E69=0,0,TrRoad_ene!E72/TrRoad_tech!E100)</f>
        <v>1.1033670054344327</v>
      </c>
      <c r="F127" s="93">
        <f>IF(TrRoad_act!F69=0,0,TrRoad_ene!F72/TrRoad_tech!F100)</f>
        <v>1.1037374269803883</v>
      </c>
      <c r="G127" s="93">
        <f>IF(TrRoad_act!G69=0,0,TrRoad_ene!G72/TrRoad_tech!G100)</f>
        <v>1.1095988336068316</v>
      </c>
      <c r="H127" s="93">
        <f>IF(TrRoad_act!H69=0,0,TrRoad_ene!H72/TrRoad_tech!H100)</f>
        <v>1.1108273732691525</v>
      </c>
      <c r="I127" s="93">
        <f>IF(TrRoad_act!I69=0,0,TrRoad_ene!I72/TrRoad_tech!I100)</f>
        <v>1.117445760900968</v>
      </c>
      <c r="J127" s="93">
        <f>IF(TrRoad_act!J69=0,0,TrRoad_ene!J72/TrRoad_tech!J100)</f>
        <v>1.1187897690297735</v>
      </c>
      <c r="K127" s="93">
        <f>IF(TrRoad_act!K69=0,0,TrRoad_ene!K72/TrRoad_tech!K100)</f>
        <v>1.1278079504437317</v>
      </c>
      <c r="L127" s="93">
        <f>IF(TrRoad_act!L69=0,0,TrRoad_ene!L72/TrRoad_tech!L100)</f>
        <v>1.135590542819721</v>
      </c>
      <c r="M127" s="93">
        <f>IF(TrRoad_act!M69=0,0,TrRoad_ene!M72/TrRoad_tech!M100)</f>
        <v>1.1458141901443775</v>
      </c>
      <c r="N127" s="93">
        <f>IF(TrRoad_act!N69=0,0,TrRoad_ene!N72/TrRoad_tech!N100)</f>
        <v>1.1557255129388886</v>
      </c>
      <c r="O127" s="93">
        <f>IF(TrRoad_act!O69=0,0,TrRoad_ene!O72/TrRoad_tech!O100)</f>
        <v>1.1579569189473375</v>
      </c>
      <c r="P127" s="93">
        <f>IF(TrRoad_act!P69=0,0,TrRoad_ene!P72/TrRoad_tech!P100)</f>
        <v>1.1683053872918616</v>
      </c>
      <c r="Q127" s="93">
        <f>IF(TrRoad_act!Q69=0,0,TrRoad_ene!Q72/TrRoad_tech!Q100)</f>
        <v>1.1847655137569777</v>
      </c>
      <c r="R127" s="93">
        <f>IF(TrRoad_act!R69=0,0,TrRoad_ene!R72/TrRoad_tech!R100)</f>
        <v>1.1885435068934698</v>
      </c>
      <c r="S127" s="93">
        <f>IF(TrRoad_act!S69=0,0,TrRoad_ene!S72/TrRoad_tech!S100)</f>
        <v>1.2006913295850139</v>
      </c>
      <c r="T127" s="93">
        <f>IF(TrRoad_act!T69=0,0,TrRoad_ene!T72/TrRoad_tech!T100)</f>
        <v>1.2091974758231792</v>
      </c>
      <c r="U127" s="93">
        <f>IF(TrRoad_act!U69=0,0,TrRoad_ene!U72/TrRoad_tech!U100)</f>
        <v>1.2174606735512965</v>
      </c>
      <c r="V127" s="93">
        <f>IF(TrRoad_act!V69=0,0,TrRoad_ene!V72/TrRoad_tech!V100)</f>
        <v>1.2256221561968768</v>
      </c>
      <c r="W127" s="93">
        <f>IF(TrRoad_act!W69=0,0,TrRoad_ene!W72/TrRoad_tech!W100)</f>
        <v>1.2294064176950075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1.0732101272450953</v>
      </c>
      <c r="G129" s="93">
        <f>IF(TrRoad_act!G71=0,0,TrRoad_ene!G74/TrRoad_tech!G102)</f>
        <v>1.0158734090961328</v>
      </c>
      <c r="H129" s="93">
        <f>IF(TrRoad_act!H71=0,0,TrRoad_ene!H74/TrRoad_tech!H102)</f>
        <v>0.988766217091405</v>
      </c>
      <c r="I129" s="93">
        <f>IF(TrRoad_act!I71=0,0,TrRoad_ene!I74/TrRoad_tech!I102)</f>
        <v>1.0965258438104561</v>
      </c>
      <c r="J129" s="93">
        <f>IF(TrRoad_act!J71=0,0,TrRoad_ene!J74/TrRoad_tech!J102)</f>
        <v>1.1084521622563077</v>
      </c>
      <c r="K129" s="93">
        <f>IF(TrRoad_act!K71=0,0,TrRoad_ene!K74/TrRoad_tech!K102)</f>
        <v>1.1580278466025202</v>
      </c>
      <c r="L129" s="93">
        <f>IF(TrRoad_act!L71=0,0,TrRoad_ene!L74/TrRoad_tech!L102)</f>
        <v>1.2802447422742995</v>
      </c>
      <c r="M129" s="93">
        <f>IF(TrRoad_act!M71=0,0,TrRoad_ene!M74/TrRoad_tech!M102)</f>
        <v>1.240057851249472</v>
      </c>
      <c r="N129" s="93">
        <f>IF(TrRoad_act!N71=0,0,TrRoad_ene!N74/TrRoad_tech!N102)</f>
        <v>1.3738549798985111</v>
      </c>
      <c r="O129" s="93">
        <f>IF(TrRoad_act!O71=0,0,TrRoad_ene!O74/TrRoad_tech!O102)</f>
        <v>0.98726868063205198</v>
      </c>
      <c r="P129" s="93">
        <f>IF(TrRoad_act!P71=0,0,TrRoad_ene!P74/TrRoad_tech!P102)</f>
        <v>0.54592319257952193</v>
      </c>
      <c r="Q129" s="93">
        <f>IF(TrRoad_act!Q71=0,0,TrRoad_ene!Q74/TrRoad_tech!Q102)</f>
        <v>0.87211351018991068</v>
      </c>
      <c r="R129" s="93">
        <f>IF(TrRoad_act!R71=0,0,TrRoad_ene!R74/TrRoad_tech!R102)</f>
        <v>1.0879859778525116</v>
      </c>
      <c r="S129" s="93">
        <f>IF(TrRoad_act!S71=0,0,TrRoad_ene!S74/TrRoad_tech!S102)</f>
        <v>1.073315081655996</v>
      </c>
      <c r="T129" s="93">
        <f>IF(TrRoad_act!T71=0,0,TrRoad_ene!T74/TrRoad_tech!T102)</f>
        <v>1.0673168609403372</v>
      </c>
      <c r="U129" s="93">
        <f>IF(TrRoad_act!U71=0,0,TrRoad_ene!U74/TrRoad_tech!U102)</f>
        <v>1.1146398477355086</v>
      </c>
      <c r="V129" s="93">
        <f>IF(TrRoad_act!V71=0,0,TrRoad_ene!V74/TrRoad_tech!V102)</f>
        <v>1.0047539709281061</v>
      </c>
      <c r="W129" s="93">
        <f>IF(TrRoad_act!W71=0,0,TrRoad_ene!W74/TrRoad_tech!W102)</f>
        <v>1.1761518390093697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1.1788099881970593</v>
      </c>
      <c r="L130" s="93">
        <f>IF(TrRoad_act!L72=0,0,TrRoad_ene!L75/TrRoad_tech!L103)</f>
        <v>1.1895971262973228</v>
      </c>
      <c r="M130" s="93">
        <f>IF(TrRoad_act!M72=0,0,TrRoad_ene!M75/TrRoad_tech!M103)</f>
        <v>1.1922229612686519</v>
      </c>
      <c r="N130" s="93">
        <f>IF(TrRoad_act!N72=0,0,TrRoad_ene!N75/TrRoad_tech!N103)</f>
        <v>1.1965357013808671</v>
      </c>
      <c r="O130" s="93">
        <f>IF(TrRoad_act!O72=0,0,TrRoad_ene!O75/TrRoad_tech!O103)</f>
        <v>1.2490430503249523</v>
      </c>
      <c r="P130" s="93">
        <f>IF(TrRoad_act!P72=0,0,TrRoad_ene!P75/TrRoad_tech!P103)</f>
        <v>1.2562016688971016</v>
      </c>
      <c r="Q130" s="93">
        <f>IF(TrRoad_act!Q72=0,0,TrRoad_ene!Q75/TrRoad_tech!Q103)</f>
        <v>1.2596948341180727</v>
      </c>
      <c r="R130" s="93">
        <f>IF(TrRoad_act!R72=0,0,TrRoad_ene!R75/TrRoad_tech!R103)</f>
        <v>1.2598954205820088</v>
      </c>
      <c r="S130" s="93">
        <f>IF(TrRoad_act!S72=0,0,TrRoad_ene!S75/TrRoad_tech!S103)</f>
        <v>1.2600854601543223</v>
      </c>
      <c r="T130" s="93">
        <f>IF(TrRoad_act!T72=0,0,TrRoad_ene!T75/TrRoad_tech!T103)</f>
        <v>1.2622069397788134</v>
      </c>
      <c r="U130" s="93">
        <f>IF(TrRoad_act!U72=0,0,TrRoad_ene!U75/TrRoad_tech!U103)</f>
        <v>1.2648241279751562</v>
      </c>
      <c r="V130" s="93">
        <f>IF(TrRoad_act!V72=0,0,TrRoad_ene!V75/TrRoad_tech!V103)</f>
        <v>1.2673303717735551</v>
      </c>
      <c r="W130" s="93">
        <f>IF(TrRoad_act!W72=0,0,TrRoad_ene!W75/TrRoad_tech!W103)</f>
        <v>1.2787851170370546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1.0797776125316181</v>
      </c>
      <c r="C132" s="150">
        <f>IF(TrRoad_act!C74=0,0,TrRoad_ene!C77/TrRoad_tech!C105)</f>
        <v>1.078599357293951</v>
      </c>
      <c r="D132" s="150">
        <f>IF(TrRoad_act!D74=0,0,TrRoad_ene!D77/TrRoad_tech!D105)</f>
        <v>1.0767370197480663</v>
      </c>
      <c r="E132" s="150">
        <f>IF(TrRoad_act!E74=0,0,TrRoad_ene!E77/TrRoad_tech!E105)</f>
        <v>1.0644111773154143</v>
      </c>
      <c r="F132" s="150">
        <f>IF(TrRoad_act!F74=0,0,TrRoad_ene!F77/TrRoad_tech!F105)</f>
        <v>1.0545212895019913</v>
      </c>
      <c r="G132" s="150">
        <f>IF(TrRoad_act!G74=0,0,TrRoad_ene!G77/TrRoad_tech!G105)</f>
        <v>1.0539581922596122</v>
      </c>
      <c r="H132" s="150">
        <f>IF(TrRoad_act!H74=0,0,TrRoad_ene!H77/TrRoad_tech!H105)</f>
        <v>1.0557657980978381</v>
      </c>
      <c r="I132" s="150">
        <f>IF(TrRoad_act!I74=0,0,TrRoad_ene!I77/TrRoad_tech!I105)</f>
        <v>1.0631941358667671</v>
      </c>
      <c r="J132" s="150">
        <f>IF(TrRoad_act!J74=0,0,TrRoad_ene!J77/TrRoad_tech!J105)</f>
        <v>1.0715364427695191</v>
      </c>
      <c r="K132" s="150">
        <f>IF(TrRoad_act!K74=0,0,TrRoad_ene!K77/TrRoad_tech!K105)</f>
        <v>1.0800122303282091</v>
      </c>
      <c r="L132" s="150">
        <f>IF(TrRoad_act!L74=0,0,TrRoad_ene!L77/TrRoad_tech!L105)</f>
        <v>1.0884357427453688</v>
      </c>
      <c r="M132" s="150">
        <f>IF(TrRoad_act!M74=0,0,TrRoad_ene!M77/TrRoad_tech!M105)</f>
        <v>1.0965426510625225</v>
      </c>
      <c r="N132" s="150">
        <f>IF(TrRoad_act!N74=0,0,TrRoad_ene!N77/TrRoad_tech!N105)</f>
        <v>1.1046758732561479</v>
      </c>
      <c r="O132" s="150">
        <f>IF(TrRoad_act!O74=0,0,TrRoad_ene!O77/TrRoad_tech!O105)</f>
        <v>1.1130236912085085</v>
      </c>
      <c r="P132" s="150">
        <f>IF(TrRoad_act!P74=0,0,TrRoad_ene!P77/TrRoad_tech!P105)</f>
        <v>1.1236376393096925</v>
      </c>
      <c r="Q132" s="150">
        <f>IF(TrRoad_act!Q74=0,0,TrRoad_ene!Q77/TrRoad_tech!Q105)</f>
        <v>1.1357547819115987</v>
      </c>
      <c r="R132" s="150">
        <f>IF(TrRoad_act!R74=0,0,TrRoad_ene!R77/TrRoad_tech!R105)</f>
        <v>1.1583406477615552</v>
      </c>
      <c r="S132" s="150">
        <f>IF(TrRoad_act!S74=0,0,TrRoad_ene!S77/TrRoad_tech!S105)</f>
        <v>1.1875573412301073</v>
      </c>
      <c r="T132" s="150">
        <f>IF(TrRoad_act!T74=0,0,TrRoad_ene!T77/TrRoad_tech!T105)</f>
        <v>1.2141035232225572</v>
      </c>
      <c r="U132" s="150">
        <f>IF(TrRoad_act!U74=0,0,TrRoad_ene!U77/TrRoad_tech!U105)</f>
        <v>1.2357417905858217</v>
      </c>
      <c r="V132" s="150">
        <f>IF(TrRoad_act!V74=0,0,TrRoad_ene!V77/TrRoad_tech!V105)</f>
        <v>1.2536634916810698</v>
      </c>
      <c r="W132" s="150">
        <f>IF(TrRoad_act!W74=0,0,TrRoad_ene!W77/TrRoad_tech!W105)</f>
        <v>1.2695684029061034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1.1001665151145612</v>
      </c>
      <c r="D133" s="91">
        <f>IF(TrRoad_act!D75=0,0,TrRoad_ene!D78/TrRoad_tech!D106)</f>
        <v>1.1006111625570767</v>
      </c>
      <c r="E133" s="91">
        <f>IF(TrRoad_act!E75=0,0,TrRoad_ene!E78/TrRoad_tech!E106)</f>
        <v>1.1014484552730817</v>
      </c>
      <c r="F133" s="91">
        <f>IF(TrRoad_act!F75=0,0,TrRoad_ene!F78/TrRoad_tech!F106)</f>
        <v>1.1027381714986992</v>
      </c>
      <c r="G133" s="91">
        <f>IF(TrRoad_act!G75=0,0,TrRoad_ene!G78/TrRoad_tech!G106)</f>
        <v>1.1035676603943052</v>
      </c>
      <c r="H133" s="91">
        <f>IF(TrRoad_act!H75=0,0,TrRoad_ene!H78/TrRoad_tech!H106)</f>
        <v>1.1038660131248172</v>
      </c>
      <c r="I133" s="91">
        <f>IF(TrRoad_act!I75=0,0,TrRoad_ene!I78/TrRoad_tech!I106)</f>
        <v>1.1042287699140885</v>
      </c>
      <c r="J133" s="91">
        <f>IF(TrRoad_act!J75=0,0,TrRoad_ene!J78/TrRoad_tech!J106)</f>
        <v>1.104722105217558</v>
      </c>
      <c r="K133" s="91">
        <f>IF(TrRoad_act!K75=0,0,TrRoad_ene!K78/TrRoad_tech!K106)</f>
        <v>1.1051633988600003</v>
      </c>
      <c r="L133" s="91">
        <f>IF(TrRoad_act!L75=0,0,TrRoad_ene!L78/TrRoad_tech!L106)</f>
        <v>1.1063911137289846</v>
      </c>
      <c r="M133" s="91">
        <f>IF(TrRoad_act!M75=0,0,TrRoad_ene!M78/TrRoad_tech!M106)</f>
        <v>1.1095697574526771</v>
      </c>
      <c r="N133" s="91">
        <f>IF(TrRoad_act!N75=0,0,TrRoad_ene!N78/TrRoad_tech!N106)</f>
        <v>1.1230342465198391</v>
      </c>
      <c r="O133" s="91">
        <f>IF(TrRoad_act!O75=0,0,TrRoad_ene!O78/TrRoad_tech!O106)</f>
        <v>1.1347699388599233</v>
      </c>
      <c r="P133" s="91">
        <f>IF(TrRoad_act!P75=0,0,TrRoad_ene!P78/TrRoad_tech!P106)</f>
        <v>1.1547447841733374</v>
      </c>
      <c r="Q133" s="91">
        <f>IF(TrRoad_act!Q75=0,0,TrRoad_ene!Q78/TrRoad_tech!Q106)</f>
        <v>1.1788473694258499</v>
      </c>
      <c r="R133" s="91">
        <f>IF(TrRoad_act!R75=0,0,TrRoad_ene!R78/TrRoad_tech!R106)</f>
        <v>1.2075320173537631</v>
      </c>
      <c r="S133" s="91">
        <f>IF(TrRoad_act!S75=0,0,TrRoad_ene!S78/TrRoad_tech!S106)</f>
        <v>1.2337197158298598</v>
      </c>
      <c r="T133" s="91">
        <f>IF(TrRoad_act!T75=0,0,TrRoad_ene!T78/TrRoad_tech!T106)</f>
        <v>1.2623388130242066</v>
      </c>
      <c r="U133" s="91">
        <f>IF(TrRoad_act!U75=0,0,TrRoad_ene!U78/TrRoad_tech!U106)</f>
        <v>1.2747686125970277</v>
      </c>
      <c r="V133" s="91">
        <f>IF(TrRoad_act!V75=0,0,TrRoad_ene!V78/TrRoad_tech!V106)</f>
        <v>1.2791033340129576</v>
      </c>
      <c r="W133" s="91">
        <f>IF(TrRoad_act!W75=0,0,TrRoad_ene!W78/TrRoad_tech!W106)</f>
        <v>1.2835195768335119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1.10000000000673</v>
      </c>
      <c r="D134" s="91">
        <f>IF(TrRoad_act!D76=0,0,TrRoad_ene!D79/TrRoad_tech!D107)</f>
        <v>1.1000363731267091</v>
      </c>
      <c r="E134" s="91">
        <f>IF(TrRoad_act!E76=0,0,TrRoad_ene!E79/TrRoad_tech!E107)</f>
        <v>1.100634854907685</v>
      </c>
      <c r="F134" s="91">
        <f>IF(TrRoad_act!F76=0,0,TrRoad_ene!F79/TrRoad_tech!F107)</f>
        <v>1.1019579091907621</v>
      </c>
      <c r="G134" s="91">
        <f>IF(TrRoad_act!G76=0,0,TrRoad_ene!G79/TrRoad_tech!G107)</f>
        <v>1.1024573813281247</v>
      </c>
      <c r="H134" s="91">
        <f>IF(TrRoad_act!H76=0,0,TrRoad_ene!H79/TrRoad_tech!H107)</f>
        <v>1.1055412897740333</v>
      </c>
      <c r="I134" s="91">
        <f>IF(TrRoad_act!I76=0,0,TrRoad_ene!I79/TrRoad_tech!I107)</f>
        <v>1.1091667333765287</v>
      </c>
      <c r="J134" s="91">
        <f>IF(TrRoad_act!J76=0,0,TrRoad_ene!J79/TrRoad_tech!J107)</f>
        <v>1.1123741656048269</v>
      </c>
      <c r="K134" s="91">
        <f>IF(TrRoad_act!K76=0,0,TrRoad_ene!K79/TrRoad_tech!K107)</f>
        <v>1.1159331854255117</v>
      </c>
      <c r="L134" s="91">
        <f>IF(TrRoad_act!L76=0,0,TrRoad_ene!L79/TrRoad_tech!L107)</f>
        <v>1.1177074327939747</v>
      </c>
      <c r="M134" s="91">
        <f>IF(TrRoad_act!M76=0,0,TrRoad_ene!M79/TrRoad_tech!M107)</f>
        <v>1.1225922207702166</v>
      </c>
      <c r="N134" s="91">
        <f>IF(TrRoad_act!N76=0,0,TrRoad_ene!N79/TrRoad_tech!N107)</f>
        <v>1.1285037486709946</v>
      </c>
      <c r="O134" s="91">
        <f>IF(TrRoad_act!O76=0,0,TrRoad_ene!O79/TrRoad_tech!O107)</f>
        <v>1.13477367681784</v>
      </c>
      <c r="P134" s="91">
        <f>IF(TrRoad_act!P76=0,0,TrRoad_ene!P79/TrRoad_tech!P107)</f>
        <v>1.1428648285044682</v>
      </c>
      <c r="Q134" s="91">
        <f>IF(TrRoad_act!Q76=0,0,TrRoad_ene!Q79/TrRoad_tech!Q107)</f>
        <v>1.1554730137500921</v>
      </c>
      <c r="R134" s="91">
        <f>IF(TrRoad_act!R76=0,0,TrRoad_ene!R79/TrRoad_tech!R107)</f>
        <v>1.1712211871685048</v>
      </c>
      <c r="S134" s="91">
        <f>IF(TrRoad_act!S76=0,0,TrRoad_ene!S79/TrRoad_tech!S107)</f>
        <v>1.1981924448463039</v>
      </c>
      <c r="T134" s="91">
        <f>IF(TrRoad_act!T76=0,0,TrRoad_ene!T79/TrRoad_tech!T107)</f>
        <v>1.2204603743151825</v>
      </c>
      <c r="U134" s="91">
        <f>IF(TrRoad_act!U76=0,0,TrRoad_ene!U79/TrRoad_tech!U107)</f>
        <v>1.2399119541343797</v>
      </c>
      <c r="V134" s="91">
        <f>IF(TrRoad_act!V76=0,0,TrRoad_ene!V79/TrRoad_tech!V107)</f>
        <v>1.2564090924581472</v>
      </c>
      <c r="W134" s="91">
        <f>IF(TrRoad_act!W76=0,0,TrRoad_ene!W79/TrRoad_tech!W107)</f>
        <v>1.2719088484697092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1.3172635731932034</v>
      </c>
      <c r="S135" s="91">
        <f>IF(TrRoad_act!S77=0,0,TrRoad_ene!S80/TrRoad_tech!S108)</f>
        <v>1.3260574063064965</v>
      </c>
      <c r="T135" s="91">
        <f>IF(TrRoad_act!T77=0,0,TrRoad_ene!T80/TrRoad_tech!T108)</f>
        <v>1.3331419693427735</v>
      </c>
      <c r="U135" s="91">
        <f>IF(TrRoad_act!U77=0,0,TrRoad_ene!U80/TrRoad_tech!U108)</f>
        <v>1.3390770187763028</v>
      </c>
      <c r="V135" s="91">
        <f>IF(TrRoad_act!V77=0,0,TrRoad_ene!V80/TrRoad_tech!V108)</f>
        <v>1.3418102711567104</v>
      </c>
      <c r="W135" s="91">
        <f>IF(TrRoad_act!W77=0,0,TrRoad_ene!W80/TrRoad_tech!W108)</f>
        <v>1.3456092952836496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1.3172635731932032</v>
      </c>
      <c r="S136" s="91">
        <f>IF(TrRoad_act!S78=0,0,TrRoad_ene!S81/TrRoad_tech!S109)</f>
        <v>1.3237389069949164</v>
      </c>
      <c r="T136" s="91">
        <f>IF(TrRoad_act!T78=0,0,TrRoad_ene!T81/TrRoad_tech!T109)</f>
        <v>1.3298081798974499</v>
      </c>
      <c r="U136" s="91">
        <f>IF(TrRoad_act!U78=0,0,TrRoad_ene!U81/TrRoad_tech!U109)</f>
        <v>1.3362493297719535</v>
      </c>
      <c r="V136" s="91">
        <f>IF(TrRoad_act!V78=0,0,TrRoad_ene!V81/TrRoad_tech!V109)</f>
        <v>1.3413138633357524</v>
      </c>
      <c r="W136" s="91">
        <f>IF(TrRoad_act!W78=0,0,TrRoad_ene!W81/TrRoad_tech!W109)</f>
        <v>1.3446123124052525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1.2366278287896999</v>
      </c>
      <c r="P137" s="91">
        <f>IF(TrRoad_act!P79=0,0,TrRoad_ene!P82/TrRoad_tech!P110)</f>
        <v>1.2379223189873394</v>
      </c>
      <c r="Q137" s="91">
        <f>IF(TrRoad_act!Q79=0,0,TrRoad_ene!Q82/TrRoad_tech!Q110)</f>
        <v>1.252732542783624</v>
      </c>
      <c r="R137" s="91">
        <f>IF(TrRoad_act!R79=0,0,TrRoad_ene!R82/TrRoad_tech!R110)</f>
        <v>1.2717084308234998</v>
      </c>
      <c r="S137" s="91">
        <f>IF(TrRoad_act!S79=0,0,TrRoad_ene!S82/TrRoad_tech!S110)</f>
        <v>1.2782610977396702</v>
      </c>
      <c r="T137" s="91">
        <f>IF(TrRoad_act!T79=0,0,TrRoad_ene!T82/TrRoad_tech!T110)</f>
        <v>1.2909831755454662</v>
      </c>
      <c r="U137" s="91">
        <f>IF(TrRoad_act!U79=0,0,TrRoad_ene!U82/TrRoad_tech!U110)</f>
        <v>1.3104860574320549</v>
      </c>
      <c r="V137" s="91">
        <f>IF(TrRoad_act!V79=0,0,TrRoad_ene!V82/TrRoad_tech!V110)</f>
        <v>1.3182536924669455</v>
      </c>
      <c r="W137" s="91">
        <f>IF(TrRoad_act!W79=0,0,TrRoad_ene!W82/TrRoad_tech!W110)</f>
        <v>1.3370012082012772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1.0498697293098285</v>
      </c>
      <c r="C138" s="151">
        <f>IF(TrRoad_act!C80=0,0,TrRoad_ene!C83/TrRoad_tech!C111)</f>
        <v>1.1377174264481653</v>
      </c>
      <c r="D138" s="151">
        <f>IF(TrRoad_act!D80=0,0,TrRoad_ene!D83/TrRoad_tech!D111)</f>
        <v>1.0366051992018981</v>
      </c>
      <c r="E138" s="151">
        <f>IF(TrRoad_act!E80=0,0,TrRoad_ene!E83/TrRoad_tech!E111)</f>
        <v>1.2718999692701161</v>
      </c>
      <c r="F138" s="151">
        <f>IF(TrRoad_act!F80=0,0,TrRoad_ene!F83/TrRoad_tech!F111)</f>
        <v>1.2210735187896562</v>
      </c>
      <c r="G138" s="151">
        <f>IF(TrRoad_act!G80=0,0,TrRoad_ene!G83/TrRoad_tech!G111)</f>
        <v>1.3024021271089019</v>
      </c>
      <c r="H138" s="151">
        <f>IF(TrRoad_act!H80=0,0,TrRoad_ene!H83/TrRoad_tech!H111)</f>
        <v>1.231155929744552</v>
      </c>
      <c r="I138" s="151">
        <f>IF(TrRoad_act!I80=0,0,TrRoad_ene!I83/TrRoad_tech!I111)</f>
        <v>1.1220565067542012</v>
      </c>
      <c r="J138" s="151">
        <f>IF(TrRoad_act!J80=0,0,TrRoad_ene!J83/TrRoad_tech!J111)</f>
        <v>1.1546479135241554</v>
      </c>
      <c r="K138" s="151">
        <f>IF(TrRoad_act!K80=0,0,TrRoad_ene!K83/TrRoad_tech!K111)</f>
        <v>1.0901973738159079</v>
      </c>
      <c r="L138" s="151">
        <f>IF(TrRoad_act!L80=0,0,TrRoad_ene!L83/TrRoad_tech!L111)</f>
        <v>1.0971337982092262</v>
      </c>
      <c r="M138" s="151">
        <f>IF(TrRoad_act!M80=0,0,TrRoad_ene!M83/TrRoad_tech!M111)</f>
        <v>1.0646852887795426</v>
      </c>
      <c r="N138" s="151">
        <f>IF(TrRoad_act!N80=0,0,TrRoad_ene!N83/TrRoad_tech!N111)</f>
        <v>1.1519004495102705</v>
      </c>
      <c r="O138" s="151">
        <f>IF(TrRoad_act!O80=0,0,TrRoad_ene!O83/TrRoad_tech!O111)</f>
        <v>0.94997278171500055</v>
      </c>
      <c r="P138" s="151">
        <f>IF(TrRoad_act!P80=0,0,TrRoad_ene!P83/TrRoad_tech!P111)</f>
        <v>1.1285658171392352</v>
      </c>
      <c r="Q138" s="151">
        <f>IF(TrRoad_act!Q80=0,0,TrRoad_ene!Q83/TrRoad_tech!Q111)</f>
        <v>1.1827376195658406</v>
      </c>
      <c r="R138" s="151">
        <f>IF(TrRoad_act!R80=0,0,TrRoad_ene!R83/TrRoad_tech!R111)</f>
        <v>1.2462456223477636</v>
      </c>
      <c r="S138" s="151">
        <f>IF(TrRoad_act!S80=0,0,TrRoad_ene!S83/TrRoad_tech!S111)</f>
        <v>1.3061631562365583</v>
      </c>
      <c r="T138" s="151">
        <f>IF(TrRoad_act!T80=0,0,TrRoad_ene!T83/TrRoad_tech!T111)</f>
        <v>1.4254716098425009</v>
      </c>
      <c r="U138" s="151">
        <f>IF(TrRoad_act!U80=0,0,TrRoad_ene!U83/TrRoad_tech!U111)</f>
        <v>1.5564867190714269</v>
      </c>
      <c r="V138" s="151">
        <f>IF(TrRoad_act!V80=0,0,TrRoad_ene!V83/TrRoad_tech!V111)</f>
        <v>1.4477324288079607</v>
      </c>
      <c r="W138" s="151">
        <f>IF(TrRoad_act!W80=0,0,TrRoad_ene!W83/TrRoad_tech!W111)</f>
        <v>1.4876586417233453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0.80342075101404575</v>
      </c>
      <c r="C139" s="93">
        <f>IF(TrRoad_act!C81=0,0,TrRoad_ene!C84/TrRoad_tech!C112)</f>
        <v>1.015728732067873</v>
      </c>
      <c r="D139" s="93">
        <f>IF(TrRoad_act!D81=0,0,TrRoad_ene!D84/TrRoad_tech!D112)</f>
        <v>0.77683306639627325</v>
      </c>
      <c r="E139" s="93">
        <f>IF(TrRoad_act!E81=0,0,TrRoad_ene!E84/TrRoad_tech!E112)</f>
        <v>1.2919287321792514</v>
      </c>
      <c r="F139" s="93">
        <f>IF(TrRoad_act!F81=0,0,TrRoad_ene!F84/TrRoad_tech!F112)</f>
        <v>1.1986222786411636</v>
      </c>
      <c r="G139" s="93">
        <f>IF(TrRoad_act!G81=0,0,TrRoad_ene!G84/TrRoad_tech!G112)</f>
        <v>1.3416118521262259</v>
      </c>
      <c r="H139" s="93">
        <f>IF(TrRoad_act!H81=0,0,TrRoad_ene!H84/TrRoad_tech!H112)</f>
        <v>1.2214142695806021</v>
      </c>
      <c r="I139" s="93">
        <f>IF(TrRoad_act!I81=0,0,TrRoad_ene!I84/TrRoad_tech!I112)</f>
        <v>1.0592142343473752</v>
      </c>
      <c r="J139" s="93">
        <f>IF(TrRoad_act!J81=0,0,TrRoad_ene!J84/TrRoad_tech!J112)</f>
        <v>1.1332104091543267</v>
      </c>
      <c r="K139" s="93">
        <f>IF(TrRoad_act!K81=0,0,TrRoad_ene!K84/TrRoad_tech!K112)</f>
        <v>1.0473187362840071</v>
      </c>
      <c r="L139" s="93">
        <f>IF(TrRoad_act!L81=0,0,TrRoad_ene!L84/TrRoad_tech!L112)</f>
        <v>1.0465087281575691</v>
      </c>
      <c r="M139" s="93">
        <f>IF(TrRoad_act!M81=0,0,TrRoad_ene!M84/TrRoad_tech!M112)</f>
        <v>0.99345770302733183</v>
      </c>
      <c r="N139" s="93">
        <f>IF(TrRoad_act!N81=0,0,TrRoad_ene!N84/TrRoad_tech!N112)</f>
        <v>1.108587032985642</v>
      </c>
      <c r="O139" s="93">
        <f>IF(TrRoad_act!O81=0,0,TrRoad_ene!O84/TrRoad_tech!O112)</f>
        <v>0.81677431902777908</v>
      </c>
      <c r="P139" s="93">
        <f>IF(TrRoad_act!P81=0,0,TrRoad_ene!P84/TrRoad_tech!P112)</f>
        <v>1.0604895694663699</v>
      </c>
      <c r="Q139" s="93">
        <f>IF(TrRoad_act!Q81=0,0,TrRoad_ene!Q84/TrRoad_tech!Q112)</f>
        <v>1.1220581704958075</v>
      </c>
      <c r="R139" s="93">
        <f>IF(TrRoad_act!R81=0,0,TrRoad_ene!R84/TrRoad_tech!R112)</f>
        <v>1.2009177802945699</v>
      </c>
      <c r="S139" s="93">
        <f>IF(TrRoad_act!S81=0,0,TrRoad_ene!S84/TrRoad_tech!S112)</f>
        <v>1.2809140187593955</v>
      </c>
      <c r="T139" s="93">
        <f>IF(TrRoad_act!T81=0,0,TrRoad_ene!T84/TrRoad_tech!T112)</f>
        <v>1.4270202864007782</v>
      </c>
      <c r="U139" s="93">
        <f>IF(TrRoad_act!U81=0,0,TrRoad_ene!U84/TrRoad_tech!U112)</f>
        <v>1.5966620815471524</v>
      </c>
      <c r="V139" s="93">
        <f>IF(TrRoad_act!V81=0,0,TrRoad_ene!V84/TrRoad_tech!V112)</f>
        <v>1.4305057404836015</v>
      </c>
      <c r="W139" s="93">
        <f>IF(TrRoad_act!W81=0,0,TrRoad_ene!W84/TrRoad_tech!W112)</f>
        <v>1.4802662908129931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1.1243739213519246</v>
      </c>
      <c r="C140" s="94">
        <f>IF(TrRoad_act!C82=0,0,TrRoad_ene!C85/TrRoad_tech!C113)</f>
        <v>1.1077718039601276</v>
      </c>
      <c r="D140" s="94">
        <f>IF(TrRoad_act!D82=0,0,TrRoad_ene!D85/TrRoad_tech!D113)</f>
        <v>1.1286202033874224</v>
      </c>
      <c r="E140" s="94">
        <f>IF(TrRoad_act!E82=0,0,TrRoad_ene!E85/TrRoad_tech!E113)</f>
        <v>1.0839394232873751</v>
      </c>
      <c r="F140" s="94">
        <f>IF(TrRoad_act!F82=0,0,TrRoad_ene!F85/TrRoad_tech!F113)</f>
        <v>1.099708184955265</v>
      </c>
      <c r="G140" s="94">
        <f>IF(TrRoad_act!G82=0,0,TrRoad_ene!G85/TrRoad_tech!G113)</f>
        <v>1.0881371134206552</v>
      </c>
      <c r="H140" s="94">
        <f>IF(TrRoad_act!H82=0,0,TrRoad_ene!H85/TrRoad_tech!H113)</f>
        <v>1.1010118577221928</v>
      </c>
      <c r="I140" s="94">
        <f>IF(TrRoad_act!I82=0,0,TrRoad_ene!I85/TrRoad_tech!I113)</f>
        <v>1.1231672779117863</v>
      </c>
      <c r="J140" s="94">
        <f>IF(TrRoad_act!J82=0,0,TrRoad_ene!J85/TrRoad_tech!J113)</f>
        <v>1.1195131041260158</v>
      </c>
      <c r="K140" s="94">
        <f>IF(TrRoad_act!K82=0,0,TrRoad_ene!K85/TrRoad_tech!K113)</f>
        <v>1.1386779494126655</v>
      </c>
      <c r="L140" s="94">
        <f>IF(TrRoad_act!L82=0,0,TrRoad_ene!L85/TrRoad_tech!L113)</f>
        <v>1.1559299002670154</v>
      </c>
      <c r="M140" s="94">
        <f>IF(TrRoad_act!M82=0,0,TrRoad_ene!M85/TrRoad_tech!M113)</f>
        <v>1.1848402998980156</v>
      </c>
      <c r="N140" s="94">
        <f>IF(TrRoad_act!N82=0,0,TrRoad_ene!N85/TrRoad_tech!N113)</f>
        <v>1.1756085007477877</v>
      </c>
      <c r="O140" s="94">
        <f>IF(TrRoad_act!O82=0,0,TrRoad_ene!O85/TrRoad_tech!O113)</f>
        <v>1.2480137839624648</v>
      </c>
      <c r="P140" s="94">
        <f>IF(TrRoad_act!P82=0,0,TrRoad_ene!P85/TrRoad_tech!P113)</f>
        <v>1.2215002782550652</v>
      </c>
      <c r="Q140" s="94">
        <f>IF(TrRoad_act!Q82=0,0,TrRoad_ene!Q85/TrRoad_tech!Q113)</f>
        <v>1.2417863020903854</v>
      </c>
      <c r="R140" s="94">
        <f>IF(TrRoad_act!R82=0,0,TrRoad_ene!R85/TrRoad_tech!R113)</f>
        <v>1.2460799163982637</v>
      </c>
      <c r="S140" s="94">
        <f>IF(TrRoad_act!S82=0,0,TrRoad_ene!S85/TrRoad_tech!S113)</f>
        <v>1.2495552407839878</v>
      </c>
      <c r="T140" s="94">
        <f>IF(TrRoad_act!T82=0,0,TrRoad_ene!T85/TrRoad_tech!T113)</f>
        <v>1.2409627874055775</v>
      </c>
      <c r="U140" s="94">
        <f>IF(TrRoad_act!U82=0,0,TrRoad_ene!U85/TrRoad_tech!U113)</f>
        <v>1.2274088828528691</v>
      </c>
      <c r="V140" s="94">
        <f>IF(TrRoad_act!V82=0,0,TrRoad_ene!V85/TrRoad_tech!V113)</f>
        <v>1.3040304299365721</v>
      </c>
      <c r="W140" s="94">
        <f>IF(TrRoad_act!W82=0,0,TrRoad_ene!W85/TrRoad_tech!W113)</f>
        <v>1.3385901682921504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3.7371133839571824</v>
      </c>
      <c r="C144" s="141">
        <v>3.7217365189874139</v>
      </c>
      <c r="D144" s="141">
        <v>3.7047253079571205</v>
      </c>
      <c r="E144" s="141">
        <v>3.6697274724200248</v>
      </c>
      <c r="F144" s="141">
        <v>3.6659038515921152</v>
      </c>
      <c r="G144" s="141">
        <v>3.6287601064067032</v>
      </c>
      <c r="H144" s="141">
        <v>3.5739028524879117</v>
      </c>
      <c r="I144" s="141">
        <v>3.534808280349484</v>
      </c>
      <c r="J144" s="141">
        <v>3.4073022307004015</v>
      </c>
      <c r="K144" s="141">
        <v>3.2697689305128201</v>
      </c>
      <c r="L144" s="141">
        <v>3.1838935280410849</v>
      </c>
      <c r="M144" s="141">
        <v>2.9824733862333179</v>
      </c>
      <c r="N144" s="141">
        <v>2.9423857784673415</v>
      </c>
      <c r="O144" s="141">
        <v>2.8794589604596643</v>
      </c>
      <c r="P144" s="141">
        <v>2.8227381201281991</v>
      </c>
      <c r="Q144" s="141">
        <v>2.753466826482716</v>
      </c>
      <c r="R144" s="141">
        <v>2.6966300228606759</v>
      </c>
      <c r="S144" s="141">
        <v>2.6511605799630438</v>
      </c>
      <c r="T144" s="141">
        <v>2.6147850256449381</v>
      </c>
      <c r="U144" s="141">
        <v>2.5856845821904533</v>
      </c>
      <c r="V144" s="141">
        <v>2.5624042274268657</v>
      </c>
      <c r="W144" s="141">
        <v>2.5437799436159954</v>
      </c>
      <c r="DA144" s="174" t="s">
        <v>885</v>
      </c>
    </row>
    <row r="145" spans="1:105" ht="11.45" customHeight="1" x14ac:dyDescent="0.25">
      <c r="A145" s="109" t="s">
        <v>20</v>
      </c>
      <c r="B145" s="130">
        <v>7.5505108668675192</v>
      </c>
      <c r="C145" s="130">
        <v>7.7441714055319437</v>
      </c>
      <c r="D145" s="130">
        <v>7.5338317974177755</v>
      </c>
      <c r="E145" s="130">
        <v>7.2326426230451535</v>
      </c>
      <c r="F145" s="130">
        <v>7.2669800110139962</v>
      </c>
      <c r="G145" s="130">
        <v>7.7993565253796548</v>
      </c>
      <c r="H145" s="130">
        <v>7.2415607596849281</v>
      </c>
      <c r="I145" s="130">
        <v>7.1153004665377706</v>
      </c>
      <c r="J145" s="130">
        <v>6.7174909790807904</v>
      </c>
      <c r="K145" s="130">
        <v>6.4430620427746037</v>
      </c>
      <c r="L145" s="130">
        <v>5.9766038516835955</v>
      </c>
      <c r="M145" s="130">
        <v>6.3371696276595078</v>
      </c>
      <c r="N145" s="130">
        <v>6.7078040733757138</v>
      </c>
      <c r="O145" s="130">
        <v>5.9905237674355831</v>
      </c>
      <c r="P145" s="130">
        <v>5.9044001505837755</v>
      </c>
      <c r="Q145" s="130">
        <v>5.3756464602155702</v>
      </c>
      <c r="R145" s="130">
        <v>5.1449358519225896</v>
      </c>
      <c r="S145" s="130">
        <v>5.2437166617264968</v>
      </c>
      <c r="T145" s="130">
        <v>5.2864370321303351</v>
      </c>
      <c r="U145" s="130">
        <v>5.468172016318567</v>
      </c>
      <c r="V145" s="130">
        <v>5.0523801103685297</v>
      </c>
      <c r="W145" s="130">
        <v>4.8782417774951856</v>
      </c>
      <c r="DA145" s="176" t="s">
        <v>886</v>
      </c>
    </row>
    <row r="146" spans="1:105" ht="11.45" customHeight="1" x14ac:dyDescent="0.25">
      <c r="A146" s="111" t="s">
        <v>110</v>
      </c>
      <c r="B146" s="96">
        <v>7.8958743959298614</v>
      </c>
      <c r="C146" s="96">
        <v>7.8987355246433069</v>
      </c>
      <c r="D146" s="96">
        <v>7.8509706329824978</v>
      </c>
      <c r="E146" s="96">
        <v>7.7527020370656459</v>
      </c>
      <c r="F146" s="96">
        <v>7.7419658916923435</v>
      </c>
      <c r="G146" s="96">
        <v>7.6376719080659852</v>
      </c>
      <c r="H146" s="96">
        <v>7.483641087710251</v>
      </c>
      <c r="I146" s="96">
        <v>7.3738694788934334</v>
      </c>
      <c r="J146" s="96">
        <v>7.0158518964449668</v>
      </c>
      <c r="K146" s="96">
        <v>6.6296793205175364</v>
      </c>
      <c r="L146" s="96">
        <v>6.3885542596335272</v>
      </c>
      <c r="M146" s="96">
        <v>5.8224967406385266</v>
      </c>
      <c r="N146" s="96">
        <v>5.7100965540701178</v>
      </c>
      <c r="O146" s="96">
        <v>5.5337483253330726</v>
      </c>
      <c r="P146" s="96">
        <v>5.3744848379471026</v>
      </c>
      <c r="Q146" s="96">
        <v>5.181970198070978</v>
      </c>
      <c r="R146" s="96">
        <v>5.1419847190412895</v>
      </c>
      <c r="S146" s="96">
        <v>5.1067201707179093</v>
      </c>
      <c r="T146" s="96">
        <v>5.0781180988892975</v>
      </c>
      <c r="U146" s="96">
        <v>5.2911882365987939</v>
      </c>
      <c r="V146" s="96">
        <v>5.1953177666382366</v>
      </c>
      <c r="W146" s="96">
        <v>4.879936191814795</v>
      </c>
      <c r="DA146" s="171" t="s">
        <v>887</v>
      </c>
    </row>
    <row r="147" spans="1:105" ht="11.45" customHeight="1" x14ac:dyDescent="0.25">
      <c r="A147" s="111" t="s">
        <v>111</v>
      </c>
      <c r="B147" s="96">
        <v>6.6261645768689936</v>
      </c>
      <c r="C147" s="96">
        <v>6.6627835240082005</v>
      </c>
      <c r="D147" s="96">
        <v>6.6591056665834838</v>
      </c>
      <c r="E147" s="96">
        <v>6.6742768284604406</v>
      </c>
      <c r="F147" s="96">
        <v>6.6302574724083598</v>
      </c>
      <c r="G147" s="96">
        <v>6.6500259560662114</v>
      </c>
      <c r="H147" s="96">
        <v>6.6926661155840241</v>
      </c>
      <c r="I147" s="96">
        <v>6.6310620037200145</v>
      </c>
      <c r="J147" s="96">
        <v>6.3318912888282011</v>
      </c>
      <c r="K147" s="96">
        <v>6.0830612474371994</v>
      </c>
      <c r="L147" s="96">
        <v>5.8494023679231972</v>
      </c>
      <c r="M147" s="96">
        <v>6.4385773030690645</v>
      </c>
      <c r="N147" s="96">
        <v>6.3871879070056155</v>
      </c>
      <c r="O147" s="96">
        <v>5.9196793300158168</v>
      </c>
      <c r="P147" s="96">
        <v>5.6311636103679525</v>
      </c>
      <c r="Q147" s="96">
        <v>5.3539235736193271</v>
      </c>
      <c r="R147" s="96">
        <v>5.0756712150267687</v>
      </c>
      <c r="S147" s="96">
        <v>5.1493842411572457</v>
      </c>
      <c r="T147" s="96">
        <v>5.3203581525610346</v>
      </c>
      <c r="U147" s="96">
        <v>5.3025193329854883</v>
      </c>
      <c r="V147" s="96">
        <v>5.0644195606242519</v>
      </c>
      <c r="W147" s="96">
        <v>5.0268957956486604</v>
      </c>
      <c r="DA147" s="171" t="s">
        <v>888</v>
      </c>
    </row>
    <row r="148" spans="1:105" ht="11.45" customHeight="1" x14ac:dyDescent="0.25">
      <c r="A148" s="111" t="s">
        <v>112</v>
      </c>
      <c r="B148" s="96">
        <v>7.6336406505170213</v>
      </c>
      <c r="C148" s="96">
        <v>7.8435504954788691</v>
      </c>
      <c r="D148" s="96">
        <v>7.8392208545229547</v>
      </c>
      <c r="E148" s="96">
        <v>7.8570806234661035</v>
      </c>
      <c r="F148" s="96">
        <v>7.8052602332749981</v>
      </c>
      <c r="G148" s="96">
        <v>7.8285320534130376</v>
      </c>
      <c r="H148" s="96">
        <v>7.8787288282456727</v>
      </c>
      <c r="I148" s="96">
        <v>0</v>
      </c>
      <c r="J148" s="96">
        <v>0</v>
      </c>
      <c r="K148" s="96">
        <v>7.1610908398028341</v>
      </c>
      <c r="L148" s="96">
        <v>5.7747516675551136</v>
      </c>
      <c r="M148" s="96">
        <v>7.5796108358757062</v>
      </c>
      <c r="N148" s="96">
        <v>7.5149005212521205</v>
      </c>
      <c r="O148" s="96">
        <v>6.2332376655376311</v>
      </c>
      <c r="P148" s="96">
        <v>6.0002041295439588</v>
      </c>
      <c r="Q148" s="96">
        <v>5.5094122694794105</v>
      </c>
      <c r="R148" s="96">
        <v>5.2579839754368169</v>
      </c>
      <c r="S148" s="96">
        <v>5.586228306941921</v>
      </c>
      <c r="T148" s="96">
        <v>5.6268401223044728</v>
      </c>
      <c r="U148" s="96">
        <v>6.4489662122446658</v>
      </c>
      <c r="V148" s="96">
        <v>4.8804300261754925</v>
      </c>
      <c r="W148" s="96">
        <v>4.5438368654985242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9.4400302482943879</v>
      </c>
      <c r="G149" s="96">
        <v>9.3128612095875081</v>
      </c>
      <c r="H149" s="96">
        <v>9.1250464318334483</v>
      </c>
      <c r="I149" s="96">
        <v>8.9911983469760024</v>
      </c>
      <c r="J149" s="96">
        <v>0</v>
      </c>
      <c r="K149" s="96">
        <v>8.0837831369593882</v>
      </c>
      <c r="L149" s="96">
        <v>5.8391192084417378</v>
      </c>
      <c r="M149" s="96">
        <v>7.1001693950381242</v>
      </c>
      <c r="N149" s="96">
        <v>6.6307323864026531</v>
      </c>
      <c r="O149" s="96">
        <v>6.9892330455481497</v>
      </c>
      <c r="P149" s="96">
        <v>6.6250517052190014</v>
      </c>
      <c r="Q149" s="96">
        <v>6.6985108281931103</v>
      </c>
      <c r="R149" s="96">
        <v>5.141589070612393</v>
      </c>
      <c r="S149" s="96">
        <v>4.8068388284569554</v>
      </c>
      <c r="T149" s="96">
        <v>5.2659985452965055</v>
      </c>
      <c r="U149" s="96">
        <v>5.1392821261244306</v>
      </c>
      <c r="V149" s="96">
        <v>4.9140709002971086</v>
      </c>
      <c r="W149" s="96">
        <v>4.4443474175040496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2.6450945307222993</v>
      </c>
      <c r="O150" s="96">
        <v>0</v>
      </c>
      <c r="P150" s="96">
        <v>3.7556255134025966</v>
      </c>
      <c r="Q150" s="96">
        <v>3.3154509578499036</v>
      </c>
      <c r="R150" s="96">
        <v>3.1526913632533953</v>
      </c>
      <c r="S150" s="96">
        <v>3.2401292925486045</v>
      </c>
      <c r="T150" s="96">
        <v>3.1664569096498019</v>
      </c>
      <c r="U150" s="96">
        <v>3.7802093183026195</v>
      </c>
      <c r="V150" s="96">
        <v>3.2022911797214846</v>
      </c>
      <c r="W150" s="96">
        <v>3.7112140469476631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0</v>
      </c>
      <c r="P151" s="96">
        <v>0</v>
      </c>
      <c r="Q151" s="96">
        <v>0</v>
      </c>
      <c r="R151" s="96">
        <v>1.1129587088241777</v>
      </c>
      <c r="S151" s="96">
        <v>1.0483383410869695</v>
      </c>
      <c r="T151" s="96">
        <v>1.1659501289767842</v>
      </c>
      <c r="U151" s="96">
        <v>1.4242163683264282</v>
      </c>
      <c r="V151" s="96">
        <v>1.398200232355123</v>
      </c>
      <c r="W151" s="96">
        <v>1.4661435941530523</v>
      </c>
      <c r="DA151" s="171" t="s">
        <v>892</v>
      </c>
    </row>
    <row r="152" spans="1:105" ht="11.45" customHeight="1" x14ac:dyDescent="0.25">
      <c r="A152" s="109" t="s">
        <v>21</v>
      </c>
      <c r="B152" s="130">
        <v>48.104965494010486</v>
      </c>
      <c r="C152" s="130">
        <v>48.097654906350449</v>
      </c>
      <c r="D152" s="130">
        <v>48.024610106985897</v>
      </c>
      <c r="E152" s="130">
        <v>47.872908047697031</v>
      </c>
      <c r="F152" s="130">
        <v>42.597380977584756</v>
      </c>
      <c r="G152" s="130">
        <v>46.960109399843617</v>
      </c>
      <c r="H152" s="130">
        <v>42.613162793741665</v>
      </c>
      <c r="I152" s="130">
        <v>45.872940381712034</v>
      </c>
      <c r="J152" s="130">
        <v>43.207492683977627</v>
      </c>
      <c r="K152" s="130">
        <v>44.305849115624532</v>
      </c>
      <c r="L152" s="130">
        <v>42.725382661355653</v>
      </c>
      <c r="M152" s="130">
        <v>44.418302553250911</v>
      </c>
      <c r="N152" s="130">
        <v>43.919624448011426</v>
      </c>
      <c r="O152" s="130">
        <v>32.473770502725415</v>
      </c>
      <c r="P152" s="130">
        <v>39.52156794814266</v>
      </c>
      <c r="Q152" s="130">
        <v>41.831471305915358</v>
      </c>
      <c r="R152" s="130">
        <v>42.838249045650976</v>
      </c>
      <c r="S152" s="130">
        <v>41.594355679389153</v>
      </c>
      <c r="T152" s="130">
        <v>38.150035491824752</v>
      </c>
      <c r="U152" s="130">
        <v>36.619484540592367</v>
      </c>
      <c r="V152" s="130">
        <v>37.805066769735831</v>
      </c>
      <c r="W152" s="130">
        <v>34.894787369840316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48.104965494010486</v>
      </c>
      <c r="C154" s="97">
        <v>48.097654906350449</v>
      </c>
      <c r="D154" s="97">
        <v>48.024610106985897</v>
      </c>
      <c r="E154" s="97">
        <v>47.872908047697024</v>
      </c>
      <c r="F154" s="97">
        <v>47.856316900743366</v>
      </c>
      <c r="G154" s="97">
        <v>47.693500755759061</v>
      </c>
      <c r="H154" s="97">
        <v>47.449346151489642</v>
      </c>
      <c r="I154" s="97">
        <v>47.273411438962938</v>
      </c>
      <c r="J154" s="97">
        <v>46.677920101801249</v>
      </c>
      <c r="K154" s="97">
        <v>46.007940304828054</v>
      </c>
      <c r="L154" s="97">
        <v>45.57787555265709</v>
      </c>
      <c r="M154" s="97">
        <v>44.497425299453752</v>
      </c>
      <c r="N154" s="97">
        <v>44.2792254905509</v>
      </c>
      <c r="O154" s="97">
        <v>43.92857291250143</v>
      </c>
      <c r="P154" s="97">
        <v>43.605529453478312</v>
      </c>
      <c r="Q154" s="97">
        <v>43.199999999908329</v>
      </c>
      <c r="R154" s="97">
        <v>42.838249045650976</v>
      </c>
      <c r="S154" s="97">
        <v>42.515263923213261</v>
      </c>
      <c r="T154" s="97">
        <v>42.226659927099298</v>
      </c>
      <c r="U154" s="97">
        <v>41.968591753154406</v>
      </c>
      <c r="V154" s="97">
        <v>41.737679163489481</v>
      </c>
      <c r="W154" s="97">
        <v>41.530944300205114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38.285053520594694</v>
      </c>
      <c r="G156" s="97">
        <v>38.154800604607253</v>
      </c>
      <c r="H156" s="97">
        <v>37.959476921191715</v>
      </c>
      <c r="I156" s="97">
        <v>37.818729151170352</v>
      </c>
      <c r="J156" s="97">
        <v>37.342336081440997</v>
      </c>
      <c r="K156" s="97">
        <v>36.806352243862442</v>
      </c>
      <c r="L156" s="97">
        <v>36.462300442125681</v>
      </c>
      <c r="M156" s="97">
        <v>0</v>
      </c>
      <c r="N156" s="97">
        <v>35.423380392440713</v>
      </c>
      <c r="O156" s="97">
        <v>35.142858330001147</v>
      </c>
      <c r="P156" s="97">
        <v>34.884423562782651</v>
      </c>
      <c r="Q156" s="97">
        <v>34.559999999926667</v>
      </c>
      <c r="R156" s="97">
        <v>0</v>
      </c>
      <c r="S156" s="97">
        <v>34.012211138570621</v>
      </c>
      <c r="T156" s="97">
        <v>33.78132794167945</v>
      </c>
      <c r="U156" s="97">
        <v>33.574873402523536</v>
      </c>
      <c r="V156" s="97">
        <v>33.390143330791595</v>
      </c>
      <c r="W156" s="97">
        <v>33.224755440164103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27.185760697477914</v>
      </c>
      <c r="K157" s="97">
        <v>26.913903090503133</v>
      </c>
      <c r="L157" s="97">
        <v>26.644764059598103</v>
      </c>
      <c r="M157" s="97">
        <v>26.378316419002122</v>
      </c>
      <c r="N157" s="97">
        <v>26.114533254812102</v>
      </c>
      <c r="O157" s="97">
        <v>25.85338792226398</v>
      </c>
      <c r="P157" s="97">
        <v>25.594854043041341</v>
      </c>
      <c r="Q157" s="97">
        <v>25.338905502610928</v>
      </c>
      <c r="R157" s="97">
        <v>0</v>
      </c>
      <c r="S157" s="97">
        <v>0</v>
      </c>
      <c r="T157" s="97">
        <v>24.725329705791925</v>
      </c>
      <c r="U157" s="97">
        <v>24.562826618396151</v>
      </c>
      <c r="V157" s="97">
        <v>24.417487200948216</v>
      </c>
      <c r="W157" s="97">
        <v>24.287417153635896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9.0521287747304093</v>
      </c>
      <c r="D159" s="141">
        <v>8.1343282040414362</v>
      </c>
      <c r="E159" s="141">
        <v>6.9398067138305262</v>
      </c>
      <c r="F159" s="141">
        <v>6.7980673528018087</v>
      </c>
      <c r="G159" s="141">
        <v>6.9090554458003313</v>
      </c>
      <c r="H159" s="141">
        <v>6.5936163570094966</v>
      </c>
      <c r="I159" s="141">
        <v>6.5789748250533933</v>
      </c>
      <c r="J159" s="141">
        <v>6.5307008139375196</v>
      </c>
      <c r="K159" s="141">
        <v>6.5075870497887749</v>
      </c>
      <c r="L159" s="141">
        <v>6.5918006216960254</v>
      </c>
      <c r="M159" s="141">
        <v>6.6286842052764863</v>
      </c>
      <c r="N159" s="141">
        <v>6.1554286280509825</v>
      </c>
      <c r="O159" s="141">
        <v>5.9585727628770933</v>
      </c>
      <c r="P159" s="141">
        <v>5.8355591656095385</v>
      </c>
      <c r="Q159" s="141">
        <v>5.8616171958892496</v>
      </c>
      <c r="R159" s="141">
        <v>5.6488241565869863</v>
      </c>
      <c r="S159" s="141">
        <v>5.5036433021419633</v>
      </c>
      <c r="T159" s="141">
        <v>5.4105418122465938</v>
      </c>
      <c r="U159" s="141">
        <v>5.5043202346159612</v>
      </c>
      <c r="V159" s="141">
        <v>5.6505001026537007</v>
      </c>
      <c r="W159" s="141">
        <v>5.6540743444330346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9.2790120104340161</v>
      </c>
      <c r="D160" s="96">
        <v>9.2229003705373582</v>
      </c>
      <c r="E160" s="96">
        <v>9.1074596801995007</v>
      </c>
      <c r="F160" s="96">
        <v>9.0948474308649345</v>
      </c>
      <c r="G160" s="96">
        <v>8.9723284373291019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6.8405456002469514</v>
      </c>
      <c r="N160" s="96">
        <v>6.7083162482462413</v>
      </c>
      <c r="O160" s="96">
        <v>6.515459400660184</v>
      </c>
      <c r="P160" s="96">
        <v>5.7089487579539844</v>
      </c>
      <c r="Q160" s="96">
        <v>5.8803278593917465</v>
      </c>
      <c r="R160" s="96">
        <v>5.4939410376254258</v>
      </c>
      <c r="S160" s="96">
        <v>5.099978228831695</v>
      </c>
      <c r="T160" s="96">
        <v>4.7380196518852369</v>
      </c>
      <c r="U160" s="96">
        <v>4.9056428072275828</v>
      </c>
      <c r="V160" s="96">
        <v>5.03615421333794</v>
      </c>
      <c r="W160" s="96">
        <v>5.2147449292055796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0</v>
      </c>
      <c r="D161" s="96">
        <v>6.6348160053423015</v>
      </c>
      <c r="E161" s="96">
        <v>6.612900261357284</v>
      </c>
      <c r="F161" s="96">
        <v>6.6227512900550254</v>
      </c>
      <c r="G161" s="96">
        <v>6.5918006216960245</v>
      </c>
      <c r="H161" s="96">
        <v>6.5613926490543539</v>
      </c>
      <c r="I161" s="96">
        <v>6.4116706877834284</v>
      </c>
      <c r="J161" s="96">
        <v>6.2844254386055427</v>
      </c>
      <c r="K161" s="96">
        <v>6.1625468167132746</v>
      </c>
      <c r="L161" s="96">
        <v>5.9899937475319618</v>
      </c>
      <c r="M161" s="96">
        <v>5.7322783498293868</v>
      </c>
      <c r="N161" s="96">
        <v>5.665320375664268</v>
      </c>
      <c r="O161" s="96">
        <v>5.5337416727446964</v>
      </c>
      <c r="P161" s="96">
        <v>5.4982745528243706</v>
      </c>
      <c r="Q161" s="96">
        <v>5.31015734975903</v>
      </c>
      <c r="R161" s="96">
        <v>5.2365448812212971</v>
      </c>
      <c r="S161" s="96">
        <v>5.0106099824967494</v>
      </c>
      <c r="T161" s="96">
        <v>5.0644865638405783</v>
      </c>
      <c r="U161" s="96">
        <v>5.4225090978904964</v>
      </c>
      <c r="V161" s="96">
        <v>6.1642342680406337</v>
      </c>
      <c r="W161" s="96">
        <v>6.2413391329526036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7.6867742802032435</v>
      </c>
      <c r="S162" s="96">
        <v>6.5775506188560211</v>
      </c>
      <c r="T162" s="96">
        <v>6.6172806915803948</v>
      </c>
      <c r="U162" s="96">
        <v>6.853098190872922</v>
      </c>
      <c r="V162" s="96">
        <v>6.0737273821599818</v>
      </c>
      <c r="W162" s="96">
        <v>6.075865779197418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4.3757513562171573</v>
      </c>
      <c r="S163" s="96">
        <v>4.7047550477240696</v>
      </c>
      <c r="T163" s="96">
        <v>5.1796833869121883</v>
      </c>
      <c r="U163" s="96">
        <v>4.7863790494692093</v>
      </c>
      <c r="V163" s="96">
        <v>7.0479407850641822</v>
      </c>
      <c r="W163" s="96">
        <v>6.9015585472116197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1.2406928838497286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1.3736027515047291</v>
      </c>
      <c r="T164" s="96">
        <v>1.2317282889079966</v>
      </c>
      <c r="U164" s="96">
        <v>1.4534823731728288</v>
      </c>
      <c r="V164" s="96">
        <v>1.7540842648323303</v>
      </c>
      <c r="W164" s="96">
        <v>2.2374668211895772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28.84412122784909</v>
      </c>
      <c r="D165" s="130">
        <v>28.93165336548066</v>
      </c>
      <c r="E165" s="130">
        <v>27.855387709452007</v>
      </c>
      <c r="F165" s="130">
        <v>28.018274942688869</v>
      </c>
      <c r="G165" s="130">
        <v>27.769727603646462</v>
      </c>
      <c r="H165" s="130">
        <v>26.806652126450658</v>
      </c>
      <c r="I165" s="130">
        <v>26.663628454138127</v>
      </c>
      <c r="J165" s="130">
        <v>26.151493479126071</v>
      </c>
      <c r="K165" s="130">
        <v>26.020578246731414</v>
      </c>
      <c r="L165" s="130">
        <v>26.552302406764493</v>
      </c>
      <c r="M165" s="130">
        <v>25.875588407675352</v>
      </c>
      <c r="N165" s="130">
        <v>24.732893028469263</v>
      </c>
      <c r="O165" s="130">
        <v>25.355869060394685</v>
      </c>
      <c r="P165" s="130">
        <v>23.849496188191093</v>
      </c>
      <c r="Q165" s="130">
        <v>23.55903176760236</v>
      </c>
      <c r="R165" s="130">
        <v>22.676732556476896</v>
      </c>
      <c r="S165" s="130">
        <v>22.429448854499611</v>
      </c>
      <c r="T165" s="130">
        <v>21.918586808819192</v>
      </c>
      <c r="U165" s="130">
        <v>21.516002925139109</v>
      </c>
      <c r="V165" s="130">
        <v>21.622597197612386</v>
      </c>
      <c r="W165" s="130">
        <v>21.531667646494277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27.862886597882664</v>
      </c>
      <c r="D166" s="97">
        <v>27.720485175130609</v>
      </c>
      <c r="E166" s="97">
        <v>27.543168897808172</v>
      </c>
      <c r="F166" s="97">
        <v>27.331388329915754</v>
      </c>
      <c r="G166" s="97">
        <v>27.085677811485262</v>
      </c>
      <c r="H166" s="97">
        <v>26.806652126450658</v>
      </c>
      <c r="I166" s="97">
        <v>26.495002715851946</v>
      </c>
      <c r="J166" s="97">
        <v>26.151493479126071</v>
      </c>
      <c r="K166" s="97">
        <v>25.776956209565583</v>
      </c>
      <c r="L166" s="97">
        <v>25.372285714220684</v>
      </c>
      <c r="M166" s="97">
        <v>24.938434669302026</v>
      </c>
      <c r="N166" s="97">
        <v>24.476408264120909</v>
      </c>
      <c r="O166" s="97">
        <v>23.987258687222891</v>
      </c>
      <c r="P166" s="97">
        <v>23.472079507109509</v>
      </c>
      <c r="Q166" s="97">
        <v>22.931999999951334</v>
      </c>
      <c r="R166" s="97">
        <v>22.505621186693755</v>
      </c>
      <c r="S166" s="97">
        <v>22.20715601741345</v>
      </c>
      <c r="T166" s="97">
        <v>21.893767589669132</v>
      </c>
      <c r="U166" s="97">
        <v>21.510737289092742</v>
      </c>
      <c r="V166" s="97">
        <v>21.258697445069615</v>
      </c>
      <c r="W166" s="97">
        <v>21.046110470618917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118.41848438154146</v>
      </c>
      <c r="C171" s="152">
        <v>117.98693344529994</v>
      </c>
      <c r="D171" s="152">
        <v>117.41257111316426</v>
      </c>
      <c r="E171" s="152">
        <v>116.67426902796581</v>
      </c>
      <c r="F171" s="152">
        <v>116.50489176889157</v>
      </c>
      <c r="G171" s="152">
        <v>116.20582350471956</v>
      </c>
      <c r="H171" s="152">
        <v>115.84309819832681</v>
      </c>
      <c r="I171" s="152">
        <v>112.75840570209435</v>
      </c>
      <c r="J171" s="152">
        <v>109.35942615752511</v>
      </c>
      <c r="K171" s="152">
        <v>106.99726928881202</v>
      </c>
      <c r="L171" s="152">
        <v>105.16662359658139</v>
      </c>
      <c r="M171" s="152">
        <v>103.27516975990538</v>
      </c>
      <c r="N171" s="152">
        <v>101.18810668141452</v>
      </c>
      <c r="O171" s="152">
        <v>99.16341587072364</v>
      </c>
      <c r="P171" s="152">
        <v>97.420677752105135</v>
      </c>
      <c r="Q171" s="152">
        <v>95.209850490724051</v>
      </c>
      <c r="R171" s="152">
        <v>93.07936991231179</v>
      </c>
      <c r="S171" s="152">
        <v>91.562770674863074</v>
      </c>
      <c r="T171" s="152">
        <v>89.50365031929654</v>
      </c>
      <c r="U171" s="152">
        <v>88.193348592256896</v>
      </c>
      <c r="V171" s="152">
        <v>86.494350085495256</v>
      </c>
      <c r="W171" s="152">
        <v>81.14544634916065</v>
      </c>
      <c r="DA171" s="174" t="s">
        <v>908</v>
      </c>
    </row>
    <row r="172" spans="1:105" ht="11.45" customHeight="1" x14ac:dyDescent="0.25">
      <c r="A172" s="109" t="s">
        <v>20</v>
      </c>
      <c r="B172" s="116">
        <v>214.22445030712709</v>
      </c>
      <c r="C172" s="116">
        <v>210.92368083558776</v>
      </c>
      <c r="D172" s="116">
        <v>218.1178500390227</v>
      </c>
      <c r="E172" s="116">
        <v>226.12364655868376</v>
      </c>
      <c r="F172" s="116">
        <v>223.26962273211626</v>
      </c>
      <c r="G172" s="116">
        <v>206.96553113719594</v>
      </c>
      <c r="H172" s="116">
        <v>221.96493382417341</v>
      </c>
      <c r="I172" s="116">
        <v>224.07498416266202</v>
      </c>
      <c r="J172" s="116">
        <v>223.96108250611678</v>
      </c>
      <c r="K172" s="116">
        <v>220.05725501615368</v>
      </c>
      <c r="L172" s="116">
        <v>206.47009278590363</v>
      </c>
      <c r="M172" s="116">
        <v>222.22558573519919</v>
      </c>
      <c r="N172" s="116">
        <v>206.92120074127925</v>
      </c>
      <c r="O172" s="116">
        <v>206.07217550131003</v>
      </c>
      <c r="P172" s="116">
        <v>199.48644087105069</v>
      </c>
      <c r="Q172" s="116">
        <v>208.27579901251647</v>
      </c>
      <c r="R172" s="116">
        <v>207.99192434673893</v>
      </c>
      <c r="S172" s="116">
        <v>206.86892467801488</v>
      </c>
      <c r="T172" s="116">
        <v>206.0178273187199</v>
      </c>
      <c r="U172" s="116">
        <v>201.67534450793448</v>
      </c>
      <c r="V172" s="116">
        <v>200.34412346426384</v>
      </c>
      <c r="W172" s="116">
        <v>198.22025970848787</v>
      </c>
      <c r="DA172" s="176" t="s">
        <v>909</v>
      </c>
    </row>
    <row r="173" spans="1:105" ht="11.45" customHeight="1" x14ac:dyDescent="0.25">
      <c r="A173" s="111" t="s">
        <v>110</v>
      </c>
      <c r="B173" s="87">
        <v>231.17734823359206</v>
      </c>
      <c r="C173" s="87">
        <v>231.11777696564275</v>
      </c>
      <c r="D173" s="87">
        <v>231.06996497689335</v>
      </c>
      <c r="E173" s="87">
        <v>230.94598572977691</v>
      </c>
      <c r="F173" s="87">
        <v>230.80844361410223</v>
      </c>
      <c r="G173" s="87">
        <v>230.73013716642546</v>
      </c>
      <c r="H173" s="87">
        <v>230.47782001475264</v>
      </c>
      <c r="I173" s="87">
        <v>229.6363978805594</v>
      </c>
      <c r="J173" s="87">
        <v>228.32175689768002</v>
      </c>
      <c r="K173" s="87">
        <v>227.64046161949756</v>
      </c>
      <c r="L173" s="87">
        <v>227.04394810972315</v>
      </c>
      <c r="M173" s="87">
        <v>225.52134358562128</v>
      </c>
      <c r="N173" s="87">
        <v>224.38186687818705</v>
      </c>
      <c r="O173" s="87">
        <v>222.69073939915413</v>
      </c>
      <c r="P173" s="87">
        <v>221.13846607815373</v>
      </c>
      <c r="Q173" s="87">
        <v>218.63921199950934</v>
      </c>
      <c r="R173" s="87">
        <v>215.66191594737452</v>
      </c>
      <c r="S173" s="87">
        <v>213.07807617899707</v>
      </c>
      <c r="T173" s="87">
        <v>209.31336546068152</v>
      </c>
      <c r="U173" s="87">
        <v>205.70893514309114</v>
      </c>
      <c r="V173" s="87">
        <v>202.35019303273606</v>
      </c>
      <c r="W173" s="87">
        <v>199.02602273964928</v>
      </c>
      <c r="DA173" s="171" t="s">
        <v>910</v>
      </c>
    </row>
    <row r="174" spans="1:105" ht="11.45" customHeight="1" x14ac:dyDescent="0.25">
      <c r="A174" s="111" t="s">
        <v>111</v>
      </c>
      <c r="B174" s="87">
        <v>231.73568076651259</v>
      </c>
      <c r="C174" s="87">
        <v>223.84772997265418</v>
      </c>
      <c r="D174" s="87">
        <v>219.39485289766534</v>
      </c>
      <c r="E174" s="87">
        <v>213.25058767636463</v>
      </c>
      <c r="F174" s="87">
        <v>210.73713203894974</v>
      </c>
      <c r="G174" s="87">
        <v>209.8036704877384</v>
      </c>
      <c r="H174" s="87">
        <v>208.72835596774769</v>
      </c>
      <c r="I174" s="87">
        <v>207.33519391055847</v>
      </c>
      <c r="J174" s="87">
        <v>205.95354889107435</v>
      </c>
      <c r="K174" s="87">
        <v>205.39383270617924</v>
      </c>
      <c r="L174" s="87">
        <v>205.29013364817339</v>
      </c>
      <c r="M174" s="87">
        <v>205.8304974639442</v>
      </c>
      <c r="N174" s="87">
        <v>205.79501791412659</v>
      </c>
      <c r="O174" s="87">
        <v>205.15093361859266</v>
      </c>
      <c r="P174" s="87">
        <v>204.09250381662588</v>
      </c>
      <c r="Q174" s="87">
        <v>200.69070331898044</v>
      </c>
      <c r="R174" s="87">
        <v>199.91240475801749</v>
      </c>
      <c r="S174" s="87">
        <v>199.08601976122853</v>
      </c>
      <c r="T174" s="87">
        <v>197.40746998936174</v>
      </c>
      <c r="U174" s="87">
        <v>195.24184104676951</v>
      </c>
      <c r="V174" s="87">
        <v>192.79651471981435</v>
      </c>
      <c r="W174" s="87">
        <v>190.20550354621392</v>
      </c>
      <c r="DA174" s="171" t="s">
        <v>911</v>
      </c>
    </row>
    <row r="175" spans="1:105" ht="11.45" customHeight="1" x14ac:dyDescent="0.25">
      <c r="A175" s="111" t="s">
        <v>112</v>
      </c>
      <c r="B175" s="87">
        <v>227.33879452634977</v>
      </c>
      <c r="C175" s="87">
        <v>203.22555123811088</v>
      </c>
      <c r="D175" s="87">
        <v>198.7725807385961</v>
      </c>
      <c r="E175" s="87">
        <v>196.80266412414446</v>
      </c>
      <c r="F175" s="87">
        <v>195.76160050855532</v>
      </c>
      <c r="G175" s="87">
        <v>196.22379875633379</v>
      </c>
      <c r="H175" s="87">
        <v>196.58916849932291</v>
      </c>
      <c r="I175" s="87">
        <v>196.81121599594755</v>
      </c>
      <c r="J175" s="87">
        <v>195.90731982514941</v>
      </c>
      <c r="K175" s="87">
        <v>194.80068854846564</v>
      </c>
      <c r="L175" s="87">
        <v>197.18945359469399</v>
      </c>
      <c r="M175" s="87">
        <v>198.77852110715716</v>
      </c>
      <c r="N175" s="87">
        <v>202.99833709127915</v>
      </c>
      <c r="O175" s="87">
        <v>204.06255561997042</v>
      </c>
      <c r="P175" s="87">
        <v>201.69475467185461</v>
      </c>
      <c r="Q175" s="87">
        <v>193.78904811774487</v>
      </c>
      <c r="R175" s="87">
        <v>194.19507734184836</v>
      </c>
      <c r="S175" s="87">
        <v>194.03363828076229</v>
      </c>
      <c r="T175" s="87">
        <v>191.83889126132263</v>
      </c>
      <c r="U175" s="87">
        <v>189.14133710939757</v>
      </c>
      <c r="V175" s="87">
        <v>185.52474879055023</v>
      </c>
      <c r="W175" s="87">
        <v>181.60714032132191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221.72693959036565</v>
      </c>
      <c r="G176" s="87">
        <v>219.54207104031116</v>
      </c>
      <c r="H176" s="87">
        <v>218.43164851661058</v>
      </c>
      <c r="I176" s="87">
        <v>216.14990335087532</v>
      </c>
      <c r="J176" s="87">
        <v>215.89189961218347</v>
      </c>
      <c r="K176" s="87">
        <v>207.55597063437514</v>
      </c>
      <c r="L176" s="87">
        <v>182.70846653916013</v>
      </c>
      <c r="M176" s="87">
        <v>178.87191240651066</v>
      </c>
      <c r="N176" s="87">
        <v>176.54896782497045</v>
      </c>
      <c r="O176" s="87">
        <v>175.46075153456766</v>
      </c>
      <c r="P176" s="87">
        <v>169.27711901437212</v>
      </c>
      <c r="Q176" s="87">
        <v>165.28548767314007</v>
      </c>
      <c r="R176" s="87">
        <v>163.15922982015167</v>
      </c>
      <c r="S176" s="87">
        <v>162.54144011802961</v>
      </c>
      <c r="T176" s="87">
        <v>160.62841830059384</v>
      </c>
      <c r="U176" s="87">
        <v>157.35634575327626</v>
      </c>
      <c r="V176" s="87">
        <v>155.91420901988974</v>
      </c>
      <c r="W176" s="87">
        <v>155.70283138976151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49.770772850340919</v>
      </c>
      <c r="O177" s="87">
        <v>49.770772850340911</v>
      </c>
      <c r="P177" s="87">
        <v>59.173836488439882</v>
      </c>
      <c r="Q177" s="87">
        <v>62.65470318759823</v>
      </c>
      <c r="R177" s="87">
        <v>59.290919223708364</v>
      </c>
      <c r="S177" s="87">
        <v>58.776754155687044</v>
      </c>
      <c r="T177" s="87">
        <v>57.685324352732216</v>
      </c>
      <c r="U177" s="87">
        <v>65.130704420902362</v>
      </c>
      <c r="V177" s="87">
        <v>61.150792336072506</v>
      </c>
      <c r="W177" s="87">
        <v>63.286397843703682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1641.6592425416636</v>
      </c>
      <c r="C179" s="116">
        <v>1625.4826937369664</v>
      </c>
      <c r="D179" s="116">
        <v>1597.5702658935031</v>
      </c>
      <c r="E179" s="116">
        <v>1594.4618369602699</v>
      </c>
      <c r="F179" s="116">
        <v>1397.2089939639536</v>
      </c>
      <c r="G179" s="116">
        <v>1541.8132630292591</v>
      </c>
      <c r="H179" s="116">
        <v>1382.2728655750941</v>
      </c>
      <c r="I179" s="116">
        <v>1488.9034277276221</v>
      </c>
      <c r="J179" s="116">
        <v>1365.4360358487738</v>
      </c>
      <c r="K179" s="116">
        <v>1445.5762356904463</v>
      </c>
      <c r="L179" s="116">
        <v>1380.4103147576318</v>
      </c>
      <c r="M179" s="116">
        <v>1463.746976736219</v>
      </c>
      <c r="N179" s="116">
        <v>1439.9463673286627</v>
      </c>
      <c r="O179" s="116">
        <v>815.37953395168392</v>
      </c>
      <c r="P179" s="116">
        <v>1205.7416913425568</v>
      </c>
      <c r="Q179" s="116">
        <v>1318.9618780437779</v>
      </c>
      <c r="R179" s="116">
        <v>1366.9043224571651</v>
      </c>
      <c r="S179" s="116">
        <v>1323.6711517071851</v>
      </c>
      <c r="T179" s="116">
        <v>1193.9637024404187</v>
      </c>
      <c r="U179" s="116">
        <v>1132.5392576466693</v>
      </c>
      <c r="V179" s="116">
        <v>1183.1306041124865</v>
      </c>
      <c r="W179" s="116">
        <v>1040.3277260230013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1641.6592425416638</v>
      </c>
      <c r="C181" s="101">
        <v>1614.8528454586847</v>
      </c>
      <c r="D181" s="101">
        <v>1576.359836243088</v>
      </c>
      <c r="E181" s="101">
        <v>1572.6878316556854</v>
      </c>
      <c r="F181" s="101">
        <v>1568.368407614875</v>
      </c>
      <c r="G181" s="101">
        <v>1547.4572940570063</v>
      </c>
      <c r="H181" s="101">
        <v>1541.6617022036085</v>
      </c>
      <c r="I181" s="101">
        <v>1527.2997776092445</v>
      </c>
      <c r="J181" s="101">
        <v>1521.2328399653888</v>
      </c>
      <c r="K181" s="101">
        <v>1505.5657468016507</v>
      </c>
      <c r="L181" s="101">
        <v>1492.612675586051</v>
      </c>
      <c r="M181" s="101">
        <v>1475.69225571733</v>
      </c>
      <c r="N181" s="101">
        <v>1461.8112216418942</v>
      </c>
      <c r="O181" s="101">
        <v>1457.4547649546587</v>
      </c>
      <c r="P181" s="101">
        <v>1445.9370156363625</v>
      </c>
      <c r="Q181" s="101">
        <v>1430.3500116347354</v>
      </c>
      <c r="R181" s="101">
        <v>1425.7812977966671</v>
      </c>
      <c r="S181" s="101">
        <v>1416.0392850144178</v>
      </c>
      <c r="T181" s="101">
        <v>1409.2041443711091</v>
      </c>
      <c r="U181" s="101">
        <v>1402.5197101250874</v>
      </c>
      <c r="V181" s="101">
        <v>1395.5540420875402</v>
      </c>
      <c r="W181" s="101">
        <v>1392.3916057975894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899.2373462689452</v>
      </c>
      <c r="G183" s="101">
        <v>897.33263985801739</v>
      </c>
      <c r="H183" s="101">
        <v>894.66626860052475</v>
      </c>
      <c r="I183" s="101">
        <v>892.43590977728775</v>
      </c>
      <c r="J183" s="101">
        <v>892.27986779624337</v>
      </c>
      <c r="K183" s="101">
        <v>884.23537151123094</v>
      </c>
      <c r="L183" s="101">
        <v>875.80951704830545</v>
      </c>
      <c r="M183" s="101">
        <v>875.08044875309258</v>
      </c>
      <c r="N183" s="101">
        <v>873.85021138272191</v>
      </c>
      <c r="O183" s="101">
        <v>851.08082736037807</v>
      </c>
      <c r="P183" s="101">
        <v>847.93563327754828</v>
      </c>
      <c r="Q183" s="101">
        <v>845.37105142210999</v>
      </c>
      <c r="R183" s="101">
        <v>843.55346822890897</v>
      </c>
      <c r="S183" s="101">
        <v>842.80953991107094</v>
      </c>
      <c r="T183" s="101">
        <v>836.979809069304</v>
      </c>
      <c r="U183" s="101">
        <v>827.84757473878574</v>
      </c>
      <c r="V183" s="101">
        <v>819.44859712163452</v>
      </c>
      <c r="W183" s="101">
        <v>811.73162451391659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272.49340653355171</v>
      </c>
      <c r="C186" s="152">
        <v>276.92218170813402</v>
      </c>
      <c r="D186" s="152">
        <v>279.10570320702914</v>
      </c>
      <c r="E186" s="152">
        <v>277.79114958025502</v>
      </c>
      <c r="F186" s="152">
        <v>265.78327163057213</v>
      </c>
      <c r="G186" s="152">
        <v>259.01001349968755</v>
      </c>
      <c r="H186" s="152">
        <v>248.04084889514323</v>
      </c>
      <c r="I186" s="152">
        <v>233.06759456563094</v>
      </c>
      <c r="J186" s="152">
        <v>223.25308678213833</v>
      </c>
      <c r="K186" s="152">
        <v>214.48005595451903</v>
      </c>
      <c r="L186" s="152">
        <v>201.30728216733254</v>
      </c>
      <c r="M186" s="152">
        <v>189.70911753477779</v>
      </c>
      <c r="N186" s="152">
        <v>198.99309288624934</v>
      </c>
      <c r="O186" s="152">
        <v>197.4633557883773</v>
      </c>
      <c r="P186" s="152">
        <v>194.45973011216364</v>
      </c>
      <c r="Q186" s="152">
        <v>184.59794220434412</v>
      </c>
      <c r="R186" s="152">
        <v>181.39177128333733</v>
      </c>
      <c r="S186" s="152">
        <v>171.50229703272498</v>
      </c>
      <c r="T186" s="152">
        <v>168.8694052817068</v>
      </c>
      <c r="U186" s="152">
        <v>173.49943022963808</v>
      </c>
      <c r="V186" s="152">
        <v>186.7087822043114</v>
      </c>
      <c r="W186" s="152">
        <v>187.5237857675169</v>
      </c>
      <c r="DA186" s="174" t="s">
        <v>922</v>
      </c>
    </row>
    <row r="187" spans="1:105" ht="11.45" customHeight="1" x14ac:dyDescent="0.25">
      <c r="A187" s="111" t="s">
        <v>110</v>
      </c>
      <c r="B187" s="87">
        <v>316.93015286180724</v>
      </c>
      <c r="C187" s="87">
        <v>313.04585304986716</v>
      </c>
      <c r="D187" s="87">
        <v>308.72255161272017</v>
      </c>
      <c r="E187" s="87">
        <v>304.01442787272532</v>
      </c>
      <c r="F187" s="87">
        <v>299.47219090799717</v>
      </c>
      <c r="G187" s="87">
        <v>297.01674199838618</v>
      </c>
      <c r="H187" s="87">
        <v>295.558003560636</v>
      </c>
      <c r="I187" s="87">
        <v>293.82802177872497</v>
      </c>
      <c r="J187" s="87">
        <v>291.5420136703471</v>
      </c>
      <c r="K187" s="87">
        <v>289.56417240114843</v>
      </c>
      <c r="L187" s="87">
        <v>284.01211937260217</v>
      </c>
      <c r="M187" s="87">
        <v>279.81552936385572</v>
      </c>
      <c r="N187" s="87">
        <v>267.09036899984164</v>
      </c>
      <c r="O187" s="87">
        <v>256.69216734691366</v>
      </c>
      <c r="P187" s="87">
        <v>237.44850059052823</v>
      </c>
      <c r="Q187" s="87">
        <v>221.58790028963455</v>
      </c>
      <c r="R187" s="87">
        <v>203.75868289004489</v>
      </c>
      <c r="S187" s="87">
        <v>190.43989071043836</v>
      </c>
      <c r="T187" s="87">
        <v>177.19782827030141</v>
      </c>
      <c r="U187" s="87">
        <v>171.40091386656036</v>
      </c>
      <c r="V187" s="87">
        <v>169.55010076935804</v>
      </c>
      <c r="W187" s="87">
        <v>168.08837160720128</v>
      </c>
      <c r="DA187" s="171" t="s">
        <v>923</v>
      </c>
    </row>
    <row r="188" spans="1:105" ht="11.45" customHeight="1" x14ac:dyDescent="0.25">
      <c r="A188" s="111" t="s">
        <v>111</v>
      </c>
      <c r="B188" s="87">
        <v>269.71140254291618</v>
      </c>
      <c r="C188" s="87">
        <v>269.71140254291618</v>
      </c>
      <c r="D188" s="87">
        <v>268.35615916281949</v>
      </c>
      <c r="E188" s="87">
        <v>256.06697298495345</v>
      </c>
      <c r="F188" s="87">
        <v>240.7439032784556</v>
      </c>
      <c r="G188" s="87">
        <v>236.7354406910174</v>
      </c>
      <c r="H188" s="87">
        <v>226.28241548224747</v>
      </c>
      <c r="I188" s="87">
        <v>219.57549401772002</v>
      </c>
      <c r="J188" s="87">
        <v>215.57097677627348</v>
      </c>
      <c r="K188" s="87">
        <v>212.53267877989873</v>
      </c>
      <c r="L188" s="87">
        <v>210.73033862442355</v>
      </c>
      <c r="M188" s="87">
        <v>208.55303911299336</v>
      </c>
      <c r="N188" s="87">
        <v>206.02881855368693</v>
      </c>
      <c r="O188" s="87">
        <v>203.63107475660914</v>
      </c>
      <c r="P188" s="87">
        <v>201.07925918048286</v>
      </c>
      <c r="Q188" s="87">
        <v>197.33340491474721</v>
      </c>
      <c r="R188" s="87">
        <v>192.24310469229394</v>
      </c>
      <c r="S188" s="87">
        <v>185.94614509570653</v>
      </c>
      <c r="T188" s="87">
        <v>180.70202257139695</v>
      </c>
      <c r="U188" s="87">
        <v>176.84716131961551</v>
      </c>
      <c r="V188" s="87">
        <v>174.24728148069971</v>
      </c>
      <c r="W188" s="87">
        <v>172.87324004236376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203.07464517059969</v>
      </c>
      <c r="S189" s="87">
        <v>182.42067846043415</v>
      </c>
      <c r="T189" s="87">
        <v>178.53497633318503</v>
      </c>
      <c r="U189" s="87">
        <v>179.51543698983582</v>
      </c>
      <c r="V189" s="87">
        <v>175.59938280188894</v>
      </c>
      <c r="W189" s="87">
        <v>171.75946131601248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102.77742031575808</v>
      </c>
      <c r="S190" s="87">
        <v>106.45786177767738</v>
      </c>
      <c r="T190" s="87">
        <v>111.57041562798184</v>
      </c>
      <c r="U190" s="87">
        <v>111.94518939291029</v>
      </c>
      <c r="V190" s="87">
        <v>123.66258333457336</v>
      </c>
      <c r="W190" s="87">
        <v>129.80845881308022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951.86524418231443</v>
      </c>
      <c r="C192" s="116">
        <v>942.50818041603532</v>
      </c>
      <c r="D192" s="116">
        <v>933.85315225377565</v>
      </c>
      <c r="E192" s="116">
        <v>909.93147243552414</v>
      </c>
      <c r="F192" s="116">
        <v>896.7400808629958</v>
      </c>
      <c r="G192" s="116">
        <v>888.32252780765111</v>
      </c>
      <c r="H192" s="116">
        <v>878.91413073641104</v>
      </c>
      <c r="I192" s="116">
        <v>873.39593213969363</v>
      </c>
      <c r="J192" s="116">
        <v>858.43082391342557</v>
      </c>
      <c r="K192" s="116">
        <v>848.92354661618299</v>
      </c>
      <c r="L192" s="116">
        <v>844.42607762131183</v>
      </c>
      <c r="M192" s="116">
        <v>839.16514547166025</v>
      </c>
      <c r="N192" s="116">
        <v>832.56765358732173</v>
      </c>
      <c r="O192" s="116">
        <v>826.11475655823051</v>
      </c>
      <c r="P192" s="116">
        <v>819.77637824939268</v>
      </c>
      <c r="Q192" s="116">
        <v>802.44626917590756</v>
      </c>
      <c r="R192" s="116">
        <v>784.89888072546364</v>
      </c>
      <c r="S192" s="116">
        <v>775.66161142677208</v>
      </c>
      <c r="T192" s="116">
        <v>755.18005007206443</v>
      </c>
      <c r="U192" s="116">
        <v>741.20640064921861</v>
      </c>
      <c r="V192" s="116">
        <v>716.8712889068172</v>
      </c>
      <c r="W192" s="116">
        <v>708.07482977935376</v>
      </c>
      <c r="DA192" s="176" t="s">
        <v>928</v>
      </c>
    </row>
    <row r="193" spans="1:105" ht="11.45" customHeight="1" x14ac:dyDescent="0.25">
      <c r="A193" s="128" t="s">
        <v>27</v>
      </c>
      <c r="B193" s="101">
        <v>850.16235314654432</v>
      </c>
      <c r="C193" s="101">
        <v>843.19923511928437</v>
      </c>
      <c r="D193" s="101">
        <v>838.64717002590544</v>
      </c>
      <c r="E193" s="101">
        <v>825.71594225900856</v>
      </c>
      <c r="F193" s="101">
        <v>815.47945992412826</v>
      </c>
      <c r="G193" s="101">
        <v>809.08078998007443</v>
      </c>
      <c r="H193" s="101">
        <v>805.31385550754976</v>
      </c>
      <c r="I193" s="101">
        <v>801.93495361660666</v>
      </c>
      <c r="J193" s="101">
        <v>795.44487992659174</v>
      </c>
      <c r="K193" s="101">
        <v>786.4256637890112</v>
      </c>
      <c r="L193" s="101">
        <v>781.78062022450854</v>
      </c>
      <c r="M193" s="101">
        <v>776.33555290961885</v>
      </c>
      <c r="N193" s="101">
        <v>770.44665567493882</v>
      </c>
      <c r="O193" s="101">
        <v>763.55071844018619</v>
      </c>
      <c r="P193" s="101">
        <v>757.9099600760884</v>
      </c>
      <c r="Q193" s="101">
        <v>741.00925222941623</v>
      </c>
      <c r="R193" s="101">
        <v>725.17025467218593</v>
      </c>
      <c r="S193" s="101">
        <v>717.67937062523276</v>
      </c>
      <c r="T193" s="101">
        <v>700.09975821849855</v>
      </c>
      <c r="U193" s="101">
        <v>688.30331504146159</v>
      </c>
      <c r="V193" s="101">
        <v>664.82334912699662</v>
      </c>
      <c r="W193" s="101">
        <v>656.78504280179664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1050.1986076444398</v>
      </c>
      <c r="D194" s="88">
        <v>1035.816214549438</v>
      </c>
      <c r="E194" s="88">
        <v>1023.0558692523699</v>
      </c>
      <c r="F194" s="88">
        <v>1001.3836578967619</v>
      </c>
      <c r="G194" s="88">
        <v>988.7675383874822</v>
      </c>
      <c r="H194" s="88">
        <v>982.15327010978979</v>
      </c>
      <c r="I194" s="88">
        <v>975.0287473484758</v>
      </c>
      <c r="J194" s="88">
        <v>954.83056450672893</v>
      </c>
      <c r="K194" s="88">
        <v>950.6293241474674</v>
      </c>
      <c r="L194" s="88">
        <v>935.97800775894495</v>
      </c>
      <c r="M194" s="88">
        <v>918.56310176796444</v>
      </c>
      <c r="N194" s="88">
        <v>912.95035936449085</v>
      </c>
      <c r="O194" s="88">
        <v>888.56857478238783</v>
      </c>
      <c r="P194" s="88">
        <v>882.36535994518613</v>
      </c>
      <c r="Q194" s="88">
        <v>860.97663110852261</v>
      </c>
      <c r="R194" s="88">
        <v>850.64455496280107</v>
      </c>
      <c r="S194" s="88">
        <v>839.8509860728185</v>
      </c>
      <c r="T194" s="88">
        <v>833.22000885209582</v>
      </c>
      <c r="U194" s="88">
        <v>828.78060380422994</v>
      </c>
      <c r="V194" s="88">
        <v>792.96667441271302</v>
      </c>
      <c r="W194" s="88">
        <v>768.60709565835941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1.1276533214993298</v>
      </c>
      <c r="D198" s="150">
        <f>IF(TrRoad_act!D59=0,0,TrRoad_emi!D56/TrRoad_tech!D171)</f>
        <v>1.12811517603427</v>
      </c>
      <c r="E198" s="150">
        <f>IF(TrRoad_act!E59=0,0,TrRoad_emi!E56/TrRoad_tech!E171)</f>
        <v>1.1290606026915608</v>
      </c>
      <c r="F198" s="150">
        <f>IF(TrRoad_act!F59=0,0,TrRoad_emi!F56/TrRoad_tech!F171)</f>
        <v>1.0742755274187605</v>
      </c>
      <c r="G198" s="150">
        <f>IF(TrRoad_act!G59=0,0,TrRoad_emi!G56/TrRoad_tech!G171)</f>
        <v>1.0749552190601313</v>
      </c>
      <c r="H198" s="150">
        <f>IF(TrRoad_act!H59=0,0,TrRoad_emi!H56/TrRoad_tech!H171)</f>
        <v>1.0759244438416271</v>
      </c>
      <c r="I198" s="150">
        <f>IF(TrRoad_act!I59=0,0,TrRoad_emi!I56/TrRoad_tech!I171)</f>
        <v>1.0864052854027972</v>
      </c>
      <c r="J198" s="150">
        <f>IF(TrRoad_act!J59=0,0,TrRoad_emi!J56/TrRoad_tech!J171)</f>
        <v>1.0980124884709894</v>
      </c>
      <c r="K198" s="150">
        <f>IF(TrRoad_act!K59=0,0,TrRoad_emi!K56/TrRoad_tech!K171)</f>
        <v>1.1060683249717898</v>
      </c>
      <c r="L198" s="150">
        <f>IF(TrRoad_act!L59=0,0,TrRoad_emi!L56/TrRoad_tech!L171)</f>
        <v>1.1129387380828095</v>
      </c>
      <c r="M198" s="150">
        <f>IF(TrRoad_act!M59=0,0,TrRoad_emi!M56/TrRoad_tech!M171)</f>
        <v>1.1193301119029289</v>
      </c>
      <c r="N198" s="150">
        <f>IF(TrRoad_act!N59=0,0,TrRoad_emi!N56/TrRoad_tech!N171)</f>
        <v>1.1276317172099004</v>
      </c>
      <c r="O198" s="150">
        <f>IF(TrRoad_act!O59=0,0,TrRoad_emi!O56/TrRoad_tech!O171)</f>
        <v>1.1155679360120336</v>
      </c>
      <c r="P198" s="150">
        <f>IF(TrRoad_act!P59=0,0,TrRoad_emi!P56/TrRoad_tech!P171)</f>
        <v>1.1128257689737135</v>
      </c>
      <c r="Q198" s="150">
        <f>IF(TrRoad_act!Q59=0,0,TrRoad_emi!Q56/TrRoad_tech!Q171)</f>
        <v>1.0898240459271669</v>
      </c>
      <c r="R198" s="150">
        <f>IF(TrRoad_act!R59=0,0,TrRoad_emi!R56/TrRoad_tech!R171)</f>
        <v>1.0961335180149814</v>
      </c>
      <c r="S198" s="150">
        <f>IF(TrRoad_act!S59=0,0,TrRoad_emi!S56/TrRoad_tech!S171)</f>
        <v>1.1202651957604204</v>
      </c>
      <c r="T198" s="150">
        <f>IF(TrRoad_act!T59=0,0,TrRoad_emi!T56/TrRoad_tech!T171)</f>
        <v>1.1258560566049758</v>
      </c>
      <c r="U198" s="150">
        <f>IF(TrRoad_act!U59=0,0,TrRoad_emi!U56/TrRoad_tech!U171)</f>
        <v>1.1286846076228545</v>
      </c>
      <c r="V198" s="150">
        <f>IF(TrRoad_act!V59=0,0,TrRoad_emi!V56/TrRoad_tech!V171)</f>
        <v>1.1522651992443509</v>
      </c>
      <c r="W198" s="150">
        <f>IF(TrRoad_act!W59=0,0,TrRoad_emi!W56/TrRoad_tech!W171)</f>
        <v>1.1719461931794202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1.0963163686120925</v>
      </c>
      <c r="C199" s="151">
        <f>IF(TrRoad_act!C60=0,0,TrRoad_emi!C57/TrRoad_tech!C172)</f>
        <v>1.1086391937787727</v>
      </c>
      <c r="D199" s="151">
        <f>IF(TrRoad_act!D60=0,0,TrRoad_emi!D57/TrRoad_tech!D172)</f>
        <v>1.038819019403715</v>
      </c>
      <c r="E199" s="151">
        <f>IF(TrRoad_act!E60=0,0,TrRoad_emi!E57/TrRoad_tech!E172)</f>
        <v>1.0416936845438596</v>
      </c>
      <c r="F199" s="151">
        <f>IF(TrRoad_act!F60=0,0,TrRoad_emi!F57/TrRoad_tech!F172)</f>
        <v>1.0296312163308694</v>
      </c>
      <c r="G199" s="151">
        <f>IF(TrRoad_act!G60=0,0,TrRoad_emi!G57/TrRoad_tech!G172)</f>
        <v>1.122645849166044</v>
      </c>
      <c r="H199" s="151">
        <f>IF(TrRoad_act!H60=0,0,TrRoad_emi!H57/TrRoad_tech!H172)</f>
        <v>1.0155749420828259</v>
      </c>
      <c r="I199" s="151">
        <f>IF(TrRoad_act!I60=0,0,TrRoad_emi!I57/TrRoad_tech!I172)</f>
        <v>0.96476064747865675</v>
      </c>
      <c r="J199" s="151">
        <f>IF(TrRoad_act!J60=0,0,TrRoad_emi!J57/TrRoad_tech!J172)</f>
        <v>0.96897219384383715</v>
      </c>
      <c r="K199" s="151">
        <f>IF(TrRoad_act!K60=0,0,TrRoad_emi!K57/TrRoad_tech!K172)</f>
        <v>0.96225439991346196</v>
      </c>
      <c r="L199" s="151">
        <f>IF(TrRoad_act!L60=0,0,TrRoad_emi!L57/TrRoad_tech!L172)</f>
        <v>1.0091824974237862</v>
      </c>
      <c r="M199" s="151">
        <f>IF(TrRoad_act!M60=0,0,TrRoad_emi!M57/TrRoad_tech!M172)</f>
        <v>0.92027824941042768</v>
      </c>
      <c r="N199" s="151">
        <f>IF(TrRoad_act!N60=0,0,TrRoad_emi!N57/TrRoad_tech!N172)</f>
        <v>0.99333554354374598</v>
      </c>
      <c r="O199" s="151">
        <f>IF(TrRoad_act!O60=0,0,TrRoad_emi!O57/TrRoad_tech!O172)</f>
        <v>0.85230401439331238</v>
      </c>
      <c r="P199" s="151">
        <f>IF(TrRoad_act!P60=0,0,TrRoad_emi!P57/TrRoad_tech!P172)</f>
        <v>0.99008697459961026</v>
      </c>
      <c r="Q199" s="151">
        <f>IF(TrRoad_act!Q60=0,0,TrRoad_emi!Q57/TrRoad_tech!Q172)</f>
        <v>0.92902268265448884</v>
      </c>
      <c r="R199" s="151">
        <f>IF(TrRoad_act!R60=0,0,TrRoad_emi!R57/TrRoad_tech!R172)</f>
        <v>0.93341054778751276</v>
      </c>
      <c r="S199" s="151">
        <f>IF(TrRoad_act!S60=0,0,TrRoad_emi!S57/TrRoad_tech!S172)</f>
        <v>0.95802746613952772</v>
      </c>
      <c r="T199" s="151">
        <f>IF(TrRoad_act!T60=0,0,TrRoad_emi!T57/TrRoad_tech!T172)</f>
        <v>0.99877758477420553</v>
      </c>
      <c r="U199" s="151">
        <f>IF(TrRoad_act!U60=0,0,TrRoad_emi!U57/TrRoad_tech!U172)</f>
        <v>1.0503933577275422</v>
      </c>
      <c r="V199" s="151">
        <f>IF(TrRoad_act!V60=0,0,TrRoad_emi!V57/TrRoad_tech!V172)</f>
        <v>0.99235815205855826</v>
      </c>
      <c r="W199" s="151">
        <f>IF(TrRoad_act!W60=0,0,TrRoad_emi!W57/TrRoad_tech!W172)</f>
        <v>1.0026013678743912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1.0429711789242793</v>
      </c>
      <c r="C200" s="91">
        <f>IF(TrRoad_act!C61=0,0,TrRoad_emi!C58/TrRoad_tech!C173)</f>
        <v>1.0116069078328886</v>
      </c>
      <c r="D200" s="91">
        <f>IF(TrRoad_act!D61=0,0,TrRoad_emi!D58/TrRoad_tech!D173)</f>
        <v>1.0197116693182811</v>
      </c>
      <c r="E200" s="91">
        <f>IF(TrRoad_act!E61=0,0,TrRoad_emi!E58/TrRoad_tech!E173)</f>
        <v>1.0168306932013584</v>
      </c>
      <c r="F200" s="91">
        <f>IF(TrRoad_act!F61=0,0,TrRoad_emi!F58/TrRoad_tech!F173)</f>
        <v>1.0390388190232385</v>
      </c>
      <c r="G200" s="91">
        <f>IF(TrRoad_act!G61=0,0,TrRoad_emi!G58/TrRoad_tech!G173)</f>
        <v>1.0506232187336948</v>
      </c>
      <c r="H200" s="91">
        <f>IF(TrRoad_act!H61=0,0,TrRoad_emi!H58/TrRoad_tech!H173)</f>
        <v>1.0720568341466177</v>
      </c>
      <c r="I200" s="91">
        <f>IF(TrRoad_act!I61=0,0,TrRoad_emi!I58/TrRoad_tech!I173)</f>
        <v>1.074049076149586</v>
      </c>
      <c r="J200" s="91">
        <f>IF(TrRoad_act!J61=0,0,TrRoad_emi!J58/TrRoad_tech!J173)</f>
        <v>1.0736690627772421</v>
      </c>
      <c r="K200" s="91">
        <f>IF(TrRoad_act!K61=0,0,TrRoad_emi!K58/TrRoad_tech!K173)</f>
        <v>1.0475132431157663</v>
      </c>
      <c r="L200" s="91">
        <f>IF(TrRoad_act!L61=0,0,TrRoad_emi!L58/TrRoad_tech!L173)</f>
        <v>1.0586055596382615</v>
      </c>
      <c r="M200" s="91">
        <f>IF(TrRoad_act!M61=0,0,TrRoad_emi!M58/TrRoad_tech!M173)</f>
        <v>1.039463585796325</v>
      </c>
      <c r="N200" s="91">
        <f>IF(TrRoad_act!N61=0,0,TrRoad_emi!N58/TrRoad_tech!N173)</f>
        <v>1.0492213397595385</v>
      </c>
      <c r="O200" s="91">
        <f>IF(TrRoad_act!O61=0,0,TrRoad_emi!O58/TrRoad_tech!O173)</f>
        <v>0.8780336276067201</v>
      </c>
      <c r="P200" s="91">
        <f>IF(TrRoad_act!P61=0,0,TrRoad_emi!P58/TrRoad_tech!P173)</f>
        <v>1.012269158071426</v>
      </c>
      <c r="Q200" s="91">
        <f>IF(TrRoad_act!Q61=0,0,TrRoad_emi!Q58/TrRoad_tech!Q173)</f>
        <v>0.99814732703807141</v>
      </c>
      <c r="R200" s="91">
        <f>IF(TrRoad_act!R61=0,0,TrRoad_emi!R58/TrRoad_tech!R173)</f>
        <v>0.97213805766616723</v>
      </c>
      <c r="S200" s="91">
        <f>IF(TrRoad_act!S61=0,0,TrRoad_emi!S58/TrRoad_tech!S173)</f>
        <v>0.98622440480810669</v>
      </c>
      <c r="T200" s="91">
        <f>IF(TrRoad_act!T61=0,0,TrRoad_emi!T58/TrRoad_tech!T173)</f>
        <v>0.98147223085814184</v>
      </c>
      <c r="U200" s="91">
        <f>IF(TrRoad_act!U61=0,0,TrRoad_emi!U58/TrRoad_tech!U173)</f>
        <v>0.97653578521677287</v>
      </c>
      <c r="V200" s="91">
        <f>IF(TrRoad_act!V61=0,0,TrRoad_emi!V58/TrRoad_tech!V173)</f>
        <v>0.98714364956784295</v>
      </c>
      <c r="W200" s="91">
        <f>IF(TrRoad_act!W61=0,0,TrRoad_emi!W58/TrRoad_tech!W173)</f>
        <v>1.0043726054060012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0.91390971089143458</v>
      </c>
      <c r="C201" s="91">
        <f>IF(TrRoad_act!C62=0,0,TrRoad_emi!C59/TrRoad_tech!C174)</f>
        <v>0.99422623584801251</v>
      </c>
      <c r="D201" s="91">
        <f>IF(TrRoad_act!D62=0,0,TrRoad_emi!D59/TrRoad_tech!D174)</f>
        <v>0.90297020987794474</v>
      </c>
      <c r="E201" s="91">
        <f>IF(TrRoad_act!E62=0,0,TrRoad_emi!E59/TrRoad_tech!E174)</f>
        <v>1.1201818066567839</v>
      </c>
      <c r="F201" s="91">
        <f>IF(TrRoad_act!F62=0,0,TrRoad_emi!F59/TrRoad_tech!F174)</f>
        <v>1.0709544665925939</v>
      </c>
      <c r="G201" s="91">
        <f>IF(TrRoad_act!G62=0,0,TrRoad_emi!G59/TrRoad_tech!G174)</f>
        <v>1.1422532777460326</v>
      </c>
      <c r="H201" s="91">
        <f>IF(TrRoad_act!H62=0,0,TrRoad_emi!H59/TrRoad_tech!H174)</f>
        <v>1.0837951717843894</v>
      </c>
      <c r="I201" s="91">
        <f>IF(TrRoad_act!I62=0,0,TrRoad_emi!I59/TrRoad_tech!I174)</f>
        <v>0.99134091085803622</v>
      </c>
      <c r="J201" s="91">
        <f>IF(TrRoad_act!J62=0,0,TrRoad_emi!J59/TrRoad_tech!J174)</f>
        <v>1.0320031696028016</v>
      </c>
      <c r="K201" s="91">
        <f>IF(TrRoad_act!K62=0,0,TrRoad_emi!K59/TrRoad_tech!K174)</f>
        <v>0.96737554044304841</v>
      </c>
      <c r="L201" s="91">
        <f>IF(TrRoad_act!L62=0,0,TrRoad_emi!L59/TrRoad_tech!L174)</f>
        <v>0.95961671313143948</v>
      </c>
      <c r="M201" s="91">
        <f>IF(TrRoad_act!M62=0,0,TrRoad_emi!M59/TrRoad_tech!M174)</f>
        <v>0.92290317143114686</v>
      </c>
      <c r="N201" s="91">
        <f>IF(TrRoad_act!N62=0,0,TrRoad_emi!N59/TrRoad_tech!N174)</f>
        <v>0.95239190021771358</v>
      </c>
      <c r="O201" s="91">
        <f>IF(TrRoad_act!O62=0,0,TrRoad_emi!O59/TrRoad_tech!O174)</f>
        <v>0.76499912940553128</v>
      </c>
      <c r="P201" s="91">
        <f>IF(TrRoad_act!P62=0,0,TrRoad_emi!P59/TrRoad_tech!P174)</f>
        <v>0.91180541085213374</v>
      </c>
      <c r="Q201" s="91">
        <f>IF(TrRoad_act!Q62=0,0,TrRoad_emi!Q59/TrRoad_tech!Q174)</f>
        <v>0.93715583127134783</v>
      </c>
      <c r="R201" s="91">
        <f>IF(TrRoad_act!R62=0,0,TrRoad_emi!R59/TrRoad_tech!R174)</f>
        <v>0.96583391207751856</v>
      </c>
      <c r="S201" s="91">
        <f>IF(TrRoad_act!S62=0,0,TrRoad_emi!S59/TrRoad_tech!S174)</f>
        <v>1.0038623643904032</v>
      </c>
      <c r="T201" s="91">
        <f>IF(TrRoad_act!T62=0,0,TrRoad_emi!T59/TrRoad_tech!T174)</f>
        <v>1.0796282022505197</v>
      </c>
      <c r="U201" s="91">
        <f>IF(TrRoad_act!U62=0,0,TrRoad_emi!U59/TrRoad_tech!U174)</f>
        <v>1.1536630034239761</v>
      </c>
      <c r="V201" s="91">
        <f>IF(TrRoad_act!V62=0,0,TrRoad_emi!V59/TrRoad_tech!V174)</f>
        <v>1.0429844076933881</v>
      </c>
      <c r="W201" s="91">
        <f>IF(TrRoad_act!W62=0,0,TrRoad_emi!W59/TrRoad_tech!W174)</f>
        <v>1.0714181390742701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1.0484456977202741</v>
      </c>
      <c r="C202" s="91">
        <f>IF(TrRoad_act!C63=0,0,TrRoad_emi!C60/TrRoad_tech!C175)</f>
        <v>1.2042699041965244</v>
      </c>
      <c r="D202" s="91">
        <f>IF(TrRoad_act!D63=0,0,TrRoad_emi!D60/TrRoad_tech!D175)</f>
        <v>1.1746537932906993</v>
      </c>
      <c r="E202" s="91">
        <f>IF(TrRoad_act!E63=0,0,TrRoad_emi!E60/TrRoad_tech!E175)</f>
        <v>1.1844159199065922</v>
      </c>
      <c r="F202" s="91">
        <f>IF(TrRoad_act!F63=0,0,TrRoad_emi!F60/TrRoad_tech!F175)</f>
        <v>1.1305440607753829</v>
      </c>
      <c r="G202" s="91">
        <f>IF(TrRoad_act!G63=0,0,TrRoad_emi!G60/TrRoad_tech!G175)</f>
        <v>1.0748679090382083</v>
      </c>
      <c r="H202" s="91">
        <f>IF(TrRoad_act!H63=0,0,TrRoad_emi!H60/TrRoad_tech!H175)</f>
        <v>1.013183319846797</v>
      </c>
      <c r="I202" s="91">
        <f>IF(TrRoad_act!I63=0,0,TrRoad_emi!I60/TrRoad_tech!I175)</f>
        <v>0.98004608811712279</v>
      </c>
      <c r="J202" s="91">
        <f>IF(TrRoad_act!J63=0,0,TrRoad_emi!J60/TrRoad_tech!J175)</f>
        <v>0.95567599046241347</v>
      </c>
      <c r="K202" s="91">
        <f>IF(TrRoad_act!K63=0,0,TrRoad_emi!K60/TrRoad_tech!K175)</f>
        <v>1.0238188775554331</v>
      </c>
      <c r="L202" s="91">
        <f>IF(TrRoad_act!L63=0,0,TrRoad_emi!L60/TrRoad_tech!L175)</f>
        <v>0.96719132474140723</v>
      </c>
      <c r="M202" s="91">
        <f>IF(TrRoad_act!M63=0,0,TrRoad_emi!M60/TrRoad_tech!M175)</f>
        <v>1.0127144477350856</v>
      </c>
      <c r="N202" s="91">
        <f>IF(TrRoad_act!N63=0,0,TrRoad_emi!N60/TrRoad_tech!N175)</f>
        <v>0.9663299272548227</v>
      </c>
      <c r="O202" s="91">
        <f>IF(TrRoad_act!O63=0,0,TrRoad_emi!O60/TrRoad_tech!O175)</f>
        <v>0.98422178658541382</v>
      </c>
      <c r="P202" s="91">
        <f>IF(TrRoad_act!P63=0,0,TrRoad_emi!P60/TrRoad_tech!P175)</f>
        <v>0.9929283769949685</v>
      </c>
      <c r="Q202" s="91">
        <f>IF(TrRoad_act!Q63=0,0,TrRoad_emi!Q60/TrRoad_tech!Q175)</f>
        <v>0.95430938928468734</v>
      </c>
      <c r="R202" s="91">
        <f>IF(TrRoad_act!R63=0,0,TrRoad_emi!R60/TrRoad_tech!R175)</f>
        <v>0.95259116563233071</v>
      </c>
      <c r="S202" s="91">
        <f>IF(TrRoad_act!S63=0,0,TrRoad_emi!S60/TrRoad_tech!S175)</f>
        <v>0.95575185858534384</v>
      </c>
      <c r="T202" s="91">
        <f>IF(TrRoad_act!T63=0,0,TrRoad_emi!T60/TrRoad_tech!T175)</f>
        <v>0.98783201243030005</v>
      </c>
      <c r="U202" s="91">
        <f>IF(TrRoad_act!U63=0,0,TrRoad_emi!U60/TrRoad_tech!U175)</f>
        <v>0.99042658962451124</v>
      </c>
      <c r="V202" s="91">
        <f>IF(TrRoad_act!V63=0,0,TrRoad_emi!V60/TrRoad_tech!V175)</f>
        <v>1.054682010315942</v>
      </c>
      <c r="W202" s="91">
        <f>IF(TrRoad_act!W63=0,0,TrRoad_emi!W60/TrRoad_tech!W175)</f>
        <v>1.0134096712007761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1.0363339299971668</v>
      </c>
      <c r="H203" s="91">
        <f>IF(TrRoad_act!H64=0,0,TrRoad_emi!H61/TrRoad_tech!H176)</f>
        <v>1.037100817663632</v>
      </c>
      <c r="I203" s="91">
        <f>IF(TrRoad_act!I64=0,0,TrRoad_emi!I61/TrRoad_tech!I176)</f>
        <v>1.0390177436993004</v>
      </c>
      <c r="J203" s="91">
        <f>IF(TrRoad_act!J64=0,0,TrRoad_emi!J61/TrRoad_tech!J176)</f>
        <v>1.0392309071808845</v>
      </c>
      <c r="K203" s="91">
        <f>IF(TrRoad_act!K64=0,0,TrRoad_emi!K61/TrRoad_tech!K176)</f>
        <v>1.0427158561801102</v>
      </c>
      <c r="L203" s="91">
        <f>IF(TrRoad_act!L64=0,0,TrRoad_emi!L61/TrRoad_tech!L176)</f>
        <v>1.0461371818330643</v>
      </c>
      <c r="M203" s="91">
        <f>IF(TrRoad_act!M64=0,0,TrRoad_emi!M61/TrRoad_tech!M176)</f>
        <v>1.0473970691718695</v>
      </c>
      <c r="N203" s="91">
        <f>IF(TrRoad_act!N64=0,0,TrRoad_emi!N61/TrRoad_tech!N176)</f>
        <v>1.0490068505632939</v>
      </c>
      <c r="O203" s="91">
        <f>IF(TrRoad_act!O64=0,0,TrRoad_emi!O61/TrRoad_tech!O176)</f>
        <v>1.0508599092993576</v>
      </c>
      <c r="P203" s="91">
        <f>IF(TrRoad_act!P64=0,0,TrRoad_emi!P61/TrRoad_tech!P176)</f>
        <v>1.0583703926784791</v>
      </c>
      <c r="Q203" s="91">
        <f>IF(TrRoad_act!Q64=0,0,TrRoad_emi!Q61/TrRoad_tech!Q176)</f>
        <v>1.0608695103528252</v>
      </c>
      <c r="R203" s="91">
        <f>IF(TrRoad_act!R64=0,0,TrRoad_emi!R61/TrRoad_tech!R176)</f>
        <v>1.0621827616617836</v>
      </c>
      <c r="S203" s="91">
        <f>IF(TrRoad_act!S64=0,0,TrRoad_emi!S61/TrRoad_tech!S176)</f>
        <v>1.0624358908578331</v>
      </c>
      <c r="T203" s="91">
        <f>IF(TrRoad_act!T64=0,0,TrRoad_emi!T61/TrRoad_tech!T176)</f>
        <v>1.0636517046992904</v>
      </c>
      <c r="U203" s="91">
        <f>IF(TrRoad_act!U64=0,0,TrRoad_emi!U61/TrRoad_tech!U176)</f>
        <v>1.065718381225029</v>
      </c>
      <c r="V203" s="91">
        <f>IF(TrRoad_act!V64=0,0,TrRoad_emi!V61/TrRoad_tech!V176)</f>
        <v>1.0665466881494605</v>
      </c>
      <c r="W203" s="91">
        <f>IF(TrRoad_act!W64=0,0,TrRoad_emi!W61/TrRoad_tech!W176)</f>
        <v>1.0667072747324615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1.0827168609911002</v>
      </c>
      <c r="O204" s="91">
        <f>IF(TrRoad_act!O65=0,0,TrRoad_emi!O62/TrRoad_tech!O177)</f>
        <v>0.90517968975620045</v>
      </c>
      <c r="P204" s="91">
        <f>IF(TrRoad_act!P65=0,0,TrRoad_emi!P62/TrRoad_tech!P177)</f>
        <v>1.0476189428407712</v>
      </c>
      <c r="Q204" s="91">
        <f>IF(TrRoad_act!Q65=0,0,TrRoad_emi!Q62/TrRoad_tech!Q177)</f>
        <v>1.0413820657645643</v>
      </c>
      <c r="R204" s="91">
        <f>IF(TrRoad_act!R65=0,0,TrRoad_emi!R62/TrRoad_tech!R177)</f>
        <v>1.020277284380426</v>
      </c>
      <c r="S204" s="91">
        <f>IF(TrRoad_act!S65=0,0,TrRoad_emi!S62/TrRoad_tech!S177)</f>
        <v>1.0362702364203031</v>
      </c>
      <c r="T204" s="91">
        <f>IF(TrRoad_act!T65=0,0,TrRoad_emi!T62/TrRoad_tech!T177)</f>
        <v>1.0308093720317901</v>
      </c>
      <c r="U204" s="91">
        <f>IF(TrRoad_act!U65=0,0,TrRoad_emi!U62/TrRoad_tech!U177)</f>
        <v>1.0257352109744278</v>
      </c>
      <c r="V204" s="91">
        <f>IF(TrRoad_act!V65=0,0,TrRoad_emi!V62/TrRoad_tech!V177)</f>
        <v>1.0356364866684229</v>
      </c>
      <c r="W204" s="91">
        <f>IF(TrRoad_act!W65=0,0,TrRoad_emi!W62/TrRoad_tech!W177)</f>
        <v>1.0532758432138529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1.1000000000067305</v>
      </c>
      <c r="C206" s="151">
        <f>IF(TrRoad_act!C67=0,0,TrRoad_emi!C64/TrRoad_tech!C179)</f>
        <v>1.0934595056607497</v>
      </c>
      <c r="D206" s="151">
        <f>IF(TrRoad_act!D67=0,0,TrRoad_emi!D64/TrRoad_tech!D179)</f>
        <v>1.0884903648670301</v>
      </c>
      <c r="E206" s="151">
        <f>IF(TrRoad_act!E67=0,0,TrRoad_emi!E64/TrRoad_tech!E179)</f>
        <v>1.0882994017625665</v>
      </c>
      <c r="F206" s="151">
        <f>IF(TrRoad_act!F67=0,0,TrRoad_emi!F64/TrRoad_tech!F179)</f>
        <v>1.2352179725889367</v>
      </c>
      <c r="G206" s="151">
        <f>IF(TrRoad_act!G67=0,0,TrRoad_emi!G64/TrRoad_tech!G179)</f>
        <v>1.1059725153395987</v>
      </c>
      <c r="H206" s="151">
        <f>IF(TrRoad_act!H67=0,0,TrRoad_emi!H64/TrRoad_tech!H179)</f>
        <v>1.2176762167031139</v>
      </c>
      <c r="I206" s="151">
        <f>IF(TrRoad_act!I67=0,0,TrRoad_emi!I64/TrRoad_tech!I179)</f>
        <v>1.1246823874027705</v>
      </c>
      <c r="J206" s="151">
        <f>IF(TrRoad_act!J67=0,0,TrRoad_emi!J64/TrRoad_tech!J179)</f>
        <v>1.2196654079928331</v>
      </c>
      <c r="K206" s="151">
        <f>IF(TrRoad_act!K67=0,0,TrRoad_emi!K64/TrRoad_tech!K179)</f>
        <v>1.1413054364013149</v>
      </c>
      <c r="L206" s="151">
        <f>IF(TrRoad_act!L67=0,0,TrRoad_emi!L64/TrRoad_tech!L179)</f>
        <v>1.1762990022251678</v>
      </c>
      <c r="M206" s="151">
        <f>IF(TrRoad_act!M67=0,0,TrRoad_emi!M64/TrRoad_tech!M179)</f>
        <v>1.1042974352576114</v>
      </c>
      <c r="N206" s="151">
        <f>IF(TrRoad_act!N67=0,0,TrRoad_emi!N64/TrRoad_tech!N179)</f>
        <v>1.0832926055747865</v>
      </c>
      <c r="O206" s="151">
        <f>IF(TrRoad_act!O67=0,0,TrRoad_emi!O64/TrRoad_tech!O179)</f>
        <v>1.7412101098041426</v>
      </c>
      <c r="P206" s="151">
        <f>IF(TrRoad_act!P67=0,0,TrRoad_emi!P64/TrRoad_tech!P179)</f>
        <v>1.1251768491665608</v>
      </c>
      <c r="Q206" s="151">
        <f>IF(TrRoad_act!Q67=0,0,TrRoad_emi!Q64/TrRoad_tech!Q179)</f>
        <v>1.0673489509081222</v>
      </c>
      <c r="R206" s="151">
        <f>IF(TrRoad_act!R67=0,0,TrRoad_emi!R64/TrRoad_tech!R179)</f>
        <v>1.0454135907352657</v>
      </c>
      <c r="S206" s="151">
        <f>IF(TrRoad_act!S67=0,0,TrRoad_emi!S64/TrRoad_tech!S179)</f>
        <v>1.0689081773207427</v>
      </c>
      <c r="T206" s="151">
        <f>IF(TrRoad_act!T67=0,0,TrRoad_emi!T64/TrRoad_tech!T179)</f>
        <v>1.189395001284129</v>
      </c>
      <c r="U206" s="151">
        <f>IF(TrRoad_act!U67=0,0,TrRoad_emi!U64/TrRoad_tech!U179)</f>
        <v>1.2531101924852868</v>
      </c>
      <c r="V206" s="151">
        <f>IF(TrRoad_act!V67=0,0,TrRoad_emi!V64/TrRoad_tech!V179)</f>
        <v>1.1817762911332526</v>
      </c>
      <c r="W206" s="151">
        <f>IF(TrRoad_act!W67=0,0,TrRoad_emi!W64/TrRoad_tech!W179)</f>
        <v>1.3588792136310273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1.1006572566362061</v>
      </c>
      <c r="D208" s="93">
        <f>IF(TrRoad_act!D69=0,0,TrRoad_emi!D66/TrRoad_tech!D181)</f>
        <v>1.1031363535419196</v>
      </c>
      <c r="E208" s="93">
        <f>IF(TrRoad_act!E69=0,0,TrRoad_emi!E66/TrRoad_tech!E181)</f>
        <v>1.1033670054344324</v>
      </c>
      <c r="F208" s="93">
        <f>IF(TrRoad_act!F69=0,0,TrRoad_emi!F66/TrRoad_tech!F181)</f>
        <v>1.1037374269803883</v>
      </c>
      <c r="G208" s="93">
        <f>IF(TrRoad_act!G69=0,0,TrRoad_emi!G66/TrRoad_tech!G181)</f>
        <v>1.1095988336068314</v>
      </c>
      <c r="H208" s="93">
        <f>IF(TrRoad_act!H69=0,0,TrRoad_emi!H66/TrRoad_tech!H181)</f>
        <v>1.1065502226178012</v>
      </c>
      <c r="I208" s="93">
        <f>IF(TrRoad_act!I69=0,0,TrRoad_emi!I66/TrRoad_tech!I181)</f>
        <v>1.1155143534462162</v>
      </c>
      <c r="J208" s="93">
        <f>IF(TrRoad_act!J69=0,0,TrRoad_emi!J66/TrRoad_tech!J181)</f>
        <v>1.1156483961908299</v>
      </c>
      <c r="K208" s="93">
        <f>IF(TrRoad_act!K69=0,0,TrRoad_emi!K66/TrRoad_tech!K181)</f>
        <v>1.1247860362152255</v>
      </c>
      <c r="L208" s="93">
        <f>IF(TrRoad_act!L69=0,0,TrRoad_emi!L66/TrRoad_tech!L181)</f>
        <v>1.124530409964541</v>
      </c>
      <c r="M208" s="93">
        <f>IF(TrRoad_act!M69=0,0,TrRoad_emi!M66/TrRoad_tech!M181)</f>
        <v>1.1323841695687498</v>
      </c>
      <c r="N208" s="93">
        <f>IF(TrRoad_act!N69=0,0,TrRoad_emi!N66/TrRoad_tech!N181)</f>
        <v>1.0946101785303122</v>
      </c>
      <c r="O208" s="93">
        <f>IF(TrRoad_act!O69=0,0,TrRoad_emi!O66/TrRoad_tech!O181)</f>
        <v>1.0803509041628847</v>
      </c>
      <c r="P208" s="93">
        <f>IF(TrRoad_act!P69=0,0,TrRoad_emi!P66/TrRoad_tech!P181)</f>
        <v>1.0989543416799663</v>
      </c>
      <c r="Q208" s="93">
        <f>IF(TrRoad_act!Q69=0,0,TrRoad_emi!Q66/TrRoad_tech!Q181)</f>
        <v>1.1116666366996126</v>
      </c>
      <c r="R208" s="93">
        <f>IF(TrRoad_act!R69=0,0,TrRoad_emi!R66/TrRoad_tech!R181)</f>
        <v>1.1072271495391099</v>
      </c>
      <c r="S208" s="93">
        <f>IF(TrRoad_act!S69=0,0,TrRoad_emi!S66/TrRoad_tech!S181)</f>
        <v>1.1143418852972482</v>
      </c>
      <c r="T208" s="93">
        <f>IF(TrRoad_act!T69=0,0,TrRoad_emi!T66/TrRoad_tech!T181)</f>
        <v>1.1302555250239874</v>
      </c>
      <c r="U208" s="93">
        <f>IF(TrRoad_act!U69=0,0,TrRoad_emi!U66/TrRoad_tech!U181)</f>
        <v>1.1354659417255224</v>
      </c>
      <c r="V208" s="93">
        <f>IF(TrRoad_act!V69=0,0,TrRoad_emi!V66/TrRoad_tech!V181)</f>
        <v>1.1385895157049142</v>
      </c>
      <c r="W208" s="93">
        <f>IF(TrRoad_act!W69=0,0,TrRoad_emi!W66/TrRoad_tech!W181)</f>
        <v>1.1512452028907096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1.0732101272450953</v>
      </c>
      <c r="G210" s="93">
        <f>IF(TrRoad_act!G71=0,0,TrRoad_emi!G68/TrRoad_tech!G183)</f>
        <v>1.0158734090961326</v>
      </c>
      <c r="H210" s="93">
        <f>IF(TrRoad_act!H71=0,0,TrRoad_emi!H68/TrRoad_tech!H183)</f>
        <v>0.98876621709140511</v>
      </c>
      <c r="I210" s="93">
        <f>IF(TrRoad_act!I71=0,0,TrRoad_emi!I68/TrRoad_tech!I183)</f>
        <v>1.0965258438104564</v>
      </c>
      <c r="J210" s="93">
        <f>IF(TrRoad_act!J71=0,0,TrRoad_emi!J68/TrRoad_tech!J183)</f>
        <v>1.1084521622563075</v>
      </c>
      <c r="K210" s="93">
        <f>IF(TrRoad_act!K71=0,0,TrRoad_emi!K68/TrRoad_tech!K183)</f>
        <v>1.1580278466025204</v>
      </c>
      <c r="L210" s="93">
        <f>IF(TrRoad_act!L71=0,0,TrRoad_emi!L68/TrRoad_tech!L183)</f>
        <v>1.2802447422742995</v>
      </c>
      <c r="M210" s="93">
        <f>IF(TrRoad_act!M71=0,0,TrRoad_emi!M68/TrRoad_tech!M183)</f>
        <v>1.2400578512494718</v>
      </c>
      <c r="N210" s="93">
        <f>IF(TrRoad_act!N71=0,0,TrRoad_emi!N68/TrRoad_tech!N183)</f>
        <v>1.3738549798985109</v>
      </c>
      <c r="O210" s="93">
        <f>IF(TrRoad_act!O71=0,0,TrRoad_emi!O68/TrRoad_tech!O183)</f>
        <v>0.9872686806320522</v>
      </c>
      <c r="P210" s="93">
        <f>IF(TrRoad_act!P71=0,0,TrRoad_emi!P68/TrRoad_tech!P183)</f>
        <v>0.54592319257952193</v>
      </c>
      <c r="Q210" s="93">
        <f>IF(TrRoad_act!Q71=0,0,TrRoad_emi!Q68/TrRoad_tech!Q183)</f>
        <v>0.87211351018991057</v>
      </c>
      <c r="R210" s="93">
        <f>IF(TrRoad_act!R71=0,0,TrRoad_emi!R68/TrRoad_tech!R183)</f>
        <v>1.0879859778525116</v>
      </c>
      <c r="S210" s="93">
        <f>IF(TrRoad_act!S71=0,0,TrRoad_emi!S68/TrRoad_tech!S183)</f>
        <v>1.073315081655996</v>
      </c>
      <c r="T210" s="93">
        <f>IF(TrRoad_act!T71=0,0,TrRoad_emi!T68/TrRoad_tech!T183)</f>
        <v>1.0673168609403372</v>
      </c>
      <c r="U210" s="93">
        <f>IF(TrRoad_act!U71=0,0,TrRoad_emi!U68/TrRoad_tech!U183)</f>
        <v>1.1146398477355086</v>
      </c>
      <c r="V210" s="93">
        <f>IF(TrRoad_act!V71=0,0,TrRoad_emi!V68/TrRoad_tech!V183)</f>
        <v>1.0047539709281059</v>
      </c>
      <c r="W210" s="93">
        <f>IF(TrRoad_act!W71=0,0,TrRoad_emi!W68/TrRoad_tech!W183)</f>
        <v>1.1761518390093695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1.1260757586876768</v>
      </c>
      <c r="C213" s="150">
        <f>IF(TrRoad_act!C74=0,0,TrRoad_emi!C71/TrRoad_tech!C186)</f>
        <v>1.1071935126206289</v>
      </c>
      <c r="D213" s="150">
        <f>IF(TrRoad_act!D74=0,0,TrRoad_emi!D71/TrRoad_tech!D186)</f>
        <v>1.091142680206789</v>
      </c>
      <c r="E213" s="150">
        <f>IF(TrRoad_act!E74=0,0,TrRoad_emi!E71/TrRoad_tech!E186)</f>
        <v>1.0520294994776171</v>
      </c>
      <c r="F213" s="150">
        <f>IF(TrRoad_act!F74=0,0,TrRoad_emi!F71/TrRoad_tech!F186)</f>
        <v>1.0400744862043176</v>
      </c>
      <c r="G213" s="150">
        <f>IF(TrRoad_act!G74=0,0,TrRoad_emi!G71/TrRoad_tech!G186)</f>
        <v>1.0507885250810152</v>
      </c>
      <c r="H213" s="150">
        <f>IF(TrRoad_act!H74=0,0,TrRoad_emi!H71/TrRoad_tech!H186)</f>
        <v>1.0455827865329401</v>
      </c>
      <c r="I213" s="150">
        <f>IF(TrRoad_act!I74=0,0,TrRoad_emi!I71/TrRoad_tech!I186)</f>
        <v>1.0793229596643186</v>
      </c>
      <c r="J213" s="150">
        <f>IF(TrRoad_act!J74=0,0,TrRoad_emi!J71/TrRoad_tech!J186)</f>
        <v>1.1023554641010207</v>
      </c>
      <c r="K213" s="150">
        <f>IF(TrRoad_act!K74=0,0,TrRoad_emi!K71/TrRoad_tech!K186)</f>
        <v>1.1304083698048595</v>
      </c>
      <c r="L213" s="150">
        <f>IF(TrRoad_act!L74=0,0,TrRoad_emi!L71/TrRoad_tech!L186)</f>
        <v>1.1810129609486206</v>
      </c>
      <c r="M213" s="150">
        <f>IF(TrRoad_act!M74=0,0,TrRoad_emi!M71/TrRoad_tech!M186)</f>
        <v>1.2425036053266099</v>
      </c>
      <c r="N213" s="150">
        <f>IF(TrRoad_act!N74=0,0,TrRoad_emi!N71/TrRoad_tech!N186)</f>
        <v>1.1266809003769176</v>
      </c>
      <c r="O213" s="150">
        <f>IF(TrRoad_act!O74=0,0,TrRoad_emi!O71/TrRoad_tech!O186)</f>
        <v>1.1086350001845677</v>
      </c>
      <c r="P213" s="150">
        <f>IF(TrRoad_act!P74=0,0,TrRoad_emi!P71/TrRoad_tech!P186)</f>
        <v>1.1228066492466999</v>
      </c>
      <c r="Q213" s="150">
        <f>IF(TrRoad_act!Q74=0,0,TrRoad_emi!Q71/TrRoad_tech!Q186)</f>
        <v>1.1672861343705296</v>
      </c>
      <c r="R213" s="150">
        <f>IF(TrRoad_act!R74=0,0,TrRoad_emi!R71/TrRoad_tech!R186)</f>
        <v>1.1621011619730415</v>
      </c>
      <c r="S213" s="150">
        <f>IF(TrRoad_act!S74=0,0,TrRoad_emi!S71/TrRoad_tech!S186)</f>
        <v>1.2114641868315486</v>
      </c>
      <c r="T213" s="150">
        <f>IF(TrRoad_act!T74=0,0,TrRoad_emi!T71/TrRoad_tech!T186)</f>
        <v>1.2229099448686045</v>
      </c>
      <c r="U213" s="150">
        <f>IF(TrRoad_act!U74=0,0,TrRoad_emi!U71/TrRoad_tech!U186)</f>
        <v>1.1797062731936345</v>
      </c>
      <c r="V213" s="150">
        <f>IF(TrRoad_act!V74=0,0,TrRoad_emi!V71/TrRoad_tech!V186)</f>
        <v>1.0909522681361543</v>
      </c>
      <c r="W213" s="150">
        <f>IF(TrRoad_act!W74=0,0,TrRoad_emi!W71/TrRoad_tech!W186)</f>
        <v>1.0995675405629475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1.1001665151145612</v>
      </c>
      <c r="D214" s="91">
        <f>IF(TrRoad_act!D75=0,0,TrRoad_emi!D72/TrRoad_tech!D187)</f>
        <v>1.1006111625570769</v>
      </c>
      <c r="E214" s="91">
        <f>IF(TrRoad_act!E75=0,0,TrRoad_emi!E72/TrRoad_tech!E187)</f>
        <v>1.1014484552730817</v>
      </c>
      <c r="F214" s="91">
        <f>IF(TrRoad_act!F75=0,0,TrRoad_emi!F72/TrRoad_tech!F187)</f>
        <v>1.1027381714986992</v>
      </c>
      <c r="G214" s="91">
        <f>IF(TrRoad_act!G75=0,0,TrRoad_emi!G72/TrRoad_tech!G187)</f>
        <v>1.1035676603943052</v>
      </c>
      <c r="H214" s="91">
        <f>IF(TrRoad_act!H75=0,0,TrRoad_emi!H72/TrRoad_tech!H187)</f>
        <v>1.1038660131248175</v>
      </c>
      <c r="I214" s="91">
        <f>IF(TrRoad_act!I75=0,0,TrRoad_emi!I72/TrRoad_tech!I187)</f>
        <v>1.1042287699140887</v>
      </c>
      <c r="J214" s="91">
        <f>IF(TrRoad_act!J75=0,0,TrRoad_emi!J72/TrRoad_tech!J187)</f>
        <v>1.1047221052175578</v>
      </c>
      <c r="K214" s="91">
        <f>IF(TrRoad_act!K75=0,0,TrRoad_emi!K72/TrRoad_tech!K187)</f>
        <v>1.1051633988600003</v>
      </c>
      <c r="L214" s="91">
        <f>IF(TrRoad_act!L75=0,0,TrRoad_emi!L72/TrRoad_tech!L187)</f>
        <v>1.1063911137289848</v>
      </c>
      <c r="M214" s="91">
        <f>IF(TrRoad_act!M75=0,0,TrRoad_emi!M72/TrRoad_tech!M187)</f>
        <v>1.1095697574526771</v>
      </c>
      <c r="N214" s="91">
        <f>IF(TrRoad_act!N75=0,0,TrRoad_emi!N72/TrRoad_tech!N187)</f>
        <v>1.1230342465198393</v>
      </c>
      <c r="O214" s="91">
        <f>IF(TrRoad_act!O75=0,0,TrRoad_emi!O72/TrRoad_tech!O187)</f>
        <v>1.1136677288055497</v>
      </c>
      <c r="P214" s="91">
        <f>IF(TrRoad_act!P75=0,0,TrRoad_emi!P72/TrRoad_tech!P187)</f>
        <v>1.1218278001106865</v>
      </c>
      <c r="Q214" s="91">
        <f>IF(TrRoad_act!Q75=0,0,TrRoad_emi!Q72/TrRoad_tech!Q187)</f>
        <v>1.1100430482531349</v>
      </c>
      <c r="R214" s="91">
        <f>IF(TrRoad_act!R75=0,0,TrRoad_emi!R72/TrRoad_tech!R187)</f>
        <v>1.1319961227312743</v>
      </c>
      <c r="S214" s="91">
        <f>IF(TrRoad_act!S75=0,0,TrRoad_emi!S72/TrRoad_tech!S187)</f>
        <v>1.1718724359850452</v>
      </c>
      <c r="T214" s="91">
        <f>IF(TrRoad_act!T75=0,0,TrRoad_emi!T72/TrRoad_tech!T187)</f>
        <v>1.1910166543251375</v>
      </c>
      <c r="U214" s="91">
        <f>IF(TrRoad_act!U75=0,0,TrRoad_emi!U72/TrRoad_tech!U187)</f>
        <v>1.1943906927511134</v>
      </c>
      <c r="V214" s="91">
        <f>IF(TrRoad_act!V75=0,0,TrRoad_emi!V72/TrRoad_tech!V187)</f>
        <v>1.2093021976066018</v>
      </c>
      <c r="W214" s="91">
        <f>IF(TrRoad_act!W75=0,0,TrRoad_emi!W72/TrRoad_tech!W187)</f>
        <v>1.2325064490203796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1.10000000000673</v>
      </c>
      <c r="D215" s="91">
        <f>IF(TrRoad_act!D76=0,0,TrRoad_emi!D73/TrRoad_tech!D188)</f>
        <v>1.1000363731267091</v>
      </c>
      <c r="E215" s="91">
        <f>IF(TrRoad_act!E76=0,0,TrRoad_emi!E73/TrRoad_tech!E188)</f>
        <v>1.100634854907685</v>
      </c>
      <c r="F215" s="91">
        <f>IF(TrRoad_act!F76=0,0,TrRoad_emi!F73/TrRoad_tech!F188)</f>
        <v>1.1019579091907621</v>
      </c>
      <c r="G215" s="91">
        <f>IF(TrRoad_act!G76=0,0,TrRoad_emi!G73/TrRoad_tech!G188)</f>
        <v>1.1024573813281247</v>
      </c>
      <c r="H215" s="91">
        <f>IF(TrRoad_act!H76=0,0,TrRoad_emi!H73/TrRoad_tech!H188)</f>
        <v>1.1012844927581866</v>
      </c>
      <c r="I215" s="91">
        <f>IF(TrRoad_act!I76=0,0,TrRoad_emi!I73/TrRoad_tech!I188)</f>
        <v>1.1072496354981678</v>
      </c>
      <c r="J215" s="91">
        <f>IF(TrRoad_act!J76=0,0,TrRoad_emi!J73/TrRoad_tech!J188)</f>
        <v>1.1092508066974571</v>
      </c>
      <c r="K215" s="91">
        <f>IF(TrRoad_act!K76=0,0,TrRoad_emi!K73/TrRoad_tech!K188)</f>
        <v>1.112943089133166</v>
      </c>
      <c r="L215" s="91">
        <f>IF(TrRoad_act!L76=0,0,TrRoad_emi!L73/TrRoad_tech!L188)</f>
        <v>1.1068214732568087</v>
      </c>
      <c r="M215" s="91">
        <f>IF(TrRoad_act!M76=0,0,TrRoad_emi!M73/TrRoad_tech!M188)</f>
        <v>1.1094343835286622</v>
      </c>
      <c r="N215" s="91">
        <f>IF(TrRoad_act!N76=0,0,TrRoad_emi!N73/TrRoad_tech!N188)</f>
        <v>1.0688279145657327</v>
      </c>
      <c r="O215" s="91">
        <f>IF(TrRoad_act!O76=0,0,TrRoad_emi!O73/TrRoad_tech!O188)</f>
        <v>1.0587213977570693</v>
      </c>
      <c r="P215" s="91">
        <f>IF(TrRoad_act!P76=0,0,TrRoad_emi!P73/TrRoad_tech!P188)</f>
        <v>1.0750239439960378</v>
      </c>
      <c r="Q215" s="91">
        <f>IF(TrRoad_act!Q76=0,0,TrRoad_emi!Q73/TrRoad_tech!Q188)</f>
        <v>1.0841814553830866</v>
      </c>
      <c r="R215" s="91">
        <f>IF(TrRoad_act!R76=0,0,TrRoad_emi!R73/TrRoad_tech!R188)</f>
        <v>1.091089967701645</v>
      </c>
      <c r="S215" s="91">
        <f>IF(TrRoad_act!S76=0,0,TrRoad_emi!S73/TrRoad_tech!S188)</f>
        <v>1.1120227114494312</v>
      </c>
      <c r="T215" s="91">
        <f>IF(TrRoad_act!T76=0,0,TrRoad_emi!T73/TrRoad_tech!T188)</f>
        <v>1.1407831299048241</v>
      </c>
      <c r="U215" s="91">
        <f>IF(TrRoad_act!U76=0,0,TrRoad_emi!U73/TrRoad_tech!U188)</f>
        <v>1.1564051515119491</v>
      </c>
      <c r="V215" s="91">
        <f>IF(TrRoad_act!V76=0,0,TrRoad_emi!V73/TrRoad_tech!V188)</f>
        <v>1.1671902411981041</v>
      </c>
      <c r="W215" s="91">
        <f>IF(TrRoad_act!W76=0,0,TrRoad_emi!W73/TrRoad_tech!W188)</f>
        <v>1.1910454827951444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1.3172635731932034</v>
      </c>
      <c r="S216" s="91">
        <f>IF(TrRoad_act!S77=0,0,TrRoad_emi!S74/TrRoad_tech!S189)</f>
        <v>1.3260574063064963</v>
      </c>
      <c r="T216" s="91">
        <f>IF(TrRoad_act!T77=0,0,TrRoad_emi!T74/TrRoad_tech!T189)</f>
        <v>1.3331419693427735</v>
      </c>
      <c r="U216" s="91">
        <f>IF(TrRoad_act!U77=0,0,TrRoad_emi!U74/TrRoad_tech!U189)</f>
        <v>1.3390770187763026</v>
      </c>
      <c r="V216" s="91">
        <f>IF(TrRoad_act!V77=0,0,TrRoad_emi!V74/TrRoad_tech!V189)</f>
        <v>1.3418102711567101</v>
      </c>
      <c r="W216" s="91">
        <f>IF(TrRoad_act!W77=0,0,TrRoad_emi!W74/TrRoad_tech!W189)</f>
        <v>1.3456092952836496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1.3172635731932034</v>
      </c>
      <c r="S217" s="91">
        <f>IF(TrRoad_act!S78=0,0,TrRoad_emi!S75/TrRoad_tech!S190)</f>
        <v>1.3237389069949168</v>
      </c>
      <c r="T217" s="91">
        <f>IF(TrRoad_act!T78=0,0,TrRoad_emi!T75/TrRoad_tech!T190)</f>
        <v>1.3298081798974499</v>
      </c>
      <c r="U217" s="91">
        <f>IF(TrRoad_act!U78=0,0,TrRoad_emi!U75/TrRoad_tech!U190)</f>
        <v>1.3362493297719535</v>
      </c>
      <c r="V217" s="91">
        <f>IF(TrRoad_act!V78=0,0,TrRoad_emi!V75/TrRoad_tech!V190)</f>
        <v>1.3413138633357524</v>
      </c>
      <c r="W217" s="91">
        <f>IF(TrRoad_act!W78=0,0,TrRoad_emi!W75/TrRoad_tech!W190)</f>
        <v>1.3446123124052525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1.0498697293098282</v>
      </c>
      <c r="C219" s="151">
        <f>IF(TrRoad_act!C80=0,0,TrRoad_emi!C77/TrRoad_tech!C192)</f>
        <v>1.1377174264481651</v>
      </c>
      <c r="D219" s="151">
        <f>IF(TrRoad_act!D80=0,0,TrRoad_emi!D77/TrRoad_tech!D192)</f>
        <v>1.0366051992018983</v>
      </c>
      <c r="E219" s="151">
        <f>IF(TrRoad_act!E80=0,0,TrRoad_emi!E77/TrRoad_tech!E192)</f>
        <v>1.2718999692701158</v>
      </c>
      <c r="F219" s="151">
        <f>IF(TrRoad_act!F80=0,0,TrRoad_emi!F77/TrRoad_tech!F192)</f>
        <v>1.221073518789656</v>
      </c>
      <c r="G219" s="151">
        <f>IF(TrRoad_act!G80=0,0,TrRoad_emi!G77/TrRoad_tech!G192)</f>
        <v>1.3024021271089019</v>
      </c>
      <c r="H219" s="151">
        <f>IF(TrRoad_act!H80=0,0,TrRoad_emi!H77/TrRoad_tech!H192)</f>
        <v>1.2264154637517803</v>
      </c>
      <c r="I219" s="151">
        <f>IF(TrRoad_act!I80=0,0,TrRoad_emi!I77/TrRoad_tech!I192)</f>
        <v>1.1201171300277186</v>
      </c>
      <c r="J219" s="151">
        <f>IF(TrRoad_act!J80=0,0,TrRoad_emi!J77/TrRoad_tech!J192)</f>
        <v>1.1514058570677104</v>
      </c>
      <c r="K219" s="151">
        <f>IF(TrRoad_act!K80=0,0,TrRoad_emi!K77/TrRoad_tech!K192)</f>
        <v>1.0872762355542755</v>
      </c>
      <c r="L219" s="151">
        <f>IF(TrRoad_act!L80=0,0,TrRoad_emi!L77/TrRoad_tech!L192)</f>
        <v>1.0864482164695506</v>
      </c>
      <c r="M219" s="151">
        <f>IF(TrRoad_act!M80=0,0,TrRoad_emi!M77/TrRoad_tech!M192)</f>
        <v>1.0522061752741707</v>
      </c>
      <c r="N219" s="151">
        <f>IF(TrRoad_act!N80=0,0,TrRoad_emi!N77/TrRoad_tech!N192)</f>
        <v>1.0909873863399395</v>
      </c>
      <c r="O219" s="151">
        <f>IF(TrRoad_act!O80=0,0,TrRoad_emi!O77/TrRoad_tech!O192)</f>
        <v>0.8863058174814592</v>
      </c>
      <c r="P219" s="151">
        <f>IF(TrRoad_act!P80=0,0,TrRoad_emi!P77/TrRoad_tech!P192)</f>
        <v>1.0615737273039971</v>
      </c>
      <c r="Q219" s="151">
        <f>IF(TrRoad_act!Q80=0,0,TrRoad_emi!Q77/TrRoad_tech!Q192)</f>
        <v>1.1097638616028804</v>
      </c>
      <c r="R219" s="151">
        <f>IF(TrRoad_act!R80=0,0,TrRoad_emi!R77/TrRoad_tech!R192)</f>
        <v>1.160981470223444</v>
      </c>
      <c r="S219" s="151">
        <f>IF(TrRoad_act!S80=0,0,TrRoad_emi!S77/TrRoad_tech!S192)</f>
        <v>1.2122285538028401</v>
      </c>
      <c r="T219" s="151">
        <f>IF(TrRoad_act!T80=0,0,TrRoad_emi!T77/TrRoad_tech!T192)</f>
        <v>1.3324102927791115</v>
      </c>
      <c r="U219" s="151">
        <f>IF(TrRoad_act!U80=0,0,TrRoad_emi!U77/TrRoad_tech!U192)</f>
        <v>1.4516589296461093</v>
      </c>
      <c r="V219" s="151">
        <f>IF(TrRoad_act!V80=0,0,TrRoad_emi!V77/TrRoad_tech!V192)</f>
        <v>1.3449275183647798</v>
      </c>
      <c r="W219" s="151">
        <f>IF(TrRoad_act!W80=0,0,TrRoad_emi!W77/TrRoad_tech!W192)</f>
        <v>1.3930786842921694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0.8590689415604732</v>
      </c>
      <c r="C220" s="93">
        <f>IF(TrRoad_act!C81=0,0,TrRoad_emi!C78/TrRoad_tech!C193)</f>
        <v>1.0860822373193273</v>
      </c>
      <c r="D220" s="93">
        <f>IF(TrRoad_act!D81=0,0,TrRoad_emi!D78/TrRoad_tech!D193)</f>
        <v>0.83063968571376423</v>
      </c>
      <c r="E220" s="93">
        <f>IF(TrRoad_act!E81=0,0,TrRoad_emi!E78/TrRoad_tech!E193)</f>
        <v>1.3814129733691567</v>
      </c>
      <c r="F220" s="93">
        <f>IF(TrRoad_act!F81=0,0,TrRoad_emi!F78/TrRoad_tech!F193)</f>
        <v>1.2816437351704217</v>
      </c>
      <c r="G220" s="93">
        <f>IF(TrRoad_act!G81=0,0,TrRoad_emi!G78/TrRoad_tech!G193)</f>
        <v>1.4345373483773929</v>
      </c>
      <c r="H220" s="93">
        <f>IF(TrRoad_act!H81=0,0,TrRoad_emi!H78/TrRoad_tech!H193)</f>
        <v>1.3009856897218492</v>
      </c>
      <c r="I220" s="93">
        <f>IF(TrRoad_act!I81=0,0,TrRoad_emi!I78/TrRoad_tech!I193)</f>
        <v>1.1306221572544852</v>
      </c>
      <c r="J220" s="93">
        <f>IF(TrRoad_act!J81=0,0,TrRoad_emi!J78/TrRoad_tech!J193)</f>
        <v>1.2082989210441202</v>
      </c>
      <c r="K220" s="93">
        <f>IF(TrRoad_act!K81=0,0,TrRoad_emi!K78/TrRoad_tech!K193)</f>
        <v>1.1168596749606363</v>
      </c>
      <c r="L220" s="93">
        <f>IF(TrRoad_act!L81=0,0,TrRoad_emi!L78/TrRoad_tech!L193)</f>
        <v>1.1080956893117038</v>
      </c>
      <c r="M220" s="93">
        <f>IF(TrRoad_act!M81=0,0,TrRoad_emi!M78/TrRoad_tech!M193)</f>
        <v>1.0498178382352241</v>
      </c>
      <c r="N220" s="93">
        <f>IF(TrRoad_act!N81=0,0,TrRoad_emi!N78/TrRoad_tech!N193)</f>
        <v>1.1226892118625009</v>
      </c>
      <c r="O220" s="93">
        <f>IF(TrRoad_act!O81=0,0,TrRoad_emi!O78/TrRoad_tech!O193)</f>
        <v>0.81481588166857388</v>
      </c>
      <c r="P220" s="93">
        <f>IF(TrRoad_act!P81=0,0,TrRoad_emi!P78/TrRoad_tech!P193)</f>
        <v>1.0666320877382043</v>
      </c>
      <c r="Q220" s="93">
        <f>IF(TrRoad_act!Q81=0,0,TrRoad_emi!Q78/TrRoad_tech!Q193)</f>
        <v>1.1257514459672286</v>
      </c>
      <c r="R220" s="93">
        <f>IF(TrRoad_act!R81=0,0,TrRoad_emi!R78/TrRoad_tech!R193)</f>
        <v>1.1962443255749413</v>
      </c>
      <c r="S220" s="93">
        <f>IF(TrRoad_act!S81=0,0,TrRoad_emi!S78/TrRoad_tech!S193)</f>
        <v>1.2711360405177865</v>
      </c>
      <c r="T220" s="93">
        <f>IF(TrRoad_act!T81=0,0,TrRoad_emi!T78/TrRoad_tech!T193)</f>
        <v>1.4262462881614966</v>
      </c>
      <c r="U220" s="93">
        <f>IF(TrRoad_act!U81=0,0,TrRoad_emi!U78/TrRoad_tech!U193)</f>
        <v>1.592271623655467</v>
      </c>
      <c r="V220" s="93">
        <f>IF(TrRoad_act!V81=0,0,TrRoad_emi!V78/TrRoad_tech!V193)</f>
        <v>1.4209708060948176</v>
      </c>
      <c r="W220" s="93">
        <f>IF(TrRoad_act!W81=0,0,TrRoad_emi!W78/TrRoad_tech!W193)</f>
        <v>1.482167139151386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1.2022526345191575</v>
      </c>
      <c r="C221" s="94">
        <f>IF(TrRoad_act!C82=0,0,TrRoad_emi!C79/TrRoad_tech!C194)</f>
        <v>1.1845005869184044</v>
      </c>
      <c r="D221" s="94">
        <f>IF(TrRoad_act!D82=0,0,TrRoad_emi!D79/TrRoad_tech!D194)</f>
        <v>1.2067930313276767</v>
      </c>
      <c r="E221" s="94">
        <f>IF(TrRoad_act!E82=0,0,TrRoad_emi!E79/TrRoad_tech!E194)</f>
        <v>1.1590174785800071</v>
      </c>
      <c r="F221" s="94">
        <f>IF(TrRoad_act!F82=0,0,TrRoad_emi!F79/TrRoad_tech!F194)</f>
        <v>1.1758784488482705</v>
      </c>
      <c r="G221" s="94">
        <f>IF(TrRoad_act!G82=0,0,TrRoad_emi!G79/TrRoad_tech!G194)</f>
        <v>1.1635059178134277</v>
      </c>
      <c r="H221" s="94">
        <f>IF(TrRoad_act!H82=0,0,TrRoad_emi!H79/TrRoad_tech!H194)</f>
        <v>1.1727394273873077</v>
      </c>
      <c r="I221" s="94">
        <f>IF(TrRoad_act!I82=0,0,TrRoad_emi!I79/TrRoad_tech!I194)</f>
        <v>1.198886655344747</v>
      </c>
      <c r="J221" s="94">
        <f>IF(TrRoad_act!J82=0,0,TrRoad_emi!J79/TrRoad_tech!J194)</f>
        <v>1.1936940085290022</v>
      </c>
      <c r="K221" s="94">
        <f>IF(TrRoad_act!K82=0,0,TrRoad_emi!K79/TrRoad_tech!K194)</f>
        <v>1.2142850503927276</v>
      </c>
      <c r="L221" s="94">
        <f>IF(TrRoad_act!L82=0,0,TrRoad_emi!L79/TrRoad_tech!L194)</f>
        <v>1.2239562892967377</v>
      </c>
      <c r="M221" s="94">
        <f>IF(TrRoad_act!M82=0,0,TrRoad_emi!M79/TrRoad_tech!M194)</f>
        <v>1.2520578163544511</v>
      </c>
      <c r="N221" s="94">
        <f>IF(TrRoad_act!N82=0,0,TrRoad_emi!N79/TrRoad_tech!N194)</f>
        <v>1.1905632502382735</v>
      </c>
      <c r="O221" s="94">
        <f>IF(TrRoad_act!O82=0,0,TrRoad_emi!O79/TrRoad_tech!O194)</f>
        <v>1.2450213333400895</v>
      </c>
      <c r="P221" s="94">
        <f>IF(TrRoad_act!P82=0,0,TrRoad_emi!P79/TrRoad_tech!P194)</f>
        <v>1.2285753952522163</v>
      </c>
      <c r="Q221" s="94">
        <f>IF(TrRoad_act!Q82=0,0,TrRoad_emi!Q79/TrRoad_tech!Q194)</f>
        <v>1.2458736649480799</v>
      </c>
      <c r="R221" s="94">
        <f>IF(TrRoad_act!R82=0,0,TrRoad_emi!R79/TrRoad_tech!R194)</f>
        <v>1.2412307100979807</v>
      </c>
      <c r="S221" s="94">
        <f>IF(TrRoad_act!S82=0,0,TrRoad_emi!S79/TrRoad_tech!S194)</f>
        <v>1.2400166427382671</v>
      </c>
      <c r="T221" s="94">
        <f>IF(TrRoad_act!T82=0,0,TrRoad_emi!T79/TrRoad_tech!T194)</f>
        <v>1.2402897044637162</v>
      </c>
      <c r="U221" s="94">
        <f>IF(TrRoad_act!U82=0,0,TrRoad_emi!U79/TrRoad_tech!U194)</f>
        <v>1.224033787346859</v>
      </c>
      <c r="V221" s="94">
        <f>IF(TrRoad_act!V82=0,0,TrRoad_emi!V79/TrRoad_tech!V194)</f>
        <v>1.2953385077453199</v>
      </c>
      <c r="W221" s="94">
        <f>IF(TrRoad_act!W82=0,0,TrRoad_emi!W79/TrRoad_tech!W194)</f>
        <v>1.3403090866468941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108.43056596954689</v>
      </c>
      <c r="C225" s="152">
        <v>107.98441355183678</v>
      </c>
      <c r="D225" s="152">
        <v>107.49084136112927</v>
      </c>
      <c r="E225" s="152">
        <v>106.47539582199016</v>
      </c>
      <c r="F225" s="152">
        <v>106.36445528371188</v>
      </c>
      <c r="G225" s="152">
        <v>105.28674719757986</v>
      </c>
      <c r="H225" s="152">
        <v>103.69509008717898</v>
      </c>
      <c r="I225" s="152">
        <v>102.56077968559885</v>
      </c>
      <c r="J225" s="152">
        <v>98.861252347910352</v>
      </c>
      <c r="K225" s="152">
        <v>94.870789108818556</v>
      </c>
      <c r="L225" s="152">
        <v>92.379155182792729</v>
      </c>
      <c r="M225" s="152">
        <v>86.535045644227864</v>
      </c>
      <c r="N225" s="152">
        <v>85.37192278659937</v>
      </c>
      <c r="O225" s="152">
        <v>83.546131115271976</v>
      </c>
      <c r="P225" s="152">
        <v>81.900402932174515</v>
      </c>
      <c r="Q225" s="152">
        <v>79.890529320186602</v>
      </c>
      <c r="R225" s="152">
        <v>78.241436517411643</v>
      </c>
      <c r="S225" s="152">
        <v>76.922162275191653</v>
      </c>
      <c r="T225" s="152">
        <v>75.866742881415675</v>
      </c>
      <c r="U225" s="152">
        <v>75.022407366394887</v>
      </c>
      <c r="V225" s="152">
        <v>74.34693895437826</v>
      </c>
      <c r="W225" s="152">
        <v>73.806564224764941</v>
      </c>
      <c r="DA225" s="174" t="s">
        <v>931</v>
      </c>
    </row>
    <row r="226" spans="1:105" ht="11.45" customHeight="1" x14ac:dyDescent="0.25">
      <c r="A226" s="109" t="s">
        <v>20</v>
      </c>
      <c r="B226" s="116">
        <v>202.21275709320764</v>
      </c>
      <c r="C226" s="116">
        <v>207.34333096119667</v>
      </c>
      <c r="D226" s="116">
        <v>210.1512737180542</v>
      </c>
      <c r="E226" s="116">
        <v>211.3451877879391</v>
      </c>
      <c r="F226" s="116">
        <v>211.26824115146746</v>
      </c>
      <c r="G226" s="116">
        <v>210.34693717753527</v>
      </c>
      <c r="H226" s="116">
        <v>210.84214905687051</v>
      </c>
      <c r="I226" s="116">
        <v>210.43868654940988</v>
      </c>
      <c r="J226" s="116">
        <v>200.45575874987384</v>
      </c>
      <c r="K226" s="116">
        <v>190.16339082559182</v>
      </c>
      <c r="L226" s="116">
        <v>165.59617310848009</v>
      </c>
      <c r="M226" s="116">
        <v>190.97774896835111</v>
      </c>
      <c r="N226" s="116">
        <v>188.25857496874312</v>
      </c>
      <c r="O226" s="116">
        <v>167.88815671690875</v>
      </c>
      <c r="P226" s="116">
        <v>161.12566801579371</v>
      </c>
      <c r="Q226" s="116">
        <v>155.70378077602979</v>
      </c>
      <c r="R226" s="116">
        <v>149.79328024524008</v>
      </c>
      <c r="S226" s="116">
        <v>152.84816605969772</v>
      </c>
      <c r="T226" s="116">
        <v>155.6095698926872</v>
      </c>
      <c r="U226" s="116">
        <v>159.86647427450467</v>
      </c>
      <c r="V226" s="116">
        <v>148.85633148539554</v>
      </c>
      <c r="W226" s="116">
        <v>144.29491431771501</v>
      </c>
      <c r="DA226" s="176" t="s">
        <v>932</v>
      </c>
    </row>
    <row r="227" spans="1:105" ht="11.45" customHeight="1" x14ac:dyDescent="0.25">
      <c r="A227" s="111" t="s">
        <v>110</v>
      </c>
      <c r="B227" s="87">
        <v>229.09503716169249</v>
      </c>
      <c r="C227" s="87">
        <v>229.17805144941585</v>
      </c>
      <c r="D227" s="87">
        <v>227.79217585396589</v>
      </c>
      <c r="E227" s="87">
        <v>224.94095931929007</v>
      </c>
      <c r="F227" s="87">
        <v>224.62945517168893</v>
      </c>
      <c r="G227" s="87">
        <v>221.60341488070634</v>
      </c>
      <c r="H227" s="87">
        <v>217.13428394675518</v>
      </c>
      <c r="I227" s="87">
        <v>213.94931296822102</v>
      </c>
      <c r="J227" s="87">
        <v>203.561603229848</v>
      </c>
      <c r="K227" s="87">
        <v>192.35698975745976</v>
      </c>
      <c r="L227" s="87">
        <v>185.36086089143922</v>
      </c>
      <c r="M227" s="87">
        <v>168.93697142117833</v>
      </c>
      <c r="N227" s="87">
        <v>165.67573351038476</v>
      </c>
      <c r="O227" s="87">
        <v>160.55907359533626</v>
      </c>
      <c r="P227" s="87">
        <v>155.93811931825232</v>
      </c>
      <c r="Q227" s="87">
        <v>150.35239867921516</v>
      </c>
      <c r="R227" s="87">
        <v>149.19223903825676</v>
      </c>
      <c r="S227" s="87">
        <v>148.16905495457888</v>
      </c>
      <c r="T227" s="87">
        <v>147.33917945505789</v>
      </c>
      <c r="U227" s="87">
        <v>153.5213080793134</v>
      </c>
      <c r="V227" s="87">
        <v>150.73967202775151</v>
      </c>
      <c r="W227" s="87">
        <v>141.58902575587899</v>
      </c>
      <c r="DA227" s="171" t="s">
        <v>933</v>
      </c>
    </row>
    <row r="228" spans="1:105" ht="11.45" customHeight="1" x14ac:dyDescent="0.25">
      <c r="A228" s="111" t="s">
        <v>111</v>
      </c>
      <c r="B228" s="87">
        <v>205.57137555172412</v>
      </c>
      <c r="C228" s="87">
        <v>206.70744865213294</v>
      </c>
      <c r="D228" s="87">
        <v>206.59334611195135</v>
      </c>
      <c r="E228" s="87">
        <v>207.06401909020047</v>
      </c>
      <c r="F228" s="87">
        <v>205.69835431240176</v>
      </c>
      <c r="G228" s="87">
        <v>206.31165546587792</v>
      </c>
      <c r="H228" s="87">
        <v>207.63453179110849</v>
      </c>
      <c r="I228" s="87">
        <v>205.72331424306643</v>
      </c>
      <c r="J228" s="87">
        <v>196.44178574016843</v>
      </c>
      <c r="K228" s="87">
        <v>188.72203575600619</v>
      </c>
      <c r="L228" s="87">
        <v>181.47295875009445</v>
      </c>
      <c r="M228" s="87">
        <v>199.75163270294763</v>
      </c>
      <c r="N228" s="87">
        <v>198.15731841826874</v>
      </c>
      <c r="O228" s="87">
        <v>183.65324443412476</v>
      </c>
      <c r="P228" s="87">
        <v>174.70227850681411</v>
      </c>
      <c r="Q228" s="87">
        <v>166.10113148559785</v>
      </c>
      <c r="R228" s="87">
        <v>157.46857800117891</v>
      </c>
      <c r="S228" s="87">
        <v>159.75546478189975</v>
      </c>
      <c r="T228" s="87">
        <v>165.0597915523862</v>
      </c>
      <c r="U228" s="87">
        <v>164.50635666017641</v>
      </c>
      <c r="V228" s="87">
        <v>157.1195045596842</v>
      </c>
      <c r="W228" s="87">
        <v>155.95536022061361</v>
      </c>
      <c r="DA228" s="171" t="s">
        <v>934</v>
      </c>
    </row>
    <row r="229" spans="1:105" ht="11.45" customHeight="1" x14ac:dyDescent="0.25">
      <c r="A229" s="111" t="s">
        <v>112</v>
      </c>
      <c r="B229" s="87">
        <v>201.67092332293927</v>
      </c>
      <c r="C229" s="87">
        <v>207.2164702233116</v>
      </c>
      <c r="D229" s="87">
        <v>207.10208670315245</v>
      </c>
      <c r="E229" s="87">
        <v>207.57391872380896</v>
      </c>
      <c r="F229" s="87">
        <v>206.20489096690412</v>
      </c>
      <c r="G229" s="87">
        <v>206.81970238775949</v>
      </c>
      <c r="H229" s="87">
        <v>208.14583632460463</v>
      </c>
      <c r="I229" s="87">
        <v>0</v>
      </c>
      <c r="J229" s="87">
        <v>0</v>
      </c>
      <c r="K229" s="87">
        <v>189.18676785822589</v>
      </c>
      <c r="L229" s="87">
        <v>152.56147807765163</v>
      </c>
      <c r="M229" s="87">
        <v>200.24352542663627</v>
      </c>
      <c r="N229" s="87">
        <v>198.53396252000761</v>
      </c>
      <c r="O229" s="87">
        <v>164.67408578044035</v>
      </c>
      <c r="P229" s="87">
        <v>158.51764083881605</v>
      </c>
      <c r="Q229" s="87">
        <v>145.55155399899388</v>
      </c>
      <c r="R229" s="87">
        <v>138.90914331574444</v>
      </c>
      <c r="S229" s="87">
        <v>147.58093446243299</v>
      </c>
      <c r="T229" s="87">
        <v>148.65384615384619</v>
      </c>
      <c r="U229" s="87">
        <v>170.37335526315789</v>
      </c>
      <c r="V229" s="87">
        <v>128.93465577596271</v>
      </c>
      <c r="W229" s="87">
        <v>120.04229934924081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221.7269395903657</v>
      </c>
      <c r="G230" s="87">
        <v>218.73999982200851</v>
      </c>
      <c r="H230" s="87">
        <v>214.32861608848958</v>
      </c>
      <c r="I230" s="87">
        <v>211.1847992314583</v>
      </c>
      <c r="J230" s="87">
        <v>0</v>
      </c>
      <c r="K230" s="87">
        <v>189.87147796417901</v>
      </c>
      <c r="L230" s="87">
        <v>137.14892833368071</v>
      </c>
      <c r="M230" s="87">
        <v>166.76840954184692</v>
      </c>
      <c r="N230" s="87">
        <v>155.74229749374143</v>
      </c>
      <c r="O230" s="87">
        <v>164.16274233371661</v>
      </c>
      <c r="P230" s="87">
        <v>155.60886994949527</v>
      </c>
      <c r="Q230" s="87">
        <v>157.33427401003672</v>
      </c>
      <c r="R230" s="87">
        <v>120.76537672791221</v>
      </c>
      <c r="S230" s="87">
        <v>112.90278044717789</v>
      </c>
      <c r="T230" s="87">
        <v>123.6875</v>
      </c>
      <c r="U230" s="87">
        <v>120.71119133574008</v>
      </c>
      <c r="V230" s="87">
        <v>115.4214417744917</v>
      </c>
      <c r="W230" s="87">
        <v>104.38860103626941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49.770772850340911</v>
      </c>
      <c r="O231" s="87">
        <v>0</v>
      </c>
      <c r="P231" s="87">
        <v>78.436597769202749</v>
      </c>
      <c r="Q231" s="87">
        <v>63.680671387359027</v>
      </c>
      <c r="R231" s="87">
        <v>59.290919223708357</v>
      </c>
      <c r="S231" s="87">
        <v>58.576852871754511</v>
      </c>
      <c r="T231" s="87">
        <v>56.5</v>
      </c>
      <c r="U231" s="87">
        <v>69.507462686567166</v>
      </c>
      <c r="V231" s="87">
        <v>52.838150289017342</v>
      </c>
      <c r="W231" s="87">
        <v>65.850364963503651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1492.4174932196941</v>
      </c>
      <c r="C233" s="116">
        <v>1492.1906881737389</v>
      </c>
      <c r="D233" s="116">
        <v>1489.9245325858305</v>
      </c>
      <c r="E233" s="116">
        <v>1485.2180993784655</v>
      </c>
      <c r="F233" s="116">
        <v>1163.0187427100336</v>
      </c>
      <c r="G233" s="116">
        <v>1434.7912094328988</v>
      </c>
      <c r="H233" s="116">
        <v>1176.2522199156679</v>
      </c>
      <c r="I233" s="116">
        <v>1380.9535825130399</v>
      </c>
      <c r="J233" s="116">
        <v>1199.8859792931266</v>
      </c>
      <c r="K233" s="116">
        <v>1320.5326868864997</v>
      </c>
      <c r="L233" s="116">
        <v>1234.5881582652144</v>
      </c>
      <c r="M233" s="116">
        <v>1374.468119062951</v>
      </c>
      <c r="N233" s="116">
        <v>1350.4381631957444</v>
      </c>
      <c r="O233" s="116">
        <v>583.9131454851962</v>
      </c>
      <c r="P233" s="116">
        <v>1065.9376436489247</v>
      </c>
      <c r="Q233" s="116">
        <v>1247.3664484146132</v>
      </c>
      <c r="R233" s="116">
        <v>1329.0218919830966</v>
      </c>
      <c r="S233" s="116">
        <v>1262.6703681624888</v>
      </c>
      <c r="T233" s="116">
        <v>1052.9403376009814</v>
      </c>
      <c r="U233" s="116">
        <v>968.45874566847124</v>
      </c>
      <c r="V233" s="116">
        <v>1050.5820486182199</v>
      </c>
      <c r="W233" s="116">
        <v>859.98366714497752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1492.4174932196943</v>
      </c>
      <c r="C235" s="101">
        <v>1492.1906881737389</v>
      </c>
      <c r="D235" s="101">
        <v>1489.9245325858305</v>
      </c>
      <c r="E235" s="101">
        <v>1485.2180993784655</v>
      </c>
      <c r="F235" s="101">
        <v>1484.7033725162396</v>
      </c>
      <c r="G235" s="101">
        <v>1479.6521338248112</v>
      </c>
      <c r="H235" s="101">
        <v>1472.0774354808912</v>
      </c>
      <c r="I235" s="101">
        <v>1466.6192038837369</v>
      </c>
      <c r="J235" s="101">
        <v>1448.1445686872612</v>
      </c>
      <c r="K235" s="101">
        <v>1427.358989509763</v>
      </c>
      <c r="L235" s="101">
        <v>1414.0165797862373</v>
      </c>
      <c r="M235" s="101">
        <v>1380.4964880062096</v>
      </c>
      <c r="N235" s="101">
        <v>1373.7270161132435</v>
      </c>
      <c r="O235" s="101">
        <v>1362.8483046091519</v>
      </c>
      <c r="P235" s="101">
        <v>1352.8261436042483</v>
      </c>
      <c r="Q235" s="101">
        <v>1340.2449215971562</v>
      </c>
      <c r="R235" s="101">
        <v>1329.0218919830966</v>
      </c>
      <c r="S235" s="101">
        <v>1319.001540823386</v>
      </c>
      <c r="T235" s="101">
        <v>1310.0478361903952</v>
      </c>
      <c r="U235" s="101">
        <v>1302.041480645112</v>
      </c>
      <c r="V235" s="101">
        <v>1294.8776050517806</v>
      </c>
      <c r="W235" s="101">
        <v>1288.463823787092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899.23734626894509</v>
      </c>
      <c r="G237" s="101">
        <v>896.17797255138385</v>
      </c>
      <c r="H237" s="101">
        <v>891.59022003215125</v>
      </c>
      <c r="I237" s="101">
        <v>888.28434372877348</v>
      </c>
      <c r="J237" s="101">
        <v>877.09484807940999</v>
      </c>
      <c r="K237" s="101">
        <v>864.50568757352437</v>
      </c>
      <c r="L237" s="101">
        <v>856.42461674502511</v>
      </c>
      <c r="M237" s="101">
        <v>0</v>
      </c>
      <c r="N237" s="101">
        <v>832.02251664186724</v>
      </c>
      <c r="O237" s="101">
        <v>825.43362902643389</v>
      </c>
      <c r="P237" s="101">
        <v>819.3635266526137</v>
      </c>
      <c r="Q237" s="101">
        <v>811.74348287827775</v>
      </c>
      <c r="R237" s="101">
        <v>0</v>
      </c>
      <c r="S237" s="101">
        <v>798.87704658776772</v>
      </c>
      <c r="T237" s="101">
        <v>793.45407406511401</v>
      </c>
      <c r="U237" s="101">
        <v>788.60488058505598</v>
      </c>
      <c r="V237" s="101">
        <v>784.26595026617986</v>
      </c>
      <c r="W237" s="101">
        <v>780.38132809129172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269.22611667302601</v>
      </c>
      <c r="D240" s="152">
        <v>245.06052012486236</v>
      </c>
      <c r="E240" s="152">
        <v>214.49408026544336</v>
      </c>
      <c r="F240" s="152">
        <v>210.84043318353324</v>
      </c>
      <c r="G240" s="152">
        <v>212.03517529658134</v>
      </c>
      <c r="H240" s="152">
        <v>203.5618790860803</v>
      </c>
      <c r="I240" s="152">
        <v>198.91687681188242</v>
      </c>
      <c r="J240" s="152">
        <v>194.96919627928082</v>
      </c>
      <c r="K240" s="152">
        <v>191.18801100051419</v>
      </c>
      <c r="L240" s="152">
        <v>185.83469214225613</v>
      </c>
      <c r="M240" s="152">
        <v>178.63186416087262</v>
      </c>
      <c r="N240" s="152">
        <v>177.18104234611627</v>
      </c>
      <c r="O240" s="152">
        <v>172.97233636174704</v>
      </c>
      <c r="P240" s="152">
        <v>170.09882705237501</v>
      </c>
      <c r="Q240" s="152">
        <v>165.41779245821374</v>
      </c>
      <c r="R240" s="152">
        <v>162.14829383560914</v>
      </c>
      <c r="S240" s="152">
        <v>154.83407823276769</v>
      </c>
      <c r="T240" s="152">
        <v>155.06281219721723</v>
      </c>
      <c r="U240" s="152">
        <v>165.94406658599524</v>
      </c>
      <c r="V240" s="152">
        <v>186.23454040969506</v>
      </c>
      <c r="W240" s="152">
        <v>188.70651259739225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269.22611667302601</v>
      </c>
      <c r="D241" s="87">
        <v>267.59806415056505</v>
      </c>
      <c r="E241" s="87">
        <v>264.24860747018079</v>
      </c>
      <c r="F241" s="87">
        <v>263.88266905916896</v>
      </c>
      <c r="G241" s="87">
        <v>260.32783878076776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198.47517449145957</v>
      </c>
      <c r="N241" s="87">
        <v>194.63860278433052</v>
      </c>
      <c r="O241" s="87">
        <v>189.04295315148053</v>
      </c>
      <c r="P241" s="87">
        <v>165.64243075242609</v>
      </c>
      <c r="Q241" s="87">
        <v>170.61491380419048</v>
      </c>
      <c r="R241" s="87">
        <v>159.40408409076781</v>
      </c>
      <c r="S241" s="87">
        <v>147.97344071991469</v>
      </c>
      <c r="T241" s="87">
        <v>137.47138490209588</v>
      </c>
      <c r="U241" s="87">
        <v>142.33489096573209</v>
      </c>
      <c r="V241" s="87">
        <v>146.12161729059477</v>
      </c>
      <c r="W241" s="87">
        <v>151.3033419023136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0</v>
      </c>
      <c r="D242" s="87">
        <v>205.83977909514857</v>
      </c>
      <c r="E242" s="87">
        <v>205.15986093359751</v>
      </c>
      <c r="F242" s="87">
        <v>205.46548109990965</v>
      </c>
      <c r="G242" s="87">
        <v>204.50526174601436</v>
      </c>
      <c r="H242" s="87">
        <v>203.5618790860803</v>
      </c>
      <c r="I242" s="87">
        <v>198.91687681188242</v>
      </c>
      <c r="J242" s="87">
        <v>194.96919627928082</v>
      </c>
      <c r="K242" s="87">
        <v>191.18801100051419</v>
      </c>
      <c r="L242" s="87">
        <v>185.83469214225613</v>
      </c>
      <c r="M242" s="87">
        <v>177.83928119343668</v>
      </c>
      <c r="N242" s="87">
        <v>175.76196441483887</v>
      </c>
      <c r="O242" s="87">
        <v>171.67984199866595</v>
      </c>
      <c r="P242" s="87">
        <v>170.5795034024392</v>
      </c>
      <c r="Q242" s="87">
        <v>164.74331992850588</v>
      </c>
      <c r="R242" s="87">
        <v>162.45955286544719</v>
      </c>
      <c r="S242" s="87">
        <v>155.45010609165587</v>
      </c>
      <c r="T242" s="87">
        <v>157.1215832800641</v>
      </c>
      <c r="U242" s="87">
        <v>168.22894168466519</v>
      </c>
      <c r="V242" s="87">
        <v>191.24036280773501</v>
      </c>
      <c r="W242" s="87">
        <v>193.63247863247861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203.07464517059969</v>
      </c>
      <c r="S243" s="87">
        <v>173.77038915477655</v>
      </c>
      <c r="T243" s="87">
        <v>174.82000634490052</v>
      </c>
      <c r="U243" s="87">
        <v>181.05</v>
      </c>
      <c r="V243" s="87">
        <v>160.46003018088899</v>
      </c>
      <c r="W243" s="87">
        <v>160.5165238678091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102.77742031575808</v>
      </c>
      <c r="S244" s="87">
        <v>110.50504191368047</v>
      </c>
      <c r="T244" s="87">
        <v>121.66013404825738</v>
      </c>
      <c r="U244" s="87">
        <v>112.42222222222222</v>
      </c>
      <c r="V244" s="87">
        <v>165.54166666666671</v>
      </c>
      <c r="W244" s="87">
        <v>162.10344827586209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894.86543966758109</v>
      </c>
      <c r="D246" s="116">
        <v>897.58105316150477</v>
      </c>
      <c r="E246" s="116">
        <v>864.19078511092846</v>
      </c>
      <c r="F246" s="116">
        <v>869.24422925766874</v>
      </c>
      <c r="G246" s="116">
        <v>861.53324988431734</v>
      </c>
      <c r="H246" s="116">
        <v>831.65461522160501</v>
      </c>
      <c r="I246" s="116">
        <v>827.21742192333068</v>
      </c>
      <c r="J246" s="116">
        <v>811.32885017718138</v>
      </c>
      <c r="K246" s="116">
        <v>807.2673113953058</v>
      </c>
      <c r="L246" s="116">
        <v>823.76362170031416</v>
      </c>
      <c r="M246" s="116">
        <v>802.76911937034095</v>
      </c>
      <c r="N246" s="116">
        <v>767.31792309911987</v>
      </c>
      <c r="O246" s="116">
        <v>786.64524863306804</v>
      </c>
      <c r="P246" s="116">
        <v>739.91125344772388</v>
      </c>
      <c r="Q246" s="116">
        <v>730.89983065606793</v>
      </c>
      <c r="R246" s="116">
        <v>703.52721405785985</v>
      </c>
      <c r="S246" s="116">
        <v>695.85543799838069</v>
      </c>
      <c r="T246" s="116">
        <v>680.00635785112672</v>
      </c>
      <c r="U246" s="116">
        <v>667.51651975806567</v>
      </c>
      <c r="V246" s="116">
        <v>670.82352050699978</v>
      </c>
      <c r="W246" s="116">
        <v>668.00250501835603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808.42839190354493</v>
      </c>
      <c r="D247" s="101">
        <v>804.2966824054713</v>
      </c>
      <c r="E247" s="101">
        <v>799.15193502150885</v>
      </c>
      <c r="F247" s="101">
        <v>793.00722265166053</v>
      </c>
      <c r="G247" s="101">
        <v>785.87804891760675</v>
      </c>
      <c r="H247" s="101">
        <v>777.78225148255376</v>
      </c>
      <c r="I247" s="101">
        <v>768.73989217915152</v>
      </c>
      <c r="J247" s="101">
        <v>758.7731351859469</v>
      </c>
      <c r="K247" s="101">
        <v>747.90611458938974</v>
      </c>
      <c r="L247" s="101">
        <v>736.1647927901131</v>
      </c>
      <c r="M247" s="101">
        <v>723.57681123489567</v>
      </c>
      <c r="N247" s="101">
        <v>710.17133501313458</v>
      </c>
      <c r="O247" s="101">
        <v>695.97889287463715</v>
      </c>
      <c r="P247" s="101">
        <v>681.03121418893704</v>
      </c>
      <c r="Q247" s="101">
        <v>665.36106436658793</v>
      </c>
      <c r="R247" s="101">
        <v>652.98988605623458</v>
      </c>
      <c r="S247" s="101">
        <v>644.3300612389869</v>
      </c>
      <c r="T247" s="101">
        <v>635.23724518087715</v>
      </c>
      <c r="U247" s="101">
        <v>624.12380333207625</v>
      </c>
      <c r="V247" s="101">
        <v>616.81098722871104</v>
      </c>
      <c r="W247" s="101">
        <v>610.64287735642381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3891</v>
      </c>
      <c r="C4" s="28">
        <f t="shared" ref="C4:V4" si="1">SUM(C5,C6,C9)</f>
        <v>3459</v>
      </c>
      <c r="D4" s="28">
        <f t="shared" si="1"/>
        <v>3034</v>
      </c>
      <c r="E4" s="28">
        <f t="shared" si="1"/>
        <v>3003</v>
      </c>
      <c r="F4" s="28">
        <f t="shared" si="1"/>
        <v>2844</v>
      </c>
      <c r="G4" s="28">
        <f t="shared" si="1"/>
        <v>2823</v>
      </c>
      <c r="H4" s="28">
        <f t="shared" si="1"/>
        <v>2857</v>
      </c>
      <c r="I4" s="28">
        <f t="shared" si="1"/>
        <v>2847</v>
      </c>
      <c r="J4" s="28">
        <f t="shared" si="1"/>
        <v>2803</v>
      </c>
      <c r="K4" s="28">
        <f t="shared" si="1"/>
        <v>2826</v>
      </c>
      <c r="L4" s="28">
        <f t="shared" si="1"/>
        <v>2999</v>
      </c>
      <c r="M4" s="28">
        <f t="shared" si="1"/>
        <v>2931</v>
      </c>
      <c r="N4" s="28">
        <f t="shared" si="1"/>
        <v>2890</v>
      </c>
      <c r="O4" s="28">
        <f t="shared" si="1"/>
        <v>2831</v>
      </c>
      <c r="P4" s="28">
        <f t="shared" si="1"/>
        <v>2427</v>
      </c>
      <c r="Q4" s="28">
        <f t="shared" si="1"/>
        <v>2289.4780000000001</v>
      </c>
      <c r="R4" s="28">
        <f t="shared" si="1"/>
        <v>2270</v>
      </c>
      <c r="S4" s="28">
        <f t="shared" si="1"/>
        <v>2504</v>
      </c>
      <c r="T4" s="28">
        <f t="shared" si="1"/>
        <v>2561</v>
      </c>
      <c r="U4" s="28">
        <f t="shared" si="1"/>
        <v>2574</v>
      </c>
      <c r="V4" s="28">
        <f t="shared" si="1"/>
        <v>1808</v>
      </c>
      <c r="W4" s="28">
        <f t="shared" ref="W4" si="2">SUM(W5,W6,W9)</f>
        <v>1953</v>
      </c>
      <c r="DA4" s="173" t="s">
        <v>375</v>
      </c>
    </row>
    <row r="5" spans="1:105" ht="11.45" customHeight="1" x14ac:dyDescent="0.25">
      <c r="A5" s="107" t="s">
        <v>23</v>
      </c>
      <c r="B5" s="108">
        <v>419</v>
      </c>
      <c r="C5" s="108">
        <v>469</v>
      </c>
      <c r="D5" s="108">
        <v>436</v>
      </c>
      <c r="E5" s="108">
        <v>486</v>
      </c>
      <c r="F5" s="108">
        <v>440</v>
      </c>
      <c r="G5" s="108">
        <v>434</v>
      </c>
      <c r="H5" s="108">
        <v>446</v>
      </c>
      <c r="I5" s="108">
        <v>443</v>
      </c>
      <c r="J5" s="108">
        <v>486</v>
      </c>
      <c r="K5" s="108">
        <v>688</v>
      </c>
      <c r="L5" s="108">
        <v>909</v>
      </c>
      <c r="M5" s="108">
        <v>872</v>
      </c>
      <c r="N5" s="108">
        <v>1020</v>
      </c>
      <c r="O5" s="108">
        <v>1010</v>
      </c>
      <c r="P5" s="108">
        <v>729</v>
      </c>
      <c r="Q5" s="108">
        <v>740.47799999999995</v>
      </c>
      <c r="R5" s="108">
        <v>815</v>
      </c>
      <c r="S5" s="108">
        <v>1070</v>
      </c>
      <c r="T5" s="108">
        <v>1085</v>
      </c>
      <c r="U5" s="108">
        <v>1054</v>
      </c>
      <c r="V5" s="108">
        <v>690</v>
      </c>
      <c r="W5" s="108">
        <v>750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3472</v>
      </c>
      <c r="C6" s="110">
        <f t="shared" ref="C6:V6" si="4">SUM(C7:C8)</f>
        <v>2990</v>
      </c>
      <c r="D6" s="110">
        <f t="shared" si="4"/>
        <v>2598</v>
      </c>
      <c r="E6" s="110">
        <f t="shared" si="4"/>
        <v>2517</v>
      </c>
      <c r="F6" s="110">
        <f t="shared" si="4"/>
        <v>2404</v>
      </c>
      <c r="G6" s="110">
        <f t="shared" si="4"/>
        <v>2389</v>
      </c>
      <c r="H6" s="110">
        <f t="shared" si="4"/>
        <v>2411</v>
      </c>
      <c r="I6" s="110">
        <f t="shared" si="4"/>
        <v>2404</v>
      </c>
      <c r="J6" s="110">
        <f t="shared" si="4"/>
        <v>2317</v>
      </c>
      <c r="K6" s="110">
        <f t="shared" si="4"/>
        <v>2138</v>
      </c>
      <c r="L6" s="110">
        <f t="shared" si="4"/>
        <v>2090</v>
      </c>
      <c r="M6" s="110">
        <f t="shared" si="4"/>
        <v>2059</v>
      </c>
      <c r="N6" s="110">
        <f t="shared" si="4"/>
        <v>1870</v>
      </c>
      <c r="O6" s="110">
        <f t="shared" si="4"/>
        <v>1821</v>
      </c>
      <c r="P6" s="110">
        <f t="shared" si="4"/>
        <v>1698</v>
      </c>
      <c r="Q6" s="110">
        <f t="shared" si="4"/>
        <v>1549</v>
      </c>
      <c r="R6" s="110">
        <f t="shared" si="4"/>
        <v>1455</v>
      </c>
      <c r="S6" s="110">
        <f t="shared" si="4"/>
        <v>1434</v>
      </c>
      <c r="T6" s="110">
        <f t="shared" si="4"/>
        <v>1476</v>
      </c>
      <c r="U6" s="110">
        <f t="shared" si="4"/>
        <v>1520</v>
      </c>
      <c r="V6" s="110">
        <f t="shared" si="4"/>
        <v>1118</v>
      </c>
      <c r="W6" s="110">
        <f t="shared" ref="W6" si="5">SUM(W7:W8)</f>
        <v>1203</v>
      </c>
      <c r="DA6" s="176" t="s">
        <v>377</v>
      </c>
    </row>
    <row r="7" spans="1:105" ht="11.45" customHeight="1" x14ac:dyDescent="0.25">
      <c r="A7" s="111" t="s">
        <v>90</v>
      </c>
      <c r="B7" s="84">
        <v>856.88644098721579</v>
      </c>
      <c r="C7" s="84">
        <v>641.65918196984831</v>
      </c>
      <c r="D7" s="84">
        <v>497.97576942696821</v>
      </c>
      <c r="E7" s="84">
        <v>421.57444679814046</v>
      </c>
      <c r="F7" s="84">
        <v>441.97609038872838</v>
      </c>
      <c r="G7" s="84">
        <v>503.98420308958578</v>
      </c>
      <c r="H7" s="84">
        <v>563.28542141813796</v>
      </c>
      <c r="I7" s="84">
        <v>504.54343659640267</v>
      </c>
      <c r="J7" s="84">
        <v>635.44573502241008</v>
      </c>
      <c r="K7" s="84">
        <v>450.95127971595014</v>
      </c>
      <c r="L7" s="84">
        <v>513.77663874994789</v>
      </c>
      <c r="M7" s="84">
        <v>510.94399413032909</v>
      </c>
      <c r="N7" s="84">
        <v>678.07805565488115</v>
      </c>
      <c r="O7" s="84">
        <v>589.8615470780195</v>
      </c>
      <c r="P7" s="84">
        <v>383.80611640089091</v>
      </c>
      <c r="Q7" s="84">
        <v>339.06996659788541</v>
      </c>
      <c r="R7" s="84">
        <v>286.40688777965318</v>
      </c>
      <c r="S7" s="84">
        <v>303.15647098901064</v>
      </c>
      <c r="T7" s="84">
        <v>269.50621167985253</v>
      </c>
      <c r="U7" s="84">
        <v>207.97241068508953</v>
      </c>
      <c r="V7" s="84">
        <v>147.69584943307794</v>
      </c>
      <c r="W7" s="84">
        <v>160.47580394070425</v>
      </c>
      <c r="DA7" s="171" t="s">
        <v>1029</v>
      </c>
    </row>
    <row r="8" spans="1:105" ht="11.45" customHeight="1" x14ac:dyDescent="0.25">
      <c r="A8" s="111" t="s">
        <v>93</v>
      </c>
      <c r="B8" s="84">
        <v>2615.1135590127842</v>
      </c>
      <c r="C8" s="84">
        <v>2348.3408180301517</v>
      </c>
      <c r="D8" s="84">
        <v>2100.0242305730317</v>
      </c>
      <c r="E8" s="84">
        <v>2095.4255532018597</v>
      </c>
      <c r="F8" s="84">
        <v>1962.0239096112716</v>
      </c>
      <c r="G8" s="84">
        <v>1885.0157969104143</v>
      </c>
      <c r="H8" s="84">
        <v>1847.714578581862</v>
      </c>
      <c r="I8" s="84">
        <v>1899.4565634035973</v>
      </c>
      <c r="J8" s="84">
        <v>1681.5542649775898</v>
      </c>
      <c r="K8" s="84">
        <v>1687.04872028405</v>
      </c>
      <c r="L8" s="84">
        <v>1576.2233612500522</v>
      </c>
      <c r="M8" s="84">
        <v>1548.056005869671</v>
      </c>
      <c r="N8" s="84">
        <v>1191.9219443451188</v>
      </c>
      <c r="O8" s="84">
        <v>1231.1384529219804</v>
      </c>
      <c r="P8" s="84">
        <v>1314.1938835991091</v>
      </c>
      <c r="Q8" s="84">
        <v>1209.9300334021145</v>
      </c>
      <c r="R8" s="84">
        <v>1168.5931122203469</v>
      </c>
      <c r="S8" s="84">
        <v>1130.8435290109894</v>
      </c>
      <c r="T8" s="84">
        <v>1206.4937883201474</v>
      </c>
      <c r="U8" s="84">
        <v>1312.0275893149105</v>
      </c>
      <c r="V8" s="84">
        <v>970.30415056692209</v>
      </c>
      <c r="W8" s="84">
        <v>1042.5241960592957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5538</v>
      </c>
      <c r="C10" s="28">
        <f t="shared" ref="C10:V10" si="7">SUM(C11:C12)</f>
        <v>4900</v>
      </c>
      <c r="D10" s="28">
        <f t="shared" si="7"/>
        <v>4627</v>
      </c>
      <c r="E10" s="28">
        <f t="shared" si="7"/>
        <v>5274</v>
      </c>
      <c r="F10" s="28">
        <f t="shared" si="7"/>
        <v>5211</v>
      </c>
      <c r="G10" s="28">
        <f t="shared" si="7"/>
        <v>5163</v>
      </c>
      <c r="H10" s="28">
        <f t="shared" si="7"/>
        <v>5396</v>
      </c>
      <c r="I10" s="28">
        <f t="shared" si="7"/>
        <v>5241</v>
      </c>
      <c r="J10" s="28">
        <f t="shared" si="7"/>
        <v>4693</v>
      </c>
      <c r="K10" s="28">
        <f t="shared" si="7"/>
        <v>3145</v>
      </c>
      <c r="L10" s="28">
        <f t="shared" si="7"/>
        <v>3064</v>
      </c>
      <c r="M10" s="28">
        <f t="shared" si="7"/>
        <v>3291</v>
      </c>
      <c r="N10" s="28">
        <f t="shared" si="7"/>
        <v>2907</v>
      </c>
      <c r="O10" s="28">
        <f t="shared" si="7"/>
        <v>3246</v>
      </c>
      <c r="P10" s="28">
        <f t="shared" si="7"/>
        <v>3439</v>
      </c>
      <c r="Q10" s="28">
        <f t="shared" si="7"/>
        <v>3650</v>
      </c>
      <c r="R10" s="28">
        <f t="shared" si="7"/>
        <v>3434</v>
      </c>
      <c r="S10" s="28">
        <f t="shared" si="7"/>
        <v>3931</v>
      </c>
      <c r="T10" s="28">
        <f t="shared" si="7"/>
        <v>3824</v>
      </c>
      <c r="U10" s="28">
        <f t="shared" si="7"/>
        <v>3902</v>
      </c>
      <c r="V10" s="28">
        <f t="shared" si="7"/>
        <v>4503</v>
      </c>
      <c r="W10" s="28">
        <f t="shared" ref="W10" si="8">SUM(W11:W12)</f>
        <v>4657</v>
      </c>
      <c r="DA10" s="173" t="s">
        <v>383</v>
      </c>
    </row>
    <row r="11" spans="1:105" ht="11.45" customHeight="1" x14ac:dyDescent="0.25">
      <c r="A11" s="83" t="s">
        <v>90</v>
      </c>
      <c r="B11" s="84">
        <v>1724.9733716699916</v>
      </c>
      <c r="C11" s="84">
        <v>1497.6598167763523</v>
      </c>
      <c r="D11" s="84">
        <v>1501.9958028966505</v>
      </c>
      <c r="E11" s="84">
        <v>1630.6049003492917</v>
      </c>
      <c r="F11" s="84">
        <v>1642.7060688324909</v>
      </c>
      <c r="G11" s="84">
        <v>1557.2569077634275</v>
      </c>
      <c r="H11" s="84">
        <v>1520.7569690136254</v>
      </c>
      <c r="I11" s="84">
        <v>1442.8668018052826</v>
      </c>
      <c r="J11" s="84">
        <v>1875.5681395375691</v>
      </c>
      <c r="K11" s="84">
        <v>996.83595057044101</v>
      </c>
      <c r="L11" s="84">
        <v>965.6019625277188</v>
      </c>
      <c r="M11" s="84">
        <v>1060.7611763109524</v>
      </c>
      <c r="N11" s="84">
        <v>985.91508976513819</v>
      </c>
      <c r="O11" s="84">
        <v>893.20497323770223</v>
      </c>
      <c r="P11" s="84">
        <v>846.66034567578731</v>
      </c>
      <c r="Q11" s="84">
        <v>1030.994327975146</v>
      </c>
      <c r="R11" s="84">
        <v>849.7854939798774</v>
      </c>
      <c r="S11" s="84">
        <v>927.60016385295341</v>
      </c>
      <c r="T11" s="84">
        <v>797.1754490957826</v>
      </c>
      <c r="U11" s="84">
        <v>603.78181788086385</v>
      </c>
      <c r="V11" s="84">
        <v>714.72401179592373</v>
      </c>
      <c r="W11" s="84">
        <v>749.62373272560228</v>
      </c>
      <c r="DA11" s="171" t="s">
        <v>1031</v>
      </c>
    </row>
    <row r="12" spans="1:105" ht="11.45" customHeight="1" x14ac:dyDescent="0.25">
      <c r="A12" s="85" t="s">
        <v>93</v>
      </c>
      <c r="B12" s="86">
        <v>3813.0266283300084</v>
      </c>
      <c r="C12" s="86">
        <v>3402.3401832236477</v>
      </c>
      <c r="D12" s="86">
        <v>3125.0041971033497</v>
      </c>
      <c r="E12" s="86">
        <v>3643.3950996507083</v>
      </c>
      <c r="F12" s="86">
        <v>3568.2939311675091</v>
      </c>
      <c r="G12" s="86">
        <v>3605.7430922365725</v>
      </c>
      <c r="H12" s="86">
        <v>3875.2430309863748</v>
      </c>
      <c r="I12" s="86">
        <v>3798.1331981947174</v>
      </c>
      <c r="J12" s="86">
        <v>2817.4318604624309</v>
      </c>
      <c r="K12" s="86">
        <v>2148.1640494295589</v>
      </c>
      <c r="L12" s="86">
        <v>2098.3980374722814</v>
      </c>
      <c r="M12" s="86">
        <v>2230.2388236890474</v>
      </c>
      <c r="N12" s="86">
        <v>1921.0849102348618</v>
      </c>
      <c r="O12" s="86">
        <v>2352.7950267622978</v>
      </c>
      <c r="P12" s="86">
        <v>2592.3396543242125</v>
      </c>
      <c r="Q12" s="86">
        <v>2619.005672024854</v>
      </c>
      <c r="R12" s="86">
        <v>2584.2145060201228</v>
      </c>
      <c r="S12" s="86">
        <v>3003.3998361470467</v>
      </c>
      <c r="T12" s="86">
        <v>3026.8245509042172</v>
      </c>
      <c r="U12" s="86">
        <v>3298.2181821191361</v>
      </c>
      <c r="V12" s="86">
        <v>3788.2759882040764</v>
      </c>
      <c r="W12" s="86">
        <v>3907.3762672743978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33.282520313876006</v>
      </c>
      <c r="C14" s="62">
        <f t="shared" ref="C14:V14" si="10">C15+C21</f>
        <v>33.045554069109713</v>
      </c>
      <c r="D14" s="62">
        <f t="shared" si="10"/>
        <v>33.62913777920464</v>
      </c>
      <c r="E14" s="62">
        <f t="shared" si="10"/>
        <v>32.611746798150605</v>
      </c>
      <c r="F14" s="62">
        <f t="shared" si="10"/>
        <v>32.038293360891991</v>
      </c>
      <c r="G14" s="62">
        <f t="shared" si="10"/>
        <v>31.98108227533962</v>
      </c>
      <c r="H14" s="62">
        <f t="shared" si="10"/>
        <v>32.371443977305233</v>
      </c>
      <c r="I14" s="62">
        <f t="shared" si="10"/>
        <v>30.586990406916051</v>
      </c>
      <c r="J14" s="62">
        <f t="shared" si="10"/>
        <v>32.416449151178654</v>
      </c>
      <c r="K14" s="62">
        <f t="shared" si="10"/>
        <v>33.516075642991858</v>
      </c>
      <c r="L14" s="62">
        <f t="shared" si="10"/>
        <v>32.828156107874413</v>
      </c>
      <c r="M14" s="62">
        <f t="shared" si="10"/>
        <v>30.326029630868682</v>
      </c>
      <c r="N14" s="62">
        <f t="shared" si="10"/>
        <v>33.084557733406356</v>
      </c>
      <c r="O14" s="62">
        <f t="shared" si="10"/>
        <v>28.201713725453782</v>
      </c>
      <c r="P14" s="62">
        <f t="shared" si="10"/>
        <v>24.286141651017402</v>
      </c>
      <c r="Q14" s="62">
        <f t="shared" si="10"/>
        <v>32.153156924535551</v>
      </c>
      <c r="R14" s="62">
        <f t="shared" si="10"/>
        <v>33.333354332104804</v>
      </c>
      <c r="S14" s="62">
        <f t="shared" si="10"/>
        <v>38.105509889366431</v>
      </c>
      <c r="T14" s="62">
        <f t="shared" si="10"/>
        <v>36.711737994320309</v>
      </c>
      <c r="U14" s="62">
        <f t="shared" si="10"/>
        <v>44.997587066153187</v>
      </c>
      <c r="V14" s="62">
        <f t="shared" si="10"/>
        <v>39.361153053701642</v>
      </c>
      <c r="W14" s="62">
        <f t="shared" ref="W14" si="11">W15+W21</f>
        <v>41.442022018827281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23.244119415366775</v>
      </c>
      <c r="C15" s="29">
        <f t="shared" ref="C15:V15" si="13">SUM(C16,C17,C20)</f>
        <v>23.696515631827424</v>
      </c>
      <c r="D15" s="29">
        <f t="shared" si="13"/>
        <v>24.737292104194758</v>
      </c>
      <c r="E15" s="29">
        <f t="shared" si="13"/>
        <v>22.948947390061761</v>
      </c>
      <c r="F15" s="29">
        <f t="shared" si="13"/>
        <v>22.345258830067955</v>
      </c>
      <c r="G15" s="29">
        <f t="shared" si="13"/>
        <v>22.211092749178199</v>
      </c>
      <c r="H15" s="29">
        <f t="shared" si="13"/>
        <v>23.154062925693246</v>
      </c>
      <c r="I15" s="29">
        <f t="shared" si="13"/>
        <v>22.082825356201948</v>
      </c>
      <c r="J15" s="29">
        <f t="shared" si="13"/>
        <v>24.196443681895399</v>
      </c>
      <c r="K15" s="29">
        <f t="shared" si="13"/>
        <v>27.979418457999142</v>
      </c>
      <c r="L15" s="29">
        <f t="shared" si="13"/>
        <v>27.954726280505163</v>
      </c>
      <c r="M15" s="29">
        <f t="shared" si="13"/>
        <v>25.270796408409229</v>
      </c>
      <c r="N15" s="29">
        <f t="shared" si="13"/>
        <v>28.456107923993326</v>
      </c>
      <c r="O15" s="29">
        <f t="shared" si="13"/>
        <v>23.460398467313645</v>
      </c>
      <c r="P15" s="29">
        <f t="shared" si="13"/>
        <v>19.190588444025039</v>
      </c>
      <c r="Q15" s="29">
        <f t="shared" si="13"/>
        <v>26.261625757449444</v>
      </c>
      <c r="R15" s="29">
        <f t="shared" si="13"/>
        <v>26.536093264206258</v>
      </c>
      <c r="S15" s="29">
        <f t="shared" si="13"/>
        <v>30.581908484724671</v>
      </c>
      <c r="T15" s="29">
        <f t="shared" si="13"/>
        <v>29.190207658650628</v>
      </c>
      <c r="U15" s="29">
        <f t="shared" si="13"/>
        <v>36.031812835036575</v>
      </c>
      <c r="V15" s="29">
        <f t="shared" si="13"/>
        <v>29.653609261800526</v>
      </c>
      <c r="W15" s="29">
        <f t="shared" ref="W15" si="14">SUM(W16,W17,W20)</f>
        <v>31.514879963036343</v>
      </c>
      <c r="DA15" s="173" t="s">
        <v>1034</v>
      </c>
    </row>
    <row r="16" spans="1:105" ht="11.45" customHeight="1" x14ac:dyDescent="0.25">
      <c r="A16" s="107" t="s">
        <v>23</v>
      </c>
      <c r="B16" s="115">
        <v>4.7659765105848626</v>
      </c>
      <c r="C16" s="115">
        <v>5.5348856576335717</v>
      </c>
      <c r="D16" s="115">
        <v>5.3303715852089155</v>
      </c>
      <c r="E16" s="115">
        <v>5.9026152378272396</v>
      </c>
      <c r="F16" s="115">
        <v>5.3478879153866918</v>
      </c>
      <c r="G16" s="115">
        <v>5.2603083028839634</v>
      </c>
      <c r="H16" s="115">
        <v>5.4321202582416568</v>
      </c>
      <c r="I16" s="115">
        <v>5.435108483379679</v>
      </c>
      <c r="J16" s="115">
        <v>6.0114614091995202</v>
      </c>
      <c r="K16" s="115">
        <v>8.6929298561893624</v>
      </c>
      <c r="L16" s="115">
        <v>11.495012641034634</v>
      </c>
      <c r="M16" s="115">
        <v>11.030534504710747</v>
      </c>
      <c r="N16" s="115">
        <v>12.799173239226665</v>
      </c>
      <c r="O16" s="115">
        <v>12.763198339247532</v>
      </c>
      <c r="P16" s="115">
        <v>9.4223083071119351</v>
      </c>
      <c r="Q16" s="115">
        <v>9.8466113780025939</v>
      </c>
      <c r="R16" s="115">
        <v>11.067170972569562</v>
      </c>
      <c r="S16" s="115">
        <v>14.361870909481089</v>
      </c>
      <c r="T16" s="115">
        <v>14.421453589558523</v>
      </c>
      <c r="U16" s="115">
        <v>15.496419590643272</v>
      </c>
      <c r="V16" s="115">
        <v>12.159552772808588</v>
      </c>
      <c r="W16" s="115">
        <v>11.892768079800499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18.478142904781912</v>
      </c>
      <c r="C17" s="116">
        <f t="shared" ref="C17:V17" si="16">SUM(C18:C19)</f>
        <v>18.161629974193854</v>
      </c>
      <c r="D17" s="116">
        <f t="shared" si="16"/>
        <v>19.406920518985842</v>
      </c>
      <c r="E17" s="116">
        <f t="shared" si="16"/>
        <v>17.04633215223452</v>
      </c>
      <c r="F17" s="116">
        <f t="shared" si="16"/>
        <v>16.997370914681262</v>
      </c>
      <c r="G17" s="116">
        <f t="shared" si="16"/>
        <v>16.950784446294236</v>
      </c>
      <c r="H17" s="116">
        <f t="shared" si="16"/>
        <v>17.721942667451589</v>
      </c>
      <c r="I17" s="116">
        <f t="shared" si="16"/>
        <v>16.647716872822269</v>
      </c>
      <c r="J17" s="116">
        <f t="shared" si="16"/>
        <v>18.18498227269588</v>
      </c>
      <c r="K17" s="116">
        <f t="shared" si="16"/>
        <v>19.286488601809779</v>
      </c>
      <c r="L17" s="116">
        <f t="shared" si="16"/>
        <v>16.459713639470529</v>
      </c>
      <c r="M17" s="116">
        <f t="shared" si="16"/>
        <v>14.240261903698482</v>
      </c>
      <c r="N17" s="116">
        <f t="shared" si="16"/>
        <v>15.656934684766661</v>
      </c>
      <c r="O17" s="116">
        <f t="shared" si="16"/>
        <v>10.697200128066111</v>
      </c>
      <c r="P17" s="116">
        <f t="shared" si="16"/>
        <v>9.7682801369131056</v>
      </c>
      <c r="Q17" s="116">
        <f t="shared" si="16"/>
        <v>16.415014379446848</v>
      </c>
      <c r="R17" s="116">
        <f t="shared" si="16"/>
        <v>15.468922291636698</v>
      </c>
      <c r="S17" s="116">
        <f t="shared" si="16"/>
        <v>16.220037575243584</v>
      </c>
      <c r="T17" s="116">
        <f t="shared" si="16"/>
        <v>14.768754069092108</v>
      </c>
      <c r="U17" s="116">
        <f t="shared" si="16"/>
        <v>20.535393244393301</v>
      </c>
      <c r="V17" s="116">
        <f t="shared" si="16"/>
        <v>17.494056488991937</v>
      </c>
      <c r="W17" s="116">
        <f t="shared" ref="W17" si="17">SUM(W18:W19)</f>
        <v>19.622111883235842</v>
      </c>
      <c r="DA17" s="176" t="s">
        <v>1036</v>
      </c>
    </row>
    <row r="18" spans="1:105" ht="11.45" customHeight="1" x14ac:dyDescent="0.25">
      <c r="A18" s="111" t="s">
        <v>92</v>
      </c>
      <c r="B18" s="87">
        <v>6.7781395907890998</v>
      </c>
      <c r="C18" s="87">
        <v>5.8744920571568198</v>
      </c>
      <c r="D18" s="87">
        <v>5.2630384981347769</v>
      </c>
      <c r="E18" s="87">
        <v>4.3441649392282402</v>
      </c>
      <c r="F18" s="87">
        <v>4.5702916687315778</v>
      </c>
      <c r="G18" s="87">
        <v>5.1303769345119496</v>
      </c>
      <c r="H18" s="87">
        <v>6.0361522043609073</v>
      </c>
      <c r="I18" s="87">
        <v>5.383053365133371</v>
      </c>
      <c r="J18" s="87">
        <v>6.6584827069789778</v>
      </c>
      <c r="K18" s="87">
        <v>4.8363324858948822</v>
      </c>
      <c r="L18" s="87">
        <v>5.4074573173580553</v>
      </c>
      <c r="M18" s="87">
        <v>5.1619238239553615</v>
      </c>
      <c r="N18" s="87">
        <v>7.4860220626500116</v>
      </c>
      <c r="O18" s="87">
        <v>5.4100299246582164</v>
      </c>
      <c r="P18" s="87">
        <v>3.8735147081137535</v>
      </c>
      <c r="Q18" s="87">
        <v>4.7499082315117329</v>
      </c>
      <c r="R18" s="87">
        <v>5.096882689653393</v>
      </c>
      <c r="S18" s="87">
        <v>5.2432483314857397</v>
      </c>
      <c r="T18" s="87">
        <v>4.2686183514958929</v>
      </c>
      <c r="U18" s="87">
        <v>4.0768404370495821</v>
      </c>
      <c r="V18" s="87">
        <v>2.9468118608663398</v>
      </c>
      <c r="W18" s="87">
        <v>3.167597566600719</v>
      </c>
      <c r="DA18" s="171" t="s">
        <v>1037</v>
      </c>
    </row>
    <row r="19" spans="1:105" ht="11.45" customHeight="1" x14ac:dyDescent="0.25">
      <c r="A19" s="111" t="s">
        <v>93</v>
      </c>
      <c r="B19" s="87">
        <v>11.700003313992813</v>
      </c>
      <c r="C19" s="87">
        <v>12.287137917037034</v>
      </c>
      <c r="D19" s="87">
        <v>14.143882020851064</v>
      </c>
      <c r="E19" s="87">
        <v>12.70216721300628</v>
      </c>
      <c r="F19" s="87">
        <v>12.427079245949685</v>
      </c>
      <c r="G19" s="87">
        <v>11.820407511782285</v>
      </c>
      <c r="H19" s="87">
        <v>11.685790463090683</v>
      </c>
      <c r="I19" s="87">
        <v>11.264663507688898</v>
      </c>
      <c r="J19" s="87">
        <v>11.526499565716902</v>
      </c>
      <c r="K19" s="87">
        <v>14.450156115914897</v>
      </c>
      <c r="L19" s="87">
        <v>11.052256322112473</v>
      </c>
      <c r="M19" s="87">
        <v>9.0783380797431192</v>
      </c>
      <c r="N19" s="87">
        <v>8.1709126221166493</v>
      </c>
      <c r="O19" s="87">
        <v>5.2871702034078947</v>
      </c>
      <c r="P19" s="87">
        <v>5.8947654287993521</v>
      </c>
      <c r="Q19" s="87">
        <v>11.665106147935116</v>
      </c>
      <c r="R19" s="87">
        <v>10.372039601983305</v>
      </c>
      <c r="S19" s="87">
        <v>10.976789243757844</v>
      </c>
      <c r="T19" s="87">
        <v>10.500135717596216</v>
      </c>
      <c r="U19" s="87">
        <v>16.458552807343718</v>
      </c>
      <c r="V19" s="87">
        <v>14.547244628125599</v>
      </c>
      <c r="W19" s="87">
        <v>16.454514316635123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10.038400898509231</v>
      </c>
      <c r="C21" s="29">
        <f t="shared" ref="C21:V21" si="19">SUM(C22:C23)</f>
        <v>9.3490384372822906</v>
      </c>
      <c r="D21" s="29">
        <f t="shared" si="19"/>
        <v>8.8918456750098862</v>
      </c>
      <c r="E21" s="29">
        <f t="shared" si="19"/>
        <v>9.6627994080888406</v>
      </c>
      <c r="F21" s="29">
        <f t="shared" si="19"/>
        <v>9.693034530824038</v>
      </c>
      <c r="G21" s="29">
        <f t="shared" si="19"/>
        <v>9.7699895261614209</v>
      </c>
      <c r="H21" s="29">
        <f t="shared" si="19"/>
        <v>9.217381051611989</v>
      </c>
      <c r="I21" s="29">
        <f t="shared" si="19"/>
        <v>8.5041650507141053</v>
      </c>
      <c r="J21" s="29">
        <f t="shared" si="19"/>
        <v>8.2200054692832563</v>
      </c>
      <c r="K21" s="29">
        <f t="shared" si="19"/>
        <v>5.5366571849927144</v>
      </c>
      <c r="L21" s="29">
        <f t="shared" si="19"/>
        <v>4.8734298273692502</v>
      </c>
      <c r="M21" s="29">
        <f t="shared" si="19"/>
        <v>5.0552332224594512</v>
      </c>
      <c r="N21" s="29">
        <f t="shared" si="19"/>
        <v>4.6284498094130342</v>
      </c>
      <c r="O21" s="29">
        <f t="shared" si="19"/>
        <v>4.7413152581401379</v>
      </c>
      <c r="P21" s="29">
        <f t="shared" si="19"/>
        <v>5.0955532069923652</v>
      </c>
      <c r="Q21" s="29">
        <f t="shared" si="19"/>
        <v>5.8915311670861108</v>
      </c>
      <c r="R21" s="29">
        <f t="shared" si="19"/>
        <v>6.7972610678985479</v>
      </c>
      <c r="S21" s="29">
        <f t="shared" si="19"/>
        <v>7.5236014046417559</v>
      </c>
      <c r="T21" s="29">
        <f t="shared" si="19"/>
        <v>7.5215303356696817</v>
      </c>
      <c r="U21" s="29">
        <f t="shared" si="19"/>
        <v>8.9657742311166082</v>
      </c>
      <c r="V21" s="29">
        <f t="shared" si="19"/>
        <v>9.7075437919011129</v>
      </c>
      <c r="W21" s="29">
        <f t="shared" ref="W21" si="20">SUM(W22:W23)</f>
        <v>9.9271420557909362</v>
      </c>
      <c r="DA21" s="173" t="s">
        <v>1040</v>
      </c>
    </row>
    <row r="22" spans="1:105" ht="11.45" customHeight="1" x14ac:dyDescent="0.25">
      <c r="A22" s="83" t="s">
        <v>92</v>
      </c>
      <c r="B22" s="87">
        <v>3.6193647516427738</v>
      </c>
      <c r="C22" s="87">
        <v>3.3084224199931698</v>
      </c>
      <c r="D22" s="87">
        <v>3.3397567556903414</v>
      </c>
      <c r="E22" s="87">
        <v>3.4472471322994305</v>
      </c>
      <c r="F22" s="87">
        <v>3.530122019679331</v>
      </c>
      <c r="G22" s="87">
        <v>3.4069597939579879</v>
      </c>
      <c r="H22" s="87">
        <v>2.7704679945811388</v>
      </c>
      <c r="I22" s="87">
        <v>2.613367347664818</v>
      </c>
      <c r="J22" s="87">
        <v>3.5141651905706208</v>
      </c>
      <c r="K22" s="87">
        <v>1.9545836767420055</v>
      </c>
      <c r="L22" s="87">
        <v>1.819686404525346</v>
      </c>
      <c r="M22" s="87">
        <v>1.772708120109046</v>
      </c>
      <c r="N22" s="87">
        <v>1.7613586792733649</v>
      </c>
      <c r="O22" s="87">
        <v>1.2855086830544808</v>
      </c>
      <c r="P22" s="87">
        <v>1.3227105218238515</v>
      </c>
      <c r="Q22" s="87">
        <v>1.9312779538773288</v>
      </c>
      <c r="R22" s="87">
        <v>1.4554160154034987</v>
      </c>
      <c r="S22" s="87">
        <v>1.5577139534722007</v>
      </c>
      <c r="T22" s="87">
        <v>1.3209921658466512</v>
      </c>
      <c r="U22" s="87">
        <v>1.1370513868110015</v>
      </c>
      <c r="V22" s="87">
        <v>1.4031293297672935</v>
      </c>
      <c r="W22" s="87">
        <v>1.5385084927302068</v>
      </c>
      <c r="DA22" s="171" t="s">
        <v>1041</v>
      </c>
    </row>
    <row r="23" spans="1:105" ht="11.45" customHeight="1" x14ac:dyDescent="0.25">
      <c r="A23" s="85" t="s">
        <v>93</v>
      </c>
      <c r="B23" s="88">
        <v>6.4190361468664578</v>
      </c>
      <c r="C23" s="88">
        <v>6.0406160172891212</v>
      </c>
      <c r="D23" s="88">
        <v>5.5520889193195453</v>
      </c>
      <c r="E23" s="88">
        <v>6.2155522757894106</v>
      </c>
      <c r="F23" s="88">
        <v>6.1629125111447074</v>
      </c>
      <c r="G23" s="88">
        <v>6.363029732203433</v>
      </c>
      <c r="H23" s="88">
        <v>6.4469130570308497</v>
      </c>
      <c r="I23" s="88">
        <v>5.8907977030492873</v>
      </c>
      <c r="J23" s="88">
        <v>4.7058402787126354</v>
      </c>
      <c r="K23" s="88">
        <v>3.5820735082507085</v>
      </c>
      <c r="L23" s="88">
        <v>3.0537434228439042</v>
      </c>
      <c r="M23" s="88">
        <v>3.2825251023504052</v>
      </c>
      <c r="N23" s="88">
        <v>2.8670911301396691</v>
      </c>
      <c r="O23" s="88">
        <v>3.4558065750856573</v>
      </c>
      <c r="P23" s="88">
        <v>3.7728426851685137</v>
      </c>
      <c r="Q23" s="88">
        <v>3.9602532132087815</v>
      </c>
      <c r="R23" s="88">
        <v>5.3418450524950494</v>
      </c>
      <c r="S23" s="88">
        <v>5.9658874511695554</v>
      </c>
      <c r="T23" s="88">
        <v>6.2005381698230302</v>
      </c>
      <c r="U23" s="88">
        <v>7.8287228443056067</v>
      </c>
      <c r="V23" s="88">
        <v>8.3044144621338187</v>
      </c>
      <c r="W23" s="88">
        <v>8.3886335630607292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216.70668599999999</v>
      </c>
      <c r="C25" s="62">
        <f t="shared" ref="C25:V25" si="22">C26+C32</f>
        <v>219.64542899999998</v>
      </c>
      <c r="D25" s="62">
        <f t="shared" si="22"/>
        <v>223.35977999999997</v>
      </c>
      <c r="E25" s="62">
        <f t="shared" si="22"/>
        <v>220.09800299999998</v>
      </c>
      <c r="F25" s="62">
        <f t="shared" si="22"/>
        <v>211.10841399999998</v>
      </c>
      <c r="G25" s="62">
        <f t="shared" si="22"/>
        <v>209.67616299999997</v>
      </c>
      <c r="H25" s="62">
        <f t="shared" si="22"/>
        <v>214.98887999999999</v>
      </c>
      <c r="I25" s="62">
        <f t="shared" si="22"/>
        <v>203.26428199999998</v>
      </c>
      <c r="J25" s="62">
        <f t="shared" si="22"/>
        <v>219.69816299999997</v>
      </c>
      <c r="K25" s="62">
        <f t="shared" si="22"/>
        <v>254.028234</v>
      </c>
      <c r="L25" s="62">
        <f t="shared" si="22"/>
        <v>262.86110100000002</v>
      </c>
      <c r="M25" s="62">
        <f t="shared" si="22"/>
        <v>244.182481</v>
      </c>
      <c r="N25" s="62">
        <f t="shared" si="22"/>
        <v>263.86485800000003</v>
      </c>
      <c r="O25" s="62">
        <f t="shared" si="22"/>
        <v>252.35294699999997</v>
      </c>
      <c r="P25" s="62">
        <f t="shared" si="22"/>
        <v>235.47697900000003</v>
      </c>
      <c r="Q25" s="62">
        <f t="shared" si="22"/>
        <v>250.939233</v>
      </c>
      <c r="R25" s="62">
        <f t="shared" si="22"/>
        <v>241.53348299999999</v>
      </c>
      <c r="S25" s="62">
        <f t="shared" si="22"/>
        <v>276.31405500000005</v>
      </c>
      <c r="T25" s="62">
        <f t="shared" si="22"/>
        <v>269.148911</v>
      </c>
      <c r="U25" s="62">
        <f t="shared" si="22"/>
        <v>322.60803700000002</v>
      </c>
      <c r="V25" s="62">
        <f t="shared" si="22"/>
        <v>309.66541799999999</v>
      </c>
      <c r="W25" s="62">
        <f t="shared" ref="W25" si="23">W26+W32</f>
        <v>312.66092200000003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166.514681</v>
      </c>
      <c r="C26" s="29">
        <f t="shared" ref="C26:V26" si="25">SUM(C27,C28,C31)</f>
        <v>172.90023499999998</v>
      </c>
      <c r="D26" s="29">
        <f t="shared" si="25"/>
        <v>178.90055099999998</v>
      </c>
      <c r="E26" s="29">
        <f t="shared" si="25"/>
        <v>171.78400499999998</v>
      </c>
      <c r="F26" s="29">
        <f t="shared" si="25"/>
        <v>162.64323999999999</v>
      </c>
      <c r="G26" s="29">
        <f t="shared" si="25"/>
        <v>160.82621499999999</v>
      </c>
      <c r="H26" s="29">
        <f t="shared" si="25"/>
        <v>167.52919700000001</v>
      </c>
      <c r="I26" s="29">
        <f t="shared" si="25"/>
        <v>160.394858</v>
      </c>
      <c r="J26" s="29">
        <f t="shared" si="25"/>
        <v>175.88286599999998</v>
      </c>
      <c r="K26" s="29">
        <f t="shared" si="25"/>
        <v>215.23213699999999</v>
      </c>
      <c r="L26" s="29">
        <f t="shared" si="25"/>
        <v>229.084204</v>
      </c>
      <c r="M26" s="29">
        <f t="shared" si="25"/>
        <v>215.42478399999999</v>
      </c>
      <c r="N26" s="29">
        <f t="shared" si="25"/>
        <v>239.197304</v>
      </c>
      <c r="O26" s="29">
        <f t="shared" si="25"/>
        <v>226.55149799999998</v>
      </c>
      <c r="P26" s="29">
        <f t="shared" si="25"/>
        <v>209.90003100000001</v>
      </c>
      <c r="Q26" s="29">
        <f t="shared" si="25"/>
        <v>221.48157599999999</v>
      </c>
      <c r="R26" s="29">
        <f t="shared" si="25"/>
        <v>206.97754899999998</v>
      </c>
      <c r="S26" s="29">
        <f t="shared" si="25"/>
        <v>238.69604700000002</v>
      </c>
      <c r="T26" s="29">
        <f t="shared" si="25"/>
        <v>231.541259</v>
      </c>
      <c r="U26" s="29">
        <f t="shared" si="25"/>
        <v>277.77916500000003</v>
      </c>
      <c r="V26" s="29">
        <f t="shared" si="25"/>
        <v>261.12769800000001</v>
      </c>
      <c r="W26" s="29">
        <f t="shared" ref="W26" si="26">SUM(W27,W28,W31)</f>
        <v>263.02521100000001</v>
      </c>
      <c r="DA26" s="173" t="s">
        <v>1044</v>
      </c>
    </row>
    <row r="27" spans="1:105" ht="11.45" customHeight="1" x14ac:dyDescent="0.25">
      <c r="A27" s="107" t="s">
        <v>23</v>
      </c>
      <c r="B27" s="115">
        <v>43.327059999999996</v>
      </c>
      <c r="C27" s="115">
        <v>50.317142999999994</v>
      </c>
      <c r="D27" s="115">
        <v>48.457923999999998</v>
      </c>
      <c r="E27" s="115">
        <v>53.660139000000001</v>
      </c>
      <c r="F27" s="115">
        <v>49.327432999999999</v>
      </c>
      <c r="G27" s="115">
        <v>47.820985</v>
      </c>
      <c r="H27" s="115">
        <v>49.382911999999997</v>
      </c>
      <c r="I27" s="115">
        <v>49.410077999999999</v>
      </c>
      <c r="J27" s="115">
        <v>54.649649999999994</v>
      </c>
      <c r="K27" s="115">
        <v>79.026635999999996</v>
      </c>
      <c r="L27" s="115">
        <v>104.50011499999999</v>
      </c>
      <c r="M27" s="115">
        <v>100.277587</v>
      </c>
      <c r="N27" s="115">
        <v>116.356121</v>
      </c>
      <c r="O27" s="115">
        <v>116.029076</v>
      </c>
      <c r="P27" s="115">
        <v>111.69637</v>
      </c>
      <c r="Q27" s="115">
        <v>107.363664</v>
      </c>
      <c r="R27" s="115">
        <v>103.030958</v>
      </c>
      <c r="S27" s="115">
        <v>130.56246300000001</v>
      </c>
      <c r="T27" s="115">
        <v>131.10412399999998</v>
      </c>
      <c r="U27" s="115">
        <v>140.876542</v>
      </c>
      <c r="V27" s="115">
        <v>136.543836</v>
      </c>
      <c r="W27" s="115">
        <v>132.21113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123.18762099999999</v>
      </c>
      <c r="C28" s="116">
        <f t="shared" ref="C28:V28" si="28">SUM(C29:C30)</f>
        <v>122.58309199999999</v>
      </c>
      <c r="D28" s="116">
        <f t="shared" si="28"/>
        <v>130.44262699999999</v>
      </c>
      <c r="E28" s="116">
        <f t="shared" si="28"/>
        <v>118.12386599999999</v>
      </c>
      <c r="F28" s="116">
        <f t="shared" si="28"/>
        <v>113.31580700000001</v>
      </c>
      <c r="G28" s="116">
        <f t="shared" si="28"/>
        <v>113.00523</v>
      </c>
      <c r="H28" s="116">
        <f t="shared" si="28"/>
        <v>118.14628500000001</v>
      </c>
      <c r="I28" s="116">
        <f t="shared" si="28"/>
        <v>110.98478</v>
      </c>
      <c r="J28" s="116">
        <f t="shared" si="28"/>
        <v>121.233216</v>
      </c>
      <c r="K28" s="116">
        <f t="shared" si="28"/>
        <v>136.205501</v>
      </c>
      <c r="L28" s="116">
        <f t="shared" si="28"/>
        <v>124.58408900000001</v>
      </c>
      <c r="M28" s="116">
        <f t="shared" si="28"/>
        <v>115.14719699999999</v>
      </c>
      <c r="N28" s="116">
        <f t="shared" si="28"/>
        <v>122.841183</v>
      </c>
      <c r="O28" s="116">
        <f t="shared" si="28"/>
        <v>110.52242199999999</v>
      </c>
      <c r="P28" s="116">
        <f t="shared" si="28"/>
        <v>98.203660999999997</v>
      </c>
      <c r="Q28" s="116">
        <f t="shared" si="28"/>
        <v>114.11791199999999</v>
      </c>
      <c r="R28" s="116">
        <f t="shared" si="28"/>
        <v>103.94659099999998</v>
      </c>
      <c r="S28" s="116">
        <f t="shared" si="28"/>
        <v>108.133584</v>
      </c>
      <c r="T28" s="116">
        <f t="shared" si="28"/>
        <v>100.43713500000001</v>
      </c>
      <c r="U28" s="116">
        <f t="shared" si="28"/>
        <v>136.90262300000001</v>
      </c>
      <c r="V28" s="116">
        <f t="shared" si="28"/>
        <v>124.583862</v>
      </c>
      <c r="W28" s="116">
        <f t="shared" ref="W28" si="29">SUM(W29:W30)</f>
        <v>130.81408100000002</v>
      </c>
      <c r="DA28" s="176" t="s">
        <v>1046</v>
      </c>
    </row>
    <row r="29" spans="1:105" ht="11.45" customHeight="1" x14ac:dyDescent="0.25">
      <c r="A29" s="111" t="s">
        <v>92</v>
      </c>
      <c r="B29" s="87">
        <v>45.187597999999994</v>
      </c>
      <c r="C29" s="87">
        <v>40.668838999999998</v>
      </c>
      <c r="D29" s="87">
        <v>36.150079999999996</v>
      </c>
      <c r="E29" s="87">
        <v>31.631321</v>
      </c>
      <c r="F29" s="87">
        <v>30.468612</v>
      </c>
      <c r="G29" s="87">
        <v>34.202512999999996</v>
      </c>
      <c r="H29" s="87">
        <v>40.241014999999997</v>
      </c>
      <c r="I29" s="87">
        <v>35.887022999999999</v>
      </c>
      <c r="J29" s="87">
        <v>44.389885</v>
      </c>
      <c r="K29" s="87">
        <v>39.871125999999997</v>
      </c>
      <c r="L29" s="87">
        <v>36.049715999999997</v>
      </c>
      <c r="M29" s="87">
        <v>34.412825999999995</v>
      </c>
      <c r="N29" s="87">
        <v>49.906813999999997</v>
      </c>
      <c r="O29" s="87">
        <v>45.388054999999994</v>
      </c>
      <c r="P29" s="87">
        <v>40.869295999999999</v>
      </c>
      <c r="Q29" s="87">
        <v>36.350536999999996</v>
      </c>
      <c r="R29" s="87">
        <v>33.979217999999996</v>
      </c>
      <c r="S29" s="87">
        <v>34.954988999999998</v>
      </c>
      <c r="T29" s="87">
        <v>30.436230000000002</v>
      </c>
      <c r="U29" s="87">
        <v>27.178937000000001</v>
      </c>
      <c r="V29" s="87">
        <v>22.660178000000002</v>
      </c>
      <c r="W29" s="87">
        <v>21.117318000000001</v>
      </c>
      <c r="DA29" s="171" t="s">
        <v>1047</v>
      </c>
    </row>
    <row r="30" spans="1:105" ht="11.45" customHeight="1" x14ac:dyDescent="0.25">
      <c r="A30" s="111" t="s">
        <v>93</v>
      </c>
      <c r="B30" s="87">
        <v>78.000022999999999</v>
      </c>
      <c r="C30" s="87">
        <v>81.914253000000002</v>
      </c>
      <c r="D30" s="87">
        <v>94.292546999999999</v>
      </c>
      <c r="E30" s="87">
        <v>86.492544999999993</v>
      </c>
      <c r="F30" s="87">
        <v>82.847194999999999</v>
      </c>
      <c r="G30" s="87">
        <v>78.802717000000001</v>
      </c>
      <c r="H30" s="87">
        <v>77.905270000000002</v>
      </c>
      <c r="I30" s="87">
        <v>75.097757000000001</v>
      </c>
      <c r="J30" s="87">
        <v>76.843330999999992</v>
      </c>
      <c r="K30" s="87">
        <v>96.334374999999994</v>
      </c>
      <c r="L30" s="87">
        <v>88.534373000000002</v>
      </c>
      <c r="M30" s="87">
        <v>80.734370999999996</v>
      </c>
      <c r="N30" s="87">
        <v>72.934369000000004</v>
      </c>
      <c r="O30" s="87">
        <v>65.134366999999997</v>
      </c>
      <c r="P30" s="87">
        <v>57.334364999999998</v>
      </c>
      <c r="Q30" s="87">
        <v>77.767375000000001</v>
      </c>
      <c r="R30" s="87">
        <v>69.967372999999995</v>
      </c>
      <c r="S30" s="87">
        <v>73.178595000000001</v>
      </c>
      <c r="T30" s="87">
        <v>70.000905000000003</v>
      </c>
      <c r="U30" s="87">
        <v>109.723686</v>
      </c>
      <c r="V30" s="87">
        <v>101.92368399999999</v>
      </c>
      <c r="W30" s="87">
        <v>109.696763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50.192004999999995</v>
      </c>
      <c r="C32" s="29">
        <f t="shared" ref="C32:V32" si="31">SUM(C33:C34)</f>
        <v>46.745193999999998</v>
      </c>
      <c r="D32" s="29">
        <f t="shared" si="31"/>
        <v>44.459229000000001</v>
      </c>
      <c r="E32" s="29">
        <f t="shared" si="31"/>
        <v>48.313997999999998</v>
      </c>
      <c r="F32" s="29">
        <f t="shared" si="31"/>
        <v>48.465174000000005</v>
      </c>
      <c r="G32" s="29">
        <f t="shared" si="31"/>
        <v>48.849947999999998</v>
      </c>
      <c r="H32" s="29">
        <f t="shared" si="31"/>
        <v>47.459682999999998</v>
      </c>
      <c r="I32" s="29">
        <f t="shared" si="31"/>
        <v>42.869423999999995</v>
      </c>
      <c r="J32" s="29">
        <f t="shared" si="31"/>
        <v>43.815297000000001</v>
      </c>
      <c r="K32" s="29">
        <f t="shared" si="31"/>
        <v>38.796097000000003</v>
      </c>
      <c r="L32" s="29">
        <f t="shared" si="31"/>
        <v>33.776897000000005</v>
      </c>
      <c r="M32" s="29">
        <f t="shared" si="31"/>
        <v>28.757697</v>
      </c>
      <c r="N32" s="29">
        <f t="shared" si="31"/>
        <v>24.667553999999996</v>
      </c>
      <c r="O32" s="29">
        <f t="shared" si="31"/>
        <v>25.801449000000002</v>
      </c>
      <c r="P32" s="29">
        <f t="shared" si="31"/>
        <v>25.576948000000002</v>
      </c>
      <c r="Q32" s="29">
        <f t="shared" si="31"/>
        <v>29.457656999999998</v>
      </c>
      <c r="R32" s="29">
        <f t="shared" si="31"/>
        <v>34.555934000000001</v>
      </c>
      <c r="S32" s="29">
        <f t="shared" si="31"/>
        <v>37.618008000000003</v>
      </c>
      <c r="T32" s="29">
        <f t="shared" si="31"/>
        <v>37.607652000000002</v>
      </c>
      <c r="U32" s="29">
        <f t="shared" si="31"/>
        <v>44.828871999999997</v>
      </c>
      <c r="V32" s="29">
        <f t="shared" si="31"/>
        <v>48.53772</v>
      </c>
      <c r="W32" s="29">
        <f t="shared" ref="W32" si="32">SUM(W33:W34)</f>
        <v>49.635711000000001</v>
      </c>
      <c r="DA32" s="173" t="s">
        <v>1050</v>
      </c>
    </row>
    <row r="33" spans="1:105" ht="11.45" customHeight="1" x14ac:dyDescent="0.25">
      <c r="A33" s="83" t="s">
        <v>92</v>
      </c>
      <c r="B33" s="87">
        <v>18.096824000000002</v>
      </c>
      <c r="C33" s="87">
        <v>16.542113000000001</v>
      </c>
      <c r="D33" s="87">
        <v>16.698784</v>
      </c>
      <c r="E33" s="87">
        <v>17.236236000000002</v>
      </c>
      <c r="F33" s="87">
        <v>17.650611000000001</v>
      </c>
      <c r="G33" s="87">
        <v>17.034799</v>
      </c>
      <c r="H33" s="87">
        <v>15.225116999999999</v>
      </c>
      <c r="I33" s="87">
        <v>13.415434999999999</v>
      </c>
      <c r="J33" s="87">
        <v>17.570826</v>
      </c>
      <c r="K33" s="87">
        <v>15.761144</v>
      </c>
      <c r="L33" s="87">
        <v>13.951461999999999</v>
      </c>
      <c r="M33" s="87">
        <v>12.141779999999999</v>
      </c>
      <c r="N33" s="87">
        <v>10.332097999999998</v>
      </c>
      <c r="O33" s="87">
        <v>8.5224159999999998</v>
      </c>
      <c r="P33" s="87">
        <v>6.7127340000000002</v>
      </c>
      <c r="Q33" s="87">
        <v>9.65639</v>
      </c>
      <c r="R33" s="87">
        <v>7.8467080000000005</v>
      </c>
      <c r="S33" s="87">
        <v>7.78857</v>
      </c>
      <c r="T33" s="87">
        <v>6.6049610000000003</v>
      </c>
      <c r="U33" s="87">
        <v>5.685257</v>
      </c>
      <c r="V33" s="87">
        <v>7.0156470000000004</v>
      </c>
      <c r="W33" s="87">
        <v>7.6925430000000006</v>
      </c>
      <c r="DA33" s="171" t="s">
        <v>1051</v>
      </c>
    </row>
    <row r="34" spans="1:105" ht="11.45" customHeight="1" x14ac:dyDescent="0.25">
      <c r="A34" s="85" t="s">
        <v>93</v>
      </c>
      <c r="B34" s="88">
        <v>32.095180999999997</v>
      </c>
      <c r="C34" s="88">
        <v>30.203081000000001</v>
      </c>
      <c r="D34" s="88">
        <v>27.760445000000001</v>
      </c>
      <c r="E34" s="88">
        <v>31.077762</v>
      </c>
      <c r="F34" s="88">
        <v>30.814563</v>
      </c>
      <c r="G34" s="88">
        <v>31.815149000000002</v>
      </c>
      <c r="H34" s="88">
        <v>32.234566000000001</v>
      </c>
      <c r="I34" s="88">
        <v>29.453989</v>
      </c>
      <c r="J34" s="88">
        <v>26.244471000000001</v>
      </c>
      <c r="K34" s="88">
        <v>23.034953000000002</v>
      </c>
      <c r="L34" s="88">
        <v>19.825435000000002</v>
      </c>
      <c r="M34" s="88">
        <v>16.615917</v>
      </c>
      <c r="N34" s="88">
        <v>14.335455999999999</v>
      </c>
      <c r="O34" s="88">
        <v>17.279033000000002</v>
      </c>
      <c r="P34" s="88">
        <v>18.864214</v>
      </c>
      <c r="Q34" s="88">
        <v>19.801266999999999</v>
      </c>
      <c r="R34" s="88">
        <v>26.709226000000001</v>
      </c>
      <c r="S34" s="88">
        <v>29.829438</v>
      </c>
      <c r="T34" s="88">
        <v>31.002691000000002</v>
      </c>
      <c r="U34" s="88">
        <v>39.143614999999997</v>
      </c>
      <c r="V34" s="88">
        <v>41.522072999999999</v>
      </c>
      <c r="W34" s="88">
        <v>41.943168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14.921959999999999</v>
      </c>
      <c r="D36" s="54">
        <f t="shared" ref="D36:V36" si="34">D37+D43</f>
        <v>15.537057999999991</v>
      </c>
      <c r="E36" s="54">
        <f t="shared" si="34"/>
        <v>12.402678000000005</v>
      </c>
      <c r="F36" s="54">
        <f t="shared" si="34"/>
        <v>2.0125499999999974</v>
      </c>
      <c r="G36" s="54">
        <f t="shared" si="34"/>
        <v>7.3135489999999983</v>
      </c>
      <c r="H36" s="54">
        <f t="shared" si="34"/>
        <v>13.502444000000001</v>
      </c>
      <c r="I36" s="54">
        <f t="shared" si="34"/>
        <v>1.7044050000000013</v>
      </c>
      <c r="J36" s="54">
        <f t="shared" si="34"/>
        <v>25.678358999999986</v>
      </c>
      <c r="K36" s="54">
        <f t="shared" si="34"/>
        <v>47.885677000000001</v>
      </c>
      <c r="L36" s="54">
        <f t="shared" si="34"/>
        <v>27.150717999999998</v>
      </c>
      <c r="M36" s="54">
        <f t="shared" si="34"/>
        <v>0</v>
      </c>
      <c r="N36" s="54">
        <f t="shared" si="34"/>
        <v>34.60538900000001</v>
      </c>
      <c r="O36" s="54">
        <f t="shared" si="34"/>
        <v>5.3005410000000044</v>
      </c>
      <c r="P36" s="54">
        <f t="shared" si="34"/>
        <v>2.5919509999999981</v>
      </c>
      <c r="Q36" s="54">
        <f t="shared" si="34"/>
        <v>28.322581999999997</v>
      </c>
      <c r="R36" s="54">
        <f t="shared" si="34"/>
        <v>7.9147290000000012</v>
      </c>
      <c r="S36" s="54">
        <f t="shared" si="34"/>
        <v>41.822302000000001</v>
      </c>
      <c r="T36" s="54">
        <f t="shared" si="34"/>
        <v>4.3989229999999644</v>
      </c>
      <c r="U36" s="54">
        <f t="shared" si="34"/>
        <v>62.660539999999997</v>
      </c>
      <c r="V36" s="54">
        <f t="shared" si="34"/>
        <v>5.3773030000000057</v>
      </c>
      <c r="W36" s="54">
        <f t="shared" ref="W36" si="35">W37+W43</f>
        <v>12.879933000000012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14.921959999999999</v>
      </c>
      <c r="D37" s="28">
        <f t="shared" ref="D37:V37" si="37">SUM(D38,D39,D42)</f>
        <v>14.718701999999993</v>
      </c>
      <c r="E37" s="28">
        <f t="shared" si="37"/>
        <v>6.8794540000000026</v>
      </c>
      <c r="F37" s="28">
        <f t="shared" si="37"/>
        <v>0.19291899999999984</v>
      </c>
      <c r="G37" s="28">
        <f t="shared" si="37"/>
        <v>5.2603200000000001</v>
      </c>
      <c r="H37" s="28">
        <f t="shared" si="37"/>
        <v>12.076256999999998</v>
      </c>
      <c r="I37" s="28">
        <f t="shared" si="37"/>
        <v>1.7044050000000013</v>
      </c>
      <c r="J37" s="28">
        <f t="shared" si="37"/>
        <v>20.861282999999986</v>
      </c>
      <c r="K37" s="28">
        <f t="shared" si="37"/>
        <v>47.885677000000001</v>
      </c>
      <c r="L37" s="28">
        <f t="shared" si="37"/>
        <v>27.150717999999998</v>
      </c>
      <c r="M37" s="28">
        <f t="shared" si="37"/>
        <v>0</v>
      </c>
      <c r="N37" s="28">
        <f t="shared" si="37"/>
        <v>34.60538900000001</v>
      </c>
      <c r="O37" s="28">
        <f t="shared" si="37"/>
        <v>1.3501940000000019</v>
      </c>
      <c r="P37" s="28">
        <f t="shared" si="37"/>
        <v>0</v>
      </c>
      <c r="Q37" s="28">
        <f t="shared" si="37"/>
        <v>22.773417999999999</v>
      </c>
      <c r="R37" s="28">
        <f t="shared" si="37"/>
        <v>0</v>
      </c>
      <c r="S37" s="28">
        <f t="shared" si="37"/>
        <v>37.091773000000003</v>
      </c>
      <c r="T37" s="28">
        <f t="shared" si="37"/>
        <v>2.2188999999999623</v>
      </c>
      <c r="U37" s="28">
        <f t="shared" si="37"/>
        <v>53.512845999999996</v>
      </c>
      <c r="V37" s="28">
        <f t="shared" si="37"/>
        <v>0</v>
      </c>
      <c r="W37" s="28">
        <f t="shared" ref="W37" si="38">SUM(W38,W39,W42)</f>
        <v>10.113487000000006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8.6673219999999986</v>
      </c>
      <c r="D38" s="108">
        <v>0</v>
      </c>
      <c r="E38" s="108">
        <v>6.8794540000000026</v>
      </c>
      <c r="F38" s="108">
        <v>0</v>
      </c>
      <c r="G38" s="108">
        <v>0.17079100000000125</v>
      </c>
      <c r="H38" s="108">
        <v>3.2391659999999973</v>
      </c>
      <c r="I38" s="108">
        <v>1.7044050000000013</v>
      </c>
      <c r="J38" s="108">
        <v>6.9168109999999956</v>
      </c>
      <c r="K38" s="108">
        <v>26.054225000000002</v>
      </c>
      <c r="L38" s="108">
        <v>27.150717999999998</v>
      </c>
      <c r="M38" s="108">
        <v>0</v>
      </c>
      <c r="N38" s="108">
        <v>17.755773000000005</v>
      </c>
      <c r="O38" s="108">
        <v>1.3501940000000019</v>
      </c>
      <c r="P38" s="108">
        <v>0</v>
      </c>
      <c r="Q38" s="108">
        <v>0</v>
      </c>
      <c r="R38" s="108">
        <v>0</v>
      </c>
      <c r="S38" s="108">
        <v>29.208743999999996</v>
      </c>
      <c r="T38" s="108">
        <v>2.2188999999999623</v>
      </c>
      <c r="U38" s="108">
        <v>11.449657000000002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6.2546379999999999</v>
      </c>
      <c r="D39" s="110">
        <f t="shared" ref="D39:V39" si="40">SUM(D40:D41)</f>
        <v>14.718701999999993</v>
      </c>
      <c r="E39" s="110">
        <f t="shared" si="40"/>
        <v>0</v>
      </c>
      <c r="F39" s="110">
        <f t="shared" si="40"/>
        <v>0.19291899999999984</v>
      </c>
      <c r="G39" s="110">
        <f t="shared" si="40"/>
        <v>5.0895289999999989</v>
      </c>
      <c r="H39" s="110">
        <f t="shared" si="40"/>
        <v>8.8370910000000009</v>
      </c>
      <c r="I39" s="110">
        <f t="shared" si="40"/>
        <v>0</v>
      </c>
      <c r="J39" s="110">
        <f t="shared" si="40"/>
        <v>13.94447199999999</v>
      </c>
      <c r="K39" s="110">
        <f t="shared" si="40"/>
        <v>21.831451999999999</v>
      </c>
      <c r="L39" s="110">
        <f t="shared" si="40"/>
        <v>0</v>
      </c>
      <c r="M39" s="110">
        <f t="shared" si="40"/>
        <v>0</v>
      </c>
      <c r="N39" s="110">
        <f t="shared" si="40"/>
        <v>16.849616000000005</v>
      </c>
      <c r="O39" s="110">
        <f t="shared" si="40"/>
        <v>0</v>
      </c>
      <c r="P39" s="110">
        <f t="shared" si="40"/>
        <v>0</v>
      </c>
      <c r="Q39" s="110">
        <f t="shared" si="40"/>
        <v>22.773417999999999</v>
      </c>
      <c r="R39" s="110">
        <f t="shared" si="40"/>
        <v>0</v>
      </c>
      <c r="S39" s="110">
        <f t="shared" si="40"/>
        <v>7.8830290000000076</v>
      </c>
      <c r="T39" s="110">
        <f t="shared" si="40"/>
        <v>0</v>
      </c>
      <c r="U39" s="110">
        <f t="shared" si="40"/>
        <v>42.063188999999994</v>
      </c>
      <c r="V39" s="110">
        <f t="shared" si="40"/>
        <v>0</v>
      </c>
      <c r="W39" s="110">
        <f t="shared" ref="W39" si="41">SUM(W40:W41)</f>
        <v>10.113487000000006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0.19291899999999984</v>
      </c>
      <c r="G40" s="84">
        <v>5.0895289999999989</v>
      </c>
      <c r="H40" s="84">
        <v>7.3941300000000041</v>
      </c>
      <c r="I40" s="84">
        <v>0</v>
      </c>
      <c r="J40" s="84">
        <v>9.8584900000000033</v>
      </c>
      <c r="K40" s="84">
        <v>0</v>
      </c>
      <c r="L40" s="84">
        <v>0</v>
      </c>
      <c r="M40" s="84">
        <v>0</v>
      </c>
      <c r="N40" s="84">
        <v>16.849616000000005</v>
      </c>
      <c r="O40" s="84">
        <v>0</v>
      </c>
      <c r="P40" s="84">
        <v>0</v>
      </c>
      <c r="Q40" s="84">
        <v>0</v>
      </c>
      <c r="R40" s="84">
        <v>0</v>
      </c>
      <c r="S40" s="84">
        <v>2.3313990000000047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6.2546379999999999</v>
      </c>
      <c r="D41" s="84">
        <v>14.718701999999993</v>
      </c>
      <c r="E41" s="84">
        <v>0</v>
      </c>
      <c r="F41" s="84">
        <v>0</v>
      </c>
      <c r="G41" s="84">
        <v>0</v>
      </c>
      <c r="H41" s="84">
        <v>1.4429609999999968</v>
      </c>
      <c r="I41" s="84">
        <v>0</v>
      </c>
      <c r="J41" s="84">
        <v>4.0859819999999871</v>
      </c>
      <c r="K41" s="84">
        <v>21.831451999999999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22.773417999999999</v>
      </c>
      <c r="R41" s="84">
        <v>0</v>
      </c>
      <c r="S41" s="84">
        <v>5.551630000000003</v>
      </c>
      <c r="T41" s="84">
        <v>0</v>
      </c>
      <c r="U41" s="84">
        <v>42.063188999999994</v>
      </c>
      <c r="V41" s="84">
        <v>0</v>
      </c>
      <c r="W41" s="84">
        <v>10.113487000000006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0.81835599999999786</v>
      </c>
      <c r="E43" s="28">
        <f t="shared" si="43"/>
        <v>5.5232240000000026</v>
      </c>
      <c r="F43" s="28">
        <f t="shared" si="43"/>
        <v>1.8196309999999976</v>
      </c>
      <c r="G43" s="28">
        <f t="shared" si="43"/>
        <v>2.0532289999999982</v>
      </c>
      <c r="H43" s="28">
        <f t="shared" si="43"/>
        <v>1.4261870000000023</v>
      </c>
      <c r="I43" s="28">
        <f t="shared" si="43"/>
        <v>0</v>
      </c>
      <c r="J43" s="28">
        <f t="shared" si="43"/>
        <v>4.8170760000000001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3.9503470000000025</v>
      </c>
      <c r="P43" s="28">
        <f t="shared" si="43"/>
        <v>2.5919509999999981</v>
      </c>
      <c r="Q43" s="28">
        <f t="shared" si="43"/>
        <v>5.5491639999999984</v>
      </c>
      <c r="R43" s="28">
        <f t="shared" si="43"/>
        <v>7.9147290000000012</v>
      </c>
      <c r="S43" s="28">
        <f t="shared" si="43"/>
        <v>4.730528999999998</v>
      </c>
      <c r="T43" s="28">
        <f t="shared" si="43"/>
        <v>2.180023000000002</v>
      </c>
      <c r="U43" s="28">
        <f t="shared" si="43"/>
        <v>9.1476939999999978</v>
      </c>
      <c r="V43" s="28">
        <f t="shared" si="43"/>
        <v>5.3773030000000057</v>
      </c>
      <c r="W43" s="28">
        <f t="shared" ref="W43" si="44">SUM(W44:W45)</f>
        <v>2.7664460000000046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0.81835599999999786</v>
      </c>
      <c r="E44" s="84">
        <v>1.1991370000000003</v>
      </c>
      <c r="F44" s="84">
        <v>1.0760599999999982</v>
      </c>
      <c r="G44" s="84">
        <v>4.5872999999996722E-2</v>
      </c>
      <c r="H44" s="84">
        <v>0</v>
      </c>
      <c r="I44" s="84">
        <v>0</v>
      </c>
      <c r="J44" s="84">
        <v>4.8170760000000001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3.6053410000000001</v>
      </c>
      <c r="R44" s="84">
        <v>0</v>
      </c>
      <c r="S44" s="84">
        <v>0.60354699999999983</v>
      </c>
      <c r="T44" s="84">
        <v>0</v>
      </c>
      <c r="U44" s="84">
        <v>0</v>
      </c>
      <c r="V44" s="84">
        <v>1.9920750000000007</v>
      </c>
      <c r="W44" s="84">
        <v>1.3385810000000005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4.3240870000000022</v>
      </c>
      <c r="F45" s="86">
        <v>0.74357099999999932</v>
      </c>
      <c r="G45" s="86">
        <v>2.0073560000000015</v>
      </c>
      <c r="H45" s="86">
        <v>1.4261870000000023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3.9503470000000025</v>
      </c>
      <c r="P45" s="86">
        <v>2.5919509999999981</v>
      </c>
      <c r="Q45" s="86">
        <v>1.9438229999999983</v>
      </c>
      <c r="R45" s="86">
        <v>7.9147290000000012</v>
      </c>
      <c r="S45" s="86">
        <v>4.1269819999999982</v>
      </c>
      <c r="T45" s="86">
        <v>2.180023000000002</v>
      </c>
      <c r="U45" s="86">
        <v>9.1476939999999978</v>
      </c>
      <c r="V45" s="86">
        <v>3.385228000000005</v>
      </c>
      <c r="W45" s="86">
        <v>1.4278650000000042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167.39717820532471</v>
      </c>
      <c r="C50" s="29">
        <f t="shared" si="45"/>
        <v>145.97082768380193</v>
      </c>
      <c r="D50" s="29">
        <f t="shared" si="45"/>
        <v>122.64883267014977</v>
      </c>
      <c r="E50" s="29">
        <f t="shared" si="45"/>
        <v>130.8556749448332</v>
      </c>
      <c r="F50" s="29">
        <f t="shared" si="45"/>
        <v>127.27532142850328</v>
      </c>
      <c r="G50" s="29">
        <f t="shared" si="45"/>
        <v>127.09865434713696</v>
      </c>
      <c r="H50" s="29">
        <f t="shared" si="45"/>
        <v>123.39087136321496</v>
      </c>
      <c r="I50" s="29">
        <f t="shared" si="45"/>
        <v>128.92372031554476</v>
      </c>
      <c r="J50" s="29">
        <f t="shared" si="45"/>
        <v>115.84347009214828</v>
      </c>
      <c r="K50" s="29">
        <f t="shared" ref="K50:V50" si="46">IF(K4=0,0,K4/K15)</f>
        <v>101.00281405927736</v>
      </c>
      <c r="L50" s="29">
        <f t="shared" si="46"/>
        <v>107.28060686079469</v>
      </c>
      <c r="M50" s="29">
        <f t="shared" si="46"/>
        <v>115.98368142543646</v>
      </c>
      <c r="N50" s="29">
        <f t="shared" si="46"/>
        <v>101.55991844419594</v>
      </c>
      <c r="O50" s="29">
        <f t="shared" si="46"/>
        <v>120.67143718570294</v>
      </c>
      <c r="P50" s="29">
        <f t="shared" si="46"/>
        <v>126.46824286180984</v>
      </c>
      <c r="Q50" s="29">
        <f t="shared" si="46"/>
        <v>87.179598900138942</v>
      </c>
      <c r="R50" s="29">
        <f t="shared" si="46"/>
        <v>85.543865760448426</v>
      </c>
      <c r="S50" s="29">
        <f t="shared" si="46"/>
        <v>81.878474041301928</v>
      </c>
      <c r="T50" s="29">
        <f t="shared" si="46"/>
        <v>87.734901715953981</v>
      </c>
      <c r="U50" s="29">
        <f t="shared" si="46"/>
        <v>71.436871960466462</v>
      </c>
      <c r="V50" s="29">
        <f t="shared" si="46"/>
        <v>60.970655680994859</v>
      </c>
      <c r="W50" s="29">
        <f t="shared" ref="W50" si="47">IF(W4=0,0,W4/W15)</f>
        <v>61.970726282018674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87.914826913106609</v>
      </c>
      <c r="C51" s="115">
        <f t="shared" si="48"/>
        <v>84.735264468050445</v>
      </c>
      <c r="D51" s="115">
        <f t="shared" si="48"/>
        <v>81.795423270273133</v>
      </c>
      <c r="E51" s="115">
        <f t="shared" si="48"/>
        <v>82.336384876561468</v>
      </c>
      <c r="F51" s="115">
        <f t="shared" si="48"/>
        <v>82.275471543457869</v>
      </c>
      <c r="G51" s="115">
        <f t="shared" si="48"/>
        <v>82.504669880672111</v>
      </c>
      <c r="H51" s="115">
        <f t="shared" si="48"/>
        <v>82.104220598453281</v>
      </c>
      <c r="I51" s="115">
        <f t="shared" si="48"/>
        <v>81.507112756750743</v>
      </c>
      <c r="J51" s="115">
        <f t="shared" si="48"/>
        <v>80.845565981054051</v>
      </c>
      <c r="K51" s="115">
        <f t="shared" ref="K51:V51" si="49">IF(K5=0,0,K5/K16)</f>
        <v>79.144777581535905</v>
      </c>
      <c r="L51" s="115">
        <f t="shared" si="49"/>
        <v>79.077772977393039</v>
      </c>
      <c r="M51" s="115">
        <f t="shared" si="49"/>
        <v>79.05328609666195</v>
      </c>
      <c r="N51" s="115">
        <f t="shared" si="49"/>
        <v>79.692647402718421</v>
      </c>
      <c r="O51" s="115">
        <f t="shared" si="49"/>
        <v>79.13376985564777</v>
      </c>
      <c r="P51" s="115">
        <f t="shared" si="49"/>
        <v>77.369576141947363</v>
      </c>
      <c r="Q51" s="115">
        <f t="shared" si="49"/>
        <v>75.201302414984468</v>
      </c>
      <c r="R51" s="115">
        <f t="shared" si="49"/>
        <v>73.64122249669866</v>
      </c>
      <c r="S51" s="115">
        <f t="shared" si="49"/>
        <v>74.502828130395741</v>
      </c>
      <c r="T51" s="115">
        <f t="shared" si="49"/>
        <v>75.235134465610727</v>
      </c>
      <c r="U51" s="115">
        <f t="shared" si="49"/>
        <v>68.0157112315418</v>
      </c>
      <c r="V51" s="115">
        <f t="shared" si="49"/>
        <v>56.745508070246665</v>
      </c>
      <c r="W51" s="115">
        <f t="shared" ref="W51" si="50">IF(W5=0,0,W5/W16)</f>
        <v>63.063535332354789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187.89767012254731</v>
      </c>
      <c r="C52" s="116">
        <f t="shared" si="51"/>
        <v>164.63280026344211</v>
      </c>
      <c r="D52" s="116">
        <f t="shared" si="51"/>
        <v>133.86977070671102</v>
      </c>
      <c r="E52" s="116">
        <f t="shared" si="51"/>
        <v>147.65639772366274</v>
      </c>
      <c r="F52" s="116">
        <f t="shared" si="51"/>
        <v>141.43363771179315</v>
      </c>
      <c r="G52" s="116">
        <f t="shared" si="51"/>
        <v>140.93743021564296</v>
      </c>
      <c r="H52" s="116">
        <f t="shared" si="51"/>
        <v>136.04603317152595</v>
      </c>
      <c r="I52" s="116">
        <f t="shared" si="51"/>
        <v>144.40418577304004</v>
      </c>
      <c r="J52" s="116">
        <f t="shared" si="51"/>
        <v>127.41282698300428</v>
      </c>
      <c r="K52" s="116">
        <f t="shared" ref="K52:V52" si="52">IF(K6=0,0,K6/K17)</f>
        <v>110.8548084693539</v>
      </c>
      <c r="L52" s="116">
        <f t="shared" si="52"/>
        <v>126.97669265570713</v>
      </c>
      <c r="M52" s="116">
        <f t="shared" si="52"/>
        <v>144.59003731281351</v>
      </c>
      <c r="N52" s="116">
        <f t="shared" si="52"/>
        <v>119.43589455089236</v>
      </c>
      <c r="O52" s="116">
        <f t="shared" si="52"/>
        <v>170.2314604007702</v>
      </c>
      <c r="P52" s="116">
        <f t="shared" si="52"/>
        <v>173.82793861362256</v>
      </c>
      <c r="Q52" s="116">
        <f t="shared" si="52"/>
        <v>94.364827480108374</v>
      </c>
      <c r="R52" s="116">
        <f t="shared" si="52"/>
        <v>94.059558420992815</v>
      </c>
      <c r="S52" s="116">
        <f t="shared" si="52"/>
        <v>88.40916633810356</v>
      </c>
      <c r="T52" s="116">
        <f t="shared" si="52"/>
        <v>99.940725744019076</v>
      </c>
      <c r="U52" s="116">
        <f t="shared" si="52"/>
        <v>74.018548459742775</v>
      </c>
      <c r="V52" s="116">
        <f t="shared" si="52"/>
        <v>63.907419111370587</v>
      </c>
      <c r="W52" s="116">
        <f t="shared" ref="W52" si="53">IF(W6=0,0,W6/W17)</f>
        <v>61.308385517248198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126.41911980562479</v>
      </c>
      <c r="C53" s="87">
        <f t="shared" si="54"/>
        <v>109.22802784082805</v>
      </c>
      <c r="D53" s="87">
        <f t="shared" si="54"/>
        <v>94.61754262361012</v>
      </c>
      <c r="E53" s="87">
        <f t="shared" si="54"/>
        <v>97.043839885378517</v>
      </c>
      <c r="F53" s="87">
        <f t="shared" si="54"/>
        <v>96.706320389261464</v>
      </c>
      <c r="G53" s="87">
        <f t="shared" si="54"/>
        <v>98.23531672678736</v>
      </c>
      <c r="H53" s="87">
        <f t="shared" si="54"/>
        <v>93.318624571988778</v>
      </c>
      <c r="I53" s="87">
        <f t="shared" si="54"/>
        <v>93.728113465191711</v>
      </c>
      <c r="J53" s="87">
        <f t="shared" si="54"/>
        <v>95.434014472453043</v>
      </c>
      <c r="K53" s="87">
        <f t="shared" ref="K53:V53" si="55">IF(K7=0,0,K7/K18)</f>
        <v>93.242406520053208</v>
      </c>
      <c r="L53" s="87">
        <f t="shared" si="55"/>
        <v>95.012611028979137</v>
      </c>
      <c r="M53" s="87">
        <f t="shared" si="55"/>
        <v>98.983249570470136</v>
      </c>
      <c r="N53" s="87">
        <f t="shared" si="55"/>
        <v>90.579222179695947</v>
      </c>
      <c r="O53" s="87">
        <f t="shared" si="55"/>
        <v>109.03110616625369</v>
      </c>
      <c r="P53" s="87">
        <f t="shared" si="55"/>
        <v>99.084719001309566</v>
      </c>
      <c r="Q53" s="87">
        <f t="shared" si="55"/>
        <v>71.384529989113304</v>
      </c>
      <c r="R53" s="87">
        <f t="shared" si="55"/>
        <v>56.192560280238645</v>
      </c>
      <c r="S53" s="87">
        <f t="shared" si="55"/>
        <v>57.818446089717725</v>
      </c>
      <c r="T53" s="87">
        <f t="shared" si="55"/>
        <v>63.136638014360521</v>
      </c>
      <c r="U53" s="87">
        <f t="shared" si="55"/>
        <v>51.013134778362726</v>
      </c>
      <c r="V53" s="87">
        <f t="shared" si="55"/>
        <v>50.120556182930699</v>
      </c>
      <c r="W53" s="87">
        <f t="shared" ref="W53" si="56">IF(W7=0,0,W7/W18)</f>
        <v>50.661676733423405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223.51391609310022</v>
      </c>
      <c r="C54" s="87">
        <f t="shared" si="57"/>
        <v>191.12187344898291</v>
      </c>
      <c r="D54" s="87">
        <f t="shared" si="57"/>
        <v>148.47580229226693</v>
      </c>
      <c r="E54" s="87">
        <f t="shared" si="57"/>
        <v>164.9659871471591</v>
      </c>
      <c r="F54" s="87">
        <f t="shared" si="57"/>
        <v>157.88294826000626</v>
      </c>
      <c r="G54" s="87">
        <f t="shared" si="57"/>
        <v>159.47130376270681</v>
      </c>
      <c r="H54" s="87">
        <f t="shared" si="57"/>
        <v>158.11635373899855</v>
      </c>
      <c r="I54" s="87">
        <f t="shared" si="57"/>
        <v>168.62079920159971</v>
      </c>
      <c r="J54" s="87">
        <f t="shared" si="57"/>
        <v>145.88594355037429</v>
      </c>
      <c r="K54" s="87">
        <f t="shared" ref="K54:V54" si="58">IF(K8=0,0,K8/K19)</f>
        <v>116.74951514371485</v>
      </c>
      <c r="L54" s="87">
        <f t="shared" si="58"/>
        <v>142.61552712059981</v>
      </c>
      <c r="M54" s="87">
        <f t="shared" si="58"/>
        <v>170.52196032706846</v>
      </c>
      <c r="N54" s="87">
        <f t="shared" si="58"/>
        <v>145.87378417422792</v>
      </c>
      <c r="O54" s="87">
        <f t="shared" si="58"/>
        <v>232.85394749131373</v>
      </c>
      <c r="P54" s="87">
        <f t="shared" si="58"/>
        <v>222.94252408730446</v>
      </c>
      <c r="Q54" s="87">
        <f t="shared" si="58"/>
        <v>103.72216232393983</v>
      </c>
      <c r="R54" s="87">
        <f t="shared" si="58"/>
        <v>112.66762922857455</v>
      </c>
      <c r="S54" s="87">
        <f t="shared" si="58"/>
        <v>103.02133929136561</v>
      </c>
      <c r="T54" s="87">
        <f t="shared" si="58"/>
        <v>114.90268514323057</v>
      </c>
      <c r="U54" s="87">
        <f t="shared" si="58"/>
        <v>79.717068971549608</v>
      </c>
      <c r="V54" s="87">
        <f t="shared" si="58"/>
        <v>66.700201678807204</v>
      </c>
      <c r="W54" s="87">
        <f t="shared" ref="W54" si="59">IF(W8=0,0,W8/W19)</f>
        <v>63.357943965889561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551.68149349588441</v>
      </c>
      <c r="C56" s="29">
        <f t="shared" si="63"/>
        <v>524.11807191418507</v>
      </c>
      <c r="D56" s="29">
        <f t="shared" si="63"/>
        <v>520.36440679621398</v>
      </c>
      <c r="E56" s="29">
        <f t="shared" si="63"/>
        <v>545.8045621422167</v>
      </c>
      <c r="F56" s="29">
        <f t="shared" si="63"/>
        <v>537.60254164254945</v>
      </c>
      <c r="G56" s="29">
        <f t="shared" si="63"/>
        <v>528.45501893066171</v>
      </c>
      <c r="H56" s="29">
        <f t="shared" si="63"/>
        <v>585.4157455122587</v>
      </c>
      <c r="I56" s="29">
        <f t="shared" si="63"/>
        <v>616.28625135396533</v>
      </c>
      <c r="J56" s="29">
        <f t="shared" si="63"/>
        <v>570.92419433745295</v>
      </c>
      <c r="K56" s="29">
        <f t="shared" ref="K56:V56" si="64">IF(K10=0,0,K10/K21)</f>
        <v>568.03227921075245</v>
      </c>
      <c r="L56" s="29">
        <f t="shared" si="64"/>
        <v>628.7153213518194</v>
      </c>
      <c r="M56" s="29">
        <f t="shared" si="64"/>
        <v>651.00854009637089</v>
      </c>
      <c r="N56" s="29">
        <f t="shared" si="64"/>
        <v>628.07205861624254</v>
      </c>
      <c r="O56" s="29">
        <f t="shared" si="64"/>
        <v>684.6201577562465</v>
      </c>
      <c r="P56" s="29">
        <f t="shared" si="64"/>
        <v>674.90218633785184</v>
      </c>
      <c r="Q56" s="29">
        <f t="shared" si="64"/>
        <v>619.53334311312005</v>
      </c>
      <c r="R56" s="29">
        <f t="shared" si="64"/>
        <v>505.20348794866294</v>
      </c>
      <c r="S56" s="29">
        <f t="shared" si="64"/>
        <v>522.48913632967492</v>
      </c>
      <c r="T56" s="29">
        <f t="shared" si="64"/>
        <v>508.40717637809394</v>
      </c>
      <c r="U56" s="29">
        <f t="shared" si="64"/>
        <v>435.21060194196303</v>
      </c>
      <c r="V56" s="29">
        <f t="shared" si="64"/>
        <v>463.86605062310394</v>
      </c>
      <c r="W56" s="29">
        <f t="shared" ref="W56" si="65">IF(W10=0,0,W10/W21)</f>
        <v>469.11789655345649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476.59561553917791</v>
      </c>
      <c r="C57" s="87">
        <f t="shared" si="66"/>
        <v>452.6809538364343</v>
      </c>
      <c r="D57" s="87">
        <f t="shared" si="66"/>
        <v>449.73209511067574</v>
      </c>
      <c r="E57" s="87">
        <f t="shared" si="66"/>
        <v>473.01653689726129</v>
      </c>
      <c r="F57" s="87">
        <f t="shared" si="66"/>
        <v>465.33974170720336</v>
      </c>
      <c r="G57" s="87">
        <f t="shared" si="66"/>
        <v>457.08109339156778</v>
      </c>
      <c r="H57" s="87">
        <f t="shared" si="66"/>
        <v>548.91699596895921</v>
      </c>
      <c r="I57" s="87">
        <f t="shared" si="66"/>
        <v>552.11021255567471</v>
      </c>
      <c r="J57" s="87">
        <f t="shared" si="66"/>
        <v>533.71655509256789</v>
      </c>
      <c r="K57" s="87">
        <f t="shared" ref="K57:V57" si="67">IF(K11=0,0,K11/K22)</f>
        <v>509.99911768014726</v>
      </c>
      <c r="L57" s="87">
        <f t="shared" si="67"/>
        <v>530.64196123374904</v>
      </c>
      <c r="M57" s="87">
        <f t="shared" si="67"/>
        <v>598.38456442885865</v>
      </c>
      <c r="N57" s="87">
        <f t="shared" si="67"/>
        <v>559.74691660864323</v>
      </c>
      <c r="O57" s="87">
        <f t="shared" si="67"/>
        <v>694.82609103453831</v>
      </c>
      <c r="P57" s="87">
        <f t="shared" si="67"/>
        <v>640.09496538089763</v>
      </c>
      <c r="Q57" s="87">
        <f t="shared" si="67"/>
        <v>533.8404686416427</v>
      </c>
      <c r="R57" s="87">
        <f t="shared" si="67"/>
        <v>583.87806990311515</v>
      </c>
      <c r="S57" s="87">
        <f t="shared" si="67"/>
        <v>595.48812654935728</v>
      </c>
      <c r="T57" s="87">
        <f t="shared" si="67"/>
        <v>603.46720420166639</v>
      </c>
      <c r="U57" s="87">
        <f t="shared" si="67"/>
        <v>531.00662369731867</v>
      </c>
      <c r="V57" s="87">
        <f t="shared" si="67"/>
        <v>509.37857019527871</v>
      </c>
      <c r="W57" s="87">
        <f t="shared" ref="W57" si="68">IF(W11=0,0,W11/W22)</f>
        <v>487.24055555607288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594.01856308152912</v>
      </c>
      <c r="C58" s="88">
        <f t="shared" si="69"/>
        <v>563.24390980748581</v>
      </c>
      <c r="D58" s="88">
        <f t="shared" si="69"/>
        <v>562.85197202611539</v>
      </c>
      <c r="E58" s="88">
        <f t="shared" si="69"/>
        <v>586.17399355521889</v>
      </c>
      <c r="F58" s="88">
        <f t="shared" si="69"/>
        <v>578.99474067087306</v>
      </c>
      <c r="G58" s="88">
        <f t="shared" si="69"/>
        <v>566.67079111509213</v>
      </c>
      <c r="H58" s="88">
        <f t="shared" si="69"/>
        <v>601.10055722872312</v>
      </c>
      <c r="I58" s="88">
        <f t="shared" si="69"/>
        <v>644.75702437187203</v>
      </c>
      <c r="J58" s="88">
        <f t="shared" si="69"/>
        <v>598.70962327543941</v>
      </c>
      <c r="K58" s="88">
        <f t="shared" ref="K58:V58" si="70">IF(K12=0,0,K12/K23)</f>
        <v>599.69848314994692</v>
      </c>
      <c r="L58" s="88">
        <f t="shared" si="70"/>
        <v>687.15597445907088</v>
      </c>
      <c r="M58" s="88">
        <f t="shared" si="70"/>
        <v>679.42780455574177</v>
      </c>
      <c r="N58" s="88">
        <f t="shared" si="70"/>
        <v>670.04668600864352</v>
      </c>
      <c r="O58" s="88">
        <f t="shared" si="70"/>
        <v>680.82370226521732</v>
      </c>
      <c r="P58" s="88">
        <f t="shared" si="70"/>
        <v>687.10515403014369</v>
      </c>
      <c r="Q58" s="88">
        <f t="shared" si="70"/>
        <v>661.32278190939553</v>
      </c>
      <c r="R58" s="88">
        <f t="shared" si="70"/>
        <v>483.76815138303147</v>
      </c>
      <c r="S58" s="88">
        <f t="shared" si="70"/>
        <v>503.42884620766</v>
      </c>
      <c r="T58" s="88">
        <f t="shared" si="70"/>
        <v>488.15513557117669</v>
      </c>
      <c r="U58" s="88">
        <f t="shared" si="70"/>
        <v>421.29709375497532</v>
      </c>
      <c r="V58" s="88">
        <f t="shared" si="70"/>
        <v>456.17617057502679</v>
      </c>
      <c r="W58" s="88">
        <f t="shared" ref="W58" si="71">IF(W12=0,0,W12/W23)</f>
        <v>465.79412938961758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340.81597117553849</v>
      </c>
      <c r="C61" s="29">
        <f t="shared" ref="C61" si="73">IF(C26=0,0,(C62*C27+C64*C29+C65*C30+C66*C31)/(C27+C29+C30+C31))</f>
        <v>343.28146887712444</v>
      </c>
      <c r="D61" s="29">
        <f t="shared" ref="D61" si="74">IF(D26=0,0,(D62*D27+D64*D29+D65*D30+D66*D31)/(D27+D29+D30+D31))</f>
        <v>341.6692117398789</v>
      </c>
      <c r="E61" s="29">
        <f t="shared" ref="E61" si="75">IF(E26=0,0,(E62*E27+E64*E29+E65*E30+E66*E31)/(E27+E29+E30+E31))</f>
        <v>344.98958573005677</v>
      </c>
      <c r="F61" s="29">
        <f t="shared" ref="F61" si="76">IF(F26=0,0,(F62*F27+F64*F29+F65*F30+F66*F31)/(F27+F29+F30+F31))</f>
        <v>344.26288753224549</v>
      </c>
      <c r="G61" s="29">
        <f t="shared" ref="G61" si="77">IF(G26=0,0,(G62*G27+G64*G29+G65*G30+G66*G31)/(G27+G29+G30+G31))</f>
        <v>343.78765675732654</v>
      </c>
      <c r="H61" s="29">
        <f t="shared" ref="H61" si="78">IF(H26=0,0,(H62*H27+H64*H29+H65*H30+H66*H31)/(H27+H29+H30+H31))</f>
        <v>343.58175787113686</v>
      </c>
      <c r="I61" s="29">
        <f t="shared" ref="I61" si="79">IF(I26=0,0,(I62*I27+I64*I29+I65*I30+I66*I31)/(I27+I29+I30+I31))</f>
        <v>344.64422045250353</v>
      </c>
      <c r="J61" s="29">
        <f t="shared" ref="J61" si="80">IF(J26=0,0,(J62*J27+J64*J29+J65*J30+J66*J31)/(J27+J29+J30+J31))</f>
        <v>344.85729337614953</v>
      </c>
      <c r="K61" s="29">
        <f t="shared" ref="K61" si="81">IF(K26=0,0,(K62*K27+K64*K29+K65*K30+K66*K31)/(K27+K29+K30+K31))</f>
        <v>349.37354508541631</v>
      </c>
      <c r="L61" s="29">
        <f t="shared" ref="L61" si="82">IF(L26=0,0,(L62*L27+L64*L29+L65*L30+L66*L31)/(L27+L29+L30+L31))</f>
        <v>356.49317174221227</v>
      </c>
      <c r="M61" s="29">
        <f t="shared" ref="M61" si="83">IF(M26=0,0,(M62*M27+M64*M29+M65*M30+M66*M31)/(M27+M29+M30+M31))</f>
        <v>357.23901591564322</v>
      </c>
      <c r="N61" s="29">
        <f t="shared" ref="N61" si="84">IF(N26=0,0,(N62*N27+N64*N29+N65*N30+N66*N31)/(N27+N29+N30+N31))</f>
        <v>358.9155292486073</v>
      </c>
      <c r="O61" s="29">
        <f t="shared" ref="O61" si="85">IF(O26=0,0,(O62*O27+O64*O29+O65*O30+O66*O31)/(O27+O29+O30+O31))</f>
        <v>360.97225647124174</v>
      </c>
      <c r="P61" s="29">
        <f t="shared" ref="P61" si="86">IF(P26=0,0,(P62*P27+P64*P29+P65*P30+P66*P31)/(P27+P29+P30+P31))</f>
        <v>362.57126384130936</v>
      </c>
      <c r="Q61" s="29">
        <f t="shared" ref="Q61" si="87">IF(Q26=0,0,(Q62*Q27+Q64*Q29+Q65*Q30+Q66*Q31)/(Q27+Q29+Q30+Q31))</f>
        <v>358.78016977809477</v>
      </c>
      <c r="R61" s="29">
        <f t="shared" ref="R61" si="88">IF(R26=0,0,(R62*R27+R64*R29+R65*R30+R66*R31)/(R27+R29+R30+R31))</f>
        <v>359.82304689481077</v>
      </c>
      <c r="S61" s="29">
        <f t="shared" ref="S61" si="89">IF(S26=0,0,(S62*S27+S64*S29+S65*S30+S66*S31)/(S27+S29+S30+S31))</f>
        <v>363.75856731301462</v>
      </c>
      <c r="T61" s="29">
        <f t="shared" ref="T61" si="90">IF(T26=0,0,(T62*T27+T64*T29+T65*T30+T66*T31)/(T27+T29+T30+T31))</f>
        <v>365.29788757864537</v>
      </c>
      <c r="U61" s="29">
        <f t="shared" ref="U61" si="91">IF(U26=0,0,(U62*U27+U64*U29+U65*U30+U66*U31)/(U27+U29+U30+U31))</f>
        <v>360.57224147822609</v>
      </c>
      <c r="V61" s="29">
        <f t="shared" ref="V61" si="92">IF(V26=0,0,(V62*V27+V64*V29+V65*V30+V66*V31)/(V27+V29+V30+V31))</f>
        <v>361.83204985018472</v>
      </c>
      <c r="W61" s="29">
        <f t="shared" ref="W61" si="93">IF(W26=0,0,(W62*W27+W64*W29+W65*W30+W66*W31)/(W27+W29+W30+W31))</f>
        <v>360.21245856922815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2100.0000000000005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0.49116588529563421</v>
      </c>
      <c r="C72" s="30">
        <f t="shared" ref="C72:J72" si="138">IF(C50=0,0,C50/C61)</f>
        <v>0.42522198521601912</v>
      </c>
      <c r="D72" s="30">
        <f t="shared" si="138"/>
        <v>0.35896951921885578</v>
      </c>
      <c r="E72" s="30">
        <f t="shared" si="138"/>
        <v>0.37930326119242203</v>
      </c>
      <c r="F72" s="30">
        <f t="shared" si="138"/>
        <v>0.36970386886847334</v>
      </c>
      <c r="G72" s="30">
        <f t="shared" si="138"/>
        <v>0.36970104030481116</v>
      </c>
      <c r="H72" s="30">
        <f t="shared" si="138"/>
        <v>0.35913103224034876</v>
      </c>
      <c r="I72" s="30">
        <f t="shared" si="138"/>
        <v>0.37407770873474472</v>
      </c>
      <c r="J72" s="30">
        <f t="shared" si="138"/>
        <v>0.33591712374136512</v>
      </c>
      <c r="K72" s="30">
        <f t="shared" ref="K72:V72" si="139">IF(K50=0,0,K50/K61)</f>
        <v>0.28909691497844742</v>
      </c>
      <c r="L72" s="30">
        <f t="shared" si="139"/>
        <v>0.30093313242580577</v>
      </c>
      <c r="M72" s="30">
        <f t="shared" si="139"/>
        <v>0.3246668931951831</v>
      </c>
      <c r="N72" s="30">
        <f t="shared" si="139"/>
        <v>0.2829632884840968</v>
      </c>
      <c r="O72" s="30">
        <f t="shared" si="139"/>
        <v>0.33429560034710509</v>
      </c>
      <c r="P72" s="30">
        <f t="shared" si="139"/>
        <v>0.34880933894739824</v>
      </c>
      <c r="Q72" s="30">
        <f t="shared" si="139"/>
        <v>0.24298890028972184</v>
      </c>
      <c r="R72" s="30">
        <f t="shared" si="139"/>
        <v>0.2377387065633291</v>
      </c>
      <c r="S72" s="30">
        <f t="shared" si="139"/>
        <v>0.22509015978954364</v>
      </c>
      <c r="T72" s="30">
        <f t="shared" si="139"/>
        <v>0.24017358079319701</v>
      </c>
      <c r="U72" s="30">
        <f t="shared" si="139"/>
        <v>0.19812083056532329</v>
      </c>
      <c r="V72" s="30">
        <f t="shared" si="139"/>
        <v>0.16850540383650245</v>
      </c>
      <c r="W72" s="30">
        <f t="shared" ref="W72" si="140">IF(W50=0,0,W50/W61)</f>
        <v>0.17203937511813935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0.21978706728276654</v>
      </c>
      <c r="C73" s="118">
        <f t="shared" si="141"/>
        <v>0.2118381611701261</v>
      </c>
      <c r="D73" s="118">
        <f t="shared" si="141"/>
        <v>0.20448855817568284</v>
      </c>
      <c r="E73" s="118">
        <f t="shared" si="141"/>
        <v>0.20584096219140366</v>
      </c>
      <c r="F73" s="118">
        <f t="shared" si="141"/>
        <v>0.20568867885864467</v>
      </c>
      <c r="G73" s="118">
        <f t="shared" si="141"/>
        <v>0.20626167470168028</v>
      </c>
      <c r="H73" s="118">
        <f t="shared" si="141"/>
        <v>0.2052605514961332</v>
      </c>
      <c r="I73" s="118">
        <f t="shared" si="141"/>
        <v>0.20376778189187686</v>
      </c>
      <c r="J73" s="118">
        <f t="shared" si="141"/>
        <v>0.20211391495263512</v>
      </c>
      <c r="K73" s="118">
        <f t="shared" ref="K73:V73" si="142">IF(K51=0,0,K51/K62)</f>
        <v>0.19786194395383977</v>
      </c>
      <c r="L73" s="118">
        <f t="shared" si="142"/>
        <v>0.19769443244348259</v>
      </c>
      <c r="M73" s="118">
        <f t="shared" si="142"/>
        <v>0.19763321524165486</v>
      </c>
      <c r="N73" s="118">
        <f t="shared" si="142"/>
        <v>0.19923161850679605</v>
      </c>
      <c r="O73" s="118">
        <f t="shared" si="142"/>
        <v>0.19783442463911943</v>
      </c>
      <c r="P73" s="118">
        <f t="shared" si="142"/>
        <v>0.1934239403548684</v>
      </c>
      <c r="Q73" s="118">
        <f t="shared" si="142"/>
        <v>0.18800325603746118</v>
      </c>
      <c r="R73" s="118">
        <f t="shared" si="142"/>
        <v>0.18410305624174664</v>
      </c>
      <c r="S73" s="118">
        <f t="shared" si="142"/>
        <v>0.18625707032598934</v>
      </c>
      <c r="T73" s="118">
        <f t="shared" si="142"/>
        <v>0.18808783616402683</v>
      </c>
      <c r="U73" s="118">
        <f t="shared" si="142"/>
        <v>0.17003927807885449</v>
      </c>
      <c r="V73" s="118">
        <f t="shared" si="142"/>
        <v>0.14186377017561666</v>
      </c>
      <c r="W73" s="118">
        <f t="shared" ref="W73" si="143">IF(W51=0,0,W51/W62)</f>
        <v>0.15765883833088698</v>
      </c>
      <c r="DA73" s="203"/>
    </row>
    <row r="74" spans="1:105" ht="11.45" customHeight="1" x14ac:dyDescent="0.25">
      <c r="A74" s="109" t="s">
        <v>24</v>
      </c>
      <c r="B74" s="119">
        <f t="shared" si="141"/>
        <v>0.58718021913296037</v>
      </c>
      <c r="C74" s="119">
        <f t="shared" si="141"/>
        <v>0.5144775008232565</v>
      </c>
      <c r="D74" s="119">
        <f t="shared" si="141"/>
        <v>0.41834303345847196</v>
      </c>
      <c r="E74" s="119">
        <f t="shared" si="141"/>
        <v>0.46142624288644607</v>
      </c>
      <c r="F74" s="119">
        <f t="shared" si="141"/>
        <v>0.4419801178493537</v>
      </c>
      <c r="G74" s="119">
        <f t="shared" si="141"/>
        <v>0.44042946942388428</v>
      </c>
      <c r="H74" s="119">
        <f t="shared" si="141"/>
        <v>0.42514385366101864</v>
      </c>
      <c r="I74" s="119">
        <f t="shared" si="141"/>
        <v>0.45126308054075015</v>
      </c>
      <c r="J74" s="119">
        <f t="shared" si="141"/>
        <v>0.39816508432188835</v>
      </c>
      <c r="K74" s="119">
        <f t="shared" ref="K74:V74" si="144">IF(K52=0,0,K52/K63)</f>
        <v>0.34642127646673093</v>
      </c>
      <c r="L74" s="119">
        <f t="shared" si="144"/>
        <v>0.39680216454908485</v>
      </c>
      <c r="M74" s="119">
        <f t="shared" si="144"/>
        <v>0.45184386660254211</v>
      </c>
      <c r="N74" s="119">
        <f t="shared" si="144"/>
        <v>0.37323717047153859</v>
      </c>
      <c r="O74" s="119">
        <f t="shared" si="144"/>
        <v>0.53197331375240675</v>
      </c>
      <c r="P74" s="119">
        <f t="shared" si="144"/>
        <v>0.54321230816757049</v>
      </c>
      <c r="Q74" s="119">
        <f t="shared" si="144"/>
        <v>0.2948900858753386</v>
      </c>
      <c r="R74" s="119">
        <f t="shared" si="144"/>
        <v>0.29393612006560255</v>
      </c>
      <c r="S74" s="119">
        <f t="shared" si="144"/>
        <v>0.2762786448065736</v>
      </c>
      <c r="T74" s="119">
        <f t="shared" si="144"/>
        <v>0.31231476795005969</v>
      </c>
      <c r="U74" s="119">
        <f t="shared" si="144"/>
        <v>0.23130796393669617</v>
      </c>
      <c r="V74" s="119">
        <f t="shared" si="144"/>
        <v>0.19971068472303308</v>
      </c>
      <c r="W74" s="119">
        <f t="shared" ref="W74" si="145">IF(W52=0,0,W52/W63)</f>
        <v>0.19158870474140061</v>
      </c>
      <c r="DA74" s="176"/>
    </row>
    <row r="75" spans="1:105" ht="11.45" customHeight="1" x14ac:dyDescent="0.25">
      <c r="A75" s="111" t="s">
        <v>92</v>
      </c>
      <c r="B75" s="120">
        <f t="shared" si="141"/>
        <v>0.39505974939257749</v>
      </c>
      <c r="C75" s="120">
        <f t="shared" si="141"/>
        <v>0.34133758700258765</v>
      </c>
      <c r="D75" s="120">
        <f t="shared" si="141"/>
        <v>0.29567982069878163</v>
      </c>
      <c r="E75" s="120">
        <f t="shared" si="141"/>
        <v>0.30326199964180789</v>
      </c>
      <c r="F75" s="120">
        <f t="shared" si="141"/>
        <v>0.3022072512164421</v>
      </c>
      <c r="G75" s="120">
        <f t="shared" si="141"/>
        <v>0.30698536477121052</v>
      </c>
      <c r="H75" s="120">
        <f t="shared" si="141"/>
        <v>0.29162070178746491</v>
      </c>
      <c r="I75" s="120">
        <f t="shared" si="141"/>
        <v>0.2929003545787241</v>
      </c>
      <c r="J75" s="120">
        <f t="shared" si="141"/>
        <v>0.29823129522641578</v>
      </c>
      <c r="K75" s="120">
        <f t="shared" ref="K75:V75" si="146">IF(K53=0,0,K53/K64)</f>
        <v>0.29138252037516627</v>
      </c>
      <c r="L75" s="120">
        <f t="shared" si="146"/>
        <v>0.2969144094655598</v>
      </c>
      <c r="M75" s="120">
        <f t="shared" si="146"/>
        <v>0.30932265490771915</v>
      </c>
      <c r="N75" s="120">
        <f t="shared" si="146"/>
        <v>0.28306006931154981</v>
      </c>
      <c r="O75" s="120">
        <f t="shared" si="146"/>
        <v>0.34072220676954279</v>
      </c>
      <c r="P75" s="120">
        <f t="shared" si="146"/>
        <v>0.3096397468790924</v>
      </c>
      <c r="Q75" s="120">
        <f t="shared" si="146"/>
        <v>0.22307665621597908</v>
      </c>
      <c r="R75" s="120">
        <f t="shared" si="146"/>
        <v>0.17560175087574575</v>
      </c>
      <c r="S75" s="120">
        <f t="shared" si="146"/>
        <v>0.18068264403036788</v>
      </c>
      <c r="T75" s="120">
        <f t="shared" si="146"/>
        <v>0.19730199379487662</v>
      </c>
      <c r="U75" s="120">
        <f t="shared" si="146"/>
        <v>0.15941604618238353</v>
      </c>
      <c r="V75" s="120">
        <f t="shared" si="146"/>
        <v>0.15662673807165844</v>
      </c>
      <c r="W75" s="120">
        <f t="shared" ref="W75" si="147">IF(W53=0,0,W53/W64)</f>
        <v>0.15831773979194813</v>
      </c>
      <c r="DA75" s="171"/>
    </row>
    <row r="76" spans="1:105" ht="11.45" customHeight="1" x14ac:dyDescent="0.25">
      <c r="A76" s="111" t="s">
        <v>93</v>
      </c>
      <c r="B76" s="120">
        <f t="shared" si="141"/>
        <v>0.69848098779093815</v>
      </c>
      <c r="C76" s="120">
        <f t="shared" si="141"/>
        <v>0.59725585452807162</v>
      </c>
      <c r="D76" s="120">
        <f t="shared" si="141"/>
        <v>0.46398688216333417</v>
      </c>
      <c r="E76" s="120">
        <f t="shared" si="141"/>
        <v>0.51551870983487214</v>
      </c>
      <c r="F76" s="120">
        <f t="shared" si="141"/>
        <v>0.49338421331251958</v>
      </c>
      <c r="G76" s="120">
        <f t="shared" si="141"/>
        <v>0.4983478242584588</v>
      </c>
      <c r="H76" s="120">
        <f t="shared" si="141"/>
        <v>0.4941136054343705</v>
      </c>
      <c r="I76" s="120">
        <f t="shared" si="141"/>
        <v>0.52693999750499909</v>
      </c>
      <c r="J76" s="120">
        <f t="shared" si="141"/>
        <v>0.45589357359491967</v>
      </c>
      <c r="K76" s="120">
        <f t="shared" ref="K76:V76" si="148">IF(K54=0,0,K54/K65)</f>
        <v>0.36484223482410888</v>
      </c>
      <c r="L76" s="120">
        <f t="shared" si="148"/>
        <v>0.4456735222518744</v>
      </c>
      <c r="M76" s="120">
        <f t="shared" si="148"/>
        <v>0.53288112602208892</v>
      </c>
      <c r="N76" s="120">
        <f t="shared" si="148"/>
        <v>0.45585557554446227</v>
      </c>
      <c r="O76" s="120">
        <f t="shared" si="148"/>
        <v>0.72766858591035544</v>
      </c>
      <c r="P76" s="120">
        <f t="shared" si="148"/>
        <v>0.69669538777282647</v>
      </c>
      <c r="Q76" s="120">
        <f t="shared" si="148"/>
        <v>0.32413175726231197</v>
      </c>
      <c r="R76" s="120">
        <f t="shared" si="148"/>
        <v>0.35208634133929551</v>
      </c>
      <c r="S76" s="120">
        <f t="shared" si="148"/>
        <v>0.32194168528551753</v>
      </c>
      <c r="T76" s="120">
        <f t="shared" si="148"/>
        <v>0.35907089107259554</v>
      </c>
      <c r="U76" s="120">
        <f t="shared" si="148"/>
        <v>0.24911584053609254</v>
      </c>
      <c r="V76" s="120">
        <f t="shared" si="148"/>
        <v>0.2084381302462725</v>
      </c>
      <c r="W76" s="120">
        <f t="shared" ref="W76" si="149">IF(W54=0,0,W54/W65)</f>
        <v>0.19799357489340488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0.26270547309327824</v>
      </c>
      <c r="C78" s="30">
        <f t="shared" si="141"/>
        <v>0.24958003424485004</v>
      </c>
      <c r="D78" s="30">
        <f t="shared" si="141"/>
        <v>0.24779257466486379</v>
      </c>
      <c r="E78" s="30">
        <f t="shared" si="141"/>
        <v>0.25990693435343654</v>
      </c>
      <c r="F78" s="30">
        <f t="shared" si="141"/>
        <v>0.25600121030597595</v>
      </c>
      <c r="G78" s="30">
        <f t="shared" si="141"/>
        <v>0.25164524710983893</v>
      </c>
      <c r="H78" s="30">
        <f t="shared" si="141"/>
        <v>0.27876940262488509</v>
      </c>
      <c r="I78" s="30">
        <f t="shared" si="141"/>
        <v>0.29346964350188826</v>
      </c>
      <c r="J78" s="30">
        <f t="shared" si="141"/>
        <v>0.2718686639702157</v>
      </c>
      <c r="K78" s="30">
        <f t="shared" ref="K78:V78" si="152">IF(K56=0,0,K56/K67)</f>
        <v>0.27049156152892972</v>
      </c>
      <c r="L78" s="30">
        <f t="shared" si="152"/>
        <v>0.29938824826277122</v>
      </c>
      <c r="M78" s="30">
        <f t="shared" si="152"/>
        <v>0.31000406671255759</v>
      </c>
      <c r="N78" s="30">
        <f t="shared" si="152"/>
        <v>0.2990819326744012</v>
      </c>
      <c r="O78" s="30">
        <f t="shared" si="152"/>
        <v>0.32600959893154596</v>
      </c>
      <c r="P78" s="30">
        <f t="shared" si="152"/>
        <v>0.32138199349421515</v>
      </c>
      <c r="Q78" s="30">
        <f t="shared" si="152"/>
        <v>0.29501587767291426</v>
      </c>
      <c r="R78" s="30">
        <f t="shared" si="152"/>
        <v>0.24057308949936329</v>
      </c>
      <c r="S78" s="30">
        <f t="shared" si="152"/>
        <v>0.24880435063317854</v>
      </c>
      <c r="T78" s="30">
        <f t="shared" si="152"/>
        <v>0.24209865541813996</v>
      </c>
      <c r="U78" s="30">
        <f t="shared" si="152"/>
        <v>0.20724314378188716</v>
      </c>
      <c r="V78" s="30">
        <f t="shared" si="152"/>
        <v>0.22088859553481141</v>
      </c>
      <c r="W78" s="30">
        <f t="shared" ref="W78" si="153">IF(W56=0,0,W56/W67)</f>
        <v>0.223389474549265</v>
      </c>
      <c r="DA78" s="173"/>
    </row>
    <row r="79" spans="1:105" ht="11.45" customHeight="1" x14ac:dyDescent="0.25">
      <c r="A79" s="83" t="s">
        <v>92</v>
      </c>
      <c r="B79" s="120">
        <f t="shared" si="141"/>
        <v>0.22695029311389425</v>
      </c>
      <c r="C79" s="120">
        <f t="shared" si="141"/>
        <v>0.21556235896973061</v>
      </c>
      <c r="D79" s="120">
        <f t="shared" si="141"/>
        <v>0.2141581405288932</v>
      </c>
      <c r="E79" s="120">
        <f t="shared" si="141"/>
        <v>0.22524596995107679</v>
      </c>
      <c r="F79" s="120">
        <f t="shared" si="141"/>
        <v>0.22159035319390635</v>
      </c>
      <c r="G79" s="120">
        <f t="shared" si="141"/>
        <v>0.21765766351979418</v>
      </c>
      <c r="H79" s="120">
        <f t="shared" si="141"/>
        <v>0.26138904569950439</v>
      </c>
      <c r="I79" s="120">
        <f t="shared" si="141"/>
        <v>0.26290962502651177</v>
      </c>
      <c r="J79" s="120">
        <f t="shared" si="141"/>
        <v>0.25415074052027042</v>
      </c>
      <c r="K79" s="120">
        <f t="shared" ref="K79:V79" si="154">IF(K57=0,0,K57/K68)</f>
        <v>0.24285672270483202</v>
      </c>
      <c r="L79" s="120">
        <f t="shared" si="154"/>
        <v>0.25268664820654718</v>
      </c>
      <c r="M79" s="120">
        <f t="shared" si="154"/>
        <v>0.28494503068040888</v>
      </c>
      <c r="N79" s="120">
        <f t="shared" si="154"/>
        <v>0.26654615076602056</v>
      </c>
      <c r="O79" s="120">
        <f t="shared" si="154"/>
        <v>0.33086956715930393</v>
      </c>
      <c r="P79" s="120">
        <f t="shared" si="154"/>
        <v>0.30480712637185603</v>
      </c>
      <c r="Q79" s="120">
        <f t="shared" si="154"/>
        <v>0.25420974697221083</v>
      </c>
      <c r="R79" s="120">
        <f t="shared" si="154"/>
        <v>0.27803717614434054</v>
      </c>
      <c r="S79" s="120">
        <f t="shared" si="154"/>
        <v>0.28356577454731297</v>
      </c>
      <c r="T79" s="120">
        <f t="shared" si="154"/>
        <v>0.28736533533412684</v>
      </c>
      <c r="U79" s="120">
        <f t="shared" si="154"/>
        <v>0.2528602969987232</v>
      </c>
      <c r="V79" s="120">
        <f t="shared" si="154"/>
        <v>0.24256122390251367</v>
      </c>
      <c r="W79" s="120">
        <f t="shared" ref="W79" si="155">IF(W57=0,0,W57/W68)</f>
        <v>0.23201931216955851</v>
      </c>
      <c r="DA79" s="171"/>
    </row>
    <row r="80" spans="1:105" ht="11.45" customHeight="1" x14ac:dyDescent="0.25">
      <c r="A80" s="85" t="s">
        <v>93</v>
      </c>
      <c r="B80" s="122">
        <f t="shared" si="141"/>
        <v>0.28286598241977579</v>
      </c>
      <c r="C80" s="122">
        <f t="shared" si="141"/>
        <v>0.26821138562261226</v>
      </c>
      <c r="D80" s="122">
        <f t="shared" si="141"/>
        <v>0.26802474858386449</v>
      </c>
      <c r="E80" s="122">
        <f t="shared" si="141"/>
        <v>0.27913047312153283</v>
      </c>
      <c r="F80" s="122">
        <f t="shared" si="141"/>
        <v>0.27571178127184431</v>
      </c>
      <c r="G80" s="122">
        <f t="shared" si="141"/>
        <v>0.26984323386432957</v>
      </c>
      <c r="H80" s="122">
        <f t="shared" si="141"/>
        <v>0.28623836058510627</v>
      </c>
      <c r="I80" s="122">
        <f t="shared" si="141"/>
        <v>0.30702715446279621</v>
      </c>
      <c r="J80" s="122">
        <f t="shared" si="141"/>
        <v>0.28509982060735212</v>
      </c>
      <c r="K80" s="122">
        <f t="shared" ref="K80:V80" si="156">IF(K58=0,0,K58/K69)</f>
        <v>0.28557070626187947</v>
      </c>
      <c r="L80" s="122">
        <f t="shared" si="156"/>
        <v>0.32721713069479563</v>
      </c>
      <c r="M80" s="122">
        <f t="shared" si="156"/>
        <v>0.32353704978844844</v>
      </c>
      <c r="N80" s="122">
        <f t="shared" si="156"/>
        <v>0.31906985048030645</v>
      </c>
      <c r="O80" s="122">
        <f t="shared" si="156"/>
        <v>0.32420176298343684</v>
      </c>
      <c r="P80" s="122">
        <f t="shared" si="156"/>
        <v>0.3271929304905446</v>
      </c>
      <c r="Q80" s="122">
        <f t="shared" si="156"/>
        <v>0.3149156104330455</v>
      </c>
      <c r="R80" s="122">
        <f t="shared" si="156"/>
        <v>0.23036578637287214</v>
      </c>
      <c r="S80" s="122">
        <f t="shared" si="156"/>
        <v>0.23972802200364762</v>
      </c>
      <c r="T80" s="122">
        <f t="shared" si="156"/>
        <v>0.2324548264624651</v>
      </c>
      <c r="U80" s="122">
        <f t="shared" si="156"/>
        <v>0.20061766369284539</v>
      </c>
      <c r="V80" s="122">
        <f t="shared" si="156"/>
        <v>0.21722674789286989</v>
      </c>
      <c r="W80" s="122">
        <f t="shared" ref="W80" si="157">IF(W58=0,0,W58/W69)</f>
        <v>0.22180672828077028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153583.26468005701</v>
      </c>
      <c r="C82" s="54">
        <f t="shared" si="158"/>
        <v>150449.54142482844</v>
      </c>
      <c r="D82" s="54">
        <f t="shared" si="158"/>
        <v>150560.3998141682</v>
      </c>
      <c r="E82" s="54">
        <f t="shared" si="158"/>
        <v>148169.20805115442</v>
      </c>
      <c r="F82" s="54">
        <f t="shared" si="158"/>
        <v>151762.27585553267</v>
      </c>
      <c r="G82" s="54">
        <f t="shared" si="158"/>
        <v>152526.07553362957</v>
      </c>
      <c r="H82" s="54">
        <f t="shared" si="158"/>
        <v>150572.64346558406</v>
      </c>
      <c r="I82" s="54">
        <f t="shared" si="158"/>
        <v>150478.92382251425</v>
      </c>
      <c r="J82" s="54">
        <f t="shared" si="158"/>
        <v>147549.93263725497</v>
      </c>
      <c r="K82" s="54">
        <f t="shared" ref="K82:V82" si="159">IF(K14=0,0,K14/K25*1000000)</f>
        <v>131938.38777382459</v>
      </c>
      <c r="L82" s="54">
        <f t="shared" si="159"/>
        <v>124887.8437432795</v>
      </c>
      <c r="M82" s="54">
        <f t="shared" si="159"/>
        <v>124194.12525695765</v>
      </c>
      <c r="N82" s="54">
        <f t="shared" si="159"/>
        <v>125384.47894947174</v>
      </c>
      <c r="O82" s="54">
        <f t="shared" si="159"/>
        <v>111755.04015593599</v>
      </c>
      <c r="P82" s="54">
        <f t="shared" si="159"/>
        <v>103135.94880549831</v>
      </c>
      <c r="Q82" s="54">
        <f t="shared" si="159"/>
        <v>128131.24731490492</v>
      </c>
      <c r="R82" s="54">
        <f t="shared" si="159"/>
        <v>138007.17779615178</v>
      </c>
      <c r="S82" s="54">
        <f t="shared" si="159"/>
        <v>137906.52049663715</v>
      </c>
      <c r="T82" s="54">
        <f t="shared" si="159"/>
        <v>136399.3555014618</v>
      </c>
      <c r="U82" s="54">
        <f t="shared" si="159"/>
        <v>139480.67594532119</v>
      </c>
      <c r="V82" s="54">
        <f t="shared" si="159"/>
        <v>127108.64941884353</v>
      </c>
      <c r="W82" s="54">
        <f t="shared" ref="W82" si="160">IF(W14=0,0,W14/W25*1000000)</f>
        <v>132546.21573343687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139592.01240259875</v>
      </c>
      <c r="C83" s="28">
        <f t="shared" si="161"/>
        <v>137053.11407950037</v>
      </c>
      <c r="D83" s="28">
        <f t="shared" si="161"/>
        <v>138273.98499289565</v>
      </c>
      <c r="E83" s="28">
        <f t="shared" si="161"/>
        <v>133591.8753906207</v>
      </c>
      <c r="F83" s="28">
        <f t="shared" si="161"/>
        <v>137388.18059741036</v>
      </c>
      <c r="G83" s="28">
        <f t="shared" si="161"/>
        <v>138106.17099443771</v>
      </c>
      <c r="H83" s="28">
        <f t="shared" si="161"/>
        <v>138209.12020304881</v>
      </c>
      <c r="I83" s="28">
        <f t="shared" si="161"/>
        <v>137677.88837845379</v>
      </c>
      <c r="J83" s="28">
        <f t="shared" si="161"/>
        <v>137571.35207186925</v>
      </c>
      <c r="K83" s="28">
        <f t="shared" ref="K83:V83" si="162">IF(K15=0,0,K15/K26*1000000)</f>
        <v>129996.47193950012</v>
      </c>
      <c r="L83" s="28">
        <f t="shared" si="162"/>
        <v>122028.17039495733</v>
      </c>
      <c r="M83" s="28">
        <f t="shared" si="162"/>
        <v>117306.82022366206</v>
      </c>
      <c r="N83" s="28">
        <f t="shared" si="162"/>
        <v>118965.0027326116</v>
      </c>
      <c r="O83" s="28">
        <f t="shared" si="162"/>
        <v>103554.37361669376</v>
      </c>
      <c r="P83" s="28">
        <f t="shared" si="162"/>
        <v>91427.277797901028</v>
      </c>
      <c r="Q83" s="28">
        <f t="shared" si="162"/>
        <v>118572.5071662369</v>
      </c>
      <c r="R83" s="28">
        <f t="shared" si="162"/>
        <v>128207.59252592298</v>
      </c>
      <c r="S83" s="28">
        <f t="shared" si="162"/>
        <v>128120.71615381492</v>
      </c>
      <c r="T83" s="28">
        <f t="shared" si="162"/>
        <v>126069.14113156234</v>
      </c>
      <c r="U83" s="28">
        <f t="shared" si="162"/>
        <v>129713.87841502286</v>
      </c>
      <c r="V83" s="28">
        <f t="shared" si="162"/>
        <v>113559.80039237555</v>
      </c>
      <c r="W83" s="28">
        <f t="shared" ref="W83" si="163">IF(W15=0,0,W15/W26*1000000)</f>
        <v>119816.95535275644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109999.997936275</v>
      </c>
      <c r="C84" s="108">
        <f t="shared" si="161"/>
        <v>109999.99856179378</v>
      </c>
      <c r="D84" s="108">
        <f t="shared" si="161"/>
        <v>109999.99886930599</v>
      </c>
      <c r="E84" s="108">
        <f t="shared" si="161"/>
        <v>109999.9990277185</v>
      </c>
      <c r="F84" s="108">
        <f t="shared" si="161"/>
        <v>108416.10013208455</v>
      </c>
      <c r="G84" s="108">
        <f t="shared" si="161"/>
        <v>109999.99901474141</v>
      </c>
      <c r="H84" s="108">
        <f t="shared" si="161"/>
        <v>109999.99874939851</v>
      </c>
      <c r="I84" s="108">
        <f t="shared" si="161"/>
        <v>109999.998044522</v>
      </c>
      <c r="J84" s="108">
        <f t="shared" si="161"/>
        <v>109999.99833849844</v>
      </c>
      <c r="K84" s="108">
        <f t="shared" ref="K84:V84" si="164">IF(K16=0,0,K16/K27*1000000)</f>
        <v>109999.99868638421</v>
      </c>
      <c r="L84" s="108">
        <f t="shared" si="164"/>
        <v>109999.99991420713</v>
      </c>
      <c r="M84" s="108">
        <f t="shared" si="164"/>
        <v>109999.9993489148</v>
      </c>
      <c r="N84" s="108">
        <f t="shared" si="164"/>
        <v>109999.99939175237</v>
      </c>
      <c r="O84" s="108">
        <f t="shared" si="164"/>
        <v>109999.99982114426</v>
      </c>
      <c r="P84" s="108">
        <f t="shared" si="164"/>
        <v>84356.441548744464</v>
      </c>
      <c r="Q84" s="108">
        <f t="shared" si="164"/>
        <v>91712.698795400589</v>
      </c>
      <c r="R84" s="108">
        <f t="shared" si="164"/>
        <v>107415.97658996398</v>
      </c>
      <c r="S84" s="108">
        <f t="shared" si="164"/>
        <v>109999.99984284218</v>
      </c>
      <c r="T84" s="108">
        <f t="shared" si="164"/>
        <v>109999.99961525637</v>
      </c>
      <c r="U84" s="108">
        <f t="shared" si="164"/>
        <v>109999.99979161381</v>
      </c>
      <c r="V84" s="108">
        <f t="shared" si="164"/>
        <v>89052.374160695093</v>
      </c>
      <c r="W84" s="108">
        <f t="shared" ref="W84" si="165">IF(W16=0,0,W16/W27*1000000)</f>
        <v>89952.851017917317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149999.99800939343</v>
      </c>
      <c r="C85" s="110">
        <f t="shared" si="161"/>
        <v>148157.70819513881</v>
      </c>
      <c r="D85" s="110">
        <f t="shared" si="161"/>
        <v>148777.44312053639</v>
      </c>
      <c r="E85" s="110">
        <f t="shared" si="161"/>
        <v>144308.9591415381</v>
      </c>
      <c r="F85" s="110">
        <f t="shared" si="161"/>
        <v>149999.99880582644</v>
      </c>
      <c r="G85" s="110">
        <f t="shared" si="161"/>
        <v>149999.99952474973</v>
      </c>
      <c r="H85" s="110">
        <f t="shared" si="161"/>
        <v>149999.99930130335</v>
      </c>
      <c r="I85" s="110">
        <f t="shared" si="161"/>
        <v>149999.99885409753</v>
      </c>
      <c r="J85" s="110">
        <f t="shared" si="161"/>
        <v>149999.99894992376</v>
      </c>
      <c r="K85" s="110">
        <f t="shared" ref="K85:V85" si="166">IF(K17=0,0,K17/K28*1000000)</f>
        <v>141598.45571736328</v>
      </c>
      <c r="L85" s="110">
        <f t="shared" si="166"/>
        <v>132117.30142739599</v>
      </c>
      <c r="M85" s="110">
        <f t="shared" si="166"/>
        <v>123670.06991666921</v>
      </c>
      <c r="N85" s="110">
        <f t="shared" si="166"/>
        <v>127456.72340819659</v>
      </c>
      <c r="O85" s="110">
        <f t="shared" si="166"/>
        <v>96787.601415992423</v>
      </c>
      <c r="P85" s="110">
        <f t="shared" si="166"/>
        <v>99469.612817317538</v>
      </c>
      <c r="Q85" s="110">
        <f t="shared" si="166"/>
        <v>143842.57555857534</v>
      </c>
      <c r="R85" s="110">
        <f t="shared" si="166"/>
        <v>148816.06162184483</v>
      </c>
      <c r="S85" s="110">
        <f t="shared" si="166"/>
        <v>149999.9997710571</v>
      </c>
      <c r="T85" s="110">
        <f t="shared" si="166"/>
        <v>147044.75659418307</v>
      </c>
      <c r="U85" s="110">
        <f t="shared" si="166"/>
        <v>149999.99849815367</v>
      </c>
      <c r="V85" s="110">
        <f t="shared" si="166"/>
        <v>140419.92444408199</v>
      </c>
      <c r="W85" s="110">
        <f t="shared" ref="W85" si="167">IF(W17=0,0,W17/W28*1000000)</f>
        <v>149999.99796073817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149999.99758316655</v>
      </c>
      <c r="C86" s="84">
        <f t="shared" si="161"/>
        <v>144447.00664203422</v>
      </c>
      <c r="D86" s="84">
        <f t="shared" si="161"/>
        <v>145588.57126000212</v>
      </c>
      <c r="E86" s="84">
        <f t="shared" si="161"/>
        <v>137337.44914504961</v>
      </c>
      <c r="F86" s="84">
        <f t="shared" si="161"/>
        <v>149999.99569168355</v>
      </c>
      <c r="G86" s="84">
        <f t="shared" si="161"/>
        <v>149999.99954716634</v>
      </c>
      <c r="H86" s="84">
        <f t="shared" si="161"/>
        <v>149999.99886585632</v>
      </c>
      <c r="I86" s="84">
        <f t="shared" si="161"/>
        <v>149999.99763517221</v>
      </c>
      <c r="J86" s="84">
        <f t="shared" si="161"/>
        <v>149999.99903083727</v>
      </c>
      <c r="K86" s="84">
        <f t="shared" ref="K86:V86" si="168">IF(K18=0,0,K18/K29*1000000)</f>
        <v>121299.11971622979</v>
      </c>
      <c r="L86" s="84">
        <f t="shared" si="168"/>
        <v>149999.99770755632</v>
      </c>
      <c r="M86" s="84">
        <f t="shared" si="168"/>
        <v>149999.99779022398</v>
      </c>
      <c r="N86" s="84">
        <f t="shared" si="168"/>
        <v>149999.99925160545</v>
      </c>
      <c r="O86" s="84">
        <f t="shared" si="168"/>
        <v>119195.01561937865</v>
      </c>
      <c r="P86" s="84">
        <f t="shared" si="168"/>
        <v>94778.111864558508</v>
      </c>
      <c r="Q86" s="84">
        <f t="shared" si="168"/>
        <v>130669.54778444492</v>
      </c>
      <c r="R86" s="84">
        <f t="shared" si="168"/>
        <v>149999.99969550193</v>
      </c>
      <c r="S86" s="84">
        <f t="shared" si="168"/>
        <v>149999.99947033997</v>
      </c>
      <c r="T86" s="84">
        <f t="shared" si="168"/>
        <v>140247.93318672822</v>
      </c>
      <c r="U86" s="84">
        <f t="shared" si="168"/>
        <v>149999.99584419295</v>
      </c>
      <c r="V86" s="84">
        <f t="shared" si="168"/>
        <v>130043.63252867384</v>
      </c>
      <c r="W86" s="84">
        <f t="shared" ref="W86" si="169">IF(W18=0,0,W18/W29*1000000)</f>
        <v>149999.99368294398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149999.99825631862</v>
      </c>
      <c r="C87" s="84">
        <f t="shared" si="161"/>
        <v>149999.99959759181</v>
      </c>
      <c r="D87" s="84">
        <f t="shared" si="161"/>
        <v>149999.99969086703</v>
      </c>
      <c r="E87" s="84">
        <f t="shared" si="161"/>
        <v>146858.52073154144</v>
      </c>
      <c r="F87" s="84">
        <f t="shared" si="161"/>
        <v>149999.99995111101</v>
      </c>
      <c r="G87" s="84">
        <f t="shared" si="161"/>
        <v>149999.99951502032</v>
      </c>
      <c r="H87" s="84">
        <f t="shared" si="161"/>
        <v>149999.99952622823</v>
      </c>
      <c r="I87" s="84">
        <f t="shared" si="161"/>
        <v>149999.99943658634</v>
      </c>
      <c r="J87" s="84">
        <f t="shared" si="161"/>
        <v>149999.99890318266</v>
      </c>
      <c r="K87" s="84">
        <f t="shared" ref="K87:V87" si="170">IF(K19=0,0,K19/K30*1000000)</f>
        <v>149999.99860812817</v>
      </c>
      <c r="L87" s="84">
        <f t="shared" si="170"/>
        <v>124835.76657974946</v>
      </c>
      <c r="M87" s="84">
        <f t="shared" si="170"/>
        <v>112447.00326881991</v>
      </c>
      <c r="N87" s="84">
        <f t="shared" si="170"/>
        <v>112031.0319283992</v>
      </c>
      <c r="O87" s="84">
        <f t="shared" si="170"/>
        <v>81173.279897045679</v>
      </c>
      <c r="P87" s="84">
        <f t="shared" si="170"/>
        <v>102813.82603259585</v>
      </c>
      <c r="Q87" s="84">
        <f t="shared" si="170"/>
        <v>149999.99868756166</v>
      </c>
      <c r="R87" s="84">
        <f t="shared" si="170"/>
        <v>148241.08948585656</v>
      </c>
      <c r="S87" s="84">
        <f t="shared" si="170"/>
        <v>149999.9999146997</v>
      </c>
      <c r="T87" s="84">
        <f t="shared" si="170"/>
        <v>149999.99953709479</v>
      </c>
      <c r="U87" s="84">
        <f t="shared" si="170"/>
        <v>149999.99915554895</v>
      </c>
      <c r="V87" s="84">
        <f t="shared" si="170"/>
        <v>142726.83303054076</v>
      </c>
      <c r="W87" s="84">
        <f t="shared" ref="W87" si="171">IF(W19=0,0,W19/W30*1000000)</f>
        <v>149999.99878424054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199999.9979779495</v>
      </c>
      <c r="C89" s="28">
        <f t="shared" si="161"/>
        <v>199999.99224053475</v>
      </c>
      <c r="D89" s="28">
        <f t="shared" si="161"/>
        <v>199999.99718865764</v>
      </c>
      <c r="E89" s="28">
        <f t="shared" si="161"/>
        <v>199999.99602783527</v>
      </c>
      <c r="F89" s="28">
        <f t="shared" si="161"/>
        <v>199999.99444599202</v>
      </c>
      <c r="G89" s="28">
        <f t="shared" si="161"/>
        <v>199999.99848846148</v>
      </c>
      <c r="H89" s="28">
        <f t="shared" si="161"/>
        <v>194214.9729826891</v>
      </c>
      <c r="I89" s="28">
        <f t="shared" si="161"/>
        <v>198373.67189057887</v>
      </c>
      <c r="J89" s="28">
        <f t="shared" si="161"/>
        <v>187605.83705008906</v>
      </c>
      <c r="K89" s="28">
        <f t="shared" ref="K89:V89" si="174">IF(K21=0,0,K21/K32*1000000)</f>
        <v>142711.70589641307</v>
      </c>
      <c r="L89" s="28">
        <f t="shared" si="174"/>
        <v>144282.93479324787</v>
      </c>
      <c r="M89" s="28">
        <f t="shared" si="174"/>
        <v>175787.13700403238</v>
      </c>
      <c r="N89" s="28">
        <f t="shared" si="174"/>
        <v>187633.10741766432</v>
      </c>
      <c r="O89" s="28">
        <f t="shared" si="174"/>
        <v>183761.58866659534</v>
      </c>
      <c r="P89" s="28">
        <f t="shared" si="174"/>
        <v>199224.44253287627</v>
      </c>
      <c r="Q89" s="28">
        <f t="shared" si="174"/>
        <v>199999.99209326497</v>
      </c>
      <c r="R89" s="28">
        <f t="shared" si="174"/>
        <v>196703.14996835415</v>
      </c>
      <c r="S89" s="28">
        <f t="shared" si="174"/>
        <v>199999.99480678921</v>
      </c>
      <c r="T89" s="28">
        <f t="shared" si="174"/>
        <v>199999.99828943537</v>
      </c>
      <c r="U89" s="28">
        <f t="shared" si="174"/>
        <v>199999.99623270932</v>
      </c>
      <c r="V89" s="28">
        <f t="shared" si="174"/>
        <v>199999.99571263572</v>
      </c>
      <c r="W89" s="28">
        <f t="shared" ref="W89" si="175">IF(W21=0,0,W21/W32*1000000)</f>
        <v>199999.99709465099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199999.99732786114</v>
      </c>
      <c r="C90" s="84">
        <f t="shared" si="161"/>
        <v>199999.9891182686</v>
      </c>
      <c r="D90" s="84">
        <f t="shared" si="161"/>
        <v>199999.99734653381</v>
      </c>
      <c r="E90" s="84">
        <f t="shared" si="161"/>
        <v>199999.99607219524</v>
      </c>
      <c r="F90" s="84">
        <f t="shared" si="161"/>
        <v>199999.98978388513</v>
      </c>
      <c r="G90" s="84">
        <f t="shared" si="161"/>
        <v>199999.99964531357</v>
      </c>
      <c r="H90" s="84">
        <f t="shared" si="161"/>
        <v>181966.94282094113</v>
      </c>
      <c r="I90" s="84">
        <f t="shared" si="161"/>
        <v>194803.02708520583</v>
      </c>
      <c r="J90" s="84">
        <f t="shared" si="161"/>
        <v>199999.99946335025</v>
      </c>
      <c r="K90" s="84">
        <f t="shared" ref="K90:V90" si="176">IF(K22=0,0,K22/K33*1000000)</f>
        <v>124012.80495514827</v>
      </c>
      <c r="L90" s="84">
        <f t="shared" si="176"/>
        <v>130429.80044136923</v>
      </c>
      <c r="M90" s="84">
        <f t="shared" si="176"/>
        <v>146000.67865741649</v>
      </c>
      <c r="N90" s="84">
        <f t="shared" si="176"/>
        <v>170474.4456811545</v>
      </c>
      <c r="O90" s="84">
        <f t="shared" si="176"/>
        <v>150838.52783699843</v>
      </c>
      <c r="P90" s="84">
        <f t="shared" si="176"/>
        <v>197044.9777726708</v>
      </c>
      <c r="Q90" s="84">
        <f t="shared" si="176"/>
        <v>199999.99522361139</v>
      </c>
      <c r="R90" s="84">
        <f t="shared" si="176"/>
        <v>185481.09798446667</v>
      </c>
      <c r="S90" s="84">
        <f t="shared" si="176"/>
        <v>199999.99402614351</v>
      </c>
      <c r="T90" s="84">
        <f t="shared" si="176"/>
        <v>199999.99482913694</v>
      </c>
      <c r="U90" s="84">
        <f t="shared" si="176"/>
        <v>199999.99768014031</v>
      </c>
      <c r="V90" s="84">
        <f t="shared" si="176"/>
        <v>199999.98998913335</v>
      </c>
      <c r="W90" s="84">
        <f t="shared" ref="W90" si="177">IF(W22=0,0,W22/W33*1000000)</f>
        <v>199999.98605535342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199999.99834450096</v>
      </c>
      <c r="C91" s="86">
        <f t="shared" si="161"/>
        <v>199999.99395058808</v>
      </c>
      <c r="D91" s="86">
        <f t="shared" si="161"/>
        <v>199999.99709369015</v>
      </c>
      <c r="E91" s="86">
        <f t="shared" si="161"/>
        <v>199999.99600323249</v>
      </c>
      <c r="F91" s="86">
        <f t="shared" si="161"/>
        <v>199999.9971164513</v>
      </c>
      <c r="G91" s="86">
        <f t="shared" si="161"/>
        <v>199999.99786904763</v>
      </c>
      <c r="H91" s="86">
        <f t="shared" si="161"/>
        <v>199999.99556472545</v>
      </c>
      <c r="I91" s="86">
        <f t="shared" si="161"/>
        <v>199999.99670840128</v>
      </c>
      <c r="J91" s="86">
        <f t="shared" si="161"/>
        <v>179307.873216901</v>
      </c>
      <c r="K91" s="86">
        <f t="shared" ref="K91:V91" si="178">IF(K23=0,0,K23/K34*1000000)</f>
        <v>155506.00464653468</v>
      </c>
      <c r="L91" s="86">
        <f t="shared" si="178"/>
        <v>154031.59743248529</v>
      </c>
      <c r="M91" s="86">
        <f t="shared" si="178"/>
        <v>197553.05123096157</v>
      </c>
      <c r="N91" s="86">
        <f t="shared" si="178"/>
        <v>199999.99512674514</v>
      </c>
      <c r="O91" s="86">
        <f t="shared" si="178"/>
        <v>199999.99855811705</v>
      </c>
      <c r="P91" s="86">
        <f t="shared" si="178"/>
        <v>199999.99391273412</v>
      </c>
      <c r="Q91" s="86">
        <f t="shared" si="178"/>
        <v>199999.99056670372</v>
      </c>
      <c r="R91" s="86">
        <f t="shared" si="178"/>
        <v>199999.99447737832</v>
      </c>
      <c r="S91" s="86">
        <f t="shared" si="178"/>
        <v>199999.99501061856</v>
      </c>
      <c r="T91" s="86">
        <f t="shared" si="178"/>
        <v>199999.99902663386</v>
      </c>
      <c r="U91" s="86">
        <f t="shared" si="178"/>
        <v>199999.99602248304</v>
      </c>
      <c r="V91" s="86">
        <f t="shared" si="178"/>
        <v>199999.99667968936</v>
      </c>
      <c r="W91" s="86">
        <f t="shared" ref="W91" si="179">IF(W23=0,0,W23/W34*1000000)</f>
        <v>199999.99911930182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23367308.97619772</v>
      </c>
      <c r="C94" s="28">
        <f t="shared" si="180"/>
        <v>20005756.4988272</v>
      </c>
      <c r="D94" s="28">
        <f t="shared" si="180"/>
        <v>16959142.848028455</v>
      </c>
      <c r="E94" s="28">
        <f t="shared" si="180"/>
        <v>17481255.021385726</v>
      </c>
      <c r="F94" s="28">
        <f t="shared" si="180"/>
        <v>17486124.846012659</v>
      </c>
      <c r="G94" s="28">
        <f t="shared" si="180"/>
        <v>17553108.49042863</v>
      </c>
      <c r="H94" s="28">
        <f t="shared" si="180"/>
        <v>17053743.772197511</v>
      </c>
      <c r="I94" s="28">
        <f t="shared" si="180"/>
        <v>17749945.574938569</v>
      </c>
      <c r="J94" s="28">
        <f t="shared" si="180"/>
        <v>15936742.809273988</v>
      </c>
      <c r="K94" s="28">
        <f t="shared" ref="K94:V94" si="181">IF(K4=0,0,K4/K26*1000000)</f>
        <v>13130009.483667396</v>
      </c>
      <c r="L94" s="28">
        <f t="shared" si="181"/>
        <v>13091256.174083482</v>
      </c>
      <c r="M94" s="28">
        <f t="shared" si="181"/>
        <v>13605676.865852168</v>
      </c>
      <c r="N94" s="28">
        <f t="shared" si="181"/>
        <v>12082075.975237582</v>
      </c>
      <c r="O94" s="28">
        <f t="shared" si="181"/>
        <v>12496055.091191674</v>
      </c>
      <c r="P94" s="28">
        <f t="shared" si="181"/>
        <v>11562647.172739102</v>
      </c>
      <c r="Q94" s="28">
        <f t="shared" si="181"/>
        <v>10337103.615336383</v>
      </c>
      <c r="R94" s="28">
        <f t="shared" si="181"/>
        <v>10967373.084507829</v>
      </c>
      <c r="S94" s="28">
        <f t="shared" si="181"/>
        <v>10490328.731753148</v>
      </c>
      <c r="T94" s="28">
        <f t="shared" si="181"/>
        <v>11060663.706592353</v>
      </c>
      <c r="U94" s="28">
        <f t="shared" si="181"/>
        <v>9266353.7238295022</v>
      </c>
      <c r="V94" s="28">
        <f t="shared" si="181"/>
        <v>6923815.4889260354</v>
      </c>
      <c r="W94" s="28">
        <f t="shared" ref="W94" si="182">IF(W4=0,0,W4/W26*1000000)</f>
        <v>7425143.7441105209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9670630.7790096998</v>
      </c>
      <c r="C95" s="108">
        <f t="shared" si="180"/>
        <v>9320878.9696187638</v>
      </c>
      <c r="D95" s="108">
        <f t="shared" si="180"/>
        <v>8997496.46724445</v>
      </c>
      <c r="E95" s="108">
        <f t="shared" si="180"/>
        <v>9057002.2563676182</v>
      </c>
      <c r="F95" s="108">
        <f t="shared" si="180"/>
        <v>8919985.7612700015</v>
      </c>
      <c r="G95" s="108">
        <f t="shared" si="180"/>
        <v>9075513.6055854969</v>
      </c>
      <c r="H95" s="108">
        <f t="shared" si="180"/>
        <v>9031464.1631502006</v>
      </c>
      <c r="I95" s="108">
        <f t="shared" si="180"/>
        <v>8965782.2438572142</v>
      </c>
      <c r="J95" s="108">
        <f t="shared" si="180"/>
        <v>8893012.1235909127</v>
      </c>
      <c r="K95" s="108">
        <f t="shared" ref="K95:V95" si="183">IF(K5=0,0,K5/K27*1000000)</f>
        <v>8705925.4300031196</v>
      </c>
      <c r="L95" s="108">
        <f t="shared" si="183"/>
        <v>8698555.0207289252</v>
      </c>
      <c r="M95" s="108">
        <f t="shared" si="183"/>
        <v>8695861.4191623889</v>
      </c>
      <c r="N95" s="108">
        <f t="shared" si="183"/>
        <v>8766191.1658261623</v>
      </c>
      <c r="O95" s="108">
        <f t="shared" si="183"/>
        <v>8704714.669967724</v>
      </c>
      <c r="P95" s="108">
        <f t="shared" si="183"/>
        <v>6526622.1274693161</v>
      </c>
      <c r="Q95" s="108">
        <f t="shared" si="183"/>
        <v>6896914.3974073017</v>
      </c>
      <c r="R95" s="108">
        <f t="shared" si="183"/>
        <v>7910243.8317617122</v>
      </c>
      <c r="S95" s="108">
        <f t="shared" si="183"/>
        <v>8195311.0826348308</v>
      </c>
      <c r="T95" s="108">
        <f t="shared" si="183"/>
        <v>8275864.7622709414</v>
      </c>
      <c r="U95" s="108">
        <f t="shared" si="183"/>
        <v>7481728.2212960618</v>
      </c>
      <c r="V95" s="108">
        <f t="shared" si="183"/>
        <v>5053322.2166103488</v>
      </c>
      <c r="W95" s="108">
        <f t="shared" ref="W95" si="184">IF(W5=0,0,W5/W27*1000000)</f>
        <v>5672744.7984144753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28184650.144351766</v>
      </c>
      <c r="C96" s="110">
        <f t="shared" si="180"/>
        <v>24391618.380779628</v>
      </c>
      <c r="D96" s="110">
        <f t="shared" si="180"/>
        <v>19916802.196876947</v>
      </c>
      <c r="E96" s="110">
        <f t="shared" si="180"/>
        <v>21308141.066090744</v>
      </c>
      <c r="F96" s="110">
        <f t="shared" si="180"/>
        <v>21215045.487872664</v>
      </c>
      <c r="G96" s="110">
        <f t="shared" si="180"/>
        <v>21140614.465365898</v>
      </c>
      <c r="H96" s="110">
        <f t="shared" si="180"/>
        <v>20406904.88067399</v>
      </c>
      <c r="I96" s="110">
        <f t="shared" si="180"/>
        <v>21660627.700482894</v>
      </c>
      <c r="J96" s="110">
        <f t="shared" si="180"/>
        <v>19111923.91365746</v>
      </c>
      <c r="K96" s="110">
        <f t="shared" ref="K96:V96" si="185">IF(K6=0,0,K6/K28*1000000)</f>
        <v>15696869.688104594</v>
      </c>
      <c r="L96" s="110">
        <f t="shared" si="185"/>
        <v>16775817.977847876</v>
      </c>
      <c r="M96" s="110">
        <f t="shared" si="185"/>
        <v>17881460.023729451</v>
      </c>
      <c r="N96" s="110">
        <f t="shared" si="185"/>
        <v>15222907.776783621</v>
      </c>
      <c r="O96" s="110">
        <f t="shared" si="185"/>
        <v>16476294.737732043</v>
      </c>
      <c r="P96" s="110">
        <f t="shared" si="185"/>
        <v>17290597.750729479</v>
      </c>
      <c r="Q96" s="110">
        <f t="shared" si="185"/>
        <v>13573679.826879414</v>
      </c>
      <c r="R96" s="110">
        <f t="shared" si="185"/>
        <v>13997573.042101979</v>
      </c>
      <c r="S96" s="110">
        <f t="shared" si="185"/>
        <v>13261374.930474885</v>
      </c>
      <c r="T96" s="110">
        <f t="shared" si="185"/>
        <v>14695759.69087529</v>
      </c>
      <c r="U96" s="110">
        <f t="shared" si="185"/>
        <v>11102782.157796932</v>
      </c>
      <c r="V96" s="110">
        <f t="shared" si="185"/>
        <v>8973874.963034939</v>
      </c>
      <c r="W96" s="110">
        <f t="shared" ref="W96" si="186">IF(W6=0,0,W6/W28*1000000)</f>
        <v>9196257.702563379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18962867.665309757</v>
      </c>
      <c r="C97" s="84">
        <f t="shared" si="180"/>
        <v>15777661.663020385</v>
      </c>
      <c r="D97" s="84">
        <f t="shared" si="180"/>
        <v>13775232.846703749</v>
      </c>
      <c r="E97" s="84">
        <f t="shared" si="180"/>
        <v>13327753.42509851</v>
      </c>
      <c r="F97" s="84">
        <f t="shared" si="180"/>
        <v>14505947.641747788</v>
      </c>
      <c r="G97" s="84">
        <f t="shared" si="180"/>
        <v>14735297.464533843</v>
      </c>
      <c r="H97" s="84">
        <f t="shared" si="180"/>
        <v>13997793.57996159</v>
      </c>
      <c r="I97" s="84">
        <f t="shared" si="180"/>
        <v>14059216.79812791</v>
      </c>
      <c r="J97" s="84">
        <f t="shared" si="180"/>
        <v>14315102.078376865</v>
      </c>
      <c r="K97" s="84">
        <f t="shared" ref="K97:V97" si="187">IF(K7=0,0,K7/K29*1000000)</f>
        <v>11310221.831105301</v>
      </c>
      <c r="L97" s="84">
        <f t="shared" si="187"/>
        <v>14251891.436535809</v>
      </c>
      <c r="M97" s="84">
        <f t="shared" si="187"/>
        <v>14847487.216839708</v>
      </c>
      <c r="N97" s="84">
        <f t="shared" si="187"/>
        <v>13586883.259165395</v>
      </c>
      <c r="O97" s="84">
        <f t="shared" si="187"/>
        <v>12995964.402484741</v>
      </c>
      <c r="P97" s="84">
        <f t="shared" si="187"/>
        <v>9391062.5815744642</v>
      </c>
      <c r="Q97" s="84">
        <f t="shared" si="187"/>
        <v>9327784.2524825819</v>
      </c>
      <c r="R97" s="84">
        <f t="shared" si="187"/>
        <v>8428884.024925271</v>
      </c>
      <c r="S97" s="84">
        <f t="shared" si="187"/>
        <v>8672766.8828335386</v>
      </c>
      <c r="T97" s="84">
        <f t="shared" si="187"/>
        <v>8854782.9898726791</v>
      </c>
      <c r="U97" s="84">
        <f t="shared" si="187"/>
        <v>7651970.0047536632</v>
      </c>
      <c r="V97" s="84">
        <f t="shared" si="187"/>
        <v>6517859.1903857915</v>
      </c>
      <c r="W97" s="84">
        <f t="shared" ref="W97" si="188">IF(W7=0,0,W7/W29*1000000)</f>
        <v>7599251.1899808599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33527087.024227981</v>
      </c>
      <c r="C98" s="84">
        <f t="shared" si="180"/>
        <v>28668280.940438431</v>
      </c>
      <c r="D98" s="84">
        <f t="shared" si="180"/>
        <v>22271370.297941275</v>
      </c>
      <c r="E98" s="84">
        <f t="shared" si="180"/>
        <v>24226660.843450263</v>
      </c>
      <c r="F98" s="84">
        <f t="shared" si="180"/>
        <v>23682442.231282201</v>
      </c>
      <c r="G98" s="84">
        <f t="shared" si="180"/>
        <v>23920695.487065684</v>
      </c>
      <c r="H98" s="84">
        <f t="shared" si="180"/>
        <v>23717452.985938717</v>
      </c>
      <c r="I98" s="84">
        <f t="shared" si="180"/>
        <v>25293119.78523669</v>
      </c>
      <c r="J98" s="84">
        <f t="shared" si="180"/>
        <v>21882891.372545913</v>
      </c>
      <c r="K98" s="84">
        <f t="shared" ref="K98:V98" si="189">IF(K8=0,0,K8/K30*1000000)</f>
        <v>17512427.109056864</v>
      </c>
      <c r="L98" s="84">
        <f t="shared" si="189"/>
        <v>17803518.654275127</v>
      </c>
      <c r="M98" s="84">
        <f t="shared" si="189"/>
        <v>19174683.430303447</v>
      </c>
      <c r="N98" s="84">
        <f t="shared" si="189"/>
        <v>16342390.572339345</v>
      </c>
      <c r="O98" s="84">
        <f t="shared" si="189"/>
        <v>18901518.654844385</v>
      </c>
      <c r="P98" s="84">
        <f t="shared" si="189"/>
        <v>22921573.886779927</v>
      </c>
      <c r="Q98" s="84">
        <f t="shared" si="189"/>
        <v>15558324.212462032</v>
      </c>
      <c r="R98" s="84">
        <f t="shared" si="189"/>
        <v>16701972.106632428</v>
      </c>
      <c r="S98" s="84">
        <f t="shared" si="189"/>
        <v>15453200.884917092</v>
      </c>
      <c r="T98" s="84">
        <f t="shared" si="189"/>
        <v>17235402.718295533</v>
      </c>
      <c r="U98" s="84">
        <f t="shared" si="189"/>
        <v>11957560.278415278</v>
      </c>
      <c r="V98" s="84">
        <f t="shared" si="189"/>
        <v>9519908.5481145103</v>
      </c>
      <c r="W98" s="84">
        <f t="shared" ref="W98" si="190">IF(W8=0,0,W8/W30*1000000)</f>
        <v>9503691.5178554151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110336297.58364904</v>
      </c>
      <c r="C100" s="28">
        <f t="shared" si="180"/>
        <v>104823610.31596105</v>
      </c>
      <c r="D100" s="28">
        <f t="shared" si="180"/>
        <v>104072879.89632028</v>
      </c>
      <c r="E100" s="28">
        <f t="shared" si="180"/>
        <v>109160910.2604177</v>
      </c>
      <c r="F100" s="28">
        <f t="shared" si="180"/>
        <v>107520505.3426611</v>
      </c>
      <c r="G100" s="28">
        <f t="shared" si="180"/>
        <v>105691002.98735221</v>
      </c>
      <c r="H100" s="28">
        <f t="shared" si="180"/>
        <v>113696503.19830413</v>
      </c>
      <c r="I100" s="28">
        <f t="shared" si="180"/>
        <v>122254966.6167663</v>
      </c>
      <c r="J100" s="28">
        <f t="shared" si="180"/>
        <v>107108711.37082557</v>
      </c>
      <c r="K100" s="28">
        <f t="shared" ref="K100:V100" si="193">IF(K10=0,0,K10/K32*1000000)</f>
        <v>81064855.570394099</v>
      </c>
      <c r="L100" s="28">
        <f t="shared" si="193"/>
        <v>90712891.714120448</v>
      </c>
      <c r="M100" s="28">
        <f t="shared" si="193"/>
        <v>114438927.42871587</v>
      </c>
      <c r="N100" s="28">
        <f t="shared" si="193"/>
        <v>117847112.04037499</v>
      </c>
      <c r="O100" s="28">
        <f t="shared" si="193"/>
        <v>125806887.82246298</v>
      </c>
      <c r="P100" s="28">
        <f t="shared" si="193"/>
        <v>134457011.83737794</v>
      </c>
      <c r="Q100" s="28">
        <f t="shared" si="193"/>
        <v>123906663.72413801</v>
      </c>
      <c r="R100" s="28">
        <f t="shared" si="193"/>
        <v>99375117.45450145</v>
      </c>
      <c r="S100" s="28">
        <f t="shared" si="193"/>
        <v>104497824.55253875</v>
      </c>
      <c r="T100" s="28">
        <f t="shared" si="193"/>
        <v>101681434.40595548</v>
      </c>
      <c r="U100" s="28">
        <f t="shared" si="193"/>
        <v>87042118.74882777</v>
      </c>
      <c r="V100" s="28">
        <f t="shared" si="193"/>
        <v>92773208.135858059</v>
      </c>
      <c r="W100" s="28">
        <f t="shared" ref="W100" si="194">IF(W10=0,0,W10/W32*1000000)</f>
        <v>93823577.947740093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95319121.834305912</v>
      </c>
      <c r="C101" s="84">
        <f t="shared" si="180"/>
        <v>90536185.841334313</v>
      </c>
      <c r="D101" s="84">
        <f t="shared" si="180"/>
        <v>89946417.828786254</v>
      </c>
      <c r="E101" s="84">
        <f t="shared" si="180"/>
        <v>94603305.52153565</v>
      </c>
      <c r="F101" s="84">
        <f t="shared" si="180"/>
        <v>93067943.587476417</v>
      </c>
      <c r="G101" s="84">
        <f t="shared" si="180"/>
        <v>91416218.516193092</v>
      </c>
      <c r="H101" s="84">
        <f t="shared" si="180"/>
        <v>99884747.618926376</v>
      </c>
      <c r="I101" s="84">
        <f t="shared" si="180"/>
        <v>107552740.69050187</v>
      </c>
      <c r="J101" s="84">
        <f t="shared" si="180"/>
        <v>106743310.73209472</v>
      </c>
      <c r="K101" s="84">
        <f t="shared" ref="K101:V101" si="195">IF(K11=0,0,K11/K33*1000000)</f>
        <v>63246421.108165815</v>
      </c>
      <c r="L101" s="84">
        <f t="shared" si="195"/>
        <v>69211525.109534681</v>
      </c>
      <c r="M101" s="84">
        <f t="shared" si="195"/>
        <v>87364552.504735917</v>
      </c>
      <c r="N101" s="84">
        <f t="shared" si="195"/>
        <v>95422545.330593884</v>
      </c>
      <c r="O101" s="84">
        <f t="shared" si="195"/>
        <v>104806544.67438604</v>
      </c>
      <c r="P101" s="84">
        <f t="shared" si="195"/>
        <v>126127498.22587746</v>
      </c>
      <c r="Q101" s="84">
        <f t="shared" si="195"/>
        <v>106768091.17849901</v>
      </c>
      <c r="R101" s="84">
        <f t="shared" si="195"/>
        <v>108298345.494681</v>
      </c>
      <c r="S101" s="84">
        <f t="shared" si="195"/>
        <v>119097621.75251085</v>
      </c>
      <c r="T101" s="84">
        <f t="shared" si="195"/>
        <v>120693437.719887</v>
      </c>
      <c r="U101" s="84">
        <f t="shared" si="195"/>
        <v>106201323.50760289</v>
      </c>
      <c r="V101" s="84">
        <f t="shared" si="195"/>
        <v>101875708.9397348</v>
      </c>
      <c r="W101" s="84">
        <f t="shared" ref="W101" si="196">IF(W11=0,0,W11/W33*1000000)</f>
        <v>97448104.316817239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118803711.63290866</v>
      </c>
      <c r="C102" s="86">
        <f t="shared" si="180"/>
        <v>112648778.55420272</v>
      </c>
      <c r="D102" s="86">
        <f t="shared" si="180"/>
        <v>112570392.76940084</v>
      </c>
      <c r="E102" s="86">
        <f t="shared" si="180"/>
        <v>117234796.36824261</v>
      </c>
      <c r="F102" s="86">
        <f t="shared" si="180"/>
        <v>115798946.46461511</v>
      </c>
      <c r="G102" s="86">
        <f t="shared" si="180"/>
        <v>113334157.01546997</v>
      </c>
      <c r="H102" s="86">
        <f t="shared" si="180"/>
        <v>120220108.77969863</v>
      </c>
      <c r="I102" s="86">
        <f t="shared" si="180"/>
        <v>128951402.752093</v>
      </c>
      <c r="J102" s="86">
        <f t="shared" si="180"/>
        <v>107353349.22401106</v>
      </c>
      <c r="K102" s="86">
        <f t="shared" ref="K102:V102" si="197">IF(K12=0,0,K12/K34*1000000)</f>
        <v>93256715.107235447</v>
      </c>
      <c r="L102" s="86">
        <f t="shared" si="197"/>
        <v>105843732.43120675</v>
      </c>
      <c r="M102" s="86">
        <f t="shared" si="197"/>
        <v>134223035.8811402</v>
      </c>
      <c r="N102" s="86">
        <f t="shared" si="197"/>
        <v>134009333.93642043</v>
      </c>
      <c r="O102" s="86">
        <f t="shared" si="197"/>
        <v>136164739.47137535</v>
      </c>
      <c r="P102" s="86">
        <f t="shared" si="197"/>
        <v>137421026.62343699</v>
      </c>
      <c r="Q102" s="86">
        <f t="shared" si="197"/>
        <v>132264550.14342536</v>
      </c>
      <c r="R102" s="86">
        <f t="shared" si="197"/>
        <v>96753627.604937807</v>
      </c>
      <c r="S102" s="86">
        <f t="shared" si="197"/>
        <v>100685766.72973344</v>
      </c>
      <c r="T102" s="86">
        <f t="shared" si="197"/>
        <v>97631026.639081657</v>
      </c>
      <c r="U102" s="86">
        <f t="shared" si="197"/>
        <v>84259417.075278714</v>
      </c>
      <c r="V102" s="86">
        <f t="shared" si="197"/>
        <v>91235232.600358769</v>
      </c>
      <c r="W102" s="86">
        <f t="shared" ref="W102" si="198">IF(W12=0,0,W12/W34*1000000)</f>
        <v>93158825.467699468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0.10768439989719866</v>
      </c>
      <c r="C106" s="123">
        <f t="shared" si="199"/>
        <v>0.135588320323793</v>
      </c>
      <c r="D106" s="123">
        <f t="shared" si="199"/>
        <v>0.14370468029004616</v>
      </c>
      <c r="E106" s="123">
        <f t="shared" si="199"/>
        <v>0.16183816183816183</v>
      </c>
      <c r="F106" s="123">
        <f t="shared" si="199"/>
        <v>0.15471167369901548</v>
      </c>
      <c r="G106" s="123">
        <f t="shared" si="199"/>
        <v>0.15373715905065533</v>
      </c>
      <c r="H106" s="123">
        <f t="shared" si="199"/>
        <v>0.15610780539026953</v>
      </c>
      <c r="I106" s="123">
        <f t="shared" si="199"/>
        <v>0.15560238847910079</v>
      </c>
      <c r="J106" s="123">
        <f t="shared" si="199"/>
        <v>0.17338565822333216</v>
      </c>
      <c r="K106" s="123">
        <f t="shared" ref="K106:V106" si="202">IF(K5=0,0,K5/K$4)</f>
        <v>0.24345364472753009</v>
      </c>
      <c r="L106" s="123">
        <f t="shared" si="202"/>
        <v>0.30310103367789265</v>
      </c>
      <c r="M106" s="123">
        <f t="shared" si="202"/>
        <v>0.29750938246332309</v>
      </c>
      <c r="N106" s="123">
        <f t="shared" si="202"/>
        <v>0.35294117647058826</v>
      </c>
      <c r="O106" s="123">
        <f t="shared" si="202"/>
        <v>0.35676439420699402</v>
      </c>
      <c r="P106" s="123">
        <f t="shared" si="202"/>
        <v>0.30037082818294192</v>
      </c>
      <c r="Q106" s="123">
        <f t="shared" si="202"/>
        <v>0.32342656273613457</v>
      </c>
      <c r="R106" s="123">
        <f t="shared" si="202"/>
        <v>0.3590308370044053</v>
      </c>
      <c r="S106" s="123">
        <f t="shared" si="202"/>
        <v>0.42731629392971249</v>
      </c>
      <c r="T106" s="123">
        <f t="shared" si="202"/>
        <v>0.42366263178445918</v>
      </c>
      <c r="U106" s="123">
        <f t="shared" si="202"/>
        <v>0.40947940947940947</v>
      </c>
      <c r="V106" s="123">
        <f t="shared" si="202"/>
        <v>0.38163716814159293</v>
      </c>
      <c r="W106" s="123">
        <f t="shared" ref="W106" si="203">IF(W5=0,0,W5/W$4)</f>
        <v>0.38402457757296465</v>
      </c>
      <c r="DA106" s="203"/>
    </row>
    <row r="107" spans="1:105" ht="11.45" customHeight="1" x14ac:dyDescent="0.25">
      <c r="A107" s="109" t="s">
        <v>24</v>
      </c>
      <c r="B107" s="124">
        <f t="shared" si="199"/>
        <v>0.89231560010280131</v>
      </c>
      <c r="C107" s="124">
        <f t="shared" si="199"/>
        <v>0.86441167967620702</v>
      </c>
      <c r="D107" s="124">
        <f t="shared" si="199"/>
        <v>0.85629531970995387</v>
      </c>
      <c r="E107" s="124">
        <f t="shared" si="199"/>
        <v>0.8381618381618382</v>
      </c>
      <c r="F107" s="124">
        <f t="shared" si="199"/>
        <v>0.84528832630098449</v>
      </c>
      <c r="G107" s="124">
        <f t="shared" si="199"/>
        <v>0.84626284094934467</v>
      </c>
      <c r="H107" s="124">
        <f t="shared" si="199"/>
        <v>0.84389219460973053</v>
      </c>
      <c r="I107" s="124">
        <f t="shared" si="199"/>
        <v>0.84439761152089921</v>
      </c>
      <c r="J107" s="124">
        <f t="shared" si="199"/>
        <v>0.82661434177666782</v>
      </c>
      <c r="K107" s="124">
        <f t="shared" ref="K107:V107" si="204">IF(K6=0,0,K6/K$4)</f>
        <v>0.75654635527246994</v>
      </c>
      <c r="L107" s="124">
        <f t="shared" si="204"/>
        <v>0.69689896632210735</v>
      </c>
      <c r="M107" s="124">
        <f t="shared" si="204"/>
        <v>0.70249061753667685</v>
      </c>
      <c r="N107" s="124">
        <f t="shared" si="204"/>
        <v>0.6470588235294118</v>
      </c>
      <c r="O107" s="124">
        <f t="shared" si="204"/>
        <v>0.64323560579300598</v>
      </c>
      <c r="P107" s="124">
        <f t="shared" si="204"/>
        <v>0.69962917181705808</v>
      </c>
      <c r="Q107" s="124">
        <f t="shared" si="204"/>
        <v>0.67657343726386532</v>
      </c>
      <c r="R107" s="124">
        <f t="shared" si="204"/>
        <v>0.6409691629955947</v>
      </c>
      <c r="S107" s="124">
        <f t="shared" si="204"/>
        <v>0.57268370607028751</v>
      </c>
      <c r="T107" s="124">
        <f t="shared" si="204"/>
        <v>0.57633736821554082</v>
      </c>
      <c r="U107" s="124">
        <f t="shared" si="204"/>
        <v>0.59052059052059047</v>
      </c>
      <c r="V107" s="124">
        <f t="shared" si="204"/>
        <v>0.61836283185840712</v>
      </c>
      <c r="W107" s="124">
        <f t="shared" ref="W107" si="205">IF(W6=0,0,W6/W$4)</f>
        <v>0.61597542242703529</v>
      </c>
      <c r="DA107" s="176"/>
    </row>
    <row r="108" spans="1:105" ht="11.45" customHeight="1" x14ac:dyDescent="0.25">
      <c r="A108" s="111" t="s">
        <v>92</v>
      </c>
      <c r="B108" s="125">
        <f t="shared" si="199"/>
        <v>0.22022267822853142</v>
      </c>
      <c r="C108" s="125">
        <f t="shared" si="199"/>
        <v>0.18550424457064132</v>
      </c>
      <c r="D108" s="125">
        <f t="shared" si="199"/>
        <v>0.16413176315984451</v>
      </c>
      <c r="E108" s="125">
        <f t="shared" si="199"/>
        <v>0.14038443116821195</v>
      </c>
      <c r="F108" s="125">
        <f t="shared" si="199"/>
        <v>0.15540650154315344</v>
      </c>
      <c r="G108" s="125">
        <f t="shared" si="199"/>
        <v>0.17852787923825214</v>
      </c>
      <c r="H108" s="125">
        <f t="shared" si="199"/>
        <v>0.19715975548412248</v>
      </c>
      <c r="I108" s="125">
        <f t="shared" si="199"/>
        <v>0.17721933143533639</v>
      </c>
      <c r="J108" s="125">
        <f t="shared" si="199"/>
        <v>0.22670201035405282</v>
      </c>
      <c r="K108" s="125">
        <f t="shared" ref="K108:V108" si="206">IF(K7=0,0,K7/K$4)</f>
        <v>0.15957228581597668</v>
      </c>
      <c r="L108" s="125">
        <f t="shared" si="206"/>
        <v>0.17131598491161984</v>
      </c>
      <c r="M108" s="125">
        <f t="shared" si="206"/>
        <v>0.17432411945763532</v>
      </c>
      <c r="N108" s="125">
        <f t="shared" si="206"/>
        <v>0.23462908500168897</v>
      </c>
      <c r="O108" s="125">
        <f t="shared" si="206"/>
        <v>0.2083580173359306</v>
      </c>
      <c r="P108" s="125">
        <f t="shared" si="206"/>
        <v>0.15814013860770124</v>
      </c>
      <c r="Q108" s="125">
        <f t="shared" si="206"/>
        <v>0.14809924646486466</v>
      </c>
      <c r="R108" s="125">
        <f t="shared" si="206"/>
        <v>0.12617043514522167</v>
      </c>
      <c r="S108" s="125">
        <f t="shared" si="206"/>
        <v>0.12106887819049945</v>
      </c>
      <c r="T108" s="125">
        <f t="shared" si="206"/>
        <v>0.10523475661064136</v>
      </c>
      <c r="U108" s="125">
        <f t="shared" si="206"/>
        <v>8.0797362348519627E-2</v>
      </c>
      <c r="V108" s="125">
        <f t="shared" si="206"/>
        <v>8.1690182208560808E-2</v>
      </c>
      <c r="W108" s="125">
        <f t="shared" ref="W108" si="207">IF(W7=0,0,W7/W$4)</f>
        <v>8.2168870425347804E-2</v>
      </c>
      <c r="DA108" s="171"/>
    </row>
    <row r="109" spans="1:105" ht="11.45" customHeight="1" x14ac:dyDescent="0.25">
      <c r="A109" s="111" t="s">
        <v>93</v>
      </c>
      <c r="B109" s="125">
        <f t="shared" si="199"/>
        <v>0.67209292187426994</v>
      </c>
      <c r="C109" s="125">
        <f t="shared" si="199"/>
        <v>0.67890743510556573</v>
      </c>
      <c r="D109" s="125">
        <f t="shared" si="199"/>
        <v>0.6921635565501093</v>
      </c>
      <c r="E109" s="125">
        <f t="shared" si="199"/>
        <v>0.69777740699362623</v>
      </c>
      <c r="F109" s="125">
        <f t="shared" si="199"/>
        <v>0.68988182475783111</v>
      </c>
      <c r="G109" s="125">
        <f t="shared" si="199"/>
        <v>0.66773496171109259</v>
      </c>
      <c r="H109" s="125">
        <f t="shared" si="199"/>
        <v>0.64673243912560796</v>
      </c>
      <c r="I109" s="125">
        <f t="shared" si="199"/>
        <v>0.66717828008556279</v>
      </c>
      <c r="J109" s="125">
        <f t="shared" si="199"/>
        <v>0.59991233142261502</v>
      </c>
      <c r="K109" s="125">
        <f t="shared" ref="K109:V109" si="208">IF(K8=0,0,K8/K$4)</f>
        <v>0.59697406945649323</v>
      </c>
      <c r="L109" s="125">
        <f t="shared" si="208"/>
        <v>0.52558298141048754</v>
      </c>
      <c r="M109" s="125">
        <f t="shared" si="208"/>
        <v>0.52816649807904159</v>
      </c>
      <c r="N109" s="125">
        <f t="shared" si="208"/>
        <v>0.4124297385277228</v>
      </c>
      <c r="O109" s="125">
        <f t="shared" si="208"/>
        <v>0.43487758845707536</v>
      </c>
      <c r="P109" s="125">
        <f t="shared" si="208"/>
        <v>0.54148903320935682</v>
      </c>
      <c r="Q109" s="125">
        <f t="shared" si="208"/>
        <v>0.52847419079900071</v>
      </c>
      <c r="R109" s="125">
        <f t="shared" si="208"/>
        <v>0.51479872785037306</v>
      </c>
      <c r="S109" s="125">
        <f t="shared" si="208"/>
        <v>0.45161482787978813</v>
      </c>
      <c r="T109" s="125">
        <f t="shared" si="208"/>
        <v>0.47110261160489941</v>
      </c>
      <c r="U109" s="125">
        <f t="shared" si="208"/>
        <v>0.50972322817207094</v>
      </c>
      <c r="V109" s="125">
        <f t="shared" si="208"/>
        <v>0.53667264964984629</v>
      </c>
      <c r="W109" s="125">
        <f t="shared" ref="W109" si="209">IF(W8=0,0,W8/W$4)</f>
        <v>0.53380655200168747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0.31147948206392045</v>
      </c>
      <c r="C112" s="125">
        <f t="shared" si="212"/>
        <v>0.30564486056660251</v>
      </c>
      <c r="D112" s="125">
        <f t="shared" si="212"/>
        <v>0.32461547501548532</v>
      </c>
      <c r="E112" s="125">
        <f t="shared" si="212"/>
        <v>0.30917802433623276</v>
      </c>
      <c r="F112" s="125">
        <f t="shared" si="212"/>
        <v>0.31523816327624082</v>
      </c>
      <c r="G112" s="125">
        <f t="shared" si="212"/>
        <v>0.30161861471304041</v>
      </c>
      <c r="H112" s="125">
        <f t="shared" si="212"/>
        <v>0.28183042420563853</v>
      </c>
      <c r="I112" s="125">
        <f t="shared" si="212"/>
        <v>0.2753037210084493</v>
      </c>
      <c r="J112" s="125">
        <f t="shared" si="212"/>
        <v>0.39965227776210721</v>
      </c>
      <c r="K112" s="125">
        <f t="shared" ref="K112:V112" si="215">IF(K11=0,0,K11/K$10)</f>
        <v>0.31695896679505281</v>
      </c>
      <c r="L112" s="125">
        <f t="shared" si="215"/>
        <v>0.31514424364481686</v>
      </c>
      <c r="M112" s="125">
        <f t="shared" si="215"/>
        <v>0.32232184026464672</v>
      </c>
      <c r="N112" s="125">
        <f t="shared" si="215"/>
        <v>0.33915207766258626</v>
      </c>
      <c r="O112" s="125">
        <f t="shared" si="215"/>
        <v>0.27517097142258234</v>
      </c>
      <c r="P112" s="125">
        <f t="shared" si="215"/>
        <v>0.24619376146431735</v>
      </c>
      <c r="Q112" s="125">
        <f t="shared" si="215"/>
        <v>0.28246419944524548</v>
      </c>
      <c r="R112" s="125">
        <f t="shared" si="215"/>
        <v>0.24746228712285306</v>
      </c>
      <c r="S112" s="125">
        <f t="shared" si="215"/>
        <v>0.23597053265147633</v>
      </c>
      <c r="T112" s="125">
        <f t="shared" si="215"/>
        <v>0.20846638313174232</v>
      </c>
      <c r="U112" s="125">
        <f t="shared" si="215"/>
        <v>0.15473649868807376</v>
      </c>
      <c r="V112" s="125">
        <f t="shared" si="215"/>
        <v>0.15872174368108455</v>
      </c>
      <c r="W112" s="125">
        <f t="shared" ref="W112" si="216">IF(W11=0,0,W11/W$10)</f>
        <v>0.16096708883951091</v>
      </c>
      <c r="DA112" s="171"/>
    </row>
    <row r="113" spans="1:105" ht="11.45" customHeight="1" x14ac:dyDescent="0.25">
      <c r="A113" s="85" t="s">
        <v>93</v>
      </c>
      <c r="B113" s="127">
        <f t="shared" si="212"/>
        <v>0.68852051793607949</v>
      </c>
      <c r="C113" s="127">
        <f t="shared" si="212"/>
        <v>0.69435513943339755</v>
      </c>
      <c r="D113" s="127">
        <f t="shared" si="212"/>
        <v>0.67538452498451473</v>
      </c>
      <c r="E113" s="127">
        <f t="shared" si="212"/>
        <v>0.69082197566376724</v>
      </c>
      <c r="F113" s="127">
        <f t="shared" si="212"/>
        <v>0.68476183672375923</v>
      </c>
      <c r="G113" s="127">
        <f t="shared" si="212"/>
        <v>0.69838138528695959</v>
      </c>
      <c r="H113" s="127">
        <f t="shared" si="212"/>
        <v>0.71816957579436158</v>
      </c>
      <c r="I113" s="127">
        <f t="shared" si="212"/>
        <v>0.72469627899155076</v>
      </c>
      <c r="J113" s="127">
        <f t="shared" si="212"/>
        <v>0.60034772223789279</v>
      </c>
      <c r="K113" s="127">
        <f t="shared" ref="K113:V113" si="217">IF(K12=0,0,K12/K$10)</f>
        <v>0.68304103320494713</v>
      </c>
      <c r="L113" s="127">
        <f t="shared" si="217"/>
        <v>0.68485575635518325</v>
      </c>
      <c r="M113" s="127">
        <f t="shared" si="217"/>
        <v>0.67767815973535317</v>
      </c>
      <c r="N113" s="127">
        <f t="shared" si="217"/>
        <v>0.66084792233741374</v>
      </c>
      <c r="O113" s="127">
        <f t="shared" si="217"/>
        <v>0.72482902857741771</v>
      </c>
      <c r="P113" s="127">
        <f t="shared" si="217"/>
        <v>0.75380623853568263</v>
      </c>
      <c r="Q113" s="127">
        <f t="shared" si="217"/>
        <v>0.71753580055475452</v>
      </c>
      <c r="R113" s="127">
        <f t="shared" si="217"/>
        <v>0.75253771287714699</v>
      </c>
      <c r="S113" s="127">
        <f t="shared" si="217"/>
        <v>0.76402946734852373</v>
      </c>
      <c r="T113" s="127">
        <f t="shared" si="217"/>
        <v>0.79153361686825763</v>
      </c>
      <c r="U113" s="127">
        <f t="shared" si="217"/>
        <v>0.84526350131192618</v>
      </c>
      <c r="V113" s="127">
        <f t="shared" si="217"/>
        <v>0.84127825631891551</v>
      </c>
      <c r="W113" s="127">
        <f t="shared" ref="W113" si="218">IF(W12=0,0,W12/W$10)</f>
        <v>0.83903291116048917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0.20504009747231197</v>
      </c>
      <c r="C117" s="123">
        <f t="shared" si="219"/>
        <v>0.23357381919051082</v>
      </c>
      <c r="D117" s="123">
        <f t="shared" si="219"/>
        <v>0.2154791867580782</v>
      </c>
      <c r="E117" s="123">
        <f t="shared" si="219"/>
        <v>0.25720636060124563</v>
      </c>
      <c r="F117" s="123">
        <f t="shared" si="219"/>
        <v>0.23932987109509476</v>
      </c>
      <c r="G117" s="123">
        <f t="shared" si="219"/>
        <v>0.23683248556415995</v>
      </c>
      <c r="H117" s="123">
        <f t="shared" si="219"/>
        <v>0.23460764858740299</v>
      </c>
      <c r="I117" s="123">
        <f t="shared" si="219"/>
        <v>0.24612378152296677</v>
      </c>
      <c r="J117" s="123">
        <f t="shared" si="219"/>
        <v>0.24844400640981384</v>
      </c>
      <c r="K117" s="123">
        <f t="shared" ref="K117:V117" si="222">IF(K16=0,0,K16/K$15)</f>
        <v>0.31069015495224162</v>
      </c>
      <c r="L117" s="123">
        <f t="shared" si="222"/>
        <v>0.411201044349017</v>
      </c>
      <c r="M117" s="123">
        <f t="shared" si="222"/>
        <v>0.43649334696235276</v>
      </c>
      <c r="N117" s="123">
        <f t="shared" si="222"/>
        <v>0.44978650184394298</v>
      </c>
      <c r="O117" s="123">
        <f t="shared" si="222"/>
        <v>0.54403160956664665</v>
      </c>
      <c r="P117" s="123">
        <f t="shared" si="222"/>
        <v>0.49098589835297918</v>
      </c>
      <c r="Q117" s="123">
        <f t="shared" si="222"/>
        <v>0.37494294789459015</v>
      </c>
      <c r="R117" s="123">
        <f t="shared" si="222"/>
        <v>0.41706105199357801</v>
      </c>
      <c r="S117" s="123">
        <f t="shared" si="222"/>
        <v>0.46961983803773028</v>
      </c>
      <c r="T117" s="123">
        <f t="shared" si="222"/>
        <v>0.49405107898520451</v>
      </c>
      <c r="U117" s="123">
        <f t="shared" si="222"/>
        <v>0.43007604589838677</v>
      </c>
      <c r="V117" s="123">
        <f t="shared" si="222"/>
        <v>0.41005304499214534</v>
      </c>
      <c r="W117" s="123">
        <f t="shared" ref="W117" si="223">IF(W16=0,0,W16/W$15)</f>
        <v>0.37736993108491834</v>
      </c>
      <c r="DA117" s="203"/>
    </row>
    <row r="118" spans="1:105" ht="11.45" customHeight="1" x14ac:dyDescent="0.25">
      <c r="A118" s="109" t="s">
        <v>24</v>
      </c>
      <c r="B118" s="124">
        <f t="shared" si="219"/>
        <v>0.794959902527688</v>
      </c>
      <c r="C118" s="124">
        <f t="shared" si="219"/>
        <v>0.76642618080948932</v>
      </c>
      <c r="D118" s="124">
        <f t="shared" si="219"/>
        <v>0.7845208132419218</v>
      </c>
      <c r="E118" s="124">
        <f t="shared" si="219"/>
        <v>0.74279363939875431</v>
      </c>
      <c r="F118" s="124">
        <f t="shared" si="219"/>
        <v>0.76067012890490515</v>
      </c>
      <c r="G118" s="124">
        <f t="shared" si="219"/>
        <v>0.76316751443584008</v>
      </c>
      <c r="H118" s="124">
        <f t="shared" si="219"/>
        <v>0.76539235141259698</v>
      </c>
      <c r="I118" s="124">
        <f t="shared" si="219"/>
        <v>0.75387621847703323</v>
      </c>
      <c r="J118" s="124">
        <f t="shared" si="219"/>
        <v>0.75155599359018621</v>
      </c>
      <c r="K118" s="124">
        <f t="shared" ref="K118:V118" si="224">IF(K17=0,0,K17/K$15)</f>
        <v>0.68930984504775838</v>
      </c>
      <c r="L118" s="124">
        <f t="shared" si="224"/>
        <v>0.58879895565098306</v>
      </c>
      <c r="M118" s="124">
        <f t="shared" si="224"/>
        <v>0.56350665303764724</v>
      </c>
      <c r="N118" s="124">
        <f t="shared" si="224"/>
        <v>0.55021349815605702</v>
      </c>
      <c r="O118" s="124">
        <f t="shared" si="224"/>
        <v>0.4559683904333533</v>
      </c>
      <c r="P118" s="124">
        <f t="shared" si="224"/>
        <v>0.50901410164702088</v>
      </c>
      <c r="Q118" s="124">
        <f t="shared" si="224"/>
        <v>0.62505705210540974</v>
      </c>
      <c r="R118" s="124">
        <f t="shared" si="224"/>
        <v>0.5829389480064221</v>
      </c>
      <c r="S118" s="124">
        <f t="shared" si="224"/>
        <v>0.53038016196226978</v>
      </c>
      <c r="T118" s="124">
        <f t="shared" si="224"/>
        <v>0.50594892101479561</v>
      </c>
      <c r="U118" s="124">
        <f t="shared" si="224"/>
        <v>0.56992395410161312</v>
      </c>
      <c r="V118" s="124">
        <f t="shared" si="224"/>
        <v>0.58994695500785466</v>
      </c>
      <c r="W118" s="124">
        <f t="shared" ref="W118" si="225">IF(W17=0,0,W17/W$15)</f>
        <v>0.62263006891508155</v>
      </c>
      <c r="DA118" s="176"/>
    </row>
    <row r="119" spans="1:105" ht="11.45" customHeight="1" x14ac:dyDescent="0.25">
      <c r="A119" s="111" t="s">
        <v>92</v>
      </c>
      <c r="B119" s="125">
        <f t="shared" si="219"/>
        <v>0.29160664121816748</v>
      </c>
      <c r="C119" s="125">
        <f t="shared" si="219"/>
        <v>0.24790531014891626</v>
      </c>
      <c r="D119" s="125">
        <f t="shared" si="219"/>
        <v>0.21275726041341089</v>
      </c>
      <c r="E119" s="125">
        <f t="shared" si="219"/>
        <v>0.18929691481664723</v>
      </c>
      <c r="F119" s="125">
        <f t="shared" si="219"/>
        <v>0.20453071067504294</v>
      </c>
      <c r="G119" s="125">
        <f t="shared" si="219"/>
        <v>0.23098264423310605</v>
      </c>
      <c r="H119" s="125">
        <f t="shared" si="219"/>
        <v>0.26069516282012012</v>
      </c>
      <c r="I119" s="125">
        <f t="shared" si="219"/>
        <v>0.24376651439764901</v>
      </c>
      <c r="J119" s="125">
        <f t="shared" si="219"/>
        <v>0.27518435330895674</v>
      </c>
      <c r="K119" s="125">
        <f t="shared" ref="K119:V119" si="226">IF(K18=0,0,K18/K$15)</f>
        <v>0.17285321684419086</v>
      </c>
      <c r="L119" s="125">
        <f t="shared" si="226"/>
        <v>0.19343624627543082</v>
      </c>
      <c r="M119" s="125">
        <f t="shared" si="226"/>
        <v>0.20426439042647881</v>
      </c>
      <c r="N119" s="125">
        <f t="shared" si="226"/>
        <v>0.2630725917488535</v>
      </c>
      <c r="O119" s="125">
        <f t="shared" si="226"/>
        <v>0.23060264437519151</v>
      </c>
      <c r="P119" s="125">
        <f t="shared" si="226"/>
        <v>0.20184449890173986</v>
      </c>
      <c r="Q119" s="125">
        <f t="shared" si="226"/>
        <v>0.18086878075948368</v>
      </c>
      <c r="R119" s="125">
        <f t="shared" si="226"/>
        <v>0.192073589691834</v>
      </c>
      <c r="S119" s="125">
        <f t="shared" si="226"/>
        <v>0.17144935000066083</v>
      </c>
      <c r="T119" s="125">
        <f t="shared" si="226"/>
        <v>0.14623460036368982</v>
      </c>
      <c r="U119" s="125">
        <f t="shared" si="226"/>
        <v>0.11314558209198257</v>
      </c>
      <c r="V119" s="125">
        <f t="shared" si="226"/>
        <v>9.9374475290682149E-2</v>
      </c>
      <c r="W119" s="125">
        <f t="shared" ref="W119" si="227">IF(W18=0,0,W18/W$15)</f>
        <v>0.10051117346205918</v>
      </c>
      <c r="DA119" s="171"/>
    </row>
    <row r="120" spans="1:105" ht="11.45" customHeight="1" x14ac:dyDescent="0.25">
      <c r="A120" s="111" t="s">
        <v>93</v>
      </c>
      <c r="B120" s="125">
        <f t="shared" si="219"/>
        <v>0.50335326130952052</v>
      </c>
      <c r="C120" s="125">
        <f t="shared" si="219"/>
        <v>0.51852087066057306</v>
      </c>
      <c r="D120" s="125">
        <f t="shared" si="219"/>
        <v>0.57176355282851088</v>
      </c>
      <c r="E120" s="125">
        <f t="shared" si="219"/>
        <v>0.55349672458210708</v>
      </c>
      <c r="F120" s="125">
        <f t="shared" si="219"/>
        <v>0.55613941822986224</v>
      </c>
      <c r="G120" s="125">
        <f t="shared" si="219"/>
        <v>0.53218487020273397</v>
      </c>
      <c r="H120" s="125">
        <f t="shared" si="219"/>
        <v>0.50469718859247692</v>
      </c>
      <c r="I120" s="125">
        <f t="shared" si="219"/>
        <v>0.51010970407938416</v>
      </c>
      <c r="J120" s="125">
        <f t="shared" si="219"/>
        <v>0.47637164028122947</v>
      </c>
      <c r="K120" s="125">
        <f t="shared" ref="K120:V120" si="228">IF(K19=0,0,K19/K$15)</f>
        <v>0.51645662820356752</v>
      </c>
      <c r="L120" s="125">
        <f t="shared" si="228"/>
        <v>0.39536270937555218</v>
      </c>
      <c r="M120" s="125">
        <f t="shared" si="228"/>
        <v>0.35924226261116837</v>
      </c>
      <c r="N120" s="125">
        <f t="shared" si="228"/>
        <v>0.28714090640720352</v>
      </c>
      <c r="O120" s="125">
        <f t="shared" si="228"/>
        <v>0.22536574605816179</v>
      </c>
      <c r="P120" s="125">
        <f t="shared" si="228"/>
        <v>0.30716960274528105</v>
      </c>
      <c r="Q120" s="125">
        <f t="shared" si="228"/>
        <v>0.44418827134592614</v>
      </c>
      <c r="R120" s="125">
        <f t="shared" si="228"/>
        <v>0.39086535831458802</v>
      </c>
      <c r="S120" s="125">
        <f t="shared" si="228"/>
        <v>0.35893081196160898</v>
      </c>
      <c r="T120" s="125">
        <f t="shared" si="228"/>
        <v>0.35971432065110576</v>
      </c>
      <c r="U120" s="125">
        <f t="shared" si="228"/>
        <v>0.45677837200963056</v>
      </c>
      <c r="V120" s="125">
        <f t="shared" si="228"/>
        <v>0.49057247971717255</v>
      </c>
      <c r="W120" s="125">
        <f t="shared" ref="W120" si="229">IF(W19=0,0,W19/W$15)</f>
        <v>0.52211889545302237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0.3605519233825652</v>
      </c>
      <c r="C123" s="125">
        <f t="shared" si="232"/>
        <v>0.35387836323356781</v>
      </c>
      <c r="D123" s="125">
        <f t="shared" si="232"/>
        <v>0.37559769678375893</v>
      </c>
      <c r="E123" s="125">
        <f t="shared" si="232"/>
        <v>0.35675449595007636</v>
      </c>
      <c r="F123" s="125">
        <f t="shared" si="232"/>
        <v>0.36419162734368421</v>
      </c>
      <c r="G123" s="125">
        <f t="shared" si="232"/>
        <v>0.34871683176681612</v>
      </c>
      <c r="H123" s="125">
        <f t="shared" si="232"/>
        <v>0.30056997525307078</v>
      </c>
      <c r="I123" s="125">
        <f t="shared" si="232"/>
        <v>0.30730440108819035</v>
      </c>
      <c r="J123" s="125">
        <f t="shared" si="232"/>
        <v>0.42751372899962786</v>
      </c>
      <c r="K123" s="125">
        <f t="shared" ref="K123:V123" si="235">IF(K22=0,0,K22/K$21)</f>
        <v>0.35302595256212843</v>
      </c>
      <c r="L123" s="125">
        <f t="shared" si="235"/>
        <v>0.37338926977176562</v>
      </c>
      <c r="M123" s="125">
        <f t="shared" si="235"/>
        <v>0.35066792017294812</v>
      </c>
      <c r="N123" s="125">
        <f t="shared" si="235"/>
        <v>0.38055045464492893</v>
      </c>
      <c r="O123" s="125">
        <f t="shared" si="235"/>
        <v>0.27112913043431408</v>
      </c>
      <c r="P123" s="125">
        <f t="shared" si="235"/>
        <v>0.25958133849113063</v>
      </c>
      <c r="Q123" s="125">
        <f t="shared" si="235"/>
        <v>0.32780577732775001</v>
      </c>
      <c r="R123" s="125">
        <f t="shared" si="235"/>
        <v>0.21411801030815159</v>
      </c>
      <c r="S123" s="125">
        <f t="shared" si="235"/>
        <v>0.20704365764395155</v>
      </c>
      <c r="T123" s="125">
        <f t="shared" si="235"/>
        <v>0.17562811115472771</v>
      </c>
      <c r="U123" s="125">
        <f t="shared" si="235"/>
        <v>0.126821327138124</v>
      </c>
      <c r="V123" s="125">
        <f t="shared" si="235"/>
        <v>0.14454009787088548</v>
      </c>
      <c r="W123" s="125">
        <f t="shared" ref="W123" si="236">IF(W22=0,0,W22/W$21)</f>
        <v>0.15498000170479354</v>
      </c>
      <c r="DA123" s="171"/>
    </row>
    <row r="124" spans="1:105" ht="11.45" customHeight="1" x14ac:dyDescent="0.25">
      <c r="A124" s="85" t="s">
        <v>93</v>
      </c>
      <c r="B124" s="127">
        <f t="shared" si="232"/>
        <v>0.63944807661743486</v>
      </c>
      <c r="C124" s="127">
        <f t="shared" si="232"/>
        <v>0.64612163676643219</v>
      </c>
      <c r="D124" s="127">
        <f t="shared" si="232"/>
        <v>0.62440230321624113</v>
      </c>
      <c r="E124" s="127">
        <f t="shared" si="232"/>
        <v>0.64324550404992364</v>
      </c>
      <c r="F124" s="127">
        <f t="shared" si="232"/>
        <v>0.63580837265631585</v>
      </c>
      <c r="G124" s="127">
        <f t="shared" si="232"/>
        <v>0.65128316823318388</v>
      </c>
      <c r="H124" s="127">
        <f t="shared" si="232"/>
        <v>0.69943002474692917</v>
      </c>
      <c r="I124" s="127">
        <f t="shared" si="232"/>
        <v>0.69269559891180965</v>
      </c>
      <c r="J124" s="127">
        <f t="shared" si="232"/>
        <v>0.57248627100037219</v>
      </c>
      <c r="K124" s="127">
        <f t="shared" ref="K124:V124" si="237">IF(K23=0,0,K23/K$21)</f>
        <v>0.64697404743787146</v>
      </c>
      <c r="L124" s="127">
        <f t="shared" si="237"/>
        <v>0.62661073022823444</v>
      </c>
      <c r="M124" s="127">
        <f t="shared" si="237"/>
        <v>0.64933207982705188</v>
      </c>
      <c r="N124" s="127">
        <f t="shared" si="237"/>
        <v>0.61944954535507102</v>
      </c>
      <c r="O124" s="127">
        <f t="shared" si="237"/>
        <v>0.72887086956568603</v>
      </c>
      <c r="P124" s="127">
        <f t="shared" si="237"/>
        <v>0.74041866150886937</v>
      </c>
      <c r="Q124" s="127">
        <f t="shared" si="237"/>
        <v>0.67219422267224993</v>
      </c>
      <c r="R124" s="127">
        <f t="shared" si="237"/>
        <v>0.78588198969184841</v>
      </c>
      <c r="S124" s="127">
        <f t="shared" si="237"/>
        <v>0.7929563423560485</v>
      </c>
      <c r="T124" s="127">
        <f t="shared" si="237"/>
        <v>0.82437188884527224</v>
      </c>
      <c r="U124" s="127">
        <f t="shared" si="237"/>
        <v>0.873178672861876</v>
      </c>
      <c r="V124" s="127">
        <f t="shared" si="237"/>
        <v>0.85545990212911449</v>
      </c>
      <c r="W124" s="127">
        <f t="shared" ref="W124" si="238">IF(W23=0,0,W23/W$21)</f>
        <v>0.84501999829520646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77.97841788478074</v>
      </c>
      <c r="C4" s="146">
        <f t="shared" ref="C4:V4" si="0">SUM(C5,C8)</f>
        <v>71.467497850386934</v>
      </c>
      <c r="D4" s="146">
        <f t="shared" si="0"/>
        <v>70.445227858985376</v>
      </c>
      <c r="E4" s="146">
        <f t="shared" si="0"/>
        <v>66.246259673258805</v>
      </c>
      <c r="F4" s="146">
        <f t="shared" si="0"/>
        <v>65.338091143594141</v>
      </c>
      <c r="G4" s="146">
        <f t="shared" si="0"/>
        <v>65.295700773860716</v>
      </c>
      <c r="H4" s="146">
        <f t="shared" si="0"/>
        <v>62.877901977644022</v>
      </c>
      <c r="I4" s="146">
        <f t="shared" si="0"/>
        <v>57.674118658641447</v>
      </c>
      <c r="J4" s="146">
        <f t="shared" si="0"/>
        <v>62.252794496990539</v>
      </c>
      <c r="K4" s="146">
        <f t="shared" si="0"/>
        <v>51.246775580395528</v>
      </c>
      <c r="L4" s="146">
        <f t="shared" si="0"/>
        <v>45.399828030954424</v>
      </c>
      <c r="M4" s="146">
        <f t="shared" si="0"/>
        <v>39.939810834049865</v>
      </c>
      <c r="N4" s="146">
        <f t="shared" si="0"/>
        <v>42.17540842648323</v>
      </c>
      <c r="O4" s="146">
        <f t="shared" si="0"/>
        <v>31.815907136715396</v>
      </c>
      <c r="P4" s="146">
        <f t="shared" si="0"/>
        <v>28.718830610490109</v>
      </c>
      <c r="Q4" s="146">
        <f t="shared" si="0"/>
        <v>39.46689595872742</v>
      </c>
      <c r="R4" s="146">
        <f t="shared" si="0"/>
        <v>36.693895098882201</v>
      </c>
      <c r="S4" s="146">
        <f t="shared" si="0"/>
        <v>39.724075666380052</v>
      </c>
      <c r="T4" s="146">
        <f t="shared" si="0"/>
        <v>36.968959587274291</v>
      </c>
      <c r="U4" s="146">
        <f t="shared" si="0"/>
        <v>45.070249355116076</v>
      </c>
      <c r="V4" s="146">
        <f t="shared" si="0"/>
        <v>41.840498710232154</v>
      </c>
      <c r="W4" s="146">
        <f t="shared" ref="W4" si="1">SUM(W5,W8)</f>
        <v>44.682201203783322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39.027429062768697</v>
      </c>
      <c r="C5" s="101">
        <f t="shared" ref="C5:V5" si="2">SUM(C6:C7)</f>
        <v>33.892261392949273</v>
      </c>
      <c r="D5" s="101">
        <f t="shared" si="2"/>
        <v>31.838177128116939</v>
      </c>
      <c r="E5" s="101">
        <f t="shared" si="2"/>
        <v>28.757007738607051</v>
      </c>
      <c r="F5" s="101">
        <f t="shared" si="2"/>
        <v>29.138607050730869</v>
      </c>
      <c r="G5" s="101">
        <f t="shared" si="2"/>
        <v>29.784092863284609</v>
      </c>
      <c r="H5" s="101">
        <f t="shared" si="2"/>
        <v>29</v>
      </c>
      <c r="I5" s="101">
        <f t="shared" si="2"/>
        <v>25.257953568357699</v>
      </c>
      <c r="J5" s="101">
        <f t="shared" si="2"/>
        <v>32.330180567497848</v>
      </c>
      <c r="K5" s="101">
        <f t="shared" si="2"/>
        <v>20.206362854686159</v>
      </c>
      <c r="L5" s="101">
        <f t="shared" si="2"/>
        <v>20.206362854686159</v>
      </c>
      <c r="M5" s="101">
        <f t="shared" si="2"/>
        <v>18.18572656921754</v>
      </c>
      <c r="N5" s="101">
        <f t="shared" si="2"/>
        <v>22.226999140154771</v>
      </c>
      <c r="O5" s="101">
        <f t="shared" si="2"/>
        <v>15.048925193465177</v>
      </c>
      <c r="P5" s="101">
        <f t="shared" si="2"/>
        <v>12.12381771281169</v>
      </c>
      <c r="Q5" s="101">
        <f t="shared" si="2"/>
        <v>16.165090283748921</v>
      </c>
      <c r="R5" s="101">
        <f t="shared" si="2"/>
        <v>13.134135855546001</v>
      </c>
      <c r="S5" s="101">
        <f t="shared" si="2"/>
        <v>13.547377472055031</v>
      </c>
      <c r="T5" s="101">
        <f t="shared" si="2"/>
        <v>11.116509028374891</v>
      </c>
      <c r="U5" s="101">
        <f t="shared" si="2"/>
        <v>10.021324161650901</v>
      </c>
      <c r="V5" s="101">
        <f t="shared" si="2"/>
        <v>9.5454858125537392</v>
      </c>
      <c r="W5" s="101">
        <f t="shared" ref="W5" si="3">SUM(W6:W7)</f>
        <v>10.3396388650043</v>
      </c>
      <c r="DA5" s="175"/>
    </row>
    <row r="6" spans="1:105" ht="11.45" customHeight="1" x14ac:dyDescent="0.25">
      <c r="A6" s="164" t="s">
        <v>182</v>
      </c>
      <c r="B6" s="165">
        <v>39.027429062768697</v>
      </c>
      <c r="C6" s="165">
        <v>33.892261392949273</v>
      </c>
      <c r="D6" s="165">
        <v>31.838177128116939</v>
      </c>
      <c r="E6" s="165">
        <v>28.757007738607051</v>
      </c>
      <c r="F6" s="165">
        <v>29.138607050730869</v>
      </c>
      <c r="G6" s="165">
        <v>29.784092863284609</v>
      </c>
      <c r="H6" s="165">
        <v>29</v>
      </c>
      <c r="I6" s="165">
        <v>25.257953568357699</v>
      </c>
      <c r="J6" s="165">
        <v>32.330180567497848</v>
      </c>
      <c r="K6" s="165">
        <v>20.206362854686159</v>
      </c>
      <c r="L6" s="165">
        <v>20.206362854686159</v>
      </c>
      <c r="M6" s="165">
        <v>18.18572656921754</v>
      </c>
      <c r="N6" s="165">
        <v>22.226999140154771</v>
      </c>
      <c r="O6" s="165">
        <v>14.14445399828031</v>
      </c>
      <c r="P6" s="165">
        <v>12.12381771281169</v>
      </c>
      <c r="Q6" s="165">
        <v>16.165090283748921</v>
      </c>
      <c r="R6" s="165">
        <v>13.134135855546001</v>
      </c>
      <c r="S6" s="165">
        <v>13.547377472055031</v>
      </c>
      <c r="T6" s="165">
        <v>11.116509028374891</v>
      </c>
      <c r="U6" s="165">
        <v>10.021324161650901</v>
      </c>
      <c r="V6" s="165">
        <v>9.5454858125537392</v>
      </c>
      <c r="W6" s="165">
        <v>10.3396388650043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0.90447119518486663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38.950988822012043</v>
      </c>
      <c r="C8" s="88">
        <v>37.575236457437661</v>
      </c>
      <c r="D8" s="88">
        <v>38.607050730868437</v>
      </c>
      <c r="E8" s="88">
        <v>37.489251934651762</v>
      </c>
      <c r="F8" s="88">
        <v>36.19948409286328</v>
      </c>
      <c r="G8" s="88">
        <v>35.511607910576103</v>
      </c>
      <c r="H8" s="88">
        <v>33.877901977644022</v>
      </c>
      <c r="I8" s="88">
        <v>32.416165090283748</v>
      </c>
      <c r="J8" s="88">
        <v>29.922613929492691</v>
      </c>
      <c r="K8" s="88">
        <v>31.04041272570937</v>
      </c>
      <c r="L8" s="88">
        <v>25.193465176268269</v>
      </c>
      <c r="M8" s="88">
        <v>21.754084264832329</v>
      </c>
      <c r="N8" s="88">
        <v>19.948409286328459</v>
      </c>
      <c r="O8" s="88">
        <v>16.766981943250219</v>
      </c>
      <c r="P8" s="88">
        <v>16.595012897678419</v>
      </c>
      <c r="Q8" s="88">
        <v>23.3018056749785</v>
      </c>
      <c r="R8" s="88">
        <v>23.559759243336199</v>
      </c>
      <c r="S8" s="88">
        <v>26.17669819432502</v>
      </c>
      <c r="T8" s="88">
        <v>25.852450558899399</v>
      </c>
      <c r="U8" s="88">
        <v>35.048925193465173</v>
      </c>
      <c r="V8" s="88">
        <v>32.295012897678419</v>
      </c>
      <c r="W8" s="88">
        <v>34.342562338779018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77.97841788478074</v>
      </c>
      <c r="C10" s="62">
        <f t="shared" ref="C10:V10" si="5">SUM(C11,C17)</f>
        <v>71.467497850386934</v>
      </c>
      <c r="D10" s="62">
        <f t="shared" si="5"/>
        <v>70.445227858985376</v>
      </c>
      <c r="E10" s="62">
        <f t="shared" si="5"/>
        <v>66.24625967325882</v>
      </c>
      <c r="F10" s="62">
        <f t="shared" si="5"/>
        <v>65.338091143594141</v>
      </c>
      <c r="G10" s="62">
        <f t="shared" si="5"/>
        <v>65.295700773860716</v>
      </c>
      <c r="H10" s="62">
        <f t="shared" si="5"/>
        <v>62.877901977644022</v>
      </c>
      <c r="I10" s="62">
        <f t="shared" si="5"/>
        <v>57.674118658641447</v>
      </c>
      <c r="J10" s="62">
        <f t="shared" si="5"/>
        <v>62.252794496990546</v>
      </c>
      <c r="K10" s="62">
        <f t="shared" si="5"/>
        <v>51.246775580395528</v>
      </c>
      <c r="L10" s="62">
        <f t="shared" si="5"/>
        <v>45.399828030954431</v>
      </c>
      <c r="M10" s="62">
        <f t="shared" si="5"/>
        <v>39.939810834049872</v>
      </c>
      <c r="N10" s="62">
        <f t="shared" si="5"/>
        <v>42.17540842648323</v>
      </c>
      <c r="O10" s="62">
        <f t="shared" si="5"/>
        <v>31.815907136715396</v>
      </c>
      <c r="P10" s="62">
        <f t="shared" si="5"/>
        <v>28.718830610490109</v>
      </c>
      <c r="Q10" s="62">
        <f t="shared" si="5"/>
        <v>39.46689595872742</v>
      </c>
      <c r="R10" s="62">
        <f t="shared" si="5"/>
        <v>36.693895098882201</v>
      </c>
      <c r="S10" s="62">
        <f t="shared" si="5"/>
        <v>39.724075666380045</v>
      </c>
      <c r="T10" s="62">
        <f t="shared" si="5"/>
        <v>36.968959587274284</v>
      </c>
      <c r="U10" s="62">
        <f t="shared" si="5"/>
        <v>45.070249355116076</v>
      </c>
      <c r="V10" s="62">
        <f t="shared" si="5"/>
        <v>41.840498710232154</v>
      </c>
      <c r="W10" s="62">
        <f t="shared" ref="W10" si="6">SUM(W11,W17)</f>
        <v>44.682201203783329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41.524940539503547</v>
      </c>
      <c r="C11" s="29">
        <f t="shared" ref="C11:V11" si="8">SUM(C12,C13,C16)</f>
        <v>38.44233191992862</v>
      </c>
      <c r="D11" s="29">
        <f t="shared" si="8"/>
        <v>38.83175364829264</v>
      </c>
      <c r="E11" s="29">
        <f t="shared" si="8"/>
        <v>33.622808313466777</v>
      </c>
      <c r="F11" s="29">
        <f t="shared" si="8"/>
        <v>32.812819381922417</v>
      </c>
      <c r="G11" s="29">
        <f t="shared" si="8"/>
        <v>32.924365392145944</v>
      </c>
      <c r="H11" s="29">
        <f t="shared" si="8"/>
        <v>33.925545871788415</v>
      </c>
      <c r="I11" s="29">
        <f t="shared" si="8"/>
        <v>31.389533555067207</v>
      </c>
      <c r="J11" s="29">
        <f t="shared" si="8"/>
        <v>34.379825482464291</v>
      </c>
      <c r="K11" s="29">
        <f t="shared" si="8"/>
        <v>34.874777495352767</v>
      </c>
      <c r="L11" s="29">
        <f t="shared" si="8"/>
        <v>30.856426922866174</v>
      </c>
      <c r="M11" s="29">
        <f t="shared" si="8"/>
        <v>25.588117206221707</v>
      </c>
      <c r="N11" s="29">
        <f t="shared" si="8"/>
        <v>29.16894988430802</v>
      </c>
      <c r="O11" s="29">
        <f t="shared" si="8"/>
        <v>20.453258665090761</v>
      </c>
      <c r="P11" s="29">
        <f t="shared" si="8"/>
        <v>16.844005370878087</v>
      </c>
      <c r="Q11" s="29">
        <f t="shared" si="8"/>
        <v>24.771322730233603</v>
      </c>
      <c r="R11" s="29">
        <f t="shared" si="8"/>
        <v>22.954980219949054</v>
      </c>
      <c r="S11" s="29">
        <f t="shared" si="8"/>
        <v>24.757480774417068</v>
      </c>
      <c r="T11" s="29">
        <f t="shared" si="8"/>
        <v>22.702230990174616</v>
      </c>
      <c r="U11" s="29">
        <f t="shared" si="8"/>
        <v>29.275668240050386</v>
      </c>
      <c r="V11" s="29">
        <f t="shared" si="8"/>
        <v>24.337238901820612</v>
      </c>
      <c r="W11" s="29">
        <f t="shared" ref="W11" si="9">SUM(W12,W13,W16)</f>
        <v>26.54996235298276</v>
      </c>
      <c r="DA11" s="173" t="s">
        <v>394</v>
      </c>
    </row>
    <row r="12" spans="1:105" ht="11.45" customHeight="1" x14ac:dyDescent="0.25">
      <c r="A12" s="107" t="s">
        <v>23</v>
      </c>
      <c r="B12" s="115">
        <v>2.2826776204541912</v>
      </c>
      <c r="C12" s="115">
        <v>2.6219572578502985</v>
      </c>
      <c r="D12" s="115">
        <v>2.4961171932902868</v>
      </c>
      <c r="E12" s="115">
        <v>2.7524310847394924</v>
      </c>
      <c r="F12" s="115">
        <v>2.4688754653953136</v>
      </c>
      <c r="G12" s="115">
        <v>2.3200948654425533</v>
      </c>
      <c r="H12" s="115">
        <v>2.358419475260205</v>
      </c>
      <c r="I12" s="115">
        <v>2.3300314998234506</v>
      </c>
      <c r="J12" s="115">
        <v>2.543448483544037</v>
      </c>
      <c r="K12" s="115">
        <v>3.618148822802802</v>
      </c>
      <c r="L12" s="115">
        <v>4.786800010195928</v>
      </c>
      <c r="M12" s="115">
        <v>4.5132672672487599</v>
      </c>
      <c r="N12" s="115">
        <v>5.171747779498773</v>
      </c>
      <c r="O12" s="115">
        <v>5.0553425264808265</v>
      </c>
      <c r="P12" s="115">
        <v>3.6841040668514777</v>
      </c>
      <c r="Q12" s="115">
        <v>3.7637496446230392</v>
      </c>
      <c r="R12" s="115">
        <v>4.1590109361083263</v>
      </c>
      <c r="S12" s="115">
        <v>5.3287960268570007</v>
      </c>
      <c r="T12" s="115">
        <v>5.2999965993760734</v>
      </c>
      <c r="U12" s="115">
        <v>5.6543707148626874</v>
      </c>
      <c r="V12" s="115">
        <v>4.4130137562371949</v>
      </c>
      <c r="W12" s="115">
        <v>4.2988194432938247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39.242262919049352</v>
      </c>
      <c r="C13" s="116">
        <f t="shared" ref="C13:V13" si="11">SUM(C14:C15)</f>
        <v>35.820374662078322</v>
      </c>
      <c r="D13" s="116">
        <f t="shared" si="11"/>
        <v>36.335636455002351</v>
      </c>
      <c r="E13" s="116">
        <f t="shared" si="11"/>
        <v>30.870377228727286</v>
      </c>
      <c r="F13" s="116">
        <f t="shared" si="11"/>
        <v>30.343943916527103</v>
      </c>
      <c r="G13" s="116">
        <f t="shared" si="11"/>
        <v>30.604270526703392</v>
      </c>
      <c r="H13" s="116">
        <f t="shared" si="11"/>
        <v>31.567126396528209</v>
      </c>
      <c r="I13" s="116">
        <f t="shared" si="11"/>
        <v>29.059502055243755</v>
      </c>
      <c r="J13" s="116">
        <f t="shared" si="11"/>
        <v>31.836376998920251</v>
      </c>
      <c r="K13" s="116">
        <f t="shared" si="11"/>
        <v>31.256628672549965</v>
      </c>
      <c r="L13" s="116">
        <f t="shared" si="11"/>
        <v>26.069626912670245</v>
      </c>
      <c r="M13" s="116">
        <f t="shared" si="11"/>
        <v>21.074849938972946</v>
      </c>
      <c r="N13" s="116">
        <f t="shared" si="11"/>
        <v>23.997202104809247</v>
      </c>
      <c r="O13" s="116">
        <f t="shared" si="11"/>
        <v>15.397916138609935</v>
      </c>
      <c r="P13" s="116">
        <f t="shared" si="11"/>
        <v>13.159901304026608</v>
      </c>
      <c r="Q13" s="116">
        <f t="shared" si="11"/>
        <v>21.007573085610563</v>
      </c>
      <c r="R13" s="116">
        <f t="shared" si="11"/>
        <v>18.795969283840726</v>
      </c>
      <c r="S13" s="116">
        <f t="shared" si="11"/>
        <v>19.428684747560069</v>
      </c>
      <c r="T13" s="116">
        <f t="shared" si="11"/>
        <v>17.402234390798544</v>
      </c>
      <c r="U13" s="116">
        <f t="shared" si="11"/>
        <v>23.6212975251877</v>
      </c>
      <c r="V13" s="116">
        <f t="shared" si="11"/>
        <v>19.924225145583417</v>
      </c>
      <c r="W13" s="116">
        <f t="shared" ref="W13" si="12">SUM(W14:W15)</f>
        <v>22.251142909688934</v>
      </c>
      <c r="DA13" s="176" t="s">
        <v>396</v>
      </c>
    </row>
    <row r="14" spans="1:105" ht="11.45" customHeight="1" x14ac:dyDescent="0.25">
      <c r="A14" s="111" t="s">
        <v>95</v>
      </c>
      <c r="B14" s="87">
        <v>18.126701098186881</v>
      </c>
      <c r="C14" s="87">
        <v>15.25421026359453</v>
      </c>
      <c r="D14" s="87">
        <v>13.184738806556384</v>
      </c>
      <c r="E14" s="87">
        <v>10.533363161932892</v>
      </c>
      <c r="F14" s="87">
        <v>10.825253264468538</v>
      </c>
      <c r="G14" s="87">
        <v>11.87442985814857</v>
      </c>
      <c r="H14" s="87">
        <v>14.375108661825898</v>
      </c>
      <c r="I14" s="87">
        <v>12.113635965833906</v>
      </c>
      <c r="J14" s="87">
        <v>14.866216561212857</v>
      </c>
      <c r="K14" s="87">
        <v>10.592088595032729</v>
      </c>
      <c r="L14" s="87">
        <v>11.397387771229729</v>
      </c>
      <c r="M14" s="87">
        <v>9.9077111373105442</v>
      </c>
      <c r="N14" s="87">
        <v>14.084807289872311</v>
      </c>
      <c r="O14" s="87">
        <v>9.2828925553848585</v>
      </c>
      <c r="P14" s="87">
        <v>6.2449215439404044</v>
      </c>
      <c r="Q14" s="87">
        <v>7.6247588111529794</v>
      </c>
      <c r="R14" s="87">
        <v>7.152114495071034</v>
      </c>
      <c r="S14" s="87">
        <v>7.1836588538611181</v>
      </c>
      <c r="T14" s="87">
        <v>5.744393589036811</v>
      </c>
      <c r="U14" s="87">
        <v>5.41301546085064</v>
      </c>
      <c r="V14" s="87">
        <v>3.873352136906572</v>
      </c>
      <c r="W14" s="87">
        <v>4.1321762390311561</v>
      </c>
      <c r="DA14" s="171" t="s">
        <v>1106</v>
      </c>
    </row>
    <row r="15" spans="1:105" ht="11.45" customHeight="1" x14ac:dyDescent="0.25">
      <c r="A15" s="111" t="s">
        <v>93</v>
      </c>
      <c r="B15" s="87">
        <v>21.115561820862474</v>
      </c>
      <c r="C15" s="87">
        <v>20.566164398483796</v>
      </c>
      <c r="D15" s="87">
        <v>23.150897648445966</v>
      </c>
      <c r="E15" s="87">
        <v>20.337014066794392</v>
      </c>
      <c r="F15" s="87">
        <v>19.518690652058567</v>
      </c>
      <c r="G15" s="87">
        <v>18.729840668554822</v>
      </c>
      <c r="H15" s="87">
        <v>17.192017734702311</v>
      </c>
      <c r="I15" s="87">
        <v>16.945866089409851</v>
      </c>
      <c r="J15" s="87">
        <v>16.970160437707396</v>
      </c>
      <c r="K15" s="87">
        <v>20.664540077517238</v>
      </c>
      <c r="L15" s="87">
        <v>14.672239141440514</v>
      </c>
      <c r="M15" s="87">
        <v>11.1671388016624</v>
      </c>
      <c r="N15" s="87">
        <v>9.9123948149369348</v>
      </c>
      <c r="O15" s="87">
        <v>6.1150235832250761</v>
      </c>
      <c r="P15" s="87">
        <v>6.9149797600862026</v>
      </c>
      <c r="Q15" s="87">
        <v>13.382814274457584</v>
      </c>
      <c r="R15" s="87">
        <v>11.643854788769691</v>
      </c>
      <c r="S15" s="87">
        <v>12.24502589369895</v>
      </c>
      <c r="T15" s="87">
        <v>11.657840801761733</v>
      </c>
      <c r="U15" s="87">
        <v>18.208282064337059</v>
      </c>
      <c r="V15" s="87">
        <v>16.050873008676845</v>
      </c>
      <c r="W15" s="87">
        <v>18.118966670657777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36.453477345277193</v>
      </c>
      <c r="C17" s="29">
        <f t="shared" si="13"/>
        <v>33.025165930458307</v>
      </c>
      <c r="D17" s="29">
        <f t="shared" si="13"/>
        <v>31.613474210692736</v>
      </c>
      <c r="E17" s="29">
        <f t="shared" si="13"/>
        <v>32.623451359792043</v>
      </c>
      <c r="F17" s="29">
        <f t="shared" si="13"/>
        <v>32.525271761671732</v>
      </c>
      <c r="G17" s="29">
        <f t="shared" si="13"/>
        <v>32.371335381714772</v>
      </c>
      <c r="H17" s="29">
        <f t="shared" si="13"/>
        <v>28.952356105855607</v>
      </c>
      <c r="I17" s="29">
        <f t="shared" si="13"/>
        <v>26.284585103574244</v>
      </c>
      <c r="J17" s="29">
        <f t="shared" si="13"/>
        <v>27.872969014526255</v>
      </c>
      <c r="K17" s="29">
        <f t="shared" si="13"/>
        <v>16.371998085042762</v>
      </c>
      <c r="L17" s="29">
        <f t="shared" si="13"/>
        <v>14.543401108088258</v>
      </c>
      <c r="M17" s="29">
        <f t="shared" si="13"/>
        <v>14.351693627828165</v>
      </c>
      <c r="N17" s="29">
        <f t="shared" si="13"/>
        <v>13.006458542175213</v>
      </c>
      <c r="O17" s="29">
        <f t="shared" si="13"/>
        <v>11.362648471624633</v>
      </c>
      <c r="P17" s="29">
        <f t="shared" si="13"/>
        <v>11.874825239612024</v>
      </c>
      <c r="Q17" s="29">
        <f t="shared" si="13"/>
        <v>14.695573228493817</v>
      </c>
      <c r="R17" s="29">
        <f t="shared" si="13"/>
        <v>13.738914878933148</v>
      </c>
      <c r="S17" s="29">
        <f t="shared" si="13"/>
        <v>14.966594891962981</v>
      </c>
      <c r="T17" s="29">
        <f t="shared" si="13"/>
        <v>14.266728597099672</v>
      </c>
      <c r="U17" s="29">
        <f t="shared" si="13"/>
        <v>15.794581115065689</v>
      </c>
      <c r="V17" s="29">
        <f t="shared" si="13"/>
        <v>17.503259808411542</v>
      </c>
      <c r="W17" s="29">
        <f t="shared" si="13"/>
        <v>18.132238850800569</v>
      </c>
      <c r="DA17" s="173" t="s">
        <v>401</v>
      </c>
    </row>
    <row r="18" spans="1:105" ht="11.45" customHeight="1" x14ac:dyDescent="0.25">
      <c r="A18" s="83" t="s">
        <v>95</v>
      </c>
      <c r="B18" s="87">
        <v>20.900727964581812</v>
      </c>
      <c r="C18" s="87">
        <v>18.638051129354743</v>
      </c>
      <c r="D18" s="87">
        <v>18.653438321560554</v>
      </c>
      <c r="E18" s="87">
        <v>18.223644576674161</v>
      </c>
      <c r="F18" s="87">
        <v>18.313353786262333</v>
      </c>
      <c r="G18" s="87">
        <v>17.909663005136039</v>
      </c>
      <c r="H18" s="87">
        <v>14.624891338174102</v>
      </c>
      <c r="I18" s="87">
        <v>13.144317602523795</v>
      </c>
      <c r="J18" s="87">
        <v>17.463964006284993</v>
      </c>
      <c r="K18" s="87">
        <v>9.6142742596534312</v>
      </c>
      <c r="L18" s="87">
        <v>8.8089750834564295</v>
      </c>
      <c r="M18" s="87">
        <v>8.2780154319069954</v>
      </c>
      <c r="N18" s="87">
        <v>8.1421918502824617</v>
      </c>
      <c r="O18" s="87">
        <v>5.7660326380803175</v>
      </c>
      <c r="P18" s="87">
        <v>5.8788961688712851</v>
      </c>
      <c r="Q18" s="87">
        <v>8.5403314725959412</v>
      </c>
      <c r="R18" s="87">
        <v>5.9820213604749668</v>
      </c>
      <c r="S18" s="87">
        <v>6.3637186181939125</v>
      </c>
      <c r="T18" s="87">
        <v>5.3721154393380797</v>
      </c>
      <c r="U18" s="87">
        <v>4.6083087008002606</v>
      </c>
      <c r="V18" s="87">
        <v>5.6721336756471681</v>
      </c>
      <c r="W18" s="87">
        <v>6.2074626259731449</v>
      </c>
      <c r="DA18" s="171" t="s">
        <v>1108</v>
      </c>
    </row>
    <row r="19" spans="1:105" ht="11.45" customHeight="1" x14ac:dyDescent="0.25">
      <c r="A19" s="85" t="s">
        <v>93</v>
      </c>
      <c r="B19" s="88">
        <v>15.552749380695381</v>
      </c>
      <c r="C19" s="88">
        <v>14.387114801103564</v>
      </c>
      <c r="D19" s="88">
        <v>12.960035889132184</v>
      </c>
      <c r="E19" s="88">
        <v>14.399806783117878</v>
      </c>
      <c r="F19" s="88">
        <v>14.211917975409401</v>
      </c>
      <c r="G19" s="88">
        <v>14.461672376578733</v>
      </c>
      <c r="H19" s="88">
        <v>14.327464767681507</v>
      </c>
      <c r="I19" s="88">
        <v>13.140267501050447</v>
      </c>
      <c r="J19" s="88">
        <v>10.409005008241261</v>
      </c>
      <c r="K19" s="88">
        <v>6.7577238253893306</v>
      </c>
      <c r="L19" s="88">
        <v>5.7344260246318273</v>
      </c>
      <c r="M19" s="88">
        <v>6.0736781959211692</v>
      </c>
      <c r="N19" s="88">
        <v>4.8642666918927508</v>
      </c>
      <c r="O19" s="88">
        <v>5.5966158335443152</v>
      </c>
      <c r="P19" s="88">
        <v>5.9959290707407389</v>
      </c>
      <c r="Q19" s="88">
        <v>6.1552417558978769</v>
      </c>
      <c r="R19" s="88">
        <v>7.756893518458182</v>
      </c>
      <c r="S19" s="88">
        <v>8.602876273769068</v>
      </c>
      <c r="T19" s="88">
        <v>8.8946131577615919</v>
      </c>
      <c r="U19" s="88">
        <v>11.18627241426543</v>
      </c>
      <c r="V19" s="88">
        <v>11.831126132764375</v>
      </c>
      <c r="W19" s="88">
        <v>11.924776224827422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234.29240679309467</v>
      </c>
      <c r="C23" s="62">
        <f>IF(C10=0,0,C10/TrRail_act!C14*100)</f>
        <v>216.26963100973771</v>
      </c>
      <c r="D23" s="62">
        <f>IF(D10=0,0,D10/TrRail_act!D14*100)</f>
        <v>209.47675887945846</v>
      </c>
      <c r="E23" s="62">
        <f>IF(E10=0,0,E10/TrRail_act!E14*100)</f>
        <v>203.13618918755867</v>
      </c>
      <c r="F23" s="62">
        <f>IF(F10=0,0,F10/TrRail_act!F14*100)</f>
        <v>203.93748945238772</v>
      </c>
      <c r="G23" s="62">
        <f>IF(G10=0,0,G10/TrRail_act!G14*100)</f>
        <v>204.16976577496803</v>
      </c>
      <c r="H23" s="62">
        <f>IF(H10=0,0,H10/TrRail_act!H14*100)</f>
        <v>194.23879275118549</v>
      </c>
      <c r="I23" s="62">
        <f>IF(I10=0,0,I10/TrRail_act!I14*100)</f>
        <v>188.55767727184005</v>
      </c>
      <c r="J23" s="62">
        <f>IF(J10=0,0,J10/TrRail_act!J14*100)</f>
        <v>192.04075747675483</v>
      </c>
      <c r="K23" s="62">
        <f>IF(K10=0,0,K10/TrRail_act!K14*100)</f>
        <v>152.90207638348949</v>
      </c>
      <c r="L23" s="62">
        <f>IF(L10=0,0,L10/TrRail_act!L14*100)</f>
        <v>138.29539460507343</v>
      </c>
      <c r="M23" s="62">
        <f>IF(M10=0,0,M10/TrRail_act!M14*100)</f>
        <v>131.7014172979485</v>
      </c>
      <c r="N23" s="62">
        <f>IF(N10=0,0,N10/TrRail_act!N14*100)</f>
        <v>127.47762495823724</v>
      </c>
      <c r="O23" s="62">
        <f>IF(O10=0,0,O10/TrRail_act!O14*100)</f>
        <v>112.81550988867595</v>
      </c>
      <c r="P23" s="62">
        <f>IF(P10=0,0,P10/TrRail_act!P14*100)</f>
        <v>118.25192747027815</v>
      </c>
      <c r="Q23" s="62">
        <f>IF(Q10=0,0,Q10/TrRail_act!Q14*100)</f>
        <v>122.74656591686298</v>
      </c>
      <c r="R23" s="62">
        <f>IF(R10=0,0,R10/TrRail_act!R14*100)</f>
        <v>110.08161594928572</v>
      </c>
      <c r="S23" s="62">
        <f>IF(S10=0,0,S10/TrRail_act!S14*100)</f>
        <v>104.2475898674834</v>
      </c>
      <c r="T23" s="62">
        <f>IF(T10=0,0,T10/TrRail_act!T14*100)</f>
        <v>100.7006521810375</v>
      </c>
      <c r="U23" s="62">
        <f>IF(U10=0,0,U10/TrRail_act!U14*100)</f>
        <v>100.16148041195201</v>
      </c>
      <c r="V23" s="62">
        <f>IF(V10=0,0,V10/TrRail_act!V14*100)</f>
        <v>106.29896602151838</v>
      </c>
      <c r="W23" s="62">
        <f>IF(W10=0,0,W10/TrRail_act!W14*100)</f>
        <v>107.81858371554367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178.64707970847564</v>
      </c>
      <c r="C24" s="29">
        <f>IF(C11=0,0,C11/TrRail_act!C15*100)</f>
        <v>162.22778284034172</v>
      </c>
      <c r="D24" s="29">
        <f>IF(D11=0,0,D11/TrRail_act!D15*100)</f>
        <v>156.97657401113781</v>
      </c>
      <c r="E24" s="29">
        <f>IF(E11=0,0,E11/TrRail_act!E15*100)</f>
        <v>146.51133118213266</v>
      </c>
      <c r="F24" s="29">
        <f>IF(F11=0,0,F11/TrRail_act!F15*100)</f>
        <v>146.84466011988741</v>
      </c>
      <c r="G24" s="29">
        <f>IF(G11=0,0,G11/TrRail_act!G15*100)</f>
        <v>148.2338836902301</v>
      </c>
      <c r="H24" s="29">
        <f>IF(H11=0,0,H11/TrRail_act!H15*100)</f>
        <v>146.52091937671307</v>
      </c>
      <c r="I24" s="29">
        <f>IF(I11=0,0,I11/TrRail_act!I15*100)</f>
        <v>142.14455373687713</v>
      </c>
      <c r="J24" s="29">
        <f>IF(J11=0,0,J11/TrRail_act!J15*100)</f>
        <v>142.08627488587692</v>
      </c>
      <c r="K24" s="29">
        <f>IF(K11=0,0,K11/TrRail_act!K15*100)</f>
        <v>124.64439726545598</v>
      </c>
      <c r="L24" s="29">
        <f>IF(L11=0,0,L11/TrRail_act!L15*100)</f>
        <v>110.38000019475982</v>
      </c>
      <c r="M24" s="29">
        <f>IF(M11=0,0,M11/TrRail_act!M15*100)</f>
        <v>101.25568182610536</v>
      </c>
      <c r="N24" s="29">
        <f>IF(N11=0,0,N11/TrRail_act!N15*100)</f>
        <v>102.50505783228931</v>
      </c>
      <c r="O24" s="29">
        <f>IF(O11=0,0,O11/TrRail_act!O15*100)</f>
        <v>87.182059987546239</v>
      </c>
      <c r="P24" s="29">
        <f>IF(P11=0,0,P11/TrRail_act!P15*100)</f>
        <v>87.772219283470918</v>
      </c>
      <c r="Q24" s="29">
        <f>IF(Q11=0,0,Q11/TrRail_act!Q15*100)</f>
        <v>94.325168437856149</v>
      </c>
      <c r="R24" s="29">
        <f>IF(R11=0,0,R11/TrRail_act!R15*100)</f>
        <v>86.504746540487716</v>
      </c>
      <c r="S24" s="29">
        <f>IF(S11=0,0,S11/TrRail_act!S15*100)</f>
        <v>80.954662416778717</v>
      </c>
      <c r="T24" s="29">
        <f>IF(T11=0,0,T11/TrRail_act!T15*100)</f>
        <v>77.773448053723342</v>
      </c>
      <c r="U24" s="29">
        <f>IF(U11=0,0,U11/TrRail_act!U15*100)</f>
        <v>81.249501306199463</v>
      </c>
      <c r="V24" s="29">
        <f>IF(V11=0,0,V11/TrRail_act!V15*100)</f>
        <v>82.071759585675778</v>
      </c>
      <c r="W24" s="29">
        <f>IF(W11=0,0,W11/TrRail_act!W15*100)</f>
        <v>84.245798759579884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47.895276348604362</v>
      </c>
      <c r="C25" s="115">
        <f>IF(C12=0,0,C12/TrRail_act!C16*100)</f>
        <v>47.371480099758926</v>
      </c>
      <c r="D25" s="115">
        <f>IF(D12=0,0,D12/TrRail_act!D16*100)</f>
        <v>46.828202375547058</v>
      </c>
      <c r="E25" s="115">
        <f>IF(E12=0,0,E12/TrRail_act!E16*100)</f>
        <v>46.630704761177448</v>
      </c>
      <c r="F25" s="115">
        <f>IF(F12=0,0,F12/TrRail_act!F16*100)</f>
        <v>46.165430249425782</v>
      </c>
      <c r="G25" s="115">
        <f>IF(G12=0,0,G12/TrRail_act!G16*100)</f>
        <v>44.105682250041532</v>
      </c>
      <c r="H25" s="115">
        <f>IF(H12=0,0,H12/TrRail_act!H16*100)</f>
        <v>43.416186740011725</v>
      </c>
      <c r="I25" s="115">
        <f>IF(I12=0,0,I12/TrRail_act!I16*100)</f>
        <v>42.870009070630026</v>
      </c>
      <c r="J25" s="115">
        <f>IF(J12=0,0,J12/TrRail_act!J16*100)</f>
        <v>42.309986048512613</v>
      </c>
      <c r="K25" s="115">
        <f>IF(K12=0,0,K12/TrRail_act!K16*100)</f>
        <v>41.621741836863912</v>
      </c>
      <c r="L25" s="115">
        <f>IF(L12=0,0,L12/TrRail_act!L16*100)</f>
        <v>41.642407535143704</v>
      </c>
      <c r="M25" s="115">
        <f>IF(M12=0,0,M12/TrRail_act!M16*100)</f>
        <v>40.916124828958239</v>
      </c>
      <c r="N25" s="115">
        <f>IF(N12=0,0,N12/TrRail_act!N16*100)</f>
        <v>40.406889436018396</v>
      </c>
      <c r="O25" s="115">
        <f>IF(O12=0,0,O12/TrRail_act!O16*100)</f>
        <v>39.608743765544816</v>
      </c>
      <c r="P25" s="115">
        <f>IF(P12=0,0,P12/TrRail_act!P16*100)</f>
        <v>39.099803856669865</v>
      </c>
      <c r="Q25" s="115">
        <f>IF(Q12=0,0,Q12/TrRail_act!Q16*100)</f>
        <v>38.22380614138266</v>
      </c>
      <c r="R25" s="115">
        <f>IF(R12=0,0,R12/TrRail_act!R16*100)</f>
        <v>37.579711621123465</v>
      </c>
      <c r="S25" s="115">
        <f>IF(S12=0,0,S12/TrRail_act!S16*100)</f>
        <v>37.103773320641388</v>
      </c>
      <c r="T25" s="115">
        <f>IF(T12=0,0,T12/TrRail_act!T16*100)</f>
        <v>36.75077943053811</v>
      </c>
      <c r="U25" s="115">
        <f>IF(U12=0,0,U12/TrRail_act!U16*100)</f>
        <v>36.488239633604088</v>
      </c>
      <c r="V25" s="115">
        <f>IF(V12=0,0,V12/TrRail_act!V16*100)</f>
        <v>36.292566336038739</v>
      </c>
      <c r="W25" s="115">
        <f>IF(W12=0,0,W12/TrRail_act!W16*100)</f>
        <v>36.146500246609847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212.37124921733312</v>
      </c>
      <c r="C26" s="116">
        <f>IF(C13=0,0,C13/TrRail_act!C17*100)</f>
        <v>197.23105642486968</v>
      </c>
      <c r="D26" s="116">
        <f>IF(D13=0,0,D13/TrRail_act!D17*100)</f>
        <v>187.23030487735085</v>
      </c>
      <c r="E26" s="116">
        <f>IF(E13=0,0,E13/TrRail_act!E17*100)</f>
        <v>181.0968890728827</v>
      </c>
      <c r="F26" s="116">
        <f>IF(F13=0,0,F13/TrRail_act!F17*100)</f>
        <v>178.52139644912913</v>
      </c>
      <c r="G26" s="116">
        <f>IF(G13=0,0,G13/TrRail_act!G17*100)</f>
        <v>180.54781254323643</v>
      </c>
      <c r="H26" s="116">
        <f>IF(H13=0,0,H13/TrRail_act!H17*100)</f>
        <v>178.12452612492032</v>
      </c>
      <c r="I26" s="116">
        <f>IF(I13=0,0,I13/TrRail_act!I17*100)</f>
        <v>174.55547975280606</v>
      </c>
      <c r="J26" s="116">
        <f>IF(J13=0,0,J13/TrRail_act!J17*100)</f>
        <v>175.06960700600445</v>
      </c>
      <c r="K26" s="116">
        <f>IF(K13=0,0,K13/TrRail_act!K17*100)</f>
        <v>162.06490107077838</v>
      </c>
      <c r="L26" s="116">
        <f>IF(L13=0,0,L13/TrRail_act!L17*100)</f>
        <v>158.38444995880769</v>
      </c>
      <c r="M26" s="116">
        <f>IF(M13=0,0,M13/TrRail_act!M17*100)</f>
        <v>147.9948197687248</v>
      </c>
      <c r="N26" s="116">
        <f>IF(N13=0,0,N13/TrRail_act!N17*100)</f>
        <v>153.26883957788499</v>
      </c>
      <c r="O26" s="116">
        <f>IF(O13=0,0,O13/TrRail_act!O17*100)</f>
        <v>143.94342401999765</v>
      </c>
      <c r="P26" s="116">
        <f>IF(P13=0,0,P13/TrRail_act!P17*100)</f>
        <v>134.72076066181796</v>
      </c>
      <c r="Q26" s="116">
        <f>IF(Q13=0,0,Q13/TrRail_act!Q17*100)</f>
        <v>127.97779276949055</v>
      </c>
      <c r="R26" s="116">
        <f>IF(R13=0,0,R13/TrRail_act!R17*100)</f>
        <v>121.5079430194229</v>
      </c>
      <c r="S26" s="116">
        <f>IF(S13=0,0,S13/TrRail_act!S17*100)</f>
        <v>119.7819959259145</v>
      </c>
      <c r="T26" s="116">
        <f>IF(T13=0,0,T13/TrRail_act!T17*100)</f>
        <v>117.83143188238037</v>
      </c>
      <c r="U26" s="116">
        <f>IF(U13=0,0,U13/TrRail_act!U17*100)</f>
        <v>115.02724707566499</v>
      </c>
      <c r="V26" s="116">
        <f>IF(V13=0,0,V13/TrRail_act!V17*100)</f>
        <v>113.89139596136924</v>
      </c>
      <c r="W26" s="116">
        <f>IF(W13=0,0,W13/TrRail_act!W17*100)</f>
        <v>113.39830820503683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267.42885500350991</v>
      </c>
      <c r="C27" s="87">
        <f>IF(C14=0,0,C14/TrRail_act!C18*100)</f>
        <v>259.66858266512622</v>
      </c>
      <c r="D27" s="87">
        <f>IF(D14=0,0,D14/TrRail_act!D18*100)</f>
        <v>250.51572036246856</v>
      </c>
      <c r="E27" s="87">
        <f>IF(E14=0,0,E14/TrRail_act!E18*100)</f>
        <v>242.47152926482093</v>
      </c>
      <c r="F27" s="87">
        <f>IF(F14=0,0,F14/TrRail_act!F18*100)</f>
        <v>236.86132197057213</v>
      </c>
      <c r="G27" s="87">
        <f>IF(G14=0,0,G14/TrRail_act!G18*100)</f>
        <v>231.45336121931902</v>
      </c>
      <c r="H27" s="87">
        <f>IF(H14=0,0,H14/TrRail_act!H18*100)</f>
        <v>238.15020190247006</v>
      </c>
      <c r="I27" s="87">
        <f>IF(I14=0,0,I14/TrRail_act!I18*100)</f>
        <v>225.03280469584899</v>
      </c>
      <c r="J27" s="87">
        <f>IF(J14=0,0,J14/TrRail_act!J18*100)</f>
        <v>223.2673300424897</v>
      </c>
      <c r="K27" s="87">
        <f>IF(K14=0,0,K14/TrRail_act!K18*100)</f>
        <v>219.01076127260595</v>
      </c>
      <c r="L27" s="87">
        <f>IF(L14=0,0,L14/TrRail_act!L18*100)</f>
        <v>210.77166406184782</v>
      </c>
      <c r="M27" s="87">
        <f>IF(M14=0,0,M14/TrRail_act!M18*100)</f>
        <v>191.93834460189089</v>
      </c>
      <c r="N27" s="87">
        <f>IF(N14=0,0,N14/TrRail_act!N18*100)</f>
        <v>188.14808682097799</v>
      </c>
      <c r="O27" s="87">
        <f>IF(O14=0,0,O14/TrRail_act!O18*100)</f>
        <v>171.5867136533688</v>
      </c>
      <c r="P27" s="87">
        <f>IF(P14=0,0,P14/TrRail_act!P18*100)</f>
        <v>161.22106186557971</v>
      </c>
      <c r="Q27" s="87">
        <f>IF(Q14=0,0,Q14/TrRail_act!Q18*100)</f>
        <v>160.52433940868539</v>
      </c>
      <c r="R27" s="87">
        <f>IF(R14=0,0,R14/TrRail_act!R18*100)</f>
        <v>140.3233099633573</v>
      </c>
      <c r="S27" s="87">
        <f>IF(S14=0,0,S14/TrRail_act!S18*100)</f>
        <v>137.00779363668894</v>
      </c>
      <c r="T27" s="87">
        <f>IF(T14=0,0,T14/TrRail_act!T18*100)</f>
        <v>134.57266768821691</v>
      </c>
      <c r="U27" s="87">
        <f>IF(U14=0,0,U14/TrRail_act!U18*100)</f>
        <v>132.77476870711305</v>
      </c>
      <c r="V27" s="87">
        <f>IF(V14=0,0,V14/TrRail_act!V18*100)</f>
        <v>131.44212524541138</v>
      </c>
      <c r="W27" s="87">
        <f>IF(W14=0,0,W14/TrRail_act!W18*100)</f>
        <v>130.45142737199305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180.47483623879805</v>
      </c>
      <c r="C28" s="87">
        <f>IF(C15=0,0,C15/TrRail_act!C19*100)</f>
        <v>167.37961710324154</v>
      </c>
      <c r="D28" s="87">
        <f>IF(D15=0,0,D15/TrRail_act!D19*100)</f>
        <v>163.68135434328892</v>
      </c>
      <c r="E28" s="87">
        <f>IF(E15=0,0,E15/TrRail_act!E19*100)</f>
        <v>160.1066473599125</v>
      </c>
      <c r="F28" s="87">
        <f>IF(F15=0,0,F15/TrRail_act!F19*100)</f>
        <v>157.06579370546967</v>
      </c>
      <c r="G28" s="87">
        <f>IF(G15=0,0,G15/TrRail_act!G19*100)</f>
        <v>158.4534259913238</v>
      </c>
      <c r="H28" s="87">
        <f>IF(H15=0,0,H15/TrRail_act!H19*100)</f>
        <v>147.11899711879079</v>
      </c>
      <c r="I28" s="87">
        <f>IF(I15=0,0,I15/TrRail_act!I19*100)</f>
        <v>150.43384187945915</v>
      </c>
      <c r="J28" s="87">
        <f>IF(J15=0,0,J15/TrRail_act!J19*100)</f>
        <v>147.22735502616504</v>
      </c>
      <c r="K28" s="87">
        <f>IF(K15=0,0,K15/TrRail_act!K19*100)</f>
        <v>143.00565275386913</v>
      </c>
      <c r="L28" s="87">
        <f>IF(L15=0,0,L15/TrRail_act!L19*100)</f>
        <v>132.75333754326223</v>
      </c>
      <c r="M28" s="87">
        <f>IF(M15=0,0,M15/TrRail_act!M19*100)</f>
        <v>123.00862452545263</v>
      </c>
      <c r="N28" s="87">
        <f>IF(N15=0,0,N15/TrRail_act!N19*100)</f>
        <v>121.31319074575002</v>
      </c>
      <c r="O28" s="87">
        <f>IF(O15=0,0,O15/TrRail_act!O19*100)</f>
        <v>115.65777813022893</v>
      </c>
      <c r="P28" s="87">
        <f>IF(P15=0,0,P15/TrRail_act!P19*100)</f>
        <v>117.3071234743712</v>
      </c>
      <c r="Q28" s="87">
        <f>IF(Q15=0,0,Q15/TrRail_act!Q19*100)</f>
        <v>114.72518213498233</v>
      </c>
      <c r="R28" s="87">
        <f>IF(R15=0,0,R15/TrRail_act!R19*100)</f>
        <v>112.26195845360245</v>
      </c>
      <c r="S28" s="87">
        <f>IF(S15=0,0,S15/TrRail_act!S19*100)</f>
        <v>111.55380340988428</v>
      </c>
      <c r="T28" s="87">
        <f>IF(T15=0,0,T15/TrRail_act!T19*100)</f>
        <v>111.02562019484591</v>
      </c>
      <c r="U28" s="87">
        <f>IF(U15=0,0,U15/TrRail_act!U19*100)</f>
        <v>110.63112460417919</v>
      </c>
      <c r="V28" s="87">
        <f>IF(V15=0,0,V15/TrRail_act!V19*100)</f>
        <v>110.33617306224531</v>
      </c>
      <c r="W28" s="87">
        <f>IF(W15=0,0,W15/TrRail_act!W19*100)</f>
        <v>110.11547543727822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363.14028214086147</v>
      </c>
      <c r="C30" s="29">
        <f>IF(C17=0,0,C17/TrRail_act!C21*100)</f>
        <v>353.24665902281311</v>
      </c>
      <c r="D30" s="29">
        <f>IF(D17=0,0,D17/TrRail_act!D21*100)</f>
        <v>355.53332082158062</v>
      </c>
      <c r="E30" s="29">
        <f>IF(E17=0,0,E17/TrRail_act!E21*100)</f>
        <v>337.6190478763595</v>
      </c>
      <c r="F30" s="29">
        <f>IF(F17=0,0,F17/TrRail_act!F21*100)</f>
        <v>335.55303716540715</v>
      </c>
      <c r="G30" s="29">
        <f>IF(G17=0,0,G17/TrRail_act!G21*100)</f>
        <v>331.33439186432071</v>
      </c>
      <c r="H30" s="29">
        <f>IF(H17=0,0,H17/TrRail_act!H21*100)</f>
        <v>314.10609959314041</v>
      </c>
      <c r="I30" s="29">
        <f>IF(I17=0,0,I17/TrRail_act!I21*100)</f>
        <v>309.07896244754909</v>
      </c>
      <c r="J30" s="29">
        <f>IF(J17=0,0,J17/TrRail_act!J21*100)</f>
        <v>339.08698867272943</v>
      </c>
      <c r="K30" s="29">
        <f>IF(K17=0,0,K17/TrRail_act!K21*100)</f>
        <v>295.70185651767611</v>
      </c>
      <c r="L30" s="29">
        <f>IF(L17=0,0,L17/TrRail_act!L21*100)</f>
        <v>298.42229442624398</v>
      </c>
      <c r="M30" s="29">
        <f>IF(M17=0,0,M17/TrRail_act!M21*100)</f>
        <v>283.89775498519606</v>
      </c>
      <c r="N30" s="29">
        <f>IF(N17=0,0,N17/TrRail_act!N21*100)</f>
        <v>281.01111771210185</v>
      </c>
      <c r="O30" s="29">
        <f>IF(O17=0,0,O17/TrRail_act!O21*100)</f>
        <v>239.65182344955113</v>
      </c>
      <c r="P30" s="29">
        <f>IF(P17=0,0,P17/TrRail_act!P21*100)</f>
        <v>233.04290539674503</v>
      </c>
      <c r="Q30" s="29">
        <f>IF(Q17=0,0,Q17/TrRail_act!Q21*100)</f>
        <v>249.4355509921217</v>
      </c>
      <c r="R30" s="29">
        <f>IF(R17=0,0,R17/TrRail_act!R21*100)</f>
        <v>202.12427831877719</v>
      </c>
      <c r="S30" s="29">
        <f>IF(S17=0,0,S17/TrRail_act!S21*100)</f>
        <v>198.92859931055361</v>
      </c>
      <c r="T30" s="29">
        <f>IF(T17=0,0,T17/TrRail_act!T21*100)</f>
        <v>189.67853562249084</v>
      </c>
      <c r="U30" s="29">
        <f>IF(U17=0,0,U17/TrRail_act!U21*100)</f>
        <v>176.1652781780856</v>
      </c>
      <c r="V30" s="29">
        <f>IF(V17=0,0,V17/TrRail_act!V21*100)</f>
        <v>180.30575172902442</v>
      </c>
      <c r="W30" s="29">
        <f>IF(W17=0,0,W17/TrRail_act!W21*100)</f>
        <v>182.6531618959078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577.46951188313619</v>
      </c>
      <c r="C31" s="87">
        <f>IF(C18=0,0,C18/TrRail_act!C22*100)</f>
        <v>563.35161485797278</v>
      </c>
      <c r="D31" s="87">
        <f>IF(D18=0,0,D18/TrRail_act!D22*100)</f>
        <v>558.52685348351997</v>
      </c>
      <c r="E31" s="87">
        <f>IF(E18=0,0,E18/TrRail_act!E22*100)</f>
        <v>528.64340377356041</v>
      </c>
      <c r="F31" s="87">
        <f>IF(F18=0,0,F18/TrRail_act!F22*100)</f>
        <v>518.77395977167612</v>
      </c>
      <c r="G31" s="87">
        <f>IF(G18=0,0,G18/TrRail_act!G22*100)</f>
        <v>525.67873084083976</v>
      </c>
      <c r="H31" s="87">
        <f>IF(H18=0,0,H18/TrRail_act!H22*100)</f>
        <v>527.88522974383648</v>
      </c>
      <c r="I31" s="87">
        <f>IF(I18=0,0,I18/TrRail_act!I22*100)</f>
        <v>502.96479039844655</v>
      </c>
      <c r="J31" s="87">
        <f>IF(J18=0,0,J18/TrRail_act!J22*100)</f>
        <v>496.95910861405014</v>
      </c>
      <c r="K31" s="87">
        <f>IF(K18=0,0,K18/TrRail_act!K22*100)</f>
        <v>491.8834826083766</v>
      </c>
      <c r="L31" s="87">
        <f>IF(L18=0,0,L18/TrRail_act!L22*100)</f>
        <v>484.09303171961636</v>
      </c>
      <c r="M31" s="87">
        <f>IF(M18=0,0,M18/TrRail_act!M22*100)</f>
        <v>466.97001824517974</v>
      </c>
      <c r="N31" s="87">
        <f>IF(N18=0,0,N18/TrRail_act!N22*100)</f>
        <v>462.26767699816043</v>
      </c>
      <c r="O31" s="87">
        <f>IF(O18=0,0,O18/TrRail_act!O22*100)</f>
        <v>448.54093279087942</v>
      </c>
      <c r="P31" s="87">
        <f>IF(P18=0,0,P18/TrRail_act!P22*100)</f>
        <v>444.45825990444428</v>
      </c>
      <c r="Q31" s="87">
        <f>IF(Q18=0,0,Q18/TrRail_act!Q22*100)</f>
        <v>442.21141008988116</v>
      </c>
      <c r="R31" s="87">
        <f>IF(R18=0,0,R18/TrRail_act!R22*100)</f>
        <v>411.01796992501238</v>
      </c>
      <c r="S31" s="87">
        <f>IF(S18=0,0,S18/TrRail_act!S22*100)</f>
        <v>408.52934545581707</v>
      </c>
      <c r="T31" s="87">
        <f>IF(T18=0,0,T18/TrRail_act!T22*100)</f>
        <v>406.67277053039743</v>
      </c>
      <c r="U31" s="87">
        <f>IF(U18=0,0,U18/TrRail_act!U22*100)</f>
        <v>405.28587839154932</v>
      </c>
      <c r="V31" s="87">
        <f>IF(V18=0,0,V18/TrRail_act!V22*100)</f>
        <v>404.24881408386506</v>
      </c>
      <c r="W31" s="87">
        <f>IF(W18=0,0,W18/TrRail_act!W22*100)</f>
        <v>403.47275658891579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242.29103910386408</v>
      </c>
      <c r="C32" s="88">
        <f>IF(C19=0,0,C19/TrRail_act!C23*100)</f>
        <v>238.17297374846459</v>
      </c>
      <c r="D32" s="88">
        <f>IF(D19=0,0,D19/TrRail_act!D23*100)</f>
        <v>233.42630273869145</v>
      </c>
      <c r="E32" s="88">
        <f>IF(E19=0,0,E19/TrRail_act!E23*100)</f>
        <v>231.67381021325286</v>
      </c>
      <c r="F32" s="88">
        <f>IF(F19=0,0,F19/TrRail_act!F23*100)</f>
        <v>230.60392224795123</v>
      </c>
      <c r="G32" s="88">
        <f>IF(G19=0,0,G19/TrRail_act!G23*100)</f>
        <v>227.27651740157509</v>
      </c>
      <c r="H32" s="88">
        <f>IF(H19=0,0,H19/TrRail_act!H23*100)</f>
        <v>222.23759869161435</v>
      </c>
      <c r="I32" s="88">
        <f>IF(I19=0,0,I19/TrRail_act!I23*100)</f>
        <v>223.06431426508797</v>
      </c>
      <c r="J32" s="88">
        <f>IF(J19=0,0,J19/TrRail_act!J23*100)</f>
        <v>221.19333406464074</v>
      </c>
      <c r="K32" s="88">
        <f>IF(K19=0,0,K19/TrRail_act!K23*100)</f>
        <v>188.65396842985052</v>
      </c>
      <c r="L32" s="88">
        <f>IF(L19=0,0,L19/TrRail_act!L23*100)</f>
        <v>187.78349162325642</v>
      </c>
      <c r="M32" s="88">
        <f>IF(M19=0,0,M19/TrRail_act!M23*100)</f>
        <v>185.03067018656455</v>
      </c>
      <c r="N32" s="88">
        <f>IF(N19=0,0,N19/TrRail_act!N23*100)</f>
        <v>169.65860068967498</v>
      </c>
      <c r="O32" s="88">
        <f>IF(O19=0,0,O19/TrRail_act!O23*100)</f>
        <v>161.94817944651879</v>
      </c>
      <c r="P32" s="88">
        <f>IF(P19=0,0,P19/TrRail_act!P23*100)</f>
        <v>158.92337876454371</v>
      </c>
      <c r="Q32" s="88">
        <f>IF(Q19=0,0,Q19/TrRail_act!Q23*100)</f>
        <v>155.42545954809324</v>
      </c>
      <c r="R32" s="88">
        <f>IF(R19=0,0,R19/TrRail_act!R23*100)</f>
        <v>145.21000594794714</v>
      </c>
      <c r="S32" s="88">
        <f>IF(S19=0,0,S19/TrRail_act!S23*100)</f>
        <v>144.20111583034569</v>
      </c>
      <c r="T32" s="88">
        <f>IF(T19=0,0,T19/TrRail_act!T23*100)</f>
        <v>143.44905093964536</v>
      </c>
      <c r="U32" s="88">
        <f>IF(U19=0,0,U19/TrRail_act!U23*100)</f>
        <v>142.88757740864477</v>
      </c>
      <c r="V32" s="88">
        <f>IF(V19=0,0,V19/TrRail_act!V23*100)</f>
        <v>142.46791494706258</v>
      </c>
      <c r="W32" s="88">
        <f>IF(W19=0,0,W19/TrRail_act!W23*100)</f>
        <v>142.15397698783823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10.672048455282331</v>
      </c>
      <c r="C35" s="29">
        <f>IF(C11=0,0,C11/TrRail_act!C4*1000)</f>
        <v>11.113712610560455</v>
      </c>
      <c r="D35" s="29">
        <f>IF(D11=0,0,D11/TrRail_act!D4*1000)</f>
        <v>12.798864089747079</v>
      </c>
      <c r="E35" s="29">
        <f>IF(E11=0,0,E11/TrRail_act!E4*1000)</f>
        <v>11.1964063647908</v>
      </c>
      <c r="F35" s="29">
        <f>IF(F11=0,0,F11/TrRail_act!F4*1000)</f>
        <v>11.53755955763798</v>
      </c>
      <c r="G35" s="29">
        <f>IF(G11=0,0,G11/TrRail_act!G4*1000)</f>
        <v>11.662899536714823</v>
      </c>
      <c r="H35" s="29">
        <f>IF(H11=0,0,H11/TrRail_act!H4*1000)</f>
        <v>11.874534781865039</v>
      </c>
      <c r="I35" s="29">
        <f>IF(I11=0,0,I11/TrRail_act!I4*1000)</f>
        <v>11.025477188291958</v>
      </c>
      <c r="J35" s="29">
        <f>IF(J11=0,0,J11/TrRail_act!J4*1000)</f>
        <v>12.265367635556295</v>
      </c>
      <c r="K35" s="29">
        <f>IF(K11=0,0,K11/TrRail_act!K4*1000)</f>
        <v>12.340685596373945</v>
      </c>
      <c r="L35" s="29">
        <f>IF(L11=0,0,L11/TrRail_act!L4*1000)</f>
        <v>10.288905276047407</v>
      </c>
      <c r="M35" s="29">
        <f>IF(M11=0,0,M11/TrRail_act!M4*1000)</f>
        <v>8.7301662252547612</v>
      </c>
      <c r="N35" s="29">
        <f>IF(N11=0,0,N11/TrRail_act!N4*1000)</f>
        <v>10.093062243705196</v>
      </c>
      <c r="O35" s="29">
        <f>IF(O11=0,0,O11/TrRail_act!O4*1000)</f>
        <v>7.2247469675347089</v>
      </c>
      <c r="P35" s="29">
        <f>IF(P11=0,0,P11/TrRail_act!P4*1000)</f>
        <v>6.940257672384873</v>
      </c>
      <c r="Q35" s="29">
        <f>IF(Q11=0,0,Q11/TrRail_act!Q4*1000)</f>
        <v>10.819637808370992</v>
      </c>
      <c r="R35" s="29">
        <f>IF(R11=0,0,R11/TrRail_act!R4*1000)</f>
        <v>10.112326088083284</v>
      </c>
      <c r="S35" s="29">
        <f>IF(S11=0,0,S11/TrRail_act!S4*1000)</f>
        <v>9.8871728332336541</v>
      </c>
      <c r="T35" s="29">
        <f>IF(T11=0,0,T11/TrRail_act!T4*1000)</f>
        <v>8.8645962476277305</v>
      </c>
      <c r="U35" s="29">
        <f>IF(U11=0,0,U11/TrRail_act!U4*1000)</f>
        <v>11.373608484868059</v>
      </c>
      <c r="V35" s="29">
        <f>IF(V11=0,0,V11/TrRail_act!V4*1000)</f>
        <v>13.460862224458303</v>
      </c>
      <c r="W35" s="29">
        <f>IF(W11=0,0,W11/TrRail_act!W4*1000)</f>
        <v>13.594450769576426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5.4479179485780218</v>
      </c>
      <c r="C36" s="115">
        <f>IF(C12=0,0,C12/TrRail_act!C5*1000)</f>
        <v>5.5905272022394428</v>
      </c>
      <c r="D36" s="115">
        <f>IF(D12=0,0,D12/TrRail_act!D5*1000)</f>
        <v>5.7250394341520341</v>
      </c>
      <c r="E36" s="115">
        <f>IF(E12=0,0,E12/TrRail_act!E5*1000)</f>
        <v>5.6634384459660341</v>
      </c>
      <c r="F36" s="115">
        <f>IF(F12=0,0,F12/TrRail_act!F5*1000)</f>
        <v>5.6110806031711675</v>
      </c>
      <c r="G36" s="115">
        <f>IF(G12=0,0,G12/TrRail_act!G5*1000)</f>
        <v>5.3458407037846856</v>
      </c>
      <c r="H36" s="115">
        <f>IF(H12=0,0,H12/TrRail_act!H5*1000)</f>
        <v>5.2879360431843168</v>
      </c>
      <c r="I36" s="115">
        <f>IF(I12=0,0,I12/TrRail_act!I5*1000)</f>
        <v>5.2596647851545155</v>
      </c>
      <c r="J36" s="115">
        <f>IF(J12=0,0,J12/TrRail_act!J5*1000)</f>
        <v>5.2334330937120104</v>
      </c>
      <c r="K36" s="115">
        <f>IF(K12=0,0,K12/TrRail_act!K5*1000)</f>
        <v>5.2589372424459331</v>
      </c>
      <c r="L36" s="115">
        <f>IF(L12=0,0,L12/TrRail_act!L5*1000)</f>
        <v>5.2660066118767084</v>
      </c>
      <c r="M36" s="115">
        <f>IF(M12=0,0,M12/TrRail_act!M5*1000)</f>
        <v>5.1757652147348168</v>
      </c>
      <c r="N36" s="115">
        <f>IF(N12=0,0,N12/TrRail_act!N5*1000)</f>
        <v>5.0703409602929153</v>
      </c>
      <c r="O36" s="115">
        <f>IF(O12=0,0,O12/TrRail_act!O5*1000)</f>
        <v>5.0052896301790364</v>
      </c>
      <c r="P36" s="115">
        <f>IF(P12=0,0,P12/TrRail_act!P5*1000)</f>
        <v>5.0536406952695172</v>
      </c>
      <c r="Q36" s="115">
        <f>IF(Q12=0,0,Q12/TrRail_act!Q5*1000)</f>
        <v>5.0828649124255412</v>
      </c>
      <c r="R36" s="115">
        <f>IF(R12=0,0,R12/TrRail_act!R5*1000)</f>
        <v>5.1030809032004001</v>
      </c>
      <c r="S36" s="115">
        <f>IF(S12=0,0,S12/TrRail_act!S5*1000)</f>
        <v>4.9801832026700943</v>
      </c>
      <c r="T36" s="115">
        <f>IF(T12=0,0,T12/TrRail_act!T5*1000)</f>
        <v>4.8847894925125104</v>
      </c>
      <c r="U36" s="115">
        <f>IF(U12=0,0,U12/TrRail_act!U5*1000)</f>
        <v>5.3646780975926829</v>
      </c>
      <c r="V36" s="115">
        <f>IF(V12=0,0,V12/TrRail_act!V5*1000)</f>
        <v>6.3956721104886887</v>
      </c>
      <c r="W36" s="115">
        <f>IF(W12=0,0,W12/TrRail_act!W5*1000)</f>
        <v>5.7317592577250993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11.302495080371358</v>
      </c>
      <c r="C37" s="116">
        <f>IF(C13=0,0,C13/TrRail_act!C6*1000)</f>
        <v>11.980058415410809</v>
      </c>
      <c r="D37" s="116">
        <f>IF(D13=0,0,D13/TrRail_act!D6*1000)</f>
        <v>13.986003254427388</v>
      </c>
      <c r="E37" s="116">
        <f>IF(E13=0,0,E13/TrRail_act!E6*1000)</f>
        <v>12.264750587495943</v>
      </c>
      <c r="F37" s="116">
        <f>IF(F13=0,0,F13/TrRail_act!F6*1000)</f>
        <v>12.622272843813271</v>
      </c>
      <c r="G37" s="116">
        <f>IF(G13=0,0,G13/TrRail_act!G6*1000)</f>
        <v>12.810494150985095</v>
      </c>
      <c r="H37" s="116">
        <f>IF(H13=0,0,H13/TrRail_act!H6*1000)</f>
        <v>13.092959932197514</v>
      </c>
      <c r="I37" s="116">
        <f>IF(I13=0,0,I13/TrRail_act!I6*1000)</f>
        <v>12.087979224311045</v>
      </c>
      <c r="J37" s="116">
        <f>IF(J13=0,0,J13/TrRail_act!J6*1000)</f>
        <v>13.740343978817545</v>
      </c>
      <c r="K37" s="116">
        <f>IF(K13=0,0,K13/TrRail_act!K6*1000)</f>
        <v>14.619564393147785</v>
      </c>
      <c r="L37" s="116">
        <f>IF(L13=0,0,L13/TrRail_act!L6*1000)</f>
        <v>12.473505699842221</v>
      </c>
      <c r="M37" s="116">
        <f>IF(M13=0,0,M13/TrRail_act!M6*1000)</f>
        <v>10.235478357927608</v>
      </c>
      <c r="N37" s="116">
        <f>IF(N13=0,0,N13/TrRail_act!N6*1000)</f>
        <v>12.832728398293716</v>
      </c>
      <c r="O37" s="116">
        <f>IF(O13=0,0,O13/TrRail_act!O6*1000)</f>
        <v>8.4557474676605899</v>
      </c>
      <c r="P37" s="116">
        <f>IF(P13=0,0,P13/TrRail_act!P6*1000)</f>
        <v>7.7502363392382847</v>
      </c>
      <c r="Q37" s="116">
        <f>IF(Q13=0,0,Q13/TrRail_act!Q6*1000)</f>
        <v>13.562022650491002</v>
      </c>
      <c r="R37" s="116">
        <f>IF(R13=0,0,R13/TrRail_act!R6*1000)</f>
        <v>12.918191947656856</v>
      </c>
      <c r="S37" s="116">
        <f>IF(S13=0,0,S13/TrRail_act!S6*1000)</f>
        <v>13.54859466357048</v>
      </c>
      <c r="T37" s="116">
        <f>IF(T13=0,0,T13/TrRail_act!T6*1000)</f>
        <v>11.790131701083023</v>
      </c>
      <c r="U37" s="116">
        <f>IF(U13=0,0,U13/TrRail_act!U6*1000)</f>
        <v>15.540327319202433</v>
      </c>
      <c r="V37" s="116">
        <f>IF(V13=0,0,V13/TrRail_act!V6*1000)</f>
        <v>17.821310505888569</v>
      </c>
      <c r="W37" s="116">
        <f>IF(W13=0,0,W13/TrRail_act!W6*1000)</f>
        <v>18.496378146042339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21.154146256886939</v>
      </c>
      <c r="C38" s="87">
        <f>IF(C14=0,0,C14/TrRail_act!C7*1000)</f>
        <v>23.773072516106108</v>
      </c>
      <c r="D38" s="87">
        <f>IF(D14=0,0,D14/TrRail_act!D7*1000)</f>
        <v>26.476667372246556</v>
      </c>
      <c r="E38" s="87">
        <f>IF(E14=0,0,E14/TrRail_act!E7*1000)</f>
        <v>24.985772363419617</v>
      </c>
      <c r="F38" s="87">
        <f>IF(F14=0,0,F14/TrRail_act!F7*1000)</f>
        <v>24.492848142413028</v>
      </c>
      <c r="G38" s="87">
        <f>IF(G14=0,0,G14/TrRail_act!G7*1000)</f>
        <v>23.561115180504636</v>
      </c>
      <c r="H38" s="87">
        <f>IF(H14=0,0,H14/TrRail_act!H7*1000)</f>
        <v>25.52011487468441</v>
      </c>
      <c r="I38" s="87">
        <f>IF(I14=0,0,I14/TrRail_act!I7*1000)</f>
        <v>24.009104245912361</v>
      </c>
      <c r="J38" s="87">
        <f>IF(J14=0,0,J14/TrRail_act!J7*1000)</f>
        <v>23.394942702209772</v>
      </c>
      <c r="K38" s="87">
        <f>IF(K14=0,0,K14/TrRail_act!K7*1000)</f>
        <v>23.488321402934222</v>
      </c>
      <c r="L38" s="87">
        <f>IF(L14=0,0,L14/TrRail_act!L7*1000)</f>
        <v>22.183546139739477</v>
      </c>
      <c r="M38" s="87">
        <f>IF(M14=0,0,M14/TrRail_act!M7*1000)</f>
        <v>19.390992459309217</v>
      </c>
      <c r="N38" s="87">
        <f>IF(N14=0,0,N14/TrRail_act!N7*1000)</f>
        <v>20.771660684800281</v>
      </c>
      <c r="O38" s="87">
        <f>IF(O14=0,0,O14/TrRail_act!O7*1000)</f>
        <v>15.737409229961269</v>
      </c>
      <c r="P38" s="87">
        <f>IF(P14=0,0,P14/TrRail_act!P7*1000)</f>
        <v>16.271031849366089</v>
      </c>
      <c r="Q38" s="87">
        <f>IF(Q14=0,0,Q14/TrRail_act!Q7*1000)</f>
        <v>22.487272723259032</v>
      </c>
      <c r="R38" s="87">
        <f>IF(R14=0,0,R14/TrRail_act!R7*1000)</f>
        <v>24.971866251252678</v>
      </c>
      <c r="S38" s="87">
        <f>IF(S14=0,0,S14/TrRail_act!S7*1000)</f>
        <v>23.696208200423087</v>
      </c>
      <c r="T38" s="87">
        <f>IF(T14=0,0,T14/TrRail_act!T7*1000)</f>
        <v>21.314512764776634</v>
      </c>
      <c r="U38" s="87">
        <f>IF(U14=0,0,U14/TrRail_act!U7*1000)</f>
        <v>26.027565113177403</v>
      </c>
      <c r="V38" s="87">
        <f>IF(V14=0,0,V14/TrRail_act!V7*1000)</f>
        <v>26.22519286611108</v>
      </c>
      <c r="W38" s="87">
        <f>IF(W14=0,0,W14/TrRail_act!W7*1000)</f>
        <v>25.749528200263718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8.0744339946880483</v>
      </c>
      <c r="C39" s="87">
        <f>IF(C15=0,0,C15/TrRail_act!C8*1000)</f>
        <v>8.7577425902494088</v>
      </c>
      <c r="D39" s="87">
        <f>IF(D15=0,0,D15/TrRail_act!D8*1000)</f>
        <v>11.024109775213784</v>
      </c>
      <c r="E39" s="87">
        <f>IF(E15=0,0,E15/TrRail_act!E8*1000)</f>
        <v>9.7054338369210758</v>
      </c>
      <c r="F39" s="87">
        <f>IF(F15=0,0,F15/TrRail_act!F8*1000)</f>
        <v>9.9482430139833173</v>
      </c>
      <c r="G39" s="87">
        <f>IF(G15=0,0,G15/TrRail_act!G8*1000)</f>
        <v>9.9361717282441226</v>
      </c>
      <c r="H39" s="87">
        <f>IF(H15=0,0,H15/TrRail_act!H8*1000)</f>
        <v>9.3044769652125279</v>
      </c>
      <c r="I39" s="87">
        <f>IF(I15=0,0,I15/TrRail_act!I8*1000)</f>
        <v>8.9214285895776939</v>
      </c>
      <c r="J39" s="87">
        <f>IF(J15=0,0,J15/TrRail_act!J8*1000)</f>
        <v>10.091949329945386</v>
      </c>
      <c r="K39" s="87">
        <f>IF(K15=0,0,K15/TrRail_act!K8*1000)</f>
        <v>12.248929049326998</v>
      </c>
      <c r="L39" s="87">
        <f>IF(L15=0,0,L15/TrRail_act!L8*1000)</f>
        <v>9.3084771499671426</v>
      </c>
      <c r="M39" s="87">
        <f>IF(M15=0,0,M15/TrRail_act!M8*1000)</f>
        <v>7.2136529681876045</v>
      </c>
      <c r="N39" s="87">
        <f>IF(N15=0,0,N15/TrRail_act!N8*1000)</f>
        <v>8.3163120386906968</v>
      </c>
      <c r="O39" s="87">
        <f>IF(O15=0,0,O15/TrRail_act!O8*1000)</f>
        <v>4.9669666061617166</v>
      </c>
      <c r="P39" s="87">
        <f>IF(P15=0,0,P15/TrRail_act!P8*1000)</f>
        <v>5.2617652892650328</v>
      </c>
      <c r="Q39" s="87">
        <f>IF(Q15=0,0,Q15/TrRail_act!Q8*1000)</f>
        <v>11.060816662949856</v>
      </c>
      <c r="R39" s="87">
        <f>IF(R15=0,0,R15/TrRail_act!R8*1000)</f>
        <v>9.9639940258129425</v>
      </c>
      <c r="S39" s="87">
        <f>IF(S15=0,0,S15/TrRail_act!S8*1000)</f>
        <v>10.828222985374623</v>
      </c>
      <c r="T39" s="87">
        <f>IF(T15=0,0,T15/TrRail_act!T8*1000)</f>
        <v>9.6625783859139798</v>
      </c>
      <c r="U39" s="87">
        <f>IF(U15=0,0,U15/TrRail_act!U8*1000)</f>
        <v>13.877971936432154</v>
      </c>
      <c r="V39" s="87">
        <f>IF(V15=0,0,V15/TrRail_act!V8*1000)</f>
        <v>16.54210486402512</v>
      </c>
      <c r="W39" s="87">
        <f>IF(W15=0,0,W15/TrRail_act!W8*1000)</f>
        <v>17.379900379431792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6.5824263895408439</v>
      </c>
      <c r="C41" s="29">
        <f>IF(C17=0,0,C17/TrRail_act!C10*1000)</f>
        <v>6.7398297817261845</v>
      </c>
      <c r="D41" s="29">
        <f>IF(D17=0,0,D17/TrRail_act!D10*1000)</f>
        <v>6.8323912277269798</v>
      </c>
      <c r="E41" s="29">
        <f>IF(E17=0,0,E17/TrRail_act!E10*1000)</f>
        <v>6.1857131891907553</v>
      </c>
      <c r="F41" s="29">
        <f>IF(F17=0,0,F17/TrRail_act!F10*1000)</f>
        <v>6.2416564501385023</v>
      </c>
      <c r="G41" s="29">
        <f>IF(G17=0,0,G17/TrRail_act!G10*1000)</f>
        <v>6.2698693359896911</v>
      </c>
      <c r="H41" s="29">
        <f>IF(H17=0,0,H17/TrRail_act!H10*1000)</f>
        <v>5.3655218876678301</v>
      </c>
      <c r="I41" s="29">
        <f>IF(I17=0,0,I17/TrRail_act!I10*1000)</f>
        <v>5.0151850989456674</v>
      </c>
      <c r="J41" s="29">
        <f>IF(J17=0,0,J17/TrRail_act!J10*1000)</f>
        <v>5.9392646525732484</v>
      </c>
      <c r="K41" s="29">
        <f>IF(K17=0,0,K17/TrRail_act!K10*1000)</f>
        <v>5.2057227615398292</v>
      </c>
      <c r="L41" s="29">
        <f>IF(L17=0,0,L17/TrRail_act!L10*1000)</f>
        <v>4.7465408316214948</v>
      </c>
      <c r="M41" s="29">
        <f>IF(M17=0,0,M17/TrRail_act!M10*1000)</f>
        <v>4.3608914092458724</v>
      </c>
      <c r="N41" s="29">
        <f>IF(N17=0,0,N17/TrRail_act!N10*1000)</f>
        <v>4.4741859450207127</v>
      </c>
      <c r="O41" s="29">
        <f>IF(O17=0,0,O17/TrRail_act!O10*1000)</f>
        <v>3.5005078470809097</v>
      </c>
      <c r="P41" s="29">
        <f>IF(P17=0,0,P17/TrRail_act!P10*1000)</f>
        <v>3.4529878568223391</v>
      </c>
      <c r="Q41" s="29">
        <f>IF(Q17=0,0,Q17/TrRail_act!Q10*1000)</f>
        <v>4.0261844461626897</v>
      </c>
      <c r="R41" s="29">
        <f>IF(R17=0,0,R17/TrRail_act!R10*1000)</f>
        <v>4.0008488290428508</v>
      </c>
      <c r="S41" s="29">
        <f>IF(S17=0,0,S17/TrRail_act!S10*1000)</f>
        <v>3.807325080631641</v>
      </c>
      <c r="T41" s="29">
        <f>IF(T17=0,0,T17/TrRail_act!T10*1000)</f>
        <v>3.7308390682792028</v>
      </c>
      <c r="U41" s="29">
        <f>IF(U17=0,0,U17/TrRail_act!U10*1000)</f>
        <v>4.0478167901244717</v>
      </c>
      <c r="V41" s="29">
        <f>IF(V17=0,0,V17/TrRail_act!V10*1000)</f>
        <v>3.8870219427962565</v>
      </c>
      <c r="W41" s="29">
        <f>IF(W17=0,0,W17/TrRail_act!W10*1000)</f>
        <v>3.8935449540048461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12.116551077160846</v>
      </c>
      <c r="C42" s="87">
        <f>IF(C18=0,0,C18/TrRail_act!C11*1000)</f>
        <v>12.444782800858167</v>
      </c>
      <c r="D42" s="87">
        <f>IF(D18=0,0,D18/TrRail_act!D11*1000)</f>
        <v>12.41910149521507</v>
      </c>
      <c r="E42" s="87">
        <f>IF(E18=0,0,E18/TrRail_act!E11*1000)</f>
        <v>11.176002582091147</v>
      </c>
      <c r="F42" s="87">
        <f>IF(F18=0,0,F18/TrRail_act!F11*1000)</f>
        <v>11.148284001457458</v>
      </c>
      <c r="G42" s="87">
        <f>IF(G18=0,0,G18/TrRail_act!G11*1000)</f>
        <v>11.500776086367379</v>
      </c>
      <c r="H42" s="87">
        <f>IF(H18=0,0,H18/TrRail_act!H11*1000)</f>
        <v>9.6168497900489118</v>
      </c>
      <c r="I42" s="87">
        <f>IF(I18=0,0,I18/TrRail_act!I11*1000)</f>
        <v>9.10986210652149</v>
      </c>
      <c r="J42" s="87">
        <f>IF(J18=0,0,J18/TrRail_act!J11*1000)</f>
        <v>9.3112927427903642</v>
      </c>
      <c r="K42" s="87">
        <f>IF(K18=0,0,K18/TrRail_act!K11*1000)</f>
        <v>9.6447908546553194</v>
      </c>
      <c r="L42" s="87">
        <f>IF(L18=0,0,L18/TrRail_act!L11*1000)</f>
        <v>9.122780840665035</v>
      </c>
      <c r="M42" s="87">
        <f>IF(M18=0,0,M18/TrRail_act!M11*1000)</f>
        <v>7.8038446511548907</v>
      </c>
      <c r="N42" s="87">
        <f>IF(N18=0,0,N18/TrRail_act!N11*1000)</f>
        <v>8.2585122540543239</v>
      </c>
      <c r="O42" s="87">
        <f>IF(O18=0,0,O18/TrRail_act!O11*1000)</f>
        <v>6.4554417080544448</v>
      </c>
      <c r="P42" s="87">
        <f>IF(P18=0,0,P18/TrRail_act!P11*1000)</f>
        <v>6.9436299915273203</v>
      </c>
      <c r="Q42" s="87">
        <f>IF(Q18=0,0,Q18/TrRail_act!Q11*1000)</f>
        <v>8.283587252481782</v>
      </c>
      <c r="R42" s="87">
        <f>IF(R18=0,0,R18/TrRail_act!R11*1000)</f>
        <v>7.039448664225632</v>
      </c>
      <c r="S42" s="87">
        <f>IF(S18=0,0,S18/TrRail_act!S11*1000)</f>
        <v>6.8604112700466411</v>
      </c>
      <c r="T42" s="87">
        <f>IF(T18=0,0,T18/TrRail_act!T11*1000)</f>
        <v>6.7389373887913182</v>
      </c>
      <c r="U42" s="87">
        <f>IF(U18=0,0,U18/TrRail_act!U11*1000)</f>
        <v>7.6324072112246943</v>
      </c>
      <c r="V42" s="87">
        <f>IF(V18=0,0,V18/TrRail_act!V11*1000)</f>
        <v>7.9361174132019254</v>
      </c>
      <c r="W42" s="87">
        <f>IF(W18=0,0,W18/TrRail_act!W11*1000)</f>
        <v>8.2807712122494515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4.0788462543486146</v>
      </c>
      <c r="C43" s="88">
        <f>IF(C19=0,0,C19/TrRail_act!C12*1000)</f>
        <v>4.2285938578522932</v>
      </c>
      <c r="D43" s="88">
        <f>IF(D19=0,0,D19/TrRail_act!D12*1000)</f>
        <v>4.1472059145217113</v>
      </c>
      <c r="E43" s="88">
        <f>IF(E19=0,0,E19/TrRail_act!E12*1000)</f>
        <v>3.9523044822941067</v>
      </c>
      <c r="F43" s="88">
        <f>IF(F19=0,0,F19/TrRail_act!F12*1000)</f>
        <v>3.9828327625351778</v>
      </c>
      <c r="G43" s="88">
        <f>IF(G19=0,0,G19/TrRail_act!G12*1000)</f>
        <v>4.0107328799203046</v>
      </c>
      <c r="H43" s="88">
        <f>IF(H19=0,0,H19/TrRail_act!H12*1000)</f>
        <v>3.6971783841992236</v>
      </c>
      <c r="I43" s="88">
        <f>IF(I19=0,0,I19/TrRail_act!I12*1000)</f>
        <v>3.4596647393240763</v>
      </c>
      <c r="J43" s="88">
        <f>IF(J19=0,0,J19/TrRail_act!J12*1000)</f>
        <v>3.6945010647153005</v>
      </c>
      <c r="K43" s="88">
        <f>IF(K19=0,0,K19/TrRail_act!K12*1000)</f>
        <v>3.1458136668769927</v>
      </c>
      <c r="L43" s="88">
        <f>IF(L19=0,0,L19/TrRail_act!L12*1000)</f>
        <v>2.7327637189079175</v>
      </c>
      <c r="M43" s="88">
        <f>IF(M19=0,0,M19/TrRail_act!M12*1000)</f>
        <v>2.7233308520182034</v>
      </c>
      <c r="N43" s="88">
        <f>IF(N19=0,0,N19/TrRail_act!N12*1000)</f>
        <v>2.5320414865463032</v>
      </c>
      <c r="O43" s="88">
        <f>IF(O19=0,0,O19/TrRail_act!O12*1000)</f>
        <v>2.3787094795273638</v>
      </c>
      <c r="P43" s="88">
        <f>IF(P19=0,0,P19/TrRail_act!P12*1000)</f>
        <v>2.3129411536559612</v>
      </c>
      <c r="Q43" s="88">
        <f>IF(Q19=0,0,Q19/TrRail_act!Q12*1000)</f>
        <v>2.3502208573450791</v>
      </c>
      <c r="R43" s="88">
        <f>IF(R19=0,0,R19/TrRail_act!R12*1000)</f>
        <v>3.0016446004725665</v>
      </c>
      <c r="S43" s="88">
        <f>IF(S19=0,0,S19/TrRail_act!S12*1000)</f>
        <v>2.8643792845129097</v>
      </c>
      <c r="T43" s="88">
        <f>IF(T19=0,0,T19/TrRail_act!T12*1000)</f>
        <v>2.9385955506091239</v>
      </c>
      <c r="U43" s="88">
        <f>IF(U19=0,0,U19/TrRail_act!U12*1000)</f>
        <v>3.3916108021326061</v>
      </c>
      <c r="V43" s="88">
        <f>IF(V19=0,0,V19/TrRail_act!V12*1000)</f>
        <v>3.1230898090857435</v>
      </c>
      <c r="W43" s="88">
        <f>IF(W19=0,0,W19/TrRail_act!W12*1000)</f>
        <v>3.05186278698099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359833.92725031445</v>
      </c>
      <c r="C45" s="54">
        <f>IF(C10=0,0,1000000*C10/TrRail_act!C25)</f>
        <v>325376.66809531895</v>
      </c>
      <c r="D45" s="54">
        <f>IF(D10=0,0,1000000*D10/TrRail_act!D25)</f>
        <v>315389.04568667372</v>
      </c>
      <c r="E45" s="54">
        <f>IF(E10=0,0,1000000*E10/TrRail_act!E25)</f>
        <v>300985.28278450045</v>
      </c>
      <c r="F45" s="54">
        <f>IF(F10=0,0,1000000*F10/TrRail_act!F25)</f>
        <v>309500.17531558051</v>
      </c>
      <c r="G45" s="54">
        <f>IF(G10=0,0,1000000*G10/TrRail_act!G25)</f>
        <v>311412.13116276229</v>
      </c>
      <c r="H45" s="54">
        <f>IF(H10=0,0,1000000*H10/TrRail_act!H25)</f>
        <v>292470.48488109722</v>
      </c>
      <c r="I45" s="54">
        <f>IF(I10=0,0,1000000*I10/TrRail_act!I25)</f>
        <v>283739.5635433945</v>
      </c>
      <c r="J45" s="54">
        <f>IF(J10=0,0,1000000*J10/TrRail_act!J25)</f>
        <v>283356.00829302589</v>
      </c>
      <c r="K45" s="54">
        <f>IF(K10=0,0,1000000*K10/TrRail_act!K25)</f>
        <v>201736.53445307788</v>
      </c>
      <c r="L45" s="54">
        <f>IF(L10=0,0,1000000*L10/TrRail_act!L25)</f>
        <v>172714.13631853586</v>
      </c>
      <c r="M45" s="54">
        <f>IF(M10=0,0,1000000*M10/TrRail_act!M25)</f>
        <v>163565.42316420266</v>
      </c>
      <c r="N45" s="54">
        <f>IF(N10=0,0,1000000*N10/TrRail_act!N25)</f>
        <v>159837.15583104751</v>
      </c>
      <c r="O45" s="54">
        <f>IF(O10=0,0,1000000*O10/TrRail_act!O25)</f>
        <v>126077.01837821375</v>
      </c>
      <c r="P45" s="54">
        <f>IF(P10=0,0,1000000*P10/TrRail_act!P25)</f>
        <v>121960.24737726105</v>
      </c>
      <c r="Q45" s="54">
        <f>IF(Q10=0,0,1000000*Q10/TrRail_act!Q25)</f>
        <v>157276.70594548847</v>
      </c>
      <c r="R45" s="54">
        <f>IF(R10=0,0,1000000*R10/TrRail_act!R25)</f>
        <v>151920.53144400771</v>
      </c>
      <c r="S45" s="54">
        <f>IF(S10=0,0,1000000*S10/TrRail_act!S25)</f>
        <v>143764.22388785123</v>
      </c>
      <c r="T45" s="54">
        <f>IF(T10=0,0,1000000*T10/TrRail_act!T25)</f>
        <v>137355.0405607039</v>
      </c>
      <c r="U45" s="54">
        <f>IF(U10=0,0,1000000*U10/TrRail_act!U25)</f>
        <v>139705.90991543114</v>
      </c>
      <c r="V45" s="54">
        <f>IF(V10=0,0,1000000*V10/TrRail_act!V25)</f>
        <v>135115.18005614742</v>
      </c>
      <c r="W45" s="54">
        <f>IF(W10=0,0,1000000*W10/TrRail_act!W25)</f>
        <v>142909.45257234073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249377.0536635358</v>
      </c>
      <c r="C46" s="28">
        <f>IF(C11=0,0,1000000*C11/TrRail_act!C26)</f>
        <v>222338.22828481768</v>
      </c>
      <c r="D46" s="28">
        <f>IF(D11=0,0,1000000*D11/TrRail_act!D26)</f>
        <v>217057.76439052244</v>
      </c>
      <c r="E46" s="28">
        <f>IF(E11=0,0,1000000*E11/TrRail_act!E26)</f>
        <v>195727.2349859743</v>
      </c>
      <c r="F46" s="28">
        <f>IF(F11=0,0,1000000*F11/TrRail_act!F26)</f>
        <v>201747.20684316434</v>
      </c>
      <c r="G46" s="28">
        <f>IF(G11=0,0,1000000*G11/TrRail_act!G26)</f>
        <v>204720.14088092506</v>
      </c>
      <c r="H46" s="28">
        <f>IF(H11=0,0,1000000*H11/TrRail_act!H26)</f>
        <v>202505.27358397361</v>
      </c>
      <c r="I46" s="28">
        <f>IF(I11=0,0,1000000*I11/TrRail_act!I26)</f>
        <v>195701.62002990898</v>
      </c>
      <c r="J46" s="28">
        <f>IF(J11=0,0,1000000*J11/TrRail_act!J26)</f>
        <v>195470.00946905365</v>
      </c>
      <c r="K46" s="28">
        <f>IF(K11=0,0,1000000*K11/TrRail_act!K26)</f>
        <v>162033.31891534751</v>
      </c>
      <c r="L46" s="28">
        <f>IF(L11=0,0,1000000*L11/TrRail_act!L26)</f>
        <v>134694.69471961574</v>
      </c>
      <c r="M46" s="28">
        <f>IF(M11=0,0,1000000*M11/TrRail_act!M26)</f>
        <v>118779.82064599266</v>
      </c>
      <c r="N46" s="28">
        <f>IF(N11=0,0,1000000*N11/TrRail_act!N26)</f>
        <v>121945.14485124807</v>
      </c>
      <c r="O46" s="28">
        <f>IF(O11=0,0,1000000*O11/TrRail_act!O26)</f>
        <v>90280.836126233713</v>
      </c>
      <c r="P46" s="28">
        <f>IF(P11=0,0,1000000*P11/TrRail_act!P26)</f>
        <v>80247.750753681801</v>
      </c>
      <c r="Q46" s="28">
        <f>IF(Q11=0,0,1000000*Q11/TrRail_act!Q26)</f>
        <v>111843.71710554202</v>
      </c>
      <c r="R46" s="28">
        <f>IF(R11=0,0,1000000*R11/TrRail_act!R26)</f>
        <v>110905.65296021094</v>
      </c>
      <c r="S46" s="28">
        <f>IF(S11=0,0,1000000*S11/TrRail_act!S26)</f>
        <v>103719.69324828018</v>
      </c>
      <c r="T46" s="28">
        <f>IF(T11=0,0,1000000*T11/TrRail_act!T26)</f>
        <v>98048.3179897308</v>
      </c>
      <c r="U46" s="28">
        <f>IF(U11=0,0,1000000*U11/TrRail_act!U26)</f>
        <v>105391.87933713596</v>
      </c>
      <c r="V46" s="28">
        <f>IF(V11=0,0,1000000*V11/TrRail_act!V26)</f>
        <v>93200.526364003759</v>
      </c>
      <c r="W46" s="28">
        <f>IF(W11=0,0,1000000*W11/TrRail_act!W26)</f>
        <v>100940.75108633886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52684.802995038008</v>
      </c>
      <c r="C47" s="108">
        <f>IF(C12=0,0,1000000*C12/TrRail_act!C27)</f>
        <v>52108.627428435255</v>
      </c>
      <c r="D47" s="108">
        <f>IF(D12=0,0,1000000*D12/TrRail_act!D27)</f>
        <v>51511.022083618082</v>
      </c>
      <c r="E47" s="108">
        <f>IF(E12=0,0,1000000*E12/TrRail_act!E27)</f>
        <v>51293.774783913475</v>
      </c>
      <c r="F47" s="108">
        <f>IF(F12=0,0,1000000*F12/TrRail_act!F27)</f>
        <v>50050.759085625104</v>
      </c>
      <c r="G47" s="108">
        <f>IF(G12=0,0,1000000*G12/TrRail_act!G27)</f>
        <v>48516.250040490653</v>
      </c>
      <c r="H47" s="108">
        <f>IF(H12=0,0,1000000*H12/TrRail_act!H27)</f>
        <v>47757.804871049426</v>
      </c>
      <c r="I47" s="108">
        <f>IF(I12=0,0,1000000*I12/TrRail_act!I27)</f>
        <v>47157.009139379436</v>
      </c>
      <c r="J47" s="108">
        <f>IF(J12=0,0,1000000*J12/TrRail_act!J27)</f>
        <v>46540.98395038279</v>
      </c>
      <c r="K47" s="108">
        <f>IF(K12=0,0,1000000*K12/TrRail_act!K27)</f>
        <v>45783.915473800531</v>
      </c>
      <c r="L47" s="108">
        <f>IF(L12=0,0,1000000*L12/TrRail_act!L27)</f>
        <v>45806.648252931853</v>
      </c>
      <c r="M47" s="108">
        <f>IF(M12=0,0,1000000*M12/TrRail_act!M27)</f>
        <v>45007.737045455237</v>
      </c>
      <c r="N47" s="108">
        <f>IF(N12=0,0,1000000*N12/TrRail_act!N27)</f>
        <v>44447.578133846284</v>
      </c>
      <c r="O47" s="108">
        <f>IF(O12=0,0,1000000*O12/TrRail_act!O27)</f>
        <v>43569.61807125678</v>
      </c>
      <c r="P47" s="108">
        <f>IF(P12=0,0,1000000*P12/TrRail_act!P27)</f>
        <v>32983.20318602545</v>
      </c>
      <c r="Q47" s="108">
        <f>IF(Q12=0,0,1000000*Q12/TrRail_act!Q27)</f>
        <v>35056.084194584109</v>
      </c>
      <c r="R47" s="108">
        <f>IF(R12=0,0,1000000*R12/TrRail_act!R27)</f>
        <v>40366.61423752195</v>
      </c>
      <c r="S47" s="108">
        <f>IF(S12=0,0,1000000*S12/TrRail_act!S27)</f>
        <v>40814.150594394043</v>
      </c>
      <c r="T47" s="108">
        <f>IF(T12=0,0,1000000*T12/TrRail_act!T27)</f>
        <v>40425.857232195638</v>
      </c>
      <c r="U47" s="108">
        <f>IF(U12=0,0,1000000*U12/TrRail_act!U27)</f>
        <v>40137.063520928044</v>
      </c>
      <c r="V47" s="108">
        <f>IF(V12=0,0,1000000*V12/TrRail_act!V27)</f>
        <v>32319.391966087689</v>
      </c>
      <c r="W47" s="108">
        <f>IF(W12=0,0,1000000*W12/TrRail_act!W27)</f>
        <v>32514.807515024073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318556.86959852366</v>
      </c>
      <c r="C48" s="110">
        <f>IF(C13=0,0,1000000*C13/TrRail_act!C28)</f>
        <v>292213.01304814796</v>
      </c>
      <c r="D48" s="110">
        <f>IF(D13=0,0,1000000*D13/TrRail_act!D28)</f>
        <v>278556.46034330752</v>
      </c>
      <c r="E48" s="110">
        <f>IF(E13=0,0,1000000*E13/TrRail_act!E28)</f>
        <v>261339.03565878284</v>
      </c>
      <c r="F48" s="110">
        <f>IF(F13=0,0,1000000*F13/TrRail_act!F28)</f>
        <v>267782.09254183841</v>
      </c>
      <c r="G48" s="110">
        <f>IF(G13=0,0,1000000*G13/TrRail_act!G28)</f>
        <v>270821.71795680071</v>
      </c>
      <c r="H48" s="110">
        <f>IF(H13=0,0,1000000*H13/TrRail_act!H28)</f>
        <v>267186.78794283041</v>
      </c>
      <c r="I48" s="110">
        <f>IF(I13=0,0,1000000*I13/TrRail_act!I28)</f>
        <v>261833.21762897357</v>
      </c>
      <c r="J48" s="110">
        <f>IF(J13=0,0,1000000*J13/TrRail_act!J28)</f>
        <v>262604.4086706423</v>
      </c>
      <c r="K48" s="110">
        <f>IF(K13=0,0,1000000*K13/TrRail_act!K28)</f>
        <v>229481.39717609473</v>
      </c>
      <c r="L48" s="110">
        <f>IF(L13=0,0,1000000*L13/TrRail_act!L28)</f>
        <v>209253.26116620112</v>
      </c>
      <c r="M48" s="110">
        <f>IF(M13=0,0,1000000*M13/TrRail_act!M28)</f>
        <v>183025.29708103053</v>
      </c>
      <c r="N48" s="110">
        <f>IF(N13=0,0,1000000*N13/TrRail_act!N28)</f>
        <v>195351.44093173742</v>
      </c>
      <c r="O48" s="110">
        <f>IF(O13=0,0,1000000*O13/TrRail_act!O28)</f>
        <v>139319.38750500724</v>
      </c>
      <c r="P48" s="110">
        <f>IF(P13=0,0,1000000*P13/TrRail_act!P28)</f>
        <v>134006.21901485533</v>
      </c>
      <c r="Q48" s="110">
        <f>IF(Q13=0,0,1000000*Q13/TrRail_act!Q28)</f>
        <v>184086.55326265137</v>
      </c>
      <c r="R48" s="110">
        <f>IF(R13=0,0,1000000*R13/TrRail_act!R28)</f>
        <v>180823.33535922048</v>
      </c>
      <c r="S48" s="110">
        <f>IF(S13=0,0,1000000*S13/TrRail_act!S28)</f>
        <v>179672.99361463936</v>
      </c>
      <c r="T48" s="110">
        <f>IF(T13=0,0,1000000*T13/TrRail_act!T28)</f>
        <v>173264.94220288683</v>
      </c>
      <c r="U48" s="110">
        <f>IF(U13=0,0,1000000*U13/TrRail_act!U28)</f>
        <v>172540.86888596503</v>
      </c>
      <c r="V48" s="110">
        <f>IF(V13=0,0,1000000*V13/TrRail_act!V28)</f>
        <v>159926.21215726493</v>
      </c>
      <c r="W48" s="110">
        <f>IF(W13=0,0,1000000*W13/TrRail_act!W28)</f>
        <v>170097.45999506683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401143.27604195476</v>
      </c>
      <c r="C49" s="84">
        <f>IF(C14=0,0,1000000*C14/TrRail_act!C29)</f>
        <v>375083.49484957097</v>
      </c>
      <c r="D49" s="84">
        <f>IF(D14=0,0,1000000*D14/TrRail_act!D29)</f>
        <v>364722.2580574202</v>
      </c>
      <c r="E49" s="84">
        <f>IF(E14=0,0,1000000*E14/TrRail_act!E29)</f>
        <v>333004.21319529752</v>
      </c>
      <c r="F49" s="84">
        <f>IF(F14=0,0,1000000*F14/TrRail_act!F29)</f>
        <v>355291.97275112296</v>
      </c>
      <c r="G49" s="84">
        <f>IF(G14=0,0,1000000*G14/TrRail_act!G29)</f>
        <v>347180.04078087979</v>
      </c>
      <c r="H49" s="84">
        <f>IF(H14=0,0,1000000*H14/TrRail_act!H29)</f>
        <v>357225.30015273963</v>
      </c>
      <c r="I49" s="84">
        <f>IF(I14=0,0,1000000*I14/TrRail_act!I29)</f>
        <v>337549.20172213524</v>
      </c>
      <c r="J49" s="84">
        <f>IF(J14=0,0,1000000*J14/TrRail_act!J29)</f>
        <v>334900.99289991078</v>
      </c>
      <c r="K49" s="84">
        <f>IF(K14=0,0,1000000*K14/TrRail_act!K29)</f>
        <v>265658.12550748454</v>
      </c>
      <c r="L49" s="84">
        <f>IF(L14=0,0,1000000*L14/TrRail_act!L29)</f>
        <v>316157.49126095005</v>
      </c>
      <c r="M49" s="84">
        <f>IF(M14=0,0,1000000*M14/TrRail_act!M29)</f>
        <v>287907.51266142877</v>
      </c>
      <c r="N49" s="84">
        <f>IF(N14=0,0,1000000*N14/TrRail_act!N29)</f>
        <v>282222.12882337696</v>
      </c>
      <c r="O49" s="84">
        <f>IF(O14=0,0,1000000*O14/TrRail_act!O29)</f>
        <v>204522.81013991145</v>
      </c>
      <c r="P49" s="84">
        <f>IF(P14=0,0,1000000*P14/TrRail_act!P29)</f>
        <v>152802.27836418824</v>
      </c>
      <c r="Q49" s="84">
        <f>IF(Q14=0,0,1000000*Q14/TrRail_act!Q29)</f>
        <v>209756.42838929672</v>
      </c>
      <c r="R49" s="84">
        <f>IF(R14=0,0,1000000*R14/TrRail_act!R29)</f>
        <v>210484.96451775421</v>
      </c>
      <c r="S49" s="84">
        <f>IF(S14=0,0,1000000*S14/TrRail_act!S29)</f>
        <v>205511.68972935789</v>
      </c>
      <c r="T49" s="84">
        <f>IF(T14=0,0,1000000*T14/TrRail_act!T29)</f>
        <v>188735.38506696824</v>
      </c>
      <c r="U49" s="84">
        <f>IF(U14=0,0,1000000*U14/TrRail_act!U29)</f>
        <v>199162.1475428064</v>
      </c>
      <c r="V49" s="84">
        <f>IF(V14=0,0,1000000*V14/TrRail_act!V29)</f>
        <v>170932.11434202202</v>
      </c>
      <c r="W49" s="84">
        <f>IF(W14=0,0,1000000*W14/TrRail_act!W29)</f>
        <v>195677.1328172998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270712.251211291</v>
      </c>
      <c r="C50" s="84">
        <f>IF(C15=0,0,1000000*C15/TrRail_act!C30)</f>
        <v>251069.424981313</v>
      </c>
      <c r="D50" s="84">
        <f>IF(D15=0,0,1000000*D15/TrRail_act!D30)</f>
        <v>245522.03100894036</v>
      </c>
      <c r="E50" s="84">
        <f>IF(E15=0,0,1000000*E15/TrRail_act!E30)</f>
        <v>235130.25390563306</v>
      </c>
      <c r="F50" s="84">
        <f>IF(F15=0,0,1000000*F15/TrRail_act!F30)</f>
        <v>235598.69048141665</v>
      </c>
      <c r="G50" s="84">
        <f>IF(G15=0,0,1000000*G15/TrRail_act!G30)</f>
        <v>237680.13821851878</v>
      </c>
      <c r="H50" s="84">
        <f>IF(H15=0,0,1000000*H15/TrRail_act!H30)</f>
        <v>220678.49498117794</v>
      </c>
      <c r="I50" s="84">
        <f>IF(I15=0,0,1000000*I15/TrRail_act!I30)</f>
        <v>225650.76197162387</v>
      </c>
      <c r="J50" s="84">
        <f>IF(J15=0,0,1000000*J15/TrRail_act!J30)</f>
        <v>220841.03092443242</v>
      </c>
      <c r="K50" s="84">
        <f>IF(K15=0,0,1000000*K15/TrRail_act!K30)</f>
        <v>214508.47714034829</v>
      </c>
      <c r="L50" s="84">
        <f>IF(L15=0,0,1000000*L15/TrRail_act!L30)</f>
        <v>165723.64658233378</v>
      </c>
      <c r="M50" s="84">
        <f>IF(M15=0,0,1000000*M15/TrRail_act!M30)</f>
        <v>138319.51204106613</v>
      </c>
      <c r="N50" s="84">
        <f>IF(N15=0,0,1000000*N15/TrRail_act!N30)</f>
        <v>135908.41945773101</v>
      </c>
      <c r="O50" s="84">
        <f>IF(O15=0,0,1000000*O15/TrRail_act!O30)</f>
        <v>93883.211964354792</v>
      </c>
      <c r="P50" s="84">
        <f>IF(P15=0,0,1000000*P15/TrRail_act!P30)</f>
        <v>120607.94185278242</v>
      </c>
      <c r="Q50" s="84">
        <f>IF(Q15=0,0,1000000*Q15/TrRail_act!Q30)</f>
        <v>172087.77169677624</v>
      </c>
      <c r="R50" s="84">
        <f>IF(R15=0,0,1000000*R15/TrRail_act!R30)</f>
        <v>166418.35028977995</v>
      </c>
      <c r="S50" s="84">
        <f>IF(S15=0,0,1000000*S15/TrRail_act!S30)</f>
        <v>167330.70501967071</v>
      </c>
      <c r="T50" s="84">
        <f>IF(T15=0,0,1000000*T15/TrRail_act!T30)</f>
        <v>166538.42977832549</v>
      </c>
      <c r="U50" s="84">
        <f>IF(U15=0,0,1000000*U15/TrRail_act!U30)</f>
        <v>165946.68597204308</v>
      </c>
      <c r="V50" s="84">
        <f>IF(V15=0,0,1000000*V15/TrRail_act!V30)</f>
        <v>157479.32549883937</v>
      </c>
      <c r="W50" s="84">
        <f>IF(W15=0,0,1000000*W15/TrRail_act!W30)</f>
        <v>165173.211817178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726280.55693884299</v>
      </c>
      <c r="C52" s="28">
        <f>IF(C17=0,0,1000000*C17/TrRail_act!C32)</f>
        <v>706493.29063557438</v>
      </c>
      <c r="D52" s="28">
        <f>IF(D17=0,0,1000000*D17/TrRail_act!D32)</f>
        <v>711066.63164790231</v>
      </c>
      <c r="E52" s="28">
        <f>IF(E17=0,0,1000000*E17/TrRail_act!E32)</f>
        <v>675238.08234193421</v>
      </c>
      <c r="F52" s="28">
        <f>IF(F17=0,0,1000000*F17/TrRail_act!F32)</f>
        <v>671106.05569417181</v>
      </c>
      <c r="G52" s="28">
        <f>IF(G17=0,0,1000000*G17/TrRail_act!G32)</f>
        <v>662668.77872039448</v>
      </c>
      <c r="H52" s="28">
        <f>IF(H17=0,0,1000000*H17/TrRail_act!H32)</f>
        <v>610041.07646179618</v>
      </c>
      <c r="I52" s="28">
        <f>IF(I17=0,0,1000000*I17/TrRail_act!I32)</f>
        <v>613131.28684850642</v>
      </c>
      <c r="J52" s="28">
        <f>IF(J17=0,0,1000000*J17/TrRail_act!J32)</f>
        <v>636146.98342741479</v>
      </c>
      <c r="K52" s="28">
        <f>IF(K17=0,0,1000000*K17/TrRail_act!K32)</f>
        <v>422001.16380373936</v>
      </c>
      <c r="L52" s="28">
        <f>IF(L17=0,0,1000000*L17/TrRail_act!L32)</f>
        <v>430572.44447553175</v>
      </c>
      <c r="M52" s="28">
        <f>IF(M17=0,0,1000000*M17/TrRail_act!M32)</f>
        <v>499055.73550719884</v>
      </c>
      <c r="N52" s="28">
        <f>IF(N17=0,0,1000000*N17/TrRail_act!N32)</f>
        <v>527269.89235232712</v>
      </c>
      <c r="O52" s="28">
        <f>IF(O17=0,0,1000000*O17/TrRail_act!O32)</f>
        <v>440387.99803935946</v>
      </c>
      <c r="P52" s="28">
        <f>IF(P17=0,0,1000000*P17/TrRail_act!P32)</f>
        <v>464278.42913908348</v>
      </c>
      <c r="Q52" s="28">
        <f>IF(Q17=0,0,1000000*Q17/TrRail_act!Q32)</f>
        <v>498871.08226203523</v>
      </c>
      <c r="R52" s="28">
        <f>IF(R17=0,0,1000000*R17/TrRail_act!R32)</f>
        <v>397584.82230383786</v>
      </c>
      <c r="S52" s="28">
        <f>IF(S17=0,0,1000000*S17/TrRail_act!S32)</f>
        <v>397857.18829032575</v>
      </c>
      <c r="T52" s="28">
        <f>IF(T17=0,0,1000000*T17/TrRail_act!T32)</f>
        <v>379357.06800040777</v>
      </c>
      <c r="U52" s="28">
        <f>IF(U17=0,0,1000000*U17/TrRail_act!U32)</f>
        <v>352330.54971951316</v>
      </c>
      <c r="V52" s="28">
        <f>IF(V17=0,0,1000000*V17/TrRail_act!V32)</f>
        <v>360611.49572768441</v>
      </c>
      <c r="W52" s="28">
        <f>IF(W17=0,0,1000000*W17/TrRail_act!W32)</f>
        <v>365306.31848510378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1154939.0083354851</v>
      </c>
      <c r="C53" s="84">
        <f>IF(C18=0,0,1000000*C18/TrRail_act!C33)</f>
        <v>1126703.1684135359</v>
      </c>
      <c r="D53" s="84">
        <f>IF(D18=0,0,1000000*D18/TrRail_act!D33)</f>
        <v>1117053.6921467187</v>
      </c>
      <c r="E53" s="84">
        <f>IF(E18=0,0,1000000*E18/TrRail_act!E33)</f>
        <v>1057286.78678304</v>
      </c>
      <c r="F53" s="84">
        <f>IF(F18=0,0,1000000*F18/TrRail_act!F33)</f>
        <v>1037547.8665448087</v>
      </c>
      <c r="G53" s="84">
        <f>IF(G18=0,0,1000000*G18/TrRail_act!G33)</f>
        <v>1051357.4598171683</v>
      </c>
      <c r="H53" s="84">
        <f>IF(H18=0,0,1000000*H18/TrRail_act!H33)</f>
        <v>960576.61416816071</v>
      </c>
      <c r="I53" s="84">
        <f>IF(I18=0,0,1000000*I18/TrRail_act!I33)</f>
        <v>979790.63686893473</v>
      </c>
      <c r="J53" s="84">
        <f>IF(J18=0,0,1000000*J18/TrRail_act!J33)</f>
        <v>993918.21456117043</v>
      </c>
      <c r="K53" s="84">
        <f>IF(K18=0,0,1000000*K18/TrRail_act!K33)</f>
        <v>609998.50389371673</v>
      </c>
      <c r="L53" s="84">
        <f>IF(L18=0,0,1000000*L18/TrRail_act!L33)</f>
        <v>631401.57522246987</v>
      </c>
      <c r="M53" s="84">
        <f>IF(M18=0,0,1000000*M18/TrRail_act!M33)</f>
        <v>681779.395764624</v>
      </c>
      <c r="N53" s="84">
        <f>IF(N18=0,0,1000000*N18/TrRail_act!N33)</f>
        <v>788048.25992576359</v>
      </c>
      <c r="O53" s="84">
        <f>IF(O18=0,0,1000000*O18/TrRail_act!O33)</f>
        <v>676572.53976810304</v>
      </c>
      <c r="P53" s="84">
        <f>IF(P18=0,0,1000000*P18/TrRail_act!P33)</f>
        <v>875782.6794375116</v>
      </c>
      <c r="Q53" s="84">
        <f>IF(Q18=0,0,1000000*Q18/TrRail_act!Q33)</f>
        <v>884422.79905802698</v>
      </c>
      <c r="R53" s="84">
        <f>IF(R18=0,0,1000000*R18/TrRail_act!R33)</f>
        <v>762360.64353037812</v>
      </c>
      <c r="S53" s="84">
        <f>IF(S18=0,0,1000000*S18/TrRail_act!S33)</f>
        <v>817058.6665066774</v>
      </c>
      <c r="T53" s="84">
        <f>IF(T18=0,0,1000000*T18/TrRail_act!T33)</f>
        <v>813345.52003230294</v>
      </c>
      <c r="U53" s="84">
        <f>IF(U18=0,0,1000000*U18/TrRail_act!U33)</f>
        <v>810571.74738103489</v>
      </c>
      <c r="V53" s="84">
        <f>IF(V18=0,0,1000000*V18/TrRail_act!V33)</f>
        <v>808497.5876989204</v>
      </c>
      <c r="W53" s="84">
        <f>IF(W18=0,0,1000000*W18/TrRail_act!W33)</f>
        <v>806945.45691498171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484582.07419660239</v>
      </c>
      <c r="C54" s="86">
        <f>IF(C19=0,0,1000000*C19/TrRail_act!C34)</f>
        <v>476345.93308886478</v>
      </c>
      <c r="D54" s="86">
        <f>IF(D19=0,0,1000000*D19/TrRail_act!D34)</f>
        <v>466852.59869329131</v>
      </c>
      <c r="E54" s="86">
        <f>IF(E19=0,0,1000000*E19/TrRail_act!E34)</f>
        <v>463347.61116704211</v>
      </c>
      <c r="F54" s="86">
        <f>IF(F19=0,0,1000000*F19/TrRail_act!F34)</f>
        <v>461207.83784632618</v>
      </c>
      <c r="G54" s="86">
        <f>IF(G19=0,0,1000000*G19/TrRail_act!G34)</f>
        <v>454553.02995999588</v>
      </c>
      <c r="H54" s="86">
        <f>IF(H19=0,0,1000000*H19/TrRail_act!H34)</f>
        <v>444475.18752638105</v>
      </c>
      <c r="I54" s="86">
        <f>IF(I19=0,0,1000000*I19/TrRail_act!I34)</f>
        <v>446128.62118779385</v>
      </c>
      <c r="J54" s="86">
        <f>IF(J19=0,0,1000000*J19/TrRail_act!J34)</f>
        <v>396617.06300886231</v>
      </c>
      <c r="K54" s="86">
        <f>IF(K19=0,0,1000000*K19/TrRail_act!K34)</f>
        <v>293368.24891239544</v>
      </c>
      <c r="L54" s="86">
        <f>IF(L19=0,0,1000000*L19/TrRail_act!L34)</f>
        <v>289245.91186179908</v>
      </c>
      <c r="M54" s="86">
        <f>IF(M19=0,0,1000000*M19/TrRail_act!M34)</f>
        <v>365533.73466665548</v>
      </c>
      <c r="N54" s="86">
        <f>IF(N19=0,0,1000000*N19/TrRail_act!N34)</f>
        <v>339317.1931114539</v>
      </c>
      <c r="O54" s="86">
        <f>IF(O19=0,0,1000000*O19/TrRail_act!O34)</f>
        <v>323896.35655793437</v>
      </c>
      <c r="P54" s="86">
        <f>IF(P19=0,0,1000000*P19/TrRail_act!P34)</f>
        <v>317846.7478549988</v>
      </c>
      <c r="Q54" s="86">
        <f>IF(Q19=0,0,1000000*Q19/TrRail_act!Q34)</f>
        <v>310850.90443444235</v>
      </c>
      <c r="R54" s="86">
        <f>IF(R19=0,0,1000000*R19/TrRail_act!R34)</f>
        <v>290420.003876495</v>
      </c>
      <c r="S54" s="86">
        <f>IF(S19=0,0,1000000*S19/TrRail_act!S34)</f>
        <v>288402.2244659476</v>
      </c>
      <c r="T54" s="86">
        <f>IF(T19=0,0,1000000*T19/TrRail_act!T34)</f>
        <v>286898.10048300622</v>
      </c>
      <c r="U54" s="86">
        <f>IF(U19=0,0,1000000*U19/TrRail_act!U34)</f>
        <v>285775.14913391188</v>
      </c>
      <c r="V54" s="86">
        <f>IF(V19=0,0,1000000*V19/TrRail_act!V34)</f>
        <v>284935.82516374782</v>
      </c>
      <c r="W54" s="86">
        <f>IF(W19=0,0,1000000*W19/TrRail_act!W34)</f>
        <v>284307.95272372896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0.53251837708300165</v>
      </c>
      <c r="C57" s="31">
        <f t="shared" ref="C57:V57" si="17">IF(C11=0,0,C11/C$10)</f>
        <v>0.53789950783509188</v>
      </c>
      <c r="D57" s="31">
        <f t="shared" si="17"/>
        <v>0.55123327482203044</v>
      </c>
      <c r="E57" s="31">
        <f t="shared" si="17"/>
        <v>0.50754274247786801</v>
      </c>
      <c r="F57" s="31">
        <f t="shared" si="17"/>
        <v>0.50220045929730905</v>
      </c>
      <c r="G57" s="31">
        <f t="shared" si="17"/>
        <v>0.50423481181668062</v>
      </c>
      <c r="H57" s="31">
        <f t="shared" si="17"/>
        <v>0.53954640350198868</v>
      </c>
      <c r="I57" s="31">
        <f t="shared" si="17"/>
        <v>0.54425683972483274</v>
      </c>
      <c r="J57" s="31">
        <f t="shared" si="17"/>
        <v>0.55226156127218184</v>
      </c>
      <c r="K57" s="31">
        <f t="shared" si="17"/>
        <v>0.68052627897810847</v>
      </c>
      <c r="L57" s="31">
        <f t="shared" si="17"/>
        <v>0.67965955513813181</v>
      </c>
      <c r="M57" s="31">
        <f t="shared" si="17"/>
        <v>0.64066696040550797</v>
      </c>
      <c r="N57" s="31">
        <f t="shared" si="17"/>
        <v>0.69161037136493841</v>
      </c>
      <c r="O57" s="31">
        <f t="shared" si="17"/>
        <v>0.64286265914724794</v>
      </c>
      <c r="P57" s="31">
        <f t="shared" si="17"/>
        <v>0.58651431875243165</v>
      </c>
      <c r="Q57" s="31">
        <f t="shared" si="17"/>
        <v>0.62764811187933955</v>
      </c>
      <c r="R57" s="31">
        <f t="shared" si="17"/>
        <v>0.62558036311190979</v>
      </c>
      <c r="S57" s="31">
        <f t="shared" si="17"/>
        <v>0.62323616998268483</v>
      </c>
      <c r="T57" s="31">
        <f t="shared" si="17"/>
        <v>0.61408898826542413</v>
      </c>
      <c r="U57" s="31">
        <f t="shared" si="17"/>
        <v>0.64955638495324208</v>
      </c>
      <c r="V57" s="31">
        <f t="shared" si="17"/>
        <v>0.58166703677145482</v>
      </c>
      <c r="W57" s="31">
        <f t="shared" ref="W57" si="18">IF(W11=0,0,W11/W$10)</f>
        <v>0.59419548808474376</v>
      </c>
      <c r="DA57" s="173"/>
    </row>
    <row r="58" spans="1:105" ht="11.45" customHeight="1" x14ac:dyDescent="0.25">
      <c r="A58" s="107" t="s">
        <v>23</v>
      </c>
      <c r="B58" s="123">
        <f t="shared" si="14"/>
        <v>2.9273197409917028E-2</v>
      </c>
      <c r="C58" s="123">
        <f t="shared" ref="C58:V58" si="19">IF(C12=0,0,C12/C$10)</f>
        <v>3.668740807659468E-2</v>
      </c>
      <c r="D58" s="123">
        <f t="shared" si="19"/>
        <v>3.5433446227002362E-2</v>
      </c>
      <c r="E58" s="123">
        <f t="shared" si="19"/>
        <v>4.1548475314909704E-2</v>
      </c>
      <c r="F58" s="123">
        <f t="shared" si="19"/>
        <v>3.7786158459533849E-2</v>
      </c>
      <c r="G58" s="123">
        <f t="shared" si="19"/>
        <v>3.5532122910783392E-2</v>
      </c>
      <c r="H58" s="123">
        <f t="shared" si="19"/>
        <v>3.7507922514633696E-2</v>
      </c>
      <c r="I58" s="123">
        <f t="shared" si="19"/>
        <v>4.0399949821761802E-2</v>
      </c>
      <c r="J58" s="123">
        <f t="shared" si="19"/>
        <v>4.0856776054719816E-2</v>
      </c>
      <c r="K58" s="123">
        <f t="shared" si="19"/>
        <v>7.0602467800665411E-2</v>
      </c>
      <c r="L58" s="123">
        <f t="shared" si="19"/>
        <v>0.10543652295185349</v>
      </c>
      <c r="M58" s="123">
        <f t="shared" si="19"/>
        <v>0.11300171866114764</v>
      </c>
      <c r="N58" s="123">
        <f t="shared" si="19"/>
        <v>0.12262472308984859</v>
      </c>
      <c r="O58" s="123">
        <f t="shared" si="19"/>
        <v>0.15889355298774388</v>
      </c>
      <c r="P58" s="123">
        <f t="shared" si="19"/>
        <v>0.12828182723797213</v>
      </c>
      <c r="Q58" s="123">
        <f t="shared" si="19"/>
        <v>9.5364724111036941E-2</v>
      </c>
      <c r="R58" s="123">
        <f t="shared" si="19"/>
        <v>0.11334340289851162</v>
      </c>
      <c r="S58" s="123">
        <f t="shared" si="19"/>
        <v>0.1341452491333098</v>
      </c>
      <c r="T58" s="123">
        <f t="shared" si="19"/>
        <v>0.14336342322169315</v>
      </c>
      <c r="U58" s="123">
        <f t="shared" si="19"/>
        <v>0.12545683229553378</v>
      </c>
      <c r="V58" s="123">
        <f t="shared" si="19"/>
        <v>0.10547230296655107</v>
      </c>
      <c r="W58" s="123">
        <f t="shared" ref="W58" si="20">IF(W12=0,0,W12/W$10)</f>
        <v>9.6208766074170837E-2</v>
      </c>
      <c r="DA58" s="203"/>
    </row>
    <row r="59" spans="1:105" ht="11.45" customHeight="1" x14ac:dyDescent="0.25">
      <c r="A59" s="109" t="s">
        <v>24</v>
      </c>
      <c r="B59" s="124">
        <f t="shared" si="14"/>
        <v>0.50324517967308458</v>
      </c>
      <c r="C59" s="124">
        <f t="shared" ref="C59:V59" si="21">IF(C13=0,0,C13/C$10)</f>
        <v>0.50121209975849723</v>
      </c>
      <c r="D59" s="124">
        <f t="shared" si="21"/>
        <v>0.51579982859502804</v>
      </c>
      <c r="E59" s="124">
        <f t="shared" si="21"/>
        <v>0.46599426716295839</v>
      </c>
      <c r="F59" s="124">
        <f t="shared" si="21"/>
        <v>0.46441430083777518</v>
      </c>
      <c r="G59" s="124">
        <f t="shared" si="21"/>
        <v>0.46870268890589722</v>
      </c>
      <c r="H59" s="124">
        <f t="shared" si="21"/>
        <v>0.50203848098735504</v>
      </c>
      <c r="I59" s="124">
        <f t="shared" si="21"/>
        <v>0.50385688990307098</v>
      </c>
      <c r="J59" s="124">
        <f t="shared" si="21"/>
        <v>0.51140478521746202</v>
      </c>
      <c r="K59" s="124">
        <f t="shared" si="21"/>
        <v>0.6099238111774431</v>
      </c>
      <c r="L59" s="124">
        <f t="shared" si="21"/>
        <v>0.57422303218627824</v>
      </c>
      <c r="M59" s="124">
        <f t="shared" si="21"/>
        <v>0.52766524174436025</v>
      </c>
      <c r="N59" s="124">
        <f t="shared" si="21"/>
        <v>0.56898564827508979</v>
      </c>
      <c r="O59" s="124">
        <f t="shared" si="21"/>
        <v>0.483969106159504</v>
      </c>
      <c r="P59" s="124">
        <f t="shared" si="21"/>
        <v>0.45823249151445949</v>
      </c>
      <c r="Q59" s="124">
        <f t="shared" si="21"/>
        <v>0.53228338776830264</v>
      </c>
      <c r="R59" s="124">
        <f t="shared" si="21"/>
        <v>0.51223696021339815</v>
      </c>
      <c r="S59" s="124">
        <f t="shared" si="21"/>
        <v>0.48909092084937505</v>
      </c>
      <c r="T59" s="124">
        <f t="shared" si="21"/>
        <v>0.47072556504373098</v>
      </c>
      <c r="U59" s="124">
        <f t="shared" si="21"/>
        <v>0.52409955265770825</v>
      </c>
      <c r="V59" s="124">
        <f t="shared" si="21"/>
        <v>0.47619473380490368</v>
      </c>
      <c r="W59" s="124">
        <f t="shared" ref="W59" si="22">IF(W13=0,0,W13/W$10)</f>
        <v>0.49798672201057287</v>
      </c>
      <c r="DA59" s="176"/>
    </row>
    <row r="60" spans="1:105" ht="11.45" customHeight="1" x14ac:dyDescent="0.25">
      <c r="A60" s="111" t="s">
        <v>92</v>
      </c>
      <c r="B60" s="125">
        <f t="shared" si="14"/>
        <v>0.2324579234855792</v>
      </c>
      <c r="C60" s="125">
        <f t="shared" ref="C60:V60" si="23">IF(C14=0,0,C14/C$10)</f>
        <v>0.2134426238837735</v>
      </c>
      <c r="D60" s="125">
        <f t="shared" si="23"/>
        <v>0.18716298047823909</v>
      </c>
      <c r="E60" s="125">
        <f t="shared" si="23"/>
        <v>0.15900313789617354</v>
      </c>
      <c r="F60" s="125">
        <f t="shared" si="23"/>
        <v>0.16568058654602835</v>
      </c>
      <c r="G60" s="125">
        <f t="shared" si="23"/>
        <v>0.18185622816536431</v>
      </c>
      <c r="H60" s="125">
        <f t="shared" si="23"/>
        <v>0.22861940697284888</v>
      </c>
      <c r="I60" s="125">
        <f t="shared" si="23"/>
        <v>0.21003590947841716</v>
      </c>
      <c r="J60" s="125">
        <f t="shared" si="23"/>
        <v>0.23880400360069823</v>
      </c>
      <c r="K60" s="125">
        <f t="shared" si="23"/>
        <v>0.2066879032889776</v>
      </c>
      <c r="L60" s="125">
        <f t="shared" si="23"/>
        <v>0.25104473443068509</v>
      </c>
      <c r="M60" s="125">
        <f t="shared" si="23"/>
        <v>0.24806605064999274</v>
      </c>
      <c r="N60" s="125">
        <f t="shared" si="23"/>
        <v>0.33395781606771657</v>
      </c>
      <c r="O60" s="125">
        <f t="shared" si="23"/>
        <v>0.29176891029683849</v>
      </c>
      <c r="P60" s="125">
        <f t="shared" si="23"/>
        <v>0.21745041184439196</v>
      </c>
      <c r="Q60" s="125">
        <f t="shared" si="23"/>
        <v>0.19319377989914852</v>
      </c>
      <c r="R60" s="125">
        <f t="shared" si="23"/>
        <v>0.19491292695413268</v>
      </c>
      <c r="S60" s="125">
        <f t="shared" si="23"/>
        <v>0.18083891779364711</v>
      </c>
      <c r="T60" s="125">
        <f t="shared" si="23"/>
        <v>0.15538423729441891</v>
      </c>
      <c r="U60" s="125">
        <f t="shared" si="23"/>
        <v>0.12010174202056396</v>
      </c>
      <c r="V60" s="125">
        <f t="shared" si="23"/>
        <v>9.2574234445234715E-2</v>
      </c>
      <c r="W60" s="125">
        <f t="shared" ref="W60" si="24">IF(W14=0,0,W14/W$10)</f>
        <v>9.2479245151451422E-2</v>
      </c>
      <c r="DA60" s="171"/>
    </row>
    <row r="61" spans="1:105" ht="11.45" customHeight="1" x14ac:dyDescent="0.25">
      <c r="A61" s="111" t="s">
        <v>93</v>
      </c>
      <c r="B61" s="125">
        <f t="shared" si="14"/>
        <v>0.27078725618750538</v>
      </c>
      <c r="C61" s="125">
        <f t="shared" ref="C61:V61" si="25">IF(C15=0,0,C15/C$10)</f>
        <v>0.28776947587472379</v>
      </c>
      <c r="D61" s="125">
        <f t="shared" si="25"/>
        <v>0.32863684811678895</v>
      </c>
      <c r="E61" s="125">
        <f t="shared" si="25"/>
        <v>0.30699112926678479</v>
      </c>
      <c r="F61" s="125">
        <f t="shared" si="25"/>
        <v>0.29873371429174683</v>
      </c>
      <c r="G61" s="125">
        <f t="shared" si="25"/>
        <v>0.28684646074053288</v>
      </c>
      <c r="H61" s="125">
        <f t="shared" si="25"/>
        <v>0.2734190740145061</v>
      </c>
      <c r="I61" s="125">
        <f t="shared" si="25"/>
        <v>0.29382098042465382</v>
      </c>
      <c r="J61" s="125">
        <f t="shared" si="25"/>
        <v>0.27260078161676382</v>
      </c>
      <c r="K61" s="125">
        <f t="shared" si="25"/>
        <v>0.40323590788846558</v>
      </c>
      <c r="L61" s="125">
        <f t="shared" si="25"/>
        <v>0.32317829775559309</v>
      </c>
      <c r="M61" s="125">
        <f t="shared" si="25"/>
        <v>0.27959919109436748</v>
      </c>
      <c r="N61" s="125">
        <f t="shared" si="25"/>
        <v>0.23502783220737322</v>
      </c>
      <c r="O61" s="125">
        <f t="shared" si="25"/>
        <v>0.19220019586266551</v>
      </c>
      <c r="P61" s="125">
        <f t="shared" si="25"/>
        <v>0.24078207967006751</v>
      </c>
      <c r="Q61" s="125">
        <f t="shared" si="25"/>
        <v>0.3390896078691541</v>
      </c>
      <c r="R61" s="125">
        <f t="shared" si="25"/>
        <v>0.31732403325926539</v>
      </c>
      <c r="S61" s="125">
        <f t="shared" si="25"/>
        <v>0.30825200305572792</v>
      </c>
      <c r="T61" s="125">
        <f t="shared" si="25"/>
        <v>0.31534132774931206</v>
      </c>
      <c r="U61" s="125">
        <f t="shared" si="25"/>
        <v>0.40399781063714429</v>
      </c>
      <c r="V61" s="125">
        <f t="shared" si="25"/>
        <v>0.38362049935966896</v>
      </c>
      <c r="W61" s="125">
        <f t="shared" ref="W61" si="26">IF(W15=0,0,W15/W$10)</f>
        <v>0.40550747685912147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0.46748162291699841</v>
      </c>
      <c r="C63" s="31">
        <f t="shared" ref="C63:V63" si="29">IF(C17=0,0,C17/C$10)</f>
        <v>0.46210049216490801</v>
      </c>
      <c r="D63" s="31">
        <f t="shared" si="29"/>
        <v>0.44876672517796956</v>
      </c>
      <c r="E63" s="31">
        <f t="shared" si="29"/>
        <v>0.49245725752213193</v>
      </c>
      <c r="F63" s="31">
        <f t="shared" si="29"/>
        <v>0.49779954070269111</v>
      </c>
      <c r="G63" s="31">
        <f t="shared" si="29"/>
        <v>0.49576518818331938</v>
      </c>
      <c r="H63" s="31">
        <f t="shared" si="29"/>
        <v>0.46045359649801132</v>
      </c>
      <c r="I63" s="31">
        <f t="shared" si="29"/>
        <v>0.45574316027516726</v>
      </c>
      <c r="J63" s="31">
        <f t="shared" si="29"/>
        <v>0.4477384387278181</v>
      </c>
      <c r="K63" s="31">
        <f t="shared" si="29"/>
        <v>0.31947372102189148</v>
      </c>
      <c r="L63" s="31">
        <f t="shared" si="29"/>
        <v>0.32034044486186825</v>
      </c>
      <c r="M63" s="31">
        <f t="shared" si="29"/>
        <v>0.35933303959449203</v>
      </c>
      <c r="N63" s="31">
        <f t="shared" si="29"/>
        <v>0.30838962863506164</v>
      </c>
      <c r="O63" s="31">
        <f t="shared" si="29"/>
        <v>0.35713734085275206</v>
      </c>
      <c r="P63" s="31">
        <f t="shared" si="29"/>
        <v>0.4134856812475684</v>
      </c>
      <c r="Q63" s="31">
        <f t="shared" si="29"/>
        <v>0.37235188812066045</v>
      </c>
      <c r="R63" s="31">
        <f t="shared" si="29"/>
        <v>0.37441963688809021</v>
      </c>
      <c r="S63" s="31">
        <f t="shared" si="29"/>
        <v>0.37676383001731523</v>
      </c>
      <c r="T63" s="31">
        <f t="shared" si="29"/>
        <v>0.38591101173457598</v>
      </c>
      <c r="U63" s="31">
        <f t="shared" si="29"/>
        <v>0.35044361504675797</v>
      </c>
      <c r="V63" s="31">
        <f t="shared" si="29"/>
        <v>0.41833296322854524</v>
      </c>
      <c r="W63" s="31">
        <f t="shared" ref="W63" si="30">IF(W17=0,0,W17/W$10)</f>
        <v>0.40580451191525624</v>
      </c>
      <c r="DA63" s="173"/>
    </row>
    <row r="64" spans="1:105" ht="11.45" customHeight="1" x14ac:dyDescent="0.25">
      <c r="A64" s="83" t="s">
        <v>92</v>
      </c>
      <c r="B64" s="125">
        <f t="shared" si="14"/>
        <v>0.2680322136756389</v>
      </c>
      <c r="C64" s="125">
        <f t="shared" ref="C64:V64" si="31">IF(C18=0,0,C18/C$10)</f>
        <v>0.26079059278628197</v>
      </c>
      <c r="D64" s="125">
        <f t="shared" si="31"/>
        <v>0.26479349827500465</v>
      </c>
      <c r="E64" s="125">
        <f t="shared" si="31"/>
        <v>0.27508941133517878</v>
      </c>
      <c r="F64" s="125">
        <f t="shared" si="31"/>
        <v>0.28028602405930259</v>
      </c>
      <c r="G64" s="125">
        <f t="shared" si="31"/>
        <v>0.27428548576517714</v>
      </c>
      <c r="H64" s="125">
        <f t="shared" si="31"/>
        <v>0.23259191032445584</v>
      </c>
      <c r="I64" s="125">
        <f t="shared" si="31"/>
        <v>0.22790669208699477</v>
      </c>
      <c r="J64" s="125">
        <f t="shared" si="31"/>
        <v>0.28053301297388739</v>
      </c>
      <c r="K64" s="125">
        <f t="shared" si="31"/>
        <v>0.18760739872444532</v>
      </c>
      <c r="L64" s="125">
        <f t="shared" si="31"/>
        <v>0.19403102314507248</v>
      </c>
      <c r="M64" s="125">
        <f t="shared" si="31"/>
        <v>0.20726225936077147</v>
      </c>
      <c r="N64" s="125">
        <f t="shared" si="31"/>
        <v>0.19305543571617745</v>
      </c>
      <c r="O64" s="125">
        <f t="shared" si="31"/>
        <v>0.1812311248364924</v>
      </c>
      <c r="P64" s="125">
        <f t="shared" si="31"/>
        <v>0.20470527677836242</v>
      </c>
      <c r="Q64" s="125">
        <f t="shared" si="31"/>
        <v>0.21639227674573164</v>
      </c>
      <c r="R64" s="125">
        <f t="shared" si="31"/>
        <v>0.16302497579923578</v>
      </c>
      <c r="S64" s="125">
        <f t="shared" si="31"/>
        <v>0.16019802881353795</v>
      </c>
      <c r="T64" s="125">
        <f t="shared" si="31"/>
        <v>0.14531421763860802</v>
      </c>
      <c r="U64" s="125">
        <f t="shared" si="31"/>
        <v>0.1022472421772203</v>
      </c>
      <c r="V64" s="125">
        <f t="shared" si="31"/>
        <v>0.1355656325927119</v>
      </c>
      <c r="W64" s="125">
        <f t="shared" ref="W64" si="32">IF(W18=0,0,W18/W$10)</f>
        <v>0.13892472749188434</v>
      </c>
      <c r="DA64" s="171"/>
    </row>
    <row r="65" spans="1:105" ht="11.45" customHeight="1" x14ac:dyDescent="0.25">
      <c r="A65" s="85" t="s">
        <v>93</v>
      </c>
      <c r="B65" s="127">
        <f t="shared" si="14"/>
        <v>0.19944940924135951</v>
      </c>
      <c r="C65" s="127">
        <f t="shared" ref="C65:V65" si="33">IF(C19=0,0,C19/C$10)</f>
        <v>0.20130989937862601</v>
      </c>
      <c r="D65" s="127">
        <f t="shared" si="33"/>
        <v>0.18397322690296494</v>
      </c>
      <c r="E65" s="127">
        <f t="shared" si="33"/>
        <v>0.21736784618695312</v>
      </c>
      <c r="F65" s="127">
        <f t="shared" si="33"/>
        <v>0.21751351664338853</v>
      </c>
      <c r="G65" s="127">
        <f t="shared" si="33"/>
        <v>0.22147970241814227</v>
      </c>
      <c r="H65" s="127">
        <f t="shared" si="33"/>
        <v>0.22786168617355551</v>
      </c>
      <c r="I65" s="127">
        <f t="shared" si="33"/>
        <v>0.22783646818817249</v>
      </c>
      <c r="J65" s="127">
        <f t="shared" si="33"/>
        <v>0.16720542575393074</v>
      </c>
      <c r="K65" s="127">
        <f t="shared" si="33"/>
        <v>0.13186632229744616</v>
      </c>
      <c r="L65" s="127">
        <f t="shared" si="33"/>
        <v>0.12630942171679574</v>
      </c>
      <c r="M65" s="127">
        <f t="shared" si="33"/>
        <v>0.15207078023372056</v>
      </c>
      <c r="N65" s="127">
        <f t="shared" si="33"/>
        <v>0.11533419291888419</v>
      </c>
      <c r="O65" s="127">
        <f t="shared" si="33"/>
        <v>0.17590621601625964</v>
      </c>
      <c r="P65" s="127">
        <f t="shared" si="33"/>
        <v>0.20878040446920598</v>
      </c>
      <c r="Q65" s="127">
        <f t="shared" si="33"/>
        <v>0.15595961137492881</v>
      </c>
      <c r="R65" s="127">
        <f t="shared" si="33"/>
        <v>0.21139466108885449</v>
      </c>
      <c r="S65" s="127">
        <f t="shared" si="33"/>
        <v>0.2165658012037773</v>
      </c>
      <c r="T65" s="127">
        <f t="shared" si="33"/>
        <v>0.24059679409596796</v>
      </c>
      <c r="U65" s="127">
        <f t="shared" si="33"/>
        <v>0.24819637286953769</v>
      </c>
      <c r="V65" s="127">
        <f t="shared" si="33"/>
        <v>0.28276733063583337</v>
      </c>
      <c r="W65" s="127">
        <f t="shared" ref="W65" si="34">IF(W19=0,0,W19/W$10)</f>
        <v>0.26687978442337185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121.07942963999999</v>
      </c>
      <c r="C4" s="26">
        <f t="shared" ref="C4:W4" si="0">SUM(C5:C6)</f>
        <v>105.14798892000002</v>
      </c>
      <c r="D4" s="26">
        <f t="shared" si="0"/>
        <v>98.775359280000004</v>
      </c>
      <c r="E4" s="26">
        <f t="shared" si="0"/>
        <v>89.216281440000003</v>
      </c>
      <c r="F4" s="26">
        <f t="shared" si="0"/>
        <v>90.774019440000004</v>
      </c>
      <c r="G4" s="26">
        <f t="shared" si="0"/>
        <v>92.402729640000004</v>
      </c>
      <c r="H4" s="26">
        <f t="shared" si="0"/>
        <v>89.970145200000005</v>
      </c>
      <c r="I4" s="26">
        <f t="shared" si="0"/>
        <v>78.36075000000001</v>
      </c>
      <c r="J4" s="26">
        <f t="shared" si="0"/>
        <v>100.30176</v>
      </c>
      <c r="K4" s="26">
        <f t="shared" si="0"/>
        <v>62.688600000000008</v>
      </c>
      <c r="L4" s="26">
        <f t="shared" si="0"/>
        <v>62.688600000000008</v>
      </c>
      <c r="M4" s="26">
        <f t="shared" si="0"/>
        <v>56.419739999999997</v>
      </c>
      <c r="N4" s="26">
        <f t="shared" si="0"/>
        <v>68.957459999999998</v>
      </c>
      <c r="O4" s="26">
        <f t="shared" si="0"/>
        <v>43.882020000000004</v>
      </c>
      <c r="P4" s="26">
        <f t="shared" si="0"/>
        <v>37.613159999999986</v>
      </c>
      <c r="Q4" s="26">
        <f t="shared" si="0"/>
        <v>50.150879999999987</v>
      </c>
      <c r="R4" s="26">
        <f t="shared" si="0"/>
        <v>40.747590000000002</v>
      </c>
      <c r="S4" s="26">
        <f t="shared" si="0"/>
        <v>42.029638560000002</v>
      </c>
      <c r="T4" s="26">
        <f t="shared" si="0"/>
        <v>34.488066599999996</v>
      </c>
      <c r="U4" s="26">
        <f t="shared" si="0"/>
        <v>31.090344479999995</v>
      </c>
      <c r="V4" s="26">
        <f t="shared" si="0"/>
        <v>29.614094639999998</v>
      </c>
      <c r="W4" s="26">
        <f t="shared" si="0"/>
        <v>32.077890000000004</v>
      </c>
      <c r="DA4" s="202" t="s">
        <v>1135</v>
      </c>
    </row>
    <row r="5" spans="1:105" ht="11.45" customHeight="1" x14ac:dyDescent="0.25">
      <c r="A5" s="107" t="s">
        <v>92</v>
      </c>
      <c r="B5" s="129">
        <v>121.07942963999999</v>
      </c>
      <c r="C5" s="129">
        <v>105.14798892000002</v>
      </c>
      <c r="D5" s="129">
        <v>98.775359280000004</v>
      </c>
      <c r="E5" s="129">
        <v>89.216281440000003</v>
      </c>
      <c r="F5" s="129">
        <v>90.774019440000004</v>
      </c>
      <c r="G5" s="129">
        <v>92.402729640000004</v>
      </c>
      <c r="H5" s="129">
        <v>89.970145200000005</v>
      </c>
      <c r="I5" s="129">
        <v>78.36075000000001</v>
      </c>
      <c r="J5" s="129">
        <v>100.30176</v>
      </c>
      <c r="K5" s="129">
        <v>62.688600000000008</v>
      </c>
      <c r="L5" s="129">
        <v>62.688600000000008</v>
      </c>
      <c r="M5" s="129">
        <v>56.419739999999997</v>
      </c>
      <c r="N5" s="129">
        <v>68.957459999999998</v>
      </c>
      <c r="O5" s="129">
        <v>43.882020000000004</v>
      </c>
      <c r="P5" s="129">
        <v>37.613159999999986</v>
      </c>
      <c r="Q5" s="129">
        <v>50.150879999999987</v>
      </c>
      <c r="R5" s="129">
        <v>40.747590000000002</v>
      </c>
      <c r="S5" s="129">
        <v>42.029638560000002</v>
      </c>
      <c r="T5" s="129">
        <v>34.488066599999996</v>
      </c>
      <c r="U5" s="129">
        <v>31.090344479999995</v>
      </c>
      <c r="V5" s="129">
        <v>29.614094639999998</v>
      </c>
      <c r="W5" s="129">
        <v>32.077890000000004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121.07942963999997</v>
      </c>
      <c r="C8" s="79">
        <f t="shared" si="1"/>
        <v>105.14798892000002</v>
      </c>
      <c r="D8" s="79">
        <f t="shared" si="1"/>
        <v>98.775359280000004</v>
      </c>
      <c r="E8" s="79">
        <f t="shared" si="1"/>
        <v>89.216281440000017</v>
      </c>
      <c r="F8" s="79">
        <f t="shared" si="1"/>
        <v>90.774019440000018</v>
      </c>
      <c r="G8" s="79">
        <f t="shared" si="1"/>
        <v>92.402729640000018</v>
      </c>
      <c r="H8" s="79">
        <f t="shared" si="1"/>
        <v>89.970145200000005</v>
      </c>
      <c r="I8" s="79">
        <f t="shared" si="1"/>
        <v>78.360750000000024</v>
      </c>
      <c r="J8" s="79">
        <f t="shared" si="1"/>
        <v>100.30176</v>
      </c>
      <c r="K8" s="79">
        <f t="shared" si="1"/>
        <v>62.688600000000022</v>
      </c>
      <c r="L8" s="79">
        <f t="shared" si="1"/>
        <v>62.688600000000008</v>
      </c>
      <c r="M8" s="79">
        <f t="shared" si="1"/>
        <v>56.419740000000004</v>
      </c>
      <c r="N8" s="79">
        <f t="shared" si="1"/>
        <v>68.957459999999998</v>
      </c>
      <c r="O8" s="79">
        <f t="shared" si="1"/>
        <v>43.882019999999997</v>
      </c>
      <c r="P8" s="79">
        <f t="shared" si="1"/>
        <v>37.613159999999993</v>
      </c>
      <c r="Q8" s="79">
        <f t="shared" si="1"/>
        <v>50.150879999999987</v>
      </c>
      <c r="R8" s="79">
        <f t="shared" si="1"/>
        <v>40.747590000000002</v>
      </c>
      <c r="S8" s="79">
        <f t="shared" si="1"/>
        <v>42.029638560000002</v>
      </c>
      <c r="T8" s="79">
        <f t="shared" si="1"/>
        <v>34.488066599999996</v>
      </c>
      <c r="U8" s="79">
        <f t="shared" si="1"/>
        <v>31.090344479999992</v>
      </c>
      <c r="V8" s="79">
        <f t="shared" si="1"/>
        <v>29.614094639999998</v>
      </c>
      <c r="W8" s="79">
        <f t="shared" si="1"/>
        <v>32.077890000000011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56.236618268995628</v>
      </c>
      <c r="C9" s="32">
        <f t="shared" si="2"/>
        <v>47.32494870092863</v>
      </c>
      <c r="D9" s="32">
        <f t="shared" si="2"/>
        <v>40.904581546550091</v>
      </c>
      <c r="E9" s="32">
        <f t="shared" si="2"/>
        <v>32.678903900808052</v>
      </c>
      <c r="F9" s="32">
        <f t="shared" si="2"/>
        <v>33.723360507967151</v>
      </c>
      <c r="G9" s="32">
        <f t="shared" si="2"/>
        <v>36.83945443120146</v>
      </c>
      <c r="H9" s="32">
        <f t="shared" si="2"/>
        <v>44.597607364491509</v>
      </c>
      <c r="I9" s="32">
        <f t="shared" si="2"/>
        <v>37.581571956759269</v>
      </c>
      <c r="J9" s="32">
        <f t="shared" si="2"/>
        <v>46.12122974437812</v>
      </c>
      <c r="K9" s="32">
        <f t="shared" si="2"/>
        <v>32.86109478849513</v>
      </c>
      <c r="L9" s="32">
        <f t="shared" si="2"/>
        <v>35.359470092353213</v>
      </c>
      <c r="M9" s="32">
        <f t="shared" si="2"/>
        <v>30.737869297361616</v>
      </c>
      <c r="N9" s="32">
        <f t="shared" si="2"/>
        <v>43.696970930476908</v>
      </c>
      <c r="O9" s="32">
        <f t="shared" si="2"/>
        <v>27.068516291790555</v>
      </c>
      <c r="P9" s="32">
        <f t="shared" si="2"/>
        <v>19.374362002445739</v>
      </c>
      <c r="Q9" s="32">
        <f t="shared" si="2"/>
        <v>23.655195081186655</v>
      </c>
      <c r="R9" s="32">
        <f t="shared" si="2"/>
        <v>22.188854469260889</v>
      </c>
      <c r="S9" s="32">
        <f t="shared" si="2"/>
        <v>22.286718281005186</v>
      </c>
      <c r="T9" s="32">
        <f t="shared" si="2"/>
        <v>17.821514665227276</v>
      </c>
      <c r="U9" s="32">
        <f t="shared" si="2"/>
        <v>16.79344093043369</v>
      </c>
      <c r="V9" s="32">
        <f t="shared" si="2"/>
        <v>12.016760488559123</v>
      </c>
      <c r="W9" s="32">
        <f t="shared" si="2"/>
        <v>12.819741248883552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56.236618268995628</v>
      </c>
      <c r="C11" s="130">
        <f t="shared" si="3"/>
        <v>47.32494870092863</v>
      </c>
      <c r="D11" s="130">
        <f t="shared" si="3"/>
        <v>40.904581546550091</v>
      </c>
      <c r="E11" s="130">
        <f t="shared" si="3"/>
        <v>32.678903900808052</v>
      </c>
      <c r="F11" s="130">
        <f t="shared" si="3"/>
        <v>33.723360507967151</v>
      </c>
      <c r="G11" s="130">
        <f t="shared" si="3"/>
        <v>36.83945443120146</v>
      </c>
      <c r="H11" s="130">
        <f t="shared" si="3"/>
        <v>44.597607364491509</v>
      </c>
      <c r="I11" s="130">
        <f t="shared" si="3"/>
        <v>37.581571956759269</v>
      </c>
      <c r="J11" s="130">
        <f t="shared" si="3"/>
        <v>46.12122974437812</v>
      </c>
      <c r="K11" s="130">
        <f t="shared" si="3"/>
        <v>32.86109478849513</v>
      </c>
      <c r="L11" s="130">
        <f t="shared" si="3"/>
        <v>35.359470092353213</v>
      </c>
      <c r="M11" s="130">
        <f t="shared" si="3"/>
        <v>30.737869297361616</v>
      </c>
      <c r="N11" s="130">
        <f t="shared" si="3"/>
        <v>43.696970930476908</v>
      </c>
      <c r="O11" s="130">
        <f t="shared" si="3"/>
        <v>27.068516291790555</v>
      </c>
      <c r="P11" s="130">
        <f t="shared" si="3"/>
        <v>19.374362002445739</v>
      </c>
      <c r="Q11" s="130">
        <f t="shared" si="3"/>
        <v>23.655195081186655</v>
      </c>
      <c r="R11" s="130">
        <f t="shared" si="3"/>
        <v>22.188854469260889</v>
      </c>
      <c r="S11" s="130">
        <f t="shared" si="3"/>
        <v>22.286718281005186</v>
      </c>
      <c r="T11" s="130">
        <f t="shared" si="3"/>
        <v>17.821514665227276</v>
      </c>
      <c r="U11" s="130">
        <f t="shared" si="3"/>
        <v>16.79344093043369</v>
      </c>
      <c r="V11" s="130">
        <f t="shared" si="3"/>
        <v>12.016760488559123</v>
      </c>
      <c r="W11" s="130">
        <f t="shared" si="3"/>
        <v>12.819741248883552</v>
      </c>
      <c r="DA11" s="176" t="s">
        <v>408</v>
      </c>
    </row>
    <row r="12" spans="1:105" ht="11.45" customHeight="1" x14ac:dyDescent="0.25">
      <c r="A12" s="111" t="s">
        <v>92</v>
      </c>
      <c r="B12" s="96">
        <v>56.236618268995628</v>
      </c>
      <c r="C12" s="96">
        <v>47.32494870092863</v>
      </c>
      <c r="D12" s="96">
        <v>40.904581546550091</v>
      </c>
      <c r="E12" s="96">
        <v>32.678903900808052</v>
      </c>
      <c r="F12" s="96">
        <v>33.723360507967151</v>
      </c>
      <c r="G12" s="96">
        <v>36.83945443120146</v>
      </c>
      <c r="H12" s="96">
        <v>44.597607364491509</v>
      </c>
      <c r="I12" s="96">
        <v>37.581571956759269</v>
      </c>
      <c r="J12" s="96">
        <v>46.12122974437812</v>
      </c>
      <c r="K12" s="96">
        <v>32.86109478849513</v>
      </c>
      <c r="L12" s="96">
        <v>35.359470092353213</v>
      </c>
      <c r="M12" s="96">
        <v>30.737869297361616</v>
      </c>
      <c r="N12" s="96">
        <v>43.696970930476908</v>
      </c>
      <c r="O12" s="96">
        <v>27.068516291790555</v>
      </c>
      <c r="P12" s="96">
        <v>19.374362002445739</v>
      </c>
      <c r="Q12" s="96">
        <v>23.655195081186655</v>
      </c>
      <c r="R12" s="96">
        <v>22.188854469260889</v>
      </c>
      <c r="S12" s="96">
        <v>22.286718281005186</v>
      </c>
      <c r="T12" s="96">
        <v>17.821514665227276</v>
      </c>
      <c r="U12" s="96">
        <v>16.79344093043369</v>
      </c>
      <c r="V12" s="96">
        <v>12.016760488559123</v>
      </c>
      <c r="W12" s="96">
        <v>12.819741248883552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64.842811371004345</v>
      </c>
      <c r="C15" s="32">
        <f t="shared" si="4"/>
        <v>57.823040219071387</v>
      </c>
      <c r="D15" s="32">
        <f t="shared" si="4"/>
        <v>57.870777733449913</v>
      </c>
      <c r="E15" s="32">
        <f t="shared" si="4"/>
        <v>56.537377539191958</v>
      </c>
      <c r="F15" s="32">
        <f t="shared" si="4"/>
        <v>57.050658932032867</v>
      </c>
      <c r="G15" s="32">
        <f t="shared" si="4"/>
        <v>55.563275208798551</v>
      </c>
      <c r="H15" s="32">
        <f t="shared" si="4"/>
        <v>45.372537835508496</v>
      </c>
      <c r="I15" s="32">
        <f t="shared" si="4"/>
        <v>40.779178043240755</v>
      </c>
      <c r="J15" s="32">
        <f t="shared" si="4"/>
        <v>54.180530255621882</v>
      </c>
      <c r="K15" s="32">
        <f t="shared" si="4"/>
        <v>29.827505211504889</v>
      </c>
      <c r="L15" s="32">
        <f t="shared" si="4"/>
        <v>27.329129907646799</v>
      </c>
      <c r="M15" s="32">
        <f t="shared" si="4"/>
        <v>25.681870702638385</v>
      </c>
      <c r="N15" s="32">
        <f t="shared" si="4"/>
        <v>25.260489069523096</v>
      </c>
      <c r="O15" s="32">
        <f t="shared" si="4"/>
        <v>16.813503708209446</v>
      </c>
      <c r="P15" s="32">
        <f t="shared" si="4"/>
        <v>18.238797997554251</v>
      </c>
      <c r="Q15" s="32">
        <f t="shared" si="4"/>
        <v>26.495684918813335</v>
      </c>
      <c r="R15" s="32">
        <f t="shared" si="4"/>
        <v>18.558735530739117</v>
      </c>
      <c r="S15" s="32">
        <f t="shared" si="4"/>
        <v>19.742920278994816</v>
      </c>
      <c r="T15" s="32">
        <f t="shared" si="4"/>
        <v>16.66655193477272</v>
      </c>
      <c r="U15" s="32">
        <f t="shared" si="4"/>
        <v>14.296903549566304</v>
      </c>
      <c r="V15" s="32">
        <f t="shared" si="4"/>
        <v>17.597334151440876</v>
      </c>
      <c r="W15" s="32">
        <f t="shared" si="4"/>
        <v>19.258148751116455</v>
      </c>
      <c r="DA15" s="173" t="s">
        <v>413</v>
      </c>
    </row>
    <row r="16" spans="1:105" ht="11.45" customHeight="1" x14ac:dyDescent="0.25">
      <c r="A16" s="83" t="s">
        <v>92</v>
      </c>
      <c r="B16" s="96">
        <v>64.842811371004345</v>
      </c>
      <c r="C16" s="96">
        <v>57.823040219071387</v>
      </c>
      <c r="D16" s="96">
        <v>57.870777733449913</v>
      </c>
      <c r="E16" s="96">
        <v>56.537377539191958</v>
      </c>
      <c r="F16" s="96">
        <v>57.050658932032867</v>
      </c>
      <c r="G16" s="96">
        <v>55.563275208798551</v>
      </c>
      <c r="H16" s="96">
        <v>45.372537835508496</v>
      </c>
      <c r="I16" s="96">
        <v>40.779178043240755</v>
      </c>
      <c r="J16" s="96">
        <v>54.180530255621882</v>
      </c>
      <c r="K16" s="96">
        <v>29.827505211504889</v>
      </c>
      <c r="L16" s="96">
        <v>27.329129907646799</v>
      </c>
      <c r="M16" s="96">
        <v>25.681870702638385</v>
      </c>
      <c r="N16" s="96">
        <v>25.260489069523096</v>
      </c>
      <c r="O16" s="96">
        <v>16.813503708209446</v>
      </c>
      <c r="P16" s="96">
        <v>18.238797997554251</v>
      </c>
      <c r="Q16" s="96">
        <v>26.495684918813335</v>
      </c>
      <c r="R16" s="96">
        <v>18.558735530739117</v>
      </c>
      <c r="S16" s="96">
        <v>19.742920278994816</v>
      </c>
      <c r="T16" s="96">
        <v>16.66655193477272</v>
      </c>
      <c r="U16" s="96">
        <v>14.296903549566304</v>
      </c>
      <c r="V16" s="96">
        <v>17.597334151440876</v>
      </c>
      <c r="W16" s="96">
        <v>19.258148751116455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1.5527300107435418</v>
      </c>
      <c r="C22" s="134">
        <f>IF(C4=0,0,C4/TrRail_ene!C4)</f>
        <v>1.4712700469816538</v>
      </c>
      <c r="D22" s="134">
        <f>IF(D4=0,0,D4/TrRail_ene!D4)</f>
        <v>1.402158276465864</v>
      </c>
      <c r="E22" s="134">
        <f>IF(E4=0,0,E4/TrRail_ene!E4)</f>
        <v>1.3467368856752733</v>
      </c>
      <c r="F22" s="134">
        <f>IF(F4=0,0,F4/TrRail_ene!F4)</f>
        <v>1.3892970830829001</v>
      </c>
      <c r="G22" s="134">
        <f>IF(G4=0,0,G4/TrRail_ene!G4)</f>
        <v>1.4151426287623337</v>
      </c>
      <c r="H22" s="134">
        <f>IF(H4=0,0,H4/TrRail_ene!H4)</f>
        <v>1.4308706615559235</v>
      </c>
      <c r="I22" s="134">
        <f>IF(I4=0,0,I4/TrRail_ene!I4)</f>
        <v>1.3586813604174433</v>
      </c>
      <c r="J22" s="134">
        <f>IF(J4=0,0,J4/TrRail_ene!J4)</f>
        <v>1.6112009237569063</v>
      </c>
      <c r="K22" s="134">
        <f>IF(K4=0,0,K4/TrRail_ene!K4)</f>
        <v>1.2232691577181209</v>
      </c>
      <c r="L22" s="134">
        <f>IF(L4=0,0,L4/TrRail_ene!L4)</f>
        <v>1.3808113977272731</v>
      </c>
      <c r="M22" s="134">
        <f>IF(M4=0,0,M4/TrRail_ene!M4)</f>
        <v>1.4126191091496234</v>
      </c>
      <c r="N22" s="134">
        <f>IF(N4=0,0,N4/TrRail_ene!N4)</f>
        <v>1.6350158201834863</v>
      </c>
      <c r="O22" s="134">
        <f>IF(O4=0,0,O4/TrRail_ene!O4)</f>
        <v>1.3792478024101464</v>
      </c>
      <c r="P22" s="134">
        <f>IF(P4=0,0,P4/TrRail_ene!P4)</f>
        <v>1.3097037449101794</v>
      </c>
      <c r="Q22" s="134">
        <f>IF(Q4=0,0,Q4/TrRail_ene!Q4)</f>
        <v>1.2707074823529412</v>
      </c>
      <c r="R22" s="134">
        <f>IF(R4=0,0,R4/TrRail_ene!R4)</f>
        <v>1.1104732787346221</v>
      </c>
      <c r="S22" s="134">
        <f>IF(S4=0,0,S4/TrRail_ene!S4)</f>
        <v>1.058039434648727</v>
      </c>
      <c r="T22" s="134">
        <f>IF(T4=0,0,T4/TrRail_ene!T4)</f>
        <v>0.93289253971517538</v>
      </c>
      <c r="U22" s="134">
        <f>IF(U4=0,0,U4/TrRail_ene!U4)</f>
        <v>0.68981966873610889</v>
      </c>
      <c r="V22" s="134">
        <f>IF(V4=0,0,V4/TrRail_ene!V4)</f>
        <v>0.70778541252802585</v>
      </c>
      <c r="W22" s="134">
        <f>IF(W4=0,0,W4/TrRail_ene!W4)</f>
        <v>0.71791203512337054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1.5576245508572306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1.457978541186957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1.5512094000000003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3637.9285131697211</v>
      </c>
      <c r="C26" s="54">
        <f>IF(C8=0,0,C8/TrRail_act!C14*1000)</f>
        <v>3181.9103017640168</v>
      </c>
      <c r="D26" s="54">
        <f>IF(D8=0,0,D8/TrRail_act!D14*1000)</f>
        <v>2937.1957119007684</v>
      </c>
      <c r="E26" s="54">
        <f>IF(E8=0,0,E8/TrRail_act!E14*1000)</f>
        <v>2735.7099879439584</v>
      </c>
      <c r="F26" s="54">
        <f>IF(F8=0,0,F8/TrRail_act!F14*1000)</f>
        <v>2833.29759227452</v>
      </c>
      <c r="G26" s="54">
        <f>IF(G8=0,0,G8/TrRail_act!G14*1000)</f>
        <v>2889.2933905257828</v>
      </c>
      <c r="H26" s="54">
        <f>IF(H8=0,0,H8/TrRail_act!H14*1000)</f>
        <v>2779.3058988371263</v>
      </c>
      <c r="I26" s="54">
        <f>IF(I8=0,0,I8/TrRail_act!I14*1000)</f>
        <v>2561.8980147285693</v>
      </c>
      <c r="J26" s="54">
        <f>IF(J8=0,0,J8/TrRail_act!J14*1000)</f>
        <v>3094.1624584552333</v>
      </c>
      <c r="K26" s="54">
        <f>IF(K8=0,0,K8/TrRail_act!K14*1000)</f>
        <v>1870.4039419098303</v>
      </c>
      <c r="L26" s="54">
        <f>IF(L8=0,0,L8/TrRail_act!L14*1000)</f>
        <v>1909.5985712387617</v>
      </c>
      <c r="M26" s="54">
        <f>IF(M8=0,0,M8/TrRail_act!M14*1000)</f>
        <v>1860.439387771708</v>
      </c>
      <c r="N26" s="54">
        <f>IF(N8=0,0,N8/TrRail_act!N14*1000)</f>
        <v>2084.2793352613512</v>
      </c>
      <c r="O26" s="54">
        <f>IF(O8=0,0,O8/TrRail_act!O14*1000)</f>
        <v>1556.0054409173642</v>
      </c>
      <c r="P26" s="54">
        <f>IF(P8=0,0,P8/TrRail_act!P14*1000)</f>
        <v>1548.749922506702</v>
      </c>
      <c r="Q26" s="54">
        <f>IF(Q8=0,0,Q8/TrRail_act!Q14*1000)</f>
        <v>1559.7497974368628</v>
      </c>
      <c r="R26" s="54">
        <f>IF(R8=0,0,R8/TrRail_act!R14*1000)</f>
        <v>1222.4269299160878</v>
      </c>
      <c r="S26" s="54">
        <f>IF(S8=0,0,S8/TrRail_act!S14*1000)</f>
        <v>1102.980610468845</v>
      </c>
      <c r="T26" s="54">
        <f>IF(T8=0,0,T8/TrRail_act!T14*1000)</f>
        <v>939.42887164142599</v>
      </c>
      <c r="U26" s="54">
        <f>IF(U8=0,0,U8/TrRail_act!U14*1000)</f>
        <v>690.93359237890979</v>
      </c>
      <c r="V26" s="54">
        <f>IF(V8=0,0,V8/TrRail_act!V14*1000)</f>
        <v>752.36857516842997</v>
      </c>
      <c r="W26" s="54">
        <f>IF(W8=0,0,W8/TrRail_act!W14*1000)</f>
        <v>774.04258859345452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2419.3912130660192</v>
      </c>
      <c r="C27" s="28">
        <f>IF(C9=0,0,C9/TrRail_act!C15*1000)</f>
        <v>1997.1268956253309</v>
      </c>
      <c r="D27" s="28">
        <f>IF(D9=0,0,D9/TrRail_act!D15*1000)</f>
        <v>1653.5593861388656</v>
      </c>
      <c r="E27" s="28">
        <f>IF(E9=0,0,E9/TrRail_act!E15*1000)</f>
        <v>1423.9826927730869</v>
      </c>
      <c r="F27" s="28">
        <f>IF(F9=0,0,F9/TrRail_act!F15*1000)</f>
        <v>1509.1953404714532</v>
      </c>
      <c r="G27" s="28">
        <f>IF(G9=0,0,G9/TrRail_act!G15*1000)</f>
        <v>1658.606122950187</v>
      </c>
      <c r="H27" s="28">
        <f>IF(H9=0,0,H9/TrRail_act!H15*1000)</f>
        <v>1926.1244779205952</v>
      </c>
      <c r="I27" s="28">
        <f>IF(I9=0,0,I9/TrRail_act!I15*1000)</f>
        <v>1701.8461791260106</v>
      </c>
      <c r="J27" s="28">
        <f>IF(J9=0,0,J9/TrRail_act!J15*1000)</f>
        <v>1906.1160536946009</v>
      </c>
      <c r="K27" s="28">
        <f>IF(K9=0,0,K9/TrRail_act!K15*1000)</f>
        <v>1174.4738311063913</v>
      </c>
      <c r="L27" s="28">
        <f>IF(L9=0,0,L9/TrRail_act!L15*1000)</f>
        <v>1264.8834310716147</v>
      </c>
      <c r="M27" s="28">
        <f>IF(M9=0,0,M9/TrRail_act!M15*1000)</f>
        <v>1216.3395565615469</v>
      </c>
      <c r="N27" s="28">
        <f>IF(N9=0,0,N9/TrRail_act!N15*1000)</f>
        <v>1535.5919736877631</v>
      </c>
      <c r="O27" s="28">
        <f>IF(O9=0,0,O9/TrRail_act!O15*1000)</f>
        <v>1153.7961015241895</v>
      </c>
      <c r="P27" s="28">
        <f>IF(P9=0,0,P9/TrRail_act!P15*1000)</f>
        <v>1009.5762336291423</v>
      </c>
      <c r="Q27" s="28">
        <f>IF(Q9=0,0,Q9/TrRail_act!Q15*1000)</f>
        <v>900.75135864262165</v>
      </c>
      <c r="R27" s="28">
        <f>IF(R9=0,0,R9/TrRail_act!R15*1000)</f>
        <v>836.17638242140083</v>
      </c>
      <c r="S27" s="28">
        <f>IF(S9=0,0,S9/TrRail_act!S15*1000)</f>
        <v>728.75498571768844</v>
      </c>
      <c r="T27" s="28">
        <f>IF(T9=0,0,T9/TrRail_act!T15*1000)</f>
        <v>610.53058866971787</v>
      </c>
      <c r="U27" s="28">
        <f>IF(U9=0,0,U9/TrRail_act!U15*1000)</f>
        <v>466.07260665231092</v>
      </c>
      <c r="V27" s="28">
        <f>IF(V9=0,0,V9/TrRail_act!V15*1000)</f>
        <v>405.2377025159966</v>
      </c>
      <c r="W27" s="28">
        <f>IF(W9=0,0,W9/TrRail_act!W15*1000)</f>
        <v>406.78375624212333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3043.412888339677</v>
      </c>
      <c r="C29" s="110">
        <f>IF(C11=0,0,C11/TrRail_act!C17*1000)</f>
        <v>2605.7654939657614</v>
      </c>
      <c r="D29" s="110">
        <f>IF(D11=0,0,D11/TrRail_act!D17*1000)</f>
        <v>2107.7316984182535</v>
      </c>
      <c r="E29" s="110">
        <f>IF(E11=0,0,E11/TrRail_act!E17*1000)</f>
        <v>1917.0636597342341</v>
      </c>
      <c r="F29" s="110">
        <f>IF(F11=0,0,F11/TrRail_act!F17*1000)</f>
        <v>1984.0339236722209</v>
      </c>
      <c r="G29" s="110">
        <f>IF(G11=0,0,G11/TrRail_act!G17*1000)</f>
        <v>2173.3185592632126</v>
      </c>
      <c r="H29" s="110">
        <f>IF(H11=0,0,H11/TrRail_act!H17*1000)</f>
        <v>2516.5191086189552</v>
      </c>
      <c r="I29" s="110">
        <f>IF(I11=0,0,I11/TrRail_act!I17*1000)</f>
        <v>2257.461022665032</v>
      </c>
      <c r="J29" s="110">
        <f>IF(J11=0,0,J11/TrRail_act!J17*1000)</f>
        <v>2536.2262691686833</v>
      </c>
      <c r="K29" s="110">
        <f>IF(K11=0,0,K11/TrRail_act!K17*1000)</f>
        <v>1703.8402099494438</v>
      </c>
      <c r="L29" s="110">
        <f>IF(L11=0,0,L11/TrRail_act!L17*1000)</f>
        <v>2148.2433331987568</v>
      </c>
      <c r="M29" s="110">
        <f>IF(M11=0,0,M11/TrRail_act!M17*1000)</f>
        <v>2158.5185374559983</v>
      </c>
      <c r="N29" s="110">
        <f>IF(N11=0,0,N11/TrRail_act!N17*1000)</f>
        <v>2790.902038634144</v>
      </c>
      <c r="O29" s="110">
        <f>IF(O11=0,0,O11/TrRail_act!O17*1000)</f>
        <v>2530.4300160535677</v>
      </c>
      <c r="P29" s="110">
        <f>IF(P11=0,0,P11/TrRail_act!P17*1000)</f>
        <v>1983.3954115661011</v>
      </c>
      <c r="Q29" s="110">
        <f>IF(Q11=0,0,Q11/TrRail_act!Q17*1000)</f>
        <v>1441.0706280467957</v>
      </c>
      <c r="R29" s="110">
        <f>IF(R11=0,0,R11/TrRail_act!R17*1000)</f>
        <v>1434.4150194133003</v>
      </c>
      <c r="S29" s="110">
        <f>IF(S11=0,0,S11/TrRail_act!S17*1000)</f>
        <v>1374.0238379608377</v>
      </c>
      <c r="T29" s="110">
        <f>IF(T11=0,0,T11/TrRail_act!T17*1000)</f>
        <v>1206.7040037266213</v>
      </c>
      <c r="U29" s="110">
        <f>IF(U11=0,0,U11/TrRail_act!U17*1000)</f>
        <v>817.78034297048282</v>
      </c>
      <c r="V29" s="110">
        <f>IF(V11=0,0,V11/TrRail_act!V17*1000)</f>
        <v>686.90532102263535</v>
      </c>
      <c r="W29" s="110">
        <f>IF(W11=0,0,W11/TrRail_act!W17*1000)</f>
        <v>653.3313705053381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8296.763074253633</v>
      </c>
      <c r="C30" s="84">
        <f>IF(C12=0,0,C12/TrRail_act!C18*1000)</f>
        <v>8056.0069262964171</v>
      </c>
      <c r="D30" s="84">
        <f>IF(D12=0,0,D12/TrRail_act!D18*1000)</f>
        <v>7772.0468054806543</v>
      </c>
      <c r="E30" s="84">
        <f>IF(E12=0,0,E12/TrRail_act!E18*1000)</f>
        <v>7522.4823085593061</v>
      </c>
      <c r="F30" s="84">
        <f>IF(F12=0,0,F12/TrRail_act!F18*1000)</f>
        <v>7378.8202049972469</v>
      </c>
      <c r="G30" s="84">
        <f>IF(G12=0,0,G12/TrRail_act!G18*1000)</f>
        <v>7180.6525917000645</v>
      </c>
      <c r="H30" s="84">
        <f>IF(H12=0,0,H12/TrRail_act!H18*1000)</f>
        <v>7388.4166360601885</v>
      </c>
      <c r="I30" s="84">
        <f>IF(I12=0,0,I12/TrRail_act!I18*1000)</f>
        <v>6981.4600390513033</v>
      </c>
      <c r="J30" s="84">
        <f>IF(J12=0,0,J12/TrRail_act!J18*1000)</f>
        <v>6926.6876214962485</v>
      </c>
      <c r="K30" s="84">
        <f>IF(K12=0,0,K12/TrRail_act!K18*1000)</f>
        <v>6794.6310317444468</v>
      </c>
      <c r="L30" s="84">
        <f>IF(L12=0,0,L12/TrRail_act!L18*1000)</f>
        <v>6539.0197309276118</v>
      </c>
      <c r="M30" s="84">
        <f>IF(M12=0,0,M12/TrRail_act!M18*1000)</f>
        <v>5954.7312873378478</v>
      </c>
      <c r="N30" s="84">
        <f>IF(N12=0,0,N12/TrRail_act!N18*1000)</f>
        <v>5837.1416173743437</v>
      </c>
      <c r="O30" s="84">
        <f>IF(O12=0,0,O12/TrRail_act!O18*1000)</f>
        <v>5003.3949291880544</v>
      </c>
      <c r="P30" s="84">
        <f>IF(P12=0,0,P12/TrRail_act!P18*1000)</f>
        <v>5001.7525328773763</v>
      </c>
      <c r="Q30" s="84">
        <f>IF(Q12=0,0,Q12/TrRail_act!Q18*1000)</f>
        <v>4980.1372843908648</v>
      </c>
      <c r="R30" s="84">
        <f>IF(R12=0,0,R12/TrRail_act!R18*1000)</f>
        <v>4353.4167490854725</v>
      </c>
      <c r="S30" s="84">
        <f>IF(S12=0,0,S12/TrRail_act!S18*1000)</f>
        <v>4250.5555472498409</v>
      </c>
      <c r="T30" s="84">
        <f>IF(T12=0,0,T12/TrRail_act!T18*1000)</f>
        <v>4175.0077420207672</v>
      </c>
      <c r="U30" s="84">
        <f>IF(U12=0,0,U12/TrRail_act!U18*1000)</f>
        <v>4119.2293860259924</v>
      </c>
      <c r="V30" s="84">
        <f>IF(V12=0,0,V12/TrRail_act!V18*1000)</f>
        <v>4077.8852047331889</v>
      </c>
      <c r="W30" s="84">
        <f>IF(W12=0,0,W12/TrRail_act!W18*1000)</f>
        <v>4047.1496076570579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6459.4761682245553</v>
      </c>
      <c r="C33" s="28">
        <f>IF(C15=0,0,C15/TrRail_act!C21*1000)</f>
        <v>6184.9184391502185</v>
      </c>
      <c r="D33" s="28">
        <f>IF(D15=0,0,D15/TrRail_act!D21*1000)</f>
        <v>6508.2975850663952</v>
      </c>
      <c r="E33" s="28">
        <f>IF(E15=0,0,E15/TrRail_act!E21*1000)</f>
        <v>5851.0350004641377</v>
      </c>
      <c r="F33" s="28">
        <f>IF(F15=0,0,F15/TrRail_act!F21*1000)</f>
        <v>5885.7377171834751</v>
      </c>
      <c r="G33" s="28">
        <f>IF(G15=0,0,G15/TrRail_act!G21*1000)</f>
        <v>5687.1376432917295</v>
      </c>
      <c r="H33" s="28">
        <f>IF(H15=0,0,H15/TrRail_act!H21*1000)</f>
        <v>4922.4977877608171</v>
      </c>
      <c r="I33" s="28">
        <f>IF(I15=0,0,I15/TrRail_act!I21*1000)</f>
        <v>4795.2006810846733</v>
      </c>
      <c r="J33" s="28">
        <f>IF(J15=0,0,J15/TrRail_act!J21*1000)</f>
        <v>6591.3009982882841</v>
      </c>
      <c r="K33" s="28">
        <f>IF(K15=0,0,K15/TrRail_act!K21*1000)</f>
        <v>5387.276873914695</v>
      </c>
      <c r="L33" s="28">
        <f>IF(L15=0,0,L15/TrRail_act!L21*1000)</f>
        <v>5607.7815574907891</v>
      </c>
      <c r="M33" s="28">
        <f>IF(M15=0,0,M15/TrRail_act!M21*1000)</f>
        <v>5080.2543765020891</v>
      </c>
      <c r="N33" s="28">
        <f>IF(N15=0,0,N15/TrRail_act!N21*1000)</f>
        <v>5457.6564745608748</v>
      </c>
      <c r="O33" s="28">
        <f>IF(O15=0,0,O15/TrRail_act!O21*1000)</f>
        <v>3546.1686879696817</v>
      </c>
      <c r="P33" s="28">
        <f>IF(P15=0,0,P15/TrRail_act!P21*1000)</f>
        <v>3579.355814109857</v>
      </c>
      <c r="Q33" s="28">
        <f>IF(Q15=0,0,Q15/TrRail_act!Q21*1000)</f>
        <v>4497.2493851573436</v>
      </c>
      <c r="R33" s="28">
        <f>IF(R15=0,0,R15/TrRail_act!R21*1000)</f>
        <v>2730.3255451503151</v>
      </c>
      <c r="S33" s="28">
        <f>IF(S15=0,0,S15/TrRail_act!S21*1000)</f>
        <v>2624.1316115994978</v>
      </c>
      <c r="T33" s="28">
        <f>IF(T15=0,0,T15/TrRail_act!T21*1000)</f>
        <v>2215.8458705848998</v>
      </c>
      <c r="U33" s="28">
        <f>IF(U15=0,0,U15/TrRail_act!U21*1000)</f>
        <v>1594.6089184297641</v>
      </c>
      <c r="V33" s="28">
        <f>IF(V15=0,0,V15/TrRail_act!V21*1000)</f>
        <v>1812.7483664943259</v>
      </c>
      <c r="W33" s="28">
        <f>IF(W15=0,0,W15/TrRail_act!W21*1000)</f>
        <v>1939.9489443069201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17915.522700930651</v>
      </c>
      <c r="C34" s="84">
        <f>IF(C16=0,0,C16/TrRail_act!C22*1000)</f>
        <v>17477.526409457339</v>
      </c>
      <c r="D34" s="84">
        <f>IF(D16=0,0,D16/TrRail_act!D22*1000)</f>
        <v>17327.84210552118</v>
      </c>
      <c r="E34" s="84">
        <f>IF(E16=0,0,E16/TrRail_act!E22*1000)</f>
        <v>16400.732343630851</v>
      </c>
      <c r="F34" s="84">
        <f>IF(F16=0,0,F16/TrRail_act!F22*1000)</f>
        <v>16161.101121715681</v>
      </c>
      <c r="G34" s="84">
        <f>IF(G16=0,0,G16/TrRail_act!G22*1000)</f>
        <v>16308.755773207611</v>
      </c>
      <c r="H34" s="84">
        <f>IF(H16=0,0,H16/TrRail_act!H22*1000)</f>
        <v>16377.210609995973</v>
      </c>
      <c r="I34" s="84">
        <f>IF(I16=0,0,I16/TrRail_act!I22*1000)</f>
        <v>15604.074214702005</v>
      </c>
      <c r="J34" s="84">
        <f>IF(J16=0,0,J16/TrRail_act!J22*1000)</f>
        <v>15417.752813954712</v>
      </c>
      <c r="K34" s="84">
        <f>IF(K16=0,0,K16/TrRail_act!K22*1000)</f>
        <v>15260.285638537009</v>
      </c>
      <c r="L34" s="84">
        <f>IF(L16=0,0,L16/TrRail_act!L22*1000)</f>
        <v>15018.593225559343</v>
      </c>
      <c r="M34" s="84">
        <f>IF(M16=0,0,M16/TrRail_act!M22*1000)</f>
        <v>14487.365636401888</v>
      </c>
      <c r="N34" s="84">
        <f>IF(N16=0,0,N16/TrRail_act!N22*1000)</f>
        <v>14341.479317514202</v>
      </c>
      <c r="O34" s="84">
        <f>IF(O16=0,0,O16/TrRail_act!O22*1000)</f>
        <v>13079.261097061664</v>
      </c>
      <c r="P34" s="84">
        <f>IF(P16=0,0,P16/TrRail_act!P22*1000)</f>
        <v>13788.956613428341</v>
      </c>
      <c r="Q34" s="84">
        <f>IF(Q16=0,0,Q16/TrRail_act!Q22*1000)</f>
        <v>13719.249922373572</v>
      </c>
      <c r="R34" s="84">
        <f>IF(R16=0,0,R16/TrRail_act!R22*1000)</f>
        <v>12751.498770331933</v>
      </c>
      <c r="S34" s="84">
        <f>IF(S16=0,0,S16/TrRail_act!S22*1000)</f>
        <v>12674.291216938214</v>
      </c>
      <c r="T34" s="84">
        <f>IF(T16=0,0,T16/TrRail_act!T22*1000)</f>
        <v>12616.692487415912</v>
      </c>
      <c r="U34" s="84">
        <f>IF(U16=0,0,U16/TrRail_act!U22*1000)</f>
        <v>12573.665284964563</v>
      </c>
      <c r="V34" s="84">
        <f>IF(V16=0,0,V16/TrRail_act!V22*1000)</f>
        <v>12541.491206914878</v>
      </c>
      <c r="W34" s="84">
        <f>IF(W16=0,0,W16/TrRail_act!W22*1000)</f>
        <v>12517.414653292764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14.452998784116071</v>
      </c>
      <c r="C38" s="29">
        <f>IF(C9=0,0,C9/TrRail_act!C4*1000)</f>
        <v>13.681685082662224</v>
      </c>
      <c r="D38" s="29">
        <f>IF(D9=0,0,D9/TrRail_act!D4*1000)</f>
        <v>13.482063792534637</v>
      </c>
      <c r="E38" s="29">
        <f>IF(E9=0,0,E9/TrRail_act!E4*1000)</f>
        <v>10.882085881054962</v>
      </c>
      <c r="F38" s="29">
        <f>IF(F9=0,0,F9/TrRail_act!F4*1000)</f>
        <v>11.85772169759745</v>
      </c>
      <c r="G38" s="29">
        <f>IF(G9=0,0,G9/TrRail_act!G4*1000)</f>
        <v>13.049753606518406</v>
      </c>
      <c r="H38" s="29">
        <f>IF(H9=0,0,H9/TrRail_act!H4*1000)</f>
        <v>15.609943074725765</v>
      </c>
      <c r="I38" s="29">
        <f>IF(I9=0,0,I9/TrRail_act!I4*1000)</f>
        <v>13.200411646209789</v>
      </c>
      <c r="J38" s="29">
        <f>IF(J9=0,0,J9/TrRail_act!J4*1000)</f>
        <v>16.454238224894084</v>
      </c>
      <c r="K38" s="29">
        <f>IF(K9=0,0,K9/TrRail_act!K4*1000)</f>
        <v>11.628129790691835</v>
      </c>
      <c r="L38" s="29">
        <f>IF(L9=0,0,L9/TrRail_act!L4*1000)</f>
        <v>11.790420170841351</v>
      </c>
      <c r="M38" s="29">
        <f>IF(M9=0,0,M9/TrRail_act!M4*1000)</f>
        <v>10.487161138642653</v>
      </c>
      <c r="N38" s="29">
        <f>IF(N9=0,0,N9/TrRail_act!N4*1000)</f>
        <v>15.120059145493741</v>
      </c>
      <c r="O38" s="29">
        <f>IF(O9=0,0,O9/TrRail_act!O4*1000)</f>
        <v>9.561468135567134</v>
      </c>
      <c r="P38" s="29">
        <f>IF(P9=0,0,P9/TrRail_act!P4*1000)</f>
        <v>7.9828438411395712</v>
      </c>
      <c r="Q38" s="29">
        <f>IF(Q9=0,0,Q9/TrRail_act!Q4*1000)</f>
        <v>10.332134696724168</v>
      </c>
      <c r="R38" s="29">
        <f>IF(R9=0,0,R9/TrRail_act!R4*1000)</f>
        <v>9.7748257573836508</v>
      </c>
      <c r="S38" s="29">
        <f>IF(S9=0,0,S9/TrRail_act!S4*1000)</f>
        <v>8.9004465978455212</v>
      </c>
      <c r="T38" s="29">
        <f>IF(T9=0,0,T9/TrRail_act!T4*1000)</f>
        <v>6.9588108806041689</v>
      </c>
      <c r="U38" s="29">
        <f>IF(U9=0,0,U9/TrRail_act!U4*1000)</f>
        <v>6.5242583257318136</v>
      </c>
      <c r="V38" s="29">
        <f>IF(V9=0,0,V9/TrRail_act!V4*1000)</f>
        <v>6.6464383233180993</v>
      </c>
      <c r="W38" s="29">
        <f>IF(W9=0,0,W9/TrRail_act!W4*1000)</f>
        <v>6.5641276235962884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16.197182681162335</v>
      </c>
      <c r="C40" s="116">
        <f>IF(C11=0,0,C11/TrRail_act!C6*1000)</f>
        <v>15.827742040444358</v>
      </c>
      <c r="D40" s="116">
        <f>IF(D11=0,0,D11/TrRail_act!D6*1000)</f>
        <v>15.744642627617434</v>
      </c>
      <c r="E40" s="116">
        <f>IF(E11=0,0,E11/TrRail_act!E6*1000)</f>
        <v>12.983275288362357</v>
      </c>
      <c r="F40" s="116">
        <f>IF(F11=0,0,F11/TrRail_act!F6*1000)</f>
        <v>14.02802017802294</v>
      </c>
      <c r="G40" s="116">
        <f>IF(G11=0,0,G11/TrRail_act!G6*1000)</f>
        <v>15.420449740980102</v>
      </c>
      <c r="H40" s="116">
        <f>IF(H11=0,0,H11/TrRail_act!H6*1000)</f>
        <v>18.497555937159479</v>
      </c>
      <c r="I40" s="116">
        <f>IF(I11=0,0,I11/TrRail_act!I6*1000)</f>
        <v>15.632933426272574</v>
      </c>
      <c r="J40" s="116">
        <f>IF(J11=0,0,J11/TrRail_act!J6*1000)</f>
        <v>19.905580381691031</v>
      </c>
      <c r="K40" s="116">
        <f>IF(K11=0,0,K11/TrRail_act!K6*1000)</f>
        <v>15.370016271513158</v>
      </c>
      <c r="L40" s="116">
        <f>IF(L11=0,0,L11/TrRail_act!L6*1000)</f>
        <v>16.918406742752733</v>
      </c>
      <c r="M40" s="116">
        <f>IF(M11=0,0,M11/TrRail_act!M6*1000)</f>
        <v>14.928542640777861</v>
      </c>
      <c r="N40" s="116">
        <f>IF(N11=0,0,N11/TrRail_act!N6*1000)</f>
        <v>23.367364133944871</v>
      </c>
      <c r="O40" s="116">
        <f>IF(O11=0,0,O11/TrRail_act!O6*1000)</f>
        <v>14.864643762652692</v>
      </c>
      <c r="P40" s="116">
        <f>IF(P11=0,0,P11/TrRail_act!P6*1000)</f>
        <v>11.410107186363804</v>
      </c>
      <c r="Q40" s="116">
        <f>IF(Q11=0,0,Q11/TrRail_act!Q6*1000)</f>
        <v>15.271268612773824</v>
      </c>
      <c r="R40" s="116">
        <f>IF(R11=0,0,R11/TrRail_act!R6*1000)</f>
        <v>15.250071800179306</v>
      </c>
      <c r="S40" s="116">
        <f>IF(S11=0,0,S11/TrRail_act!S6*1000)</f>
        <v>15.541644547423422</v>
      </c>
      <c r="T40" s="116">
        <f>IF(T11=0,0,T11/TrRail_act!T6*1000)</f>
        <v>12.074196927660756</v>
      </c>
      <c r="U40" s="116">
        <f>IF(U11=0,0,U11/TrRail_act!U6*1000)</f>
        <v>11.048316401601111</v>
      </c>
      <c r="V40" s="116">
        <f>IF(V11=0,0,V11/TrRail_act!V6*1000)</f>
        <v>10.748444086367732</v>
      </c>
      <c r="W40" s="116">
        <f>IF(W11=0,0,W11/TrRail_act!W6*1000)</f>
        <v>10.656476516112679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65.629021045315667</v>
      </c>
      <c r="C41" s="87">
        <f>IF(C12=0,0,C12/TrRail_act!C7*1000)</f>
        <v>73.754027107730906</v>
      </c>
      <c r="D41" s="87">
        <f>IF(D12=0,0,D12/TrRail_act!D7*1000)</f>
        <v>82.141710617004321</v>
      </c>
      <c r="E41" s="87">
        <f>IF(E12=0,0,E12/TrRail_act!E7*1000)</f>
        <v>77.516329912793466</v>
      </c>
      <c r="F41" s="87">
        <f>IF(F12=0,0,F12/TrRail_act!F7*1000)</f>
        <v>76.301323174080892</v>
      </c>
      <c r="G41" s="87">
        <f>IF(G12=0,0,G12/TrRail_act!G7*1000)</f>
        <v>73.09644668496297</v>
      </c>
      <c r="H41" s="87">
        <f>IF(H12=0,0,H12/TrRail_act!H7*1000)</f>
        <v>79.174084165380549</v>
      </c>
      <c r="I41" s="87">
        <f>IF(I12=0,0,I12/TrRail_act!I7*1000)</f>
        <v>74.486296383678336</v>
      </c>
      <c r="J41" s="87">
        <f>IF(J12=0,0,J12/TrRail_act!J7*1000)</f>
        <v>72.580910064258404</v>
      </c>
      <c r="K41" s="87">
        <f>IF(K12=0,0,K12/TrRail_act!K7*1000)</f>
        <v>72.870609900905521</v>
      </c>
      <c r="L41" s="87">
        <f>IF(L12=0,0,L12/TrRail_act!L7*1000)</f>
        <v>68.822650594595174</v>
      </c>
      <c r="M41" s="87">
        <f>IF(M12=0,0,M12/TrRail_act!M7*1000)</f>
        <v>60.158979556419155</v>
      </c>
      <c r="N41" s="87">
        <f>IF(N12=0,0,N12/TrRail_act!N7*1000)</f>
        <v>64.442390615745268</v>
      </c>
      <c r="O41" s="87">
        <f>IF(O12=0,0,O12/TrRail_act!O7*1000)</f>
        <v>45.889609902322164</v>
      </c>
      <c r="P41" s="87">
        <f>IF(P12=0,0,P12/TrRail_act!P7*1000)</f>
        <v>50.479555104872126</v>
      </c>
      <c r="Q41" s="87">
        <f>IF(Q12=0,0,Q12/TrRail_act!Q7*1000)</f>
        <v>69.764937657366019</v>
      </c>
      <c r="R41" s="87">
        <f>IF(R12=0,0,R12/TrRail_act!R7*1000)</f>
        <v>77.473187328971846</v>
      </c>
      <c r="S41" s="87">
        <f>IF(S12=0,0,S12/TrRail_act!S7*1000)</f>
        <v>73.515561809706753</v>
      </c>
      <c r="T41" s="87">
        <f>IF(T12=0,0,T12/TrRail_act!T7*1000)</f>
        <v>66.126545114283019</v>
      </c>
      <c r="U41" s="87">
        <f>IF(U12=0,0,U12/TrRail_act!U7*1000)</f>
        <v>80.74840732534571</v>
      </c>
      <c r="V41" s="87">
        <f>IF(V12=0,0,V12/TrRail_act!V7*1000)</f>
        <v>81.361531381448899</v>
      </c>
      <c r="W41" s="87">
        <f>IF(W12=0,0,W12/TrRail_act!W7*1000)</f>
        <v>79.885820379628342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11.708705556338813</v>
      </c>
      <c r="C44" s="29">
        <f>IF(C15=0,0,C15/TrRail_act!C10*1000)</f>
        <v>11.800620452871712</v>
      </c>
      <c r="D44" s="29">
        <f>IF(D15=0,0,D15/TrRail_act!D10*1000)</f>
        <v>12.507192075524079</v>
      </c>
      <c r="E44" s="29">
        <f>IF(E15=0,0,E15/TrRail_act!E10*1000)</f>
        <v>10.720018494348114</v>
      </c>
      <c r="F44" s="29">
        <f>IF(F15=0,0,F15/TrRail_act!F10*1000)</f>
        <v>10.948121076958907</v>
      </c>
      <c r="G44" s="29">
        <f>IF(G15=0,0,G15/TrRail_act!G10*1000)</f>
        <v>10.761819718922826</v>
      </c>
      <c r="H44" s="29">
        <f>IF(H15=0,0,H15/TrRail_act!H10*1000)</f>
        <v>8.4085503772254437</v>
      </c>
      <c r="I44" s="29">
        <f>IF(I15=0,0,I15/TrRail_act!I10*1000)</f>
        <v>7.7808010004275436</v>
      </c>
      <c r="J44" s="29">
        <f>IF(J15=0,0,J15/TrRail_act!J10*1000)</f>
        <v>11.544967026554843</v>
      </c>
      <c r="K44" s="29">
        <f>IF(K15=0,0,K15/TrRail_act!K10*1000)</f>
        <v>9.4841034058839071</v>
      </c>
      <c r="L44" s="29">
        <f>IF(L15=0,0,L15/TrRail_act!L10*1000)</f>
        <v>8.9194288210335504</v>
      </c>
      <c r="M44" s="29">
        <f>IF(M15=0,0,M15/TrRail_act!M10*1000)</f>
        <v>7.8036677917466992</v>
      </c>
      <c r="N44" s="29">
        <f>IF(N15=0,0,N15/TrRail_act!N10*1000)</f>
        <v>8.6895387236061552</v>
      </c>
      <c r="O44" s="29">
        <f>IF(O15=0,0,O15/TrRail_act!O10*1000)</f>
        <v>5.179760846644931</v>
      </c>
      <c r="P44" s="29">
        <f>IF(P15=0,0,P15/TrRail_act!P10*1000)</f>
        <v>5.3035178823943738</v>
      </c>
      <c r="Q44" s="29">
        <f>IF(Q15=0,0,Q15/TrRail_act!Q10*1000)</f>
        <v>7.2590917585789958</v>
      </c>
      <c r="R44" s="29">
        <f>IF(R15=0,0,R15/TrRail_act!R10*1000)</f>
        <v>5.4044075511762131</v>
      </c>
      <c r="S44" s="29">
        <f>IF(S15=0,0,S15/TrRail_act!S10*1000)</f>
        <v>5.0223658811993941</v>
      </c>
      <c r="T44" s="29">
        <f>IF(T15=0,0,T15/TrRail_act!T10*1000)</f>
        <v>4.358407932733452</v>
      </c>
      <c r="U44" s="29">
        <f>IF(U15=0,0,U15/TrRail_act!U10*1000)</f>
        <v>3.6639937338714259</v>
      </c>
      <c r="V44" s="29">
        <f>IF(V15=0,0,V15/TrRail_act!V10*1000)</f>
        <v>3.9079134247037253</v>
      </c>
      <c r="W44" s="29">
        <f>IF(W15=0,0,W15/TrRail_act!W10*1000)</f>
        <v>4.1353121647233104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37.590615852944055</v>
      </c>
      <c r="C45" s="87">
        <f>IF(C16=0,0,C16/TrRail_act!C11*1000)</f>
        <v>38.608928123299037</v>
      </c>
      <c r="D45" s="87">
        <f>IF(D16=0,0,D16/TrRail_act!D11*1000)</f>
        <v>38.529253957863354</v>
      </c>
      <c r="E45" s="87">
        <f>IF(E16=0,0,E16/TrRail_act!E11*1000)</f>
        <v>34.672640519528116</v>
      </c>
      <c r="F45" s="87">
        <f>IF(F16=0,0,F16/TrRail_act!F11*1000)</f>
        <v>34.729681721198048</v>
      </c>
      <c r="G45" s="87">
        <f>IF(G16=0,0,G16/TrRail_act!G11*1000)</f>
        <v>35.680223944936586</v>
      </c>
      <c r="H45" s="87">
        <f>IF(H16=0,0,H16/TrRail_act!H11*1000)</f>
        <v>29.835495585423796</v>
      </c>
      <c r="I45" s="87">
        <f>IF(I16=0,0,I16/TrRail_act!I11*1000)</f>
        <v>28.262607464679874</v>
      </c>
      <c r="J45" s="87">
        <f>IF(J16=0,0,J16/TrRail_act!J11*1000)</f>
        <v>28.88752965753639</v>
      </c>
      <c r="K45" s="87">
        <f>IF(K16=0,0,K16/TrRail_act!K11*1000)</f>
        <v>29.922180469550732</v>
      </c>
      <c r="L45" s="87">
        <f>IF(L16=0,0,L16/TrRail_act!L11*1000)</f>
        <v>28.302686788359011</v>
      </c>
      <c r="M45" s="87">
        <f>IF(M16=0,0,M16/TrRail_act!M11*1000)</f>
        <v>24.210794358022376</v>
      </c>
      <c r="N45" s="87">
        <f>IF(N16=0,0,N16/TrRail_act!N11*1000)</f>
        <v>25.62136367700851</v>
      </c>
      <c r="O45" s="87">
        <f>IF(O16=0,0,O16/TrRail_act!O11*1000)</f>
        <v>18.823790968453316</v>
      </c>
      <c r="P45" s="87">
        <f>IF(P16=0,0,P16/TrRail_act!P11*1000)</f>
        <v>21.542048225958201</v>
      </c>
      <c r="Q45" s="87">
        <f>IF(Q16=0,0,Q16/TrRail_act!Q11*1000)</f>
        <v>25.69915682353983</v>
      </c>
      <c r="R45" s="87">
        <f>IF(R16=0,0,R16/TrRail_act!R11*1000)</f>
        <v>21.83931787752849</v>
      </c>
      <c r="S45" s="87">
        <f>IF(S16=0,0,S16/TrRail_act!S11*1000)</f>
        <v>21.283868899924578</v>
      </c>
      <c r="T45" s="87">
        <f>IF(T16=0,0,T16/TrRail_act!T11*1000)</f>
        <v>20.907006047009098</v>
      </c>
      <c r="U45" s="87">
        <f>IF(U16=0,0,U16/TrRail_act!U11*1000)</f>
        <v>23.678923621359065</v>
      </c>
      <c r="V45" s="87">
        <f>IF(V16=0,0,V16/TrRail_act!V11*1000)</f>
        <v>24.621159861725019</v>
      </c>
      <c r="W45" s="87">
        <f>IF(W16=0,0,W16/TrRail_act!W11*1000)</f>
        <v>25.690420287381492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558.72493772527162</v>
      </c>
      <c r="C48" s="62">
        <f>IF(C8=0,0,1000000*C8/TrRail_act!C25/1000)</f>
        <v>478.71694575533382</v>
      </c>
      <c r="D48" s="62">
        <f>IF(D8=0,0,1000000*D8/TrRail_act!D25/1000)</f>
        <v>442.22536071624</v>
      </c>
      <c r="E48" s="62">
        <f>IF(E8=0,0,1000000*E8/TrRail_act!E25/1000)</f>
        <v>405.3479823712895</v>
      </c>
      <c r="F48" s="62">
        <f>IF(F8=0,0,1000000*F8/TrRail_act!F25/1000)</f>
        <v>429.98769077958218</v>
      </c>
      <c r="G48" s="62">
        <f>IF(G8=0,0,1000000*G8/TrRail_act!G25/1000)</f>
        <v>440.69258192215216</v>
      </c>
      <c r="H48" s="62">
        <f>IF(H8=0,0,1000000*H8/TrRail_act!H25/1000)</f>
        <v>418.48743618739724</v>
      </c>
      <c r="I48" s="62">
        <f>IF(I8=0,0,1000000*I8/TrRail_act!I25/1000)</f>
        <v>385.51165619939087</v>
      </c>
      <c r="J48" s="62">
        <f>IF(J8=0,0,1000000*J8/TrRail_act!J25/1000)</f>
        <v>456.54346231379282</v>
      </c>
      <c r="K48" s="62">
        <f>IF(K8=0,0,1000000*K8/TrRail_act!K25/1000)</f>
        <v>246.7780805813893</v>
      </c>
      <c r="L48" s="62">
        <f>IF(L8=0,0,1000000*L8/TrRail_act!L25/1000)</f>
        <v>238.48564797725624</v>
      </c>
      <c r="M48" s="62">
        <f>IF(M8=0,0,1000000*M8/TrRail_act!M25/1000)</f>
        <v>231.05564235789714</v>
      </c>
      <c r="N48" s="62">
        <f>IF(N8=0,0,1000000*N8/TrRail_act!N25/1000)</f>
        <v>261.3362784368959</v>
      </c>
      <c r="O48" s="62">
        <f>IF(O8=0,0,1000000*O8/TrRail_act!O25/1000)</f>
        <v>173.89145053257494</v>
      </c>
      <c r="P48" s="62">
        <f>IF(P8=0,0,1000000*P8/TrRail_act!P25/1000)</f>
        <v>159.73179272017069</v>
      </c>
      <c r="Q48" s="62">
        <f>IF(Q8=0,0,1000000*Q8/TrRail_act!Q25/1000)</f>
        <v>199.8526870447555</v>
      </c>
      <c r="R48" s="62">
        <f>IF(R8=0,0,1000000*R8/TrRail_act!R25/1000)</f>
        <v>168.70369065973352</v>
      </c>
      <c r="S48" s="62">
        <f>IF(S8=0,0,1000000*S8/TrRail_act!S25/1000)</f>
        <v>152.10821816501513</v>
      </c>
      <c r="T48" s="62">
        <f>IF(T8=0,0,1000000*T8/TrRail_act!T25/1000)</f>
        <v>128.13749263135603</v>
      </c>
      <c r="U48" s="62">
        <f>IF(U8=0,0,1000000*U8/TrRail_act!U25/1000)</f>
        <v>96.371884498339369</v>
      </c>
      <c r="V48" s="62">
        <f>IF(V8=0,0,1000000*V8/TrRail_act!V25/1000)</f>
        <v>95.632553454838799</v>
      </c>
      <c r="W48" s="62">
        <f>IF(W8=0,0,1000000*W8/TrRail_act!W25/1000)</f>
        <v>102.59641593457596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337.72768822105019</v>
      </c>
      <c r="C49" s="29">
        <f>IF(C9=0,0,1000000*C9/TrRail_act!C26/1000)</f>
        <v>273.71246025737696</v>
      </c>
      <c r="D49" s="29">
        <f>IF(D9=0,0,1000000*D9/TrRail_act!D26/1000)</f>
        <v>228.64424574382718</v>
      </c>
      <c r="E49" s="29">
        <f>IF(E9=0,0,1000000*E9/TrRail_act!E26/1000)</f>
        <v>190.23251845134274</v>
      </c>
      <c r="F49" s="29">
        <f>IF(F9=0,0,1000000*F9/TrRail_act!F26/1000)</f>
        <v>207.34560199346222</v>
      </c>
      <c r="G49" s="29">
        <f>IF(G9=0,0,1000000*G9/TrRail_act!G26/1000)</f>
        <v>229.06374082857985</v>
      </c>
      <c r="H49" s="29">
        <f>IF(H9=0,0,1000000*H9/TrRail_act!H26/1000)</f>
        <v>266.20796949496213</v>
      </c>
      <c r="I49" s="29">
        <f>IF(I9=0,0,1000000*I9/TrRail_act!I26/1000)</f>
        <v>234.30658828700896</v>
      </c>
      <c r="J49" s="29">
        <f>IF(J9=0,0,1000000*J9/TrRail_act!J26/1000)</f>
        <v>262.22696271266199</v>
      </c>
      <c r="K49" s="29">
        <f>IF(K9=0,0,1000000*K9/TrRail_act!K26/1000)</f>
        <v>152.67745442909919</v>
      </c>
      <c r="L49" s="29">
        <f>IF(L9=0,0,1000000*L9/TrRail_act!L26/1000)</f>
        <v>154.35141085656525</v>
      </c>
      <c r="M49" s="29">
        <f>IF(M9=0,0,1000000*M9/TrRail_act!M26/1000)</f>
        <v>142.68492569249423</v>
      </c>
      <c r="N49" s="29">
        <f>IF(N9=0,0,1000000*N9/TrRail_act!N26/1000)</f>
        <v>182.68170334594117</v>
      </c>
      <c r="O49" s="29">
        <f>IF(O9=0,0,1000000*O9/TrRail_act!O26/1000)</f>
        <v>119.48063257472064</v>
      </c>
      <c r="P49" s="29">
        <f>IF(P9=0,0,1000000*P9/TrRail_act!P26/1000)</f>
        <v>92.302806770170207</v>
      </c>
      <c r="Q49" s="29">
        <f>IF(Q9=0,0,1000000*Q9/TrRail_act!Q26/1000)</f>
        <v>106.80434692764989</v>
      </c>
      <c r="R49" s="29">
        <f>IF(R9=0,0,1000000*R9/TrRail_act!R26/1000)</f>
        <v>107.20416091728332</v>
      </c>
      <c r="S49" s="29">
        <f>IF(S9=0,0,1000000*S9/TrRail_act!S26/1000)</f>
        <v>93.368610670813439</v>
      </c>
      <c r="T49" s="29">
        <f>IF(T9=0,0,1000000*T9/TrRail_act!T26/1000)</f>
        <v>76.969066948138504</v>
      </c>
      <c r="U49" s="29">
        <f>IF(U9=0,0,1000000*U9/TrRail_act!U26/1000)</f>
        <v>60.456085431870633</v>
      </c>
      <c r="V49" s="29">
        <f>IF(V9=0,0,1000000*V9/TrRail_act!V26/1000)</f>
        <v>46.018712609181435</v>
      </c>
      <c r="W49" s="29">
        <f>IF(W9=0,0,1000000*W9/TrRail_act!W26/1000)</f>
        <v>48.739591159889052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456.51192719271387</v>
      </c>
      <c r="C51" s="116">
        <f>IF(C11=0,0,1000000*C11/TrRail_act!C28/1000)</f>
        <v>386.06424367994106</v>
      </c>
      <c r="D51" s="116">
        <f>IF(D11=0,0,1000000*D11/TrRail_act!D28/1000)</f>
        <v>313.58293287477329</v>
      </c>
      <c r="E51" s="116">
        <f>IF(E11=0,0,1000000*E11/TrRail_act!E28/1000)</f>
        <v>276.64946134431511</v>
      </c>
      <c r="F51" s="116">
        <f>IF(F11=0,0,1000000*F11/TrRail_act!F28/1000)</f>
        <v>297.60508618155234</v>
      </c>
      <c r="G51" s="116">
        <f>IF(G11=0,0,1000000*G11/TrRail_act!G28/1000)</f>
        <v>325.99778285661165</v>
      </c>
      <c r="H51" s="116">
        <f>IF(H11=0,0,1000000*H11/TrRail_act!H28/1000)</f>
        <v>377.4778645345599</v>
      </c>
      <c r="I51" s="116">
        <f>IF(I11=0,0,1000000*I11/TrRail_act!I28/1000)</f>
        <v>338.61915081292466</v>
      </c>
      <c r="J51" s="116">
        <f>IF(J11=0,0,1000000*J11/TrRail_act!J28/1000)</f>
        <v>380.43393771207155</v>
      </c>
      <c r="K51" s="116">
        <f>IF(K11=0,0,1000000*K11/TrRail_act!K28/1000)</f>
        <v>241.26114251798927</v>
      </c>
      <c r="L51" s="116">
        <f>IF(L11=0,0,1000000*L11/TrRail_act!L28/1000)</f>
        <v>283.82011199161406</v>
      </c>
      <c r="M51" s="116">
        <f>IF(M11=0,0,1000000*M11/TrRail_act!M28/1000)</f>
        <v>266.94413844360986</v>
      </c>
      <c r="N51" s="116">
        <f>IF(N11=0,0,1000000*N11/TrRail_act!N28/1000)</f>
        <v>355.71922919756406</v>
      </c>
      <c r="O51" s="116">
        <f>IF(O11=0,0,1000000*O11/TrRail_act!O28/1000)</f>
        <v>244.91425180485601</v>
      </c>
      <c r="P51" s="116">
        <f>IF(P11=0,0,1000000*P11/TrRail_act!P28/1000)</f>
        <v>197.28757365212422</v>
      </c>
      <c r="Q51" s="116">
        <f>IF(Q11=0,0,1000000*Q11/TrRail_act!Q28/1000)</f>
        <v>207.28731070006484</v>
      </c>
      <c r="R51" s="116">
        <f>IF(R11=0,0,1000000*R11/TrRail_act!R28/1000)</f>
        <v>213.46399392030946</v>
      </c>
      <c r="S51" s="116">
        <f>IF(S11=0,0,1000000*S11/TrRail_act!S28/1000)</f>
        <v>206.10357537955261</v>
      </c>
      <c r="T51" s="116">
        <f>IF(T11=0,0,1000000*T11/TrRail_act!T28/1000)</f>
        <v>177.4394965092072</v>
      </c>
      <c r="U51" s="116">
        <f>IF(U11=0,0,1000000*U11/TrRail_act!U28/1000)</f>
        <v>122.66705021739205</v>
      </c>
      <c r="V51" s="116">
        <f>IF(V11=0,0,1000000*V11/TrRail_act!V28/1000)</f>
        <v>96.455193278236351</v>
      </c>
      <c r="W51" s="116">
        <f>IF(W11=0,0,1000000*W11/TrRail_act!W28/1000)</f>
        <v>97.999704243486988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1244.5144410861501</v>
      </c>
      <c r="C52" s="87">
        <f>IF(C12=0,0,1000000*C12/TrRail_act!C29/1000)</f>
        <v>1163.6660859910121</v>
      </c>
      <c r="D52" s="87">
        <f>IF(D12=0,0,1000000*D12/TrRail_act!D29/1000)</f>
        <v>1131.5211901757921</v>
      </c>
      <c r="E52" s="87">
        <f>IF(E12=0,0,1000000*E12/TrRail_act!E29/1000)</f>
        <v>1033.1185314962993</v>
      </c>
      <c r="F52" s="87">
        <f>IF(F12=0,0,1000000*F12/TrRail_act!F29/1000)</f>
        <v>1106.8229989592944</v>
      </c>
      <c r="G52" s="87">
        <f>IF(G12=0,0,1000000*G12/TrRail_act!G29/1000)</f>
        <v>1077.0978855033682</v>
      </c>
      <c r="H52" s="87">
        <f>IF(H12=0,0,1000000*H12/TrRail_act!H29/1000)</f>
        <v>1108.2624870295024</v>
      </c>
      <c r="I52" s="87">
        <f>IF(I12=0,0,1000000*I12/TrRail_act!I29/1000)</f>
        <v>1047.2189893477446</v>
      </c>
      <c r="J52" s="87">
        <f>IF(J12=0,0,1000000*J12/TrRail_act!J29/1000)</f>
        <v>1039.0031365113498</v>
      </c>
      <c r="K52" s="87">
        <f>IF(K12=0,0,1000000*K12/TrRail_act!K29/1000)</f>
        <v>824.18276294717975</v>
      </c>
      <c r="L52" s="87">
        <f>IF(L12=0,0,1000000*L12/TrRail_act!L29/1000)</f>
        <v>980.85294464880701</v>
      </c>
      <c r="M52" s="87">
        <f>IF(M12=0,0,1000000*M12/TrRail_act!M29/1000)</f>
        <v>893.20967994205478</v>
      </c>
      <c r="N52" s="87">
        <f>IF(N12=0,0,1000000*N12/TrRail_act!N29/1000)</f>
        <v>875.57123823766653</v>
      </c>
      <c r="O52" s="87">
        <f>IF(O12=0,0,1000000*O12/TrRail_act!O29/1000)</f>
        <v>596.37973673449017</v>
      </c>
      <c r="P52" s="87">
        <f>IF(P12=0,0,1000000*P12/TrRail_act!P29/1000)</f>
        <v>474.05666107989083</v>
      </c>
      <c r="Q52" s="87">
        <f>IF(Q12=0,0,1000000*Q12/TrRail_act!Q29/1000)</f>
        <v>650.75228685580782</v>
      </c>
      <c r="R52" s="87">
        <f>IF(R12=0,0,1000000*R12/TrRail_act!R29/1000)</f>
        <v>653.0125110372137</v>
      </c>
      <c r="S52" s="87">
        <f>IF(S12=0,0,1000000*S12/TrRail_act!S29/1000)</f>
        <v>637.58332983612684</v>
      </c>
      <c r="T52" s="87">
        <f>IF(T12=0,0,1000000*T12/TrRail_act!T29/1000)</f>
        <v>585.5362068570015</v>
      </c>
      <c r="U52" s="87">
        <f>IF(U12=0,0,1000000*U12/TrRail_act!U29/1000)</f>
        <v>617.88439078517638</v>
      </c>
      <c r="V52" s="87">
        <f>IF(V12=0,0,1000000*V12/TrRail_act!V29/1000)</f>
        <v>530.30300505843877</v>
      </c>
      <c r="W52" s="87">
        <f>IF(W12=0,0,1000000*W12/TrRail_act!W29/1000)</f>
        <v>607.07241558248791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1291.8952205835244</v>
      </c>
      <c r="C55" s="29">
        <f>IF(C15=0,0,1000000*C15/TrRail_act!C32/1000)</f>
        <v>1236.9836398383841</v>
      </c>
      <c r="D55" s="29">
        <f>IF(D15=0,0,1000000*D15/TrRail_act!D32/1000)</f>
        <v>1301.6594987162264</v>
      </c>
      <c r="E55" s="29">
        <f>IF(E15=0,0,1000000*E15/TrRail_act!E32/1000)</f>
        <v>1170.2069768515528</v>
      </c>
      <c r="F55" s="29">
        <f>IF(F15=0,0,1000000*F15/TrRail_act!F32/1000)</f>
        <v>1177.1475107472606</v>
      </c>
      <c r="G55" s="29">
        <f>IF(G15=0,0,1000000*G15/TrRail_act!G32/1000)</f>
        <v>1137.4275200620184</v>
      </c>
      <c r="H55" s="29">
        <f>IF(H15=0,0,1000000*H15/TrRail_act!H32/1000)</f>
        <v>956.02277485731406</v>
      </c>
      <c r="I55" s="29">
        <f>IF(I15=0,0,1000000*I15/TrRail_act!I32/1000)</f>
        <v>951.24156655897127</v>
      </c>
      <c r="J55" s="29">
        <f>IF(J15=0,0,1000000*J15/TrRail_act!J32/1000)</f>
        <v>1236.5665410329611</v>
      </c>
      <c r="K55" s="29">
        <f>IF(K15=0,0,1000000*K15/TrRail_act!K32/1000)</f>
        <v>768.82747281266165</v>
      </c>
      <c r="L55" s="29">
        <f>IF(L15=0,0,1000000*L15/TrRail_act!L32/1000)</f>
        <v>809.10718079422134</v>
      </c>
      <c r="M55" s="29">
        <f>IF(M15=0,0,1000000*M15/TrRail_act!M32/1000)</f>
        <v>893.04337209750781</v>
      </c>
      <c r="N55" s="29">
        <f>IF(N15=0,0,1000000*N15/TrRail_act!N32/1000)</f>
        <v>1024.0370435399918</v>
      </c>
      <c r="O55" s="29">
        <f>IF(O15=0,0,1000000*O15/TrRail_act!O32/1000)</f>
        <v>651.64959178104459</v>
      </c>
      <c r="P55" s="29">
        <f>IF(P15=0,0,1000000*P15/TrRail_act!P32/1000)</f>
        <v>713.09516669284574</v>
      </c>
      <c r="Q55" s="29">
        <f>IF(Q15=0,0,1000000*Q15/TrRail_act!Q32/1000)</f>
        <v>899.44984147290927</v>
      </c>
      <c r="R55" s="29">
        <f>IF(R15=0,0,1000000*R15/TrRail_act!R32/1000)</f>
        <v>537.06363517013074</v>
      </c>
      <c r="S55" s="29">
        <f>IF(S15=0,0,1000000*S15/TrRail_act!S32/1000)</f>
        <v>524.82630869223101</v>
      </c>
      <c r="T55" s="29">
        <f>IF(T15=0,0,1000000*T15/TrRail_act!T32/1000)</f>
        <v>443.16917032663247</v>
      </c>
      <c r="U55" s="29">
        <f>IF(U15=0,0,1000000*U15/TrRail_act!U32/1000)</f>
        <v>318.92177767859755</v>
      </c>
      <c r="V55" s="29">
        <f>IF(V15=0,0,1000000*V15/TrRail_act!V32/1000)</f>
        <v>362.54966552695259</v>
      </c>
      <c r="W55" s="29">
        <f>IF(W15=0,0,1000000*W15/TrRail_act!W32/1000)</f>
        <v>387.98978322515524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3583.1044923133659</v>
      </c>
      <c r="C56" s="87">
        <f>IF(C16=0,0,1000000*C16/TrRail_act!C33/1000)</f>
        <v>3495.5050917057206</v>
      </c>
      <c r="D56" s="87">
        <f>IF(D16=0,0,1000000*D16/TrRail_act!D33/1000)</f>
        <v>3465.5683751253932</v>
      </c>
      <c r="E56" s="87">
        <f>IF(E16=0,0,1000000*E16/TrRail_act!E33/1000)</f>
        <v>3280.1464043072951</v>
      </c>
      <c r="F56" s="87">
        <f>IF(F16=0,0,1000000*F16/TrRail_act!F33/1000)</f>
        <v>3232.2200592394715</v>
      </c>
      <c r="G56" s="87">
        <f>IF(G16=0,0,1000000*G16/TrRail_act!G33/1000)</f>
        <v>3261.7511488570276</v>
      </c>
      <c r="H56" s="87">
        <f>IF(H16=0,0,1000000*H16/TrRail_act!H33/1000)</f>
        <v>2980.1109466356484</v>
      </c>
      <c r="I56" s="87">
        <f>IF(I16=0,0,1000000*I16/TrRail_act!I33/1000)</f>
        <v>3039.7208918861566</v>
      </c>
      <c r="J56" s="87">
        <f>IF(J16=0,0,1000000*J16/TrRail_act!J33/1000)</f>
        <v>3083.550554517009</v>
      </c>
      <c r="K56" s="87">
        <f>IF(K16=0,0,1000000*K16/TrRail_act!K33/1000)</f>
        <v>1892.4708264517403</v>
      </c>
      <c r="L56" s="87">
        <f>IF(L16=0,0,1000000*L16/TrRail_act!L33/1000)</f>
        <v>1958.8721173198048</v>
      </c>
      <c r="M56" s="87">
        <f>IF(M16=0,0,1000000*M16/TrRail_act!M33/1000)</f>
        <v>2115.1652148728099</v>
      </c>
      <c r="N56" s="87">
        <f>IF(N16=0,0,1000000*N16/TrRail_act!N33/1000)</f>
        <v>2444.8557369009759</v>
      </c>
      <c r="O56" s="87">
        <f>IF(O16=0,0,1000000*O16/TrRail_act!O33/1000)</f>
        <v>1972.8564890765065</v>
      </c>
      <c r="P56" s="87">
        <f>IF(P16=0,0,1000000*P16/TrRail_act!P33/1000)</f>
        <v>2717.0446494013095</v>
      </c>
      <c r="Q56" s="87">
        <f>IF(Q16=0,0,1000000*Q16/TrRail_act!Q33/1000)</f>
        <v>2743.8499189462459</v>
      </c>
      <c r="R56" s="87">
        <f>IF(R16=0,0,1000000*R16/TrRail_act!R33/1000)</f>
        <v>2365.1619928687437</v>
      </c>
      <c r="S56" s="87">
        <f>IF(S16=0,0,1000000*S16/TrRail_act!S33/1000)</f>
        <v>2534.8581676732465</v>
      </c>
      <c r="T56" s="87">
        <f>IF(T16=0,0,1000000*T16/TrRail_act!T33/1000)</f>
        <v>2523.3384322439933</v>
      </c>
      <c r="U56" s="87">
        <f>IF(U16=0,0,1000000*U16/TrRail_act!U33/1000)</f>
        <v>2514.7330278237737</v>
      </c>
      <c r="V56" s="87">
        <f>IF(V16=0,0,1000000*V16/TrRail_act!V33/1000)</f>
        <v>2508.2981158317793</v>
      </c>
      <c r="W56" s="87">
        <f>IF(W16=0,0,1000000*W16/TrRail_act!W33/1000)</f>
        <v>2503.4827561076299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0.46446054822195182</v>
      </c>
      <c r="C60" s="31">
        <f t="shared" ref="C60:V60" si="8">IF(C9=0,0,C9/C$8)</f>
        <v>0.45007944694914687</v>
      </c>
      <c r="D60" s="31">
        <f t="shared" si="8"/>
        <v>0.41411726411034616</v>
      </c>
      <c r="E60" s="31">
        <f t="shared" si="8"/>
        <v>0.36628856721388192</v>
      </c>
      <c r="F60" s="31">
        <f t="shared" si="8"/>
        <v>0.37150894844154919</v>
      </c>
      <c r="G60" s="31">
        <f t="shared" si="8"/>
        <v>0.39868361654171425</v>
      </c>
      <c r="H60" s="31">
        <f t="shared" si="8"/>
        <v>0.49569340213192747</v>
      </c>
      <c r="I60" s="31">
        <f t="shared" si="8"/>
        <v>0.47959688947284523</v>
      </c>
      <c r="J60" s="31">
        <f t="shared" si="8"/>
        <v>0.4598247303375147</v>
      </c>
      <c r="K60" s="31">
        <f t="shared" si="8"/>
        <v>0.52419570366055579</v>
      </c>
      <c r="L60" s="31">
        <f t="shared" si="8"/>
        <v>0.56404944586979466</v>
      </c>
      <c r="M60" s="31">
        <f t="shared" si="8"/>
        <v>0.544807000127289</v>
      </c>
      <c r="N60" s="31">
        <f t="shared" si="8"/>
        <v>0.633680111339323</v>
      </c>
      <c r="O60" s="31">
        <f t="shared" si="8"/>
        <v>0.61684754466158476</v>
      </c>
      <c r="P60" s="31">
        <f t="shared" si="8"/>
        <v>0.51509530181579377</v>
      </c>
      <c r="Q60" s="31">
        <f t="shared" si="8"/>
        <v>0.47168055837079353</v>
      </c>
      <c r="R60" s="31">
        <f t="shared" si="8"/>
        <v>0.54454397104861629</v>
      </c>
      <c r="S60" s="31">
        <f t="shared" si="8"/>
        <v>0.53026195429183787</v>
      </c>
      <c r="T60" s="31">
        <f t="shared" si="8"/>
        <v>0.5167443821054114</v>
      </c>
      <c r="U60" s="31">
        <f t="shared" si="8"/>
        <v>0.54014972208611867</v>
      </c>
      <c r="V60" s="31">
        <f t="shared" si="8"/>
        <v>0.40577841850778673</v>
      </c>
      <c r="W60" s="31">
        <f t="shared" ref="W60" si="9">IF(W9=0,0,W9/W$8)</f>
        <v>0.39964415517615243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0.46446054822195182</v>
      </c>
      <c r="C62" s="124">
        <f t="shared" ref="C62:V62" si="12">IF(C11=0,0,C11/C$8)</f>
        <v>0.45007944694914687</v>
      </c>
      <c r="D62" s="124">
        <f t="shared" si="12"/>
        <v>0.41411726411034616</v>
      </c>
      <c r="E62" s="124">
        <f t="shared" si="12"/>
        <v>0.36628856721388192</v>
      </c>
      <c r="F62" s="124">
        <f t="shared" si="12"/>
        <v>0.37150894844154919</v>
      </c>
      <c r="G62" s="124">
        <f t="shared" si="12"/>
        <v>0.39868361654171425</v>
      </c>
      <c r="H62" s="124">
        <f t="shared" si="12"/>
        <v>0.49569340213192747</v>
      </c>
      <c r="I62" s="124">
        <f t="shared" si="12"/>
        <v>0.47959688947284523</v>
      </c>
      <c r="J62" s="124">
        <f t="shared" si="12"/>
        <v>0.4598247303375147</v>
      </c>
      <c r="K62" s="124">
        <f t="shared" si="12"/>
        <v>0.52419570366055579</v>
      </c>
      <c r="L62" s="124">
        <f t="shared" si="12"/>
        <v>0.56404944586979466</v>
      </c>
      <c r="M62" s="124">
        <f t="shared" si="12"/>
        <v>0.544807000127289</v>
      </c>
      <c r="N62" s="124">
        <f t="shared" si="12"/>
        <v>0.633680111339323</v>
      </c>
      <c r="O62" s="124">
        <f t="shared" si="12"/>
        <v>0.61684754466158476</v>
      </c>
      <c r="P62" s="124">
        <f t="shared" si="12"/>
        <v>0.51509530181579377</v>
      </c>
      <c r="Q62" s="124">
        <f t="shared" si="12"/>
        <v>0.47168055837079353</v>
      </c>
      <c r="R62" s="124">
        <f t="shared" si="12"/>
        <v>0.54454397104861629</v>
      </c>
      <c r="S62" s="124">
        <f t="shared" si="12"/>
        <v>0.53026195429183787</v>
      </c>
      <c r="T62" s="124">
        <f t="shared" si="12"/>
        <v>0.5167443821054114</v>
      </c>
      <c r="U62" s="124">
        <f t="shared" si="12"/>
        <v>0.54014972208611867</v>
      </c>
      <c r="V62" s="124">
        <f t="shared" si="12"/>
        <v>0.40577841850778673</v>
      </c>
      <c r="W62" s="124">
        <f t="shared" ref="W62" si="13">IF(W11=0,0,W11/W$8)</f>
        <v>0.39964415517615243</v>
      </c>
      <c r="DA62" s="176"/>
    </row>
    <row r="63" spans="1:105" ht="11.45" customHeight="1" x14ac:dyDescent="0.25">
      <c r="A63" s="111" t="s">
        <v>92</v>
      </c>
      <c r="B63" s="125">
        <f t="shared" si="5"/>
        <v>0.46446054822195182</v>
      </c>
      <c r="C63" s="125">
        <f t="shared" ref="C63:V63" si="14">IF(C12=0,0,C12/C$8)</f>
        <v>0.45007944694914687</v>
      </c>
      <c r="D63" s="125">
        <f t="shared" si="14"/>
        <v>0.41411726411034616</v>
      </c>
      <c r="E63" s="125">
        <f t="shared" si="14"/>
        <v>0.36628856721388192</v>
      </c>
      <c r="F63" s="125">
        <f t="shared" si="14"/>
        <v>0.37150894844154919</v>
      </c>
      <c r="G63" s="125">
        <f t="shared" si="14"/>
        <v>0.39868361654171425</v>
      </c>
      <c r="H63" s="125">
        <f t="shared" si="14"/>
        <v>0.49569340213192747</v>
      </c>
      <c r="I63" s="125">
        <f t="shared" si="14"/>
        <v>0.47959688947284523</v>
      </c>
      <c r="J63" s="125">
        <f t="shared" si="14"/>
        <v>0.4598247303375147</v>
      </c>
      <c r="K63" s="125">
        <f t="shared" si="14"/>
        <v>0.52419570366055579</v>
      </c>
      <c r="L63" s="125">
        <f t="shared" si="14"/>
        <v>0.56404944586979466</v>
      </c>
      <c r="M63" s="125">
        <f t="shared" si="14"/>
        <v>0.544807000127289</v>
      </c>
      <c r="N63" s="125">
        <f t="shared" si="14"/>
        <v>0.633680111339323</v>
      </c>
      <c r="O63" s="125">
        <f t="shared" si="14"/>
        <v>0.61684754466158476</v>
      </c>
      <c r="P63" s="125">
        <f t="shared" si="14"/>
        <v>0.51509530181579377</v>
      </c>
      <c r="Q63" s="125">
        <f t="shared" si="14"/>
        <v>0.47168055837079353</v>
      </c>
      <c r="R63" s="125">
        <f t="shared" si="14"/>
        <v>0.54454397104861629</v>
      </c>
      <c r="S63" s="125">
        <f t="shared" si="14"/>
        <v>0.53026195429183787</v>
      </c>
      <c r="T63" s="125">
        <f t="shared" si="14"/>
        <v>0.5167443821054114</v>
      </c>
      <c r="U63" s="125">
        <f t="shared" si="14"/>
        <v>0.54014972208611867</v>
      </c>
      <c r="V63" s="125">
        <f t="shared" si="14"/>
        <v>0.40577841850778673</v>
      </c>
      <c r="W63" s="125">
        <f t="shared" ref="W63" si="15">IF(W12=0,0,W12/W$8)</f>
        <v>0.39964415517615243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0.53553945177804818</v>
      </c>
      <c r="C66" s="31">
        <f t="shared" ref="C66:V66" si="20">IF(C15=0,0,C15/C$8)</f>
        <v>0.54992055305085319</v>
      </c>
      <c r="D66" s="31">
        <f t="shared" si="20"/>
        <v>0.58588273588965389</v>
      </c>
      <c r="E66" s="31">
        <f t="shared" si="20"/>
        <v>0.63371143278611797</v>
      </c>
      <c r="F66" s="31">
        <f t="shared" si="20"/>
        <v>0.62849105155845086</v>
      </c>
      <c r="G66" s="31">
        <f t="shared" si="20"/>
        <v>0.60131638345828564</v>
      </c>
      <c r="H66" s="31">
        <f t="shared" si="20"/>
        <v>0.50430659786807253</v>
      </c>
      <c r="I66" s="31">
        <f t="shared" si="20"/>
        <v>0.52040311052715471</v>
      </c>
      <c r="J66" s="31">
        <f t="shared" si="20"/>
        <v>0.5401752696624853</v>
      </c>
      <c r="K66" s="31">
        <f t="shared" si="20"/>
        <v>0.47580429633944415</v>
      </c>
      <c r="L66" s="31">
        <f t="shared" si="20"/>
        <v>0.43595055413020539</v>
      </c>
      <c r="M66" s="31">
        <f t="shared" si="20"/>
        <v>0.45519299987271089</v>
      </c>
      <c r="N66" s="31">
        <f t="shared" si="20"/>
        <v>0.36631988866067716</v>
      </c>
      <c r="O66" s="31">
        <f t="shared" si="20"/>
        <v>0.3831524553384153</v>
      </c>
      <c r="P66" s="31">
        <f t="shared" si="20"/>
        <v>0.48490469818420612</v>
      </c>
      <c r="Q66" s="31">
        <f t="shared" si="20"/>
        <v>0.52831944162920652</v>
      </c>
      <c r="R66" s="31">
        <f t="shared" si="20"/>
        <v>0.45545602895138376</v>
      </c>
      <c r="S66" s="31">
        <f t="shared" si="20"/>
        <v>0.46973804570816219</v>
      </c>
      <c r="T66" s="31">
        <f t="shared" si="20"/>
        <v>0.48325561789458854</v>
      </c>
      <c r="U66" s="31">
        <f t="shared" si="20"/>
        <v>0.45985027791388139</v>
      </c>
      <c r="V66" s="31">
        <f t="shared" si="20"/>
        <v>0.59422158149221327</v>
      </c>
      <c r="W66" s="31">
        <f t="shared" ref="W66" si="21">IF(W15=0,0,W15/W$8)</f>
        <v>0.60035584482384741</v>
      </c>
      <c r="DA66" s="173"/>
    </row>
    <row r="67" spans="1:105" ht="11.45" customHeight="1" x14ac:dyDescent="0.25">
      <c r="A67" s="83" t="s">
        <v>92</v>
      </c>
      <c r="B67" s="125">
        <f t="shared" si="5"/>
        <v>0.53553945177804818</v>
      </c>
      <c r="C67" s="125">
        <f t="shared" ref="C67:V67" si="22">IF(C16=0,0,C16/C$8)</f>
        <v>0.54992055305085319</v>
      </c>
      <c r="D67" s="125">
        <f t="shared" si="22"/>
        <v>0.58588273588965389</v>
      </c>
      <c r="E67" s="125">
        <f t="shared" si="22"/>
        <v>0.63371143278611797</v>
      </c>
      <c r="F67" s="125">
        <f t="shared" si="22"/>
        <v>0.62849105155845086</v>
      </c>
      <c r="G67" s="125">
        <f t="shared" si="22"/>
        <v>0.60131638345828564</v>
      </c>
      <c r="H67" s="125">
        <f t="shared" si="22"/>
        <v>0.50430659786807253</v>
      </c>
      <c r="I67" s="125">
        <f t="shared" si="22"/>
        <v>0.52040311052715471</v>
      </c>
      <c r="J67" s="125">
        <f t="shared" si="22"/>
        <v>0.5401752696624853</v>
      </c>
      <c r="K67" s="125">
        <f t="shared" si="22"/>
        <v>0.47580429633944415</v>
      </c>
      <c r="L67" s="125">
        <f t="shared" si="22"/>
        <v>0.43595055413020539</v>
      </c>
      <c r="M67" s="125">
        <f t="shared" si="22"/>
        <v>0.45519299987271089</v>
      </c>
      <c r="N67" s="125">
        <f t="shared" si="22"/>
        <v>0.36631988866067716</v>
      </c>
      <c r="O67" s="125">
        <f t="shared" si="22"/>
        <v>0.3831524553384153</v>
      </c>
      <c r="P67" s="125">
        <f t="shared" si="22"/>
        <v>0.48490469818420612</v>
      </c>
      <c r="Q67" s="125">
        <f t="shared" si="22"/>
        <v>0.52831944162920652</v>
      </c>
      <c r="R67" s="125">
        <f t="shared" si="22"/>
        <v>0.45545602895138376</v>
      </c>
      <c r="S67" s="125">
        <f t="shared" si="22"/>
        <v>0.46973804570816219</v>
      </c>
      <c r="T67" s="125">
        <f t="shared" si="22"/>
        <v>0.48325561789458854</v>
      </c>
      <c r="U67" s="125">
        <f t="shared" si="22"/>
        <v>0.45985027791388139</v>
      </c>
      <c r="V67" s="125">
        <f t="shared" si="22"/>
        <v>0.59422158149221327</v>
      </c>
      <c r="W67" s="125">
        <f t="shared" ref="W67" si="23">IF(W16=0,0,W16/W$8)</f>
        <v>0.60035584482384741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2064.9718892329165</v>
      </c>
      <c r="C4" s="11">
        <f t="shared" si="0"/>
        <v>2698.437423121577</v>
      </c>
      <c r="D4" s="11">
        <f t="shared" ref="D4:V4" si="1">SUM(D5:D7)</f>
        <v>3205.3163608318628</v>
      </c>
      <c r="E4" s="11">
        <f t="shared" si="1"/>
        <v>4060.4383530556693</v>
      </c>
      <c r="F4" s="11">
        <f t="shared" si="1"/>
        <v>3783.9388875433683</v>
      </c>
      <c r="G4" s="11">
        <f t="shared" si="1"/>
        <v>4414.7941808690484</v>
      </c>
      <c r="H4" s="11">
        <f t="shared" si="1"/>
        <v>5057.0424316246881</v>
      </c>
      <c r="I4" s="11">
        <f t="shared" si="1"/>
        <v>5230.7266260153046</v>
      </c>
      <c r="J4" s="11">
        <f t="shared" si="1"/>
        <v>5299.1366483559068</v>
      </c>
      <c r="K4" s="11">
        <f t="shared" si="1"/>
        <v>4774.6410323624405</v>
      </c>
      <c r="L4" s="11">
        <f t="shared" si="1"/>
        <v>5133.7710800565437</v>
      </c>
      <c r="M4" s="11">
        <f t="shared" si="1"/>
        <v>5345.607909578348</v>
      </c>
      <c r="N4" s="11">
        <f t="shared" si="1"/>
        <v>5554.6815031852166</v>
      </c>
      <c r="O4" s="11">
        <f t="shared" si="1"/>
        <v>5734.321976074365</v>
      </c>
      <c r="P4" s="11">
        <f t="shared" si="1"/>
        <v>6148.9313485188231</v>
      </c>
      <c r="Q4" s="11">
        <f t="shared" si="1"/>
        <v>6171.3298666732508</v>
      </c>
      <c r="R4" s="11">
        <f t="shared" si="1"/>
        <v>7769.9019860067701</v>
      </c>
      <c r="S4" s="11">
        <f t="shared" si="1"/>
        <v>9078.3687564181928</v>
      </c>
      <c r="T4" s="11">
        <f t="shared" si="1"/>
        <v>9780.7760694557874</v>
      </c>
      <c r="U4" s="11">
        <f t="shared" si="1"/>
        <v>9430.2773646482274</v>
      </c>
      <c r="V4" s="11">
        <f t="shared" si="1"/>
        <v>3218.7376971472922</v>
      </c>
      <c r="W4" s="11">
        <f t="shared" ref="W4" si="2">SUM(W5:W7)</f>
        <v>4236.5990707664605</v>
      </c>
      <c r="DA4" s="189" t="s">
        <v>189</v>
      </c>
    </row>
    <row r="5" spans="1:105" ht="11.45" customHeight="1" x14ac:dyDescent="0.25">
      <c r="A5" s="83" t="s">
        <v>27</v>
      </c>
      <c r="B5" s="84">
        <v>11.618779579814783</v>
      </c>
      <c r="C5" s="84">
        <v>26.873350389762784</v>
      </c>
      <c r="D5" s="84">
        <v>16.568022702950227</v>
      </c>
      <c r="E5" s="84">
        <v>15.310667331693995</v>
      </c>
      <c r="F5" s="84">
        <v>12.960846365222796</v>
      </c>
      <c r="G5" s="84">
        <v>14.767308342609345</v>
      </c>
      <c r="H5" s="84">
        <v>22.621798444620001</v>
      </c>
      <c r="I5" s="84">
        <v>33.930937893759655</v>
      </c>
      <c r="J5" s="84">
        <v>52.74628370270522</v>
      </c>
      <c r="K5" s="84">
        <v>62.163519633300268</v>
      </c>
      <c r="L5" s="84">
        <v>65.090960892059229</v>
      </c>
      <c r="M5" s="84">
        <v>73.822700867393621</v>
      </c>
      <c r="N5" s="84">
        <v>75.967799852320383</v>
      </c>
      <c r="O5" s="84">
        <v>64.753095412406836</v>
      </c>
      <c r="P5" s="84">
        <v>58.351105668017517</v>
      </c>
      <c r="Q5" s="84">
        <v>59.380850727014987</v>
      </c>
      <c r="R5" s="84">
        <v>59.858682344644123</v>
      </c>
      <c r="S5" s="84">
        <v>105.6945115197579</v>
      </c>
      <c r="T5" s="84">
        <v>118.71147552756409</v>
      </c>
      <c r="U5" s="84">
        <v>108.4121445574515</v>
      </c>
      <c r="V5" s="84">
        <v>52.138464875647685</v>
      </c>
      <c r="W5" s="84">
        <v>80.939625478499778</v>
      </c>
      <c r="DA5" s="171" t="s">
        <v>190</v>
      </c>
    </row>
    <row r="6" spans="1:105" ht="11.45" customHeight="1" x14ac:dyDescent="0.25">
      <c r="A6" s="83" t="s">
        <v>173</v>
      </c>
      <c r="B6" s="84">
        <v>1771.7589377476454</v>
      </c>
      <c r="C6" s="84">
        <v>2305.8085163066112</v>
      </c>
      <c r="D6" s="84">
        <v>2748.7112931676784</v>
      </c>
      <c r="E6" s="84">
        <v>3476.212678772707</v>
      </c>
      <c r="F6" s="84">
        <v>3229.4781098373187</v>
      </c>
      <c r="G6" s="84">
        <v>3858.8785041955116</v>
      </c>
      <c r="H6" s="84">
        <v>4451.1774975554381</v>
      </c>
      <c r="I6" s="84">
        <v>4466.54748287844</v>
      </c>
      <c r="J6" s="84">
        <v>4336.6018350380045</v>
      </c>
      <c r="K6" s="84">
        <v>3836.9155914355956</v>
      </c>
      <c r="L6" s="84">
        <v>3944.6979452786541</v>
      </c>
      <c r="M6" s="84">
        <v>4081.0590771492434</v>
      </c>
      <c r="N6" s="84">
        <v>4148.8329261454091</v>
      </c>
      <c r="O6" s="84">
        <v>4115.9068124571186</v>
      </c>
      <c r="P6" s="84">
        <v>4281.4062945706419</v>
      </c>
      <c r="Q6" s="84">
        <v>4459.0912105835687</v>
      </c>
      <c r="R6" s="84">
        <v>5607.4007572605396</v>
      </c>
      <c r="S6" s="84">
        <v>6994.2044760280141</v>
      </c>
      <c r="T6" s="84">
        <v>7612.9653815222682</v>
      </c>
      <c r="U6" s="84">
        <v>7348.6095491641181</v>
      </c>
      <c r="V6" s="84">
        <v>2688.6399071561891</v>
      </c>
      <c r="W6" s="84">
        <v>3287.8305501669406</v>
      </c>
      <c r="DA6" s="171" t="s">
        <v>191</v>
      </c>
    </row>
    <row r="7" spans="1:105" ht="11.45" customHeight="1" x14ac:dyDescent="0.25">
      <c r="A7" s="83" t="s">
        <v>174</v>
      </c>
      <c r="B7" s="84">
        <v>281.59417190545616</v>
      </c>
      <c r="C7" s="84">
        <v>365.75555642520288</v>
      </c>
      <c r="D7" s="84">
        <v>440.03704496123424</v>
      </c>
      <c r="E7" s="84">
        <v>568.91500695126831</v>
      </c>
      <c r="F7" s="84">
        <v>541.49993134082661</v>
      </c>
      <c r="G7" s="84">
        <v>541.14836833092704</v>
      </c>
      <c r="H7" s="84">
        <v>583.2431356246293</v>
      </c>
      <c r="I7" s="84">
        <v>730.24820524310485</v>
      </c>
      <c r="J7" s="84">
        <v>909.78852961519726</v>
      </c>
      <c r="K7" s="84">
        <v>875.56192129354451</v>
      </c>
      <c r="L7" s="84">
        <v>1123.9821738858307</v>
      </c>
      <c r="M7" s="84">
        <v>1190.7261315617102</v>
      </c>
      <c r="N7" s="84">
        <v>1329.8807771874876</v>
      </c>
      <c r="O7" s="84">
        <v>1553.6620682048394</v>
      </c>
      <c r="P7" s="84">
        <v>1809.173948280164</v>
      </c>
      <c r="Q7" s="84">
        <v>1652.8578053626668</v>
      </c>
      <c r="R7" s="84">
        <v>2102.6425464015865</v>
      </c>
      <c r="S7" s="84">
        <v>1978.4697688704202</v>
      </c>
      <c r="T7" s="84">
        <v>2049.0992124059544</v>
      </c>
      <c r="U7" s="84">
        <v>1973.2556709266571</v>
      </c>
      <c r="V7" s="84">
        <v>477.95932511545584</v>
      </c>
      <c r="W7" s="84">
        <v>867.82889512101985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9.582122250037127</v>
      </c>
      <c r="C8" s="13">
        <f t="shared" si="3"/>
        <v>8.5164341177004417</v>
      </c>
      <c r="D8" s="13">
        <f t="shared" ref="D8:V8" si="4">SUM(D9:D11)</f>
        <v>9.3284776618845946</v>
      </c>
      <c r="E8" s="13">
        <f t="shared" si="4"/>
        <v>10.074580205827584</v>
      </c>
      <c r="F8" s="13">
        <f t="shared" si="4"/>
        <v>10.170655374395514</v>
      </c>
      <c r="G8" s="13">
        <f t="shared" si="4"/>
        <v>11.753478103950282</v>
      </c>
      <c r="H8" s="13">
        <f t="shared" si="4"/>
        <v>13.011528774266242</v>
      </c>
      <c r="I8" s="13">
        <f t="shared" si="4"/>
        <v>14.176105978356773</v>
      </c>
      <c r="J8" s="13">
        <f t="shared" si="4"/>
        <v>14.10395655434742</v>
      </c>
      <c r="K8" s="13">
        <f t="shared" si="4"/>
        <v>19.005880099493169</v>
      </c>
      <c r="L8" s="13">
        <f t="shared" si="4"/>
        <v>31.434493367245793</v>
      </c>
      <c r="M8" s="13">
        <f t="shared" si="4"/>
        <v>22.80931592069323</v>
      </c>
      <c r="N8" s="13">
        <f t="shared" si="4"/>
        <v>11.29127388357977</v>
      </c>
      <c r="O8" s="13">
        <f t="shared" si="4"/>
        <v>12.765447874705313</v>
      </c>
      <c r="P8" s="13">
        <f t="shared" si="4"/>
        <v>19.379771193231207</v>
      </c>
      <c r="Q8" s="13">
        <f t="shared" si="4"/>
        <v>37.089335251728734</v>
      </c>
      <c r="R8" s="13">
        <f t="shared" si="4"/>
        <v>45.655246447199588</v>
      </c>
      <c r="S8" s="13">
        <f t="shared" si="4"/>
        <v>50.482773948688958</v>
      </c>
      <c r="T8" s="13">
        <f t="shared" si="4"/>
        <v>38.922103224846282</v>
      </c>
      <c r="U8" s="13">
        <f t="shared" si="4"/>
        <v>25.678908505904573</v>
      </c>
      <c r="V8" s="13">
        <f t="shared" si="4"/>
        <v>25.779425977866772</v>
      </c>
      <c r="W8" s="13">
        <f t="shared" ref="W8" si="5">SUM(W9:W11)</f>
        <v>21.992309759561387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6.4656732428438701</v>
      </c>
      <c r="C10" s="102">
        <v>4.1635076886904701</v>
      </c>
      <c r="D10" s="102">
        <v>4.3039233825953298</v>
      </c>
      <c r="E10" s="102">
        <v>4.5744055563162211</v>
      </c>
      <c r="F10" s="102">
        <v>4.4288025141191865</v>
      </c>
      <c r="G10" s="102">
        <v>5.5408902799160593</v>
      </c>
      <c r="H10" s="102">
        <v>6.1775584560471497</v>
      </c>
      <c r="I10" s="102">
        <v>6.5674269758021504</v>
      </c>
      <c r="J10" s="102">
        <v>7.2705954730890898</v>
      </c>
      <c r="K10" s="102">
        <v>6.2434837101952265</v>
      </c>
      <c r="L10" s="102">
        <v>6.455473357653541</v>
      </c>
      <c r="M10" s="102">
        <v>5.9221872212111411</v>
      </c>
      <c r="N10" s="102">
        <v>6.5426967261801199</v>
      </c>
      <c r="O10" s="102">
        <v>7.0222064989221771</v>
      </c>
      <c r="P10" s="102">
        <v>8.2578320934978287</v>
      </c>
      <c r="Q10" s="102">
        <v>8.5916994168607541</v>
      </c>
      <c r="R10" s="102">
        <v>9.1913013360683689</v>
      </c>
      <c r="S10" s="102">
        <v>9.9088055358465859</v>
      </c>
      <c r="T10" s="102">
        <v>11.084366255818235</v>
      </c>
      <c r="U10" s="102">
        <v>13.611474705275876</v>
      </c>
      <c r="V10" s="102">
        <v>11.549754534007175</v>
      </c>
      <c r="W10" s="102">
        <v>10.527758563293208</v>
      </c>
      <c r="DA10" s="175" t="s">
        <v>195</v>
      </c>
    </row>
    <row r="11" spans="1:105" ht="11.45" customHeight="1" x14ac:dyDescent="0.25">
      <c r="A11" s="85" t="s">
        <v>174</v>
      </c>
      <c r="B11" s="86">
        <v>3.1164490071932569</v>
      </c>
      <c r="C11" s="86">
        <v>4.3529264290099725</v>
      </c>
      <c r="D11" s="86">
        <v>5.0245542792892657</v>
      </c>
      <c r="E11" s="86">
        <v>5.5001746495113615</v>
      </c>
      <c r="F11" s="86">
        <v>5.7418528602763272</v>
      </c>
      <c r="G11" s="86">
        <v>6.2125878240342232</v>
      </c>
      <c r="H11" s="86">
        <v>6.8339703182190918</v>
      </c>
      <c r="I11" s="86">
        <v>7.6086790025546227</v>
      </c>
      <c r="J11" s="86">
        <v>6.833361081258329</v>
      </c>
      <c r="K11" s="86">
        <v>12.76239638929794</v>
      </c>
      <c r="L11" s="86">
        <v>24.979020009592251</v>
      </c>
      <c r="M11" s="86">
        <v>16.887128699482087</v>
      </c>
      <c r="N11" s="86">
        <v>4.7485771573996507</v>
      </c>
      <c r="O11" s="86">
        <v>5.7432413757831355</v>
      </c>
      <c r="P11" s="86">
        <v>11.121939099733376</v>
      </c>
      <c r="Q11" s="86">
        <v>28.497635834867978</v>
      </c>
      <c r="R11" s="86">
        <v>36.463945111131217</v>
      </c>
      <c r="S11" s="86">
        <v>40.573968412842369</v>
      </c>
      <c r="T11" s="86">
        <v>27.837736969028043</v>
      </c>
      <c r="U11" s="86">
        <v>12.067433800628695</v>
      </c>
      <c r="V11" s="86">
        <v>14.229671443859596</v>
      </c>
      <c r="W11" s="86">
        <v>11.464551196268181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16.772548071636102</v>
      </c>
      <c r="C13" s="54">
        <f t="shared" si="6"/>
        <v>22.002465048860756</v>
      </c>
      <c r="D13" s="54">
        <f t="shared" ref="D13:V13" si="7">SUM(D14,D18)</f>
        <v>25.724437104422531</v>
      </c>
      <c r="E13" s="54">
        <f t="shared" si="7"/>
        <v>32.688447590373308</v>
      </c>
      <c r="F13" s="54">
        <f t="shared" si="7"/>
        <v>30.71769233728422</v>
      </c>
      <c r="G13" s="54">
        <f t="shared" si="7"/>
        <v>35.803061999843095</v>
      </c>
      <c r="H13" s="54">
        <f t="shared" si="7"/>
        <v>41.98472942396613</v>
      </c>
      <c r="I13" s="54">
        <f t="shared" si="7"/>
        <v>44.99632542010697</v>
      </c>
      <c r="J13" s="54">
        <f t="shared" si="7"/>
        <v>46.461130526787329</v>
      </c>
      <c r="K13" s="54">
        <f t="shared" si="7"/>
        <v>42.309557340129103</v>
      </c>
      <c r="L13" s="54">
        <f t="shared" si="7"/>
        <v>44.995547226222207</v>
      </c>
      <c r="M13" s="54">
        <f t="shared" si="7"/>
        <v>45.285082353300851</v>
      </c>
      <c r="N13" s="54">
        <f t="shared" si="7"/>
        <v>42.898656179646188</v>
      </c>
      <c r="O13" s="54">
        <f t="shared" si="7"/>
        <v>42.854750303809084</v>
      </c>
      <c r="P13" s="54">
        <f t="shared" si="7"/>
        <v>46.317671989218439</v>
      </c>
      <c r="Q13" s="54">
        <f t="shared" si="7"/>
        <v>47.121027912613485</v>
      </c>
      <c r="R13" s="54">
        <f t="shared" si="7"/>
        <v>57.6119495572283</v>
      </c>
      <c r="S13" s="54">
        <f t="shared" si="7"/>
        <v>63.414433485437485</v>
      </c>
      <c r="T13" s="54">
        <f t="shared" si="7"/>
        <v>68.468735448943718</v>
      </c>
      <c r="U13" s="54">
        <f t="shared" si="7"/>
        <v>64.823343513604286</v>
      </c>
      <c r="V13" s="54">
        <f t="shared" si="7"/>
        <v>27.544464983620124</v>
      </c>
      <c r="W13" s="54">
        <f t="shared" ref="W13" si="8">SUM(W14,W18)</f>
        <v>35.109410052518847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16.470094878629705</v>
      </c>
      <c r="C14" s="11">
        <f t="shared" si="9"/>
        <v>21.784225953890193</v>
      </c>
      <c r="D14" s="11">
        <f t="shared" ref="D14:V14" si="10">SUM(D15:D17)</f>
        <v>25.477453932174896</v>
      </c>
      <c r="E14" s="11">
        <f t="shared" si="10"/>
        <v>32.419701330800365</v>
      </c>
      <c r="F14" s="11">
        <f t="shared" si="10"/>
        <v>30.429910488304177</v>
      </c>
      <c r="G14" s="11">
        <f t="shared" si="10"/>
        <v>35.448549149981794</v>
      </c>
      <c r="H14" s="11">
        <f t="shared" si="10"/>
        <v>41.538181577739245</v>
      </c>
      <c r="I14" s="11">
        <f t="shared" si="10"/>
        <v>44.500120822857014</v>
      </c>
      <c r="J14" s="11">
        <f t="shared" si="10"/>
        <v>45.924921743974103</v>
      </c>
      <c r="K14" s="11">
        <f t="shared" si="10"/>
        <v>41.753433303191059</v>
      </c>
      <c r="L14" s="11">
        <f t="shared" si="10"/>
        <v>44.23890259168936</v>
      </c>
      <c r="M14" s="11">
        <f t="shared" si="10"/>
        <v>44.709579332536265</v>
      </c>
      <c r="N14" s="11">
        <f t="shared" si="10"/>
        <v>42.512932073998769</v>
      </c>
      <c r="O14" s="11">
        <f t="shared" si="10"/>
        <v>42.426290031332485</v>
      </c>
      <c r="P14" s="11">
        <f t="shared" si="10"/>
        <v>45.831962860470242</v>
      </c>
      <c r="Q14" s="11">
        <f t="shared" si="10"/>
        <v>46.391305327395884</v>
      </c>
      <c r="R14" s="11">
        <f t="shared" si="10"/>
        <v>56.844076762810019</v>
      </c>
      <c r="S14" s="11">
        <f t="shared" si="10"/>
        <v>62.527351988516244</v>
      </c>
      <c r="T14" s="11">
        <f t="shared" si="10"/>
        <v>67.688544118368071</v>
      </c>
      <c r="U14" s="11">
        <f t="shared" si="10"/>
        <v>64.155273365017521</v>
      </c>
      <c r="V14" s="11">
        <f t="shared" si="10"/>
        <v>26.754876466805513</v>
      </c>
      <c r="W14" s="11">
        <f t="shared" ref="W14" si="11">SUM(W15:W17)</f>
        <v>34.377685407927224</v>
      </c>
      <c r="DA14" s="189" t="s">
        <v>198</v>
      </c>
    </row>
    <row r="15" spans="1:105" ht="11.45" customHeight="1" x14ac:dyDescent="0.25">
      <c r="A15" s="83" t="s">
        <v>27</v>
      </c>
      <c r="B15" s="84">
        <v>0.48484103368837667</v>
      </c>
      <c r="C15" s="84">
        <v>1.0677877310849586</v>
      </c>
      <c r="D15" s="84">
        <v>0.6315729828867358</v>
      </c>
      <c r="E15" s="84">
        <v>0.55934446525808612</v>
      </c>
      <c r="F15" s="84">
        <v>0.45270787427090653</v>
      </c>
      <c r="G15" s="84">
        <v>0.49404730537740515</v>
      </c>
      <c r="H15" s="84">
        <v>0.72691568873136903</v>
      </c>
      <c r="I15" s="84">
        <v>1.0470400639802637</v>
      </c>
      <c r="J15" s="84">
        <v>1.1803636787448222</v>
      </c>
      <c r="K15" s="84">
        <v>1.0444883131209881</v>
      </c>
      <c r="L15" s="84">
        <v>0.97103025579831925</v>
      </c>
      <c r="M15" s="84">
        <v>1.2303499019905306</v>
      </c>
      <c r="N15" s="84">
        <v>1.1870699114783123</v>
      </c>
      <c r="O15" s="84">
        <v>0.89985492283069624</v>
      </c>
      <c r="P15" s="84">
        <v>0.81025189637901784</v>
      </c>
      <c r="Q15" s="84">
        <v>0.83954242099850473</v>
      </c>
      <c r="R15" s="84">
        <v>0.79452173085321998</v>
      </c>
      <c r="S15" s="84">
        <v>1.0399201426744002</v>
      </c>
      <c r="T15" s="84">
        <v>1.0605291428571431</v>
      </c>
      <c r="U15" s="84">
        <v>0.98006148178807961</v>
      </c>
      <c r="V15" s="84">
        <v>0.65584538153766236</v>
      </c>
      <c r="W15" s="84">
        <v>0.81197996066477374</v>
      </c>
      <c r="DA15" s="171" t="s">
        <v>199</v>
      </c>
    </row>
    <row r="16" spans="1:105" ht="11.45" customHeight="1" x14ac:dyDescent="0.25">
      <c r="A16" s="83" t="s">
        <v>173</v>
      </c>
      <c r="B16" s="84">
        <v>13.594993094044671</v>
      </c>
      <c r="C16" s="84">
        <v>17.618914327017656</v>
      </c>
      <c r="D16" s="84">
        <v>21.130584347350965</v>
      </c>
      <c r="E16" s="84">
        <v>27.097156093827927</v>
      </c>
      <c r="F16" s="84">
        <v>25.495463706102036</v>
      </c>
      <c r="G16" s="84">
        <v>30.510168178350519</v>
      </c>
      <c r="H16" s="84">
        <v>36.041455799691342</v>
      </c>
      <c r="I16" s="84">
        <v>37.508813711419755</v>
      </c>
      <c r="J16" s="84">
        <v>37.054975715338955</v>
      </c>
      <c r="K16" s="84">
        <v>33.477447272309277</v>
      </c>
      <c r="L16" s="84">
        <v>34.176373431915302</v>
      </c>
      <c r="M16" s="84">
        <v>34.008009177196797</v>
      </c>
      <c r="N16" s="84">
        <v>31.692247278777696</v>
      </c>
      <c r="O16" s="84">
        <v>31.039731555382545</v>
      </c>
      <c r="P16" s="84">
        <v>32.225115930278392</v>
      </c>
      <c r="Q16" s="84">
        <v>32.759786775001778</v>
      </c>
      <c r="R16" s="84">
        <v>40.594916985709652</v>
      </c>
      <c r="S16" s="84">
        <v>47.057854195648716</v>
      </c>
      <c r="T16" s="84">
        <v>50.771793568982133</v>
      </c>
      <c r="U16" s="84">
        <v>48.042754857114453</v>
      </c>
      <c r="V16" s="84">
        <v>21.564868861000317</v>
      </c>
      <c r="W16" s="84">
        <v>25.631087950480957</v>
      </c>
      <c r="DA16" s="171" t="s">
        <v>200</v>
      </c>
    </row>
    <row r="17" spans="1:105" ht="11.45" customHeight="1" x14ac:dyDescent="0.25">
      <c r="A17" s="83" t="s">
        <v>174</v>
      </c>
      <c r="B17" s="84">
        <v>2.3902607508966587</v>
      </c>
      <c r="C17" s="84">
        <v>3.0975238957875781</v>
      </c>
      <c r="D17" s="84">
        <v>3.7152966019371978</v>
      </c>
      <c r="E17" s="84">
        <v>4.7632007717143559</v>
      </c>
      <c r="F17" s="84">
        <v>4.4817389079312351</v>
      </c>
      <c r="G17" s="84">
        <v>4.4443336662538702</v>
      </c>
      <c r="H17" s="84">
        <v>4.7698100893165369</v>
      </c>
      <c r="I17" s="84">
        <v>5.9442670474569983</v>
      </c>
      <c r="J17" s="84">
        <v>7.6895823498903209</v>
      </c>
      <c r="K17" s="84">
        <v>7.2314977177607958</v>
      </c>
      <c r="L17" s="84">
        <v>9.0914989039757419</v>
      </c>
      <c r="M17" s="84">
        <v>9.4712202533489407</v>
      </c>
      <c r="N17" s="84">
        <v>9.6336148837427622</v>
      </c>
      <c r="O17" s="84">
        <v>10.486703553119243</v>
      </c>
      <c r="P17" s="84">
        <v>12.796595033812839</v>
      </c>
      <c r="Q17" s="84">
        <v>12.791976131395604</v>
      </c>
      <c r="R17" s="84">
        <v>15.454638046247144</v>
      </c>
      <c r="S17" s="84">
        <v>14.429577650193133</v>
      </c>
      <c r="T17" s="84">
        <v>15.856221406528791</v>
      </c>
      <c r="U17" s="84">
        <v>15.132457026114992</v>
      </c>
      <c r="V17" s="84">
        <v>4.5341622242675328</v>
      </c>
      <c r="W17" s="84">
        <v>7.9346174967814918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0.30245319300639484</v>
      </c>
      <c r="C18" s="13">
        <f t="shared" si="12"/>
        <v>0.21823909497056498</v>
      </c>
      <c r="D18" s="13">
        <f t="shared" ref="D18:V18" si="13">SUM(D19:D21)</f>
        <v>0.24698317224763572</v>
      </c>
      <c r="E18" s="13">
        <f t="shared" si="13"/>
        <v>0.26874625957294573</v>
      </c>
      <c r="F18" s="13">
        <f t="shared" si="13"/>
        <v>0.287781848980041</v>
      </c>
      <c r="G18" s="13">
        <f t="shared" si="13"/>
        <v>0.35451284986130371</v>
      </c>
      <c r="H18" s="13">
        <f t="shared" si="13"/>
        <v>0.44654784622688687</v>
      </c>
      <c r="I18" s="13">
        <f t="shared" si="13"/>
        <v>0.49620459724995386</v>
      </c>
      <c r="J18" s="13">
        <f t="shared" si="13"/>
        <v>0.53620878281322748</v>
      </c>
      <c r="K18" s="13">
        <f t="shared" si="13"/>
        <v>0.55612403693804757</v>
      </c>
      <c r="L18" s="13">
        <f t="shared" si="13"/>
        <v>0.75664463453284903</v>
      </c>
      <c r="M18" s="13">
        <f t="shared" si="13"/>
        <v>0.57550302076458615</v>
      </c>
      <c r="N18" s="13">
        <f t="shared" si="13"/>
        <v>0.38572410564741594</v>
      </c>
      <c r="O18" s="13">
        <f t="shared" si="13"/>
        <v>0.42846027247659868</v>
      </c>
      <c r="P18" s="13">
        <f t="shared" si="13"/>
        <v>0.48570912874819661</v>
      </c>
      <c r="Q18" s="13">
        <f t="shared" si="13"/>
        <v>0.72972258521759781</v>
      </c>
      <c r="R18" s="13">
        <f t="shared" si="13"/>
        <v>0.76787279441827916</v>
      </c>
      <c r="S18" s="13">
        <f t="shared" si="13"/>
        <v>0.88708149692124127</v>
      </c>
      <c r="T18" s="13">
        <f t="shared" si="13"/>
        <v>0.78019133057564938</v>
      </c>
      <c r="U18" s="13">
        <f t="shared" si="13"/>
        <v>0.66807014858675806</v>
      </c>
      <c r="V18" s="13">
        <f t="shared" si="13"/>
        <v>0.78958851681461129</v>
      </c>
      <c r="W18" s="13">
        <f t="shared" ref="W18" si="14">SUM(W19:W21)</f>
        <v>0.73172464459161968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0.25808915170238306</v>
      </c>
      <c r="C20" s="102">
        <v>0.1590870398985493</v>
      </c>
      <c r="D20" s="102">
        <v>0.17468621604850543</v>
      </c>
      <c r="E20" s="102">
        <v>0.18166128960581154</v>
      </c>
      <c r="F20" s="102">
        <v>0.19412442844934949</v>
      </c>
      <c r="G20" s="102">
        <v>0.24675960714285713</v>
      </c>
      <c r="H20" s="102">
        <v>0.32393243447168013</v>
      </c>
      <c r="I20" s="102">
        <v>0.35737697489570353</v>
      </c>
      <c r="J20" s="102">
        <v>0.40896042320293846</v>
      </c>
      <c r="K20" s="102">
        <v>0.34539292340377364</v>
      </c>
      <c r="L20" s="102">
        <v>0.35095048068669527</v>
      </c>
      <c r="M20" s="102">
        <v>0.31219037620699019</v>
      </c>
      <c r="N20" s="102">
        <v>0.31588745607476637</v>
      </c>
      <c r="O20" s="102">
        <v>0.3443604465942055</v>
      </c>
      <c r="P20" s="102">
        <v>0.34724913780519073</v>
      </c>
      <c r="Q20" s="102">
        <v>0.36550983584237823</v>
      </c>
      <c r="R20" s="102">
        <v>0.35546690173494516</v>
      </c>
      <c r="S20" s="102">
        <v>0.41451466534042569</v>
      </c>
      <c r="T20" s="102">
        <v>0.45652358535271942</v>
      </c>
      <c r="U20" s="102">
        <v>0.53153768084482256</v>
      </c>
      <c r="V20" s="102">
        <v>0.54871742402855395</v>
      </c>
      <c r="W20" s="102">
        <v>0.52900065819800157</v>
      </c>
      <c r="DA20" s="175" t="s">
        <v>204</v>
      </c>
    </row>
    <row r="21" spans="1:105" ht="11.45" customHeight="1" x14ac:dyDescent="0.25">
      <c r="A21" s="85" t="s">
        <v>174</v>
      </c>
      <c r="B21" s="86">
        <v>4.4364041304011767E-2</v>
      </c>
      <c r="C21" s="86">
        <v>5.9152055072015687E-2</v>
      </c>
      <c r="D21" s="86">
        <v>7.2296956199130291E-2</v>
      </c>
      <c r="E21" s="86">
        <v>8.7084969967134204E-2</v>
      </c>
      <c r="F21" s="86">
        <v>9.365742053069151E-2</v>
      </c>
      <c r="G21" s="86">
        <v>0.10775324271844659</v>
      </c>
      <c r="H21" s="86">
        <v>0.12261541175520675</v>
      </c>
      <c r="I21" s="86">
        <v>0.13882762235425034</v>
      </c>
      <c r="J21" s="86">
        <v>0.12724835961028905</v>
      </c>
      <c r="K21" s="86">
        <v>0.21073111353427387</v>
      </c>
      <c r="L21" s="86">
        <v>0.40569415384615382</v>
      </c>
      <c r="M21" s="86">
        <v>0.2633126445575959</v>
      </c>
      <c r="N21" s="86">
        <v>6.9836649572649567E-2</v>
      </c>
      <c r="O21" s="86">
        <v>8.4099825882393203E-2</v>
      </c>
      <c r="P21" s="86">
        <v>0.1384599909430059</v>
      </c>
      <c r="Q21" s="86">
        <v>0.36421274937521958</v>
      </c>
      <c r="R21" s="86">
        <v>0.412405892683334</v>
      </c>
      <c r="S21" s="86">
        <v>0.47256683158081564</v>
      </c>
      <c r="T21" s="86">
        <v>0.3236677452229299</v>
      </c>
      <c r="U21" s="86">
        <v>0.13653246774193548</v>
      </c>
      <c r="V21" s="86">
        <v>0.24087109278605731</v>
      </c>
      <c r="W21" s="86">
        <v>0.20272398639361811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12481</v>
      </c>
      <c r="C23" s="54">
        <f t="shared" si="15"/>
        <v>17522</v>
      </c>
      <c r="D23" s="54">
        <f t="shared" ref="D23:V23" si="16">SUM(D24,D28)</f>
        <v>18715</v>
      </c>
      <c r="E23" s="54">
        <f t="shared" si="16"/>
        <v>23065</v>
      </c>
      <c r="F23" s="54">
        <f t="shared" si="16"/>
        <v>21476</v>
      </c>
      <c r="G23" s="54">
        <f t="shared" si="16"/>
        <v>24721</v>
      </c>
      <c r="H23" s="54">
        <f t="shared" si="16"/>
        <v>28757</v>
      </c>
      <c r="I23" s="54">
        <f t="shared" si="16"/>
        <v>31639</v>
      </c>
      <c r="J23" s="54">
        <f t="shared" si="16"/>
        <v>33513</v>
      </c>
      <c r="K23" s="54">
        <f t="shared" si="16"/>
        <v>30699</v>
      </c>
      <c r="L23" s="54">
        <f t="shared" si="16"/>
        <v>31642</v>
      </c>
      <c r="M23" s="54">
        <f t="shared" si="16"/>
        <v>33115</v>
      </c>
      <c r="N23" s="54">
        <f t="shared" si="16"/>
        <v>31045</v>
      </c>
      <c r="O23" s="54">
        <f t="shared" si="16"/>
        <v>30248</v>
      </c>
      <c r="P23" s="54">
        <f t="shared" si="16"/>
        <v>32088</v>
      </c>
      <c r="Q23" s="54">
        <f t="shared" si="16"/>
        <v>32461</v>
      </c>
      <c r="R23" s="54">
        <f t="shared" si="16"/>
        <v>38263</v>
      </c>
      <c r="S23" s="54">
        <f t="shared" si="16"/>
        <v>42119</v>
      </c>
      <c r="T23" s="54">
        <f t="shared" si="16"/>
        <v>45472</v>
      </c>
      <c r="U23" s="54">
        <f t="shared" si="16"/>
        <v>42774</v>
      </c>
      <c r="V23" s="54">
        <f t="shared" si="16"/>
        <v>18107</v>
      </c>
      <c r="W23" s="54">
        <f t="shared" ref="W23" si="17">SUM(W24,W28)</f>
        <v>23385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12161</v>
      </c>
      <c r="C24" s="11">
        <f t="shared" si="18"/>
        <v>17306</v>
      </c>
      <c r="D24" s="11">
        <f t="shared" ref="D24:V24" si="19">SUM(D25:D27)</f>
        <v>18473</v>
      </c>
      <c r="E24" s="11">
        <f t="shared" si="19"/>
        <v>22807</v>
      </c>
      <c r="F24" s="11">
        <f t="shared" si="19"/>
        <v>21200</v>
      </c>
      <c r="G24" s="11">
        <f t="shared" si="19"/>
        <v>24377</v>
      </c>
      <c r="H24" s="11">
        <f t="shared" si="19"/>
        <v>28337</v>
      </c>
      <c r="I24" s="11">
        <f t="shared" si="19"/>
        <v>31177</v>
      </c>
      <c r="J24" s="11">
        <f t="shared" si="19"/>
        <v>33006</v>
      </c>
      <c r="K24" s="11">
        <f t="shared" si="19"/>
        <v>30244</v>
      </c>
      <c r="L24" s="11">
        <f t="shared" si="19"/>
        <v>31141</v>
      </c>
      <c r="M24" s="11">
        <f t="shared" si="19"/>
        <v>32640</v>
      </c>
      <c r="N24" s="11">
        <f t="shared" si="19"/>
        <v>30638</v>
      </c>
      <c r="O24" s="11">
        <f t="shared" si="19"/>
        <v>29815</v>
      </c>
      <c r="P24" s="11">
        <f t="shared" si="19"/>
        <v>31621</v>
      </c>
      <c r="Q24" s="11">
        <f t="shared" si="19"/>
        <v>31866</v>
      </c>
      <c r="R24" s="11">
        <f t="shared" si="19"/>
        <v>37699</v>
      </c>
      <c r="S24" s="11">
        <f t="shared" si="19"/>
        <v>41493</v>
      </c>
      <c r="T24" s="11">
        <f t="shared" si="19"/>
        <v>44902</v>
      </c>
      <c r="U24" s="11">
        <f t="shared" si="19"/>
        <v>42192</v>
      </c>
      <c r="V24" s="11">
        <f t="shared" si="19"/>
        <v>17491</v>
      </c>
      <c r="W24" s="11">
        <f t="shared" ref="W24" si="20">SUM(W25:W27)</f>
        <v>22780</v>
      </c>
      <c r="DA24" s="189" t="s">
        <v>207</v>
      </c>
    </row>
    <row r="25" spans="1:105" ht="11.45" customHeight="1" x14ac:dyDescent="0.25">
      <c r="A25" s="83" t="s">
        <v>27</v>
      </c>
      <c r="B25" s="84">
        <v>1705</v>
      </c>
      <c r="C25" s="84">
        <v>3755</v>
      </c>
      <c r="D25" s="84">
        <v>2221</v>
      </c>
      <c r="E25" s="84">
        <v>1967</v>
      </c>
      <c r="F25" s="84">
        <v>1592</v>
      </c>
      <c r="G25" s="84">
        <v>1833</v>
      </c>
      <c r="H25" s="84">
        <v>2366</v>
      </c>
      <c r="I25" s="84">
        <v>2910</v>
      </c>
      <c r="J25" s="84">
        <v>3314</v>
      </c>
      <c r="K25" s="84">
        <v>3057</v>
      </c>
      <c r="L25" s="84">
        <v>2883</v>
      </c>
      <c r="M25" s="84">
        <v>3553</v>
      </c>
      <c r="N25" s="84">
        <v>3326</v>
      </c>
      <c r="O25" s="84">
        <v>2784</v>
      </c>
      <c r="P25" s="84">
        <v>2504</v>
      </c>
      <c r="Q25" s="84">
        <v>2480</v>
      </c>
      <c r="R25" s="84">
        <v>2406</v>
      </c>
      <c r="S25" s="84">
        <v>2871</v>
      </c>
      <c r="T25" s="84">
        <v>2916</v>
      </c>
      <c r="U25" s="84">
        <v>2709</v>
      </c>
      <c r="V25" s="84">
        <v>1768</v>
      </c>
      <c r="W25" s="84">
        <v>2215</v>
      </c>
      <c r="DA25" s="171" t="s">
        <v>208</v>
      </c>
    </row>
    <row r="26" spans="1:105" ht="11.45" customHeight="1" x14ac:dyDescent="0.25">
      <c r="A26" s="83" t="s">
        <v>173</v>
      </c>
      <c r="B26" s="84">
        <v>8800</v>
      </c>
      <c r="C26" s="84">
        <v>11405</v>
      </c>
      <c r="D26" s="84">
        <v>13678</v>
      </c>
      <c r="E26" s="84">
        <v>17540</v>
      </c>
      <c r="F26" s="84">
        <v>16503</v>
      </c>
      <c r="G26" s="84">
        <v>19602</v>
      </c>
      <c r="H26" s="84">
        <v>22860</v>
      </c>
      <c r="I26" s="84">
        <v>24414</v>
      </c>
      <c r="J26" s="84">
        <v>24622</v>
      </c>
      <c r="K26" s="84">
        <v>22517</v>
      </c>
      <c r="L26" s="84">
        <v>22685</v>
      </c>
      <c r="M26" s="84">
        <v>22875</v>
      </c>
      <c r="N26" s="84">
        <v>21235</v>
      </c>
      <c r="O26" s="84">
        <v>20466</v>
      </c>
      <c r="P26" s="84">
        <v>21267</v>
      </c>
      <c r="Q26" s="84">
        <v>21418</v>
      </c>
      <c r="R26" s="84">
        <v>26278</v>
      </c>
      <c r="S26" s="84">
        <v>30100</v>
      </c>
      <c r="T26" s="84">
        <v>32640</v>
      </c>
      <c r="U26" s="84">
        <v>30506</v>
      </c>
      <c r="V26" s="84">
        <v>13582</v>
      </c>
      <c r="W26" s="84">
        <v>16958</v>
      </c>
      <c r="DA26" s="171" t="s">
        <v>209</v>
      </c>
    </row>
    <row r="27" spans="1:105" ht="11.45" customHeight="1" x14ac:dyDescent="0.25">
      <c r="A27" s="83" t="s">
        <v>174</v>
      </c>
      <c r="B27" s="84">
        <v>1656</v>
      </c>
      <c r="C27" s="84">
        <v>2146</v>
      </c>
      <c r="D27" s="84">
        <v>2574</v>
      </c>
      <c r="E27" s="84">
        <v>3300</v>
      </c>
      <c r="F27" s="84">
        <v>3105</v>
      </c>
      <c r="G27" s="84">
        <v>2942</v>
      </c>
      <c r="H27" s="84">
        <v>3111</v>
      </c>
      <c r="I27" s="84">
        <v>3853</v>
      </c>
      <c r="J27" s="84">
        <v>5070</v>
      </c>
      <c r="K27" s="84">
        <v>4670</v>
      </c>
      <c r="L27" s="84">
        <v>5573</v>
      </c>
      <c r="M27" s="84">
        <v>6212</v>
      </c>
      <c r="N27" s="84">
        <v>6077</v>
      </c>
      <c r="O27" s="84">
        <v>6565</v>
      </c>
      <c r="P27" s="84">
        <v>7850</v>
      </c>
      <c r="Q27" s="84">
        <v>7968</v>
      </c>
      <c r="R27" s="84">
        <v>9015</v>
      </c>
      <c r="S27" s="84">
        <v>8522</v>
      </c>
      <c r="T27" s="84">
        <v>9346</v>
      </c>
      <c r="U27" s="84">
        <v>8977</v>
      </c>
      <c r="V27" s="84">
        <v>2141</v>
      </c>
      <c r="W27" s="84">
        <v>3607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320</v>
      </c>
      <c r="C28" s="13">
        <f t="shared" si="21"/>
        <v>216</v>
      </c>
      <c r="D28" s="13">
        <f t="shared" ref="D28:V28" si="22">SUM(D29:D31)</f>
        <v>242</v>
      </c>
      <c r="E28" s="13">
        <f t="shared" si="22"/>
        <v>258</v>
      </c>
      <c r="F28" s="13">
        <f t="shared" si="22"/>
        <v>276</v>
      </c>
      <c r="G28" s="13">
        <f t="shared" si="22"/>
        <v>344</v>
      </c>
      <c r="H28" s="13">
        <f t="shared" si="22"/>
        <v>420</v>
      </c>
      <c r="I28" s="13">
        <f t="shared" si="22"/>
        <v>462</v>
      </c>
      <c r="J28" s="13">
        <f t="shared" si="22"/>
        <v>507</v>
      </c>
      <c r="K28" s="13">
        <f t="shared" si="22"/>
        <v>455</v>
      </c>
      <c r="L28" s="13">
        <f t="shared" si="22"/>
        <v>501</v>
      </c>
      <c r="M28" s="13">
        <f t="shared" si="22"/>
        <v>475</v>
      </c>
      <c r="N28" s="13">
        <f t="shared" si="22"/>
        <v>407</v>
      </c>
      <c r="O28" s="13">
        <f t="shared" si="22"/>
        <v>433</v>
      </c>
      <c r="P28" s="13">
        <f t="shared" si="22"/>
        <v>467</v>
      </c>
      <c r="Q28" s="13">
        <f t="shared" si="22"/>
        <v>595</v>
      </c>
      <c r="R28" s="13">
        <f t="shared" si="22"/>
        <v>564</v>
      </c>
      <c r="S28" s="13">
        <f t="shared" si="22"/>
        <v>626</v>
      </c>
      <c r="T28" s="13">
        <f t="shared" si="22"/>
        <v>570</v>
      </c>
      <c r="U28" s="13">
        <f t="shared" si="22"/>
        <v>582</v>
      </c>
      <c r="V28" s="13">
        <f t="shared" si="22"/>
        <v>616</v>
      </c>
      <c r="W28" s="13">
        <f t="shared" ref="W28" si="23">SUM(W29:W31)</f>
        <v>605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293</v>
      </c>
      <c r="C30" s="102">
        <v>180</v>
      </c>
      <c r="D30" s="102">
        <v>198</v>
      </c>
      <c r="E30" s="102">
        <v>205</v>
      </c>
      <c r="F30" s="102">
        <v>219</v>
      </c>
      <c r="G30" s="102">
        <v>281</v>
      </c>
      <c r="H30" s="102">
        <v>357</v>
      </c>
      <c r="I30" s="102">
        <v>398</v>
      </c>
      <c r="J30" s="102">
        <v>453</v>
      </c>
      <c r="K30" s="102">
        <v>374</v>
      </c>
      <c r="L30" s="102">
        <v>361</v>
      </c>
      <c r="M30" s="102">
        <v>336</v>
      </c>
      <c r="N30" s="102">
        <v>341</v>
      </c>
      <c r="O30" s="102">
        <v>366</v>
      </c>
      <c r="P30" s="102">
        <v>373</v>
      </c>
      <c r="Q30" s="102">
        <v>372</v>
      </c>
      <c r="R30" s="102">
        <v>350</v>
      </c>
      <c r="S30" s="102">
        <v>400</v>
      </c>
      <c r="T30" s="102">
        <v>428</v>
      </c>
      <c r="U30" s="102">
        <v>474</v>
      </c>
      <c r="V30" s="102">
        <v>474</v>
      </c>
      <c r="W30" s="102">
        <v>491</v>
      </c>
      <c r="DA30" s="175" t="s">
        <v>213</v>
      </c>
    </row>
    <row r="31" spans="1:105" ht="11.45" customHeight="1" x14ac:dyDescent="0.25">
      <c r="A31" s="85" t="s">
        <v>174</v>
      </c>
      <c r="B31" s="86">
        <v>27</v>
      </c>
      <c r="C31" s="86">
        <v>36</v>
      </c>
      <c r="D31" s="86">
        <v>44</v>
      </c>
      <c r="E31" s="86">
        <v>53</v>
      </c>
      <c r="F31" s="86">
        <v>57</v>
      </c>
      <c r="G31" s="86">
        <v>63</v>
      </c>
      <c r="H31" s="86">
        <v>63</v>
      </c>
      <c r="I31" s="86">
        <v>64</v>
      </c>
      <c r="J31" s="86">
        <v>54</v>
      </c>
      <c r="K31" s="86">
        <v>81</v>
      </c>
      <c r="L31" s="86">
        <v>140</v>
      </c>
      <c r="M31" s="86">
        <v>139</v>
      </c>
      <c r="N31" s="86">
        <v>66</v>
      </c>
      <c r="O31" s="86">
        <v>67</v>
      </c>
      <c r="P31" s="86">
        <v>94</v>
      </c>
      <c r="Q31" s="86">
        <v>223</v>
      </c>
      <c r="R31" s="86">
        <v>214</v>
      </c>
      <c r="S31" s="86">
        <v>226</v>
      </c>
      <c r="T31" s="86">
        <v>142</v>
      </c>
      <c r="U31" s="86">
        <v>108</v>
      </c>
      <c r="V31" s="86">
        <v>142</v>
      </c>
      <c r="W31" s="86">
        <v>114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1090188</v>
      </c>
      <c r="C34" s="11">
        <f t="shared" si="24"/>
        <v>1458465</v>
      </c>
      <c r="D34" s="11">
        <f t="shared" ref="D34:V34" si="25">SUM(D35:D37)</f>
        <v>1701735</v>
      </c>
      <c r="E34" s="11">
        <f t="shared" si="25"/>
        <v>2179173</v>
      </c>
      <c r="F34" s="11">
        <f t="shared" si="25"/>
        <v>2065396</v>
      </c>
      <c r="G34" s="11">
        <f t="shared" si="25"/>
        <v>2404156</v>
      </c>
      <c r="H34" s="11">
        <f t="shared" si="25"/>
        <v>2824804</v>
      </c>
      <c r="I34" s="11">
        <f t="shared" si="25"/>
        <v>3115213</v>
      </c>
      <c r="J34" s="11">
        <f t="shared" si="25"/>
        <v>3334794</v>
      </c>
      <c r="K34" s="11">
        <f t="shared" si="25"/>
        <v>3050763</v>
      </c>
      <c r="L34" s="11">
        <f t="shared" si="25"/>
        <v>3225888</v>
      </c>
      <c r="M34" s="11">
        <f t="shared" si="25"/>
        <v>3466999</v>
      </c>
      <c r="N34" s="11">
        <f t="shared" si="25"/>
        <v>3551066</v>
      </c>
      <c r="O34" s="11">
        <f t="shared" si="25"/>
        <v>3668784</v>
      </c>
      <c r="P34" s="11">
        <f t="shared" si="25"/>
        <v>3889030</v>
      </c>
      <c r="Q34" s="11">
        <f t="shared" si="25"/>
        <v>3958648</v>
      </c>
      <c r="R34" s="11">
        <f t="shared" si="25"/>
        <v>4801455</v>
      </c>
      <c r="S34" s="11">
        <f t="shared" si="25"/>
        <v>5756083</v>
      </c>
      <c r="T34" s="11">
        <f t="shared" si="25"/>
        <v>6282479</v>
      </c>
      <c r="U34" s="11">
        <f t="shared" si="25"/>
        <v>6040900</v>
      </c>
      <c r="V34" s="11">
        <f t="shared" si="25"/>
        <v>1945694</v>
      </c>
      <c r="W34" s="11">
        <f t="shared" ref="W34" si="26">SUM(W35:W37)</f>
        <v>2702751</v>
      </c>
      <c r="DA34" s="189" t="s">
        <v>215</v>
      </c>
    </row>
    <row r="35" spans="1:105" ht="11.45" customHeight="1" x14ac:dyDescent="0.25">
      <c r="A35" s="83" t="s">
        <v>27</v>
      </c>
      <c r="B35" s="84">
        <v>41010</v>
      </c>
      <c r="C35" s="84">
        <v>94853</v>
      </c>
      <c r="D35" s="84">
        <v>58479</v>
      </c>
      <c r="E35" s="84">
        <v>54041</v>
      </c>
      <c r="F35" s="84">
        <v>45747</v>
      </c>
      <c r="G35" s="84">
        <v>54992</v>
      </c>
      <c r="H35" s="84">
        <v>73903</v>
      </c>
      <c r="I35" s="84">
        <v>94652</v>
      </c>
      <c r="J35" s="84">
        <v>148639</v>
      </c>
      <c r="K35" s="84">
        <v>182613</v>
      </c>
      <c r="L35" s="84">
        <v>193971</v>
      </c>
      <c r="M35" s="84">
        <v>214399</v>
      </c>
      <c r="N35" s="84">
        <v>213914</v>
      </c>
      <c r="O35" s="84">
        <v>196376</v>
      </c>
      <c r="P35" s="84">
        <v>177915</v>
      </c>
      <c r="Q35" s="84">
        <v>173520</v>
      </c>
      <c r="R35" s="84">
        <v>175901</v>
      </c>
      <c r="S35" s="84">
        <v>291668</v>
      </c>
      <c r="T35" s="84">
        <v>322869</v>
      </c>
      <c r="U35" s="84">
        <v>300618</v>
      </c>
      <c r="V35" s="84">
        <v>136620</v>
      </c>
      <c r="W35" s="84">
        <v>216546</v>
      </c>
      <c r="DA35" s="171" t="s">
        <v>216</v>
      </c>
    </row>
    <row r="36" spans="1:105" ht="11.45" customHeight="1" x14ac:dyDescent="0.25">
      <c r="A36" s="83" t="s">
        <v>173</v>
      </c>
      <c r="B36" s="84">
        <v>868420</v>
      </c>
      <c r="C36" s="84">
        <v>1128830</v>
      </c>
      <c r="D36" s="84">
        <v>1360792</v>
      </c>
      <c r="E36" s="84">
        <v>1759940</v>
      </c>
      <c r="F36" s="84">
        <v>1672055</v>
      </c>
      <c r="G36" s="84">
        <v>2017261</v>
      </c>
      <c r="H36" s="84">
        <v>2398443</v>
      </c>
      <c r="I36" s="84">
        <v>2582000</v>
      </c>
      <c r="J36" s="84">
        <v>2630373</v>
      </c>
      <c r="K36" s="84">
        <v>2344267</v>
      </c>
      <c r="L36" s="84">
        <v>2393548</v>
      </c>
      <c r="M36" s="84">
        <v>2528217</v>
      </c>
      <c r="N36" s="84">
        <v>2541432</v>
      </c>
      <c r="O36" s="84">
        <v>2547051</v>
      </c>
      <c r="P36" s="84">
        <v>2677408</v>
      </c>
      <c r="Q36" s="84">
        <v>2802615</v>
      </c>
      <c r="R36" s="84">
        <v>3499209</v>
      </c>
      <c r="S36" s="84">
        <v>4365395</v>
      </c>
      <c r="T36" s="84">
        <v>4805435</v>
      </c>
      <c r="U36" s="84">
        <v>4605136</v>
      </c>
      <c r="V36" s="84">
        <v>1597985</v>
      </c>
      <c r="W36" s="84">
        <v>2099054</v>
      </c>
      <c r="DA36" s="171" t="s">
        <v>217</v>
      </c>
    </row>
    <row r="37" spans="1:105" ht="11.45" customHeight="1" x14ac:dyDescent="0.25">
      <c r="A37" s="83" t="s">
        <v>174</v>
      </c>
      <c r="B37" s="84">
        <v>180758</v>
      </c>
      <c r="C37" s="84">
        <v>234782</v>
      </c>
      <c r="D37" s="84">
        <v>282464</v>
      </c>
      <c r="E37" s="84">
        <v>365192</v>
      </c>
      <c r="F37" s="84">
        <v>347594</v>
      </c>
      <c r="G37" s="84">
        <v>331903</v>
      </c>
      <c r="H37" s="84">
        <v>352458</v>
      </c>
      <c r="I37" s="84">
        <v>438561</v>
      </c>
      <c r="J37" s="84">
        <v>555782</v>
      </c>
      <c r="K37" s="84">
        <v>523883</v>
      </c>
      <c r="L37" s="84">
        <v>638369</v>
      </c>
      <c r="M37" s="84">
        <v>724383</v>
      </c>
      <c r="N37" s="84">
        <v>795720</v>
      </c>
      <c r="O37" s="84">
        <v>925357</v>
      </c>
      <c r="P37" s="84">
        <v>1033707</v>
      </c>
      <c r="Q37" s="84">
        <v>982513</v>
      </c>
      <c r="R37" s="84">
        <v>1126345</v>
      </c>
      <c r="S37" s="84">
        <v>1099020</v>
      </c>
      <c r="T37" s="84">
        <v>1154175</v>
      </c>
      <c r="U37" s="84">
        <v>1135146</v>
      </c>
      <c r="V37" s="84">
        <v>211089</v>
      </c>
      <c r="W37" s="84">
        <v>387151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6117.7764527354766</v>
      </c>
      <c r="C38" s="13">
        <f t="shared" si="27"/>
        <v>4863.4206352015372</v>
      </c>
      <c r="D38" s="13">
        <f t="shared" ref="D38:V38" si="28">SUM(D39:D41)</f>
        <v>5553.6555615023735</v>
      </c>
      <c r="E38" s="13">
        <f t="shared" si="28"/>
        <v>6101.5516355515028</v>
      </c>
      <c r="F38" s="13">
        <f t="shared" si="28"/>
        <v>6249.7566546214093</v>
      </c>
      <c r="G38" s="13">
        <f t="shared" si="28"/>
        <v>7051.4723860711674</v>
      </c>
      <c r="H38" s="13">
        <f t="shared" si="28"/>
        <v>7838.0639554075842</v>
      </c>
      <c r="I38" s="13">
        <f t="shared" si="28"/>
        <v>8366.7117230413623</v>
      </c>
      <c r="J38" s="13">
        <f t="shared" si="28"/>
        <v>8611.7480989980686</v>
      </c>
      <c r="K38" s="13">
        <f t="shared" si="28"/>
        <v>9138.209685367583</v>
      </c>
      <c r="L38" s="13">
        <f t="shared" si="28"/>
        <v>12560.228388796862</v>
      </c>
      <c r="M38" s="13">
        <f t="shared" si="28"/>
        <v>12858.641775841319</v>
      </c>
      <c r="N38" s="13">
        <f t="shared" si="28"/>
        <v>9490.7820737055845</v>
      </c>
      <c r="O38" s="13">
        <f t="shared" si="28"/>
        <v>10030.583850545197</v>
      </c>
      <c r="P38" s="13">
        <f t="shared" si="28"/>
        <v>13003.973988191336</v>
      </c>
      <c r="Q38" s="13">
        <f t="shared" si="28"/>
        <v>21465.245741880171</v>
      </c>
      <c r="R38" s="13">
        <f t="shared" si="28"/>
        <v>22825.345924872192</v>
      </c>
      <c r="S38" s="13">
        <f t="shared" si="28"/>
        <v>24121.29689663494</v>
      </c>
      <c r="T38" s="13">
        <f t="shared" si="28"/>
        <v>18519.319999859388</v>
      </c>
      <c r="U38" s="13">
        <f t="shared" si="28"/>
        <v>17330.389220422323</v>
      </c>
      <c r="V38" s="13">
        <f t="shared" si="28"/>
        <v>15436.993119476345</v>
      </c>
      <c r="W38" s="13">
        <f t="shared" ref="W38" si="29">SUM(W39:W41)</f>
        <v>14738.084348977747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4710.2901090191899</v>
      </c>
      <c r="C40" s="102">
        <v>2925.2231911791973</v>
      </c>
      <c r="D40" s="102">
        <v>3226.5871390982124</v>
      </c>
      <c r="E40" s="102">
        <v>3519.3385804525506</v>
      </c>
      <c r="F40" s="102">
        <v>3510.3692800764516</v>
      </c>
      <c r="G40" s="102">
        <v>4265.8671747218741</v>
      </c>
      <c r="H40" s="102">
        <v>4992.742654816976</v>
      </c>
      <c r="I40" s="102">
        <v>5474.7427841443459</v>
      </c>
      <c r="J40" s="102">
        <v>6186.4511019835772</v>
      </c>
      <c r="K40" s="102">
        <v>5096.4083503738102</v>
      </c>
      <c r="L40" s="102">
        <v>5205.9040566668964</v>
      </c>
      <c r="M40" s="102">
        <v>5204.5403885036121</v>
      </c>
      <c r="N40" s="102">
        <v>5613.4813415226608</v>
      </c>
      <c r="O40" s="102">
        <v>6054.3878019654931</v>
      </c>
      <c r="P40" s="102">
        <v>6787.7618727383478</v>
      </c>
      <c r="Q40" s="102">
        <v>6761.3848638431036</v>
      </c>
      <c r="R40" s="102">
        <v>7200.7291802211221</v>
      </c>
      <c r="S40" s="102">
        <v>7651.2376312230881</v>
      </c>
      <c r="T40" s="102">
        <v>8136.7184612022329</v>
      </c>
      <c r="U40" s="102">
        <v>9239.5117657187748</v>
      </c>
      <c r="V40" s="102">
        <v>8304.0839323038927</v>
      </c>
      <c r="W40" s="102">
        <v>8666.3114223325701</v>
      </c>
      <c r="DA40" s="175" t="s">
        <v>221</v>
      </c>
    </row>
    <row r="41" spans="1:105" ht="11.45" customHeight="1" x14ac:dyDescent="0.25">
      <c r="A41" s="85" t="s">
        <v>174</v>
      </c>
      <c r="B41" s="86">
        <v>1407.4863437162867</v>
      </c>
      <c r="C41" s="86">
        <v>1938.1974440223398</v>
      </c>
      <c r="D41" s="86">
        <v>2327.0684224041615</v>
      </c>
      <c r="E41" s="86">
        <v>2582.2130550989527</v>
      </c>
      <c r="F41" s="86">
        <v>2739.3873745449573</v>
      </c>
      <c r="G41" s="86">
        <v>2785.6052113492933</v>
      </c>
      <c r="H41" s="86">
        <v>2845.3213005906077</v>
      </c>
      <c r="I41" s="86">
        <v>2891.9689388970164</v>
      </c>
      <c r="J41" s="86">
        <v>2425.2969970144909</v>
      </c>
      <c r="K41" s="86">
        <v>4041.8013349937723</v>
      </c>
      <c r="L41" s="86">
        <v>7354.3243321299651</v>
      </c>
      <c r="M41" s="86">
        <v>7654.101387337706</v>
      </c>
      <c r="N41" s="86">
        <v>3877.3007321829245</v>
      </c>
      <c r="O41" s="86">
        <v>3976.1960485797049</v>
      </c>
      <c r="P41" s="86">
        <v>6216.2121154529877</v>
      </c>
      <c r="Q41" s="86">
        <v>14703.860878037067</v>
      </c>
      <c r="R41" s="86">
        <v>15624.616744651072</v>
      </c>
      <c r="S41" s="86">
        <v>16470.059265411852</v>
      </c>
      <c r="T41" s="86">
        <v>10382.601538657154</v>
      </c>
      <c r="U41" s="86">
        <v>8090.8774547035473</v>
      </c>
      <c r="V41" s="86">
        <v>7132.9091871724513</v>
      </c>
      <c r="W41" s="86">
        <v>6071.7729266451761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10.574578824998618</v>
      </c>
      <c r="C43" s="54">
        <f t="shared" si="30"/>
        <v>14.225350929380919</v>
      </c>
      <c r="D43" s="54">
        <f t="shared" ref="D43:V43" si="31">SUM(D44,D48)</f>
        <v>16.618386061134512</v>
      </c>
      <c r="E43" s="54">
        <f t="shared" si="31"/>
        <v>20.743663404320628</v>
      </c>
      <c r="F43" s="54">
        <f t="shared" si="31"/>
        <v>19.733269654920935</v>
      </c>
      <c r="G43" s="54">
        <f t="shared" si="31"/>
        <v>22.275648068168366</v>
      </c>
      <c r="H43" s="54">
        <f t="shared" si="31"/>
        <v>25.533319238253124</v>
      </c>
      <c r="I43" s="54">
        <f t="shared" si="31"/>
        <v>27.598713532604972</v>
      </c>
      <c r="J43" s="54">
        <f t="shared" si="31"/>
        <v>29.264673317099778</v>
      </c>
      <c r="K43" s="54">
        <f t="shared" si="31"/>
        <v>28.25698099796697</v>
      </c>
      <c r="L43" s="54">
        <f t="shared" si="31"/>
        <v>28.765450223160308</v>
      </c>
      <c r="M43" s="54">
        <f t="shared" si="31"/>
        <v>29.397872329912715</v>
      </c>
      <c r="N43" s="54">
        <f t="shared" si="31"/>
        <v>28.550625845414345</v>
      </c>
      <c r="O43" s="54">
        <f t="shared" si="31"/>
        <v>28.582794900340904</v>
      </c>
      <c r="P43" s="54">
        <f t="shared" si="31"/>
        <v>30.009752868238245</v>
      </c>
      <c r="Q43" s="54">
        <f t="shared" si="31"/>
        <v>30.29117067915622</v>
      </c>
      <c r="R43" s="54">
        <f t="shared" si="31"/>
        <v>36.239006837277614</v>
      </c>
      <c r="S43" s="54">
        <f t="shared" si="31"/>
        <v>39.734994268140611</v>
      </c>
      <c r="T43" s="54">
        <f t="shared" si="31"/>
        <v>42.452322836596821</v>
      </c>
      <c r="U43" s="54">
        <f t="shared" si="31"/>
        <v>41.972177161824966</v>
      </c>
      <c r="V43" s="54">
        <f t="shared" si="31"/>
        <v>41.289860378733408</v>
      </c>
      <c r="W43" s="54">
        <f t="shared" ref="W43" si="32">SUM(W44,W48)</f>
        <v>40.625708684012061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10.276380302475992</v>
      </c>
      <c r="C44" s="11">
        <f t="shared" si="33"/>
        <v>13.941124703981121</v>
      </c>
      <c r="D44" s="11">
        <f t="shared" ref="D44:V44" si="34">SUM(D45:D47)</f>
        <v>16.349474414736736</v>
      </c>
      <c r="E44" s="11">
        <f t="shared" si="34"/>
        <v>20.488170038425181</v>
      </c>
      <c r="F44" s="11">
        <f t="shared" si="34"/>
        <v>19.460532008177584</v>
      </c>
      <c r="G44" s="11">
        <f t="shared" si="34"/>
        <v>21.938261933072624</v>
      </c>
      <c r="H44" s="11">
        <f t="shared" si="34"/>
        <v>25.117872400308546</v>
      </c>
      <c r="I44" s="11">
        <f t="shared" si="34"/>
        <v>27.13974272054088</v>
      </c>
      <c r="J44" s="11">
        <f t="shared" si="34"/>
        <v>28.757639140758148</v>
      </c>
      <c r="K44" s="11">
        <f t="shared" si="34"/>
        <v>27.73000111051055</v>
      </c>
      <c r="L44" s="11">
        <f t="shared" si="34"/>
        <v>28.142371654587951</v>
      </c>
      <c r="M44" s="11">
        <f t="shared" si="34"/>
        <v>28.803149816042001</v>
      </c>
      <c r="N44" s="11">
        <f t="shared" si="34"/>
        <v>27.974152472634081</v>
      </c>
      <c r="O44" s="11">
        <f t="shared" si="34"/>
        <v>27.991795242332913</v>
      </c>
      <c r="P44" s="11">
        <f t="shared" si="34"/>
        <v>29.406673373899842</v>
      </c>
      <c r="Q44" s="11">
        <f t="shared" si="34"/>
        <v>29.643058366426708</v>
      </c>
      <c r="R44" s="11">
        <f t="shared" si="34"/>
        <v>35.589798775250465</v>
      </c>
      <c r="S44" s="11">
        <f t="shared" si="34"/>
        <v>39.002976549676141</v>
      </c>
      <c r="T44" s="11">
        <f t="shared" si="34"/>
        <v>41.695592830633515</v>
      </c>
      <c r="U44" s="11">
        <f t="shared" si="34"/>
        <v>41.1670305687419</v>
      </c>
      <c r="V44" s="11">
        <f t="shared" si="34"/>
        <v>40.481938548576842</v>
      </c>
      <c r="W44" s="11">
        <f t="shared" ref="W44" si="35">SUM(W45:W47)</f>
        <v>39.796846528411777</v>
      </c>
      <c r="DA44" s="189" t="s">
        <v>224</v>
      </c>
    </row>
    <row r="45" spans="1:105" ht="11.45" customHeight="1" x14ac:dyDescent="0.25">
      <c r="A45" s="83" t="s">
        <v>27</v>
      </c>
      <c r="B45" s="84">
        <v>0.6875</v>
      </c>
      <c r="C45" s="84">
        <v>1.5141129032258065</v>
      </c>
      <c r="D45" s="84">
        <v>1.4453629032258064</v>
      </c>
      <c r="E45" s="84">
        <v>1.3766129032258063</v>
      </c>
      <c r="F45" s="84">
        <v>1.3078629032258062</v>
      </c>
      <c r="G45" s="84">
        <v>1.2391129032258061</v>
      </c>
      <c r="H45" s="84">
        <v>1.1703629032258061</v>
      </c>
      <c r="I45" s="84">
        <v>1.2478559176672384</v>
      </c>
      <c r="J45" s="84">
        <v>1.4168448054724241</v>
      </c>
      <c r="K45" s="84">
        <v>1.348094805472424</v>
      </c>
      <c r="L45" s="84">
        <v>1.2793448054724239</v>
      </c>
      <c r="M45" s="84">
        <v>1.5074246924056003</v>
      </c>
      <c r="N45" s="84">
        <v>1.4386746924056002</v>
      </c>
      <c r="O45" s="84">
        <v>1.3699246924056001</v>
      </c>
      <c r="P45" s="84">
        <v>1.3011746924056</v>
      </c>
      <c r="Q45" s="84">
        <v>1.2324246924055999</v>
      </c>
      <c r="R45" s="84">
        <v>1.1636746924055998</v>
      </c>
      <c r="S45" s="84">
        <v>1.2337773957885689</v>
      </c>
      <c r="T45" s="84">
        <v>1.2541935483870967</v>
      </c>
      <c r="U45" s="84">
        <v>1.1854435483870966</v>
      </c>
      <c r="V45" s="84">
        <v>1.1396102150537633</v>
      </c>
      <c r="W45" s="84">
        <v>1.0937768817204299</v>
      </c>
      <c r="DA45" s="171" t="s">
        <v>225</v>
      </c>
    </row>
    <row r="46" spans="1:105" ht="11.45" customHeight="1" x14ac:dyDescent="0.25">
      <c r="A46" s="83" t="s">
        <v>173</v>
      </c>
      <c r="B46" s="84">
        <v>7.7630809639974929</v>
      </c>
      <c r="C46" s="84">
        <v>10.060969904393684</v>
      </c>
      <c r="D46" s="84">
        <v>12.06618427887587</v>
      </c>
      <c r="E46" s="84">
        <v>15.47318888823135</v>
      </c>
      <c r="F46" s="84">
        <v>14.696880791831601</v>
      </c>
      <c r="G46" s="84">
        <v>17.363548122817342</v>
      </c>
      <c r="H46" s="84">
        <v>20.388012929577016</v>
      </c>
      <c r="I46" s="84">
        <v>21.468235826983861</v>
      </c>
      <c r="J46" s="84">
        <v>21.579430698922085</v>
      </c>
      <c r="K46" s="84">
        <v>20.80312260252234</v>
      </c>
      <c r="L46" s="84">
        <v>20.236391890732651</v>
      </c>
      <c r="M46" s="84">
        <v>20.212486811207668</v>
      </c>
      <c r="N46" s="84">
        <v>19.436178714807919</v>
      </c>
      <c r="O46" s="84">
        <v>18.916471488894448</v>
      </c>
      <c r="P46" s="84">
        <v>18.771372641066183</v>
      </c>
      <c r="Q46" s="84">
        <v>19.0254746634204</v>
      </c>
      <c r="R46" s="84">
        <v>23.364774389593332</v>
      </c>
      <c r="S46" s="84">
        <v>26.890429394483888</v>
      </c>
      <c r="T46" s="84">
        <v>29.043838306636658</v>
      </c>
      <c r="U46" s="84">
        <v>28.766605978592899</v>
      </c>
      <c r="V46" s="84">
        <v>28.249067247659735</v>
      </c>
      <c r="W46" s="84">
        <v>27.73152851672657</v>
      </c>
      <c r="DA46" s="171" t="s">
        <v>226</v>
      </c>
    </row>
    <row r="47" spans="1:105" ht="11.45" customHeight="1" x14ac:dyDescent="0.25">
      <c r="A47" s="83" t="s">
        <v>174</v>
      </c>
      <c r="B47" s="84">
        <v>1.8257993384785005</v>
      </c>
      <c r="C47" s="84">
        <v>2.3660418963616316</v>
      </c>
      <c r="D47" s="84">
        <v>2.8379272326350606</v>
      </c>
      <c r="E47" s="84">
        <v>3.6383682469680263</v>
      </c>
      <c r="F47" s="84">
        <v>3.4557883131201761</v>
      </c>
      <c r="G47" s="84">
        <v>3.3356009070294785</v>
      </c>
      <c r="H47" s="84">
        <v>3.5594965675057209</v>
      </c>
      <c r="I47" s="84">
        <v>4.4236509758897817</v>
      </c>
      <c r="J47" s="84">
        <v>5.7613636363636367</v>
      </c>
      <c r="K47" s="84">
        <v>5.5787837025157865</v>
      </c>
      <c r="L47" s="84">
        <v>6.6266349583828772</v>
      </c>
      <c r="M47" s="84">
        <v>7.0832383124287341</v>
      </c>
      <c r="N47" s="84">
        <v>7.0992990654205608</v>
      </c>
      <c r="O47" s="84">
        <v>7.705399061032864</v>
      </c>
      <c r="P47" s="84">
        <v>9.3341260404280622</v>
      </c>
      <c r="Q47" s="84">
        <v>9.3851590106007059</v>
      </c>
      <c r="R47" s="84">
        <v>11.061349693251534</v>
      </c>
      <c r="S47" s="84">
        <v>10.878769759403685</v>
      </c>
      <c r="T47" s="84">
        <v>11.397560975609757</v>
      </c>
      <c r="U47" s="84">
        <v>11.214981041761908</v>
      </c>
      <c r="V47" s="84">
        <v>11.093261085863341</v>
      </c>
      <c r="W47" s="84">
        <v>10.971541129964775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0.29819852252262619</v>
      </c>
      <c r="C48" s="13">
        <f t="shared" si="36"/>
        <v>0.28422622539979786</v>
      </c>
      <c r="D48" s="13">
        <f t="shared" ref="D48:V48" si="37">SUM(D49:D51)</f>
        <v>0.26891164639777493</v>
      </c>
      <c r="E48" s="13">
        <f t="shared" si="37"/>
        <v>0.25549336589544525</v>
      </c>
      <c r="F48" s="13">
        <f t="shared" si="37"/>
        <v>0.27273764674334994</v>
      </c>
      <c r="G48" s="13">
        <f t="shared" si="37"/>
        <v>0.33738613509574039</v>
      </c>
      <c r="H48" s="13">
        <f t="shared" si="37"/>
        <v>0.41544683794457848</v>
      </c>
      <c r="I48" s="13">
        <f t="shared" si="37"/>
        <v>0.45897081206409041</v>
      </c>
      <c r="J48" s="13">
        <f t="shared" si="37"/>
        <v>0.50703417634163173</v>
      </c>
      <c r="K48" s="13">
        <f t="shared" si="37"/>
        <v>0.52697988745642022</v>
      </c>
      <c r="L48" s="13">
        <f t="shared" si="37"/>
        <v>0.62307856857235544</v>
      </c>
      <c r="M48" s="13">
        <f t="shared" si="37"/>
        <v>0.5947225138707124</v>
      </c>
      <c r="N48" s="13">
        <f t="shared" si="37"/>
        <v>0.57647337278026378</v>
      </c>
      <c r="O48" s="13">
        <f t="shared" si="37"/>
        <v>0.59099965800799192</v>
      </c>
      <c r="P48" s="13">
        <f t="shared" si="37"/>
        <v>0.60307949433840347</v>
      </c>
      <c r="Q48" s="13">
        <f t="shared" si="37"/>
        <v>0.64811231272951164</v>
      </c>
      <c r="R48" s="13">
        <f t="shared" si="37"/>
        <v>0.6492080620271492</v>
      </c>
      <c r="S48" s="13">
        <f t="shared" si="37"/>
        <v>0.73201771846446806</v>
      </c>
      <c r="T48" s="13">
        <f t="shared" si="37"/>
        <v>0.75673000596330642</v>
      </c>
      <c r="U48" s="13">
        <f t="shared" si="37"/>
        <v>0.80514659308306458</v>
      </c>
      <c r="V48" s="13">
        <f t="shared" si="37"/>
        <v>0.80792183015656893</v>
      </c>
      <c r="W48" s="13">
        <f t="shared" ref="W48" si="38">SUM(W49:W51)</f>
        <v>0.82886215560028387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0.26195691178437114</v>
      </c>
      <c r="C50" s="102">
        <v>0.23590407774879113</v>
      </c>
      <c r="D50" s="102">
        <v>0.20985124371321118</v>
      </c>
      <c r="E50" s="102">
        <v>0.18435242629812981</v>
      </c>
      <c r="F50" s="102">
        <v>0.19622757962925597</v>
      </c>
      <c r="G50" s="102">
        <v>0.25096638200932064</v>
      </c>
      <c r="H50" s="102">
        <v>0.32252648396227757</v>
      </c>
      <c r="I50" s="102">
        <v>0.35818341048928726</v>
      </c>
      <c r="J50" s="102">
        <v>0.40987093584065409</v>
      </c>
      <c r="K50" s="102">
        <v>0.38412274459927742</v>
      </c>
      <c r="L50" s="102">
        <v>0.3579270534208403</v>
      </c>
      <c r="M50" s="102">
        <v>0.33319515979302278</v>
      </c>
      <c r="N50" s="102">
        <v>0.31857017977639962</v>
      </c>
      <c r="O50" s="102">
        <v>0.33672062607795328</v>
      </c>
      <c r="P50" s="102">
        <v>0.35242462348219039</v>
      </c>
      <c r="Q50" s="102">
        <v>0.34998397048352226</v>
      </c>
      <c r="R50" s="102">
        <v>0.33542507082480322</v>
      </c>
      <c r="S50" s="102">
        <v>0.38432541077216031</v>
      </c>
      <c r="T50" s="102">
        <v>0.41266185934482419</v>
      </c>
      <c r="U50" s="102">
        <v>0.46470260753840786</v>
      </c>
      <c r="V50" s="102">
        <v>0.4698939519944626</v>
      </c>
      <c r="W50" s="102">
        <v>0.49325038482072786</v>
      </c>
      <c r="DA50" s="175" t="s">
        <v>230</v>
      </c>
    </row>
    <row r="51" spans="1:105" ht="11.45" customHeight="1" x14ac:dyDescent="0.25">
      <c r="A51" s="85" t="s">
        <v>174</v>
      </c>
      <c r="B51" s="86">
        <v>3.6241610738255034E-2</v>
      </c>
      <c r="C51" s="86">
        <v>4.832214765100671E-2</v>
      </c>
      <c r="D51" s="86">
        <v>5.9060402684563758E-2</v>
      </c>
      <c r="E51" s="86">
        <v>7.1140939597315433E-2</v>
      </c>
      <c r="F51" s="86">
        <v>7.6510067114093958E-2</v>
      </c>
      <c r="G51" s="86">
        <v>8.6419753086419748E-2</v>
      </c>
      <c r="H51" s="86">
        <v>9.2920353982300891E-2</v>
      </c>
      <c r="I51" s="86">
        <v>0.10078740157480315</v>
      </c>
      <c r="J51" s="86">
        <v>9.7163240500977646E-2</v>
      </c>
      <c r="K51" s="86">
        <v>0.14285714285714285</v>
      </c>
      <c r="L51" s="86">
        <v>0.26515151515151514</v>
      </c>
      <c r="M51" s="86">
        <v>0.26152735407768962</v>
      </c>
      <c r="N51" s="86">
        <v>0.25790319300386411</v>
      </c>
      <c r="O51" s="86">
        <v>0.25427903193003859</v>
      </c>
      <c r="P51" s="86">
        <v>0.25065487085621307</v>
      </c>
      <c r="Q51" s="86">
        <v>0.29812834224598933</v>
      </c>
      <c r="R51" s="86">
        <v>0.31378299120234604</v>
      </c>
      <c r="S51" s="86">
        <v>0.34769230769230769</v>
      </c>
      <c r="T51" s="86">
        <v>0.34406814661848217</v>
      </c>
      <c r="U51" s="86">
        <v>0.34044398554465666</v>
      </c>
      <c r="V51" s="86">
        <v>0.33802787816210633</v>
      </c>
      <c r="W51" s="86">
        <v>0.33561177077955601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1.7128533175643783</v>
      </c>
      <c r="C53" s="54">
        <f t="shared" si="39"/>
        <v>4.1431874525208796</v>
      </c>
      <c r="D53" s="54">
        <f t="shared" ref="D53:V53" si="40">SUM(D54,D58)</f>
        <v>2.9037300497841732</v>
      </c>
      <c r="E53" s="54">
        <f t="shared" si="40"/>
        <v>4.6354182445961971</v>
      </c>
      <c r="F53" s="54">
        <f t="shared" si="40"/>
        <v>2.6718488361904651E-2</v>
      </c>
      <c r="G53" s="54">
        <f t="shared" si="40"/>
        <v>3.0761556903321301</v>
      </c>
      <c r="H53" s="54">
        <f t="shared" si="40"/>
        <v>3.750129104290759</v>
      </c>
      <c r="I53" s="54">
        <f t="shared" si="40"/>
        <v>2.5467917511550295</v>
      </c>
      <c r="J53" s="54">
        <f t="shared" si="40"/>
        <v>2.1474502526019581</v>
      </c>
      <c r="K53" s="54">
        <f t="shared" si="40"/>
        <v>4.7656902453368483E-2</v>
      </c>
      <c r="L53" s="54">
        <f t="shared" si="40"/>
        <v>1.250624429628463</v>
      </c>
      <c r="M53" s="54">
        <f t="shared" si="40"/>
        <v>1.2016348352077741</v>
      </c>
      <c r="N53" s="54">
        <f t="shared" si="40"/>
        <v>0.10465913691653966</v>
      </c>
      <c r="O53" s="54">
        <f t="shared" si="40"/>
        <v>0.89672900889173091</v>
      </c>
      <c r="P53" s="54">
        <f t="shared" si="40"/>
        <v>1.9284731582507355</v>
      </c>
      <c r="Q53" s="54">
        <f t="shared" si="40"/>
        <v>0.78091957845253512</v>
      </c>
      <c r="R53" s="54">
        <f t="shared" si="40"/>
        <v>6.4521929656065833</v>
      </c>
      <c r="S53" s="54">
        <f t="shared" si="40"/>
        <v>4.0809214991414064</v>
      </c>
      <c r="T53" s="54">
        <f t="shared" si="40"/>
        <v>3.2715132629918573</v>
      </c>
      <c r="U53" s="54">
        <f t="shared" si="40"/>
        <v>0.48910576120140498</v>
      </c>
      <c r="V53" s="54">
        <f t="shared" si="40"/>
        <v>1.7691910489721265E-2</v>
      </c>
      <c r="W53" s="54">
        <f t="shared" ref="W53" si="41">SUM(W54,W58)</f>
        <v>3.6818745330665703E-2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1.6522048783661054</v>
      </c>
      <c r="C54" s="11">
        <f t="shared" si="42"/>
        <v>4.1294485583051284</v>
      </c>
      <c r="D54" s="11">
        <f t="shared" ref="D54:V54" si="43">SUM(D55:D57)</f>
        <v>2.8913334374476163</v>
      </c>
      <c r="E54" s="11">
        <f t="shared" si="43"/>
        <v>4.6216793503804459</v>
      </c>
      <c r="F54" s="11">
        <f t="shared" si="43"/>
        <v>0</v>
      </c>
      <c r="G54" s="11">
        <f t="shared" si="43"/>
        <v>3.0020329944657398</v>
      </c>
      <c r="H54" s="11">
        <f t="shared" si="43"/>
        <v>3.6625941939279207</v>
      </c>
      <c r="I54" s="11">
        <f t="shared" si="43"/>
        <v>2.4937935695215177</v>
      </c>
      <c r="J54" s="11">
        <f t="shared" si="43"/>
        <v>2.0878040198967343</v>
      </c>
      <c r="K54" s="11">
        <f t="shared" si="43"/>
        <v>0</v>
      </c>
      <c r="L54" s="11">
        <f t="shared" si="43"/>
        <v>1.1267193190790907</v>
      </c>
      <c r="M54" s="11">
        <f t="shared" si="43"/>
        <v>1.2016348352077741</v>
      </c>
      <c r="N54" s="11">
        <f t="shared" si="43"/>
        <v>9.4928816203826649E-2</v>
      </c>
      <c r="O54" s="11">
        <f t="shared" si="43"/>
        <v>0.87061985523632002</v>
      </c>
      <c r="P54" s="11">
        <f t="shared" si="43"/>
        <v>1.9030653011383976</v>
      </c>
      <c r="Q54" s="11">
        <f t="shared" si="43"/>
        <v>0.72457216209832609</v>
      </c>
      <c r="R54" s="11">
        <f t="shared" si="43"/>
        <v>6.4349275783952269</v>
      </c>
      <c r="S54" s="11">
        <f t="shared" si="43"/>
        <v>3.9867972447409867</v>
      </c>
      <c r="T54" s="11">
        <f t="shared" si="43"/>
        <v>3.2334729547110928</v>
      </c>
      <c r="U54" s="11">
        <f t="shared" si="43"/>
        <v>0.42812669428173145</v>
      </c>
      <c r="V54" s="11">
        <f t="shared" si="43"/>
        <v>4.6370967746665048E-3</v>
      </c>
      <c r="W54" s="11">
        <f t="shared" ref="W54" si="44">SUM(W55:W57)</f>
        <v>4.6370967746665048E-3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0.87708333333380639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0.1279634445494322</v>
      </c>
      <c r="J55" s="84">
        <v>0.21945931791318563</v>
      </c>
      <c r="K55" s="84">
        <v>0</v>
      </c>
      <c r="L55" s="84">
        <v>0</v>
      </c>
      <c r="M55" s="84">
        <v>0.27855031704117628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0.12057313349096899</v>
      </c>
      <c r="T55" s="84">
        <v>7.0886582706527701E-2</v>
      </c>
      <c r="U55" s="84">
        <v>0</v>
      </c>
      <c r="V55" s="84">
        <v>4.6370967746665048E-3</v>
      </c>
      <c r="W55" s="84">
        <v>4.6370967746665048E-3</v>
      </c>
      <c r="DA55" s="171" t="s">
        <v>234</v>
      </c>
    </row>
    <row r="56" spans="1:105" ht="11.45" customHeight="1" x14ac:dyDescent="0.25">
      <c r="A56" s="83" t="s">
        <v>173</v>
      </c>
      <c r="B56" s="84">
        <v>1.3373941470173909</v>
      </c>
      <c r="C56" s="84">
        <v>2.6332546038761908</v>
      </c>
      <c r="D56" s="84">
        <v>2.3405800379621873</v>
      </c>
      <c r="E56" s="84">
        <v>3.7423702728354802</v>
      </c>
      <c r="F56" s="84">
        <v>0</v>
      </c>
      <c r="G56" s="84">
        <v>3.0020329944657398</v>
      </c>
      <c r="H56" s="84">
        <v>3.3598304702396784</v>
      </c>
      <c r="I56" s="84">
        <v>1.4228076533760246</v>
      </c>
      <c r="J56" s="84">
        <v>0.45176397829769366</v>
      </c>
      <c r="K56" s="84">
        <v>0</v>
      </c>
      <c r="L56" s="84">
        <v>0</v>
      </c>
      <c r="M56" s="84">
        <v>0.3876131009087409</v>
      </c>
      <c r="N56" s="84">
        <v>0</v>
      </c>
      <c r="O56" s="84">
        <v>0.18565179641201679</v>
      </c>
      <c r="P56" s="84">
        <v>0.19547025853120026</v>
      </c>
      <c r="Q56" s="84">
        <v>0.59467112871368322</v>
      </c>
      <c r="R56" s="84">
        <v>4.6798688325323994</v>
      </c>
      <c r="S56" s="84">
        <v>3.866224111250018</v>
      </c>
      <c r="T56" s="84">
        <v>2.564927092586494</v>
      </c>
      <c r="U56" s="84">
        <v>0.42812669428173145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0.31481073134871451</v>
      </c>
      <c r="C57" s="84">
        <v>0.61911062109513115</v>
      </c>
      <c r="D57" s="84">
        <v>0.55075339948542901</v>
      </c>
      <c r="E57" s="84">
        <v>0.87930907754496568</v>
      </c>
      <c r="F57" s="84">
        <v>0</v>
      </c>
      <c r="G57" s="84">
        <v>0</v>
      </c>
      <c r="H57" s="84">
        <v>0.30276372368824234</v>
      </c>
      <c r="I57" s="84">
        <v>0.9430224715960609</v>
      </c>
      <c r="J57" s="84">
        <v>1.416580723685855</v>
      </c>
      <c r="K57" s="84">
        <v>0</v>
      </c>
      <c r="L57" s="84">
        <v>1.1267193190790907</v>
      </c>
      <c r="M57" s="84">
        <v>0.53547141725785696</v>
      </c>
      <c r="N57" s="84">
        <v>9.4928816203826649E-2</v>
      </c>
      <c r="O57" s="84">
        <v>0.68496805882430323</v>
      </c>
      <c r="P57" s="84">
        <v>1.7075950426071973</v>
      </c>
      <c r="Q57" s="84">
        <v>0.12990103338464287</v>
      </c>
      <c r="R57" s="84">
        <v>1.7550587458628275</v>
      </c>
      <c r="S57" s="84">
        <v>0</v>
      </c>
      <c r="T57" s="84">
        <v>0.59765927941807107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6.0648439198272786E-2</v>
      </c>
      <c r="C58" s="13">
        <f t="shared" si="45"/>
        <v>1.3738894215751677E-2</v>
      </c>
      <c r="D58" s="13">
        <f t="shared" ref="D58:V58" si="46">SUM(D59:D61)</f>
        <v>1.2396612336557049E-2</v>
      </c>
      <c r="E58" s="13">
        <f t="shared" si="46"/>
        <v>1.373889421575167E-2</v>
      </c>
      <c r="F58" s="13">
        <f t="shared" si="46"/>
        <v>2.6718488361904651E-2</v>
      </c>
      <c r="G58" s="13">
        <f t="shared" si="46"/>
        <v>7.4122695866390476E-2</v>
      </c>
      <c r="H58" s="13">
        <f t="shared" si="46"/>
        <v>8.7534910362838086E-2</v>
      </c>
      <c r="I58" s="13">
        <f t="shared" si="46"/>
        <v>5.2998181633511922E-2</v>
      </c>
      <c r="J58" s="13">
        <f t="shared" si="46"/>
        <v>5.9646232705224046E-2</v>
      </c>
      <c r="K58" s="13">
        <f t="shared" si="46"/>
        <v>4.7656902453368483E-2</v>
      </c>
      <c r="L58" s="13">
        <f t="shared" si="46"/>
        <v>0.12390511054937231</v>
      </c>
      <c r="M58" s="13">
        <f t="shared" si="46"/>
        <v>0</v>
      </c>
      <c r="N58" s="13">
        <f t="shared" si="46"/>
        <v>9.7303207127130142E-3</v>
      </c>
      <c r="O58" s="13">
        <f t="shared" si="46"/>
        <v>2.6109153655410902E-2</v>
      </c>
      <c r="P58" s="13">
        <f t="shared" si="46"/>
        <v>2.5407857112338006E-2</v>
      </c>
      <c r="Q58" s="13">
        <f t="shared" si="46"/>
        <v>5.634741635420909E-2</v>
      </c>
      <c r="R58" s="13">
        <f t="shared" si="46"/>
        <v>1.7265387211356731E-2</v>
      </c>
      <c r="S58" s="13">
        <f t="shared" si="46"/>
        <v>9.4124254400419771E-2</v>
      </c>
      <c r="T58" s="13">
        <f t="shared" si="46"/>
        <v>3.8040308280764767E-2</v>
      </c>
      <c r="U58" s="13">
        <f t="shared" si="46"/>
        <v>6.097906691967353E-2</v>
      </c>
      <c r="V58" s="13">
        <f t="shared" si="46"/>
        <v>1.305481371505476E-2</v>
      </c>
      <c r="W58" s="13">
        <f t="shared" ref="W58" si="47">SUM(W59:W61)</f>
        <v>3.2181648555999198E-2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5.5010855305688895E-2</v>
      </c>
      <c r="C60" s="102">
        <v>4.7619048000000072E-5</v>
      </c>
      <c r="D60" s="102">
        <v>4.7619048000000072E-5</v>
      </c>
      <c r="E60" s="102">
        <v>4.7619048000000072E-5</v>
      </c>
      <c r="F60" s="102">
        <v>1.9738622590126133E-2</v>
      </c>
      <c r="G60" s="102">
        <v>6.2602271639064691E-2</v>
      </c>
      <c r="H60" s="102">
        <v>7.942357121195695E-2</v>
      </c>
      <c r="I60" s="102">
        <v>4.352039578600967E-2</v>
      </c>
      <c r="J60" s="102">
        <v>5.9646232705224046E-2</v>
      </c>
      <c r="K60" s="102">
        <v>3.5226184220328626E-4</v>
      </c>
      <c r="L60" s="102">
        <v>0</v>
      </c>
      <c r="M60" s="102">
        <v>0</v>
      </c>
      <c r="N60" s="102">
        <v>9.7303207127130142E-3</v>
      </c>
      <c r="O60" s="102">
        <v>2.6109153655410902E-2</v>
      </c>
      <c r="P60" s="102">
        <v>2.5407857112338006E-2</v>
      </c>
      <c r="Q60" s="102">
        <v>7.2632067094328123E-3</v>
      </c>
      <c r="R60" s="102">
        <v>0</v>
      </c>
      <c r="S60" s="102">
        <v>5.86041996554581E-2</v>
      </c>
      <c r="T60" s="102">
        <v>3.8040308280764767E-2</v>
      </c>
      <c r="U60" s="102">
        <v>6.097906691967353E-2</v>
      </c>
      <c r="V60" s="102">
        <v>1.305481371505476E-2</v>
      </c>
      <c r="W60" s="102">
        <v>3.2181648555999198E-2</v>
      </c>
      <c r="DA60" s="175" t="s">
        <v>239</v>
      </c>
    </row>
    <row r="61" spans="1:105" ht="11.45" customHeight="1" x14ac:dyDescent="0.25">
      <c r="A61" s="85" t="s">
        <v>174</v>
      </c>
      <c r="B61" s="86">
        <v>5.6375838925838903E-3</v>
      </c>
      <c r="C61" s="86">
        <v>1.3691275167751676E-2</v>
      </c>
      <c r="D61" s="86">
        <v>1.2348993288557049E-2</v>
      </c>
      <c r="E61" s="86">
        <v>1.3691275167751669E-2</v>
      </c>
      <c r="F61" s="86">
        <v>6.9798657717785179E-3</v>
      </c>
      <c r="G61" s="86">
        <v>1.1520424227325785E-2</v>
      </c>
      <c r="H61" s="86">
        <v>8.1113391508811361E-3</v>
      </c>
      <c r="I61" s="86">
        <v>9.4777858475022514E-3</v>
      </c>
      <c r="J61" s="86">
        <v>0</v>
      </c>
      <c r="K61" s="86">
        <v>4.7304640611165197E-2</v>
      </c>
      <c r="L61" s="86">
        <v>0.12390511054937231</v>
      </c>
      <c r="M61" s="86">
        <v>0</v>
      </c>
      <c r="N61" s="86">
        <v>0</v>
      </c>
      <c r="O61" s="86">
        <v>0</v>
      </c>
      <c r="P61" s="86">
        <v>0</v>
      </c>
      <c r="Q61" s="86">
        <v>4.9084209644776278E-2</v>
      </c>
      <c r="R61" s="86">
        <v>1.7265387211356731E-2</v>
      </c>
      <c r="S61" s="86">
        <v>3.5520054744961671E-2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89.646246196858812</v>
      </c>
      <c r="C66" s="14">
        <f t="shared" si="48"/>
        <v>84.275106899341267</v>
      </c>
      <c r="D66" s="14">
        <f t="shared" ref="D66:V66" si="49">IF(D34=0,0,D34/D24)</f>
        <v>92.120121258052293</v>
      </c>
      <c r="E66" s="14">
        <f t="shared" si="49"/>
        <v>95.548428114175479</v>
      </c>
      <c r="F66" s="14">
        <f t="shared" si="49"/>
        <v>97.424339622641511</v>
      </c>
      <c r="G66" s="14">
        <f t="shared" si="49"/>
        <v>98.62394880420068</v>
      </c>
      <c r="H66" s="14">
        <f t="shared" si="49"/>
        <v>99.68606415640329</v>
      </c>
      <c r="I66" s="14">
        <f t="shared" si="49"/>
        <v>99.920229656477531</v>
      </c>
      <c r="J66" s="14">
        <f t="shared" si="49"/>
        <v>101.03599345573532</v>
      </c>
      <c r="K66" s="14">
        <f t="shared" si="49"/>
        <v>100.8716770268483</v>
      </c>
      <c r="L66" s="14">
        <f t="shared" si="49"/>
        <v>103.5897370026653</v>
      </c>
      <c r="M66" s="14">
        <f t="shared" si="49"/>
        <v>106.21933210784314</v>
      </c>
      <c r="N66" s="14">
        <f t="shared" si="49"/>
        <v>115.90397545531692</v>
      </c>
      <c r="O66" s="14">
        <f t="shared" si="49"/>
        <v>123.05161831292973</v>
      </c>
      <c r="P66" s="14">
        <f t="shared" si="49"/>
        <v>122.98883653268398</v>
      </c>
      <c r="Q66" s="14">
        <f t="shared" si="49"/>
        <v>124.22795455971882</v>
      </c>
      <c r="R66" s="14">
        <f t="shared" si="49"/>
        <v>127.36292739860474</v>
      </c>
      <c r="S66" s="14">
        <f t="shared" si="49"/>
        <v>138.72419444243607</v>
      </c>
      <c r="T66" s="14">
        <f t="shared" si="49"/>
        <v>139.91534898222795</v>
      </c>
      <c r="U66" s="14">
        <f t="shared" si="49"/>
        <v>143.17643155100492</v>
      </c>
      <c r="V66" s="14">
        <f t="shared" si="49"/>
        <v>111.23972328626151</v>
      </c>
      <c r="W66" s="14">
        <f t="shared" ref="W66" si="50">IF(W34=0,0,W34/W24)</f>
        <v>118.64578577699737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24.052785923753667</v>
      </c>
      <c r="C67" s="87">
        <f t="shared" si="48"/>
        <v>25.260452729693743</v>
      </c>
      <c r="D67" s="87">
        <f t="shared" ref="D67:V67" si="51">IF(D35=0,0,D35/D25)</f>
        <v>26.330031517334533</v>
      </c>
      <c r="E67" s="87">
        <f t="shared" si="51"/>
        <v>27.47381799694967</v>
      </c>
      <c r="F67" s="87">
        <f t="shared" si="51"/>
        <v>28.735552763819097</v>
      </c>
      <c r="G67" s="87">
        <f t="shared" si="51"/>
        <v>30.001091107474085</v>
      </c>
      <c r="H67" s="87">
        <f t="shared" si="51"/>
        <v>31.23541842772612</v>
      </c>
      <c r="I67" s="87">
        <f t="shared" si="51"/>
        <v>32.526460481099654</v>
      </c>
      <c r="J67" s="87">
        <f t="shared" si="51"/>
        <v>44.851840675920336</v>
      </c>
      <c r="K67" s="87">
        <f t="shared" si="51"/>
        <v>59.7360157016683</v>
      </c>
      <c r="L67" s="87">
        <f t="shared" si="51"/>
        <v>67.280957336108216</v>
      </c>
      <c r="M67" s="87">
        <f t="shared" si="51"/>
        <v>60.343090346186322</v>
      </c>
      <c r="N67" s="87">
        <f t="shared" si="51"/>
        <v>64.315694527961512</v>
      </c>
      <c r="O67" s="87">
        <f t="shared" si="51"/>
        <v>70.537356321839084</v>
      </c>
      <c r="P67" s="87">
        <f t="shared" si="51"/>
        <v>71.052316293929707</v>
      </c>
      <c r="Q67" s="87">
        <f t="shared" si="51"/>
        <v>69.967741935483872</v>
      </c>
      <c r="R67" s="87">
        <f t="shared" si="51"/>
        <v>73.109310058187859</v>
      </c>
      <c r="S67" s="87">
        <f t="shared" si="51"/>
        <v>101.59108324625566</v>
      </c>
      <c r="T67" s="87">
        <f t="shared" si="51"/>
        <v>110.72325102880659</v>
      </c>
      <c r="U67" s="87">
        <f t="shared" si="51"/>
        <v>110.97009966777409</v>
      </c>
      <c r="V67" s="87">
        <f t="shared" si="51"/>
        <v>77.273755656108591</v>
      </c>
      <c r="W67" s="87">
        <f t="shared" ref="W67" si="52">IF(W35=0,0,W35/W25)</f>
        <v>97.763431151241534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98.684090909090912</v>
      </c>
      <c r="C68" s="87">
        <f t="shared" si="48"/>
        <v>98.976764576939942</v>
      </c>
      <c r="D68" s="87">
        <f t="shared" ref="D68:V68" si="53">IF(D36=0,0,D36/D26)</f>
        <v>99.487644392455039</v>
      </c>
      <c r="E68" s="87">
        <f t="shared" si="53"/>
        <v>100.33865450399088</v>
      </c>
      <c r="F68" s="87">
        <f t="shared" si="53"/>
        <v>101.3182451675453</v>
      </c>
      <c r="G68" s="87">
        <f t="shared" si="53"/>
        <v>102.91097847158453</v>
      </c>
      <c r="H68" s="87">
        <f t="shared" si="53"/>
        <v>104.91876640419947</v>
      </c>
      <c r="I68" s="87">
        <f t="shared" si="53"/>
        <v>105.7589907430163</v>
      </c>
      <c r="J68" s="87">
        <f t="shared" si="53"/>
        <v>106.83019251076273</v>
      </c>
      <c r="K68" s="87">
        <f t="shared" si="53"/>
        <v>104.11098281298574</v>
      </c>
      <c r="L68" s="87">
        <f t="shared" si="53"/>
        <v>105.51236499889795</v>
      </c>
      <c r="M68" s="87">
        <f t="shared" si="53"/>
        <v>110.5231475409836</v>
      </c>
      <c r="N68" s="87">
        <f t="shared" si="53"/>
        <v>119.68128090416765</v>
      </c>
      <c r="O68" s="87">
        <f t="shared" si="53"/>
        <v>124.45279976546468</v>
      </c>
      <c r="P68" s="87">
        <f t="shared" si="53"/>
        <v>125.89495462453567</v>
      </c>
      <c r="Q68" s="87">
        <f t="shared" si="53"/>
        <v>130.85325427210756</v>
      </c>
      <c r="R68" s="87">
        <f t="shared" si="53"/>
        <v>133.16116142781033</v>
      </c>
      <c r="S68" s="87">
        <f t="shared" si="53"/>
        <v>145.0297342192691</v>
      </c>
      <c r="T68" s="87">
        <f t="shared" si="53"/>
        <v>147.22533700980392</v>
      </c>
      <c r="U68" s="87">
        <f t="shared" si="53"/>
        <v>150.95836884547302</v>
      </c>
      <c r="V68" s="87">
        <f t="shared" si="53"/>
        <v>117.6546164040642</v>
      </c>
      <c r="W68" s="87">
        <f t="shared" ref="W68" si="54">IF(W36=0,0,W36/W26)</f>
        <v>123.77957306286119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109.15338164251207</v>
      </c>
      <c r="C69" s="87">
        <f t="shared" si="48"/>
        <v>109.4044734389562</v>
      </c>
      <c r="D69" s="87">
        <f t="shared" ref="D69:V69" si="55">IF(D37=0,0,D37/D27)</f>
        <v>109.73737373737374</v>
      </c>
      <c r="E69" s="87">
        <f t="shared" si="55"/>
        <v>110.66424242424243</v>
      </c>
      <c r="F69" s="87">
        <f t="shared" si="55"/>
        <v>111.94653784219001</v>
      </c>
      <c r="G69" s="87">
        <f t="shared" si="55"/>
        <v>112.81543167912984</v>
      </c>
      <c r="H69" s="87">
        <f t="shared" si="55"/>
        <v>113.29411764705883</v>
      </c>
      <c r="I69" s="87">
        <f t="shared" si="55"/>
        <v>113.82325460679989</v>
      </c>
      <c r="J69" s="87">
        <f t="shared" si="55"/>
        <v>109.62169625246548</v>
      </c>
      <c r="K69" s="87">
        <f t="shared" si="55"/>
        <v>112.18051391862954</v>
      </c>
      <c r="L69" s="87">
        <f t="shared" si="55"/>
        <v>114.54674322626951</v>
      </c>
      <c r="M69" s="87">
        <f t="shared" si="55"/>
        <v>116.61027044430135</v>
      </c>
      <c r="N69" s="87">
        <f t="shared" si="55"/>
        <v>130.93960835938785</v>
      </c>
      <c r="O69" s="87">
        <f t="shared" si="55"/>
        <v>140.95308453922314</v>
      </c>
      <c r="P69" s="87">
        <f t="shared" si="55"/>
        <v>131.68242038216562</v>
      </c>
      <c r="Q69" s="87">
        <f t="shared" si="55"/>
        <v>123.30735441767068</v>
      </c>
      <c r="R69" s="87">
        <f t="shared" si="55"/>
        <v>124.94120909595119</v>
      </c>
      <c r="S69" s="87">
        <f t="shared" si="55"/>
        <v>128.96268481577096</v>
      </c>
      <c r="T69" s="87">
        <f t="shared" si="55"/>
        <v>123.4940081318211</v>
      </c>
      <c r="U69" s="87">
        <f t="shared" si="55"/>
        <v>126.45048457168319</v>
      </c>
      <c r="V69" s="87">
        <f t="shared" si="55"/>
        <v>98.593647828117696</v>
      </c>
      <c r="W69" s="87">
        <f t="shared" ref="W69" si="56">IF(W37=0,0,W37/W27)</f>
        <v>107.33324092043249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19.118051414798366</v>
      </c>
      <c r="C70" s="15">
        <f t="shared" si="48"/>
        <v>22.515836274081192</v>
      </c>
      <c r="D70" s="15">
        <f t="shared" ref="D70:V70" si="57">IF(D38=0,0,D38/D28)</f>
        <v>22.948989923563527</v>
      </c>
      <c r="E70" s="15">
        <f t="shared" si="57"/>
        <v>23.649424943998074</v>
      </c>
      <c r="F70" s="15">
        <f t="shared" si="57"/>
        <v>22.644045850077571</v>
      </c>
      <c r="G70" s="15">
        <f t="shared" si="57"/>
        <v>20.498466238578974</v>
      </c>
      <c r="H70" s="15">
        <f t="shared" si="57"/>
        <v>18.662057036684725</v>
      </c>
      <c r="I70" s="15">
        <f t="shared" si="57"/>
        <v>18.109765634288664</v>
      </c>
      <c r="J70" s="15">
        <f t="shared" si="57"/>
        <v>16.985696447727946</v>
      </c>
      <c r="K70" s="15">
        <f t="shared" si="57"/>
        <v>20.083977330478206</v>
      </c>
      <c r="L70" s="15">
        <f t="shared" si="57"/>
        <v>25.070316145303117</v>
      </c>
      <c r="M70" s="15">
        <f t="shared" si="57"/>
        <v>27.070824791244881</v>
      </c>
      <c r="N70" s="15">
        <f t="shared" si="57"/>
        <v>23.318874873969495</v>
      </c>
      <c r="O70" s="15">
        <f t="shared" si="57"/>
        <v>23.165320671005077</v>
      </c>
      <c r="P70" s="15">
        <f t="shared" si="57"/>
        <v>27.845768711330482</v>
      </c>
      <c r="Q70" s="15">
        <f t="shared" si="57"/>
        <v>36.076043263664154</v>
      </c>
      <c r="R70" s="15">
        <f t="shared" si="57"/>
        <v>40.470471498000343</v>
      </c>
      <c r="S70" s="15">
        <f t="shared" si="57"/>
        <v>38.532423157563805</v>
      </c>
      <c r="T70" s="15">
        <f t="shared" si="57"/>
        <v>32.490035087472613</v>
      </c>
      <c r="U70" s="15">
        <f t="shared" si="57"/>
        <v>29.777301066017738</v>
      </c>
      <c r="V70" s="15">
        <f t="shared" si="57"/>
        <v>25.060053765383678</v>
      </c>
      <c r="W70" s="15">
        <f t="shared" ref="W70" si="58">IF(W38=0,0,W38/W28)</f>
        <v>24.360469998310325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16.076075457403377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1343.8464923993351</v>
      </c>
      <c r="C75" s="62">
        <f t="shared" si="65"/>
        <v>1255.7051163600477</v>
      </c>
      <c r="D75" s="62">
        <f t="shared" ref="D75:V75" si="66">IF(D13=0,0,D13*1000000/D23)</f>
        <v>1374.5357790233786</v>
      </c>
      <c r="E75" s="62">
        <f t="shared" si="66"/>
        <v>1417.2316319260051</v>
      </c>
      <c r="F75" s="62">
        <f t="shared" si="66"/>
        <v>1430.3265197096396</v>
      </c>
      <c r="G75" s="62">
        <f t="shared" si="66"/>
        <v>1448.2853444376481</v>
      </c>
      <c r="H75" s="62">
        <f t="shared" si="66"/>
        <v>1459.9829406393619</v>
      </c>
      <c r="I75" s="62">
        <f t="shared" si="66"/>
        <v>1422.179127662283</v>
      </c>
      <c r="J75" s="62">
        <f t="shared" si="66"/>
        <v>1386.3614277082722</v>
      </c>
      <c r="K75" s="62">
        <f t="shared" si="66"/>
        <v>1378.2063695927914</v>
      </c>
      <c r="L75" s="62">
        <f t="shared" si="66"/>
        <v>1422.0196961703498</v>
      </c>
      <c r="M75" s="62">
        <f t="shared" si="66"/>
        <v>1367.5096588645888</v>
      </c>
      <c r="N75" s="62">
        <f t="shared" si="66"/>
        <v>1381.8217484183019</v>
      </c>
      <c r="O75" s="62">
        <f t="shared" si="66"/>
        <v>1416.7796318371161</v>
      </c>
      <c r="P75" s="62">
        <f t="shared" si="66"/>
        <v>1443.4577408756682</v>
      </c>
      <c r="Q75" s="62">
        <f t="shared" si="66"/>
        <v>1451.6197255972854</v>
      </c>
      <c r="R75" s="62">
        <f t="shared" si="66"/>
        <v>1505.6830242591616</v>
      </c>
      <c r="S75" s="62">
        <f t="shared" si="66"/>
        <v>1505.6015927595024</v>
      </c>
      <c r="T75" s="62">
        <f t="shared" si="66"/>
        <v>1505.7339780291986</v>
      </c>
      <c r="U75" s="62">
        <f t="shared" si="66"/>
        <v>1515.4847223454501</v>
      </c>
      <c r="V75" s="62">
        <f t="shared" si="66"/>
        <v>1521.2053340487171</v>
      </c>
      <c r="W75" s="62">
        <f t="shared" ref="W75" si="67">IF(W13=0,0,W13*1000000/W23)</f>
        <v>1501.3645521710005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1354.3372155768197</v>
      </c>
      <c r="C76" s="14">
        <f t="shared" si="65"/>
        <v>1258.7672456887897</v>
      </c>
      <c r="D76" s="14">
        <f t="shared" ref="D76:V76" si="68">IF(D14=0,0,D14*1000000/D24)</f>
        <v>1379.172518387641</v>
      </c>
      <c r="E76" s="14">
        <f t="shared" si="68"/>
        <v>1421.4803056430203</v>
      </c>
      <c r="F76" s="14">
        <f t="shared" si="68"/>
        <v>1435.373136240763</v>
      </c>
      <c r="G76" s="14">
        <f t="shared" si="68"/>
        <v>1454.1801349625384</v>
      </c>
      <c r="H76" s="14">
        <f t="shared" si="68"/>
        <v>1465.8637674326585</v>
      </c>
      <c r="I76" s="14">
        <f t="shared" si="68"/>
        <v>1427.338128198897</v>
      </c>
      <c r="J76" s="14">
        <f t="shared" si="68"/>
        <v>1391.411311397143</v>
      </c>
      <c r="K76" s="14">
        <f t="shared" si="68"/>
        <v>1380.5526155002995</v>
      </c>
      <c r="L76" s="14">
        <f t="shared" si="68"/>
        <v>1420.5999355091153</v>
      </c>
      <c r="M76" s="14">
        <f t="shared" si="68"/>
        <v>1369.7787785703513</v>
      </c>
      <c r="N76" s="14">
        <f t="shared" si="68"/>
        <v>1387.5883567464839</v>
      </c>
      <c r="O76" s="14">
        <f t="shared" si="68"/>
        <v>1422.9847402761188</v>
      </c>
      <c r="P76" s="14">
        <f t="shared" si="68"/>
        <v>1449.4153524705177</v>
      </c>
      <c r="Q76" s="14">
        <f t="shared" si="68"/>
        <v>1455.824556812775</v>
      </c>
      <c r="R76" s="14">
        <f t="shared" si="68"/>
        <v>1507.8404404045207</v>
      </c>
      <c r="S76" s="14">
        <f t="shared" si="68"/>
        <v>1506.937362651923</v>
      </c>
      <c r="T76" s="14">
        <f t="shared" si="68"/>
        <v>1507.4728100834723</v>
      </c>
      <c r="U76" s="14">
        <f t="shared" si="68"/>
        <v>1520.5553982986708</v>
      </c>
      <c r="V76" s="14">
        <f t="shared" si="68"/>
        <v>1529.6367541481627</v>
      </c>
      <c r="W76" s="14">
        <f t="shared" ref="W76" si="69">IF(W14=0,0,W14*1000000/W24)</f>
        <v>1509.1170064937323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284.36424263247898</v>
      </c>
      <c r="C77" s="39">
        <f t="shared" si="65"/>
        <v>284.36424263247898</v>
      </c>
      <c r="D77" s="39">
        <f t="shared" ref="D77:V77" si="70">IF(D15=0,0,D15*1000000/D25)</f>
        <v>284.36424263247898</v>
      </c>
      <c r="E77" s="39">
        <f t="shared" si="70"/>
        <v>284.36424263247898</v>
      </c>
      <c r="F77" s="39">
        <f t="shared" si="70"/>
        <v>284.36424263247898</v>
      </c>
      <c r="G77" s="39">
        <f t="shared" si="70"/>
        <v>269.52935372471637</v>
      </c>
      <c r="H77" s="39">
        <f t="shared" si="70"/>
        <v>307.23401890590407</v>
      </c>
      <c r="I77" s="39">
        <f t="shared" si="70"/>
        <v>359.80758212380198</v>
      </c>
      <c r="J77" s="39">
        <f t="shared" si="70"/>
        <v>356.1749181487092</v>
      </c>
      <c r="K77" s="39">
        <f t="shared" si="70"/>
        <v>341.6710216293713</v>
      </c>
      <c r="L77" s="39">
        <f t="shared" si="70"/>
        <v>336.81243697478988</v>
      </c>
      <c r="M77" s="39">
        <f t="shared" si="70"/>
        <v>346.28480213637221</v>
      </c>
      <c r="N77" s="39">
        <f t="shared" si="70"/>
        <v>356.90616701091767</v>
      </c>
      <c r="O77" s="39">
        <f t="shared" si="70"/>
        <v>323.22375101677306</v>
      </c>
      <c r="P77" s="39">
        <f t="shared" si="70"/>
        <v>323.58302571047039</v>
      </c>
      <c r="Q77" s="39">
        <f t="shared" si="70"/>
        <v>338.52516975746158</v>
      </c>
      <c r="R77" s="39">
        <f t="shared" si="70"/>
        <v>330.2251582931089</v>
      </c>
      <c r="S77" s="39">
        <f t="shared" si="70"/>
        <v>362.2153057033787</v>
      </c>
      <c r="T77" s="39">
        <f t="shared" si="70"/>
        <v>363.69312169312173</v>
      </c>
      <c r="U77" s="39">
        <f t="shared" si="70"/>
        <v>361.77980132450335</v>
      </c>
      <c r="V77" s="39">
        <f t="shared" si="70"/>
        <v>370.95327010048777</v>
      </c>
      <c r="W77" s="39">
        <f t="shared" ref="W77" si="71">IF(W15=0,0,W15*1000000/W25)</f>
        <v>366.58237501795651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1544.8855788687126</v>
      </c>
      <c r="C78" s="39">
        <f t="shared" si="65"/>
        <v>1544.8412386687994</v>
      </c>
      <c r="D78" s="39">
        <f t="shared" ref="D78:V78" si="72">IF(D16=0,0,D16*1000000/D26)</f>
        <v>1544.859215334915</v>
      </c>
      <c r="E78" s="39">
        <f t="shared" si="72"/>
        <v>1544.8777704576923</v>
      </c>
      <c r="F78" s="39">
        <f t="shared" si="72"/>
        <v>1544.8987278738432</v>
      </c>
      <c r="G78" s="39">
        <f t="shared" si="72"/>
        <v>1556.4824088537148</v>
      </c>
      <c r="H78" s="39">
        <f t="shared" si="72"/>
        <v>1576.6166141597262</v>
      </c>
      <c r="I78" s="39">
        <f t="shared" si="72"/>
        <v>1536.3649427140065</v>
      </c>
      <c r="J78" s="39">
        <f t="shared" si="72"/>
        <v>1504.9539320664021</v>
      </c>
      <c r="K78" s="39">
        <f t="shared" si="72"/>
        <v>1486.7632132304161</v>
      </c>
      <c r="L78" s="39">
        <f t="shared" si="72"/>
        <v>1506.5626375100419</v>
      </c>
      <c r="M78" s="39">
        <f t="shared" si="72"/>
        <v>1486.6889257790951</v>
      </c>
      <c r="N78" s="39">
        <f t="shared" si="72"/>
        <v>1492.4533684378478</v>
      </c>
      <c r="O78" s="39">
        <f t="shared" si="72"/>
        <v>1516.6486639002514</v>
      </c>
      <c r="P78" s="39">
        <f t="shared" si="72"/>
        <v>1515.2638327116374</v>
      </c>
      <c r="Q78" s="39">
        <f t="shared" si="72"/>
        <v>1529.5446248483415</v>
      </c>
      <c r="R78" s="39">
        <f t="shared" si="72"/>
        <v>1544.8252144649384</v>
      </c>
      <c r="S78" s="39">
        <f t="shared" si="72"/>
        <v>1563.3838603205554</v>
      </c>
      <c r="T78" s="39">
        <f t="shared" si="72"/>
        <v>1555.5083814026389</v>
      </c>
      <c r="U78" s="39">
        <f t="shared" si="72"/>
        <v>1574.8624813844638</v>
      </c>
      <c r="V78" s="39">
        <f t="shared" si="72"/>
        <v>1587.7535606685553</v>
      </c>
      <c r="W78" s="39">
        <f t="shared" ref="W78" si="73">IF(W16=0,0,W16*1000000/W26)</f>
        <v>1511.4452146763153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1443.3941732467747</v>
      </c>
      <c r="C79" s="39">
        <f t="shared" si="65"/>
        <v>1443.3941732467745</v>
      </c>
      <c r="D79" s="39">
        <f t="shared" ref="D79:V79" si="74">IF(D17=0,0,D17*1000000/D27)</f>
        <v>1443.3941732467745</v>
      </c>
      <c r="E79" s="39">
        <f t="shared" si="74"/>
        <v>1443.3941732467745</v>
      </c>
      <c r="F79" s="39">
        <f t="shared" si="74"/>
        <v>1443.3941732467745</v>
      </c>
      <c r="G79" s="39">
        <f t="shared" si="74"/>
        <v>1510.6504643962849</v>
      </c>
      <c r="H79" s="39">
        <f t="shared" si="74"/>
        <v>1533.2080004231875</v>
      </c>
      <c r="I79" s="39">
        <f t="shared" si="74"/>
        <v>1542.7633136405393</v>
      </c>
      <c r="J79" s="39">
        <f t="shared" si="74"/>
        <v>1516.6829092485839</v>
      </c>
      <c r="K79" s="39">
        <f t="shared" si="74"/>
        <v>1548.5005819616265</v>
      </c>
      <c r="L79" s="39">
        <f t="shared" si="74"/>
        <v>1631.3473719676551</v>
      </c>
      <c r="M79" s="39">
        <f t="shared" si="74"/>
        <v>1524.6652049821218</v>
      </c>
      <c r="N79" s="39">
        <f t="shared" si="74"/>
        <v>1585.2583320294164</v>
      </c>
      <c r="O79" s="39">
        <f t="shared" si="74"/>
        <v>1597.365354625932</v>
      </c>
      <c r="P79" s="39">
        <f t="shared" si="74"/>
        <v>1630.1394947532281</v>
      </c>
      <c r="Q79" s="39">
        <f t="shared" si="74"/>
        <v>1605.4186911892075</v>
      </c>
      <c r="R79" s="39">
        <f t="shared" si="74"/>
        <v>1714.3247971433325</v>
      </c>
      <c r="S79" s="39">
        <f t="shared" si="74"/>
        <v>1693.2149319635218</v>
      </c>
      <c r="T79" s="39">
        <f t="shared" si="74"/>
        <v>1696.5783657745337</v>
      </c>
      <c r="U79" s="39">
        <f t="shared" si="74"/>
        <v>1685.6919935518538</v>
      </c>
      <c r="V79" s="39">
        <f t="shared" si="74"/>
        <v>2117.7777787330842</v>
      </c>
      <c r="W79" s="39">
        <f t="shared" ref="W79" si="75">IF(W17=0,0,W17*1000000/W27)</f>
        <v>2199.7830598229807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945.16622814498385</v>
      </c>
      <c r="C80" s="15">
        <f t="shared" si="65"/>
        <v>1010.3661804192824</v>
      </c>
      <c r="D80" s="15">
        <f t="shared" ref="D80:V80" si="76">IF(D18=0,0,D18*1000000/D28)</f>
        <v>1020.5916208579988</v>
      </c>
      <c r="E80" s="15">
        <f t="shared" si="76"/>
        <v>1041.6521688873866</v>
      </c>
      <c r="F80" s="15">
        <f t="shared" si="76"/>
        <v>1042.687858623337</v>
      </c>
      <c r="G80" s="15">
        <f t="shared" si="76"/>
        <v>1030.5606100619293</v>
      </c>
      <c r="H80" s="15">
        <f t="shared" si="76"/>
        <v>1063.2091576830639</v>
      </c>
      <c r="I80" s="15">
        <f t="shared" si="76"/>
        <v>1074.0359247834499</v>
      </c>
      <c r="J80" s="15">
        <f t="shared" si="76"/>
        <v>1057.6110114659321</v>
      </c>
      <c r="K80" s="15">
        <f t="shared" si="76"/>
        <v>1222.2506306330718</v>
      </c>
      <c r="L80" s="15">
        <f t="shared" si="76"/>
        <v>1510.2687316024931</v>
      </c>
      <c r="M80" s="15">
        <f t="shared" si="76"/>
        <v>1211.5853068728129</v>
      </c>
      <c r="N80" s="15">
        <f t="shared" si="76"/>
        <v>947.72507530077621</v>
      </c>
      <c r="O80" s="15">
        <f t="shared" si="76"/>
        <v>989.51564082355355</v>
      </c>
      <c r="P80" s="15">
        <f t="shared" si="76"/>
        <v>1040.0623741931404</v>
      </c>
      <c r="Q80" s="15">
        <f t="shared" si="76"/>
        <v>1226.4245129707526</v>
      </c>
      <c r="R80" s="15">
        <f t="shared" si="76"/>
        <v>1361.4765858480127</v>
      </c>
      <c r="S80" s="15">
        <f t="shared" si="76"/>
        <v>1417.0630941233887</v>
      </c>
      <c r="T80" s="15">
        <f t="shared" si="76"/>
        <v>1368.7567203081569</v>
      </c>
      <c r="U80" s="15">
        <f t="shared" si="76"/>
        <v>1147.8868532418524</v>
      </c>
      <c r="V80" s="15">
        <f t="shared" si="76"/>
        <v>1281.7995402834599</v>
      </c>
      <c r="W80" s="15">
        <f t="shared" ref="W80" si="77">IF(W18=0,0,W18*1000000/W28)</f>
        <v>1209.4622224654872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880.85034710710943</v>
      </c>
      <c r="C82" s="41">
        <f t="shared" si="65"/>
        <v>883.81688832527391</v>
      </c>
      <c r="D82" s="41">
        <f t="shared" ref="D82:V82" si="80">IF(D20=0,0,D20*1000000/D30)</f>
        <v>882.25361640659298</v>
      </c>
      <c r="E82" s="41">
        <f t="shared" si="80"/>
        <v>886.15263222347085</v>
      </c>
      <c r="F82" s="41">
        <f t="shared" si="80"/>
        <v>886.41291529383318</v>
      </c>
      <c r="G82" s="41">
        <f t="shared" si="80"/>
        <v>878.14806812404674</v>
      </c>
      <c r="H82" s="41">
        <f t="shared" si="80"/>
        <v>907.37376602711527</v>
      </c>
      <c r="I82" s="41">
        <f t="shared" si="80"/>
        <v>897.93209772789839</v>
      </c>
      <c r="J82" s="41">
        <f t="shared" si="80"/>
        <v>902.78239117646456</v>
      </c>
      <c r="K82" s="41">
        <f t="shared" si="80"/>
        <v>923.51049038442147</v>
      </c>
      <c r="L82" s="41">
        <f t="shared" si="80"/>
        <v>972.16199636203669</v>
      </c>
      <c r="M82" s="41">
        <f t="shared" si="80"/>
        <v>929.13802442556607</v>
      </c>
      <c r="N82" s="41">
        <f t="shared" si="80"/>
        <v>926.35617617233538</v>
      </c>
      <c r="O82" s="41">
        <f t="shared" si="80"/>
        <v>940.875537142638</v>
      </c>
      <c r="P82" s="41">
        <f t="shared" si="80"/>
        <v>930.96283593884925</v>
      </c>
      <c r="Q82" s="41">
        <f t="shared" si="80"/>
        <v>982.55332215693068</v>
      </c>
      <c r="R82" s="41">
        <f t="shared" si="80"/>
        <v>1015.6197192427005</v>
      </c>
      <c r="S82" s="41">
        <f t="shared" si="80"/>
        <v>1036.2866633510641</v>
      </c>
      <c r="T82" s="41">
        <f t="shared" si="80"/>
        <v>1066.6438910110267</v>
      </c>
      <c r="U82" s="41">
        <f t="shared" si="80"/>
        <v>1121.3875123308492</v>
      </c>
      <c r="V82" s="41">
        <f t="shared" si="80"/>
        <v>1157.631696262772</v>
      </c>
      <c r="W82" s="41">
        <f t="shared" ref="W82" si="81">IF(W20=0,0,W20*1000000/W30)</f>
        <v>1077.394415881877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1643.1126408893247</v>
      </c>
      <c r="C83" s="40">
        <f t="shared" si="65"/>
        <v>1643.1126408893247</v>
      </c>
      <c r="D83" s="40">
        <f t="shared" ref="D83:V83" si="82">IF(D21=0,0,D21*1000000/D31)</f>
        <v>1643.1126408893249</v>
      </c>
      <c r="E83" s="40">
        <f t="shared" si="82"/>
        <v>1643.1126408893247</v>
      </c>
      <c r="F83" s="40">
        <f t="shared" si="82"/>
        <v>1643.1126408893247</v>
      </c>
      <c r="G83" s="40">
        <f t="shared" si="82"/>
        <v>1710.3689320388348</v>
      </c>
      <c r="H83" s="40">
        <f t="shared" si="82"/>
        <v>1946.2763770667739</v>
      </c>
      <c r="I83" s="40">
        <f t="shared" si="82"/>
        <v>2169.1815992851616</v>
      </c>
      <c r="J83" s="40">
        <f t="shared" si="82"/>
        <v>2356.4511038942414</v>
      </c>
      <c r="K83" s="40">
        <f t="shared" si="82"/>
        <v>2601.6186856083195</v>
      </c>
      <c r="L83" s="40">
        <f t="shared" si="82"/>
        <v>2897.8153846153846</v>
      </c>
      <c r="M83" s="40">
        <f t="shared" si="82"/>
        <v>1894.335572356805</v>
      </c>
      <c r="N83" s="40">
        <f t="shared" si="82"/>
        <v>1058.131054131054</v>
      </c>
      <c r="O83" s="40">
        <f t="shared" si="82"/>
        <v>1255.2212818267642</v>
      </c>
      <c r="P83" s="40">
        <f t="shared" si="82"/>
        <v>1472.9786270532541</v>
      </c>
      <c r="Q83" s="40">
        <f t="shared" si="82"/>
        <v>1633.2410285884287</v>
      </c>
      <c r="R83" s="40">
        <f t="shared" si="82"/>
        <v>1927.1303396417477</v>
      </c>
      <c r="S83" s="40">
        <f t="shared" si="82"/>
        <v>2091.0036795611313</v>
      </c>
      <c r="T83" s="40">
        <f t="shared" si="82"/>
        <v>2279.3503184713377</v>
      </c>
      <c r="U83" s="40">
        <f t="shared" si="82"/>
        <v>1264.1895161290322</v>
      </c>
      <c r="V83" s="40">
        <f t="shared" si="82"/>
        <v>1696.2753013102626</v>
      </c>
      <c r="W83" s="40">
        <f t="shared" ref="W83" si="83">IF(W21=0,0,W21*1000000/W31)</f>
        <v>1778.2805824001589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169802.80316034181</v>
      </c>
      <c r="C86" s="11">
        <f t="shared" si="84"/>
        <v>155924.96377681594</v>
      </c>
      <c r="D86" s="11">
        <f t="shared" ref="D86:V86" si="85">IF(D4=0,0,D4*1000000/D24)</f>
        <v>173513.57986422686</v>
      </c>
      <c r="E86" s="11">
        <f t="shared" si="85"/>
        <v>178034.7416607037</v>
      </c>
      <c r="F86" s="11">
        <f t="shared" si="85"/>
        <v>178487.68337468719</v>
      </c>
      <c r="G86" s="11">
        <f t="shared" si="85"/>
        <v>181104.90137707873</v>
      </c>
      <c r="H86" s="11">
        <f t="shared" si="85"/>
        <v>178460.75560661638</v>
      </c>
      <c r="I86" s="11">
        <f t="shared" si="85"/>
        <v>167775.17484091813</v>
      </c>
      <c r="J86" s="11">
        <f t="shared" si="85"/>
        <v>160550.70739731885</v>
      </c>
      <c r="K86" s="11">
        <f t="shared" si="85"/>
        <v>157870.68616460919</v>
      </c>
      <c r="L86" s="11">
        <f t="shared" si="85"/>
        <v>164855.6912127595</v>
      </c>
      <c r="M86" s="11">
        <f t="shared" si="85"/>
        <v>163774.7521316896</v>
      </c>
      <c r="N86" s="11">
        <f t="shared" si="85"/>
        <v>181300.39503835814</v>
      </c>
      <c r="O86" s="11">
        <f t="shared" si="85"/>
        <v>192330.10149503153</v>
      </c>
      <c r="P86" s="11">
        <f t="shared" si="85"/>
        <v>194457.20718885624</v>
      </c>
      <c r="Q86" s="11">
        <f t="shared" si="85"/>
        <v>193665.03064938338</v>
      </c>
      <c r="R86" s="11">
        <f t="shared" si="85"/>
        <v>206103.66285595825</v>
      </c>
      <c r="S86" s="11">
        <f t="shared" si="85"/>
        <v>218792.77845463553</v>
      </c>
      <c r="T86" s="11">
        <f t="shared" si="85"/>
        <v>217824.95366477635</v>
      </c>
      <c r="U86" s="11">
        <f t="shared" si="85"/>
        <v>223508.65957167774</v>
      </c>
      <c r="V86" s="11">
        <f t="shared" si="85"/>
        <v>184022.50855567391</v>
      </c>
      <c r="W86" s="11">
        <f t="shared" ref="W86" si="86">IF(W4=0,0,W4*1000000/W24)</f>
        <v>185978.88809334769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6814.5334778972328</v>
      </c>
      <c r="C87" s="36">
        <f t="shared" si="84"/>
        <v>7156.6845245706481</v>
      </c>
      <c r="D87" s="36">
        <f t="shared" ref="D87:V87" si="87">IF(D5=0,0,D5*1000000/D25)</f>
        <v>7459.7130585097821</v>
      </c>
      <c r="E87" s="36">
        <f t="shared" si="87"/>
        <v>7783.7658015729512</v>
      </c>
      <c r="F87" s="36">
        <f t="shared" si="87"/>
        <v>8141.2351540344198</v>
      </c>
      <c r="G87" s="36">
        <f t="shared" si="87"/>
        <v>8056.3602523782574</v>
      </c>
      <c r="H87" s="36">
        <f t="shared" si="87"/>
        <v>9561.199680735419</v>
      </c>
      <c r="I87" s="36">
        <f t="shared" si="87"/>
        <v>11660.116114694039</v>
      </c>
      <c r="J87" s="36">
        <f t="shared" si="87"/>
        <v>15916.199065390832</v>
      </c>
      <c r="K87" s="36">
        <f t="shared" si="87"/>
        <v>20334.811787144346</v>
      </c>
      <c r="L87" s="36">
        <f t="shared" si="87"/>
        <v>22577.509848095466</v>
      </c>
      <c r="M87" s="36">
        <f t="shared" si="87"/>
        <v>20777.568496311182</v>
      </c>
      <c r="N87" s="36">
        <f t="shared" si="87"/>
        <v>22840.589252050628</v>
      </c>
      <c r="O87" s="36">
        <f t="shared" si="87"/>
        <v>23259.014156755329</v>
      </c>
      <c r="P87" s="36">
        <f t="shared" si="87"/>
        <v>23303.157215661948</v>
      </c>
      <c r="Q87" s="36">
        <f t="shared" si="87"/>
        <v>23943.891422183464</v>
      </c>
      <c r="R87" s="36">
        <f t="shared" si="87"/>
        <v>24878.920342744856</v>
      </c>
      <c r="S87" s="36">
        <f t="shared" si="87"/>
        <v>36814.528568358721</v>
      </c>
      <c r="T87" s="36">
        <f t="shared" si="87"/>
        <v>40710.382554034324</v>
      </c>
      <c r="U87" s="36">
        <f t="shared" si="87"/>
        <v>40019.248636933</v>
      </c>
      <c r="V87" s="36">
        <f t="shared" si="87"/>
        <v>29490.081943239642</v>
      </c>
      <c r="W87" s="36">
        <f t="shared" ref="W87" si="88">IF(W5=0,0,W5*1000000/W25)</f>
        <v>36541.591638148886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201336.24292586881</v>
      </c>
      <c r="C88" s="36">
        <f t="shared" si="84"/>
        <v>202175.23159198693</v>
      </c>
      <c r="D88" s="36">
        <f t="shared" ref="D88:V88" si="89">IF(D6=0,0,D6*1000000/D26)</f>
        <v>200958.56800465554</v>
      </c>
      <c r="E88" s="36">
        <f t="shared" si="89"/>
        <v>198187.72398932194</v>
      </c>
      <c r="F88" s="36">
        <f t="shared" si="89"/>
        <v>195690.36598420402</v>
      </c>
      <c r="G88" s="36">
        <f t="shared" si="89"/>
        <v>196861.4684315637</v>
      </c>
      <c r="H88" s="36">
        <f t="shared" si="89"/>
        <v>194714.67618352748</v>
      </c>
      <c r="I88" s="36">
        <f t="shared" si="89"/>
        <v>182950.25325134923</v>
      </c>
      <c r="J88" s="36">
        <f t="shared" si="89"/>
        <v>176127.11538615893</v>
      </c>
      <c r="K88" s="36">
        <f t="shared" si="89"/>
        <v>170400.83454437071</v>
      </c>
      <c r="L88" s="36">
        <f t="shared" si="89"/>
        <v>173890.14526244893</v>
      </c>
      <c r="M88" s="36">
        <f t="shared" si="89"/>
        <v>178406.95419231665</v>
      </c>
      <c r="N88" s="36">
        <f t="shared" si="89"/>
        <v>195377.10977845109</v>
      </c>
      <c r="O88" s="36">
        <f t="shared" si="89"/>
        <v>201109.48951710731</v>
      </c>
      <c r="P88" s="36">
        <f t="shared" si="89"/>
        <v>201316.88976210289</v>
      </c>
      <c r="Q88" s="36">
        <f t="shared" si="89"/>
        <v>208193.63201902926</v>
      </c>
      <c r="R88" s="36">
        <f t="shared" si="89"/>
        <v>213387.65344624934</v>
      </c>
      <c r="S88" s="36">
        <f t="shared" si="89"/>
        <v>232365.59721023304</v>
      </c>
      <c r="T88" s="36">
        <f t="shared" si="89"/>
        <v>233240.36095350087</v>
      </c>
      <c r="U88" s="36">
        <f t="shared" si="89"/>
        <v>240890.62968478719</v>
      </c>
      <c r="V88" s="36">
        <f t="shared" si="89"/>
        <v>197956.1115561912</v>
      </c>
      <c r="W88" s="36">
        <f t="shared" ref="W88" si="90">IF(W6=0,0,W6*1000000/W26)</f>
        <v>193880.79668398047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170044.78979798077</v>
      </c>
      <c r="C89" s="36">
        <f t="shared" si="84"/>
        <v>170435.95359981497</v>
      </c>
      <c r="D89" s="36">
        <f t="shared" ref="D89:V89" si="91">IF(D7=0,0,D7*1000000/D27)</f>
        <v>170954.56292200243</v>
      </c>
      <c r="E89" s="36">
        <f t="shared" si="91"/>
        <v>172398.4869549298</v>
      </c>
      <c r="F89" s="36">
        <f t="shared" si="91"/>
        <v>174396.1131532453</v>
      </c>
      <c r="G89" s="36">
        <f t="shared" si="91"/>
        <v>183938.94232866316</v>
      </c>
      <c r="H89" s="36">
        <f t="shared" si="91"/>
        <v>187477.70351161339</v>
      </c>
      <c r="I89" s="36">
        <f t="shared" si="91"/>
        <v>189527.17499172199</v>
      </c>
      <c r="J89" s="36">
        <f t="shared" si="91"/>
        <v>179445.46935210991</v>
      </c>
      <c r="K89" s="36">
        <f t="shared" si="91"/>
        <v>187486.49278234359</v>
      </c>
      <c r="L89" s="36">
        <f t="shared" si="91"/>
        <v>201683.50509345607</v>
      </c>
      <c r="M89" s="36">
        <f t="shared" si="91"/>
        <v>191681.60520954768</v>
      </c>
      <c r="N89" s="36">
        <f t="shared" si="91"/>
        <v>218838.37044388475</v>
      </c>
      <c r="O89" s="36">
        <f t="shared" si="91"/>
        <v>236658.35006928249</v>
      </c>
      <c r="P89" s="36">
        <f t="shared" si="91"/>
        <v>230468.01888919287</v>
      </c>
      <c r="Q89" s="36">
        <f t="shared" si="91"/>
        <v>207436.97356459172</v>
      </c>
      <c r="R89" s="36">
        <f t="shared" si="91"/>
        <v>233238.21923478498</v>
      </c>
      <c r="S89" s="36">
        <f t="shared" si="91"/>
        <v>232160.26388998126</v>
      </c>
      <c r="T89" s="36">
        <f t="shared" si="91"/>
        <v>219248.79225400754</v>
      </c>
      <c r="U89" s="36">
        <f t="shared" si="91"/>
        <v>219812.3728335365</v>
      </c>
      <c r="V89" s="36">
        <f t="shared" si="91"/>
        <v>223241.16072650906</v>
      </c>
      <c r="W89" s="36">
        <f t="shared" ref="W89" si="92">IF(W7=0,0,W7*1000000/W27)</f>
        <v>240595.75689520928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29944.132031366018</v>
      </c>
      <c r="C90" s="13">
        <f t="shared" si="84"/>
        <v>39427.935730094636</v>
      </c>
      <c r="D90" s="13">
        <f t="shared" ref="D90:V90" si="93">IF(D8=0,0,D8*1000000/D28)</f>
        <v>38547.428354895019</v>
      </c>
      <c r="E90" s="13">
        <f t="shared" si="93"/>
        <v>39048.76048770381</v>
      </c>
      <c r="F90" s="13">
        <f t="shared" si="93"/>
        <v>36850.200631867803</v>
      </c>
      <c r="G90" s="13">
        <f t="shared" si="93"/>
        <v>34167.087511483376</v>
      </c>
      <c r="H90" s="13">
        <f t="shared" si="93"/>
        <v>30979.830414919626</v>
      </c>
      <c r="I90" s="13">
        <f t="shared" si="93"/>
        <v>30684.21207436531</v>
      </c>
      <c r="J90" s="13">
        <f t="shared" si="93"/>
        <v>27818.454742302605</v>
      </c>
      <c r="K90" s="13">
        <f t="shared" si="93"/>
        <v>41771.165053831137</v>
      </c>
      <c r="L90" s="13">
        <f t="shared" si="93"/>
        <v>62743.499735021542</v>
      </c>
      <c r="M90" s="13">
        <f t="shared" si="93"/>
        <v>48019.612464617327</v>
      </c>
      <c r="N90" s="13">
        <f t="shared" si="93"/>
        <v>27742.68767464317</v>
      </c>
      <c r="O90" s="13">
        <f t="shared" si="93"/>
        <v>29481.403867679706</v>
      </c>
      <c r="P90" s="13">
        <f t="shared" si="93"/>
        <v>41498.439385934063</v>
      </c>
      <c r="Q90" s="13">
        <f t="shared" si="93"/>
        <v>62335.017229796198</v>
      </c>
      <c r="R90" s="13">
        <f t="shared" si="93"/>
        <v>80949.018523403531</v>
      </c>
      <c r="S90" s="13">
        <f t="shared" si="93"/>
        <v>80643.408863720382</v>
      </c>
      <c r="T90" s="13">
        <f t="shared" si="93"/>
        <v>68284.39162253734</v>
      </c>
      <c r="U90" s="13">
        <f t="shared" si="93"/>
        <v>44121.835920798236</v>
      </c>
      <c r="V90" s="13">
        <f t="shared" si="93"/>
        <v>41849.71749653697</v>
      </c>
      <c r="W90" s="13">
        <f t="shared" ref="W90" si="94">IF(W8=0,0,W8*1000000/W28)</f>
        <v>36350.925222415513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22067.144173528566</v>
      </c>
      <c r="C92" s="34">
        <f t="shared" si="84"/>
        <v>23130.598270502611</v>
      </c>
      <c r="D92" s="34">
        <f t="shared" ref="D92:V92" si="97">IF(D10=0,0,D10*1000000/D30)</f>
        <v>21736.986780784493</v>
      </c>
      <c r="E92" s="34">
        <f t="shared" si="97"/>
        <v>22314.17344544498</v>
      </c>
      <c r="F92" s="34">
        <f t="shared" si="97"/>
        <v>20222.842530224596</v>
      </c>
      <c r="G92" s="34">
        <f t="shared" si="97"/>
        <v>19718.470747032239</v>
      </c>
      <c r="H92" s="34">
        <f t="shared" si="97"/>
        <v>17304.085311056442</v>
      </c>
      <c r="I92" s="34">
        <f t="shared" si="97"/>
        <v>16501.072803522991</v>
      </c>
      <c r="J92" s="34">
        <f t="shared" si="97"/>
        <v>16049.879631543245</v>
      </c>
      <c r="K92" s="34">
        <f t="shared" si="97"/>
        <v>16693.806711751942</v>
      </c>
      <c r="L92" s="34">
        <f t="shared" si="97"/>
        <v>17882.197666630305</v>
      </c>
      <c r="M92" s="34">
        <f t="shared" si="97"/>
        <v>17625.55720598554</v>
      </c>
      <c r="N92" s="34">
        <f t="shared" si="97"/>
        <v>19186.793918416774</v>
      </c>
      <c r="O92" s="34">
        <f t="shared" si="97"/>
        <v>19186.356554432175</v>
      </c>
      <c r="P92" s="34">
        <f t="shared" si="97"/>
        <v>22138.960036187207</v>
      </c>
      <c r="Q92" s="34">
        <f t="shared" si="97"/>
        <v>23095.966174356865</v>
      </c>
      <c r="R92" s="34">
        <f t="shared" si="97"/>
        <v>26260.860960195343</v>
      </c>
      <c r="S92" s="34">
        <f t="shared" si="97"/>
        <v>24772.013839616462</v>
      </c>
      <c r="T92" s="34">
        <f t="shared" si="97"/>
        <v>25898.051999575317</v>
      </c>
      <c r="U92" s="34">
        <f t="shared" si="97"/>
        <v>28716.191361341513</v>
      </c>
      <c r="V92" s="34">
        <f t="shared" si="97"/>
        <v>24366.570746850579</v>
      </c>
      <c r="W92" s="34">
        <f t="shared" ref="W92" si="98">IF(W10=0,0,W10*1000000/W30)</f>
        <v>21441.463469028935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115424.03730345397</v>
      </c>
      <c r="C93" s="35">
        <f t="shared" si="84"/>
        <v>120914.62302805478</v>
      </c>
      <c r="D93" s="35">
        <f t="shared" ref="D93:V93" si="99">IF(D11=0,0,D11*1000000/D31)</f>
        <v>114194.41543839242</v>
      </c>
      <c r="E93" s="35">
        <f t="shared" si="99"/>
        <v>103776.88017945965</v>
      </c>
      <c r="F93" s="35">
        <f t="shared" si="99"/>
        <v>100734.26070660223</v>
      </c>
      <c r="G93" s="35">
        <f t="shared" si="99"/>
        <v>98612.505143400369</v>
      </c>
      <c r="H93" s="35">
        <f t="shared" si="99"/>
        <v>108475.71933681097</v>
      </c>
      <c r="I93" s="35">
        <f t="shared" si="99"/>
        <v>118885.60941491598</v>
      </c>
      <c r="J93" s="35">
        <f t="shared" si="99"/>
        <v>126543.72372700609</v>
      </c>
      <c r="K93" s="35">
        <f t="shared" si="99"/>
        <v>157560.44925059186</v>
      </c>
      <c r="L93" s="35">
        <f t="shared" si="99"/>
        <v>178421.57149708751</v>
      </c>
      <c r="M93" s="35">
        <f t="shared" si="99"/>
        <v>121490.13452864811</v>
      </c>
      <c r="N93" s="35">
        <f t="shared" si="99"/>
        <v>71948.138748479556</v>
      </c>
      <c r="O93" s="35">
        <f t="shared" si="99"/>
        <v>85720.020534076641</v>
      </c>
      <c r="P93" s="35">
        <f t="shared" si="99"/>
        <v>118318.50106099337</v>
      </c>
      <c r="Q93" s="35">
        <f t="shared" si="99"/>
        <v>127792.0889455963</v>
      </c>
      <c r="R93" s="35">
        <f t="shared" si="99"/>
        <v>170392.26687444493</v>
      </c>
      <c r="S93" s="35">
        <f t="shared" si="99"/>
        <v>179530.83368514324</v>
      </c>
      <c r="T93" s="35">
        <f t="shared" si="99"/>
        <v>196040.40119033834</v>
      </c>
      <c r="U93" s="35">
        <f t="shared" si="99"/>
        <v>111735.4981539694</v>
      </c>
      <c r="V93" s="35">
        <f t="shared" si="99"/>
        <v>100208.95382999715</v>
      </c>
      <c r="W93" s="35">
        <f t="shared" ref="W93" si="100">IF(W11=0,0,W11*1000000/W31)</f>
        <v>100566.23856375596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1180.2834142665376</v>
      </c>
      <c r="C95" s="62">
        <f t="shared" si="101"/>
        <v>1231.7446569145939</v>
      </c>
      <c r="D95" s="62">
        <f t="shared" ref="D95:V95" si="102">IF(D23=0,0,D23/D43)</f>
        <v>1126.1623078891425</v>
      </c>
      <c r="E95" s="62">
        <f t="shared" si="102"/>
        <v>1111.9058167515323</v>
      </c>
      <c r="F95" s="62">
        <f t="shared" si="102"/>
        <v>1088.3143227429862</v>
      </c>
      <c r="G95" s="62">
        <f t="shared" si="102"/>
        <v>1109.7769153269221</v>
      </c>
      <c r="H95" s="62">
        <f t="shared" si="102"/>
        <v>1126.25388542972</v>
      </c>
      <c r="I95" s="62">
        <f t="shared" si="102"/>
        <v>1146.3940144391822</v>
      </c>
      <c r="J95" s="62">
        <f t="shared" si="102"/>
        <v>1145.169113520152</v>
      </c>
      <c r="K95" s="62">
        <f t="shared" si="102"/>
        <v>1086.4217943951171</v>
      </c>
      <c r="L95" s="62">
        <f t="shared" si="102"/>
        <v>1100.0001652859116</v>
      </c>
      <c r="M95" s="62">
        <f t="shared" si="102"/>
        <v>1126.4420645267262</v>
      </c>
      <c r="N95" s="62">
        <f t="shared" si="102"/>
        <v>1087.3667067086828</v>
      </c>
      <c r="O95" s="62">
        <f t="shared" si="102"/>
        <v>1058.259001803887</v>
      </c>
      <c r="P95" s="62">
        <f t="shared" si="102"/>
        <v>1069.2523907439881</v>
      </c>
      <c r="Q95" s="62">
        <f t="shared" si="102"/>
        <v>1071.6324021883006</v>
      </c>
      <c r="R95" s="62">
        <f t="shared" si="102"/>
        <v>1055.8512315696353</v>
      </c>
      <c r="S95" s="62">
        <f t="shared" si="102"/>
        <v>1059.9976362339853</v>
      </c>
      <c r="T95" s="62">
        <f t="shared" si="102"/>
        <v>1071.1310232664114</v>
      </c>
      <c r="U95" s="62">
        <f t="shared" si="102"/>
        <v>1019.1036751580358</v>
      </c>
      <c r="V95" s="62">
        <f t="shared" si="102"/>
        <v>438.5338151767188</v>
      </c>
      <c r="W95" s="62">
        <f t="shared" ref="W95" si="103">IF(W23=0,0,W23/W43)</f>
        <v>575.62072779798643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1183.3933390991697</v>
      </c>
      <c r="C96" s="11">
        <f t="shared" si="104"/>
        <v>1241.3632592396209</v>
      </c>
      <c r="D96" s="11">
        <f t="shared" ref="D96:V96" si="105">IF(D24=0,0,D24/D44)</f>
        <v>1129.8834159065814</v>
      </c>
      <c r="E96" s="11">
        <f t="shared" si="105"/>
        <v>1113.1789689965426</v>
      </c>
      <c r="F96" s="11">
        <f t="shared" si="105"/>
        <v>1089.3844007497569</v>
      </c>
      <c r="G96" s="11">
        <f t="shared" si="105"/>
        <v>1111.1636862741118</v>
      </c>
      <c r="H96" s="11">
        <f t="shared" si="105"/>
        <v>1128.1608389591115</v>
      </c>
      <c r="I96" s="11">
        <f t="shared" si="105"/>
        <v>1148.7581264506055</v>
      </c>
      <c r="J96" s="11">
        <f t="shared" si="105"/>
        <v>1147.7298201861313</v>
      </c>
      <c r="K96" s="11">
        <f t="shared" si="105"/>
        <v>1090.6598914104106</v>
      </c>
      <c r="L96" s="11">
        <f t="shared" si="105"/>
        <v>1106.552083890314</v>
      </c>
      <c r="M96" s="11">
        <f t="shared" si="105"/>
        <v>1133.2093957939646</v>
      </c>
      <c r="N96" s="11">
        <f t="shared" si="105"/>
        <v>1095.2253166551461</v>
      </c>
      <c r="O96" s="11">
        <f t="shared" si="105"/>
        <v>1065.1335415211167</v>
      </c>
      <c r="P96" s="11">
        <f t="shared" si="105"/>
        <v>1075.300140139806</v>
      </c>
      <c r="Q96" s="11">
        <f t="shared" si="105"/>
        <v>1074.9902930424671</v>
      </c>
      <c r="R96" s="11">
        <f t="shared" si="105"/>
        <v>1059.2642076475099</v>
      </c>
      <c r="S96" s="11">
        <f t="shared" si="105"/>
        <v>1063.8418826099705</v>
      </c>
      <c r="T96" s="11">
        <f t="shared" si="105"/>
        <v>1076.9003856688364</v>
      </c>
      <c r="U96" s="11">
        <f t="shared" si="105"/>
        <v>1024.897822774625</v>
      </c>
      <c r="V96" s="11">
        <f t="shared" si="105"/>
        <v>432.06922956546265</v>
      </c>
      <c r="W96" s="11">
        <f t="shared" ref="W96" si="106">IF(W24=0,0,W24/W44)</f>
        <v>572.40716255587984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2480</v>
      </c>
      <c r="C97" s="36">
        <f t="shared" si="104"/>
        <v>2480</v>
      </c>
      <c r="D97" s="36">
        <f t="shared" ref="D97:V97" si="107">IF(D25=0,0,D25/D45)</f>
        <v>1536.6383038080626</v>
      </c>
      <c r="E97" s="36">
        <f t="shared" si="107"/>
        <v>1428.8693614528413</v>
      </c>
      <c r="F97" s="36">
        <f t="shared" si="107"/>
        <v>1217.2529674734085</v>
      </c>
      <c r="G97" s="36">
        <f t="shared" si="107"/>
        <v>1479.2840872111947</v>
      </c>
      <c r="H97" s="36">
        <f t="shared" si="107"/>
        <v>2021.5951765719215</v>
      </c>
      <c r="I97" s="36">
        <f t="shared" si="107"/>
        <v>2332</v>
      </c>
      <c r="J97" s="36">
        <f t="shared" si="107"/>
        <v>2339</v>
      </c>
      <c r="K97" s="36">
        <f t="shared" si="107"/>
        <v>2267.6446697891624</v>
      </c>
      <c r="L97" s="36">
        <f t="shared" si="107"/>
        <v>2253.4972492700231</v>
      </c>
      <c r="M97" s="36">
        <f t="shared" si="107"/>
        <v>2357</v>
      </c>
      <c r="N97" s="36">
        <f t="shared" si="107"/>
        <v>2311.8499390842926</v>
      </c>
      <c r="O97" s="36">
        <f t="shared" si="107"/>
        <v>2032.2284979850031</v>
      </c>
      <c r="P97" s="36">
        <f t="shared" si="107"/>
        <v>1924.4149264620476</v>
      </c>
      <c r="Q97" s="36">
        <f t="shared" si="107"/>
        <v>2012.2933395299208</v>
      </c>
      <c r="R97" s="36">
        <f t="shared" si="107"/>
        <v>2067.5881461563886</v>
      </c>
      <c r="S97" s="36">
        <f t="shared" si="107"/>
        <v>2327</v>
      </c>
      <c r="T97" s="36">
        <f t="shared" si="107"/>
        <v>2325</v>
      </c>
      <c r="U97" s="36">
        <f t="shared" si="107"/>
        <v>2285.2205857342087</v>
      </c>
      <c r="V97" s="36">
        <f t="shared" si="107"/>
        <v>1551.4076450399239</v>
      </c>
      <c r="W97" s="36">
        <f t="shared" ref="W97" si="108">IF(W25=0,0,W25/W45)</f>
        <v>2025.0930852697941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1133.5705554033743</v>
      </c>
      <c r="C98" s="36">
        <f t="shared" si="104"/>
        <v>1133.5885216214961</v>
      </c>
      <c r="D98" s="36">
        <f t="shared" ref="D98:V98" si="109">IF(D26=0,0,D26/D46)</f>
        <v>1133.5812286528655</v>
      </c>
      <c r="E98" s="36">
        <f t="shared" si="109"/>
        <v>1133.5737013680891</v>
      </c>
      <c r="F98" s="36">
        <f t="shared" si="109"/>
        <v>1122.8913286941963</v>
      </c>
      <c r="G98" s="36">
        <f t="shared" si="109"/>
        <v>1128.9167318424466</v>
      </c>
      <c r="H98" s="36">
        <f t="shared" si="109"/>
        <v>1121.2470817514961</v>
      </c>
      <c r="I98" s="36">
        <f t="shared" si="109"/>
        <v>1137.2150090373773</v>
      </c>
      <c r="J98" s="36">
        <f t="shared" si="109"/>
        <v>1140.9939559355425</v>
      </c>
      <c r="K98" s="36">
        <f t="shared" si="109"/>
        <v>1082.3855836560735</v>
      </c>
      <c r="L98" s="36">
        <f t="shared" si="109"/>
        <v>1121.0002317848321</v>
      </c>
      <c r="M98" s="36">
        <f t="shared" si="109"/>
        <v>1131.7261558986393</v>
      </c>
      <c r="N98" s="36">
        <f t="shared" si="109"/>
        <v>1092.5501515285823</v>
      </c>
      <c r="O98" s="36">
        <f t="shared" si="109"/>
        <v>1081.9142466403025</v>
      </c>
      <c r="P98" s="36">
        <f t="shared" si="109"/>
        <v>1132.9485811535235</v>
      </c>
      <c r="Q98" s="36">
        <f t="shared" si="109"/>
        <v>1125.7537790202744</v>
      </c>
      <c r="R98" s="36">
        <f t="shared" si="109"/>
        <v>1124.6845170353631</v>
      </c>
      <c r="S98" s="36">
        <f t="shared" si="109"/>
        <v>1119.3573579072151</v>
      </c>
      <c r="T98" s="36">
        <f t="shared" si="109"/>
        <v>1123.8184035937702</v>
      </c>
      <c r="U98" s="36">
        <f t="shared" si="109"/>
        <v>1060.4657366496936</v>
      </c>
      <c r="V98" s="36">
        <f t="shared" si="109"/>
        <v>480.79463583439866</v>
      </c>
      <c r="W98" s="36">
        <f t="shared" ref="W98" si="110">IF(W26=0,0,W26/W46)</f>
        <v>611.50614145814575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907</v>
      </c>
      <c r="C99" s="36">
        <f t="shared" si="104"/>
        <v>907</v>
      </c>
      <c r="D99" s="36">
        <f t="shared" ref="D99:V99" si="111">IF(D27=0,0,D27/D47)</f>
        <v>907</v>
      </c>
      <c r="E99" s="36">
        <f t="shared" si="111"/>
        <v>907</v>
      </c>
      <c r="F99" s="36">
        <f t="shared" si="111"/>
        <v>898.49253445635532</v>
      </c>
      <c r="G99" s="36">
        <f t="shared" si="111"/>
        <v>882</v>
      </c>
      <c r="H99" s="36">
        <f t="shared" si="111"/>
        <v>874</v>
      </c>
      <c r="I99" s="36">
        <f t="shared" si="111"/>
        <v>871</v>
      </c>
      <c r="J99" s="36">
        <f t="shared" si="111"/>
        <v>880</v>
      </c>
      <c r="K99" s="36">
        <f t="shared" si="111"/>
        <v>837.1000291504464</v>
      </c>
      <c r="L99" s="36">
        <f t="shared" si="111"/>
        <v>841</v>
      </c>
      <c r="M99" s="36">
        <f t="shared" si="111"/>
        <v>877</v>
      </c>
      <c r="N99" s="36">
        <f t="shared" si="111"/>
        <v>856</v>
      </c>
      <c r="O99" s="36">
        <f t="shared" si="111"/>
        <v>852</v>
      </c>
      <c r="P99" s="36">
        <f t="shared" si="111"/>
        <v>841</v>
      </c>
      <c r="Q99" s="36">
        <f t="shared" si="111"/>
        <v>849.00000000000011</v>
      </c>
      <c r="R99" s="36">
        <f t="shared" si="111"/>
        <v>815</v>
      </c>
      <c r="S99" s="36">
        <f t="shared" si="111"/>
        <v>783.36063621840356</v>
      </c>
      <c r="T99" s="36">
        <f t="shared" si="111"/>
        <v>819.99999999999989</v>
      </c>
      <c r="U99" s="36">
        <f t="shared" si="111"/>
        <v>800.4471845803215</v>
      </c>
      <c r="V99" s="36">
        <f t="shared" si="111"/>
        <v>193.0000550269547</v>
      </c>
      <c r="W99" s="36">
        <f t="shared" ref="W99" si="112">IF(W27=0,0,W27/W47)</f>
        <v>328.75964800868229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1073.1106153475982</v>
      </c>
      <c r="C100" s="13">
        <f t="shared" si="104"/>
        <v>759.95802180523776</v>
      </c>
      <c r="D100" s="13">
        <f t="shared" ref="D100:V100" si="113">IF(D28=0,0,D28/D48)</f>
        <v>899.92383461902148</v>
      </c>
      <c r="E100" s="13">
        <f t="shared" si="113"/>
        <v>1009.810955739573</v>
      </c>
      <c r="F100" s="13">
        <f t="shared" si="113"/>
        <v>1011.9615069485438</v>
      </c>
      <c r="G100" s="13">
        <f t="shared" si="113"/>
        <v>1019.6032504488745</v>
      </c>
      <c r="H100" s="13">
        <f t="shared" si="113"/>
        <v>1010.9596743543609</v>
      </c>
      <c r="I100" s="13">
        <f t="shared" si="113"/>
        <v>1006.5999576798505</v>
      </c>
      <c r="J100" s="13">
        <f t="shared" si="113"/>
        <v>999.9325955858078</v>
      </c>
      <c r="K100" s="13">
        <f t="shared" si="113"/>
        <v>863.4105604981504</v>
      </c>
      <c r="L100" s="13">
        <f t="shared" si="113"/>
        <v>804.07195058550792</v>
      </c>
      <c r="M100" s="13">
        <f t="shared" si="113"/>
        <v>798.69180823253805</v>
      </c>
      <c r="N100" s="13">
        <f t="shared" si="113"/>
        <v>706.01699786598385</v>
      </c>
      <c r="O100" s="13">
        <f t="shared" si="113"/>
        <v>732.65693834656099</v>
      </c>
      <c r="P100" s="13">
        <f t="shared" si="113"/>
        <v>774.35894336336742</v>
      </c>
      <c r="Q100" s="13">
        <f t="shared" si="113"/>
        <v>918.05075804557669</v>
      </c>
      <c r="R100" s="13">
        <f t="shared" si="113"/>
        <v>868.75076418323056</v>
      </c>
      <c r="S100" s="13">
        <f t="shared" si="113"/>
        <v>855.1705569547438</v>
      </c>
      <c r="T100" s="13">
        <f t="shared" si="113"/>
        <v>753.24091222522384</v>
      </c>
      <c r="U100" s="13">
        <f t="shared" si="113"/>
        <v>722.84973320374809</v>
      </c>
      <c r="V100" s="13">
        <f t="shared" si="113"/>
        <v>762.45000073908636</v>
      </c>
      <c r="W100" s="13">
        <f t="shared" ref="W100" si="114">IF(W28=0,0,W28/W48)</f>
        <v>729.91630262313402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1118.5045586473468</v>
      </c>
      <c r="C102" s="34">
        <f t="shared" si="104"/>
        <v>763.02199486215704</v>
      </c>
      <c r="D102" s="34">
        <f t="shared" ref="D102:V102" si="117">IF(D30=0,0,D30/D50)</f>
        <v>943.52550166723131</v>
      </c>
      <c r="E102" s="34">
        <f t="shared" si="117"/>
        <v>1112.0005530520086</v>
      </c>
      <c r="F102" s="34">
        <f t="shared" si="117"/>
        <v>1116.0510689362284</v>
      </c>
      <c r="G102" s="34">
        <f t="shared" si="117"/>
        <v>1119.6718769670272</v>
      </c>
      <c r="H102" s="34">
        <f t="shared" si="117"/>
        <v>1106.8858458201976</v>
      </c>
      <c r="I102" s="34">
        <f t="shared" si="117"/>
        <v>1111.1625729855057</v>
      </c>
      <c r="J102" s="34">
        <f t="shared" si="117"/>
        <v>1105.2259635606688</v>
      </c>
      <c r="K102" s="34">
        <f t="shared" si="117"/>
        <v>973.64710957213003</v>
      </c>
      <c r="L102" s="34">
        <f t="shared" si="117"/>
        <v>1008.5853990353353</v>
      </c>
      <c r="M102" s="34">
        <f t="shared" si="117"/>
        <v>1008.4180100596886</v>
      </c>
      <c r="N102" s="34">
        <f t="shared" si="117"/>
        <v>1070.4077834257544</v>
      </c>
      <c r="O102" s="34">
        <f t="shared" si="117"/>
        <v>1086.9545007179581</v>
      </c>
      <c r="P102" s="34">
        <f t="shared" si="117"/>
        <v>1058.3823465980076</v>
      </c>
      <c r="Q102" s="34">
        <f t="shared" si="117"/>
        <v>1062.9058224754162</v>
      </c>
      <c r="R102" s="34">
        <f t="shared" si="117"/>
        <v>1043.4521162635738</v>
      </c>
      <c r="S102" s="34">
        <f t="shared" si="117"/>
        <v>1040.7846808680888</v>
      </c>
      <c r="T102" s="34">
        <f t="shared" si="117"/>
        <v>1037.168786762915</v>
      </c>
      <c r="U102" s="34">
        <f t="shared" si="117"/>
        <v>1020.0071880612886</v>
      </c>
      <c r="V102" s="34">
        <f t="shared" si="117"/>
        <v>1008.7382439976282</v>
      </c>
      <c r="W102" s="34">
        <f t="shared" ref="W102" si="118">IF(W30=0,0,W30/W50)</f>
        <v>995.43764203742944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745</v>
      </c>
      <c r="C103" s="35">
        <f t="shared" si="104"/>
        <v>745</v>
      </c>
      <c r="D103" s="35">
        <f t="shared" ref="D103:V103" si="119">IF(D31=0,0,D31/D51)</f>
        <v>745</v>
      </c>
      <c r="E103" s="35">
        <f t="shared" si="119"/>
        <v>745</v>
      </c>
      <c r="F103" s="35">
        <f t="shared" si="119"/>
        <v>745</v>
      </c>
      <c r="G103" s="35">
        <f t="shared" si="119"/>
        <v>729</v>
      </c>
      <c r="H103" s="35">
        <f t="shared" si="119"/>
        <v>678</v>
      </c>
      <c r="I103" s="35">
        <f t="shared" si="119"/>
        <v>635</v>
      </c>
      <c r="J103" s="35">
        <f t="shared" si="119"/>
        <v>555.76573734648809</v>
      </c>
      <c r="K103" s="35">
        <f t="shared" si="119"/>
        <v>567</v>
      </c>
      <c r="L103" s="35">
        <f t="shared" si="119"/>
        <v>528</v>
      </c>
      <c r="M103" s="35">
        <f t="shared" si="119"/>
        <v>531.49316059194518</v>
      </c>
      <c r="N103" s="35">
        <f t="shared" si="119"/>
        <v>255.90997626388881</v>
      </c>
      <c r="O103" s="35">
        <f t="shared" si="119"/>
        <v>263.49007030368961</v>
      </c>
      <c r="P103" s="35">
        <f t="shared" si="119"/>
        <v>375.01764748837712</v>
      </c>
      <c r="Q103" s="35">
        <f t="shared" si="119"/>
        <v>747.99999999999989</v>
      </c>
      <c r="R103" s="35">
        <f t="shared" si="119"/>
        <v>682</v>
      </c>
      <c r="S103" s="35">
        <f t="shared" si="119"/>
        <v>650</v>
      </c>
      <c r="T103" s="35">
        <f t="shared" si="119"/>
        <v>412.70893977132914</v>
      </c>
      <c r="U103" s="35">
        <f t="shared" si="119"/>
        <v>317.23280359092564</v>
      </c>
      <c r="V103" s="35">
        <f t="shared" si="119"/>
        <v>420.0836947889303</v>
      </c>
      <c r="W103" s="35">
        <f t="shared" ref="W103" si="120">IF(W31=0,0,W31/W51)</f>
        <v>339.67819345311347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5.6266042363079614E-3</v>
      </c>
      <c r="C107" s="43">
        <f t="shared" si="124"/>
        <v>9.9588562475076588E-3</v>
      </c>
      <c r="D107" s="43">
        <f t="shared" ref="D107:V107" si="125">IF(D5=0,0,D5/D$4)</f>
        <v>5.1689196440660836E-3</v>
      </c>
      <c r="E107" s="43">
        <f t="shared" si="125"/>
        <v>3.7706932110352087E-3</v>
      </c>
      <c r="F107" s="43">
        <f t="shared" si="125"/>
        <v>3.4252261335111877E-3</v>
      </c>
      <c r="G107" s="43">
        <f t="shared" si="125"/>
        <v>3.3449596374394092E-3</v>
      </c>
      <c r="H107" s="43">
        <f t="shared" si="125"/>
        <v>4.4733258125643693E-3</v>
      </c>
      <c r="I107" s="43">
        <f t="shared" si="125"/>
        <v>6.486849785840897E-3</v>
      </c>
      <c r="J107" s="43">
        <f t="shared" si="125"/>
        <v>9.9537504319821817E-3</v>
      </c>
      <c r="K107" s="43">
        <f t="shared" si="125"/>
        <v>1.3019516904403269E-2</v>
      </c>
      <c r="L107" s="43">
        <f t="shared" si="125"/>
        <v>1.2678976112690695E-2</v>
      </c>
      <c r="M107" s="43">
        <f t="shared" si="125"/>
        <v>1.3809972993925891E-2</v>
      </c>
      <c r="N107" s="43">
        <f t="shared" si="125"/>
        <v>1.3676355666613509E-2</v>
      </c>
      <c r="O107" s="43">
        <f t="shared" si="125"/>
        <v>1.1292197348279331E-2</v>
      </c>
      <c r="P107" s="43">
        <f t="shared" si="125"/>
        <v>9.4896336226088038E-3</v>
      </c>
      <c r="Q107" s="43">
        <f t="shared" si="125"/>
        <v>9.6220510019544847E-3</v>
      </c>
      <c r="R107" s="43">
        <f t="shared" si="125"/>
        <v>7.7039173019745688E-3</v>
      </c>
      <c r="S107" s="43">
        <f t="shared" si="125"/>
        <v>1.1642456299765789E-2</v>
      </c>
      <c r="T107" s="43">
        <f t="shared" si="125"/>
        <v>1.2137224560153878E-2</v>
      </c>
      <c r="U107" s="43">
        <f t="shared" si="125"/>
        <v>1.1496177722604613E-2</v>
      </c>
      <c r="V107" s="43">
        <f t="shared" si="125"/>
        <v>1.6198419933956421E-2</v>
      </c>
      <c r="W107" s="43">
        <f t="shared" ref="W107" si="126">IF(W5=0,0,W5/W$4)</f>
        <v>1.9104858431613796E-2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0.85800632298476853</v>
      </c>
      <c r="C108" s="43">
        <f t="shared" si="127"/>
        <v>0.85449767949009203</v>
      </c>
      <c r="D108" s="43">
        <f t="shared" ref="D108:V108" si="128">IF(D6=0,0,D6/D$4)</f>
        <v>0.85754758149810728</v>
      </c>
      <c r="E108" s="43">
        <f t="shared" si="128"/>
        <v>0.85611758547120775</v>
      </c>
      <c r="F108" s="43">
        <f t="shared" si="128"/>
        <v>0.85346994383780339</v>
      </c>
      <c r="G108" s="43">
        <f t="shared" si="128"/>
        <v>0.87407891423737782</v>
      </c>
      <c r="H108" s="43">
        <f t="shared" si="128"/>
        <v>0.88019382034834892</v>
      </c>
      <c r="I108" s="43">
        <f t="shared" si="128"/>
        <v>0.85390573857632357</v>
      </c>
      <c r="J108" s="43">
        <f t="shared" si="128"/>
        <v>0.81836006934893157</v>
      </c>
      <c r="K108" s="43">
        <f t="shared" si="128"/>
        <v>0.80360294426932688</v>
      </c>
      <c r="L108" s="43">
        <f t="shared" si="128"/>
        <v>0.76838212763378744</v>
      </c>
      <c r="M108" s="43">
        <f t="shared" si="128"/>
        <v>0.76344152922939501</v>
      </c>
      <c r="N108" s="43">
        <f t="shared" si="128"/>
        <v>0.74690743722504116</v>
      </c>
      <c r="O108" s="43">
        <f t="shared" si="128"/>
        <v>0.71776695302952098</v>
      </c>
      <c r="P108" s="43">
        <f t="shared" si="128"/>
        <v>0.6962846146594176</v>
      </c>
      <c r="Q108" s="43">
        <f t="shared" si="128"/>
        <v>0.72254948397164676</v>
      </c>
      <c r="R108" s="43">
        <f t="shared" si="128"/>
        <v>0.72168230273164402</v>
      </c>
      <c r="S108" s="43">
        <f t="shared" si="128"/>
        <v>0.7704252452934649</v>
      </c>
      <c r="T108" s="43">
        <f t="shared" si="128"/>
        <v>0.77836005317580714</v>
      </c>
      <c r="U108" s="43">
        <f t="shared" si="128"/>
        <v>0.77925698948285804</v>
      </c>
      <c r="V108" s="43">
        <f t="shared" si="128"/>
        <v>0.83530879497856603</v>
      </c>
      <c r="W108" s="43">
        <f t="shared" ref="W108" si="129">IF(W6=0,0,W6/W$4)</f>
        <v>0.77605421123130391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0.13636707277892343</v>
      </c>
      <c r="C109" s="43">
        <f t="shared" si="130"/>
        <v>0.13554346426240024</v>
      </c>
      <c r="D109" s="43">
        <f t="shared" ref="D109:V109" si="131">IF(D7=0,0,D7/D$4)</f>
        <v>0.1372834988578267</v>
      </c>
      <c r="E109" s="43">
        <f t="shared" si="131"/>
        <v>0.14011172131775704</v>
      </c>
      <c r="F109" s="43">
        <f t="shared" si="131"/>
        <v>0.1431048300286854</v>
      </c>
      <c r="G109" s="43">
        <f t="shared" si="131"/>
        <v>0.12257612612518268</v>
      </c>
      <c r="H109" s="43">
        <f t="shared" si="131"/>
        <v>0.1153328538390866</v>
      </c>
      <c r="I109" s="43">
        <f t="shared" si="131"/>
        <v>0.13960741163783547</v>
      </c>
      <c r="J109" s="43">
        <f t="shared" si="131"/>
        <v>0.17168618021908633</v>
      </c>
      <c r="K109" s="43">
        <f t="shared" si="131"/>
        <v>0.18337753882626984</v>
      </c>
      <c r="L109" s="43">
        <f t="shared" si="131"/>
        <v>0.21893889625352189</v>
      </c>
      <c r="M109" s="43">
        <f t="shared" si="131"/>
        <v>0.22274849777667899</v>
      </c>
      <c r="N109" s="43">
        <f t="shared" si="131"/>
        <v>0.23941620710834549</v>
      </c>
      <c r="O109" s="43">
        <f t="shared" si="131"/>
        <v>0.27094084962219966</v>
      </c>
      <c r="P109" s="43">
        <f t="shared" si="131"/>
        <v>0.2942257517179736</v>
      </c>
      <c r="Q109" s="43">
        <f t="shared" si="131"/>
        <v>0.26782846502639873</v>
      </c>
      <c r="R109" s="43">
        <f t="shared" si="131"/>
        <v>0.27061377996638147</v>
      </c>
      <c r="S109" s="43">
        <f t="shared" si="131"/>
        <v>0.21793229840676925</v>
      </c>
      <c r="T109" s="43">
        <f t="shared" si="131"/>
        <v>0.20950272226403896</v>
      </c>
      <c r="U109" s="43">
        <f t="shared" si="131"/>
        <v>0.20924683279453726</v>
      </c>
      <c r="V109" s="43">
        <f t="shared" si="131"/>
        <v>0.14849278508747774</v>
      </c>
      <c r="W109" s="43">
        <f t="shared" ref="W109" si="132">IF(W7=0,0,W7/W$4)</f>
        <v>0.20484093033708223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0.67476421967156786</v>
      </c>
      <c r="C112" s="44">
        <f t="shared" si="139"/>
        <v>0.4888792223540005</v>
      </c>
      <c r="D112" s="44">
        <f t="shared" ref="D112:V112" si="140">IF(D10=0,0,D10/D$8)</f>
        <v>0.46137467854812075</v>
      </c>
      <c r="E112" s="44">
        <f t="shared" si="140"/>
        <v>0.45405420998784468</v>
      </c>
      <c r="F112" s="44">
        <f t="shared" si="140"/>
        <v>0.4354490788537223</v>
      </c>
      <c r="G112" s="44">
        <f t="shared" si="140"/>
        <v>0.47142558406211649</v>
      </c>
      <c r="H112" s="44">
        <f t="shared" si="140"/>
        <v>0.47477575949913847</v>
      </c>
      <c r="I112" s="44">
        <f t="shared" si="140"/>
        <v>0.46327439889550087</v>
      </c>
      <c r="J112" s="44">
        <f t="shared" si="140"/>
        <v>0.51550041614726849</v>
      </c>
      <c r="K112" s="44">
        <f t="shared" si="140"/>
        <v>0.32850274112598038</v>
      </c>
      <c r="L112" s="44">
        <f t="shared" si="140"/>
        <v>0.20536272947793185</v>
      </c>
      <c r="M112" s="44">
        <f t="shared" si="140"/>
        <v>0.25963896689415278</v>
      </c>
      <c r="N112" s="44">
        <f t="shared" si="140"/>
        <v>0.57944717253690714</v>
      </c>
      <c r="O112" s="44">
        <f t="shared" si="140"/>
        <v>0.55009480026444302</v>
      </c>
      <c r="P112" s="44">
        <f t="shared" si="140"/>
        <v>0.4261057579659171</v>
      </c>
      <c r="Q112" s="44">
        <f t="shared" si="140"/>
        <v>0.23164878417335061</v>
      </c>
      <c r="R112" s="44">
        <f t="shared" si="140"/>
        <v>0.20131971791452563</v>
      </c>
      <c r="S112" s="44">
        <f t="shared" si="140"/>
        <v>0.19628092437863981</v>
      </c>
      <c r="T112" s="44">
        <f t="shared" si="140"/>
        <v>0.2847833322825789</v>
      </c>
      <c r="U112" s="44">
        <f t="shared" si="140"/>
        <v>0.5300643795722888</v>
      </c>
      <c r="V112" s="44">
        <f t="shared" si="140"/>
        <v>0.44802217644114151</v>
      </c>
      <c r="W112" s="44">
        <f t="shared" ref="W112" si="141">IF(W10=0,0,W10/W$8)</f>
        <v>0.47870181342440188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0.32523578032843214</v>
      </c>
      <c r="C113" s="45">
        <f t="shared" si="142"/>
        <v>0.51112077764599961</v>
      </c>
      <c r="D113" s="45">
        <f t="shared" ref="D113:V113" si="143">IF(D11=0,0,D11/D$8)</f>
        <v>0.53862532145187936</v>
      </c>
      <c r="E113" s="45">
        <f t="shared" si="143"/>
        <v>0.54594579001215526</v>
      </c>
      <c r="F113" s="45">
        <f t="shared" si="143"/>
        <v>0.5645509211462777</v>
      </c>
      <c r="G113" s="45">
        <f t="shared" si="143"/>
        <v>0.52857441593788357</v>
      </c>
      <c r="H113" s="45">
        <f t="shared" si="143"/>
        <v>0.52522424050086147</v>
      </c>
      <c r="I113" s="45">
        <f t="shared" si="143"/>
        <v>0.53672560110449907</v>
      </c>
      <c r="J113" s="45">
        <f t="shared" si="143"/>
        <v>0.48449958385273145</v>
      </c>
      <c r="K113" s="45">
        <f t="shared" si="143"/>
        <v>0.67149725887401956</v>
      </c>
      <c r="L113" s="45">
        <f t="shared" si="143"/>
        <v>0.79463727052206812</v>
      </c>
      <c r="M113" s="45">
        <f t="shared" si="143"/>
        <v>0.74036103310584711</v>
      </c>
      <c r="N113" s="45">
        <f t="shared" si="143"/>
        <v>0.42055282746309297</v>
      </c>
      <c r="O113" s="45">
        <f t="shared" si="143"/>
        <v>0.44990519973555704</v>
      </c>
      <c r="P113" s="45">
        <f t="shared" si="143"/>
        <v>0.57389424203408279</v>
      </c>
      <c r="Q113" s="45">
        <f t="shared" si="143"/>
        <v>0.76835121582664934</v>
      </c>
      <c r="R113" s="45">
        <f t="shared" si="143"/>
        <v>0.79868028208547437</v>
      </c>
      <c r="S113" s="45">
        <f t="shared" si="143"/>
        <v>0.80371907562136014</v>
      </c>
      <c r="T113" s="45">
        <f t="shared" si="143"/>
        <v>0.71521666771742098</v>
      </c>
      <c r="U113" s="45">
        <f t="shared" si="143"/>
        <v>0.46993562042771114</v>
      </c>
      <c r="V113" s="45">
        <f t="shared" si="143"/>
        <v>0.55197782355885838</v>
      </c>
      <c r="W113" s="45">
        <f t="shared" ref="W113" si="144">IF(W11=0,0,W11/W$8)</f>
        <v>0.52129818657559823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2.9437658815036221E-2</v>
      </c>
      <c r="C117" s="43">
        <f t="shared" si="148"/>
        <v>4.9016555986203164E-2</v>
      </c>
      <c r="D117" s="43">
        <f t="shared" ref="D117:V117" si="149">IF(D15=0,0,D15/D$14)</f>
        <v>2.4789485816286243E-2</v>
      </c>
      <c r="E117" s="43">
        <f t="shared" si="149"/>
        <v>1.7253226966859204E-2</v>
      </c>
      <c r="F117" s="43">
        <f t="shared" si="149"/>
        <v>1.4877068877508072E-2</v>
      </c>
      <c r="G117" s="43">
        <f t="shared" si="149"/>
        <v>1.3937024708320365E-2</v>
      </c>
      <c r="H117" s="43">
        <f t="shared" si="149"/>
        <v>1.7499940082137129E-2</v>
      </c>
      <c r="I117" s="43">
        <f t="shared" si="149"/>
        <v>2.3528926317936259E-2</v>
      </c>
      <c r="J117" s="43">
        <f t="shared" si="149"/>
        <v>2.5702029179825437E-2</v>
      </c>
      <c r="K117" s="43">
        <f t="shared" si="149"/>
        <v>2.5015626991353589E-2</v>
      </c>
      <c r="L117" s="43">
        <f t="shared" si="149"/>
        <v>2.1949691310397361E-2</v>
      </c>
      <c r="M117" s="43">
        <f t="shared" si="149"/>
        <v>2.7518708973742784E-2</v>
      </c>
      <c r="N117" s="43">
        <f t="shared" si="149"/>
        <v>2.7922560349685533E-2</v>
      </c>
      <c r="O117" s="43">
        <f t="shared" si="149"/>
        <v>2.1209842344596691E-2</v>
      </c>
      <c r="P117" s="43">
        <f t="shared" si="149"/>
        <v>1.7678751810079132E-2</v>
      </c>
      <c r="Q117" s="43">
        <f t="shared" si="149"/>
        <v>1.8096977764984812E-2</v>
      </c>
      <c r="R117" s="43">
        <f t="shared" si="149"/>
        <v>1.3977212334162357E-2</v>
      </c>
      <c r="S117" s="43">
        <f t="shared" si="149"/>
        <v>1.6631443833818385E-2</v>
      </c>
      <c r="T117" s="43">
        <f t="shared" si="149"/>
        <v>1.5667778893317285E-2</v>
      </c>
      <c r="U117" s="43">
        <f t="shared" si="149"/>
        <v>1.5276397876319951E-2</v>
      </c>
      <c r="V117" s="43">
        <f t="shared" si="149"/>
        <v>2.4513115668889845E-2</v>
      </c>
      <c r="W117" s="43">
        <f t="shared" ref="W117" si="150">IF(W15=0,0,W15/W$14)</f>
        <v>2.3619390049963558E-2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0.82543501990899038</v>
      </c>
      <c r="C118" s="43">
        <f t="shared" si="151"/>
        <v>0.80879230523549073</v>
      </c>
      <c r="D118" s="43">
        <f t="shared" ref="D118:V118" si="152">IF(D16=0,0,D16/D$14)</f>
        <v>0.82938367403603197</v>
      </c>
      <c r="E118" s="43">
        <f t="shared" si="152"/>
        <v>0.83582374240086688</v>
      </c>
      <c r="F118" s="43">
        <f t="shared" si="152"/>
        <v>0.83784221829706962</v>
      </c>
      <c r="G118" s="43">
        <f t="shared" si="152"/>
        <v>0.86068877034326208</v>
      </c>
      <c r="H118" s="43">
        <f t="shared" si="152"/>
        <v>0.86767052458084359</v>
      </c>
      <c r="I118" s="43">
        <f t="shared" si="152"/>
        <v>0.84289240158992451</v>
      </c>
      <c r="J118" s="43">
        <f t="shared" si="152"/>
        <v>0.80685985535078264</v>
      </c>
      <c r="K118" s="43">
        <f t="shared" si="152"/>
        <v>0.80178908951544159</v>
      </c>
      <c r="L118" s="43">
        <f t="shared" si="152"/>
        <v>0.77254116693065555</v>
      </c>
      <c r="M118" s="43">
        <f t="shared" si="152"/>
        <v>0.76064256664674834</v>
      </c>
      <c r="N118" s="43">
        <f t="shared" si="152"/>
        <v>0.74547310036422809</v>
      </c>
      <c r="O118" s="43">
        <f t="shared" si="152"/>
        <v>0.73161550379397333</v>
      </c>
      <c r="P118" s="43">
        <f t="shared" si="152"/>
        <v>0.70311446246332021</v>
      </c>
      <c r="Q118" s="43">
        <f t="shared" si="152"/>
        <v>0.70616221172927074</v>
      </c>
      <c r="R118" s="43">
        <f t="shared" si="152"/>
        <v>0.71414506660206145</v>
      </c>
      <c r="S118" s="43">
        <f t="shared" si="152"/>
        <v>0.75259630704161828</v>
      </c>
      <c r="T118" s="43">
        <f t="shared" si="152"/>
        <v>0.75007956265386155</v>
      </c>
      <c r="U118" s="43">
        <f t="shared" si="152"/>
        <v>0.74885122199964194</v>
      </c>
      <c r="V118" s="43">
        <f t="shared" si="152"/>
        <v>0.80601638687271149</v>
      </c>
      <c r="W118" s="43">
        <f t="shared" ref="W118" si="153">IF(W16=0,0,W16/W$14)</f>
        <v>0.74557340456000065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0.14512732127597347</v>
      </c>
      <c r="C119" s="43">
        <f t="shared" si="154"/>
        <v>0.14219113877830611</v>
      </c>
      <c r="D119" s="43">
        <f t="shared" ref="D119:V119" si="155">IF(D17=0,0,D17/D$14)</f>
        <v>0.14582684014768188</v>
      </c>
      <c r="E119" s="43">
        <f t="shared" si="155"/>
        <v>0.14692303063227399</v>
      </c>
      <c r="F119" s="43">
        <f t="shared" si="155"/>
        <v>0.14728071282542235</v>
      </c>
      <c r="G119" s="43">
        <f t="shared" si="155"/>
        <v>0.12537420494841756</v>
      </c>
      <c r="H119" s="43">
        <f t="shared" si="155"/>
        <v>0.11482953533701941</v>
      </c>
      <c r="I119" s="43">
        <f t="shared" si="155"/>
        <v>0.13357867209213933</v>
      </c>
      <c r="J119" s="43">
        <f t="shared" si="155"/>
        <v>0.16743811546939186</v>
      </c>
      <c r="K119" s="43">
        <f t="shared" si="155"/>
        <v>0.17319528349320484</v>
      </c>
      <c r="L119" s="43">
        <f t="shared" si="155"/>
        <v>0.20550914175894713</v>
      </c>
      <c r="M119" s="43">
        <f t="shared" si="155"/>
        <v>0.21183872437950899</v>
      </c>
      <c r="N119" s="43">
        <f t="shared" si="155"/>
        <v>0.22660433928608642</v>
      </c>
      <c r="O119" s="43">
        <f t="shared" si="155"/>
        <v>0.24717465386142995</v>
      </c>
      <c r="P119" s="43">
        <f t="shared" si="155"/>
        <v>0.27920678572660074</v>
      </c>
      <c r="Q119" s="43">
        <f t="shared" si="155"/>
        <v>0.2757408105057445</v>
      </c>
      <c r="R119" s="43">
        <f t="shared" si="155"/>
        <v>0.27187772106377617</v>
      </c>
      <c r="S119" s="43">
        <f t="shared" si="155"/>
        <v>0.23077224912456337</v>
      </c>
      <c r="T119" s="43">
        <f t="shared" si="155"/>
        <v>0.23425265845282114</v>
      </c>
      <c r="U119" s="43">
        <f t="shared" si="155"/>
        <v>0.23587238012403813</v>
      </c>
      <c r="V119" s="43">
        <f t="shared" si="155"/>
        <v>0.16947049745839862</v>
      </c>
      <c r="W119" s="43">
        <f t="shared" ref="W119" si="156">IF(W17=0,0,W17/W$14)</f>
        <v>0.23080720539003569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0.85331931574921815</v>
      </c>
      <c r="C122" s="44">
        <f t="shared" si="163"/>
        <v>0.72895756793715705</v>
      </c>
      <c r="D122" s="44">
        <f t="shared" ref="D122:V122" si="164">IF(D20=0,0,D20/D$18)</f>
        <v>0.7072798298718006</v>
      </c>
      <c r="E122" s="44">
        <f t="shared" si="164"/>
        <v>0.6759583924795175</v>
      </c>
      <c r="F122" s="44">
        <f t="shared" si="164"/>
        <v>0.67455410804179283</v>
      </c>
      <c r="G122" s="44">
        <f t="shared" si="164"/>
        <v>0.69605264587559257</v>
      </c>
      <c r="H122" s="44">
        <f t="shared" si="164"/>
        <v>0.72541484010896573</v>
      </c>
      <c r="I122" s="44">
        <f t="shared" si="164"/>
        <v>0.72022100737547479</v>
      </c>
      <c r="J122" s="44">
        <f t="shared" si="164"/>
        <v>0.76268878151775399</v>
      </c>
      <c r="K122" s="44">
        <f t="shared" si="164"/>
        <v>0.62107174022807177</v>
      </c>
      <c r="L122" s="44">
        <f t="shared" si="164"/>
        <v>0.46382471330596486</v>
      </c>
      <c r="M122" s="44">
        <f t="shared" si="164"/>
        <v>0.54246522597262614</v>
      </c>
      <c r="N122" s="44">
        <f t="shared" si="164"/>
        <v>0.81894662907978555</v>
      </c>
      <c r="O122" s="44">
        <f t="shared" si="164"/>
        <v>0.80371616393679424</v>
      </c>
      <c r="P122" s="44">
        <f t="shared" si="164"/>
        <v>0.71493228611977166</v>
      </c>
      <c r="Q122" s="44">
        <f t="shared" si="164"/>
        <v>0.50088875313265235</v>
      </c>
      <c r="R122" s="44">
        <f t="shared" si="164"/>
        <v>0.46292420348638319</v>
      </c>
      <c r="S122" s="44">
        <f t="shared" si="164"/>
        <v>0.46727912461151017</v>
      </c>
      <c r="T122" s="44">
        <f t="shared" si="164"/>
        <v>0.58514311485092019</v>
      </c>
      <c r="U122" s="44">
        <f t="shared" si="164"/>
        <v>0.79563153954602284</v>
      </c>
      <c r="V122" s="44">
        <f t="shared" si="164"/>
        <v>0.69494098805060023</v>
      </c>
      <c r="W122" s="44">
        <f t="shared" ref="W122" si="165">IF(W20=0,0,W20/W$18)</f>
        <v>0.7229504460564401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0.14668068425078179</v>
      </c>
      <c r="C123" s="45">
        <f t="shared" si="166"/>
        <v>0.27104243206284295</v>
      </c>
      <c r="D123" s="45">
        <f t="shared" ref="D123:V123" si="167">IF(D21=0,0,D21/D$18)</f>
        <v>0.29272017012819934</v>
      </c>
      <c r="E123" s="45">
        <f t="shared" si="167"/>
        <v>0.32404160752048256</v>
      </c>
      <c r="F123" s="45">
        <f t="shared" si="167"/>
        <v>0.32544589195820717</v>
      </c>
      <c r="G123" s="45">
        <f t="shared" si="167"/>
        <v>0.30394735412440749</v>
      </c>
      <c r="H123" s="45">
        <f t="shared" si="167"/>
        <v>0.27458515989103432</v>
      </c>
      <c r="I123" s="45">
        <f t="shared" si="167"/>
        <v>0.27977899262452521</v>
      </c>
      <c r="J123" s="45">
        <f t="shared" si="167"/>
        <v>0.23731121848224604</v>
      </c>
      <c r="K123" s="45">
        <f t="shared" si="167"/>
        <v>0.37892825977192818</v>
      </c>
      <c r="L123" s="45">
        <f t="shared" si="167"/>
        <v>0.53617528669403525</v>
      </c>
      <c r="M123" s="45">
        <f t="shared" si="167"/>
        <v>0.45753477402737375</v>
      </c>
      <c r="N123" s="45">
        <f t="shared" si="167"/>
        <v>0.1810533709202144</v>
      </c>
      <c r="O123" s="45">
        <f t="shared" si="167"/>
        <v>0.19628383606320585</v>
      </c>
      <c r="P123" s="45">
        <f t="shared" si="167"/>
        <v>0.28506771388022834</v>
      </c>
      <c r="Q123" s="45">
        <f t="shared" si="167"/>
        <v>0.49911124686734765</v>
      </c>
      <c r="R123" s="45">
        <f t="shared" si="167"/>
        <v>0.53707579651361681</v>
      </c>
      <c r="S123" s="45">
        <f t="shared" si="167"/>
        <v>0.53272087538848989</v>
      </c>
      <c r="T123" s="45">
        <f t="shared" si="167"/>
        <v>0.41485688514907976</v>
      </c>
      <c r="U123" s="45">
        <f t="shared" si="167"/>
        <v>0.20436846045397711</v>
      </c>
      <c r="V123" s="45">
        <f t="shared" si="167"/>
        <v>0.30505901194939972</v>
      </c>
      <c r="W123" s="45">
        <f t="shared" ref="W123" si="168">IF(W21=0,0,W21/W$18)</f>
        <v>0.27704955394355985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103.22441960447119</v>
      </c>
      <c r="C3" s="79">
        <f t="shared" si="0"/>
        <v>152.73482373172831</v>
      </c>
      <c r="D3" s="79">
        <f t="shared" ref="D3" si="1">SUM(D4:D5)</f>
        <v>154.84144453998283</v>
      </c>
      <c r="E3" s="79">
        <f t="shared" ref="E3" si="2">SUM(E4:E5)</f>
        <v>187.4940670679278</v>
      </c>
      <c r="F3" s="79">
        <f t="shared" ref="F3" si="3">SUM(F4:F5)</f>
        <v>173.04385210662088</v>
      </c>
      <c r="G3" s="79">
        <f t="shared" ref="G3" si="4">SUM(G4:G5)</f>
        <v>201.88108340498701</v>
      </c>
      <c r="H3" s="79">
        <f t="shared" ref="H3" si="5">SUM(H4:H5)</f>
        <v>204.95081685296654</v>
      </c>
      <c r="I3" s="79">
        <f t="shared" ref="I3" si="6">SUM(I4:I5)</f>
        <v>222.86715391229575</v>
      </c>
      <c r="J3" s="79">
        <f t="shared" ref="J3" si="7">SUM(J4:J5)</f>
        <v>224.94505588993977</v>
      </c>
      <c r="K3" s="79">
        <f t="shared" ref="K3" si="8">SUM(K4:K5)</f>
        <v>175.64729148753219</v>
      </c>
      <c r="L3" s="79">
        <f t="shared" ref="L3" si="9">SUM(L4:L5)</f>
        <v>182.83645743766124</v>
      </c>
      <c r="M3" s="79">
        <f t="shared" ref="M3" si="10">SUM(M4:M5)</f>
        <v>191.0527944969906</v>
      </c>
      <c r="N3" s="79">
        <f t="shared" ref="N3" si="11">SUM(N4:N5)</f>
        <v>174.62020636285476</v>
      </c>
      <c r="O3" s="79">
        <f t="shared" ref="O3" si="12">SUM(O4:O5)</f>
        <v>171.53912295786756</v>
      </c>
      <c r="P3" s="79">
        <f t="shared" ref="P3" si="13">SUM(P4:P5)</f>
        <v>178.72837489251935</v>
      </c>
      <c r="Q3" s="79">
        <f t="shared" ref="Q3" si="14">SUM(Q4:Q5)</f>
        <v>190.02570937231295</v>
      </c>
      <c r="R3" s="79">
        <f t="shared" ref="R3" si="15">SUM(R4:R5)</f>
        <v>232.11040412725706</v>
      </c>
      <c r="S3" s="79">
        <f t="shared" ref="S3" si="16">SUM(S4:S5)</f>
        <v>258.56766981943252</v>
      </c>
      <c r="T3" s="79">
        <f t="shared" ref="T3" si="17">SUM(T4:T5)</f>
        <v>273.58452278589846</v>
      </c>
      <c r="U3" s="79">
        <f t="shared" ref="U3" si="18">SUM(U4:U5)</f>
        <v>245.3837489251934</v>
      </c>
      <c r="V3" s="79">
        <f t="shared" ref="V3:W3" si="19">SUM(V4:V5)</f>
        <v>141.43680137575237</v>
      </c>
      <c r="W3" s="79">
        <f t="shared" si="19"/>
        <v>168.93276010318144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21.066208082545138</v>
      </c>
      <c r="C4" s="96">
        <f t="shared" si="20"/>
        <v>46.350472914875311</v>
      </c>
      <c r="D4" s="96">
        <f t="shared" ref="D4:V4" si="21">SUM(D7,D11)</f>
        <v>27.390885640584688</v>
      </c>
      <c r="E4" s="96">
        <f t="shared" si="21"/>
        <v>24.230954428202917</v>
      </c>
      <c r="F4" s="96">
        <f t="shared" si="21"/>
        <v>19.588220120378324</v>
      </c>
      <c r="G4" s="96">
        <f t="shared" si="21"/>
        <v>13.408770421324157</v>
      </c>
      <c r="H4" s="96">
        <f t="shared" si="21"/>
        <v>24.71771281169389</v>
      </c>
      <c r="I4" s="96">
        <f t="shared" si="21"/>
        <v>41.08151332760103</v>
      </c>
      <c r="J4" s="96">
        <f t="shared" si="21"/>
        <v>13.375322441960442</v>
      </c>
      <c r="K4" s="96">
        <f t="shared" si="21"/>
        <v>23.645743766122095</v>
      </c>
      <c r="L4" s="96">
        <f t="shared" si="21"/>
        <v>15.429406706792783</v>
      </c>
      <c r="M4" s="96">
        <f t="shared" si="21"/>
        <v>21.591659501289769</v>
      </c>
      <c r="N4" s="96">
        <f t="shared" si="21"/>
        <v>11.321238177128112</v>
      </c>
      <c r="O4" s="96">
        <f t="shared" si="21"/>
        <v>12.348323301805673</v>
      </c>
      <c r="P4" s="96">
        <f t="shared" si="21"/>
        <v>9.2672398968185714</v>
      </c>
      <c r="Q4" s="96">
        <f t="shared" si="21"/>
        <v>13.375322441960442</v>
      </c>
      <c r="R4" s="96">
        <f t="shared" si="21"/>
        <v>19.51367153912296</v>
      </c>
      <c r="S4" s="96">
        <f t="shared" si="21"/>
        <v>20.602063628546862</v>
      </c>
      <c r="T4" s="96">
        <f t="shared" si="21"/>
        <v>17.52476354256234</v>
      </c>
      <c r="U4" s="96">
        <f t="shared" si="21"/>
        <v>7.2072226999140145</v>
      </c>
      <c r="V4" s="96">
        <f t="shared" si="21"/>
        <v>3.8766981943250216</v>
      </c>
      <c r="W4" s="96">
        <f t="shared" ref="W4" si="22">SUM(W7,W11)</f>
        <v>5.0638005159071362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82.158211521926063</v>
      </c>
      <c r="C5" s="96">
        <f t="shared" si="23"/>
        <v>106.384350816853</v>
      </c>
      <c r="D5" s="96">
        <f t="shared" ref="D5:V5" si="24">SUM(D8:D9,D12:D13)</f>
        <v>127.45055889939813</v>
      </c>
      <c r="E5" s="96">
        <f t="shared" si="24"/>
        <v>163.26311263972488</v>
      </c>
      <c r="F5" s="96">
        <f t="shared" si="24"/>
        <v>153.45563198624254</v>
      </c>
      <c r="G5" s="96">
        <f t="shared" si="24"/>
        <v>188.47231298366285</v>
      </c>
      <c r="H5" s="96">
        <f t="shared" si="24"/>
        <v>180.23310404127264</v>
      </c>
      <c r="I5" s="96">
        <f t="shared" si="24"/>
        <v>181.7856405846947</v>
      </c>
      <c r="J5" s="96">
        <f t="shared" si="24"/>
        <v>211.56973344797933</v>
      </c>
      <c r="K5" s="96">
        <f t="shared" si="24"/>
        <v>152.00154772141011</v>
      </c>
      <c r="L5" s="96">
        <f t="shared" si="24"/>
        <v>167.40705073086846</v>
      </c>
      <c r="M5" s="96">
        <f t="shared" si="24"/>
        <v>169.46113499570083</v>
      </c>
      <c r="N5" s="96">
        <f t="shared" si="24"/>
        <v>163.29896818572664</v>
      </c>
      <c r="O5" s="96">
        <f t="shared" si="24"/>
        <v>159.1907996560619</v>
      </c>
      <c r="P5" s="96">
        <f t="shared" si="24"/>
        <v>169.46113499570077</v>
      </c>
      <c r="Q5" s="96">
        <f t="shared" si="24"/>
        <v>176.65038693035251</v>
      </c>
      <c r="R5" s="96">
        <f t="shared" si="24"/>
        <v>212.5967325881341</v>
      </c>
      <c r="S5" s="96">
        <f t="shared" si="24"/>
        <v>237.96560619088567</v>
      </c>
      <c r="T5" s="96">
        <f t="shared" si="24"/>
        <v>256.05975924333615</v>
      </c>
      <c r="U5" s="96">
        <f t="shared" si="24"/>
        <v>238.17652622527939</v>
      </c>
      <c r="V5" s="96">
        <f t="shared" si="24"/>
        <v>137.56010318142734</v>
      </c>
      <c r="W5" s="96">
        <f t="shared" ref="W5" si="25">SUM(W8:W9,W12:W13)</f>
        <v>163.8689595872743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101.51338567045326</v>
      </c>
      <c r="C6" s="21">
        <f t="shared" si="26"/>
        <v>151.46721017280083</v>
      </c>
      <c r="D6" s="21">
        <f t="shared" ref="D6:V6" si="27">SUM(D7:D9)</f>
        <v>153.40243067464263</v>
      </c>
      <c r="E6" s="21">
        <f t="shared" si="27"/>
        <v>185.9209248866201</v>
      </c>
      <c r="F6" s="21">
        <f t="shared" si="27"/>
        <v>171.36294919739379</v>
      </c>
      <c r="G6" s="21">
        <f t="shared" si="27"/>
        <v>199.66217144823906</v>
      </c>
      <c r="H6" s="21">
        <f t="shared" si="27"/>
        <v>202.70494083923319</v>
      </c>
      <c r="I6" s="21">
        <f t="shared" si="27"/>
        <v>220.56607989547186</v>
      </c>
      <c r="J6" s="21">
        <f t="shared" si="27"/>
        <v>222.18395042851841</v>
      </c>
      <c r="K6" s="21">
        <f t="shared" si="27"/>
        <v>173.36573512346629</v>
      </c>
      <c r="L6" s="21">
        <f t="shared" si="27"/>
        <v>179.78612892959489</v>
      </c>
      <c r="M6" s="21">
        <f t="shared" si="27"/>
        <v>188.64975148053969</v>
      </c>
      <c r="N6" s="21">
        <f t="shared" si="27"/>
        <v>172.71947697564798</v>
      </c>
      <c r="O6" s="21">
        <f t="shared" si="27"/>
        <v>169.55614218191158</v>
      </c>
      <c r="P6" s="21">
        <f t="shared" si="27"/>
        <v>176.62784462335247</v>
      </c>
      <c r="Q6" s="21">
        <f t="shared" si="27"/>
        <v>187.20014387642863</v>
      </c>
      <c r="R6" s="21">
        <f t="shared" si="27"/>
        <v>229.42202801925265</v>
      </c>
      <c r="S6" s="21">
        <f t="shared" si="27"/>
        <v>255.45983002858276</v>
      </c>
      <c r="T6" s="21">
        <f t="shared" si="27"/>
        <v>270.76859014350276</v>
      </c>
      <c r="U6" s="21">
        <f t="shared" si="27"/>
        <v>242.79635443098854</v>
      </c>
      <c r="V6" s="21">
        <f t="shared" si="27"/>
        <v>136.5019874854878</v>
      </c>
      <c r="W6" s="21">
        <f t="shared" ref="W6" si="28">SUM(W7:W9)</f>
        <v>164.99723084471006</v>
      </c>
      <c r="DA6" s="189" t="s">
        <v>279</v>
      </c>
    </row>
    <row r="7" spans="1:105" ht="11.45" customHeight="1" x14ac:dyDescent="0.25">
      <c r="A7" s="83" t="s">
        <v>27</v>
      </c>
      <c r="B7" s="96">
        <v>21.066208082545138</v>
      </c>
      <c r="C7" s="96">
        <v>46.350472914875311</v>
      </c>
      <c r="D7" s="96">
        <v>27.390885640584688</v>
      </c>
      <c r="E7" s="96">
        <v>24.230954428202917</v>
      </c>
      <c r="F7" s="96">
        <v>19.588220120378324</v>
      </c>
      <c r="G7" s="96">
        <v>13.408770421324157</v>
      </c>
      <c r="H7" s="96">
        <v>24.71771281169389</v>
      </c>
      <c r="I7" s="96">
        <v>41.08151332760103</v>
      </c>
      <c r="J7" s="96">
        <v>13.375322441960442</v>
      </c>
      <c r="K7" s="96">
        <v>23.645743766122095</v>
      </c>
      <c r="L7" s="96">
        <v>15.429406706792783</v>
      </c>
      <c r="M7" s="96">
        <v>21.591659501289769</v>
      </c>
      <c r="N7" s="96">
        <v>11.321238177128112</v>
      </c>
      <c r="O7" s="96">
        <v>12.348323301805673</v>
      </c>
      <c r="P7" s="96">
        <v>9.2672398968185714</v>
      </c>
      <c r="Q7" s="96">
        <v>13.375322441960442</v>
      </c>
      <c r="R7" s="96">
        <v>19.51367153912296</v>
      </c>
      <c r="S7" s="96">
        <v>20.602063628546862</v>
      </c>
      <c r="T7" s="96">
        <v>17.52476354256234</v>
      </c>
      <c r="U7" s="96">
        <v>7.2072226999140145</v>
      </c>
      <c r="V7" s="96">
        <v>3.8766981943250216</v>
      </c>
      <c r="W7" s="96">
        <v>5.0638005159071362</v>
      </c>
      <c r="DA7" s="171" t="s">
        <v>280</v>
      </c>
    </row>
    <row r="8" spans="1:105" ht="11.45" customHeight="1" x14ac:dyDescent="0.25">
      <c r="A8" s="83" t="s">
        <v>173</v>
      </c>
      <c r="B8" s="96">
        <v>67.227030608254381</v>
      </c>
      <c r="C8" s="96">
        <v>87.843594182371305</v>
      </c>
      <c r="D8" s="96">
        <v>105.30305104916533</v>
      </c>
      <c r="E8" s="96">
        <v>135.12362219854248</v>
      </c>
      <c r="F8" s="96">
        <v>126.83707675881537</v>
      </c>
      <c r="G8" s="96">
        <v>157.35062485133329</v>
      </c>
      <c r="H8" s="96">
        <v>152.2931448270736</v>
      </c>
      <c r="I8" s="96">
        <v>153.94527072825196</v>
      </c>
      <c r="J8" s="96">
        <v>178.30563450758149</v>
      </c>
      <c r="K8" s="96">
        <v>126.23692651954963</v>
      </c>
      <c r="L8" s="96">
        <v>138.11826250997848</v>
      </c>
      <c r="M8" s="96">
        <v>140.49167255199444</v>
      </c>
      <c r="N8" s="96">
        <v>135.37737480582507</v>
      </c>
      <c r="O8" s="96">
        <v>132.10507784162471</v>
      </c>
      <c r="P8" s="96">
        <v>140.85147448933182</v>
      </c>
      <c r="Q8" s="96">
        <v>146.75802801483778</v>
      </c>
      <c r="R8" s="96">
        <v>180.50335731523808</v>
      </c>
      <c r="S8" s="96">
        <v>204.18929686788502</v>
      </c>
      <c r="T8" s="96">
        <v>219.91799777768978</v>
      </c>
      <c r="U8" s="96">
        <v>204.15365415173855</v>
      </c>
      <c r="V8" s="96">
        <v>109.24265228643065</v>
      </c>
      <c r="W8" s="96">
        <v>133.80478500588163</v>
      </c>
      <c r="DA8" s="171" t="s">
        <v>281</v>
      </c>
    </row>
    <row r="9" spans="1:105" ht="11.45" customHeight="1" x14ac:dyDescent="0.25">
      <c r="A9" s="83" t="s">
        <v>174</v>
      </c>
      <c r="B9" s="96">
        <v>13.220146979653752</v>
      </c>
      <c r="C9" s="96">
        <v>17.273143075554216</v>
      </c>
      <c r="D9" s="96">
        <v>20.708493984892627</v>
      </c>
      <c r="E9" s="96">
        <v>26.566348259874708</v>
      </c>
      <c r="F9" s="96">
        <v>24.937652318200097</v>
      </c>
      <c r="G9" s="96">
        <v>28.902776175581618</v>
      </c>
      <c r="H9" s="96">
        <v>25.694083200465673</v>
      </c>
      <c r="I9" s="96">
        <v>25.53929583961887</v>
      </c>
      <c r="J9" s="96">
        <v>30.502993478976499</v>
      </c>
      <c r="K9" s="96">
        <v>23.483064837794558</v>
      </c>
      <c r="L9" s="96">
        <v>26.238459712823634</v>
      </c>
      <c r="M9" s="96">
        <v>26.566419427255472</v>
      </c>
      <c r="N9" s="96">
        <v>26.020863992694792</v>
      </c>
      <c r="O9" s="96">
        <v>25.102741038481224</v>
      </c>
      <c r="P9" s="96">
        <v>26.509130237202069</v>
      </c>
      <c r="Q9" s="96">
        <v>27.066793419630415</v>
      </c>
      <c r="R9" s="96">
        <v>29.404999164891631</v>
      </c>
      <c r="S9" s="96">
        <v>30.668469532150869</v>
      </c>
      <c r="T9" s="96">
        <v>33.325828823250667</v>
      </c>
      <c r="U9" s="96">
        <v>31.435477579335984</v>
      </c>
      <c r="V9" s="96">
        <v>23.382637004732125</v>
      </c>
      <c r="W9" s="96">
        <v>26.128645322921294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1.7110339340179301</v>
      </c>
      <c r="C10" s="22">
        <f t="shared" si="29"/>
        <v>1.267613558927476</v>
      </c>
      <c r="D10" s="22">
        <f t="shared" ref="D10:V10" si="30">SUM(D11:D13)</f>
        <v>1.4390138653401661</v>
      </c>
      <c r="E10" s="22">
        <f t="shared" si="30"/>
        <v>1.5731421813076876</v>
      </c>
      <c r="F10" s="22">
        <f t="shared" si="30"/>
        <v>1.6809029092270413</v>
      </c>
      <c r="G10" s="22">
        <f t="shared" si="30"/>
        <v>2.2189119567479523</v>
      </c>
      <c r="H10" s="22">
        <f t="shared" si="30"/>
        <v>2.2458760137333464</v>
      </c>
      <c r="I10" s="22">
        <f t="shared" si="30"/>
        <v>2.3010740168238923</v>
      </c>
      <c r="J10" s="22">
        <f t="shared" si="30"/>
        <v>2.7611054614213764</v>
      </c>
      <c r="K10" s="22">
        <f t="shared" si="30"/>
        <v>2.2815563640659207</v>
      </c>
      <c r="L10" s="22">
        <f t="shared" si="30"/>
        <v>3.0503285080663201</v>
      </c>
      <c r="M10" s="22">
        <f t="shared" si="30"/>
        <v>2.4030430164509013</v>
      </c>
      <c r="N10" s="22">
        <f t="shared" si="30"/>
        <v>1.9007293872067768</v>
      </c>
      <c r="O10" s="22">
        <f t="shared" si="30"/>
        <v>1.982980775955963</v>
      </c>
      <c r="P10" s="22">
        <f t="shared" si="30"/>
        <v>2.1005302691668968</v>
      </c>
      <c r="Q10" s="22">
        <f t="shared" si="30"/>
        <v>2.8255654958843346</v>
      </c>
      <c r="R10" s="22">
        <f t="shared" si="30"/>
        <v>2.6883761080044075</v>
      </c>
      <c r="S10" s="22">
        <f t="shared" si="30"/>
        <v>3.1078397908497628</v>
      </c>
      <c r="T10" s="22">
        <f t="shared" si="30"/>
        <v>2.8159326423957118</v>
      </c>
      <c r="U10" s="22">
        <f t="shared" si="30"/>
        <v>2.5873944942048448</v>
      </c>
      <c r="V10" s="22">
        <f t="shared" si="30"/>
        <v>4.9348138902645484</v>
      </c>
      <c r="W10" s="22">
        <f t="shared" ref="W10" si="31">SUM(W11:W13)</f>
        <v>3.935529258471381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1.4273876286651459</v>
      </c>
      <c r="C12" s="97">
        <v>0.88630059634270963</v>
      </c>
      <c r="D12" s="97">
        <v>0.97318106405439786</v>
      </c>
      <c r="E12" s="97">
        <v>1.01166616880942</v>
      </c>
      <c r="F12" s="97">
        <v>1.0784734062494232</v>
      </c>
      <c r="G12" s="97">
        <v>1.4044423988918588</v>
      </c>
      <c r="H12" s="97">
        <v>1.483283781544247</v>
      </c>
      <c r="I12" s="97">
        <v>1.6086308413061547</v>
      </c>
      <c r="J12" s="97">
        <v>2.1705154284726529</v>
      </c>
      <c r="K12" s="97">
        <v>1.456988911602429</v>
      </c>
      <c r="L12" s="97">
        <v>1.5643874850792852</v>
      </c>
      <c r="M12" s="97">
        <v>1.4765396462065332</v>
      </c>
      <c r="N12" s="97">
        <v>1.6032549758372425</v>
      </c>
      <c r="O12" s="97">
        <v>1.6916265290443748</v>
      </c>
      <c r="P12" s="97">
        <v>1.7107242889422154</v>
      </c>
      <c r="Q12" s="97">
        <v>1.8217667768372046</v>
      </c>
      <c r="R12" s="97">
        <v>1.690944680339324</v>
      </c>
      <c r="S12" s="97">
        <v>1.8555472812608289</v>
      </c>
      <c r="T12" s="97">
        <v>1.9765350961249164</v>
      </c>
      <c r="U12" s="97">
        <v>2.1633530786118915</v>
      </c>
      <c r="V12" s="97">
        <v>3.1959689842137147</v>
      </c>
      <c r="W12" s="97">
        <v>3.0096139054952809</v>
      </c>
      <c r="DA12" s="175" t="s">
        <v>285</v>
      </c>
    </row>
    <row r="13" spans="1:105" ht="11.45" customHeight="1" x14ac:dyDescent="0.25">
      <c r="A13" s="85" t="s">
        <v>174</v>
      </c>
      <c r="B13" s="98">
        <v>0.28364630535278418</v>
      </c>
      <c r="C13" s="98">
        <v>0.38131296258476638</v>
      </c>
      <c r="D13" s="98">
        <v>0.46583280128576821</v>
      </c>
      <c r="E13" s="98">
        <v>0.56147601249826762</v>
      </c>
      <c r="F13" s="98">
        <v>0.6024295029776181</v>
      </c>
      <c r="G13" s="98">
        <v>0.81446955785609354</v>
      </c>
      <c r="H13" s="98">
        <v>0.76259223218909955</v>
      </c>
      <c r="I13" s="98">
        <v>0.69244317551773737</v>
      </c>
      <c r="J13" s="98">
        <v>0.59059003294872336</v>
      </c>
      <c r="K13" s="98">
        <v>0.82456745246349172</v>
      </c>
      <c r="L13" s="98">
        <v>1.4859410229870351</v>
      </c>
      <c r="M13" s="98">
        <v>0.92650337024436791</v>
      </c>
      <c r="N13" s="98">
        <v>0.29747441136953423</v>
      </c>
      <c r="O13" s="98">
        <v>0.29135424691158812</v>
      </c>
      <c r="P13" s="98">
        <v>0.38980598022468155</v>
      </c>
      <c r="Q13" s="98">
        <v>1.0037987190471298</v>
      </c>
      <c r="R13" s="98">
        <v>0.99743142766508341</v>
      </c>
      <c r="S13" s="98">
        <v>1.2522925095889341</v>
      </c>
      <c r="T13" s="98">
        <v>0.83939754627079555</v>
      </c>
      <c r="U13" s="98">
        <v>0.42404141559295327</v>
      </c>
      <c r="V13" s="98">
        <v>1.7388449060508337</v>
      </c>
      <c r="W13" s="98">
        <v>0.92591535297610017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615.43671935591613</v>
      </c>
      <c r="C17" s="62">
        <f>IF(C3=0,0,C3/TrAvia_act!C13*100)</f>
        <v>694.17141848675101</v>
      </c>
      <c r="D17" s="62">
        <f>IF(D3=0,0,D3/TrAvia_act!D13*100)</f>
        <v>601.92354807002789</v>
      </c>
      <c r="E17" s="62">
        <f>IF(E3=0,0,E3/TrAvia_act!E13*100)</f>
        <v>573.57898856948009</v>
      </c>
      <c r="F17" s="62">
        <f>IF(F3=0,0,F3/TrAvia_act!F13*100)</f>
        <v>563.33610678359912</v>
      </c>
      <c r="G17" s="62">
        <f>IF(G3=0,0,G3/TrAvia_act!G13*100)</f>
        <v>563.86541298024099</v>
      </c>
      <c r="H17" s="62">
        <f>IF(H3=0,0,H3/TrAvia_act!H13*100)</f>
        <v>488.15562149597787</v>
      </c>
      <c r="I17" s="62">
        <f>IF(I3=0,0,I3/TrAvia_act!I13*100)</f>
        <v>495.30078696760819</v>
      </c>
      <c r="J17" s="62">
        <f>IF(J3=0,0,J3/TrAvia_act!J13*100)</f>
        <v>484.1575169167416</v>
      </c>
      <c r="K17" s="62">
        <f>IF(K3=0,0,K3/TrAvia_act!K13*100)</f>
        <v>415.14802453614186</v>
      </c>
      <c r="L17" s="62">
        <f>IF(L3=0,0,L3/TrAvia_act!L13*100)</f>
        <v>406.34344664911424</v>
      </c>
      <c r="M17" s="62">
        <f>IF(M3=0,0,M3/TrAvia_act!M13*100)</f>
        <v>421.88902960682083</v>
      </c>
      <c r="N17" s="62">
        <f>IF(N3=0,0,N3/TrAvia_act!N13*100)</f>
        <v>407.05285879259208</v>
      </c>
      <c r="O17" s="62">
        <f>IF(O3=0,0,O3/TrAvia_act!O13*100)</f>
        <v>400.28029971421989</v>
      </c>
      <c r="P17" s="62">
        <f>IF(P3=0,0,P3/TrAvia_act!P13*100)</f>
        <v>385.87512544698427</v>
      </c>
      <c r="Q17" s="62">
        <f>IF(Q3=0,0,Q3/TrAvia_act!Q13*100)</f>
        <v>403.2715706557122</v>
      </c>
      <c r="R17" s="62">
        <f>IF(R3=0,0,R3/TrAvia_act!R13*100)</f>
        <v>402.88586987790148</v>
      </c>
      <c r="S17" s="62">
        <f>IF(S3=0,0,S3/TrAvia_act!S13*100)</f>
        <v>407.7426156914421</v>
      </c>
      <c r="T17" s="62">
        <f>IF(T3=0,0,T3/TrAvia_act!T13*100)</f>
        <v>399.57583704741705</v>
      </c>
      <c r="U17" s="62">
        <f>IF(U3=0,0,U3/TrAvia_act!U13*100)</f>
        <v>378.54225904545547</v>
      </c>
      <c r="V17" s="62">
        <f>IF(V3=0,0,V3/TrAvia_act!V13*100)</f>
        <v>513.48538248922478</v>
      </c>
      <c r="W17" s="62">
        <f>IF(W3=0,0,W3/TrAvia_act!W13*100)</f>
        <v>481.16091911109089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616.34973215709283</v>
      </c>
      <c r="C18" s="14">
        <f>IF(C6=0,0,C6/TrAvia_act!C14*100)</f>
        <v>695.30682656985596</v>
      </c>
      <c r="D18" s="14">
        <f>IF(D6=0,0,D6/TrAvia_act!D14*100)</f>
        <v>602.1105212594033</v>
      </c>
      <c r="E18" s="14">
        <f>IF(E6=0,0,E6/TrAvia_act!E14*100)</f>
        <v>573.48130073606126</v>
      </c>
      <c r="F18" s="14">
        <f>IF(F6=0,0,F6/TrAvia_act!F14*100)</f>
        <v>563.13983987319853</v>
      </c>
      <c r="G18" s="14">
        <f>IF(G6=0,0,G6/TrAvia_act!G14*100)</f>
        <v>563.2449740142373</v>
      </c>
      <c r="H18" s="14">
        <f>IF(H6=0,0,H6/TrAvia_act!H14*100)</f>
        <v>487.99666509201484</v>
      </c>
      <c r="I18" s="14">
        <f>IF(I6=0,0,I6/TrAvia_act!I14*100)</f>
        <v>495.65276636772734</v>
      </c>
      <c r="J18" s="14">
        <f>IF(J6=0,0,J6/TrAvia_act!J14*100)</f>
        <v>483.79821236749649</v>
      </c>
      <c r="K18" s="14">
        <f>IF(K6=0,0,K6/TrAvia_act!K14*100)</f>
        <v>415.21312478563675</v>
      </c>
      <c r="L18" s="14">
        <f>IF(L6=0,0,L6/TrAvia_act!L14*100)</f>
        <v>406.39825673109982</v>
      </c>
      <c r="M18" s="14">
        <f>IF(M6=0,0,M6/TrAvia_act!M14*100)</f>
        <v>421.94481428111897</v>
      </c>
      <c r="N18" s="14">
        <f>IF(N6=0,0,N6/TrAvia_act!N14*100)</f>
        <v>406.27514628962632</v>
      </c>
      <c r="O18" s="14">
        <f>IF(O6=0,0,O6/TrAvia_act!O14*100)</f>
        <v>399.64876037167448</v>
      </c>
      <c r="P18" s="14">
        <f>IF(P6=0,0,P6/TrAvia_act!P14*100)</f>
        <v>385.38136618995384</v>
      </c>
      <c r="Q18" s="14">
        <f>IF(Q6=0,0,Q6/TrAvia_act!Q14*100)</f>
        <v>403.52420039769737</v>
      </c>
      <c r="R18" s="14">
        <f>IF(R6=0,0,R6/TrAvia_act!R14*100)</f>
        <v>403.59882873381628</v>
      </c>
      <c r="S18" s="14">
        <f>IF(S6=0,0,S6/TrAvia_act!S14*100)</f>
        <v>408.55693053417718</v>
      </c>
      <c r="T18" s="14">
        <f>IF(T6=0,0,T6/TrAvia_act!T14*100)</f>
        <v>400.02129410555096</v>
      </c>
      <c r="U18" s="14">
        <f>IF(U6=0,0,U6/TrAvia_act!U14*100)</f>
        <v>378.45112598862391</v>
      </c>
      <c r="V18" s="14">
        <f>IF(V6=0,0,V6/TrAvia_act!V14*100)</f>
        <v>510.19479628263042</v>
      </c>
      <c r="W18" s="14">
        <f>IF(W6=0,0,W6/TrAvia_act!W14*100)</f>
        <v>479.95444977416366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4344.9721906345676</v>
      </c>
      <c r="C19" s="87">
        <f>IF(C7=0,0,C7/TrAvia_act!C15*100)</f>
        <v>4340.7946697214329</v>
      </c>
      <c r="D19" s="87">
        <f>IF(D7=0,0,D7/TrAvia_act!D15*100)</f>
        <v>4336.9311833747133</v>
      </c>
      <c r="E19" s="87">
        <f>IF(E7=0,0,E7/TrAvia_act!E15*100)</f>
        <v>4332.0272092122259</v>
      </c>
      <c r="F19" s="87">
        <f>IF(F7=0,0,F7/TrAvia_act!F15*100)</f>
        <v>4326.9006866570362</v>
      </c>
      <c r="G19" s="87">
        <f>IF(G7=0,0,G7/TrAvia_act!G15*100)</f>
        <v>2714.066097593859</v>
      </c>
      <c r="H19" s="87">
        <f>IF(H7=0,0,H7/TrAvia_act!H15*100)</f>
        <v>3400.354840990135</v>
      </c>
      <c r="I19" s="87">
        <f>IF(I7=0,0,I7/TrAvia_act!I15*100)</f>
        <v>3923.5856144254863</v>
      </c>
      <c r="J19" s="87">
        <f>IF(J7=0,0,J7/TrAvia_act!J15*100)</f>
        <v>1133.1526615749074</v>
      </c>
      <c r="K19" s="87">
        <f>IF(K7=0,0,K7/TrAvia_act!K15*100)</f>
        <v>2263.8591039345688</v>
      </c>
      <c r="L19" s="87">
        <f>IF(L7=0,0,L7/TrAvia_act!L15*100)</f>
        <v>1588.9728064248325</v>
      </c>
      <c r="M19" s="87">
        <f>IF(M7=0,0,M7/TrAvia_act!M15*100)</f>
        <v>1754.920243936911</v>
      </c>
      <c r="N19" s="87">
        <f>IF(N7=0,0,N7/TrAvia_act!N15*100)</f>
        <v>953.71284097574824</v>
      </c>
      <c r="O19" s="87">
        <f>IF(O7=0,0,O7/TrAvia_act!O15*100)</f>
        <v>1372.2571259555086</v>
      </c>
      <c r="P19" s="87">
        <f>IF(P7=0,0,P7/TrAvia_act!P15*100)</f>
        <v>1143.7480045691325</v>
      </c>
      <c r="Q19" s="87">
        <f>IF(Q7=0,0,Q7/TrAvia_act!Q15*100)</f>
        <v>1593.1681481982273</v>
      </c>
      <c r="R19" s="87">
        <f>IF(R7=0,0,R7/TrAvia_act!R15*100)</f>
        <v>2456.0274164141042</v>
      </c>
      <c r="S19" s="87">
        <f>IF(S7=0,0,S7/TrAvia_act!S15*100)</f>
        <v>1981.1197786364432</v>
      </c>
      <c r="T19" s="87">
        <f>IF(T7=0,0,T7/TrAvia_act!T15*100)</f>
        <v>1652.4546883595622</v>
      </c>
      <c r="U19" s="87">
        <f>IF(U7=0,0,U7/TrAvia_act!U15*100)</f>
        <v>735.38475226725063</v>
      </c>
      <c r="V19" s="87">
        <f>IF(V7=0,0,V7/TrAvia_act!V15*100)</f>
        <v>591.09941206506755</v>
      </c>
      <c r="W19" s="87">
        <f>IF(W7=0,0,W7/TrAvia_act!W15*100)</f>
        <v>623.6361438971187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494.4984535350988</v>
      </c>
      <c r="C20" s="87">
        <f>IF(C8=0,0,C8/TrAvia_act!C16*100)</f>
        <v>498.57552259998153</v>
      </c>
      <c r="D20" s="87">
        <f>IF(D8=0,0,D8/TrAvia_act!D16*100)</f>
        <v>498.34424509119953</v>
      </c>
      <c r="E20" s="87">
        <f>IF(E8=0,0,E8/TrAvia_act!E16*100)</f>
        <v>498.66348236197507</v>
      </c>
      <c r="F20" s="87">
        <f>IF(F8=0,0,F8/TrAvia_act!F16*100)</f>
        <v>497.48880122724898</v>
      </c>
      <c r="G20" s="87">
        <f>IF(G8=0,0,G8/TrAvia_act!G16*100)</f>
        <v>515.73175189177277</v>
      </c>
      <c r="H20" s="87">
        <f>IF(H8=0,0,H8/TrAvia_act!H16*100)</f>
        <v>422.54992604482374</v>
      </c>
      <c r="I20" s="87">
        <f>IF(I8=0,0,I8/TrAvia_act!I16*100)</f>
        <v>410.42425898258284</v>
      </c>
      <c r="J20" s="87">
        <f>IF(J8=0,0,J8/TrAvia_act!J16*100)</f>
        <v>481.19215048836656</v>
      </c>
      <c r="K20" s="87">
        <f>IF(K8=0,0,K8/TrAvia_act!K16*100)</f>
        <v>377.08050286129776</v>
      </c>
      <c r="L20" s="87">
        <f>IF(L8=0,0,L8/TrAvia_act!L16*100)</f>
        <v>404.13375861874795</v>
      </c>
      <c r="M20" s="87">
        <f>IF(M8=0,0,M8/TrAvia_act!M16*100)</f>
        <v>413.11348694353313</v>
      </c>
      <c r="N20" s="87">
        <f>IF(N8=0,0,N8/TrAvia_act!N16*100)</f>
        <v>427.1624338122553</v>
      </c>
      <c r="O20" s="87">
        <f>IF(O8=0,0,O8/TrAvia_act!O16*100)</f>
        <v>425.59993666799801</v>
      </c>
      <c r="P20" s="87">
        <f>IF(P8=0,0,P8/TrAvia_act!P16*100)</f>
        <v>437.086013263925</v>
      </c>
      <c r="Q20" s="87">
        <f>IF(Q8=0,0,Q8/TrAvia_act!Q16*100)</f>
        <v>447.98224427646574</v>
      </c>
      <c r="R20" s="87">
        <f>IF(R8=0,0,R8/TrAvia_act!R16*100)</f>
        <v>444.64521846116696</v>
      </c>
      <c r="S20" s="87">
        <f>IF(S8=0,0,S8/TrAvia_act!S16*100)</f>
        <v>433.91119369562273</v>
      </c>
      <c r="T20" s="87">
        <f>IF(T8=0,0,T8/TrAvia_act!T16*100)</f>
        <v>433.1499486597686</v>
      </c>
      <c r="U20" s="87">
        <f>IF(U8=0,0,U8/TrAvia_act!U16*100)</f>
        <v>424.94160619830961</v>
      </c>
      <c r="V20" s="87">
        <f>IF(V8=0,0,V8/TrAvia_act!V16*100)</f>
        <v>506.57693765990876</v>
      </c>
      <c r="W20" s="87">
        <f>IF(W8=0,0,W8/TrAvia_act!W16*100)</f>
        <v>522.04098891311719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553.08388319954111</v>
      </c>
      <c r="C21" s="87">
        <f>IF(C9=0,0,C9/TrAvia_act!C17*100)</f>
        <v>557.64357779594582</v>
      </c>
      <c r="D21" s="87">
        <f>IF(D9=0,0,D9/TrAvia_act!D17*100)</f>
        <v>557.3846775542761</v>
      </c>
      <c r="E21" s="87">
        <f>IF(E9=0,0,E9/TrAvia_act!E17*100)</f>
        <v>557.74151737704381</v>
      </c>
      <c r="F21" s="87">
        <f>IF(F9=0,0,F9/TrAvia_act!F17*100)</f>
        <v>556.42804791837557</v>
      </c>
      <c r="G21" s="87">
        <f>IF(G9=0,0,G9/TrAvia_act!G17*100)</f>
        <v>650.32867345317425</v>
      </c>
      <c r="H21" s="87">
        <f>IF(H9=0,0,H9/TrAvia_act!H17*100)</f>
        <v>538.68147199435703</v>
      </c>
      <c r="I21" s="87">
        <f>IF(I9=0,0,I9/TrAvia_act!I17*100)</f>
        <v>429.64583582335473</v>
      </c>
      <c r="J21" s="87">
        <f>IF(J9=0,0,J9/TrAvia_act!J17*100)</f>
        <v>396.67945658208049</v>
      </c>
      <c r="K21" s="87">
        <f>IF(K9=0,0,K9/TrAvia_act!K17*100)</f>
        <v>324.73307403692291</v>
      </c>
      <c r="L21" s="87">
        <f>IF(L9=0,0,L9/TrAvia_act!L17*100)</f>
        <v>288.60433235436534</v>
      </c>
      <c r="M21" s="87">
        <f>IF(M9=0,0,M9/TrAvia_act!M17*100)</f>
        <v>280.49626887160412</v>
      </c>
      <c r="N21" s="87">
        <f>IF(N9=0,0,N9/TrAvia_act!N17*100)</f>
        <v>270.10488074010914</v>
      </c>
      <c r="O21" s="87">
        <f>IF(O9=0,0,O9/TrAvia_act!O17*100)</f>
        <v>239.37685385427412</v>
      </c>
      <c r="P21" s="87">
        <f>IF(P9=0,0,P9/TrAvia_act!P17*100)</f>
        <v>207.15768661238533</v>
      </c>
      <c r="Q21" s="87">
        <f>IF(Q9=0,0,Q9/TrAvia_act!Q17*100)</f>
        <v>211.5919631306991</v>
      </c>
      <c r="R21" s="87">
        <f>IF(R9=0,0,R9/TrAvia_act!R17*100)</f>
        <v>190.26650172523489</v>
      </c>
      <c r="S21" s="87">
        <f>IF(S9=0,0,S9/TrAvia_act!S17*100)</f>
        <v>212.53892716492908</v>
      </c>
      <c r="T21" s="87">
        <f>IF(T9=0,0,T9/TrAvia_act!T17*100)</f>
        <v>210.17509764040489</v>
      </c>
      <c r="U21" s="87">
        <f>IF(U9=0,0,U9/TrAvia_act!U17*100)</f>
        <v>207.73544920752718</v>
      </c>
      <c r="V21" s="87">
        <f>IF(V9=0,0,V9/TrAvia_act!V17*100)</f>
        <v>515.69917105269542</v>
      </c>
      <c r="W21" s="87">
        <f>IF(W9=0,0,W9/TrAvia_act!W17*100)</f>
        <v>329.29936866546899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565.71858839055244</v>
      </c>
      <c r="C22" s="15">
        <f>IF(C10=0,0,C10/TrAvia_act!C18*100)</f>
        <v>580.83706729925973</v>
      </c>
      <c r="D22" s="15">
        <f>IF(D10=0,0,D10/TrAvia_act!D18*100)</f>
        <v>582.63640078982803</v>
      </c>
      <c r="E22" s="15">
        <f>IF(E10=0,0,E10/TrAvia_act!E18*100)</f>
        <v>585.36337726430384</v>
      </c>
      <c r="F22" s="15">
        <f>IF(F10=0,0,F10/TrAvia_act!F18*100)</f>
        <v>584.0892728935172</v>
      </c>
      <c r="G22" s="15">
        <f>IF(G10=0,0,G10/TrAvia_act!G18*100)</f>
        <v>625.90452154726086</v>
      </c>
      <c r="H22" s="15">
        <f>IF(H10=0,0,H10/TrAvia_act!H18*100)</f>
        <v>502.94185331088516</v>
      </c>
      <c r="I22" s="15">
        <f>IF(I10=0,0,I10/TrAvia_act!I18*100)</f>
        <v>463.73492498393142</v>
      </c>
      <c r="J22" s="15">
        <f>IF(J10=0,0,J10/TrAvia_act!J18*100)</f>
        <v>514.93103990859584</v>
      </c>
      <c r="K22" s="15">
        <f>IF(K10=0,0,K10/TrAvia_act!K18*100)</f>
        <v>410.2603398745174</v>
      </c>
      <c r="L22" s="15">
        <f>IF(L10=0,0,L10/TrAvia_act!L18*100)</f>
        <v>403.13885394159803</v>
      </c>
      <c r="M22" s="15">
        <f>IF(M10=0,0,M10/TrAvia_act!M18*100)</f>
        <v>417.55523945961778</v>
      </c>
      <c r="N22" s="15">
        <f>IF(N10=0,0,N10/TrAvia_act!N18*100)</f>
        <v>492.76914752748235</v>
      </c>
      <c r="O22" s="15">
        <f>IF(O10=0,0,O10/TrAvia_act!O18*100)</f>
        <v>462.8155521850087</v>
      </c>
      <c r="P22" s="15">
        <f>IF(P10=0,0,P10/TrAvia_act!P18*100)</f>
        <v>432.4667058617016</v>
      </c>
      <c r="Q22" s="15">
        <f>IF(Q10=0,0,Q10/TrAvia_act!Q18*100)</f>
        <v>387.21091454799523</v>
      </c>
      <c r="R22" s="15">
        <f>IF(R10=0,0,R10/TrAvia_act!R18*100)</f>
        <v>350.10696140642057</v>
      </c>
      <c r="S22" s="15">
        <f>IF(S10=0,0,S10/TrAvia_act!S18*100)</f>
        <v>350.34433720419372</v>
      </c>
      <c r="T22" s="15">
        <f>IF(T10=0,0,T10/TrAvia_act!T18*100)</f>
        <v>360.9284712658918</v>
      </c>
      <c r="U22" s="15">
        <f>IF(U10=0,0,U10/TrAvia_act!U18*100)</f>
        <v>387.29383428944459</v>
      </c>
      <c r="V22" s="15">
        <f>IF(V10=0,0,V10/TrAvia_act!V18*100)</f>
        <v>624.98551906159503</v>
      </c>
      <c r="W22" s="15">
        <f>IF(W10=0,0,W10/TrAvia_act!W18*100)</f>
        <v>537.84292869728688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553.05990943437473</v>
      </c>
      <c r="C24" s="101">
        <f>IF(C12=0,0,C12/TrAvia_act!C20*100)</f>
        <v>557.11678142223809</v>
      </c>
      <c r="D24" s="101">
        <f>IF(D12=0,0,D12/TrAvia_act!D20*100)</f>
        <v>557.10237823468162</v>
      </c>
      <c r="E24" s="101">
        <f>IF(E12=0,0,E12/TrAvia_act!E20*100)</f>
        <v>556.89694320933393</v>
      </c>
      <c r="F24" s="101">
        <f>IF(F12=0,0,F12/TrAvia_act!F20*100)</f>
        <v>555.55780118153245</v>
      </c>
      <c r="G24" s="101">
        <f>IF(G12=0,0,G12/TrAvia_act!G20*100)</f>
        <v>569.15409096059295</v>
      </c>
      <c r="H24" s="101">
        <f>IF(H12=0,0,H12/TrAvia_act!H20*100)</f>
        <v>457.899124539171</v>
      </c>
      <c r="I24" s="101">
        <f>IF(I12=0,0,I12/TrAvia_act!I20*100)</f>
        <v>450.12156750602514</v>
      </c>
      <c r="J24" s="101">
        <f>IF(J12=0,0,J12/TrAvia_act!J20*100)</f>
        <v>530.73972573516676</v>
      </c>
      <c r="K24" s="101">
        <f>IF(K12=0,0,K12/TrAvia_act!K20*100)</f>
        <v>421.83519489748483</v>
      </c>
      <c r="L24" s="101">
        <f>IF(L12=0,0,L12/TrAvia_act!L20*100)</f>
        <v>445.75732793364199</v>
      </c>
      <c r="M24" s="101">
        <f>IF(M12=0,0,M12/TrAvia_act!M20*100)</f>
        <v>472.96129501043606</v>
      </c>
      <c r="N24" s="101">
        <f>IF(N12=0,0,N12/TrAvia_act!N20*100)</f>
        <v>507.53993075868556</v>
      </c>
      <c r="O24" s="101">
        <f>IF(O12=0,0,O12/TrAvia_act!O20*100)</f>
        <v>491.23717481926377</v>
      </c>
      <c r="P24" s="101">
        <f>IF(P12=0,0,P12/TrAvia_act!P20*100)</f>
        <v>492.65040649343359</v>
      </c>
      <c r="Q24" s="101">
        <f>IF(Q12=0,0,Q12/TrAvia_act!Q20*100)</f>
        <v>498.41798993962499</v>
      </c>
      <c r="R24" s="101">
        <f>IF(R12=0,0,R12/TrAvia_act!R20*100)</f>
        <v>475.69680104849289</v>
      </c>
      <c r="S24" s="101">
        <f>IF(S12=0,0,S12/TrAvia_act!S20*100)</f>
        <v>447.64333723559241</v>
      </c>
      <c r="T24" s="101">
        <f>IF(T12=0,0,T12/TrAvia_act!T20*100)</f>
        <v>432.95355586016547</v>
      </c>
      <c r="U24" s="101">
        <f>IF(U12=0,0,U12/TrAvia_act!U20*100)</f>
        <v>406.9990061990473</v>
      </c>
      <c r="V24" s="101">
        <f>IF(V12=0,0,V12/TrAvia_act!V20*100)</f>
        <v>582.44350265928574</v>
      </c>
      <c r="W24" s="101">
        <f>IF(W12=0,0,W12/TrAvia_act!W20*100)</f>
        <v>568.92441603896862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639.3608359731071</v>
      </c>
      <c r="C25" s="88">
        <f>IF(C13=0,0,C13/TrAvia_act!C21*100)</f>
        <v>644.63180885352222</v>
      </c>
      <c r="D25" s="88">
        <f>IF(D13=0,0,D13/TrAvia_act!D21*100)</f>
        <v>644.33252210882438</v>
      </c>
      <c r="E25" s="88">
        <f>IF(E13=0,0,E13/TrAvia_act!E21*100)</f>
        <v>644.74502627740264</v>
      </c>
      <c r="F25" s="88">
        <f>IF(F13=0,0,F13/TrAvia_act!F21*100)</f>
        <v>643.22666539828754</v>
      </c>
      <c r="G25" s="88">
        <f>IF(G13=0,0,G13/TrAvia_act!G21*100)</f>
        <v>755.86547310159244</v>
      </c>
      <c r="H25" s="88">
        <f>IF(H13=0,0,H13/TrAvia_act!H21*100)</f>
        <v>621.93832021015646</v>
      </c>
      <c r="I25" s="88">
        <f>IF(I13=0,0,I13/TrAvia_act!I21*100)</f>
        <v>498.77910733845943</v>
      </c>
      <c r="J25" s="88">
        <f>IF(J13=0,0,J13/TrAvia_act!J21*100)</f>
        <v>464.12388714280092</v>
      </c>
      <c r="K25" s="88">
        <f>IF(K13=0,0,K13/TrAvia_act!K21*100)</f>
        <v>391.28889827148464</v>
      </c>
      <c r="L25" s="88">
        <f>IF(L13=0,0,L13/TrAvia_act!L21*100)</f>
        <v>366.27124371886549</v>
      </c>
      <c r="M25" s="88">
        <f>IF(M13=0,0,M13/TrAvia_act!M21*100)</f>
        <v>351.86436709145903</v>
      </c>
      <c r="N25" s="88">
        <f>IF(N13=0,0,N13/TrAvia_act!N21*100)</f>
        <v>425.95744954814592</v>
      </c>
      <c r="O25" s="88">
        <f>IF(O13=0,0,O13/TrAvia_act!O21*100)</f>
        <v>346.43858516309353</v>
      </c>
      <c r="P25" s="88">
        <f>IF(P13=0,0,P13/TrAvia_act!P21*100)</f>
        <v>281.52968779633738</v>
      </c>
      <c r="Q25" s="88">
        <f>IF(Q13=0,0,Q13/TrAvia_act!Q21*100)</f>
        <v>275.60779263468214</v>
      </c>
      <c r="R25" s="88">
        <f>IF(R13=0,0,R13/TrAvia_act!R21*100)</f>
        <v>241.85673516332648</v>
      </c>
      <c r="S25" s="88">
        <f>IF(S13=0,0,S13/TrAvia_act!S21*100)</f>
        <v>264.99796978975542</v>
      </c>
      <c r="T25" s="88">
        <f>IF(T13=0,0,T13/TrAvia_act!T21*100)</f>
        <v>259.33926338339666</v>
      </c>
      <c r="U25" s="88">
        <f>IF(U13=0,0,U13/TrAvia_act!U21*100)</f>
        <v>310.57917769013591</v>
      </c>
      <c r="V25" s="88">
        <f>IF(V13=0,0,V13/TrAvia_act!V21*100)</f>
        <v>721.89854163832058</v>
      </c>
      <c r="W25" s="88">
        <f>IF(W13=0,0,W13/TrAvia_act!W21*100)</f>
        <v>456.73695029768248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49.159693746805843</v>
      </c>
      <c r="C28" s="14">
        <f>IF(C6=0,0,C6/TrAvia_act!C4*1000)</f>
        <v>56.131451807980845</v>
      </c>
      <c r="D28" s="14">
        <f>IF(D6=0,0,D6/TrAvia_act!D4*1000)</f>
        <v>47.85874884276032</v>
      </c>
      <c r="E28" s="14">
        <f>IF(E6=0,0,E6/TrAvia_act!E4*1000)</f>
        <v>45.788387538676936</v>
      </c>
      <c r="F28" s="14">
        <f>IF(F6=0,0,F6/TrAvia_act!F4*1000)</f>
        <v>45.286923042419183</v>
      </c>
      <c r="G28" s="14">
        <f>IF(G6=0,0,G6/TrAvia_act!G4*1000)</f>
        <v>45.225703230617135</v>
      </c>
      <c r="H28" s="14">
        <f>IF(H6=0,0,H6/TrAvia_act!H4*1000)</f>
        <v>40.083693894201652</v>
      </c>
      <c r="I28" s="14">
        <f>IF(I6=0,0,I6/TrAvia_act!I4*1000)</f>
        <v>42.167388140392276</v>
      </c>
      <c r="J28" s="14">
        <f>IF(J6=0,0,J6/TrAvia_act!J4*1000)</f>
        <v>41.928330060605724</v>
      </c>
      <c r="K28" s="14">
        <f>IF(K6=0,0,K6/TrAvia_act!K4*1000)</f>
        <v>36.309689869541209</v>
      </c>
      <c r="L28" s="14">
        <f>IF(L6=0,0,L6/TrAvia_act!L4*1000)</f>
        <v>35.020285502799382</v>
      </c>
      <c r="M28" s="14">
        <f>IF(M6=0,0,M6/TrAvia_act!M4*1000)</f>
        <v>35.290607667373806</v>
      </c>
      <c r="N28" s="14">
        <f>IF(N6=0,0,N6/TrAvia_act!N4*1000)</f>
        <v>31.094397919413666</v>
      </c>
      <c r="O28" s="14">
        <f>IF(O6=0,0,O6/TrAvia_act!O4*1000)</f>
        <v>29.568646980298674</v>
      </c>
      <c r="P28" s="14">
        <f>IF(P6=0,0,P6/TrAvia_act!P4*1000)</f>
        <v>28.724966113973483</v>
      </c>
      <c r="Q28" s="14">
        <f>IF(Q6=0,0,Q6/TrAvia_act!Q4*1000)</f>
        <v>30.33384180083404</v>
      </c>
      <c r="R28" s="14">
        <f>IF(R6=0,0,R6/TrAvia_act!R4*1000)</f>
        <v>29.527016998725465</v>
      </c>
      <c r="S28" s="14">
        <f>IF(S6=0,0,S6/TrAvia_act!S4*1000)</f>
        <v>28.139397823863312</v>
      </c>
      <c r="T28" s="14">
        <f>IF(T6=0,0,T6/TrAvia_act!T4*1000)</f>
        <v>27.683753131725528</v>
      </c>
      <c r="U28" s="14">
        <f>IF(U6=0,0,U6/TrAvia_act!U4*1000)</f>
        <v>25.746470124110228</v>
      </c>
      <c r="V28" s="14">
        <f>IF(V6=0,0,V6/TrAvia_act!V4*1000)</f>
        <v>42.408546557387069</v>
      </c>
      <c r="W28" s="14">
        <f>IF(W6=0,0,W6/TrAvia_act!W4*1000)</f>
        <v>38.945679798503974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1813.1171125014973</v>
      </c>
      <c r="C29" s="87">
        <f>IF(C7=0,0,C7/TrAvia_act!C5*1000)</f>
        <v>1724.7746277491401</v>
      </c>
      <c r="D29" s="87">
        <f>IF(D7=0,0,D7/TrAvia_act!D5*1000)</f>
        <v>1653.2380557220786</v>
      </c>
      <c r="E29" s="87">
        <f>IF(E7=0,0,E7/TrAvia_act!E5*1000)</f>
        <v>1582.6190918565251</v>
      </c>
      <c r="F29" s="87">
        <f>IF(F7=0,0,F7/TrAvia_act!F5*1000)</f>
        <v>1511.3380383042295</v>
      </c>
      <c r="G29" s="87">
        <f>IF(G7=0,0,G7/TrAvia_act!G5*1000)</f>
        <v>908.00368694372787</v>
      </c>
      <c r="H29" s="87">
        <f>IF(H7=0,0,H7/TrAvia_act!H5*1000)</f>
        <v>1092.6502095845676</v>
      </c>
      <c r="I29" s="87">
        <f>IF(I7=0,0,I7/TrAvia_act!I5*1000)</f>
        <v>1210.7391035352566</v>
      </c>
      <c r="J29" s="87">
        <f>IF(J7=0,0,J7/TrAvia_act!J5*1000)</f>
        <v>253.57847990482136</v>
      </c>
      <c r="K29" s="87">
        <f>IF(K7=0,0,K7/TrAvia_act!K5*1000)</f>
        <v>380.3797453169841</v>
      </c>
      <c r="L29" s="87">
        <f>IF(L7=0,0,L7/TrAvia_act!L5*1000)</f>
        <v>237.04376913991899</v>
      </c>
      <c r="M29" s="87">
        <f>IF(M7=0,0,M7/TrAvia_act!M5*1000)</f>
        <v>292.4799451604253</v>
      </c>
      <c r="N29" s="87">
        <f>IF(N7=0,0,N7/TrAvia_act!N5*1000)</f>
        <v>149.02680081740331</v>
      </c>
      <c r="O29" s="87">
        <f>IF(O7=0,0,O7/TrAvia_act!O5*1000)</f>
        <v>190.69857932134786</v>
      </c>
      <c r="P29" s="87">
        <f>IF(P7=0,0,P7/TrAvia_act!P5*1000)</f>
        <v>158.81858262538432</v>
      </c>
      <c r="Q29" s="87">
        <f>IF(Q7=0,0,Q7/TrAvia_act!Q5*1000)</f>
        <v>225.24639304090357</v>
      </c>
      <c r="R29" s="87">
        <f>IF(R7=0,0,R7/TrAvia_act!R5*1000)</f>
        <v>325.99567472552218</v>
      </c>
      <c r="S29" s="87">
        <f>IF(S7=0,0,S7/TrAvia_act!S5*1000)</f>
        <v>194.92084624181868</v>
      </c>
      <c r="T29" s="87">
        <f>IF(T7=0,0,T7/TrAvia_act!T5*1000)</f>
        <v>147.624848100664</v>
      </c>
      <c r="U29" s="87">
        <f>IF(U7=0,0,U7/TrAvia_act!U5*1000)</f>
        <v>66.479846232491496</v>
      </c>
      <c r="V29" s="87">
        <f>IF(V7=0,0,V7/TrAvia_act!V5*1000)</f>
        <v>74.353899823692572</v>
      </c>
      <c r="W29" s="87">
        <f>IF(W7=0,0,W7/TrAvia_act!W5*1000)</f>
        <v>62.562687756100964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37.943666700909645</v>
      </c>
      <c r="C30" s="87">
        <f>IF(C8=0,0,C8/TrAvia_act!C6*1000)</f>
        <v>38.096656145184625</v>
      </c>
      <c r="D30" s="87">
        <f>IF(D8=0,0,D8/TrAvia_act!D6*1000)</f>
        <v>38.309971407659795</v>
      </c>
      <c r="E30" s="87">
        <f>IF(E8=0,0,E8/TrAvia_act!E6*1000)</f>
        <v>38.870930718269079</v>
      </c>
      <c r="F30" s="87">
        <f>IF(F8=0,0,F8/TrAvia_act!F6*1000)</f>
        <v>39.274790676690678</v>
      </c>
      <c r="G30" s="87">
        <f>IF(G8=0,0,G8/TrAvia_act!G6*1000)</f>
        <v>40.776257837673832</v>
      </c>
      <c r="H30" s="87">
        <f>IF(H8=0,0,H8/TrAvia_act!H6*1000)</f>
        <v>34.214125343397825</v>
      </c>
      <c r="I30" s="87">
        <f>IF(I8=0,0,I8/TrAvia_act!I6*1000)</f>
        <v>34.466278779833516</v>
      </c>
      <c r="J30" s="87">
        <f>IF(J8=0,0,J8/TrAvia_act!J6*1000)</f>
        <v>41.116441234457689</v>
      </c>
      <c r="K30" s="87">
        <f>IF(K8=0,0,K8/TrAvia_act!K6*1000)</f>
        <v>32.900626430595423</v>
      </c>
      <c r="L30" s="87">
        <f>IF(L8=0,0,L8/TrAvia_act!L6*1000)</f>
        <v>35.013647287060351</v>
      </c>
      <c r="M30" s="87">
        <f>IF(M8=0,0,M8/TrAvia_act!M6*1000)</f>
        <v>34.425297427973668</v>
      </c>
      <c r="N30" s="87">
        <f>IF(N8=0,0,N8/TrAvia_act!N6*1000)</f>
        <v>32.630230528854106</v>
      </c>
      <c r="O30" s="87">
        <f>IF(O8=0,0,O8/TrAvia_act!O6*1000)</f>
        <v>32.096226630252708</v>
      </c>
      <c r="P30" s="87">
        <f>IF(P8=0,0,P8/TrAvia_act!P6*1000)</f>
        <v>32.898413464741502</v>
      </c>
      <c r="Q30" s="87">
        <f>IF(Q8=0,0,Q8/TrAvia_act!Q6*1000)</f>
        <v>32.912093761731171</v>
      </c>
      <c r="R30" s="87">
        <f>IF(R8=0,0,R8/TrAvia_act!R6*1000)</f>
        <v>32.190200973511629</v>
      </c>
      <c r="S30" s="87">
        <f>IF(S8=0,0,S8/TrAvia_act!S6*1000)</f>
        <v>29.194070257414531</v>
      </c>
      <c r="T30" s="87">
        <f>IF(T8=0,0,T8/TrAvia_act!T6*1000)</f>
        <v>28.887297755413616</v>
      </c>
      <c r="U30" s="87">
        <f>IF(U8=0,0,U8/TrAvia_act!U6*1000)</f>
        <v>27.781262943131932</v>
      </c>
      <c r="V30" s="87">
        <f>IF(V8=0,0,V8/TrAvia_act!V6*1000)</f>
        <v>40.631194975446931</v>
      </c>
      <c r="W30" s="87">
        <f>IF(W8=0,0,W8/TrAvia_act!W6*1000)</f>
        <v>40.696983303804281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46.947516314692585</v>
      </c>
      <c r="C31" s="87">
        <f>IF(C9=0,0,C9/TrAvia_act!C7*1000)</f>
        <v>47.225921170897045</v>
      </c>
      <c r="D31" s="87">
        <f>IF(D9=0,0,D9/TrAvia_act!D7*1000)</f>
        <v>47.060796862493639</v>
      </c>
      <c r="E31" s="87">
        <f>IF(E9=0,0,E9/TrAvia_act!E7*1000)</f>
        <v>46.696515182891474</v>
      </c>
      <c r="F31" s="87">
        <f>IF(F9=0,0,F9/TrAvia_act!F7*1000)</f>
        <v>46.052918707581583</v>
      </c>
      <c r="G31" s="87">
        <f>IF(G9=0,0,G9/TrAvia_act!G7*1000)</f>
        <v>53.410077285693262</v>
      </c>
      <c r="H31" s="87">
        <f>IF(H9=0,0,H9/TrAvia_act!H7*1000)</f>
        <v>44.053811577136479</v>
      </c>
      <c r="I31" s="87">
        <f>IF(I9=0,0,I9/TrAvia_act!I7*1000)</f>
        <v>34.973445543925237</v>
      </c>
      <c r="J31" s="87">
        <f>IF(J9=0,0,J9/TrAvia_act!J7*1000)</f>
        <v>33.527564358145952</v>
      </c>
      <c r="K31" s="87">
        <f>IF(K9=0,0,K9/TrAvia_act!K7*1000)</f>
        <v>26.820564333246658</v>
      </c>
      <c r="L31" s="87">
        <f>IF(L9=0,0,L9/TrAvia_act!L7*1000)</f>
        <v>23.344195595302054</v>
      </c>
      <c r="M31" s="87">
        <f>IF(M9=0,0,M9/TrAvia_act!M7*1000)</f>
        <v>22.311108090331391</v>
      </c>
      <c r="N31" s="87">
        <f>IF(N9=0,0,N9/TrAvia_act!N7*1000)</f>
        <v>19.566313341053991</v>
      </c>
      <c r="O31" s="87">
        <f>IF(O9=0,0,O9/TrAvia_act!O7*1000)</f>
        <v>16.157143533462129</v>
      </c>
      <c r="P31" s="87">
        <f>IF(P9=0,0,P9/TrAvia_act!P7*1000)</f>
        <v>14.652615500240961</v>
      </c>
      <c r="Q31" s="87">
        <f>IF(Q9=0,0,Q9/TrAvia_act!Q7*1000)</f>
        <v>16.375754364236716</v>
      </c>
      <c r="R31" s="87">
        <f>IF(R9=0,0,R9/TrAvia_act!R7*1000)</f>
        <v>13.984782727437272</v>
      </c>
      <c r="S31" s="87">
        <f>IF(S9=0,0,S9/TrAvia_act!S7*1000)</f>
        <v>15.501105963150806</v>
      </c>
      <c r="T31" s="87">
        <f>IF(T9=0,0,T9/TrAvia_act!T7*1000)</f>
        <v>16.263648251624222</v>
      </c>
      <c r="U31" s="87">
        <f>IF(U9=0,0,U9/TrAvia_act!U7*1000)</f>
        <v>15.930767635687889</v>
      </c>
      <c r="V31" s="87">
        <f>IF(V9=0,0,V9/TrAvia_act!V7*1000)</f>
        <v>48.921813585463184</v>
      </c>
      <c r="W31" s="87">
        <f>IF(W9=0,0,W9/TrAvia_act!W7*1000)</f>
        <v>30.108061012738716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178.5652373628713</v>
      </c>
      <c r="C32" s="15">
        <f>IF(C10=0,0,C10/TrAvia_act!C8*1000)</f>
        <v>148.84322962035074</v>
      </c>
      <c r="D32" s="15">
        <f>IF(D10=0,0,D10/TrAvia_act!D8*1000)</f>
        <v>154.26031100657082</v>
      </c>
      <c r="E32" s="15">
        <f>IF(E10=0,0,E10/TrAvia_act!E8*1000)</f>
        <v>156.14965082095554</v>
      </c>
      <c r="F32" s="15">
        <f>IF(F10=0,0,F10/TrAvia_act!F8*1000)</f>
        <v>165.26987173891385</v>
      </c>
      <c r="G32" s="15">
        <f>IF(G10=0,0,G10/TrAvia_act!G8*1000)</f>
        <v>188.78768796125019</v>
      </c>
      <c r="H32" s="15">
        <f>IF(H10=0,0,H10/TrAvia_act!H8*1000)</f>
        <v>172.60662084344489</v>
      </c>
      <c r="I32" s="15">
        <f>IF(I10=0,0,I10/TrAvia_act!I8*1000)</f>
        <v>162.32059920665338</v>
      </c>
      <c r="J32" s="15">
        <f>IF(J10=0,0,J10/TrAvia_act!J8*1000)</f>
        <v>195.7681485178916</v>
      </c>
      <c r="K32" s="15">
        <f>IF(K10=0,0,K10/TrAvia_act!K8*1000)</f>
        <v>120.04476257464989</v>
      </c>
      <c r="L32" s="15">
        <f>IF(L10=0,0,L10/TrAvia_act!L8*1000)</f>
        <v>97.037622729581201</v>
      </c>
      <c r="M32" s="15">
        <f>IF(M10=0,0,M10/TrAvia_act!M8*1000)</f>
        <v>105.3535767931907</v>
      </c>
      <c r="N32" s="15">
        <f>IF(N10=0,0,N10/TrAvia_act!N8*1000)</f>
        <v>168.33613344291425</v>
      </c>
      <c r="O32" s="15">
        <f>IF(O10=0,0,O10/TrAvia_act!O8*1000)</f>
        <v>155.33969473058852</v>
      </c>
      <c r="P32" s="15">
        <f>IF(P10=0,0,P10/TrAvia_act!P8*1000)</f>
        <v>108.38777445940906</v>
      </c>
      <c r="Q32" s="15">
        <f>IF(Q10=0,0,Q10/TrAvia_act!Q8*1000)</f>
        <v>76.1826944782634</v>
      </c>
      <c r="R32" s="15">
        <f>IF(R10=0,0,R10/TrAvia_act!R8*1000)</f>
        <v>58.884275460291761</v>
      </c>
      <c r="S32" s="15">
        <f>IF(S10=0,0,S10/TrAvia_act!S8*1000)</f>
        <v>61.562381536493866</v>
      </c>
      <c r="T32" s="15">
        <f>IF(T10=0,0,T10/TrAvia_act!T8*1000)</f>
        <v>72.347905408105888</v>
      </c>
      <c r="U32" s="15">
        <f>IF(U10=0,0,U10/TrAvia_act!U8*1000)</f>
        <v>100.75951996206938</v>
      </c>
      <c r="V32" s="15">
        <f>IF(V10=0,0,V10/TrAvia_act!V8*1000)</f>
        <v>191.42450629045777</v>
      </c>
      <c r="W32" s="15">
        <f>IF(W10=0,0,W10/TrAvia_act!W8*1000)</f>
        <v>178.9502467679807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220.76395992404372</v>
      </c>
      <c r="C34" s="101">
        <f>IF(C12=0,0,C12/TrAvia_act!C10*1000)</f>
        <v>212.87353419574779</v>
      </c>
      <c r="D34" s="101">
        <f>IF(D12=0,0,D12/TrAvia_act!D10*1000)</f>
        <v>226.11486719067827</v>
      </c>
      <c r="E34" s="101">
        <f>IF(E12=0,0,E12/TrAvia_act!E10*1000)</f>
        <v>221.15795295249617</v>
      </c>
      <c r="F34" s="101">
        <f>IF(F12=0,0,F12/TrAvia_act!F10*1000)</f>
        <v>243.51354633926667</v>
      </c>
      <c r="G34" s="101">
        <f>IF(G12=0,0,G12/TrAvia_act!G10*1000)</f>
        <v>253.46872577183305</v>
      </c>
      <c r="H34" s="101">
        <f>IF(H12=0,0,H12/TrAvia_act!H10*1000)</f>
        <v>240.10841695755633</v>
      </c>
      <c r="I34" s="101">
        <f>IF(I12=0,0,I12/TrAvia_act!I10*1000)</f>
        <v>244.94080364093816</v>
      </c>
      <c r="J34" s="101">
        <f>IF(J12=0,0,J12/TrAvia_act!J10*1000)</f>
        <v>298.53337825030394</v>
      </c>
      <c r="K34" s="101">
        <f>IF(K12=0,0,K12/TrAvia_act!K10*1000)</f>
        <v>233.36153007386812</v>
      </c>
      <c r="L34" s="101">
        <f>IF(L12=0,0,L12/TrAvia_act!L10*1000)</f>
        <v>242.33505405526364</v>
      </c>
      <c r="M34" s="101">
        <f>IF(M12=0,0,M12/TrAvia_act!M10*1000)</f>
        <v>249.32336500914732</v>
      </c>
      <c r="N34" s="101">
        <f>IF(N12=0,0,N12/TrAvia_act!N10*1000)</f>
        <v>245.04497807791327</v>
      </c>
      <c r="O34" s="101">
        <f>IF(O12=0,0,O12/TrAvia_act!O10*1000)</f>
        <v>240.89672231997434</v>
      </c>
      <c r="P34" s="101">
        <f>IF(P12=0,0,P12/TrAvia_act!P10*1000)</f>
        <v>207.16384997573761</v>
      </c>
      <c r="Q34" s="101">
        <f>IF(Q12=0,0,Q12/TrAvia_act!Q10*1000)</f>
        <v>212.03800184886404</v>
      </c>
      <c r="R34" s="101">
        <f>IF(R12=0,0,R12/TrAvia_act!R10*1000)</f>
        <v>183.97228189045916</v>
      </c>
      <c r="S34" s="101">
        <f>IF(S12=0,0,S12/TrAvia_act!S10*1000)</f>
        <v>187.26245807813152</v>
      </c>
      <c r="T34" s="101">
        <f>IF(T12=0,0,T12/TrAvia_act!T10*1000)</f>
        <v>178.31737516679621</v>
      </c>
      <c r="U34" s="101">
        <f>IF(U12=0,0,U12/TrAvia_act!U10*1000)</f>
        <v>158.93598052041818</v>
      </c>
      <c r="V34" s="101">
        <f>IF(V12=0,0,V12/TrAvia_act!V10*1000)</f>
        <v>276.71315219760578</v>
      </c>
      <c r="W34" s="101">
        <f>IF(W12=0,0,W12/TrAvia_act!W10*1000)</f>
        <v>285.87413810844822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91.015866037943724</v>
      </c>
      <c r="C35" s="88">
        <f>IF(C13=0,0,C13/TrAvia_act!C11*1000)</f>
        <v>87.599220617080817</v>
      </c>
      <c r="D35" s="88">
        <f>IF(D13=0,0,D13/TrAvia_act!D11*1000)</f>
        <v>92.711268580754847</v>
      </c>
      <c r="E35" s="88">
        <f>IF(E13=0,0,E13/TrAvia_act!E11*1000)</f>
        <v>102.0833061270426</v>
      </c>
      <c r="F35" s="88">
        <f>IF(F13=0,0,F13/TrAvia_act!F11*1000)</f>
        <v>104.91900744189849</v>
      </c>
      <c r="G35" s="88">
        <f>IF(G13=0,0,G13/TrAvia_act!G11*1000)</f>
        <v>131.09988637990912</v>
      </c>
      <c r="H35" s="88">
        <f>IF(H13=0,0,H13/TrAvia_act!H11*1000)</f>
        <v>111.58846127207477</v>
      </c>
      <c r="I35" s="88">
        <f>IF(I13=0,0,I13/TrAvia_act!I11*1000)</f>
        <v>91.007016498560233</v>
      </c>
      <c r="J35" s="88">
        <f>IF(J13=0,0,J13/TrAvia_act!J11*1000)</f>
        <v>86.427458746255681</v>
      </c>
      <c r="K35" s="88">
        <f>IF(K13=0,0,K13/TrAvia_act!K11*1000)</f>
        <v>64.609139797204747</v>
      </c>
      <c r="L35" s="88">
        <f>IF(L13=0,0,L13/TrAvia_act!L11*1000)</f>
        <v>59.487562859408236</v>
      </c>
      <c r="M35" s="88">
        <f>IF(M13=0,0,M13/TrAvia_act!M11*1000)</f>
        <v>54.864470256141466</v>
      </c>
      <c r="N35" s="88">
        <f>IF(N13=0,0,N13/TrAvia_act!N11*1000)</f>
        <v>62.644956901665466</v>
      </c>
      <c r="O35" s="88">
        <f>IF(O13=0,0,O13/TrAvia_act!O11*1000)</f>
        <v>50.729932428072416</v>
      </c>
      <c r="P35" s="88">
        <f>IF(P13=0,0,P13/TrAvia_act!P11*1000)</f>
        <v>35.048382906001194</v>
      </c>
      <c r="Q35" s="88">
        <f>IF(Q13=0,0,Q13/TrAvia_act!Q11*1000)</f>
        <v>35.223929622222997</v>
      </c>
      <c r="R35" s="88">
        <f>IF(R13=0,0,R13/TrAvia_act!R11*1000)</f>
        <v>27.353908761797722</v>
      </c>
      <c r="S35" s="88">
        <f>IF(S13=0,0,S13/TrAvia_act!S11*1000)</f>
        <v>30.864432506251021</v>
      </c>
      <c r="T35" s="88">
        <f>IF(T13=0,0,T13/TrAvia_act!T11*1000)</f>
        <v>30.153224998307152</v>
      </c>
      <c r="U35" s="88">
        <f>IF(U13=0,0,U13/TrAvia_act!U11*1000)</f>
        <v>35.139319808894363</v>
      </c>
      <c r="V35" s="88">
        <f>IF(V13=0,0,V13/TrAvia_act!V11*1000)</f>
        <v>122.19852811859421</v>
      </c>
      <c r="W35" s="88">
        <f>IF(W13=0,0,W13/TrAvia_act!W11*1000)</f>
        <v>80.763331867495552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8270.5247660020177</v>
      </c>
      <c r="C37" s="62">
        <f>IF(C3=0,0,C3/TrAvia_act!C23*1000000)</f>
        <v>8716.7460182472496</v>
      </c>
      <c r="D37" s="62">
        <f>IF(D3=0,0,D3/TrAvia_act!D23*1000000)</f>
        <v>8273.6545305895179</v>
      </c>
      <c r="E37" s="62">
        <f>IF(E3=0,0,E3/TrAvia_act!E23*1000000)</f>
        <v>8128.9428600879173</v>
      </c>
      <c r="F37" s="62">
        <f>IF(F3=0,0,F3/TrAvia_act!F23*1000000)</f>
        <v>8057.5457304256324</v>
      </c>
      <c r="G37" s="62">
        <f>IF(G3=0,0,G3/TrAvia_act!G23*1000000)</f>
        <v>8166.38013854565</v>
      </c>
      <c r="H37" s="62">
        <f>IF(H3=0,0,H3/TrAvia_act!H23*1000000)</f>
        <v>7126.9887976133305</v>
      </c>
      <c r="I37" s="62">
        <f>IF(I3=0,0,I3/TrAvia_act!I23*1000000)</f>
        <v>7044.0644114003526</v>
      </c>
      <c r="J37" s="62">
        <f>IF(J3=0,0,J3/TrAvia_act!J23*1000000)</f>
        <v>6712.173063883859</v>
      </c>
      <c r="K37" s="62">
        <f>IF(K3=0,0,K3/TrAvia_act!K23*1000000)</f>
        <v>5721.596517395752</v>
      </c>
      <c r="L37" s="62">
        <f>IF(L3=0,0,L3/TrAvia_act!L23*1000000)</f>
        <v>5778.2838454478615</v>
      </c>
      <c r="M37" s="62">
        <f>IF(M3=0,0,M3/TrAvia_act!M23*1000000)</f>
        <v>5769.3732295633581</v>
      </c>
      <c r="N37" s="62">
        <f>IF(N3=0,0,N3/TrAvia_act!N23*1000000)</f>
        <v>5624.7449303544772</v>
      </c>
      <c r="O37" s="62">
        <f>IF(O3=0,0,O3/TrAvia_act!O23*1000000)</f>
        <v>5671.0897566076292</v>
      </c>
      <c r="P37" s="62">
        <f>IF(P3=0,0,P3/TrAvia_act!P23*1000000)</f>
        <v>5569.9443683781901</v>
      </c>
      <c r="Q37" s="62">
        <f>IF(Q3=0,0,Q3/TrAvia_act!Q23*1000000)</f>
        <v>5853.969667364313</v>
      </c>
      <c r="R37" s="62">
        <f>IF(R3=0,0,R3/TrAvia_act!R23*1000000)</f>
        <v>6066.1841498904178</v>
      </c>
      <c r="S37" s="62">
        <f>IF(S3=0,0,S3/TrAvia_act!S23*1000000)</f>
        <v>6138.9793162096094</v>
      </c>
      <c r="T37" s="62">
        <f>IF(T3=0,0,T3/TrAvia_act!T23*1000000)</f>
        <v>6016.549146417542</v>
      </c>
      <c r="U37" s="62">
        <f>IF(U3=0,0,U3/TrAvia_act!U23*1000000)</f>
        <v>5736.7501034552151</v>
      </c>
      <c r="V37" s="62">
        <f>IF(V3=0,0,V3/TrAvia_act!V23*1000000)</f>
        <v>7811.1670279865448</v>
      </c>
      <c r="W37" s="62">
        <f>IF(W3=0,0,W3/TrAvia_act!W23*1000000)</f>
        <v>7223.9794784341011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8347.4538007115589</v>
      </c>
      <c r="C38" s="14">
        <f>IF(C6=0,0,C6/TrAvia_act!C24*1000000)</f>
        <v>8752.2945898995058</v>
      </c>
      <c r="D38" s="14">
        <f>IF(D6=0,0,D6/TrAvia_act!D24*1000000)</f>
        <v>8304.1428395302664</v>
      </c>
      <c r="E38" s="14">
        <f>IF(E6=0,0,E6/TrAvia_act!E24*1000000)</f>
        <v>8151.9237465085325</v>
      </c>
      <c r="F38" s="14">
        <f>IF(F6=0,0,F6/TrAvia_act!F24*1000000)</f>
        <v>8083.1579810091407</v>
      </c>
      <c r="G38" s="14">
        <f>IF(G6=0,0,G6/TrAvia_act!G24*1000000)</f>
        <v>8190.5965232899471</v>
      </c>
      <c r="H38" s="14">
        <f>IF(H6=0,0,H6/TrAvia_act!H24*1000000)</f>
        <v>7153.3662998635418</v>
      </c>
      <c r="I38" s="14">
        <f>IF(I6=0,0,I6/TrAvia_act!I24*1000000)</f>
        <v>7074.6409178391723</v>
      </c>
      <c r="J38" s="14">
        <f>IF(J6=0,0,J6/TrAvia_act!J24*1000000)</f>
        <v>6731.6230512185184</v>
      </c>
      <c r="K38" s="14">
        <f>IF(K6=0,0,K6/TrAvia_act!K24*1000000)</f>
        <v>5732.2356541286299</v>
      </c>
      <c r="L38" s="14">
        <f>IF(L6=0,0,L6/TrAvia_act!L24*1000000)</f>
        <v>5773.2933730321729</v>
      </c>
      <c r="M38" s="14">
        <f>IF(M6=0,0,M6/TrAvia_act!M24*1000000)</f>
        <v>5779.7105233008488</v>
      </c>
      <c r="N38" s="14">
        <f>IF(N6=0,0,N6/TrAvia_act!N24*1000000)</f>
        <v>5637.4266262695992</v>
      </c>
      <c r="O38" s="14">
        <f>IF(O6=0,0,O6/TrAvia_act!O24*1000000)</f>
        <v>5686.9408747916004</v>
      </c>
      <c r="P38" s="14">
        <f>IF(P6=0,0,P6/TrAvia_act!P24*1000000)</f>
        <v>5585.7766871178164</v>
      </c>
      <c r="Q38" s="14">
        <f>IF(Q6=0,0,Q6/TrAvia_act!Q24*1000000)</f>
        <v>5874.604402072071</v>
      </c>
      <c r="R38" s="14">
        <f>IF(R6=0,0,R6/TrAvia_act!R24*1000000)</f>
        <v>6085.6263566474618</v>
      </c>
      <c r="S38" s="14">
        <f>IF(S6=0,0,S6/TrAvia_act!S24*1000000)</f>
        <v>6156.6970339233785</v>
      </c>
      <c r="T38" s="14">
        <f>IF(T6=0,0,T6/TrAvia_act!T24*1000000)</f>
        <v>6030.2122431852204</v>
      </c>
      <c r="U38" s="14">
        <f>IF(U6=0,0,U6/TrAvia_act!U24*1000000)</f>
        <v>5754.5590261421248</v>
      </c>
      <c r="V38" s="14">
        <f>IF(V6=0,0,V6/TrAvia_act!V24*1000000)</f>
        <v>7804.1271216904579</v>
      </c>
      <c r="W38" s="14">
        <f>IF(W6=0,0,W6/TrAvia_act!W24*1000000)</f>
        <v>7243.0742249653231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12355.547262489818</v>
      </c>
      <c r="C39" s="87">
        <f>IF(C7=0,0,C7/TrAvia_act!C25*1000000)</f>
        <v>12343.667886784371</v>
      </c>
      <c r="D39" s="87">
        <f>IF(D7=0,0,D7/TrAvia_act!D25*1000000)</f>
        <v>12332.681513095313</v>
      </c>
      <c r="E39" s="87">
        <f>IF(E7=0,0,E7/TrAvia_act!E25*1000000)</f>
        <v>12318.736364109262</v>
      </c>
      <c r="F39" s="87">
        <f>IF(F7=0,0,F7/TrAvia_act!F25*1000000)</f>
        <v>12304.158367071812</v>
      </c>
      <c r="G39" s="87">
        <f>IF(G7=0,0,G7/TrAvia_act!G25*1000000)</f>
        <v>7315.2048125063593</v>
      </c>
      <c r="H39" s="87">
        <f>IF(H7=0,0,H7/TrAvia_act!H25*1000000)</f>
        <v>10447.046835035455</v>
      </c>
      <c r="I39" s="87">
        <f>IF(I7=0,0,I7/TrAvia_act!I25*1000000)</f>
        <v>14117.358531821659</v>
      </c>
      <c r="J39" s="87">
        <f>IF(J7=0,0,J7/TrAvia_act!J25*1000000)</f>
        <v>4036.0055648643461</v>
      </c>
      <c r="K39" s="87">
        <f>IF(K7=0,0,K7/TrAvia_act!K25*1000000)</f>
        <v>7734.9505286627727</v>
      </c>
      <c r="L39" s="87">
        <f>IF(L7=0,0,L7/TrAvia_act!L25*1000000)</f>
        <v>5351.8580321861891</v>
      </c>
      <c r="M39" s="87">
        <f>IF(M7=0,0,M7/TrAvia_act!M25*1000000)</f>
        <v>6077.0220943680742</v>
      </c>
      <c r="N39" s="87">
        <f>IF(N7=0,0,N7/TrAvia_act!N25*1000000)</f>
        <v>3403.859945017472</v>
      </c>
      <c r="O39" s="87">
        <f>IF(O7=0,0,O7/TrAvia_act!O25*1000000)</f>
        <v>4435.4609561083598</v>
      </c>
      <c r="P39" s="87">
        <f>IF(P7=0,0,P7/TrAvia_act!P25*1000000)</f>
        <v>3700.9743996879279</v>
      </c>
      <c r="Q39" s="87">
        <f>IF(Q7=0,0,Q7/TrAvia_act!Q25*1000000)</f>
        <v>5393.2751782098558</v>
      </c>
      <c r="R39" s="87">
        <f>IF(R7=0,0,R7/TrAvia_act!R25*1000000)</f>
        <v>8110.4204235756279</v>
      </c>
      <c r="S39" s="87">
        <f>IF(S7=0,0,S7/TrAvia_act!S25*1000000)</f>
        <v>7175.9190625380925</v>
      </c>
      <c r="T39" s="87">
        <f>IF(T7=0,0,T7/TrAvia_act!T25*1000000)</f>
        <v>6009.8640406592385</v>
      </c>
      <c r="U39" s="87">
        <f>IF(U7=0,0,U7/TrAvia_act!U25*1000000)</f>
        <v>2660.4734957231503</v>
      </c>
      <c r="V39" s="87">
        <f>IF(V7=0,0,V7/TrAvia_act!V25*1000000)</f>
        <v>2192.7025986001249</v>
      </c>
      <c r="W39" s="87">
        <f>IF(W7=0,0,W7/TrAvia_act!W25*1000000)</f>
        <v>2286.1401877684584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7639.435296392543</v>
      </c>
      <c r="C40" s="87">
        <f>IF(C8=0,0,C8/TrAvia_act!C26*1000000)</f>
        <v>7702.2002790329952</v>
      </c>
      <c r="D40" s="87">
        <f>IF(D8=0,0,D8/TrAvia_act!D26*1000000)</f>
        <v>7698.7169943826093</v>
      </c>
      <c r="E40" s="87">
        <f>IF(E8=0,0,E8/TrAvia_act!E26*1000000)</f>
        <v>7703.7412884003697</v>
      </c>
      <c r="F40" s="87">
        <f>IF(F8=0,0,F8/TrAvia_act!F26*1000000)</f>
        <v>7685.6981614746028</v>
      </c>
      <c r="G40" s="87">
        <f>IF(G8=0,0,G8/TrAvia_act!G26*1000000)</f>
        <v>8027.2739950685291</v>
      </c>
      <c r="H40" s="87">
        <f>IF(H8=0,0,H8/TrAvia_act!H26*1000000)</f>
        <v>6661.9923371423274</v>
      </c>
      <c r="I40" s="87">
        <f>IF(I8=0,0,I8/TrAvia_act!I26*1000000)</f>
        <v>6305.614431402144</v>
      </c>
      <c r="J40" s="87">
        <f>IF(J8=0,0,J8/TrAvia_act!J26*1000000)</f>
        <v>7241.7201895695507</v>
      </c>
      <c r="K40" s="87">
        <f>IF(K8=0,0,K8/TrAvia_act!K26*1000000)</f>
        <v>5606.2942008060418</v>
      </c>
      <c r="L40" s="87">
        <f>IF(L8=0,0,L8/TrAvia_act!L26*1000000)</f>
        <v>6088.5282129150755</v>
      </c>
      <c r="M40" s="87">
        <f>IF(M8=0,0,M8/TrAvia_act!M26*1000000)</f>
        <v>6141.712461289374</v>
      </c>
      <c r="N40" s="87">
        <f>IF(N8=0,0,N8/TrAvia_act!N26*1000000)</f>
        <v>6375.2001321320959</v>
      </c>
      <c r="O40" s="87">
        <f>IF(O8=0,0,O8/TrAvia_act!O26*1000000)</f>
        <v>6454.8557530355083</v>
      </c>
      <c r="P40" s="87">
        <f>IF(P8=0,0,P8/TrAvia_act!P26*1000000)</f>
        <v>6623.0062768294456</v>
      </c>
      <c r="Q40" s="87">
        <f>IF(Q8=0,0,Q8/TrAvia_act!Q26*1000000)</f>
        <v>6852.0883376056481</v>
      </c>
      <c r="R40" s="87">
        <f>IF(R8=0,0,R8/TrAvia_act!R26*1000000)</f>
        <v>6868.9914497008167</v>
      </c>
      <c r="S40" s="87">
        <f>IF(S8=0,0,S8/TrAvia_act!S26*1000000)</f>
        <v>6783.697570361629</v>
      </c>
      <c r="T40" s="87">
        <f>IF(T8=0,0,T8/TrAvia_act!T26*1000000)</f>
        <v>6737.6837554439271</v>
      </c>
      <c r="U40" s="87">
        <f>IF(U8=0,0,U8/TrAvia_act!U26*1000000)</f>
        <v>6692.2459238096944</v>
      </c>
      <c r="V40" s="87">
        <f>IF(V8=0,0,V8/TrAvia_act!V26*1000000)</f>
        <v>8043.1933652209291</v>
      </c>
      <c r="W40" s="87">
        <f>IF(W8=0,0,W8/TrAvia_act!W26*1000000)</f>
        <v>7890.363545576226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7983.1805432691735</v>
      </c>
      <c r="C41" s="87">
        <f>IF(C9=0,0,C9/TrAvia_act!C27*1000000)</f>
        <v>8048.9949093915257</v>
      </c>
      <c r="D41" s="87">
        <f>IF(D9=0,0,D9/TrAvia_act!D27*1000000)</f>
        <v>8045.2579583887436</v>
      </c>
      <c r="E41" s="87">
        <f>IF(E9=0,0,E9/TrAvia_act!E27*1000000)</f>
        <v>8050.4085635983956</v>
      </c>
      <c r="F41" s="87">
        <f>IF(F9=0,0,F9/TrAvia_act!F27*1000000)</f>
        <v>8031.4500219646043</v>
      </c>
      <c r="G41" s="87">
        <f>IF(G9=0,0,G9/TrAvia_act!G27*1000000)</f>
        <v>9824.1931256225744</v>
      </c>
      <c r="H41" s="87">
        <f>IF(H9=0,0,H9/TrAvia_act!H27*1000000)</f>
        <v>8259.1074254148734</v>
      </c>
      <c r="I41" s="87">
        <f>IF(I9=0,0,I9/TrAvia_act!I27*1000000)</f>
        <v>6628.4183336669794</v>
      </c>
      <c r="J41" s="87">
        <f>IF(J9=0,0,J9/TrAvia_act!J27*1000000)</f>
        <v>6016.3695224805715</v>
      </c>
      <c r="K41" s="87">
        <f>IF(K9=0,0,K9/TrAvia_act!K27*1000000)</f>
        <v>5028.4935412836312</v>
      </c>
      <c r="L41" s="87">
        <f>IF(L9=0,0,L9/TrAvia_act!L27*1000000)</f>
        <v>4708.1391912477366</v>
      </c>
      <c r="M41" s="87">
        <f>IF(M9=0,0,M9/TrAvia_act!M27*1000000)</f>
        <v>4276.6290127584471</v>
      </c>
      <c r="N41" s="87">
        <f>IF(N9=0,0,N9/TrAvia_act!N27*1000000)</f>
        <v>4281.8601271506977</v>
      </c>
      <c r="O41" s="87">
        <f>IF(O9=0,0,O9/TrAvia_act!O27*1000000)</f>
        <v>3823.7229304617249</v>
      </c>
      <c r="P41" s="87">
        <f>IF(P9=0,0,P9/TrAvia_act!P27*1000000)</f>
        <v>3376.9592658856141</v>
      </c>
      <c r="Q41" s="87">
        <f>IF(Q9=0,0,Q9/TrAvia_act!Q27*1000000)</f>
        <v>3396.9369251544194</v>
      </c>
      <c r="R41" s="87">
        <f>IF(R9=0,0,R9/TrAvia_act!R27*1000000)</f>
        <v>3261.7858197328487</v>
      </c>
      <c r="S41" s="87">
        <f>IF(S9=0,0,S9/TrAvia_act!S27*1000000)</f>
        <v>3598.7408509916536</v>
      </c>
      <c r="T41" s="87">
        <f>IF(T9=0,0,T9/TrAvia_act!T27*1000000)</f>
        <v>3565.7852368126114</v>
      </c>
      <c r="U41" s="87">
        <f>IF(U9=0,0,U9/TrAvia_act!U27*1000000)</f>
        <v>3501.7798350602634</v>
      </c>
      <c r="V41" s="87">
        <f>IF(V9=0,0,V9/TrAvia_act!V27*1000000)</f>
        <v>10921.362449664703</v>
      </c>
      <c r="W41" s="87">
        <f>IF(W9=0,0,W9/TrAvia_act!W27*1000000)</f>
        <v>7243.8717280070123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5346.9810438060313</v>
      </c>
      <c r="C42" s="15">
        <f>IF(C10=0,0,C10/TrAvia_act!C28*1000000)</f>
        <v>5868.5812913309073</v>
      </c>
      <c r="D42" s="15">
        <f>IF(D10=0,0,D10/TrAvia_act!D28*1000000)</f>
        <v>5946.3382865296117</v>
      </c>
      <c r="E42" s="15">
        <f>IF(E10=0,0,E10/TrAvia_act!E28*1000000)</f>
        <v>6097.4503151460758</v>
      </c>
      <c r="F42" s="15">
        <f>IF(F10=0,0,F10/TrAvia_act!F28*1000000)</f>
        <v>6090.2279319820345</v>
      </c>
      <c r="G42" s="15">
        <f>IF(G10=0,0,G10/TrAvia_act!G28*1000000)</f>
        <v>6450.3254556626525</v>
      </c>
      <c r="H42" s="15">
        <f>IF(H10=0,0,H10/TrAvia_act!H28*1000000)</f>
        <v>5347.323842222253</v>
      </c>
      <c r="I42" s="15">
        <f>IF(I10=0,0,I10/TrAvia_act!I28*1000000)</f>
        <v>4980.6796900950058</v>
      </c>
      <c r="J42" s="15">
        <f>IF(J10=0,0,J10/TrAvia_act!J28*1000000)</f>
        <v>5445.967379529342</v>
      </c>
      <c r="K42" s="15">
        <f>IF(K10=0,0,K10/TrAvia_act!K28*1000000)</f>
        <v>5014.4095913536721</v>
      </c>
      <c r="L42" s="15">
        <f>IF(L10=0,0,L10/TrAvia_act!L28*1000000)</f>
        <v>6088.4800560205995</v>
      </c>
      <c r="M42" s="15">
        <f>IF(M10=0,0,M10/TrAvia_act!M28*1000000)</f>
        <v>5059.0379293703181</v>
      </c>
      <c r="N42" s="15">
        <f>IF(N10=0,0,N10/TrAvia_act!N28*1000000)</f>
        <v>4670.0967744638247</v>
      </c>
      <c r="O42" s="15">
        <f>IF(O10=0,0,O10/TrAvia_act!O28*1000000)</f>
        <v>4579.6322770345569</v>
      </c>
      <c r="P42" s="15">
        <f>IF(P10=0,0,P10/TrAvia_act!P28*1000000)</f>
        <v>4497.9234885800779</v>
      </c>
      <c r="Q42" s="15">
        <f>IF(Q10=0,0,Q10/TrAvia_act!Q28*1000000)</f>
        <v>4748.8495729148481</v>
      </c>
      <c r="R42" s="15">
        <f>IF(R10=0,0,R10/TrAvia_act!R28*1000000)</f>
        <v>4766.6243049723535</v>
      </c>
      <c r="S42" s="15">
        <f>IF(S10=0,0,S10/TrAvia_act!S28*1000000)</f>
        <v>4964.6003048718248</v>
      </c>
      <c r="T42" s="15">
        <f>IF(T10=0,0,T10/TrAvia_act!T28*1000000)</f>
        <v>4940.232705957389</v>
      </c>
      <c r="U42" s="15">
        <f>IF(U10=0,0,U10/TrAvia_act!U28*1000000)</f>
        <v>4445.6950072248192</v>
      </c>
      <c r="V42" s="15">
        <f>IF(V10=0,0,V10/TrAvia_act!V28*1000000)</f>
        <v>8011.0615101697222</v>
      </c>
      <c r="W42" s="15">
        <f>IF(W10=0,0,W10/TrAvia_act!W28*1000000)</f>
        <v>6505.0070387956712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4871.6301319629556</v>
      </c>
      <c r="C44" s="101">
        <f>IF(C12=0,0,C12/TrAvia_act!C30*1000000)</f>
        <v>4923.8922019039428</v>
      </c>
      <c r="D44" s="101">
        <f>IF(D12=0,0,D12/TrAvia_act!D30*1000000)</f>
        <v>4915.0558790626155</v>
      </c>
      <c r="E44" s="101">
        <f>IF(E12=0,0,E12/TrAvia_act!E30*1000000)</f>
        <v>4934.9569210215614</v>
      </c>
      <c r="F44" s="101">
        <f>IF(F12=0,0,F12/TrAvia_act!F30*1000000)</f>
        <v>4924.5361015955395</v>
      </c>
      <c r="G44" s="101">
        <f>IF(G12=0,0,G12/TrAvia_act!G30*1000000)</f>
        <v>4998.015654419426</v>
      </c>
      <c r="H44" s="101">
        <f>IF(H12=0,0,H12/TrAvia_act!H30*1000000)</f>
        <v>4154.8565309362666</v>
      </c>
      <c r="I44" s="101">
        <f>IF(I12=0,0,I12/TrAvia_act!I30*1000000)</f>
        <v>4041.7860334325496</v>
      </c>
      <c r="J44" s="101">
        <f>IF(J12=0,0,J12/TrAvia_act!J30*1000000)</f>
        <v>4791.4247869153487</v>
      </c>
      <c r="K44" s="101">
        <f>IF(K12=0,0,K12/TrAvia_act!K30*1000000)</f>
        <v>3895.6922770118422</v>
      </c>
      <c r="L44" s="101">
        <f>IF(L12=0,0,L12/TrAvia_act!L30*1000000)</f>
        <v>4333.4833381697645</v>
      </c>
      <c r="M44" s="101">
        <f>IF(M12=0,0,M12/TrAvia_act!M30*1000000)</f>
        <v>4394.4632327575391</v>
      </c>
      <c r="N44" s="101">
        <f>IF(N12=0,0,N12/TrAvia_act!N30*1000000)</f>
        <v>4701.6274951238784</v>
      </c>
      <c r="O44" s="101">
        <f>IF(O12=0,0,O12/TrAvia_act!O30*1000000)</f>
        <v>4621.9304072250679</v>
      </c>
      <c r="P44" s="101">
        <f>IF(P12=0,0,P12/TrAvia_act!P30*1000000)</f>
        <v>4586.392195555537</v>
      </c>
      <c r="Q44" s="101">
        <f>IF(Q12=0,0,Q12/TrAvia_act!Q30*1000000)</f>
        <v>4897.2225183795817</v>
      </c>
      <c r="R44" s="101">
        <f>IF(R12=0,0,R12/TrAvia_act!R30*1000000)</f>
        <v>4831.2705152552116</v>
      </c>
      <c r="S44" s="101">
        <f>IF(S12=0,0,S12/TrAvia_act!S30*1000000)</f>
        <v>4638.8682031520721</v>
      </c>
      <c r="T44" s="101">
        <f>IF(T12=0,0,T12/TrAvia_act!T30*1000000)</f>
        <v>4618.0726544974686</v>
      </c>
      <c r="U44" s="101">
        <f>IF(U12=0,0,U12/TrAvia_act!U30*1000000)</f>
        <v>4564.0360308267755</v>
      </c>
      <c r="V44" s="101">
        <f>IF(V12=0,0,V12/TrAvia_act!V30*1000000)</f>
        <v>6742.5505996069933</v>
      </c>
      <c r="W44" s="101">
        <f>IF(W12=0,0,W12/TrAvia_act!W30*1000000)</f>
        <v>6129.5598889924249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10505.418716769786</v>
      </c>
      <c r="C45" s="88">
        <f>IF(C13=0,0,C13/TrAvia_act!C31*1000000)</f>
        <v>10592.026738465733</v>
      </c>
      <c r="D45" s="88">
        <f>IF(D13=0,0,D13/TrAvia_act!D31*1000000)</f>
        <v>10587.109120131096</v>
      </c>
      <c r="E45" s="88">
        <f>IF(E13=0,0,E13/TrAvia_act!E31*1000000)</f>
        <v>10593.887028269201</v>
      </c>
      <c r="F45" s="88">
        <f>IF(F13=0,0,F13/TrAvia_act!F31*1000000)</f>
        <v>10568.938648730142</v>
      </c>
      <c r="G45" s="88">
        <f>IF(G13=0,0,G13/TrAvia_act!G31*1000000)</f>
        <v>12928.088219937992</v>
      </c>
      <c r="H45" s="88">
        <f>IF(H13=0,0,H13/TrAvia_act!H31*1000000)</f>
        <v>12104.638606176182</v>
      </c>
      <c r="I45" s="88">
        <f>IF(I13=0,0,I13/TrAvia_act!I31*1000000)</f>
        <v>10819.424617464647</v>
      </c>
      <c r="J45" s="88">
        <f>IF(J13=0,0,J13/TrAvia_act!J31*1000000)</f>
        <v>10936.852462013396</v>
      </c>
      <c r="K45" s="88">
        <f>IF(K13=0,0,K13/TrAvia_act!K31*1000000)</f>
        <v>10179.845092141873</v>
      </c>
      <c r="L45" s="88">
        <f>IF(L13=0,0,L13/TrAvia_act!L31*1000000)</f>
        <v>10613.864449907393</v>
      </c>
      <c r="M45" s="88">
        <f>IF(M13=0,0,M13/TrAvia_act!M31*1000000)</f>
        <v>6665.4918722616394</v>
      </c>
      <c r="N45" s="88">
        <f>IF(N13=0,0,N13/TrAvia_act!N31*1000000)</f>
        <v>4507.1880510535493</v>
      </c>
      <c r="O45" s="88">
        <f>IF(O13=0,0,O13/TrAvia_act!O31*1000000)</f>
        <v>4348.5708494266883</v>
      </c>
      <c r="P45" s="88">
        <f>IF(P13=0,0,P13/TrAvia_act!P31*1000000)</f>
        <v>4146.8721300498037</v>
      </c>
      <c r="Q45" s="88">
        <f>IF(Q13=0,0,Q13/TrAvia_act!Q31*1000000)</f>
        <v>4501.3395472965458</v>
      </c>
      <c r="R45" s="88">
        <f>IF(R13=0,0,R13/TrAvia_act!R31*1000000)</f>
        <v>4660.8945217994551</v>
      </c>
      <c r="S45" s="88">
        <f>IF(S13=0,0,S13/TrAvia_act!S31*1000000)</f>
        <v>5541.1172990660798</v>
      </c>
      <c r="T45" s="88">
        <f>IF(T13=0,0,T13/TrAvia_act!T31*1000000)</f>
        <v>5911.2503258506731</v>
      </c>
      <c r="U45" s="88">
        <f>IF(U13=0,0,U13/TrAvia_act!U31*1000000)</f>
        <v>3926.3094036384564</v>
      </c>
      <c r="V45" s="88">
        <f>IF(V13=0,0,V13/TrAvia_act!V31*1000000)</f>
        <v>12245.386662329814</v>
      </c>
      <c r="W45" s="88">
        <f>IF(W13=0,0,W13/TrAvia_act!W31*1000000)</f>
        <v>8122.0644997903528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0.98342413606611534</v>
      </c>
      <c r="C48" s="16">
        <f t="shared" si="35"/>
        <v>0.99170055965001158</v>
      </c>
      <c r="D48" s="16">
        <f t="shared" ref="D48:V48" si="36">IF(D6=0,0,D6/D$3)</f>
        <v>0.99070653293363831</v>
      </c>
      <c r="E48" s="16">
        <f t="shared" si="36"/>
        <v>0.99160964287612496</v>
      </c>
      <c r="F48" s="16">
        <f t="shared" si="36"/>
        <v>0.99028626045500079</v>
      </c>
      <c r="G48" s="16">
        <f t="shared" si="36"/>
        <v>0.98900881687712827</v>
      </c>
      <c r="H48" s="16">
        <f t="shared" si="36"/>
        <v>0.98904187820171241</v>
      </c>
      <c r="I48" s="16">
        <f t="shared" si="36"/>
        <v>0.98967513168077959</v>
      </c>
      <c r="J48" s="16">
        <f t="shared" si="36"/>
        <v>0.98772542276825015</v>
      </c>
      <c r="K48" s="16">
        <f t="shared" si="36"/>
        <v>0.98701058043796908</v>
      </c>
      <c r="L48" s="16">
        <f t="shared" si="36"/>
        <v>0.98331662869203007</v>
      </c>
      <c r="M48" s="16">
        <f t="shared" si="36"/>
        <v>0.98742209962027661</v>
      </c>
      <c r="N48" s="16">
        <f t="shared" si="36"/>
        <v>0.98911506619539136</v>
      </c>
      <c r="O48" s="16">
        <f t="shared" si="36"/>
        <v>0.98844006695520403</v>
      </c>
      <c r="P48" s="16">
        <f t="shared" si="36"/>
        <v>0.98824735988099222</v>
      </c>
      <c r="Q48" s="16">
        <f t="shared" si="36"/>
        <v>0.98513061466673302</v>
      </c>
      <c r="R48" s="16">
        <f t="shared" si="36"/>
        <v>0.9884176837392844</v>
      </c>
      <c r="S48" s="16">
        <f t="shared" si="36"/>
        <v>0.98798055536865814</v>
      </c>
      <c r="T48" s="16">
        <f t="shared" si="36"/>
        <v>0.98970726628202066</v>
      </c>
      <c r="U48" s="16">
        <f t="shared" si="36"/>
        <v>0.98945572188240694</v>
      </c>
      <c r="V48" s="16">
        <f t="shared" si="36"/>
        <v>0.96510940687102831</v>
      </c>
      <c r="W48" s="16">
        <f t="shared" ref="W48" si="37">IF(W6=0,0,W6/W$3)</f>
        <v>0.97670357569445021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0.2040816326530612</v>
      </c>
      <c r="C49" s="103">
        <f t="shared" si="38"/>
        <v>0.30347023542114915</v>
      </c>
      <c r="D49" s="103">
        <f t="shared" ref="D49:V49" si="39">IF(D7=0,0,D7/D$3)</f>
        <v>0.17689634530315862</v>
      </c>
      <c r="E49" s="103">
        <f t="shared" si="39"/>
        <v>0.12923584627040072</v>
      </c>
      <c r="F49" s="103">
        <f t="shared" si="39"/>
        <v>0.11319801242236016</v>
      </c>
      <c r="G49" s="103">
        <f t="shared" si="39"/>
        <v>6.6419152280975544E-2</v>
      </c>
      <c r="H49" s="103">
        <f t="shared" si="39"/>
        <v>0.12060314367727837</v>
      </c>
      <c r="I49" s="103">
        <f t="shared" si="39"/>
        <v>0.18433184346118459</v>
      </c>
      <c r="J49" s="103">
        <f t="shared" si="39"/>
        <v>5.9460397513714049E-2</v>
      </c>
      <c r="K49" s="103">
        <f t="shared" si="39"/>
        <v>0.13462059998688064</v>
      </c>
      <c r="L49" s="103">
        <f t="shared" si="39"/>
        <v>8.4389114310276417E-2</v>
      </c>
      <c r="M49" s="103">
        <f t="shared" si="39"/>
        <v>0.1130140993652405</v>
      </c>
      <c r="N49" s="103">
        <f t="shared" si="39"/>
        <v>6.4833494433072486E-2</v>
      </c>
      <c r="O49" s="103">
        <f t="shared" si="39"/>
        <v>7.1985463659147861E-2</v>
      </c>
      <c r="P49" s="103">
        <f t="shared" si="39"/>
        <v>5.1850971634423169E-2</v>
      </c>
      <c r="Q49" s="103">
        <f t="shared" si="39"/>
        <v>7.0386909677334686E-2</v>
      </c>
      <c r="R49" s="103">
        <f t="shared" si="39"/>
        <v>8.407064565888385E-2</v>
      </c>
      <c r="S49" s="103">
        <f t="shared" si="39"/>
        <v>7.9677647414056266E-2</v>
      </c>
      <c r="T49" s="103">
        <f t="shared" si="39"/>
        <v>6.4056121903784943E-2</v>
      </c>
      <c r="U49" s="103">
        <f t="shared" si="39"/>
        <v>2.9371230700820275E-2</v>
      </c>
      <c r="V49" s="103">
        <f t="shared" si="39"/>
        <v>2.7409402338121842E-2</v>
      </c>
      <c r="W49" s="103">
        <f t="shared" ref="W49" si="40">IF(W7=0,0,W7/W$3)</f>
        <v>2.997524288843826E-2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0.65127060889129396</v>
      </c>
      <c r="C50" s="103">
        <f t="shared" si="41"/>
        <v>0.57513795502631759</v>
      </c>
      <c r="D50" s="103">
        <f t="shared" ref="D50:V50" si="42">IF(D8=0,0,D8/D$3)</f>
        <v>0.68007019284797621</v>
      </c>
      <c r="E50" s="103">
        <f t="shared" si="42"/>
        <v>0.72068212243530949</v>
      </c>
      <c r="F50" s="103">
        <f t="shared" si="42"/>
        <v>0.73297649823852029</v>
      </c>
      <c r="G50" s="103">
        <f t="shared" si="42"/>
        <v>0.7794223321839292</v>
      </c>
      <c r="H50" s="103">
        <f t="shared" si="42"/>
        <v>0.74307166551246295</v>
      </c>
      <c r="I50" s="103">
        <f t="shared" si="42"/>
        <v>0.6907490315456426</v>
      </c>
      <c r="J50" s="103">
        <f t="shared" si="42"/>
        <v>0.79266305188242137</v>
      </c>
      <c r="K50" s="103">
        <f t="shared" si="42"/>
        <v>0.71869554862171159</v>
      </c>
      <c r="L50" s="103">
        <f t="shared" si="42"/>
        <v>0.75541970373753498</v>
      </c>
      <c r="M50" s="103">
        <f t="shared" si="42"/>
        <v>0.73535523477625664</v>
      </c>
      <c r="N50" s="103">
        <f t="shared" si="42"/>
        <v>0.77526752273167954</v>
      </c>
      <c r="O50" s="103">
        <f t="shared" si="42"/>
        <v>0.77011631844516071</v>
      </c>
      <c r="P50" s="103">
        <f t="shared" si="42"/>
        <v>0.78807561795397452</v>
      </c>
      <c r="Q50" s="103">
        <f t="shared" si="42"/>
        <v>0.7723061710944501</v>
      </c>
      <c r="R50" s="103">
        <f t="shared" si="42"/>
        <v>0.77766163905464203</v>
      </c>
      <c r="S50" s="103">
        <f t="shared" si="42"/>
        <v>0.78969384304881596</v>
      </c>
      <c r="T50" s="103">
        <f t="shared" si="42"/>
        <v>0.80383932372443823</v>
      </c>
      <c r="U50" s="103">
        <f t="shared" si="42"/>
        <v>0.83197707690893552</v>
      </c>
      <c r="V50" s="103">
        <f t="shared" si="42"/>
        <v>0.77237784808359633</v>
      </c>
      <c r="W50" s="103">
        <f t="shared" ref="W50" si="43">IF(W8=0,0,W8/W$3)</f>
        <v>0.79205942603528057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0.12807189452176021</v>
      </c>
      <c r="C51" s="103">
        <f t="shared" si="44"/>
        <v>0.11309236920254478</v>
      </c>
      <c r="D51" s="103">
        <f t="shared" ref="D51:V51" si="45">IF(D9=0,0,D9/D$3)</f>
        <v>0.13373999478250362</v>
      </c>
      <c r="E51" s="103">
        <f t="shared" si="45"/>
        <v>0.1416916741704147</v>
      </c>
      <c r="F51" s="103">
        <f t="shared" si="45"/>
        <v>0.14411174979412025</v>
      </c>
      <c r="G51" s="103">
        <f t="shared" si="45"/>
        <v>0.14316733241222362</v>
      </c>
      <c r="H51" s="103">
        <f t="shared" si="45"/>
        <v>0.12536706901197095</v>
      </c>
      <c r="I51" s="103">
        <f t="shared" si="45"/>
        <v>0.11459425667395239</v>
      </c>
      <c r="J51" s="103">
        <f t="shared" si="45"/>
        <v>0.13560197337211485</v>
      </c>
      <c r="K51" s="103">
        <f t="shared" si="45"/>
        <v>0.13369443182937685</v>
      </c>
      <c r="L51" s="103">
        <f t="shared" si="45"/>
        <v>0.14350781064421866</v>
      </c>
      <c r="M51" s="103">
        <f t="shared" si="45"/>
        <v>0.1390527654787794</v>
      </c>
      <c r="N51" s="103">
        <f t="shared" si="45"/>
        <v>0.14901404903063931</v>
      </c>
      <c r="O51" s="103">
        <f t="shared" si="45"/>
        <v>0.14633828485089556</v>
      </c>
      <c r="P51" s="103">
        <f t="shared" si="45"/>
        <v>0.14832077029259444</v>
      </c>
      <c r="Q51" s="103">
        <f t="shared" si="45"/>
        <v>0.14243753389494826</v>
      </c>
      <c r="R51" s="103">
        <f t="shared" si="45"/>
        <v>0.12668539902575854</v>
      </c>
      <c r="S51" s="103">
        <f t="shared" si="45"/>
        <v>0.11860906490578582</v>
      </c>
      <c r="T51" s="103">
        <f t="shared" si="45"/>
        <v>0.1218118206537976</v>
      </c>
      <c r="U51" s="103">
        <f t="shared" si="45"/>
        <v>0.12810741427265121</v>
      </c>
      <c r="V51" s="103">
        <f t="shared" si="45"/>
        <v>0.16532215644931006</v>
      </c>
      <c r="W51" s="103">
        <f t="shared" ref="W51" si="46">IF(W9=0,0,W9/W$3)</f>
        <v>0.15466890677073133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1.6575863933884653E-2</v>
      </c>
      <c r="C52" s="17">
        <f t="shared" si="47"/>
        <v>8.2994403499884271E-3</v>
      </c>
      <c r="D52" s="17">
        <f t="shared" ref="D52:V52" si="48">IF(D10=0,0,D10/D$3)</f>
        <v>9.2934670663614664E-3</v>
      </c>
      <c r="E52" s="17">
        <f t="shared" si="48"/>
        <v>8.3903571238750137E-3</v>
      </c>
      <c r="F52" s="17">
        <f t="shared" si="48"/>
        <v>9.7137395449989981E-3</v>
      </c>
      <c r="G52" s="17">
        <f t="shared" si="48"/>
        <v>1.0991183122871725E-2</v>
      </c>
      <c r="H52" s="17">
        <f t="shared" si="48"/>
        <v>1.0958121798287621E-2</v>
      </c>
      <c r="I52" s="17">
        <f t="shared" si="48"/>
        <v>1.0324868319220458E-2</v>
      </c>
      <c r="J52" s="17">
        <f t="shared" si="48"/>
        <v>1.2274577231749958E-2</v>
      </c>
      <c r="K52" s="17">
        <f t="shared" si="48"/>
        <v>1.298941956203105E-2</v>
      </c>
      <c r="L52" s="17">
        <f t="shared" si="48"/>
        <v>1.6683371307969805E-2</v>
      </c>
      <c r="M52" s="17">
        <f t="shared" si="48"/>
        <v>1.257790037972333E-2</v>
      </c>
      <c r="N52" s="17">
        <f t="shared" si="48"/>
        <v>1.0884933804608653E-2</v>
      </c>
      <c r="O52" s="17">
        <f t="shared" si="48"/>
        <v>1.1559933044795917E-2</v>
      </c>
      <c r="P52" s="17">
        <f t="shared" si="48"/>
        <v>1.1752640119007842E-2</v>
      </c>
      <c r="Q52" s="17">
        <f t="shared" si="48"/>
        <v>1.4869385333267036E-2</v>
      </c>
      <c r="R52" s="17">
        <f t="shared" si="48"/>
        <v>1.1582316260715639E-2</v>
      </c>
      <c r="S52" s="17">
        <f t="shared" si="48"/>
        <v>1.2019444631341898E-2</v>
      </c>
      <c r="T52" s="17">
        <f t="shared" si="48"/>
        <v>1.0292733717979369E-2</v>
      </c>
      <c r="U52" s="17">
        <f t="shared" si="48"/>
        <v>1.0544278117592972E-2</v>
      </c>
      <c r="V52" s="17">
        <f t="shared" si="48"/>
        <v>3.4890593128971616E-2</v>
      </c>
      <c r="W52" s="17">
        <f t="shared" ref="W52" si="49">IF(W10=0,0,W10/W$3)</f>
        <v>2.3296424305549866E-2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1.3828003433049268E-2</v>
      </c>
      <c r="C54" s="104">
        <f t="shared" si="53"/>
        <v>5.8028717661628747E-3</v>
      </c>
      <c r="D54" s="104">
        <f t="shared" ref="D54:V54" si="54">IF(D12=0,0,D12/D$3)</f>
        <v>6.2850166952756964E-3</v>
      </c>
      <c r="E54" s="104">
        <f t="shared" si="54"/>
        <v>5.3957236334464939E-3</v>
      </c>
      <c r="F54" s="104">
        <f t="shared" si="54"/>
        <v>6.2323705414562922E-3</v>
      </c>
      <c r="G54" s="104">
        <f t="shared" si="54"/>
        <v>6.9567805720284013E-3</v>
      </c>
      <c r="H54" s="104">
        <f t="shared" si="54"/>
        <v>7.2372669907842689E-3</v>
      </c>
      <c r="I54" s="104">
        <f t="shared" si="54"/>
        <v>7.2178910757715086E-3</v>
      </c>
      <c r="J54" s="104">
        <f t="shared" si="54"/>
        <v>9.6490915076374653E-3</v>
      </c>
      <c r="K54" s="104">
        <f t="shared" si="54"/>
        <v>8.2949694200428314E-3</v>
      </c>
      <c r="L54" s="104">
        <f t="shared" si="54"/>
        <v>8.5562119667116649E-3</v>
      </c>
      <c r="M54" s="104">
        <f t="shared" si="54"/>
        <v>7.7284378388393117E-3</v>
      </c>
      <c r="N54" s="104">
        <f t="shared" si="54"/>
        <v>9.1813828950913848E-3</v>
      </c>
      <c r="O54" s="104">
        <f t="shared" si="54"/>
        <v>9.8614619211960311E-3</v>
      </c>
      <c r="P54" s="104">
        <f t="shared" si="54"/>
        <v>9.5716435063597591E-3</v>
      </c>
      <c r="Q54" s="104">
        <f t="shared" si="54"/>
        <v>9.5869489599844579E-3</v>
      </c>
      <c r="R54" s="104">
        <f t="shared" si="54"/>
        <v>7.2850878300666144E-3</v>
      </c>
      <c r="S54" s="104">
        <f t="shared" si="54"/>
        <v>7.176254024939108E-3</v>
      </c>
      <c r="T54" s="104">
        <f t="shared" si="54"/>
        <v>7.2245866688581337E-3</v>
      </c>
      <c r="U54" s="104">
        <f t="shared" si="54"/>
        <v>8.8162035509181235E-3</v>
      </c>
      <c r="V54" s="104">
        <f t="shared" si="54"/>
        <v>2.2596445572344689E-2</v>
      </c>
      <c r="W54" s="104">
        <f t="shared" ref="W54" si="55">IF(W12=0,0,W12/W$3)</f>
        <v>1.7815454525558314E-2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2.7478605008353853E-3</v>
      </c>
      <c r="C55" s="105">
        <f t="shared" si="56"/>
        <v>2.4965685838255528E-3</v>
      </c>
      <c r="D55" s="105">
        <f t="shared" ref="D55:V55" si="57">IF(D13=0,0,D13/D$3)</f>
        <v>3.0084503710857712E-3</v>
      </c>
      <c r="E55" s="105">
        <f t="shared" si="57"/>
        <v>2.9946334904285199E-3</v>
      </c>
      <c r="F55" s="105">
        <f t="shared" si="57"/>
        <v>3.4813690035427058E-3</v>
      </c>
      <c r="G55" s="105">
        <f t="shared" si="57"/>
        <v>4.0344025508433244E-3</v>
      </c>
      <c r="H55" s="105">
        <f t="shared" si="57"/>
        <v>3.7208548075033519E-3</v>
      </c>
      <c r="I55" s="105">
        <f t="shared" si="57"/>
        <v>3.1069772434489493E-3</v>
      </c>
      <c r="J55" s="105">
        <f t="shared" si="57"/>
        <v>2.6254857241124916E-3</v>
      </c>
      <c r="K55" s="105">
        <f t="shared" si="57"/>
        <v>4.69445014198822E-3</v>
      </c>
      <c r="L55" s="105">
        <f t="shared" si="57"/>
        <v>8.1271593412581417E-3</v>
      </c>
      <c r="M55" s="105">
        <f t="shared" si="57"/>
        <v>4.849462540884017E-3</v>
      </c>
      <c r="N55" s="105">
        <f t="shared" si="57"/>
        <v>1.7035509095172678E-3</v>
      </c>
      <c r="O55" s="105">
        <f t="shared" si="57"/>
        <v>1.6984711235998849E-3</v>
      </c>
      <c r="P55" s="105">
        <f t="shared" si="57"/>
        <v>2.1809966126480839E-3</v>
      </c>
      <c r="Q55" s="105">
        <f t="shared" si="57"/>
        <v>5.2824363732825773E-3</v>
      </c>
      <c r="R55" s="105">
        <f t="shared" si="57"/>
        <v>4.2972284306490235E-3</v>
      </c>
      <c r="S55" s="105">
        <f t="shared" si="57"/>
        <v>4.8431906064027915E-3</v>
      </c>
      <c r="T55" s="105">
        <f t="shared" si="57"/>
        <v>3.0681470491212347E-3</v>
      </c>
      <c r="U55" s="105">
        <f t="shared" si="57"/>
        <v>1.7280745666748479E-3</v>
      </c>
      <c r="V55" s="105">
        <f t="shared" si="57"/>
        <v>1.2294147556626925E-2</v>
      </c>
      <c r="W55" s="105">
        <f t="shared" ref="W55" si="58">IF(W13=0,0,W13/W$3)</f>
        <v>5.4809697799915527E-3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333.53984851325845</v>
      </c>
      <c r="C57" s="62">
        <v>341.00918419158376</v>
      </c>
      <c r="D57" s="62">
        <v>331.53818649973618</v>
      </c>
      <c r="E57" s="62">
        <v>328.54103346363172</v>
      </c>
      <c r="F57" s="62">
        <v>327.6699484825898</v>
      </c>
      <c r="G57" s="62">
        <v>327.93388054340687</v>
      </c>
      <c r="H57" s="62">
        <v>328.88652579405033</v>
      </c>
      <c r="I57" s="62">
        <v>329.83252748666683</v>
      </c>
      <c r="J57" s="62">
        <v>331.69637557225633</v>
      </c>
      <c r="K57" s="62">
        <v>333.22594852474077</v>
      </c>
      <c r="L57" s="62">
        <v>334.94888281689782</v>
      </c>
      <c r="M57" s="62">
        <v>332.8345778865459</v>
      </c>
      <c r="N57" s="62">
        <v>329.62359746751645</v>
      </c>
      <c r="O57" s="62">
        <v>330.02044813132881</v>
      </c>
      <c r="P57" s="62">
        <v>330.25479031746175</v>
      </c>
      <c r="Q57" s="62">
        <v>331.7090741557725</v>
      </c>
      <c r="R57" s="62">
        <v>331.64529723039868</v>
      </c>
      <c r="S57" s="62">
        <v>331.36870465102356</v>
      </c>
      <c r="T57" s="62">
        <v>331.67898743807444</v>
      </c>
      <c r="U57" s="62">
        <v>332.43337820860813</v>
      </c>
      <c r="V57" s="62">
        <v>335.03773733320679</v>
      </c>
      <c r="W57" s="62">
        <v>339.57329668536903</v>
      </c>
      <c r="DA57" s="172" t="s">
        <v>313</v>
      </c>
    </row>
    <row r="58" spans="1:105" ht="11.45" customHeight="1" x14ac:dyDescent="0.25">
      <c r="A58" s="10" t="s">
        <v>33</v>
      </c>
      <c r="B58" s="14">
        <v>332.94417209706648</v>
      </c>
      <c r="C58" s="14">
        <v>340.67477233744319</v>
      </c>
      <c r="D58" s="14">
        <v>331.10783770496778</v>
      </c>
      <c r="E58" s="14">
        <v>328.13176463811817</v>
      </c>
      <c r="F58" s="14">
        <v>327.19403491184568</v>
      </c>
      <c r="G58" s="14">
        <v>327.43790865244517</v>
      </c>
      <c r="H58" s="14">
        <v>328.39656255762242</v>
      </c>
      <c r="I58" s="14">
        <v>329.27085898226517</v>
      </c>
      <c r="J58" s="14">
        <v>331.12796583857954</v>
      </c>
      <c r="K58" s="14">
        <v>332.31518512602514</v>
      </c>
      <c r="L58" s="14">
        <v>333.26862053678099</v>
      </c>
      <c r="M58" s="14">
        <v>331.76170784496895</v>
      </c>
      <c r="N58" s="14">
        <v>328.86273991142809</v>
      </c>
      <c r="O58" s="14">
        <v>329.29280377059155</v>
      </c>
      <c r="P58" s="14">
        <v>329.44778859149073</v>
      </c>
      <c r="Q58" s="14">
        <v>330.2176329773576</v>
      </c>
      <c r="R58" s="14">
        <v>330.35013107811784</v>
      </c>
      <c r="S58" s="14">
        <v>330.06751044841405</v>
      </c>
      <c r="T58" s="14">
        <v>330.83164691195105</v>
      </c>
      <c r="U58" s="14">
        <v>331.83802346849649</v>
      </c>
      <c r="V58" s="14">
        <v>332.71023964306812</v>
      </c>
      <c r="W58" s="14">
        <v>338.11785880451839</v>
      </c>
      <c r="DA58" s="189" t="s">
        <v>314</v>
      </c>
    </row>
    <row r="59" spans="1:105" ht="11.45" customHeight="1" x14ac:dyDescent="0.25">
      <c r="A59" s="83" t="s">
        <v>27</v>
      </c>
      <c r="B59" s="87">
        <v>716.22416936022069</v>
      </c>
      <c r="C59" s="87">
        <v>716.22416936022069</v>
      </c>
      <c r="D59" s="87">
        <v>716.2241693602208</v>
      </c>
      <c r="E59" s="87">
        <v>716.22416936022069</v>
      </c>
      <c r="F59" s="87">
        <v>716.22416936022069</v>
      </c>
      <c r="G59" s="87">
        <v>748.41648555532345</v>
      </c>
      <c r="H59" s="87">
        <v>672.54154728961066</v>
      </c>
      <c r="I59" s="87">
        <v>593.9380656421489</v>
      </c>
      <c r="J59" s="87">
        <v>598.34913984054117</v>
      </c>
      <c r="K59" s="87">
        <v>617.67092016735455</v>
      </c>
      <c r="L59" s="87">
        <v>624.36507990760106</v>
      </c>
      <c r="M59" s="87">
        <v>610.6826665439844</v>
      </c>
      <c r="N59" s="87">
        <v>596.26657511131486</v>
      </c>
      <c r="O59" s="87">
        <v>644.27345620322069</v>
      </c>
      <c r="P59" s="87">
        <v>643.79277135708139</v>
      </c>
      <c r="Q59" s="87">
        <v>621.44514903714753</v>
      </c>
      <c r="R59" s="87">
        <v>633.73134985733179</v>
      </c>
      <c r="S59" s="87">
        <v>589.93992468710951</v>
      </c>
      <c r="T59" s="87">
        <v>588.18310969630249</v>
      </c>
      <c r="U59" s="87">
        <v>590.45756283710307</v>
      </c>
      <c r="V59" s="87">
        <v>579.28891563740706</v>
      </c>
      <c r="W59" s="87">
        <v>584.53816336549357</v>
      </c>
      <c r="DA59" s="171" t="s">
        <v>315</v>
      </c>
    </row>
    <row r="60" spans="1:105" ht="11.45" customHeight="1" x14ac:dyDescent="0.25">
      <c r="A60" s="83" t="s">
        <v>173</v>
      </c>
      <c r="B60" s="87">
        <v>319.73261883872368</v>
      </c>
      <c r="C60" s="87">
        <v>319.7312405127177</v>
      </c>
      <c r="D60" s="87">
        <v>319.73166051213047</v>
      </c>
      <c r="E60" s="87">
        <v>319.73209805812115</v>
      </c>
      <c r="F60" s="87">
        <v>319.73281776094251</v>
      </c>
      <c r="G60" s="87">
        <v>320.29239623775749</v>
      </c>
      <c r="H60" s="87">
        <v>320.62641265167395</v>
      </c>
      <c r="I60" s="87">
        <v>320.23167367290347</v>
      </c>
      <c r="J60" s="87">
        <v>319.7834110190588</v>
      </c>
      <c r="K60" s="87">
        <v>319.64344957005574</v>
      </c>
      <c r="L60" s="87">
        <v>319.12344104511652</v>
      </c>
      <c r="M60" s="87">
        <v>319.18025961071788</v>
      </c>
      <c r="N60" s="87">
        <v>319.50972029333417</v>
      </c>
      <c r="O60" s="87">
        <v>319.37928697539417</v>
      </c>
      <c r="P60" s="87">
        <v>318.63722373147908</v>
      </c>
      <c r="Q60" s="87">
        <v>318.3997832764876</v>
      </c>
      <c r="R60" s="87">
        <v>317.71959809162087</v>
      </c>
      <c r="S60" s="87">
        <v>317.49222888932121</v>
      </c>
      <c r="T60" s="87">
        <v>317.19418704619767</v>
      </c>
      <c r="U60" s="87">
        <v>317.30471447020102</v>
      </c>
      <c r="V60" s="87">
        <v>315.1786861119208</v>
      </c>
      <c r="W60" s="87">
        <v>315.41722113440005</v>
      </c>
      <c r="DA60" s="171" t="s">
        <v>316</v>
      </c>
    </row>
    <row r="61" spans="1:105" ht="11.45" customHeight="1" x14ac:dyDescent="0.25">
      <c r="A61" s="83" t="s">
        <v>174</v>
      </c>
      <c r="B61" s="87">
        <v>330.34240793638259</v>
      </c>
      <c r="C61" s="87">
        <v>330.34240793638259</v>
      </c>
      <c r="D61" s="87">
        <v>330.34240793638259</v>
      </c>
      <c r="E61" s="87">
        <v>330.34240793638259</v>
      </c>
      <c r="F61" s="87">
        <v>330.34240793638259</v>
      </c>
      <c r="G61" s="87">
        <v>329.69414202850157</v>
      </c>
      <c r="H61" s="87">
        <v>334.6616182375642</v>
      </c>
      <c r="I61" s="87">
        <v>339.68962859385272</v>
      </c>
      <c r="J61" s="87">
        <v>344.77682615109114</v>
      </c>
      <c r="K61" s="87">
        <v>349.76200368492823</v>
      </c>
      <c r="L61" s="87">
        <v>355.35160919291604</v>
      </c>
      <c r="M61" s="87">
        <v>340.70455053564001</v>
      </c>
      <c r="N61" s="87">
        <v>326.68195557519169</v>
      </c>
      <c r="O61" s="87">
        <v>331.60773613058541</v>
      </c>
      <c r="P61" s="87">
        <v>336.76794580793012</v>
      </c>
      <c r="Q61" s="87">
        <v>341.36934096836836</v>
      </c>
      <c r="R61" s="87">
        <v>347.93012655949173</v>
      </c>
      <c r="S61" s="87">
        <v>352.34946601074307</v>
      </c>
      <c r="T61" s="87">
        <v>357.28622017471292</v>
      </c>
      <c r="U61" s="87">
        <v>361.22896452501561</v>
      </c>
      <c r="V61" s="87">
        <v>380.42537560232211</v>
      </c>
      <c r="W61" s="87">
        <v>386.23028408591762</v>
      </c>
      <c r="DA61" s="171" t="s">
        <v>317</v>
      </c>
    </row>
    <row r="62" spans="1:105" ht="11.45" customHeight="1" x14ac:dyDescent="0.25">
      <c r="A62" s="12" t="s">
        <v>34</v>
      </c>
      <c r="B62" s="15">
        <v>365.97742007308597</v>
      </c>
      <c r="C62" s="15">
        <v>374.38956176893788</v>
      </c>
      <c r="D62" s="15">
        <v>375.93065054374716</v>
      </c>
      <c r="E62" s="15">
        <v>377.91241116482405</v>
      </c>
      <c r="F62" s="15">
        <v>377.99281425484065</v>
      </c>
      <c r="G62" s="15">
        <v>377.52724213986392</v>
      </c>
      <c r="H62" s="15">
        <v>374.46323622524665</v>
      </c>
      <c r="I62" s="15">
        <v>380.20351648352187</v>
      </c>
      <c r="J62" s="15">
        <v>380.37922705534208</v>
      </c>
      <c r="K62" s="15">
        <v>401.60547592771644</v>
      </c>
      <c r="L62" s="15">
        <v>433.18913450978505</v>
      </c>
      <c r="M62" s="15">
        <v>416.18352047533654</v>
      </c>
      <c r="N62" s="15">
        <v>413.48220294845595</v>
      </c>
      <c r="O62" s="15">
        <v>402.07205401269027</v>
      </c>
      <c r="P62" s="15">
        <v>406.40421997378002</v>
      </c>
      <c r="Q62" s="15">
        <v>426.52579558842939</v>
      </c>
      <c r="R62" s="15">
        <v>427.52383950460433</v>
      </c>
      <c r="S62" s="15">
        <v>423.08545017479929</v>
      </c>
      <c r="T62" s="15">
        <v>405.19332211219273</v>
      </c>
      <c r="U62" s="15">
        <v>389.60573680271642</v>
      </c>
      <c r="V62" s="15">
        <v>413.90402255687633</v>
      </c>
      <c r="W62" s="15">
        <v>407.95227772486487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355.95146311600035</v>
      </c>
      <c r="C64" s="101">
        <v>355.83037868843905</v>
      </c>
      <c r="D64" s="101">
        <v>355.91060358027073</v>
      </c>
      <c r="E64" s="101">
        <v>355.67329557479223</v>
      </c>
      <c r="F64" s="101">
        <v>355.6496154018435</v>
      </c>
      <c r="G64" s="101">
        <v>356.45867972801005</v>
      </c>
      <c r="H64" s="101">
        <v>353.69968318200739</v>
      </c>
      <c r="I64" s="101">
        <v>357.68774409471729</v>
      </c>
      <c r="J64" s="101">
        <v>359.27098629749037</v>
      </c>
      <c r="K64" s="101">
        <v>360.92897133902909</v>
      </c>
      <c r="L64" s="101">
        <v>354.69660010897712</v>
      </c>
      <c r="M64" s="101">
        <v>366.67702349328152</v>
      </c>
      <c r="N64" s="101">
        <v>378.34363535662936</v>
      </c>
      <c r="O64" s="101">
        <v>370.03711609625287</v>
      </c>
      <c r="P64" s="101">
        <v>365.68563795450694</v>
      </c>
      <c r="Q64" s="101">
        <v>359.23733159911228</v>
      </c>
      <c r="R64" s="101">
        <v>353.40251675112006</v>
      </c>
      <c r="S64" s="101">
        <v>348.93192874386165</v>
      </c>
      <c r="T64" s="101">
        <v>345.17499526597015</v>
      </c>
      <c r="U64" s="101">
        <v>335.54526170224472</v>
      </c>
      <c r="V64" s="101">
        <v>335.85365782204684</v>
      </c>
      <c r="W64" s="101">
        <v>336.18660265973824</v>
      </c>
      <c r="DA64" s="175" t="s">
        <v>320</v>
      </c>
    </row>
    <row r="65" spans="1:105" ht="11.45" customHeight="1" x14ac:dyDescent="0.25">
      <c r="A65" s="85" t="s">
        <v>174</v>
      </c>
      <c r="B65" s="88">
        <v>424.30372782144775</v>
      </c>
      <c r="C65" s="88">
        <v>424.30372782144775</v>
      </c>
      <c r="D65" s="88">
        <v>424.30372782144775</v>
      </c>
      <c r="E65" s="88">
        <v>424.30372782144775</v>
      </c>
      <c r="F65" s="88">
        <v>424.30372782144769</v>
      </c>
      <c r="G65" s="88">
        <v>425.77516538239854</v>
      </c>
      <c r="H65" s="88">
        <v>429.31758274904519</v>
      </c>
      <c r="I65" s="88">
        <v>438.16473837363219</v>
      </c>
      <c r="J65" s="88">
        <v>448.21849115146284</v>
      </c>
      <c r="K65" s="88">
        <v>468.27516033314117</v>
      </c>
      <c r="L65" s="88">
        <v>501.09002097098551</v>
      </c>
      <c r="M65" s="88">
        <v>474.87972150087199</v>
      </c>
      <c r="N65" s="88">
        <v>572.42214056883688</v>
      </c>
      <c r="O65" s="88">
        <v>533.24432948147387</v>
      </c>
      <c r="P65" s="88">
        <v>508.52391825299429</v>
      </c>
      <c r="Q65" s="88">
        <v>494.05389686717729</v>
      </c>
      <c r="R65" s="88">
        <v>491.41157103104979</v>
      </c>
      <c r="S65" s="88">
        <v>488.12963031104852</v>
      </c>
      <c r="T65" s="88">
        <v>489.84736059179772</v>
      </c>
      <c r="U65" s="88">
        <v>600.06981201878398</v>
      </c>
      <c r="V65" s="88">
        <v>591.70699005461768</v>
      </c>
      <c r="W65" s="88">
        <v>595.22212191470396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1.8451669930870407</v>
      </c>
      <c r="C67" s="59">
        <f t="shared" ref="C67:W67" si="60">IF(C3=0,0,C17/C57)</f>
        <v>2.0356384832637109</v>
      </c>
      <c r="D67" s="59">
        <f t="shared" si="60"/>
        <v>1.8155481708605741</v>
      </c>
      <c r="E67" s="59">
        <f t="shared" si="60"/>
        <v>1.7458366844547384</v>
      </c>
      <c r="F67" s="59">
        <f t="shared" si="60"/>
        <v>1.719218101606077</v>
      </c>
      <c r="G67" s="59">
        <f t="shared" si="60"/>
        <v>1.7194484816447781</v>
      </c>
      <c r="H67" s="59">
        <f t="shared" si="60"/>
        <v>1.484267621841286</v>
      </c>
      <c r="I67" s="59">
        <f t="shared" si="60"/>
        <v>1.5016735636773431</v>
      </c>
      <c r="J67" s="59">
        <f t="shared" si="60"/>
        <v>1.4596406610758197</v>
      </c>
      <c r="K67" s="59">
        <f t="shared" si="60"/>
        <v>1.2458454282269638</v>
      </c>
      <c r="L67" s="59">
        <f t="shared" si="60"/>
        <v>1.2131506253485393</v>
      </c>
      <c r="M67" s="59">
        <f t="shared" si="60"/>
        <v>1.2675637017216135</v>
      </c>
      <c r="N67" s="59">
        <f t="shared" si="60"/>
        <v>1.2349020577408936</v>
      </c>
      <c r="O67" s="59">
        <f t="shared" si="60"/>
        <v>1.2128954492993469</v>
      </c>
      <c r="P67" s="59">
        <f t="shared" si="60"/>
        <v>1.1684164371273971</v>
      </c>
      <c r="Q67" s="59">
        <f t="shared" si="60"/>
        <v>1.2157387363673191</v>
      </c>
      <c r="R67" s="59">
        <f t="shared" si="60"/>
        <v>1.2148095367021321</v>
      </c>
      <c r="S67" s="59">
        <f t="shared" si="60"/>
        <v>1.2304801569021151</v>
      </c>
      <c r="T67" s="59">
        <f t="shared" si="60"/>
        <v>1.2047065149763796</v>
      </c>
      <c r="U67" s="59">
        <f t="shared" si="60"/>
        <v>1.1387011168532937</v>
      </c>
      <c r="V67" s="59">
        <f t="shared" si="60"/>
        <v>1.53261953885077</v>
      </c>
      <c r="W67" s="59">
        <f t="shared" si="60"/>
        <v>1.4169574692939109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1.85121045451849</v>
      </c>
      <c r="C68" s="23">
        <f t="shared" ref="C68:W68" si="62">IF(C6=0,0,C18/C58)</f>
        <v>2.0409695199888316</v>
      </c>
      <c r="D68" s="23">
        <f t="shared" si="62"/>
        <v>1.8184725720564527</v>
      </c>
      <c r="E68" s="23">
        <f t="shared" si="62"/>
        <v>1.7477165045832368</v>
      </c>
      <c r="F68" s="23">
        <f t="shared" si="62"/>
        <v>1.721118907393659</v>
      </c>
      <c r="G68" s="23">
        <f t="shared" si="62"/>
        <v>1.7201581097687946</v>
      </c>
      <c r="H68" s="23">
        <f t="shared" si="62"/>
        <v>1.4859980911231008</v>
      </c>
      <c r="I68" s="23">
        <f t="shared" si="62"/>
        <v>1.5053040767097572</v>
      </c>
      <c r="J68" s="23">
        <f t="shared" si="62"/>
        <v>1.4610611675225935</v>
      </c>
      <c r="K68" s="23">
        <f t="shared" si="62"/>
        <v>1.2494557678072216</v>
      </c>
      <c r="L68" s="23">
        <f t="shared" si="62"/>
        <v>1.2194315086626883</v>
      </c>
      <c r="M68" s="23">
        <f t="shared" si="62"/>
        <v>1.2718309687454716</v>
      </c>
      <c r="N68" s="23">
        <f t="shared" si="62"/>
        <v>1.2353942754325027</v>
      </c>
      <c r="O68" s="23">
        <f t="shared" si="62"/>
        <v>1.2136577410604388</v>
      </c>
      <c r="P68" s="23">
        <f t="shared" si="62"/>
        <v>1.1697797937500187</v>
      </c>
      <c r="Q68" s="23">
        <f t="shared" si="62"/>
        <v>1.2219947092448764</v>
      </c>
      <c r="R68" s="23">
        <f t="shared" si="62"/>
        <v>1.2217304936936058</v>
      </c>
      <c r="S68" s="23">
        <f t="shared" si="62"/>
        <v>1.2377980794872272</v>
      </c>
      <c r="T68" s="23">
        <f t="shared" si="62"/>
        <v>1.2091385387082221</v>
      </c>
      <c r="U68" s="23">
        <f t="shared" si="62"/>
        <v>1.1404694435945275</v>
      </c>
      <c r="V68" s="23">
        <f t="shared" si="62"/>
        <v>1.5334508394751178</v>
      </c>
      <c r="W68" s="23">
        <f t="shared" si="62"/>
        <v>1.4194886110752511</v>
      </c>
      <c r="DA68" s="189"/>
    </row>
    <row r="69" spans="1:105" ht="11.45" customHeight="1" x14ac:dyDescent="0.25">
      <c r="A69" s="83" t="s">
        <v>27</v>
      </c>
      <c r="B69" s="91">
        <f t="shared" si="61"/>
        <v>6.0664975806607968</v>
      </c>
      <c r="C69" s="91">
        <f t="shared" ref="C69:W69" si="63">IF(C7=0,0,C19/C59)</f>
        <v>6.0606648803808465</v>
      </c>
      <c r="D69" s="91">
        <f t="shared" si="63"/>
        <v>6.0552706385889623</v>
      </c>
      <c r="E69" s="91">
        <f t="shared" si="63"/>
        <v>6.0484236563559177</v>
      </c>
      <c r="F69" s="91">
        <f t="shared" si="63"/>
        <v>6.04126594962875</v>
      </c>
      <c r="G69" s="91">
        <f t="shared" si="63"/>
        <v>3.6264114299674035</v>
      </c>
      <c r="H69" s="91">
        <f t="shared" si="63"/>
        <v>5.0559773662962568</v>
      </c>
      <c r="I69" s="91">
        <f t="shared" si="63"/>
        <v>6.606051777778239</v>
      </c>
      <c r="J69" s="91">
        <f t="shared" si="63"/>
        <v>1.8937984299215176</v>
      </c>
      <c r="K69" s="91">
        <f t="shared" si="63"/>
        <v>3.6651540974621057</v>
      </c>
      <c r="L69" s="91">
        <f t="shared" si="63"/>
        <v>2.5449418257984293</v>
      </c>
      <c r="M69" s="91">
        <f t="shared" si="63"/>
        <v>2.8737023991011097</v>
      </c>
      <c r="N69" s="91">
        <f t="shared" si="63"/>
        <v>1.5994739279116945</v>
      </c>
      <c r="O69" s="91">
        <f t="shared" si="63"/>
        <v>2.1299296327407022</v>
      </c>
      <c r="P69" s="91">
        <f t="shared" si="63"/>
        <v>1.7765778919172572</v>
      </c>
      <c r="Q69" s="91">
        <f t="shared" si="63"/>
        <v>2.5636504696619555</v>
      </c>
      <c r="R69" s="91">
        <f t="shared" si="63"/>
        <v>3.8755024774567572</v>
      </c>
      <c r="S69" s="91">
        <f t="shared" si="63"/>
        <v>3.3581720709734695</v>
      </c>
      <c r="T69" s="91">
        <f t="shared" si="63"/>
        <v>2.809422203933698</v>
      </c>
      <c r="U69" s="91">
        <f t="shared" si="63"/>
        <v>1.2454489510368596</v>
      </c>
      <c r="V69" s="91">
        <f t="shared" si="63"/>
        <v>1.0203879206193081</v>
      </c>
      <c r="W69" s="91">
        <f t="shared" si="63"/>
        <v>1.0668869596238464</v>
      </c>
      <c r="DA69" s="171"/>
    </row>
    <row r="70" spans="1:105" ht="11.45" customHeight="1" x14ac:dyDescent="0.25">
      <c r="A70" s="83" t="s">
        <v>173</v>
      </c>
      <c r="B70" s="91">
        <f t="shared" si="61"/>
        <v>1.5465999538337023</v>
      </c>
      <c r="C70" s="91">
        <f t="shared" ref="C70:W70" si="64">IF(C8=0,0,C20/C60)</f>
        <v>1.5593581715708198</v>
      </c>
      <c r="D70" s="91">
        <f t="shared" si="64"/>
        <v>1.558632774411443</v>
      </c>
      <c r="E70" s="91">
        <f t="shared" si="64"/>
        <v>1.5596290938275694</v>
      </c>
      <c r="F70" s="91">
        <f t="shared" si="64"/>
        <v>1.5559516370922264</v>
      </c>
      <c r="G70" s="91">
        <f t="shared" si="64"/>
        <v>1.6101904320854934</v>
      </c>
      <c r="H70" s="91">
        <f t="shared" si="64"/>
        <v>1.3178886996558163</v>
      </c>
      <c r="I70" s="91">
        <f t="shared" si="64"/>
        <v>1.2816479215663266</v>
      </c>
      <c r="J70" s="91">
        <f t="shared" si="64"/>
        <v>1.5047439420167044</v>
      </c>
      <c r="K70" s="91">
        <f t="shared" si="64"/>
        <v>1.1796910068656159</v>
      </c>
      <c r="L70" s="91">
        <f t="shared" si="64"/>
        <v>1.2663869419783957</v>
      </c>
      <c r="M70" s="91">
        <f t="shared" si="64"/>
        <v>1.2942952281803992</v>
      </c>
      <c r="N70" s="91">
        <f t="shared" si="64"/>
        <v>1.3369309497691895</v>
      </c>
      <c r="O70" s="91">
        <f t="shared" si="64"/>
        <v>1.3325846541225053</v>
      </c>
      <c r="P70" s="91">
        <f t="shared" si="64"/>
        <v>1.3717355685733212</v>
      </c>
      <c r="Q70" s="91">
        <f t="shared" si="64"/>
        <v>1.4069803680973398</v>
      </c>
      <c r="R70" s="91">
        <f t="shared" si="64"/>
        <v>1.3994894275704848</v>
      </c>
      <c r="S70" s="91">
        <f t="shared" si="64"/>
        <v>1.3666828798095891</v>
      </c>
      <c r="T70" s="91">
        <f t="shared" si="64"/>
        <v>1.3655671079390952</v>
      </c>
      <c r="U70" s="91">
        <f t="shared" si="64"/>
        <v>1.3392224786443161</v>
      </c>
      <c r="V70" s="91">
        <f t="shared" si="64"/>
        <v>1.6072690190732692</v>
      </c>
      <c r="W70" s="91">
        <f t="shared" si="64"/>
        <v>1.6550808070516678</v>
      </c>
      <c r="DA70" s="171"/>
    </row>
    <row r="71" spans="1:105" ht="11.45" customHeight="1" x14ac:dyDescent="0.25">
      <c r="A71" s="83" t="s">
        <v>174</v>
      </c>
      <c r="B71" s="91">
        <f t="shared" si="61"/>
        <v>1.6742745403310559</v>
      </c>
      <c r="C71" s="91">
        <f t="shared" ref="C71:W71" si="65">IF(C9=0,0,C21/C61)</f>
        <v>1.6880774747616931</v>
      </c>
      <c r="D71" s="91">
        <f t="shared" si="65"/>
        <v>1.6872937417760101</v>
      </c>
      <c r="E71" s="91">
        <f t="shared" si="65"/>
        <v>1.6883739537445455</v>
      </c>
      <c r="F71" s="91">
        <f t="shared" si="65"/>
        <v>1.6843978688486543</v>
      </c>
      <c r="G71" s="91">
        <f t="shared" si="65"/>
        <v>1.9725211659870932</v>
      </c>
      <c r="H71" s="91">
        <f t="shared" si="65"/>
        <v>1.6096302732032046</v>
      </c>
      <c r="I71" s="91">
        <f t="shared" si="65"/>
        <v>1.2648188218223686</v>
      </c>
      <c r="J71" s="91">
        <f t="shared" si="65"/>
        <v>1.1505397883332336</v>
      </c>
      <c r="K71" s="91">
        <f t="shared" si="65"/>
        <v>0.92844011246415481</v>
      </c>
      <c r="L71" s="91">
        <f t="shared" si="65"/>
        <v>0.81216554220719905</v>
      </c>
      <c r="M71" s="91">
        <f t="shared" si="65"/>
        <v>0.82328301289378381</v>
      </c>
      <c r="N71" s="91">
        <f t="shared" si="65"/>
        <v>0.82681297858809855</v>
      </c>
      <c r="O71" s="91">
        <f t="shared" si="65"/>
        <v>0.72186751927888904</v>
      </c>
      <c r="P71" s="91">
        <f t="shared" si="65"/>
        <v>0.61513481075343857</v>
      </c>
      <c r="Q71" s="91">
        <f t="shared" si="65"/>
        <v>0.61983294261421507</v>
      </c>
      <c r="R71" s="91">
        <f t="shared" si="65"/>
        <v>0.54685262126245249</v>
      </c>
      <c r="S71" s="91">
        <f t="shared" si="65"/>
        <v>0.60320490781855984</v>
      </c>
      <c r="T71" s="91">
        <f t="shared" si="65"/>
        <v>0.58825413848210906</v>
      </c>
      <c r="U71" s="91">
        <f t="shared" si="65"/>
        <v>0.57507971289257231</v>
      </c>
      <c r="V71" s="91">
        <f t="shared" si="65"/>
        <v>1.3555856263168466</v>
      </c>
      <c r="W71" s="91">
        <f t="shared" si="65"/>
        <v>0.85259852019324245</v>
      </c>
      <c r="DA71" s="171"/>
    </row>
    <row r="72" spans="1:105" ht="11.45" customHeight="1" x14ac:dyDescent="0.25">
      <c r="A72" s="12" t="s">
        <v>34</v>
      </c>
      <c r="B72" s="24">
        <f t="shared" si="61"/>
        <v>1.5457745679435033</v>
      </c>
      <c r="C72" s="24">
        <f t="shared" ref="C72:W72" si="66">IF(C10=0,0,C22/C62)</f>
        <v>1.5514243093607805</v>
      </c>
      <c r="D72" s="24">
        <f t="shared" si="66"/>
        <v>1.5498507502569985</v>
      </c>
      <c r="E72" s="24">
        <f t="shared" si="66"/>
        <v>1.5489392779137952</v>
      </c>
      <c r="F72" s="24">
        <f t="shared" si="66"/>
        <v>1.5452390915022196</v>
      </c>
      <c r="G72" s="24">
        <f t="shared" si="66"/>
        <v>1.65790558053392</v>
      </c>
      <c r="H72" s="24">
        <f t="shared" si="66"/>
        <v>1.3431007497044549</v>
      </c>
      <c r="I72" s="24">
        <f t="shared" si="66"/>
        <v>1.2197018304117391</v>
      </c>
      <c r="J72" s="24">
        <f t="shared" si="66"/>
        <v>1.3537307068392501</v>
      </c>
      <c r="K72" s="24">
        <f t="shared" si="66"/>
        <v>1.0215506621935571</v>
      </c>
      <c r="L72" s="24">
        <f t="shared" si="66"/>
        <v>0.93063011471376544</v>
      </c>
      <c r="M72" s="24">
        <f t="shared" si="66"/>
        <v>1.0032959473808924</v>
      </c>
      <c r="N72" s="24">
        <f t="shared" si="66"/>
        <v>1.1917541892097112</v>
      </c>
      <c r="O72" s="24">
        <f t="shared" si="66"/>
        <v>1.1510761505707661</v>
      </c>
      <c r="P72" s="24">
        <f t="shared" si="66"/>
        <v>1.0641294666910768</v>
      </c>
      <c r="Q72" s="24">
        <f t="shared" si="66"/>
        <v>0.90782531455994153</v>
      </c>
      <c r="R72" s="24">
        <f t="shared" si="66"/>
        <v>0.81891798551423234</v>
      </c>
      <c r="S72" s="24">
        <f t="shared" si="66"/>
        <v>0.82806992549483249</v>
      </c>
      <c r="T72" s="24">
        <f t="shared" si="66"/>
        <v>0.8907562182526676</v>
      </c>
      <c r="U72" s="24">
        <f t="shared" si="66"/>
        <v>0.99406604601809934</v>
      </c>
      <c r="V72" s="24">
        <f t="shared" si="66"/>
        <v>1.5099769149397746</v>
      </c>
      <c r="W72" s="24">
        <f t="shared" si="66"/>
        <v>1.3183966803588338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1.5537509091629695</v>
      </c>
      <c r="C74" s="93">
        <f t="shared" ref="C74:W74" si="68">IF(C12=0,0,C24/C64)</f>
        <v>1.5656807703595288</v>
      </c>
      <c r="D74" s="93">
        <f t="shared" si="68"/>
        <v>1.5652873857382417</v>
      </c>
      <c r="E74" s="93">
        <f t="shared" si="68"/>
        <v>1.56575416298643</v>
      </c>
      <c r="F74" s="93">
        <f t="shared" si="68"/>
        <v>1.562093074538589</v>
      </c>
      <c r="G74" s="93">
        <f t="shared" si="68"/>
        <v>1.5966902289905709</v>
      </c>
      <c r="H74" s="93">
        <f t="shared" si="68"/>
        <v>1.2945986279087065</v>
      </c>
      <c r="I74" s="93">
        <f t="shared" si="68"/>
        <v>1.2584204377626955</v>
      </c>
      <c r="J74" s="93">
        <f t="shared" si="68"/>
        <v>1.4772685409550261</v>
      </c>
      <c r="K74" s="93">
        <f t="shared" si="68"/>
        <v>1.1687485028771634</v>
      </c>
      <c r="L74" s="93">
        <f t="shared" si="68"/>
        <v>1.2567285048593286</v>
      </c>
      <c r="M74" s="93">
        <f t="shared" si="68"/>
        <v>1.2898580077491602</v>
      </c>
      <c r="N74" s="93">
        <f t="shared" si="68"/>
        <v>1.3414787069968148</v>
      </c>
      <c r="O74" s="93">
        <f t="shared" si="68"/>
        <v>1.3275348700195921</v>
      </c>
      <c r="P74" s="93">
        <f t="shared" si="68"/>
        <v>1.3471964861653158</v>
      </c>
      <c r="Q74" s="93">
        <f t="shared" si="68"/>
        <v>1.3874337272269635</v>
      </c>
      <c r="R74" s="93">
        <f t="shared" si="68"/>
        <v>1.3460481419929935</v>
      </c>
      <c r="S74" s="93">
        <f t="shared" si="68"/>
        <v>1.2828958898862799</v>
      </c>
      <c r="T74" s="93">
        <f t="shared" si="68"/>
        <v>1.2543016203319093</v>
      </c>
      <c r="U74" s="93">
        <f t="shared" si="68"/>
        <v>1.2129481552930079</v>
      </c>
      <c r="V74" s="93">
        <f t="shared" si="68"/>
        <v>1.7342181307070812</v>
      </c>
      <c r="W74" s="93">
        <f t="shared" si="68"/>
        <v>1.692287591289857</v>
      </c>
      <c r="DA74" s="175"/>
    </row>
    <row r="75" spans="1:105" ht="11.45" customHeight="1" x14ac:dyDescent="0.25">
      <c r="A75" s="85" t="s">
        <v>174</v>
      </c>
      <c r="B75" s="94">
        <f t="shared" si="61"/>
        <v>1.5068470862979504</v>
      </c>
      <c r="C75" s="94">
        <f t="shared" ref="C75:W75" si="69">IF(C13=0,0,C25/C65)</f>
        <v>1.5192697272855242</v>
      </c>
      <c r="D75" s="94">
        <f t="shared" si="69"/>
        <v>1.5185643675984093</v>
      </c>
      <c r="E75" s="94">
        <f t="shared" si="69"/>
        <v>1.5195365583700913</v>
      </c>
      <c r="F75" s="94">
        <f t="shared" si="69"/>
        <v>1.5159580819637892</v>
      </c>
      <c r="G75" s="94">
        <f t="shared" si="69"/>
        <v>1.7752690493883836</v>
      </c>
      <c r="H75" s="94">
        <f t="shared" si="69"/>
        <v>1.448667245882884</v>
      </c>
      <c r="I75" s="94">
        <f t="shared" si="69"/>
        <v>1.1383369396401317</v>
      </c>
      <c r="J75" s="94">
        <f t="shared" si="69"/>
        <v>1.0354858094999104</v>
      </c>
      <c r="K75" s="94">
        <f t="shared" si="69"/>
        <v>0.83559610121773953</v>
      </c>
      <c r="L75" s="94">
        <f t="shared" si="69"/>
        <v>0.73094898798647923</v>
      </c>
      <c r="M75" s="94">
        <f t="shared" si="69"/>
        <v>0.74095471160440551</v>
      </c>
      <c r="N75" s="94">
        <f t="shared" si="69"/>
        <v>0.74413168072928904</v>
      </c>
      <c r="O75" s="94">
        <f t="shared" si="69"/>
        <v>0.64968076735100022</v>
      </c>
      <c r="P75" s="94">
        <f t="shared" si="69"/>
        <v>0.55362132967809463</v>
      </c>
      <c r="Q75" s="94">
        <f t="shared" si="69"/>
        <v>0.55784964835279349</v>
      </c>
      <c r="R75" s="94">
        <f t="shared" si="69"/>
        <v>0.49216735913620718</v>
      </c>
      <c r="S75" s="94">
        <f t="shared" si="69"/>
        <v>0.54288441703670398</v>
      </c>
      <c r="T75" s="94">
        <f t="shared" si="69"/>
        <v>0.52942872463389812</v>
      </c>
      <c r="U75" s="94">
        <f t="shared" si="69"/>
        <v>0.51757174160331509</v>
      </c>
      <c r="V75" s="94">
        <f t="shared" si="69"/>
        <v>1.220027063685162</v>
      </c>
      <c r="W75" s="94">
        <f t="shared" si="69"/>
        <v>0.76733866817391816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310.73742000000004</v>
      </c>
      <c r="C3" s="79">
        <f t="shared" si="0"/>
        <v>459.69487200000003</v>
      </c>
      <c r="D3" s="79">
        <f t="shared" ref="D3" si="1">SUM(D4:D5)</f>
        <v>466.036452</v>
      </c>
      <c r="E3" s="79">
        <f t="shared" ref="E3" si="2">SUM(E4:E5)</f>
        <v>564.33094200000016</v>
      </c>
      <c r="F3" s="79">
        <f t="shared" ref="F3" si="3">SUM(F4:F5)</f>
        <v>520.83197676000009</v>
      </c>
      <c r="G3" s="79">
        <f t="shared" ref="G3" si="4">SUM(G4:G5)</f>
        <v>607.64095944000007</v>
      </c>
      <c r="H3" s="79">
        <f t="shared" ref="H3" si="5">SUM(H4:H5)</f>
        <v>616.96532952000007</v>
      </c>
      <c r="I3" s="79">
        <f t="shared" ref="I3" si="6">SUM(I4:I5)</f>
        <v>670.89904380000007</v>
      </c>
      <c r="J3" s="79">
        <f t="shared" ref="J3" si="7">SUM(J4:J5)</f>
        <v>677.07057276000023</v>
      </c>
      <c r="K3" s="79">
        <f t="shared" ref="K3" si="8">SUM(K4:K5)</f>
        <v>528.66905903999987</v>
      </c>
      <c r="L3" s="79">
        <f t="shared" ref="L3" si="9">SUM(L4:L5)</f>
        <v>550.31067143999985</v>
      </c>
      <c r="M3" s="79">
        <f t="shared" ref="M3" si="10">SUM(M4:M5)</f>
        <v>575.04438648000007</v>
      </c>
      <c r="N3" s="79">
        <f t="shared" ref="N3" si="11">SUM(N4:N5)</f>
        <v>525.5772152400001</v>
      </c>
      <c r="O3" s="79">
        <f t="shared" ref="O3" si="12">SUM(O4:O5)</f>
        <v>516.30220152000004</v>
      </c>
      <c r="P3" s="79">
        <f t="shared" ref="P3" si="13">SUM(P4:P5)</f>
        <v>537.94407276000015</v>
      </c>
      <c r="Q3" s="79">
        <f t="shared" ref="Q3" si="14">SUM(Q4:Q5)</f>
        <v>571.95254268000008</v>
      </c>
      <c r="R3" s="79">
        <f t="shared" ref="R3" si="15">SUM(R4:R5)</f>
        <v>698.72408495999991</v>
      </c>
      <c r="S3" s="79">
        <f t="shared" ref="S3" si="16">SUM(S4:S5)</f>
        <v>778.33034496000016</v>
      </c>
      <c r="T3" s="79">
        <f t="shared" ref="T3" si="17">SUM(T4:T5)</f>
        <v>823.54181687999994</v>
      </c>
      <c r="U3" s="79">
        <f t="shared" ref="U3" si="18">SUM(U4:U5)</f>
        <v>738.66047795999975</v>
      </c>
      <c r="V3" s="79">
        <f t="shared" ref="V3:W3" si="19">SUM(V4:V5)</f>
        <v>425.75579567999995</v>
      </c>
      <c r="W3" s="79">
        <f t="shared" si="19"/>
        <v>508.5204436800002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63.415799999999997</v>
      </c>
      <c r="C4" s="96">
        <f t="shared" si="20"/>
        <v>139.44508200000001</v>
      </c>
      <c r="D4" s="96">
        <f t="shared" ref="D4:V4" si="21">SUM(D7,D11)</f>
        <v>82.370861999999988</v>
      </c>
      <c r="E4" s="96">
        <f t="shared" si="21"/>
        <v>72.858491999999998</v>
      </c>
      <c r="F4" s="96">
        <f t="shared" si="21"/>
        <v>58.883075999999988</v>
      </c>
      <c r="G4" s="96">
        <f t="shared" si="21"/>
        <v>40.281021719999991</v>
      </c>
      <c r="H4" s="96">
        <f t="shared" si="21"/>
        <v>74.407958279999988</v>
      </c>
      <c r="I4" s="96">
        <f t="shared" si="21"/>
        <v>123.66805752000002</v>
      </c>
      <c r="J4" s="96">
        <f t="shared" si="21"/>
        <v>40.180257719999986</v>
      </c>
      <c r="K4" s="96">
        <f t="shared" si="21"/>
        <v>71.097401519999991</v>
      </c>
      <c r="L4" s="96">
        <f t="shared" si="21"/>
        <v>46.36368648000002</v>
      </c>
      <c r="M4" s="96">
        <f t="shared" si="21"/>
        <v>64.913972760000021</v>
      </c>
      <c r="N4" s="96">
        <f t="shared" si="21"/>
        <v>33.996828959999988</v>
      </c>
      <c r="O4" s="96">
        <f t="shared" si="21"/>
        <v>37.088672759999994</v>
      </c>
      <c r="P4" s="96">
        <f t="shared" si="21"/>
        <v>27.813659040000001</v>
      </c>
      <c r="Q4" s="96">
        <f t="shared" si="21"/>
        <v>40.180257719999986</v>
      </c>
      <c r="R4" s="96">
        <f t="shared" si="21"/>
        <v>58.742184960000017</v>
      </c>
      <c r="S4" s="96">
        <f t="shared" si="21"/>
        <v>61.98029136000001</v>
      </c>
      <c r="T4" s="96">
        <f t="shared" si="21"/>
        <v>52.722767880000013</v>
      </c>
      <c r="U4" s="96">
        <f t="shared" si="21"/>
        <v>21.675489839999997</v>
      </c>
      <c r="V4" s="96">
        <f t="shared" si="21"/>
        <v>11.657351520000002</v>
      </c>
      <c r="W4" s="96">
        <f t="shared" ref="W4" si="22">SUM(W7,W11)</f>
        <v>15.22420704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247.32162000000002</v>
      </c>
      <c r="C5" s="96">
        <f t="shared" si="23"/>
        <v>320.24979000000002</v>
      </c>
      <c r="D5" s="96">
        <f t="shared" ref="D5:V5" si="24">SUM(D8:D9,D12:D13)</f>
        <v>383.66559000000001</v>
      </c>
      <c r="E5" s="96">
        <f t="shared" si="24"/>
        <v>491.47245000000021</v>
      </c>
      <c r="F5" s="96">
        <f t="shared" si="24"/>
        <v>461.94890076000007</v>
      </c>
      <c r="G5" s="96">
        <f t="shared" si="24"/>
        <v>567.35993772000006</v>
      </c>
      <c r="H5" s="96">
        <f t="shared" si="24"/>
        <v>542.55737124000007</v>
      </c>
      <c r="I5" s="96">
        <f t="shared" si="24"/>
        <v>547.23098628000002</v>
      </c>
      <c r="J5" s="96">
        <f t="shared" si="24"/>
        <v>636.89031504000025</v>
      </c>
      <c r="K5" s="96">
        <f t="shared" si="24"/>
        <v>457.57165751999992</v>
      </c>
      <c r="L5" s="96">
        <f t="shared" si="24"/>
        <v>503.94698495999978</v>
      </c>
      <c r="M5" s="96">
        <f t="shared" si="24"/>
        <v>510.13041372000009</v>
      </c>
      <c r="N5" s="96">
        <f t="shared" si="24"/>
        <v>491.58038628000008</v>
      </c>
      <c r="O5" s="96">
        <f t="shared" si="24"/>
        <v>479.21352876000009</v>
      </c>
      <c r="P5" s="96">
        <f t="shared" si="24"/>
        <v>510.13041372000021</v>
      </c>
      <c r="Q5" s="96">
        <f t="shared" si="24"/>
        <v>531.77228496000009</v>
      </c>
      <c r="R5" s="96">
        <f t="shared" si="24"/>
        <v>639.98189999999988</v>
      </c>
      <c r="S5" s="96">
        <f t="shared" si="24"/>
        <v>716.35005360000014</v>
      </c>
      <c r="T5" s="96">
        <f t="shared" si="24"/>
        <v>770.81904899999995</v>
      </c>
      <c r="U5" s="96">
        <f t="shared" si="24"/>
        <v>716.9849881199998</v>
      </c>
      <c r="V5" s="96">
        <f t="shared" si="24"/>
        <v>414.09844415999993</v>
      </c>
      <c r="W5" s="96">
        <f t="shared" ref="W5" si="25">SUM(W8:W9,W12:W13)</f>
        <v>493.29623664000019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305.58667880691365</v>
      </c>
      <c r="C6" s="21">
        <f t="shared" si="26"/>
        <v>455.87896324151592</v>
      </c>
      <c r="D6" s="21">
        <f t="shared" ref="D6:V6" si="27">SUM(D7:D9)</f>
        <v>461.70457532223895</v>
      </c>
      <c r="E6" s="21">
        <f t="shared" si="27"/>
        <v>559.59529761870169</v>
      </c>
      <c r="F6" s="21">
        <f t="shared" si="27"/>
        <v>515.77193926804716</v>
      </c>
      <c r="G6" s="21">
        <f t="shared" si="27"/>
        <v>600.96134836261172</v>
      </c>
      <c r="H6" s="21">
        <f t="shared" si="27"/>
        <v>610.20454829379923</v>
      </c>
      <c r="I6" s="21">
        <f t="shared" si="27"/>
        <v>663.97209951727416</v>
      </c>
      <c r="J6" s="21">
        <f t="shared" si="27"/>
        <v>668.75879158731323</v>
      </c>
      <c r="K6" s="21">
        <f t="shared" si="27"/>
        <v>521.80086892693373</v>
      </c>
      <c r="L6" s="21">
        <f t="shared" si="27"/>
        <v>541.12823946914546</v>
      </c>
      <c r="M6" s="21">
        <f t="shared" si="27"/>
        <v>567.81048397958216</v>
      </c>
      <c r="N6" s="21">
        <f t="shared" si="27"/>
        <v>519.85543207898115</v>
      </c>
      <c r="O6" s="21">
        <f t="shared" si="27"/>
        <v>510.33281624671673</v>
      </c>
      <c r="P6" s="21">
        <f t="shared" si="27"/>
        <v>531.6208271658486</v>
      </c>
      <c r="Q6" s="21">
        <f t="shared" si="27"/>
        <v>563.44671687253685</v>
      </c>
      <c r="R6" s="21">
        <f t="shared" si="27"/>
        <v>690.63124162901408</v>
      </c>
      <c r="S6" s="21">
        <f t="shared" si="27"/>
        <v>768.97478624547898</v>
      </c>
      <c r="T6" s="21">
        <f t="shared" si="27"/>
        <v>815.06498894001584</v>
      </c>
      <c r="U6" s="21">
        <f t="shared" si="27"/>
        <v>730.87162051006555</v>
      </c>
      <c r="V6" s="21">
        <f t="shared" si="27"/>
        <v>410.90048002584876</v>
      </c>
      <c r="W6" s="21">
        <f t="shared" ref="W6" si="28">SUM(W7:W9)</f>
        <v>496.67328374635463</v>
      </c>
      <c r="DA6" s="189" t="s">
        <v>326</v>
      </c>
    </row>
    <row r="7" spans="1:105" ht="11.45" customHeight="1" x14ac:dyDescent="0.25">
      <c r="A7" s="83" t="s">
        <v>27</v>
      </c>
      <c r="B7" s="96">
        <v>63.415799999999997</v>
      </c>
      <c r="C7" s="96">
        <v>139.44508200000001</v>
      </c>
      <c r="D7" s="96">
        <v>82.370861999999988</v>
      </c>
      <c r="E7" s="96">
        <v>72.858491999999998</v>
      </c>
      <c r="F7" s="96">
        <v>58.883075999999988</v>
      </c>
      <c r="G7" s="96">
        <v>40.281021719999991</v>
      </c>
      <c r="H7" s="96">
        <v>74.407958279999988</v>
      </c>
      <c r="I7" s="96">
        <v>123.66805752000002</v>
      </c>
      <c r="J7" s="96">
        <v>40.180257719999986</v>
      </c>
      <c r="K7" s="96">
        <v>71.097401519999991</v>
      </c>
      <c r="L7" s="96">
        <v>46.36368648000002</v>
      </c>
      <c r="M7" s="96">
        <v>64.913972760000021</v>
      </c>
      <c r="N7" s="96">
        <v>33.996828959999988</v>
      </c>
      <c r="O7" s="96">
        <v>37.088672759999994</v>
      </c>
      <c r="P7" s="96">
        <v>27.813659040000001</v>
      </c>
      <c r="Q7" s="96">
        <v>40.180257719999986</v>
      </c>
      <c r="R7" s="96">
        <v>58.742184960000017</v>
      </c>
      <c r="S7" s="96">
        <v>61.98029136000001</v>
      </c>
      <c r="T7" s="96">
        <v>52.722767880000013</v>
      </c>
      <c r="U7" s="96">
        <v>21.675489839999997</v>
      </c>
      <c r="V7" s="96">
        <v>11.657351520000002</v>
      </c>
      <c r="W7" s="96">
        <v>15.22420704</v>
      </c>
      <c r="DA7" s="171" t="s">
        <v>327</v>
      </c>
    </row>
    <row r="8" spans="1:105" ht="11.45" customHeight="1" x14ac:dyDescent="0.25">
      <c r="A8" s="83" t="s">
        <v>173</v>
      </c>
      <c r="B8" s="96">
        <v>202.37414872870974</v>
      </c>
      <c r="C8" s="96">
        <v>264.43637972825877</v>
      </c>
      <c r="D8" s="96">
        <v>316.994743361372</v>
      </c>
      <c r="E8" s="96">
        <v>406.76388304159678</v>
      </c>
      <c r="F8" s="96">
        <v>381.81881906816807</v>
      </c>
      <c r="G8" s="96">
        <v>473.67403361571752</v>
      </c>
      <c r="H8" s="96">
        <v>458.44945496987202</v>
      </c>
      <c r="I8" s="96">
        <v>463.42286476974766</v>
      </c>
      <c r="J8" s="96">
        <v>536.7550919700102</v>
      </c>
      <c r="K8" s="96">
        <v>380.01218128152425</v>
      </c>
      <c r="L8" s="96">
        <v>415.77867632180318</v>
      </c>
      <c r="M8" s="96">
        <v>422.92337440665631</v>
      </c>
      <c r="N8" s="96">
        <v>407.52775684982328</v>
      </c>
      <c r="O8" s="96">
        <v>397.67713119335912</v>
      </c>
      <c r="P8" s="96">
        <v>424.00648948880104</v>
      </c>
      <c r="Q8" s="96">
        <v>441.78704190692395</v>
      </c>
      <c r="R8" s="96">
        <v>543.37091715694851</v>
      </c>
      <c r="S8" s="96">
        <v>614.67291890292552</v>
      </c>
      <c r="T8" s="96">
        <v>662.0211719557592</v>
      </c>
      <c r="U8" s="96">
        <v>614.56562330659676</v>
      </c>
      <c r="V8" s="96">
        <v>328.85416121024321</v>
      </c>
      <c r="W8" s="96">
        <v>402.79377530722763</v>
      </c>
      <c r="DA8" s="171" t="s">
        <v>328</v>
      </c>
    </row>
    <row r="9" spans="1:105" ht="11.45" customHeight="1" x14ac:dyDescent="0.25">
      <c r="A9" s="83" t="s">
        <v>174</v>
      </c>
      <c r="B9" s="96">
        <v>39.7967300782039</v>
      </c>
      <c r="C9" s="96">
        <v>51.997501513257149</v>
      </c>
      <c r="D9" s="96">
        <v>62.33896996086694</v>
      </c>
      <c r="E9" s="96">
        <v>79.972922577104853</v>
      </c>
      <c r="F9" s="96">
        <v>75.070044199879078</v>
      </c>
      <c r="G9" s="96">
        <v>87.006293026894198</v>
      </c>
      <c r="H9" s="96">
        <v>77.347135043927267</v>
      </c>
      <c r="I9" s="96">
        <v>76.881177227526422</v>
      </c>
      <c r="J9" s="96">
        <v>91.823441897302999</v>
      </c>
      <c r="K9" s="96">
        <v>70.691286125409462</v>
      </c>
      <c r="L9" s="96">
        <v>78.985876667342325</v>
      </c>
      <c r="M9" s="96">
        <v>79.973136812925873</v>
      </c>
      <c r="N9" s="96">
        <v>78.330846269157874</v>
      </c>
      <c r="O9" s="96">
        <v>75.567012293357593</v>
      </c>
      <c r="P9" s="96">
        <v>79.800678637047582</v>
      </c>
      <c r="Q9" s="96">
        <v>81.479417245612908</v>
      </c>
      <c r="R9" s="96">
        <v>88.518139512065602</v>
      </c>
      <c r="S9" s="96">
        <v>92.321575982553455</v>
      </c>
      <c r="T9" s="96">
        <v>100.32104910425669</v>
      </c>
      <c r="U9" s="96">
        <v>94.630507363468851</v>
      </c>
      <c r="V9" s="96">
        <v>70.388967295605568</v>
      </c>
      <c r="W9" s="96">
        <v>78.655301399126955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5.1507411930863674</v>
      </c>
      <c r="C10" s="22">
        <f t="shared" si="29"/>
        <v>3.8159087584841229</v>
      </c>
      <c r="D10" s="22">
        <f t="shared" ref="D10:V10" si="30">SUM(D11:D13)</f>
        <v>4.3318766777610636</v>
      </c>
      <c r="E10" s="22">
        <f t="shared" si="30"/>
        <v>4.7356443812986013</v>
      </c>
      <c r="F10" s="22">
        <f t="shared" si="30"/>
        <v>5.0600374919529276</v>
      </c>
      <c r="G10" s="22">
        <f t="shared" si="30"/>
        <v>6.6796110773883672</v>
      </c>
      <c r="H10" s="22">
        <f t="shared" si="30"/>
        <v>6.7607812262008187</v>
      </c>
      <c r="I10" s="22">
        <f t="shared" si="30"/>
        <v>6.926944282725918</v>
      </c>
      <c r="J10" s="22">
        <f t="shared" si="30"/>
        <v>8.3117811726870166</v>
      </c>
      <c r="K10" s="22">
        <f t="shared" si="30"/>
        <v>6.8681901130661913</v>
      </c>
      <c r="L10" s="22">
        <f t="shared" si="30"/>
        <v>9.1824319708543172</v>
      </c>
      <c r="M10" s="22">
        <f t="shared" si="30"/>
        <v>7.2339025004178987</v>
      </c>
      <c r="N10" s="22">
        <f t="shared" si="30"/>
        <v>5.721783161018922</v>
      </c>
      <c r="O10" s="22">
        <f t="shared" si="30"/>
        <v>5.9693852732833745</v>
      </c>
      <c r="P10" s="22">
        <f t="shared" si="30"/>
        <v>6.3232455941515866</v>
      </c>
      <c r="Q10" s="22">
        <f t="shared" si="30"/>
        <v>8.5058258074631752</v>
      </c>
      <c r="R10" s="22">
        <f t="shared" si="30"/>
        <v>8.0928433309858629</v>
      </c>
      <c r="S10" s="22">
        <f t="shared" si="30"/>
        <v>9.3555587145211163</v>
      </c>
      <c r="T10" s="22">
        <f t="shared" si="30"/>
        <v>8.4768279399841227</v>
      </c>
      <c r="U10" s="22">
        <f t="shared" si="30"/>
        <v>7.7888574499341914</v>
      </c>
      <c r="V10" s="22">
        <f t="shared" si="30"/>
        <v>14.855315654151159</v>
      </c>
      <c r="W10" s="22">
        <f t="shared" ref="W10" si="31">SUM(W11:W13)</f>
        <v>11.847159933645578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4.2968781105368716</v>
      </c>
      <c r="C12" s="97">
        <v>2.6680388391359449</v>
      </c>
      <c r="D12" s="97">
        <v>2.9295759103887433</v>
      </c>
      <c r="E12" s="97">
        <v>3.0454279752957509</v>
      </c>
      <c r="F12" s="97">
        <v>3.2465384167879767</v>
      </c>
      <c r="G12" s="97">
        <v>4.2278058742542353</v>
      </c>
      <c r="H12" s="97">
        <v>4.4651428137934364</v>
      </c>
      <c r="I12" s="97">
        <v>4.842476220987658</v>
      </c>
      <c r="J12" s="97">
        <v>6.5339225630731717</v>
      </c>
      <c r="K12" s="97">
        <v>4.385987124894779</v>
      </c>
      <c r="L12" s="97">
        <v>4.7092900386990335</v>
      </c>
      <c r="M12" s="97">
        <v>4.444840881140272</v>
      </c>
      <c r="N12" s="97">
        <v>4.8262932037086284</v>
      </c>
      <c r="O12" s="97">
        <v>5.0923189033463494</v>
      </c>
      <c r="P12" s="97">
        <v>5.1498090656662097</v>
      </c>
      <c r="Q12" s="97">
        <v>5.484081288567384</v>
      </c>
      <c r="R12" s="97">
        <v>5.0902663279165266</v>
      </c>
      <c r="S12" s="97">
        <v>5.5857710518144605</v>
      </c>
      <c r="T12" s="97">
        <v>5.9499817839877212</v>
      </c>
      <c r="U12" s="97">
        <v>6.5123616753937004</v>
      </c>
      <c r="V12" s="97">
        <v>9.6208548360931996</v>
      </c>
      <c r="W12" s="97">
        <v>9.0598684281603763</v>
      </c>
      <c r="DA12" s="175" t="s">
        <v>332</v>
      </c>
    </row>
    <row r="13" spans="1:105" ht="11.45" customHeight="1" x14ac:dyDescent="0.25">
      <c r="A13" s="85" t="s">
        <v>174</v>
      </c>
      <c r="B13" s="98">
        <v>0.85386308254949539</v>
      </c>
      <c r="C13" s="98">
        <v>1.1478699193481781</v>
      </c>
      <c r="D13" s="98">
        <v>1.40230076737232</v>
      </c>
      <c r="E13" s="98">
        <v>1.6902164060028506</v>
      </c>
      <c r="F13" s="98">
        <v>1.8134990751649513</v>
      </c>
      <c r="G13" s="98">
        <v>2.451805203134132</v>
      </c>
      <c r="H13" s="98">
        <v>2.2956384124073823</v>
      </c>
      <c r="I13" s="98">
        <v>2.0844680617382596</v>
      </c>
      <c r="J13" s="98">
        <v>1.7778586096138458</v>
      </c>
      <c r="K13" s="98">
        <v>2.4822029881714118</v>
      </c>
      <c r="L13" s="98">
        <v>4.4731419321552828</v>
      </c>
      <c r="M13" s="98">
        <v>2.7890616192776267</v>
      </c>
      <c r="N13" s="98">
        <v>0.89548995731029346</v>
      </c>
      <c r="O13" s="98">
        <v>0.87706636993702536</v>
      </c>
      <c r="P13" s="98">
        <v>1.1734365284853772</v>
      </c>
      <c r="Q13" s="98">
        <v>3.0217445188957903</v>
      </c>
      <c r="R13" s="98">
        <v>3.0025770030693359</v>
      </c>
      <c r="S13" s="98">
        <v>3.7697876627066567</v>
      </c>
      <c r="T13" s="98">
        <v>2.5268461559964019</v>
      </c>
      <c r="U13" s="98">
        <v>1.2764957745404908</v>
      </c>
      <c r="V13" s="98">
        <v>5.2344608180579604</v>
      </c>
      <c r="W13" s="98">
        <v>2.7872915054852023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3.0103092000000005</v>
      </c>
      <c r="C18" s="97">
        <f>IF(C4=0,0,C4/TrAvia_ene!C4)</f>
        <v>3.0084931874610441</v>
      </c>
      <c r="D18" s="97">
        <f>IF(D4=0,0,D4/TrAvia_ene!D4)</f>
        <v>3.0072361690252265</v>
      </c>
      <c r="E18" s="97">
        <f>IF(E4=0,0,E4/TrAvia_ene!E4)</f>
        <v>3.006835418550351</v>
      </c>
      <c r="F18" s="97">
        <f>IF(F4=0,0,F4/TrAvia_ene!F4)</f>
        <v>3.006045247507803</v>
      </c>
      <c r="G18" s="97">
        <f>IF(G4=0,0,G4/TrAvia_ene!G4)</f>
        <v>3.0040801993253994</v>
      </c>
      <c r="H18" s="97">
        <f>IF(H4=0,0,H4/TrAvia_ene!H4)</f>
        <v>3.0103092</v>
      </c>
      <c r="I18" s="97">
        <f>IF(I4=0,0,I4/TrAvia_ene!I4)</f>
        <v>3.0103092000000005</v>
      </c>
      <c r="J18" s="97">
        <f>IF(J4=0,0,J4/TrAvia_ene!J4)</f>
        <v>3.0040589970338467</v>
      </c>
      <c r="K18" s="97">
        <f>IF(K4=0,0,K4/TrAvia_ene!K4)</f>
        <v>3.006773744282182</v>
      </c>
      <c r="L18" s="97">
        <f>IF(L4=0,0,L4/TrAvia_ene!L4)</f>
        <v>3.0048910733287268</v>
      </c>
      <c r="M18" s="97">
        <f>IF(M4=0,0,M4/TrAvia_ene!M4)</f>
        <v>3.0064374049675253</v>
      </c>
      <c r="N18" s="97">
        <f>IF(N4=0,0,N4/TrAvia_ene!N4)</f>
        <v>3.002924982947762</v>
      </c>
      <c r="O18" s="97">
        <f>IF(O4=0,0,O4/TrAvia_ene!O4)</f>
        <v>3.0035391731747567</v>
      </c>
      <c r="P18" s="97">
        <f>IF(P4=0,0,P4/TrAvia_ene!P4)</f>
        <v>3.0012883393197134</v>
      </c>
      <c r="Q18" s="97">
        <f>IF(Q4=0,0,Q4/TrAvia_ene!Q4)</f>
        <v>3.0040589970338467</v>
      </c>
      <c r="R18" s="97">
        <f>IF(R4=0,0,R4/TrAvia_ene!R4)</f>
        <v>3.0103092000000005</v>
      </c>
      <c r="S18" s="97">
        <f>IF(S4=0,0,S4/TrAvia_ene!S4)</f>
        <v>3.0084506327860372</v>
      </c>
      <c r="T18" s="97">
        <f>IF(T4=0,0,T4/TrAvia_ene!T4)</f>
        <v>3.0084724254311555</v>
      </c>
      <c r="U18" s="97">
        <f>IF(U4=0,0,U4/TrAvia_ene!U4)</f>
        <v>3.0074677504080172</v>
      </c>
      <c r="V18" s="97">
        <f>IF(V4=0,0,V4/TrAvia_ene!V4)</f>
        <v>3.0070309669875352</v>
      </c>
      <c r="W18" s="97">
        <f>IF(W4=0,0,W4/TrAvia_ene!W4)</f>
        <v>3.0064784329824086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3.0103091999999991</v>
      </c>
      <c r="D19" s="98">
        <f>IF(D5=0,0,D5/TrAvia_ene!D5)</f>
        <v>3.0103091999999996</v>
      </c>
      <c r="E19" s="98">
        <f>IF(E5=0,0,E5/TrAvia_ene!E5)</f>
        <v>3.0103092000000009</v>
      </c>
      <c r="F19" s="98">
        <f>IF(F5=0,0,F5/TrAvia_ene!F5)</f>
        <v>3.0103091999999991</v>
      </c>
      <c r="G19" s="98">
        <f>IF(G5=0,0,G5/TrAvia_ene!G5)</f>
        <v>3.0103092000000018</v>
      </c>
      <c r="H19" s="98">
        <f>IF(H5=0,0,H5/TrAvia_ene!H5)</f>
        <v>3.0103091999999991</v>
      </c>
      <c r="I19" s="98">
        <f>IF(I5=0,0,I5/TrAvia_ene!I5)</f>
        <v>3.0103092000000009</v>
      </c>
      <c r="J19" s="98">
        <f>IF(J5=0,0,J5/TrAvia_ene!J5)</f>
        <v>3.0103092000000018</v>
      </c>
      <c r="K19" s="98">
        <f>IF(K5=0,0,K5/TrAvia_ene!K5)</f>
        <v>3.0103092000000005</v>
      </c>
      <c r="L19" s="98">
        <f>IF(L5=0,0,L5/TrAvia_ene!L5)</f>
        <v>3.0103091999999982</v>
      </c>
      <c r="M19" s="98">
        <f>IF(M5=0,0,M5/TrAvia_ene!M5)</f>
        <v>3.0103091999999996</v>
      </c>
      <c r="N19" s="98">
        <f>IF(N5=0,0,N5/TrAvia_ene!N5)</f>
        <v>3.0103091999999991</v>
      </c>
      <c r="O19" s="98">
        <f>IF(O5=0,0,O5/TrAvia_ene!O5)</f>
        <v>3.0103092000000009</v>
      </c>
      <c r="P19" s="98">
        <f>IF(P5=0,0,P5/TrAvia_ene!P5)</f>
        <v>3.0103092000000014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18526.548182949326</v>
      </c>
      <c r="C21" s="54">
        <f>IF(C3=0,0,C3/TrAvia_act!C13*1000)</f>
        <v>20892.88045585611</v>
      </c>
      <c r="D21" s="54">
        <f>IF(D3=0,0,D3/TrAvia_act!D13*1000)</f>
        <v>18116.487840267619</v>
      </c>
      <c r="E21" s="54">
        <f>IF(E3=0,0,E3/TrAvia_act!E13*1000)</f>
        <v>17263.926053380233</v>
      </c>
      <c r="F21" s="54">
        <f>IF(F3=0,0,F3/TrAvia_act!F13*1000)</f>
        <v>16955.439589706086</v>
      </c>
      <c r="G21" s="54">
        <f>IF(G3=0,0,G3/TrAvia_act!G13*1000)</f>
        <v>16971.759550696057</v>
      </c>
      <c r="H21" s="54">
        <f>IF(H3=0,0,H3/TrAvia_act!H13*1000)</f>
        <v>14694.993584210595</v>
      </c>
      <c r="I21" s="54">
        <f>IF(I3=0,0,I3/TrAvia_act!I13*1000)</f>
        <v>14910.085157758314</v>
      </c>
      <c r="J21" s="54">
        <f>IF(J3=0,0,J3/TrAvia_act!J13*1000)</f>
        <v>14572.838953404993</v>
      </c>
      <c r="K21" s="54">
        <f>IF(K3=0,0,K3/TrAvia_act!K13*1000)</f>
        <v>12495.263299258773</v>
      </c>
      <c r="L21" s="54">
        <f>IF(L3=0,0,L3/TrAvia_act!L13*1000)</f>
        <v>12230.336230232431</v>
      </c>
      <c r="M21" s="54">
        <f>IF(M3=0,0,M3/TrAvia_act!M13*1000)</f>
        <v>12698.318223066779</v>
      </c>
      <c r="N21" s="54">
        <f>IF(N3=0,0,N3/TrAvia_act!N13*1000)</f>
        <v>12251.600913535534</v>
      </c>
      <c r="O21" s="54">
        <f>IF(O3=0,0,O3/TrAvia_act!O13*1000)</f>
        <v>12047.723947982244</v>
      </c>
      <c r="P21" s="54">
        <f>IF(P3=0,0,P3/TrAvia_act!P13*1000)</f>
        <v>11614.229508020604</v>
      </c>
      <c r="Q21" s="54">
        <f>IF(Q3=0,0,Q3/TrAvia_act!Q13*1000)</f>
        <v>12137.947069845186</v>
      </c>
      <c r="R21" s="54">
        <f>IF(R3=0,0,R3/TrAvia_act!R13*1000)</f>
        <v>12128.110406434498</v>
      </c>
      <c r="S21" s="54">
        <f>IF(S3=0,0,S3/TrAvia_act!S13*1000)</f>
        <v>12273.709661677198</v>
      </c>
      <c r="T21" s="54">
        <f>IF(T3=0,0,T3/TrAvia_act!T13*1000)</f>
        <v>12027.998056048586</v>
      </c>
      <c r="U21" s="54">
        <f>IF(U3=0,0,U3/TrAvia_act!U13*1000)</f>
        <v>11394.976530406508</v>
      </c>
      <c r="V21" s="54">
        <f>IF(V3=0,0,V3/TrAvia_act!V13*1000)</f>
        <v>15457.036320479787</v>
      </c>
      <c r="W21" s="54">
        <f>IF(W3=0,0,W3/TrAvia_act!W13*1000)</f>
        <v>14483.878906518896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18554.03269130033</v>
      </c>
      <c r="C22" s="11">
        <f>IF(C6=0,0,C6/TrAvia_act!C14*1000)</f>
        <v>20927.021423963233</v>
      </c>
      <c r="D22" s="11">
        <f>IF(D6=0,0,D6/TrAvia_act!D14*1000)</f>
        <v>18122.084591002353</v>
      </c>
      <c r="E22" s="11">
        <f>IF(E6=0,0,E6/TrAvia_act!E14*1000)</f>
        <v>17260.96400175833</v>
      </c>
      <c r="F22" s="11">
        <f>IF(F6=0,0,F6/TrAvia_act!F14*1000)</f>
        <v>16949.505634145247</v>
      </c>
      <c r="G22" s="11">
        <f>IF(G6=0,0,G6/TrAvia_act!G14*1000)</f>
        <v>16953.059089102957</v>
      </c>
      <c r="H22" s="11">
        <f>IF(H6=0,0,H6/TrAvia_act!H14*1000)</f>
        <v>14690.208504958107</v>
      </c>
      <c r="I22" s="11">
        <f>IF(I6=0,0,I6/TrAvia_act!I14*1000)</f>
        <v>14920.680826022206</v>
      </c>
      <c r="J22" s="11">
        <f>IF(J6=0,0,J6/TrAvia_act!J14*1000)</f>
        <v>14562.001767048463</v>
      </c>
      <c r="K22" s="11">
        <f>IF(K6=0,0,K6/TrAvia_act!K14*1000)</f>
        <v>12497.196700877157</v>
      </c>
      <c r="L22" s="11">
        <f>IF(L6=0,0,L6/TrAvia_act!L14*1000)</f>
        <v>12231.954405912429</v>
      </c>
      <c r="M22" s="11">
        <f>IF(M6=0,0,M6/TrAvia_act!M14*1000)</f>
        <v>12699.973751852604</v>
      </c>
      <c r="N22" s="11">
        <f>IF(N6=0,0,N6/TrAvia_act!N14*1000)</f>
        <v>12228.171681363014</v>
      </c>
      <c r="O22" s="11">
        <f>IF(O6=0,0,O6/TrAvia_act!O14*1000)</f>
        <v>12028.692960657836</v>
      </c>
      <c r="P22" s="11">
        <f>IF(P6=0,0,P6/TrAvia_act!P14*1000)</f>
        <v>11599.346700125034</v>
      </c>
      <c r="Q22" s="11">
        <f>IF(Q6=0,0,Q6/TrAvia_act!Q14*1000)</f>
        <v>12145.524099745464</v>
      </c>
      <c r="R22" s="11">
        <f>IF(R6=0,0,R6/TrAvia_act!R14*1000)</f>
        <v>12149.572672466315</v>
      </c>
      <c r="S22" s="11">
        <f>IF(S6=0,0,S6/TrAvia_act!S14*1000)</f>
        <v>12298.214489983658</v>
      </c>
      <c r="T22" s="11">
        <f>IF(T6=0,0,T6/TrAvia_act!T14*1000)</f>
        <v>12041.402272069825</v>
      </c>
      <c r="U22" s="11">
        <f>IF(U6=0,0,U6/TrAvia_act!U14*1000)</f>
        <v>11392.229853837611</v>
      </c>
      <c r="V22" s="11">
        <f>IF(V6=0,0,V6/TrAvia_act!V14*1000)</f>
        <v>15357.965884673344</v>
      </c>
      <c r="W22" s="11">
        <f>IF(W6=0,0,W6/TrAvia_act!W14*1000)</f>
        <v>14447.548689005855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130797.09759211392</v>
      </c>
      <c r="C23" s="84">
        <f>IF(C7=0,0,C7/TrAvia_act!C15*1000)</f>
        <v>130592.51192024144</v>
      </c>
      <c r="D23" s="84">
        <f>IF(D7=0,0,D7/TrAvia_act!D15*1000)</f>
        <v>130421.76317217818</v>
      </c>
      <c r="E23" s="84">
        <f>IF(E7=0,0,E7/TrAvia_act!E15*1000)</f>
        <v>130256.92846783153</v>
      </c>
      <c r="F23" s="84">
        <f>IF(F7=0,0,F7/TrAvia_act!F15*1000)</f>
        <v>130068.59245563632</v>
      </c>
      <c r="G23" s="84">
        <f>IF(G7=0,0,G7/TrAvia_act!G15*1000)</f>
        <v>81532.722234420682</v>
      </c>
      <c r="H23" s="84">
        <f>IF(H7=0,0,H7/TrAvia_act!H15*1000)</f>
        <v>102361.19461097142</v>
      </c>
      <c r="I23" s="84">
        <f>IF(I7=0,0,I7/TrAvia_act!I15*1000)</f>
        <v>118112.05872092696</v>
      </c>
      <c r="J23" s="84">
        <f>IF(J7=0,0,J7/TrAvia_act!J15*1000)</f>
        <v>34040.574480169504</v>
      </c>
      <c r="K23" s="84">
        <f>IF(K7=0,0,K7/TrAvia_act!K15*1000)</f>
        <v>68069.121144646488</v>
      </c>
      <c r="L23" s="84">
        <f>IF(L7=0,0,L7/TrAvia_act!L15*1000)</f>
        <v>47746.902017880733</v>
      </c>
      <c r="M23" s="84">
        <f>IF(M7=0,0,M7/TrAvia_act!M15*1000)</f>
        <v>52760.578641066633</v>
      </c>
      <c r="N23" s="84">
        <f>IF(N7=0,0,N7/TrAvia_act!N15*1000)</f>
        <v>28639.281167241603</v>
      </c>
      <c r="O23" s="84">
        <f>IF(O7=0,0,O7/TrAvia_act!O15*1000)</f>
        <v>41216.280334755764</v>
      </c>
      <c r="P23" s="84">
        <f>IF(P7=0,0,P7/TrAvia_act!P15*1000)</f>
        <v>34327.175492335271</v>
      </c>
      <c r="Q23" s="84">
        <f>IF(Q7=0,0,Q7/TrAvia_act!Q15*1000)</f>
        <v>47859.711093826372</v>
      </c>
      <c r="R23" s="84">
        <f>IF(R7=0,0,R7/TrAvia_act!R15*1000)</f>
        <v>73934.019270836099</v>
      </c>
      <c r="S23" s="84">
        <f>IF(S7=0,0,S7/TrAvia_act!S15*1000)</f>
        <v>59601.010516637412</v>
      </c>
      <c r="T23" s="84">
        <f>IF(T7=0,0,T7/TrAvia_act!T15*1000)</f>
        <v>49713.643642041767</v>
      </c>
      <c r="U23" s="84">
        <f>IF(U7=0,0,U7/TrAvia_act!U15*1000)</f>
        <v>22116.45926585545</v>
      </c>
      <c r="V23" s="84">
        <f>IF(V7=0,0,V7/TrAvia_act!V15*1000)</f>
        <v>17774.542366477839</v>
      </c>
      <c r="W23" s="84">
        <f>IF(W7=0,0,W7/TrAvia_act!W15*1000)</f>
        <v>18749.486166550014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14885.932440624803</v>
      </c>
      <c r="C24" s="84">
        <f>IF(C8=0,0,C8/TrAvia_act!C16*1000)</f>
        <v>15008.664825775322</v>
      </c>
      <c r="D24" s="84">
        <f>IF(D8=0,0,D8/TrAvia_act!D16*1000)</f>
        <v>15001.702657650925</v>
      </c>
      <c r="E24" s="84">
        <f>IF(E8=0,0,E8/TrAvia_act!E16*1000)</f>
        <v>15011.312686582918</v>
      </c>
      <c r="F24" s="84">
        <f>IF(F8=0,0,F8/TrAvia_act!F16*1000)</f>
        <v>14975.951152313588</v>
      </c>
      <c r="G24" s="84">
        <f>IF(G8=0,0,G8/TrAvia_act!G16*1000)</f>
        <v>15525.120374519216</v>
      </c>
      <c r="H24" s="84">
        <f>IF(H8=0,0,H8/TrAvia_act!H16*1000)</f>
        <v>12720.059298320524</v>
      </c>
      <c r="I24" s="84">
        <f>IF(I8=0,0,I8/TrAvia_act!I16*1000)</f>
        <v>12355.039227184519</v>
      </c>
      <c r="J24" s="84">
        <f>IF(J8=0,0,J8/TrAvia_act!J16*1000)</f>
        <v>14485.371575829147</v>
      </c>
      <c r="K24" s="84">
        <f>IF(K8=0,0,K8/TrAvia_act!K16*1000)</f>
        <v>11351.289069039909</v>
      </c>
      <c r="L24" s="84">
        <f>IF(L8=0,0,L8/TrAvia_act!L16*1000)</f>
        <v>12165.675716005957</v>
      </c>
      <c r="M24" s="84">
        <f>IF(M8=0,0,M8/TrAvia_act!M16*1000)</f>
        <v>12435.993303901976</v>
      </c>
      <c r="N24" s="84">
        <f>IF(N8=0,0,N8/TrAvia_act!N16*1000)</f>
        <v>12858.910043994229</v>
      </c>
      <c r="O24" s="84">
        <f>IF(O8=0,0,O8/TrAvia_act!O16*1000)</f>
        <v>12811.874048710921</v>
      </c>
      <c r="P24" s="84">
        <f>IF(P8=0,0,P8/TrAvia_act!P16*1000)</f>
        <v>13157.64046919716</v>
      </c>
      <c r="Q24" s="84">
        <f>IF(Q8=0,0,Q8/TrAvia_act!Q16*1000)</f>
        <v>13485.650713820922</v>
      </c>
      <c r="R24" s="84">
        <f>IF(R8=0,0,R8/TrAvia_act!R16*1000)</f>
        <v>13385.195918696611</v>
      </c>
      <c r="S24" s="84">
        <f>IF(S8=0,0,S8/TrAvia_act!S16*1000)</f>
        <v>13062.068583649152</v>
      </c>
      <c r="T24" s="84">
        <f>IF(T8=0,0,T8/TrAvia_act!T16*1000)</f>
        <v>13039.15275430029</v>
      </c>
      <c r="U24" s="84">
        <f>IF(U8=0,0,U8/TrAvia_act!U16*1000)</f>
        <v>12792.056266015485</v>
      </c>
      <c r="V24" s="84">
        <f>IF(V8=0,0,V8/TrAvia_act!V16*1000)</f>
        <v>15249.532159454498</v>
      </c>
      <c r="W24" s="84">
        <f>IF(W8=0,0,W8/TrAvia_act!W16*1000)</f>
        <v>15715.047917022554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16649.535019673043</v>
      </c>
      <c r="C25" s="84">
        <f>IF(C9=0,0,C9/TrAvia_act!C17*1000)</f>
        <v>16786.795925600516</v>
      </c>
      <c r="D25" s="84">
        <f>IF(D9=0,0,D9/TrAvia_act!D17*1000)</f>
        <v>16779.002227806712</v>
      </c>
      <c r="E25" s="84">
        <f>IF(E9=0,0,E9/TrAvia_act!E17*1000)</f>
        <v>16789.744209820754</v>
      </c>
      <c r="F25" s="84">
        <f>IF(F9=0,0,F9/TrAvia_act!F17*1000)</f>
        <v>16750.204717867269</v>
      </c>
      <c r="G25" s="84">
        <f>IF(G9=0,0,G9/TrAvia_act!G17*1000)</f>
        <v>19576.903887198871</v>
      </c>
      <c r="H25" s="84">
        <f>IF(H9=0,0,H9/TrAvia_act!H17*1000)</f>
        <v>16215.977910141553</v>
      </c>
      <c r="I25" s="84">
        <f>IF(I9=0,0,I9/TrAvia_act!I17*1000)</f>
        <v>12933.668123207346</v>
      </c>
      <c r="J25" s="84">
        <f>IF(J9=0,0,J9/TrAvia_act!J17*1000)</f>
        <v>11941.27817600038</v>
      </c>
      <c r="K25" s="84">
        <f>IF(K9=0,0,K9/TrAvia_act!K17*1000)</f>
        <v>9775.4696031763033</v>
      </c>
      <c r="L25" s="84">
        <f>IF(L9=0,0,L9/TrAvia_act!L17*1000)</f>
        <v>8687.8827684620355</v>
      </c>
      <c r="M25" s="84">
        <f>IF(M9=0,0,M9/TrAvia_act!M17*1000)</f>
        <v>8443.8049874986355</v>
      </c>
      <c r="N25" s="84">
        <f>IF(N9=0,0,N9/TrAvia_act!N17*1000)</f>
        <v>8130.9920745685349</v>
      </c>
      <c r="O25" s="84">
        <f>IF(O9=0,0,O9/TrAvia_act!O17*1000)</f>
        <v>7205.9834542457693</v>
      </c>
      <c r="P25" s="84">
        <f>IF(P9=0,0,P9/TrAvia_act!P17*1000)</f>
        <v>6236.0868985998059</v>
      </c>
      <c r="Q25" s="84">
        <f>IF(Q9=0,0,Q9/TrAvia_act!Q17*1000)</f>
        <v>6369.5723325840436</v>
      </c>
      <c r="R25" s="84">
        <f>IF(R9=0,0,R9/TrAvia_act!R17*1000)</f>
        <v>5727.6100059529053</v>
      </c>
      <c r="S25" s="84">
        <f>IF(S9=0,0,S9/TrAvia_act!S17*1000)</f>
        <v>6398.0788780271596</v>
      </c>
      <c r="T25" s="84">
        <f>IF(T9=0,0,T9/TrAvia_act!T17*1000)</f>
        <v>6326.9203003780931</v>
      </c>
      <c r="U25" s="84">
        <f>IF(U9=0,0,U9/TrAvia_act!U17*1000)</f>
        <v>6253.4793391555186</v>
      </c>
      <c r="V25" s="84">
        <f>IF(V9=0,0,V9/TrAvia_act!V17*1000)</f>
        <v>15524.139590523029</v>
      </c>
      <c r="W25" s="84">
        <f>IF(W9=0,0,W9/TrAvia_act!W17*1000)</f>
        <v>9912.9291904785332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17029.878712430931</v>
      </c>
      <c r="C26" s="13">
        <f>IF(C10=0,0,C10/TrAvia_act!C18*1000)</f>
        <v>17484.991673919809</v>
      </c>
      <c r="D26" s="13">
        <f>IF(D10=0,0,D10/TrAvia_act!D18*1000)</f>
        <v>17539.157175525066</v>
      </c>
      <c r="E26" s="13">
        <f>IF(E10=0,0,E10/TrAvia_act!E18*1000)</f>
        <v>17621.247599218052</v>
      </c>
      <c r="F26" s="13">
        <f>IF(F10=0,0,F10/TrAvia_act!F18*1000)</f>
        <v>17582.893118126656</v>
      </c>
      <c r="G26" s="13">
        <f>IF(G10=0,0,G10/TrAvia_act!G18*1000)</f>
        <v>18841.661395353189</v>
      </c>
      <c r="H26" s="13">
        <f>IF(H10=0,0,H10/TrAvia_act!H18*1000)</f>
        <v>15140.104880868079</v>
      </c>
      <c r="I26" s="13">
        <f>IF(I10=0,0,I10/TrAvia_act!I18*1000)</f>
        <v>13959.855110404385</v>
      </c>
      <c r="J26" s="13">
        <f>IF(J10=0,0,J10/TrAvia_act!J18*1000)</f>
        <v>15501.016468024136</v>
      </c>
      <c r="K26" s="13">
        <f>IF(K10=0,0,K10/TrAvia_act!K18*1000)</f>
        <v>12350.104755193868</v>
      </c>
      <c r="L26" s="13">
        <f>IF(L10=0,0,L10/TrAvia_act!L18*1000)</f>
        <v>12135.726008978485</v>
      </c>
      <c r="M26" s="13">
        <f>IF(M10=0,0,M10/TrAvia_act!M18*1000)</f>
        <v>12569.703788534902</v>
      </c>
      <c r="N26" s="13">
        <f>IF(N10=0,0,N10/TrAvia_act!N18*1000)</f>
        <v>14833.87498278137</v>
      </c>
      <c r="O26" s="13">
        <f>IF(O10=0,0,O10/TrAvia_act!O18*1000)</f>
        <v>13932.179146456117</v>
      </c>
      <c r="P26" s="13">
        <f>IF(P10=0,0,P10/TrAvia_act!P18*1000)</f>
        <v>13018.585033491743</v>
      </c>
      <c r="Q26" s="13">
        <f>IF(Q10=0,0,Q10/TrAvia_act!Q18*1000)</f>
        <v>11656.245784042439</v>
      </c>
      <c r="R26" s="13">
        <f>IF(R10=0,0,R10/TrAvia_act!R18*1000)</f>
        <v>10539.302069057929</v>
      </c>
      <c r="S26" s="13">
        <f>IF(S10=0,0,S10/TrAvia_act!S18*1000)</f>
        <v>10546.447814536865</v>
      </c>
      <c r="T26" s="13">
        <f>IF(T10=0,0,T10/TrAvia_act!T18*1000)</f>
        <v>10865.0629759365</v>
      </c>
      <c r="U26" s="13">
        <f>IF(U10=0,0,U10/TrAvia_act!U18*1000)</f>
        <v>11658.741924647904</v>
      </c>
      <c r="V26" s="13">
        <f>IF(V10=0,0,V10/TrAvia_act!V18*1000)</f>
        <v>18813.996578978949</v>
      </c>
      <c r="W26" s="13">
        <f>IF(W10=0,0,W10/TrAvia_act!W18*1000)</f>
        <v>16190.735164123871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16648.813335214647</v>
      </c>
      <c r="C28" s="102">
        <f>IF(C12=0,0,C12/TrAvia_act!C20*1000)</f>
        <v>16770.937725897522</v>
      </c>
      <c r="D28" s="102">
        <f>IF(D12=0,0,D12/TrAvia_act!D20*1000)</f>
        <v>16770.504145417421</v>
      </c>
      <c r="E28" s="102">
        <f>IF(E12=0,0,E12/TrAvia_act!E20*1000)</f>
        <v>16764.31991594936</v>
      </c>
      <c r="F28" s="102">
        <f>IF(F12=0,0,F12/TrAvia_act!F20*1000)</f>
        <v>16724.007600285382</v>
      </c>
      <c r="G28" s="102">
        <f>IF(G12=0,0,G12/TrAvia_act!G20*1000)</f>
        <v>17133.297962363107</v>
      </c>
      <c r="H28" s="102">
        <f>IF(H12=0,0,H12/TrAvia_act!H20*1000)</f>
        <v>13784.179472722119</v>
      </c>
      <c r="I28" s="102">
        <f>IF(I12=0,0,I12/TrAvia_act!I20*1000)</f>
        <v>13550.050957818086</v>
      </c>
      <c r="J28" s="102">
        <f>IF(J12=0,0,J12/TrAvia_act!J20*1000)</f>
        <v>15976.906791860498</v>
      </c>
      <c r="K28" s="102">
        <f>IF(K12=0,0,K12/TrAvia_act!K20*1000)</f>
        <v>12698.543680836916</v>
      </c>
      <c r="L28" s="102">
        <f>IF(L12=0,0,L12/TrAvia_act!L20*1000)</f>
        <v>13418.673852460592</v>
      </c>
      <c r="M28" s="102">
        <f>IF(M12=0,0,M12/TrAvia_act!M20*1000)</f>
        <v>14237.597376138297</v>
      </c>
      <c r="N28" s="102">
        <f>IF(N12=0,0,N12/TrAvia_act!N20*1000)</f>
        <v>15278.52122930234</v>
      </c>
      <c r="O28" s="102">
        <f>IF(O12=0,0,O12/TrAvia_act!O20*1000)</f>
        <v>14787.757867404383</v>
      </c>
      <c r="P28" s="102">
        <f>IF(P12=0,0,P12/TrAvia_act!P20*1000)</f>
        <v>14830.300510509229</v>
      </c>
      <c r="Q28" s="102">
        <f>IF(Q12=0,0,Q12/TrAvia_act!Q20*1000)</f>
        <v>15003.922605607606</v>
      </c>
      <c r="R28" s="102">
        <f>IF(R12=0,0,R12/TrAvia_act!R20*1000)</f>
        <v>14319.944566068481</v>
      </c>
      <c r="S28" s="102">
        <f>IF(S12=0,0,S12/TrAvia_act!S20*1000)</f>
        <v>13475.448563990061</v>
      </c>
      <c r="T28" s="102">
        <f>IF(T12=0,0,T12/TrAvia_act!T20*1000)</f>
        <v>13033.240723785702</v>
      </c>
      <c r="U28" s="102">
        <f>IF(U12=0,0,U12/TrAvia_act!U20*1000)</f>
        <v>12251.92852751849</v>
      </c>
      <c r="V28" s="102">
        <f>IF(V12=0,0,V12/TrAvia_act!V20*1000)</f>
        <v>17533.350345354724</v>
      </c>
      <c r="W28" s="102">
        <f>IF(W12=0,0,W12/TrAvia_act!W20*1000)</f>
        <v>17126.38403706735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19246.738066495353</v>
      </c>
      <c r="C29" s="86">
        <f>IF(C13=0,0,C13/TrAvia_act!C21*1000)</f>
        <v>19405.410648043999</v>
      </c>
      <c r="D29" s="86">
        <f>IF(D13=0,0,D13/TrAvia_act!D21*1000)</f>
        <v>19396.401191633973</v>
      </c>
      <c r="E29" s="86">
        <f>IF(E13=0,0,E13/TrAvia_act!E21*1000)</f>
        <v>19408.818842571076</v>
      </c>
      <c r="F29" s="86">
        <f>IF(F13=0,0,F13/TrAvia_act!F21*1000)</f>
        <v>19363.111485337868</v>
      </c>
      <c r="G29" s="86">
        <f>IF(G13=0,0,G13/TrAvia_act!G21*1000)</f>
        <v>22753.887876400775</v>
      </c>
      <c r="H29" s="86">
        <f>IF(H13=0,0,H13/TrAvia_act!H21*1000)</f>
        <v>18722.266471611798</v>
      </c>
      <c r="I29" s="86">
        <f>IF(I13=0,0,I13/TrAvia_act!I21*1000)</f>
        <v>15014.793355887519</v>
      </c>
      <c r="J29" s="86">
        <f>IF(J13=0,0,J13/TrAvia_act!J21*1000)</f>
        <v>13971.564074057358</v>
      </c>
      <c r="K29" s="86">
        <f>IF(K13=0,0,K13/TrAvia_act!K21*1000)</f>
        <v>11779.005703245144</v>
      </c>
      <c r="L29" s="86">
        <f>IF(L13=0,0,L13/TrAvia_act!L21*1000)</f>
        <v>11025.896946623428</v>
      </c>
      <c r="M29" s="86">
        <f>IF(M13=0,0,M13/TrAvia_act!M21*1000)</f>
        <v>10592.205414075963</v>
      </c>
      <c r="N29" s="86">
        <f>IF(N13=0,0,N13/TrAvia_act!N21*1000)</f>
        <v>12822.636291833192</v>
      </c>
      <c r="O29" s="86">
        <f>IF(O13=0,0,O13/TrAvia_act!O21*1000)</f>
        <v>10428.872601514438</v>
      </c>
      <c r="P29" s="86">
        <f>IF(P13=0,0,P13/TrAvia_act!P21*1000)</f>
        <v>8474.9140924644234</v>
      </c>
      <c r="Q29" s="86">
        <f>IF(Q13=0,0,Q13/TrAvia_act!Q21*1000)</f>
        <v>8296.6467375987595</v>
      </c>
      <c r="R29" s="86">
        <f>IF(R13=0,0,R13/TrAvia_act!R21*1000)</f>
        <v>7280.6355494412537</v>
      </c>
      <c r="S29" s="86">
        <f>IF(S13=0,0,S13/TrAvia_act!S21*1000)</f>
        <v>7977.2582643942278</v>
      </c>
      <c r="T29" s="86">
        <f>IF(T13=0,0,T13/TrAvia_act!T21*1000)</f>
        <v>7806.9137048426228</v>
      </c>
      <c r="U29" s="86">
        <f>IF(U13=0,0,U13/TrAvia_act!U21*1000)</f>
        <v>9349.3935592905091</v>
      </c>
      <c r="V29" s="86">
        <f>IF(V13=0,0,V13/TrAvia_act!V21*1000)</f>
        <v>21731.378213604195</v>
      </c>
      <c r="W29" s="86">
        <f>IF(W13=0,0,W13/TrAvia_act!W21*1000)</f>
        <v>13749.194434610567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147.98587835519211</v>
      </c>
      <c r="C32" s="14">
        <f>IF(C6=0,0,C6/TrAvia_act!C4*1000)</f>
        <v>168.9418325343824</v>
      </c>
      <c r="D32" s="14">
        <f>IF(D6=0,0,D6/TrAvia_act!D4*1000)</f>
        <v>144.04337149497925</v>
      </c>
      <c r="E32" s="14">
        <f>IF(E6=0,0,E6/TrAvia_act!E4*1000)</f>
        <v>137.8164742231784</v>
      </c>
      <c r="F32" s="14">
        <f>IF(F6=0,0,F6/TrAvia_act!F4*1000)</f>
        <v>136.30556797995746</v>
      </c>
      <c r="G32" s="14">
        <f>IF(G6=0,0,G6/TrAvia_act!G4*1000)</f>
        <v>136.12443156847527</v>
      </c>
      <c r="H32" s="14">
        <f>IF(H6=0,0,H6/TrAvia_act!H4*1000)</f>
        <v>120.66431249969902</v>
      </c>
      <c r="I32" s="14">
        <f>IF(I6=0,0,I6/TrAvia_act!I4*1000)</f>
        <v>126.93687645899379</v>
      </c>
      <c r="J32" s="14">
        <f>IF(J6=0,0,J6/TrAvia_act!J4*1000)</f>
        <v>126.20146185413056</v>
      </c>
      <c r="K32" s="14">
        <f>IF(K6=0,0,K6/TrAvia_act!K4*1000)</f>
        <v>109.28588461209456</v>
      </c>
      <c r="L32" s="14">
        <f>IF(L6=0,0,L6/TrAvia_act!L4*1000)</f>
        <v>105.40560360614782</v>
      </c>
      <c r="M32" s="14">
        <f>IF(M6=0,0,M6/TrAvia_act!M4*1000)</f>
        <v>106.22000221194114</v>
      </c>
      <c r="N32" s="14">
        <f>IF(N6=0,0,N6/TrAvia_act!N4*1000)</f>
        <v>93.58870203104911</v>
      </c>
      <c r="O32" s="14">
        <f>IF(O6=0,0,O6/TrAvia_act!O4*1000)</f>
        <v>88.996191420015677</v>
      </c>
      <c r="P32" s="14">
        <f>IF(P6=0,0,P6/TrAvia_act!P4*1000)</f>
        <v>86.457434151368005</v>
      </c>
      <c r="Q32" s="14">
        <f>IF(Q6=0,0,Q6/TrAvia_act!Q4*1000)</f>
        <v>91.300696777738665</v>
      </c>
      <c r="R32" s="14">
        <f>IF(R6=0,0,R6/TrAvia_act!R4*1000)</f>
        <v>88.885450919819661</v>
      </c>
      <c r="S32" s="14">
        <f>IF(S6=0,0,S6/TrAvia_act!S4*1000)</f>
        <v>84.704070398311586</v>
      </c>
      <c r="T32" s="14">
        <f>IF(T6=0,0,T6/TrAvia_act!T4*1000)</f>
        <v>83.333365691232601</v>
      </c>
      <c r="U32" s="14">
        <f>IF(U6=0,0,U6/TrAvia_act!U4*1000)</f>
        <v>77.5026642641416</v>
      </c>
      <c r="V32" s="14">
        <f>IF(V6=0,0,V6/TrAvia_act!V4*1000)</f>
        <v>127.65888950504487</v>
      </c>
      <c r="W32" s="14">
        <f>IF(W6=0,0,W6/TrAvia_act!W4*1000)</f>
        <v>117.23395946846097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5458.0431244406927</v>
      </c>
      <c r="C33" s="87">
        <f>IF(C7=0,0,C7/TrAvia_act!C5*1000)</f>
        <v>5188.9727174889458</v>
      </c>
      <c r="D33" s="87">
        <f>IF(D7=0,0,D7/TrAvia_act!D5*1000)</f>
        <v>4971.6772771763772</v>
      </c>
      <c r="E33" s="87">
        <f>IF(E7=0,0,E7/TrAvia_act!E5*1000)</f>
        <v>4758.6751394681905</v>
      </c>
      <c r="F33" s="87">
        <f>IF(F7=0,0,F7/TrAvia_act!F5*1000)</f>
        <v>4543.1505274221954</v>
      </c>
      <c r="G33" s="87">
        <f>IF(G7=0,0,G7/TrAvia_act!G5*1000)</f>
        <v>2727.7158968621115</v>
      </c>
      <c r="H33" s="87">
        <f>IF(H7=0,0,H7/TrAvia_act!H5*1000)</f>
        <v>3289.214978294352</v>
      </c>
      <c r="I33" s="87">
        <f>IF(I7=0,0,I7/TrAvia_act!I5*1000)</f>
        <v>3644.699062171936</v>
      </c>
      <c r="J33" s="87">
        <f>IF(J7=0,0,J7/TrAvia_act!J5*1000)</f>
        <v>761.76471401224512</v>
      </c>
      <c r="K33" s="87">
        <f>IF(K7=0,0,K7/TrAvia_act!K5*1000)</f>
        <v>1143.7158310758509</v>
      </c>
      <c r="L33" s="87">
        <f>IF(L7=0,0,L7/TrAvia_act!L5*1000)</f>
        <v>712.290705876738</v>
      </c>
      <c r="M33" s="87">
        <f>IF(M7=0,0,M7/TrAvia_act!M5*1000)</f>
        <v>879.3226473331531</v>
      </c>
      <c r="N33" s="87">
        <f>IF(N7=0,0,N7/TrAvia_act!N5*1000)</f>
        <v>447.51630330336047</v>
      </c>
      <c r="O33" s="87">
        <f>IF(O7=0,0,O7/TrAvia_act!O5*1000)</f>
        <v>572.77065326044192</v>
      </c>
      <c r="P33" s="87">
        <f>IF(P7=0,0,P7/TrAvia_act!P5*1000)</f>
        <v>476.66036010085037</v>
      </c>
      <c r="Q33" s="87">
        <f>IF(Q7=0,0,Q7/TrAvia_act!Q5*1000)</f>
        <v>676.65345356394835</v>
      </c>
      <c r="R33" s="87">
        <f>IF(R7=0,0,R7/TrAvia_act!R5*1000)</f>
        <v>981.34777878644695</v>
      </c>
      <c r="S33" s="87">
        <f>IF(S7=0,0,S7/TrAvia_act!S5*1000)</f>
        <v>586.40974321938927</v>
      </c>
      <c r="T33" s="87">
        <f>IF(T7=0,0,T7/TrAvia_act!T5*1000)</f>
        <v>444.12528481931054</v>
      </c>
      <c r="U33" s="87">
        <f>IF(U7=0,0,U7/TrAvia_act!U5*1000)</f>
        <v>199.93599359630207</v>
      </c>
      <c r="V33" s="87">
        <f>IF(V7=0,0,V7/TrAvia_act!V5*1000)</f>
        <v>223.58447928613262</v>
      </c>
      <c r="W33" s="87">
        <f>IF(W7=0,0,W7/TrAvia_act!W5*1000)</f>
        <v>188.09337144813017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114.22216895148195</v>
      </c>
      <c r="C34" s="87">
        <f>IF(C8=0,0,C8/TrAvia_act!C6*1000)</f>
        <v>114.6827144830858</v>
      </c>
      <c r="D34" s="87">
        <f>IF(D8=0,0,D8/TrAvia_act!D6*1000)</f>
        <v>115.3248593802152</v>
      </c>
      <c r="E34" s="87">
        <f>IF(E8=0,0,E8/TrAvia_act!E6*1000)</f>
        <v>117.01352035376807</v>
      </c>
      <c r="F34" s="87">
        <f>IF(F8=0,0,F8/TrAvia_act!F6*1000)</f>
        <v>118.22926370211617</v>
      </c>
      <c r="G34" s="87">
        <f>IF(G8=0,0,G8/TrAvia_act!G6*1000)</f>
        <v>122.74914411032169</v>
      </c>
      <c r="H34" s="87">
        <f>IF(H8=0,0,H8/TrAvia_act!H6*1000)</f>
        <v>102.9950962911836</v>
      </c>
      <c r="I34" s="87">
        <f>IF(I8=0,0,I8/TrAvia_act!I6*1000)</f>
        <v>103.75415610069761</v>
      </c>
      <c r="J34" s="87">
        <f>IF(J8=0,0,J8/TrAvia_act!J6*1000)</f>
        <v>123.77320131934738</v>
      </c>
      <c r="K34" s="87">
        <f>IF(K8=0,0,K8/TrAvia_act!K6*1000)</f>
        <v>99.04105842978457</v>
      </c>
      <c r="L34" s="87">
        <f>IF(L8=0,0,L8/TrAvia_act!L6*1000)</f>
        <v>105.40190455379278</v>
      </c>
      <c r="M34" s="87">
        <f>IF(M8=0,0,M8/TrAvia_act!M6*1000)</f>
        <v>103.63078956016545</v>
      </c>
      <c r="N34" s="87">
        <f>IF(N8=0,0,N8/TrAvia_act!N6*1000)</f>
        <v>98.227083159130373</v>
      </c>
      <c r="O34" s="87">
        <f>IF(O8=0,0,O8/TrAvia_act!O6*1000)</f>
        <v>96.619566310334747</v>
      </c>
      <c r="P34" s="87">
        <f>IF(P8=0,0,P8/TrAvia_act!P6*1000)</f>
        <v>99.03439671831525</v>
      </c>
      <c r="Q34" s="87">
        <f>IF(Q8=0,0,Q8/TrAvia_act!Q6*1000)</f>
        <v>99.075578642201975</v>
      </c>
      <c r="R34" s="87">
        <f>IF(R8=0,0,R8/TrAvia_act!R6*1000)</f>
        <v>96.902458140411028</v>
      </c>
      <c r="S34" s="87">
        <f>IF(S8=0,0,S8/TrAvia_act!S6*1000)</f>
        <v>87.88317828134133</v>
      </c>
      <c r="T34" s="87">
        <f>IF(T8=0,0,T8/TrAvia_act!T6*1000)</f>
        <v>86.959698196260973</v>
      </c>
      <c r="U34" s="87">
        <f>IF(U8=0,0,U8/TrAvia_act!U6*1000)</f>
        <v>83.63019142532913</v>
      </c>
      <c r="V34" s="87">
        <f>IF(V8=0,0,V8/TrAvia_act!V6*1000)</f>
        <v>122.31246004158167</v>
      </c>
      <c r="W34" s="87">
        <f>IF(W8=0,0,W8/TrAvia_act!W6*1000)</f>
        <v>122.51050325168845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141.32654027926918</v>
      </c>
      <c r="C35" s="87">
        <f>IF(C9=0,0,C9/TrAvia_act!C7*1000)</f>
        <v>142.16462497922615</v>
      </c>
      <c r="D35" s="87">
        <f>IF(D9=0,0,D9/TrAvia_act!D7*1000)</f>
        <v>141.66754975449575</v>
      </c>
      <c r="E35" s="87">
        <f>IF(E9=0,0,E9/TrAvia_act!E7*1000)</f>
        <v>140.57094926299794</v>
      </c>
      <c r="F35" s="87">
        <f>IF(F9=0,0,F9/TrAvia_act!F7*1000)</f>
        <v>138.63352487228494</v>
      </c>
      <c r="G35" s="87">
        <f>IF(G9=0,0,G9/TrAvia_act!G7*1000)</f>
        <v>160.78084702583354</v>
      </c>
      <c r="H35" s="87">
        <f>IF(H9=0,0,H9/TrAvia_act!H7*1000)</f>
        <v>132.61559428572045</v>
      </c>
      <c r="I35" s="87">
        <f>IF(I9=0,0,I9/TrAvia_act!I7*1000)</f>
        <v>105.28088487657718</v>
      </c>
      <c r="J35" s="87">
        <f>IF(J9=0,0,J9/TrAvia_act!J7*1000)</f>
        <v>100.92833544091889</v>
      </c>
      <c r="K35" s="87">
        <f>IF(K9=0,0,K9/TrAvia_act!K7*1000)</f>
        <v>80.738191561564278</v>
      </c>
      <c r="L35" s="87">
        <f>IF(L9=0,0,L9/TrAvia_act!L7*1000)</f>
        <v>70.273246767137223</v>
      </c>
      <c r="M35" s="87">
        <f>IF(M9=0,0,M9/TrAvia_act!M7*1000)</f>
        <v>67.163333946519003</v>
      </c>
      <c r="N35" s="87">
        <f>IF(N9=0,0,N9/TrAvia_act!N7*1000)</f>
        <v>58.900653060657582</v>
      </c>
      <c r="O35" s="87">
        <f>IF(O9=0,0,O9/TrAvia_act!O7*1000)</f>
        <v>48.637997824501575</v>
      </c>
      <c r="P35" s="87">
        <f>IF(P9=0,0,P9/TrAvia_act!P7*1000)</f>
        <v>44.108903244437975</v>
      </c>
      <c r="Q35" s="87">
        <f>IF(Q9=0,0,Q9/TrAvia_act!Q7*1000)</f>
        <v>49.296084019601949</v>
      </c>
      <c r="R35" s="87">
        <f>IF(R9=0,0,R9/TrAvia_act!R7*1000)</f>
        <v>42.098520104405516</v>
      </c>
      <c r="S35" s="87">
        <f>IF(S9=0,0,S9/TrAvia_act!S7*1000)</f>
        <v>46.66312189104773</v>
      </c>
      <c r="T35" s="87">
        <f>IF(T9=0,0,T9/TrAvia_act!T7*1000)</f>
        <v>48.958609957428315</v>
      </c>
      <c r="U35" s="87">
        <f>IF(U9=0,0,U9/TrAvia_act!U7*1000)</f>
        <v>47.956536376773506</v>
      </c>
      <c r="V35" s="87">
        <f>IF(V9=0,0,V9/TrAvia_act!V7*1000)</f>
        <v>147.26978551700483</v>
      </c>
      <c r="W35" s="87">
        <f>IF(W9=0,0,W9/TrAvia_act!W7*1000)</f>
        <v>90.634573060808691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537.53657683363519</v>
      </c>
      <c r="C36" s="15">
        <f>IF(C10=0,0,C10/TrAvia_act!C8*1000)</f>
        <v>448.06414348385431</v>
      </c>
      <c r="D36" s="15">
        <f>IF(D10=0,0,D10/TrAvia_act!D8*1000)</f>
        <v>464.37123341794143</v>
      </c>
      <c r="E36" s="15">
        <f>IF(E10=0,0,E10/TrAvia_act!E8*1000)</f>
        <v>470.05873044311016</v>
      </c>
      <c r="F36" s="15">
        <f>IF(F10=0,0,F10/TrAvia_act!F8*1000)</f>
        <v>497.51341537847236</v>
      </c>
      <c r="G36" s="15">
        <f>IF(G10=0,0,G10/TrAvia_act!G8*1000)</f>
        <v>568.30931391648096</v>
      </c>
      <c r="H36" s="15">
        <f>IF(H10=0,0,H10/TrAvia_act!H8*1000)</f>
        <v>519.59929870593385</v>
      </c>
      <c r="I36" s="15">
        <f>IF(I10=0,0,I10/TrAvia_act!I8*1000)</f>
        <v>488.63519314130133</v>
      </c>
      <c r="J36" s="15">
        <f>IF(J10=0,0,J10/TrAvia_act!J8*1000)</f>
        <v>589.32265855037554</v>
      </c>
      <c r="K36" s="15">
        <f>IF(K10=0,0,K10/TrAvia_act!K8*1000)</f>
        <v>361.3718531902843</v>
      </c>
      <c r="L36" s="15">
        <f>IF(L10=0,0,L10/TrAvia_act!L8*1000)</f>
        <v>292.11324844898741</v>
      </c>
      <c r="M36" s="15">
        <f>IF(M10=0,0,M10/TrAvia_act!M8*1000)</f>
        <v>317.14684147344838</v>
      </c>
      <c r="N36" s="15">
        <f>IF(N10=0,0,N10/TrAvia_act!N8*1000)</f>
        <v>506.74381119563236</v>
      </c>
      <c r="O36" s="15">
        <f>IF(O10=0,0,O10/TrAvia_act!O8*1000)</f>
        <v>467.62051217268208</v>
      </c>
      <c r="P36" s="15">
        <f>IF(P10=0,0,P10/TrAvia_act!P8*1000)</f>
        <v>326.28071462268417</v>
      </c>
      <c r="Q36" s="15">
        <f>IF(Q10=0,0,Q10/TrAvia_act!Q8*1000)</f>
        <v>229.33346606870552</v>
      </c>
      <c r="R36" s="15">
        <f>IF(R10=0,0,R10/TrAvia_act!R8*1000)</f>
        <v>177.25987615345056</v>
      </c>
      <c r="S36" s="15">
        <f>IF(S10=0,0,S10/TrAvia_act!S8*1000)</f>
        <v>185.32180351321762</v>
      </c>
      <c r="T36" s="15">
        <f>IF(T10=0,0,T10/TrAvia_act!T8*1000)</f>
        <v>217.78956525075094</v>
      </c>
      <c r="U36" s="15">
        <f>IF(U10=0,0,U10/TrAvia_act!U8*1000)</f>
        <v>303.31730992940106</v>
      </c>
      <c r="V36" s="15">
        <f>IF(V10=0,0,V10/TrAvia_act!V8*1000)</f>
        <v>576.24695239162281</v>
      </c>
      <c r="W36" s="15">
        <f>IF(W10=0,0,W10/TrAvia_act!W8*1000)</f>
        <v>538.69557418792272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664.56777958778002</v>
      </c>
      <c r="C38" s="101">
        <f>IF(C12=0,0,C12/TrAvia_act!C10*1000)</f>
        <v>640.81515842597412</v>
      </c>
      <c r="D38" s="101">
        <f>IF(D12=0,0,D12/TrAvia_act!D10*1000)</f>
        <v>680.67566496087704</v>
      </c>
      <c r="E38" s="101">
        <f>IF(E12=0,0,E12/TrAvia_act!E10*1000)</f>
        <v>665.75382042606668</v>
      </c>
      <c r="F38" s="101">
        <f>IF(F12=0,0,F12/TrAvia_act!F10*1000)</f>
        <v>733.05106886972078</v>
      </c>
      <c r="G38" s="101">
        <f>IF(G12=0,0,G12/TrAvia_act!G10*1000)</f>
        <v>763.0192371032266</v>
      </c>
      <c r="H38" s="101">
        <f>IF(H12=0,0,H12/TrAvia_act!H10*1000)</f>
        <v>722.80057656476777</v>
      </c>
      <c r="I38" s="101">
        <f>IF(I12=0,0,I12/TrAvia_act!I10*1000)</f>
        <v>737.3475546557097</v>
      </c>
      <c r="J38" s="101">
        <f>IF(J12=0,0,J12/TrAvia_act!J10*1000)</f>
        <v>898.67777505397032</v>
      </c>
      <c r="K38" s="101">
        <f>IF(K12=0,0,K12/TrAvia_act!K10*1000)</f>
        <v>702.49036090744187</v>
      </c>
      <c r="L38" s="101">
        <f>IF(L12=0,0,L12/TrAvia_act!L10*1000)</f>
        <v>729.5034427050573</v>
      </c>
      <c r="M38" s="101">
        <f>IF(M12=0,0,M12/TrAvia_act!M10*1000)</f>
        <v>750.54041946199425</v>
      </c>
      <c r="N38" s="101">
        <f>IF(N12=0,0,N12/TrAvia_act!N10*1000)</f>
        <v>737.66115192174061</v>
      </c>
      <c r="O38" s="101">
        <f>IF(O12=0,0,O12/TrAvia_act!O10*1000)</f>
        <v>725.17361944966422</v>
      </c>
      <c r="P38" s="101">
        <f>IF(P12=0,0,P12/TrAvia_act!P10*1000)</f>
        <v>623.62724348938275</v>
      </c>
      <c r="Q38" s="101">
        <f>IF(Q12=0,0,Q12/TrAvia_act!Q10*1000)</f>
        <v>638.29994771525242</v>
      </c>
      <c r="R38" s="101">
        <f>IF(R12=0,0,R12/TrAvia_act!R10*1000)</f>
        <v>553.81345271984276</v>
      </c>
      <c r="S38" s="101">
        <f>IF(S12=0,0,S12/TrAvia_act!S10*1000)</f>
        <v>563.71790036721359</v>
      </c>
      <c r="T38" s="101">
        <f>IF(T12=0,0,T12/TrAvia_act!T10*1000)</f>
        <v>536.79043498445822</v>
      </c>
      <c r="U38" s="101">
        <f>IF(U12=0,0,U12/TrAvia_act!U10*1000)</f>
        <v>478.44644437163566</v>
      </c>
      <c r="V38" s="101">
        <f>IF(V12=0,0,V12/TrAvia_act!V10*1000)</f>
        <v>832.99214782145282</v>
      </c>
      <c r="W38" s="101">
        <f>IF(W12=0,0,W12/TrAvia_act!W10*1000)</f>
        <v>860.56954798993252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273.98589887998952</v>
      </c>
      <c r="C39" s="88">
        <f>IF(C13=0,0,C13/TrAvia_act!C11*1000)</f>
        <v>263.70073973642809</v>
      </c>
      <c r="D39" s="88">
        <f>IF(D13=0,0,D13/TrAvia_act!D11*1000)</f>
        <v>279.08958475231725</v>
      </c>
      <c r="E39" s="88">
        <f>IF(E13=0,0,E13/TrAvia_act!E11*1000)</f>
        <v>307.30231560065283</v>
      </c>
      <c r="F39" s="88">
        <f>IF(F13=0,0,F13/TrAvia_act!F11*1000)</f>
        <v>315.83865335721549</v>
      </c>
      <c r="G39" s="88">
        <f>IF(G13=0,0,G13/TrAvia_act!G11*1000)</f>
        <v>394.65119408839536</v>
      </c>
      <c r="H39" s="88">
        <f>IF(H13=0,0,H13/TrAvia_act!H11*1000)</f>
        <v>335.9157715811703</v>
      </c>
      <c r="I39" s="88">
        <f>IF(I13=0,0,I13/TrAvia_act!I11*1000)</f>
        <v>273.95925903016763</v>
      </c>
      <c r="J39" s="88">
        <f>IF(J13=0,0,J13/TrAvia_act!J11*1000)</f>
        <v>260.17337419647407</v>
      </c>
      <c r="K39" s="88">
        <f>IF(K13=0,0,K13/TrAvia_act!K11*1000)</f>
        <v>194.49348793561157</v>
      </c>
      <c r="L39" s="88">
        <f>IF(L13=0,0,L13/TrAvia_act!L11*1000)</f>
        <v>179.0759577612549</v>
      </c>
      <c r="M39" s="88">
        <f>IF(M13=0,0,M13/TrAvia_act!M11*1000)</f>
        <v>165.159019565189</v>
      </c>
      <c r="N39" s="88">
        <f>IF(N13=0,0,N13/TrAvia_act!N11*1000)</f>
        <v>188.58069009468704</v>
      </c>
      <c r="O39" s="88">
        <f>IF(O13=0,0,O13/TrAvia_act!O11*1000)</f>
        <v>152.71278230360474</v>
      </c>
      <c r="P39" s="88">
        <f>IF(P13=0,0,P13/TrAvia_act!P11*1000)</f>
        <v>105.50646950705814</v>
      </c>
      <c r="Q39" s="88">
        <f>IF(Q13=0,0,Q13/TrAvia_act!Q11*1000)</f>
        <v>106.03491940193042</v>
      </c>
      <c r="R39" s="88">
        <f>IF(R13=0,0,R13/TrAvia_act!R11*1000)</f>
        <v>82.343723201600312</v>
      </c>
      <c r="S39" s="88">
        <f>IF(S13=0,0,S13/TrAvia_act!S11*1000)</f>
        <v>92.911485126346506</v>
      </c>
      <c r="T39" s="88">
        <f>IF(T13=0,0,T13/TrAvia_act!T11*1000)</f>
        <v>90.77053062207402</v>
      </c>
      <c r="U39" s="88">
        <f>IF(U13=0,0,U13/TrAvia_act!U11*1000)</f>
        <v>105.78021770245695</v>
      </c>
      <c r="V39" s="88">
        <f>IF(V13=0,0,V13/TrAvia_act!V11*1000)</f>
        <v>367.85535342186284</v>
      </c>
      <c r="W39" s="88">
        <f>IF(W13=0,0,W13/TrAvia_act!W11*1000)</f>
        <v>243.12260094337509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24896.836791923728</v>
      </c>
      <c r="C41" s="54">
        <f>IF(C3=0,0,C3/TrAvia_act!C23*1000000)</f>
        <v>26235.296883917363</v>
      </c>
      <c r="D41" s="54">
        <f>IF(D3=0,0,D3/TrAvia_act!D23*1000000)</f>
        <v>24901.760726689823</v>
      </c>
      <c r="E41" s="54">
        <f>IF(E3=0,0,E3/TrAvia_act!E23*1000000)</f>
        <v>24466.982094081948</v>
      </c>
      <c r="F41" s="54">
        <f>IF(F3=0,0,F3/TrAvia_act!F23*1000000)</f>
        <v>24251.814898491342</v>
      </c>
      <c r="G41" s="54">
        <f>IF(G3=0,0,G3/TrAvia_act!G23*1000000)</f>
        <v>24579.950626592778</v>
      </c>
      <c r="H41" s="54">
        <f>IF(H3=0,0,H3/TrAvia_act!H23*1000000)</f>
        <v>21454.43994575234</v>
      </c>
      <c r="I41" s="54">
        <f>IF(I3=0,0,I3/TrAvia_act!I23*1000000)</f>
        <v>21204.81190303107</v>
      </c>
      <c r="J41" s="54">
        <f>IF(J3=0,0,J3/TrAvia_act!J23*1000000)</f>
        <v>20203.221817205271</v>
      </c>
      <c r="K41" s="54">
        <f>IF(K3=0,0,K3/TrAvia_act!K23*1000000)</f>
        <v>17221.051468777481</v>
      </c>
      <c r="L41" s="54">
        <f>IF(L3=0,0,L3/TrAvia_act!L23*1000000)</f>
        <v>17391.779010176342</v>
      </c>
      <c r="M41" s="54">
        <f>IF(M3=0,0,M3/TrAvia_act!M23*1000000)</f>
        <v>17365.072821380043</v>
      </c>
      <c r="N41" s="54">
        <f>IF(N3=0,0,N3/TrAvia_act!N23*1000000)</f>
        <v>16929.528595264939</v>
      </c>
      <c r="O41" s="54">
        <f>IF(O3=0,0,O3/TrAvia_act!O23*1000000)</f>
        <v>17068.96989949749</v>
      </c>
      <c r="P41" s="54">
        <f>IF(P3=0,0,P3/TrAvia_act!P23*1000000)</f>
        <v>16764.649487658942</v>
      </c>
      <c r="Q41" s="54">
        <f>IF(Q3=0,0,Q3/TrAvia_act!Q23*1000000)</f>
        <v>17619.683394843043</v>
      </c>
      <c r="R41" s="54">
        <f>IF(R3=0,0,R3/TrAvia_act!R23*1000000)</f>
        <v>18261.089955309304</v>
      </c>
      <c r="S41" s="54">
        <f>IF(S3=0,0,S3/TrAvia_act!S23*1000000)</f>
        <v>18479.316815688886</v>
      </c>
      <c r="T41" s="54">
        <f>IF(T3=0,0,T3/TrAvia_act!T23*1000000)</f>
        <v>18110.965360661503</v>
      </c>
      <c r="U41" s="54">
        <f>IF(U3=0,0,U3/TrAvia_act!U23*1000000)</f>
        <v>17268.912843316029</v>
      </c>
      <c r="V41" s="54">
        <f>IF(V3=0,0,V3/TrAvia_act!V23*1000000)</f>
        <v>23513.326099298611</v>
      </c>
      <c r="W41" s="54">
        <f>IF(W3=0,0,W3/TrAvia_act!W23*1000000)</f>
        <v>21745.582368184743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25128.416972856972</v>
      </c>
      <c r="C42" s="11">
        <f>IF(C6=0,0,C6/TrAvia_act!C24*1000000)</f>
        <v>26342.249118312488</v>
      </c>
      <c r="D42" s="11">
        <f>IF(D6=0,0,D6/TrAvia_act!D24*1000000)</f>
        <v>24993.48104380658</v>
      </c>
      <c r="E42" s="11">
        <f>IF(E6=0,0,E6/TrAvia_act!E24*1000000)</f>
        <v>24536.1203849126</v>
      </c>
      <c r="F42" s="11">
        <f>IF(F6=0,0,F6/TrAvia_act!F24*1000000)</f>
        <v>24328.865059813546</v>
      </c>
      <c r="G42" s="11">
        <f>IF(G6=0,0,G6/TrAvia_act!G24*1000000)</f>
        <v>24652.801754219621</v>
      </c>
      <c r="H42" s="11">
        <f>IF(H6=0,0,H6/TrAvia_act!H24*1000000)</f>
        <v>21533.844383449174</v>
      </c>
      <c r="I42" s="11">
        <f>IF(I6=0,0,I6/TrAvia_act!I24*1000000)</f>
        <v>21296.856641667709</v>
      </c>
      <c r="J42" s="11">
        <f>IF(J6=0,0,J6/TrAvia_act!J24*1000000)</f>
        <v>20261.733975256415</v>
      </c>
      <c r="K42" s="11">
        <f>IF(K6=0,0,K6/TrAvia_act!K24*1000000)</f>
        <v>17253.037591817672</v>
      </c>
      <c r="L42" s="11">
        <f>IF(L6=0,0,L6/TrAvia_act!L24*1000000)</f>
        <v>17376.713640189635</v>
      </c>
      <c r="M42" s="11">
        <f>IF(M6=0,0,M6/TrAvia_act!M24*1000000)</f>
        <v>17396.154533688179</v>
      </c>
      <c r="N42" s="11">
        <f>IF(N6=0,0,N6/TrAvia_act!N24*1000000)</f>
        <v>16967.668649356394</v>
      </c>
      <c r="O42" s="11">
        <f>IF(O6=0,0,O6/TrAvia_act!O24*1000000)</f>
        <v>17116.646528482866</v>
      </c>
      <c r="P42" s="11">
        <f>IF(P6=0,0,P6/TrAvia_act!P24*1000000)</f>
        <v>16812.271185789465</v>
      </c>
      <c r="Q42" s="11">
        <f>IF(Q6=0,0,Q6/TrAvia_act!Q24*1000000)</f>
        <v>17681.752239770816</v>
      </c>
      <c r="R42" s="11">
        <f>IF(R6=0,0,R6/TrAvia_act!R24*1000000)</f>
        <v>18319.617009178335</v>
      </c>
      <c r="S42" s="11">
        <f>IF(S6=0,0,S6/TrAvia_act!S24*1000000)</f>
        <v>18532.638908863639</v>
      </c>
      <c r="T42" s="11">
        <f>IF(T6=0,0,T6/TrAvia_act!T24*1000000)</f>
        <v>18152.086520422607</v>
      </c>
      <c r="U42" s="11">
        <f>IF(U6=0,0,U6/TrAvia_act!U24*1000000)</f>
        <v>17322.516602912056</v>
      </c>
      <c r="V42" s="11">
        <f>IF(V6=0,0,V6/TrAvia_act!V24*1000000)</f>
        <v>23492.109086149951</v>
      </c>
      <c r="W42" s="11">
        <f>IF(W6=0,0,W6/TrAvia_act!W24*1000000)</f>
        <v>21803.041428724959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37194.017595307916</v>
      </c>
      <c r="C43" s="84">
        <f>IF(C7=0,0,C7/TrAvia_act!C25*1000000)</f>
        <v>37135.840745672445</v>
      </c>
      <c r="D43" s="84">
        <f>IF(D7=0,0,D7/TrAvia_act!D25*1000000)</f>
        <v>37087.285907248981</v>
      </c>
      <c r="E43" s="84">
        <f>IF(E7=0,0,E7/TrAvia_act!E25*1000000)</f>
        <v>37040.412811387898</v>
      </c>
      <c r="F43" s="84">
        <f>IF(F7=0,0,F7/TrAvia_act!F25*1000000)</f>
        <v>36986.856783919589</v>
      </c>
      <c r="G43" s="84">
        <f>IF(G7=0,0,G7/TrAvia_act!G25*1000000)</f>
        <v>21975.461931260223</v>
      </c>
      <c r="H43" s="84">
        <f>IF(H7=0,0,H7/TrAvia_act!H25*1000000)</f>
        <v>31448.84120033812</v>
      </c>
      <c r="I43" s="84">
        <f>IF(I7=0,0,I7/TrAvia_act!I25*1000000)</f>
        <v>42497.614268041245</v>
      </c>
      <c r="J43" s="84">
        <f>IF(J7=0,0,J7/TrAvia_act!J25*1000000)</f>
        <v>12124.398829209411</v>
      </c>
      <c r="K43" s="84">
        <f>IF(K7=0,0,K7/TrAvia_act!K25*1000000)</f>
        <v>23257.246162904805</v>
      </c>
      <c r="L43" s="84">
        <f>IF(L7=0,0,L7/TrAvia_act!L25*1000000)</f>
        <v>16081.750426638924</v>
      </c>
      <c r="M43" s="84">
        <f>IF(M7=0,0,M7/TrAvia_act!M25*1000000)</f>
        <v>18270.186535322271</v>
      </c>
      <c r="N43" s="84">
        <f>IF(N7=0,0,N7/TrAvia_act!N25*1000000)</f>
        <v>10221.536067348161</v>
      </c>
      <c r="O43" s="84">
        <f>IF(O7=0,0,O7/TrAvia_act!O25*1000000)</f>
        <v>13322.080732758619</v>
      </c>
      <c r="P43" s="84">
        <f>IF(P7=0,0,P7/TrAvia_act!P25*1000000)</f>
        <v>11107.691309904154</v>
      </c>
      <c r="Q43" s="84">
        <f>IF(Q7=0,0,Q7/TrAvia_act!Q25*1000000)</f>
        <v>16201.71682258064</v>
      </c>
      <c r="R43" s="84">
        <f>IF(R7=0,0,R7/TrAvia_act!R25*1000000)</f>
        <v>24414.873216957611</v>
      </c>
      <c r="S43" s="84">
        <f>IF(S7=0,0,S7/TrAvia_act!S25*1000000)</f>
        <v>21588.398244514108</v>
      </c>
      <c r="T43" s="84">
        <f>IF(T7=0,0,T7/TrAvia_act!T25*1000000)</f>
        <v>18080.510246913585</v>
      </c>
      <c r="U43" s="84">
        <f>IF(U7=0,0,U7/TrAvia_act!U25*1000000)</f>
        <v>8001.2882392026568</v>
      </c>
      <c r="V43" s="84">
        <f>IF(V7=0,0,V7/TrAvia_act!V25*1000000)</f>
        <v>6593.5246153846165</v>
      </c>
      <c r="W43" s="84">
        <f>IF(W7=0,0,W7/TrAvia_act!W25*1000000)</f>
        <v>6873.2311693002257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22997.062355535196</v>
      </c>
      <c r="C44" s="84">
        <f>IF(C8=0,0,C8/TrAvia_act!C26*1000000)</f>
        <v>23186.004360215586</v>
      </c>
      <c r="D44" s="84">
        <f>IF(D8=0,0,D8/TrAvia_act!D26*1000000)</f>
        <v>23175.518596386315</v>
      </c>
      <c r="E44" s="84">
        <f>IF(E8=0,0,E8/TrAvia_act!E26*1000000)</f>
        <v>23190.643274891492</v>
      </c>
      <c r="F44" s="84">
        <f>IF(F8=0,0,F8/TrAvia_act!F26*1000000)</f>
        <v>23136.327883910082</v>
      </c>
      <c r="G44" s="84">
        <f>IF(G8=0,0,G8/TrAvia_act!G26*1000000)</f>
        <v>24164.576758275562</v>
      </c>
      <c r="H44" s="84">
        <f>IF(H8=0,0,H8/TrAvia_act!H26*1000000)</f>
        <v>20054.656822829049</v>
      </c>
      <c r="I44" s="84">
        <f>IF(I8=0,0,I8/TrAvia_act!I26*1000000)</f>
        <v>18981.849134502649</v>
      </c>
      <c r="J44" s="84">
        <f>IF(J8=0,0,J8/TrAvia_act!J26*1000000)</f>
        <v>21799.81691048697</v>
      </c>
      <c r="K44" s="84">
        <f>IF(K8=0,0,K8/TrAvia_act!K26*1000000)</f>
        <v>16876.679010593074</v>
      </c>
      <c r="L44" s="84">
        <f>IF(L8=0,0,L8/TrAvia_act!L26*1000000)</f>
        <v>18328.352493797804</v>
      </c>
      <c r="M44" s="84">
        <f>IF(M8=0,0,M8/TrAvia_act!M26*1000000)</f>
        <v>18488.453525974048</v>
      </c>
      <c r="N44" s="84">
        <f>IF(N8=0,0,N8/TrAvia_act!N26*1000000)</f>
        <v>19191.323609598458</v>
      </c>
      <c r="O44" s="84">
        <f>IF(O8=0,0,O8/TrAvia_act!O26*1000000)</f>
        <v>19431.111658035723</v>
      </c>
      <c r="P44" s="84">
        <f>IF(P8=0,0,P8/TrAvia_act!P26*1000000)</f>
        <v>19937.296726797435</v>
      </c>
      <c r="Q44" s="84">
        <f>IF(Q8=0,0,Q8/TrAvia_act!Q26*1000000)</f>
        <v>20626.904561906991</v>
      </c>
      <c r="R44" s="84">
        <f>IF(R8=0,0,R8/TrAvia_act!R26*1000000)</f>
        <v>20677.788155755708</v>
      </c>
      <c r="S44" s="84">
        <f>IF(S8=0,0,S8/TrAvia_act!S26*1000000)</f>
        <v>20421.027206077262</v>
      </c>
      <c r="T44" s="84">
        <f>IF(T8=0,0,T8/TrAvia_act!T26*1000000)</f>
        <v>20282.511395703408</v>
      </c>
      <c r="U44" s="84">
        <f>IF(U8=0,0,U8/TrAvia_act!U26*1000000)</f>
        <v>20145.729473106821</v>
      </c>
      <c r="V44" s="84">
        <f>IF(V8=0,0,V8/TrAvia_act!V26*1000000)</f>
        <v>24212.498984703518</v>
      </c>
      <c r="W44" s="84">
        <f>IF(W8=0,0,W8/TrAvia_act!W26*1000000)</f>
        <v>23752.433972592735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24031.841834664188</v>
      </c>
      <c r="C45" s="84">
        <f>IF(C9=0,0,C9/TrAvia_act!C27*1000000)</f>
        <v>24229.96342649448</v>
      </c>
      <c r="D45" s="84">
        <f>IF(D9=0,0,D9/TrAvia_act!D27*1000000)</f>
        <v>24218.714048510854</v>
      </c>
      <c r="E45" s="84">
        <f>IF(E9=0,0,E9/TrAvia_act!E27*1000000)</f>
        <v>24234.218962759049</v>
      </c>
      <c r="F45" s="84">
        <f>IF(F9=0,0,F9/TrAvia_act!F27*1000000)</f>
        <v>24177.147890460252</v>
      </c>
      <c r="G45" s="84">
        <f>IF(G9=0,0,G9/TrAvia_act!G27*1000000)</f>
        <v>29573.858948638408</v>
      </c>
      <c r="H45" s="84">
        <f>IF(H9=0,0,H9/TrAvia_act!H27*1000000)</f>
        <v>24862.46706651471</v>
      </c>
      <c r="I45" s="84">
        <f>IF(I9=0,0,I9/TrAvia_act!I27*1000000)</f>
        <v>19953.588691286379</v>
      </c>
      <c r="J45" s="84">
        <f>IF(J9=0,0,J9/TrAvia_act!J27*1000000)</f>
        <v>18111.132524122881</v>
      </c>
      <c r="K45" s="84">
        <f>IF(K9=0,0,K9/TrAvia_act!K27*1000000)</f>
        <v>15137.320369466694</v>
      </c>
      <c r="L45" s="84">
        <f>IF(L9=0,0,L9/TrAvia_act!L27*1000000)</f>
        <v>14172.954722293616</v>
      </c>
      <c r="M45" s="84">
        <f>IF(M9=0,0,M9/TrAvia_act!M27*1000000)</f>
        <v>12873.97566209367</v>
      </c>
      <c r="N45" s="84">
        <f>IF(N9=0,0,N9/TrAvia_act!N27*1000000)</f>
        <v>12889.722933874918</v>
      </c>
      <c r="O45" s="84">
        <f>IF(O9=0,0,O9/TrAvia_act!O27*1000000)</f>
        <v>11510.588315819892</v>
      </c>
      <c r="P45" s="84">
        <f>IF(P9=0,0,P9/TrAvia_act!P27*1000000)</f>
        <v>10165.69154612071</v>
      </c>
      <c r="Q45" s="84">
        <f>IF(Q9=0,0,Q9/TrAvia_act!Q27*1000000)</f>
        <v>10225.83047761206</v>
      </c>
      <c r="R45" s="84">
        <f>IF(R9=0,0,R9/TrAvia_act!R27*1000000)</f>
        <v>9818.9838615713361</v>
      </c>
      <c r="S45" s="84">
        <f>IF(S9=0,0,S9/TrAvia_act!S27*1000000)</f>
        <v>10833.322692156002</v>
      </c>
      <c r="T45" s="84">
        <f>IF(T9=0,0,T9/TrAvia_act!T27*1000000)</f>
        <v>10734.116103601187</v>
      </c>
      <c r="U45" s="84">
        <f>IF(U9=0,0,U9/TrAvia_act!U27*1000000)</f>
        <v>10541.440053856395</v>
      </c>
      <c r="V45" s="84">
        <f>IF(V9=0,0,V9/TrAvia_act!V27*1000000)</f>
        <v>32876.677858760188</v>
      </c>
      <c r="W45" s="84">
        <f>IF(W9=0,0,W9/TrAvia_act!W27*1000000)</f>
        <v>21806.29370643941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16096.066228394899</v>
      </c>
      <c r="C46" s="13">
        <f>IF(C10=0,0,C10/TrAvia_act!C28*1000000)</f>
        <v>17666.244252241308</v>
      </c>
      <c r="D46" s="13">
        <f>IF(D10=0,0,D10/TrAvia_act!D28*1000000)</f>
        <v>17900.316850252329</v>
      </c>
      <c r="E46" s="13">
        <f>IF(E10=0,0,E10/TrAvia_act!E28*1000000)</f>
        <v>18355.210780227138</v>
      </c>
      <c r="F46" s="13">
        <f>IF(F10=0,0,F10/TrAvia_act!F28*1000000)</f>
        <v>18333.469173742491</v>
      </c>
      <c r="G46" s="13">
        <f>IF(G10=0,0,G10/TrAvia_act!G28*1000000)</f>
        <v>19417.474062175486</v>
      </c>
      <c r="H46" s="13">
        <f>IF(H10=0,0,H10/TrAvia_act!H28*1000000)</f>
        <v>16097.098157620996</v>
      </c>
      <c r="I46" s="13">
        <f>IF(I10=0,0,I10/TrAvia_act!I28*1000000)</f>
        <v>14993.385893346143</v>
      </c>
      <c r="J46" s="13">
        <f>IF(J10=0,0,J10/TrAvia_act!J28*1000000)</f>
        <v>16394.045705497072</v>
      </c>
      <c r="K46" s="13">
        <f>IF(K10=0,0,K10/TrAvia_act!K28*1000000)</f>
        <v>15094.923325420201</v>
      </c>
      <c r="L46" s="13">
        <f>IF(L10=0,0,L10/TrAvia_act!L28*1000000)</f>
        <v>18328.207526655322</v>
      </c>
      <c r="M46" s="13">
        <f>IF(M10=0,0,M10/TrAvia_act!M28*1000000)</f>
        <v>15229.268421932418</v>
      </c>
      <c r="N46" s="13">
        <f>IF(N10=0,0,N10/TrAvia_act!N28*1000000)</f>
        <v>14058.435285058777</v>
      </c>
      <c r="O46" s="13">
        <f>IF(O10=0,0,O10/TrAvia_act!O28*1000000)</f>
        <v>13786.109176174075</v>
      </c>
      <c r="P46" s="13">
        <f>IF(P10=0,0,P10/TrAvia_act!P28*1000000)</f>
        <v>13540.140458568709</v>
      </c>
      <c r="Q46" s="13">
        <f>IF(Q10=0,0,Q10/TrAvia_act!Q28*1000000)</f>
        <v>14295.505558761639</v>
      </c>
      <c r="R46" s="13">
        <f>IF(R10=0,0,R10/TrAvia_act!R28*1000000)</f>
        <v>14349.012998201886</v>
      </c>
      <c r="S46" s="13">
        <f>IF(S10=0,0,S10/TrAvia_act!S28*1000000)</f>
        <v>14944.98197207846</v>
      </c>
      <c r="T46" s="13">
        <f>IF(T10=0,0,T10/TrAvia_act!T28*1000000)</f>
        <v>14871.627964884427</v>
      </c>
      <c r="U46" s="13">
        <f>IF(U10=0,0,U10/TrAvia_act!U28*1000000)</f>
        <v>13382.916580642939</v>
      </c>
      <c r="V46" s="13">
        <f>IF(V10=0,0,V10/TrAvia_act!V28*1000000)</f>
        <v>24115.772165829807</v>
      </c>
      <c r="W46" s="13">
        <f>IF(W10=0,0,W10/TrAvia_act!W28*1000000)</f>
        <v>19582.082534951369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14665.113005245295</v>
      </c>
      <c r="C48" s="102">
        <f>IF(C12=0,0,C12/TrAvia_act!C30*1000000)</f>
        <v>14822.437995199694</v>
      </c>
      <c r="D48" s="102">
        <f>IF(D12=0,0,D12/TrAvia_act!D30*1000000)</f>
        <v>14795.837931256279</v>
      </c>
      <c r="E48" s="102">
        <f>IF(E12=0,0,E12/TrAvia_act!E30*1000000)</f>
        <v>14855.746220954883</v>
      </c>
      <c r="F48" s="102">
        <f>IF(F12=0,0,F12/TrAvia_act!F30*1000000)</f>
        <v>14824.376332365191</v>
      </c>
      <c r="G48" s="102">
        <f>IF(G12=0,0,G12/TrAvia_act!G30*1000000)</f>
        <v>15045.57250624283</v>
      </c>
      <c r="H48" s="102">
        <f>IF(H12=0,0,H12/TrAvia_act!H30*1000000)</f>
        <v>12507.402839757524</v>
      </c>
      <c r="I48" s="102">
        <f>IF(I12=0,0,I12/TrAvia_act!I30*1000000)</f>
        <v>12167.025680873512</v>
      </c>
      <c r="J48" s="102">
        <f>IF(J12=0,0,J12/TrAvia_act!J30*1000000)</f>
        <v>14423.670117159319</v>
      </c>
      <c r="K48" s="102">
        <f>IF(K12=0,0,K12/TrAvia_act!K30*1000000)</f>
        <v>11727.238301857698</v>
      </c>
      <c r="L48" s="102">
        <f>IF(L12=0,0,L12/TrAvia_act!L30*1000000)</f>
        <v>13045.12476093915</v>
      </c>
      <c r="M48" s="102">
        <f>IF(M12=0,0,M12/TrAvia_act!M30*1000000)</f>
        <v>13228.693098631762</v>
      </c>
      <c r="N48" s="102">
        <f>IF(N12=0,0,N12/TrAvia_act!N30*1000000)</f>
        <v>14153.352503544365</v>
      </c>
      <c r="O48" s="102">
        <f>IF(O12=0,0,O12/TrAvia_act!O30*1000000)</f>
        <v>13913.43962662937</v>
      </c>
      <c r="P48" s="102">
        <f>IF(P12=0,0,P12/TrAvia_act!P30*1000000)</f>
        <v>13806.458621089034</v>
      </c>
      <c r="Q48" s="102">
        <f>IF(Q12=0,0,Q12/TrAvia_act!Q30*1000000)</f>
        <v>14742.154001525227</v>
      </c>
      <c r="R48" s="102">
        <f>IF(R12=0,0,R12/TrAvia_act!R30*1000000)</f>
        <v>14543.618079761503</v>
      </c>
      <c r="S48" s="102">
        <f>IF(S12=0,0,S12/TrAvia_act!S30*1000000)</f>
        <v>13964.427629536152</v>
      </c>
      <c r="T48" s="102">
        <f>IF(T12=0,0,T12/TrAvia_act!T30*1000000)</f>
        <v>13901.826598102152</v>
      </c>
      <c r="U48" s="102">
        <f>IF(U12=0,0,U12/TrAvia_act!U30*1000000)</f>
        <v>13739.159652729326</v>
      </c>
      <c r="V48" s="102">
        <f>IF(V12=0,0,V12/TrAvia_act!V30*1000000)</f>
        <v>20297.162101462447</v>
      </c>
      <c r="W48" s="102">
        <f>IF(W12=0,0,W12/TrAvia_act!W30*1000000)</f>
        <v>18451.870525784878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31624.558612944275</v>
      </c>
      <c r="C49" s="86">
        <f>IF(C13=0,0,C13/TrAvia_act!C31*1000000)</f>
        <v>31885.27553744939</v>
      </c>
      <c r="D49" s="86">
        <f>IF(D13=0,0,D13/TrAvia_act!D31*1000000)</f>
        <v>31870.471985734548</v>
      </c>
      <c r="E49" s="86">
        <f>IF(E13=0,0,E13/TrAvia_act!E31*1000000)</f>
        <v>31890.875584959449</v>
      </c>
      <c r="F49" s="86">
        <f>IF(F13=0,0,F13/TrAvia_act!F31*1000000)</f>
        <v>31815.773248507921</v>
      </c>
      <c r="G49" s="86">
        <f>IF(G13=0,0,G13/TrAvia_act!G31*1000000)</f>
        <v>38917.542906890987</v>
      </c>
      <c r="H49" s="86">
        <f>IF(H13=0,0,H13/TrAvia_act!H31*1000000)</f>
        <v>36438.704958847338</v>
      </c>
      <c r="I49" s="86">
        <f>IF(I13=0,0,I13/TrAvia_act!I31*1000000)</f>
        <v>32569.813464660307</v>
      </c>
      <c r="J49" s="86">
        <f>IF(J13=0,0,J13/TrAvia_act!J31*1000000)</f>
        <v>32923.307585441587</v>
      </c>
      <c r="K49" s="86">
        <f>IF(K13=0,0,K13/TrAvia_act!K31*1000000)</f>
        <v>30644.481335449531</v>
      </c>
      <c r="L49" s="86">
        <f>IF(L13=0,0,L13/TrAvia_act!L31*1000000)</f>
        <v>31951.013801109166</v>
      </c>
      <c r="M49" s="86">
        <f>IF(M13=0,0,M13/TrAvia_act!M31*1000000)</f>
        <v>20065.191505594437</v>
      </c>
      <c r="N49" s="86">
        <f>IF(N13=0,0,N13/TrAvia_act!N31*1000000)</f>
        <v>13568.029656216568</v>
      </c>
      <c r="O49" s="86">
        <f>IF(O13=0,0,O13/TrAvia_act!O31*1000000)</f>
        <v>13090.542834880975</v>
      </c>
      <c r="P49" s="86">
        <f>IF(P13=0,0,P13/TrAvia_act!P31*1000000)</f>
        <v>12483.367324312523</v>
      </c>
      <c r="Q49" s="86">
        <f>IF(Q13=0,0,Q13/TrAvia_act!Q31*1000000)</f>
        <v>13550.423851550629</v>
      </c>
      <c r="R49" s="86">
        <f>IF(R13=0,0,R13/TrAvia_act!R31*1000000)</f>
        <v>14030.733659202506</v>
      </c>
      <c r="S49" s="86">
        <f>IF(S13=0,0,S13/TrAvia_act!S31*1000000)</f>
        <v>16680.476383657773</v>
      </c>
      <c r="T49" s="86">
        <f>IF(T13=0,0,T13/TrAvia_act!T31*1000000)</f>
        <v>17794.691239411281</v>
      </c>
      <c r="U49" s="86">
        <f>IF(U13=0,0,U13/TrAvia_act!U31*1000000)</f>
        <v>11819.405319819358</v>
      </c>
      <c r="V49" s="86">
        <f>IF(V13=0,0,V13/TrAvia_act!V31*1000000)</f>
        <v>36862.400127168738</v>
      </c>
      <c r="W49" s="86">
        <f>IF(W13=0,0,W13/TrAvia_act!W31*1000000)</f>
        <v>24449.925486712298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0.98342413606611523</v>
      </c>
      <c r="C52" s="16">
        <f t="shared" si="35"/>
        <v>0.99169903996996489</v>
      </c>
      <c r="D52" s="16">
        <f t="shared" ref="D52:V52" si="36">IF(D6=0,0,D6/D$3)</f>
        <v>0.99070485439675215</v>
      </c>
      <c r="E52" s="16">
        <f t="shared" si="36"/>
        <v>0.99160839140856738</v>
      </c>
      <c r="F52" s="16">
        <f t="shared" si="36"/>
        <v>0.99028470271078495</v>
      </c>
      <c r="G52" s="16">
        <f t="shared" si="36"/>
        <v>0.98900730608492182</v>
      </c>
      <c r="H52" s="16">
        <f t="shared" si="36"/>
        <v>0.9890418782017123</v>
      </c>
      <c r="I52" s="16">
        <f t="shared" si="36"/>
        <v>0.98967513168077959</v>
      </c>
      <c r="J52" s="16">
        <f t="shared" si="36"/>
        <v>0.9877239072157501</v>
      </c>
      <c r="K52" s="16">
        <f t="shared" si="36"/>
        <v>0.98700852642002934</v>
      </c>
      <c r="L52" s="16">
        <f t="shared" si="36"/>
        <v>0.98331409429726901</v>
      </c>
      <c r="M52" s="16">
        <f t="shared" si="36"/>
        <v>0.98742027107733621</v>
      </c>
      <c r="N52" s="16">
        <f t="shared" si="36"/>
        <v>0.98911333483433805</v>
      </c>
      <c r="O52" s="16">
        <f t="shared" si="36"/>
        <v>0.98843819519709708</v>
      </c>
      <c r="P52" s="16">
        <f t="shared" si="36"/>
        <v>0.98824553347765465</v>
      </c>
      <c r="Q52" s="16">
        <f t="shared" si="36"/>
        <v>0.98512844130807176</v>
      </c>
      <c r="R52" s="16">
        <f t="shared" si="36"/>
        <v>0.9884176837392844</v>
      </c>
      <c r="S52" s="16">
        <f t="shared" si="36"/>
        <v>0.98797996406654043</v>
      </c>
      <c r="T52" s="16">
        <f t="shared" si="36"/>
        <v>0.98970686397917385</v>
      </c>
      <c r="U52" s="16">
        <f t="shared" si="36"/>
        <v>0.98945542954803112</v>
      </c>
      <c r="V52" s="16">
        <f t="shared" si="36"/>
        <v>0.96510836539423994</v>
      </c>
      <c r="W52" s="16">
        <f t="shared" ref="W52" si="37">IF(W6=0,0,W6/W$3)</f>
        <v>0.97670268701900864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0.2040816326530612</v>
      </c>
      <c r="C53" s="103">
        <f t="shared" si="38"/>
        <v>0.30334269641363326</v>
      </c>
      <c r="D53" s="103">
        <f t="shared" ref="D53:V53" si="39">IF(D7=0,0,D7/D$3)</f>
        <v>0.17674768067284141</v>
      </c>
      <c r="E53" s="103">
        <f t="shared" si="39"/>
        <v>0.12910596704442262</v>
      </c>
      <c r="F53" s="103">
        <f t="shared" si="39"/>
        <v>0.11305580038748921</v>
      </c>
      <c r="G53" s="103">
        <f t="shared" si="39"/>
        <v>6.6290826999422237E-2</v>
      </c>
      <c r="H53" s="103">
        <f t="shared" si="39"/>
        <v>0.12060314367727841</v>
      </c>
      <c r="I53" s="103">
        <f t="shared" si="39"/>
        <v>0.18433184346118456</v>
      </c>
      <c r="J53" s="103">
        <f t="shared" si="39"/>
        <v>5.9344268288325973E-2</v>
      </c>
      <c r="K53" s="103">
        <f t="shared" si="39"/>
        <v>0.13448375747410757</v>
      </c>
      <c r="L53" s="103">
        <f t="shared" si="39"/>
        <v>8.4250022553042633E-2</v>
      </c>
      <c r="M53" s="103">
        <f t="shared" si="39"/>
        <v>0.11288515162691309</v>
      </c>
      <c r="N53" s="103">
        <f t="shared" si="39"/>
        <v>6.4684746549516309E-2</v>
      </c>
      <c r="O53" s="103">
        <f t="shared" si="39"/>
        <v>7.1835201652850761E-2</v>
      </c>
      <c r="P53" s="103">
        <f t="shared" si="39"/>
        <v>5.1703625801280767E-2</v>
      </c>
      <c r="Q53" s="103">
        <f t="shared" si="39"/>
        <v>7.0251034345834379E-2</v>
      </c>
      <c r="R53" s="103">
        <f t="shared" si="39"/>
        <v>8.4070645658883864E-2</v>
      </c>
      <c r="S53" s="103">
        <f t="shared" si="39"/>
        <v>7.9632371731806623E-2</v>
      </c>
      <c r="T53" s="103">
        <f t="shared" si="39"/>
        <v>6.4019539505280956E-2</v>
      </c>
      <c r="U53" s="103">
        <f t="shared" si="39"/>
        <v>2.9344320546108572E-2</v>
      </c>
      <c r="V53" s="103">
        <f t="shared" si="39"/>
        <v>2.7380370715520977E-2</v>
      </c>
      <c r="W53" s="103">
        <f t="shared" ref="W53" si="40">IF(W7=0,0,W7/W$3)</f>
        <v>2.9938239906005096E-2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0.65127060889129385</v>
      </c>
      <c r="C54" s="103">
        <f t="shared" si="41"/>
        <v>0.5752432664253404</v>
      </c>
      <c r="D54" s="103">
        <f t="shared" ref="D54:V54" si="42">IF(D8=0,0,D8/D$3)</f>
        <v>0.68019302353064004</v>
      </c>
      <c r="E54" s="103">
        <f t="shared" si="42"/>
        <v>0.72078961610720371</v>
      </c>
      <c r="F54" s="103">
        <f t="shared" si="42"/>
        <v>0.73309404204287287</v>
      </c>
      <c r="G54" s="103">
        <f t="shared" si="42"/>
        <v>0.77952946761892739</v>
      </c>
      <c r="H54" s="103">
        <f t="shared" si="42"/>
        <v>0.74307166551246306</v>
      </c>
      <c r="I54" s="103">
        <f t="shared" si="42"/>
        <v>0.69074903154564249</v>
      </c>
      <c r="J54" s="103">
        <f t="shared" si="42"/>
        <v>0.79276092266422071</v>
      </c>
      <c r="K54" s="103">
        <f t="shared" si="42"/>
        <v>0.71880919600549575</v>
      </c>
      <c r="L54" s="103">
        <f t="shared" si="42"/>
        <v>0.75553446062354868</v>
      </c>
      <c r="M54" s="103">
        <f t="shared" si="42"/>
        <v>0.73546213883676526</v>
      </c>
      <c r="N54" s="103">
        <f t="shared" si="42"/>
        <v>0.77539083703187062</v>
      </c>
      <c r="O54" s="103">
        <f t="shared" si="42"/>
        <v>0.77024101393058708</v>
      </c>
      <c r="P54" s="103">
        <f t="shared" si="42"/>
        <v>0.78819808779261047</v>
      </c>
      <c r="Q54" s="103">
        <f t="shared" si="42"/>
        <v>0.77241905392507015</v>
      </c>
      <c r="R54" s="103">
        <f t="shared" si="42"/>
        <v>0.77766163905464203</v>
      </c>
      <c r="S54" s="103">
        <f t="shared" si="42"/>
        <v>0.78973269240134114</v>
      </c>
      <c r="T54" s="103">
        <f t="shared" si="42"/>
        <v>0.80387074267076808</v>
      </c>
      <c r="U54" s="103">
        <f t="shared" si="42"/>
        <v>0.83200014302088732</v>
      </c>
      <c r="V54" s="103">
        <f t="shared" si="42"/>
        <v>0.77240090339818068</v>
      </c>
      <c r="W54" s="103">
        <f t="shared" ref="W54" si="43">IF(W8=0,0,W8/W$3)</f>
        <v>0.79208964027549733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0.12807189452176018</v>
      </c>
      <c r="C55" s="103">
        <f t="shared" si="44"/>
        <v>0.11311307713099124</v>
      </c>
      <c r="D55" s="103">
        <f t="shared" ref="D55:V55" si="45">IF(D9=0,0,D9/D$3)</f>
        <v>0.13376415019327059</v>
      </c>
      <c r="E55" s="103">
        <f t="shared" si="45"/>
        <v>0.14171280825694088</v>
      </c>
      <c r="F55" s="103">
        <f t="shared" si="45"/>
        <v>0.14413486028042288</v>
      </c>
      <c r="G55" s="103">
        <f t="shared" si="45"/>
        <v>0.14318701146657214</v>
      </c>
      <c r="H55" s="103">
        <f t="shared" si="45"/>
        <v>0.12536706901197098</v>
      </c>
      <c r="I55" s="103">
        <f t="shared" si="45"/>
        <v>0.11459425667395237</v>
      </c>
      <c r="J55" s="103">
        <f t="shared" si="45"/>
        <v>0.13561871626320327</v>
      </c>
      <c r="K55" s="103">
        <f t="shared" si="45"/>
        <v>0.13371557294042596</v>
      </c>
      <c r="L55" s="103">
        <f t="shared" si="45"/>
        <v>0.14352961112067791</v>
      </c>
      <c r="M55" s="103">
        <f t="shared" si="45"/>
        <v>0.13907298061365794</v>
      </c>
      <c r="N55" s="103">
        <f t="shared" si="45"/>
        <v>0.1490377512529511</v>
      </c>
      <c r="O55" s="103">
        <f t="shared" si="45"/>
        <v>0.14636197961365915</v>
      </c>
      <c r="P55" s="103">
        <f t="shared" si="45"/>
        <v>0.14834381988376341</v>
      </c>
      <c r="Q55" s="103">
        <f t="shared" si="45"/>
        <v>0.14245835303716722</v>
      </c>
      <c r="R55" s="103">
        <f t="shared" si="45"/>
        <v>0.12668539902575854</v>
      </c>
      <c r="S55" s="103">
        <f t="shared" si="45"/>
        <v>0.11861489993339272</v>
      </c>
      <c r="T55" s="103">
        <f t="shared" si="45"/>
        <v>0.12181658180312498</v>
      </c>
      <c r="U55" s="103">
        <f t="shared" si="45"/>
        <v>0.12811096598103536</v>
      </c>
      <c r="V55" s="103">
        <f t="shared" si="45"/>
        <v>0.1653270912805383</v>
      </c>
      <c r="W55" s="103">
        <f t="shared" ref="W55" si="46">IF(W9=0,0,W9/W$3)</f>
        <v>0.15467480683750615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1.657586393388465E-2</v>
      </c>
      <c r="C56" s="17">
        <f t="shared" si="47"/>
        <v>8.3009600300351458E-3</v>
      </c>
      <c r="D56" s="17">
        <f t="shared" ref="D56:V56" si="48">IF(D10=0,0,D10/D$3)</f>
        <v>9.2951456032479268E-3</v>
      </c>
      <c r="E56" s="17">
        <f t="shared" si="48"/>
        <v>8.3916085914328611E-3</v>
      </c>
      <c r="F56" s="17">
        <f t="shared" si="48"/>
        <v>9.7152972892150177E-3</v>
      </c>
      <c r="G56" s="17">
        <f t="shared" si="48"/>
        <v>1.0992693915078199E-2</v>
      </c>
      <c r="H56" s="17">
        <f t="shared" si="48"/>
        <v>1.0958121798287623E-2</v>
      </c>
      <c r="I56" s="17">
        <f t="shared" si="48"/>
        <v>1.0324868319220457E-2</v>
      </c>
      <c r="J56" s="17">
        <f t="shared" si="48"/>
        <v>1.2276092784249945E-2</v>
      </c>
      <c r="K56" s="17">
        <f t="shared" si="48"/>
        <v>1.299147357997082E-2</v>
      </c>
      <c r="L56" s="17">
        <f t="shared" si="48"/>
        <v>1.6685905702730815E-2</v>
      </c>
      <c r="M56" s="17">
        <f t="shared" si="48"/>
        <v>1.2579728922663768E-2</v>
      </c>
      <c r="N56" s="17">
        <f t="shared" si="48"/>
        <v>1.088666516566195E-2</v>
      </c>
      <c r="O56" s="17">
        <f t="shared" si="48"/>
        <v>1.1561804802903088E-2</v>
      </c>
      <c r="P56" s="17">
        <f t="shared" si="48"/>
        <v>1.175446652234545E-2</v>
      </c>
      <c r="Q56" s="17">
        <f t="shared" si="48"/>
        <v>1.4871558691928174E-2</v>
      </c>
      <c r="R56" s="17">
        <f t="shared" si="48"/>
        <v>1.1582316260715639E-2</v>
      </c>
      <c r="S56" s="17">
        <f t="shared" si="48"/>
        <v>1.2020035933459482E-2</v>
      </c>
      <c r="T56" s="17">
        <f t="shared" si="48"/>
        <v>1.0293136020826129E-2</v>
      </c>
      <c r="U56" s="17">
        <f t="shared" si="48"/>
        <v>1.0544570451968837E-2</v>
      </c>
      <c r="V56" s="17">
        <f t="shared" si="48"/>
        <v>3.4891634605759975E-2</v>
      </c>
      <c r="W56" s="17">
        <f t="shared" ref="W56" si="49">IF(W10=0,0,W10/W$3)</f>
        <v>2.3297312980991407E-2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1.3828003433049263E-2</v>
      </c>
      <c r="C58" s="104">
        <f t="shared" si="53"/>
        <v>5.8039343087036756E-3</v>
      </c>
      <c r="D58" s="104">
        <f t="shared" ref="D58:V58" si="54">IF(D12=0,0,D12/D$3)</f>
        <v>6.286151861761971E-3</v>
      </c>
      <c r="E58" s="104">
        <f t="shared" si="54"/>
        <v>5.3965284350751585E-3</v>
      </c>
      <c r="F58" s="104">
        <f t="shared" si="54"/>
        <v>6.2333699957980594E-3</v>
      </c>
      <c r="G58" s="104">
        <f t="shared" si="54"/>
        <v>6.9577368157514715E-3</v>
      </c>
      <c r="H58" s="104">
        <f t="shared" si="54"/>
        <v>7.2372669907842697E-3</v>
      </c>
      <c r="I58" s="104">
        <f t="shared" si="54"/>
        <v>7.2178910757715068E-3</v>
      </c>
      <c r="J58" s="104">
        <f t="shared" si="54"/>
        <v>9.6502828891800573E-3</v>
      </c>
      <c r="K58" s="104">
        <f t="shared" si="54"/>
        <v>8.2962811042114129E-3</v>
      </c>
      <c r="L58" s="104">
        <f t="shared" si="54"/>
        <v>8.5575117530906995E-3</v>
      </c>
      <c r="M58" s="104">
        <f t="shared" si="54"/>
        <v>7.7295613793368677E-3</v>
      </c>
      <c r="N58" s="104">
        <f t="shared" si="54"/>
        <v>9.182843288792009E-3</v>
      </c>
      <c r="O58" s="104">
        <f t="shared" si="54"/>
        <v>9.8630586667159265E-3</v>
      </c>
      <c r="P58" s="104">
        <f t="shared" si="54"/>
        <v>9.5731309748323216E-3</v>
      </c>
      <c r="Q58" s="104">
        <f t="shared" si="54"/>
        <v>9.588350220230869E-3</v>
      </c>
      <c r="R58" s="104">
        <f t="shared" si="54"/>
        <v>7.2850878300666144E-3</v>
      </c>
      <c r="S58" s="104">
        <f t="shared" si="54"/>
        <v>7.1766070640629127E-3</v>
      </c>
      <c r="T58" s="104">
        <f t="shared" si="54"/>
        <v>7.2248690497943545E-3</v>
      </c>
      <c r="U58" s="104">
        <f t="shared" si="54"/>
        <v>8.8164479753665131E-3</v>
      </c>
      <c r="V58" s="104">
        <f t="shared" si="54"/>
        <v>2.2597120071441799E-2</v>
      </c>
      <c r="W58" s="104">
        <f t="shared" ref="W58" si="55">IF(W12=0,0,W12/W$3)</f>
        <v>1.7816134121564513E-2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2.7478605008353849E-3</v>
      </c>
      <c r="C59" s="105">
        <f t="shared" si="56"/>
        <v>2.4970257213314706E-3</v>
      </c>
      <c r="D59" s="105">
        <f t="shared" ref="D59:V59" si="57">IF(D13=0,0,D13/D$3)</f>
        <v>3.0089937414859557E-3</v>
      </c>
      <c r="E59" s="105">
        <f t="shared" si="57"/>
        <v>2.9950801563577035E-3</v>
      </c>
      <c r="F59" s="105">
        <f t="shared" si="57"/>
        <v>3.4819272934169584E-3</v>
      </c>
      <c r="G59" s="105">
        <f t="shared" si="57"/>
        <v>4.034957099326727E-3</v>
      </c>
      <c r="H59" s="105">
        <f t="shared" si="57"/>
        <v>3.7208548075033524E-3</v>
      </c>
      <c r="I59" s="105">
        <f t="shared" si="57"/>
        <v>3.1069772434489484E-3</v>
      </c>
      <c r="J59" s="105">
        <f t="shared" si="57"/>
        <v>2.6258098950698891E-3</v>
      </c>
      <c r="K59" s="105">
        <f t="shared" si="57"/>
        <v>4.6951924757594049E-3</v>
      </c>
      <c r="L59" s="105">
        <f t="shared" si="57"/>
        <v>8.1283939496401125E-3</v>
      </c>
      <c r="M59" s="105">
        <f t="shared" si="57"/>
        <v>4.8501675433269007E-3</v>
      </c>
      <c r="N59" s="105">
        <f t="shared" si="57"/>
        <v>1.7038218768699401E-3</v>
      </c>
      <c r="O59" s="105">
        <f t="shared" si="57"/>
        <v>1.6987461361871617E-3</v>
      </c>
      <c r="P59" s="105">
        <f t="shared" si="57"/>
        <v>2.1813355475131285E-3</v>
      </c>
      <c r="Q59" s="105">
        <f t="shared" si="57"/>
        <v>5.2832084716973038E-3</v>
      </c>
      <c r="R59" s="105">
        <f t="shared" si="57"/>
        <v>4.2972284306490244E-3</v>
      </c>
      <c r="S59" s="105">
        <f t="shared" si="57"/>
        <v>4.8434288693965707E-3</v>
      </c>
      <c r="T59" s="105">
        <f t="shared" si="57"/>
        <v>3.0682669710317746E-3</v>
      </c>
      <c r="U59" s="105">
        <f t="shared" si="57"/>
        <v>1.7281224766023235E-3</v>
      </c>
      <c r="V59" s="105">
        <f t="shared" si="57"/>
        <v>1.2294514534318179E-2</v>
      </c>
      <c r="W59" s="105">
        <f t="shared" ref="W59" si="58">IF(W13=0,0,W13/W$3)</f>
        <v>5.4811788594268957E-3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1531820</v>
      </c>
      <c r="C4" s="11">
        <f t="shared" si="0"/>
        <v>2114808</v>
      </c>
      <c r="D4" s="11">
        <f t="shared" ref="D4" si="1">SUM(D5:D7)</f>
        <v>2376272</v>
      </c>
      <c r="E4" s="11">
        <f t="shared" ref="E4" si="2">SUM(E5:E7)</f>
        <v>3001431</v>
      </c>
      <c r="F4" s="11">
        <f t="shared" ref="F4" si="3">SUM(F5:F7)</f>
        <v>2834442</v>
      </c>
      <c r="G4" s="11">
        <f t="shared" ref="G4" si="4">SUM(G5:G7)</f>
        <v>3297989</v>
      </c>
      <c r="H4" s="11">
        <f t="shared" ref="H4" si="5">SUM(H5:H7)</f>
        <v>3882171</v>
      </c>
      <c r="I4" s="11">
        <f t="shared" ref="I4" si="6">SUM(I5:I7)</f>
        <v>4275696</v>
      </c>
      <c r="J4" s="11">
        <f t="shared" ref="J4" si="7">SUM(J5:J7)</f>
        <v>4513386</v>
      </c>
      <c r="K4" s="11">
        <f t="shared" ref="K4" si="8">SUM(K5:K7)</f>
        <v>4223859</v>
      </c>
      <c r="L4" s="11">
        <f t="shared" ref="L4" si="9">SUM(L5:L7)</f>
        <v>4399058</v>
      </c>
      <c r="M4" s="11">
        <f t="shared" ref="M4" si="10">SUM(M5:M7)</f>
        <v>4644041</v>
      </c>
      <c r="N4" s="11">
        <f t="shared" ref="N4" si="11">SUM(N5:N7)</f>
        <v>4511252</v>
      </c>
      <c r="O4" s="11">
        <f t="shared" ref="O4" si="12">SUM(O5:O7)</f>
        <v>4602377</v>
      </c>
      <c r="P4" s="11">
        <f t="shared" ref="P4" si="13">SUM(P5:P7)</f>
        <v>4880530</v>
      </c>
      <c r="Q4" s="11">
        <f t="shared" ref="Q4" si="14">SUM(Q5:Q7)</f>
        <v>4871686</v>
      </c>
      <c r="R4" s="11">
        <f t="shared" ref="R4" si="15">SUM(R5:R7)</f>
        <v>6022389</v>
      </c>
      <c r="S4" s="11">
        <f t="shared" ref="S4" si="16">SUM(S5:S7)</f>
        <v>6909879</v>
      </c>
      <c r="T4" s="11">
        <f t="shared" ref="T4" si="17">SUM(T5:T7)</f>
        <v>7546890</v>
      </c>
      <c r="U4" s="11">
        <f t="shared" ref="U4" si="18">SUM(U5:U7)</f>
        <v>7097054</v>
      </c>
      <c r="V4" s="11">
        <f t="shared" ref="V4:W4" si="19">SUM(V5:V7)</f>
        <v>2897153</v>
      </c>
      <c r="W4" s="11">
        <f t="shared" si="19"/>
        <v>3812898</v>
      </c>
      <c r="DA4" s="189" t="s">
        <v>361</v>
      </c>
    </row>
    <row r="5" spans="1:105" ht="11.45" customHeight="1" x14ac:dyDescent="0.25">
      <c r="A5" s="83" t="s">
        <v>27</v>
      </c>
      <c r="B5" s="84">
        <v>125485</v>
      </c>
      <c r="C5" s="84">
        <v>287285</v>
      </c>
      <c r="D5" s="84">
        <v>175059</v>
      </c>
      <c r="E5" s="84">
        <v>157760</v>
      </c>
      <c r="F5" s="84">
        <v>129629</v>
      </c>
      <c r="G5" s="84">
        <v>150173</v>
      </c>
      <c r="H5" s="84">
        <v>195315</v>
      </c>
      <c r="I5" s="84">
        <v>242444</v>
      </c>
      <c r="J5" s="84">
        <v>310410</v>
      </c>
      <c r="K5" s="84">
        <v>347862</v>
      </c>
      <c r="L5" s="84">
        <v>323646</v>
      </c>
      <c r="M5" s="84">
        <v>366198</v>
      </c>
      <c r="N5" s="84">
        <v>360991</v>
      </c>
      <c r="O5" s="84">
        <v>341997</v>
      </c>
      <c r="P5" s="84">
        <v>302025</v>
      </c>
      <c r="Q5" s="84">
        <v>301080</v>
      </c>
      <c r="R5" s="84">
        <v>304627</v>
      </c>
      <c r="S5" s="84">
        <v>411151</v>
      </c>
      <c r="T5" s="84">
        <v>419304</v>
      </c>
      <c r="U5" s="84">
        <v>382700</v>
      </c>
      <c r="V5" s="84">
        <v>224218</v>
      </c>
      <c r="W5" s="84">
        <v>290643</v>
      </c>
      <c r="DA5" s="171" t="s">
        <v>362</v>
      </c>
    </row>
    <row r="6" spans="1:105" ht="11.45" customHeight="1" x14ac:dyDescent="0.25">
      <c r="A6" s="83" t="s">
        <v>173</v>
      </c>
      <c r="B6" s="84">
        <v>1170314</v>
      </c>
      <c r="C6" s="84">
        <v>1520790</v>
      </c>
      <c r="D6" s="84">
        <v>1832088</v>
      </c>
      <c r="E6" s="84">
        <v>2365590</v>
      </c>
      <c r="F6" s="84">
        <v>2248293</v>
      </c>
      <c r="G6" s="84">
        <v>2711286</v>
      </c>
      <c r="H6" s="84">
        <v>3222955</v>
      </c>
      <c r="I6" s="84">
        <v>3458111</v>
      </c>
      <c r="J6" s="84">
        <v>3457987</v>
      </c>
      <c r="K6" s="84">
        <v>3157564</v>
      </c>
      <c r="L6" s="84">
        <v>3219785</v>
      </c>
      <c r="M6" s="84">
        <v>3315153</v>
      </c>
      <c r="N6" s="84">
        <v>3155949</v>
      </c>
      <c r="O6" s="84">
        <v>3106565</v>
      </c>
      <c r="P6" s="84">
        <v>3257748</v>
      </c>
      <c r="Q6" s="84">
        <v>3319828</v>
      </c>
      <c r="R6" s="84">
        <v>4281255</v>
      </c>
      <c r="S6" s="84">
        <v>5147233</v>
      </c>
      <c r="T6" s="84">
        <v>5670734</v>
      </c>
      <c r="U6" s="84">
        <v>5300779</v>
      </c>
      <c r="V6" s="84">
        <v>2354964</v>
      </c>
      <c r="W6" s="84">
        <v>2955698</v>
      </c>
      <c r="DA6" s="171" t="s">
        <v>363</v>
      </c>
    </row>
    <row r="7" spans="1:105" ht="11.45" customHeight="1" x14ac:dyDescent="0.25">
      <c r="A7" s="85" t="s">
        <v>174</v>
      </c>
      <c r="B7" s="86">
        <v>236021</v>
      </c>
      <c r="C7" s="86">
        <v>306733</v>
      </c>
      <c r="D7" s="86">
        <v>369125</v>
      </c>
      <c r="E7" s="86">
        <v>478081</v>
      </c>
      <c r="F7" s="86">
        <v>456520</v>
      </c>
      <c r="G7" s="86">
        <v>436530</v>
      </c>
      <c r="H7" s="86">
        <v>463901</v>
      </c>
      <c r="I7" s="86">
        <v>575141</v>
      </c>
      <c r="J7" s="86">
        <v>744989</v>
      </c>
      <c r="K7" s="86">
        <v>718433</v>
      </c>
      <c r="L7" s="86">
        <v>855627</v>
      </c>
      <c r="M7" s="86">
        <v>962690</v>
      </c>
      <c r="N7" s="86">
        <v>994312</v>
      </c>
      <c r="O7" s="86">
        <v>1153815</v>
      </c>
      <c r="P7" s="86">
        <v>1320757</v>
      </c>
      <c r="Q7" s="86">
        <v>1250778</v>
      </c>
      <c r="R7" s="86">
        <v>1436507</v>
      </c>
      <c r="S7" s="86">
        <v>1351495</v>
      </c>
      <c r="T7" s="86">
        <v>1456852</v>
      </c>
      <c r="U7" s="86">
        <v>1413575</v>
      </c>
      <c r="V7" s="86">
        <v>317971</v>
      </c>
      <c r="W7" s="86">
        <v>566557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125.96168078283036</v>
      </c>
      <c r="C12" s="14">
        <f>IF(C4=0,0,C4/TrAvia_act!C24)</f>
        <v>122.20085519473015</v>
      </c>
      <c r="D12" s="14">
        <f>IF(D4=0,0,D4/TrAvia_act!D24)</f>
        <v>128.63487251664591</v>
      </c>
      <c r="E12" s="14">
        <f>IF(E4=0,0,E4/TrAvia_act!E24)</f>
        <v>131.60130661638971</v>
      </c>
      <c r="F12" s="14">
        <f>IF(F4=0,0,F4/TrAvia_act!F24)</f>
        <v>133.70009433962264</v>
      </c>
      <c r="G12" s="14">
        <f>IF(G4=0,0,G4/TrAvia_act!G24)</f>
        <v>135.29101201952659</v>
      </c>
      <c r="H12" s="14">
        <f>IF(H4=0,0,H4/TrAvia_act!H24)</f>
        <v>137.00007057910153</v>
      </c>
      <c r="I12" s="14">
        <f>IF(I4=0,0,I4/TrAvia_act!I24)</f>
        <v>137.14263720050036</v>
      </c>
      <c r="J12" s="14">
        <f>IF(J4=0,0,J4/TrAvia_act!J24)</f>
        <v>136.74441010725323</v>
      </c>
      <c r="K12" s="14">
        <f>IF(K4=0,0,K4/TrAvia_act!K24)</f>
        <v>139.65940351805315</v>
      </c>
      <c r="L12" s="14">
        <f>IF(L4=0,0,L4/TrAvia_act!L24)</f>
        <v>141.26257987861661</v>
      </c>
      <c r="M12" s="14">
        <f>IF(M4=0,0,M4/TrAvia_act!M24)</f>
        <v>142.28066789215686</v>
      </c>
      <c r="N12" s="14">
        <f>IF(N4=0,0,N4/TrAvia_act!N24)</f>
        <v>147.2436843135975</v>
      </c>
      <c r="O12" s="14">
        <f>IF(O4=0,0,O4/TrAvia_act!O24)</f>
        <v>154.36448096595674</v>
      </c>
      <c r="P12" s="14">
        <f>IF(P4=0,0,P4/TrAvia_act!P24)</f>
        <v>154.34458113279149</v>
      </c>
      <c r="Q12" s="14">
        <f>IF(Q4=0,0,Q4/TrAvia_act!Q24)</f>
        <v>152.88037406640305</v>
      </c>
      <c r="R12" s="14">
        <f>IF(R4=0,0,R4/TrAvia_act!R24)</f>
        <v>159.74930369505822</v>
      </c>
      <c r="S12" s="14">
        <f>IF(S4=0,0,S4/TrAvia_act!S24)</f>
        <v>166.53119803340323</v>
      </c>
      <c r="T12" s="14">
        <f>IF(T4=0,0,T4/TrAvia_act!T24)</f>
        <v>168.0746960046323</v>
      </c>
      <c r="U12" s="14">
        <f>IF(U4=0,0,U4/TrAvia_act!U24)</f>
        <v>168.20852294273797</v>
      </c>
      <c r="V12" s="14">
        <f>IF(V4=0,0,V4/TrAvia_act!V24)</f>
        <v>165.63678463209649</v>
      </c>
      <c r="W12" s="14">
        <f>IF(W4=0,0,W4/TrAvia_act!W24)</f>
        <v>167.3791922739245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73.598240469208207</v>
      </c>
      <c r="C13" s="87">
        <f>IF(C5=0,0,C5/TrAvia_act!C25)</f>
        <v>76.507323568575231</v>
      </c>
      <c r="D13" s="87">
        <f>IF(D5=0,0,D5/TrAvia_act!D25)</f>
        <v>78.819900945520033</v>
      </c>
      <c r="E13" s="87">
        <f>IF(E5=0,0,E5/TrAvia_act!E25)</f>
        <v>80.203355363497707</v>
      </c>
      <c r="F13" s="87">
        <f>IF(F5=0,0,F5/TrAvia_act!F25)</f>
        <v>81.425251256281413</v>
      </c>
      <c r="G13" s="87">
        <f>IF(G5=0,0,G5/TrAvia_act!G25)</f>
        <v>81.927441352973261</v>
      </c>
      <c r="H13" s="87">
        <f>IF(H5=0,0,H5/TrAvia_act!H25)</f>
        <v>82.550718512256978</v>
      </c>
      <c r="I13" s="87">
        <f>IF(I5=0,0,I5/TrAvia_act!I25)</f>
        <v>83.314089347079033</v>
      </c>
      <c r="J13" s="87">
        <f>IF(J5=0,0,J5/TrAvia_act!J25)</f>
        <v>93.666264333132162</v>
      </c>
      <c r="K13" s="87">
        <f>IF(K5=0,0,K5/TrAvia_act!K25)</f>
        <v>113.79195289499509</v>
      </c>
      <c r="L13" s="87">
        <f>IF(L5=0,0,L5/TrAvia_act!L25)</f>
        <v>112.26014568158169</v>
      </c>
      <c r="M13" s="87">
        <f>IF(M5=0,0,M5/TrAvia_act!M25)</f>
        <v>103.06726709822685</v>
      </c>
      <c r="N13" s="87">
        <f>IF(N5=0,0,N5/TrAvia_act!N25)</f>
        <v>108.53607937462418</v>
      </c>
      <c r="O13" s="87">
        <f>IF(O5=0,0,O5/TrAvia_act!O25)</f>
        <v>122.84375</v>
      </c>
      <c r="P13" s="87">
        <f>IF(P5=0,0,P5/TrAvia_act!P25)</f>
        <v>120.61701277955271</v>
      </c>
      <c r="Q13" s="87">
        <f>IF(Q5=0,0,Q5/TrAvia_act!Q25)</f>
        <v>121.40322580645162</v>
      </c>
      <c r="R13" s="87">
        <f>IF(R5=0,0,R5/TrAvia_act!R25)</f>
        <v>126.61138819617622</v>
      </c>
      <c r="S13" s="87">
        <f>IF(S5=0,0,S5/TrAvia_act!S25)</f>
        <v>143.20828979449669</v>
      </c>
      <c r="T13" s="87">
        <f>IF(T5=0,0,T5/TrAvia_act!T25)</f>
        <v>143.79423868312756</v>
      </c>
      <c r="U13" s="87">
        <f>IF(U5=0,0,U5/TrAvia_act!U25)</f>
        <v>141.26984126984127</v>
      </c>
      <c r="V13" s="87">
        <f>IF(V5=0,0,V5/TrAvia_act!V25)</f>
        <v>126.82013574660634</v>
      </c>
      <c r="W13" s="87">
        <f>IF(W5=0,0,W5/TrAvia_act!W25)</f>
        <v>131.2158013544018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132.99022727272728</v>
      </c>
      <c r="C14" s="87">
        <f>IF(C6=0,0,C6/TrAvia_act!C26)</f>
        <v>133.34414730381411</v>
      </c>
      <c r="D14" s="87">
        <f>IF(D6=0,0,D6/TrAvia_act!D26)</f>
        <v>133.94414388068432</v>
      </c>
      <c r="E14" s="87">
        <f>IF(E6=0,0,E6/TrAvia_act!E26)</f>
        <v>134.86830102622577</v>
      </c>
      <c r="F14" s="87">
        <f>IF(F6=0,0,F6/TrAvia_act!F26)</f>
        <v>136.23541174331939</v>
      </c>
      <c r="G14" s="87">
        <f>IF(G6=0,0,G6/TrAvia_act!G26)</f>
        <v>138.31680440771351</v>
      </c>
      <c r="H14" s="87">
        <f>IF(H6=0,0,H6/TrAvia_act!H26)</f>
        <v>140.98665791776028</v>
      </c>
      <c r="I14" s="87">
        <f>IF(I6=0,0,I6/TrAvia_act!I26)</f>
        <v>141.64458917014827</v>
      </c>
      <c r="J14" s="87">
        <f>IF(J6=0,0,J6/TrAvia_act!J26)</f>
        <v>140.4429778247096</v>
      </c>
      <c r="K14" s="87">
        <f>IF(K6=0,0,K6/TrAvia_act!K26)</f>
        <v>140.23022605142782</v>
      </c>
      <c r="L14" s="87">
        <f>IF(L6=0,0,L6/TrAvia_act!L26)</f>
        <v>141.93453824112851</v>
      </c>
      <c r="M14" s="87">
        <f>IF(M6=0,0,M6/TrAvia_act!M26)</f>
        <v>144.92472131147542</v>
      </c>
      <c r="N14" s="87">
        <f>IF(N6=0,0,N6/TrAvia_act!N26)</f>
        <v>148.62015540381446</v>
      </c>
      <c r="O14" s="87">
        <f>IF(O6=0,0,O6/TrAvia_act!O26)</f>
        <v>151.79150786670576</v>
      </c>
      <c r="P14" s="87">
        <f>IF(P6=0,0,P6/TrAvia_act!P26)</f>
        <v>153.18324164198054</v>
      </c>
      <c r="Q14" s="87">
        <f>IF(Q6=0,0,Q6/TrAvia_act!Q26)</f>
        <v>155.00177420860959</v>
      </c>
      <c r="R14" s="87">
        <f>IF(R6=0,0,R6/TrAvia_act!R26)</f>
        <v>162.92164548291348</v>
      </c>
      <c r="S14" s="87">
        <f>IF(S6=0,0,S6/TrAvia_act!S26)</f>
        <v>171.00441860465116</v>
      </c>
      <c r="T14" s="87">
        <f>IF(T6=0,0,T6/TrAvia_act!T26)</f>
        <v>173.73572303921569</v>
      </c>
      <c r="U14" s="87">
        <f>IF(U6=0,0,U6/TrAvia_act!U26)</f>
        <v>173.7618501278437</v>
      </c>
      <c r="V14" s="87">
        <f>IF(V6=0,0,V6/TrAvia_act!V26)</f>
        <v>173.38860256221469</v>
      </c>
      <c r="W14" s="87">
        <f>IF(W6=0,0,W6/TrAvia_act!W26)</f>
        <v>174.29519990564924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142.52475845410629</v>
      </c>
      <c r="C15" s="88">
        <f>IF(C7=0,0,C7/TrAvia_act!C27)</f>
        <v>142.93243243243242</v>
      </c>
      <c r="D15" s="88">
        <f>IF(D7=0,0,D7/TrAvia_act!D27)</f>
        <v>143.40520590520592</v>
      </c>
      <c r="E15" s="88">
        <f>IF(E7=0,0,E7/TrAvia_act!E27)</f>
        <v>144.8730303030303</v>
      </c>
      <c r="F15" s="88">
        <f>IF(F7=0,0,F7/TrAvia_act!F27)</f>
        <v>147.02737520128824</v>
      </c>
      <c r="G15" s="88">
        <f>IF(G7=0,0,G7/TrAvia_act!G27)</f>
        <v>148.37865397688648</v>
      </c>
      <c r="H15" s="88">
        <f>IF(H7=0,0,H7/TrAvia_act!H27)</f>
        <v>149.11636129861782</v>
      </c>
      <c r="I15" s="88">
        <f>IF(I7=0,0,I7/TrAvia_act!I27)</f>
        <v>149.27095769530237</v>
      </c>
      <c r="J15" s="88">
        <f>IF(J7=0,0,J7/TrAvia_act!J27)</f>
        <v>146.94063116370808</v>
      </c>
      <c r="K15" s="88">
        <f>IF(K7=0,0,K7/TrAvia_act!K27)</f>
        <v>153.84004282655246</v>
      </c>
      <c r="L15" s="88">
        <f>IF(L7=0,0,L7/TrAvia_act!L27)</f>
        <v>153.53077337161312</v>
      </c>
      <c r="M15" s="88">
        <f>IF(M7=0,0,M7/TrAvia_act!M27)</f>
        <v>154.97263361236315</v>
      </c>
      <c r="N15" s="88">
        <f>IF(N7=0,0,N7/TrAvia_act!N27)</f>
        <v>163.61889090011519</v>
      </c>
      <c r="O15" s="88">
        <f>IF(O7=0,0,O7/TrAvia_act!O27)</f>
        <v>175.75247524752476</v>
      </c>
      <c r="P15" s="88">
        <f>IF(P7=0,0,P7/TrAvia_act!P27)</f>
        <v>168.24929936305733</v>
      </c>
      <c r="Q15" s="88">
        <f>IF(Q7=0,0,Q7/TrAvia_act!Q27)</f>
        <v>156.97515060240963</v>
      </c>
      <c r="R15" s="88">
        <f>IF(R7=0,0,R7/TrAvia_act!R27)</f>
        <v>159.34631170271768</v>
      </c>
      <c r="S15" s="88">
        <f>IF(S7=0,0,S7/TrAvia_act!S27)</f>
        <v>158.58894625674725</v>
      </c>
      <c r="T15" s="88">
        <f>IF(T7=0,0,T7/TrAvia_act!T27)</f>
        <v>155.8797346458378</v>
      </c>
      <c r="U15" s="88">
        <f>IF(U7=0,0,U7/TrAvia_act!U27)</f>
        <v>157.46630277375516</v>
      </c>
      <c r="V15" s="88">
        <f>IF(V7=0,0,V7/TrAvia_act!V27)</f>
        <v>148.51517982251283</v>
      </c>
      <c r="W15" s="88">
        <f>IF(W7=0,0,W7/TrAvia_act!W27)</f>
        <v>157.07152758525089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0.71169458552571452</v>
      </c>
      <c r="C18" s="25">
        <f>IF(TrAvia_act!C34=0,0,(TrAvia_act!C34/TrAvia_act!C24)/TrAvia_png!C12)</f>
        <v>0.68964416627892455</v>
      </c>
      <c r="D18" s="25">
        <f>IF(TrAvia_act!D34=0,0,(TrAvia_act!D34/TrAvia_act!D24)/TrAvia_png!D12)</f>
        <v>0.71613645239265544</v>
      </c>
      <c r="E18" s="25">
        <f>IF(TrAvia_act!E34=0,0,(TrAvia_act!E34/TrAvia_act!E24)/TrAvia_png!E12)</f>
        <v>0.72604467668921924</v>
      </c>
      <c r="F18" s="25">
        <f>IF(TrAvia_act!F34=0,0,(TrAvia_act!F34/TrAvia_act!F24)/TrAvia_png!F12)</f>
        <v>0.72867816663738405</v>
      </c>
      <c r="G18" s="25">
        <f>IF(TrAvia_act!G34=0,0,(TrAvia_act!G34/TrAvia_act!G24)/TrAvia_png!G12)</f>
        <v>0.7289763549848105</v>
      </c>
      <c r="H18" s="25">
        <f>IF(TrAvia_act!H34=0,0,(TrAvia_act!H34/TrAvia_act!H24)/TrAvia_png!H12)</f>
        <v>0.72763512993116475</v>
      </c>
      <c r="I18" s="25">
        <f>IF(TrAvia_act!I34=0,0,(TrAvia_act!I34/TrAvia_act!I24)/TrAvia_png!I12)</f>
        <v>0.7285861763792375</v>
      </c>
      <c r="J18" s="25">
        <f>IF(TrAvia_act!J34=0,0,(TrAvia_act!J34/TrAvia_act!J24)/TrAvia_png!J12)</f>
        <v>0.73886744896182155</v>
      </c>
      <c r="K18" s="25">
        <f>IF(TrAvia_act!K34=0,0,(TrAvia_act!K34/TrAvia_act!K24)/TrAvia_png!K12)</f>
        <v>0.72226913824538186</v>
      </c>
      <c r="L18" s="25">
        <f>IF(TrAvia_act!L34=0,0,(TrAvia_act!L34/TrAvia_act!L24)/TrAvia_png!L12)</f>
        <v>0.73331335936011766</v>
      </c>
      <c r="M18" s="25">
        <f>IF(TrAvia_act!M34=0,0,(TrAvia_act!M34/TrAvia_act!M24)/TrAvia_png!M12)</f>
        <v>0.74654788792777682</v>
      </c>
      <c r="N18" s="25">
        <f>IF(TrAvia_act!N34=0,0,(TrAvia_act!N34/TrAvia_act!N24)/TrAvia_png!N12)</f>
        <v>0.78715753409474798</v>
      </c>
      <c r="O18" s="25">
        <f>IF(TrAvia_act!O34=0,0,(TrAvia_act!O34/TrAvia_act!O24)/TrAvia_png!O12)</f>
        <v>0.7971498206252986</v>
      </c>
      <c r="P18" s="25">
        <f>IF(TrAvia_act!P34=0,0,(TrAvia_act!P34/TrAvia_act!P24)/TrAvia_png!P12)</f>
        <v>0.79684583436634959</v>
      </c>
      <c r="Q18" s="25">
        <f>IF(TrAvia_act!Q34=0,0,(TrAvia_act!Q34/TrAvia_act!Q24)/TrAvia_png!Q12)</f>
        <v>0.812582748559739</v>
      </c>
      <c r="R18" s="25">
        <f>IF(TrAvia_act!R34=0,0,(TrAvia_act!R34/TrAvia_act!R24)/TrAvia_png!R12)</f>
        <v>0.797267496337417</v>
      </c>
      <c r="S18" s="25">
        <f>IF(TrAvia_act!S34=0,0,(TrAvia_act!S34/TrAvia_act!S24)/TrAvia_png!S12)</f>
        <v>0.83302225697439847</v>
      </c>
      <c r="T18" s="25">
        <f>IF(TrAvia_act!T34=0,0,(TrAvia_act!T34/TrAvia_act!T24)/TrAvia_png!T12)</f>
        <v>0.83245933092969426</v>
      </c>
      <c r="U18" s="25">
        <f>IF(TrAvia_act!U34=0,0,(TrAvia_act!U34/TrAvia_act!U24)/TrAvia_png!U12)</f>
        <v>0.85118416740241787</v>
      </c>
      <c r="V18" s="25">
        <f>IF(TrAvia_act!V34=0,0,(TrAvia_act!V34/TrAvia_act!V24)/TrAvia_png!V12)</f>
        <v>0.67158827994241255</v>
      </c>
      <c r="W18" s="25">
        <f>IF(TrAvia_act!W34=0,0,(TrAvia_act!W34/TrAvia_act!W24)/TrAvia_png!W12)</f>
        <v>0.70884429638558388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0.32681196955811453</v>
      </c>
      <c r="C19" s="89">
        <f>IF(TrAvia_act!C35=0,0,(TrAvia_act!C35/TrAvia_act!C25)/TrAvia_png!C13)</f>
        <v>0.33017038829037371</v>
      </c>
      <c r="D19" s="89">
        <f>IF(TrAvia_act!D35=0,0,(TrAvia_act!D35/TrAvia_act!D25)/TrAvia_png!D13)</f>
        <v>0.33405309067228761</v>
      </c>
      <c r="E19" s="89">
        <f>IF(TrAvia_act!E35=0,0,(TrAvia_act!E35/TrAvia_act!E25)/TrAvia_png!E13)</f>
        <v>0.3425519776876268</v>
      </c>
      <c r="F19" s="89">
        <f>IF(TrAvia_act!F35=0,0,(TrAvia_act!F35/TrAvia_act!F25)/TrAvia_png!F13)</f>
        <v>0.35290714269183593</v>
      </c>
      <c r="G19" s="89">
        <f>IF(TrAvia_act!G35=0,0,(TrAvia_act!G35/TrAvia_act!G25)/TrAvia_png!G13)</f>
        <v>0.36619099305467695</v>
      </c>
      <c r="H19" s="89">
        <f>IF(TrAvia_act!H35=0,0,(TrAvia_act!H35/TrAvia_act!H25)/TrAvia_png!H13)</f>
        <v>0.37837851675498552</v>
      </c>
      <c r="I19" s="89">
        <f>IF(TrAvia_act!I35=0,0,(TrAvia_act!I35/TrAvia_act!I25)/TrAvia_png!I13)</f>
        <v>0.39040768177393542</v>
      </c>
      <c r="J19" s="89">
        <f>IF(TrAvia_act!J35=0,0,(TrAvia_act!J35/TrAvia_act!J25)/TrAvia_png!J13)</f>
        <v>0.47884733094938953</v>
      </c>
      <c r="K19" s="89">
        <f>IF(TrAvia_act!K35=0,0,(TrAvia_act!K35/TrAvia_act!K25)/TrAvia_png!K13)</f>
        <v>0.52495817306863068</v>
      </c>
      <c r="L19" s="89">
        <f>IF(TrAvia_act!L35=0,0,(TrAvia_act!L35/TrAvia_act!L25)/TrAvia_png!L13)</f>
        <v>0.59933075026417748</v>
      </c>
      <c r="M19" s="89">
        <f>IF(TrAvia_act!M35=0,0,(TrAvia_act!M35/TrAvia_act!M25)/TrAvia_png!M13)</f>
        <v>0.58547288625279226</v>
      </c>
      <c r="N19" s="89">
        <f>IF(TrAvia_act!N35=0,0,(TrAvia_act!N35/TrAvia_act!N25)/TrAvia_png!N13)</f>
        <v>0.5925743301079528</v>
      </c>
      <c r="O19" s="89">
        <f>IF(TrAvia_act!O35=0,0,(TrAvia_act!O35/TrAvia_act!O25)/TrAvia_png!O13)</f>
        <v>0.57420386728538553</v>
      </c>
      <c r="P19" s="89">
        <f>IF(TrAvia_act!P35=0,0,(TrAvia_act!P35/TrAvia_act!P25)/TrAvia_png!P13)</f>
        <v>0.58907375217283331</v>
      </c>
      <c r="Q19" s="89">
        <f>IF(TrAvia_act!Q35=0,0,(TrAvia_act!Q35/TrAvia_act!Q25)/TrAvia_png!Q13)</f>
        <v>0.57632522917497009</v>
      </c>
      <c r="R19" s="89">
        <f>IF(TrAvia_act!R35=0,0,(TrAvia_act!R35/TrAvia_act!R25)/TrAvia_png!R13)</f>
        <v>0.57743075958467238</v>
      </c>
      <c r="S19" s="89">
        <f>IF(TrAvia_act!S35=0,0,(TrAvia_act!S35/TrAvia_act!S25)/TrAvia_png!S13)</f>
        <v>0.70939387232427986</v>
      </c>
      <c r="T19" s="89">
        <f>IF(TrAvia_act!T35=0,0,(TrAvia_act!T35/TrAvia_act!T25)/TrAvia_png!T13)</f>
        <v>0.7700117337301815</v>
      </c>
      <c r="U19" s="89">
        <f>IF(TrAvia_act!U35=0,0,(TrAvia_act!U35/TrAvia_act!U25)/TrAvia_png!U13)</f>
        <v>0.78551868304154693</v>
      </c>
      <c r="V19" s="89">
        <f>IF(TrAvia_act!V35=0,0,(TrAvia_act!V35/TrAvia_act!V25)/TrAvia_png!V13)</f>
        <v>0.60931771757842801</v>
      </c>
      <c r="W19" s="89">
        <f>IF(TrAvia_act!W35=0,0,(TrAvia_act!W35/TrAvia_act!W25)/TrAvia_png!W13)</f>
        <v>0.74505837057833835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0.74204017041580295</v>
      </c>
      <c r="C20" s="89">
        <f>IF(TrAvia_act!C36=0,0,(TrAvia_act!C36/TrAvia_act!C26)/TrAvia_png!C14)</f>
        <v>0.74226553304532517</v>
      </c>
      <c r="D20" s="89">
        <f>IF(TrAvia_act!D36=0,0,(TrAvia_act!D36/TrAvia_act!D26)/TrAvia_png!D14)</f>
        <v>0.74275471483902511</v>
      </c>
      <c r="E20" s="89">
        <f>IF(TrAvia_act!E36=0,0,(TrAvia_act!E36/TrAvia_act!E26)/TrAvia_png!E14)</f>
        <v>0.74397507598527224</v>
      </c>
      <c r="F20" s="89">
        <f>IF(TrAvia_act!F36=0,0,(TrAvia_act!F36/TrAvia_act!F26)/TrAvia_png!F14)</f>
        <v>0.74369977578545154</v>
      </c>
      <c r="G20" s="89">
        <f>IF(TrAvia_act!G36=0,0,(TrAvia_act!G36/TrAvia_act!G26)/TrAvia_png!G14)</f>
        <v>0.7440236847016507</v>
      </c>
      <c r="H20" s="89">
        <f>IF(TrAvia_act!H36=0,0,(TrAvia_act!H36/TrAvia_act!H26)/TrAvia_png!H14)</f>
        <v>0.74417514361820125</v>
      </c>
      <c r="I20" s="89">
        <f>IF(TrAvia_act!I36=0,0,(TrAvia_act!I36/TrAvia_act!I26)/TrAvia_png!I14)</f>
        <v>0.74665041116378283</v>
      </c>
      <c r="J20" s="89">
        <f>IF(TrAvia_act!J36=0,0,(TrAvia_act!J36/TrAvia_act!J26)/TrAvia_png!J14)</f>
        <v>0.76066595970430195</v>
      </c>
      <c r="K20" s="89">
        <f>IF(TrAvia_act!K36=0,0,(TrAvia_act!K36/TrAvia_act!K26)/TrAvia_png!K14)</f>
        <v>0.74242897372784833</v>
      </c>
      <c r="L20" s="89">
        <f>IF(TrAvia_act!L36=0,0,(TrAvia_act!L36/TrAvia_act!L26)/TrAvia_png!L14)</f>
        <v>0.74338752432227617</v>
      </c>
      <c r="M20" s="89">
        <f>IF(TrAvia_act!M36=0,0,(TrAvia_act!M36/TrAvia_act!M26)/TrAvia_png!M14)</f>
        <v>0.76262453045153566</v>
      </c>
      <c r="N20" s="89">
        <f>IF(TrAvia_act!N36=0,0,(TrAvia_act!N36/TrAvia_act!N26)/TrAvia_png!N14)</f>
        <v>0.80528297510511104</v>
      </c>
      <c r="O20" s="89">
        <f>IF(TrAvia_act!O36=0,0,(TrAvia_act!O36/TrAvia_act!O26)/TrAvia_png!O14)</f>
        <v>0.81989303298015659</v>
      </c>
      <c r="P20" s="89">
        <f>IF(TrAvia_act!P36=0,0,(TrAvia_act!P36/TrAvia_act!P26)/TrAvia_png!P14)</f>
        <v>0.82185853540543952</v>
      </c>
      <c r="Q20" s="89">
        <f>IF(TrAvia_act!Q36=0,0,(TrAvia_act!Q36/TrAvia_act!Q26)/TrAvia_png!Q14)</f>
        <v>0.8442048804938086</v>
      </c>
      <c r="R20" s="89">
        <f>IF(TrAvia_act!R36=0,0,(TrAvia_act!R36/TrAvia_act!R26)/TrAvia_png!R14)</f>
        <v>0.81733253450214938</v>
      </c>
      <c r="S20" s="89">
        <f>IF(TrAvia_act!S36=0,0,(TrAvia_act!S36/TrAvia_act!S26)/TrAvia_png!S14)</f>
        <v>0.8481051858347971</v>
      </c>
      <c r="T20" s="89">
        <f>IF(TrAvia_act!T36=0,0,(TrAvia_act!T36/TrAvia_act!T26)/TrAvia_png!T14)</f>
        <v>0.84740970040209962</v>
      </c>
      <c r="U20" s="89">
        <f>IF(TrAvia_act!U36=0,0,(TrAvia_act!U36/TrAvia_act!U26)/TrAvia_png!U14)</f>
        <v>0.86876589271124116</v>
      </c>
      <c r="V20" s="89">
        <f>IF(TrAvia_act!V36=0,0,(TrAvia_act!V36/TrAvia_act!V26)/TrAvia_png!V14)</f>
        <v>0.67856026673868475</v>
      </c>
      <c r="W20" s="89">
        <f>IF(TrAvia_act!W36=0,0,(TrAvia_act!W36/TrAvia_act!W26)/TrAvia_png!W14)</f>
        <v>0.71017201351423598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0.76585558064748471</v>
      </c>
      <c r="C21" s="90">
        <f>IF(TrAvia_act!C37=0,0,(TrAvia_act!C37/TrAvia_act!C27)/TrAvia_png!C15)</f>
        <v>0.76542791287536727</v>
      </c>
      <c r="D21" s="90">
        <f>IF(TrAvia_act!D37=0,0,(TrAvia_act!D37/TrAvia_act!D27)/TrAvia_png!D15)</f>
        <v>0.76522587199458181</v>
      </c>
      <c r="E21" s="90">
        <f>IF(TrAvia_act!E37=0,0,(TrAvia_act!E37/TrAvia_act!E27)/TrAvia_png!E15)</f>
        <v>0.76387055749967059</v>
      </c>
      <c r="F21" s="90">
        <f>IF(TrAvia_act!F37=0,0,(TrAvia_act!F37/TrAvia_act!F27)/TrAvia_png!F15)</f>
        <v>0.7613992815210725</v>
      </c>
      <c r="G21" s="90">
        <f>IF(TrAvia_act!G37=0,0,(TrAvia_act!G37/TrAvia_act!G27)/TrAvia_png!G15)</f>
        <v>0.76032116922090109</v>
      </c>
      <c r="H21" s="90">
        <f>IF(TrAvia_act!H37=0,0,(TrAvia_act!H37/TrAvia_act!H27)/TrAvia_png!H15)</f>
        <v>0.75976986469095775</v>
      </c>
      <c r="I21" s="90">
        <f>IF(TrAvia_act!I37=0,0,(TrAvia_act!I37/TrAvia_act!I27)/TrAvia_png!I15)</f>
        <v>0.76252779753138789</v>
      </c>
      <c r="J21" s="90">
        <f>IF(TrAvia_act!J37=0,0,(TrAvia_act!J37/TrAvia_act!J27)/TrAvia_png!J15)</f>
        <v>0.7460271225481182</v>
      </c>
      <c r="K21" s="90">
        <f>IF(TrAvia_act!K37=0,0,(TrAvia_act!K37/TrAvia_act!K27)/TrAvia_png!K15)</f>
        <v>0.72920230557337984</v>
      </c>
      <c r="L21" s="90">
        <f>IF(TrAvia_act!L37=0,0,(TrAvia_act!L37/TrAvia_act!L27)/TrAvia_png!L15)</f>
        <v>0.74608328161687287</v>
      </c>
      <c r="M21" s="90">
        <f>IF(TrAvia_act!M37=0,0,(TrAvia_act!M37/TrAvia_act!M27)/TrAvia_png!M15)</f>
        <v>0.75245717728448414</v>
      </c>
      <c r="N21" s="90">
        <f>IF(TrAvia_act!N37=0,0,(TrAvia_act!N37/TrAvia_act!N27)/TrAvia_png!N15)</f>
        <v>0.80027194683358938</v>
      </c>
      <c r="O21" s="90">
        <f>IF(TrAvia_act!O37=0,0,(TrAvia_act!O37/TrAvia_act!O27)/TrAvia_png!O15)</f>
        <v>0.80199772060512287</v>
      </c>
      <c r="P21" s="90">
        <f>IF(TrAvia_act!P37=0,0,(TrAvia_act!P37/TrAvia_act!P27)/TrAvia_png!P15)</f>
        <v>0.78266251854050373</v>
      </c>
      <c r="Q21" s="90">
        <f>IF(TrAvia_act!Q37=0,0,(TrAvia_act!Q37/TrAvia_act!Q27)/TrAvia_png!Q15)</f>
        <v>0.78552149142373795</v>
      </c>
      <c r="R21" s="90">
        <f>IF(TrAvia_act!R37=0,0,(TrAvia_act!R37/TrAvia_act!R27)/TrAvia_png!R15)</f>
        <v>0.78408598078533553</v>
      </c>
      <c r="S21" s="90">
        <f>IF(TrAvia_act!S37=0,0,(TrAvia_act!S37/TrAvia_act!S27)/TrAvia_png!S15)</f>
        <v>0.81318835807753642</v>
      </c>
      <c r="T21" s="90">
        <f>IF(TrAvia_act!T37=0,0,(TrAvia_act!T37/TrAvia_act!T27)/TrAvia_png!T15)</f>
        <v>0.79223901947486774</v>
      </c>
      <c r="U21" s="90">
        <f>IF(TrAvia_act!U37=0,0,(TrAvia_act!U37/TrAvia_act!U27)/TrAvia_png!U15)</f>
        <v>0.80303202872150392</v>
      </c>
      <c r="V21" s="90">
        <f>IF(TrAvia_act!V37=0,0,(TrAvia_act!V37/TrAvia_act!V27)/TrAvia_png!V15)</f>
        <v>0.66386242770567128</v>
      </c>
      <c r="W21" s="90">
        <f>IF(TrAvia_act!W37=0,0,(TrAvia_act!W37/TrAvia_act!W27)/TrAvia_png!W15)</f>
        <v>0.68333989342643375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4.8931526502868528E-2</v>
      </c>
      <c r="C24" s="23">
        <f>IF(TrAvia_ene!C6=0,0,TrAvia_ene!C6/(C12*TrAvia_act!C14))</f>
        <v>5.6898687448779871E-2</v>
      </c>
      <c r="D24" s="23">
        <f>IF(TrAvia_ene!D6=0,0,TrAvia_ene!D6/(D12*TrAvia_act!D14))</f>
        <v>4.6807720914209143E-2</v>
      </c>
      <c r="E24" s="23">
        <f>IF(TrAvia_ene!E6=0,0,TrAvia_ene!E6/(E12*TrAvia_act!E14))</f>
        <v>4.357717377440077E-2</v>
      </c>
      <c r="F24" s="23">
        <f>IF(TrAvia_ene!F6=0,0,TrAvia_ene!F6/(F12*TrAvia_act!F14))</f>
        <v>4.211962920854196E-2</v>
      </c>
      <c r="G24" s="23">
        <f>IF(TrAvia_ene!G6=0,0,TrAvia_ene!G6/(G12*TrAvia_act!G14))</f>
        <v>4.1632105903158141E-2</v>
      </c>
      <c r="H24" s="23">
        <f>IF(TrAvia_ene!H6=0,0,TrAvia_ene!H6/(H12*TrAvia_act!H14))</f>
        <v>3.5620176181606698E-2</v>
      </c>
      <c r="I24" s="23">
        <f>IF(TrAvia_ene!I6=0,0,TrAvia_ene!I6/(I12*TrAvia_act!I14))</f>
        <v>3.6141405509294011E-2</v>
      </c>
      <c r="J24" s="23">
        <f>IF(TrAvia_ene!J6=0,0,TrAvia_ene!J6/(J12*TrAvia_act!J14))</f>
        <v>3.53797432734572E-2</v>
      </c>
      <c r="K24" s="23">
        <f>IF(TrAvia_ene!K6=0,0,TrAvia_ene!K6/(K12*TrAvia_act!K14))</f>
        <v>2.9730409433688005E-2</v>
      </c>
      <c r="L24" s="23">
        <f>IF(TrAvia_ene!L6=0,0,TrAvia_ene!L6/(L12*TrAvia_act!L14))</f>
        <v>2.8768995800608176E-2</v>
      </c>
      <c r="M24" s="23">
        <f>IF(TrAvia_ene!M6=0,0,TrAvia_ene!M6/(M12*TrAvia_act!M14))</f>
        <v>2.9655807815081141E-2</v>
      </c>
      <c r="N24" s="23">
        <f>IF(TrAvia_ene!N6=0,0,TrAvia_ene!N6/(N12*TrAvia_act!N14))</f>
        <v>2.7592025300341393E-2</v>
      </c>
      <c r="O24" s="23">
        <f>IF(TrAvia_ene!O6=0,0,TrAvia_ene!O6/(O12*TrAvia_act!O14))</f>
        <v>2.5889942937055078E-2</v>
      </c>
      <c r="P24" s="23">
        <f>IF(TrAvia_ene!P6=0,0,TrAvia_ene!P6/(P12*TrAvia_act!P14))</f>
        <v>2.4968895141086175E-2</v>
      </c>
      <c r="Q24" s="23">
        <f>IF(TrAvia_ene!Q6=0,0,TrAvia_ene!Q6/(Q12*TrAvia_act!Q14))</f>
        <v>2.6394767991765121E-2</v>
      </c>
      <c r="R24" s="23">
        <f>IF(TrAvia_ene!R6=0,0,TrAvia_ene!R6/(R12*TrAvia_act!R14))</f>
        <v>2.526451254549671E-2</v>
      </c>
      <c r="S24" s="23">
        <f>IF(TrAvia_ene!S6=0,0,TrAvia_ene!S6/(S12*TrAvia_act!S14))</f>
        <v>2.4533356833968602E-2</v>
      </c>
      <c r="T24" s="23">
        <f>IF(TrAvia_ene!T6=0,0,TrAvia_ene!T6/(T12*TrAvia_act!T14))</f>
        <v>2.3800209288763256E-2</v>
      </c>
      <c r="U24" s="23">
        <f>IF(TrAvia_ene!U6=0,0,TrAvia_ene!U6/(U12*TrAvia_act!U14))</f>
        <v>2.2498926889540392E-2</v>
      </c>
      <c r="V24" s="23">
        <f>IF(TrAvia_ene!V6=0,0,TrAvia_ene!V6/(V12*TrAvia_act!V14))</f>
        <v>3.0802022474406734E-2</v>
      </c>
      <c r="W24" s="23">
        <f>IF(TrAvia_ene!W6=0,0,TrAvia_ene!W6/(W12*TrAvia_act!W14))</f>
        <v>2.8674678330905909E-2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0.59036359604988131</v>
      </c>
      <c r="C25" s="91">
        <f>IF(TrAvia_ene!C7=0,0,TrAvia_ene!C7/(C13*TrAvia_act!C15))</f>
        <v>0.56736982386146095</v>
      </c>
      <c r="D25" s="91">
        <f>IF(TrAvia_ene!D7=0,0,TrAvia_ene!D7/(D13*TrAvia_act!D15))</f>
        <v>0.55023301619883802</v>
      </c>
      <c r="E25" s="91">
        <f>IF(TrAvia_ene!E7=0,0,TrAvia_ene!E7/(E13*TrAvia_act!E15))</f>
        <v>0.5401304209254848</v>
      </c>
      <c r="F25" s="91">
        <f>IF(TrAvia_ene!F7=0,0,TrAvia_ene!F7/(F13*TrAvia_act!F15))</f>
        <v>0.53139543567859038</v>
      </c>
      <c r="G25" s="91">
        <f>IF(TrAvia_ene!G7=0,0,TrAvia_ene!G7/(G13*TrAvia_act!G15))</f>
        <v>0.33127680454472808</v>
      </c>
      <c r="H25" s="91">
        <f>IF(TrAvia_ene!H7=0,0,TrAvia_ene!H7/(H13*TrAvia_act!H15))</f>
        <v>0.41191099269296572</v>
      </c>
      <c r="I25" s="91">
        <f>IF(TrAvia_ene!I7=0,0,TrAvia_ene!I7/(I13*TrAvia_act!I15))</f>
        <v>0.47093902666092646</v>
      </c>
      <c r="J25" s="91">
        <f>IF(TrAvia_ene!J7=0,0,TrAvia_ene!J7/(J13*TrAvia_act!J15))</f>
        <v>0.12097767212587363</v>
      </c>
      <c r="K25" s="91">
        <f>IF(TrAvia_ene!K7=0,0,TrAvia_ene!K7/(K13*TrAvia_act!K15))</f>
        <v>0.19894720552195919</v>
      </c>
      <c r="L25" s="91">
        <f>IF(TrAvia_ene!L7=0,0,TrAvia_ene!L7/(L13*TrAvia_act!L15))</f>
        <v>0.14154380406131364</v>
      </c>
      <c r="M25" s="91">
        <f>IF(TrAvia_ene!M7=0,0,TrAvia_ene!M7/(M13*TrAvia_act!M15))</f>
        <v>0.17026940689757578</v>
      </c>
      <c r="N25" s="91">
        <f>IF(TrAvia_ene!N7=0,0,TrAvia_ene!N7/(N13*TrAvia_act!N15))</f>
        <v>8.7870581512706381E-2</v>
      </c>
      <c r="O25" s="91">
        <f>IF(TrAvia_ene!O7=0,0,TrAvia_ene!O7/(O13*TrAvia_act!O15))</f>
        <v>0.11170752488063158</v>
      </c>
      <c r="P25" s="91">
        <f>IF(TrAvia_ene!P7=0,0,TrAvia_ene!P7/(P13*TrAvia_act!P15))</f>
        <v>9.4824766275676112E-2</v>
      </c>
      <c r="Q25" s="91">
        <f>IF(TrAvia_ene!Q7=0,0,TrAvia_ene!Q7/(Q13*TrAvia_act!Q15))</f>
        <v>0.13122947414413455</v>
      </c>
      <c r="R25" s="91">
        <f>IF(TrAvia_ene!R7=0,0,TrAvia_ene!R7/(R13*TrAvia_act!R15))</f>
        <v>0.19398155658862593</v>
      </c>
      <c r="S25" s="91">
        <f>IF(TrAvia_ene!S7=0,0,TrAvia_ene!S7/(S13*TrAvia_act!S15))</f>
        <v>0.13833834490163535</v>
      </c>
      <c r="T25" s="91">
        <f>IF(TrAvia_ene!T7=0,0,TrAvia_ene!T7/(T13*TrAvia_act!T15))</f>
        <v>0.11491800391259049</v>
      </c>
      <c r="U25" s="91">
        <f>IF(TrAvia_ene!U7=0,0,TrAvia_ene!U7/(U13*TrAvia_act!U15))</f>
        <v>5.2055325160490766E-2</v>
      </c>
      <c r="V25" s="91">
        <f>IF(TrAvia_ene!V7=0,0,TrAvia_ene!V7/(V13*TrAvia_act!V15))</f>
        <v>4.6609271357832084E-2</v>
      </c>
      <c r="W25" s="91">
        <f>IF(TrAvia_ene!W7=0,0,TrAvia_ene!W7/(W13*TrAvia_act!W15))</f>
        <v>4.752751859608241E-2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3.7183067032513235E-2</v>
      </c>
      <c r="C26" s="93">
        <f>IF(TrAvia_ene!C8=0,0,TrAvia_ene!C8/(C14*TrAvia_act!C16))</f>
        <v>3.739013167664694E-2</v>
      </c>
      <c r="D26" s="93">
        <f>IF(TrAvia_ene!D8=0,0,TrAvia_ene!D8/(D14*TrAvia_act!D16))</f>
        <v>3.7205377603900178E-2</v>
      </c>
      <c r="E26" s="93">
        <f>IF(TrAvia_ene!E8=0,0,TrAvia_ene!E8/(E14*TrAvia_act!E16))</f>
        <v>3.6974105743721619E-2</v>
      </c>
      <c r="F26" s="93">
        <f>IF(TrAvia_ene!F8=0,0,TrAvia_ene!F8/(F14*TrAvia_act!F16))</f>
        <v>3.6516849390418819E-2</v>
      </c>
      <c r="G26" s="93">
        <f>IF(TrAvia_ene!G8=0,0,TrAvia_ene!G8/(G14*TrAvia_act!G16))</f>
        <v>3.7286268584658826E-2</v>
      </c>
      <c r="H26" s="93">
        <f>IF(TrAvia_ene!H8=0,0,TrAvia_ene!H8/(H14*TrAvia_act!H16))</f>
        <v>2.9970915850158226E-2</v>
      </c>
      <c r="I26" s="93">
        <f>IF(TrAvia_ene!I8=0,0,TrAvia_ene!I8/(I14*TrAvia_act!I16))</f>
        <v>2.89756397605536E-2</v>
      </c>
      <c r="J26" s="93">
        <f>IF(TrAvia_ene!J8=0,0,TrAvia_ene!J8/(J14*TrAvia_act!J16))</f>
        <v>3.4262457115439009E-2</v>
      </c>
      <c r="K26" s="93">
        <f>IF(TrAvia_ene!K8=0,0,TrAvia_ene!K8/(K14*TrAvia_act!K16))</f>
        <v>2.689010161924775E-2</v>
      </c>
      <c r="L26" s="93">
        <f>IF(TrAvia_ene!L8=0,0,TrAvia_ene!L8/(L14*TrAvia_act!L16))</f>
        <v>2.8473249966275066E-2</v>
      </c>
      <c r="M26" s="93">
        <f>IF(TrAvia_ene!M8=0,0,TrAvia_ene!M8/(M14*TrAvia_act!M16))</f>
        <v>2.850538425778032E-2</v>
      </c>
      <c r="N26" s="93">
        <f>IF(TrAvia_ene!N8=0,0,TrAvia_ene!N8/(N14*TrAvia_act!N16))</f>
        <v>2.874189120927886E-2</v>
      </c>
      <c r="O26" s="93">
        <f>IF(TrAvia_ene!O8=0,0,TrAvia_ene!O8/(O14*TrAvia_act!O16))</f>
        <v>2.803845502620176E-2</v>
      </c>
      <c r="P26" s="93">
        <f>IF(TrAvia_ene!P8=0,0,TrAvia_ene!P8/(P14*TrAvia_act!P16))</f>
        <v>2.8533539868902974E-2</v>
      </c>
      <c r="Q26" s="93">
        <f>IF(TrAvia_ene!Q8=0,0,TrAvia_ene!Q8/(Q14*TrAvia_act!Q16))</f>
        <v>2.8901749451819014E-2</v>
      </c>
      <c r="R26" s="93">
        <f>IF(TrAvia_ene!R8=0,0,TrAvia_ene!R8/(R14*TrAvia_act!R16))</f>
        <v>2.7291967076762645E-2</v>
      </c>
      <c r="S26" s="93">
        <f>IF(TrAvia_ene!S8=0,0,TrAvia_ene!S8/(S14*TrAvia_act!S16))</f>
        <v>2.5374267942092858E-2</v>
      </c>
      <c r="T26" s="93">
        <f>IF(TrAvia_ene!T8=0,0,TrAvia_ene!T8/(T14*TrAvia_act!T16))</f>
        <v>2.4931542061847455E-2</v>
      </c>
      <c r="U26" s="93">
        <f>IF(TrAvia_ene!U8=0,0,TrAvia_ene!U8/(U14*TrAvia_act!U16))</f>
        <v>2.4455402948671566E-2</v>
      </c>
      <c r="V26" s="93">
        <f>IF(TrAvia_ene!V8=0,0,TrAvia_ene!V8/(V14*TrAvia_act!V16))</f>
        <v>2.9216276627994656E-2</v>
      </c>
      <c r="W26" s="93">
        <f>IF(TrAvia_ene!W8=0,0,TrAvia_ene!W8/(W14*TrAvia_act!W16))</f>
        <v>2.9951541361765116E-2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3.8806161764353177E-2</v>
      </c>
      <c r="C27" s="94">
        <f>IF(TrAvia_ene!C9=0,0,TrAvia_ene!C9/(C15*TrAvia_act!C17))</f>
        <v>3.9014488755696325E-2</v>
      </c>
      <c r="D27" s="94">
        <f>IF(TrAvia_ene!D9=0,0,TrAvia_ene!D9/(D15*TrAvia_act!D17))</f>
        <v>3.8867813343033027E-2</v>
      </c>
      <c r="E27" s="94">
        <f>IF(TrAvia_ene!E9=0,0,TrAvia_ene!E9/(E15*TrAvia_act!E17))</f>
        <v>3.8498643688919754E-2</v>
      </c>
      <c r="F27" s="94">
        <f>IF(TrAvia_ene!F9=0,0,TrAvia_ene!F9/(F15*TrAvia_act!F17))</f>
        <v>3.7845200402754672E-2</v>
      </c>
      <c r="G27" s="94">
        <f>IF(TrAvia_ene!G9=0,0,TrAvia_ene!G9/(G15*TrAvia_act!G17))</f>
        <v>4.3828991301840384E-2</v>
      </c>
      <c r="H27" s="94">
        <f>IF(TrAvia_ene!H9=0,0,TrAvia_ene!H9/(H15*TrAvia_act!H17))</f>
        <v>3.6124907240433719E-2</v>
      </c>
      <c r="I27" s="94">
        <f>IF(TrAvia_ene!I9=0,0,TrAvia_ene!I9/(I15*TrAvia_act!I17))</f>
        <v>2.8782948971250281E-2</v>
      </c>
      <c r="J27" s="94">
        <f>IF(TrAvia_ene!J9=0,0,TrAvia_ene!J9/(J15*TrAvia_act!J17))</f>
        <v>2.699589987061753E-2</v>
      </c>
      <c r="K27" s="94">
        <f>IF(TrAvia_ene!K9=0,0,TrAvia_ene!K9/(K15*TrAvia_act!K17))</f>
        <v>2.1108488275906456E-2</v>
      </c>
      <c r="L27" s="94">
        <f>IF(TrAvia_ene!L9=0,0,TrAvia_ene!L9/(L15*TrAvia_act!L17))</f>
        <v>1.8797816621154758E-2</v>
      </c>
      <c r="M27" s="94">
        <f>IF(TrAvia_ene!M9=0,0,TrAvia_ene!M9/(M15*TrAvia_act!M17))</f>
        <v>1.8099729115607362E-2</v>
      </c>
      <c r="N27" s="94">
        <f>IF(TrAvia_ene!N9=0,0,TrAvia_ene!N9/(N15*TrAvia_act!N17))</f>
        <v>1.6508172085398176E-2</v>
      </c>
      <c r="O27" s="94">
        <f>IF(TrAvia_ene!O9=0,0,TrAvia_ene!O9/(O15*TrAvia_act!O17))</f>
        <v>1.3620112804507738E-2</v>
      </c>
      <c r="P27" s="94">
        <f>IF(TrAvia_ene!P9=0,0,TrAvia_ene!P9/(P15*TrAvia_act!P17))</f>
        <v>1.2312543790471864E-2</v>
      </c>
      <c r="Q27" s="94">
        <f>IF(TrAvia_ene!Q9=0,0,TrAvia_ene!Q9/(Q15*TrAvia_act!Q17))</f>
        <v>1.3479328563705234E-2</v>
      </c>
      <c r="R27" s="94">
        <f>IF(TrAvia_ene!R9=0,0,TrAvia_ene!R9/(R15*TrAvia_act!R17))</f>
        <v>1.1940439643196955E-2</v>
      </c>
      <c r="S27" s="94">
        <f>IF(TrAvia_ene!S9=0,0,TrAvia_ene!S9/(S15*TrAvia_act!S17))</f>
        <v>1.3401875236678832E-2</v>
      </c>
      <c r="T27" s="94">
        <f>IF(TrAvia_ene!T9=0,0,TrAvia_ene!T9/(T15*TrAvia_act!T17))</f>
        <v>1.3483157263381756E-2</v>
      </c>
      <c r="U27" s="94">
        <f>IF(TrAvia_ene!U9=0,0,TrAvia_ene!U9/(U15*TrAvia_act!U17))</f>
        <v>1.3192374847715694E-2</v>
      </c>
      <c r="V27" s="94">
        <f>IF(TrAvia_ene!V9=0,0,TrAvia_ene!V9/(V15*TrAvia_act!V17))</f>
        <v>3.472366741696007E-2</v>
      </c>
      <c r="W27" s="94">
        <f>IF(TrAvia_ene!W9=0,0,TrAvia_ene!W9/(W15*TrAvia_act!W17))</f>
        <v>2.0964930673812995E-2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313</v>
      </c>
      <c r="C3" s="54">
        <f t="shared" si="0"/>
        <v>418</v>
      </c>
      <c r="D3" s="54">
        <f t="shared" si="0"/>
        <v>561</v>
      </c>
      <c r="E3" s="54">
        <f t="shared" si="0"/>
        <v>613</v>
      </c>
      <c r="F3" s="54">
        <f t="shared" si="0"/>
        <v>697</v>
      </c>
      <c r="G3" s="54">
        <f t="shared" si="0"/>
        <v>757</v>
      </c>
      <c r="H3" s="54">
        <f t="shared" si="0"/>
        <v>785</v>
      </c>
      <c r="I3" s="54">
        <f t="shared" si="0"/>
        <v>1010.9999999999999</v>
      </c>
      <c r="J3" s="54">
        <f t="shared" si="0"/>
        <v>2890</v>
      </c>
      <c r="K3" s="54">
        <f t="shared" si="0"/>
        <v>5436</v>
      </c>
      <c r="L3" s="54">
        <f t="shared" si="0"/>
        <v>6048</v>
      </c>
      <c r="M3" s="54">
        <f t="shared" si="0"/>
        <v>4310</v>
      </c>
      <c r="N3" s="54">
        <f t="shared" si="0"/>
        <v>5349</v>
      </c>
      <c r="O3" s="54">
        <f t="shared" si="0"/>
        <v>5374</v>
      </c>
      <c r="P3" s="54">
        <f t="shared" si="0"/>
        <v>5074</v>
      </c>
      <c r="Q3" s="54">
        <f t="shared" si="0"/>
        <v>5595</v>
      </c>
      <c r="R3" s="54">
        <f t="shared" ref="R3:V3" si="1">SUM(R4:R5)</f>
        <v>5477</v>
      </c>
      <c r="S3" s="54">
        <f t="shared" si="1"/>
        <v>5279</v>
      </c>
      <c r="T3" s="54">
        <f t="shared" si="1"/>
        <v>4858</v>
      </c>
      <c r="U3" s="54">
        <f t="shared" si="1"/>
        <v>5867</v>
      </c>
      <c r="V3" s="54">
        <f t="shared" si="1"/>
        <v>6256</v>
      </c>
      <c r="W3" s="54">
        <f t="shared" ref="W3" si="2">SUM(W4:W5)</f>
        <v>5792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313</v>
      </c>
      <c r="C5" s="58">
        <v>418</v>
      </c>
      <c r="D5" s="58">
        <v>561</v>
      </c>
      <c r="E5" s="58">
        <v>613</v>
      </c>
      <c r="F5" s="58">
        <v>697</v>
      </c>
      <c r="G5" s="58">
        <v>757</v>
      </c>
      <c r="H5" s="58">
        <v>785</v>
      </c>
      <c r="I5" s="58">
        <v>1010.9999999999999</v>
      </c>
      <c r="J5" s="58">
        <v>2890</v>
      </c>
      <c r="K5" s="58">
        <v>5436</v>
      </c>
      <c r="L5" s="58">
        <v>6048</v>
      </c>
      <c r="M5" s="58">
        <v>4310</v>
      </c>
      <c r="N5" s="58">
        <v>5349</v>
      </c>
      <c r="O5" s="58">
        <v>5374</v>
      </c>
      <c r="P5" s="58">
        <v>5074</v>
      </c>
      <c r="Q5" s="58">
        <v>5595</v>
      </c>
      <c r="R5" s="58">
        <v>5477</v>
      </c>
      <c r="S5" s="58">
        <v>5279</v>
      </c>
      <c r="T5" s="58">
        <v>4858</v>
      </c>
      <c r="U5" s="58">
        <v>5867</v>
      </c>
      <c r="V5" s="58">
        <v>6256</v>
      </c>
      <c r="W5" s="58">
        <v>5792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1.1910000000000001</v>
      </c>
      <c r="C7" s="59">
        <f t="shared" si="3"/>
        <v>1.46</v>
      </c>
      <c r="D7" s="59">
        <f t="shared" si="3"/>
        <v>1.7010000000000001</v>
      </c>
      <c r="E7" s="59">
        <f t="shared" si="3"/>
        <v>1.5009999999999999</v>
      </c>
      <c r="F7" s="59">
        <f t="shared" si="3"/>
        <v>0.875</v>
      </c>
      <c r="G7" s="59">
        <f t="shared" si="3"/>
        <v>0.85799999999999998</v>
      </c>
      <c r="H7" s="59">
        <f t="shared" si="3"/>
        <v>0.89900000000000002</v>
      </c>
      <c r="I7" s="59">
        <f t="shared" si="3"/>
        <v>1.7549999999999999</v>
      </c>
      <c r="J7" s="59">
        <f t="shared" si="3"/>
        <v>4.6399999999999997</v>
      </c>
      <c r="K7" s="59">
        <f t="shared" si="3"/>
        <v>6.0620000000000003</v>
      </c>
      <c r="L7" s="59">
        <f t="shared" si="3"/>
        <v>6.319</v>
      </c>
      <c r="M7" s="59">
        <f t="shared" si="3"/>
        <v>4.734</v>
      </c>
      <c r="N7" s="59">
        <f t="shared" si="3"/>
        <v>5.3860000000000001</v>
      </c>
      <c r="O7" s="59">
        <f t="shared" si="3"/>
        <v>5.0860000000000003</v>
      </c>
      <c r="P7" s="59">
        <f t="shared" si="3"/>
        <v>4.3310000000000004</v>
      </c>
      <c r="Q7" s="59">
        <f t="shared" si="3"/>
        <v>5.2489999999999997</v>
      </c>
      <c r="R7" s="59">
        <f t="shared" ref="R7:V7" si="4">SUM(R8:R9)</f>
        <v>5.0960000000000001</v>
      </c>
      <c r="S7" s="59">
        <f t="shared" si="4"/>
        <v>4.2249999999999996</v>
      </c>
      <c r="T7" s="59">
        <f t="shared" si="4"/>
        <v>4.4320000000000004</v>
      </c>
      <c r="U7" s="59">
        <f t="shared" si="4"/>
        <v>5.2060000000000004</v>
      </c>
      <c r="V7" s="59">
        <f t="shared" si="4"/>
        <v>5.4950000000000001</v>
      </c>
      <c r="W7" s="59">
        <f t="shared" ref="W7" si="5">SUM(W8:W9)</f>
        <v>7.9450000000000003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1.1910000000000001</v>
      </c>
      <c r="C9" s="61">
        <v>1.46</v>
      </c>
      <c r="D9" s="61">
        <v>1.7010000000000001</v>
      </c>
      <c r="E9" s="61">
        <v>1.5009999999999999</v>
      </c>
      <c r="F9" s="61">
        <v>0.875</v>
      </c>
      <c r="G9" s="61">
        <v>0.85799999999999998</v>
      </c>
      <c r="H9" s="61">
        <v>0.89900000000000002</v>
      </c>
      <c r="I9" s="61">
        <v>1.7549999999999999</v>
      </c>
      <c r="J9" s="61">
        <v>4.6399999999999997</v>
      </c>
      <c r="K9" s="61">
        <v>6.0620000000000003</v>
      </c>
      <c r="L9" s="61">
        <v>6.319</v>
      </c>
      <c r="M9" s="61">
        <v>4.734</v>
      </c>
      <c r="N9" s="61">
        <v>5.3860000000000001</v>
      </c>
      <c r="O9" s="61">
        <v>5.0860000000000003</v>
      </c>
      <c r="P9" s="61">
        <v>4.3310000000000004</v>
      </c>
      <c r="Q9" s="61">
        <v>5.2489999999999997</v>
      </c>
      <c r="R9" s="61">
        <v>5.0960000000000001</v>
      </c>
      <c r="S9" s="61">
        <v>4.2249999999999996</v>
      </c>
      <c r="T9" s="61">
        <v>4.4320000000000004</v>
      </c>
      <c r="U9" s="61">
        <v>5.2060000000000004</v>
      </c>
      <c r="V9" s="61">
        <v>5.4950000000000001</v>
      </c>
      <c r="W9" s="61">
        <v>7.9450000000000003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262.80436607892528</v>
      </c>
      <c r="C13" s="62">
        <f t="shared" si="6"/>
        <v>286.30136986301369</v>
      </c>
      <c r="D13" s="62">
        <f t="shared" si="6"/>
        <v>329.80599647266314</v>
      </c>
      <c r="E13" s="62">
        <f t="shared" si="6"/>
        <v>408.39440373084614</v>
      </c>
      <c r="F13" s="62">
        <f t="shared" ref="F13:V13" si="7">IF(F3=0,0,F3/F7)</f>
        <v>796.57142857142856</v>
      </c>
      <c r="G13" s="62">
        <f t="shared" si="7"/>
        <v>882.28438228438233</v>
      </c>
      <c r="H13" s="62">
        <f t="shared" si="7"/>
        <v>873.19243604004453</v>
      </c>
      <c r="I13" s="62">
        <f t="shared" si="7"/>
        <v>576.06837606837598</v>
      </c>
      <c r="J13" s="62">
        <f t="shared" si="7"/>
        <v>622.84482758620697</v>
      </c>
      <c r="K13" s="62">
        <f t="shared" si="7"/>
        <v>896.73375123721542</v>
      </c>
      <c r="L13" s="62">
        <f t="shared" si="7"/>
        <v>957.11346732077857</v>
      </c>
      <c r="M13" s="62">
        <f t="shared" si="7"/>
        <v>910.43514997887621</v>
      </c>
      <c r="N13" s="62">
        <f t="shared" si="7"/>
        <v>993.13033791310806</v>
      </c>
      <c r="O13" s="62">
        <f t="shared" si="7"/>
        <v>1056.6260322453795</v>
      </c>
      <c r="P13" s="62">
        <f t="shared" si="7"/>
        <v>1171.5539136458092</v>
      </c>
      <c r="Q13" s="62">
        <f t="shared" si="7"/>
        <v>1065.9173175843018</v>
      </c>
      <c r="R13" s="62">
        <f t="shared" si="7"/>
        <v>1074.7645211930926</v>
      </c>
      <c r="S13" s="62">
        <f t="shared" si="7"/>
        <v>1249.467455621302</v>
      </c>
      <c r="T13" s="62">
        <f t="shared" si="7"/>
        <v>1096.119133574007</v>
      </c>
      <c r="U13" s="62">
        <f t="shared" si="7"/>
        <v>1126.9688820591625</v>
      </c>
      <c r="V13" s="62">
        <f t="shared" si="7"/>
        <v>1138.4895359417653</v>
      </c>
      <c r="W13" s="62">
        <f t="shared" ref="W13" si="8">IF(W3=0,0,W3/W7)</f>
        <v>729.01195720578983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262.80436607892528</v>
      </c>
      <c r="C15" s="64">
        <f t="shared" si="6"/>
        <v>286.30136986301369</v>
      </c>
      <c r="D15" s="64">
        <f t="shared" si="6"/>
        <v>329.80599647266314</v>
      </c>
      <c r="E15" s="64">
        <f t="shared" si="6"/>
        <v>408.39440373084614</v>
      </c>
      <c r="F15" s="64">
        <f t="shared" ref="F15:V15" si="11">IF(F5=0,0,F5/F9)</f>
        <v>796.57142857142856</v>
      </c>
      <c r="G15" s="64">
        <f t="shared" si="11"/>
        <v>882.28438228438233</v>
      </c>
      <c r="H15" s="64">
        <f t="shared" si="11"/>
        <v>873.19243604004453</v>
      </c>
      <c r="I15" s="64">
        <f t="shared" si="11"/>
        <v>576.06837606837598</v>
      </c>
      <c r="J15" s="64">
        <f t="shared" si="11"/>
        <v>622.84482758620697</v>
      </c>
      <c r="K15" s="64">
        <f t="shared" si="11"/>
        <v>896.73375123721542</v>
      </c>
      <c r="L15" s="64">
        <f t="shared" si="11"/>
        <v>957.11346732077857</v>
      </c>
      <c r="M15" s="64">
        <f t="shared" si="11"/>
        <v>910.43514997887621</v>
      </c>
      <c r="N15" s="64">
        <f t="shared" si="11"/>
        <v>993.13033791310806</v>
      </c>
      <c r="O15" s="64">
        <f t="shared" si="11"/>
        <v>1056.6260322453795</v>
      </c>
      <c r="P15" s="64">
        <f t="shared" si="11"/>
        <v>1171.5539136458092</v>
      </c>
      <c r="Q15" s="64">
        <f t="shared" si="11"/>
        <v>1065.9173175843018</v>
      </c>
      <c r="R15" s="64">
        <f t="shared" si="11"/>
        <v>1074.7645211930926</v>
      </c>
      <c r="S15" s="64">
        <f t="shared" si="11"/>
        <v>1249.467455621302</v>
      </c>
      <c r="T15" s="64">
        <f t="shared" si="11"/>
        <v>1096.119133574007</v>
      </c>
      <c r="U15" s="64">
        <f t="shared" si="11"/>
        <v>1126.9688820591625</v>
      </c>
      <c r="V15" s="64">
        <f t="shared" si="11"/>
        <v>1138.4895359417653</v>
      </c>
      <c r="W15" s="64">
        <f t="shared" ref="W15" si="12">IF(W5=0,0,W5/W9)</f>
        <v>729.01195720578983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2.54</v>
      </c>
      <c r="C3" s="62">
        <f t="shared" ref="C3:V3" si="0">SUM(C4,C10)</f>
        <v>3.4260000000000002</v>
      </c>
      <c r="D3" s="62">
        <f t="shared" si="0"/>
        <v>4.359</v>
      </c>
      <c r="E3" s="62">
        <f t="shared" si="0"/>
        <v>5.3079999999999998</v>
      </c>
      <c r="F3" s="62">
        <f t="shared" si="0"/>
        <v>9.4789999999999992</v>
      </c>
      <c r="G3" s="62">
        <f t="shared" si="0"/>
        <v>10.201000000000001</v>
      </c>
      <c r="H3" s="62">
        <f t="shared" si="0"/>
        <v>9.5920000000000005</v>
      </c>
      <c r="I3" s="62">
        <f t="shared" si="0"/>
        <v>8.9860000000000007</v>
      </c>
      <c r="J3" s="62">
        <f t="shared" si="0"/>
        <v>26.782</v>
      </c>
      <c r="K3" s="62">
        <f t="shared" si="0"/>
        <v>55.124000000000002</v>
      </c>
      <c r="L3" s="62">
        <f t="shared" si="0"/>
        <v>57.180999999999997</v>
      </c>
      <c r="M3" s="62">
        <f t="shared" si="0"/>
        <v>44.201999999999998</v>
      </c>
      <c r="N3" s="62">
        <f t="shared" si="0"/>
        <v>51.215000000000003</v>
      </c>
      <c r="O3" s="62">
        <f t="shared" si="0"/>
        <v>50.899000000000001</v>
      </c>
      <c r="P3" s="62">
        <f t="shared" si="0"/>
        <v>52.747999999999998</v>
      </c>
      <c r="Q3" s="62">
        <f t="shared" si="0"/>
        <v>65.171000000000006</v>
      </c>
      <c r="R3" s="62">
        <f t="shared" si="0"/>
        <v>62.234999999999999</v>
      </c>
      <c r="S3" s="62">
        <f t="shared" si="0"/>
        <v>60.795000000000002</v>
      </c>
      <c r="T3" s="62">
        <f t="shared" si="0"/>
        <v>68.445999999999998</v>
      </c>
      <c r="U3" s="62">
        <f t="shared" si="0"/>
        <v>80.730999999999995</v>
      </c>
      <c r="V3" s="62">
        <f t="shared" si="0"/>
        <v>87.353999999999999</v>
      </c>
      <c r="W3" s="62">
        <f t="shared" ref="W3" si="1">SUM(W4,W10)</f>
        <v>0.11926053310404131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2.54</v>
      </c>
      <c r="C10" s="71">
        <f t="shared" ref="C10:V10" si="4">SUM(C11:C15)</f>
        <v>3.4260000000000002</v>
      </c>
      <c r="D10" s="71">
        <f t="shared" si="4"/>
        <v>4.359</v>
      </c>
      <c r="E10" s="71">
        <f t="shared" si="4"/>
        <v>5.3079999999999998</v>
      </c>
      <c r="F10" s="71">
        <f t="shared" si="4"/>
        <v>9.4789999999999992</v>
      </c>
      <c r="G10" s="71">
        <f t="shared" si="4"/>
        <v>10.201000000000001</v>
      </c>
      <c r="H10" s="71">
        <f t="shared" si="4"/>
        <v>9.5920000000000005</v>
      </c>
      <c r="I10" s="71">
        <f t="shared" si="4"/>
        <v>8.9860000000000007</v>
      </c>
      <c r="J10" s="71">
        <f t="shared" si="4"/>
        <v>26.782</v>
      </c>
      <c r="K10" s="71">
        <f t="shared" si="4"/>
        <v>55.124000000000002</v>
      </c>
      <c r="L10" s="71">
        <f t="shared" si="4"/>
        <v>57.180999999999997</v>
      </c>
      <c r="M10" s="71">
        <f t="shared" si="4"/>
        <v>44.201999999999998</v>
      </c>
      <c r="N10" s="71">
        <f t="shared" si="4"/>
        <v>51.215000000000003</v>
      </c>
      <c r="O10" s="71">
        <f t="shared" si="4"/>
        <v>50.899000000000001</v>
      </c>
      <c r="P10" s="71">
        <f t="shared" si="4"/>
        <v>52.747999999999998</v>
      </c>
      <c r="Q10" s="71">
        <f t="shared" si="4"/>
        <v>65.171000000000006</v>
      </c>
      <c r="R10" s="71">
        <f t="shared" si="4"/>
        <v>62.234999999999999</v>
      </c>
      <c r="S10" s="71">
        <f t="shared" si="4"/>
        <v>60.795000000000002</v>
      </c>
      <c r="T10" s="71">
        <f t="shared" si="4"/>
        <v>68.445999999999998</v>
      </c>
      <c r="U10" s="71">
        <f t="shared" si="4"/>
        <v>80.730999999999995</v>
      </c>
      <c r="V10" s="71">
        <f t="shared" si="4"/>
        <v>87.353999999999999</v>
      </c>
      <c r="W10" s="71">
        <f t="shared" ref="W10" si="5">SUM(W11:W15)</f>
        <v>0.11926053310404131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2.54</v>
      </c>
      <c r="C11" s="73">
        <v>3.4260000000000002</v>
      </c>
      <c r="D11" s="73">
        <v>4.359</v>
      </c>
      <c r="E11" s="73">
        <v>5.3079999999999998</v>
      </c>
      <c r="F11" s="73">
        <v>9.4789999999999992</v>
      </c>
      <c r="G11" s="73">
        <v>10.201000000000001</v>
      </c>
      <c r="H11" s="73">
        <v>9.5920000000000005</v>
      </c>
      <c r="I11" s="73">
        <v>8.9860000000000007</v>
      </c>
      <c r="J11" s="73">
        <v>26.782</v>
      </c>
      <c r="K11" s="73">
        <v>55.124000000000002</v>
      </c>
      <c r="L11" s="73">
        <v>57.180999999999997</v>
      </c>
      <c r="M11" s="73">
        <v>44.201999999999998</v>
      </c>
      <c r="N11" s="73">
        <v>51.215000000000003</v>
      </c>
      <c r="O11" s="73">
        <v>50.899000000000001</v>
      </c>
      <c r="P11" s="73">
        <v>52.747999999999998</v>
      </c>
      <c r="Q11" s="73">
        <v>65.171000000000006</v>
      </c>
      <c r="R11" s="73">
        <v>62.234999999999999</v>
      </c>
      <c r="S11" s="73">
        <v>60.795000000000002</v>
      </c>
      <c r="T11" s="73">
        <v>68.445999999999998</v>
      </c>
      <c r="U11" s="73">
        <v>80.730999999999995</v>
      </c>
      <c r="V11" s="73">
        <v>87.353999999999999</v>
      </c>
      <c r="W11" s="73">
        <v>0.11926053310404131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213.26616288832915</v>
      </c>
      <c r="C19" s="62">
        <f>IF(C3=0,0,C3/TrNavi_act!C7*100)</f>
        <v>234.65753424657535</v>
      </c>
      <c r="D19" s="62">
        <f>IF(D3=0,0,D3/TrNavi_act!D7*100)</f>
        <v>256.26102292768962</v>
      </c>
      <c r="E19" s="62">
        <f>IF(E3=0,0,E3/TrNavi_act!E7*100)</f>
        <v>353.63091272485013</v>
      </c>
      <c r="F19" s="62">
        <f>IF(F3=0,0,F3/TrNavi_act!F7*100)</f>
        <v>1083.3142857142857</v>
      </c>
      <c r="G19" s="62">
        <f>IF(G3=0,0,G3/TrNavi_act!G7*100)</f>
        <v>1188.927738927739</v>
      </c>
      <c r="H19" s="62">
        <f>IF(H3=0,0,H3/TrNavi_act!H7*100)</f>
        <v>1066.9632925472747</v>
      </c>
      <c r="I19" s="62">
        <f>IF(I3=0,0,I3/TrNavi_act!I7*100)</f>
        <v>512.02279202279215</v>
      </c>
      <c r="J19" s="62">
        <f>IF(J3=0,0,J3/TrNavi_act!J7*100)</f>
        <v>577.19827586206907</v>
      </c>
      <c r="K19" s="62">
        <f>IF(K3=0,0,K3/TrNavi_act!K7*100)</f>
        <v>909.33685252391945</v>
      </c>
      <c r="L19" s="62">
        <f>IF(L3=0,0,L3/TrNavi_act!L7*100)</f>
        <v>904.90583953157147</v>
      </c>
      <c r="M19" s="62">
        <f>IF(M3=0,0,M3/TrNavi_act!M7*100)</f>
        <v>933.71356147021538</v>
      </c>
      <c r="N19" s="62">
        <f>IF(N3=0,0,N3/TrNavi_act!N7*100)</f>
        <v>950.89119940586716</v>
      </c>
      <c r="O19" s="62">
        <f>IF(O3=0,0,O3/TrNavi_act!O7*100)</f>
        <v>1000.7668108533228</v>
      </c>
      <c r="P19" s="62">
        <f>IF(P3=0,0,P3/TrNavi_act!P7*100)</f>
        <v>1217.9173401062108</v>
      </c>
      <c r="Q19" s="62">
        <f>IF(Q3=0,0,Q3/TrNavi_act!Q7*100)</f>
        <v>1241.5888740712519</v>
      </c>
      <c r="R19" s="62">
        <f>IF(R3=0,0,R3/TrNavi_act!R7*100)</f>
        <v>1221.2519623233909</v>
      </c>
      <c r="S19" s="62">
        <f>IF(S3=0,0,S3/TrNavi_act!S7*100)</f>
        <v>1438.9349112426037</v>
      </c>
      <c r="T19" s="62">
        <f>IF(T3=0,0,T3/TrNavi_act!T7*100)</f>
        <v>1544.359205776173</v>
      </c>
      <c r="U19" s="62">
        <f>IF(U3=0,0,U3/TrNavi_act!U7*100)</f>
        <v>1550.729927007299</v>
      </c>
      <c r="V19" s="62">
        <f>IF(V3=0,0,V3/TrNavi_act!V7*100)</f>
        <v>1589.6997270245677</v>
      </c>
      <c r="W19" s="62">
        <f>IF(W3=0,0,W3/TrNavi_act!W7*100)</f>
        <v>1.5010765651861713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213.26616288832915</v>
      </c>
      <c r="C21" s="64">
        <f>IF(C10=0,0,C10/TrNavi_act!C9*100)</f>
        <v>234.65753424657535</v>
      </c>
      <c r="D21" s="64">
        <f>IF(D10=0,0,D10/TrNavi_act!D9*100)</f>
        <v>256.26102292768962</v>
      </c>
      <c r="E21" s="64">
        <f>IF(E10=0,0,E10/TrNavi_act!E9*100)</f>
        <v>353.63091272485013</v>
      </c>
      <c r="F21" s="64">
        <f>IF(F10=0,0,F10/TrNavi_act!F9*100)</f>
        <v>1083.3142857142857</v>
      </c>
      <c r="G21" s="64">
        <f>IF(G10=0,0,G10/TrNavi_act!G9*100)</f>
        <v>1188.927738927739</v>
      </c>
      <c r="H21" s="64">
        <f>IF(H10=0,0,H10/TrNavi_act!H9*100)</f>
        <v>1066.9632925472747</v>
      </c>
      <c r="I21" s="64">
        <f>IF(I10=0,0,I10/TrNavi_act!I9*100)</f>
        <v>512.02279202279215</v>
      </c>
      <c r="J21" s="64">
        <f>IF(J10=0,0,J10/TrNavi_act!J9*100)</f>
        <v>577.19827586206907</v>
      </c>
      <c r="K21" s="64">
        <f>IF(K10=0,0,K10/TrNavi_act!K9*100)</f>
        <v>909.33685252391945</v>
      </c>
      <c r="L21" s="64">
        <f>IF(L10=0,0,L10/TrNavi_act!L9*100)</f>
        <v>904.90583953157147</v>
      </c>
      <c r="M21" s="64">
        <f>IF(M10=0,0,M10/TrNavi_act!M9*100)</f>
        <v>933.71356147021538</v>
      </c>
      <c r="N21" s="64">
        <f>IF(N10=0,0,N10/TrNavi_act!N9*100)</f>
        <v>950.89119940586716</v>
      </c>
      <c r="O21" s="64">
        <f>IF(O10=0,0,O10/TrNavi_act!O9*100)</f>
        <v>1000.7668108533228</v>
      </c>
      <c r="P21" s="64">
        <f>IF(P10=0,0,P10/TrNavi_act!P9*100)</f>
        <v>1217.9173401062108</v>
      </c>
      <c r="Q21" s="64">
        <f>IF(Q10=0,0,Q10/TrNavi_act!Q9*100)</f>
        <v>1241.5888740712519</v>
      </c>
      <c r="R21" s="64">
        <f>IF(R10=0,0,R10/TrNavi_act!R9*100)</f>
        <v>1221.2519623233909</v>
      </c>
      <c r="S21" s="64">
        <f>IF(S10=0,0,S10/TrNavi_act!S9*100)</f>
        <v>1438.9349112426037</v>
      </c>
      <c r="T21" s="64">
        <f>IF(T10=0,0,T10/TrNavi_act!T9*100)</f>
        <v>1544.359205776173</v>
      </c>
      <c r="U21" s="64">
        <f>IF(U10=0,0,U10/TrNavi_act!U9*100)</f>
        <v>1550.729927007299</v>
      </c>
      <c r="V21" s="64">
        <f>IF(V10=0,0,V10/TrNavi_act!V9*100)</f>
        <v>1589.6997270245677</v>
      </c>
      <c r="W21" s="64">
        <f>IF(W10=0,0,W10/TrNavi_act!W9*100)</f>
        <v>1.5010765651861713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8.1150159744408938</v>
      </c>
      <c r="C23" s="62">
        <f>IF(C3=0,0,C3/TrNavi_act!C3*1000)</f>
        <v>8.196172248803828</v>
      </c>
      <c r="D23" s="62">
        <f>IF(D3=0,0,D3/TrNavi_act!D3*1000)</f>
        <v>7.7700534759358284</v>
      </c>
      <c r="E23" s="62">
        <f>IF(E3=0,0,E3/TrNavi_act!E3*1000)</f>
        <v>8.6590538336052187</v>
      </c>
      <c r="F23" s="62">
        <f>IF(F3=0,0,F3/TrNavi_act!F3*1000)</f>
        <v>13.599713055954087</v>
      </c>
      <c r="G23" s="62">
        <f>IF(G3=0,0,G3/TrNavi_act!G3*1000)</f>
        <v>13.47556142668428</v>
      </c>
      <c r="H23" s="62">
        <f>IF(H3=0,0,H3/TrNavi_act!H3*1000)</f>
        <v>12.219108280254778</v>
      </c>
      <c r="I23" s="62">
        <f>IF(I3=0,0,I3/TrNavi_act!I3*1000)</f>
        <v>8.8882294757665701</v>
      </c>
      <c r="J23" s="62">
        <f>IF(J3=0,0,J3/TrNavi_act!J3*1000)</f>
        <v>9.267128027681661</v>
      </c>
      <c r="K23" s="62">
        <f>IF(K3=0,0,K3/TrNavi_act!K3*1000)</f>
        <v>10.140544518027962</v>
      </c>
      <c r="L23" s="62">
        <f>IF(L3=0,0,L3/TrNavi_act!L3*1000)</f>
        <v>9.4545304232804224</v>
      </c>
      <c r="M23" s="62">
        <f>IF(M3=0,0,M3/TrNavi_act!M3*1000)</f>
        <v>10.255684454756379</v>
      </c>
      <c r="N23" s="62">
        <f>IF(N3=0,0,N3/TrNavi_act!N3*1000)</f>
        <v>9.5746868573565163</v>
      </c>
      <c r="O23" s="62">
        <f>IF(O3=0,0,O3/TrNavi_act!O3*1000)</f>
        <v>9.471343505768516</v>
      </c>
      <c r="P23" s="62">
        <f>IF(P3=0,0,P3/TrNavi_act!P3*1000)</f>
        <v>10.395743003547496</v>
      </c>
      <c r="Q23" s="62">
        <f>IF(Q3=0,0,Q3/TrNavi_act!Q3*1000)</f>
        <v>11.648078641644327</v>
      </c>
      <c r="R23" s="62">
        <f>IF(R3=0,0,R3/TrNavi_act!R3*1000)</f>
        <v>11.362972430162499</v>
      </c>
      <c r="S23" s="62">
        <f>IF(S3=0,0,S3/TrNavi_act!S3*1000)</f>
        <v>11.516385679105891</v>
      </c>
      <c r="T23" s="62">
        <f>IF(T3=0,0,T3/TrNavi_act!T3*1000)</f>
        <v>14.089337175792506</v>
      </c>
      <c r="U23" s="62">
        <f>IF(U3=0,0,U3/TrNavi_act!U3*1000)</f>
        <v>13.760184080449973</v>
      </c>
      <c r="V23" s="62">
        <f>IF(V3=0,0,V3/TrNavi_act!V3*1000)</f>
        <v>13.963235294117647</v>
      </c>
      <c r="W23" s="62">
        <f>IF(W3=0,0,W3/TrNavi_act!W3*1000)</f>
        <v>2.0590561654703264E-2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8.1150159744408938</v>
      </c>
      <c r="C25" s="64">
        <f>IF(C10=0,0,C10/TrNavi_act!C5*1000)</f>
        <v>8.196172248803828</v>
      </c>
      <c r="D25" s="64">
        <f>IF(D10=0,0,D10/TrNavi_act!D5*1000)</f>
        <v>7.7700534759358284</v>
      </c>
      <c r="E25" s="64">
        <f>IF(E10=0,0,E10/TrNavi_act!E5*1000)</f>
        <v>8.6590538336052187</v>
      </c>
      <c r="F25" s="64">
        <f>IF(F10=0,0,F10/TrNavi_act!F5*1000)</f>
        <v>13.599713055954087</v>
      </c>
      <c r="G25" s="64">
        <f>IF(G10=0,0,G10/TrNavi_act!G5*1000)</f>
        <v>13.47556142668428</v>
      </c>
      <c r="H25" s="64">
        <f>IF(H10=0,0,H10/TrNavi_act!H5*1000)</f>
        <v>12.219108280254778</v>
      </c>
      <c r="I25" s="64">
        <f>IF(I10=0,0,I10/TrNavi_act!I5*1000)</f>
        <v>8.8882294757665701</v>
      </c>
      <c r="J25" s="64">
        <f>IF(J10=0,0,J10/TrNavi_act!J5*1000)</f>
        <v>9.267128027681661</v>
      </c>
      <c r="K25" s="64">
        <f>IF(K10=0,0,K10/TrNavi_act!K5*1000)</f>
        <v>10.140544518027962</v>
      </c>
      <c r="L25" s="64">
        <f>IF(L10=0,0,L10/TrNavi_act!L5*1000)</f>
        <v>9.4545304232804224</v>
      </c>
      <c r="M25" s="64">
        <f>IF(M10=0,0,M10/TrNavi_act!M5*1000)</f>
        <v>10.255684454756379</v>
      </c>
      <c r="N25" s="64">
        <f>IF(N10=0,0,N10/TrNavi_act!N5*1000)</f>
        <v>9.5746868573565163</v>
      </c>
      <c r="O25" s="64">
        <f>IF(O10=0,0,O10/TrNavi_act!O5*1000)</f>
        <v>9.471343505768516</v>
      </c>
      <c r="P25" s="64">
        <f>IF(P10=0,0,P10/TrNavi_act!P5*1000)</f>
        <v>10.395743003547496</v>
      </c>
      <c r="Q25" s="64">
        <f>IF(Q10=0,0,Q10/TrNavi_act!Q5*1000)</f>
        <v>11.648078641644327</v>
      </c>
      <c r="R25" s="64">
        <f>IF(R10=0,0,R10/TrNavi_act!R5*1000)</f>
        <v>11.362972430162499</v>
      </c>
      <c r="S25" s="64">
        <f>IF(S10=0,0,S10/TrNavi_act!S5*1000)</f>
        <v>11.516385679105891</v>
      </c>
      <c r="T25" s="64">
        <f>IF(T10=0,0,T10/TrNavi_act!T5*1000)</f>
        <v>14.089337175792506</v>
      </c>
      <c r="U25" s="64">
        <f>IF(U10=0,0,U10/TrNavi_act!U5*1000)</f>
        <v>13.760184080449973</v>
      </c>
      <c r="V25" s="64">
        <f>IF(V10=0,0,V10/TrNavi_act!V5*1000)</f>
        <v>13.963235294117647</v>
      </c>
      <c r="W25" s="64">
        <f>IF(W10=0,0,W10/TrNavi_act!W5*1000)</f>
        <v>2.0590561654703264E-2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7.8801437520000004</v>
      </c>
      <c r="C3" s="54">
        <f t="shared" ref="C3:V3" si="1">SUM(C4:C5)</f>
        <v>10.628886808800001</v>
      </c>
      <c r="D3" s="54">
        <f t="shared" si="1"/>
        <v>13.523443549200001</v>
      </c>
      <c r="E3" s="54">
        <f t="shared" si="1"/>
        <v>16.467638990400001</v>
      </c>
      <c r="F3" s="54">
        <f t="shared" si="1"/>
        <v>29.4078278052</v>
      </c>
      <c r="G3" s="54">
        <f t="shared" si="1"/>
        <v>31.647774178800002</v>
      </c>
      <c r="H3" s="54">
        <f t="shared" si="1"/>
        <v>29.758401129600003</v>
      </c>
      <c r="I3" s="54">
        <f t="shared" si="1"/>
        <v>27.878335336800003</v>
      </c>
      <c r="J3" s="54">
        <f t="shared" si="1"/>
        <v>83.088980301600003</v>
      </c>
      <c r="K3" s="54">
        <f t="shared" si="1"/>
        <v>171.01773393120001</v>
      </c>
      <c r="L3" s="54">
        <f t="shared" si="1"/>
        <v>177.39940940279999</v>
      </c>
      <c r="M3" s="54">
        <f t="shared" si="1"/>
        <v>137.1331157976</v>
      </c>
      <c r="N3" s="54">
        <f t="shared" si="1"/>
        <v>158.89037884200002</v>
      </c>
      <c r="O3" s="54">
        <f t="shared" si="1"/>
        <v>157.91001450120001</v>
      </c>
      <c r="P3" s="54">
        <f t="shared" si="1"/>
        <v>163.64638686239999</v>
      </c>
      <c r="Q3" s="54">
        <f t="shared" si="1"/>
        <v>202.18773561480003</v>
      </c>
      <c r="R3" s="54">
        <f t="shared" si="1"/>
        <v>193.07903401800002</v>
      </c>
      <c r="S3" s="54">
        <f t="shared" si="1"/>
        <v>188.61155094600002</v>
      </c>
      <c r="T3" s="54">
        <f t="shared" si="1"/>
        <v>212.34815718480002</v>
      </c>
      <c r="U3" s="54">
        <f t="shared" si="1"/>
        <v>250.4613721428</v>
      </c>
      <c r="V3" s="54">
        <f t="shared" si="1"/>
        <v>271.00869185520003</v>
      </c>
      <c r="W3" s="54">
        <f t="shared" ref="W3" si="2">SUM(W4:W5)</f>
        <v>0.36999612000000009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7.8801437520000004</v>
      </c>
      <c r="C5" s="58">
        <v>10.628886808800001</v>
      </c>
      <c r="D5" s="58">
        <v>13.523443549200001</v>
      </c>
      <c r="E5" s="58">
        <v>16.467638990400001</v>
      </c>
      <c r="F5" s="58">
        <v>29.4078278052</v>
      </c>
      <c r="G5" s="58">
        <v>31.647774178800002</v>
      </c>
      <c r="H5" s="58">
        <v>29.758401129600003</v>
      </c>
      <c r="I5" s="58">
        <v>27.878335336800003</v>
      </c>
      <c r="J5" s="58">
        <v>83.088980301600003</v>
      </c>
      <c r="K5" s="58">
        <v>171.01773393120001</v>
      </c>
      <c r="L5" s="58">
        <v>177.39940940279999</v>
      </c>
      <c r="M5" s="58">
        <v>137.1331157976</v>
      </c>
      <c r="N5" s="58">
        <v>158.89037884200002</v>
      </c>
      <c r="O5" s="58">
        <v>157.91001450120001</v>
      </c>
      <c r="P5" s="58">
        <v>163.64638686239999</v>
      </c>
      <c r="Q5" s="58">
        <v>202.18773561480003</v>
      </c>
      <c r="R5" s="58">
        <v>193.07903401800002</v>
      </c>
      <c r="S5" s="58">
        <v>188.61155094600002</v>
      </c>
      <c r="T5" s="58">
        <v>212.34815718480002</v>
      </c>
      <c r="U5" s="58">
        <v>250.4613721428</v>
      </c>
      <c r="V5" s="58">
        <v>271.00869185520003</v>
      </c>
      <c r="W5" s="58">
        <v>0.36999612000000009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6616.4095314861461</v>
      </c>
      <c r="C13" s="54">
        <f>IF(C3=0,0,C3/TrNavi_act!C7*1000)</f>
        <v>7280.0594580821926</v>
      </c>
      <c r="D13" s="54">
        <f>IF(D3=0,0,D3/TrNavi_act!D7*1000)</f>
        <v>7950.2901523809533</v>
      </c>
      <c r="E13" s="54">
        <f>IF(E3=0,0,E3/TrNavi_act!E7*1000)</f>
        <v>10971.111918987344</v>
      </c>
      <c r="F13" s="54">
        <f>IF(F3=0,0,F3/TrNavi_act!F7*1000)</f>
        <v>33608.946063085721</v>
      </c>
      <c r="G13" s="54">
        <f>IF(G3=0,0,G3/TrNavi_act!G7*1000)</f>
        <v>36885.517690909095</v>
      </c>
      <c r="H13" s="54">
        <f>IF(H3=0,0,H3/TrNavi_act!H7*1000)</f>
        <v>33101.669777085655</v>
      </c>
      <c r="I13" s="54">
        <f>IF(I3=0,0,I3/TrNavi_act!I7*1000)</f>
        <v>15885.091360000002</v>
      </c>
      <c r="J13" s="54">
        <f>IF(J3=0,0,J3/TrNavi_act!J7*1000)</f>
        <v>17907.107823620692</v>
      </c>
      <c r="K13" s="54">
        <f>IF(K3=0,0,K3/TrNavi_act!K7*1000)</f>
        <v>28211.437468030355</v>
      </c>
      <c r="L13" s="54">
        <f>IF(L3=0,0,L3/TrNavi_act!L7*1000)</f>
        <v>28073.968887925304</v>
      </c>
      <c r="M13" s="54">
        <f>IF(M3=0,0,M3/TrNavi_act!M7*1000)</f>
        <v>28967.705069201522</v>
      </c>
      <c r="N13" s="54">
        <f>IF(N3=0,0,N3/TrNavi_act!N7*1000)</f>
        <v>29500.627337913113</v>
      </c>
      <c r="O13" s="54">
        <f>IF(O3=0,0,O3/TrNavi_act!O7*1000)</f>
        <v>31047.977684073929</v>
      </c>
      <c r="P13" s="54">
        <f>IF(P3=0,0,P3/TrNavi_act!P7*1000)</f>
        <v>37784.896527915022</v>
      </c>
      <c r="Q13" s="54">
        <f>IF(Q3=0,0,Q3/TrNavi_act!Q7*1000)</f>
        <v>38519.286647894842</v>
      </c>
      <c r="R13" s="54">
        <f>IF(R3=0,0,R3/TrNavi_act!R7*1000)</f>
        <v>37888.350474489795</v>
      </c>
      <c r="S13" s="54">
        <f>IF(S3=0,0,S3/TrNavi_act!S7*1000)</f>
        <v>44641.787206153858</v>
      </c>
      <c r="T13" s="54">
        <f>IF(T3=0,0,T3/TrNavi_act!T7*1000)</f>
        <v>47912.490339530683</v>
      </c>
      <c r="U13" s="54">
        <f>IF(U3=0,0,U3/TrNavi_act!U7*1000)</f>
        <v>48110.13679270073</v>
      </c>
      <c r="V13" s="54">
        <f>IF(V3=0,0,V3/TrNavi_act!V7*1000)</f>
        <v>49319.143194758872</v>
      </c>
      <c r="W13" s="54">
        <f>IF(W3=0,0,W3/TrNavi_act!W7*1000)</f>
        <v>46.569681560730025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6616.4095314861461</v>
      </c>
      <c r="C15" s="58">
        <f>IF(C5=0,0,C5/TrNavi_act!C9*1000)</f>
        <v>7280.0594580821926</v>
      </c>
      <c r="D15" s="58">
        <f>IF(D5=0,0,D5/TrNavi_act!D9*1000)</f>
        <v>7950.2901523809533</v>
      </c>
      <c r="E15" s="58">
        <f>IF(E5=0,0,E5/TrNavi_act!E9*1000)</f>
        <v>10971.111918987344</v>
      </c>
      <c r="F15" s="58">
        <f>IF(F5=0,0,F5/TrNavi_act!F9*1000)</f>
        <v>33608.946063085721</v>
      </c>
      <c r="G15" s="58">
        <f>IF(G5=0,0,G5/TrNavi_act!G9*1000)</f>
        <v>36885.517690909095</v>
      </c>
      <c r="H15" s="58">
        <f>IF(H5=0,0,H5/TrNavi_act!H9*1000)</f>
        <v>33101.669777085655</v>
      </c>
      <c r="I15" s="58">
        <f>IF(I5=0,0,I5/TrNavi_act!I9*1000)</f>
        <v>15885.091360000002</v>
      </c>
      <c r="J15" s="58">
        <f>IF(J5=0,0,J5/TrNavi_act!J9*1000)</f>
        <v>17907.107823620692</v>
      </c>
      <c r="K15" s="58">
        <f>IF(K5=0,0,K5/TrNavi_act!K9*1000)</f>
        <v>28211.437468030355</v>
      </c>
      <c r="L15" s="58">
        <f>IF(L5=0,0,L5/TrNavi_act!L9*1000)</f>
        <v>28073.968887925304</v>
      </c>
      <c r="M15" s="58">
        <f>IF(M5=0,0,M5/TrNavi_act!M9*1000)</f>
        <v>28967.705069201522</v>
      </c>
      <c r="N15" s="58">
        <f>IF(N5=0,0,N5/TrNavi_act!N9*1000)</f>
        <v>29500.627337913113</v>
      </c>
      <c r="O15" s="58">
        <f>IF(O5=0,0,O5/TrNavi_act!O9*1000)</f>
        <v>31047.977684073929</v>
      </c>
      <c r="P15" s="58">
        <f>IF(P5=0,0,P5/TrNavi_act!P9*1000)</f>
        <v>37784.896527915022</v>
      </c>
      <c r="Q15" s="58">
        <f>IF(Q5=0,0,Q5/TrNavi_act!Q9*1000)</f>
        <v>38519.286647894842</v>
      </c>
      <c r="R15" s="58">
        <f>IF(R5=0,0,R5/TrNavi_act!R9*1000)</f>
        <v>37888.350474489795</v>
      </c>
      <c r="S15" s="58">
        <f>IF(S5=0,0,S5/TrNavi_act!S9*1000)</f>
        <v>44641.787206153858</v>
      </c>
      <c r="T15" s="58">
        <f>IF(T5=0,0,T5/TrNavi_act!T9*1000)</f>
        <v>47912.490339530683</v>
      </c>
      <c r="U15" s="58">
        <f>IF(U5=0,0,U5/TrNavi_act!U9*1000)</f>
        <v>48110.13679270073</v>
      </c>
      <c r="V15" s="58">
        <f>IF(V5=0,0,V5/TrNavi_act!V9*1000)</f>
        <v>49319.143194758872</v>
      </c>
      <c r="W15" s="58">
        <f>IF(W5=0,0,W5/TrNavi_act!W9*1000)</f>
        <v>46.569681560730025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25.176178121405751</v>
      </c>
      <c r="C17" s="62">
        <f>IF(C3=0,0,C3/TrNavi_act!C3*1000)</f>
        <v>25.427958872727277</v>
      </c>
      <c r="D17" s="62">
        <f>IF(D3=0,0,D3/TrNavi_act!D3*1000)</f>
        <v>24.105959980748665</v>
      </c>
      <c r="E17" s="62">
        <f>IF(E3=0,0,E3/TrNavi_act!E3*1000)</f>
        <v>26.864011403588908</v>
      </c>
      <c r="F17" s="62">
        <f>IF(F3=0,0,F3/TrNavi_act!F3*1000)</f>
        <v>42.192005459397421</v>
      </c>
      <c r="G17" s="62">
        <f>IF(G3=0,0,G3/TrNavi_act!G3*1000)</f>
        <v>41.806835110700135</v>
      </c>
      <c r="H17" s="62">
        <f>IF(H3=0,0,H3/TrNavi_act!H3*1000)</f>
        <v>37.908791247898094</v>
      </c>
      <c r="I17" s="62">
        <f>IF(I3=0,0,I3/TrNavi_act!I3*1000)</f>
        <v>27.575010224332352</v>
      </c>
      <c r="J17" s="62">
        <f>IF(J3=0,0,J3/TrNavi_act!J3*1000)</f>
        <v>28.750512215086506</v>
      </c>
      <c r="K17" s="62">
        <f>IF(K3=0,0,K3/TrNavi_act!K3*1000)</f>
        <v>31.460215954966891</v>
      </c>
      <c r="L17" s="62">
        <f>IF(L3=0,0,L3/TrNavi_act!L3*1000)</f>
        <v>29.331912930357142</v>
      </c>
      <c r="M17" s="62">
        <f>IF(M3=0,0,M3/TrNavi_act!M3*1000)</f>
        <v>31.817428259303941</v>
      </c>
      <c r="N17" s="62">
        <f>IF(N3=0,0,N3/TrNavi_act!N3*1000)</f>
        <v>29.704688510375775</v>
      </c>
      <c r="O17" s="62">
        <f>IF(O3=0,0,O3/TrNavi_act!O3*1000)</f>
        <v>29.384074153554153</v>
      </c>
      <c r="P17" s="62">
        <f>IF(P3=0,0,P3/TrNavi_act!P3*1000)</f>
        <v>32.251948534174218</v>
      </c>
      <c r="Q17" s="62">
        <f>IF(Q3=0,0,Q3/TrNavi_act!Q3*1000)</f>
        <v>36.137218161715829</v>
      </c>
      <c r="R17" s="62">
        <f>IF(R3=0,0,R3/TrNavi_act!R3*1000)</f>
        <v>35.252699291217823</v>
      </c>
      <c r="S17" s="62">
        <f>IF(S3=0,0,S3/TrNavi_act!S3*1000)</f>
        <v>35.728651438908891</v>
      </c>
      <c r="T17" s="62">
        <f>IF(T3=0,0,T3/TrNavi_act!T3*1000)</f>
        <v>43.711024533717584</v>
      </c>
      <c r="U17" s="62">
        <f>IF(U3=0,0,U3/TrNavi_act!U3*1000)</f>
        <v>42.689853782648719</v>
      </c>
      <c r="V17" s="62">
        <f>IF(V3=0,0,V3/TrNavi_act!V3*1000)</f>
        <v>43.319803685294126</v>
      </c>
      <c r="W17" s="62">
        <f>IF(W3=0,0,W3/TrNavi_act!W3*1000)</f>
        <v>6.3880545580110512E-2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25.176178121405751</v>
      </c>
      <c r="C19" s="64">
        <f>IF(C5=0,0,C5/TrNavi_act!C5*1000)</f>
        <v>25.427958872727277</v>
      </c>
      <c r="D19" s="64">
        <f>IF(D5=0,0,D5/TrNavi_act!D5*1000)</f>
        <v>24.105959980748665</v>
      </c>
      <c r="E19" s="64">
        <f>IF(E5=0,0,E5/TrNavi_act!E5*1000)</f>
        <v>26.864011403588908</v>
      </c>
      <c r="F19" s="64">
        <f>IF(F5=0,0,F5/TrNavi_act!F5*1000)</f>
        <v>42.192005459397421</v>
      </c>
      <c r="G19" s="64">
        <f>IF(G5=0,0,G5/TrNavi_act!G5*1000)</f>
        <v>41.806835110700135</v>
      </c>
      <c r="H19" s="64">
        <f>IF(H5=0,0,H5/TrNavi_act!H5*1000)</f>
        <v>37.908791247898094</v>
      </c>
      <c r="I19" s="64">
        <f>IF(I5=0,0,I5/TrNavi_act!I5*1000)</f>
        <v>27.575010224332352</v>
      </c>
      <c r="J19" s="64">
        <f>IF(J5=0,0,J5/TrNavi_act!J5*1000)</f>
        <v>28.750512215086506</v>
      </c>
      <c r="K19" s="64">
        <f>IF(K5=0,0,K5/TrNavi_act!K5*1000)</f>
        <v>31.460215954966891</v>
      </c>
      <c r="L19" s="64">
        <f>IF(L5=0,0,L5/TrNavi_act!L5*1000)</f>
        <v>29.331912930357142</v>
      </c>
      <c r="M19" s="64">
        <f>IF(M5=0,0,M5/TrNavi_act!M5*1000)</f>
        <v>31.817428259303941</v>
      </c>
      <c r="N19" s="64">
        <f>IF(N5=0,0,N5/TrNavi_act!N5*1000)</f>
        <v>29.704688510375775</v>
      </c>
      <c r="O19" s="64">
        <f>IF(O5=0,0,O5/TrNavi_act!O5*1000)</f>
        <v>29.384074153554153</v>
      </c>
      <c r="P19" s="64">
        <f>IF(P5=0,0,P5/TrNavi_act!P5*1000)</f>
        <v>32.251948534174218</v>
      </c>
      <c r="Q19" s="64">
        <f>IF(Q5=0,0,Q5/TrNavi_act!Q5*1000)</f>
        <v>36.137218161715829</v>
      </c>
      <c r="R19" s="64">
        <f>IF(R5=0,0,R5/TrNavi_act!R5*1000)</f>
        <v>35.252699291217823</v>
      </c>
      <c r="S19" s="64">
        <f>IF(S5=0,0,S5/TrNavi_act!S5*1000)</f>
        <v>35.728651438908891</v>
      </c>
      <c r="T19" s="64">
        <f>IF(T5=0,0,T5/TrNavi_act!T5*1000)</f>
        <v>43.711024533717584</v>
      </c>
      <c r="U19" s="64">
        <f>IF(U5=0,0,U5/TrNavi_act!U5*1000)</f>
        <v>42.689853782648719</v>
      </c>
      <c r="V19" s="64">
        <f>IF(V5=0,0,V5/TrNavi_act!V5*1000)</f>
        <v>43.319803685294126</v>
      </c>
      <c r="W19" s="64">
        <f>IF(W5=0,0,W5/TrNavi_act!W5*1000)</f>
        <v>6.3880545580110512E-2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28461.815849999999</v>
      </c>
      <c r="C3" s="54">
        <f t="shared" si="0"/>
        <v>42274.941124999998</v>
      </c>
      <c r="D3" s="54">
        <f t="shared" si="0"/>
        <v>41103.690401</v>
      </c>
      <c r="E3" s="54">
        <f t="shared" si="0"/>
        <v>47131.873369000008</v>
      </c>
      <c r="F3" s="54">
        <f t="shared" si="0"/>
        <v>48088.492197999993</v>
      </c>
      <c r="G3" s="54">
        <f t="shared" si="0"/>
        <v>50414.280232999998</v>
      </c>
      <c r="H3" s="54">
        <f t="shared" si="0"/>
        <v>54577.504864999995</v>
      </c>
      <c r="I3" s="54">
        <f t="shared" si="0"/>
        <v>39533.332917</v>
      </c>
      <c r="J3" s="54">
        <f t="shared" si="0"/>
        <v>39031.284270999997</v>
      </c>
      <c r="K3" s="54">
        <f t="shared" si="0"/>
        <v>33276.079912000001</v>
      </c>
      <c r="L3" s="54">
        <f t="shared" si="0"/>
        <v>34149.972772000001</v>
      </c>
      <c r="M3" s="54">
        <f t="shared" si="0"/>
        <v>32107.797025</v>
      </c>
      <c r="N3" s="54">
        <f t="shared" si="0"/>
        <v>31559.266976999999</v>
      </c>
      <c r="O3" s="54">
        <f t="shared" si="0"/>
        <v>43158.272568999993</v>
      </c>
      <c r="P3" s="54">
        <f t="shared" si="0"/>
        <v>44637.227810999997</v>
      </c>
      <c r="Q3" s="54">
        <f t="shared" si="0"/>
        <v>43390.032032000003</v>
      </c>
      <c r="R3" s="54">
        <f t="shared" ref="R3:W3" si="1">SUM(R4:R5)</f>
        <v>47686.152481999998</v>
      </c>
      <c r="S3" s="54">
        <f t="shared" si="1"/>
        <v>48029.495503999999</v>
      </c>
      <c r="T3" s="54">
        <f t="shared" si="1"/>
        <v>47467.022390999999</v>
      </c>
      <c r="U3" s="54">
        <f t="shared" si="1"/>
        <v>50915.292296999993</v>
      </c>
      <c r="V3" s="54">
        <f t="shared" si="1"/>
        <v>38524.078609000004</v>
      </c>
      <c r="W3" s="54">
        <f t="shared" si="1"/>
        <v>45404.572746999998</v>
      </c>
      <c r="DA3" s="172" t="s">
        <v>387</v>
      </c>
    </row>
    <row r="4" spans="1:105" ht="11.45" customHeight="1" x14ac:dyDescent="0.25">
      <c r="A4" s="55" t="s">
        <v>170</v>
      </c>
      <c r="B4" s="56">
        <v>6801.1359659999998</v>
      </c>
      <c r="C4" s="56">
        <v>9904.2685430000001</v>
      </c>
      <c r="D4" s="56">
        <v>10044.867182</v>
      </c>
      <c r="E4" s="56">
        <v>7254.067153</v>
      </c>
      <c r="F4" s="56">
        <v>6609.9567299999999</v>
      </c>
      <c r="G4" s="56">
        <v>6715.6699619999999</v>
      </c>
      <c r="H4" s="56">
        <v>8568.1017780000002</v>
      </c>
      <c r="I4" s="56">
        <v>4040.0720379999998</v>
      </c>
      <c r="J4" s="56">
        <v>5102.6238890000004</v>
      </c>
      <c r="K4" s="56">
        <v>9422.0155740000009</v>
      </c>
      <c r="L4" s="56">
        <v>7952.7138000000004</v>
      </c>
      <c r="M4" s="56">
        <v>9634.1764210000001</v>
      </c>
      <c r="N4" s="56">
        <v>9022.7573999999986</v>
      </c>
      <c r="O4" s="56">
        <v>12692.614036999999</v>
      </c>
      <c r="P4" s="56">
        <v>10726.698391</v>
      </c>
      <c r="Q4" s="56">
        <v>8708.6275270000006</v>
      </c>
      <c r="R4" s="56">
        <v>11836.200758000001</v>
      </c>
      <c r="S4" s="56">
        <v>13279.330486999999</v>
      </c>
      <c r="T4" s="56">
        <v>14782.834084</v>
      </c>
      <c r="U4" s="56">
        <v>14505.801914</v>
      </c>
      <c r="V4" s="56">
        <v>11232.519242999999</v>
      </c>
      <c r="W4" s="56">
        <v>10739.145908999999</v>
      </c>
      <c r="DA4" s="181" t="s">
        <v>388</v>
      </c>
    </row>
    <row r="5" spans="1:105" ht="11.45" customHeight="1" x14ac:dyDescent="0.25">
      <c r="A5" s="57" t="s">
        <v>171</v>
      </c>
      <c r="B5" s="58">
        <v>21660.679884000001</v>
      </c>
      <c r="C5" s="58">
        <v>32370.672581999999</v>
      </c>
      <c r="D5" s="58">
        <v>31058.823219000002</v>
      </c>
      <c r="E5" s="58">
        <v>39877.806216000004</v>
      </c>
      <c r="F5" s="58">
        <v>41478.535467999995</v>
      </c>
      <c r="G5" s="58">
        <v>43698.610270999998</v>
      </c>
      <c r="H5" s="58">
        <v>46009.403086999999</v>
      </c>
      <c r="I5" s="58">
        <v>35493.260879000001</v>
      </c>
      <c r="J5" s="58">
        <v>33928.660381999995</v>
      </c>
      <c r="K5" s="58">
        <v>23854.064338</v>
      </c>
      <c r="L5" s="58">
        <v>26197.258972000003</v>
      </c>
      <c r="M5" s="58">
        <v>22473.620604</v>
      </c>
      <c r="N5" s="58">
        <v>22536.509577000001</v>
      </c>
      <c r="O5" s="58">
        <v>30465.658531999998</v>
      </c>
      <c r="P5" s="58">
        <v>33910.529419999999</v>
      </c>
      <c r="Q5" s="58">
        <v>34681.404504999999</v>
      </c>
      <c r="R5" s="58">
        <v>35849.951723999999</v>
      </c>
      <c r="S5" s="58">
        <v>34750.165016999999</v>
      </c>
      <c r="T5" s="58">
        <v>32684.188307</v>
      </c>
      <c r="U5" s="58">
        <v>36409.490382999997</v>
      </c>
      <c r="V5" s="58">
        <v>27291.559366000001</v>
      </c>
      <c r="W5" s="58">
        <v>34665.426837999999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2.581915</v>
      </c>
      <c r="C7" s="59">
        <f t="shared" si="2"/>
        <v>3.7345549999999998</v>
      </c>
      <c r="D7" s="59">
        <f t="shared" si="2"/>
        <v>3.7292550000000002</v>
      </c>
      <c r="E7" s="59">
        <f t="shared" si="2"/>
        <v>3.5790109999999995</v>
      </c>
      <c r="F7" s="59">
        <f t="shared" si="2"/>
        <v>3.5760360000000002</v>
      </c>
      <c r="G7" s="59">
        <f t="shared" si="2"/>
        <v>3.4879949999999997</v>
      </c>
      <c r="H7" s="59">
        <f t="shared" si="2"/>
        <v>3.9013920000000004</v>
      </c>
      <c r="I7" s="59">
        <f t="shared" si="2"/>
        <v>2.5592630000000001</v>
      </c>
      <c r="J7" s="59">
        <f t="shared" si="2"/>
        <v>2.5160640000000001</v>
      </c>
      <c r="K7" s="59">
        <f t="shared" si="2"/>
        <v>2.7305429999999999</v>
      </c>
      <c r="L7" s="59">
        <f t="shared" si="2"/>
        <v>2.6918389999999999</v>
      </c>
      <c r="M7" s="59">
        <f t="shared" si="2"/>
        <v>2.946402</v>
      </c>
      <c r="N7" s="59">
        <f t="shared" si="2"/>
        <v>2.635805</v>
      </c>
      <c r="O7" s="59">
        <f t="shared" si="2"/>
        <v>3.2430289999999999</v>
      </c>
      <c r="P7" s="59">
        <f t="shared" si="2"/>
        <v>2.863413</v>
      </c>
      <c r="Q7" s="59">
        <f t="shared" si="2"/>
        <v>2.4040340000000002</v>
      </c>
      <c r="R7" s="59">
        <f t="shared" si="2"/>
        <v>2.7933089999999998</v>
      </c>
      <c r="S7" s="59">
        <f t="shared" si="2"/>
        <v>3.0282339999999999</v>
      </c>
      <c r="T7" s="59">
        <f t="shared" si="2"/>
        <v>3.227878</v>
      </c>
      <c r="U7" s="59">
        <f t="shared" si="2"/>
        <v>3.3176870000000003</v>
      </c>
      <c r="V7" s="59">
        <f t="shared" si="2"/>
        <v>2.4843730000000002</v>
      </c>
      <c r="W7" s="59">
        <f t="shared" si="2"/>
        <v>2.7174420000000001</v>
      </c>
      <c r="DA7" s="172" t="s">
        <v>961</v>
      </c>
    </row>
    <row r="8" spans="1:105" ht="11.45" customHeight="1" x14ac:dyDescent="0.25">
      <c r="A8" s="55" t="s">
        <v>170</v>
      </c>
      <c r="B8" s="60">
        <v>1.33165</v>
      </c>
      <c r="C8" s="60">
        <v>1.9139189999999999</v>
      </c>
      <c r="D8" s="60">
        <v>1.944987</v>
      </c>
      <c r="E8" s="60">
        <v>1.3875409999999999</v>
      </c>
      <c r="F8" s="60">
        <v>1.2781429999999998</v>
      </c>
      <c r="G8" s="60">
        <v>1.2277820000000002</v>
      </c>
      <c r="H8" s="60">
        <v>1.556592</v>
      </c>
      <c r="I8" s="60">
        <v>0.74723000000000006</v>
      </c>
      <c r="J8" s="60">
        <v>0.877162</v>
      </c>
      <c r="K8" s="60">
        <v>1.552675</v>
      </c>
      <c r="L8" s="60">
        <v>1.358781</v>
      </c>
      <c r="M8" s="60">
        <v>1.659009</v>
      </c>
      <c r="N8" s="60">
        <v>1.478526</v>
      </c>
      <c r="O8" s="60">
        <v>1.9132850000000001</v>
      </c>
      <c r="P8" s="60">
        <v>1.582341</v>
      </c>
      <c r="Q8" s="60">
        <v>1.2190829999999999</v>
      </c>
      <c r="R8" s="60">
        <v>1.5665800000000001</v>
      </c>
      <c r="S8" s="60">
        <v>1.8041389999999999</v>
      </c>
      <c r="T8" s="60">
        <v>2.0069870000000001</v>
      </c>
      <c r="U8" s="60">
        <v>2.0079530000000001</v>
      </c>
      <c r="V8" s="60">
        <v>1.4867600000000001</v>
      </c>
      <c r="W8" s="60">
        <v>1.4950819999999998</v>
      </c>
      <c r="DA8" s="181" t="s">
        <v>962</v>
      </c>
    </row>
    <row r="9" spans="1:105" ht="11.45" customHeight="1" x14ac:dyDescent="0.25">
      <c r="A9" s="57" t="s">
        <v>171</v>
      </c>
      <c r="B9" s="61">
        <v>1.250265</v>
      </c>
      <c r="C9" s="61">
        <v>1.8206359999999999</v>
      </c>
      <c r="D9" s="61">
        <v>1.784268</v>
      </c>
      <c r="E9" s="61">
        <v>2.1914699999999998</v>
      </c>
      <c r="F9" s="61">
        <v>2.2978930000000002</v>
      </c>
      <c r="G9" s="61">
        <v>2.2602129999999998</v>
      </c>
      <c r="H9" s="61">
        <v>2.3448000000000002</v>
      </c>
      <c r="I9" s="61">
        <v>1.812033</v>
      </c>
      <c r="J9" s="61">
        <v>1.6389020000000001</v>
      </c>
      <c r="K9" s="61">
        <v>1.1778680000000001</v>
      </c>
      <c r="L9" s="61">
        <v>1.3330579999999999</v>
      </c>
      <c r="M9" s="61">
        <v>1.287393</v>
      </c>
      <c r="N9" s="61">
        <v>1.1572789999999999</v>
      </c>
      <c r="O9" s="61">
        <v>1.329744</v>
      </c>
      <c r="P9" s="61">
        <v>1.281072</v>
      </c>
      <c r="Q9" s="61">
        <v>1.1849510000000001</v>
      </c>
      <c r="R9" s="61">
        <v>1.226729</v>
      </c>
      <c r="S9" s="61">
        <v>1.2240949999999999</v>
      </c>
      <c r="T9" s="61">
        <v>1.2208909999999999</v>
      </c>
      <c r="U9" s="61">
        <v>1.309734</v>
      </c>
      <c r="V9" s="61">
        <v>0.99761299999999997</v>
      </c>
      <c r="W9" s="61">
        <v>1.2223600000000001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11023.529376451199</v>
      </c>
      <c r="C13" s="62">
        <f t="shared" si="3"/>
        <v>11319.940695745543</v>
      </c>
      <c r="D13" s="62">
        <f t="shared" si="3"/>
        <v>11021.95757624512</v>
      </c>
      <c r="E13" s="62">
        <f t="shared" si="3"/>
        <v>13168.965775461438</v>
      </c>
      <c r="F13" s="62">
        <f t="shared" si="3"/>
        <v>13447.429555519013</v>
      </c>
      <c r="G13" s="62">
        <f t="shared" si="3"/>
        <v>14453.656107018502</v>
      </c>
      <c r="H13" s="62">
        <f t="shared" si="3"/>
        <v>13989.238934462364</v>
      </c>
      <c r="I13" s="62">
        <f t="shared" si="3"/>
        <v>15447.15526188594</v>
      </c>
      <c r="J13" s="62">
        <f t="shared" si="3"/>
        <v>15512.834439426022</v>
      </c>
      <c r="K13" s="62">
        <f t="shared" si="3"/>
        <v>12186.616329426053</v>
      </c>
      <c r="L13" s="62">
        <f t="shared" si="3"/>
        <v>12686.484136681282</v>
      </c>
      <c r="M13" s="62">
        <f t="shared" si="3"/>
        <v>10897.289991318225</v>
      </c>
      <c r="N13" s="62">
        <f t="shared" si="3"/>
        <v>11973.293539165454</v>
      </c>
      <c r="O13" s="62">
        <f t="shared" si="3"/>
        <v>13308.013147276819</v>
      </c>
      <c r="P13" s="62">
        <f t="shared" si="3"/>
        <v>15588.819290476085</v>
      </c>
      <c r="Q13" s="62">
        <f t="shared" si="3"/>
        <v>18048.842916531132</v>
      </c>
      <c r="R13" s="62">
        <f t="shared" si="3"/>
        <v>17071.563683788652</v>
      </c>
      <c r="S13" s="62">
        <f t="shared" si="3"/>
        <v>15860.562791382701</v>
      </c>
      <c r="T13" s="62">
        <f t="shared" si="3"/>
        <v>14705.333470162132</v>
      </c>
      <c r="U13" s="62">
        <f t="shared" si="3"/>
        <v>15346.623203756108</v>
      </c>
      <c r="V13" s="62">
        <f t="shared" si="3"/>
        <v>15506.559847897237</v>
      </c>
      <c r="W13" s="62">
        <f t="shared" si="3"/>
        <v>16708.571055794382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5107.2999406751023</v>
      </c>
      <c r="C14" s="63">
        <f t="shared" si="3"/>
        <v>5174.8629607627072</v>
      </c>
      <c r="D14" s="63">
        <f t="shared" si="3"/>
        <v>5164.490653150895</v>
      </c>
      <c r="E14" s="63">
        <f t="shared" si="3"/>
        <v>5228.0020215618861</v>
      </c>
      <c r="F14" s="63">
        <f t="shared" si="3"/>
        <v>5171.5314561829164</v>
      </c>
      <c r="G14" s="63">
        <f t="shared" si="3"/>
        <v>5469.7576296117704</v>
      </c>
      <c r="H14" s="63">
        <f t="shared" si="3"/>
        <v>5504.3979270097752</v>
      </c>
      <c r="I14" s="63">
        <f t="shared" si="3"/>
        <v>5406.731579299546</v>
      </c>
      <c r="J14" s="63">
        <f t="shared" si="3"/>
        <v>5817.1966968473334</v>
      </c>
      <c r="K14" s="63">
        <f t="shared" si="3"/>
        <v>6068.2471051572293</v>
      </c>
      <c r="L14" s="63">
        <f t="shared" si="3"/>
        <v>5852.8297054492232</v>
      </c>
      <c r="M14" s="63">
        <f t="shared" si="3"/>
        <v>5807.1875565473129</v>
      </c>
      <c r="N14" s="63">
        <f t="shared" si="3"/>
        <v>6102.5354981921173</v>
      </c>
      <c r="O14" s="63">
        <f t="shared" si="3"/>
        <v>6633.9379846703441</v>
      </c>
      <c r="P14" s="63">
        <f t="shared" si="3"/>
        <v>6779.0055310454572</v>
      </c>
      <c r="Q14" s="63">
        <f t="shared" si="3"/>
        <v>7143.5886867424133</v>
      </c>
      <c r="R14" s="63">
        <f t="shared" si="3"/>
        <v>7555.4397209207318</v>
      </c>
      <c r="S14" s="63">
        <f t="shared" si="3"/>
        <v>7360.4808094054833</v>
      </c>
      <c r="T14" s="63">
        <f t="shared" si="3"/>
        <v>7365.6850213778162</v>
      </c>
      <c r="U14" s="63">
        <f t="shared" si="3"/>
        <v>7224.1740289737854</v>
      </c>
      <c r="V14" s="63">
        <f t="shared" si="3"/>
        <v>7555.0319103284983</v>
      </c>
      <c r="W14" s="63">
        <f t="shared" si="3"/>
        <v>7182.9812070508506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17324.87103454068</v>
      </c>
      <c r="C15" s="64">
        <f t="shared" si="3"/>
        <v>17779.870650695691</v>
      </c>
      <c r="D15" s="64">
        <f t="shared" si="3"/>
        <v>17407.039311919511</v>
      </c>
      <c r="E15" s="64">
        <f t="shared" si="3"/>
        <v>18196.829623951049</v>
      </c>
      <c r="F15" s="64">
        <f t="shared" si="3"/>
        <v>18050.681849851142</v>
      </c>
      <c r="G15" s="64">
        <f t="shared" si="3"/>
        <v>19333.846089284507</v>
      </c>
      <c r="H15" s="64">
        <f t="shared" si="3"/>
        <v>19621.888044609346</v>
      </c>
      <c r="I15" s="64">
        <f t="shared" si="3"/>
        <v>19587.535590687366</v>
      </c>
      <c r="J15" s="64">
        <f t="shared" si="3"/>
        <v>20702.06783688103</v>
      </c>
      <c r="K15" s="64">
        <f t="shared" si="3"/>
        <v>20251.899481096352</v>
      </c>
      <c r="L15" s="64">
        <f t="shared" si="3"/>
        <v>19652.002367488891</v>
      </c>
      <c r="M15" s="64">
        <f t="shared" si="3"/>
        <v>17456.690073660491</v>
      </c>
      <c r="N15" s="64">
        <f t="shared" si="3"/>
        <v>19473.704765229475</v>
      </c>
      <c r="O15" s="64">
        <f t="shared" si="3"/>
        <v>22910.920095898156</v>
      </c>
      <c r="P15" s="64">
        <f t="shared" si="3"/>
        <v>26470.43212247243</v>
      </c>
      <c r="Q15" s="64">
        <f t="shared" si="3"/>
        <v>29268.21826809716</v>
      </c>
      <c r="R15" s="64">
        <f t="shared" si="3"/>
        <v>29224.019097942579</v>
      </c>
      <c r="S15" s="64">
        <f t="shared" si="3"/>
        <v>28388.454341370565</v>
      </c>
      <c r="T15" s="64">
        <f t="shared" si="3"/>
        <v>26770.766847327075</v>
      </c>
      <c r="U15" s="64">
        <f t="shared" si="3"/>
        <v>27799.148821821833</v>
      </c>
      <c r="V15" s="64">
        <f t="shared" si="3"/>
        <v>27356.860191276581</v>
      </c>
      <c r="W15" s="64">
        <f t="shared" si="3"/>
        <v>28359.425077718508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0.23895650234839111</v>
      </c>
      <c r="C18" s="66">
        <f t="shared" si="4"/>
        <v>0.23428225514767054</v>
      </c>
      <c r="D18" s="66">
        <f t="shared" si="4"/>
        <v>0.2443787184071341</v>
      </c>
      <c r="E18" s="66">
        <f t="shared" si="4"/>
        <v>0.15391001109179778</v>
      </c>
      <c r="F18" s="66">
        <f t="shared" si="4"/>
        <v>0.13745402336143342</v>
      </c>
      <c r="G18" s="66">
        <f t="shared" si="4"/>
        <v>0.13320967652344029</v>
      </c>
      <c r="H18" s="66">
        <f t="shared" si="4"/>
        <v>0.15698962052577523</v>
      </c>
      <c r="I18" s="66">
        <f t="shared" si="4"/>
        <v>0.10219406611838439</v>
      </c>
      <c r="J18" s="66">
        <f t="shared" si="4"/>
        <v>0.13073164217635591</v>
      </c>
      <c r="K18" s="66">
        <f t="shared" si="4"/>
        <v>0.28314680091275535</v>
      </c>
      <c r="L18" s="66">
        <f t="shared" si="4"/>
        <v>0.23287613882142044</v>
      </c>
      <c r="M18" s="66">
        <f t="shared" si="4"/>
        <v>0.30005722328126622</v>
      </c>
      <c r="N18" s="66">
        <f t="shared" si="4"/>
        <v>0.28589882669251071</v>
      </c>
      <c r="O18" s="66">
        <f t="shared" si="4"/>
        <v>0.29409457982145776</v>
      </c>
      <c r="P18" s="66">
        <f t="shared" si="4"/>
        <v>0.24030834612799606</v>
      </c>
      <c r="Q18" s="66">
        <f t="shared" si="4"/>
        <v>0.20070571786113034</v>
      </c>
      <c r="R18" s="66">
        <f t="shared" si="4"/>
        <v>0.24821043724313446</v>
      </c>
      <c r="S18" s="66">
        <f t="shared" si="4"/>
        <v>0.27648282264164253</v>
      </c>
      <c r="T18" s="66">
        <f t="shared" si="4"/>
        <v>0.31143377737557232</v>
      </c>
      <c r="U18" s="66">
        <f t="shared" si="4"/>
        <v>0.28490069013813174</v>
      </c>
      <c r="V18" s="66">
        <f t="shared" si="4"/>
        <v>0.29157139245313074</v>
      </c>
      <c r="W18" s="66">
        <f t="shared" si="4"/>
        <v>0.23652124134808786</v>
      </c>
      <c r="DA18" s="181"/>
    </row>
    <row r="19" spans="1:105" ht="11.45" customHeight="1" x14ac:dyDescent="0.25">
      <c r="A19" s="57" t="s">
        <v>171</v>
      </c>
      <c r="B19" s="67">
        <f t="shared" si="4"/>
        <v>0.76104349765160895</v>
      </c>
      <c r="C19" s="67">
        <f t="shared" si="4"/>
        <v>0.76571774485232946</v>
      </c>
      <c r="D19" s="67">
        <f t="shared" si="4"/>
        <v>0.7556212815928659</v>
      </c>
      <c r="E19" s="67">
        <f t="shared" si="4"/>
        <v>0.84608998890820208</v>
      </c>
      <c r="F19" s="67">
        <f t="shared" si="4"/>
        <v>0.86254597663856658</v>
      </c>
      <c r="G19" s="67">
        <f t="shared" si="4"/>
        <v>0.86679032347655971</v>
      </c>
      <c r="H19" s="67">
        <f t="shared" si="4"/>
        <v>0.84301037947422486</v>
      </c>
      <c r="I19" s="67">
        <f t="shared" si="4"/>
        <v>0.89780593388161567</v>
      </c>
      <c r="J19" s="67">
        <f t="shared" si="4"/>
        <v>0.86926835782364409</v>
      </c>
      <c r="K19" s="67">
        <f t="shared" si="4"/>
        <v>0.71685319908724465</v>
      </c>
      <c r="L19" s="67">
        <f t="shared" si="4"/>
        <v>0.76712386117857967</v>
      </c>
      <c r="M19" s="67">
        <f t="shared" si="4"/>
        <v>0.69994277671873384</v>
      </c>
      <c r="N19" s="67">
        <f t="shared" si="4"/>
        <v>0.71410117330748935</v>
      </c>
      <c r="O19" s="67">
        <f t="shared" si="4"/>
        <v>0.7059054201785423</v>
      </c>
      <c r="P19" s="67">
        <f t="shared" si="4"/>
        <v>0.75969165387200399</v>
      </c>
      <c r="Q19" s="67">
        <f t="shared" si="4"/>
        <v>0.79929428213886955</v>
      </c>
      <c r="R19" s="67">
        <f t="shared" si="4"/>
        <v>0.75178956275686559</v>
      </c>
      <c r="S19" s="67">
        <f t="shared" si="4"/>
        <v>0.72351717735835741</v>
      </c>
      <c r="T19" s="67">
        <f t="shared" si="4"/>
        <v>0.68856622262442768</v>
      </c>
      <c r="U19" s="67">
        <f t="shared" si="4"/>
        <v>0.71509930986186832</v>
      </c>
      <c r="V19" s="67">
        <f t="shared" si="4"/>
        <v>0.7084286075468692</v>
      </c>
      <c r="W19" s="67">
        <f t="shared" si="4"/>
        <v>0.76347875865191217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0.51576058855539397</v>
      </c>
      <c r="C22" s="66">
        <f t="shared" si="5"/>
        <v>0.51248917207003242</v>
      </c>
      <c r="D22" s="66">
        <f t="shared" si="5"/>
        <v>0.52154840578077921</v>
      </c>
      <c r="E22" s="66">
        <f t="shared" si="5"/>
        <v>0.38768838654030402</v>
      </c>
      <c r="F22" s="66">
        <f t="shared" si="5"/>
        <v>0.35741894097262994</v>
      </c>
      <c r="G22" s="66">
        <f t="shared" si="5"/>
        <v>0.35200222477383147</v>
      </c>
      <c r="H22" s="66">
        <f t="shared" si="5"/>
        <v>0.39898374733941111</v>
      </c>
      <c r="I22" s="66">
        <f t="shared" si="5"/>
        <v>0.29197077439872338</v>
      </c>
      <c r="J22" s="66">
        <f t="shared" si="5"/>
        <v>0.34862467727371005</v>
      </c>
      <c r="K22" s="66">
        <f t="shared" si="5"/>
        <v>0.56863231965217176</v>
      </c>
      <c r="L22" s="66">
        <f t="shared" si="5"/>
        <v>0.50477796034606826</v>
      </c>
      <c r="M22" s="66">
        <f t="shared" si="5"/>
        <v>0.56306267780160346</v>
      </c>
      <c r="N22" s="66">
        <f t="shared" si="5"/>
        <v>0.56093906795077786</v>
      </c>
      <c r="O22" s="66">
        <f t="shared" si="5"/>
        <v>0.58996851400342087</v>
      </c>
      <c r="P22" s="66">
        <f t="shared" si="5"/>
        <v>0.55260662712643971</v>
      </c>
      <c r="Q22" s="66">
        <f t="shared" si="5"/>
        <v>0.50709890126345958</v>
      </c>
      <c r="R22" s="66">
        <f t="shared" si="5"/>
        <v>0.56083304782965304</v>
      </c>
      <c r="S22" s="66">
        <f t="shared" si="5"/>
        <v>0.59577265165109439</v>
      </c>
      <c r="T22" s="66">
        <f t="shared" si="5"/>
        <v>0.6217666838709518</v>
      </c>
      <c r="U22" s="66">
        <f t="shared" si="5"/>
        <v>0.60522677395426394</v>
      </c>
      <c r="V22" s="66">
        <f t="shared" si="5"/>
        <v>0.59844475849640932</v>
      </c>
      <c r="W22" s="66">
        <f t="shared" si="5"/>
        <v>0.55017991184356452</v>
      </c>
      <c r="DA22" s="181"/>
    </row>
    <row r="23" spans="1:105" ht="11.45" customHeight="1" x14ac:dyDescent="0.25">
      <c r="A23" s="57" t="s">
        <v>171</v>
      </c>
      <c r="B23" s="67">
        <f t="shared" si="5"/>
        <v>0.48423941144460603</v>
      </c>
      <c r="C23" s="67">
        <f t="shared" si="5"/>
        <v>0.48751082792996758</v>
      </c>
      <c r="D23" s="67">
        <f t="shared" si="5"/>
        <v>0.47845159421922068</v>
      </c>
      <c r="E23" s="67">
        <f t="shared" si="5"/>
        <v>0.61231161345969598</v>
      </c>
      <c r="F23" s="67">
        <f t="shared" si="5"/>
        <v>0.64258105902736995</v>
      </c>
      <c r="G23" s="67">
        <f t="shared" si="5"/>
        <v>0.64799777522616864</v>
      </c>
      <c r="H23" s="67">
        <f t="shared" si="5"/>
        <v>0.60101625266058878</v>
      </c>
      <c r="I23" s="67">
        <f t="shared" si="5"/>
        <v>0.70802922560127657</v>
      </c>
      <c r="J23" s="67">
        <f t="shared" si="5"/>
        <v>0.65137532272628995</v>
      </c>
      <c r="K23" s="67">
        <f t="shared" si="5"/>
        <v>0.4313676803478283</v>
      </c>
      <c r="L23" s="67">
        <f t="shared" si="5"/>
        <v>0.49522203965393174</v>
      </c>
      <c r="M23" s="67">
        <f t="shared" si="5"/>
        <v>0.43693732219839654</v>
      </c>
      <c r="N23" s="67">
        <f t="shared" si="5"/>
        <v>0.43906093204922214</v>
      </c>
      <c r="O23" s="67">
        <f t="shared" si="5"/>
        <v>0.41003148599657913</v>
      </c>
      <c r="P23" s="67">
        <f t="shared" si="5"/>
        <v>0.44739337287356035</v>
      </c>
      <c r="Q23" s="67">
        <f t="shared" si="5"/>
        <v>0.49290109873654031</v>
      </c>
      <c r="R23" s="67">
        <f t="shared" si="5"/>
        <v>0.43916695217034707</v>
      </c>
      <c r="S23" s="67">
        <f t="shared" si="5"/>
        <v>0.40422734834890567</v>
      </c>
      <c r="T23" s="67">
        <f t="shared" si="5"/>
        <v>0.3782333161290482</v>
      </c>
      <c r="U23" s="67">
        <f t="shared" si="5"/>
        <v>0.39477322604573606</v>
      </c>
      <c r="V23" s="67">
        <f t="shared" si="5"/>
        <v>0.40155524150359062</v>
      </c>
      <c r="W23" s="67">
        <f t="shared" si="5"/>
        <v>0.44982008815643537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65.730352536543421</v>
      </c>
      <c r="C3" s="62">
        <f t="shared" ref="C3:W3" si="0">SUM(C4,C10)</f>
        <v>98.5334479793637</v>
      </c>
      <c r="D3" s="62">
        <f t="shared" si="0"/>
        <v>107.83895098882201</v>
      </c>
      <c r="E3" s="62">
        <f t="shared" si="0"/>
        <v>140.70412725709369</v>
      </c>
      <c r="F3" s="62">
        <f t="shared" si="0"/>
        <v>118.10928632846088</v>
      </c>
      <c r="G3" s="62">
        <f t="shared" si="0"/>
        <v>112.9741186586414</v>
      </c>
      <c r="H3" s="62">
        <f t="shared" si="0"/>
        <v>106.00000000000001</v>
      </c>
      <c r="I3" s="62">
        <f t="shared" si="0"/>
        <v>52.536543422184003</v>
      </c>
      <c r="J3" s="62">
        <f t="shared" si="0"/>
        <v>122.37987962166807</v>
      </c>
      <c r="K3" s="62">
        <f t="shared" si="0"/>
        <v>206.00455717970769</v>
      </c>
      <c r="L3" s="62">
        <f t="shared" si="0"/>
        <v>96.484178847807385</v>
      </c>
      <c r="M3" s="62">
        <f t="shared" si="0"/>
        <v>75.468099742046434</v>
      </c>
      <c r="N3" s="62">
        <f t="shared" si="0"/>
        <v>63.616595012897676</v>
      </c>
      <c r="O3" s="62">
        <f t="shared" si="0"/>
        <v>90.235941530524499</v>
      </c>
      <c r="P3" s="62">
        <f t="shared" si="0"/>
        <v>81.417798796216672</v>
      </c>
      <c r="Q3" s="62">
        <f t="shared" si="0"/>
        <v>86.744024075666374</v>
      </c>
      <c r="R3" s="62">
        <f t="shared" si="0"/>
        <v>77.761049011177988</v>
      </c>
      <c r="S3" s="62">
        <f t="shared" si="0"/>
        <v>80.080481513327584</v>
      </c>
      <c r="T3" s="62">
        <f t="shared" si="0"/>
        <v>82.119432502149607</v>
      </c>
      <c r="U3" s="62">
        <f t="shared" si="0"/>
        <v>75.8462596732588</v>
      </c>
      <c r="V3" s="62">
        <f t="shared" si="0"/>
        <v>84.746431642304387</v>
      </c>
      <c r="W3" s="62">
        <f t="shared" si="0"/>
        <v>85.220722269991398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27.579438707993702</v>
      </c>
      <c r="C4" s="71">
        <f t="shared" ref="C4:W4" si="1">SUM(C5:C9)</f>
        <v>41.124541557110405</v>
      </c>
      <c r="D4" s="71">
        <f t="shared" si="1"/>
        <v>45.657768579255844</v>
      </c>
      <c r="E4" s="71">
        <f t="shared" si="1"/>
        <v>47.644149632490112</v>
      </c>
      <c r="F4" s="71">
        <f t="shared" si="1"/>
        <v>37.275399654546433</v>
      </c>
      <c r="G4" s="71">
        <f t="shared" si="1"/>
        <v>35.336601340459538</v>
      </c>
      <c r="H4" s="71">
        <f t="shared" si="1"/>
        <v>36.301971746790585</v>
      </c>
      <c r="I4" s="71">
        <f t="shared" si="1"/>
        <v>13.875271261927837</v>
      </c>
      <c r="J4" s="71">
        <f t="shared" si="1"/>
        <v>37.038315299634434</v>
      </c>
      <c r="K4" s="71">
        <f t="shared" si="1"/>
        <v>92.551362816854763</v>
      </c>
      <c r="L4" s="71">
        <f t="shared" si="1"/>
        <v>38.39634121166754</v>
      </c>
      <c r="M4" s="71">
        <f t="shared" si="1"/>
        <v>32.546062851148811</v>
      </c>
      <c r="N4" s="71">
        <f t="shared" si="1"/>
        <v>27.258697780177524</v>
      </c>
      <c r="O4" s="71">
        <f t="shared" si="1"/>
        <v>40.557684665805212</v>
      </c>
      <c r="P4" s="71">
        <f t="shared" si="1"/>
        <v>34.703568362570145</v>
      </c>
      <c r="Q4" s="71">
        <f t="shared" si="1"/>
        <v>34.53210163319681</v>
      </c>
      <c r="R4" s="71">
        <f t="shared" si="1"/>
        <v>33.578058325817878</v>
      </c>
      <c r="S4" s="71">
        <f t="shared" si="1"/>
        <v>36.307946461106241</v>
      </c>
      <c r="T4" s="71">
        <f t="shared" si="1"/>
        <v>38.153637453867333</v>
      </c>
      <c r="U4" s="71">
        <f t="shared" si="1"/>
        <v>34.263333653093525</v>
      </c>
      <c r="V4" s="71">
        <f t="shared" si="1"/>
        <v>35.491226096994332</v>
      </c>
      <c r="W4" s="71">
        <f t="shared" si="1"/>
        <v>32.746272324027721</v>
      </c>
      <c r="DA4" s="186" t="s">
        <v>969</v>
      </c>
    </row>
    <row r="5" spans="1:105" ht="11.45" customHeight="1" x14ac:dyDescent="0.25">
      <c r="A5" s="72" t="s">
        <v>145</v>
      </c>
      <c r="B5" s="73">
        <v>27.579438707993702</v>
      </c>
      <c r="C5" s="73">
        <v>41.124541557110405</v>
      </c>
      <c r="D5" s="73">
        <v>45.657768579255844</v>
      </c>
      <c r="E5" s="73">
        <v>47.644149632490112</v>
      </c>
      <c r="F5" s="73">
        <v>37.275399654546433</v>
      </c>
      <c r="G5" s="73">
        <v>35.336601340459538</v>
      </c>
      <c r="H5" s="73">
        <v>36.301971746790585</v>
      </c>
      <c r="I5" s="73">
        <v>13.875271261927837</v>
      </c>
      <c r="J5" s="73">
        <v>37.038315299634434</v>
      </c>
      <c r="K5" s="73">
        <v>92.551362816854763</v>
      </c>
      <c r="L5" s="73">
        <v>38.376082194518489</v>
      </c>
      <c r="M5" s="73">
        <v>32.543166453661705</v>
      </c>
      <c r="N5" s="73">
        <v>27.258697780177524</v>
      </c>
      <c r="O5" s="73">
        <v>40.557684665805212</v>
      </c>
      <c r="P5" s="73">
        <v>34.703568362570145</v>
      </c>
      <c r="Q5" s="73">
        <v>34.53210163319681</v>
      </c>
      <c r="R5" s="73">
        <v>33.578058325817878</v>
      </c>
      <c r="S5" s="73">
        <v>36.307946461106241</v>
      </c>
      <c r="T5" s="73">
        <v>38.153637453867333</v>
      </c>
      <c r="U5" s="73">
        <v>34.263333653093525</v>
      </c>
      <c r="V5" s="73">
        <v>35.491226096994332</v>
      </c>
      <c r="W5" s="73">
        <v>32.746272324027721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2.0259017149052413E-2</v>
      </c>
      <c r="M6" s="73">
        <v>2.8963974871033804E-3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38.150913828549719</v>
      </c>
      <c r="C10" s="71">
        <f t="shared" ref="C10:W10" si="2">SUM(C11:C15)</f>
        <v>57.408906422253295</v>
      </c>
      <c r="D10" s="71">
        <f t="shared" si="2"/>
        <v>62.181182409566162</v>
      </c>
      <c r="E10" s="71">
        <f t="shared" si="2"/>
        <v>93.059977624603576</v>
      </c>
      <c r="F10" s="71">
        <f t="shared" si="2"/>
        <v>80.833886673914449</v>
      </c>
      <c r="G10" s="71">
        <f t="shared" si="2"/>
        <v>77.637517318181864</v>
      </c>
      <c r="H10" s="71">
        <f t="shared" si="2"/>
        <v>69.698028253209429</v>
      </c>
      <c r="I10" s="71">
        <f t="shared" si="2"/>
        <v>38.661272160256168</v>
      </c>
      <c r="J10" s="71">
        <f t="shared" si="2"/>
        <v>85.341564322033634</v>
      </c>
      <c r="K10" s="71">
        <f t="shared" si="2"/>
        <v>113.45319436285293</v>
      </c>
      <c r="L10" s="71">
        <f t="shared" si="2"/>
        <v>58.087837636139845</v>
      </c>
      <c r="M10" s="71">
        <f t="shared" si="2"/>
        <v>42.922036890897623</v>
      </c>
      <c r="N10" s="71">
        <f t="shared" si="2"/>
        <v>36.357897232720148</v>
      </c>
      <c r="O10" s="71">
        <f t="shared" si="2"/>
        <v>49.678256864719287</v>
      </c>
      <c r="P10" s="71">
        <f t="shared" si="2"/>
        <v>46.714230433646527</v>
      </c>
      <c r="Q10" s="71">
        <f t="shared" si="2"/>
        <v>52.211922442469564</v>
      </c>
      <c r="R10" s="71">
        <f t="shared" si="2"/>
        <v>44.18299068536011</v>
      </c>
      <c r="S10" s="71">
        <f t="shared" si="2"/>
        <v>43.772535052221343</v>
      </c>
      <c r="T10" s="71">
        <f t="shared" si="2"/>
        <v>43.965795048282274</v>
      </c>
      <c r="U10" s="71">
        <f t="shared" si="2"/>
        <v>41.582926020165274</v>
      </c>
      <c r="V10" s="71">
        <f t="shared" si="2"/>
        <v>49.255205545310055</v>
      </c>
      <c r="W10" s="71">
        <f t="shared" si="2"/>
        <v>52.47444994596367</v>
      </c>
      <c r="DA10" s="186" t="s">
        <v>975</v>
      </c>
    </row>
    <row r="11" spans="1:105" ht="11.45" customHeight="1" x14ac:dyDescent="0.25">
      <c r="A11" s="72" t="s">
        <v>145</v>
      </c>
      <c r="B11" s="73">
        <v>38.150913828549719</v>
      </c>
      <c r="C11" s="73">
        <v>56.443988107549941</v>
      </c>
      <c r="D11" s="73">
        <v>62.181182409566162</v>
      </c>
      <c r="E11" s="73">
        <v>93.059977624603576</v>
      </c>
      <c r="F11" s="73">
        <v>80.833886673914449</v>
      </c>
      <c r="G11" s="73">
        <v>77.637517318181864</v>
      </c>
      <c r="H11" s="73">
        <v>69.698028253209429</v>
      </c>
      <c r="I11" s="73">
        <v>38.661272160256168</v>
      </c>
      <c r="J11" s="73">
        <v>70.055407830202171</v>
      </c>
      <c r="K11" s="73">
        <v>58.996358593291447</v>
      </c>
      <c r="L11" s="73">
        <v>14.160461227665516</v>
      </c>
      <c r="M11" s="73">
        <v>14.941786254850767</v>
      </c>
      <c r="N11" s="73">
        <v>18.205618642866323</v>
      </c>
      <c r="O11" s="73">
        <v>20.061403898253257</v>
      </c>
      <c r="P11" s="73">
        <v>21.874247630551082</v>
      </c>
      <c r="Q11" s="73">
        <v>32.148895787267499</v>
      </c>
      <c r="R11" s="73">
        <v>26.030712095506278</v>
      </c>
      <c r="S11" s="73">
        <v>21.239774949039926</v>
      </c>
      <c r="T11" s="73">
        <v>19.802252485943495</v>
      </c>
      <c r="U11" s="73">
        <v>24.858506415694084</v>
      </c>
      <c r="V11" s="73">
        <v>33.526658683745133</v>
      </c>
      <c r="W11" s="73">
        <v>26.815034640718626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0.96491831470335399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15.286156491831463</v>
      </c>
      <c r="K12" s="73">
        <v>54.456835769561479</v>
      </c>
      <c r="L12" s="73">
        <v>43.927376408474331</v>
      </c>
      <c r="M12" s="73">
        <v>27.980250636046858</v>
      </c>
      <c r="N12" s="73">
        <v>18.152278589853829</v>
      </c>
      <c r="O12" s="73">
        <v>29.616852966466027</v>
      </c>
      <c r="P12" s="73">
        <v>24.839982803095445</v>
      </c>
      <c r="Q12" s="73">
        <v>20.063026655202066</v>
      </c>
      <c r="R12" s="73">
        <v>18.152278589853829</v>
      </c>
      <c r="S12" s="73">
        <v>22.532760103181417</v>
      </c>
      <c r="T12" s="73">
        <v>24.163542562338776</v>
      </c>
      <c r="U12" s="73">
        <v>16.724419604471187</v>
      </c>
      <c r="V12" s="73">
        <v>15.728546861564922</v>
      </c>
      <c r="W12" s="73">
        <v>25.659415305245041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2545.798468831988</v>
      </c>
      <c r="C19" s="62">
        <f>IF(C3=0,0,C3/MBunk_act!C7*100)</f>
        <v>2638.4254075616427</v>
      </c>
      <c r="D19" s="62">
        <f>IF(D3=0,0,D3/MBunk_act!D7*100)</f>
        <v>2891.7022565853499</v>
      </c>
      <c r="E19" s="62">
        <f>IF(E3=0,0,E3/MBunk_act!E7*100)</f>
        <v>3931.3689524031561</v>
      </c>
      <c r="F19" s="62">
        <f>IF(F3=0,0,F3/MBunk_act!F7*100)</f>
        <v>3302.7991420796902</v>
      </c>
      <c r="G19" s="62">
        <f>IF(G3=0,0,G3/MBunk_act!G7*100)</f>
        <v>3238.9415311272351</v>
      </c>
      <c r="H19" s="62">
        <f>IF(H3=0,0,H3/MBunk_act!H7*100)</f>
        <v>2716.978965456432</v>
      </c>
      <c r="I19" s="62">
        <f>IF(I3=0,0,I3/MBunk_act!I7*100)</f>
        <v>2052.79970922035</v>
      </c>
      <c r="J19" s="62">
        <f>IF(J3=0,0,J3/MBunk_act!J7*100)</f>
        <v>4863.9414427323018</v>
      </c>
      <c r="K19" s="62">
        <f>IF(K3=0,0,K3/MBunk_act!K7*100)</f>
        <v>7544.4538752807657</v>
      </c>
      <c r="L19" s="62">
        <f>IF(L3=0,0,L3/MBunk_act!L7*100)</f>
        <v>3584.3220507544247</v>
      </c>
      <c r="M19" s="62">
        <f>IF(M3=0,0,M3/MBunk_act!M7*100)</f>
        <v>2561.3646658550474</v>
      </c>
      <c r="N19" s="62">
        <f>IF(N3=0,0,N3/MBunk_act!N7*100)</f>
        <v>2413.5546830246426</v>
      </c>
      <c r="O19" s="62">
        <f>IF(O3=0,0,O3/MBunk_act!O7*100)</f>
        <v>2782.4586684400447</v>
      </c>
      <c r="P19" s="62">
        <f>IF(P3=0,0,P3/MBunk_act!P7*100)</f>
        <v>2843.3830116793029</v>
      </c>
      <c r="Q19" s="62">
        <f>IF(Q3=0,0,Q3/MBunk_act!Q7*100)</f>
        <v>3608.2694369408409</v>
      </c>
      <c r="R19" s="62">
        <f>IF(R3=0,0,R3/MBunk_act!R7*100)</f>
        <v>2783.8326877254894</v>
      </c>
      <c r="S19" s="62">
        <f>IF(S3=0,0,S3/MBunk_act!S7*100)</f>
        <v>2644.4614753459473</v>
      </c>
      <c r="T19" s="62">
        <f>IF(T3=0,0,T3/MBunk_act!T7*100)</f>
        <v>2544.0686575561285</v>
      </c>
      <c r="U19" s="62">
        <f>IF(U3=0,0,U3/MBunk_act!U7*100)</f>
        <v>2286.1186023051241</v>
      </c>
      <c r="V19" s="62">
        <f>IF(V3=0,0,V3/MBunk_act!V7*100)</f>
        <v>3411.1798688161712</v>
      </c>
      <c r="W19" s="62">
        <f>IF(W3=0,0,W3/MBunk_act!W7*100)</f>
        <v>3136.0640731243352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2071.0726322978035</v>
      </c>
      <c r="C20" s="63">
        <f>IF(C4=0,0,C4/MBunk_act!C8*100)</f>
        <v>2148.7085690204449</v>
      </c>
      <c r="D20" s="63">
        <f>IF(D4=0,0,D4/MBunk_act!D8*100)</f>
        <v>2347.4588045707164</v>
      </c>
      <c r="E20" s="63">
        <f>IF(E4=0,0,E4/MBunk_act!E8*100)</f>
        <v>3433.7111215084897</v>
      </c>
      <c r="F20" s="63">
        <f>IF(F4=0,0,F4/MBunk_act!F8*100)</f>
        <v>2916.3716152689049</v>
      </c>
      <c r="G20" s="63">
        <f>IF(G4=0,0,G4/MBunk_act!G8*100)</f>
        <v>2878.0843293401867</v>
      </c>
      <c r="H20" s="63">
        <f>IF(H4=0,0,H4/MBunk_act!H8*100)</f>
        <v>2332.1443092853224</v>
      </c>
      <c r="I20" s="63">
        <f>IF(I4=0,0,I4/MBunk_act!I8*100)</f>
        <v>1856.894297863822</v>
      </c>
      <c r="J20" s="63">
        <f>IF(J4=0,0,J4/MBunk_act!J8*100)</f>
        <v>4222.5170834617129</v>
      </c>
      <c r="K20" s="63">
        <f>IF(K4=0,0,K4/MBunk_act!K8*100)</f>
        <v>5960.7685328130328</v>
      </c>
      <c r="L20" s="63">
        <f>IF(L4=0,0,L4/MBunk_act!L8*100)</f>
        <v>2825.7932081525678</v>
      </c>
      <c r="M20" s="63">
        <f>IF(M4=0,0,M4/MBunk_act!M8*100)</f>
        <v>1961.7773532963843</v>
      </c>
      <c r="N20" s="63">
        <f>IF(N4=0,0,N4/MBunk_act!N8*100)</f>
        <v>1843.6400699194689</v>
      </c>
      <c r="O20" s="63">
        <f>IF(O4=0,0,O4/MBunk_act!O8*100)</f>
        <v>2119.7931654617691</v>
      </c>
      <c r="P20" s="63">
        <f>IF(P4=0,0,P4/MBunk_act!P8*100)</f>
        <v>2193.1788636311735</v>
      </c>
      <c r="Q20" s="63">
        <f>IF(Q4=0,0,Q4/MBunk_act!Q8*100)</f>
        <v>2832.6292494601935</v>
      </c>
      <c r="R20" s="63">
        <f>IF(R4=0,0,R4/MBunk_act!R8*100)</f>
        <v>2143.3988896716337</v>
      </c>
      <c r="S20" s="63">
        <f>IF(S4=0,0,S4/MBunk_act!S8*100)</f>
        <v>2012.4805495090036</v>
      </c>
      <c r="T20" s="63">
        <f>IF(T4=0,0,T4/MBunk_act!T8*100)</f>
        <v>1901.0405874012799</v>
      </c>
      <c r="U20" s="63">
        <f>IF(U4=0,0,U4/MBunk_act!U8*100)</f>
        <v>1706.3812575838938</v>
      </c>
      <c r="V20" s="63">
        <f>IF(V4=0,0,V4/MBunk_act!V8*100)</f>
        <v>2387.1523377676513</v>
      </c>
      <c r="W20" s="63">
        <f>IF(W4=0,0,W4/MBunk_act!W8*100)</f>
        <v>2190.2659736407586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3051.4262039287451</v>
      </c>
      <c r="C21" s="64">
        <f>IF(C10=0,0,C10/MBunk_act!C9*100)</f>
        <v>3153.2336184856995</v>
      </c>
      <c r="D21" s="64">
        <f>IF(D10=0,0,D10/MBunk_act!D9*100)</f>
        <v>3484.9687608344802</v>
      </c>
      <c r="E21" s="64">
        <f>IF(E10=0,0,E10/MBunk_act!E9*100)</f>
        <v>4246.4636807532661</v>
      </c>
      <c r="F21" s="64">
        <f>IF(F10=0,0,F10/MBunk_act!F9*100)</f>
        <v>3517.7393670599299</v>
      </c>
      <c r="G21" s="64">
        <f>IF(G10=0,0,G10/MBunk_act!G9*100)</f>
        <v>3434.964639092947</v>
      </c>
      <c r="H21" s="64">
        <f>IF(H10=0,0,H10/MBunk_act!H9*100)</f>
        <v>2972.4508808089995</v>
      </c>
      <c r="I21" s="64">
        <f>IF(I10=0,0,I10/MBunk_act!I9*100)</f>
        <v>2133.585434716485</v>
      </c>
      <c r="J21" s="64">
        <f>IF(J10=0,0,J10/MBunk_act!J9*100)</f>
        <v>5207.2402329140868</v>
      </c>
      <c r="K21" s="64">
        <f>IF(K10=0,0,K10/MBunk_act!K9*100)</f>
        <v>9632.0805355823322</v>
      </c>
      <c r="L21" s="64">
        <f>IF(L10=0,0,L10/MBunk_act!L9*100)</f>
        <v>4357.4876439089558</v>
      </c>
      <c r="M21" s="64">
        <f>IF(M10=0,0,M10/MBunk_act!M9*100)</f>
        <v>3334.027518473195</v>
      </c>
      <c r="N21" s="64">
        <f>IF(N10=0,0,N10/MBunk_act!N9*100)</f>
        <v>3141.6708704400712</v>
      </c>
      <c r="O21" s="64">
        <f>IF(O10=0,0,O10/MBunk_act!O9*100)</f>
        <v>3735.9263786653137</v>
      </c>
      <c r="P21" s="64">
        <f>IF(P10=0,0,P10/MBunk_act!P9*100)</f>
        <v>3646.4953128041616</v>
      </c>
      <c r="Q21" s="64">
        <f>IF(Q10=0,0,Q10/MBunk_act!Q9*100)</f>
        <v>4406.2516038612193</v>
      </c>
      <c r="R21" s="64">
        <f>IF(R10=0,0,R10/MBunk_act!R9*100)</f>
        <v>3601.6912199320395</v>
      </c>
      <c r="S21" s="64">
        <f>IF(S10=0,0,S10/MBunk_act!S9*100)</f>
        <v>3575.9099622350677</v>
      </c>
      <c r="T21" s="64">
        <f>IF(T10=0,0,T10/MBunk_act!T9*100)</f>
        <v>3601.1236914910733</v>
      </c>
      <c r="U21" s="64">
        <f>IF(U10=0,0,U10/MBunk_act!U9*100)</f>
        <v>3174.9138390058802</v>
      </c>
      <c r="V21" s="64">
        <f>IF(V10=0,0,V10/MBunk_act!V9*100)</f>
        <v>4937.3059037231924</v>
      </c>
      <c r="W21" s="64">
        <f>IF(W10=0,0,W10/MBunk_act!W9*100)</f>
        <v>4292.8801618151492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2.3094223110344321</v>
      </c>
      <c r="C23" s="62">
        <f>IF(C3=0,0,C3/MBunk_act!C3*1000)</f>
        <v>2.3307767049992245</v>
      </c>
      <c r="D23" s="62">
        <f>IF(D3=0,0,D3/MBunk_act!D3*1000)</f>
        <v>2.6235831852752183</v>
      </c>
      <c r="E23" s="62">
        <f>IF(E3=0,0,E3/MBunk_act!E3*1000)</f>
        <v>2.9853285515622821</v>
      </c>
      <c r="F23" s="62">
        <f>IF(F3=0,0,F3/MBunk_act!F3*1000)</f>
        <v>2.4560821296321089</v>
      </c>
      <c r="G23" s="62">
        <f>IF(G3=0,0,G3/MBunk_act!G3*1000)</f>
        <v>2.2409150370987785</v>
      </c>
      <c r="H23" s="62">
        <f>IF(H3=0,0,H3/MBunk_act!H3*1000)</f>
        <v>1.9421921222341689</v>
      </c>
      <c r="I23" s="62">
        <f>IF(I3=0,0,I3/MBunk_act!I3*1000)</f>
        <v>1.3289176385022778</v>
      </c>
      <c r="J23" s="62">
        <f>IF(J3=0,0,J3/MBunk_act!J3*1000)</f>
        <v>3.1354305118931372</v>
      </c>
      <c r="K23" s="62">
        <f>IF(K3=0,0,K3/MBunk_act!K3*1000)</f>
        <v>6.1907699982839164</v>
      </c>
      <c r="L23" s="62">
        <f>IF(L3=0,0,L3/MBunk_act!L3*1000)</f>
        <v>2.82530763617229</v>
      </c>
      <c r="M23" s="62">
        <f>IF(M3=0,0,M3/MBunk_act!M3*1000)</f>
        <v>2.3504602225834721</v>
      </c>
      <c r="N23" s="62">
        <f>IF(N3=0,0,N3/MBunk_act!N3*1000)</f>
        <v>2.0157817689257693</v>
      </c>
      <c r="O23" s="62">
        <f>IF(O3=0,0,O3/MBunk_act!O3*1000)</f>
        <v>2.0908144872169827</v>
      </c>
      <c r="P23" s="62">
        <f>IF(P3=0,0,P3/MBunk_act!P3*1000)</f>
        <v>1.8239886925987103</v>
      </c>
      <c r="Q23" s="62">
        <f>IF(Q3=0,0,Q3/MBunk_act!Q3*1000)</f>
        <v>1.9991693947516089</v>
      </c>
      <c r="R23" s="62">
        <f>IF(R3=0,0,R3/MBunk_act!R3*1000)</f>
        <v>1.6306840657889166</v>
      </c>
      <c r="S23" s="62">
        <f>IF(S3=0,0,S3/MBunk_act!S3*1000)</f>
        <v>1.6673188146783327</v>
      </c>
      <c r="T23" s="62">
        <f>IF(T3=0,0,T3/MBunk_act!T3*1000)</f>
        <v>1.7300312588750015</v>
      </c>
      <c r="U23" s="62">
        <f>IF(U3=0,0,U3/MBunk_act!U3*1000)</f>
        <v>1.4896557841764129</v>
      </c>
      <c r="V23" s="62">
        <f>IF(V3=0,0,V3/MBunk_act!V3*1000)</f>
        <v>2.1998302023635139</v>
      </c>
      <c r="W23" s="62">
        <f>IF(W3=0,0,W3/MBunk_act!W3*1000)</f>
        <v>1.876919374285317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4.0551223862995629</v>
      </c>
      <c r="C24" s="63">
        <f>IF(C4=0,0,C4/MBunk_act!C4*1000)</f>
        <v>4.1522038077386165</v>
      </c>
      <c r="D24" s="63">
        <f>IF(D4=0,0,D4/MBunk_act!D4*1000)</f>
        <v>4.54538300526987</v>
      </c>
      <c r="E24" s="63">
        <f>IF(E4=0,0,E4/MBunk_act!E4*1000)</f>
        <v>6.5679223293082343</v>
      </c>
      <c r="F24" s="63">
        <f>IF(F4=0,0,F4/MBunk_act!F4*1000)</f>
        <v>5.6392804336173672</v>
      </c>
      <c r="G24" s="63">
        <f>IF(G4=0,0,G4/MBunk_act!G4*1000)</f>
        <v>5.2618132726010129</v>
      </c>
      <c r="H24" s="63">
        <f>IF(H4=0,0,H4/MBunk_act!H4*1000)</f>
        <v>4.2368744778454683</v>
      </c>
      <c r="I24" s="63">
        <f>IF(I4=0,0,I4/MBunk_act!I4*1000)</f>
        <v>3.4344118449919181</v>
      </c>
      <c r="J24" s="63">
        <f>IF(J4=0,0,J4/MBunk_act!J4*1000)</f>
        <v>7.2586802604597045</v>
      </c>
      <c r="K24" s="63">
        <f>IF(K4=0,0,K4/MBunk_act!K4*1000)</f>
        <v>9.8228836590176876</v>
      </c>
      <c r="L24" s="63">
        <f>IF(L4=0,0,L4/MBunk_act!L4*1000)</f>
        <v>4.8280803480778527</v>
      </c>
      <c r="M24" s="63">
        <f>IF(M4=0,0,M4/MBunk_act!M4*1000)</f>
        <v>3.378188381542075</v>
      </c>
      <c r="N24" s="63">
        <f>IF(N4=0,0,N4/MBunk_act!N4*1000)</f>
        <v>3.0211050316145625</v>
      </c>
      <c r="O24" s="63">
        <f>IF(O4=0,0,O4/MBunk_act!O4*1000)</f>
        <v>3.1953768189575666</v>
      </c>
      <c r="P24" s="63">
        <f>IF(P4=0,0,P4/MBunk_act!P4*1000)</f>
        <v>3.2352516214763165</v>
      </c>
      <c r="Q24" s="63">
        <f>IF(Q4=0,0,Q4/MBunk_act!Q4*1000)</f>
        <v>3.9652748410853937</v>
      </c>
      <c r="R24" s="63">
        <f>IF(R4=0,0,R4/MBunk_act!R4*1000)</f>
        <v>2.8368949642158374</v>
      </c>
      <c r="S24" s="63">
        <f>IF(S4=0,0,S4/MBunk_act!S4*1000)</f>
        <v>2.7341699565840654</v>
      </c>
      <c r="T24" s="63">
        <f>IF(T4=0,0,T4/MBunk_act!T4*1000)</f>
        <v>2.5809420059149826</v>
      </c>
      <c r="U24" s="63">
        <f>IF(U4=0,0,U4/MBunk_act!U4*1000)</f>
        <v>2.3620433986503646</v>
      </c>
      <c r="V24" s="63">
        <f>IF(V4=0,0,V4/MBunk_act!V4*1000)</f>
        <v>3.1596853145043249</v>
      </c>
      <c r="W24" s="63">
        <f>IF(W4=0,0,W4/MBunk_act!W4*1000)</f>
        <v>3.0492436364594444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1.7612980771083961</v>
      </c>
      <c r="C25" s="64">
        <f>IF(C10=0,0,C10/MBunk_act!C5*1000)</f>
        <v>1.7734851284546997</v>
      </c>
      <c r="D25" s="64">
        <f>IF(D10=0,0,D10/MBunk_act!D5*1000)</f>
        <v>2.0020456657716279</v>
      </c>
      <c r="E25" s="64">
        <f>IF(E10=0,0,E10/MBunk_act!E5*1000)</f>
        <v>2.3336283124638264</v>
      </c>
      <c r="F25" s="64">
        <f>IF(F10=0,0,F10/MBunk_act!F5*1000)</f>
        <v>1.9488124583443034</v>
      </c>
      <c r="G25" s="64">
        <f>IF(G10=0,0,G10/MBunk_act!G5*1000)</f>
        <v>1.7766587275134689</v>
      </c>
      <c r="H25" s="64">
        <f>IF(H10=0,0,H10/MBunk_act!H5*1000)</f>
        <v>1.5148648662408464</v>
      </c>
      <c r="I25" s="64">
        <f>IF(I10=0,0,I10/MBunk_act!I5*1000)</f>
        <v>1.0892566983928647</v>
      </c>
      <c r="J25" s="64">
        <f>IF(J10=0,0,J10/MBunk_act!J5*1000)</f>
        <v>2.5153237222212721</v>
      </c>
      <c r="K25" s="64">
        <f>IF(K10=0,0,K10/MBunk_act!K5*1000)</f>
        <v>4.7561368475945516</v>
      </c>
      <c r="L25" s="64">
        <f>IF(L10=0,0,L10/MBunk_act!L5*1000)</f>
        <v>2.217325014736272</v>
      </c>
      <c r="M25" s="64">
        <f>IF(M10=0,0,M10/MBunk_act!M5*1000)</f>
        <v>1.9098852671410713</v>
      </c>
      <c r="N25" s="64">
        <f>IF(N10=0,0,N10/MBunk_act!N5*1000)</f>
        <v>1.613288744137459</v>
      </c>
      <c r="O25" s="64">
        <f>IF(O10=0,0,O10/MBunk_act!O5*1000)</f>
        <v>1.6306313159959791</v>
      </c>
      <c r="P25" s="64">
        <f>IF(P10=0,0,P10/MBunk_act!P5*1000)</f>
        <v>1.377573020316665</v>
      </c>
      <c r="Q25" s="64">
        <f>IF(Q10=0,0,Q10/MBunk_act!Q5*1000)</f>
        <v>1.5054731256613958</v>
      </c>
      <c r="R25" s="64">
        <f>IF(R10=0,0,R10/MBunk_act!R5*1000)</f>
        <v>1.2324421250414543</v>
      </c>
      <c r="S25" s="64">
        <f>IF(S10=0,0,S10/MBunk_act!S5*1000)</f>
        <v>1.2596353148483626</v>
      </c>
      <c r="T25" s="64">
        <f>IF(T10=0,0,T10/MBunk_act!T5*1000)</f>
        <v>1.3451701671559053</v>
      </c>
      <c r="U25" s="64">
        <f>IF(U10=0,0,U10/MBunk_act!U5*1000)</f>
        <v>1.1420903062016166</v>
      </c>
      <c r="V25" s="64">
        <f>IF(V10=0,0,V10/MBunk_act!V5*1000)</f>
        <v>1.8047779859245603</v>
      </c>
      <c r="W25" s="64">
        <f>IF(W10=0,0,W10/MBunk_act!W5*1000)</f>
        <v>1.5137401939745208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0.41958452440462185</v>
      </c>
      <c r="C28" s="77">
        <f t="shared" si="3"/>
        <v>0.41736630961826587</v>
      </c>
      <c r="D28" s="77">
        <f t="shared" si="3"/>
        <v>0.42338847105428984</v>
      </c>
      <c r="E28" s="77">
        <f t="shared" si="3"/>
        <v>0.33861231053610125</v>
      </c>
      <c r="F28" s="77">
        <f t="shared" si="3"/>
        <v>0.31560092193668732</v>
      </c>
      <c r="G28" s="77">
        <f t="shared" si="3"/>
        <v>0.31278492596371882</v>
      </c>
      <c r="H28" s="77">
        <f t="shared" si="3"/>
        <v>0.34247143157349602</v>
      </c>
      <c r="I28" s="77">
        <f t="shared" si="3"/>
        <v>0.26410704546026309</v>
      </c>
      <c r="J28" s="77">
        <f t="shared" si="3"/>
        <v>0.30265036551871705</v>
      </c>
      <c r="K28" s="77">
        <f t="shared" si="3"/>
        <v>0.44926852145371599</v>
      </c>
      <c r="L28" s="77">
        <f t="shared" si="3"/>
        <v>0.39795479082879814</v>
      </c>
      <c r="M28" s="77">
        <f t="shared" si="3"/>
        <v>0.43125589437646911</v>
      </c>
      <c r="N28" s="77">
        <f t="shared" si="3"/>
        <v>0.42848407360769741</v>
      </c>
      <c r="O28" s="77">
        <f t="shared" si="3"/>
        <v>0.44946264180205392</v>
      </c>
      <c r="P28" s="77">
        <f t="shared" si="3"/>
        <v>0.42624056257564596</v>
      </c>
      <c r="Q28" s="77">
        <f t="shared" si="3"/>
        <v>0.39809199539872203</v>
      </c>
      <c r="R28" s="77">
        <f t="shared" si="3"/>
        <v>0.43181076840914406</v>
      </c>
      <c r="S28" s="77">
        <f t="shared" si="3"/>
        <v>0.45339320861930138</v>
      </c>
      <c r="T28" s="77">
        <f t="shared" si="3"/>
        <v>0.46461155771952761</v>
      </c>
      <c r="U28" s="77">
        <f t="shared" si="3"/>
        <v>0.45174717646852908</v>
      </c>
      <c r="V28" s="77">
        <f t="shared" si="3"/>
        <v>0.41879316225130053</v>
      </c>
      <c r="W28" s="77">
        <f t="shared" si="3"/>
        <v>0.38425246174613331</v>
      </c>
      <c r="DA28" s="184"/>
    </row>
    <row r="29" spans="1:105" ht="11.45" customHeight="1" x14ac:dyDescent="0.25">
      <c r="A29" s="57" t="s">
        <v>171</v>
      </c>
      <c r="B29" s="78">
        <f>IF(B10=0,0,B10/B$3)</f>
        <v>0.58041547559537809</v>
      </c>
      <c r="C29" s="78">
        <f t="shared" ref="C29:W29" si="4">IF(C10=0,0,C10/C$3)</f>
        <v>0.58263369038173407</v>
      </c>
      <c r="D29" s="78">
        <f t="shared" si="4"/>
        <v>0.57661152894571022</v>
      </c>
      <c r="E29" s="78">
        <f t="shared" si="4"/>
        <v>0.66138768946389881</v>
      </c>
      <c r="F29" s="78">
        <f t="shared" si="4"/>
        <v>0.68439907806331268</v>
      </c>
      <c r="G29" s="78">
        <f t="shared" si="4"/>
        <v>0.68721507403628113</v>
      </c>
      <c r="H29" s="78">
        <f t="shared" si="4"/>
        <v>0.65752856842650398</v>
      </c>
      <c r="I29" s="78">
        <f t="shared" si="4"/>
        <v>0.73589295453973691</v>
      </c>
      <c r="J29" s="78">
        <f t="shared" si="4"/>
        <v>0.69734963448128295</v>
      </c>
      <c r="K29" s="78">
        <f t="shared" si="4"/>
        <v>0.55073147854628401</v>
      </c>
      <c r="L29" s="78">
        <f t="shared" si="4"/>
        <v>0.60204520917120186</v>
      </c>
      <c r="M29" s="78">
        <f t="shared" si="4"/>
        <v>0.56874410562353095</v>
      </c>
      <c r="N29" s="78">
        <f t="shared" si="4"/>
        <v>0.57151592639230253</v>
      </c>
      <c r="O29" s="78">
        <f t="shared" si="4"/>
        <v>0.55053735819794614</v>
      </c>
      <c r="P29" s="78">
        <f t="shared" si="4"/>
        <v>0.57375943742435409</v>
      </c>
      <c r="Q29" s="78">
        <f t="shared" si="4"/>
        <v>0.60190800460127802</v>
      </c>
      <c r="R29" s="78">
        <f t="shared" si="4"/>
        <v>0.56818923159085599</v>
      </c>
      <c r="S29" s="78">
        <f t="shared" si="4"/>
        <v>0.54660679138069868</v>
      </c>
      <c r="T29" s="78">
        <f t="shared" si="4"/>
        <v>0.53538844228047244</v>
      </c>
      <c r="U29" s="78">
        <f t="shared" si="4"/>
        <v>0.54825282353147087</v>
      </c>
      <c r="V29" s="78">
        <f t="shared" si="4"/>
        <v>0.58120683774869941</v>
      </c>
      <c r="W29" s="78">
        <f t="shared" si="4"/>
        <v>0.61574753825386663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203.92308144</v>
      </c>
      <c r="C3" s="62">
        <f t="shared" ref="C3:W3" si="1">SUM(C4:C5)</f>
        <v>305.82533879999994</v>
      </c>
      <c r="D3" s="62">
        <f t="shared" si="1"/>
        <v>334.56158892000002</v>
      </c>
      <c r="E3" s="62">
        <f t="shared" si="1"/>
        <v>436.52312963999987</v>
      </c>
      <c r="F3" s="62">
        <f t="shared" si="1"/>
        <v>366.4244703600001</v>
      </c>
      <c r="G3" s="62">
        <f t="shared" si="1"/>
        <v>350.49302963999992</v>
      </c>
      <c r="H3" s="62">
        <f t="shared" si="1"/>
        <v>328.85639280000004</v>
      </c>
      <c r="I3" s="62">
        <f t="shared" si="1"/>
        <v>162.99036000000001</v>
      </c>
      <c r="J3" s="62">
        <f t="shared" si="1"/>
        <v>381.78564191999999</v>
      </c>
      <c r="K3" s="62">
        <f t="shared" si="1"/>
        <v>646.63640712000017</v>
      </c>
      <c r="L3" s="62">
        <f t="shared" si="1"/>
        <v>305.40632904000006</v>
      </c>
      <c r="M3" s="62">
        <f t="shared" si="1"/>
        <v>237.99992616</v>
      </c>
      <c r="N3" s="62">
        <f t="shared" si="1"/>
        <v>199.87331904000001</v>
      </c>
      <c r="O3" s="62">
        <f t="shared" si="1"/>
        <v>284.04167616000001</v>
      </c>
      <c r="P3" s="62">
        <f t="shared" si="1"/>
        <v>256.02411095999992</v>
      </c>
      <c r="Q3" s="62">
        <f t="shared" si="1"/>
        <v>271.88828711999997</v>
      </c>
      <c r="R3" s="62">
        <f t="shared" si="1"/>
        <v>243.75533904000002</v>
      </c>
      <c r="S3" s="62">
        <f t="shared" si="1"/>
        <v>251.55641663999995</v>
      </c>
      <c r="T3" s="62">
        <f t="shared" si="1"/>
        <v>258.10741260000009</v>
      </c>
      <c r="U3" s="62">
        <f t="shared" si="1"/>
        <v>237.50302895999999</v>
      </c>
      <c r="V3" s="62">
        <f t="shared" si="1"/>
        <v>264.98887559999991</v>
      </c>
      <c r="W3" s="62">
        <f t="shared" si="1"/>
        <v>267.84444564</v>
      </c>
      <c r="DA3" s="172" t="s">
        <v>985</v>
      </c>
    </row>
    <row r="4" spans="1:105" ht="11.45" customHeight="1" x14ac:dyDescent="0.25">
      <c r="A4" s="55" t="s">
        <v>170</v>
      </c>
      <c r="B4" s="63">
        <v>85.562969141127368</v>
      </c>
      <c r="C4" s="63">
        <v>127.5855508681606</v>
      </c>
      <c r="D4" s="63">
        <v>141.64951960633263</v>
      </c>
      <c r="E4" s="63">
        <v>147.81210552985041</v>
      </c>
      <c r="F4" s="63">
        <v>115.64390066577838</v>
      </c>
      <c r="G4" s="63">
        <v>109.62893632674687</v>
      </c>
      <c r="H4" s="63">
        <v>112.62391962431195</v>
      </c>
      <c r="I4" s="63">
        <v>43.046902418104658</v>
      </c>
      <c r="J4" s="63">
        <v>114.9083657059135</v>
      </c>
      <c r="K4" s="63">
        <v>287.13308796863117</v>
      </c>
      <c r="L4" s="63">
        <v>119.12432990124117</v>
      </c>
      <c r="M4" s="63">
        <v>100.97191743440663</v>
      </c>
      <c r="N4" s="63">
        <v>84.567896456741025</v>
      </c>
      <c r="O4" s="63">
        <v>125.82692339166582</v>
      </c>
      <c r="P4" s="63">
        <v>107.66500291512283</v>
      </c>
      <c r="Q4" s="63">
        <v>107.13304131034049</v>
      </c>
      <c r="R4" s="63">
        <v>104.17319941751394</v>
      </c>
      <c r="S4" s="63">
        <v>112.64245569032947</v>
      </c>
      <c r="T4" s="63">
        <v>118.36856212526217</v>
      </c>
      <c r="U4" s="63">
        <v>106.29921047603004</v>
      </c>
      <c r="V4" s="63">
        <v>110.10864707836585</v>
      </c>
      <c r="W4" s="63">
        <v>101.59265088798328</v>
      </c>
      <c r="DA4" s="181" t="s">
        <v>986</v>
      </c>
    </row>
    <row r="5" spans="1:105" ht="11.45" customHeight="1" x14ac:dyDescent="0.25">
      <c r="A5" s="57" t="s">
        <v>171</v>
      </c>
      <c r="B5" s="64">
        <v>118.36011229887264</v>
      </c>
      <c r="C5" s="64">
        <v>178.23978793183937</v>
      </c>
      <c r="D5" s="64">
        <v>192.91206931366739</v>
      </c>
      <c r="E5" s="64">
        <v>288.71102411014948</v>
      </c>
      <c r="F5" s="64">
        <v>250.7805696942217</v>
      </c>
      <c r="G5" s="64">
        <v>240.86409331325302</v>
      </c>
      <c r="H5" s="64">
        <v>216.23247317568809</v>
      </c>
      <c r="I5" s="64">
        <v>119.94345758189536</v>
      </c>
      <c r="J5" s="64">
        <v>266.87727621408646</v>
      </c>
      <c r="K5" s="64">
        <v>359.503319151369</v>
      </c>
      <c r="L5" s="64">
        <v>186.28199913875886</v>
      </c>
      <c r="M5" s="64">
        <v>137.02800872559337</v>
      </c>
      <c r="N5" s="64">
        <v>115.30542258325899</v>
      </c>
      <c r="O5" s="64">
        <v>158.21475276833419</v>
      </c>
      <c r="P5" s="64">
        <v>148.3591080448771</v>
      </c>
      <c r="Q5" s="64">
        <v>164.75524580965947</v>
      </c>
      <c r="R5" s="64">
        <v>139.5821396224861</v>
      </c>
      <c r="S5" s="64">
        <v>138.9139609496705</v>
      </c>
      <c r="T5" s="64">
        <v>139.73885047473789</v>
      </c>
      <c r="U5" s="64">
        <v>131.20381848396994</v>
      </c>
      <c r="V5" s="64">
        <v>154.88022852163408</v>
      </c>
      <c r="W5" s="64">
        <v>166.25179475201674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3.1024188000000001</v>
      </c>
      <c r="C9" s="79">
        <f>IF(C3=0,0,C3/MBunk_ene!C3)</f>
        <v>3.1037718162877068</v>
      </c>
      <c r="D9" s="79">
        <f>IF(D3=0,0,D3/MBunk_ene!D3)</f>
        <v>3.1024188000000001</v>
      </c>
      <c r="E9" s="79">
        <f>IF(E3=0,0,E3/MBunk_ene!E3)</f>
        <v>3.1024187999999997</v>
      </c>
      <c r="F9" s="79">
        <f>IF(F3=0,0,F3/MBunk_ene!F3)</f>
        <v>3.1024188000000006</v>
      </c>
      <c r="G9" s="79">
        <f>IF(G3=0,0,G3/MBunk_ene!G3)</f>
        <v>3.1024188000000006</v>
      </c>
      <c r="H9" s="79">
        <f>IF(H3=0,0,H3/MBunk_ene!H3)</f>
        <v>3.1024188000000001</v>
      </c>
      <c r="I9" s="79">
        <f>IF(I3=0,0,I3/MBunk_ene!I3)</f>
        <v>3.1024188000000006</v>
      </c>
      <c r="J9" s="79">
        <f>IF(J3=0,0,J3/MBunk_ene!J3)</f>
        <v>3.1196765603976182</v>
      </c>
      <c r="K9" s="79">
        <f>IF(K3=0,0,K3/MBunk_ene!K3)</f>
        <v>3.1389422446412585</v>
      </c>
      <c r="L9" s="79">
        <f>IF(L3=0,0,L3/MBunk_ene!L3)</f>
        <v>3.1653513838962466</v>
      </c>
      <c r="M9" s="79">
        <f>IF(M3=0,0,M3/MBunk_ene!M3)</f>
        <v>3.1536493826331271</v>
      </c>
      <c r="N9" s="79">
        <f>IF(N3=0,0,N3/MBunk_ene!N3)</f>
        <v>3.1418424547789385</v>
      </c>
      <c r="O9" s="79">
        <f>IF(O3=0,0,O3/MBunk_ene!O3)</f>
        <v>3.1477665256467238</v>
      </c>
      <c r="P9" s="79">
        <f>IF(P3=0,0,P3/MBunk_ene!P3)</f>
        <v>3.1445717612780371</v>
      </c>
      <c r="Q9" s="79">
        <f>IF(Q3=0,0,Q3/MBunk_ene!Q3)</f>
        <v>3.1343748461892105</v>
      </c>
      <c r="R9" s="79">
        <f>IF(R3=0,0,R3/MBunk_ene!R3)</f>
        <v>3.134671434344471</v>
      </c>
      <c r="S9" s="79">
        <f>IF(S3=0,0,S3/MBunk_ene!S3)</f>
        <v>3.1412950058015583</v>
      </c>
      <c r="T9" s="79">
        <f>IF(T3=0,0,T3/MBunk_ene!T3)</f>
        <v>3.1430735056923793</v>
      </c>
      <c r="U9" s="79">
        <f>IF(U3=0,0,U3/MBunk_ene!U3)</f>
        <v>3.1313743088076986</v>
      </c>
      <c r="V9" s="79">
        <f>IF(V3=0,0,V3/MBunk_ene!V3)</f>
        <v>3.126844050714233</v>
      </c>
      <c r="W9" s="79">
        <f>IF(W3=0,0,W3/MBunk_ene!W3)</f>
        <v>3.142949725202171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3.1024187999999997</v>
      </c>
      <c r="C10" s="80">
        <f>IF(C4=0,0,C4/MBunk_ene!C4)</f>
        <v>3.1024188000000001</v>
      </c>
      <c r="D10" s="80">
        <f>IF(D4=0,0,D4/MBunk_ene!D4)</f>
        <v>3.1024188000000001</v>
      </c>
      <c r="E10" s="80">
        <f>IF(E4=0,0,E4/MBunk_ene!E4)</f>
        <v>3.1024188000000001</v>
      </c>
      <c r="F10" s="80">
        <f>IF(F4=0,0,F4/MBunk_ene!F4)</f>
        <v>3.1024188000000006</v>
      </c>
      <c r="G10" s="80">
        <f>IF(G4=0,0,G4/MBunk_ene!G4)</f>
        <v>3.1024187999999997</v>
      </c>
      <c r="H10" s="80">
        <f>IF(H4=0,0,H4/MBunk_ene!H4)</f>
        <v>3.1024188000000001</v>
      </c>
      <c r="I10" s="80">
        <f>IF(I4=0,0,I4/MBunk_ene!I4)</f>
        <v>3.1024188000000006</v>
      </c>
      <c r="J10" s="80">
        <f>IF(J4=0,0,J4/MBunk_ene!J4)</f>
        <v>3.1024187999999997</v>
      </c>
      <c r="K10" s="80">
        <f>IF(K4=0,0,K4/MBunk_ene!K4)</f>
        <v>3.1024188000000001</v>
      </c>
      <c r="L10" s="80">
        <f>IF(L4=0,0,L4/MBunk_ene!L4)</f>
        <v>3.1024916995227327</v>
      </c>
      <c r="M10" s="80">
        <f>IF(M4=0,0,M4/MBunk_ene!M4)</f>
        <v>3.1024310957736176</v>
      </c>
      <c r="N10" s="80">
        <f>IF(N4=0,0,N4/MBunk_ene!N4)</f>
        <v>3.1024188000000001</v>
      </c>
      <c r="O10" s="80">
        <f>IF(O4=0,0,O4/MBunk_ene!O4)</f>
        <v>3.1024188000000001</v>
      </c>
      <c r="P10" s="80">
        <f>IF(P4=0,0,P4/MBunk_ene!P4)</f>
        <v>3.1024187999999997</v>
      </c>
      <c r="Q10" s="80">
        <f>IF(Q4=0,0,Q4/MBunk_ene!Q4)</f>
        <v>3.1024188000000001</v>
      </c>
      <c r="R10" s="80">
        <f>IF(R4=0,0,R4/MBunk_ene!R4)</f>
        <v>3.102418800000001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3.1024187999999997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3.1024188000000001</v>
      </c>
      <c r="C11" s="81">
        <f>IF(C5=0,0,C5/MBunk_ene!C10)</f>
        <v>3.1047410417619217</v>
      </c>
      <c r="D11" s="81">
        <f>IF(D5=0,0,D5/MBunk_ene!D10)</f>
        <v>3.1024188000000006</v>
      </c>
      <c r="E11" s="81">
        <f>IF(E5=0,0,E5/MBunk_ene!E10)</f>
        <v>3.1024188000000001</v>
      </c>
      <c r="F11" s="81">
        <f>IF(F5=0,0,F5/MBunk_ene!F10)</f>
        <v>3.1024188000000006</v>
      </c>
      <c r="G11" s="81">
        <f>IF(G5=0,0,G5/MBunk_ene!G10)</f>
        <v>3.1024188000000001</v>
      </c>
      <c r="H11" s="81">
        <f>IF(H5=0,0,H5/MBunk_ene!H10)</f>
        <v>3.1024187999999997</v>
      </c>
      <c r="I11" s="81">
        <f>IF(I5=0,0,I5/MBunk_ene!I10)</f>
        <v>3.1024188000000001</v>
      </c>
      <c r="J11" s="81">
        <f>IF(J5=0,0,J5/MBunk_ene!J10)</f>
        <v>3.1271664438565208</v>
      </c>
      <c r="K11" s="81">
        <f>IF(K5=0,0,K5/MBunk_ene!K10)</f>
        <v>3.1687368625477705</v>
      </c>
      <c r="L11" s="81">
        <f>IF(L5=0,0,L5/MBunk_ene!L10)</f>
        <v>3.2069019388468667</v>
      </c>
      <c r="M11" s="81">
        <f>IF(M5=0,0,M5/MBunk_ene!M10)</f>
        <v>3.1924861598227783</v>
      </c>
      <c r="N11" s="81">
        <f>IF(N5=0,0,N5/MBunk_ene!N10)</f>
        <v>3.1713996506786515</v>
      </c>
      <c r="O11" s="81">
        <f>IF(O5=0,0,O5/MBunk_ene!O10)</f>
        <v>3.184788733613876</v>
      </c>
      <c r="P11" s="81">
        <f>IF(P5=0,0,P5/MBunk_ene!P10)</f>
        <v>3.1758868051055282</v>
      </c>
      <c r="Q11" s="81">
        <f>IF(Q5=0,0,Q5/MBunk_ene!Q10)</f>
        <v>3.1555100464112833</v>
      </c>
      <c r="R11" s="81">
        <f>IF(R5=0,0,R5/MBunk_ene!R10)</f>
        <v>3.1591826958136671</v>
      </c>
      <c r="S11" s="81">
        <f>IF(S5=0,0,S5/MBunk_ene!S10)</f>
        <v>3.1735416005480124</v>
      </c>
      <c r="T11" s="81">
        <f>IF(T5=0,0,T5/MBunk_ene!T10)</f>
        <v>3.1783537707274427</v>
      </c>
      <c r="U11" s="81">
        <f>IF(U5=0,0,U5/MBunk_ene!U10)</f>
        <v>3.1552329535527104</v>
      </c>
      <c r="V11" s="81">
        <f>IF(V5=0,0,V5/MBunk_ene!V10)</f>
        <v>3.1444438573941014</v>
      </c>
      <c r="W11" s="81">
        <f>IF(W5=0,0,W5/MBunk_ene!W10)</f>
        <v>3.1682427338107773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7898.133030715574</v>
      </c>
      <c r="C13" s="62">
        <f>IF(C3=0,0,C3/MBunk_act!C7*100)</f>
        <v>8189.0704193672318</v>
      </c>
      <c r="D13" s="62">
        <f>IF(D3=0,0,D3/MBunk_act!D7*100)</f>
        <v>8971.2714448328152</v>
      </c>
      <c r="E13" s="62">
        <f>IF(E3=0,0,E3/MBunk_act!E7*100)</f>
        <v>12196.752947671856</v>
      </c>
      <c r="F13" s="62">
        <f>IF(F3=0,0,F3/MBunk_act!F7*100)</f>
        <v>10246.666151011905</v>
      </c>
      <c r="G13" s="62">
        <f>IF(G3=0,0,G3/MBunk_act!G7*100)</f>
        <v>10048.553098269922</v>
      </c>
      <c r="H13" s="62">
        <f>IF(H3=0,0,H3/MBunk_act!H7*100)</f>
        <v>8429.2066216365856</v>
      </c>
      <c r="I13" s="62">
        <f>IF(I3=0,0,I3/MBunk_act!I7*100)</f>
        <v>6368.644410519747</v>
      </c>
      <c r="J13" s="62">
        <f>IF(J3=0,0,J3/MBunk_act!J7*100)</f>
        <v>15173.924110038535</v>
      </c>
      <c r="K13" s="62">
        <f>IF(K3=0,0,K3/MBunk_act!K7*100)</f>
        <v>23681.60498186625</v>
      </c>
      <c r="L13" s="62">
        <f>IF(L3=0,0,L3/MBunk_act!L7*100)</f>
        <v>11345.638763685349</v>
      </c>
      <c r="M13" s="62">
        <f>IF(M3=0,0,M3/MBunk_act!M7*100)</f>
        <v>8077.6460971720762</v>
      </c>
      <c r="N13" s="62">
        <f>IF(N3=0,0,N3/MBunk_act!N7*100)</f>
        <v>7583.0085700573445</v>
      </c>
      <c r="O13" s="62">
        <f>IF(O3=0,0,O3/MBunk_act!O7*100)</f>
        <v>8758.5302555111284</v>
      </c>
      <c r="P13" s="62">
        <f>IF(P3=0,0,P3/MBunk_act!P7*100)</f>
        <v>8941.2219250244343</v>
      </c>
      <c r="Q13" s="62">
        <f>IF(Q3=0,0,Q3/MBunk_act!Q7*100)</f>
        <v>11309.668961420677</v>
      </c>
      <c r="R13" s="62">
        <f>IF(R3=0,0,R3/MBunk_act!R7*100)</f>
        <v>8726.4008042074856</v>
      </c>
      <c r="S13" s="62">
        <f>IF(S3=0,0,S3/MBunk_act!S7*100)</f>
        <v>8307.0336255388447</v>
      </c>
      <c r="T13" s="62">
        <f>IF(T3=0,0,T3/MBunk_act!T7*100)</f>
        <v>7996.1947942270453</v>
      </c>
      <c r="U13" s="62">
        <f>IF(U3=0,0,U3/MBunk_act!U7*100)</f>
        <v>7158.693058145629</v>
      </c>
      <c r="V13" s="62">
        <f>IF(V3=0,0,V3/MBunk_act!V7*100)</f>
        <v>10666.227478724004</v>
      </c>
      <c r="W13" s="62">
        <f>IF(W3=0,0,W3/MBunk_act!W7*100)</f>
        <v>9856.4917168425291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6425.334670606193</v>
      </c>
      <c r="C14" s="63">
        <f>IF(C4=0,0,C4/MBunk_act!C8*100)</f>
        <v>6666.193860250125</v>
      </c>
      <c r="D14" s="63">
        <f>IF(D4=0,0,D4/MBunk_act!D8*100)</f>
        <v>7282.8003275257179</v>
      </c>
      <c r="E14" s="63">
        <f>IF(E4=0,0,E4/MBunk_act!E8*100)</f>
        <v>10652.809937137023</v>
      </c>
      <c r="F14" s="63">
        <f>IF(F4=0,0,F4/MBunk_act!F8*100)</f>
        <v>9047.8061269966183</v>
      </c>
      <c r="G14" s="63">
        <f>IF(G4=0,0,G4/MBunk_act!G8*100)</f>
        <v>8929.0229313303862</v>
      </c>
      <c r="H14" s="63">
        <f>IF(H4=0,0,H4/MBunk_act!H8*100)</f>
        <v>7235.2883494397984</v>
      </c>
      <c r="I14" s="63">
        <f>IF(I4=0,0,I4/MBunk_act!I8*100)</f>
        <v>5760.8637793055223</v>
      </c>
      <c r="J14" s="63">
        <f>IF(J4=0,0,J4/MBunk_act!J8*100)</f>
        <v>13100.016383052787</v>
      </c>
      <c r="K14" s="63">
        <f>IF(K4=0,0,K4/MBunk_act!K8*100)</f>
        <v>18492.800358647572</v>
      </c>
      <c r="L14" s="63">
        <f>IF(L4=0,0,L4/MBunk_act!L8*100)</f>
        <v>8766.9999728610546</v>
      </c>
      <c r="M14" s="63">
        <f>IF(M4=0,0,M4/MBunk_act!M8*100)</f>
        <v>6086.2790638511688</v>
      </c>
      <c r="N14" s="63">
        <f>IF(N4=0,0,N4/MBunk_act!N8*100)</f>
        <v>5719.7436133514748</v>
      </c>
      <c r="O14" s="63">
        <f>IF(O4=0,0,O4/MBunk_act!O8*100)</f>
        <v>6576.4861686401036</v>
      </c>
      <c r="P14" s="63">
        <f>IF(P4=0,0,P4/MBunk_act!P8*100)</f>
        <v>6804.1593382919882</v>
      </c>
      <c r="Q14" s="63">
        <f>IF(Q4=0,0,Q4/MBunk_act!Q8*100)</f>
        <v>8788.0022369551953</v>
      </c>
      <c r="R14" s="63">
        <f>IF(R4=0,0,R4/MBunk_act!R8*100)</f>
        <v>6649.7210112164039</v>
      </c>
      <c r="S14" s="63">
        <f>IF(S4=0,0,S4/MBunk_act!S8*100)</f>
        <v>6243.5574914310637</v>
      </c>
      <c r="T14" s="63">
        <f>IF(T4=0,0,T4/MBunk_act!T8*100)</f>
        <v>5897.8240579167759</v>
      </c>
      <c r="U14" s="63">
        <f>IF(U4=0,0,U4/MBunk_act!U8*100)</f>
        <v>5293.9092934959153</v>
      </c>
      <c r="V14" s="63">
        <f>IF(V4=0,0,V4/MBunk_act!V8*100)</f>
        <v>7405.9462911543123</v>
      </c>
      <c r="W14" s="63">
        <f>IF(W4=0,0,W4/MBunk_act!W8*100)</f>
        <v>6795.1223336233925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9466.8020218811725</v>
      </c>
      <c r="C15" s="64">
        <f>IF(C5=0,0,C5/MBunk_act!C9*100)</f>
        <v>9789.9738295760053</v>
      </c>
      <c r="D15" s="64">
        <f>IF(D5=0,0,D5/MBunk_act!D9*100)</f>
        <v>10811.832601025597</v>
      </c>
      <c r="E15" s="64">
        <f>IF(E5=0,0,E5/MBunk_act!E9*100)</f>
        <v>13174.308756686129</v>
      </c>
      <c r="F15" s="64">
        <f>IF(F5=0,0,F5/MBunk_act!F9*100)</f>
        <v>10913.50074586683</v>
      </c>
      <c r="G15" s="64">
        <f>IF(G5=0,0,G5/MBunk_act!G9*100)</f>
        <v>10656.698873657175</v>
      </c>
      <c r="H15" s="64">
        <f>IF(H5=0,0,H5/MBunk_act!H9*100)</f>
        <v>9221.7874946983993</v>
      </c>
      <c r="I15" s="64">
        <f>IF(I5=0,0,I5/MBunk_act!I9*100)</f>
        <v>6619.2755640705964</v>
      </c>
      <c r="J15" s="64">
        <f>IF(J5=0,0,J5/MBunk_act!J9*100)</f>
        <v>16283.906921468548</v>
      </c>
      <c r="K15" s="64">
        <f>IF(K5=0,0,K5/MBunk_act!K9*100)</f>
        <v>30521.528656128612</v>
      </c>
      <c r="L15" s="64">
        <f>IF(L5=0,0,L5/MBunk_act!L9*100)</f>
        <v>13974.035573752897</v>
      </c>
      <c r="M15" s="64">
        <f>IF(M5=0,0,M5/MBunk_act!M9*100)</f>
        <v>10643.836709193956</v>
      </c>
      <c r="N15" s="64">
        <f>IF(N5=0,0,N5/MBunk_act!N9*100)</f>
        <v>9963.493901060936</v>
      </c>
      <c r="O15" s="64">
        <f>IF(O5=0,0,O5/MBunk_act!O9*100)</f>
        <v>11898.136240384178</v>
      </c>
      <c r="P15" s="64">
        <f>IF(P5=0,0,P5/MBunk_act!P9*100)</f>
        <v>11580.856348813892</v>
      </c>
      <c r="Q15" s="64">
        <f>IF(Q5=0,0,Q5/MBunk_act!Q9*100)</f>
        <v>13903.97120299991</v>
      </c>
      <c r="R15" s="64">
        <f>IF(R5=0,0,R5/MBunk_act!R9*100)</f>
        <v>11378.400577673317</v>
      </c>
      <c r="S15" s="64">
        <f>IF(S5=0,0,S5/MBunk_act!S9*100)</f>
        <v>11348.299024967058</v>
      </c>
      <c r="T15" s="64">
        <f>IF(T5=0,0,T5/MBunk_act!T9*100)</f>
        <v>11445.645063706579</v>
      </c>
      <c r="U15" s="64">
        <f>IF(U5=0,0,U5/MBunk_act!U9*100)</f>
        <v>10017.592769521898</v>
      </c>
      <c r="V15" s="64">
        <f>IF(V5=0,0,V5/MBunk_act!V9*100)</f>
        <v>15525.081221038028</v>
      </c>
      <c r="W15" s="64">
        <f>IF(W5=0,0,W5/MBunk_act!W9*100)</f>
        <v>13600.886379791282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7.1647951948926698</v>
      </c>
      <c r="C17" s="62">
        <f>IF(C3=0,0,C3/MBunk_act!C3*1000)</f>
        <v>7.2341990470365189</v>
      </c>
      <c r="D17" s="62">
        <f>IF(D3=0,0,D3/MBunk_act!D3*1000)</f>
        <v>8.1394537973617211</v>
      </c>
      <c r="E17" s="62">
        <f>IF(E3=0,0,E3/MBunk_act!E3*1000)</f>
        <v>9.2617394225435916</v>
      </c>
      <c r="F17" s="62">
        <f>IF(F3=0,0,F3/MBunk_act!F3*1000)</f>
        <v>7.6197953733146937</v>
      </c>
      <c r="G17" s="62">
        <f>IF(G3=0,0,G3/MBunk_act!G3*1000)</f>
        <v>6.9522569402979482</v>
      </c>
      <c r="H17" s="62">
        <f>IF(H3=0,0,H3/MBunk_act!H3*1000)</f>
        <v>6.025493353231183</v>
      </c>
      <c r="I17" s="62">
        <f>IF(I3=0,0,I3/MBunk_act!I3*1000)</f>
        <v>4.1228590653410704</v>
      </c>
      <c r="J17" s="62">
        <f>IF(J3=0,0,J3/MBunk_act!J3*1000)</f>
        <v>9.7815290747085246</v>
      </c>
      <c r="K17" s="62">
        <f>IF(K3=0,0,K3/MBunk_act!K3*1000)</f>
        <v>19.432469474471073</v>
      </c>
      <c r="L17" s="62">
        <f>IF(L3=0,0,L3/MBunk_act!L3*1000)</f>
        <v>8.9430914360905902</v>
      </c>
      <c r="M17" s="62">
        <f>IF(M3=0,0,M3/MBunk_act!M3*1000)</f>
        <v>7.4125274298540882</v>
      </c>
      <c r="N17" s="62">
        <f>IF(N3=0,0,N3/MBunk_act!N3*1000)</f>
        <v>6.3332687411803699</v>
      </c>
      <c r="O17" s="62">
        <f>IF(O3=0,0,O3/MBunk_act!O3*1000)</f>
        <v>6.5813958541988384</v>
      </c>
      <c r="P17" s="62">
        <f>IF(P3=0,0,P3/MBunk_act!P3*1000)</f>
        <v>5.7356633356363504</v>
      </c>
      <c r="Q17" s="62">
        <f>IF(Q3=0,0,Q3/MBunk_act!Q3*1000)</f>
        <v>6.2661462641807519</v>
      </c>
      <c r="R17" s="62">
        <f>IF(R3=0,0,R3/MBunk_act!R3*1000)</f>
        <v>5.1116587594692167</v>
      </c>
      <c r="S17" s="62">
        <f>IF(S3=0,0,S3/MBunk_act!S3*1000)</f>
        <v>5.2375402656280201</v>
      </c>
      <c r="T17" s="62">
        <f>IF(T3=0,0,T3/MBunk_act!T3*1000)</f>
        <v>5.4376154137896506</v>
      </c>
      <c r="U17" s="62">
        <f>IF(U3=0,0,U3/MBunk_act!U3*1000)</f>
        <v>4.6646698515368055</v>
      </c>
      <c r="V17" s="62">
        <f>IF(V3=0,0,V3/MBunk_act!V3*1000)</f>
        <v>6.8785259808418404</v>
      </c>
      <c r="W17" s="62">
        <f>IF(W3=0,0,W3/MBunk_act!W3*1000)</f>
        <v>5.8990632316366689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12.580687927556625</v>
      </c>
      <c r="C18" s="63">
        <f>IF(C4=0,0,C4/MBunk_act!C4*1000)</f>
        <v>12.881875154559872</v>
      </c>
      <c r="D18" s="63">
        <f>IF(D4=0,0,D4/MBunk_act!D4*1000)</f>
        <v>14.101681688749743</v>
      </c>
      <c r="E18" s="63">
        <f>IF(E4=0,0,E4/MBunk_act!E4*1000)</f>
        <v>20.37644571138566</v>
      </c>
      <c r="F18" s="63">
        <f>IF(F4=0,0,F4/MBunk_act!F4*1000)</f>
        <v>17.495409635726674</v>
      </c>
      <c r="G18" s="63">
        <f>IF(G4=0,0,G4/MBunk_act!G4*1000)</f>
        <v>16.324348419006906</v>
      </c>
      <c r="H18" s="63">
        <f>IF(H4=0,0,H4/MBunk_act!H4*1000)</f>
        <v>13.144559033307965</v>
      </c>
      <c r="I18" s="63">
        <f>IF(I4=0,0,I4/MBunk_act!I4*1000)</f>
        <v>10.654983874845614</v>
      </c>
      <c r="J18" s="63">
        <f>IF(J4=0,0,J4/MBunk_act!J4*1000)</f>
        <v>22.519466103239083</v>
      </c>
      <c r="K18" s="63">
        <f>IF(K4=0,0,K4/MBunk_act!K4*1000)</f>
        <v>30.474698933949263</v>
      </c>
      <c r="L18" s="63">
        <f>IF(L4=0,0,L4/MBunk_act!L4*1000)</f>
        <v>14.979079204540364</v>
      </c>
      <c r="M18" s="63">
        <f>IF(M4=0,0,M4/MBunk_act!M4*1000)</f>
        <v>10.480596682277284</v>
      </c>
      <c r="N18" s="63">
        <f>IF(N4=0,0,N4/MBunk_act!N4*1000)</f>
        <v>9.3727330468556147</v>
      </c>
      <c r="O18" s="63">
        <f>IF(O4=0,0,O4/MBunk_act!O4*1000)</f>
        <v>9.9133971162181513</v>
      </c>
      <c r="P18" s="63">
        <f>IF(P4=0,0,P4/MBunk_act!P4*1000)</f>
        <v>10.037105453198608</v>
      </c>
      <c r="Q18" s="63">
        <f>IF(Q4=0,0,Q4/MBunk_act!Q4*1000)</f>
        <v>12.301943214150338</v>
      </c>
      <c r="R18" s="63">
        <f>IF(R4=0,0,R4/MBunk_act!R4*1000)</f>
        <v>8.801236270608543</v>
      </c>
      <c r="S18" s="63">
        <f>IF(S4=0,0,S4/MBunk_act!S4*1000)</f>
        <v>8.4825402757015862</v>
      </c>
      <c r="T18" s="63">
        <f>IF(T4=0,0,T4/MBunk_act!T4*1000)</f>
        <v>8.0071630008603538</v>
      </c>
      <c r="U18" s="63">
        <f>IF(U4=0,0,U4/MBunk_act!U4*1000)</f>
        <v>7.3280478463887873</v>
      </c>
      <c r="V18" s="63">
        <f>IF(V4=0,0,V4/MBunk_act!V4*1000)</f>
        <v>9.8026671218021306</v>
      </c>
      <c r="W18" s="63">
        <f>IF(W4=0,0,W4/MBunk_act!W4*1000)</f>
        <v>9.4600307835321455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5.4642842668249383</v>
      </c>
      <c r="C19" s="64">
        <f>IF(C5=0,0,C5/MBunk_act!C5*1000)</f>
        <v>5.5062120652677198</v>
      </c>
      <c r="D19" s="64">
        <f>IF(D5=0,0,D5/MBunk_act!D5*1000)</f>
        <v>6.2111841119484161</v>
      </c>
      <c r="E19" s="64">
        <f>IF(E5=0,0,E5/MBunk_act!E5*1000)</f>
        <v>7.2398923488000495</v>
      </c>
      <c r="F19" s="64">
        <f>IF(F5=0,0,F5/MBunk_act!F5*1000)</f>
        <v>6.0460324084415848</v>
      </c>
      <c r="G19" s="64">
        <f>IF(G5=0,0,G5/MBunk_act!G5*1000)</f>
        <v>5.511939437421864</v>
      </c>
      <c r="H19" s="64">
        <f>IF(H5=0,0,H5/MBunk_act!H5*1000)</f>
        <v>4.699745240485087</v>
      </c>
      <c r="I19" s="64">
        <f>IF(I5=0,0,I5/MBunk_act!I5*1000)</f>
        <v>3.3793304591199536</v>
      </c>
      <c r="J19" s="64">
        <f>IF(J5=0,0,J5/MBunk_act!J5*1000)</f>
        <v>7.8658359395666428</v>
      </c>
      <c r="K19" s="64">
        <f>IF(K5=0,0,K5/MBunk_act!K5*1000)</f>
        <v>15.070946152294603</v>
      </c>
      <c r="L19" s="64">
        <f>IF(L5=0,0,L5/MBunk_act!L5*1000)</f>
        <v>7.1107438888114078</v>
      </c>
      <c r="M19" s="64">
        <f>IF(M5=0,0,M5/MBunk_act!M5*1000)</f>
        <v>6.0972822821972992</v>
      </c>
      <c r="N19" s="64">
        <f>IF(N5=0,0,N5/MBunk_act!N5*1000)</f>
        <v>5.1163833596013379</v>
      </c>
      <c r="O19" s="64">
        <f>IF(O5=0,0,O5/MBunk_act!O5*1000)</f>
        <v>5.1932162438619631</v>
      </c>
      <c r="P19" s="64">
        <f>IF(P5=0,0,P5/MBunk_act!P5*1000)</f>
        <v>4.3750159782930664</v>
      </c>
      <c r="Q19" s="64">
        <f>IF(Q5=0,0,Q5/MBunk_act!Q5*1000)</f>
        <v>4.750535572626732</v>
      </c>
      <c r="R19" s="64">
        <f>IF(R5=0,0,R5/MBunk_act!R5*1000)</f>
        <v>3.8935098350227864</v>
      </c>
      <c r="S19" s="64">
        <f>IF(S5=0,0,S5/MBunk_act!S5*1000)</f>
        <v>3.9975050731906716</v>
      </c>
      <c r="T19" s="64">
        <f>IF(T5=0,0,T5/MBunk_act!T5*1000)</f>
        <v>4.2754266730500357</v>
      </c>
      <c r="U19" s="64">
        <f>IF(U5=0,0,U5/MBunk_act!U5*1000)</f>
        <v>3.6035609700604456</v>
      </c>
      <c r="V19" s="64">
        <f>IF(V5=0,0,V5/MBunk_act!V5*1000)</f>
        <v>5.675023051800582</v>
      </c>
      <c r="W19" s="64">
        <f>IF(W5=0,0,W5/MBunk_act!W5*1000)</f>
        <v>4.7958963704370916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0.41958452440462185</v>
      </c>
      <c r="C22" s="77">
        <f t="shared" si="2"/>
        <v>0.41718436859673519</v>
      </c>
      <c r="D22" s="77">
        <f t="shared" si="2"/>
        <v>0.42338847105428978</v>
      </c>
      <c r="E22" s="77">
        <f t="shared" si="2"/>
        <v>0.33861231053610125</v>
      </c>
      <c r="F22" s="77">
        <f t="shared" si="2"/>
        <v>0.31560092193668726</v>
      </c>
      <c r="G22" s="77">
        <f t="shared" si="2"/>
        <v>0.31278492596371876</v>
      </c>
      <c r="H22" s="77">
        <f t="shared" si="2"/>
        <v>0.34247143157349608</v>
      </c>
      <c r="I22" s="77">
        <f t="shared" si="2"/>
        <v>0.26410704546026315</v>
      </c>
      <c r="J22" s="77">
        <f t="shared" si="2"/>
        <v>0.30097613186299865</v>
      </c>
      <c r="K22" s="77">
        <f t="shared" si="2"/>
        <v>0.44404101718842159</v>
      </c>
      <c r="L22" s="77">
        <f t="shared" si="2"/>
        <v>0.39005193597556082</v>
      </c>
      <c r="M22" s="77">
        <f t="shared" si="2"/>
        <v>0.42425188555111709</v>
      </c>
      <c r="N22" s="77">
        <f t="shared" si="2"/>
        <v>0.42310748059282849</v>
      </c>
      <c r="O22" s="77">
        <f t="shared" si="2"/>
        <v>0.44298754004249646</v>
      </c>
      <c r="P22" s="77">
        <f t="shared" si="2"/>
        <v>0.42052681097658001</v>
      </c>
      <c r="Q22" s="77">
        <f t="shared" si="2"/>
        <v>0.39403330847811219</v>
      </c>
      <c r="R22" s="77">
        <f t="shared" si="2"/>
        <v>0.42736786741897465</v>
      </c>
      <c r="S22" s="77">
        <f t="shared" si="2"/>
        <v>0.44778208083449939</v>
      </c>
      <c r="T22" s="77">
        <f t="shared" si="2"/>
        <v>0.45860194766549733</v>
      </c>
      <c r="U22" s="77">
        <f t="shared" si="2"/>
        <v>0.44756991496699117</v>
      </c>
      <c r="V22" s="77">
        <f t="shared" si="2"/>
        <v>0.41552177173118238</v>
      </c>
      <c r="W22" s="77">
        <f t="shared" si="2"/>
        <v>0.37929720978619907</v>
      </c>
      <c r="DA22" s="184"/>
    </row>
    <row r="23" spans="1:105" ht="11.45" customHeight="1" x14ac:dyDescent="0.25">
      <c r="A23" s="57" t="s">
        <v>171</v>
      </c>
      <c r="B23" s="78">
        <f t="shared" si="2"/>
        <v>0.58041547559537821</v>
      </c>
      <c r="C23" s="78">
        <f t="shared" si="2"/>
        <v>0.58281563140326487</v>
      </c>
      <c r="D23" s="78">
        <f t="shared" si="2"/>
        <v>0.57661152894571022</v>
      </c>
      <c r="E23" s="78">
        <f t="shared" si="2"/>
        <v>0.66138768946389881</v>
      </c>
      <c r="F23" s="78">
        <f t="shared" si="2"/>
        <v>0.68439907806331268</v>
      </c>
      <c r="G23" s="78">
        <f t="shared" si="2"/>
        <v>0.68721507403628113</v>
      </c>
      <c r="H23" s="78">
        <f t="shared" si="2"/>
        <v>0.65752856842650398</v>
      </c>
      <c r="I23" s="78">
        <f t="shared" si="2"/>
        <v>0.73589295453973691</v>
      </c>
      <c r="J23" s="78">
        <f t="shared" si="2"/>
        <v>0.69902386813700124</v>
      </c>
      <c r="K23" s="78">
        <f t="shared" si="2"/>
        <v>0.55595898281157841</v>
      </c>
      <c r="L23" s="78">
        <f t="shared" si="2"/>
        <v>0.60994806402443913</v>
      </c>
      <c r="M23" s="78">
        <f t="shared" si="2"/>
        <v>0.57574811444888296</v>
      </c>
      <c r="N23" s="78">
        <f t="shared" si="2"/>
        <v>0.57689251940717146</v>
      </c>
      <c r="O23" s="78">
        <f t="shared" si="2"/>
        <v>0.55701245995750359</v>
      </c>
      <c r="P23" s="78">
        <f t="shared" si="2"/>
        <v>0.57947318902342004</v>
      </c>
      <c r="Q23" s="78">
        <f t="shared" si="2"/>
        <v>0.60596669152188776</v>
      </c>
      <c r="R23" s="78">
        <f t="shared" si="2"/>
        <v>0.57263213258102541</v>
      </c>
      <c r="S23" s="78">
        <f t="shared" si="2"/>
        <v>0.55221791916550067</v>
      </c>
      <c r="T23" s="78">
        <f t="shared" si="2"/>
        <v>0.54139805233450256</v>
      </c>
      <c r="U23" s="78">
        <f t="shared" si="2"/>
        <v>0.55243008503300872</v>
      </c>
      <c r="V23" s="78">
        <f t="shared" si="2"/>
        <v>0.58447822826881768</v>
      </c>
      <c r="W23" s="78">
        <f t="shared" si="2"/>
        <v>0.62070279021380093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CADF4-8DC3-4DEA-819E-0ACCF2F74437}"/>
</file>

<file path=customXml/itemProps2.xml><?xml version="1.0" encoding="utf-8"?>
<ds:datastoreItem xmlns:ds="http://schemas.openxmlformats.org/officeDocument/2006/customXml" ds:itemID="{7554A998-3D0B-4D12-B6CD-D14087AD3454}"/>
</file>

<file path=customXml/itemProps3.xml><?xml version="1.0" encoding="utf-8"?>
<ds:datastoreItem xmlns:ds="http://schemas.openxmlformats.org/officeDocument/2006/customXml" ds:itemID="{9DA10057-2828-47F2-9843-647A3AC1C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2024-05-20T16:46:47Z</dcterms:created>
  <dcterms:modified xsi:type="dcterms:W3CDTF">2024-05-20T16:46:47Z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