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E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K13" i="29"/>
  <c r="J13" i="29"/>
  <c r="I13" i="29"/>
  <c r="I5" i="29" s="1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P4" i="29" s="1"/>
  <c r="O12" i="29"/>
  <c r="N12" i="29"/>
  <c r="M12" i="29"/>
  <c r="M4" i="29" s="1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P6" i="29"/>
  <c r="O6" i="29"/>
  <c r="M6" i="29"/>
  <c r="H6" i="29"/>
  <c r="G6" i="29"/>
  <c r="F6" i="29"/>
  <c r="T5" i="29"/>
  <c r="S5" i="29"/>
  <c r="R5" i="29"/>
  <c r="L5" i="29"/>
  <c r="K5" i="29"/>
  <c r="J5" i="29"/>
  <c r="D5" i="29"/>
  <c r="W4" i="29"/>
  <c r="V4" i="29"/>
  <c r="O4" i="29"/>
  <c r="N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N11" i="29"/>
  <c r="U6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W3" i="8"/>
  <c r="W3" i="35"/>
  <c r="V3" i="31"/>
  <c r="W3" i="29"/>
  <c r="G3" i="29"/>
  <c r="N3" i="29"/>
  <c r="U19" i="25"/>
  <c r="U19" i="23"/>
  <c r="R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T3" i="14"/>
  <c r="U3" i="25"/>
  <c r="R3" i="12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L17" i="25"/>
  <c r="L16" i="18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F29" i="8"/>
  <c r="B29" i="8"/>
  <c r="N19" i="8"/>
  <c r="J19" i="8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19" i="24" l="1"/>
  <c r="C4" i="12"/>
  <c r="F4" i="12"/>
  <c r="C16" i="24"/>
  <c r="J19" i="13"/>
  <c r="J19" i="12"/>
  <c r="F4" i="24"/>
  <c r="C4" i="13"/>
  <c r="J19" i="23"/>
  <c r="J19" i="24"/>
  <c r="M29" i="24"/>
  <c r="C19" i="24"/>
  <c r="H16" i="24"/>
  <c r="G19" i="23"/>
  <c r="M29" i="23"/>
  <c r="M29" i="26" s="1"/>
  <c r="J29" i="13"/>
  <c r="J29" i="12"/>
  <c r="G19" i="24"/>
  <c r="L16" i="25"/>
  <c r="H16" i="23"/>
  <c r="G16" i="12"/>
  <c r="C4" i="24"/>
  <c r="P19" i="13"/>
  <c r="F16" i="12"/>
  <c r="O29" i="13"/>
  <c r="O29" i="12"/>
  <c r="K19" i="12"/>
  <c r="E4" i="13"/>
  <c r="E4" i="16" s="1"/>
  <c r="E19" i="24"/>
  <c r="I4" i="23"/>
  <c r="K4" i="24"/>
  <c r="K4" i="27" s="1"/>
  <c r="P29" i="13"/>
  <c r="P29" i="12"/>
  <c r="O29" i="23"/>
  <c r="G16" i="13"/>
  <c r="N29" i="23"/>
  <c r="N29" i="26" s="1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M4" i="17" s="1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M4" i="15" s="1"/>
  <c r="O19" i="24"/>
  <c r="P16" i="24"/>
  <c r="P16" i="27" s="1"/>
  <c r="L19" i="13"/>
  <c r="G4" i="23"/>
  <c r="P4" i="24"/>
  <c r="P4" i="27" s="1"/>
  <c r="C29" i="24"/>
  <c r="C29" i="27" s="1"/>
  <c r="G4" i="24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19" i="27" s="1"/>
  <c r="D4" i="24"/>
  <c r="P19" i="23"/>
  <c r="P19" i="26" s="1"/>
  <c r="N16" i="14"/>
  <c r="N16" i="17" s="1"/>
  <c r="D4" i="13"/>
  <c r="N16" i="12"/>
  <c r="N16" i="15" s="1"/>
  <c r="E16" i="12"/>
  <c r="E16" i="15" s="1"/>
  <c r="I16" i="14"/>
  <c r="Q4" i="23"/>
  <c r="Q4" i="26" s="1"/>
  <c r="J29" i="24"/>
  <c r="P16" i="13"/>
  <c r="P16" i="16" s="1"/>
  <c r="C29" i="12"/>
  <c r="C29" i="15" s="1"/>
  <c r="G16" i="24"/>
  <c r="I4" i="12"/>
  <c r="L16" i="13"/>
  <c r="L16" i="16" s="1"/>
  <c r="B29" i="13"/>
  <c r="L4" i="24"/>
  <c r="L4" i="27" s="1"/>
  <c r="Q29" i="23"/>
  <c r="G16" i="25"/>
  <c r="G16" i="28" s="1"/>
  <c r="Q4" i="24"/>
  <c r="Q4" i="27" s="1"/>
  <c r="D4" i="23"/>
  <c r="C29" i="13"/>
  <c r="B29" i="12"/>
  <c r="H19" i="24"/>
  <c r="H19" i="27" s="1"/>
  <c r="Q4" i="12"/>
  <c r="Q4" i="15" s="1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I19" i="27" s="1"/>
  <c r="K16" i="23"/>
  <c r="K16" i="26" s="1"/>
  <c r="E29" i="13"/>
  <c r="L16" i="24"/>
  <c r="L16" i="27" s="1"/>
  <c r="M4" i="13"/>
  <c r="M4" i="16" s="1"/>
  <c r="D27" i="13"/>
  <c r="D27" i="16" s="1"/>
  <c r="D27" i="12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Q19" i="16" s="1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E27" i="12"/>
  <c r="E27" i="13"/>
  <c r="E27" i="16" s="1"/>
  <c r="E19" i="23"/>
  <c r="D15" i="23"/>
  <c r="D15" i="26" s="1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G29" i="26" s="1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M29" i="12"/>
  <c r="M29" i="15" s="1"/>
  <c r="H16" i="12"/>
  <c r="H16" i="15" s="1"/>
  <c r="J15" i="24"/>
  <c r="J15" i="27" s="1"/>
  <c r="J15" i="23"/>
  <c r="L27" i="23"/>
  <c r="L27" i="26" s="1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6" s="1"/>
  <c r="K15" i="24"/>
  <c r="P27" i="23"/>
  <c r="P27" i="26" s="1"/>
  <c r="P27" i="24"/>
  <c r="P27" i="27" s="1"/>
  <c r="P16" i="12"/>
  <c r="P16" i="15" s="1"/>
  <c r="F4" i="13"/>
  <c r="L29" i="13"/>
  <c r="L29" i="16" s="1"/>
  <c r="L15" i="23"/>
  <c r="L15" i="26" s="1"/>
  <c r="L15" i="24"/>
  <c r="J27" i="12"/>
  <c r="J27" i="15" s="1"/>
  <c r="J27" i="13"/>
  <c r="J27" i="16" s="1"/>
  <c r="E16" i="24"/>
  <c r="D16" i="12"/>
  <c r="D16" i="15" s="1"/>
  <c r="M15" i="23"/>
  <c r="M15" i="26" s="1"/>
  <c r="M15" i="24"/>
  <c r="M15" i="27" s="1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1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54" i="6" l="1"/>
  <c r="B130" i="6"/>
  <c r="G3" i="13"/>
  <c r="D3" i="13"/>
  <c r="Q3" i="12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Q3" i="15" l="1"/>
  <c r="B153" i="6"/>
  <c r="M3" i="16"/>
  <c r="N3" i="16"/>
  <c r="Q3" i="16"/>
  <c r="F3" i="16"/>
  <c r="I3" i="16"/>
  <c r="L3" i="16"/>
  <c r="G3" i="16"/>
  <c r="C3" i="16"/>
  <c r="M3" i="15"/>
  <c r="J3" i="16"/>
  <c r="D3" i="16"/>
  <c r="B38" i="4"/>
  <c r="B24" i="4"/>
  <c r="B42" i="4"/>
  <c r="B43" i="4"/>
  <c r="B12" i="4"/>
  <c r="B30" i="4"/>
  <c r="B33" i="4"/>
  <c r="B15" i="4"/>
  <c r="B26" i="4"/>
  <c r="B14" i="4"/>
  <c r="B34" i="4"/>
  <c r="B21" i="4"/>
  <c r="B9" i="4"/>
  <c r="B16" i="4"/>
  <c r="B4" i="4"/>
  <c r="B7" i="4"/>
  <c r="B25" i="4"/>
  <c r="B13" i="4"/>
  <c r="B20" i="4"/>
  <c r="B23" i="4"/>
  <c r="B8" i="4"/>
  <c r="B27" i="4"/>
  <c r="B36" i="4"/>
  <c r="B37" i="4"/>
  <c r="B17" i="4"/>
  <c r="B28" i="4"/>
  <c r="B22" i="4"/>
  <c r="B10" i="4"/>
  <c r="B39" i="4"/>
  <c r="B44" i="4"/>
  <c r="B11" i="4"/>
  <c r="B29" i="4"/>
  <c r="B35" i="4"/>
  <c r="B4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<sst xmlns="http://schemas.openxmlformats.org/spreadsheetml/2006/main" count="2099" uniqueCount="1055">
  <si>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</si>
  <si>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</si>
  <si>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</si>
  <si>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</si>
  <si>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</si>
  <si>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</si>
  <si>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</si>
  <si>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</si>
  <si>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</si>
  <si>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</si>
  <si>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</si>
  <si>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</si>
  <si>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</si>
  <si>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</si>
  <si>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</si>
  <si>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</si>
  <si>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</si>
  <si>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</si>
  <si>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</si>
  <si>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</si>
  <si>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</si>
  <si>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</si>
  <si>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</si>
  <si>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</si>
  <si>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</si>
  <si>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</si>
  <si>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</si>
  <si>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</si>
  <si>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</si>
  <si>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</si>
  <si>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</si>
  <si>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</si>
  <si>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</si>
  <si>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</si>
  <si>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</si>
  <si>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</si>
  <si>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</si>
  <si>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</si>
  <si>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</si>
  <si>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</si>
  <si>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</si>
  <si>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</si>
  <si>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</si>
  <si>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</si>
  <si>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</si>
  <si>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</si>
  <si>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</si>
  <si>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</si>
  <si>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</si>
  <si>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</si>
  <si>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</si>
  <si>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</si>
  <si>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</si>
  <si>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</si>
  <si>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</si>
  <si>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</si>
  <si>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</si>
  <si>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</si>
  <si>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</si>
  <si>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</si>
  <si>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</si>
  <si>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</si>
  <si>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</si>
  <si>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</si>
  <si>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</si>
  <si>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</si>
  <si>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</si>
  <si>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</si>
  <si>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</si>
  <si>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</si>
  <si>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</si>
  <si>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</si>
  <si>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</si>
  <si>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</si>
  <si>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</si>
  <si>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</si>
  <si>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</si>
  <si>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</si>
  <si>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</si>
  <si>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</si>
  <si>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</si>
  <si>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</si>
  <si>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</si>
  <si>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</si>
  <si>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</si>
  <si>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</si>
  <si>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</si>
  <si>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</si>
  <si>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</si>
  <si>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</si>
  <si>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</si>
  <si>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</si>
  <si>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</si>
  <si>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</si>
  <si>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</si>
  <si>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</si>
  <si>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</si>
  <si>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</si>
  <si>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</si>
  <si>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</si>
  <si>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</si>
  <si>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</si>
  <si>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</si>
  <si>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</si>
  <si>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</si>
  <si>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</si>
  <si>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</si>
  <si>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</si>
  <si>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</si>
  <si>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</si>
  <si>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</si>
  <si>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</si>
  <si>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</si>
  <si>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</si>
  <si>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</si>
  <si>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</si>
  <si>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</si>
  <si>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</si>
  <si>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</si>
  <si>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</si>
  <si>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</si>
  <si>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</si>
  <si>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</si>
  <si>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</si>
  <si>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</si>
  <si>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</si>
  <si>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</si>
  <si>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</si>
  <si>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</si>
  <si>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</si>
  <si>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</si>
  <si>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</si>
  <si>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</si>
  <si>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</si>
  <si>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</si>
  <si>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</si>
  <si>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</si>
  <si>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</si>
  <si>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</si>
  <si>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</si>
  <si>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</si>
  <si>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</si>
  <si>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</si>
  <si>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</si>
  <si>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</si>
  <si>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</si>
  <si>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</si>
  <si>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</si>
  <si>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</si>
  <si>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</si>
  <si>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</si>
  <si>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</si>
  <si>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</si>
  <si>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</si>
  <si>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</si>
  <si>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</si>
  <si>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</si>
  <si>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</si>
  <si>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</si>
  <si>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</si>
  <si>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</si>
  <si>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</si>
  <si>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</si>
  <si>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</si>
  <si>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</si>
  <si>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</si>
  <si>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</si>
  <si>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</si>
  <si>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</si>
  <si>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</si>
  <si>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</si>
  <si>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</si>
  <si>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</si>
  <si>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</si>
  <si>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</si>
  <si>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</si>
  <si>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</si>
  <si>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</si>
  <si>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</si>
  <si>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</si>
  <si>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</si>
  <si>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</si>
  <si>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</si>
  <si>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</si>
  <si>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LV</t>
  </si>
  <si>
    <t>Latvia</t>
  </si>
  <si>
    <t>LV - Services sector summary</t>
  </si>
  <si>
    <t>Macro.number.LV.Population</t>
  </si>
  <si>
    <t>Macro.Meuro2015.LV.GDP</t>
  </si>
  <si>
    <t>Macro.Meuro2015.LV.VA</t>
  </si>
  <si>
    <t>Macro.number.LV.Employees</t>
  </si>
  <si>
    <t>NUM.number.LV.Ser.Bld</t>
  </si>
  <si>
    <t>SurfaceArea.ksqm.LV.Ser.Bld</t>
  </si>
  <si>
    <t>NUM.number.LV.Ser.BldNew</t>
  </si>
  <si>
    <t>SurfaceArea.ksqm.LV.Ser.BldNew</t>
  </si>
  <si>
    <t>HDD.Celsius.LV.Actual</t>
  </si>
  <si>
    <t>HDD.Celsius.LV.Mean</t>
  </si>
  <si>
    <t>HDD.ratio.LV.Relative</t>
  </si>
  <si>
    <t>FEC.ktoe.LV.ES.Ser</t>
  </si>
  <si>
    <t>FEC.ktoe.LV.ES.Ser.Solids</t>
  </si>
  <si>
    <t>FEC.ktoe.LV.ES.Ser.LPG</t>
  </si>
  <si>
    <t>FEC.ktoe.LV.ES.Ser.Oil</t>
  </si>
  <si>
    <t>FEC.ktoe.LV.ES.Ser.NG</t>
  </si>
  <si>
    <t>FEC.ktoe.LV.ES.Ser.Biomass_Waste</t>
  </si>
  <si>
    <t>FEC.ktoe.LV.ES.Ser.Biogas</t>
  </si>
  <si>
    <t>FEC.ktoe.LV.ES.Ser.LiqBio</t>
  </si>
  <si>
    <t>FEC.ktoe.LV.ES.Ser.Solar</t>
  </si>
  <si>
    <t>FEC.ktoe.LV.ES.Ser.Geo</t>
  </si>
  <si>
    <t>FEC.ktoe.LV.ES.Ser.Ambient</t>
  </si>
  <si>
    <t>FEC.ktoe.LV.ES.Ser.Steam_Distr</t>
  </si>
  <si>
    <t>FEC.ktoe.LV.ES.Ser.Elec</t>
  </si>
  <si>
    <t>FEC.ktoe.LV.Ser</t>
  </si>
  <si>
    <t>FEC.ktoe.LV.Ser.Bld.Thermal</t>
  </si>
  <si>
    <t>FEC.ktoe.LV.Ser.Bld.Thermal.SH</t>
  </si>
  <si>
    <t>FEC.ktoe.LV.Ser.Bld.Thermal.SC</t>
  </si>
  <si>
    <t>FEC.ktoe.LV.Ser.Bld.Thermal.HW</t>
  </si>
  <si>
    <t>FEC.ktoe.LV.Ser.Bld.Thermal.CA</t>
  </si>
  <si>
    <t>FEC.ktoe.LV.Ser.SEU</t>
  </si>
  <si>
    <t>EMI.ktCO2.LV.ES.Ser</t>
  </si>
  <si>
    <t>EMI.ktCO2.LV.ES.Ser.Solids</t>
  </si>
  <si>
    <t>EMI.ktCO2.LV.ES.Ser.LPG</t>
  </si>
  <si>
    <t>EMI.ktCO2.LV.ES.Ser.Oil</t>
  </si>
  <si>
    <t>EMI.ktCO2.LV.ES.Ser.NG</t>
  </si>
  <si>
    <t>EMI.ktCO2.LV.ES.Ser.Biomass_Waste</t>
  </si>
  <si>
    <t>EMI.ktCO2.LV.ES.Ser.Biogas</t>
  </si>
  <si>
    <t>EMI.ktCO2.LV.ES.Ser.LiqBio</t>
  </si>
  <si>
    <t>EMI.ktCO2.LV.ES.Ser.Solar</t>
  </si>
  <si>
    <t>EMI.ktCO2.LV.ES.Ser.Geo</t>
  </si>
  <si>
    <t>EMI.ktCO2.LV.ES.Ser.Ambient</t>
  </si>
  <si>
    <t>EMI.ktCO2.LV.ES.Ser.Steam_Distr</t>
  </si>
  <si>
    <t>EMI.ktCO2.LV.ES.Ser.Elec</t>
  </si>
  <si>
    <t>EMI.ktCO2.LV.Ser</t>
  </si>
  <si>
    <t>EMI.ktCO2.LV.Ser.Bld.Thermal</t>
  </si>
  <si>
    <t>EMI.ktCO2.LV.Ser.Bld.Thermal.SH</t>
  </si>
  <si>
    <t>EMI.ktCO2.LV.Ser.Bld.Thermal.SC</t>
  </si>
  <si>
    <t>EMI.ktCO2.LV.Ser.Bld.Thermal.HW</t>
  </si>
  <si>
    <t>EMI.ktCO2.LV.Ser.Bld.Thermal.CA</t>
  </si>
  <si>
    <t>EMI.ktCO2.LV.Ser.SEU</t>
  </si>
  <si>
    <t>Eff.ratio.LV.Ser.Bld.Thermal</t>
  </si>
  <si>
    <t>Eff.ratio.LV.Ser.Bld.Thermal.SH</t>
  </si>
  <si>
    <t>Eff.ratio.LV.Ser.Bld.Thermal.SC</t>
  </si>
  <si>
    <t>Eff.ratio.LV.Ser.Bld.Thermal.HW</t>
  </si>
  <si>
    <t>Eff.ratio.LV.Ser.Bld.Thermal.CA</t>
  </si>
  <si>
    <t>LV - Number of buildings</t>
  </si>
  <si>
    <t>NUM.number.LV.Ser.Bld.Thermal</t>
  </si>
  <si>
    <t>NUM.number.LV.Ser.Bld.Thermal.SH</t>
  </si>
  <si>
    <t>NUM.number.LV.Ser.Bld.Thermal.SH.Solids</t>
  </si>
  <si>
    <t>NUM.number.LV.Ser.Bld.Thermal.SH.LPG</t>
  </si>
  <si>
    <t>NUM.number.LV.Ser.Bld.Thermal.SH.Oil</t>
  </si>
  <si>
    <t>NUM.number.LV.Ser.Bld.Thermal.SH.GasHP</t>
  </si>
  <si>
    <t>NUM.number.LV.Ser.Bld.Thermal.SH.GasTH</t>
  </si>
  <si>
    <t>NUM.number.LV.Ser.Bld.Thermal.SH.Biomass</t>
  </si>
  <si>
    <t>NUM.number.LV.Ser.Bld.Thermal.SH.Geo</t>
  </si>
  <si>
    <t>NUM.number.LV.Ser.Bld.Thermal.SH.DistrHeat</t>
  </si>
  <si>
    <t>NUM.number.LV.Ser.Bld.Thermal.SH.AdvElc</t>
  </si>
  <si>
    <t>NUM.number.LV.Ser.Bld.Thermal.SH.ConvElc</t>
  </si>
  <si>
    <t>NUM.number.LV.Ser.Bld.Thermal.SC</t>
  </si>
  <si>
    <t>NUM.number.LV.Ser.Bld.Thermal.SC.GasHP</t>
  </si>
  <si>
    <t>NUM.number.LV.Ser.Bld.Thermal.SC.AC</t>
  </si>
  <si>
    <t>NUM.number.LV.Ser.Bld.Thermal.HW</t>
  </si>
  <si>
    <t>NUM.number.LV.Ser.Bld.Thermal.HW.Solids</t>
  </si>
  <si>
    <t>NUM.number.LV.Ser.Bld.Thermal.HW.LPG</t>
  </si>
  <si>
    <t>NUM.number.LV.Ser.Bld.Thermal.HW.Oil</t>
  </si>
  <si>
    <t>NUM.number.LV.Ser.Bld.Thermal.HW.Gas</t>
  </si>
  <si>
    <t>NUM.number.LV.Ser.Bld.Thermal.HW.Biomass</t>
  </si>
  <si>
    <t>NUM.number.LV.Ser.Bld.Thermal.HW.DistrHeat</t>
  </si>
  <si>
    <t>NUM.number.LV.Ser.Bld.Thermal.HW.Elc</t>
  </si>
  <si>
    <t>NUM.number.LV.Ser.Bld.Thermal.HW.Solar</t>
  </si>
  <si>
    <t>NUM.number.LV.Ser.Bld.Thermal.CA</t>
  </si>
  <si>
    <t>NUM.number.LV.Ser.Bld.Thermal.CA.LPG</t>
  </si>
  <si>
    <t>NUM.number.LV.Ser.Bld.Thermal.CA.Gas</t>
  </si>
  <si>
    <t>NUM.number.LV.Ser.Bld.Thermal.CA.Biomass</t>
  </si>
  <si>
    <t>NUM.number.LV.Ser.Bld.Thermal.CA.Elc</t>
  </si>
  <si>
    <t>LV - Final energy consumption</t>
  </si>
  <si>
    <t>FEC.ktoe.LV.Ser.Bld.Thermal.SH.Solids.Solids</t>
  </si>
  <si>
    <t>FEC.ktoe.LV.Ser.Bld.Thermal.SH.LPG.LPG</t>
  </si>
  <si>
    <t>FEC.ktoe.LV.Ser.Bld.Thermal.SH.Oil.Oil_LiqBio</t>
  </si>
  <si>
    <t>FEC.ktoe.LV.Ser.Bld.Thermal.SH.GasHP.NG_Biogas</t>
  </si>
  <si>
    <t>FEC.ktoe.LV.Ser.Bld.Thermal.SH.GasTH.NG_Biogas</t>
  </si>
  <si>
    <t>FEC.ktoe.LV.Ser.Bld.Thermal.SH.Biomass.Biomass_Waste</t>
  </si>
  <si>
    <t>FEC.ktoe.LV.Ser.Bld.Thermal.SH.Geo.Geo</t>
  </si>
  <si>
    <t>FEC.ktoe.LV.Ser.Bld.Thermal.SH.DistrHeat.Steam_Distr</t>
  </si>
  <si>
    <t>FEC.ktoe.LV.Ser.Bld.Thermal.SH.AdvElc.Elec</t>
  </si>
  <si>
    <t>FEC.ktoe.LV.Ser.Bld.Thermal.SH.ConvElc.Elec</t>
  </si>
  <si>
    <t>FEC.ktoe.LV.Ser.Bld.Thermal.SH.TotalCirculation.Elec</t>
  </si>
  <si>
    <t>FEC.ktoe.LV.Ser.Bld.Thermal.SC.GasHP.NG_Biogas</t>
  </si>
  <si>
    <t>FEC.ktoe.LV.Ser.Bld.Thermal.SC.AC.Elec</t>
  </si>
  <si>
    <t>FEC.ktoe.LV.Ser.Bld.Thermal.HW.Solids.Solids</t>
  </si>
  <si>
    <t>FEC.ktoe.LV.Ser.Bld.Thermal.HW.LPG.LPG</t>
  </si>
  <si>
    <t>FEC.ktoe.LV.Ser.Bld.Thermal.HW.Oil.Oil_LiqBio</t>
  </si>
  <si>
    <t>FEC.ktoe.LV.Ser.Bld.Thermal.HW.Gas.NG_Biogas</t>
  </si>
  <si>
    <t>FEC.ktoe.LV.Ser.Bld.Thermal.HW.Biomass.Biomass_Waste</t>
  </si>
  <si>
    <t>FEC.ktoe.LV.Ser.Bld.Thermal.HW.DistrHeat.Steam_Distr</t>
  </si>
  <si>
    <t>FEC.ktoe.LV.Ser.Bld.Thermal.HW.Elc.Elec</t>
  </si>
  <si>
    <t>FEC.ktoe.LV.Ser.Bld.Thermal.HW.TotalSolar.Solar</t>
  </si>
  <si>
    <t>FEC.ktoe.LV.Ser.Bld.Thermal.CA.LPG</t>
  </si>
  <si>
    <t>FEC.ktoe.LV.Ser.Bld.Thermal.CA.Gas.NG_Biogas</t>
  </si>
  <si>
    <t>FEC.ktoe.LV.Ser.Bld.Thermal.CA.Biomass.Biomass_Waste</t>
  </si>
  <si>
    <t>FEC.ktoe.LV.Ser.Bld.Thermal.CA.Elc.Elec</t>
  </si>
  <si>
    <t>LV - Thermal energy service</t>
  </si>
  <si>
    <t>TES.ktoe.LV.Ser.Bld.Thermal</t>
  </si>
  <si>
    <t>TES.ktoe.LV.Ser.Bld.Thermal.SH</t>
  </si>
  <si>
    <t>TES.ktoe.LV.Ser.Bld.Thermal.SH.Solids.Solids</t>
  </si>
  <si>
    <t>TES.ktoe.LV.Ser.Bld.Thermal.SH.LPG.LPG</t>
  </si>
  <si>
    <t>TES.ktoe.LV.Ser.Bld.Thermal.SH.Oil.Oil_LiqBio</t>
  </si>
  <si>
    <t>TES.ktoe.LV.Ser.Bld.Thermal.SH.GasHP.NG_Biogas</t>
  </si>
  <si>
    <t>TES.ktoe.LV.Ser.Bld.Thermal.SH.GasTH.NG_Biogas</t>
  </si>
  <si>
    <t>TES.ktoe.LV.Ser.Bld.Thermal.SH.Biomass.Biomass_Waste</t>
  </si>
  <si>
    <t>TES.ktoe.LV.Ser.Bld.Thermal.SH.Geo.Geo</t>
  </si>
  <si>
    <t>TES.ktoe.LV.Ser.Bld.Thermal.SH.DistrHeat.Steam_Distr</t>
  </si>
  <si>
    <t>TES.ktoe.LV.Ser.Bld.Thermal.SH.AdvElc.Elec</t>
  </si>
  <si>
    <t>TES.ktoe.LV.Ser.Bld.Thermal.SH.ConvElc.Elec</t>
  </si>
  <si>
    <t>TES.ktoe.LV.Ser.Bld.Thermal.SH.TotalCirculation.Elec</t>
  </si>
  <si>
    <t>TES.ktoe.LV.Ser.Bld.Thermal.SC</t>
  </si>
  <si>
    <t>TES.ktoe.LV.Ser.Bld.Thermal.SC.GasHP.NG_Biogas</t>
  </si>
  <si>
    <t>TES.ktoe.LV.Ser.Bld.Thermal.SC.AC.Elec</t>
  </si>
  <si>
    <t>TES.ktoe.LV.Ser.Bld.Thermal.HW</t>
  </si>
  <si>
    <t>TES.ktoe.LV.Ser.Bld.Thermal.HW.Solids.Solids</t>
  </si>
  <si>
    <t>TES.ktoe.LV.Ser.Bld.Thermal.HW.LPG.LPG</t>
  </si>
  <si>
    <t>TES.ktoe.LV.Ser.Bld.Thermal.HW.Oil.Oil_LiqBio</t>
  </si>
  <si>
    <t>TES.ktoe.LV.Ser.Bld.Thermal.HW.Gas.NG_Biogas</t>
  </si>
  <si>
    <t>TES.ktoe.LV.Ser.Bld.Thermal.HW.Biomass.Biomass_Waste</t>
  </si>
  <si>
    <t>TES.ktoe.LV.Ser.Bld.Thermal.HW.DistrHeat.Steam_Distr</t>
  </si>
  <si>
    <t>TES.ktoe.LV.Ser.Bld.Thermal.HW.Elc.Elec</t>
  </si>
  <si>
    <t>TES.ktoe.LV.Ser.Bld.Thermal.HW.TotalSolar.Solar</t>
  </si>
  <si>
    <t>TES.ktoe.LV.Ser.Bld.Thermal.CA</t>
  </si>
  <si>
    <t>TES.ktoe.LV.Ser.Bld.Thermal.CA.LPG</t>
  </si>
  <si>
    <t>TES.ktoe.LV.Ser.Bld.Thermal.CA.Gas.NG_Biogas</t>
  </si>
  <si>
    <t>TES.ktoe.LV.Ser.Bld.Thermal.CA.Biomass.Biomass_Waste</t>
  </si>
  <si>
    <t>TES.ktoe.LV.Ser.Bld.Thermal.CA.Elc.Elec</t>
  </si>
  <si>
    <t>LV - System efficiency indicator of total stock</t>
  </si>
  <si>
    <t>Eff.ratio.LV.Ser.Bld.Thermal.SH.Solids.Solids</t>
  </si>
  <si>
    <t>Eff.ratio.LV.Ser.Bld.Thermal.SH.LPG.LPG</t>
  </si>
  <si>
    <t>Eff.ratio.LV.Ser.Bld.Thermal.SH.Oil.Oil_LiqBio</t>
  </si>
  <si>
    <t>Eff.ratio.LV.Ser.Bld.Thermal.SH.GasHP.NG_Biogas</t>
  </si>
  <si>
    <t>Eff.ratio.LV.Ser.Bld.Thermal.SH.GasTH.NG_Biogas</t>
  </si>
  <si>
    <t>Eff.ratio.LV.Ser.Bld.Thermal.SH.Biomass.Biomass_Waste</t>
  </si>
  <si>
    <t>Eff.ratio.LV.Ser.Bld.Thermal.SH.Geo.Geo</t>
  </si>
  <si>
    <t>Eff.ratio.LV.Ser.Bld.Thermal.SH.DistrHeat.Steam_Distr</t>
  </si>
  <si>
    <t>Eff.ratio.LV.Ser.Bld.Thermal.SH.AdvElc.Elec</t>
  </si>
  <si>
    <t>Eff.ratio.LV.Ser.Bld.Thermal.SH.ConvElc.Elec</t>
  </si>
  <si>
    <t>Eff.ratio.LV.Ser.Bld.Thermal.SH.TotalCirculation.Elec</t>
  </si>
  <si>
    <t>Eff.ratio.LV.Ser.Bld.Thermal.SC.GasHP.NG_Biogas</t>
  </si>
  <si>
    <t>Eff.ratio.LV.Ser.Bld.Thermal.SC.AC.Elec</t>
  </si>
  <si>
    <t>Eff.ratio.LV.Ser.Bld.Thermal.HW.Solids.Solids</t>
  </si>
  <si>
    <t>Eff.ratio.LV.Ser.Bld.Thermal.HW.LPG.LPG</t>
  </si>
  <si>
    <t>Eff.ratio.LV.Ser.Bld.Thermal.HW.Oil.Oil_LiqBio</t>
  </si>
  <si>
    <t>Eff.ratio.LV.Ser.Bld.Thermal.HW.Gas.NG_Biogas</t>
  </si>
  <si>
    <t>Eff.ratio.LV.Ser.Bld.Thermal.HW.Biomass.Biomass_Waste</t>
  </si>
  <si>
    <t>Eff.ratio.LV.Ser.Bld.Thermal.HW.DistrHeat.Steam_Distr</t>
  </si>
  <si>
    <t>Eff.ratio.LV.Ser.Bld.Thermal.HW.Elc.Elec</t>
  </si>
  <si>
    <t>Eff.ratio.LV.Ser.Bld.Thermal.HW.TotalSolar.Solar</t>
  </si>
  <si>
    <t>Eff.ratio.LV.Ser.Bld.Thermal.CA.LPG</t>
  </si>
  <si>
    <t>Eff.ratio.LV.Ser.Bld.Thermal.CA.Gas.NG_Biogas</t>
  </si>
  <si>
    <t>Eff.ratio.LV.Ser.Bld.Thermal.CA.Biomass.Biomass_Waste</t>
  </si>
  <si>
    <t>Eff.ratio.LV.Ser.Bld.Thermal.CA.Elc.Elec</t>
  </si>
  <si>
    <t>LV - CO2 emissions</t>
  </si>
  <si>
    <t>EMI.ktCO2.LV.Ser.Bld.Thermal.SH.Solids.Solids</t>
  </si>
  <si>
    <t>EMI.ktCO2.LV.Ser.Bld.Thermal.SH.LPG.LPG</t>
  </si>
  <si>
    <t>EMI.ktCO2.LV.Ser.Bld.Thermal.SH.Oil.Oil_LiqBio</t>
  </si>
  <si>
    <t>EMI.ktCO2.LV.Ser.Bld.Thermal.SH.GasHP.NG_Biogas</t>
  </si>
  <si>
    <t>EMI.ktCO2.LV.Ser.Bld.Thermal.SH.GasTH.NG_Biogas</t>
  </si>
  <si>
    <t>EMI.ktCO2.LV.Ser.Bld.Thermal.SH.Biomass.Biomass_Waste</t>
  </si>
  <si>
    <t>EMI.ktCO2.LV.Ser.Bld.Thermal.SH.Geo.Geo</t>
  </si>
  <si>
    <t>EMI.ktCO2.LV.Ser.Bld.Thermal.SH.DistrHeat.Steam_Distr</t>
  </si>
  <si>
    <t>EMI.ktCO2.LV.Ser.Bld.Thermal.SH.AdvElc.Elec</t>
  </si>
  <si>
    <t>EMI.ktCO2.LV.Ser.Bld.Thermal.SH.ConvElc.Elec</t>
  </si>
  <si>
    <t>EMI.ktCO2.LV.Ser.Bld.Thermal.SH.TotalCirculation.Elec</t>
  </si>
  <si>
    <t>EMI.ktCO2.LV.Ser.Bld.Thermal.SC.GasHP.NG_Biogas</t>
  </si>
  <si>
    <t>EMI.ktCO2.LV.Ser.Bld.Thermal.SC.AC.Elec</t>
  </si>
  <si>
    <t>EMI.ktCO2.LV.Ser.Bld.Thermal.HW.Solids.Solids</t>
  </si>
  <si>
    <t>EMI.ktCO2.LV.Ser.Bld.Thermal.HW.LPG.LPG</t>
  </si>
  <si>
    <t>EMI.ktCO2.LV.Ser.Bld.Thermal.HW.Oil.Oil_LiqBio</t>
  </si>
  <si>
    <t>EMI.ktCO2.LV.Ser.Bld.Thermal.HW.Gas.NG_Biogas</t>
  </si>
  <si>
    <t>EMI.ktCO2.LV.Ser.Bld.Thermal.HW.Biomass.Biomass_Waste</t>
  </si>
  <si>
    <t>EMI.ktCO2.LV.Ser.Bld.Thermal.HW.DistrHeat.Steam_Distr</t>
  </si>
  <si>
    <t>EMI.ktCO2.LV.Ser.Bld.Thermal.HW.Elc.Elec</t>
  </si>
  <si>
    <t>EMI.ktCO2.LV.Ser.Bld.Thermal.HW.TotalSolar.Solar</t>
  </si>
  <si>
    <t>EMI.ktCO2.LV.Ser.Bld.Thermal.CA.LPG</t>
  </si>
  <si>
    <t>EMI.ktCO2.LV.Ser.Bld.Thermal.CA.Gas.NG_Biogas</t>
  </si>
  <si>
    <t>EMI.ktCO2.LV.Ser.Bld.Thermal.CA.Biomass.Biomass_Waste</t>
  </si>
  <si>
    <t>EMI.ktCO2.LV.Ser.Bld.Thermal.CA.Elc.Elec</t>
  </si>
  <si>
    <t>LV - Final energy consumption per building</t>
  </si>
  <si>
    <t>FEC_per_building.kWh.LV.Ser.Bld.Thermal</t>
  </si>
  <si>
    <t>FEC_per_building.kWh.LV.Ser.Bld.Thermal.SH</t>
  </si>
  <si>
    <t>FEC_per_building.kWh.LV.Ser.Bld.Thermal.SH.Solids.Solids</t>
  </si>
  <si>
    <t>FEC_per_building.kWh.LV.Ser.Bld.Thermal.SH.LPG.LPG</t>
  </si>
  <si>
    <t>FEC_per_building.kWh.LV.Ser.Bld.Thermal.SH.Oil.Oil_LiqBio</t>
  </si>
  <si>
    <t>FEC_per_building.kWh.LV.Ser.Bld.Thermal.SH.GasHP.NG_Biogas</t>
  </si>
  <si>
    <t>FEC_per_building.kWh.LV.Ser.Bld.Thermal.SH.GasTH.NG_Biogas</t>
  </si>
  <si>
    <t>FEC_per_building.kWh.LV.Ser.Bld.Thermal.SH.Biomass.Biomass_Waste</t>
  </si>
  <si>
    <t>FEC_per_building.kWh.LV.Ser.Bld.Thermal.SH.Geo.Geo</t>
  </si>
  <si>
    <t>FEC_per_building.kWh.LV.Ser.Bld.Thermal.SH.DistrHeat.Steam_Distr</t>
  </si>
  <si>
    <t>FEC_per_building.kWh.LV.Ser.Bld.Thermal.SH.AdvElc.Elec</t>
  </si>
  <si>
    <t>FEC_per_building.kWh.LV.Ser.Bld.Thermal.SH.ConvElc.Elec</t>
  </si>
  <si>
    <t>FEC_per_building.kWh.LV.Ser.Bld.Thermal.SH.TotalCirculation.Elec</t>
  </si>
  <si>
    <t>FEC_per_building.kWh.LV.Ser.Bld.Thermal.SC</t>
  </si>
  <si>
    <t>FEC_per_building.kWh.LV.Ser.Bld.Thermal.SC.GasHP.NG_Biogas</t>
  </si>
  <si>
    <t>FEC_per_building.kWh.LV.Ser.Bld.Thermal.SC.AC.Elec</t>
  </si>
  <si>
    <t>FEC_per_building.kWh.LV.Ser.Bld.Thermal.HW</t>
  </si>
  <si>
    <t>FEC_per_building.kWh.LV.Ser.Bld.Thermal.HW.Solids.Solids</t>
  </si>
  <si>
    <t>FEC_per_building.kWh.LV.Ser.Bld.Thermal.HW.LPG.LPG</t>
  </si>
  <si>
    <t>FEC_per_building.kWh.LV.Ser.Bld.Thermal.HW.Oil.Oil_LiqBio</t>
  </si>
  <si>
    <t>FEC_per_building.kWh.LV.Ser.Bld.Thermal.HW.Gas.NG_Biogas</t>
  </si>
  <si>
    <t>FEC_per_building.kWh.LV.Ser.Bld.Thermal.HW.Biomass.Biomass_Waste</t>
  </si>
  <si>
    <t>FEC_per_building.kWh.LV.Ser.Bld.Thermal.HW.DistrHeat.Steam_Distr</t>
  </si>
  <si>
    <t>FEC_per_building.kWh.LV.Ser.Bld.Thermal.HW.Elc.Elec</t>
  </si>
  <si>
    <t>FEC_per_building.kWh.LV.Ser.Bld.Thermal.HW.TotalSolar.Solar</t>
  </si>
  <si>
    <t>FEC_per_building.kWh.LV.Ser.Bld.Thermal.CA</t>
  </si>
  <si>
    <t>FEC_per_building.kWh.LV.Ser.Bld.Thermal.CA.LPG</t>
  </si>
  <si>
    <t>FEC_per_building.kWh.LV.Ser.Bld.Thermal.CA.Gas.NG_Biogas</t>
  </si>
  <si>
    <t>FEC_per_building.kWh.LV.Ser.Bld.Thermal.CA.Biomass.Biomass_Waste</t>
  </si>
  <si>
    <t>FEC_per_building.kWh.LV.Ser.Bld.Thermal.CA.Elc.Elec</t>
  </si>
  <si>
    <t>LV - Thermal energy service per building</t>
  </si>
  <si>
    <t>TES_per_building.kWh.LV.Ser.Bld.Thermal</t>
  </si>
  <si>
    <t>TES_per_building.kWh.LV.Ser.Bld.Thermal.SH</t>
  </si>
  <si>
    <t>TES_per_building.kWh.LV.Ser.Bld.Thermal.SH.Solids.Solids</t>
  </si>
  <si>
    <t>TES_per_building.kWh.LV.Ser.Bld.Thermal.SH.LPG.LPG</t>
  </si>
  <si>
    <t>TES_per_building.kWh.LV.Ser.Bld.Thermal.SH.Oil.Oil_LiqBio</t>
  </si>
  <si>
    <t>TES_per_building.kWh.LV.Ser.Bld.Thermal.SH.GasHP.NG_Biogas</t>
  </si>
  <si>
    <t>TES_per_building.kWh.LV.Ser.Bld.Thermal.SH.GasTH.NG_Biogas</t>
  </si>
  <si>
    <t>TES_per_building.kWh.LV.Ser.Bld.Thermal.SH.Biomass.Biomass_Waste</t>
  </si>
  <si>
    <t>TES_per_building.kWh.LV.Ser.Bld.Thermal.SH.Geo.Geo</t>
  </si>
  <si>
    <t>TES_per_building.kWh.LV.Ser.Bld.Thermal.SH.DistrHeat.Steam_Distr</t>
  </si>
  <si>
    <t>TES_per_building.kWh.LV.Ser.Bld.Thermal.SH.AdvElc.Elec</t>
  </si>
  <si>
    <t>TES_per_building.kWh.LV.Ser.Bld.Thermal.SH.ConvElc.Elec</t>
  </si>
  <si>
    <t>TES_per_building.kWh.LV.Ser.Bld.Thermal.SH.TotalCirculation.Elec</t>
  </si>
  <si>
    <t>TES_per_building.kWh.LV.Ser.Bld.Thermal.SC</t>
  </si>
  <si>
    <t>TES_per_building.kWh.LV.Ser.Bld.Thermal.SC.GasHP.NG_Biogas</t>
  </si>
  <si>
    <t>TES_per_building.kWh.LV.Ser.Bld.Thermal.SC.AC.Elec</t>
  </si>
  <si>
    <t>TES_per_building.kWh.LV.Ser.Bld.Thermal.HW</t>
  </si>
  <si>
    <t>TES_per_building.kWh.LV.Ser.Bld.Thermal.HW.Solids.Solids</t>
  </si>
  <si>
    <t>TES_per_building.kWh.LV.Ser.Bld.Thermal.HW.LPG.LPG</t>
  </si>
  <si>
    <t>TES_per_building.kWh.LV.Ser.Bld.Thermal.HW.Oil.Oil_LiqBio</t>
  </si>
  <si>
    <t>TES_per_building.kWh.LV.Ser.Bld.Thermal.HW.Gas.NG_Biogas</t>
  </si>
  <si>
    <t>TES_per_building.kWh.LV.Ser.Bld.Thermal.HW.Biomass.Biomass_Waste</t>
  </si>
  <si>
    <t>TES_per_building.kWh.LV.Ser.Bld.Thermal.HW.DistrHeat.Steam_Distr</t>
  </si>
  <si>
    <t>TES_per_building.kWh.LV.Ser.Bld.Thermal.HW.Elc.Elec</t>
  </si>
  <si>
    <t>TES_per_building.kWh.LV.Ser.Bld.Thermal.HW.TotalSolar.Solar</t>
  </si>
  <si>
    <t>TES_per_building.kWh.LV.Ser.Bld.Thermal.CA</t>
  </si>
  <si>
    <t>TES_per_building.kWh.LV.Ser.Bld.Thermal.CA.LPG</t>
  </si>
  <si>
    <t>TES_per_building.kWh.LV.Ser.Bld.Thermal.CA.Gas.NG_Biogas</t>
  </si>
  <si>
    <t>TES_per_building.kWh.LV.Ser.Bld.Thermal.CA.Biomass.Biomass_Waste</t>
  </si>
  <si>
    <t>TES_per_building.kWh.LV.Ser.Bld.Thermal.CA.Elc.Elec</t>
  </si>
  <si>
    <t>LV - CO2 emissions per building</t>
  </si>
  <si>
    <t>EMI_per_building.kgCO2.LV.Ser.Bld.Thermal</t>
  </si>
  <si>
    <t>EMI_per_building.kgCO2.LV.Ser.Bld.Thermal.SH</t>
  </si>
  <si>
    <t>EMI_per_building.kgCO2.LV.Ser.Bld.Thermal.SH.Solids.Solids</t>
  </si>
  <si>
    <t>EMI_per_building.kgCO2.LV.Ser.Bld.Thermal.SH.LPG.LPG</t>
  </si>
  <si>
    <t>EMI_per_building.kgCO2.LV.Ser.Bld.Thermal.SH.Oil.Oil_LiqBio</t>
  </si>
  <si>
    <t>EMI_per_building.kgCO2.LV.Ser.Bld.Thermal.SH.GasHP.NG_Biogas</t>
  </si>
  <si>
    <t>EMI_per_building.kgCO2.LV.Ser.Bld.Thermal.SH.GasTH.NG_Biogas</t>
  </si>
  <si>
    <t>EMI_per_building.kgCO2.LV.Ser.Bld.Thermal.SH.Biomass.Biomass_Waste</t>
  </si>
  <si>
    <t>EMI_per_building.kgCO2.LV.Ser.Bld.Thermal.SH.Geo.Geo</t>
  </si>
  <si>
    <t>EMI_per_building.kgCO2.LV.Ser.Bld.Thermal.SH.DistrHeat.Steam_Distr</t>
  </si>
  <si>
    <t>EMI_per_building.kgCO2.LV.Ser.Bld.Thermal.SH.AdvElc.Elec</t>
  </si>
  <si>
    <t>EMI_per_building.kgCO2.LV.Ser.Bld.Thermal.SH.ConvElc.Elec</t>
  </si>
  <si>
    <t>EMI_per_building.kgCO2.LV.Ser.Bld.Thermal.SH.TotalCirculation.Elec</t>
  </si>
  <si>
    <t>EMI_per_building.kgCO2.LV.Ser.Bld.Thermal.SC</t>
  </si>
  <si>
    <t>EMI_per_building.kgCO2.LV.Ser.Bld.Thermal.SC.GasHP.NG_Biogas</t>
  </si>
  <si>
    <t>EMI_per_building.kgCO2.LV.Ser.Bld.Thermal.SC.AC.Elec</t>
  </si>
  <si>
    <t>EMI_per_building.kgCO2.LV.Ser.Bld.Thermal.HW</t>
  </si>
  <si>
    <t>EMI_per_building.kgCO2.LV.Ser.Bld.Thermal.HW.Solids.Solids</t>
  </si>
  <si>
    <t>EMI_per_building.kgCO2.LV.Ser.Bld.Thermal.HW.LPG.LPG</t>
  </si>
  <si>
    <t>EMI_per_building.kgCO2.LV.Ser.Bld.Thermal.HW.Oil.Oil_LiqBio</t>
  </si>
  <si>
    <t>EMI_per_building.kgCO2.LV.Ser.Bld.Thermal.HW.Gas.NG_Biogas</t>
  </si>
  <si>
    <t>EMI_per_building.kgCO2.LV.Ser.Bld.Thermal.HW.Biomass.Biomass_Waste</t>
  </si>
  <si>
    <t>EMI_per_building.kgCO2.LV.Ser.Bld.Thermal.HW.DistrHeat.Steam_Distr</t>
  </si>
  <si>
    <t>EMI_per_building.kgCO2.LV.Ser.Bld.Thermal.HW.Elc.Elec</t>
  </si>
  <si>
    <t>EMI_per_building.kgCO2.LV.Ser.Bld.Thermal.HW.TotalSolar.Solar</t>
  </si>
  <si>
    <t>EMI_per_building.kgCO2.LV.Ser.Bld.Thermal.CA</t>
  </si>
  <si>
    <t>EMI_per_building.kgCO2.LV.Ser.Bld.Thermal.CA.LPG</t>
  </si>
  <si>
    <t>EMI_per_building.kgCO2.LV.Ser.Bld.Thermal.CA.Gas.NG_Biogas</t>
  </si>
  <si>
    <t>EMI_per_building.kgCO2.LV.Ser.Bld.Thermal.CA.Biomass.Biomass_Waste</t>
  </si>
  <si>
    <t>EMI_per_building.kgCO2.LV.Ser.Bld.Thermal.CA.Elc.Elec</t>
  </si>
  <si>
    <t>LV - Final energy consumption per useful surface area</t>
  </si>
  <si>
    <t>FEC_per_sqm.kWh.LV.Ser.Bld.Thermal</t>
  </si>
  <si>
    <t>FEC_per_sqm.kWh.LV.Ser.Bld.Thermal.SH</t>
  </si>
  <si>
    <t>FEC_per_sqm.kWh.LV.Ser.Bld.Thermal.SH.Solids.Solids</t>
  </si>
  <si>
    <t>FEC_per_sqm.kWh.LV.Ser.Bld.Thermal.SH.LPG.LPG</t>
  </si>
  <si>
    <t>FEC_per_sqm.kWh.LV.Ser.Bld.Thermal.SH.Oil.Oil_LiqBio</t>
  </si>
  <si>
    <t>FEC_per_sqm.kWh.LV.Ser.Bld.Thermal.SH.GasHP.NG_Biogas</t>
  </si>
  <si>
    <t>FEC_per_sqm.kWh.LV.Ser.Bld.Thermal.SH.GasTH.NG_Biogas</t>
  </si>
  <si>
    <t>FEC_per_sqm.kWh.LV.Ser.Bld.Thermal.SH.Biomass.Biomass_Waste</t>
  </si>
  <si>
    <t>FEC_per_sqm.kWh.LV.Ser.Bld.Thermal.SH.Geo.Geo</t>
  </si>
  <si>
    <t>FEC_per_sqm.kWh.LV.Ser.Bld.Thermal.SH.DistrHeat.Steam_Distr</t>
  </si>
  <si>
    <t>FEC_per_sqm.kWh.LV.Ser.Bld.Thermal.SH.AdvElc.Elec</t>
  </si>
  <si>
    <t>FEC_per_sqm.kWh.LV.Ser.Bld.Thermal.SH.ConvElc.Elec</t>
  </si>
  <si>
    <t>FEC_per_sqm.kWh.LV.Ser.Bld.Thermal.SH.TotalCirculation.Elec</t>
  </si>
  <si>
    <t>FEC_per_sqm.kWh.LV.Ser.Bld.Thermal.SC</t>
  </si>
  <si>
    <t>FEC_per_sqm.kWh.LV.Ser.Bld.Thermal.SC.GasHP.NG_Biogas</t>
  </si>
  <si>
    <t>FEC_per_sqm.kWh.LV.Ser.Bld.Thermal.SC.AC.Elec</t>
  </si>
  <si>
    <t>FEC_per_sqm.kWh.LV.Ser.Bld.Thermal.HW</t>
  </si>
  <si>
    <t>FEC_per_sqm.kWh.LV.Ser.Bld.Thermal.HW.Solids.Solids</t>
  </si>
  <si>
    <t>FEC_per_sqm.kWh.LV.Ser.Bld.Thermal.HW.LPG.LPG</t>
  </si>
  <si>
    <t>FEC_per_sqm.kWh.LV.Ser.Bld.Thermal.HW.Oil.Oil_LiqBio</t>
  </si>
  <si>
    <t>FEC_per_sqm.kWh.LV.Ser.Bld.Thermal.HW.Gas.NG_Biogas</t>
  </si>
  <si>
    <t>FEC_per_sqm.kWh.LV.Ser.Bld.Thermal.HW.Biomass.Biomass_Waste</t>
  </si>
  <si>
    <t>FEC_per_sqm.kWh.LV.Ser.Bld.Thermal.HW.DistrHeat.Steam_Distr</t>
  </si>
  <si>
    <t>FEC_per_sqm.kWh.LV.Ser.Bld.Thermal.HW.Elc.Elec</t>
  </si>
  <si>
    <t>FEC_per_sqm.kWh.LV.Ser.Bld.Thermal.HW.TotalSolar.Solar</t>
  </si>
  <si>
    <t>FEC_per_sqm.kWh.LV.Ser.Bld.Thermal.CA</t>
  </si>
  <si>
    <t>FEC_per_sqm.kWh.LV.Ser.Bld.Thermal.CA.LPG</t>
  </si>
  <si>
    <t>FEC_per_sqm.kWh.LV.Ser.Bld.Thermal.CA.Gas.NG_Biogas</t>
  </si>
  <si>
    <t>FEC_per_sqm.kWh.LV.Ser.Bld.Thermal.CA.Biomass.Biomass_Waste</t>
  </si>
  <si>
    <t>FEC_per_sqm.kWh.LV.Ser.Bld.Thermal.CA.Elc.Elec</t>
  </si>
  <si>
    <t>LV - Thermal energy service per useful surface area</t>
  </si>
  <si>
    <t>TES_per_sqm.kWh.LV.Ser.Bld.Thermal</t>
  </si>
  <si>
    <t>TES_per_sqm.kWh.LV.Ser.Bld.Thermal.SH</t>
  </si>
  <si>
    <t>TES_per_sqm.kWh.LV.Ser.Bld.Thermal.SH.Solids.Solids</t>
  </si>
  <si>
    <t>TES_per_sqm.kWh.LV.Ser.Bld.Thermal.SH.LPG.LPG</t>
  </si>
  <si>
    <t>TES_per_sqm.kWh.LV.Ser.Bld.Thermal.SH.Oil.Oil_LiqBio</t>
  </si>
  <si>
    <t>TES_per_sqm.kWh.LV.Ser.Bld.Thermal.SH.GasHP.NG_Biogas</t>
  </si>
  <si>
    <t>TES_per_sqm.kWh.LV.Ser.Bld.Thermal.SH.GasTH.NG_Biogas</t>
  </si>
  <si>
    <t>TES_per_sqm.kWh.LV.Ser.Bld.Thermal.SH.Biomass.Biomass_Waste</t>
  </si>
  <si>
    <t>TES_per_sqm.kWh.LV.Ser.Bld.Thermal.SH.Geo.Geo</t>
  </si>
  <si>
    <t>TES_per_sqm.kWh.LV.Ser.Bld.Thermal.SH.DistrHeat.Steam_Distr</t>
  </si>
  <si>
    <t>TES_per_sqm.kWh.LV.Ser.Bld.Thermal.SH.AdvElc.Elec</t>
  </si>
  <si>
    <t>TES_per_sqm.kWh.LV.Ser.Bld.Thermal.SH.ConvElc.Elec</t>
  </si>
  <si>
    <t>TES_per_sqm.kWh.LV.Ser.Bld.Thermal.SH.TotalCirculation.Elec</t>
  </si>
  <si>
    <t>TES_per_sqm.kWh.LV.Ser.Bld.Thermal.SC</t>
  </si>
  <si>
    <t>TES_per_sqm.kWh.LV.Ser.Bld.Thermal.SC.GasHP.NG_Biogas</t>
  </si>
  <si>
    <t>TES_per_sqm.kWh.LV.Ser.Bld.Thermal.SC.AC.Elec</t>
  </si>
  <si>
    <t>TES_per_sqm.kWh.LV.Ser.Bld.Thermal.HW</t>
  </si>
  <si>
    <t>TES_per_sqm.kWh.LV.Ser.Bld.Thermal.HW.Solids.Solids</t>
  </si>
  <si>
    <t>TES_per_sqm.kWh.LV.Ser.Bld.Thermal.HW.LPG.LPG</t>
  </si>
  <si>
    <t>TES_per_sqm.kWh.LV.Ser.Bld.Thermal.HW.Oil.Oil_LiqBio</t>
  </si>
  <si>
    <t>TES_per_sqm.kWh.LV.Ser.Bld.Thermal.HW.Gas.NG_Biogas</t>
  </si>
  <si>
    <t>TES_per_sqm.kWh.LV.Ser.Bld.Thermal.HW.Biomass.Biomass_Waste</t>
  </si>
  <si>
    <t>TES_per_sqm.kWh.LV.Ser.Bld.Thermal.HW.DistrHeat.Steam_Distr</t>
  </si>
  <si>
    <t>TES_per_sqm.kWh.LV.Ser.Bld.Thermal.HW.Elc.Elec</t>
  </si>
  <si>
    <t>TES_per_sqm.kWh.LV.Ser.Bld.Thermal.HW.TotalSolar.Solar</t>
  </si>
  <si>
    <t>TES_per_sqm.kWh.LV.Ser.Bld.Thermal.CA</t>
  </si>
  <si>
    <t>TES_per_sqm.kWh.LV.Ser.Bld.Thermal.CA.LPG</t>
  </si>
  <si>
    <t>TES_per_sqm.kWh.LV.Ser.Bld.Thermal.CA.Gas.NG_Biogas</t>
  </si>
  <si>
    <t>TES_per_sqm.kWh.LV.Ser.Bld.Thermal.CA.Biomass.Biomass_Waste</t>
  </si>
  <si>
    <t>TES_per_sqm.kWh.LV.Ser.Bld.Thermal.CA.Elc.Elec</t>
  </si>
  <si>
    <t>LV - CO2 emissions per useful surface area</t>
  </si>
  <si>
    <t>EMI_per_sqm.kgCO2.LV.Ser.Bld.Thermal</t>
  </si>
  <si>
    <t>EMI_per_sqm.kgCO2.LV.Ser.Bld.Thermal.SH</t>
  </si>
  <si>
    <t>EMI_per_sqm.kgCO2.LV.Ser.Bld.Thermal.SH.Solids.Solids</t>
  </si>
  <si>
    <t>EMI_per_sqm.kgCO2.LV.Ser.Bld.Thermal.SH.LPG.LPG</t>
  </si>
  <si>
    <t>EMI_per_sqm.kgCO2.LV.Ser.Bld.Thermal.SH.Oil.Oil_LiqBio</t>
  </si>
  <si>
    <t>EMI_per_sqm.kgCO2.LV.Ser.Bld.Thermal.SH.GasHP.NG_Biogas</t>
  </si>
  <si>
    <t>EMI_per_sqm.kgCO2.LV.Ser.Bld.Thermal.SH.GasTH.NG_Biogas</t>
  </si>
  <si>
    <t>EMI_per_sqm.kgCO2.LV.Ser.Bld.Thermal.SH.Biomass.Biomass_Waste</t>
  </si>
  <si>
    <t>EMI_per_sqm.kgCO2.LV.Ser.Bld.Thermal.SH.Geo.Geo</t>
  </si>
  <si>
    <t>EMI_per_sqm.kgCO2.LV.Ser.Bld.Thermal.SH.DistrHeat.Steam_Distr</t>
  </si>
  <si>
    <t>EMI_per_sqm.kgCO2.LV.Ser.Bld.Thermal.SH.AdvElc.Elec</t>
  </si>
  <si>
    <t>EMI_per_sqm.kgCO2.LV.Ser.Bld.Thermal.SH.ConvElc.Elec</t>
  </si>
  <si>
    <t>EMI_per_sqm.kgCO2.LV.Ser.Bld.Thermal.SH.TotalCirculation.Elec</t>
  </si>
  <si>
    <t>EMI_per_sqm.kgCO2.LV.Ser.Bld.Thermal.SC</t>
  </si>
  <si>
    <t>EMI_per_sqm.kgCO2.LV.Ser.Bld.Thermal.SC.GasHP.NG_Biogas</t>
  </si>
  <si>
    <t>EMI_per_sqm.kgCO2.LV.Ser.Bld.Thermal.SC.AC.Elec</t>
  </si>
  <si>
    <t>EMI_per_sqm.kgCO2.LV.Ser.Bld.Thermal.HW</t>
  </si>
  <si>
    <t>EMI_per_sqm.kgCO2.LV.Ser.Bld.Thermal.HW.Solids.Solids</t>
  </si>
  <si>
    <t>EMI_per_sqm.kgCO2.LV.Ser.Bld.Thermal.HW.LPG.LPG</t>
  </si>
  <si>
    <t>EMI_per_sqm.kgCO2.LV.Ser.Bld.Thermal.HW.Oil.Oil_LiqBio</t>
  </si>
  <si>
    <t>EMI_per_sqm.kgCO2.LV.Ser.Bld.Thermal.HW.Gas.NG_Biogas</t>
  </si>
  <si>
    <t>EMI_per_sqm.kgCO2.LV.Ser.Bld.Thermal.HW.Biomass.Biomass_Waste</t>
  </si>
  <si>
    <t>EMI_per_sqm.kgCO2.LV.Ser.Bld.Thermal.HW.DistrHeat.Steam_Distr</t>
  </si>
  <si>
    <t>EMI_per_sqm.kgCO2.LV.Ser.Bld.Thermal.HW.Elc.Elec</t>
  </si>
  <si>
    <t>EMI_per_sqm.kgCO2.LV.Ser.Bld.Thermal.HW.TotalSolar.Solar</t>
  </si>
  <si>
    <t>EMI_per_sqm.kgCO2.LV.Ser.Bld.Thermal.CA</t>
  </si>
  <si>
    <t>EMI_per_sqm.kgCO2.LV.Ser.Bld.Thermal.CA.LPG</t>
  </si>
  <si>
    <t>EMI_per_sqm.kgCO2.LV.Ser.Bld.Thermal.CA.Gas.NG_Biogas</t>
  </si>
  <si>
    <t>EMI_per_sqm.kgCO2.LV.Ser.Bld.Thermal.CA.Biomass.Biomass_Waste</t>
  </si>
  <si>
    <t>EMI_per_sqm.kgCO2.LV.Ser.Bld.Thermal.CA.Elc.Elec</t>
  </si>
  <si>
    <t>LV - Number of new and renovated buildings</t>
  </si>
  <si>
    <t>NUM.number.LV.Ser.BldNew.Thermal</t>
  </si>
  <si>
    <t>NUM.number.LV.Ser.BldNew.Thermal.SH</t>
  </si>
  <si>
    <t>NUM.number.LV.Ser.BldNew.Thermal.SH.Solids</t>
  </si>
  <si>
    <t>NUM.number.LV.Ser.BldNew.Thermal.SH.LPG</t>
  </si>
  <si>
    <t>NUM.number.LV.Ser.BldNew.Thermal.SH.Oil</t>
  </si>
  <si>
    <t>NUM.number.LV.Ser.BldNew.Thermal.SH.GasHP</t>
  </si>
  <si>
    <t>NUM.number.LV.Ser.BldNew.Thermal.SH.GasTH</t>
  </si>
  <si>
    <t>NUM.number.LV.Ser.BldNew.Thermal.SH.Biomass</t>
  </si>
  <si>
    <t>NUM.number.LV.Ser.BldNew.Thermal.SH.Geo</t>
  </si>
  <si>
    <t>NUM.number.LV.Ser.BldNew.Thermal.SH.DistrHeat</t>
  </si>
  <si>
    <t>NUM.number.LV.Ser.BldNew.Thermal.SH.AdvElc</t>
  </si>
  <si>
    <t>NUM.number.LV.Ser.BldNew.Thermal.SH.ConvElc</t>
  </si>
  <si>
    <t>NUM.number.LV.Ser.BldNew.Thermal.SC</t>
  </si>
  <si>
    <t>NUM.number.LV.Ser.BldNew.Thermal.SC.GasHP</t>
  </si>
  <si>
    <t>NUM.number.LV.Ser.BldNew.Thermal.SC.AC</t>
  </si>
  <si>
    <t>NUM.number.LV.Ser.BldNew.Thermal.HW</t>
  </si>
  <si>
    <t>NUM.number.LV.Ser.BldNew.Thermal.HW.Solids</t>
  </si>
  <si>
    <t>NUM.number.LV.Ser.BldNew.Thermal.HW.LPG</t>
  </si>
  <si>
    <t>NUM.number.LV.Ser.BldNew.Thermal.HW.Oil</t>
  </si>
  <si>
    <t>NUM.number.LV.Ser.BldNew.Thermal.HW.Gas</t>
  </si>
  <si>
    <t>NUM.number.LV.Ser.BldNew.Thermal.HW.Biomass</t>
  </si>
  <si>
    <t>NUM.number.LV.Ser.BldNew.Thermal.HW.DistrHeat</t>
  </si>
  <si>
    <t>NUM.number.LV.Ser.BldNew.Thermal.HW.Elc</t>
  </si>
  <si>
    <t>NUM.number.LV.Ser.BldNew.Thermal.HW.Solar</t>
  </si>
  <si>
    <t>NUM.number.LV.Ser.BldNew.Thermal.CA</t>
  </si>
  <si>
    <t>NUM.number.LV.Ser.BldNew.Thermal.CA.LPG</t>
  </si>
  <si>
    <t>NUM.number.LV.Ser.BldNew.Thermal.CA.Gas</t>
  </si>
  <si>
    <t>NUM.number.LV.Ser.BldNew.Thermal.CA.Biomass</t>
  </si>
  <si>
    <t>NUM.number.LV.Ser.BldNew.Thermal.CA.Elc</t>
  </si>
  <si>
    <t>LV - Final energy consumption in new and renovated buildings</t>
  </si>
  <si>
    <t>FEC.ktoe.LV.Ser.BldNew.Thermal</t>
  </si>
  <si>
    <t>FEC.ktoe.LV.Ser.BldNew.Thermal.SH</t>
  </si>
  <si>
    <t>FEC.ktoe.LV.Ser.BldNew.Thermal.SH.Solids.Solids</t>
  </si>
  <si>
    <t>FEC.ktoe.LV.Ser.BldNew.Thermal.SH.LPG.LPG</t>
  </si>
  <si>
    <t>FEC.ktoe.LV.Ser.BldNew.Thermal.SH.Oil.Oil_LiqBio</t>
  </si>
  <si>
    <t>FEC.ktoe.LV.Ser.BldNew.Thermal.SH.GasHP.NG_Biogas</t>
  </si>
  <si>
    <t>FEC.ktoe.LV.Ser.BldNew.Thermal.SH.GasTH.NG_Biogas</t>
  </si>
  <si>
    <t>FEC.ktoe.LV.Ser.BldNew.Thermal.SH.Biomass.Biomass_Waste</t>
  </si>
  <si>
    <t>FEC.ktoe.LV.Ser.BldNew.Thermal.SH.Geo.Geo</t>
  </si>
  <si>
    <t>FEC.ktoe.LV.Ser.BldNew.Thermal.SH.DistrHeat.Steam_Distr</t>
  </si>
  <si>
    <t>FEC.ktoe.LV.Ser.BldNew.Thermal.SH.AdvElc.Elec</t>
  </si>
  <si>
    <t>FEC.ktoe.LV.Ser.BldNew.Thermal.SH.ConvElc.Elec</t>
  </si>
  <si>
    <t>FEC.ktoe.LV.Ser.BldNew.Thermal.SH.TotalCirculation.Elec</t>
  </si>
  <si>
    <t>FEC.ktoe.LV.Ser.BldNew.Thermal.SC</t>
  </si>
  <si>
    <t>FEC.ktoe.LV.Ser.BldNew.Thermal.SC.GasHP.NG_Biogas</t>
  </si>
  <si>
    <t>FEC.ktoe.LV.Ser.BldNew.Thermal.SC.AC.Elec</t>
  </si>
  <si>
    <t>FEC.ktoe.LV.Ser.BldNew.Thermal.HW</t>
  </si>
  <si>
    <t>FEC.ktoe.LV.Ser.BldNew.Thermal.HW.Solids.Solids</t>
  </si>
  <si>
    <t>FEC.ktoe.LV.Ser.BldNew.Thermal.HW.LPG.LPG</t>
  </si>
  <si>
    <t>FEC.ktoe.LV.Ser.BldNew.Thermal.HW.Oil.Oil_LiqBio</t>
  </si>
  <si>
    <t>FEC.ktoe.LV.Ser.BldNew.Thermal.HW.Gas.NG_Biogas</t>
  </si>
  <si>
    <t>FEC.ktoe.LV.Ser.BldNew.Thermal.HW.Biomass.Biomass_Waste</t>
  </si>
  <si>
    <t>FEC.ktoe.LV.Ser.BldNew.Thermal.HW.DistrHeat.Steam_Distr</t>
  </si>
  <si>
    <t>FEC.ktoe.LV.Ser.BldNew.Thermal.HW.Elc.Elec</t>
  </si>
  <si>
    <t>FEC.ktoe.LV.Ser.BldNew.Thermal.HW.TotalSolar.Solar</t>
  </si>
  <si>
    <t>FEC.ktoe.LV.Ser.BldNew.Thermal.CA</t>
  </si>
  <si>
    <t>FEC.ktoe.LV.Ser.BldNew.Thermal.CA.LPG</t>
  </si>
  <si>
    <t>FEC.ktoe.LV.Ser.BldNew.Thermal.CA.Gas.NG_Biogas</t>
  </si>
  <si>
    <t>FEC.ktoe.LV.Ser.BldNew.Thermal.CA.Biomass.Biomass_Waste</t>
  </si>
  <si>
    <t>FEC.ktoe.LV.Ser.BldNew.Thermal.CA.Elc.Elec</t>
  </si>
  <si>
    <t>LV - Thermal energy service in new and renovated buildings</t>
  </si>
  <si>
    <t>TES.ktoe.LV.Ser.BldNew.Thermal</t>
  </si>
  <si>
    <t>TES.ktoe.LV.Ser.BldNew.Thermal.SH</t>
  </si>
  <si>
    <t>TES.ktoe.LV.Ser.BldNew.Thermal.SH.Solids.Solids</t>
  </si>
  <si>
    <t>TES.ktoe.LV.Ser.BldNew.Thermal.SH.LPG.LPG</t>
  </si>
  <si>
    <t>TES.ktoe.LV.Ser.BldNew.Thermal.SH.Oil.Oil_LiqBio</t>
  </si>
  <si>
    <t>TES.ktoe.LV.Ser.BldNew.Thermal.SH.GasHP.NG_Biogas</t>
  </si>
  <si>
    <t>TES.ktoe.LV.Ser.BldNew.Thermal.SH.GasTH.NG_Biogas</t>
  </si>
  <si>
    <t>TES.ktoe.LV.Ser.BldNew.Thermal.SH.Biomass.Biomass_Waste</t>
  </si>
  <si>
    <t>TES.ktoe.LV.Ser.BldNew.Thermal.SH.Geo.Geo</t>
  </si>
  <si>
    <t>TES.ktoe.LV.Ser.BldNew.Thermal.SH.DistrHeat.Steam_Distr</t>
  </si>
  <si>
    <t>TES.ktoe.LV.Ser.BldNew.Thermal.SH.AdvElc.Elec</t>
  </si>
  <si>
    <t>TES.ktoe.LV.Ser.BldNew.Thermal.SH.ConvElc.Elec</t>
  </si>
  <si>
    <t>TES.ktoe.LV.Ser.BldNew.Thermal.SH.TotalCirculation.Elec</t>
  </si>
  <si>
    <t>TES.ktoe.LV.Ser.BldNew.Thermal.SC</t>
  </si>
  <si>
    <t>TES.ktoe.LV.Ser.BldNew.Thermal.SC.GasHP.NG_Biogas</t>
  </si>
  <si>
    <t>TES.ktoe.LV.Ser.BldNew.Thermal.SC.AC.Elec</t>
  </si>
  <si>
    <t>TES.ktoe.LV.Ser.BldNew.Thermal.HW</t>
  </si>
  <si>
    <t>TES.ktoe.LV.Ser.BldNew.Thermal.HW.Solids.Solids</t>
  </si>
  <si>
    <t>TES.ktoe.LV.Ser.BldNew.Thermal.HW.LPG.LPG</t>
  </si>
  <si>
    <t>TES.ktoe.LV.Ser.BldNew.Thermal.HW.Oil.Oil_LiqBio</t>
  </si>
  <si>
    <t>TES.ktoe.LV.Ser.BldNew.Thermal.HW.Gas.NG_Biogas</t>
  </si>
  <si>
    <t>TES.ktoe.LV.Ser.BldNew.Thermal.HW.Biomass.Biomass_Waste</t>
  </si>
  <si>
    <t>TES.ktoe.LV.Ser.BldNew.Thermal.HW.DistrHeat.Steam_Distr</t>
  </si>
  <si>
    <t>TES.ktoe.LV.Ser.BldNew.Thermal.HW.Elc.Elec</t>
  </si>
  <si>
    <t>TES.ktoe.LV.Ser.BldNew.Thermal.HW.TotalSolar.Solar</t>
  </si>
  <si>
    <t>TES.ktoe.LV.Ser.BldNew.Thermal.CA</t>
  </si>
  <si>
    <t>TES.ktoe.LV.Ser.BldNew.Thermal.CA.LPG</t>
  </si>
  <si>
    <t>TES.ktoe.LV.Ser.BldNew.Thermal.CA.Gas.NG_Biogas</t>
  </si>
  <si>
    <t>TES.ktoe.LV.Ser.BldNew.Thermal.CA.Biomass.Biomass_Waste</t>
  </si>
  <si>
    <t>TES.ktoe.LV.Ser.BldNew.Thermal.CA.Elc.Elec</t>
  </si>
  <si>
    <t>LV - System efficiency indicator of new and renovated buildings</t>
  </si>
  <si>
    <t>Eff.ratio.LV.Ser.BldNew.Thermal</t>
  </si>
  <si>
    <t>Eff.ratio.LV.Ser.BldNew.Thermal.SH</t>
  </si>
  <si>
    <t>Eff.ratio.LV.Ser.BldNew.Thermal.SH.Solids.Solids</t>
  </si>
  <si>
    <t>Eff.ratio.LV.Ser.BldNew.Thermal.SH.LPG.LPG</t>
  </si>
  <si>
    <t>Eff.ratio.LV.Ser.BldNew.Thermal.SH.Oil.Oil_LiqBio</t>
  </si>
  <si>
    <t>Eff.ratio.LV.Ser.BldNew.Thermal.SH.GasHP.NG_Biogas</t>
  </si>
  <si>
    <t>Eff.ratio.LV.Ser.BldNew.Thermal.SH.GasTH.NG_Biogas</t>
  </si>
  <si>
    <t>Eff.ratio.LV.Ser.BldNew.Thermal.SH.Biomass.Biomass_Waste</t>
  </si>
  <si>
    <t>Eff.ratio.LV.Ser.BldNew.Thermal.SH.Geo.Geo</t>
  </si>
  <si>
    <t>Eff.ratio.LV.Ser.BldNew.Thermal.SH.DistrHeat.Steam_Distr</t>
  </si>
  <si>
    <t>Eff.ratio.LV.Ser.BldNew.Thermal.SH.AdvElc.Elec</t>
  </si>
  <si>
    <t>Eff.ratio.LV.Ser.BldNew.Thermal.SH.ConvElc.Elec</t>
  </si>
  <si>
    <t>Eff.ratio.LV.Ser.BldNew.Thermal.SH.TotalCirculation.Elec</t>
  </si>
  <si>
    <t>Eff.ratio.LV.Ser.BldNew.Thermal.SC</t>
  </si>
  <si>
    <t>Eff.ratio.LV.Ser.BldNew.Thermal.SC.GasHP.NG_Biogas</t>
  </si>
  <si>
    <t>Eff.ratio.LV.Ser.BldNew.Thermal.SC.AC.Elec</t>
  </si>
  <si>
    <t>Eff.ratio.LV.Ser.BldNew.Thermal.HW</t>
  </si>
  <si>
    <t>Eff.ratio.LV.Ser.BldNew.Thermal.HW.Solids.Solids</t>
  </si>
  <si>
    <t>Eff.ratio.LV.Ser.BldNew.Thermal.HW.LPG.LPG</t>
  </si>
  <si>
    <t>Eff.ratio.LV.Ser.BldNew.Thermal.HW.Oil.Oil_LiqBio</t>
  </si>
  <si>
    <t>Eff.ratio.LV.Ser.BldNew.Thermal.HW.Gas.NG_Biogas</t>
  </si>
  <si>
    <t>Eff.ratio.LV.Ser.BldNew.Thermal.HW.Biomass.Biomass_Waste</t>
  </si>
  <si>
    <t>Eff.ratio.LV.Ser.BldNew.Thermal.HW.DistrHeat.Steam_Distr</t>
  </si>
  <si>
    <t>Eff.ratio.LV.Ser.BldNew.Thermal.HW.Elc.Elec</t>
  </si>
  <si>
    <t>Eff.ratio.LV.Ser.BldNew.Thermal.HW.TotalSolar.Solar</t>
  </si>
  <si>
    <t>Eff.ratio.LV.Ser.BldNew.Thermal.CA</t>
  </si>
  <si>
    <t>Eff.ratio.LV.Ser.BldNew.Thermal.CA.LPG</t>
  </si>
  <si>
    <t>Eff.ratio.LV.Ser.BldNew.Thermal.CA.Gas.NG_Biogas</t>
  </si>
  <si>
    <t>Eff.ratio.LV.Ser.BldNew.Thermal.CA.Biomass.Biomass_Waste</t>
  </si>
  <si>
    <t>Eff.ratio.LV.Ser.BldNew.Thermal.CA.Elc.Elec</t>
  </si>
  <si>
    <t>LV - CO2 emissions in new and renovated buildings</t>
  </si>
  <si>
    <t>EMI.ktCO2.LV.Ser.BldNew.Thermal</t>
  </si>
  <si>
    <t>EMI.ktCO2.LV.Ser.BldNew.Thermal.SH</t>
  </si>
  <si>
    <t>EMI.ktCO2.LV.Ser.BldNew.Thermal.SH.Solids.Solids</t>
  </si>
  <si>
    <t>EMI.ktCO2.LV.Ser.BldNew.Thermal.SH.LPG.LPG</t>
  </si>
  <si>
    <t>EMI.ktCO2.LV.Ser.BldNew.Thermal.SH.Oil.Oil_LiqBio</t>
  </si>
  <si>
    <t>EMI.ktCO2.LV.Ser.BldNew.Thermal.SH.GasHP.NG_Biogas</t>
  </si>
  <si>
    <t>EMI.ktCO2.LV.Ser.BldNew.Thermal.SH.GasTH.NG_Biogas</t>
  </si>
  <si>
    <t>EMI.ktCO2.LV.Ser.BldNew.Thermal.SH.Biomass.Biomass_Waste</t>
  </si>
  <si>
    <t>EMI.ktCO2.LV.Ser.BldNew.Thermal.SH.Geo.Geo</t>
  </si>
  <si>
    <t>EMI.ktCO2.LV.Ser.BldNew.Thermal.SH.DistrHeat.Steam_Distr</t>
  </si>
  <si>
    <t>EMI.ktCO2.LV.Ser.BldNew.Thermal.SH.AdvElc.Elec</t>
  </si>
  <si>
    <t>EMI.ktCO2.LV.Ser.BldNew.Thermal.SH.ConvElc.Elec</t>
  </si>
  <si>
    <t>EMI.ktCO2.LV.Ser.BldNew.Thermal.SH.TotalCirculation.Elec</t>
  </si>
  <si>
    <t>EMI.ktCO2.LV.Ser.BldNew.Thermal.SC</t>
  </si>
  <si>
    <t>EMI.ktCO2.LV.Ser.BldNew.Thermal.SC.GasHP.NG_Biogas</t>
  </si>
  <si>
    <t>EMI.ktCO2.LV.Ser.BldNew.Thermal.SC.AC.Elec</t>
  </si>
  <si>
    <t>EMI.ktCO2.LV.Ser.BldNew.Thermal.HW</t>
  </si>
  <si>
    <t>EMI.ktCO2.LV.Ser.BldNew.Thermal.HW.Solids.Solids</t>
  </si>
  <si>
    <t>EMI.ktCO2.LV.Ser.BldNew.Thermal.HW.LPG.LPG</t>
  </si>
  <si>
    <t>EMI.ktCO2.LV.Ser.BldNew.Thermal.HW.Oil.Oil_LiqBio</t>
  </si>
  <si>
    <t>EMI.ktCO2.LV.Ser.BldNew.Thermal.HW.Gas.NG_Biogas</t>
  </si>
  <si>
    <t>EMI.ktCO2.LV.Ser.BldNew.Thermal.HW.Biomass.Biomass_Waste</t>
  </si>
  <si>
    <t>EMI.ktCO2.LV.Ser.BldNew.Thermal.HW.DistrHeat.Steam_Distr</t>
  </si>
  <si>
    <t>EMI.ktCO2.LV.Ser.BldNew.Thermal.HW.Elc.Elec</t>
  </si>
  <si>
    <t>EMI.ktCO2.LV.Ser.BldNew.Thermal.HW.TotalSolar.Solar</t>
  </si>
  <si>
    <t>EMI.ktCO2.LV.Ser.BldNew.Thermal.CA</t>
  </si>
  <si>
    <t>EMI.ktCO2.LV.Ser.BldNew.Thermal.CA.LPG</t>
  </si>
  <si>
    <t>EMI.ktCO2.LV.Ser.BldNew.Thermal.CA.Gas.NG_Biogas</t>
  </si>
  <si>
    <t>EMI.ktCO2.LV.Ser.BldNew.Thermal.CA.Biomass.Biomass_Waste</t>
  </si>
  <si>
    <t>EMI.ktCO2.LV.Ser.BldNew.Thermal.CA.Elc.Elec</t>
  </si>
  <si>
    <t>LV - Final energy consumption of new and renovated buildings (per building)</t>
  </si>
  <si>
    <t>FEC_per_building.kWh.LV.Ser.BldNew.Thermal</t>
  </si>
  <si>
    <t>FEC_per_building.kWh.LV.Ser.BldNew.Thermal.SH</t>
  </si>
  <si>
    <t>FEC_per_building.kWh.LV.Ser.BldNew.Thermal.SH.Solids.Solids</t>
  </si>
  <si>
    <t>FEC_per_building.kWh.LV.Ser.BldNew.Thermal.SH.LPG.LPG</t>
  </si>
  <si>
    <t>FEC_per_building.kWh.LV.Ser.BldNew.Thermal.SH.Oil.Oil_LiqBio</t>
  </si>
  <si>
    <t>FEC_per_building.kWh.LV.Ser.BldNew.Thermal.SH.GasHP.NG_Biogas</t>
  </si>
  <si>
    <t>FEC_per_building.kWh.LV.Ser.BldNew.Thermal.SH.GasTH.NG_Biogas</t>
  </si>
  <si>
    <t>FEC_per_building.kWh.LV.Ser.BldNew.Thermal.SH.Biomass.Biomass_Waste</t>
  </si>
  <si>
    <t>FEC_per_building.kWh.LV.Ser.BldNew.Thermal.SH.Geo.Geo</t>
  </si>
  <si>
    <t>FEC_per_building.kWh.LV.Ser.BldNew.Thermal.SH.DistrHeat.Steam_Distr</t>
  </si>
  <si>
    <t>FEC_per_building.kWh.LV.Ser.BldNew.Thermal.SH.AdvElc.Elec</t>
  </si>
  <si>
    <t>FEC_per_building.kWh.LV.Ser.BldNew.Thermal.SH.ConvElc.Elec</t>
  </si>
  <si>
    <t>FEC_per_building.kWh.LV.Ser.BldNew.Thermal.SH.TotalCirculation.Elec</t>
  </si>
  <si>
    <t>FEC_per_building.kWh.LV.Ser.BldNew.Thermal.SC</t>
  </si>
  <si>
    <t>FEC_per_building.kWh.LV.Ser.BldNew.Thermal.SC.GasHP.NG_Biogas</t>
  </si>
  <si>
    <t>FEC_per_building.kWh.LV.Ser.BldNew.Thermal.SC.AC.Elec</t>
  </si>
  <si>
    <t>FEC_per_building.kWh.LV.Ser.BldNew.Thermal.HW</t>
  </si>
  <si>
    <t>FEC_per_building.kWh.LV.Ser.BldNew.Thermal.HW.Solids.Solids</t>
  </si>
  <si>
    <t>FEC_per_building.kWh.LV.Ser.BldNew.Thermal.HW.LPG.LPG</t>
  </si>
  <si>
    <t>FEC_per_building.kWh.LV.Ser.BldNew.Thermal.HW.Oil.Oil_LiqBio</t>
  </si>
  <si>
    <t>FEC_per_building.kWh.LV.Ser.BldNew.Thermal.HW.Gas.NG_Biogas</t>
  </si>
  <si>
    <t>FEC_per_building.kWh.LV.Ser.BldNew.Thermal.HW.Biomass.Biomass_Waste</t>
  </si>
  <si>
    <t>FEC_per_building.kWh.LV.Ser.BldNew.Thermal.HW.DistrHeat.Steam_Distr</t>
  </si>
  <si>
    <t>FEC_per_building.kWh.LV.Ser.BldNew.Thermal.HW.Elc.Elec</t>
  </si>
  <si>
    <t>FEC_per_building.kWh.LV.Ser.BldNew.Thermal.HW.TotalSolar.Solar</t>
  </si>
  <si>
    <t>FEC_per_building.kWh.LV.Ser.BldNew.Thermal.CA</t>
  </si>
  <si>
    <t>FEC_per_building.kWh.LV.Ser.BldNew.Thermal.CA.LPG</t>
  </si>
  <si>
    <t>FEC_per_building.kWh.LV.Ser.BldNew.Thermal.CA.Gas.NG_Biogas</t>
  </si>
  <si>
    <t>FEC_per_building.kWh.LV.Ser.BldNew.Thermal.CA.Biomass.Biomass_Waste</t>
  </si>
  <si>
    <t>FEC_per_building.kWh.LV.Ser.BldNew.Thermal.CA.Elc.Elec</t>
  </si>
  <si>
    <t>LV - Thermal energy service of new and renovated buildings (per building)</t>
  </si>
  <si>
    <t>TES_per_building.kWh.LV.Ser.BldNew.Thermal</t>
  </si>
  <si>
    <t>TES_per_building.kWh.LV.Ser.BldNew.Thermal.SH</t>
  </si>
  <si>
    <t>TES_per_building.kWh.LV.Ser.BldNew.Thermal.SH.Solids.Solids</t>
  </si>
  <si>
    <t>TES_per_building.kWh.LV.Ser.BldNew.Thermal.SH.LPG.LPG</t>
  </si>
  <si>
    <t>TES_per_building.kWh.LV.Ser.BldNew.Thermal.SH.Oil.Oil_LiqBio</t>
  </si>
  <si>
    <t>TES_per_building.kWh.LV.Ser.BldNew.Thermal.SH.GasHP.NG_Biogas</t>
  </si>
  <si>
    <t>TES_per_building.kWh.LV.Ser.BldNew.Thermal.SH.GasTH.NG_Biogas</t>
  </si>
  <si>
    <t>TES_per_building.kWh.LV.Ser.BldNew.Thermal.SH.Biomass.Biomass_Waste</t>
  </si>
  <si>
    <t>TES_per_building.kWh.LV.Ser.BldNew.Thermal.SH.Geo.Geo</t>
  </si>
  <si>
    <t>TES_per_building.kWh.LV.Ser.BldNew.Thermal.SH.DistrHeat.Steam_Distr</t>
  </si>
  <si>
    <t>TES_per_building.kWh.LV.Ser.BldNew.Thermal.SH.AdvElc.Elec</t>
  </si>
  <si>
    <t>TES_per_building.kWh.LV.Ser.BldNew.Thermal.SH.ConvElc.Elec</t>
  </si>
  <si>
    <t>TES_per_building.kWh.LV.Ser.BldNew.Thermal.SH.TotalCirculation.Elec</t>
  </si>
  <si>
    <t>TES_per_building.kWh.LV.Ser.BldNew.Thermal.SC</t>
  </si>
  <si>
    <t>TES_per_building.kWh.LV.Ser.BldNew.Thermal.SC.GasHP.NG_Biogas</t>
  </si>
  <si>
    <t>TES_per_building.kWh.LV.Ser.BldNew.Thermal.SC.AC.Elec</t>
  </si>
  <si>
    <t>TES_per_building.kWh.LV.Ser.BldNew.Thermal.HW</t>
  </si>
  <si>
    <t>TES_per_building.kWh.LV.Ser.BldNew.Thermal.HW.Solids.Solids</t>
  </si>
  <si>
    <t>TES_per_building.kWh.LV.Ser.BldNew.Thermal.HW.LPG.LPG</t>
  </si>
  <si>
    <t>TES_per_building.kWh.LV.Ser.BldNew.Thermal.HW.Oil.Oil_LiqBio</t>
  </si>
  <si>
    <t>TES_per_building.kWh.LV.Ser.BldNew.Thermal.HW.Gas.NG_Biogas</t>
  </si>
  <si>
    <t>TES_per_building.kWh.LV.Ser.BldNew.Thermal.HW.Biomass.Biomass_Waste</t>
  </si>
  <si>
    <t>TES_per_building.kWh.LV.Ser.BldNew.Thermal.HW.DistrHeat.Steam_Distr</t>
  </si>
  <si>
    <t>TES_per_building.kWh.LV.Ser.BldNew.Thermal.HW.Elc.Elec</t>
  </si>
  <si>
    <t>TES_per_building.kWh.LV.Ser.BldNew.Thermal.HW.TotalSolar.Solar</t>
  </si>
  <si>
    <t>TES_per_building.kWh.LV.Ser.BldNew.Thermal.CA</t>
  </si>
  <si>
    <t>TES_per_building.kWh.LV.Ser.BldNew.Thermal.CA.LPG</t>
  </si>
  <si>
    <t>TES_per_building.kWh.LV.Ser.BldNew.Thermal.CA.Gas.NG_Biogas</t>
  </si>
  <si>
    <t>TES_per_building.kWh.LV.Ser.BldNew.Thermal.CA.Biomass.Biomass_Waste</t>
  </si>
  <si>
    <t>TES_per_building.kWh.LV.Ser.BldNew.Thermal.CA.Elc.Elec</t>
  </si>
  <si>
    <t>LV - CO2 emissions in new and renovated buildings (per building)</t>
  </si>
  <si>
    <t>EMI_per_building.kgCO2.LV.Ser.BldNew.Thermal</t>
  </si>
  <si>
    <t>EMI_per_building.kgCO2.LV.Ser.BldNew.Thermal.SH</t>
  </si>
  <si>
    <t>EMI_per_building.kgCO2.LV.Ser.BldNew.Thermal.SH.Solids.Solids</t>
  </si>
  <si>
    <t>EMI_per_building.kgCO2.LV.Ser.BldNew.Thermal.SH.LPG.LPG</t>
  </si>
  <si>
    <t>EMI_per_building.kgCO2.LV.Ser.BldNew.Thermal.SH.Oil.Oil_LiqBio</t>
  </si>
  <si>
    <t>EMI_per_building.kgCO2.LV.Ser.BldNew.Thermal.SH.GasHP.NG_Biogas</t>
  </si>
  <si>
    <t>EMI_per_building.kgCO2.LV.Ser.BldNew.Thermal.SH.GasTH.NG_Biogas</t>
  </si>
  <si>
    <t>EMI_per_building.kgCO2.LV.Ser.BldNew.Thermal.SH.Biomass.Biomass_Waste</t>
  </si>
  <si>
    <t>EMI_per_building.kgCO2.LV.Ser.BldNew.Thermal.SH.Geo.Geo</t>
  </si>
  <si>
    <t>EMI_per_building.kgCO2.LV.Ser.BldNew.Thermal.SH.DistrHeat.Steam_Distr</t>
  </si>
  <si>
    <t>EMI_per_building.kgCO2.LV.Ser.BldNew.Thermal.SH.AdvElc.Elec</t>
  </si>
  <si>
    <t>EMI_per_building.kgCO2.LV.Ser.BldNew.Thermal.SH.ConvElc.Elec</t>
  </si>
  <si>
    <t>EMI_per_building.kgCO2.LV.Ser.BldNew.Thermal.SH.TotalCirculation.Elec</t>
  </si>
  <si>
    <t>EMI_per_building.kgCO2.LV.Ser.BldNew.Thermal.SC</t>
  </si>
  <si>
    <t>EMI_per_building.kgCO2.LV.Ser.BldNew.Thermal.SC.GasHP.NG_Biogas</t>
  </si>
  <si>
    <t>EMI_per_building.kgCO2.LV.Ser.BldNew.Thermal.SC.AC.Elec</t>
  </si>
  <si>
    <t>EMI_per_building.kgCO2.LV.Ser.BldNew.Thermal.HW</t>
  </si>
  <si>
    <t>EMI_per_building.kgCO2.LV.Ser.BldNew.Thermal.HW.Solids.Solids</t>
  </si>
  <si>
    <t>EMI_per_building.kgCO2.LV.Ser.BldNew.Thermal.HW.LPG.LPG</t>
  </si>
  <si>
    <t>EMI_per_building.kgCO2.LV.Ser.BldNew.Thermal.HW.Oil.Oil_LiqBio</t>
  </si>
  <si>
    <t>EMI_per_building.kgCO2.LV.Ser.BldNew.Thermal.HW.Gas.NG_Biogas</t>
  </si>
  <si>
    <t>EMI_per_building.kgCO2.LV.Ser.BldNew.Thermal.HW.Biomass.Biomass_Waste</t>
  </si>
  <si>
    <t>EMI_per_building.kgCO2.LV.Ser.BldNew.Thermal.HW.DistrHeat.Steam_Distr</t>
  </si>
  <si>
    <t>EMI_per_building.kgCO2.LV.Ser.BldNew.Thermal.HW.Elc.Elec</t>
  </si>
  <si>
    <t>EMI_per_building.kgCO2.LV.Ser.BldNew.Thermal.HW.TotalSolar.Solar</t>
  </si>
  <si>
    <t>EMI_per_building.kgCO2.LV.Ser.BldNew.Thermal.CA</t>
  </si>
  <si>
    <t>EMI_per_building.kgCO2.LV.Ser.BldNew.Thermal.CA.LPG</t>
  </si>
  <si>
    <t>EMI_per_building.kgCO2.LV.Ser.BldNew.Thermal.CA.Gas.NG_Biogas</t>
  </si>
  <si>
    <t>EMI_per_building.kgCO2.LV.Ser.BldNew.Thermal.CA.Biomass.Biomass_Waste</t>
  </si>
  <si>
    <t>EMI_per_building.kgCO2.LV.Ser.BldNew.Thermal.CA.Elc.Elec</t>
  </si>
  <si>
    <t>LV - Final energy consumption in new and renovated buildings per surface area</t>
  </si>
  <si>
    <t>FEC_per_sqm.kWh.LV.Ser.BldNew.Thermal</t>
  </si>
  <si>
    <t>FEC_per_sqm.kWh.LV.Ser.BldNew.Thermal.SH</t>
  </si>
  <si>
    <t>FEC_per_sqm.kWh.LV.Ser.BldNew.Thermal.SH.Solids.Solids</t>
  </si>
  <si>
    <t>FEC_per_sqm.kWh.LV.Ser.BldNew.Thermal.SH.LPG.LPG</t>
  </si>
  <si>
    <t>FEC_per_sqm.kWh.LV.Ser.BldNew.Thermal.SH.Oil.Oil_LiqBio</t>
  </si>
  <si>
    <t>FEC_per_sqm.kWh.LV.Ser.BldNew.Thermal.SH.GasHP.NG_Biogas</t>
  </si>
  <si>
    <t>FEC_per_sqm.kWh.LV.Ser.BldNew.Thermal.SH.GasTH.NG_Biogas</t>
  </si>
  <si>
    <t>FEC_per_sqm.kWh.LV.Ser.BldNew.Thermal.SH.Biomass.Biomass_Waste</t>
  </si>
  <si>
    <t>FEC_per_sqm.kWh.LV.Ser.BldNew.Thermal.SH.Geo.Geo</t>
  </si>
  <si>
    <t>FEC_per_sqm.kWh.LV.Ser.BldNew.Thermal.SH.DistrHeat.Steam_Distr</t>
  </si>
  <si>
    <t>FEC_per_sqm.kWh.LV.Ser.BldNew.Thermal.SH.AdvElc.Elec</t>
  </si>
  <si>
    <t>FEC_per_sqm.kWh.LV.Ser.BldNew.Thermal.SH.ConvElc.Elec</t>
  </si>
  <si>
    <t>FEC_per_sqm.kWh.LV.Ser.BldNew.Thermal.SH.TotalCirculation.Elec</t>
  </si>
  <si>
    <t>FEC_per_sqm.kWh.LV.Ser.BldNew.Thermal.SC</t>
  </si>
  <si>
    <t>FEC_per_sqm.kWh.LV.Ser.BldNew.Thermal.SC.GasHP.NG_Biogas</t>
  </si>
  <si>
    <t>FEC_per_sqm.kWh.LV.Ser.BldNew.Thermal.SC.AC.Elec</t>
  </si>
  <si>
    <t>FEC_per_sqm.kWh.LV.Ser.BldNew.Thermal.HW</t>
  </si>
  <si>
    <t>FEC_per_sqm.kWh.LV.Ser.BldNew.Thermal.HW.Solids.Solids</t>
  </si>
  <si>
    <t>FEC_per_sqm.kWh.LV.Ser.BldNew.Thermal.HW.LPG.LPG</t>
  </si>
  <si>
    <t>FEC_per_sqm.kWh.LV.Ser.BldNew.Thermal.HW.Oil.Oil_LiqBio</t>
  </si>
  <si>
    <t>FEC_per_sqm.kWh.LV.Ser.BldNew.Thermal.HW.Gas.NG_Biogas</t>
  </si>
  <si>
    <t>FEC_per_sqm.kWh.LV.Ser.BldNew.Thermal.HW.Biomass.Biomass_Waste</t>
  </si>
  <si>
    <t>FEC_per_sqm.kWh.LV.Ser.BldNew.Thermal.HW.DistrHeat.Steam_Distr</t>
  </si>
  <si>
    <t>FEC_per_sqm.kWh.LV.Ser.BldNew.Thermal.HW.Elc.Elec</t>
  </si>
  <si>
    <t>FEC_per_sqm.kWh.LV.Ser.BldNew.Thermal.HW.TotalSolar.Solar</t>
  </si>
  <si>
    <t>FEC_per_sqm.kWh.LV.Ser.BldNew.Thermal.CA</t>
  </si>
  <si>
    <t>FEC_per_sqm.kWh.LV.Ser.BldNew.Thermal.CA.LPG</t>
  </si>
  <si>
    <t>FEC_per_sqm.kWh.LV.Ser.BldNew.Thermal.CA.Gas.NG_Biogas</t>
  </si>
  <si>
    <t>FEC_per_sqm.kWh.LV.Ser.BldNew.Thermal.CA.Biomass.Biomass_Waste</t>
  </si>
  <si>
    <t>FEC_per_sqm.kWh.LV.Ser.BldNew.Thermal.CA.Elc.Elec</t>
  </si>
  <si>
    <t>LV - Thermal energy service in new and renovated buildings per surface area</t>
  </si>
  <si>
    <t>TES_per_sqm.kWh.LV.Ser.BldNew.Thermal</t>
  </si>
  <si>
    <t>TES_per_sqm.kWh.LV.Ser.BldNew.Thermal.SH</t>
  </si>
  <si>
    <t>TES_per_sqm.kWh.LV.Ser.BldNew.Thermal.SH.Solids.Solids</t>
  </si>
  <si>
    <t>TES_per_sqm.kWh.LV.Ser.BldNew.Thermal.SH.LPG.LPG</t>
  </si>
  <si>
    <t>TES_per_sqm.kWh.LV.Ser.BldNew.Thermal.SH.Oil.Oil_LiqBio</t>
  </si>
  <si>
    <t>TES_per_sqm.kWh.LV.Ser.BldNew.Thermal.SH.GasHP.NG_Biogas</t>
  </si>
  <si>
    <t>TES_per_sqm.kWh.LV.Ser.BldNew.Thermal.SH.GasTH.NG_Biogas</t>
  </si>
  <si>
    <t>TES_per_sqm.kWh.LV.Ser.BldNew.Thermal.SH.Biomass.Biomass_Waste</t>
  </si>
  <si>
    <t>TES_per_sqm.kWh.LV.Ser.BldNew.Thermal.SH.Geo.Geo</t>
  </si>
  <si>
    <t>TES_per_sqm.kWh.LV.Ser.BldNew.Thermal.SH.DistrHeat.Steam_Distr</t>
  </si>
  <si>
    <t>TES_per_sqm.kWh.LV.Ser.BldNew.Thermal.SH.AdvElc.Elec</t>
  </si>
  <si>
    <t>TES_per_sqm.kWh.LV.Ser.BldNew.Thermal.SH.ConvElc.Elec</t>
  </si>
  <si>
    <t>TES_per_sqm.kWh.LV.Ser.BldNew.Thermal.SH.TotalCirculation.Elec</t>
  </si>
  <si>
    <t>TES_per_sqm.kWh.LV.Ser.BldNew.Thermal.SC</t>
  </si>
  <si>
    <t>TES_per_sqm.kWh.LV.Ser.BldNew.Thermal.SC.GasHP.NG_Biogas</t>
  </si>
  <si>
    <t>TES_per_sqm.kWh.LV.Ser.BldNew.Thermal.SC.AC.Elec</t>
  </si>
  <si>
    <t>TES_per_sqm.kWh.LV.Ser.BldNew.Thermal.HW</t>
  </si>
  <si>
    <t>TES_per_sqm.kWh.LV.Ser.BldNew.Thermal.HW.Solids.Solids</t>
  </si>
  <si>
    <t>TES_per_sqm.kWh.LV.Ser.BldNew.Thermal.HW.LPG.LPG</t>
  </si>
  <si>
    <t>TES_per_sqm.kWh.LV.Ser.BldNew.Thermal.HW.Oil.Oil_LiqBio</t>
  </si>
  <si>
    <t>TES_per_sqm.kWh.LV.Ser.BldNew.Thermal.HW.Gas.NG_Biogas</t>
  </si>
  <si>
    <t>TES_per_sqm.kWh.LV.Ser.BldNew.Thermal.HW.Biomass.Biomass_Waste</t>
  </si>
  <si>
    <t>TES_per_sqm.kWh.LV.Ser.BldNew.Thermal.HW.DistrHeat.Steam_Distr</t>
  </si>
  <si>
    <t>TES_per_sqm.kWh.LV.Ser.BldNew.Thermal.HW.Elc.Elec</t>
  </si>
  <si>
    <t>TES_per_sqm.kWh.LV.Ser.BldNew.Thermal.HW.TotalSolar.Solar</t>
  </si>
  <si>
    <t>TES_per_sqm.kWh.LV.Ser.BldNew.Thermal.CA</t>
  </si>
  <si>
    <t>TES_per_sqm.kWh.LV.Ser.BldNew.Thermal.CA.LPG</t>
  </si>
  <si>
    <t>TES_per_sqm.kWh.LV.Ser.BldNew.Thermal.CA.Gas.NG_Biogas</t>
  </si>
  <si>
    <t>TES_per_sqm.kWh.LV.Ser.BldNew.Thermal.CA.Biomass.Biomass_Waste</t>
  </si>
  <si>
    <t>TES_per_sqm.kWh.LV.Ser.BldNew.Thermal.CA.Elc.Elec</t>
  </si>
  <si>
    <t>LV - CO2 emissions in new and renovated buildings per surface area</t>
  </si>
  <si>
    <t>EMI_per_sqm.kgCO2.LV.Ser.BldNew.Thermal</t>
  </si>
  <si>
    <t>EMI_per_sqm.kgCO2.LV.Ser.BldNew.Thermal.SH</t>
  </si>
  <si>
    <t>EMI_per_sqm.kgCO2.LV.Ser.BldNew.Thermal.SH.Solids.Solids</t>
  </si>
  <si>
    <t>EMI_per_sqm.kgCO2.LV.Ser.BldNew.Thermal.SH.LPG.LPG</t>
  </si>
  <si>
    <t>EMI_per_sqm.kgCO2.LV.Ser.BldNew.Thermal.SH.Oil.Oil_LiqBio</t>
  </si>
  <si>
    <t>EMI_per_sqm.kgCO2.LV.Ser.BldNew.Thermal.SH.GasHP.NG_Biogas</t>
  </si>
  <si>
    <t>EMI_per_sqm.kgCO2.LV.Ser.BldNew.Thermal.SH.GasTH.NG_Biogas</t>
  </si>
  <si>
    <t>EMI_per_sqm.kgCO2.LV.Ser.BldNew.Thermal.SH.Biomass.Biomass_Waste</t>
  </si>
  <si>
    <t>EMI_per_sqm.kgCO2.LV.Ser.BldNew.Thermal.SH.Geo.Geo</t>
  </si>
  <si>
    <t>EMI_per_sqm.kgCO2.LV.Ser.BldNew.Thermal.SH.DistrHeat.Steam_Distr</t>
  </si>
  <si>
    <t>EMI_per_sqm.kgCO2.LV.Ser.BldNew.Thermal.SH.AdvElc.Elec</t>
  </si>
  <si>
    <t>EMI_per_sqm.kgCO2.LV.Ser.BldNew.Thermal.SH.ConvElc.Elec</t>
  </si>
  <si>
    <t>EMI_per_sqm.kgCO2.LV.Ser.BldNew.Thermal.SH.TotalCirculation.Elec</t>
  </si>
  <si>
    <t>EMI_per_sqm.kgCO2.LV.Ser.BldNew.Thermal.SC</t>
  </si>
  <si>
    <t>EMI_per_sqm.kgCO2.LV.Ser.BldNew.Thermal.SC.GasHP.NG_Biogas</t>
  </si>
  <si>
    <t>EMI_per_sqm.kgCO2.LV.Ser.BldNew.Thermal.SC.AC.Elec</t>
  </si>
  <si>
    <t>EMI_per_sqm.kgCO2.LV.Ser.BldNew.Thermal.HW</t>
  </si>
  <si>
    <t>EMI_per_sqm.kgCO2.LV.Ser.BldNew.Thermal.HW.Solids.Solids</t>
  </si>
  <si>
    <t>EMI_per_sqm.kgCO2.LV.Ser.BldNew.Thermal.HW.LPG.LPG</t>
  </si>
  <si>
    <t>EMI_per_sqm.kgCO2.LV.Ser.BldNew.Thermal.HW.Oil.Oil_LiqBio</t>
  </si>
  <si>
    <t>EMI_per_sqm.kgCO2.LV.Ser.BldNew.Thermal.HW.Gas.NG_Biogas</t>
  </si>
  <si>
    <t>EMI_per_sqm.kgCO2.LV.Ser.BldNew.Thermal.HW.Biomass.Biomass_Waste</t>
  </si>
  <si>
    <t>EMI_per_sqm.kgCO2.LV.Ser.BldNew.Thermal.HW.DistrHeat.Steam_Distr</t>
  </si>
  <si>
    <t>EMI_per_sqm.kgCO2.LV.Ser.BldNew.Thermal.HW.Elc.Elec</t>
  </si>
  <si>
    <t>EMI_per_sqm.kgCO2.LV.Ser.BldNew.Thermal.HW.TotalSolar.Solar</t>
  </si>
  <si>
    <t>EMI_per_sqm.kgCO2.LV.Ser.BldNew.Thermal.CA</t>
  </si>
  <si>
    <t>EMI_per_sqm.kgCO2.LV.Ser.BldNew.Thermal.CA.LPG</t>
  </si>
  <si>
    <t>EMI_per_sqm.kgCO2.LV.Ser.BldNew.Thermal.CA.Gas.NG_Biogas</t>
  </si>
  <si>
    <t>EMI_per_sqm.kgCO2.LV.Ser.BldNew.Thermal.CA.Biomass.Biomass_Waste</t>
  </si>
  <si>
    <t>EMI_per_sqm.kgCO2.LV.Ser.BldNew.Thermal.CA.Elc.Elec</t>
  </si>
  <si>
    <t>FEC.ktoe.LV.Ser.SEU.VE</t>
  </si>
  <si>
    <t>FEC.ktoe.LV.Ser.SEU.SL</t>
  </si>
  <si>
    <t>FEC.ktoe.LV.Ser.SEU.BL</t>
  </si>
  <si>
    <t>FEC.ktoe.LV.Ser.SEU.CR</t>
  </si>
  <si>
    <t>FEC.ktoe.LV.Ser.SEU.BT</t>
  </si>
  <si>
    <t>FEC.ktoe.LV.Ser.SEU.IT</t>
  </si>
  <si>
    <t>Size.MW.LV.Ser.SEU</t>
  </si>
  <si>
    <t>Size.MW.LV.Ser.SEU.VE</t>
  </si>
  <si>
    <t>Size.MW.LV.Ser.SEU.SL</t>
  </si>
  <si>
    <t>Size.MW.LV.Ser.SEU.BL</t>
  </si>
  <si>
    <t>Size.MW.LV.Ser.SEU.CR</t>
  </si>
  <si>
    <t>Size.MW.LV.Ser.SEU.BT</t>
  </si>
  <si>
    <t>Size.MW.LV.Ser.SEU.IT</t>
  </si>
  <si>
    <t>NUM.Msqm.LV.Ser.SEU.VE</t>
  </si>
  <si>
    <t>NUM.k.LV.Ser.SEU.SL</t>
  </si>
  <si>
    <t>NUM.M.LV.Ser.SEU.BL</t>
  </si>
  <si>
    <t>NUM.k.LV.Ser.SEU.CR</t>
  </si>
  <si>
    <t>NUM.Msqm.LV.Ser.SEU.BT</t>
  </si>
  <si>
    <t>NUM.k.LV.Ser.SEU.IT</t>
  </si>
  <si>
    <t>NUM.Msqm.LV.Ser.SEUnew.VE</t>
  </si>
  <si>
    <t>NUM.k.LV.Ser.SEUnew.SL</t>
  </si>
  <si>
    <t>NUM.M.LV.Ser.SEUnew.BL</t>
  </si>
  <si>
    <t>NUM.k.LV.Ser.SEUnew.CR</t>
  </si>
  <si>
    <t>NUM.Msqm.LV.Ser.SEUnew.BT</t>
  </si>
  <si>
    <t>NUM.k.LV.Ser.SEUnew.IT</t>
  </si>
  <si>
    <t>NUM.Msqm.LV.Ser.SEUrepl.VE</t>
  </si>
  <si>
    <t>NUM.k.LV.Ser.SEUrepl.SL</t>
  </si>
  <si>
    <t>NUM.M.LV.Ser.SEUrepl.BL</t>
  </si>
  <si>
    <t>NUM.k.LV.Ser.SEUrepl.CR</t>
  </si>
  <si>
    <t>NUM.Msqm.LV.Ser.SEUrepl.BT</t>
  </si>
  <si>
    <t>NUM.k.LV.Ser.SEUrepl.IT</t>
  </si>
  <si>
    <t>Op.hours.LV.Ser.SEU.VE</t>
  </si>
  <si>
    <t>Op.hours.LV.Ser.SEU.SL</t>
  </si>
  <si>
    <t>Op.hours.LV.Ser.SEU.BL</t>
  </si>
  <si>
    <t>Op.hours.LV.Ser.SEU.CR</t>
  </si>
  <si>
    <t>Op.hours.LV.Ser.SEU.BT</t>
  </si>
  <si>
    <t>Op.hours.LV.Ser.SEU.IT</t>
  </si>
  <si>
    <t>Size_per_appl.W.LV.Ser.SEU.VE</t>
  </si>
  <si>
    <t>Size_per_appl.W.LV.Ser.SEU.SL</t>
  </si>
  <si>
    <t>Size_per_appl.W.LV.Ser.SEU.BL</t>
  </si>
  <si>
    <t>Size_per_appl.W.LV.Ser.SEU.CR</t>
  </si>
  <si>
    <t>Size_per_appl.W.LV.Ser.SEU.BT</t>
  </si>
  <si>
    <t>Size_per_appl.W.LV.Ser.SEU.IT</t>
  </si>
  <si>
    <t>Size_per_appl.W.LV.Ser.SEUnew.VE</t>
  </si>
  <si>
    <t>Size_per_appl.W.LV.Ser.SEUnew.SL</t>
  </si>
  <si>
    <t>Size_per_appl.W.LV.Ser.SEUnew.BL</t>
  </si>
  <si>
    <t>Size_per_appl.W.LV.Ser.SEUnew.CR</t>
  </si>
  <si>
    <t>Size_per_appl.W.LV.Ser.SEUnew.BT</t>
  </si>
  <si>
    <t>Size_per_appl.W.LV.Ser.SEUnew.IT</t>
  </si>
  <si>
    <t>NUM.sqm_per_building.LV.Ser.SEU.VE</t>
  </si>
  <si>
    <t>NUM.number_per_capita.LV.Ser.SEU.SL</t>
  </si>
  <si>
    <t>NUM.number_per_building.LV.Ser.SEU.BL</t>
  </si>
  <si>
    <t>NUM.number_per_capita.LV.Ser.SEU.CR</t>
  </si>
  <si>
    <t>NUM.sqm_per_building.LV.Ser.SEU.BT</t>
  </si>
  <si>
    <t>NUM.number_per_capita.LV.Ser.SEU.IT</t>
  </si>
  <si>
    <t>Lumens_per_sqm.lumen.LV.Ser.SEU.BL</t>
  </si>
  <si>
    <t>LV - Services / specific electric uses</t>
  </si>
  <si>
    <t>LV - Ventilation and others</t>
  </si>
  <si>
    <t>LV - Street lighting</t>
  </si>
  <si>
    <t>LV - Building lighting</t>
  </si>
  <si>
    <t>LV - Commercial refrigeration</t>
  </si>
  <si>
    <t>LV - Miscellaneous building technologies</t>
  </si>
  <si>
    <t>LV - ICT and multimedia</t>
  </si>
  <si>
    <t>LV - Agriculture, forestry and fishing</t>
  </si>
  <si>
    <t>VA.Meuro2015.LV.AGR.AGR</t>
  </si>
  <si>
    <t>OUTPUT.index.LV.AGR.AGR</t>
  </si>
  <si>
    <t>CAP.index.LV.AGR.AGR</t>
  </si>
  <si>
    <t>NEWCAP.index.LV.AGR.AGR</t>
  </si>
  <si>
    <t>CAPOUT.index.LV.AGR.AGR</t>
  </si>
  <si>
    <t>CAPIDLE.index.LV.AGR.AGR</t>
  </si>
  <si>
    <t>FEC.ktoe.LV.ES.AGR</t>
  </si>
  <si>
    <t>FEC.ktoe.LV.ES.AGR.Solids</t>
  </si>
  <si>
    <t>FEC.ktoe.LV.ES.AGR.LPG</t>
  </si>
  <si>
    <t>FEC.ktoe.LV.ES.AGR.Diesel</t>
  </si>
  <si>
    <t>FEC.ktoe.LV.ES.AGR.RFO</t>
  </si>
  <si>
    <t>FEC.ktoe.LV.ES.AGR.NG</t>
  </si>
  <si>
    <t>FEC.ktoe.LV.ES.AGR.Biomass_Waste</t>
  </si>
  <si>
    <t>FEC.ktoe.LV.ES.AGR.Biogas</t>
  </si>
  <si>
    <t>FEC.ktoe.LV.ES.AGR.LiqBio</t>
  </si>
  <si>
    <t>FEC.ktoe.LV.ES.AGR.Solar</t>
  </si>
  <si>
    <t>FEC.ktoe.LV.ES.AGR.Geo</t>
  </si>
  <si>
    <t>FEC.ktoe.LV.ES.AGR.Ambient</t>
  </si>
  <si>
    <t>FEC.ktoe.LV.ES.AGR.Steam_Distr</t>
  </si>
  <si>
    <t>FEC.ktoe.LV.ES.AGR.Elec</t>
  </si>
  <si>
    <t>LV - Agriculture, forestry and fishing / final energy consumption</t>
  </si>
  <si>
    <t>FEC.ktoe.LV.AGR.AGR.LIGHT.GENERIC.ELEC</t>
  </si>
  <si>
    <t>FEC.ktoe.LV.AGR.AGR.FANS.GENERIC.ELEC</t>
  </si>
  <si>
    <t>FEC.ktoe.LV.AGR.AGR.MOTOR.GENERIC.ELEC</t>
  </si>
  <si>
    <t>FEC.ktoe.LV.AGR.AGR.LOW_ENTH.THERM.DIESEL_LIQBIO</t>
  </si>
  <si>
    <t>FEC.ktoe.LV.AGR.AGR.LOW_ENTH.THERM.NG_BIOGAS</t>
  </si>
  <si>
    <t>FEC.ktoe.LV.AGR.AGR.LOW_ENTH.THERM.SOLAR_GEO</t>
  </si>
  <si>
    <t>FEC.ktoe.LV.AGR.AGR.LOW_ENTH.HP.AMBIENT</t>
  </si>
  <si>
    <t>FEC.ktoe.LV.AGR.AGR.LOW_ENTH.THERM.STEAM_DISTR</t>
  </si>
  <si>
    <t>FEC.ktoe.LV.AGR.AGR.LOW_ENTH.THERM.ELEC</t>
  </si>
  <si>
    <t>FEC.ktoe.LV.AGR.AGR.FARM_DRIVES.MECH.DIESEL_LIQBIO</t>
  </si>
  <si>
    <t>FEC.ktoe.LV.AGR.AGR.HEAT_USE.THERM.SOLIDS</t>
  </si>
  <si>
    <t>FEC.ktoe.LV.AGR.AGR.HEAT_USE.THERM.LPG</t>
  </si>
  <si>
    <t>FEC.ktoe.LV.AGR.AGR.HEAT_USE.THERM.DIESEL_LIQBIO</t>
  </si>
  <si>
    <t>FEC.ktoe.LV.AGR.AGR.HEAT_USE.THERM.RFO</t>
  </si>
  <si>
    <t>FEC.ktoe.LV.AGR.AGR.HEAT_USE.THERM.NG_BIOGAS</t>
  </si>
  <si>
    <t>FEC.ktoe.LV.AGR.AGR.HEAT_USE.THERM.BIOMASS_WASTE</t>
  </si>
  <si>
    <t>FEC.ktoe.LV.AGR.AGR.HEAT_USE.THERM.SOLAR_GEO</t>
  </si>
  <si>
    <t>FEC.ktoe.LV.AGR.AGR.FARM_PUMP.MECH.DIESEL_LIQBIO</t>
  </si>
  <si>
    <t>FEC.ktoe.LV.AGR.AGR.FARM_PUMP_ELEC.MECH.ELEC</t>
  </si>
  <si>
    <t>FEC.ktoe.LV.AGR.AGR.GENERIC.MECH.ELEC</t>
  </si>
  <si>
    <t>LV - Agriculture, forestry and fishing / useful energy demand</t>
  </si>
  <si>
    <t>UED.ktoe.LV.AGR.AGR.LIGHT.GENERIC.ELEC</t>
  </si>
  <si>
    <t>UED.ktoe.LV.AGR.AGR.FANS.GENERIC.ELEC</t>
  </si>
  <si>
    <t>UED.ktoe.LV.AGR.AGR.MOTOR.GENERIC.ELEC</t>
  </si>
  <si>
    <t>UED.ktoe.LV.AGR.AGR.LOW_ENTH.THERM.DIESEL_LIQBIO</t>
  </si>
  <si>
    <t>UED.ktoe.LV.AGR.AGR.LOW_ENTH.THERM.NG_BIOGAS</t>
  </si>
  <si>
    <t>UED.ktoe.LV.AGR.AGR.LOW_ENTH.THERM.SOLAR_GEO</t>
  </si>
  <si>
    <t>UED.ktoe.LV.AGR.AGR.LOW_ENTH.HP.AMBIENT</t>
  </si>
  <si>
    <t>UED.ktoe.LV.AGR.AGR.LOW_ENTH.THERM.STEAM_DISTR</t>
  </si>
  <si>
    <t>UED.ktoe.LV.AGR.AGR.LOW_ENTH.THERM.ELEC</t>
  </si>
  <si>
    <t>UED.ktoe.LV.AGR.AGR.FARM_DRIVES.MECH.DIESEL_LIQBIO</t>
  </si>
  <si>
    <t>UED.ktoe.LV.AGR.AGR.HEAT_USE.THERM.SOLIDS</t>
  </si>
  <si>
    <t>UED.ktoe.LV.AGR.AGR.HEAT_USE.THERM.LPG</t>
  </si>
  <si>
    <t>UED.ktoe.LV.AGR.AGR.HEAT_USE.THERM.DIESEL_LIQBIO</t>
  </si>
  <si>
    <t>UED.ktoe.LV.AGR.AGR.HEAT_USE.THERM.RFO</t>
  </si>
  <si>
    <t>UED.ktoe.LV.AGR.AGR.HEAT_USE.THERM.NG_BIOGAS</t>
  </si>
  <si>
    <t>UED.ktoe.LV.AGR.AGR.HEAT_USE.THERM.BIOMASS_WASTE</t>
  </si>
  <si>
    <t>UED.ktoe.LV.AGR.AGR.HEAT_USE.THERM.SOLAR_GEO</t>
  </si>
  <si>
    <t>UED.ktoe.LV.AGR.AGR.FARM_PUMP.MECH.DIESEL_LIQBIO</t>
  </si>
  <si>
    <t>UED.ktoe.LV.AGR.AGR.FARM_PUMP_ELEC.MECH.ELEC</t>
  </si>
  <si>
    <t>UED.ktoe.LV.AGR.AGR.GENERIC.MECH.ELEC</t>
  </si>
  <si>
    <t>LV - Agriculture, forestry and fishing / CO2 emissions</t>
  </si>
  <si>
    <t>FUEL_EMI.ktCO2.LV.AGR.AGR.LIGHT.GENERIC.ELEC</t>
  </si>
  <si>
    <t>FUEL_EMI.ktCO2.LV.AGR.AGR.FANS.GENERIC.ELEC</t>
  </si>
  <si>
    <t>FUEL_EMI.ktCO2.LV.AGR.AGR.MOTOR.GENERIC.ELEC</t>
  </si>
  <si>
    <t>FUEL_EMI.ktCO2.LV.AGR.AGR.LOW_ENTH.THERM.DIESEL_LIQBIO</t>
  </si>
  <si>
    <t>FUEL_EMI.ktCO2.LV.AGR.AGR.LOW_ENTH.THERM.NG_BIOGAS</t>
  </si>
  <si>
    <t>FUEL_EMI.ktCO2.LV.AGR.AGR.LOW_ENTH.THERM.SOLAR_GEO</t>
  </si>
  <si>
    <t>FUEL_EMI.ktCO2.LV.AGR.AGR.LOW_ENTH.HP.AMBIENT</t>
  </si>
  <si>
    <t>FUEL_EMI.ktCO2.LV.AGR.AGR.LOW_ENTH.THERM.STEAM_DISTR</t>
  </si>
  <si>
    <t>FUEL_EMI.ktCO2.LV.AGR.AGR.LOW_ENTH.THERM.ELEC</t>
  </si>
  <si>
    <t>FUEL_EMI.ktCO2.LV.AGR.AGR.FARM_DRIVES.MECH.DIESEL_LIQBIO</t>
  </si>
  <si>
    <t>FUEL_EMI.ktCO2.LV.AGR.AGR.HEAT_USE.THERM.SOLIDS</t>
  </si>
  <si>
    <t>FUEL_EMI.ktCO2.LV.AGR.AGR.HEAT_USE.THERM.LPG</t>
  </si>
  <si>
    <t>FUEL_EMI.ktCO2.LV.AGR.AGR.HEAT_USE.THERM.DIESEL_LIQBIO</t>
  </si>
  <si>
    <t>FUEL_EMI.ktCO2.LV.AGR.AGR.HEAT_USE.THERM.RFO</t>
  </si>
  <si>
    <t>FUEL_EMI.ktCO2.LV.AGR.AGR.HEAT_USE.THERM.NG_BIOGAS</t>
  </si>
  <si>
    <t>FUEL_EMI.ktCO2.LV.AGR.AGR.HEAT_USE.THERM.BIOMASS_WASTE</t>
  </si>
  <si>
    <t>FUEL_EMI.ktCO2.LV.AGR.AGR.HEAT_USE.THERM.SOLAR_GEO</t>
  </si>
  <si>
    <t>FUEL_EMI.ktCO2.LV.AGR.AGR.FARM_PUMP.MECH.DIESEL_LIQBIO</t>
  </si>
  <si>
    <t>FUEL_EMI.ktCO2.LV.AGR.AGR.FARM_PUMP_ELEC.MECH.ELEC</t>
  </si>
  <si>
    <t>FUEL_EMI.ktCO2.LV.AGR.AGR.GENERIC.MECH.ELEC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</si>
</sst>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45432.787141203706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2381715</v>
      </c>
      <c r="C3" s="34">
        <v>2353384</v>
      </c>
      <c r="D3" s="34">
        <v>2320956</v>
      </c>
      <c r="E3" s="34">
        <v>2299390</v>
      </c>
      <c r="F3" s="34">
        <v>2276520</v>
      </c>
      <c r="G3" s="34">
        <v>2249724</v>
      </c>
      <c r="H3" s="34">
        <v>2227874</v>
      </c>
      <c r="I3" s="34">
        <v>2208840</v>
      </c>
      <c r="J3" s="34">
        <v>2191810</v>
      </c>
      <c r="K3" s="34">
        <v>2162834</v>
      </c>
      <c r="L3" s="34">
        <v>2120504</v>
      </c>
      <c r="M3" s="34">
        <v>2074605</v>
      </c>
      <c r="N3" s="34">
        <v>2044813</v>
      </c>
      <c r="O3" s="34">
        <v>2023825</v>
      </c>
      <c r="P3" s="34">
        <v>2001468</v>
      </c>
      <c r="Q3" s="34">
        <v>1986096</v>
      </c>
      <c r="R3" s="34">
        <v>1968957</v>
      </c>
      <c r="S3" s="34">
        <v>1950116</v>
      </c>
      <c r="T3" s="34">
        <v>1934379</v>
      </c>
      <c r="U3" s="34">
        <v>1919968</v>
      </c>
      <c r="V3" s="34">
        <v>1907675</v>
      </c>
      <c r="W3" s="34">
        <v>1893223</v>
      </c>
      <c r="DA3" s="88" t="s">
        <v>187</v>
      </c>
    </row>
    <row r="4" spans="1:105" ht="12" customHeight="1" x14ac:dyDescent="0.25">
      <c r="A4" s="35" t="s">
        <v>178</v>
      </c>
      <c r="B4" s="36">
        <v>14350.811278095489</v>
      </c>
      <c r="C4" s="36">
        <v>15258.30918975227</v>
      </c>
      <c r="D4" s="36">
        <v>16339.985859364959</v>
      </c>
      <c r="E4" s="36">
        <v>17716.358727748247</v>
      </c>
      <c r="F4" s="36">
        <v>19183.820401217399</v>
      </c>
      <c r="G4" s="36">
        <v>21240.528552947697</v>
      </c>
      <c r="H4" s="36">
        <v>23783.439490445857</v>
      </c>
      <c r="I4" s="36">
        <v>26147.83626267725</v>
      </c>
      <c r="J4" s="36">
        <v>25298.291206468049</v>
      </c>
      <c r="K4" s="36">
        <v>21690.586455133202</v>
      </c>
      <c r="L4" s="36">
        <v>20724.296096033646</v>
      </c>
      <c r="M4" s="36">
        <v>21257.782774126601</v>
      </c>
      <c r="N4" s="36">
        <v>22754.654419639181</v>
      </c>
      <c r="O4" s="36">
        <v>23211.663220931063</v>
      </c>
      <c r="P4" s="36">
        <v>23653.237755796723</v>
      </c>
      <c r="Q4" s="36">
        <v>24572.1</v>
      </c>
      <c r="R4" s="36">
        <v>25154.219089259688</v>
      </c>
      <c r="S4" s="36">
        <v>25987.26850737213</v>
      </c>
      <c r="T4" s="36">
        <v>27024.3513566125</v>
      </c>
      <c r="U4" s="36">
        <v>27183.159953765447</v>
      </c>
      <c r="V4" s="36">
        <v>26228.015923483654</v>
      </c>
      <c r="W4" s="36">
        <v>27993.469374050415</v>
      </c>
      <c r="DA4" s="89" t="s">
        <v>188</v>
      </c>
    </row>
    <row r="5" spans="1:105" ht="12" customHeight="1" x14ac:dyDescent="0.25">
      <c r="A5" s="35" t="s">
        <v>147</v>
      </c>
      <c r="B5" s="36">
        <v>8610.8494396621718</v>
      </c>
      <c r="C5" s="36">
        <v>9318.1098372078286</v>
      </c>
      <c r="D5" s="36">
        <v>10016.715354693579</v>
      </c>
      <c r="E5" s="36">
        <v>11149.218801503062</v>
      </c>
      <c r="F5" s="36">
        <v>12005.138106559863</v>
      </c>
      <c r="G5" s="36">
        <v>13615.596093382141</v>
      </c>
      <c r="H5" s="36">
        <v>15126.425919676005</v>
      </c>
      <c r="I5" s="36">
        <v>16297.437959302195</v>
      </c>
      <c r="J5" s="36">
        <v>16134.361566108588</v>
      </c>
      <c r="K5" s="36">
        <v>14340.091593215659</v>
      </c>
      <c r="L5" s="36">
        <v>13472.002236094288</v>
      </c>
      <c r="M5" s="36">
        <v>13751.008570120157</v>
      </c>
      <c r="N5" s="36">
        <v>14735.474655045702</v>
      </c>
      <c r="O5" s="36">
        <v>15095.060920762124</v>
      </c>
      <c r="P5" s="36">
        <v>15527.402477649041</v>
      </c>
      <c r="Q5" s="36">
        <v>16060.6</v>
      </c>
      <c r="R5" s="36">
        <v>16517.056902661014</v>
      </c>
      <c r="S5" s="36">
        <v>16850.05206525512</v>
      </c>
      <c r="T5" s="36">
        <v>17468.787999740092</v>
      </c>
      <c r="U5" s="36">
        <v>17463.712825608629</v>
      </c>
      <c r="V5" s="36">
        <v>16613.140964503094</v>
      </c>
      <c r="W5" s="36">
        <v>17551.804043936187</v>
      </c>
      <c r="DA5" s="89" t="s">
        <v>189</v>
      </c>
    </row>
    <row r="6" spans="1:105" ht="12" customHeight="1" x14ac:dyDescent="0.25">
      <c r="A6" s="37" t="s">
        <v>70</v>
      </c>
      <c r="B6" s="38">
        <v>573490</v>
      </c>
      <c r="C6" s="38">
        <v>564270</v>
      </c>
      <c r="D6" s="38">
        <v>581000</v>
      </c>
      <c r="E6" s="38">
        <v>593680</v>
      </c>
      <c r="F6" s="38">
        <v>619040</v>
      </c>
      <c r="G6" s="38">
        <v>638150</v>
      </c>
      <c r="H6" s="38">
        <v>651980</v>
      </c>
      <c r="I6" s="38">
        <v>704839.99999999988</v>
      </c>
      <c r="J6" s="38">
        <v>703950</v>
      </c>
      <c r="K6" s="38">
        <v>626550</v>
      </c>
      <c r="L6" s="38">
        <v>592930.00000000012</v>
      </c>
      <c r="M6" s="38">
        <v>596220</v>
      </c>
      <c r="N6" s="38">
        <v>605090</v>
      </c>
      <c r="O6" s="38">
        <v>621390</v>
      </c>
      <c r="P6" s="38">
        <v>615590</v>
      </c>
      <c r="Q6" s="38">
        <v>626070</v>
      </c>
      <c r="R6" s="38">
        <v>630630</v>
      </c>
      <c r="S6" s="38">
        <v>629449.99999999988</v>
      </c>
      <c r="T6" s="38">
        <v>634400</v>
      </c>
      <c r="U6" s="38">
        <v>631550</v>
      </c>
      <c r="V6" s="38">
        <v>616939.99999999988</v>
      </c>
      <c r="W6" s="38">
        <v>592980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12774.925639396286</v>
      </c>
      <c r="C8" s="34">
        <v>13313.459304722574</v>
      </c>
      <c r="D8" s="34">
        <v>13941.25368506809</v>
      </c>
      <c r="E8" s="34">
        <v>14612.782811719753</v>
      </c>
      <c r="F8" s="34">
        <v>15415.531562818484</v>
      </c>
      <c r="G8" s="34">
        <v>16049.300002318019</v>
      </c>
      <c r="H8" s="34">
        <v>17008.270010500972</v>
      </c>
      <c r="I8" s="34">
        <v>18023.322830821682</v>
      </c>
      <c r="J8" s="34">
        <v>18579.373307633439</v>
      </c>
      <c r="K8" s="34">
        <v>18613.824129688681</v>
      </c>
      <c r="L8" s="34">
        <v>18523.221166702595</v>
      </c>
      <c r="M8" s="34">
        <v>18824.137865271809</v>
      </c>
      <c r="N8" s="34">
        <v>18740.271850200534</v>
      </c>
      <c r="O8" s="34">
        <v>18930.684800060611</v>
      </c>
      <c r="P8" s="34">
        <v>19141.279222169578</v>
      </c>
      <c r="Q8" s="34">
        <v>19404.648510811057</v>
      </c>
      <c r="R8" s="34">
        <v>19489.205356709066</v>
      </c>
      <c r="S8" s="34">
        <v>19704.30398500077</v>
      </c>
      <c r="T8" s="34">
        <v>19851.318053630082</v>
      </c>
      <c r="U8" s="34">
        <v>19997.182811536593</v>
      </c>
      <c r="V8" s="34">
        <v>20133.015555555554</v>
      </c>
      <c r="W8" s="34">
        <v>20265.836886542897</v>
      </c>
      <c r="DA8" s="88" t="s">
        <v>191</v>
      </c>
    </row>
    <row r="9" spans="1:105" ht="12" customHeight="1" x14ac:dyDescent="0.25">
      <c r="A9" s="39" t="s">
        <v>68</v>
      </c>
      <c r="B9" s="40">
        <v>11497.433075456658</v>
      </c>
      <c r="C9" s="40">
        <v>11982.113374250317</v>
      </c>
      <c r="D9" s="40">
        <v>12547.12831656128</v>
      </c>
      <c r="E9" s="40">
        <v>13151.504530547778</v>
      </c>
      <c r="F9" s="40">
        <v>13873.978406536635</v>
      </c>
      <c r="G9" s="40">
        <v>14444.370002086218</v>
      </c>
      <c r="H9" s="40">
        <v>15307.443009450875</v>
      </c>
      <c r="I9" s="40">
        <v>16220.990547739515</v>
      </c>
      <c r="J9" s="40">
        <v>16721.435976870096</v>
      </c>
      <c r="K9" s="40">
        <v>16752.441716719812</v>
      </c>
      <c r="L9" s="40">
        <v>16670.899050032334</v>
      </c>
      <c r="M9" s="40">
        <v>16941.724078744628</v>
      </c>
      <c r="N9" s="40">
        <v>16866.244665180478</v>
      </c>
      <c r="O9" s="40">
        <v>17037.616320054549</v>
      </c>
      <c r="P9" s="40">
        <v>17227.15129995262</v>
      </c>
      <c r="Q9" s="40">
        <v>17464.183659729952</v>
      </c>
      <c r="R9" s="40">
        <v>17540.28482103816</v>
      </c>
      <c r="S9" s="40">
        <v>17733.873586500693</v>
      </c>
      <c r="T9" s="40">
        <v>17866.186248267073</v>
      </c>
      <c r="U9" s="40">
        <v>17997.464530382935</v>
      </c>
      <c r="V9" s="40">
        <v>18119.714</v>
      </c>
      <c r="W9" s="40">
        <v>18239.253197888607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589.49488358265444</v>
      </c>
      <c r="D10" s="41">
        <v>681.14974979513022</v>
      </c>
      <c r="E10" s="41">
        <v>727.27864729453268</v>
      </c>
      <c r="F10" s="41">
        <v>861.23444453388151</v>
      </c>
      <c r="G10" s="41">
        <v>695.3323273260188</v>
      </c>
      <c r="H10" s="41">
        <v>1023.2700688017213</v>
      </c>
      <c r="I10" s="41">
        <v>1083.1151185288752</v>
      </c>
      <c r="J10" s="41">
        <v>628.21703420835502</v>
      </c>
      <c r="K10" s="41">
        <v>108.66950904605216</v>
      </c>
      <c r="L10" s="41">
        <v>74.560708589848261</v>
      </c>
      <c r="M10" s="41">
        <v>375.13538556002584</v>
      </c>
      <c r="N10" s="41">
        <v>75.244751787920237</v>
      </c>
      <c r="O10" s="41">
        <v>265.31568004895917</v>
      </c>
      <c r="P10" s="41">
        <v>286.18119549592518</v>
      </c>
      <c r="Q10" s="41">
        <v>339.98212682554293</v>
      </c>
      <c r="R10" s="41">
        <v>185.09906616127776</v>
      </c>
      <c r="S10" s="41">
        <v>316.07896692750393</v>
      </c>
      <c r="T10" s="41">
        <v>249.10890792982769</v>
      </c>
      <c r="U10" s="41">
        <v>248.72132813258062</v>
      </c>
      <c r="V10" s="41">
        <v>239.44509019272419</v>
      </c>
      <c r="W10" s="41">
        <v>237.13747376223554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530.54539522438904</v>
      </c>
      <c r="D11" s="42">
        <v>613.0347748156172</v>
      </c>
      <c r="E11" s="42">
        <v>654.55078256507932</v>
      </c>
      <c r="F11" s="42">
        <v>775.11100008049334</v>
      </c>
      <c r="G11" s="42">
        <v>625.79909459341695</v>
      </c>
      <c r="H11" s="42">
        <v>920.9430619215492</v>
      </c>
      <c r="I11" s="42">
        <v>974.80360667598768</v>
      </c>
      <c r="J11" s="42">
        <v>565.39533078751958</v>
      </c>
      <c r="K11" s="42">
        <v>97.802558141446937</v>
      </c>
      <c r="L11" s="42">
        <v>67.104637730863431</v>
      </c>
      <c r="M11" s="42">
        <v>337.62184700402327</v>
      </c>
      <c r="N11" s="42">
        <v>67.72027660912822</v>
      </c>
      <c r="O11" s="42">
        <v>238.78411204406325</v>
      </c>
      <c r="P11" s="42">
        <v>257.56307594633262</v>
      </c>
      <c r="Q11" s="42">
        <v>305.98391414298862</v>
      </c>
      <c r="R11" s="42">
        <v>166.58915954515001</v>
      </c>
      <c r="S11" s="42">
        <v>284.47107023475354</v>
      </c>
      <c r="T11" s="42">
        <v>224.19801713684492</v>
      </c>
      <c r="U11" s="42">
        <v>223.84919531932258</v>
      </c>
      <c r="V11" s="42">
        <v>215.50058117345176</v>
      </c>
      <c r="W11" s="42">
        <v>213.42372638601199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3732.08</v>
      </c>
      <c r="C13" s="43">
        <v>4180.03</v>
      </c>
      <c r="D13" s="43">
        <v>4057.45</v>
      </c>
      <c r="E13" s="43">
        <v>4244.78</v>
      </c>
      <c r="F13" s="43">
        <v>4206.53</v>
      </c>
      <c r="G13" s="43">
        <v>4181.3</v>
      </c>
      <c r="H13" s="43">
        <v>4013.78</v>
      </c>
      <c r="I13" s="43">
        <v>3900.67</v>
      </c>
      <c r="J13" s="43">
        <v>3727.95</v>
      </c>
      <c r="K13" s="43">
        <v>4150.4399999999996</v>
      </c>
      <c r="L13" s="43">
        <v>4635.9799999999996</v>
      </c>
      <c r="M13" s="43">
        <v>3937.92</v>
      </c>
      <c r="N13" s="43">
        <v>4322.0200000000004</v>
      </c>
      <c r="O13" s="43">
        <v>4036.79</v>
      </c>
      <c r="P13" s="43">
        <v>3939.85</v>
      </c>
      <c r="Q13" s="43">
        <v>3657.39</v>
      </c>
      <c r="R13" s="43">
        <v>4002.81</v>
      </c>
      <c r="S13" s="43">
        <v>3997.38</v>
      </c>
      <c r="T13" s="43">
        <v>3862.19</v>
      </c>
      <c r="U13" s="43">
        <v>3622.92</v>
      </c>
      <c r="V13" s="43">
        <v>3403.51</v>
      </c>
      <c r="W13" s="43">
        <v>4143.7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3991.1319047619045</v>
      </c>
      <c r="C14" s="44">
        <f t="shared" ref="C14:W14" si="0">AVERAGE($B$13:$V$13)</f>
        <v>3991.1319047619045</v>
      </c>
      <c r="D14" s="44">
        <f t="shared" si="0"/>
        <v>3991.1319047619045</v>
      </c>
      <c r="E14" s="44">
        <f t="shared" si="0"/>
        <v>3991.1319047619045</v>
      </c>
      <c r="F14" s="44">
        <f t="shared" si="0"/>
        <v>3991.1319047619045</v>
      </c>
      <c r="G14" s="44">
        <f t="shared" si="0"/>
        <v>3991.1319047619045</v>
      </c>
      <c r="H14" s="44">
        <f t="shared" si="0"/>
        <v>3991.1319047619045</v>
      </c>
      <c r="I14" s="44">
        <f t="shared" si="0"/>
        <v>3991.1319047619045</v>
      </c>
      <c r="J14" s="44">
        <f t="shared" si="0"/>
        <v>3991.1319047619045</v>
      </c>
      <c r="K14" s="44">
        <f t="shared" si="0"/>
        <v>3991.1319047619045</v>
      </c>
      <c r="L14" s="44">
        <f t="shared" si="0"/>
        <v>3991.1319047619045</v>
      </c>
      <c r="M14" s="44">
        <f t="shared" si="0"/>
        <v>3991.1319047619045</v>
      </c>
      <c r="N14" s="44">
        <f t="shared" si="0"/>
        <v>3991.1319047619045</v>
      </c>
      <c r="O14" s="44">
        <f t="shared" si="0"/>
        <v>3991.1319047619045</v>
      </c>
      <c r="P14" s="44">
        <f t="shared" si="0"/>
        <v>3991.1319047619045</v>
      </c>
      <c r="Q14" s="44">
        <f t="shared" si="0"/>
        <v>3991.1319047619045</v>
      </c>
      <c r="R14" s="44">
        <f t="shared" si="0"/>
        <v>3991.1319047619045</v>
      </c>
      <c r="S14" s="44">
        <f t="shared" si="0"/>
        <v>3991.1319047619045</v>
      </c>
      <c r="T14" s="44">
        <f t="shared" si="0"/>
        <v>3991.1319047619045</v>
      </c>
      <c r="U14" s="44">
        <f t="shared" si="0"/>
        <v>3991.1319047619045</v>
      </c>
      <c r="V14" s="44">
        <f t="shared" si="0"/>
        <v>3991.1319047619045</v>
      </c>
      <c r="W14" s="44">
        <f t="shared" si="0"/>
        <v>3991.1319047619045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0.935093123719408</v>
      </c>
      <c r="C15" s="46">
        <f t="shared" ref="C15:W15" si="1">C13/C14</f>
        <v>1.04732945433668</v>
      </c>
      <c r="D15" s="46">
        <f t="shared" si="1"/>
        <v>1.0166163626812157</v>
      </c>
      <c r="E15" s="46">
        <f t="shared" si="1"/>
        <v>1.0635529221510975</v>
      </c>
      <c r="F15" s="46">
        <f t="shared" si="1"/>
        <v>1.0539691747549358</v>
      </c>
      <c r="G15" s="46">
        <f t="shared" si="1"/>
        <v>1.0476476598057813</v>
      </c>
      <c r="H15" s="46">
        <f t="shared" si="1"/>
        <v>1.0056746045429052</v>
      </c>
      <c r="I15" s="46">
        <f t="shared" si="1"/>
        <v>0.97733427335388934</v>
      </c>
      <c r="J15" s="46">
        <f t="shared" si="1"/>
        <v>0.9340583295561099</v>
      </c>
      <c r="K15" s="46">
        <f t="shared" si="1"/>
        <v>1.0399155174621066</v>
      </c>
      <c r="L15" s="46">
        <f t="shared" si="1"/>
        <v>1.1615702288538028</v>
      </c>
      <c r="M15" s="46">
        <f t="shared" si="1"/>
        <v>0.98666746526256977</v>
      </c>
      <c r="N15" s="46">
        <f t="shared" si="1"/>
        <v>1.0829058280041575</v>
      </c>
      <c r="O15" s="46">
        <f t="shared" si="1"/>
        <v>1.011439886309851</v>
      </c>
      <c r="P15" s="46">
        <f t="shared" si="1"/>
        <v>0.9871510373534087</v>
      </c>
      <c r="Q15" s="46">
        <f t="shared" si="1"/>
        <v>0.91637913435942575</v>
      </c>
      <c r="R15" s="46">
        <f t="shared" si="1"/>
        <v>1.0029260108452347</v>
      </c>
      <c r="S15" s="46">
        <f t="shared" si="1"/>
        <v>1.0015654945482109</v>
      </c>
      <c r="T15" s="46">
        <f t="shared" si="1"/>
        <v>0.96769289819560689</v>
      </c>
      <c r="U15" s="46">
        <f t="shared" si="1"/>
        <v>0.90774248670594349</v>
      </c>
      <c r="V15" s="46">
        <f t="shared" si="1"/>
        <v>0.85276810719765983</v>
      </c>
      <c r="W15" s="46">
        <f t="shared" si="1"/>
        <v>1.0382267734764825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6025.4107977215954</v>
      </c>
      <c r="C19" s="34">
        <f t="shared" si="2"/>
        <v>6483.5611994269821</v>
      </c>
      <c r="D19" s="34">
        <f t="shared" ref="D19:W19" si="3">D4*1000000/D3</f>
        <v>7040.1963067653833</v>
      </c>
      <c r="E19" s="34">
        <f t="shared" si="3"/>
        <v>7704.8081133466912</v>
      </c>
      <c r="F19" s="34">
        <f t="shared" si="3"/>
        <v>8426.8183021530222</v>
      </c>
      <c r="G19" s="34">
        <f t="shared" si="3"/>
        <v>9441.393056636145</v>
      </c>
      <c r="H19" s="34">
        <f t="shared" si="3"/>
        <v>10675.397033425525</v>
      </c>
      <c r="I19" s="34">
        <f t="shared" si="3"/>
        <v>11837.813631896041</v>
      </c>
      <c r="J19" s="34">
        <f t="shared" si="3"/>
        <v>11542.19170752394</v>
      </c>
      <c r="K19" s="34">
        <f t="shared" si="3"/>
        <v>10028.780042820301</v>
      </c>
      <c r="L19" s="34">
        <f t="shared" si="3"/>
        <v>9773.2879051553991</v>
      </c>
      <c r="M19" s="34">
        <f t="shared" si="3"/>
        <v>10246.665159934832</v>
      </c>
      <c r="N19" s="34">
        <f t="shared" si="3"/>
        <v>11127.987947865737</v>
      </c>
      <c r="O19" s="34">
        <f t="shared" si="3"/>
        <v>11469.20470936522</v>
      </c>
      <c r="P19" s="34">
        <f t="shared" si="3"/>
        <v>11817.944506630494</v>
      </c>
      <c r="Q19" s="34">
        <f t="shared" si="3"/>
        <v>12372.060565048216</v>
      </c>
      <c r="R19" s="34">
        <f t="shared" si="3"/>
        <v>12775.402961699869</v>
      </c>
      <c r="S19" s="34">
        <f t="shared" si="3"/>
        <v>13326.011635908906</v>
      </c>
      <c r="T19" s="34">
        <f t="shared" si="3"/>
        <v>13970.556626500029</v>
      </c>
      <c r="U19" s="34">
        <f t="shared" si="3"/>
        <v>14158.131778115805</v>
      </c>
      <c r="V19" s="34">
        <f t="shared" si="3"/>
        <v>13748.681470105575</v>
      </c>
      <c r="W19" s="34">
        <f t="shared" si="3"/>
        <v>14786.144777477568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15014.820554259311</v>
      </c>
      <c r="C20" s="36">
        <f t="shared" si="4"/>
        <v>16513.565912077247</v>
      </c>
      <c r="D20" s="36">
        <f t="shared" ref="D20:W20" si="5">D5*1000000/D6</f>
        <v>17240.473932346951</v>
      </c>
      <c r="E20" s="36">
        <f t="shared" si="5"/>
        <v>18779.845710657362</v>
      </c>
      <c r="F20" s="36">
        <f t="shared" si="5"/>
        <v>19393.154087877785</v>
      </c>
      <c r="G20" s="36">
        <f t="shared" si="5"/>
        <v>21336.043396352175</v>
      </c>
      <c r="H20" s="36">
        <f t="shared" si="5"/>
        <v>23200.751433596128</v>
      </c>
      <c r="I20" s="36">
        <f t="shared" si="5"/>
        <v>23122.18086275211</v>
      </c>
      <c r="J20" s="36">
        <f t="shared" si="5"/>
        <v>22919.755048097999</v>
      </c>
      <c r="K20" s="36">
        <f t="shared" si="5"/>
        <v>22887.385832280997</v>
      </c>
      <c r="L20" s="36">
        <f t="shared" si="5"/>
        <v>22721.066965905393</v>
      </c>
      <c r="M20" s="36">
        <f t="shared" si="5"/>
        <v>23063.648603066245</v>
      </c>
      <c r="N20" s="36">
        <f t="shared" si="5"/>
        <v>24352.533763647891</v>
      </c>
      <c r="O20" s="36">
        <f t="shared" si="5"/>
        <v>24292.410435897138</v>
      </c>
      <c r="P20" s="36">
        <f t="shared" si="5"/>
        <v>25223.610646126544</v>
      </c>
      <c r="Q20" s="36">
        <f t="shared" si="5"/>
        <v>25653.041992109509</v>
      </c>
      <c r="R20" s="36">
        <f t="shared" si="5"/>
        <v>26191.359279864602</v>
      </c>
      <c r="S20" s="36">
        <f t="shared" si="5"/>
        <v>26769.484574239614</v>
      </c>
      <c r="T20" s="36">
        <f t="shared" si="5"/>
        <v>27535.920554445293</v>
      </c>
      <c r="U20" s="36">
        <f t="shared" si="5"/>
        <v>27652.146030573396</v>
      </c>
      <c r="V20" s="36">
        <f t="shared" si="5"/>
        <v>26928.292807247217</v>
      </c>
      <c r="W20" s="36">
        <f t="shared" si="5"/>
        <v>29599.31876949676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3615.3987524377067</v>
      </c>
      <c r="C21" s="36">
        <f t="shared" si="6"/>
        <v>3959.4515120387614</v>
      </c>
      <c r="D21" s="36">
        <f t="shared" ref="D21:W21" si="7">D5*1000000/D3</f>
        <v>4315.7713264247914</v>
      </c>
      <c r="E21" s="36">
        <f t="shared" si="7"/>
        <v>4848.7724142068391</v>
      </c>
      <c r="F21" s="36">
        <f t="shared" si="7"/>
        <v>5273.4604161438792</v>
      </c>
      <c r="G21" s="36">
        <f t="shared" si="7"/>
        <v>6052.1184346978298</v>
      </c>
      <c r="H21" s="36">
        <f t="shared" si="7"/>
        <v>6789.62361411642</v>
      </c>
      <c r="I21" s="36">
        <f t="shared" si="7"/>
        <v>7378.2790782954826</v>
      </c>
      <c r="J21" s="36">
        <f t="shared" si="7"/>
        <v>7361.2044685025558</v>
      </c>
      <c r="K21" s="36">
        <f t="shared" si="7"/>
        <v>6630.2321829671891</v>
      </c>
      <c r="L21" s="36">
        <f t="shared" si="7"/>
        <v>6353.2076506784651</v>
      </c>
      <c r="M21" s="36">
        <f t="shared" si="7"/>
        <v>6628.2538459707548</v>
      </c>
      <c r="N21" s="36">
        <f t="shared" si="7"/>
        <v>7206.2700379182361</v>
      </c>
      <c r="O21" s="36">
        <f t="shared" si="7"/>
        <v>7458.6789474199213</v>
      </c>
      <c r="P21" s="36">
        <f t="shared" si="7"/>
        <v>7758.0068617879679</v>
      </c>
      <c r="Q21" s="36">
        <f t="shared" si="7"/>
        <v>8086.5174694476</v>
      </c>
      <c r="R21" s="36">
        <f t="shared" si="7"/>
        <v>8388.734189045781</v>
      </c>
      <c r="S21" s="36">
        <f t="shared" si="7"/>
        <v>8640.5383399013808</v>
      </c>
      <c r="T21" s="36">
        <f t="shared" si="7"/>
        <v>9030.6956391379827</v>
      </c>
      <c r="U21" s="36">
        <f t="shared" si="7"/>
        <v>9095.8353605938373</v>
      </c>
      <c r="V21" s="36">
        <f t="shared" si="7"/>
        <v>8708.5803213351828</v>
      </c>
      <c r="W21" s="36">
        <f t="shared" si="7"/>
        <v>9270.8592933511736</v>
      </c>
      <c r="DA21" s="89"/>
    </row>
    <row r="22" spans="1:105" ht="12" customHeight="1" x14ac:dyDescent="0.25">
      <c r="A22" s="51" t="s">
        <v>152</v>
      </c>
      <c r="B22" s="52">
        <v>0.24850307743144454</v>
      </c>
      <c r="C22" s="52">
        <v>0.26523631276354415</v>
      </c>
      <c r="D22" s="52">
        <v>0.28359810547997216</v>
      </c>
      <c r="E22" s="52">
        <v>0.31508693190337522</v>
      </c>
      <c r="F22" s="52">
        <v>0.33483974491401386</v>
      </c>
      <c r="G22" s="52">
        <v>0.37665997059639161</v>
      </c>
      <c r="H22" s="52">
        <v>0.410621037356314</v>
      </c>
      <c r="I22" s="52">
        <v>0.4330443118643782</v>
      </c>
      <c r="J22" s="52">
        <v>0.42643449340002604</v>
      </c>
      <c r="K22" s="52">
        <v>0.39291151419496606</v>
      </c>
      <c r="L22" s="52">
        <v>0.37147688857501604</v>
      </c>
      <c r="M22" s="52">
        <v>0.38033941405302946</v>
      </c>
      <c r="N22" s="52">
        <v>0.41476609535311859</v>
      </c>
      <c r="O22" s="52">
        <v>0.42766707519481967</v>
      </c>
      <c r="P22" s="52">
        <v>0.43907832842863342</v>
      </c>
      <c r="Q22" s="52">
        <v>0.4511014583701789</v>
      </c>
      <c r="R22" s="52">
        <v>0.46048432504573467</v>
      </c>
      <c r="S22" s="52">
        <v>0.4621216389951438</v>
      </c>
      <c r="T22" s="52">
        <v>0.47299827440912284</v>
      </c>
      <c r="U22" s="52">
        <v>0.46749141793982107</v>
      </c>
      <c r="V22" s="52">
        <v>0.47416540423775894</v>
      </c>
      <c r="W22" s="52">
        <v>0.47909477334030137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44.891846433252653</v>
      </c>
      <c r="C23" s="53">
        <f t="shared" si="8"/>
        <v>42.383424704640149</v>
      </c>
      <c r="D23" s="53">
        <f t="shared" ref="D23:W23" si="9">D6/D8</f>
        <v>41.674874665130403</v>
      </c>
      <c r="E23" s="53">
        <f t="shared" si="9"/>
        <v>40.627442948365484</v>
      </c>
      <c r="F23" s="53">
        <f t="shared" si="9"/>
        <v>40.156902632737918</v>
      </c>
      <c r="G23" s="53">
        <f t="shared" si="9"/>
        <v>39.761858766913896</v>
      </c>
      <c r="H23" s="53">
        <f t="shared" si="9"/>
        <v>38.333116748350363</v>
      </c>
      <c r="I23" s="53">
        <f t="shared" si="9"/>
        <v>39.107106198788884</v>
      </c>
      <c r="J23" s="53">
        <f t="shared" si="9"/>
        <v>37.888791421763308</v>
      </c>
      <c r="K23" s="53">
        <f t="shared" si="9"/>
        <v>33.660466309051728</v>
      </c>
      <c r="L23" s="53">
        <f t="shared" si="9"/>
        <v>32.010091261332725</v>
      </c>
      <c r="M23" s="53">
        <f t="shared" si="9"/>
        <v>31.673163693724945</v>
      </c>
      <c r="N23" s="53">
        <f t="shared" si="9"/>
        <v>32.28821891361865</v>
      </c>
      <c r="O23" s="53">
        <f t="shared" si="9"/>
        <v>32.824486095611846</v>
      </c>
      <c r="P23" s="53">
        <f t="shared" si="9"/>
        <v>32.160337501739114</v>
      </c>
      <c r="Q23" s="53">
        <f t="shared" si="9"/>
        <v>32.263918599256918</v>
      </c>
      <c r="R23" s="53">
        <f t="shared" si="9"/>
        <v>32.357912416521827</v>
      </c>
      <c r="S23" s="53">
        <f t="shared" si="9"/>
        <v>31.944797465525667</v>
      </c>
      <c r="T23" s="53">
        <f t="shared" si="9"/>
        <v>31.957575728025343</v>
      </c>
      <c r="U23" s="53">
        <f t="shared" si="9"/>
        <v>31.581948615064512</v>
      </c>
      <c r="V23" s="53">
        <f t="shared" si="9"/>
        <v>30.643198893757372</v>
      </c>
      <c r="W23" s="53">
        <f t="shared" si="9"/>
        <v>29.260079577259201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4.8273756832604482</v>
      </c>
      <c r="C24" s="54">
        <f t="shared" si="10"/>
        <v>5.0914399750530794</v>
      </c>
      <c r="D24" s="54">
        <f t="shared" ref="D24:W24" si="11">D9*1000/D3</f>
        <v>5.4060173120736801</v>
      </c>
      <c r="E24" s="54">
        <f t="shared" si="11"/>
        <v>5.7195623754768778</v>
      </c>
      <c r="F24" s="54">
        <f t="shared" si="11"/>
        <v>6.0943801972030274</v>
      </c>
      <c r="G24" s="54">
        <f t="shared" si="11"/>
        <v>6.4205075831907461</v>
      </c>
      <c r="H24" s="54">
        <f t="shared" si="11"/>
        <v>6.8708746587333369</v>
      </c>
      <c r="I24" s="54">
        <f t="shared" si="11"/>
        <v>7.3436693231467718</v>
      </c>
      <c r="J24" s="54">
        <f t="shared" si="11"/>
        <v>7.6290536026708953</v>
      </c>
      <c r="K24" s="54">
        <f t="shared" si="11"/>
        <v>7.7455975431863067</v>
      </c>
      <c r="L24" s="54">
        <f t="shared" si="11"/>
        <v>7.8617626045658646</v>
      </c>
      <c r="M24" s="54">
        <f t="shared" si="11"/>
        <v>8.1662408404224553</v>
      </c>
      <c r="N24" s="54">
        <f t="shared" si="11"/>
        <v>8.2483066496449684</v>
      </c>
      <c r="O24" s="54">
        <f t="shared" si="11"/>
        <v>8.4185225106195194</v>
      </c>
      <c r="P24" s="54">
        <f t="shared" si="11"/>
        <v>8.607257922661077</v>
      </c>
      <c r="Q24" s="54">
        <f t="shared" si="11"/>
        <v>8.7932223113736452</v>
      </c>
      <c r="R24" s="54">
        <f t="shared" si="11"/>
        <v>8.9084143640710085</v>
      </c>
      <c r="S24" s="54">
        <f t="shared" si="11"/>
        <v>9.0937531851954923</v>
      </c>
      <c r="T24" s="54">
        <f t="shared" si="11"/>
        <v>9.2361353427984234</v>
      </c>
      <c r="U24" s="54">
        <f t="shared" si="11"/>
        <v>9.3738356735023363</v>
      </c>
      <c r="V24" s="54">
        <f t="shared" si="11"/>
        <v>9.4983233517239576</v>
      </c>
      <c r="W24" s="54">
        <f t="shared" si="11"/>
        <v>9.6339697953641004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20.0481840580597</v>
      </c>
      <c r="C25" s="54">
        <f t="shared" si="12"/>
        <v>21.234716313556127</v>
      </c>
      <c r="D25" s="54">
        <f t="shared" ref="D25:W25" si="13">D9*1000/D6</f>
        <v>21.595745811637315</v>
      </c>
      <c r="E25" s="54">
        <f t="shared" si="13"/>
        <v>22.152514032050561</v>
      </c>
      <c r="F25" s="54">
        <f t="shared" si="13"/>
        <v>22.412087113169804</v>
      </c>
      <c r="G25" s="54">
        <f t="shared" si="13"/>
        <v>22.634756721908985</v>
      </c>
      <c r="H25" s="54">
        <f t="shared" si="13"/>
        <v>23.478393523498994</v>
      </c>
      <c r="I25" s="54">
        <f t="shared" si="13"/>
        <v>23.013720202797114</v>
      </c>
      <c r="J25" s="54">
        <f t="shared" si="13"/>
        <v>23.75372679433212</v>
      </c>
      <c r="K25" s="54">
        <f t="shared" si="13"/>
        <v>26.737597504939448</v>
      </c>
      <c r="L25" s="54">
        <f t="shared" si="13"/>
        <v>28.11613352340467</v>
      </c>
      <c r="M25" s="54">
        <f t="shared" si="13"/>
        <v>28.415222700923533</v>
      </c>
      <c r="N25" s="54">
        <f t="shared" si="13"/>
        <v>27.873943818573235</v>
      </c>
      <c r="O25" s="54">
        <f t="shared" si="13"/>
        <v>27.418555689751283</v>
      </c>
      <c r="P25" s="54">
        <f t="shared" si="13"/>
        <v>27.984780941783686</v>
      </c>
      <c r="Q25" s="54">
        <f t="shared" si="13"/>
        <v>27.894937722187535</v>
      </c>
      <c r="R25" s="54">
        <f t="shared" si="13"/>
        <v>27.813908030125685</v>
      </c>
      <c r="S25" s="54">
        <f t="shared" si="13"/>
        <v>28.173601694337432</v>
      </c>
      <c r="T25" s="54">
        <f t="shared" si="13"/>
        <v>28.162336456915313</v>
      </c>
      <c r="U25" s="54">
        <f t="shared" si="13"/>
        <v>28.497291632306126</v>
      </c>
      <c r="V25" s="54">
        <f t="shared" si="13"/>
        <v>29.370301812169746</v>
      </c>
      <c r="W25" s="54">
        <f t="shared" si="13"/>
        <v>30.758631316214053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900.00000000000011</v>
      </c>
      <c r="D26" s="55">
        <f t="shared" ref="D26:W26" si="15">D9*1000/D8</f>
        <v>899.99999999999989</v>
      </c>
      <c r="E26" s="55">
        <f t="shared" si="15"/>
        <v>900</v>
      </c>
      <c r="F26" s="55">
        <f t="shared" si="15"/>
        <v>900</v>
      </c>
      <c r="G26" s="55">
        <f t="shared" si="15"/>
        <v>900.00000000000011</v>
      </c>
      <c r="H26" s="55">
        <f t="shared" si="15"/>
        <v>900</v>
      </c>
      <c r="I26" s="55">
        <f t="shared" si="15"/>
        <v>900.00000000000011</v>
      </c>
      <c r="J26" s="55">
        <f t="shared" si="15"/>
        <v>900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899.99999999999989</v>
      </c>
      <c r="Q26" s="55">
        <f t="shared" si="15"/>
        <v>899.99999999999989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900</v>
      </c>
      <c r="V26" s="55">
        <f t="shared" si="15"/>
        <v>900.00000000000011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900.00000000000011</v>
      </c>
      <c r="E27" s="57">
        <f t="shared" si="17"/>
        <v>899.99999999999977</v>
      </c>
      <c r="F27" s="57">
        <f t="shared" si="17"/>
        <v>900</v>
      </c>
      <c r="G27" s="57">
        <f t="shared" si="17"/>
        <v>900</v>
      </c>
      <c r="H27" s="57">
        <f t="shared" si="17"/>
        <v>900</v>
      </c>
      <c r="I27" s="57">
        <f t="shared" si="17"/>
        <v>900</v>
      </c>
      <c r="J27" s="57">
        <f t="shared" si="17"/>
        <v>900.00000000000011</v>
      </c>
      <c r="K27" s="57">
        <f t="shared" si="17"/>
        <v>900</v>
      </c>
      <c r="L27" s="57">
        <f t="shared" si="17"/>
        <v>899.99999999999989</v>
      </c>
      <c r="M27" s="57">
        <f t="shared" si="17"/>
        <v>900</v>
      </c>
      <c r="N27" s="57">
        <f t="shared" si="17"/>
        <v>900.00000000000011</v>
      </c>
      <c r="O27" s="57">
        <f t="shared" si="17"/>
        <v>900</v>
      </c>
      <c r="P27" s="57">
        <f t="shared" si="17"/>
        <v>899.99999999999989</v>
      </c>
      <c r="Q27" s="57">
        <f t="shared" si="17"/>
        <v>900</v>
      </c>
      <c r="R27" s="57">
        <f t="shared" si="17"/>
        <v>900.00000000000011</v>
      </c>
      <c r="S27" s="57">
        <f t="shared" si="17"/>
        <v>900</v>
      </c>
      <c r="T27" s="57">
        <f t="shared" si="17"/>
        <v>900</v>
      </c>
      <c r="U27" s="57">
        <f t="shared" si="17"/>
        <v>900.00000000000011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479.06966111875863</v>
      </c>
      <c r="C31" s="80">
        <f t="shared" ref="C31:W31" si="18">SUM(C32:C33,C36:C37,C44:C45)</f>
        <v>508.15823577210688</v>
      </c>
      <c r="D31" s="80">
        <f t="shared" si="18"/>
        <v>541.12073264277853</v>
      </c>
      <c r="E31" s="80">
        <f t="shared" si="18"/>
        <v>570.99205806106443</v>
      </c>
      <c r="F31" s="80">
        <f t="shared" si="18"/>
        <v>602.61435308172599</v>
      </c>
      <c r="G31" s="80">
        <f t="shared" si="18"/>
        <v>600.69473708010617</v>
      </c>
      <c r="H31" s="80">
        <f t="shared" si="18"/>
        <v>644.03023871345249</v>
      </c>
      <c r="I31" s="80">
        <f t="shared" si="18"/>
        <v>689.77298179444949</v>
      </c>
      <c r="J31" s="80">
        <f t="shared" si="18"/>
        <v>615.39032249007244</v>
      </c>
      <c r="K31" s="80">
        <f t="shared" si="18"/>
        <v>575.66684525285177</v>
      </c>
      <c r="L31" s="80">
        <f t="shared" si="18"/>
        <v>601.26501665475348</v>
      </c>
      <c r="M31" s="80">
        <f t="shared" si="18"/>
        <v>559.09053451345858</v>
      </c>
      <c r="N31" s="80">
        <f t="shared" si="18"/>
        <v>626.89133042434014</v>
      </c>
      <c r="O31" s="80">
        <f t="shared" si="18"/>
        <v>604.18617222216471</v>
      </c>
      <c r="P31" s="80">
        <f t="shared" si="18"/>
        <v>611.72933641898044</v>
      </c>
      <c r="Q31" s="80">
        <f t="shared" si="18"/>
        <v>585.35898798536516</v>
      </c>
      <c r="R31" s="80">
        <f t="shared" si="18"/>
        <v>592.31931400975247</v>
      </c>
      <c r="S31" s="80">
        <f t="shared" si="18"/>
        <v>610.24164935640761</v>
      </c>
      <c r="T31" s="80">
        <f t="shared" si="18"/>
        <v>596.32985841945515</v>
      </c>
      <c r="U31" s="80">
        <f t="shared" si="18"/>
        <v>573.85580670286299</v>
      </c>
      <c r="V31" s="80">
        <f t="shared" si="18"/>
        <v>552.68396488288408</v>
      </c>
      <c r="W31" s="80">
        <f t="shared" si="18"/>
        <v>605.59372605047201</v>
      </c>
      <c r="DA31" s="103" t="s">
        <v>198</v>
      </c>
    </row>
    <row r="32" spans="1:105" ht="12" customHeight="1" x14ac:dyDescent="0.25">
      <c r="A32" s="58" t="s">
        <v>29</v>
      </c>
      <c r="B32" s="59">
        <v>35.407480653482374</v>
      </c>
      <c r="C32" s="59">
        <v>35.037489251934652</v>
      </c>
      <c r="D32" s="59">
        <v>32.628288907996563</v>
      </c>
      <c r="E32" s="59">
        <v>30.060189165950131</v>
      </c>
      <c r="F32" s="59">
        <v>28.807652622527939</v>
      </c>
      <c r="G32" s="59">
        <v>23.1713671539123</v>
      </c>
      <c r="H32" s="59">
        <v>23.797678417884779</v>
      </c>
      <c r="I32" s="59">
        <v>23.411435941530527</v>
      </c>
      <c r="J32" s="59">
        <v>20.280223559759246</v>
      </c>
      <c r="K32" s="59">
        <v>15.27016337059329</v>
      </c>
      <c r="L32" s="59">
        <v>21.292605331040409</v>
      </c>
      <c r="M32" s="59">
        <v>18.787618228718831</v>
      </c>
      <c r="N32" s="59">
        <v>10.113929492691316</v>
      </c>
      <c r="O32" s="59">
        <v>10.91857265692175</v>
      </c>
      <c r="P32" s="59">
        <v>8.3194325021496134</v>
      </c>
      <c r="Q32" s="59">
        <v>6.2818572656921754</v>
      </c>
      <c r="R32" s="59">
        <v>5.75408426483233</v>
      </c>
      <c r="S32" s="59">
        <v>3.876268271711091</v>
      </c>
      <c r="T32" s="59">
        <v>3.6726569217540832</v>
      </c>
      <c r="U32" s="59">
        <v>2.6890799656061901</v>
      </c>
      <c r="V32" s="59">
        <v>1.5437661220980226</v>
      </c>
      <c r="W32" s="59">
        <v>1.9831470335339634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40.034049871023214</v>
      </c>
      <c r="C33" s="55">
        <f t="shared" ref="C33:W33" si="19">SUM(C34:C35)</f>
        <v>47.258039552880483</v>
      </c>
      <c r="D33" s="55">
        <f t="shared" si="19"/>
        <v>46.285038693035247</v>
      </c>
      <c r="E33" s="55">
        <f t="shared" si="19"/>
        <v>54.208598452278586</v>
      </c>
      <c r="F33" s="55">
        <f t="shared" si="19"/>
        <v>55.16431642304385</v>
      </c>
      <c r="G33" s="55">
        <f t="shared" si="19"/>
        <v>45.012467755803954</v>
      </c>
      <c r="H33" s="55">
        <f t="shared" si="19"/>
        <v>57.545829750644884</v>
      </c>
      <c r="I33" s="55">
        <f t="shared" si="19"/>
        <v>46.818228718830611</v>
      </c>
      <c r="J33" s="55">
        <f t="shared" si="19"/>
        <v>39.577815993121234</v>
      </c>
      <c r="K33" s="55">
        <f t="shared" si="19"/>
        <v>37.685640584694752</v>
      </c>
      <c r="L33" s="55">
        <f t="shared" si="19"/>
        <v>37.68564058469476</v>
      </c>
      <c r="M33" s="55">
        <f t="shared" si="19"/>
        <v>32.619002579535682</v>
      </c>
      <c r="N33" s="55">
        <f t="shared" si="19"/>
        <v>44.851934651762676</v>
      </c>
      <c r="O33" s="55">
        <f t="shared" si="19"/>
        <v>46.917024935511606</v>
      </c>
      <c r="P33" s="55">
        <f t="shared" si="19"/>
        <v>51.013929492691318</v>
      </c>
      <c r="Q33" s="55">
        <f t="shared" si="19"/>
        <v>53.026483233018055</v>
      </c>
      <c r="R33" s="55">
        <f t="shared" si="19"/>
        <v>37.966552020636286</v>
      </c>
      <c r="S33" s="55">
        <f t="shared" si="19"/>
        <v>41.900601891659505</v>
      </c>
      <c r="T33" s="55">
        <f t="shared" si="19"/>
        <v>44.437661220980218</v>
      </c>
      <c r="U33" s="55">
        <f t="shared" si="19"/>
        <v>35.589509888220128</v>
      </c>
      <c r="V33" s="55">
        <f t="shared" si="19"/>
        <v>40.968271711092001</v>
      </c>
      <c r="W33" s="55">
        <f t="shared" si="19"/>
        <v>58.082459157351671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2.1754084264832332</v>
      </c>
      <c r="D34" s="55">
        <v>1.0877042132416159</v>
      </c>
      <c r="E34" s="55">
        <v>4.3508168529664646</v>
      </c>
      <c r="F34" s="55">
        <v>3.26311263972485</v>
      </c>
      <c r="G34" s="55">
        <v>3.26311263972485</v>
      </c>
      <c r="H34" s="55">
        <v>3.26311263972485</v>
      </c>
      <c r="I34" s="55">
        <v>3.26311263972485</v>
      </c>
      <c r="J34" s="55">
        <v>2.1754084264832332</v>
      </c>
      <c r="K34" s="55">
        <v>2.1754084264832332</v>
      </c>
      <c r="L34" s="55">
        <v>2.1754084264832332</v>
      </c>
      <c r="M34" s="55">
        <v>1.0877042132416159</v>
      </c>
      <c r="N34" s="55">
        <v>2.1754084264832332</v>
      </c>
      <c r="O34" s="55">
        <v>2.1754084264832332</v>
      </c>
      <c r="P34" s="55">
        <v>3.26311263972485</v>
      </c>
      <c r="Q34" s="55">
        <v>3.26311263972485</v>
      </c>
      <c r="R34" s="55">
        <v>5.4385210662080823</v>
      </c>
      <c r="S34" s="55">
        <v>7.9021496130696471</v>
      </c>
      <c r="T34" s="55">
        <v>6.6567497850386932</v>
      </c>
      <c r="U34" s="55">
        <v>5.1557179707652621</v>
      </c>
      <c r="V34" s="55">
        <v>5.1252794496990539</v>
      </c>
      <c r="W34" s="55">
        <v>5.4308684436801373</v>
      </c>
      <c r="DA34" s="101" t="s">
        <v>200</v>
      </c>
    </row>
    <row r="35" spans="1:105" ht="12" customHeight="1" x14ac:dyDescent="0.25">
      <c r="A35" s="61" t="s">
        <v>170</v>
      </c>
      <c r="B35" s="55">
        <v>40.034049871023214</v>
      </c>
      <c r="C35" s="55">
        <v>45.082631126397253</v>
      </c>
      <c r="D35" s="55">
        <v>45.197334479793632</v>
      </c>
      <c r="E35" s="55">
        <v>49.857781599312119</v>
      </c>
      <c r="F35" s="55">
        <v>51.901203783318998</v>
      </c>
      <c r="G35" s="55">
        <v>41.749355116079101</v>
      </c>
      <c r="H35" s="55">
        <v>54.282717110920032</v>
      </c>
      <c r="I35" s="55">
        <v>43.555116079105758</v>
      </c>
      <c r="J35" s="55">
        <v>37.402407566638004</v>
      </c>
      <c r="K35" s="55">
        <v>35.510232158211522</v>
      </c>
      <c r="L35" s="55">
        <v>35.510232158211529</v>
      </c>
      <c r="M35" s="55">
        <v>31.531298366294067</v>
      </c>
      <c r="N35" s="55">
        <v>42.676526225279446</v>
      </c>
      <c r="O35" s="55">
        <v>44.741616509028376</v>
      </c>
      <c r="P35" s="55">
        <v>47.750816852966466</v>
      </c>
      <c r="Q35" s="55">
        <v>49.763370593293203</v>
      </c>
      <c r="R35" s="55">
        <v>32.528030954428203</v>
      </c>
      <c r="S35" s="55">
        <v>33.998452278589859</v>
      </c>
      <c r="T35" s="55">
        <v>37.780911435941526</v>
      </c>
      <c r="U35" s="55">
        <v>30.433791917454865</v>
      </c>
      <c r="V35" s="55">
        <v>35.842992261392951</v>
      </c>
      <c r="W35" s="55">
        <v>52.651590713671531</v>
      </c>
      <c r="DA35" s="101" t="s">
        <v>201</v>
      </c>
    </row>
    <row r="36" spans="1:105" ht="12" customHeight="1" x14ac:dyDescent="0.25">
      <c r="A36" s="60" t="s">
        <v>153</v>
      </c>
      <c r="B36" s="55">
        <v>44.217540842648319</v>
      </c>
      <c r="C36" s="55">
        <v>47.506448839208943</v>
      </c>
      <c r="D36" s="55">
        <v>69.840928632846087</v>
      </c>
      <c r="E36" s="55">
        <v>74.699054170249354</v>
      </c>
      <c r="F36" s="55">
        <v>89.746345657781589</v>
      </c>
      <c r="G36" s="55">
        <v>93.723129836629397</v>
      </c>
      <c r="H36" s="55">
        <v>101.7411865864144</v>
      </c>
      <c r="I36" s="55">
        <v>114.35941530524509</v>
      </c>
      <c r="J36" s="55">
        <v>115.3052450558899</v>
      </c>
      <c r="K36" s="55">
        <v>111.62940670679281</v>
      </c>
      <c r="L36" s="55">
        <v>115.5631986242476</v>
      </c>
      <c r="M36" s="55">
        <v>104.4067067927773</v>
      </c>
      <c r="N36" s="55">
        <v>97.979363714531374</v>
      </c>
      <c r="O36" s="55">
        <v>83.6414445399828</v>
      </c>
      <c r="P36" s="55">
        <v>90.627687016337049</v>
      </c>
      <c r="Q36" s="55">
        <v>85.576096302665519</v>
      </c>
      <c r="R36" s="55">
        <v>94.152192605331038</v>
      </c>
      <c r="S36" s="55">
        <v>101.0527944969905</v>
      </c>
      <c r="T36" s="55">
        <v>105.02897678417889</v>
      </c>
      <c r="U36" s="55">
        <v>110.05245055889939</v>
      </c>
      <c r="V36" s="55">
        <v>111.2376612209802</v>
      </c>
      <c r="W36" s="55">
        <v>117.6981943250215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78.413069647463445</v>
      </c>
      <c r="C37" s="55">
        <f t="shared" ref="C37:W37" si="20">SUM(C38:C42)</f>
        <v>89.471711092003432</v>
      </c>
      <c r="D37" s="55">
        <f t="shared" si="20"/>
        <v>88.30128976784178</v>
      </c>
      <c r="E37" s="55">
        <f t="shared" si="20"/>
        <v>91.931728288907976</v>
      </c>
      <c r="F37" s="55">
        <f t="shared" si="20"/>
        <v>107.4089423903697</v>
      </c>
      <c r="G37" s="55">
        <f t="shared" si="20"/>
        <v>104.8772141014617</v>
      </c>
      <c r="H37" s="55">
        <f t="shared" si="20"/>
        <v>110.72889079965611</v>
      </c>
      <c r="I37" s="55">
        <f t="shared" si="20"/>
        <v>128.90515907136714</v>
      </c>
      <c r="J37" s="55">
        <f t="shared" si="20"/>
        <v>76.979965606190873</v>
      </c>
      <c r="K37" s="55">
        <f t="shared" si="20"/>
        <v>76.78890799656061</v>
      </c>
      <c r="L37" s="55">
        <f t="shared" si="20"/>
        <v>80.754256233877896</v>
      </c>
      <c r="M37" s="55">
        <f t="shared" si="20"/>
        <v>69.408684436801366</v>
      </c>
      <c r="N37" s="55">
        <f t="shared" si="20"/>
        <v>94.630696474634561</v>
      </c>
      <c r="O37" s="55">
        <f t="shared" si="20"/>
        <v>95.753310404127248</v>
      </c>
      <c r="P37" s="55">
        <f t="shared" si="20"/>
        <v>86.772742906276861</v>
      </c>
      <c r="Q37" s="55">
        <f t="shared" si="20"/>
        <v>83.309372312983655</v>
      </c>
      <c r="R37" s="55">
        <f t="shared" si="20"/>
        <v>80.156663800515901</v>
      </c>
      <c r="S37" s="55">
        <f t="shared" si="20"/>
        <v>85.079535683576935</v>
      </c>
      <c r="T37" s="55">
        <f t="shared" si="20"/>
        <v>70.315477214101449</v>
      </c>
      <c r="U37" s="55">
        <f t="shared" si="20"/>
        <v>58.265864144454</v>
      </c>
      <c r="V37" s="55">
        <f t="shared" si="20"/>
        <v>47.610232158211524</v>
      </c>
      <c r="W37" s="55">
        <f t="shared" si="20"/>
        <v>50.150472914875323</v>
      </c>
      <c r="DA37" s="101"/>
    </row>
    <row r="38" spans="1:105" ht="12" customHeight="1" x14ac:dyDescent="0.25">
      <c r="A38" s="61" t="s">
        <v>171</v>
      </c>
      <c r="B38" s="55">
        <v>78.413069647463445</v>
      </c>
      <c r="C38" s="55">
        <v>89.471711092003432</v>
      </c>
      <c r="D38" s="55">
        <v>88.30128976784178</v>
      </c>
      <c r="E38" s="55">
        <v>90.020980223559746</v>
      </c>
      <c r="F38" s="55">
        <v>104.3278589853826</v>
      </c>
      <c r="G38" s="55">
        <v>103.06199484092861</v>
      </c>
      <c r="H38" s="55">
        <v>108.62708512467761</v>
      </c>
      <c r="I38" s="55">
        <v>126.87497850386929</v>
      </c>
      <c r="J38" s="55">
        <v>75.093121238177119</v>
      </c>
      <c r="K38" s="55">
        <v>74.448237317282874</v>
      </c>
      <c r="L38" s="55">
        <v>77.815993121238165</v>
      </c>
      <c r="M38" s="55">
        <v>66.68581255374032</v>
      </c>
      <c r="N38" s="55">
        <v>91.454084264832332</v>
      </c>
      <c r="O38" s="55">
        <v>92.552794496990529</v>
      </c>
      <c r="P38" s="55">
        <v>83.40498710232157</v>
      </c>
      <c r="Q38" s="55">
        <v>80.132760103181425</v>
      </c>
      <c r="R38" s="55">
        <v>77.338263112639723</v>
      </c>
      <c r="S38" s="55">
        <v>82.210748065348213</v>
      </c>
      <c r="T38" s="55">
        <v>67.091143594153039</v>
      </c>
      <c r="U38" s="55">
        <v>55.216423043852103</v>
      </c>
      <c r="V38" s="55">
        <v>44.595614789337922</v>
      </c>
      <c r="W38" s="55">
        <v>47.017626827171107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1.9107480653482369</v>
      </c>
      <c r="F39" s="55">
        <v>3.0810834049871021</v>
      </c>
      <c r="G39" s="55">
        <v>1.8152192605331039</v>
      </c>
      <c r="H39" s="55">
        <v>2.101805674978503</v>
      </c>
      <c r="I39" s="55">
        <v>2.0301805674978501</v>
      </c>
      <c r="J39" s="55">
        <v>1.886844368013757</v>
      </c>
      <c r="K39" s="55">
        <v>2.3406706792777299</v>
      </c>
      <c r="L39" s="55">
        <v>2.842304385210662</v>
      </c>
      <c r="M39" s="55">
        <v>2.7228718830610492</v>
      </c>
      <c r="N39" s="55">
        <v>3.176612209802236</v>
      </c>
      <c r="O39" s="55">
        <v>3.2005159071367149</v>
      </c>
      <c r="P39" s="55">
        <v>3.367755803955288</v>
      </c>
      <c r="Q39" s="55">
        <v>3.176612209802236</v>
      </c>
      <c r="R39" s="55">
        <v>2.8184006878761818</v>
      </c>
      <c r="S39" s="55">
        <v>2.8687876182287182</v>
      </c>
      <c r="T39" s="55">
        <v>3.214015477214101</v>
      </c>
      <c r="U39" s="55">
        <v>3.0484952708512472</v>
      </c>
      <c r="V39" s="55">
        <v>3.0146173688736031</v>
      </c>
      <c r="W39" s="55">
        <v>3.132846087704213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9.5958727429062765E-2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1.031814273430782E-2</v>
      </c>
      <c r="U40" s="55">
        <v>9.4582975064488384E-4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2.4177377547888351E-6</v>
      </c>
      <c r="C43" s="55">
        <v>4.9740549421058882E-6</v>
      </c>
      <c r="D43" s="55">
        <v>5.4913163304278053E-5</v>
      </c>
      <c r="E43" s="55">
        <v>1.2860082661761809E-4</v>
      </c>
      <c r="F43" s="55">
        <v>3.0739343076738356E-4</v>
      </c>
      <c r="G43" s="55">
        <v>7.1550992589032797E-4</v>
      </c>
      <c r="H43" s="55">
        <v>1.6724137669948637E-3</v>
      </c>
      <c r="I43" s="55">
        <v>3.8656408134552494E-3</v>
      </c>
      <c r="J43" s="55">
        <v>8.5155136029764419E-3</v>
      </c>
      <c r="K43" s="55">
        <v>1.9208683240288085E-2</v>
      </c>
      <c r="L43" s="55">
        <v>4.2055954624522399E-2</v>
      </c>
      <c r="M43" s="55">
        <v>9.3307232691898112E-2</v>
      </c>
      <c r="N43" s="55">
        <v>0.16428018127908078</v>
      </c>
      <c r="O43" s="55">
        <v>0.3173460003023878</v>
      </c>
      <c r="P43" s="55">
        <v>0.47036667160155637</v>
      </c>
      <c r="Q43" s="55">
        <v>0.6329905276824459</v>
      </c>
      <c r="R43" s="55">
        <v>0.74760073648158643</v>
      </c>
      <c r="S43" s="55">
        <v>0.86758383490971624</v>
      </c>
      <c r="T43" s="55">
        <v>0.86758383490971513</v>
      </c>
      <c r="U43" s="55">
        <v>0.86758383490971724</v>
      </c>
      <c r="V43" s="55">
        <v>0.86758383490971536</v>
      </c>
      <c r="W43" s="55">
        <v>0.6281169389509873</v>
      </c>
      <c r="DA43" s="101" t="s">
        <v>208</v>
      </c>
    </row>
    <row r="44" spans="1:105" ht="12" customHeight="1" x14ac:dyDescent="0.25">
      <c r="A44" s="60" t="s">
        <v>169</v>
      </c>
      <c r="B44" s="55">
        <v>141.68340498710231</v>
      </c>
      <c r="C44" s="55">
        <v>156.6351676698194</v>
      </c>
      <c r="D44" s="55">
        <v>149.37420464316421</v>
      </c>
      <c r="E44" s="55">
        <v>153.43456577815991</v>
      </c>
      <c r="F44" s="55">
        <v>144.1674118658641</v>
      </c>
      <c r="G44" s="55">
        <v>143.61805674978501</v>
      </c>
      <c r="H44" s="55">
        <v>143.61805674978501</v>
      </c>
      <c r="I44" s="55">
        <v>138.36345657781601</v>
      </c>
      <c r="J44" s="55">
        <v>132.86999140154771</v>
      </c>
      <c r="K44" s="55">
        <v>130.8159071367154</v>
      </c>
      <c r="L44" s="55">
        <v>136.45262252794501</v>
      </c>
      <c r="M44" s="55">
        <v>118.65864144454</v>
      </c>
      <c r="N44" s="55">
        <v>137.2169389509888</v>
      </c>
      <c r="O44" s="55">
        <v>132.8460877042132</v>
      </c>
      <c r="P44" s="55">
        <v>126.27781599312119</v>
      </c>
      <c r="Q44" s="55">
        <v>124.820894239037</v>
      </c>
      <c r="R44" s="55">
        <v>141.51616509028369</v>
      </c>
      <c r="S44" s="55">
        <v>142.25872742906279</v>
      </c>
      <c r="T44" s="55">
        <v>128.95692175408419</v>
      </c>
      <c r="U44" s="55">
        <v>124.34660361134991</v>
      </c>
      <c r="V44" s="55">
        <v>128.21332760103181</v>
      </c>
      <c r="W44" s="55">
        <v>147.94978503869299</v>
      </c>
      <c r="DA44" s="101" t="s">
        <v>209</v>
      </c>
    </row>
    <row r="45" spans="1:105" ht="12" customHeight="1" x14ac:dyDescent="0.25">
      <c r="A45" s="62" t="s">
        <v>24</v>
      </c>
      <c r="B45" s="63">
        <v>139.31411511703899</v>
      </c>
      <c r="C45" s="63">
        <v>132.24937936625994</v>
      </c>
      <c r="D45" s="63">
        <v>154.69098199789465</v>
      </c>
      <c r="E45" s="63">
        <v>166.65792220551847</v>
      </c>
      <c r="F45" s="63">
        <v>177.31968412213877</v>
      </c>
      <c r="G45" s="63">
        <v>190.29250148251387</v>
      </c>
      <c r="H45" s="63">
        <v>206.59859640906726</v>
      </c>
      <c r="I45" s="63">
        <v>237.91528617966011</v>
      </c>
      <c r="J45" s="63">
        <v>230.37708087356347</v>
      </c>
      <c r="K45" s="63">
        <v>203.47681945749497</v>
      </c>
      <c r="L45" s="63">
        <v>209.51669335294781</v>
      </c>
      <c r="M45" s="63">
        <v>215.20988103108536</v>
      </c>
      <c r="N45" s="63">
        <v>242.09846713973141</v>
      </c>
      <c r="O45" s="63">
        <v>234.10973198140815</v>
      </c>
      <c r="P45" s="63">
        <v>248.71772850840438</v>
      </c>
      <c r="Q45" s="63">
        <v>232.34428463196875</v>
      </c>
      <c r="R45" s="63">
        <v>232.77365622815321</v>
      </c>
      <c r="S45" s="63">
        <v>236.07372158340678</v>
      </c>
      <c r="T45" s="63">
        <v>243.91816452435634</v>
      </c>
      <c r="U45" s="63">
        <v>242.91229853433333</v>
      </c>
      <c r="V45" s="63">
        <v>223.11070606947052</v>
      </c>
      <c r="W45" s="63">
        <v>229.72966758099656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479.06966111875869</v>
      </c>
      <c r="C47" s="82">
        <f t="shared" ref="C47:W47" si="22">SUM(C48,C53)</f>
        <v>508.15823577210688</v>
      </c>
      <c r="D47" s="82">
        <f t="shared" si="22"/>
        <v>541.12073264277853</v>
      </c>
      <c r="E47" s="82">
        <f t="shared" si="22"/>
        <v>570.99205806106443</v>
      </c>
      <c r="F47" s="82">
        <f t="shared" si="22"/>
        <v>602.61435308172599</v>
      </c>
      <c r="G47" s="82">
        <f t="shared" si="22"/>
        <v>600.69473708010617</v>
      </c>
      <c r="H47" s="82">
        <f t="shared" si="22"/>
        <v>644.03023871345272</v>
      </c>
      <c r="I47" s="82">
        <f t="shared" si="22"/>
        <v>689.77298179444938</v>
      </c>
      <c r="J47" s="82">
        <f t="shared" si="22"/>
        <v>615.39032249007244</v>
      </c>
      <c r="K47" s="82">
        <f t="shared" si="22"/>
        <v>575.66684525285177</v>
      </c>
      <c r="L47" s="82">
        <f t="shared" si="22"/>
        <v>601.26501665475348</v>
      </c>
      <c r="M47" s="82">
        <f t="shared" si="22"/>
        <v>559.09053451345846</v>
      </c>
      <c r="N47" s="82">
        <f t="shared" si="22"/>
        <v>626.89133042434014</v>
      </c>
      <c r="O47" s="82">
        <f t="shared" si="22"/>
        <v>604.18617222216471</v>
      </c>
      <c r="P47" s="82">
        <f t="shared" si="22"/>
        <v>611.72933641898044</v>
      </c>
      <c r="Q47" s="82">
        <f t="shared" si="22"/>
        <v>585.35898798536516</v>
      </c>
      <c r="R47" s="82">
        <f t="shared" si="22"/>
        <v>592.31931400975247</v>
      </c>
      <c r="S47" s="82">
        <f t="shared" si="22"/>
        <v>610.24164935640761</v>
      </c>
      <c r="T47" s="82">
        <f t="shared" si="22"/>
        <v>596.32985841945538</v>
      </c>
      <c r="U47" s="82">
        <f t="shared" si="22"/>
        <v>573.85580670286276</v>
      </c>
      <c r="V47" s="82">
        <f t="shared" si="22"/>
        <v>552.68396488288397</v>
      </c>
      <c r="W47" s="82">
        <f t="shared" si="22"/>
        <v>605.59372605047201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415.8927869181652</v>
      </c>
      <c r="C48" s="64">
        <f t="shared" ref="C48:W48" si="24">SUM(C49:C52)</f>
        <v>442.2820460149984</v>
      </c>
      <c r="D48" s="64">
        <f t="shared" si="24"/>
        <v>469.77888878544366</v>
      </c>
      <c r="E48" s="64">
        <f t="shared" si="24"/>
        <v>493.55421712481802</v>
      </c>
      <c r="F48" s="64">
        <f t="shared" si="24"/>
        <v>518.58551465851599</v>
      </c>
      <c r="G48" s="64">
        <f t="shared" si="24"/>
        <v>508.44295798521262</v>
      </c>
      <c r="H48" s="64">
        <f t="shared" si="24"/>
        <v>543.29211803288274</v>
      </c>
      <c r="I48" s="64">
        <f t="shared" si="24"/>
        <v>579.10529972225993</v>
      </c>
      <c r="J48" s="64">
        <f t="shared" si="24"/>
        <v>499.83029853761826</v>
      </c>
      <c r="K48" s="64">
        <f t="shared" si="24"/>
        <v>459.22406657261138</v>
      </c>
      <c r="L48" s="64">
        <f t="shared" si="24"/>
        <v>482.99338230470266</v>
      </c>
      <c r="M48" s="64">
        <f t="shared" si="24"/>
        <v>438.08054551067448</v>
      </c>
      <c r="N48" s="64">
        <f t="shared" si="24"/>
        <v>502.4665750590122</v>
      </c>
      <c r="O48" s="64">
        <f t="shared" si="24"/>
        <v>476.97951689218058</v>
      </c>
      <c r="P48" s="64">
        <f t="shared" si="24"/>
        <v>479.60236180387381</v>
      </c>
      <c r="Q48" s="64">
        <f t="shared" si="24"/>
        <v>452.48533373292668</v>
      </c>
      <c r="R48" s="64">
        <f t="shared" si="24"/>
        <v>459.32863915844371</v>
      </c>
      <c r="S48" s="64">
        <f t="shared" si="24"/>
        <v>470.95252475966851</v>
      </c>
      <c r="T48" s="64">
        <f t="shared" si="24"/>
        <v>456.11272433548709</v>
      </c>
      <c r="U48" s="64">
        <f t="shared" si="24"/>
        <v>431.45453847766379</v>
      </c>
      <c r="V48" s="64">
        <f t="shared" si="24"/>
        <v>417.49489774240658</v>
      </c>
      <c r="W48" s="64">
        <f t="shared" si="24"/>
        <v>468.97946349492832</v>
      </c>
      <c r="DA48" s="108" t="s">
        <v>212</v>
      </c>
    </row>
    <row r="49" spans="1:105" ht="12" customHeight="1" x14ac:dyDescent="0.25">
      <c r="A49" s="61" t="s">
        <v>32</v>
      </c>
      <c r="B49" s="65">
        <v>329.94377765528077</v>
      </c>
      <c r="C49" s="65">
        <v>351.55203547668884</v>
      </c>
      <c r="D49" s="65">
        <v>379.01739336629629</v>
      </c>
      <c r="E49" s="65">
        <v>400.20449280556437</v>
      </c>
      <c r="F49" s="65">
        <v>420.31433568759167</v>
      </c>
      <c r="G49" s="65">
        <v>407.13341351237381</v>
      </c>
      <c r="H49" s="65">
        <v>437.04401922239157</v>
      </c>
      <c r="I49" s="65">
        <v>469.716009493976</v>
      </c>
      <c r="J49" s="65">
        <v>388.0583575753098</v>
      </c>
      <c r="K49" s="65">
        <v>345.10096065438381</v>
      </c>
      <c r="L49" s="65">
        <v>370.74979751605485</v>
      </c>
      <c r="M49" s="65">
        <v>324.85762324637943</v>
      </c>
      <c r="N49" s="65">
        <v>390.77806324782773</v>
      </c>
      <c r="O49" s="65">
        <v>364.30599047745187</v>
      </c>
      <c r="P49" s="65">
        <v>367.59733556887079</v>
      </c>
      <c r="Q49" s="65">
        <v>340.2736758753166</v>
      </c>
      <c r="R49" s="65">
        <v>346.53663515308153</v>
      </c>
      <c r="S49" s="65">
        <v>357.29206451259705</v>
      </c>
      <c r="T49" s="65">
        <v>344.29904320393638</v>
      </c>
      <c r="U49" s="65">
        <v>322.52543851053929</v>
      </c>
      <c r="V49" s="65">
        <v>316.60091997342425</v>
      </c>
      <c r="W49" s="65">
        <v>363.03580582448632</v>
      </c>
      <c r="DA49" s="109" t="s">
        <v>213</v>
      </c>
    </row>
    <row r="50" spans="1:105" ht="12" customHeight="1" x14ac:dyDescent="0.25">
      <c r="A50" s="61" t="s">
        <v>31</v>
      </c>
      <c r="B50" s="65">
        <v>0.54816220212352695</v>
      </c>
      <c r="C50" s="65">
        <v>0.58974449799820483</v>
      </c>
      <c r="D50" s="65">
        <v>0.64481989691773833</v>
      </c>
      <c r="E50" s="65">
        <v>0.66130799194950818</v>
      </c>
      <c r="F50" s="65">
        <v>0.66986374031894569</v>
      </c>
      <c r="G50" s="65">
        <v>0.71532830953109039</v>
      </c>
      <c r="H50" s="65">
        <v>0.80657846003450906</v>
      </c>
      <c r="I50" s="65">
        <v>0.81780278306964282</v>
      </c>
      <c r="J50" s="65">
        <v>0.85343910428146152</v>
      </c>
      <c r="K50" s="65">
        <v>0.90952932322379321</v>
      </c>
      <c r="L50" s="65">
        <v>1.1355054098093551</v>
      </c>
      <c r="M50" s="65">
        <v>0.97070283074045804</v>
      </c>
      <c r="N50" s="65">
        <v>0.9762309357716914</v>
      </c>
      <c r="O50" s="65">
        <v>0.9622381050614861</v>
      </c>
      <c r="P50" s="65">
        <v>1.0187016967428959</v>
      </c>
      <c r="Q50" s="65">
        <v>0.96700789411612798</v>
      </c>
      <c r="R50" s="65">
        <v>0.96778460022160973</v>
      </c>
      <c r="S50" s="65">
        <v>0.97097281798106505</v>
      </c>
      <c r="T50" s="65">
        <v>1.0386778147420599</v>
      </c>
      <c r="U50" s="65">
        <v>0.99222521564407651</v>
      </c>
      <c r="V50" s="65">
        <v>1.0020610342539098</v>
      </c>
      <c r="W50" s="65">
        <v>1.1714726857000028</v>
      </c>
      <c r="DA50" s="109" t="s">
        <v>214</v>
      </c>
    </row>
    <row r="51" spans="1:105" ht="12" customHeight="1" x14ac:dyDescent="0.25">
      <c r="A51" s="61" t="s">
        <v>35</v>
      </c>
      <c r="B51" s="65">
        <v>41.163004923706076</v>
      </c>
      <c r="C51" s="65">
        <v>43.035453997541765</v>
      </c>
      <c r="D51" s="65">
        <v>43.435049298229615</v>
      </c>
      <c r="E51" s="65">
        <v>44.843666731474656</v>
      </c>
      <c r="F51" s="65">
        <v>47.434896325895494</v>
      </c>
      <c r="G51" s="65">
        <v>48.389789877419645</v>
      </c>
      <c r="H51" s="65">
        <v>51.074952194144117</v>
      </c>
      <c r="I51" s="65">
        <v>53.450019693052283</v>
      </c>
      <c r="J51" s="65">
        <v>53.98517337580823</v>
      </c>
      <c r="K51" s="65">
        <v>55.372948647726119</v>
      </c>
      <c r="L51" s="65">
        <v>54.379941800879223</v>
      </c>
      <c r="M51" s="65">
        <v>55.751142066288736</v>
      </c>
      <c r="N51" s="65">
        <v>54.475066399978232</v>
      </c>
      <c r="O51" s="65">
        <v>55.468615084391985</v>
      </c>
      <c r="P51" s="65">
        <v>54.860841242556553</v>
      </c>
      <c r="Q51" s="65">
        <v>55.485087711639999</v>
      </c>
      <c r="R51" s="65">
        <v>55.657054496617235</v>
      </c>
      <c r="S51" s="65">
        <v>55.999826581635077</v>
      </c>
      <c r="T51" s="65">
        <v>54.235879944521415</v>
      </c>
      <c r="U51" s="65">
        <v>52.190974706438709</v>
      </c>
      <c r="V51" s="65">
        <v>47.496039153599114</v>
      </c>
      <c r="W51" s="65">
        <v>50.334409846182957</v>
      </c>
      <c r="DA51" s="109" t="s">
        <v>215</v>
      </c>
    </row>
    <row r="52" spans="1:105" ht="12" customHeight="1" x14ac:dyDescent="0.25">
      <c r="A52" s="66" t="s">
        <v>34</v>
      </c>
      <c r="B52" s="67">
        <v>44.23784213705482</v>
      </c>
      <c r="C52" s="67">
        <v>47.104812042769616</v>
      </c>
      <c r="D52" s="67">
        <v>46.681626224000013</v>
      </c>
      <c r="E52" s="67">
        <v>47.844749595829512</v>
      </c>
      <c r="F52" s="67">
        <v>50.166418904709879</v>
      </c>
      <c r="G52" s="67">
        <v>52.204426285888083</v>
      </c>
      <c r="H52" s="67">
        <v>54.366568156312447</v>
      </c>
      <c r="I52" s="67">
        <v>55.121467752162069</v>
      </c>
      <c r="J52" s="67">
        <v>56.933328482218755</v>
      </c>
      <c r="K52" s="67">
        <v>57.840627947277667</v>
      </c>
      <c r="L52" s="67">
        <v>56.728137577959245</v>
      </c>
      <c r="M52" s="67">
        <v>56.501077367265907</v>
      </c>
      <c r="N52" s="67">
        <v>56.237214475434534</v>
      </c>
      <c r="O52" s="67">
        <v>56.242673225275261</v>
      </c>
      <c r="P52" s="67">
        <v>56.12548329570361</v>
      </c>
      <c r="Q52" s="67">
        <v>55.75956225185395</v>
      </c>
      <c r="R52" s="67">
        <v>56.167164908523347</v>
      </c>
      <c r="S52" s="67">
        <v>56.689660847455286</v>
      </c>
      <c r="T52" s="67">
        <v>56.539123372287207</v>
      </c>
      <c r="U52" s="67">
        <v>55.745900045041765</v>
      </c>
      <c r="V52" s="67">
        <v>52.39587758112927</v>
      </c>
      <c r="W52" s="67">
        <v>54.437775138559076</v>
      </c>
      <c r="DA52" s="110" t="s">
        <v>216</v>
      </c>
    </row>
    <row r="53" spans="1:105" ht="12" customHeight="1" x14ac:dyDescent="0.25">
      <c r="A53" s="78" t="s">
        <v>33</v>
      </c>
      <c r="B53" s="68">
        <v>63.176874200593474</v>
      </c>
      <c r="C53" s="68">
        <v>65.876189757108449</v>
      </c>
      <c r="D53" s="68">
        <v>71.341843857334851</v>
      </c>
      <c r="E53" s="68">
        <v>77.437840936246445</v>
      </c>
      <c r="F53" s="68">
        <v>84.028838423209947</v>
      </c>
      <c r="G53" s="68">
        <v>92.251779094893593</v>
      </c>
      <c r="H53" s="68">
        <v>100.73812068056998</v>
      </c>
      <c r="I53" s="68">
        <v>110.66768207218948</v>
      </c>
      <c r="J53" s="68">
        <v>115.5600239524542</v>
      </c>
      <c r="K53" s="68">
        <v>116.44277868024042</v>
      </c>
      <c r="L53" s="68">
        <v>118.27163435005076</v>
      </c>
      <c r="M53" s="68">
        <v>121.00998900278395</v>
      </c>
      <c r="N53" s="68">
        <v>124.42475536532797</v>
      </c>
      <c r="O53" s="68">
        <v>127.20665532998413</v>
      </c>
      <c r="P53" s="68">
        <v>132.12697461510666</v>
      </c>
      <c r="Q53" s="68">
        <v>132.87365425243848</v>
      </c>
      <c r="R53" s="68">
        <v>132.99067485130874</v>
      </c>
      <c r="S53" s="68">
        <v>139.2891245967391</v>
      </c>
      <c r="T53" s="68">
        <v>140.21713408396832</v>
      </c>
      <c r="U53" s="68">
        <v>142.40126822519903</v>
      </c>
      <c r="V53" s="68">
        <v>135.18906714047742</v>
      </c>
      <c r="W53" s="68">
        <v>136.61426255554375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0.86812591293496189</v>
      </c>
      <c r="C56" s="70">
        <f t="shared" ref="C56:W56" si="28">IF(C48=0,0,C48/C$47)</f>
        <v>0.87036284149362508</v>
      </c>
      <c r="D56" s="70">
        <f t="shared" si="28"/>
        <v>0.86815910100337756</v>
      </c>
      <c r="E56" s="70">
        <f t="shared" si="28"/>
        <v>0.86438017859792216</v>
      </c>
      <c r="F56" s="70">
        <f t="shared" si="28"/>
        <v>0.86055951373628481</v>
      </c>
      <c r="G56" s="70">
        <f t="shared" si="28"/>
        <v>0.84642485875052498</v>
      </c>
      <c r="H56" s="70">
        <f t="shared" si="28"/>
        <v>0.8435816913165296</v>
      </c>
      <c r="I56" s="70">
        <f t="shared" si="28"/>
        <v>0.83955926805905523</v>
      </c>
      <c r="J56" s="70">
        <f t="shared" si="28"/>
        <v>0.81221670258826928</v>
      </c>
      <c r="K56" s="70">
        <f t="shared" si="28"/>
        <v>0.79772540378090573</v>
      </c>
      <c r="L56" s="70">
        <f t="shared" si="28"/>
        <v>0.80329533388109553</v>
      </c>
      <c r="M56" s="70">
        <f t="shared" si="28"/>
        <v>0.78355922425320368</v>
      </c>
      <c r="N56" s="70">
        <f t="shared" si="28"/>
        <v>0.80152101436606993</v>
      </c>
      <c r="O56" s="70">
        <f t="shared" si="28"/>
        <v>0.7894578506122959</v>
      </c>
      <c r="P56" s="70">
        <f t="shared" si="28"/>
        <v>0.78401072705035135</v>
      </c>
      <c r="Q56" s="70">
        <f t="shared" si="28"/>
        <v>0.77300484492473442</v>
      </c>
      <c r="R56" s="70">
        <f t="shared" si="28"/>
        <v>0.77547469463553731</v>
      </c>
      <c r="S56" s="70">
        <f t="shared" si="28"/>
        <v>0.77174759418069772</v>
      </c>
      <c r="T56" s="70">
        <f t="shared" si="28"/>
        <v>0.76486648772609289</v>
      </c>
      <c r="U56" s="70">
        <f t="shared" si="28"/>
        <v>0.75185183009059797</v>
      </c>
      <c r="V56" s="70">
        <f t="shared" si="28"/>
        <v>0.7553953511766448</v>
      </c>
      <c r="W56" s="70">
        <f t="shared" si="28"/>
        <v>0.77441268514040407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0.68871774698646504</v>
      </c>
      <c r="C57" s="71">
        <f t="shared" ref="C57:W57" si="30">IF(C49=0,0,C49/C$47)</f>
        <v>0.6918160736734551</v>
      </c>
      <c r="D57" s="71">
        <f t="shared" si="30"/>
        <v>0.70043036701849137</v>
      </c>
      <c r="E57" s="71">
        <f t="shared" si="30"/>
        <v>0.70089327365524356</v>
      </c>
      <c r="F57" s="71">
        <f t="shared" si="30"/>
        <v>0.69748477370002016</v>
      </c>
      <c r="G57" s="71">
        <f t="shared" si="30"/>
        <v>0.67777090155873998</v>
      </c>
      <c r="H57" s="71">
        <f t="shared" si="30"/>
        <v>0.67860791768947482</v>
      </c>
      <c r="I57" s="71">
        <f t="shared" si="30"/>
        <v>0.68097188769558126</v>
      </c>
      <c r="J57" s="71">
        <f t="shared" si="30"/>
        <v>0.63058898294841159</v>
      </c>
      <c r="K57" s="71">
        <f t="shared" si="30"/>
        <v>0.59948034787864868</v>
      </c>
      <c r="L57" s="71">
        <f t="shared" si="30"/>
        <v>0.6166162794216572</v>
      </c>
      <c r="M57" s="71">
        <f t="shared" si="30"/>
        <v>0.58104654468722616</v>
      </c>
      <c r="N57" s="71">
        <f t="shared" si="30"/>
        <v>0.62335853804727481</v>
      </c>
      <c r="O57" s="71">
        <f t="shared" si="30"/>
        <v>0.60296975870459557</v>
      </c>
      <c r="P57" s="71">
        <f t="shared" si="30"/>
        <v>0.60091500224716898</v>
      </c>
      <c r="Q57" s="71">
        <f t="shared" si="30"/>
        <v>0.58130768102910546</v>
      </c>
      <c r="R57" s="71">
        <f t="shared" si="30"/>
        <v>0.58505037225136958</v>
      </c>
      <c r="S57" s="71">
        <f t="shared" si="30"/>
        <v>0.58549275502485898</v>
      </c>
      <c r="T57" s="71">
        <f t="shared" si="30"/>
        <v>0.57736341446407702</v>
      </c>
      <c r="U57" s="71">
        <f t="shared" si="30"/>
        <v>0.56203219474877597</v>
      </c>
      <c r="V57" s="71">
        <f t="shared" si="30"/>
        <v>0.57284260099804651</v>
      </c>
      <c r="W57" s="71">
        <f t="shared" si="30"/>
        <v>0.59947088321425213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1.1442223263385502E-3</v>
      </c>
      <c r="C58" s="72">
        <f t="shared" ref="C58:W58" si="32">IF(C50=0,0,C50/C$47)</f>
        <v>1.1605528681477217E-3</v>
      </c>
      <c r="D58" s="72">
        <f t="shared" si="32"/>
        <v>1.19163775848784E-3</v>
      </c>
      <c r="E58" s="72">
        <f t="shared" si="32"/>
        <v>1.1581737129499356E-3</v>
      </c>
      <c r="F58" s="72">
        <f t="shared" si="32"/>
        <v>1.1115960595583414E-3</v>
      </c>
      <c r="G58" s="72">
        <f t="shared" si="32"/>
        <v>1.1908349871820121E-3</v>
      </c>
      <c r="H58" s="72">
        <f t="shared" si="32"/>
        <v>1.2523922194177884E-3</v>
      </c>
      <c r="I58" s="72">
        <f t="shared" si="32"/>
        <v>1.1856115050231787E-3</v>
      </c>
      <c r="J58" s="72">
        <f t="shared" si="32"/>
        <v>1.3868256829716872E-3</v>
      </c>
      <c r="K58" s="72">
        <f t="shared" si="32"/>
        <v>1.5799578015028781E-3</v>
      </c>
      <c r="L58" s="72">
        <f t="shared" si="32"/>
        <v>1.8885273188301301E-3</v>
      </c>
      <c r="M58" s="72">
        <f t="shared" si="32"/>
        <v>1.7362176084508389E-3</v>
      </c>
      <c r="N58" s="72">
        <f t="shared" si="32"/>
        <v>1.5572570370543882E-3</v>
      </c>
      <c r="O58" s="72">
        <f t="shared" si="32"/>
        <v>1.592618549217082E-3</v>
      </c>
      <c r="P58" s="72">
        <f t="shared" si="32"/>
        <v>1.6652817448747879E-3</v>
      </c>
      <c r="Q58" s="72">
        <f t="shared" si="32"/>
        <v>1.651991195085749E-3</v>
      </c>
      <c r="R58" s="72">
        <f t="shared" si="32"/>
        <v>1.6338899936760719E-3</v>
      </c>
      <c r="S58" s="72">
        <f t="shared" si="32"/>
        <v>1.5911283980782091E-3</v>
      </c>
      <c r="T58" s="72">
        <f t="shared" si="32"/>
        <v>1.7417840144631149E-3</v>
      </c>
      <c r="U58" s="72">
        <f t="shared" si="32"/>
        <v>1.7290497090985115E-3</v>
      </c>
      <c r="V58" s="72">
        <f t="shared" si="32"/>
        <v>1.8130814315668643E-3</v>
      </c>
      <c r="W58" s="72">
        <f t="shared" si="32"/>
        <v>1.9344201158424299E-3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8.5922796337341012E-2</v>
      </c>
      <c r="C59" s="72">
        <f t="shared" ref="C59:W59" si="34">IF(C51=0,0,C51/C$47)</f>
        <v>8.4689081014603151E-2</v>
      </c>
      <c r="D59" s="72">
        <f t="shared" si="34"/>
        <v>8.0268684376769775E-2</v>
      </c>
      <c r="E59" s="72">
        <f t="shared" si="34"/>
        <v>7.8536410617954466E-2</v>
      </c>
      <c r="F59" s="72">
        <f t="shared" si="34"/>
        <v>7.8715178427657559E-2</v>
      </c>
      <c r="G59" s="72">
        <f t="shared" si="34"/>
        <v>8.0556373962315214E-2</v>
      </c>
      <c r="H59" s="72">
        <f t="shared" si="34"/>
        <v>7.9305208240181418E-2</v>
      </c>
      <c r="I59" s="72">
        <f t="shared" si="34"/>
        <v>7.7489291555029705E-2</v>
      </c>
      <c r="J59" s="72">
        <f t="shared" si="34"/>
        <v>8.7725093169106719E-2</v>
      </c>
      <c r="K59" s="72">
        <f t="shared" si="34"/>
        <v>9.618922664098277E-2</v>
      </c>
      <c r="L59" s="72">
        <f t="shared" si="34"/>
        <v>9.0442550779740769E-2</v>
      </c>
      <c r="M59" s="72">
        <f t="shared" si="34"/>
        <v>9.9717556683025357E-2</v>
      </c>
      <c r="N59" s="72">
        <f t="shared" si="34"/>
        <v>8.6897144299482157E-2</v>
      </c>
      <c r="O59" s="72">
        <f t="shared" si="34"/>
        <v>9.1807157519645577E-2</v>
      </c>
      <c r="P59" s="72">
        <f t="shared" si="34"/>
        <v>8.9681560089480056E-2</v>
      </c>
      <c r="Q59" s="72">
        <f t="shared" si="34"/>
        <v>9.478813659734428E-2</v>
      </c>
      <c r="R59" s="72">
        <f t="shared" si="34"/>
        <v>9.3964611958780142E-2</v>
      </c>
      <c r="S59" s="72">
        <f t="shared" si="34"/>
        <v>9.1766641363622739E-2</v>
      </c>
      <c r="T59" s="72">
        <f t="shared" si="34"/>
        <v>9.0949462246064788E-2</v>
      </c>
      <c r="U59" s="72">
        <f t="shared" si="34"/>
        <v>9.0947889865062762E-2</v>
      </c>
      <c r="V59" s="72">
        <f t="shared" si="34"/>
        <v>8.5937067422724528E-2</v>
      </c>
      <c r="W59" s="72">
        <f t="shared" si="34"/>
        <v>8.3115804673953866E-2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9.2341147284817321E-2</v>
      </c>
      <c r="C60" s="73">
        <f t="shared" ref="C60:W60" si="36">IF(C52=0,0,C52/C$47)</f>
        <v>9.2697133937419157E-2</v>
      </c>
      <c r="D60" s="73">
        <f t="shared" si="36"/>
        <v>8.6268411849628648E-2</v>
      </c>
      <c r="E60" s="73">
        <f t="shared" si="36"/>
        <v>8.3792320611774218E-2</v>
      </c>
      <c r="F60" s="73">
        <f t="shared" si="36"/>
        <v>8.3247965549048841E-2</v>
      </c>
      <c r="G60" s="73">
        <f t="shared" si="36"/>
        <v>8.6906748242287862E-2</v>
      </c>
      <c r="H60" s="73">
        <f t="shared" si="36"/>
        <v>8.441617316745538E-2</v>
      </c>
      <c r="I60" s="73">
        <f t="shared" si="36"/>
        <v>7.9912477303421159E-2</v>
      </c>
      <c r="J60" s="73">
        <f t="shared" si="36"/>
        <v>9.2515800787779226E-2</v>
      </c>
      <c r="K60" s="73">
        <f t="shared" si="36"/>
        <v>0.10047587145977144</v>
      </c>
      <c r="L60" s="73">
        <f t="shared" si="36"/>
        <v>9.4347976360867433E-2</v>
      </c>
      <c r="M60" s="73">
        <f t="shared" si="36"/>
        <v>0.10105890527450131</v>
      </c>
      <c r="N60" s="73">
        <f t="shared" si="36"/>
        <v>8.9708074982258565E-2</v>
      </c>
      <c r="O60" s="73">
        <f t="shared" si="36"/>
        <v>9.3088315838837712E-2</v>
      </c>
      <c r="P60" s="73">
        <f t="shared" si="36"/>
        <v>9.1748882968827605E-2</v>
      </c>
      <c r="Q60" s="73">
        <f t="shared" si="36"/>
        <v>9.525703610319898E-2</v>
      </c>
      <c r="R60" s="73">
        <f t="shared" si="36"/>
        <v>9.4825820431711533E-2</v>
      </c>
      <c r="S60" s="73">
        <f t="shared" si="36"/>
        <v>9.2897069394137777E-2</v>
      </c>
      <c r="T60" s="73">
        <f t="shared" si="36"/>
        <v>9.481182700148795E-2</v>
      </c>
      <c r="U60" s="73">
        <f t="shared" si="36"/>
        <v>9.7142695767660811E-2</v>
      </c>
      <c r="V60" s="73">
        <f t="shared" si="36"/>
        <v>9.4802601324306873E-2</v>
      </c>
      <c r="W60" s="73">
        <f t="shared" si="36"/>
        <v>8.9891577136355719E-2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0.13187408706503809</v>
      </c>
      <c r="C61" s="70">
        <f t="shared" ref="C61:W61" si="38">IF(C53=0,0,C53/C$47)</f>
        <v>0.12963715850637492</v>
      </c>
      <c r="D61" s="70">
        <f t="shared" si="38"/>
        <v>0.13184089899662235</v>
      </c>
      <c r="E61" s="70">
        <f t="shared" si="38"/>
        <v>0.1356198214020779</v>
      </c>
      <c r="F61" s="70">
        <f t="shared" si="38"/>
        <v>0.13944048626371505</v>
      </c>
      <c r="G61" s="70">
        <f t="shared" si="38"/>
        <v>0.15357514124947508</v>
      </c>
      <c r="H61" s="70">
        <f t="shared" si="38"/>
        <v>0.1564183086834704</v>
      </c>
      <c r="I61" s="70">
        <f t="shared" si="38"/>
        <v>0.16044073194094485</v>
      </c>
      <c r="J61" s="70">
        <f t="shared" si="38"/>
        <v>0.1877832974117308</v>
      </c>
      <c r="K61" s="70">
        <f t="shared" si="38"/>
        <v>0.20227459621909427</v>
      </c>
      <c r="L61" s="70">
        <f t="shared" si="38"/>
        <v>0.19670466611890439</v>
      </c>
      <c r="M61" s="70">
        <f t="shared" si="38"/>
        <v>0.21644077574679632</v>
      </c>
      <c r="N61" s="70">
        <f t="shared" si="38"/>
        <v>0.19847898563393016</v>
      </c>
      <c r="O61" s="70">
        <f t="shared" si="38"/>
        <v>0.2105421493877041</v>
      </c>
      <c r="P61" s="70">
        <f t="shared" si="38"/>
        <v>0.21598927294964873</v>
      </c>
      <c r="Q61" s="70">
        <f t="shared" si="38"/>
        <v>0.22699515507526558</v>
      </c>
      <c r="R61" s="70">
        <f t="shared" si="38"/>
        <v>0.22452530536446269</v>
      </c>
      <c r="S61" s="70">
        <f t="shared" si="38"/>
        <v>0.22825240581930226</v>
      </c>
      <c r="T61" s="70">
        <f t="shared" si="38"/>
        <v>0.23513351227390714</v>
      </c>
      <c r="U61" s="70">
        <f t="shared" si="38"/>
        <v>0.24814816990940217</v>
      </c>
      <c r="V61" s="70">
        <f t="shared" si="38"/>
        <v>0.24460464882335523</v>
      </c>
      <c r="W61" s="70">
        <f t="shared" si="38"/>
        <v>0.22558731485959599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365.51382709309848</v>
      </c>
      <c r="C65" s="80">
        <v>393.14088000662991</v>
      </c>
      <c r="D65" s="80">
        <v>433.05632820000005</v>
      </c>
      <c r="E65" s="80">
        <v>460.65305232000003</v>
      </c>
      <c r="F65" s="80">
        <v>494.33170494974831</v>
      </c>
      <c r="G65" s="80">
        <v>450.55544106974833</v>
      </c>
      <c r="H65" s="80">
        <v>510.53970785025172</v>
      </c>
      <c r="I65" s="80">
        <v>504.54707588913209</v>
      </c>
      <c r="J65" s="80">
        <v>472.59797051396168</v>
      </c>
      <c r="K65" s="80">
        <v>438.33603013583775</v>
      </c>
      <c r="L65" s="80">
        <v>471.1974115897483</v>
      </c>
      <c r="M65" s="80">
        <v>419.55668100000003</v>
      </c>
      <c r="N65" s="80">
        <v>408.1951060489796</v>
      </c>
      <c r="O65" s="80">
        <v>384.65858338008297</v>
      </c>
      <c r="P65" s="80">
        <v>403.05766599900062</v>
      </c>
      <c r="Q65" s="80">
        <v>389.20680358904565</v>
      </c>
      <c r="R65" s="80">
        <v>359.44174389161827</v>
      </c>
      <c r="S65" s="80">
        <v>379.11738613689619</v>
      </c>
      <c r="T65" s="80">
        <v>396.26716122509833</v>
      </c>
      <c r="U65" s="80">
        <v>377.24228922169351</v>
      </c>
      <c r="V65" s="80">
        <v>392.15237051536872</v>
      </c>
      <c r="W65" s="80">
        <v>462.00593433135595</v>
      </c>
      <c r="DA65" s="103" t="s">
        <v>218</v>
      </c>
    </row>
    <row r="66" spans="1:105" ht="12" customHeight="1" x14ac:dyDescent="0.25">
      <c r="A66" s="58" t="s">
        <v>29</v>
      </c>
      <c r="B66" s="59">
        <v>136.33309417309849</v>
      </c>
      <c r="C66" s="59">
        <v>134.69188392662991</v>
      </c>
      <c r="D66" s="59">
        <v>125.22411000000002</v>
      </c>
      <c r="E66" s="59">
        <v>118.48320000000004</v>
      </c>
      <c r="F66" s="59">
        <v>113.5462870297483</v>
      </c>
      <c r="G66" s="59">
        <v>91.330687029748333</v>
      </c>
      <c r="H66" s="59">
        <v>93.799312970251734</v>
      </c>
      <c r="I66" s="59">
        <v>92.396421809131965</v>
      </c>
      <c r="J66" s="59">
        <v>80.053007153961786</v>
      </c>
      <c r="K66" s="59">
        <v>60.303775575837662</v>
      </c>
      <c r="L66" s="59">
        <v>83.925487029748297</v>
      </c>
      <c r="M66" s="59">
        <v>74.052000000000021</v>
      </c>
      <c r="N66" s="59">
        <v>40.220202448979599</v>
      </c>
      <c r="O66" s="59">
        <v>44.164792780082969</v>
      </c>
      <c r="P66" s="59">
        <v>33.734193759000604</v>
      </c>
      <c r="Q66" s="59">
        <v>25.409633029045644</v>
      </c>
      <c r="R66" s="59">
        <v>23.320240411618258</v>
      </c>
      <c r="S66" s="59">
        <v>15.781050496896235</v>
      </c>
      <c r="T66" s="59">
        <v>15.086391305098221</v>
      </c>
      <c r="U66" s="59">
        <v>11.006652901693444</v>
      </c>
      <c r="V66" s="59">
        <v>6.354751435368696</v>
      </c>
      <c r="W66" s="59">
        <v>8.1520148113559401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125.32280292000002</v>
      </c>
      <c r="C67" s="55">
        <f t="shared" ref="C67:W67" si="39">SUM(C68:C69)</f>
        <v>146.86609608000003</v>
      </c>
      <c r="D67" s="55">
        <f t="shared" si="39"/>
        <v>143.7902082</v>
      </c>
      <c r="E67" s="55">
        <f t="shared" si="39"/>
        <v>166.71710231999998</v>
      </c>
      <c r="F67" s="55">
        <f t="shared" si="39"/>
        <v>169.98966792000002</v>
      </c>
      <c r="G67" s="55">
        <f t="shared" si="39"/>
        <v>139.08835403999998</v>
      </c>
      <c r="H67" s="55">
        <f t="shared" si="39"/>
        <v>177.77122488000001</v>
      </c>
      <c r="I67" s="55">
        <f t="shared" si="39"/>
        <v>143.54385408000002</v>
      </c>
      <c r="J67" s="55">
        <f t="shared" si="39"/>
        <v>121.71660335999999</v>
      </c>
      <c r="K67" s="55">
        <f t="shared" si="39"/>
        <v>115.83768455999999</v>
      </c>
      <c r="L67" s="55">
        <f t="shared" si="39"/>
        <v>115.83768456000001</v>
      </c>
      <c r="M67" s="55">
        <f t="shared" si="39"/>
        <v>100.27475100000001</v>
      </c>
      <c r="N67" s="55">
        <f t="shared" si="39"/>
        <v>137.8414836</v>
      </c>
      <c r="O67" s="55">
        <f t="shared" si="39"/>
        <v>144.03720060000001</v>
      </c>
      <c r="P67" s="55">
        <f t="shared" si="39"/>
        <v>156.45763224000001</v>
      </c>
      <c r="Q67" s="55">
        <f t="shared" si="39"/>
        <v>162.79648055999999</v>
      </c>
      <c r="R67" s="55">
        <f t="shared" si="39"/>
        <v>114.97732308000001</v>
      </c>
      <c r="S67" s="55">
        <f t="shared" si="39"/>
        <v>125.98405740000001</v>
      </c>
      <c r="T67" s="55">
        <f t="shared" si="39"/>
        <v>134.48925539999999</v>
      </c>
      <c r="U67" s="55">
        <f t="shared" si="39"/>
        <v>107.74501272000002</v>
      </c>
      <c r="V67" s="55">
        <f t="shared" si="39"/>
        <v>124.52317884</v>
      </c>
      <c r="W67" s="55">
        <f t="shared" si="39"/>
        <v>177.40501271999997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5.747148000000001</v>
      </c>
      <c r="D68" s="55">
        <v>2.8735739999999987</v>
      </c>
      <c r="E68" s="55">
        <v>11.494295999999999</v>
      </c>
      <c r="F68" s="55">
        <v>8.6207220000000024</v>
      </c>
      <c r="G68" s="55">
        <v>8.6207220000000024</v>
      </c>
      <c r="H68" s="55">
        <v>8.6207220000000024</v>
      </c>
      <c r="I68" s="55">
        <v>8.6207220000000024</v>
      </c>
      <c r="J68" s="55">
        <v>5.747148000000001</v>
      </c>
      <c r="K68" s="55">
        <v>5.747148000000001</v>
      </c>
      <c r="L68" s="55">
        <v>5.747148000000001</v>
      </c>
      <c r="M68" s="55">
        <v>2.8735739999999987</v>
      </c>
      <c r="N68" s="55">
        <v>5.747148000000001</v>
      </c>
      <c r="O68" s="55">
        <v>5.747148000000001</v>
      </c>
      <c r="P68" s="55">
        <v>8.6207220000000024</v>
      </c>
      <c r="Q68" s="55">
        <v>8.6207220000000024</v>
      </c>
      <c r="R68" s="55">
        <v>14.367870000000002</v>
      </c>
      <c r="S68" s="55">
        <v>20.876458320000001</v>
      </c>
      <c r="T68" s="55">
        <v>17.586272880000003</v>
      </c>
      <c r="U68" s="55">
        <v>13.620740760000002</v>
      </c>
      <c r="V68" s="55">
        <v>13.540326120000001</v>
      </c>
      <c r="W68" s="55">
        <v>14.347652760000001</v>
      </c>
      <c r="DA68" s="101" t="s">
        <v>220</v>
      </c>
    </row>
    <row r="69" spans="1:105" ht="12" customHeight="1" x14ac:dyDescent="0.25">
      <c r="A69" s="61" t="s">
        <v>170</v>
      </c>
      <c r="B69" s="55">
        <v>125.32280292000002</v>
      </c>
      <c r="C69" s="55">
        <v>141.11894808000002</v>
      </c>
      <c r="D69" s="55">
        <v>140.9166342</v>
      </c>
      <c r="E69" s="55">
        <v>155.22280631999999</v>
      </c>
      <c r="F69" s="55">
        <v>161.36894592000002</v>
      </c>
      <c r="G69" s="55">
        <v>130.46763203999998</v>
      </c>
      <c r="H69" s="55">
        <v>169.15050288</v>
      </c>
      <c r="I69" s="55">
        <v>134.92313208000002</v>
      </c>
      <c r="J69" s="55">
        <v>115.96945536</v>
      </c>
      <c r="K69" s="55">
        <v>110.09053655999999</v>
      </c>
      <c r="L69" s="55">
        <v>110.09053656000002</v>
      </c>
      <c r="M69" s="55">
        <v>97.401177000000004</v>
      </c>
      <c r="N69" s="55">
        <v>132.09433559999999</v>
      </c>
      <c r="O69" s="55">
        <v>138.2900526</v>
      </c>
      <c r="P69" s="55">
        <v>147.83691024000001</v>
      </c>
      <c r="Q69" s="55">
        <v>154.17575855999999</v>
      </c>
      <c r="R69" s="55">
        <v>100.60945308000001</v>
      </c>
      <c r="S69" s="55">
        <v>105.10759908000001</v>
      </c>
      <c r="T69" s="55">
        <v>116.90298251999999</v>
      </c>
      <c r="U69" s="55">
        <v>94.124271960000016</v>
      </c>
      <c r="V69" s="55">
        <v>110.98285272</v>
      </c>
      <c r="W69" s="55">
        <v>163.05735995999999</v>
      </c>
      <c r="DA69" s="101" t="s">
        <v>221</v>
      </c>
    </row>
    <row r="70" spans="1:105" ht="12" customHeight="1" x14ac:dyDescent="0.25">
      <c r="A70" s="60" t="s">
        <v>153</v>
      </c>
      <c r="B70" s="55">
        <v>103.85793</v>
      </c>
      <c r="C70" s="55">
        <v>111.58290000000001</v>
      </c>
      <c r="D70" s="55">
        <v>164.04201</v>
      </c>
      <c r="E70" s="55">
        <v>175.45275000000001</v>
      </c>
      <c r="F70" s="55">
        <v>210.79575</v>
      </c>
      <c r="G70" s="55">
        <v>220.13640000000001</v>
      </c>
      <c r="H70" s="55">
        <v>238.96916999999993</v>
      </c>
      <c r="I70" s="55">
        <v>268.60680000000013</v>
      </c>
      <c r="J70" s="55">
        <v>270.82835999999992</v>
      </c>
      <c r="K70" s="55">
        <v>262.19457000000011</v>
      </c>
      <c r="L70" s="55">
        <v>271.43423999999999</v>
      </c>
      <c r="M70" s="55">
        <v>245.22993000000002</v>
      </c>
      <c r="N70" s="55">
        <v>230.13342</v>
      </c>
      <c r="O70" s="55">
        <v>196.45659000000001</v>
      </c>
      <c r="P70" s="55">
        <v>212.86583999999999</v>
      </c>
      <c r="Q70" s="55">
        <v>201.00069000000002</v>
      </c>
      <c r="R70" s="55">
        <v>221.14418040000001</v>
      </c>
      <c r="S70" s="55">
        <v>237.35227823999995</v>
      </c>
      <c r="T70" s="55">
        <v>246.69151452000014</v>
      </c>
      <c r="U70" s="55">
        <v>258.49062360000005</v>
      </c>
      <c r="V70" s="55">
        <v>261.27444023999999</v>
      </c>
      <c r="W70" s="55">
        <v>276.44890680000003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365.51382709309848</v>
      </c>
      <c r="C81" s="82">
        <f t="shared" ref="C81:W81" si="42">C82+C87</f>
        <v>393.14088000662991</v>
      </c>
      <c r="D81" s="82">
        <f t="shared" si="42"/>
        <v>433.05632820000005</v>
      </c>
      <c r="E81" s="82">
        <f t="shared" si="42"/>
        <v>460.65305232000003</v>
      </c>
      <c r="F81" s="82">
        <f t="shared" si="42"/>
        <v>494.3317049497482</v>
      </c>
      <c r="G81" s="82">
        <f t="shared" si="42"/>
        <v>450.55544106974838</v>
      </c>
      <c r="H81" s="82">
        <f t="shared" si="42"/>
        <v>510.53970785025166</v>
      </c>
      <c r="I81" s="82">
        <f t="shared" si="42"/>
        <v>504.54707588913209</v>
      </c>
      <c r="J81" s="82">
        <f t="shared" si="42"/>
        <v>472.59797051396157</v>
      </c>
      <c r="K81" s="82">
        <f t="shared" si="42"/>
        <v>438.33603013583775</v>
      </c>
      <c r="L81" s="82">
        <f t="shared" si="42"/>
        <v>471.19741158974824</v>
      </c>
      <c r="M81" s="82">
        <f t="shared" si="42"/>
        <v>419.55668100000014</v>
      </c>
      <c r="N81" s="82">
        <f t="shared" si="42"/>
        <v>408.19510604897977</v>
      </c>
      <c r="O81" s="82">
        <f t="shared" si="42"/>
        <v>384.65858338008309</v>
      </c>
      <c r="P81" s="82">
        <f t="shared" si="42"/>
        <v>403.05766599900079</v>
      </c>
      <c r="Q81" s="82">
        <f t="shared" si="42"/>
        <v>389.20680358904559</v>
      </c>
      <c r="R81" s="82">
        <f t="shared" si="42"/>
        <v>359.44174389161827</v>
      </c>
      <c r="S81" s="82">
        <f t="shared" si="42"/>
        <v>379.11738613689602</v>
      </c>
      <c r="T81" s="82">
        <f t="shared" si="42"/>
        <v>396.26716122509828</v>
      </c>
      <c r="U81" s="82">
        <f t="shared" si="42"/>
        <v>377.24228922169328</v>
      </c>
      <c r="V81" s="82">
        <f t="shared" si="42"/>
        <v>392.15237051536872</v>
      </c>
      <c r="W81" s="82">
        <f t="shared" si="42"/>
        <v>462.00593433135623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365.51382709309848</v>
      </c>
      <c r="C82" s="64">
        <f t="shared" ref="C82:W82" si="44">SUM(C83:C86)</f>
        <v>393.14088000662991</v>
      </c>
      <c r="D82" s="64">
        <f t="shared" si="44"/>
        <v>433.05632820000005</v>
      </c>
      <c r="E82" s="64">
        <f t="shared" si="44"/>
        <v>460.65305232000003</v>
      </c>
      <c r="F82" s="64">
        <f t="shared" si="44"/>
        <v>494.3317049497482</v>
      </c>
      <c r="G82" s="64">
        <f t="shared" si="44"/>
        <v>450.55544106974838</v>
      </c>
      <c r="H82" s="64">
        <f t="shared" si="44"/>
        <v>510.53970785025166</v>
      </c>
      <c r="I82" s="64">
        <f t="shared" si="44"/>
        <v>504.54707588913209</v>
      </c>
      <c r="J82" s="64">
        <f t="shared" si="44"/>
        <v>472.59797051396157</v>
      </c>
      <c r="K82" s="64">
        <f t="shared" si="44"/>
        <v>438.33603013583775</v>
      </c>
      <c r="L82" s="64">
        <f t="shared" si="44"/>
        <v>471.19741158974824</v>
      </c>
      <c r="M82" s="64">
        <f t="shared" si="44"/>
        <v>419.55668100000014</v>
      </c>
      <c r="N82" s="64">
        <f t="shared" si="44"/>
        <v>408.19510604897977</v>
      </c>
      <c r="O82" s="64">
        <f t="shared" si="44"/>
        <v>384.65858338008309</v>
      </c>
      <c r="P82" s="64">
        <f t="shared" si="44"/>
        <v>403.05766599900079</v>
      </c>
      <c r="Q82" s="64">
        <f t="shared" si="44"/>
        <v>389.20680358904559</v>
      </c>
      <c r="R82" s="64">
        <f t="shared" si="44"/>
        <v>359.44174389161827</v>
      </c>
      <c r="S82" s="64">
        <f t="shared" si="44"/>
        <v>379.11738613689602</v>
      </c>
      <c r="T82" s="64">
        <f t="shared" si="44"/>
        <v>396.26716122509828</v>
      </c>
      <c r="U82" s="64">
        <f t="shared" si="44"/>
        <v>377.24228922169328</v>
      </c>
      <c r="V82" s="64">
        <f t="shared" si="44"/>
        <v>392.15237051536872</v>
      </c>
      <c r="W82" s="64">
        <f t="shared" si="44"/>
        <v>462.00593433135623</v>
      </c>
      <c r="DA82" s="108" t="s">
        <v>232</v>
      </c>
    </row>
    <row r="83" spans="1:105" ht="12" customHeight="1" x14ac:dyDescent="0.25">
      <c r="A83" s="61" t="s">
        <v>32</v>
      </c>
      <c r="B83" s="65">
        <v>329.98943279292143</v>
      </c>
      <c r="C83" s="65">
        <v>341.41214480343689</v>
      </c>
      <c r="D83" s="65">
        <v>376.5423150340514</v>
      </c>
      <c r="E83" s="65">
        <v>395.66300906553226</v>
      </c>
      <c r="F83" s="65">
        <v>428.74055023887712</v>
      </c>
      <c r="G83" s="65">
        <v>382.16262511832701</v>
      </c>
      <c r="H83" s="65">
        <v>440.40068307436229</v>
      </c>
      <c r="I83" s="65">
        <v>431.66546947948007</v>
      </c>
      <c r="J83" s="65">
        <v>396.31969099014924</v>
      </c>
      <c r="K83" s="65">
        <v>359.03078470168828</v>
      </c>
      <c r="L83" s="65">
        <v>393.21666085303576</v>
      </c>
      <c r="M83" s="65">
        <v>345.51229295491078</v>
      </c>
      <c r="N83" s="65">
        <v>337.98741576892337</v>
      </c>
      <c r="O83" s="65">
        <v>317.4743497544095</v>
      </c>
      <c r="P83" s="65">
        <v>332.29782872689623</v>
      </c>
      <c r="Q83" s="65">
        <v>318.87751650388111</v>
      </c>
      <c r="R83" s="65">
        <v>278.87150337424839</v>
      </c>
      <c r="S83" s="65">
        <v>288.95865800625262</v>
      </c>
      <c r="T83" s="65">
        <v>307.83069658480105</v>
      </c>
      <c r="U83" s="65">
        <v>290.98966969487583</v>
      </c>
      <c r="V83" s="65">
        <v>305.4390862188759</v>
      </c>
      <c r="W83" s="65">
        <v>373.78729464449725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22.111242702922972</v>
      </c>
      <c r="C85" s="65">
        <v>22.930501346934257</v>
      </c>
      <c r="D85" s="65">
        <v>24.85877727721747</v>
      </c>
      <c r="E85" s="65">
        <v>25.698220381230215</v>
      </c>
      <c r="F85" s="65">
        <v>26.545565496886383</v>
      </c>
      <c r="G85" s="65">
        <v>28.291374551986969</v>
      </c>
      <c r="H85" s="65">
        <v>29.494318899805727</v>
      </c>
      <c r="I85" s="65">
        <v>30.082267863193948</v>
      </c>
      <c r="J85" s="65">
        <v>33.151068001928991</v>
      </c>
      <c r="K85" s="65">
        <v>34.094588254051054</v>
      </c>
      <c r="L85" s="65">
        <v>34.24575784587492</v>
      </c>
      <c r="M85" s="65">
        <v>35.113275620769713</v>
      </c>
      <c r="N85" s="65">
        <v>35.775642275731371</v>
      </c>
      <c r="O85" s="65">
        <v>36.214013184313281</v>
      </c>
      <c r="P85" s="65">
        <v>36.307419310158913</v>
      </c>
      <c r="Q85" s="65">
        <v>36.606883950915218</v>
      </c>
      <c r="R85" s="65">
        <v>36.343503868851158</v>
      </c>
      <c r="S85" s="65">
        <v>35.931401176925142</v>
      </c>
      <c r="T85" s="65">
        <v>34.317498824325199</v>
      </c>
      <c r="U85" s="65">
        <v>33.020309343264877</v>
      </c>
      <c r="V85" s="65">
        <v>31.40342772180437</v>
      </c>
      <c r="W85" s="65">
        <v>31.779446269860799</v>
      </c>
      <c r="DA85" s="109" t="s">
        <v>235</v>
      </c>
    </row>
    <row r="86" spans="1:105" ht="12" customHeight="1" x14ac:dyDescent="0.25">
      <c r="A86" s="66" t="s">
        <v>34</v>
      </c>
      <c r="B86" s="67">
        <v>13.413151597254084</v>
      </c>
      <c r="C86" s="67">
        <v>28.798233856258747</v>
      </c>
      <c r="D86" s="67">
        <v>31.655235888731184</v>
      </c>
      <c r="E86" s="67">
        <v>39.291822873237535</v>
      </c>
      <c r="F86" s="67">
        <v>39.045589213984748</v>
      </c>
      <c r="G86" s="67">
        <v>40.101441399434407</v>
      </c>
      <c r="H86" s="67">
        <v>40.644705876083663</v>
      </c>
      <c r="I86" s="67">
        <v>42.799338546458081</v>
      </c>
      <c r="J86" s="67">
        <v>43.127211521883353</v>
      </c>
      <c r="K86" s="67">
        <v>45.210657180098366</v>
      </c>
      <c r="L86" s="67">
        <v>43.734992890837532</v>
      </c>
      <c r="M86" s="67">
        <v>38.931112424319629</v>
      </c>
      <c r="N86" s="67">
        <v>34.432048004325033</v>
      </c>
      <c r="O86" s="67">
        <v>30.970220441360286</v>
      </c>
      <c r="P86" s="67">
        <v>34.452417961945642</v>
      </c>
      <c r="Q86" s="67">
        <v>33.722403134249234</v>
      </c>
      <c r="R86" s="67">
        <v>44.226736648518752</v>
      </c>
      <c r="S86" s="67">
        <v>54.227326953718247</v>
      </c>
      <c r="T86" s="67">
        <v>54.118965815972025</v>
      </c>
      <c r="U86" s="67">
        <v>53.232310183552556</v>
      </c>
      <c r="V86" s="67">
        <v>55.309856574688482</v>
      </c>
      <c r="W86" s="67">
        <v>56.439193416998179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0.90280971151570477</v>
      </c>
      <c r="C91" s="71">
        <f t="shared" ref="C91:W91" si="50">IF(C83=0,0,C83/C$81)</f>
        <v>0.86842188682509769</v>
      </c>
      <c r="D91" s="71">
        <f t="shared" si="50"/>
        <v>0.86949962513918377</v>
      </c>
      <c r="E91" s="71">
        <f t="shared" si="50"/>
        <v>0.85891758900292403</v>
      </c>
      <c r="F91" s="71">
        <f t="shared" si="50"/>
        <v>0.86731347786495139</v>
      </c>
      <c r="G91" s="71">
        <f t="shared" si="50"/>
        <v>0.84820332923061115</v>
      </c>
      <c r="H91" s="71">
        <f t="shared" si="50"/>
        <v>0.86261788515681503</v>
      </c>
      <c r="I91" s="71">
        <f t="shared" si="50"/>
        <v>0.85555043346308712</v>
      </c>
      <c r="J91" s="71">
        <f t="shared" si="50"/>
        <v>0.83859795368808321</v>
      </c>
      <c r="K91" s="71">
        <f t="shared" si="50"/>
        <v>0.8190765988149018</v>
      </c>
      <c r="L91" s="71">
        <f t="shared" si="50"/>
        <v>0.83450513772217616</v>
      </c>
      <c r="M91" s="71">
        <f t="shared" si="50"/>
        <v>0.82351755698751616</v>
      </c>
      <c r="N91" s="71">
        <f t="shared" si="50"/>
        <v>0.8280045761459176</v>
      </c>
      <c r="O91" s="71">
        <f t="shared" si="50"/>
        <v>0.82534060975499279</v>
      </c>
      <c r="P91" s="71">
        <f t="shared" si="50"/>
        <v>0.82444239809526421</v>
      </c>
      <c r="Q91" s="71">
        <f t="shared" si="50"/>
        <v>0.81930098231421578</v>
      </c>
      <c r="R91" s="71">
        <f t="shared" si="50"/>
        <v>0.77584617845148207</v>
      </c>
      <c r="S91" s="71">
        <f t="shared" si="50"/>
        <v>0.76218783039908422</v>
      </c>
      <c r="T91" s="71">
        <f t="shared" si="50"/>
        <v>0.77682615847629832</v>
      </c>
      <c r="U91" s="71">
        <f t="shared" si="50"/>
        <v>0.77136015237112099</v>
      </c>
      <c r="V91" s="71">
        <f t="shared" si="50"/>
        <v>0.77887859205712884</v>
      </c>
      <c r="W91" s="71">
        <f t="shared" si="50"/>
        <v>0.80905301613812708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6.0493587558019007E-2</v>
      </c>
      <c r="C93" s="72">
        <f t="shared" ref="C93:W93" si="54">IF(C85=0,0,C85/C$81)</f>
        <v>5.8326423206224595E-2</v>
      </c>
      <c r="D93" s="72">
        <f t="shared" si="54"/>
        <v>5.7403103611354797E-2</v>
      </c>
      <c r="E93" s="72">
        <f t="shared" si="54"/>
        <v>5.5786497564285178E-2</v>
      </c>
      <c r="F93" s="72">
        <f t="shared" si="54"/>
        <v>5.369990480295999E-2</v>
      </c>
      <c r="G93" s="72">
        <f t="shared" si="54"/>
        <v>6.2792215947531552E-2</v>
      </c>
      <c r="H93" s="72">
        <f t="shared" si="54"/>
        <v>5.7770861788593371E-2</v>
      </c>
      <c r="I93" s="72">
        <f t="shared" si="54"/>
        <v>5.9622321287229399E-2</v>
      </c>
      <c r="J93" s="72">
        <f t="shared" si="54"/>
        <v>7.0146445965217352E-2</v>
      </c>
      <c r="K93" s="72">
        <f t="shared" si="54"/>
        <v>7.7781852072450766E-2</v>
      </c>
      <c r="L93" s="72">
        <f t="shared" si="54"/>
        <v>7.2678153579695939E-2</v>
      </c>
      <c r="M93" s="72">
        <f t="shared" si="54"/>
        <v>8.3691375232253062E-2</v>
      </c>
      <c r="N93" s="72">
        <f t="shared" si="54"/>
        <v>8.7643486522933994E-2</v>
      </c>
      <c r="O93" s="72">
        <f t="shared" si="54"/>
        <v>9.414586011858217E-2</v>
      </c>
      <c r="P93" s="72">
        <f t="shared" si="54"/>
        <v>9.0079962181513054E-2</v>
      </c>
      <c r="Q93" s="72">
        <f t="shared" si="54"/>
        <v>9.4055097735566764E-2</v>
      </c>
      <c r="R93" s="72">
        <f t="shared" si="54"/>
        <v>0.10111097135064463</v>
      </c>
      <c r="S93" s="72">
        <f t="shared" si="54"/>
        <v>9.477645312723966E-2</v>
      </c>
      <c r="T93" s="72">
        <f t="shared" si="54"/>
        <v>8.6601924616284964E-2</v>
      </c>
      <c r="U93" s="72">
        <f t="shared" si="54"/>
        <v>8.7530773422541425E-2</v>
      </c>
      <c r="V93" s="72">
        <f t="shared" si="54"/>
        <v>8.0079658017963323E-2</v>
      </c>
      <c r="W93" s="72">
        <f t="shared" si="54"/>
        <v>6.8785796692966708E-2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3.6696700926276249E-2</v>
      </c>
      <c r="C94" s="73">
        <f t="shared" ref="C94:W94" si="56">IF(C86=0,0,C86/C$81)</f>
        <v>7.3251689968677633E-2</v>
      </c>
      <c r="D94" s="73">
        <f t="shared" si="56"/>
        <v>7.3097271249461401E-2</v>
      </c>
      <c r="E94" s="73">
        <f t="shared" si="56"/>
        <v>8.5295913432790721E-2</v>
      </c>
      <c r="F94" s="73">
        <f t="shared" si="56"/>
        <v>7.8986617332088713E-2</v>
      </c>
      <c r="G94" s="73">
        <f t="shared" si="56"/>
        <v>8.9004454821857301E-2</v>
      </c>
      <c r="H94" s="73">
        <f t="shared" si="56"/>
        <v>7.961125305459163E-2</v>
      </c>
      <c r="I94" s="73">
        <f t="shared" si="56"/>
        <v>8.4827245249683506E-2</v>
      </c>
      <c r="J94" s="73">
        <f t="shared" si="56"/>
        <v>9.1255600346699509E-2</v>
      </c>
      <c r="K94" s="73">
        <f t="shared" si="56"/>
        <v>0.10314154911264732</v>
      </c>
      <c r="L94" s="73">
        <f t="shared" si="56"/>
        <v>9.2816708698127887E-2</v>
      </c>
      <c r="M94" s="73">
        <f t="shared" si="56"/>
        <v>9.2791067780230663E-2</v>
      </c>
      <c r="N94" s="73">
        <f t="shared" si="56"/>
        <v>8.4351937331148444E-2</v>
      </c>
      <c r="O94" s="73">
        <f t="shared" si="56"/>
        <v>8.0513530126425009E-2</v>
      </c>
      <c r="P94" s="73">
        <f t="shared" si="56"/>
        <v>8.5477639723222767E-2</v>
      </c>
      <c r="Q94" s="73">
        <f t="shared" si="56"/>
        <v>8.6643919950217349E-2</v>
      </c>
      <c r="R94" s="73">
        <f t="shared" si="56"/>
        <v>0.12304285019787337</v>
      </c>
      <c r="S94" s="73">
        <f t="shared" si="56"/>
        <v>0.14303571647367611</v>
      </c>
      <c r="T94" s="73">
        <f t="shared" si="56"/>
        <v>0.13657191690741671</v>
      </c>
      <c r="U94" s="73">
        <f t="shared" si="56"/>
        <v>0.1411090742063375</v>
      </c>
      <c r="V94" s="73">
        <f t="shared" si="56"/>
        <v>0.14104174992490795</v>
      </c>
      <c r="W94" s="73">
        <f t="shared" si="56"/>
        <v>0.12216118716890617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436134.05792587169</v>
      </c>
      <c r="C99" s="82">
        <f t="shared" ref="C99:W99" si="60">C47*11630*1000/C$8</f>
        <v>443902.68124628137</v>
      </c>
      <c r="D99" s="82">
        <f t="shared" si="60"/>
        <v>451410.91775526194</v>
      </c>
      <c r="E99" s="82">
        <f t="shared" si="60"/>
        <v>454440.31577094615</v>
      </c>
      <c r="F99" s="82">
        <f t="shared" si="60"/>
        <v>454632.7123253023</v>
      </c>
      <c r="G99" s="82">
        <f t="shared" si="60"/>
        <v>435288.75348037772</v>
      </c>
      <c r="H99" s="82">
        <f t="shared" si="60"/>
        <v>440378.22021952004</v>
      </c>
      <c r="I99" s="82">
        <f t="shared" si="60"/>
        <v>445093.27461809223</v>
      </c>
      <c r="J99" s="82">
        <f t="shared" si="60"/>
        <v>385211.56403155177</v>
      </c>
      <c r="K99" s="82">
        <f t="shared" si="60"/>
        <v>359679.20206209883</v>
      </c>
      <c r="L99" s="82">
        <f t="shared" si="60"/>
        <v>377510.58958713431</v>
      </c>
      <c r="M99" s="82">
        <f t="shared" si="60"/>
        <v>345419.42706376547</v>
      </c>
      <c r="N99" s="82">
        <f t="shared" si="60"/>
        <v>389041.64417215006</v>
      </c>
      <c r="O99" s="82">
        <f t="shared" si="60"/>
        <v>371179.661864175</v>
      </c>
      <c r="P99" s="82">
        <f t="shared" si="60"/>
        <v>371679.03461294144</v>
      </c>
      <c r="Q99" s="82">
        <f t="shared" si="60"/>
        <v>350829.59768516076</v>
      </c>
      <c r="R99" s="82">
        <f t="shared" si="60"/>
        <v>353460.97985272796</v>
      </c>
      <c r="S99" s="82">
        <f t="shared" si="60"/>
        <v>360180.71926912281</v>
      </c>
      <c r="T99" s="82">
        <f t="shared" si="60"/>
        <v>349363.01129637333</v>
      </c>
      <c r="U99" s="82">
        <f t="shared" si="60"/>
        <v>333744.16260794614</v>
      </c>
      <c r="V99" s="82">
        <f t="shared" si="60"/>
        <v>319262.38242111035</v>
      </c>
      <c r="W99" s="82">
        <f t="shared" si="60"/>
        <v>347533.39195401216</v>
      </c>
      <c r="DA99" s="107"/>
    </row>
    <row r="100" spans="1:105" ht="12" customHeight="1" x14ac:dyDescent="0.25">
      <c r="A100" s="77" t="s">
        <v>36</v>
      </c>
      <c r="B100" s="64">
        <f t="shared" si="59"/>
        <v>378619.27719892689</v>
      </c>
      <c r="C100" s="64">
        <f t="shared" ref="C100:W100" si="61">C48*11630*1000/C$8</f>
        <v>386356.39899615233</v>
      </c>
      <c r="D100" s="64">
        <f t="shared" si="61"/>
        <v>391896.49654151784</v>
      </c>
      <c r="E100" s="64">
        <f t="shared" si="61"/>
        <v>392809.20130818657</v>
      </c>
      <c r="F100" s="64">
        <f t="shared" si="61"/>
        <v>391238.50584727037</v>
      </c>
      <c r="G100" s="64">
        <f t="shared" si="61"/>
        <v>368439.22168032086</v>
      </c>
      <c r="H100" s="64">
        <f t="shared" si="61"/>
        <v>371495.00383174582</v>
      </c>
      <c r="I100" s="64">
        <f t="shared" si="61"/>
        <v>373682.18385637359</v>
      </c>
      <c r="J100" s="64">
        <f t="shared" si="61"/>
        <v>312875.2663365769</v>
      </c>
      <c r="K100" s="64">
        <f t="shared" si="61"/>
        <v>286925.23669658182</v>
      </c>
      <c r="L100" s="64">
        <f t="shared" si="61"/>
        <v>303252.49510604626</v>
      </c>
      <c r="M100" s="64">
        <f t="shared" si="61"/>
        <v>270656.57831207011</v>
      </c>
      <c r="N100" s="64">
        <f t="shared" si="61"/>
        <v>311825.05326750531</v>
      </c>
      <c r="O100" s="64">
        <f t="shared" si="61"/>
        <v>293030.69804629037</v>
      </c>
      <c r="P100" s="64">
        <f t="shared" si="61"/>
        <v>291400.3501562649</v>
      </c>
      <c r="Q100" s="64">
        <f t="shared" si="61"/>
        <v>271192.97875362466</v>
      </c>
      <c r="R100" s="64">
        <f t="shared" si="61"/>
        <v>274100.04541687202</v>
      </c>
      <c r="S100" s="64">
        <f t="shared" si="61"/>
        <v>277968.60356621881</v>
      </c>
      <c r="T100" s="64">
        <f t="shared" si="61"/>
        <v>267216.05939166842</v>
      </c>
      <c r="U100" s="64">
        <f t="shared" si="61"/>
        <v>250926.1594388384</v>
      </c>
      <c r="V100" s="64">
        <f t="shared" si="61"/>
        <v>241169.31948648693</v>
      </c>
      <c r="W100" s="64">
        <f t="shared" si="61"/>
        <v>269134.26723905903</v>
      </c>
      <c r="DA100" s="108"/>
    </row>
    <row r="101" spans="1:105" ht="12" customHeight="1" x14ac:dyDescent="0.25">
      <c r="A101" s="61" t="s">
        <v>32</v>
      </c>
      <c r="B101" s="65">
        <f t="shared" si="59"/>
        <v>300373.26575877075</v>
      </c>
      <c r="C101" s="65">
        <f t="shared" ref="C101:W101" si="62">C49*11630*1000/C$8</f>
        <v>307099.01003292162</v>
      </c>
      <c r="D101" s="65">
        <f t="shared" si="62"/>
        <v>316181.91479947208</v>
      </c>
      <c r="E101" s="65">
        <f t="shared" si="62"/>
        <v>318514.16060162109</v>
      </c>
      <c r="F101" s="65">
        <f t="shared" si="62"/>
        <v>317099.39447283978</v>
      </c>
      <c r="G101" s="65">
        <f t="shared" si="62"/>
        <v>295026.05088477576</v>
      </c>
      <c r="H101" s="65">
        <f t="shared" si="62"/>
        <v>298844.14701896545</v>
      </c>
      <c r="I101" s="65">
        <f t="shared" si="62"/>
        <v>303096.00741729001</v>
      </c>
      <c r="J101" s="65">
        <f t="shared" si="62"/>
        <v>242910.16838262317</v>
      </c>
      <c r="K101" s="65">
        <f t="shared" si="62"/>
        <v>215620.6131769018</v>
      </c>
      <c r="L101" s="65">
        <f t="shared" si="62"/>
        <v>232779.175193495</v>
      </c>
      <c r="M101" s="65">
        <f t="shared" si="62"/>
        <v>200704.76456324229</v>
      </c>
      <c r="N101" s="65">
        <f t="shared" si="62"/>
        <v>242512.43055065948</v>
      </c>
      <c r="O101" s="65">
        <f t="shared" si="62"/>
        <v>223810.11115029498</v>
      </c>
      <c r="P101" s="65">
        <f t="shared" si="62"/>
        <v>223347.50791966126</v>
      </c>
      <c r="Q101" s="65">
        <f t="shared" si="62"/>
        <v>203939.93986673481</v>
      </c>
      <c r="R101" s="65">
        <f t="shared" si="62"/>
        <v>206792.47783917235</v>
      </c>
      <c r="S101" s="65">
        <f t="shared" si="62"/>
        <v>210883.20163171404</v>
      </c>
      <c r="T101" s="65">
        <f t="shared" si="62"/>
        <v>201709.421089526</v>
      </c>
      <c r="U101" s="65">
        <f t="shared" si="62"/>
        <v>187574.96419513633</v>
      </c>
      <c r="V101" s="65">
        <f t="shared" si="62"/>
        <v>182887.09354694185</v>
      </c>
      <c r="W101" s="65">
        <f t="shared" si="62"/>
        <v>208336.14942111651</v>
      </c>
      <c r="DA101" s="109"/>
    </row>
    <row r="102" spans="1:105" ht="12" customHeight="1" x14ac:dyDescent="0.25">
      <c r="A102" s="61" t="s">
        <v>31</v>
      </c>
      <c r="B102" s="65">
        <f t="shared" si="59"/>
        <v>499.03432635541293</v>
      </c>
      <c r="C102" s="65">
        <f t="shared" ref="C102:W102" si="63">C50*11630*1000/C$8</f>
        <v>515.17252989883571</v>
      </c>
      <c r="D102" s="65">
        <f t="shared" si="63"/>
        <v>537.91829419081898</v>
      </c>
      <c r="E102" s="65">
        <f t="shared" si="63"/>
        <v>526.32082783057785</v>
      </c>
      <c r="F102" s="65">
        <f t="shared" si="63"/>
        <v>505.36793156712702</v>
      </c>
      <c r="G102" s="65">
        <f t="shared" si="63"/>
        <v>518.35707717127968</v>
      </c>
      <c r="H102" s="65">
        <f t="shared" si="63"/>
        <v>551.5262566039803</v>
      </c>
      <c r="I102" s="65">
        <f t="shared" si="63"/>
        <v>527.70770719565121</v>
      </c>
      <c r="J102" s="65">
        <f t="shared" si="63"/>
        <v>534.22129037664854</v>
      </c>
      <c r="K102" s="65">
        <f t="shared" si="63"/>
        <v>568.2779613363432</v>
      </c>
      <c r="L102" s="65">
        <f t="shared" si="63"/>
        <v>712.93906158297239</v>
      </c>
      <c r="M102" s="65">
        <f t="shared" si="63"/>
        <v>599.72329156910996</v>
      </c>
      <c r="N102" s="65">
        <f t="shared" si="63"/>
        <v>605.83783809428996</v>
      </c>
      <c r="O102" s="65">
        <f t="shared" si="63"/>
        <v>591.14761457700956</v>
      </c>
      <c r="P102" s="65">
        <f t="shared" si="63"/>
        <v>618.95031129361575</v>
      </c>
      <c r="Q102" s="65">
        <f t="shared" si="63"/>
        <v>579.56740635136123</v>
      </c>
      <c r="R102" s="65">
        <f t="shared" si="63"/>
        <v>577.51635813631196</v>
      </c>
      <c r="S102" s="65">
        <f t="shared" si="63"/>
        <v>573.09377086933659</v>
      </c>
      <c r="T102" s="65">
        <f t="shared" si="63"/>
        <v>608.51490832071966</v>
      </c>
      <c r="U102" s="65">
        <f t="shared" si="63"/>
        <v>577.06024727059548</v>
      </c>
      <c r="V102" s="65">
        <f t="shared" si="63"/>
        <v>578.84869736551434</v>
      </c>
      <c r="W102" s="65">
        <f t="shared" si="63"/>
        <v>672.27558432279272</v>
      </c>
      <c r="DA102" s="109"/>
    </row>
    <row r="103" spans="1:105" ht="12" customHeight="1" x14ac:dyDescent="0.25">
      <c r="A103" s="61" t="s">
        <v>35</v>
      </c>
      <c r="B103" s="65">
        <f t="shared" si="59"/>
        <v>37473.857834942763</v>
      </c>
      <c r="C103" s="65">
        <f t="shared" ref="C103:W103" si="64">C51*11630*1000/C$8</f>
        <v>37593.710134665875</v>
      </c>
      <c r="D103" s="65">
        <f t="shared" si="64"/>
        <v>36234.160481525105</v>
      </c>
      <c r="E103" s="65">
        <f t="shared" si="64"/>
        <v>35690.11124073992</v>
      </c>
      <c r="F103" s="65">
        <f t="shared" si="64"/>
        <v>35786.495069736084</v>
      </c>
      <c r="G103" s="65">
        <f t="shared" si="64"/>
        <v>35065.283606955345</v>
      </c>
      <c r="H103" s="65">
        <f t="shared" si="64"/>
        <v>34924.286458949508</v>
      </c>
      <c r="I103" s="65">
        <f t="shared" si="64"/>
        <v>34489.96252606425</v>
      </c>
      <c r="J103" s="65">
        <f t="shared" si="64"/>
        <v>33792.720344485198</v>
      </c>
      <c r="K103" s="65">
        <f t="shared" si="64"/>
        <v>34597.26428519906</v>
      </c>
      <c r="L103" s="65">
        <f t="shared" si="64"/>
        <v>34143.020668624275</v>
      </c>
      <c r="M103" s="65">
        <f t="shared" si="64"/>
        <v>34444.381297649175</v>
      </c>
      <c r="N103" s="65">
        <f t="shared" si="64"/>
        <v>33806.607892135107</v>
      </c>
      <c r="O103" s="65">
        <f t="shared" si="64"/>
        <v>34076.949684853098</v>
      </c>
      <c r="P103" s="65">
        <f t="shared" si="64"/>
        <v>33332.755676640445</v>
      </c>
      <c r="Q103" s="65">
        <f t="shared" si="64"/>
        <v>33254.483827772347</v>
      </c>
      <c r="R103" s="65">
        <f t="shared" si="64"/>
        <v>33212.82381443178</v>
      </c>
      <c r="S103" s="65">
        <f t="shared" si="64"/>
        <v>33052.574891261269</v>
      </c>
      <c r="T103" s="65">
        <f t="shared" si="64"/>
        <v>31774.378006071005</v>
      </c>
      <c r="U103" s="65">
        <f t="shared" si="64"/>
        <v>30353.327343975081</v>
      </c>
      <c r="V103" s="65">
        <f t="shared" si="64"/>
        <v>27436.47288366262</v>
      </c>
      <c r="W103" s="65">
        <f t="shared" si="64"/>
        <v>28885.517523326322</v>
      </c>
      <c r="DA103" s="109"/>
    </row>
    <row r="104" spans="1:105" ht="12" customHeight="1" x14ac:dyDescent="0.25">
      <c r="A104" s="66" t="s">
        <v>34</v>
      </c>
      <c r="B104" s="67">
        <f t="shared" si="59"/>
        <v>40273.119278857972</v>
      </c>
      <c r="C104" s="67">
        <f t="shared" ref="C104:W104" si="65">C52*11630*1000/C$8</f>
        <v>41148.506298666027</v>
      </c>
      <c r="D104" s="67">
        <f t="shared" si="65"/>
        <v>38942.502966329783</v>
      </c>
      <c r="E104" s="67">
        <f t="shared" si="65"/>
        <v>38078.608637995043</v>
      </c>
      <c r="F104" s="67">
        <f t="shared" si="65"/>
        <v>37847.248373127404</v>
      </c>
      <c r="G104" s="67">
        <f t="shared" si="65"/>
        <v>37829.530111418499</v>
      </c>
      <c r="H104" s="67">
        <f t="shared" si="65"/>
        <v>37175.044097226804</v>
      </c>
      <c r="I104" s="67">
        <f t="shared" si="65"/>
        <v>35568.506205823694</v>
      </c>
      <c r="J104" s="67">
        <f t="shared" si="65"/>
        <v>35638.156319091904</v>
      </c>
      <c r="K104" s="67">
        <f t="shared" si="65"/>
        <v>36139.081273144599</v>
      </c>
      <c r="L104" s="67">
        <f t="shared" si="65"/>
        <v>35617.360182344077</v>
      </c>
      <c r="M104" s="67">
        <f t="shared" si="65"/>
        <v>34907.7091596096</v>
      </c>
      <c r="N104" s="67">
        <f t="shared" si="65"/>
        <v>34900.176986616389</v>
      </c>
      <c r="O104" s="67">
        <f t="shared" si="65"/>
        <v>34552.489596565305</v>
      </c>
      <c r="P104" s="67">
        <f t="shared" si="65"/>
        <v>34101.136248669587</v>
      </c>
      <c r="Q104" s="67">
        <f t="shared" si="65"/>
        <v>33418.987652766125</v>
      </c>
      <c r="R104" s="67">
        <f t="shared" si="65"/>
        <v>33517.227405131591</v>
      </c>
      <c r="S104" s="67">
        <f t="shared" si="65"/>
        <v>33459.733272374157</v>
      </c>
      <c r="T104" s="67">
        <f t="shared" si="65"/>
        <v>33123.745387750627</v>
      </c>
      <c r="U104" s="67">
        <f t="shared" si="65"/>
        <v>32420.807652456424</v>
      </c>
      <c r="V104" s="67">
        <f t="shared" si="65"/>
        <v>30266.904358516927</v>
      </c>
      <c r="W104" s="67">
        <f t="shared" si="65"/>
        <v>31240.324710293429</v>
      </c>
      <c r="DA104" s="110"/>
    </row>
    <row r="105" spans="1:105" ht="12" customHeight="1" x14ac:dyDescent="0.25">
      <c r="A105" s="78" t="s">
        <v>33</v>
      </c>
      <c r="B105" s="68">
        <f t="shared" si="59"/>
        <v>57514.780726944766</v>
      </c>
      <c r="C105" s="68">
        <f t="shared" ref="C105:W105" si="66">C53*11630*1000/C$8</f>
        <v>57546.282250128992</v>
      </c>
      <c r="D105" s="68">
        <f t="shared" si="66"/>
        <v>59514.421213744085</v>
      </c>
      <c r="E105" s="68">
        <f t="shared" si="66"/>
        <v>61631.1144627596</v>
      </c>
      <c r="F105" s="68">
        <f t="shared" si="66"/>
        <v>63394.206478031832</v>
      </c>
      <c r="G105" s="68">
        <f t="shared" si="66"/>
        <v>66849.531800056939</v>
      </c>
      <c r="H105" s="68">
        <f t="shared" si="66"/>
        <v>68883.216387774199</v>
      </c>
      <c r="I105" s="68">
        <f t="shared" si="66"/>
        <v>71411.090761718689</v>
      </c>
      <c r="J105" s="68">
        <f t="shared" si="66"/>
        <v>72336.297694974885</v>
      </c>
      <c r="K105" s="68">
        <f t="shared" si="66"/>
        <v>72753.96536551707</v>
      </c>
      <c r="L105" s="68">
        <f t="shared" si="66"/>
        <v>74258.094481088003</v>
      </c>
      <c r="M105" s="68">
        <f t="shared" si="66"/>
        <v>74762.848751695332</v>
      </c>
      <c r="N105" s="68">
        <f t="shared" si="66"/>
        <v>77216.590904644734</v>
      </c>
      <c r="O105" s="68">
        <f t="shared" si="66"/>
        <v>78148.963817884636</v>
      </c>
      <c r="P105" s="68">
        <f t="shared" si="66"/>
        <v>80278.684456676536</v>
      </c>
      <c r="Q105" s="68">
        <f t="shared" si="66"/>
        <v>79636.618931536097</v>
      </c>
      <c r="R105" s="68">
        <f t="shared" si="66"/>
        <v>79360.934435855932</v>
      </c>
      <c r="S105" s="68">
        <f t="shared" si="66"/>
        <v>82212.115702904004</v>
      </c>
      <c r="T105" s="68">
        <f t="shared" si="66"/>
        <v>82146.951904704954</v>
      </c>
      <c r="U105" s="68">
        <f t="shared" si="66"/>
        <v>82818.00316910776</v>
      </c>
      <c r="V105" s="68">
        <f t="shared" si="66"/>
        <v>78093.062934623435</v>
      </c>
      <c r="W105" s="68">
        <f t="shared" si="66"/>
        <v>78399.124714953126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231686.4183647488</v>
      </c>
      <c r="C107" s="85">
        <f t="shared" ref="C107:W107" si="68">SUM(C108:C111)</f>
        <v>237221.4146168071</v>
      </c>
      <c r="D107" s="85">
        <f t="shared" si="68"/>
        <v>241722.01619120868</v>
      </c>
      <c r="E107" s="85">
        <f t="shared" si="68"/>
        <v>244253.6800524437</v>
      </c>
      <c r="F107" s="85">
        <f t="shared" si="68"/>
        <v>242374.74223884454</v>
      </c>
      <c r="G107" s="85">
        <f t="shared" si="68"/>
        <v>232193.94585737112</v>
      </c>
      <c r="H107" s="85">
        <f t="shared" si="68"/>
        <v>234647.62872221347</v>
      </c>
      <c r="I107" s="85">
        <f t="shared" si="68"/>
        <v>237665.9415919664</v>
      </c>
      <c r="J107" s="85">
        <f t="shared" si="68"/>
        <v>204912.16010456422</v>
      </c>
      <c r="K107" s="85">
        <f t="shared" si="68"/>
        <v>188968.3740888254</v>
      </c>
      <c r="L107" s="85">
        <f t="shared" si="68"/>
        <v>201515.22878798828</v>
      </c>
      <c r="M107" s="85">
        <f t="shared" si="68"/>
        <v>181976.00316570463</v>
      </c>
      <c r="N107" s="85">
        <f t="shared" si="68"/>
        <v>211366.74324336497</v>
      </c>
      <c r="O107" s="85">
        <f t="shared" si="68"/>
        <v>200393.26159887132</v>
      </c>
      <c r="P107" s="85">
        <f t="shared" si="68"/>
        <v>200696.99486663088</v>
      </c>
      <c r="Q107" s="85">
        <f t="shared" si="68"/>
        <v>188025.793439122</v>
      </c>
      <c r="R107" s="85">
        <f t="shared" si="68"/>
        <v>193781.95662047085</v>
      </c>
      <c r="S107" s="85">
        <f t="shared" si="68"/>
        <v>197779.56016387421</v>
      </c>
      <c r="T107" s="85">
        <f t="shared" si="68"/>
        <v>193246.75315576431</v>
      </c>
      <c r="U107" s="85">
        <f t="shared" si="68"/>
        <v>185091.2084666281</v>
      </c>
      <c r="V107" s="85">
        <f t="shared" si="68"/>
        <v>180917.83864634056</v>
      </c>
      <c r="W107" s="85">
        <f t="shared" si="68"/>
        <v>204256.24885446619</v>
      </c>
      <c r="DA107" s="117"/>
    </row>
    <row r="108" spans="1:105" ht="12" customHeight="1" x14ac:dyDescent="0.25">
      <c r="A108" s="61" t="s">
        <v>32</v>
      </c>
      <c r="B108" s="65">
        <v>178754.96994507531</v>
      </c>
      <c r="C108" s="65">
        <v>183971.96084015153</v>
      </c>
      <c r="D108" s="65">
        <v>190818.5721208512</v>
      </c>
      <c r="E108" s="65">
        <v>194345.17765485265</v>
      </c>
      <c r="F108" s="65">
        <v>192289.44258194359</v>
      </c>
      <c r="G108" s="65">
        <v>182237.57366090818</v>
      </c>
      <c r="H108" s="65">
        <v>184752.50562406669</v>
      </c>
      <c r="I108" s="65">
        <v>188952.57570371134</v>
      </c>
      <c r="J108" s="65">
        <v>156316.61761682364</v>
      </c>
      <c r="K108" s="65">
        <v>139174.97758058333</v>
      </c>
      <c r="L108" s="65">
        <v>151607.14853600296</v>
      </c>
      <c r="M108" s="65">
        <v>132194.55099222108</v>
      </c>
      <c r="N108" s="65">
        <v>161386.99010743125</v>
      </c>
      <c r="O108" s="65">
        <v>149922.47521718175</v>
      </c>
      <c r="P108" s="65">
        <v>150783.55594073609</v>
      </c>
      <c r="Q108" s="65">
        <v>138304.84930015935</v>
      </c>
      <c r="R108" s="65">
        <v>143938.41676901243</v>
      </c>
      <c r="S108" s="65">
        <v>147867.51287236303</v>
      </c>
      <c r="T108" s="65">
        <v>143617.79254302615</v>
      </c>
      <c r="U108" s="65">
        <v>136360.63565899053</v>
      </c>
      <c r="V108" s="65">
        <v>135508.85586199086</v>
      </c>
      <c r="W108" s="65">
        <v>155804.91851807447</v>
      </c>
      <c r="DA108" s="109"/>
    </row>
    <row r="109" spans="1:105" ht="12" customHeight="1" x14ac:dyDescent="0.25">
      <c r="A109" s="61" t="s">
        <v>31</v>
      </c>
      <c r="B109" s="65">
        <v>1012.8242857721035</v>
      </c>
      <c r="C109" s="65">
        <v>1098.3167027815985</v>
      </c>
      <c r="D109" s="65">
        <v>1211.5437016226304</v>
      </c>
      <c r="E109" s="65">
        <v>1254.1896694309692</v>
      </c>
      <c r="F109" s="65">
        <v>1266.5053224670839</v>
      </c>
      <c r="G109" s="65">
        <v>1372.4222228293168</v>
      </c>
      <c r="H109" s="65">
        <v>1539.3375847942154</v>
      </c>
      <c r="I109" s="65">
        <v>1555.3086800607728</v>
      </c>
      <c r="J109" s="65">
        <v>1658.5008068762313</v>
      </c>
      <c r="K109" s="65">
        <v>1798.729865704762</v>
      </c>
      <c r="L109" s="65">
        <v>2306.6227465484917</v>
      </c>
      <c r="M109" s="65">
        <v>1999.2656766421662</v>
      </c>
      <c r="N109" s="65">
        <v>2082.5172535254314</v>
      </c>
      <c r="O109" s="65">
        <v>2101.9352950171601</v>
      </c>
      <c r="P109" s="65">
        <v>2282.5696497253393</v>
      </c>
      <c r="Q109" s="65">
        <v>2224.8807755835369</v>
      </c>
      <c r="R109" s="65">
        <v>2307.7444994569219</v>
      </c>
      <c r="S109" s="65">
        <v>2378.0558437123564</v>
      </c>
      <c r="T109" s="65">
        <v>2610.7505556408173</v>
      </c>
      <c r="U109" s="65">
        <v>2548.3551645091743</v>
      </c>
      <c r="V109" s="65">
        <v>2623.3869227251948</v>
      </c>
      <c r="W109" s="65">
        <v>3121.6293437645786</v>
      </c>
      <c r="DA109" s="109"/>
    </row>
    <row r="110" spans="1:105" ht="12" customHeight="1" x14ac:dyDescent="0.25">
      <c r="A110" s="61" t="s">
        <v>35</v>
      </c>
      <c r="B110" s="65">
        <v>22876.411698552442</v>
      </c>
      <c r="C110" s="65">
        <v>23262.949758048428</v>
      </c>
      <c r="D110" s="65">
        <v>22527.854198149824</v>
      </c>
      <c r="E110" s="65">
        <v>22349.313031908881</v>
      </c>
      <c r="F110" s="65">
        <v>22542.196756251313</v>
      </c>
      <c r="G110" s="65">
        <v>22196.400778602609</v>
      </c>
      <c r="H110" s="65">
        <v>22290.398620485841</v>
      </c>
      <c r="I110" s="65">
        <v>22216.561277525299</v>
      </c>
      <c r="J110" s="65">
        <v>21852.058416790904</v>
      </c>
      <c r="K110" s="65">
        <v>22559.93307485187</v>
      </c>
      <c r="L110" s="65">
        <v>22453.266099925073</v>
      </c>
      <c r="M110" s="65">
        <v>22908.878405333082</v>
      </c>
      <c r="N110" s="65">
        <v>22750.015094469509</v>
      </c>
      <c r="O110" s="65">
        <v>23236.868983567889</v>
      </c>
      <c r="P110" s="65">
        <v>22893.396943124546</v>
      </c>
      <c r="Q110" s="65">
        <v>23137.516566126156</v>
      </c>
      <c r="R110" s="65">
        <v>23452.003571117395</v>
      </c>
      <c r="S110" s="65">
        <v>23771.555638560985</v>
      </c>
      <c r="T110" s="65">
        <v>23355.481170463903</v>
      </c>
      <c r="U110" s="65">
        <v>22833.883965309975</v>
      </c>
      <c r="V110" s="65">
        <v>21062.491632685076</v>
      </c>
      <c r="W110" s="65">
        <v>22643.552119929172</v>
      </c>
      <c r="DA110" s="109"/>
    </row>
    <row r="111" spans="1:105" ht="12" customHeight="1" x14ac:dyDescent="0.25">
      <c r="A111" s="74" t="s">
        <v>34</v>
      </c>
      <c r="B111" s="68">
        <v>29042.212435348945</v>
      </c>
      <c r="C111" s="68">
        <v>28888.18731582554</v>
      </c>
      <c r="D111" s="68">
        <v>27164.046170585021</v>
      </c>
      <c r="E111" s="68">
        <v>26304.999696251194</v>
      </c>
      <c r="F111" s="68">
        <v>26276.597578182576</v>
      </c>
      <c r="G111" s="68">
        <v>26387.549195031028</v>
      </c>
      <c r="H111" s="68">
        <v>26065.386892866722</v>
      </c>
      <c r="I111" s="68">
        <v>24941.495930668996</v>
      </c>
      <c r="J111" s="68">
        <v>25084.983264073428</v>
      </c>
      <c r="K111" s="68">
        <v>25434.733567685438</v>
      </c>
      <c r="L111" s="68">
        <v>25148.191405511752</v>
      </c>
      <c r="M111" s="68">
        <v>24873.308091508319</v>
      </c>
      <c r="N111" s="68">
        <v>25147.220787938786</v>
      </c>
      <c r="O111" s="68">
        <v>25131.982103104485</v>
      </c>
      <c r="P111" s="68">
        <v>24737.472333044923</v>
      </c>
      <c r="Q111" s="68">
        <v>24358.546797252995</v>
      </c>
      <c r="R111" s="68">
        <v>24083.791780884105</v>
      </c>
      <c r="S111" s="68">
        <v>23762.435809237835</v>
      </c>
      <c r="T111" s="68">
        <v>23662.728886633457</v>
      </c>
      <c r="U111" s="68">
        <v>23348.33367781842</v>
      </c>
      <c r="V111" s="68">
        <v>21723.104228939461</v>
      </c>
      <c r="W111" s="68">
        <v>22686.148872697973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28611.816413701788</v>
      </c>
      <c r="C113" s="82">
        <f t="shared" ref="C113:W113" si="70">C81*1000000/C$8</f>
        <v>29529.581381390053</v>
      </c>
      <c r="D113" s="82">
        <f t="shared" si="70"/>
        <v>31062.940104434732</v>
      </c>
      <c r="E113" s="82">
        <f t="shared" si="70"/>
        <v>31523.978577889135</v>
      </c>
      <c r="F113" s="82">
        <f t="shared" si="70"/>
        <v>32067.120289387385</v>
      </c>
      <c r="G113" s="82">
        <f t="shared" si="70"/>
        <v>28073.214470704275</v>
      </c>
      <c r="H113" s="82">
        <f t="shared" si="70"/>
        <v>30017.145043854696</v>
      </c>
      <c r="I113" s="82">
        <f t="shared" si="70"/>
        <v>27994.120763697701</v>
      </c>
      <c r="J113" s="82">
        <f t="shared" si="70"/>
        <v>25436.701372472668</v>
      </c>
      <c r="K113" s="82">
        <f t="shared" si="70"/>
        <v>23548.950880904718</v>
      </c>
      <c r="L113" s="82">
        <f t="shared" si="70"/>
        <v>25438.200372879764</v>
      </c>
      <c r="M113" s="82">
        <f t="shared" si="70"/>
        <v>22288.228231372548</v>
      </c>
      <c r="N113" s="82">
        <f t="shared" si="70"/>
        <v>21781.70676027903</v>
      </c>
      <c r="O113" s="82">
        <f t="shared" si="70"/>
        <v>20319.316889099093</v>
      </c>
      <c r="P113" s="82">
        <f t="shared" si="70"/>
        <v>21056.986908804731</v>
      </c>
      <c r="Q113" s="82">
        <f t="shared" si="70"/>
        <v>20057.400337460578</v>
      </c>
      <c r="R113" s="82">
        <f t="shared" si="70"/>
        <v>18443.119527594394</v>
      </c>
      <c r="S113" s="82">
        <f t="shared" si="70"/>
        <v>19240.333808567215</v>
      </c>
      <c r="T113" s="82">
        <f t="shared" si="70"/>
        <v>19961.75569574512</v>
      </c>
      <c r="U113" s="82">
        <f t="shared" si="70"/>
        <v>18864.771741950473</v>
      </c>
      <c r="V113" s="82">
        <f t="shared" si="70"/>
        <v>19478.0741828393</v>
      </c>
      <c r="W113" s="82">
        <f t="shared" si="70"/>
        <v>22797.278835207719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28611.816413701788</v>
      </c>
      <c r="C114" s="64">
        <f t="shared" ref="C114:W114" si="72">C82*1000000/C$8</f>
        <v>29529.581381390053</v>
      </c>
      <c r="D114" s="64">
        <f t="shared" si="72"/>
        <v>31062.940104434732</v>
      </c>
      <c r="E114" s="64">
        <f t="shared" si="72"/>
        <v>31523.978577889135</v>
      </c>
      <c r="F114" s="64">
        <f t="shared" si="72"/>
        <v>32067.120289387385</v>
      </c>
      <c r="G114" s="64">
        <f t="shared" si="72"/>
        <v>28073.214470704275</v>
      </c>
      <c r="H114" s="64">
        <f t="shared" si="72"/>
        <v>30017.145043854696</v>
      </c>
      <c r="I114" s="64">
        <f t="shared" si="72"/>
        <v>27994.120763697701</v>
      </c>
      <c r="J114" s="64">
        <f t="shared" si="72"/>
        <v>25436.701372472668</v>
      </c>
      <c r="K114" s="64">
        <f t="shared" si="72"/>
        <v>23548.950880904718</v>
      </c>
      <c r="L114" s="64">
        <f t="shared" si="72"/>
        <v>25438.200372879764</v>
      </c>
      <c r="M114" s="64">
        <f t="shared" si="72"/>
        <v>22288.228231372548</v>
      </c>
      <c r="N114" s="64">
        <f t="shared" si="72"/>
        <v>21781.70676027903</v>
      </c>
      <c r="O114" s="64">
        <f t="shared" si="72"/>
        <v>20319.316889099093</v>
      </c>
      <c r="P114" s="64">
        <f t="shared" si="72"/>
        <v>21056.986908804731</v>
      </c>
      <c r="Q114" s="64">
        <f t="shared" si="72"/>
        <v>20057.400337460578</v>
      </c>
      <c r="R114" s="64">
        <f t="shared" si="72"/>
        <v>18443.119527594394</v>
      </c>
      <c r="S114" s="64">
        <f t="shared" si="72"/>
        <v>19240.333808567215</v>
      </c>
      <c r="T114" s="64">
        <f t="shared" si="72"/>
        <v>19961.75569574512</v>
      </c>
      <c r="U114" s="64">
        <f t="shared" si="72"/>
        <v>18864.771741950473</v>
      </c>
      <c r="V114" s="64">
        <f t="shared" si="72"/>
        <v>19478.0741828393</v>
      </c>
      <c r="W114" s="64">
        <f t="shared" si="72"/>
        <v>22797.278835207719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25831.025722394417</v>
      </c>
      <c r="C115" s="65">
        <f t="shared" ref="C115:W115" si="74">C83*1000000/C$8</f>
        <v>25644.134780382028</v>
      </c>
      <c r="D115" s="65">
        <f t="shared" si="74"/>
        <v>27009.214776526918</v>
      </c>
      <c r="E115" s="65">
        <f t="shared" si="74"/>
        <v>27076.499675900362</v>
      </c>
      <c r="F115" s="65">
        <f t="shared" si="74"/>
        <v>27812.245623302319</v>
      </c>
      <c r="G115" s="65">
        <f t="shared" si="74"/>
        <v>23811.793976256336</v>
      </c>
      <c r="H115" s="65">
        <f t="shared" si="74"/>
        <v>25893.326176175306</v>
      </c>
      <c r="I115" s="65">
        <f t="shared" si="74"/>
        <v>23950.382153799575</v>
      </c>
      <c r="J115" s="65">
        <f t="shared" si="74"/>
        <v>21331.165719530436</v>
      </c>
      <c r="K115" s="65">
        <f t="shared" si="74"/>
        <v>19288.394593190624</v>
      </c>
      <c r="L115" s="65">
        <f t="shared" si="74"/>
        <v>21228.308905574337</v>
      </c>
      <c r="M115" s="65">
        <f t="shared" si="74"/>
        <v>18354.74726268011</v>
      </c>
      <c r="N115" s="65">
        <f t="shared" si="74"/>
        <v>18035.352873779506</v>
      </c>
      <c r="O115" s="65">
        <f t="shared" si="74"/>
        <v>16770.357391053967</v>
      </c>
      <c r="P115" s="65">
        <f t="shared" si="74"/>
        <v>17360.272783755554</v>
      </c>
      <c r="Q115" s="65">
        <f t="shared" si="74"/>
        <v>16433.047799150932</v>
      </c>
      <c r="R115" s="65">
        <f t="shared" si="74"/>
        <v>14309.023804208015</v>
      </c>
      <c r="S115" s="65">
        <f t="shared" si="74"/>
        <v>14664.748281705995</v>
      </c>
      <c r="T115" s="65">
        <f t="shared" si="74"/>
        <v>15506.81399356805</v>
      </c>
      <c r="U115" s="65">
        <f t="shared" si="74"/>
        <v>14551.533205317337</v>
      </c>
      <c r="V115" s="65">
        <f t="shared" si="74"/>
        <v>15171.054995514185</v>
      </c>
      <c r="W115" s="65">
        <f t="shared" si="74"/>
        <v>18444.207201366695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1730.8314214162347</v>
      </c>
      <c r="C117" s="65">
        <f t="shared" ref="C117:W117" si="78">C85*1000000/C$8</f>
        <v>1722.3548607536065</v>
      </c>
      <c r="D117" s="65">
        <f t="shared" si="78"/>
        <v>1783.1091692881751</v>
      </c>
      <c r="E117" s="65">
        <f t="shared" si="78"/>
        <v>1758.6123541519901</v>
      </c>
      <c r="F117" s="65">
        <f t="shared" si="78"/>
        <v>1722.0013068451692</v>
      </c>
      <c r="G117" s="65">
        <f t="shared" si="78"/>
        <v>1762.7793453858308</v>
      </c>
      <c r="H117" s="65">
        <f t="shared" si="78"/>
        <v>1734.1163376166901</v>
      </c>
      <c r="I117" s="65">
        <f t="shared" si="78"/>
        <v>1669.0744623266839</v>
      </c>
      <c r="J117" s="65">
        <f t="shared" si="78"/>
        <v>1784.2941983575242</v>
      </c>
      <c r="K117" s="65">
        <f t="shared" si="78"/>
        <v>1831.6810138799399</v>
      </c>
      <c r="L117" s="65">
        <f t="shared" si="78"/>
        <v>1848.8014334912336</v>
      </c>
      <c r="M117" s="65">
        <f t="shared" si="78"/>
        <v>1865.3324721738961</v>
      </c>
      <c r="N117" s="65">
        <f t="shared" si="78"/>
        <v>1909.0247228910155</v>
      </c>
      <c r="O117" s="65">
        <f t="shared" si="78"/>
        <v>1912.9795655462676</v>
      </c>
      <c r="P117" s="65">
        <f t="shared" si="78"/>
        <v>1896.8125844017459</v>
      </c>
      <c r="Q117" s="65">
        <f t="shared" si="78"/>
        <v>1886.5007490612443</v>
      </c>
      <c r="R117" s="65">
        <f t="shared" si="78"/>
        <v>1864.8017301711111</v>
      </c>
      <c r="S117" s="65">
        <f t="shared" si="78"/>
        <v>1823.5305953601153</v>
      </c>
      <c r="T117" s="65">
        <f t="shared" si="78"/>
        <v>1728.7264619716159</v>
      </c>
      <c r="U117" s="65">
        <f t="shared" si="78"/>
        <v>1651.2480610126293</v>
      </c>
      <c r="V117" s="65">
        <f t="shared" si="78"/>
        <v>1559.7975194102917</v>
      </c>
      <c r="W117" s="65">
        <f t="shared" si="78"/>
        <v>1568.1289871114711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1049.9592698911365</v>
      </c>
      <c r="C118" s="67">
        <f t="shared" ref="C118:W118" si="80">C86*1000000/C$8</f>
        <v>2163.0917402544196</v>
      </c>
      <c r="D118" s="67">
        <f t="shared" si="80"/>
        <v>2270.6161586196386</v>
      </c>
      <c r="E118" s="67">
        <f t="shared" si="80"/>
        <v>2688.8665478367807</v>
      </c>
      <c r="F118" s="67">
        <f t="shared" si="80"/>
        <v>2532.8733592398994</v>
      </c>
      <c r="G118" s="67">
        <f t="shared" si="80"/>
        <v>2498.6411490621094</v>
      </c>
      <c r="H118" s="67">
        <f t="shared" si="80"/>
        <v>2389.702530062697</v>
      </c>
      <c r="I118" s="67">
        <f t="shared" si="80"/>
        <v>2374.6641475714423</v>
      </c>
      <c r="J118" s="67">
        <f t="shared" si="80"/>
        <v>2321.2414545847087</v>
      </c>
      <c r="K118" s="67">
        <f t="shared" si="80"/>
        <v>2428.8752738341532</v>
      </c>
      <c r="L118" s="67">
        <f t="shared" si="80"/>
        <v>2361.0900338141892</v>
      </c>
      <c r="M118" s="67">
        <f t="shared" si="80"/>
        <v>2068.1484965185414</v>
      </c>
      <c r="N118" s="67">
        <f t="shared" si="80"/>
        <v>1837.3291636085089</v>
      </c>
      <c r="O118" s="67">
        <f t="shared" si="80"/>
        <v>1635.9799324988564</v>
      </c>
      <c r="P118" s="67">
        <f t="shared" si="80"/>
        <v>1799.9015406474291</v>
      </c>
      <c r="Q118" s="67">
        <f t="shared" si="80"/>
        <v>1737.8517892483967</v>
      </c>
      <c r="R118" s="67">
        <f t="shared" si="80"/>
        <v>2269.2939932152699</v>
      </c>
      <c r="S118" s="67">
        <f t="shared" si="80"/>
        <v>2752.0549315011049</v>
      </c>
      <c r="T118" s="67">
        <f t="shared" si="80"/>
        <v>2726.2152402054553</v>
      </c>
      <c r="U118" s="67">
        <f t="shared" si="80"/>
        <v>2661.9904756205087</v>
      </c>
      <c r="V118" s="67">
        <f t="shared" si="80"/>
        <v>2747.2216679148269</v>
      </c>
      <c r="W118" s="67">
        <f t="shared" si="80"/>
        <v>2784.942646729553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0.6119245171001173</v>
      </c>
      <c r="C121" s="86">
        <f t="shared" ref="C121:W121" si="84">IF(C107=0,"",C107/C100)</f>
        <v>0.61399633921727681</v>
      </c>
      <c r="D121" s="86">
        <f t="shared" si="84"/>
        <v>0.61680065610283008</v>
      </c>
      <c r="E121" s="86">
        <f t="shared" si="84"/>
        <v>0.62181252180192548</v>
      </c>
      <c r="F121" s="86">
        <f t="shared" si="84"/>
        <v>0.61950635895092987</v>
      </c>
      <c r="G121" s="86">
        <f t="shared" si="84"/>
        <v>0.63020963077279535</v>
      </c>
      <c r="H121" s="86">
        <f t="shared" si="84"/>
        <v>0.6316306445630907</v>
      </c>
      <c r="I121" s="86">
        <f t="shared" si="84"/>
        <v>0.63601089872487571</v>
      </c>
      <c r="J121" s="86">
        <f t="shared" si="84"/>
        <v>0.65493243522845013</v>
      </c>
      <c r="K121" s="86">
        <f t="shared" si="84"/>
        <v>0.65859795486953276</v>
      </c>
      <c r="L121" s="86">
        <f t="shared" si="84"/>
        <v>0.66451301156654674</v>
      </c>
      <c r="M121" s="86">
        <f t="shared" si="84"/>
        <v>0.67235019485055425</v>
      </c>
      <c r="N121" s="86">
        <f t="shared" si="84"/>
        <v>0.67783759203606975</v>
      </c>
      <c r="O121" s="86">
        <f t="shared" si="84"/>
        <v>0.68386439692135936</v>
      </c>
      <c r="P121" s="86">
        <f t="shared" si="84"/>
        <v>0.68873285416097163</v>
      </c>
      <c r="Q121" s="86">
        <f t="shared" si="84"/>
        <v>0.69332839774565491</v>
      </c>
      <c r="R121" s="86">
        <f t="shared" si="84"/>
        <v>0.7069752809626596</v>
      </c>
      <c r="S121" s="86">
        <f t="shared" si="84"/>
        <v>0.71151762330869994</v>
      </c>
      <c r="T121" s="86">
        <f t="shared" si="84"/>
        <v>0.72318540134040155</v>
      </c>
      <c r="U121" s="86">
        <f t="shared" si="84"/>
        <v>0.73763217386564617</v>
      </c>
      <c r="V121" s="86">
        <f t="shared" si="84"/>
        <v>0.75016937905518966</v>
      </c>
      <c r="W121" s="86">
        <f t="shared" si="84"/>
        <v>0.75893809788641731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0.59510945321156883</v>
      </c>
      <c r="C122" s="75">
        <f t="shared" ref="C122:W122" si="86">IF(C108=0,"",C108/C101)</f>
        <v>0.59906399835163704</v>
      </c>
      <c r="D122" s="75">
        <f t="shared" si="86"/>
        <v>0.6035088130890458</v>
      </c>
      <c r="E122" s="75">
        <f t="shared" si="86"/>
        <v>0.6101618128618409</v>
      </c>
      <c r="F122" s="75">
        <f t="shared" si="86"/>
        <v>0.60640116611264483</v>
      </c>
      <c r="G122" s="75">
        <f t="shared" si="86"/>
        <v>0.61769993908803056</v>
      </c>
      <c r="H122" s="75">
        <f t="shared" si="86"/>
        <v>0.61822360406590726</v>
      </c>
      <c r="I122" s="75">
        <f t="shared" si="86"/>
        <v>0.62340832963718085</v>
      </c>
      <c r="J122" s="75">
        <f t="shared" si="86"/>
        <v>0.64351615520104311</v>
      </c>
      <c r="K122" s="75">
        <f t="shared" si="86"/>
        <v>0.64546230311663144</v>
      </c>
      <c r="L122" s="75">
        <f t="shared" si="86"/>
        <v>0.65129171632291105</v>
      </c>
      <c r="M122" s="75">
        <f t="shared" si="86"/>
        <v>0.65865178278100334</v>
      </c>
      <c r="N122" s="75">
        <f t="shared" si="86"/>
        <v>0.66547924879965448</v>
      </c>
      <c r="O122" s="75">
        <f t="shared" si="86"/>
        <v>0.66986462071190545</v>
      </c>
      <c r="P122" s="75">
        <f t="shared" si="86"/>
        <v>0.67510740256378132</v>
      </c>
      <c r="Q122" s="75">
        <f t="shared" si="86"/>
        <v>0.67816460763171293</v>
      </c>
      <c r="R122" s="75">
        <f t="shared" si="86"/>
        <v>0.69605247866393338</v>
      </c>
      <c r="S122" s="75">
        <f t="shared" si="86"/>
        <v>0.70118203692012671</v>
      </c>
      <c r="T122" s="75">
        <f t="shared" si="86"/>
        <v>0.71200339462222406</v>
      </c>
      <c r="U122" s="75">
        <f t="shared" si="86"/>
        <v>0.72696607590516737</v>
      </c>
      <c r="V122" s="75">
        <f t="shared" si="86"/>
        <v>0.74094269439089555</v>
      </c>
      <c r="W122" s="75">
        <f t="shared" si="86"/>
        <v>0.74785349998545381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2.0295683729194387</v>
      </c>
      <c r="C123" s="76">
        <f t="shared" ref="C123:W123" si="88">IF(C109=0,"",C109/C102)</f>
        <v>2.1319395717727314</v>
      </c>
      <c r="D123" s="76">
        <f t="shared" si="88"/>
        <v>2.2522820188614969</v>
      </c>
      <c r="E123" s="76">
        <f t="shared" si="88"/>
        <v>2.3829375603480614</v>
      </c>
      <c r="F123" s="76">
        <f t="shared" si="88"/>
        <v>2.5061054399310585</v>
      </c>
      <c r="G123" s="76">
        <f t="shared" si="88"/>
        <v>2.6476386322701448</v>
      </c>
      <c r="H123" s="76">
        <f t="shared" si="88"/>
        <v>2.7910504103153269</v>
      </c>
      <c r="I123" s="76">
        <f t="shared" si="88"/>
        <v>2.9472919550976568</v>
      </c>
      <c r="J123" s="76">
        <f t="shared" si="88"/>
        <v>3.1045202367485545</v>
      </c>
      <c r="K123" s="76">
        <f t="shared" si="88"/>
        <v>3.1652289690681119</v>
      </c>
      <c r="L123" s="76">
        <f t="shared" si="88"/>
        <v>3.2353715357200206</v>
      </c>
      <c r="M123" s="76">
        <f t="shared" si="88"/>
        <v>3.3336468747300239</v>
      </c>
      <c r="N123" s="76">
        <f t="shared" si="88"/>
        <v>3.4374169498494043</v>
      </c>
      <c r="O123" s="76">
        <f t="shared" si="88"/>
        <v>3.5556859965022127</v>
      </c>
      <c r="P123" s="76">
        <f t="shared" si="88"/>
        <v>3.6878075801508738</v>
      </c>
      <c r="Q123" s="76">
        <f t="shared" si="88"/>
        <v>3.8388645586372205</v>
      </c>
      <c r="R123" s="76">
        <f t="shared" si="88"/>
        <v>3.9959811820814637</v>
      </c>
      <c r="S123" s="76">
        <f t="shared" si="88"/>
        <v>4.1495056561250685</v>
      </c>
      <c r="T123" s="76">
        <f t="shared" si="88"/>
        <v>4.2903641635429137</v>
      </c>
      <c r="U123" s="76">
        <f t="shared" si="88"/>
        <v>4.4160989715761829</v>
      </c>
      <c r="V123" s="76">
        <f t="shared" si="88"/>
        <v>4.5320770948693276</v>
      </c>
      <c r="W123" s="76">
        <f t="shared" si="88"/>
        <v>4.6433775323093247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0.61046321409751336</v>
      </c>
      <c r="C124" s="76">
        <f t="shared" ref="C124:W124" si="90">IF(C110=0,"",C110/C103)</f>
        <v>0.61879898724327342</v>
      </c>
      <c r="D124" s="76">
        <f t="shared" si="90"/>
        <v>0.62172971303243563</v>
      </c>
      <c r="E124" s="76">
        <f t="shared" si="90"/>
        <v>0.62620463357921274</v>
      </c>
      <c r="F124" s="76">
        <f t="shared" si="90"/>
        <v>0.62990792231326376</v>
      </c>
      <c r="G124" s="76">
        <f t="shared" si="90"/>
        <v>0.63300217466941744</v>
      </c>
      <c r="H124" s="76">
        <f t="shared" si="90"/>
        <v>0.63824922083050395</v>
      </c>
      <c r="I124" s="76">
        <f t="shared" si="90"/>
        <v>0.64414570647144442</v>
      </c>
      <c r="J124" s="76">
        <f t="shared" si="90"/>
        <v>0.64664987589130418</v>
      </c>
      <c r="K124" s="76">
        <f t="shared" si="90"/>
        <v>0.65207274450607811</v>
      </c>
      <c r="L124" s="76">
        <f t="shared" si="90"/>
        <v>0.65762389092182749</v>
      </c>
      <c r="M124" s="76">
        <f t="shared" si="90"/>
        <v>0.66509768915189105</v>
      </c>
      <c r="N124" s="76">
        <f t="shared" si="90"/>
        <v>0.67294580890980649</v>
      </c>
      <c r="O124" s="76">
        <f t="shared" si="90"/>
        <v>0.68189404270231591</v>
      </c>
      <c r="P124" s="76">
        <f t="shared" si="90"/>
        <v>0.68681381057156976</v>
      </c>
      <c r="Q124" s="76">
        <f t="shared" si="90"/>
        <v>0.69577133375328337</v>
      </c>
      <c r="R124" s="76">
        <f t="shared" si="90"/>
        <v>0.70611290693466811</v>
      </c>
      <c r="S124" s="76">
        <f t="shared" si="90"/>
        <v>0.7192043499414601</v>
      </c>
      <c r="T124" s="76">
        <f t="shared" si="90"/>
        <v>0.73504133317736275</v>
      </c>
      <c r="U124" s="76">
        <f t="shared" si="90"/>
        <v>0.75226955208396085</v>
      </c>
      <c r="V124" s="76">
        <f t="shared" si="90"/>
        <v>0.76768219158472784</v>
      </c>
      <c r="W124" s="76">
        <f t="shared" si="90"/>
        <v>0.78390674848195163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0.72113143842312522</v>
      </c>
      <c r="C125" s="56">
        <f t="shared" ref="C125:W125" si="92">IF(C111=0,"",C111/C104)</f>
        <v>0.70204704652334005</v>
      </c>
      <c r="D125" s="56">
        <f t="shared" si="92"/>
        <v>0.69754237918583262</v>
      </c>
      <c r="E125" s="56">
        <f t="shared" si="92"/>
        <v>0.69080779569251183</v>
      </c>
      <c r="F125" s="56">
        <f t="shared" si="92"/>
        <v>0.69428026363046491</v>
      </c>
      <c r="G125" s="56">
        <f t="shared" si="92"/>
        <v>0.69753838118825029</v>
      </c>
      <c r="H125" s="56">
        <f t="shared" si="92"/>
        <v>0.70115281705371679</v>
      </c>
      <c r="I125" s="56">
        <f t="shared" si="92"/>
        <v>0.70122416123804721</v>
      </c>
      <c r="J125" s="56">
        <f t="shared" si="92"/>
        <v>0.70387993810541261</v>
      </c>
      <c r="K125" s="56">
        <f t="shared" si="92"/>
        <v>0.70380133284091828</v>
      </c>
      <c r="L125" s="56">
        <f t="shared" si="92"/>
        <v>0.70606556119726105</v>
      </c>
      <c r="M125" s="56">
        <f t="shared" si="92"/>
        <v>0.71254484153569986</v>
      </c>
      <c r="N125" s="56">
        <f t="shared" si="92"/>
        <v>0.72054708483519458</v>
      </c>
      <c r="O125" s="56">
        <f t="shared" si="92"/>
        <v>0.72735662166591708</v>
      </c>
      <c r="P125" s="56">
        <f t="shared" si="92"/>
        <v>0.72541489974575335</v>
      </c>
      <c r="Q125" s="56">
        <f t="shared" si="92"/>
        <v>0.72888344345873124</v>
      </c>
      <c r="R125" s="56">
        <f t="shared" si="92"/>
        <v>0.71854964283820211</v>
      </c>
      <c r="S125" s="56">
        <f t="shared" si="92"/>
        <v>0.71018007274006456</v>
      </c>
      <c r="T125" s="56">
        <f t="shared" si="92"/>
        <v>0.71437358938835716</v>
      </c>
      <c r="U125" s="56">
        <f t="shared" si="92"/>
        <v>0.7201650843528381</v>
      </c>
      <c r="V125" s="56">
        <f t="shared" si="92"/>
        <v>0.71771807158159895</v>
      </c>
      <c r="W125" s="56">
        <f t="shared" si="92"/>
        <v>0.7261815964807522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484.59339769541293</v>
      </c>
      <c r="C129" s="82">
        <f t="shared" ref="C129:W129" si="94">IF(C99=0,0,C99/C$26)</f>
        <v>493.22520138475699</v>
      </c>
      <c r="D129" s="82">
        <f t="shared" si="94"/>
        <v>501.56768639473557</v>
      </c>
      <c r="E129" s="82">
        <f t="shared" si="94"/>
        <v>504.93368418994015</v>
      </c>
      <c r="F129" s="82">
        <f t="shared" si="94"/>
        <v>505.1474581392248</v>
      </c>
      <c r="G129" s="82">
        <f t="shared" si="94"/>
        <v>483.65417053375296</v>
      </c>
      <c r="H129" s="82">
        <f t="shared" si="94"/>
        <v>489.30913357724449</v>
      </c>
      <c r="I129" s="82">
        <f t="shared" si="94"/>
        <v>494.54808290899132</v>
      </c>
      <c r="J129" s="82">
        <f t="shared" si="94"/>
        <v>428.01284892394642</v>
      </c>
      <c r="K129" s="82">
        <f t="shared" si="94"/>
        <v>399.6435578467765</v>
      </c>
      <c r="L129" s="82">
        <f t="shared" si="94"/>
        <v>419.45621065237145</v>
      </c>
      <c r="M129" s="82">
        <f t="shared" si="94"/>
        <v>383.79936340418385</v>
      </c>
      <c r="N129" s="82">
        <f t="shared" si="94"/>
        <v>432.26849352461124</v>
      </c>
      <c r="O129" s="82">
        <f t="shared" si="94"/>
        <v>412.42184651575002</v>
      </c>
      <c r="P129" s="82">
        <f t="shared" si="94"/>
        <v>412.97670512549053</v>
      </c>
      <c r="Q129" s="82">
        <f t="shared" si="94"/>
        <v>389.81066409462312</v>
      </c>
      <c r="R129" s="82">
        <f t="shared" si="94"/>
        <v>392.73442205858663</v>
      </c>
      <c r="S129" s="82">
        <f t="shared" si="94"/>
        <v>400.20079918791424</v>
      </c>
      <c r="T129" s="82">
        <f t="shared" si="94"/>
        <v>388.18112366263705</v>
      </c>
      <c r="U129" s="82">
        <f t="shared" si="94"/>
        <v>370.82684734216235</v>
      </c>
      <c r="V129" s="82">
        <f t="shared" si="94"/>
        <v>354.73598046790033</v>
      </c>
      <c r="W129" s="82">
        <f t="shared" si="94"/>
        <v>386.1482132822357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420.68808577658541</v>
      </c>
      <c r="C130" s="64">
        <f t="shared" ref="C130:W130" si="96">IF(C100=0,0,C100/C$26)</f>
        <v>429.28488777350253</v>
      </c>
      <c r="D130" s="64">
        <f t="shared" si="96"/>
        <v>435.44055171279769</v>
      </c>
      <c r="E130" s="64">
        <f t="shared" si="96"/>
        <v>436.45466812020732</v>
      </c>
      <c r="F130" s="64">
        <f t="shared" si="96"/>
        <v>434.70945094141155</v>
      </c>
      <c r="G130" s="64">
        <f t="shared" si="96"/>
        <v>409.37691297813421</v>
      </c>
      <c r="H130" s="64">
        <f t="shared" si="96"/>
        <v>412.77222647971757</v>
      </c>
      <c r="I130" s="64">
        <f t="shared" si="96"/>
        <v>415.20242650708173</v>
      </c>
      <c r="J130" s="64">
        <f t="shared" si="96"/>
        <v>347.63918481841876</v>
      </c>
      <c r="K130" s="64">
        <f t="shared" si="96"/>
        <v>318.80581855175757</v>
      </c>
      <c r="L130" s="64">
        <f t="shared" si="96"/>
        <v>336.94721678449582</v>
      </c>
      <c r="M130" s="64">
        <f t="shared" si="96"/>
        <v>300.72953145785567</v>
      </c>
      <c r="N130" s="64">
        <f t="shared" si="96"/>
        <v>346.47228140833926</v>
      </c>
      <c r="O130" s="64">
        <f t="shared" si="96"/>
        <v>325.5896644958782</v>
      </c>
      <c r="P130" s="64">
        <f t="shared" si="96"/>
        <v>323.77816684029438</v>
      </c>
      <c r="Q130" s="64">
        <f t="shared" si="96"/>
        <v>301.32553194847191</v>
      </c>
      <c r="R130" s="64">
        <f t="shared" si="96"/>
        <v>304.55560601874669</v>
      </c>
      <c r="S130" s="64">
        <f t="shared" si="96"/>
        <v>308.85400396246536</v>
      </c>
      <c r="T130" s="64">
        <f t="shared" si="96"/>
        <v>296.90673265740935</v>
      </c>
      <c r="U130" s="64">
        <f t="shared" si="96"/>
        <v>278.80684382093153</v>
      </c>
      <c r="V130" s="64">
        <f t="shared" si="96"/>
        <v>267.96591054054102</v>
      </c>
      <c r="W130" s="64">
        <f t="shared" si="96"/>
        <v>299.03807471006553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333.74807306530079</v>
      </c>
      <c r="C131" s="65">
        <f t="shared" ref="C131:W131" si="98">IF(C101=0,0,C101/C$26)</f>
        <v>341.22112225880176</v>
      </c>
      <c r="D131" s="65">
        <f t="shared" si="98"/>
        <v>351.31323866608011</v>
      </c>
      <c r="E131" s="65">
        <f t="shared" si="98"/>
        <v>353.90462289069012</v>
      </c>
      <c r="F131" s="65">
        <f t="shared" si="98"/>
        <v>352.33266052537755</v>
      </c>
      <c r="G131" s="65">
        <f t="shared" si="98"/>
        <v>327.80672320530635</v>
      </c>
      <c r="H131" s="65">
        <f t="shared" si="98"/>
        <v>332.04905224329497</v>
      </c>
      <c r="I131" s="65">
        <f t="shared" si="98"/>
        <v>336.77334157476662</v>
      </c>
      <c r="J131" s="65">
        <f t="shared" si="98"/>
        <v>269.9001870918035</v>
      </c>
      <c r="K131" s="65">
        <f t="shared" si="98"/>
        <v>239.57845908544644</v>
      </c>
      <c r="L131" s="65">
        <f t="shared" si="98"/>
        <v>258.64352799277225</v>
      </c>
      <c r="M131" s="65">
        <f t="shared" si="98"/>
        <v>223.00529395915811</v>
      </c>
      <c r="N131" s="65">
        <f t="shared" si="98"/>
        <v>269.45825616739944</v>
      </c>
      <c r="O131" s="65">
        <f t="shared" si="98"/>
        <v>248.67790127810554</v>
      </c>
      <c r="P131" s="65">
        <f t="shared" si="98"/>
        <v>248.16389768851255</v>
      </c>
      <c r="Q131" s="65">
        <f t="shared" si="98"/>
        <v>226.59993318526094</v>
      </c>
      <c r="R131" s="65">
        <f t="shared" si="98"/>
        <v>229.76941982130262</v>
      </c>
      <c r="S131" s="65">
        <f t="shared" si="98"/>
        <v>234.31466847968227</v>
      </c>
      <c r="T131" s="65">
        <f t="shared" si="98"/>
        <v>224.12157898836222</v>
      </c>
      <c r="U131" s="65">
        <f t="shared" si="98"/>
        <v>208.41662688348481</v>
      </c>
      <c r="V131" s="65">
        <f t="shared" si="98"/>
        <v>203.20788171882424</v>
      </c>
      <c r="W131" s="65">
        <f t="shared" si="98"/>
        <v>231.4846104679072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0.55448258483934765</v>
      </c>
      <c r="C132" s="65">
        <f t="shared" ref="C132:W132" si="100">IF(C102=0,0,C102/C$26)</f>
        <v>0.57241392210981734</v>
      </c>
      <c r="D132" s="65">
        <f t="shared" si="100"/>
        <v>0.59768699354535448</v>
      </c>
      <c r="E132" s="65">
        <f t="shared" si="100"/>
        <v>0.58480091981175319</v>
      </c>
      <c r="F132" s="65">
        <f t="shared" si="100"/>
        <v>0.5615199239634745</v>
      </c>
      <c r="G132" s="65">
        <f t="shared" si="100"/>
        <v>0.57595230796808849</v>
      </c>
      <c r="H132" s="65">
        <f t="shared" si="100"/>
        <v>0.61280695178220035</v>
      </c>
      <c r="I132" s="65">
        <f t="shared" si="100"/>
        <v>0.5863418968840568</v>
      </c>
      <c r="J132" s="65">
        <f t="shared" si="100"/>
        <v>0.59357921152960946</v>
      </c>
      <c r="K132" s="65">
        <f t="shared" si="100"/>
        <v>0.63141995704038134</v>
      </c>
      <c r="L132" s="65">
        <f t="shared" si="100"/>
        <v>0.7921545128699693</v>
      </c>
      <c r="M132" s="65">
        <f t="shared" si="100"/>
        <v>0.66635921285456667</v>
      </c>
      <c r="N132" s="65">
        <f t="shared" si="100"/>
        <v>0.6731531534381</v>
      </c>
      <c r="O132" s="65">
        <f t="shared" si="100"/>
        <v>0.65683068286334401</v>
      </c>
      <c r="P132" s="65">
        <f t="shared" si="100"/>
        <v>0.68772256810401755</v>
      </c>
      <c r="Q132" s="65">
        <f t="shared" si="100"/>
        <v>0.64396378483484584</v>
      </c>
      <c r="R132" s="65">
        <f t="shared" si="100"/>
        <v>0.64168484237367995</v>
      </c>
      <c r="S132" s="65">
        <f t="shared" si="100"/>
        <v>0.63677085652148513</v>
      </c>
      <c r="T132" s="65">
        <f t="shared" si="100"/>
        <v>0.6761276759119107</v>
      </c>
      <c r="U132" s="65">
        <f t="shared" si="100"/>
        <v>0.64117805252288385</v>
      </c>
      <c r="V132" s="65">
        <f t="shared" si="100"/>
        <v>0.6431652192950158</v>
      </c>
      <c r="W132" s="65">
        <f t="shared" si="100"/>
        <v>0.74697287146976965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41.637619816603063</v>
      </c>
      <c r="C133" s="65">
        <f t="shared" ref="C133:W133" si="102">IF(C103=0,0,C103/C$26)</f>
        <v>41.770789038517634</v>
      </c>
      <c r="D133" s="65">
        <f t="shared" si="102"/>
        <v>40.260178312805678</v>
      </c>
      <c r="E133" s="65">
        <f t="shared" si="102"/>
        <v>39.655679156377687</v>
      </c>
      <c r="F133" s="65">
        <f t="shared" si="102"/>
        <v>39.762772299706761</v>
      </c>
      <c r="G133" s="65">
        <f t="shared" si="102"/>
        <v>38.961426229950376</v>
      </c>
      <c r="H133" s="65">
        <f t="shared" si="102"/>
        <v>38.804762732166118</v>
      </c>
      <c r="I133" s="65">
        <f t="shared" si="102"/>
        <v>38.322180584515827</v>
      </c>
      <c r="J133" s="65">
        <f t="shared" si="102"/>
        <v>37.547467049428001</v>
      </c>
      <c r="K133" s="65">
        <f t="shared" si="102"/>
        <v>38.441404761332286</v>
      </c>
      <c r="L133" s="65">
        <f t="shared" si="102"/>
        <v>37.936689631804747</v>
      </c>
      <c r="M133" s="65">
        <f t="shared" si="102"/>
        <v>38.271534775165748</v>
      </c>
      <c r="N133" s="65">
        <f t="shared" si="102"/>
        <v>37.562897657927898</v>
      </c>
      <c r="O133" s="65">
        <f t="shared" si="102"/>
        <v>37.863277427614555</v>
      </c>
      <c r="P133" s="65">
        <f t="shared" si="102"/>
        <v>37.036395196267165</v>
      </c>
      <c r="Q133" s="65">
        <f t="shared" si="102"/>
        <v>36.949426475302609</v>
      </c>
      <c r="R133" s="65">
        <f t="shared" si="102"/>
        <v>36.903137571590868</v>
      </c>
      <c r="S133" s="65">
        <f t="shared" si="102"/>
        <v>36.725083212512523</v>
      </c>
      <c r="T133" s="65">
        <f t="shared" si="102"/>
        <v>35.304864451190006</v>
      </c>
      <c r="U133" s="65">
        <f t="shared" si="102"/>
        <v>33.72591927108342</v>
      </c>
      <c r="V133" s="65">
        <f t="shared" si="102"/>
        <v>30.48496987073624</v>
      </c>
      <c r="W133" s="65">
        <f t="shared" si="102"/>
        <v>32.095019470362573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44.747910309842183</v>
      </c>
      <c r="C134" s="67">
        <f t="shared" ref="C134:W134" si="104">IF(C104=0,0,C104/C$26)</f>
        <v>45.720562554073361</v>
      </c>
      <c r="D134" s="67">
        <f t="shared" si="104"/>
        <v>43.269447740366431</v>
      </c>
      <c r="E134" s="67">
        <f t="shared" si="104"/>
        <v>42.309565153327824</v>
      </c>
      <c r="F134" s="67">
        <f t="shared" si="104"/>
        <v>42.052498192363785</v>
      </c>
      <c r="G134" s="67">
        <f t="shared" si="104"/>
        <v>42.032811234909438</v>
      </c>
      <c r="H134" s="67">
        <f t="shared" si="104"/>
        <v>41.305604552474229</v>
      </c>
      <c r="I134" s="67">
        <f t="shared" si="104"/>
        <v>39.520562450915214</v>
      </c>
      <c r="J134" s="67">
        <f t="shared" si="104"/>
        <v>39.597951465657673</v>
      </c>
      <c r="K134" s="67">
        <f t="shared" si="104"/>
        <v>40.154534747938442</v>
      </c>
      <c r="L134" s="67">
        <f t="shared" si="104"/>
        <v>39.574844647048977</v>
      </c>
      <c r="M134" s="67">
        <f t="shared" si="104"/>
        <v>38.786343510677334</v>
      </c>
      <c r="N134" s="67">
        <f t="shared" si="104"/>
        <v>38.777974429573767</v>
      </c>
      <c r="O134" s="67">
        <f t="shared" si="104"/>
        <v>38.391655107294781</v>
      </c>
      <c r="P134" s="67">
        <f t="shared" si="104"/>
        <v>37.890151387410654</v>
      </c>
      <c r="Q134" s="67">
        <f t="shared" si="104"/>
        <v>37.132208503073478</v>
      </c>
      <c r="R134" s="67">
        <f t="shared" si="104"/>
        <v>37.241363783479542</v>
      </c>
      <c r="S134" s="67">
        <f t="shared" si="104"/>
        <v>37.177481413749064</v>
      </c>
      <c r="T134" s="67">
        <f t="shared" si="104"/>
        <v>36.804161541945142</v>
      </c>
      <c r="U134" s="67">
        <f t="shared" si="104"/>
        <v>36.023119613840471</v>
      </c>
      <c r="V134" s="67">
        <f t="shared" si="104"/>
        <v>33.62989373168547</v>
      </c>
      <c r="W134" s="67">
        <f t="shared" si="104"/>
        <v>34.711471900326025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63.905311918827508</v>
      </c>
      <c r="C135" s="68">
        <f t="shared" ref="C135:W135" si="106">IF(C105=0,0,C105/C$26)</f>
        <v>63.940313611254425</v>
      </c>
      <c r="D135" s="68">
        <f t="shared" si="106"/>
        <v>66.127134681937875</v>
      </c>
      <c r="E135" s="68">
        <f t="shared" si="106"/>
        <v>68.479016069732893</v>
      </c>
      <c r="F135" s="68">
        <f t="shared" si="106"/>
        <v>70.43800719781315</v>
      </c>
      <c r="G135" s="68">
        <f t="shared" si="106"/>
        <v>74.277257555618817</v>
      </c>
      <c r="H135" s="68">
        <f t="shared" si="106"/>
        <v>76.536907097526893</v>
      </c>
      <c r="I135" s="68">
        <f t="shared" si="106"/>
        <v>79.34565640190965</v>
      </c>
      <c r="J135" s="68">
        <f t="shared" si="106"/>
        <v>80.373664105527652</v>
      </c>
      <c r="K135" s="68">
        <f t="shared" si="106"/>
        <v>80.837739295018963</v>
      </c>
      <c r="L135" s="68">
        <f t="shared" si="106"/>
        <v>82.50899386787556</v>
      </c>
      <c r="M135" s="68">
        <f t="shared" si="106"/>
        <v>83.069831946328151</v>
      </c>
      <c r="N135" s="68">
        <f t="shared" si="106"/>
        <v>85.796212116271931</v>
      </c>
      <c r="O135" s="68">
        <f t="shared" si="106"/>
        <v>86.832182019871823</v>
      </c>
      <c r="P135" s="68">
        <f t="shared" si="106"/>
        <v>89.198538285196165</v>
      </c>
      <c r="Q135" s="68">
        <f t="shared" si="106"/>
        <v>88.48513214615123</v>
      </c>
      <c r="R135" s="68">
        <f t="shared" si="106"/>
        <v>88.17881603983993</v>
      </c>
      <c r="S135" s="68">
        <f t="shared" si="106"/>
        <v>91.346795225448886</v>
      </c>
      <c r="T135" s="68">
        <f t="shared" si="106"/>
        <v>91.274391005227727</v>
      </c>
      <c r="U135" s="68">
        <f t="shared" si="106"/>
        <v>92.020003521230848</v>
      </c>
      <c r="V135" s="68">
        <f t="shared" si="106"/>
        <v>86.770069927359359</v>
      </c>
      <c r="W135" s="68">
        <f t="shared" si="106"/>
        <v>87.110138572170129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257.42935373860973</v>
      </c>
      <c r="C137" s="85">
        <f t="shared" ref="C137:W137" si="108">IF(C107=0,0,C107/C$26)</f>
        <v>263.57934957423009</v>
      </c>
      <c r="D137" s="85">
        <f t="shared" si="108"/>
        <v>268.58001799023191</v>
      </c>
      <c r="E137" s="85">
        <f t="shared" si="108"/>
        <v>271.39297783604854</v>
      </c>
      <c r="F137" s="85">
        <f t="shared" si="108"/>
        <v>269.30526915427168</v>
      </c>
      <c r="G137" s="85">
        <f t="shared" si="108"/>
        <v>257.99327317485677</v>
      </c>
      <c r="H137" s="85">
        <f t="shared" si="108"/>
        <v>260.71958746912605</v>
      </c>
      <c r="I137" s="85">
        <f t="shared" si="108"/>
        <v>264.07326843551817</v>
      </c>
      <c r="J137" s="85">
        <f t="shared" si="108"/>
        <v>227.68017789396023</v>
      </c>
      <c r="K137" s="85">
        <f t="shared" si="108"/>
        <v>209.96486009869488</v>
      </c>
      <c r="L137" s="85">
        <f t="shared" si="108"/>
        <v>223.90580976443141</v>
      </c>
      <c r="M137" s="85">
        <f t="shared" si="108"/>
        <v>202.19555907300514</v>
      </c>
      <c r="N137" s="85">
        <f t="shared" si="108"/>
        <v>234.85193693707222</v>
      </c>
      <c r="O137" s="85">
        <f t="shared" si="108"/>
        <v>222.65917955430146</v>
      </c>
      <c r="P137" s="85">
        <f t="shared" si="108"/>
        <v>222.99666096292322</v>
      </c>
      <c r="Q137" s="85">
        <f t="shared" si="108"/>
        <v>208.91754826569115</v>
      </c>
      <c r="R137" s="85">
        <f t="shared" si="108"/>
        <v>215.31328513385651</v>
      </c>
      <c r="S137" s="85">
        <f t="shared" si="108"/>
        <v>219.75506684874912</v>
      </c>
      <c r="T137" s="85">
        <f t="shared" si="108"/>
        <v>214.7186146175159</v>
      </c>
      <c r="U137" s="85">
        <f t="shared" si="108"/>
        <v>205.65689829625344</v>
      </c>
      <c r="V137" s="85">
        <f t="shared" si="108"/>
        <v>201.01982071815615</v>
      </c>
      <c r="W137" s="85">
        <f t="shared" si="108"/>
        <v>226.9513876160735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198.61663327230588</v>
      </c>
      <c r="C138" s="65">
        <f t="shared" ref="C138:W138" si="110">IF(C108=0,0,C108/C$26)</f>
        <v>204.41328982239057</v>
      </c>
      <c r="D138" s="65">
        <f t="shared" si="110"/>
        <v>212.02063568983468</v>
      </c>
      <c r="E138" s="65">
        <f t="shared" si="110"/>
        <v>215.93908628316962</v>
      </c>
      <c r="F138" s="65">
        <f t="shared" si="110"/>
        <v>213.65493620215955</v>
      </c>
      <c r="G138" s="65">
        <f t="shared" si="110"/>
        <v>202.48619295656462</v>
      </c>
      <c r="H138" s="65">
        <f t="shared" si="110"/>
        <v>205.28056180451856</v>
      </c>
      <c r="I138" s="65">
        <f t="shared" si="110"/>
        <v>209.94730633745701</v>
      </c>
      <c r="J138" s="65">
        <f t="shared" si="110"/>
        <v>173.68513068535961</v>
      </c>
      <c r="K138" s="65">
        <f t="shared" si="110"/>
        <v>154.63886397842592</v>
      </c>
      <c r="L138" s="65">
        <f t="shared" si="110"/>
        <v>168.4523872622255</v>
      </c>
      <c r="M138" s="65">
        <f t="shared" si="110"/>
        <v>146.88283443580119</v>
      </c>
      <c r="N138" s="65">
        <f t="shared" si="110"/>
        <v>179.31887789714585</v>
      </c>
      <c r="O138" s="65">
        <f t="shared" si="110"/>
        <v>166.58052801909085</v>
      </c>
      <c r="P138" s="65">
        <f t="shared" si="110"/>
        <v>167.53728437859567</v>
      </c>
      <c r="Q138" s="65">
        <f t="shared" si="110"/>
        <v>153.67205477795486</v>
      </c>
      <c r="R138" s="65">
        <f t="shared" si="110"/>
        <v>159.9315741877916</v>
      </c>
      <c r="S138" s="65">
        <f t="shared" si="110"/>
        <v>164.29723652484782</v>
      </c>
      <c r="T138" s="65">
        <f t="shared" si="110"/>
        <v>159.57532504780684</v>
      </c>
      <c r="U138" s="65">
        <f t="shared" si="110"/>
        <v>151.51181739887838</v>
      </c>
      <c r="V138" s="65">
        <f t="shared" si="110"/>
        <v>150.56539540221203</v>
      </c>
      <c r="W138" s="65">
        <f t="shared" si="110"/>
        <v>173.11657613119382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1.1253603175245592</v>
      </c>
      <c r="C139" s="65">
        <f t="shared" ref="C139:W139" si="112">IF(C109=0,0,C109/C$26)</f>
        <v>1.2203518919795537</v>
      </c>
      <c r="D139" s="65">
        <f t="shared" si="112"/>
        <v>1.3461596684695893</v>
      </c>
      <c r="E139" s="65">
        <f t="shared" si="112"/>
        <v>1.3935440771455212</v>
      </c>
      <c r="F139" s="65">
        <f t="shared" si="112"/>
        <v>1.4072281360745378</v>
      </c>
      <c r="G139" s="65">
        <f t="shared" si="112"/>
        <v>1.5249135809214629</v>
      </c>
      <c r="H139" s="65">
        <f t="shared" si="112"/>
        <v>1.7103750942157949</v>
      </c>
      <c r="I139" s="65">
        <f t="shared" si="112"/>
        <v>1.7281207556230807</v>
      </c>
      <c r="J139" s="65">
        <f t="shared" si="112"/>
        <v>1.8427786743069237</v>
      </c>
      <c r="K139" s="65">
        <f t="shared" si="112"/>
        <v>1.9985887396719577</v>
      </c>
      <c r="L139" s="65">
        <f t="shared" si="112"/>
        <v>2.5629141628316576</v>
      </c>
      <c r="M139" s="65">
        <f t="shared" si="112"/>
        <v>2.2214063073801849</v>
      </c>
      <c r="N139" s="65">
        <f t="shared" si="112"/>
        <v>2.313908059472702</v>
      </c>
      <c r="O139" s="65">
        <f t="shared" si="112"/>
        <v>2.3354836611301777</v>
      </c>
      <c r="P139" s="65">
        <f t="shared" si="112"/>
        <v>2.5361884996948216</v>
      </c>
      <c r="Q139" s="65">
        <f t="shared" si="112"/>
        <v>2.4720897506483746</v>
      </c>
      <c r="R139" s="65">
        <f t="shared" si="112"/>
        <v>2.5641605549521356</v>
      </c>
      <c r="S139" s="65">
        <f t="shared" si="112"/>
        <v>2.6422842707915071</v>
      </c>
      <c r="T139" s="65">
        <f t="shared" si="112"/>
        <v>2.9008339507120193</v>
      </c>
      <c r="U139" s="65">
        <f t="shared" si="112"/>
        <v>2.8315057383435271</v>
      </c>
      <c r="V139" s="65">
        <f t="shared" si="112"/>
        <v>2.9148743585835493</v>
      </c>
      <c r="W139" s="65">
        <f t="shared" si="112"/>
        <v>3.4684770486273093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25.41823522061382</v>
      </c>
      <c r="C140" s="65">
        <f t="shared" ref="C140:W140" si="114">IF(C110=0,0,C110/C$26)</f>
        <v>25.84772195338714</v>
      </c>
      <c r="D140" s="65">
        <f t="shared" si="114"/>
        <v>25.030949109055364</v>
      </c>
      <c r="E140" s="65">
        <f t="shared" si="114"/>
        <v>24.832570035454314</v>
      </c>
      <c r="F140" s="65">
        <f t="shared" si="114"/>
        <v>25.046885284723682</v>
      </c>
      <c r="G140" s="65">
        <f t="shared" si="114"/>
        <v>24.662667531780674</v>
      </c>
      <c r="H140" s="65">
        <f t="shared" si="114"/>
        <v>24.767109578317601</v>
      </c>
      <c r="I140" s="65">
        <f t="shared" si="114"/>
        <v>24.685068086139218</v>
      </c>
      <c r="J140" s="65">
        <f t="shared" si="114"/>
        <v>24.280064907545448</v>
      </c>
      <c r="K140" s="65">
        <f t="shared" si="114"/>
        <v>25.066592305390966</v>
      </c>
      <c r="L140" s="65">
        <f t="shared" si="114"/>
        <v>24.948073444361192</v>
      </c>
      <c r="M140" s="65">
        <f t="shared" si="114"/>
        <v>25.45430933925898</v>
      </c>
      <c r="N140" s="65">
        <f t="shared" si="114"/>
        <v>25.277794549410569</v>
      </c>
      <c r="O140" s="65">
        <f t="shared" si="114"/>
        <v>25.818743315075434</v>
      </c>
      <c r="P140" s="65">
        <f t="shared" si="114"/>
        <v>25.437107714582833</v>
      </c>
      <c r="Q140" s="65">
        <f t="shared" si="114"/>
        <v>25.708351740140177</v>
      </c>
      <c r="R140" s="65">
        <f t="shared" si="114"/>
        <v>26.057781745685993</v>
      </c>
      <c r="S140" s="65">
        <f t="shared" si="114"/>
        <v>26.412839598401096</v>
      </c>
      <c r="T140" s="65">
        <f t="shared" si="114"/>
        <v>25.950534633848783</v>
      </c>
      <c r="U140" s="65">
        <f t="shared" si="114"/>
        <v>25.37098218367775</v>
      </c>
      <c r="V140" s="65">
        <f t="shared" si="114"/>
        <v>23.402768480761193</v>
      </c>
      <c r="W140" s="65">
        <f t="shared" si="114"/>
        <v>25.159502355476857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32.269124928165489</v>
      </c>
      <c r="C141" s="68">
        <f t="shared" ref="C141:W141" si="116">IF(C111=0,0,C111/C$26)</f>
        <v>32.097985906472822</v>
      </c>
      <c r="D141" s="68">
        <f t="shared" si="116"/>
        <v>30.182273522872251</v>
      </c>
      <c r="E141" s="68">
        <f t="shared" si="116"/>
        <v>29.227777440279105</v>
      </c>
      <c r="F141" s="68">
        <f t="shared" si="116"/>
        <v>29.196219531313975</v>
      </c>
      <c r="G141" s="68">
        <f t="shared" si="116"/>
        <v>29.319499105590026</v>
      </c>
      <c r="H141" s="68">
        <f t="shared" si="116"/>
        <v>28.961540992074134</v>
      </c>
      <c r="I141" s="68">
        <f t="shared" si="116"/>
        <v>27.712773256298881</v>
      </c>
      <c r="J141" s="68">
        <f t="shared" si="116"/>
        <v>27.872203626748252</v>
      </c>
      <c r="K141" s="68">
        <f t="shared" si="116"/>
        <v>28.260815075206043</v>
      </c>
      <c r="L141" s="68">
        <f t="shared" si="116"/>
        <v>27.942434895013058</v>
      </c>
      <c r="M141" s="68">
        <f t="shared" si="116"/>
        <v>27.637008990564798</v>
      </c>
      <c r="N141" s="68">
        <f t="shared" si="116"/>
        <v>27.941356431043101</v>
      </c>
      <c r="O141" s="68">
        <f t="shared" si="116"/>
        <v>27.924424559004983</v>
      </c>
      <c r="P141" s="68">
        <f t="shared" si="116"/>
        <v>27.486080370049919</v>
      </c>
      <c r="Q141" s="68">
        <f t="shared" si="116"/>
        <v>27.065051996947776</v>
      </c>
      <c r="R141" s="68">
        <f t="shared" si="116"/>
        <v>26.759768645426782</v>
      </c>
      <c r="S141" s="68">
        <f t="shared" si="116"/>
        <v>26.402706454708706</v>
      </c>
      <c r="T141" s="68">
        <f t="shared" si="116"/>
        <v>26.291920985148284</v>
      </c>
      <c r="U141" s="68">
        <f t="shared" si="116"/>
        <v>25.942592975353801</v>
      </c>
      <c r="V141" s="68">
        <f t="shared" si="116"/>
        <v>24.136782476599397</v>
      </c>
      <c r="W141" s="68">
        <f t="shared" si="116"/>
        <v>25.206832080775524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31.790907126335316</v>
      </c>
      <c r="C143" s="82">
        <f t="shared" ref="C143:W143" si="118">IF(C113=0,0,C113/C$26)</f>
        <v>32.810645979322274</v>
      </c>
      <c r="D143" s="82">
        <f t="shared" si="118"/>
        <v>34.514377893816373</v>
      </c>
      <c r="E143" s="82">
        <f t="shared" si="118"/>
        <v>35.026642864321261</v>
      </c>
      <c r="F143" s="82">
        <f t="shared" si="118"/>
        <v>35.630133654874875</v>
      </c>
      <c r="G143" s="82">
        <f t="shared" si="118"/>
        <v>31.192460523004748</v>
      </c>
      <c r="H143" s="82">
        <f t="shared" si="118"/>
        <v>33.352383382060772</v>
      </c>
      <c r="I143" s="82">
        <f t="shared" si="118"/>
        <v>31.104578626330774</v>
      </c>
      <c r="J143" s="82">
        <f t="shared" si="118"/>
        <v>28.263001524969631</v>
      </c>
      <c r="K143" s="82">
        <f t="shared" si="118"/>
        <v>26.165500978783019</v>
      </c>
      <c r="L143" s="82">
        <f t="shared" si="118"/>
        <v>28.264667080977517</v>
      </c>
      <c r="M143" s="82">
        <f t="shared" si="118"/>
        <v>24.764698034858387</v>
      </c>
      <c r="N143" s="82">
        <f t="shared" si="118"/>
        <v>24.201896400310037</v>
      </c>
      <c r="O143" s="82">
        <f t="shared" si="118"/>
        <v>22.57701876566566</v>
      </c>
      <c r="P143" s="82">
        <f t="shared" si="118"/>
        <v>23.396652120894149</v>
      </c>
      <c r="Q143" s="82">
        <f t="shared" si="118"/>
        <v>22.286000374956199</v>
      </c>
      <c r="R143" s="82">
        <f t="shared" si="118"/>
        <v>20.492355030660438</v>
      </c>
      <c r="S143" s="82">
        <f t="shared" si="118"/>
        <v>21.378148676185795</v>
      </c>
      <c r="T143" s="82">
        <f t="shared" si="118"/>
        <v>22.17972855082791</v>
      </c>
      <c r="U143" s="82">
        <f t="shared" si="118"/>
        <v>20.960857491056082</v>
      </c>
      <c r="V143" s="82">
        <f t="shared" si="118"/>
        <v>21.642304647599218</v>
      </c>
      <c r="W143" s="82">
        <f t="shared" si="118"/>
        <v>25.330309816897461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31.790907126335316</v>
      </c>
      <c r="C144" s="64">
        <f t="shared" ref="C144:W144" si="120">IF(C114=0,0,C114/C$26)</f>
        <v>32.810645979322274</v>
      </c>
      <c r="D144" s="64">
        <f t="shared" si="120"/>
        <v>34.514377893816373</v>
      </c>
      <c r="E144" s="64">
        <f t="shared" si="120"/>
        <v>35.026642864321261</v>
      </c>
      <c r="F144" s="64">
        <f t="shared" si="120"/>
        <v>35.630133654874875</v>
      </c>
      <c r="G144" s="64">
        <f t="shared" si="120"/>
        <v>31.192460523004748</v>
      </c>
      <c r="H144" s="64">
        <f t="shared" si="120"/>
        <v>33.352383382060772</v>
      </c>
      <c r="I144" s="64">
        <f t="shared" si="120"/>
        <v>31.104578626330774</v>
      </c>
      <c r="J144" s="64">
        <f t="shared" si="120"/>
        <v>28.263001524969631</v>
      </c>
      <c r="K144" s="64">
        <f t="shared" si="120"/>
        <v>26.165500978783019</v>
      </c>
      <c r="L144" s="64">
        <f t="shared" si="120"/>
        <v>28.264667080977517</v>
      </c>
      <c r="M144" s="64">
        <f t="shared" si="120"/>
        <v>24.764698034858387</v>
      </c>
      <c r="N144" s="64">
        <f t="shared" si="120"/>
        <v>24.201896400310037</v>
      </c>
      <c r="O144" s="64">
        <f t="shared" si="120"/>
        <v>22.57701876566566</v>
      </c>
      <c r="P144" s="64">
        <f t="shared" si="120"/>
        <v>23.396652120894149</v>
      </c>
      <c r="Q144" s="64">
        <f t="shared" si="120"/>
        <v>22.286000374956199</v>
      </c>
      <c r="R144" s="64">
        <f t="shared" si="120"/>
        <v>20.492355030660438</v>
      </c>
      <c r="S144" s="64">
        <f t="shared" si="120"/>
        <v>21.378148676185795</v>
      </c>
      <c r="T144" s="64">
        <f t="shared" si="120"/>
        <v>22.17972855082791</v>
      </c>
      <c r="U144" s="64">
        <f t="shared" si="120"/>
        <v>20.960857491056082</v>
      </c>
      <c r="V144" s="64">
        <f t="shared" si="120"/>
        <v>21.642304647599218</v>
      </c>
      <c r="W144" s="64">
        <f t="shared" si="120"/>
        <v>25.330309816897461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28.701139691549351</v>
      </c>
      <c r="C145" s="65">
        <f t="shared" ref="C145:W145" si="122">IF(C115=0,0,C115/C$26)</f>
        <v>28.493483089313361</v>
      </c>
      <c r="D145" s="65">
        <f t="shared" si="122"/>
        <v>30.01023864058547</v>
      </c>
      <c r="E145" s="65">
        <f t="shared" si="122"/>
        <v>30.084999639889293</v>
      </c>
      <c r="F145" s="65">
        <f t="shared" si="122"/>
        <v>30.902495137002575</v>
      </c>
      <c r="G145" s="65">
        <f t="shared" si="122"/>
        <v>26.457548862507036</v>
      </c>
      <c r="H145" s="65">
        <f t="shared" si="122"/>
        <v>28.77036241797256</v>
      </c>
      <c r="I145" s="65">
        <f t="shared" si="122"/>
        <v>26.611535726443968</v>
      </c>
      <c r="J145" s="65">
        <f t="shared" si="122"/>
        <v>23.701295243922708</v>
      </c>
      <c r="K145" s="65">
        <f t="shared" si="122"/>
        <v>21.431549547989583</v>
      </c>
      <c r="L145" s="65">
        <f t="shared" si="122"/>
        <v>23.587009895082595</v>
      </c>
      <c r="M145" s="65">
        <f t="shared" si="122"/>
        <v>20.394163625200122</v>
      </c>
      <c r="N145" s="65">
        <f t="shared" si="122"/>
        <v>20.03928097086612</v>
      </c>
      <c r="O145" s="65">
        <f t="shared" si="122"/>
        <v>18.633730434504407</v>
      </c>
      <c r="P145" s="65">
        <f t="shared" si="122"/>
        <v>19.289191981950619</v>
      </c>
      <c r="Q145" s="65">
        <f t="shared" si="122"/>
        <v>18.258941999056592</v>
      </c>
      <c r="R145" s="65">
        <f t="shared" si="122"/>
        <v>15.898915338008905</v>
      </c>
      <c r="S145" s="65">
        <f t="shared" si="122"/>
        <v>16.294164757451107</v>
      </c>
      <c r="T145" s="65">
        <f t="shared" si="122"/>
        <v>17.229793326186723</v>
      </c>
      <c r="U145" s="65">
        <f t="shared" si="122"/>
        <v>16.168370228130374</v>
      </c>
      <c r="V145" s="65">
        <f t="shared" si="122"/>
        <v>16.856727772793537</v>
      </c>
      <c r="W145" s="65">
        <f t="shared" si="122"/>
        <v>20.493563557074104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1.923146023795816</v>
      </c>
      <c r="C147" s="65">
        <f t="shared" ref="C147:W147" si="126">IF(C117=0,0,C117/C$26)</f>
        <v>1.9137276230595626</v>
      </c>
      <c r="D147" s="65">
        <f t="shared" si="126"/>
        <v>1.9812324103201948</v>
      </c>
      <c r="E147" s="65">
        <f t="shared" si="126"/>
        <v>1.9540137268355444</v>
      </c>
      <c r="F147" s="65">
        <f t="shared" si="126"/>
        <v>1.9133347853835214</v>
      </c>
      <c r="G147" s="65">
        <f t="shared" si="126"/>
        <v>1.9586437170953672</v>
      </c>
      <c r="H147" s="65">
        <f t="shared" si="126"/>
        <v>1.9267959306852112</v>
      </c>
      <c r="I147" s="65">
        <f t="shared" si="126"/>
        <v>1.8545271803629819</v>
      </c>
      <c r="J147" s="65">
        <f t="shared" si="126"/>
        <v>1.982549109286138</v>
      </c>
      <c r="K147" s="65">
        <f t="shared" si="126"/>
        <v>2.0352011265332663</v>
      </c>
      <c r="L147" s="65">
        <f t="shared" si="126"/>
        <v>2.0542238149902596</v>
      </c>
      <c r="M147" s="65">
        <f t="shared" si="126"/>
        <v>2.0725916357487733</v>
      </c>
      <c r="N147" s="65">
        <f t="shared" si="126"/>
        <v>2.1211385809900176</v>
      </c>
      <c r="O147" s="65">
        <f t="shared" si="126"/>
        <v>2.1255328506069642</v>
      </c>
      <c r="P147" s="65">
        <f t="shared" si="126"/>
        <v>2.1075695382241624</v>
      </c>
      <c r="Q147" s="65">
        <f t="shared" si="126"/>
        <v>2.0961119434013828</v>
      </c>
      <c r="R147" s="65">
        <f t="shared" si="126"/>
        <v>2.0720019224123458</v>
      </c>
      <c r="S147" s="65">
        <f t="shared" si="126"/>
        <v>2.0261451059556839</v>
      </c>
      <c r="T147" s="65">
        <f t="shared" si="126"/>
        <v>1.9208071799684621</v>
      </c>
      <c r="U147" s="65">
        <f t="shared" si="126"/>
        <v>1.8347200677918103</v>
      </c>
      <c r="V147" s="65">
        <f t="shared" si="126"/>
        <v>1.7331083549003239</v>
      </c>
      <c r="W147" s="65">
        <f t="shared" si="126"/>
        <v>1.7423655412349677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1.1666214109901516</v>
      </c>
      <c r="C148" s="67">
        <f t="shared" ref="C148:W148" si="128">IF(C118=0,0,C118/C$26)</f>
        <v>2.4034352669493546</v>
      </c>
      <c r="D148" s="67">
        <f t="shared" si="128"/>
        <v>2.52290684291071</v>
      </c>
      <c r="E148" s="67">
        <f t="shared" si="128"/>
        <v>2.9876294975964228</v>
      </c>
      <c r="F148" s="67">
        <f t="shared" si="128"/>
        <v>2.814303732488777</v>
      </c>
      <c r="G148" s="67">
        <f t="shared" si="128"/>
        <v>2.7762679434023436</v>
      </c>
      <c r="H148" s="67">
        <f t="shared" si="128"/>
        <v>2.6552250334029965</v>
      </c>
      <c r="I148" s="67">
        <f t="shared" si="128"/>
        <v>2.6385157195238245</v>
      </c>
      <c r="J148" s="67">
        <f t="shared" si="128"/>
        <v>2.5791571717607873</v>
      </c>
      <c r="K148" s="67">
        <f t="shared" si="128"/>
        <v>2.6987503042601704</v>
      </c>
      <c r="L148" s="67">
        <f t="shared" si="128"/>
        <v>2.6234333709046544</v>
      </c>
      <c r="M148" s="67">
        <f t="shared" si="128"/>
        <v>2.2979427739094902</v>
      </c>
      <c r="N148" s="67">
        <f t="shared" si="128"/>
        <v>2.041476848453899</v>
      </c>
      <c r="O148" s="67">
        <f t="shared" si="128"/>
        <v>1.817755480554285</v>
      </c>
      <c r="P148" s="67">
        <f t="shared" si="128"/>
        <v>1.999890600719366</v>
      </c>
      <c r="Q148" s="67">
        <f t="shared" si="128"/>
        <v>1.9309464324982188</v>
      </c>
      <c r="R148" s="67">
        <f t="shared" si="128"/>
        <v>2.5214377702391886</v>
      </c>
      <c r="S148" s="67">
        <f t="shared" si="128"/>
        <v>3.0578388127790053</v>
      </c>
      <c r="T148" s="67">
        <f t="shared" si="128"/>
        <v>3.0291280446727282</v>
      </c>
      <c r="U148" s="67">
        <f t="shared" si="128"/>
        <v>2.9577671951338984</v>
      </c>
      <c r="V148" s="67">
        <f t="shared" si="128"/>
        <v>3.0524685199053629</v>
      </c>
      <c r="W148" s="67">
        <f t="shared" si="128"/>
        <v>3.0943807185883916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9715.2176303181623</v>
      </c>
      <c r="C153" s="82">
        <f t="shared" ref="C153:W153" si="132">IF(C99=0,0,C99/C$23)</f>
        <v>10473.497230101908</v>
      </c>
      <c r="D153" s="82">
        <f t="shared" si="132"/>
        <v>10831.728262711727</v>
      </c>
      <c r="E153" s="82">
        <f t="shared" si="132"/>
        <v>11185.550524272636</v>
      </c>
      <c r="F153" s="82">
        <f t="shared" si="132"/>
        <v>11321.408836812601</v>
      </c>
      <c r="G153" s="82">
        <f t="shared" si="132"/>
        <v>10947.394487568181</v>
      </c>
      <c r="H153" s="82">
        <f t="shared" si="132"/>
        <v>11488.19239276888</v>
      </c>
      <c r="I153" s="82">
        <f t="shared" si="132"/>
        <v>11381.391206897237</v>
      </c>
      <c r="J153" s="82">
        <f t="shared" si="132"/>
        <v>10166.90027780317</v>
      </c>
      <c r="K153" s="82">
        <f t="shared" si="132"/>
        <v>10685.508595149096</v>
      </c>
      <c r="L153" s="82">
        <f t="shared" si="132"/>
        <v>11793.486825923434</v>
      </c>
      <c r="M153" s="82">
        <f t="shared" si="132"/>
        <v>10905.744383602565</v>
      </c>
      <c r="N153" s="82">
        <f t="shared" si="132"/>
        <v>12049.027703044301</v>
      </c>
      <c r="O153" s="82">
        <f t="shared" si="132"/>
        <v>11308.011366362147</v>
      </c>
      <c r="P153" s="82">
        <f t="shared" si="132"/>
        <v>11557.062626996449</v>
      </c>
      <c r="Q153" s="82">
        <f t="shared" si="132"/>
        <v>10873.744198364077</v>
      </c>
      <c r="R153" s="82">
        <f t="shared" si="132"/>
        <v>10923.479095402092</v>
      </c>
      <c r="S153" s="82">
        <f t="shared" si="132"/>
        <v>11275.097914075814</v>
      </c>
      <c r="T153" s="82">
        <f t="shared" si="132"/>
        <v>10932.087410810633</v>
      </c>
      <c r="U153" s="82">
        <f t="shared" si="132"/>
        <v>10567.560813798265</v>
      </c>
      <c r="V153" s="82">
        <f t="shared" si="132"/>
        <v>10418.702809978186</v>
      </c>
      <c r="W153" s="82">
        <f t="shared" si="132"/>
        <v>11877.390525763078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8434.0321746817917</v>
      </c>
      <c r="C154" s="64">
        <f t="shared" ref="C154:W154" si="134">IF(C100=0,0,C100/C$23)</f>
        <v>9115.7428095671075</v>
      </c>
      <c r="D154" s="64">
        <f t="shared" si="134"/>
        <v>9403.6634708686906</v>
      </c>
      <c r="E154" s="64">
        <f t="shared" si="134"/>
        <v>9668.5681598868632</v>
      </c>
      <c r="F154" s="64">
        <f t="shared" si="134"/>
        <v>9742.7460834171288</v>
      </c>
      <c r="G154" s="64">
        <f t="shared" si="134"/>
        <v>9266.1468328261744</v>
      </c>
      <c r="H154" s="64">
        <f t="shared" si="134"/>
        <v>9691.2287688616616</v>
      </c>
      <c r="I154" s="64">
        <f t="shared" si="134"/>
        <v>9555.3524711564114</v>
      </c>
      <c r="J154" s="64">
        <f t="shared" si="134"/>
        <v>8257.7262191810496</v>
      </c>
      <c r="K154" s="64">
        <f t="shared" si="134"/>
        <v>8524.1016586696533</v>
      </c>
      <c r="L154" s="64">
        <f t="shared" si="134"/>
        <v>9473.6529374524653</v>
      </c>
      <c r="M154" s="64">
        <f t="shared" si="134"/>
        <v>8545.2966091193575</v>
      </c>
      <c r="N154" s="64">
        <f t="shared" si="134"/>
        <v>9657.5489066689443</v>
      </c>
      <c r="O154" s="64">
        <f t="shared" si="134"/>
        <v>8927.1983479876726</v>
      </c>
      <c r="P154" s="64">
        <f t="shared" si="134"/>
        <v>9060.8610727579289</v>
      </c>
      <c r="Q154" s="64">
        <f t="shared" si="134"/>
        <v>8405.4569478076537</v>
      </c>
      <c r="R154" s="64">
        <f t="shared" si="134"/>
        <v>8470.8816158646114</v>
      </c>
      <c r="S154" s="64">
        <f t="shared" si="134"/>
        <v>8701.5296893398136</v>
      </c>
      <c r="T154" s="64">
        <f t="shared" si="134"/>
        <v>8361.5873014213666</v>
      </c>
      <c r="U154" s="64">
        <f t="shared" si="134"/>
        <v>7945.2399374479137</v>
      </c>
      <c r="V154" s="64">
        <f t="shared" si="134"/>
        <v>7870.2396679485673</v>
      </c>
      <c r="W154" s="64">
        <f t="shared" si="134"/>
        <v>9198.0018895173798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6691.0427978359075</v>
      </c>
      <c r="C155" s="65">
        <f t="shared" ref="C155:W155" si="136">IF(C101=0,0,C101/C$23)</f>
        <v>7245.7337313589087</v>
      </c>
      <c r="D155" s="65">
        <f t="shared" si="136"/>
        <v>7586.8714024957399</v>
      </c>
      <c r="E155" s="65">
        <f t="shared" si="136"/>
        <v>7839.8771245935741</v>
      </c>
      <c r="F155" s="65">
        <f t="shared" si="136"/>
        <v>7896.5102805096449</v>
      </c>
      <c r="G155" s="65">
        <f t="shared" si="136"/>
        <v>7419.8254315582672</v>
      </c>
      <c r="H155" s="65">
        <f t="shared" si="136"/>
        <v>7795.9783176729552</v>
      </c>
      <c r="I155" s="65">
        <f t="shared" si="136"/>
        <v>7750.4074547627015</v>
      </c>
      <c r="J155" s="65">
        <f t="shared" si="136"/>
        <v>6411.1353059178255</v>
      </c>
      <c r="K155" s="65">
        <f t="shared" si="136"/>
        <v>6405.7524098802714</v>
      </c>
      <c r="L155" s="65">
        <f t="shared" si="136"/>
        <v>7272.0559680092383</v>
      </c>
      <c r="M155" s="65">
        <f t="shared" si="136"/>
        <v>6336.7450913343946</v>
      </c>
      <c r="N155" s="65">
        <f t="shared" si="136"/>
        <v>7510.8642938608064</v>
      </c>
      <c r="O155" s="65">
        <f t="shared" si="136"/>
        <v>6818.3888850042076</v>
      </c>
      <c r="P155" s="65">
        <f t="shared" si="136"/>
        <v>6944.8123144722422</v>
      </c>
      <c r="Q155" s="65">
        <f t="shared" si="136"/>
        <v>6320.9910240547106</v>
      </c>
      <c r="R155" s="65">
        <f t="shared" si="136"/>
        <v>6390.7855110450482</v>
      </c>
      <c r="S155" s="65">
        <f t="shared" si="136"/>
        <v>6601.4881408872898</v>
      </c>
      <c r="T155" s="65">
        <f t="shared" si="136"/>
        <v>6311.7873147253786</v>
      </c>
      <c r="U155" s="65">
        <f t="shared" si="136"/>
        <v>5939.3093973202003</v>
      </c>
      <c r="V155" s="65">
        <f t="shared" si="136"/>
        <v>5968.2768166935593</v>
      </c>
      <c r="W155" s="65">
        <f t="shared" si="136"/>
        <v>7120.1497887597816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11.116368917847945</v>
      </c>
      <c r="C156" s="65">
        <f t="shared" ref="C156:W156" si="138">IF(C102=0,0,C102/C$23)</f>
        <v>12.155047249931988</v>
      </c>
      <c r="D156" s="65">
        <f t="shared" si="138"/>
        <v>12.907496387527187</v>
      </c>
      <c r="E156" s="65">
        <f t="shared" si="138"/>
        <v>12.954810582085937</v>
      </c>
      <c r="F156" s="65">
        <f t="shared" si="138"/>
        <v>12.584833451649873</v>
      </c>
      <c r="G156" s="65">
        <f t="shared" si="138"/>
        <v>13.036540374279685</v>
      </c>
      <c r="H156" s="65">
        <f t="shared" si="138"/>
        <v>14.387722767878373</v>
      </c>
      <c r="I156" s="65">
        <f t="shared" si="138"/>
        <v>13.493908358067003</v>
      </c>
      <c r="J156" s="65">
        <f t="shared" si="138"/>
        <v>14.099718421469417</v>
      </c>
      <c r="K156" s="65">
        <f t="shared" si="138"/>
        <v>16.882652667931875</v>
      </c>
      <c r="L156" s="65">
        <f t="shared" si="138"/>
        <v>22.272322055019643</v>
      </c>
      <c r="M156" s="65">
        <f t="shared" si="138"/>
        <v>18.934745432074617</v>
      </c>
      <c r="N156" s="65">
        <f t="shared" si="138"/>
        <v>18.763433180229008</v>
      </c>
      <c r="O156" s="65">
        <f t="shared" si="138"/>
        <v>18.00934865682596</v>
      </c>
      <c r="P156" s="65">
        <f t="shared" si="138"/>
        <v>19.245765417111844</v>
      </c>
      <c r="Q156" s="65">
        <f t="shared" si="138"/>
        <v>17.963329673312202</v>
      </c>
      <c r="R156" s="65">
        <f t="shared" si="138"/>
        <v>17.84776319010723</v>
      </c>
      <c r="S156" s="65">
        <f t="shared" si="138"/>
        <v>17.940128482198411</v>
      </c>
      <c r="T156" s="65">
        <f t="shared" si="138"/>
        <v>19.041335096863424</v>
      </c>
      <c r="U156" s="65">
        <f t="shared" si="138"/>
        <v>18.271837950978718</v>
      </c>
      <c r="V156" s="65">
        <f t="shared" si="138"/>
        <v>18.889956605784956</v>
      </c>
      <c r="W156" s="65">
        <f t="shared" si="138"/>
        <v>22.975863156752389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834.75866582277229</v>
      </c>
      <c r="C157" s="65">
        <f t="shared" ref="C157:W157" si="140">IF(C103=0,0,C103/C$23)</f>
        <v>886.99085542632201</v>
      </c>
      <c r="D157" s="65">
        <f t="shared" si="140"/>
        <v>869.44857717454465</v>
      </c>
      <c r="E157" s="65">
        <f t="shared" si="140"/>
        <v>878.4729889621517</v>
      </c>
      <c r="F157" s="65">
        <f t="shared" si="140"/>
        <v>891.16671664216301</v>
      </c>
      <c r="G157" s="65">
        <f t="shared" si="140"/>
        <v>881.88240425353047</v>
      </c>
      <c r="H157" s="65">
        <f t="shared" si="140"/>
        <v>911.07349001180421</v>
      </c>
      <c r="I157" s="65">
        <f t="shared" si="140"/>
        <v>881.9359415331113</v>
      </c>
      <c r="J157" s="65">
        <f t="shared" si="140"/>
        <v>891.89227411130014</v>
      </c>
      <c r="K157" s="65">
        <f t="shared" si="140"/>
        <v>1027.8308080329659</v>
      </c>
      <c r="L157" s="65">
        <f t="shared" si="140"/>
        <v>1066.6330311237839</v>
      </c>
      <c r="M157" s="65">
        <f t="shared" si="140"/>
        <v>1087.4941837424742</v>
      </c>
      <c r="N157" s="65">
        <f t="shared" si="140"/>
        <v>1047.0260989798983</v>
      </c>
      <c r="O157" s="65">
        <f t="shared" si="140"/>
        <v>1038.1563807455523</v>
      </c>
      <c r="P157" s="65">
        <f t="shared" si="140"/>
        <v>1036.4554064408662</v>
      </c>
      <c r="Q157" s="65">
        <f t="shared" si="140"/>
        <v>1030.7019503991137</v>
      </c>
      <c r="R157" s="65">
        <f t="shared" si="140"/>
        <v>1026.4204744393039</v>
      </c>
      <c r="S157" s="65">
        <f t="shared" si="140"/>
        <v>1034.6778666207258</v>
      </c>
      <c r="T157" s="65">
        <f t="shared" si="140"/>
        <v>994.26747124020164</v>
      </c>
      <c r="U157" s="65">
        <f t="shared" si="140"/>
        <v>961.09735703567765</v>
      </c>
      <c r="V157" s="65">
        <f t="shared" si="140"/>
        <v>895.35276583842472</v>
      </c>
      <c r="W157" s="65">
        <f t="shared" si="140"/>
        <v>987.1988709755941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897.11434210526352</v>
      </c>
      <c r="C158" s="67">
        <f t="shared" ref="C158:W158" si="142">IF(C104=0,0,C104/C$23)</f>
        <v>970.8631755319451</v>
      </c>
      <c r="D158" s="67">
        <f t="shared" si="142"/>
        <v>934.43599481087801</v>
      </c>
      <c r="E158" s="67">
        <f t="shared" si="142"/>
        <v>937.26323574905211</v>
      </c>
      <c r="F158" s="67">
        <f t="shared" si="142"/>
        <v>942.4842528136727</v>
      </c>
      <c r="G158" s="67">
        <f t="shared" si="142"/>
        <v>951.40245664009797</v>
      </c>
      <c r="H158" s="67">
        <f t="shared" si="142"/>
        <v>969.78923840902144</v>
      </c>
      <c r="I158" s="67">
        <f t="shared" si="142"/>
        <v>909.51516650253257</v>
      </c>
      <c r="J158" s="67">
        <f t="shared" si="142"/>
        <v>940.59892073045535</v>
      </c>
      <c r="K158" s="67">
        <f t="shared" si="142"/>
        <v>1073.6357880884834</v>
      </c>
      <c r="L158" s="67">
        <f t="shared" si="142"/>
        <v>1112.6916162644256</v>
      </c>
      <c r="M158" s="67">
        <f t="shared" si="142"/>
        <v>1102.1225886104166</v>
      </c>
      <c r="N158" s="67">
        <f t="shared" si="142"/>
        <v>1080.8950806480086</v>
      </c>
      <c r="O158" s="67">
        <f t="shared" si="142"/>
        <v>1052.6437335810863</v>
      </c>
      <c r="P158" s="67">
        <f t="shared" si="142"/>
        <v>1060.3475864277084</v>
      </c>
      <c r="Q158" s="67">
        <f t="shared" si="142"/>
        <v>1035.8006436805172</v>
      </c>
      <c r="R158" s="67">
        <f t="shared" si="142"/>
        <v>1035.8278671901535</v>
      </c>
      <c r="S158" s="67">
        <f t="shared" si="142"/>
        <v>1047.4235533495989</v>
      </c>
      <c r="T158" s="67">
        <f t="shared" si="142"/>
        <v>1036.4911803589221</v>
      </c>
      <c r="U158" s="67">
        <f t="shared" si="142"/>
        <v>1026.5613451410588</v>
      </c>
      <c r="V158" s="67">
        <f t="shared" si="142"/>
        <v>987.72012881079775</v>
      </c>
      <c r="W158" s="67">
        <f t="shared" si="142"/>
        <v>1067.6773666252523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1281.1854556363703</v>
      </c>
      <c r="C159" s="68">
        <f t="shared" ref="C159:W159" si="144">IF(C105=0,0,C105/C$23)</f>
        <v>1357.7544205347995</v>
      </c>
      <c r="D159" s="68">
        <f t="shared" si="144"/>
        <v>1428.0647918430366</v>
      </c>
      <c r="E159" s="68">
        <f t="shared" si="144"/>
        <v>1516.9823643857737</v>
      </c>
      <c r="F159" s="68">
        <f t="shared" si="144"/>
        <v>1578.6627533954697</v>
      </c>
      <c r="G159" s="68">
        <f t="shared" si="144"/>
        <v>1681.2476547420081</v>
      </c>
      <c r="H159" s="68">
        <f t="shared" si="144"/>
        <v>1796.9636239072195</v>
      </c>
      <c r="I159" s="68">
        <f t="shared" si="144"/>
        <v>1826.0387357408265</v>
      </c>
      <c r="J159" s="68">
        <f t="shared" si="144"/>
        <v>1909.1740586221217</v>
      </c>
      <c r="K159" s="68">
        <f t="shared" si="144"/>
        <v>2161.406936479445</v>
      </c>
      <c r="L159" s="68">
        <f t="shared" si="144"/>
        <v>2319.8338884709665</v>
      </c>
      <c r="M159" s="68">
        <f t="shared" si="144"/>
        <v>2360.4477744832061</v>
      </c>
      <c r="N159" s="68">
        <f t="shared" si="144"/>
        <v>2391.4787963753561</v>
      </c>
      <c r="O159" s="68">
        <f t="shared" si="144"/>
        <v>2380.8130183744752</v>
      </c>
      <c r="P159" s="68">
        <f t="shared" si="144"/>
        <v>2496.2015542385197</v>
      </c>
      <c r="Q159" s="68">
        <f t="shared" si="144"/>
        <v>2468.2872505564228</v>
      </c>
      <c r="R159" s="68">
        <f t="shared" si="144"/>
        <v>2452.5974795374791</v>
      </c>
      <c r="S159" s="68">
        <f t="shared" si="144"/>
        <v>2573.5682247360014</v>
      </c>
      <c r="T159" s="68">
        <f t="shared" si="144"/>
        <v>2570.5001093892679</v>
      </c>
      <c r="U159" s="68">
        <f t="shared" si="144"/>
        <v>2622.3208763503521</v>
      </c>
      <c r="V159" s="68">
        <f t="shared" si="144"/>
        <v>2548.4631420296182</v>
      </c>
      <c r="W159" s="68">
        <f t="shared" si="144"/>
        <v>2679.3886362456979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5160.9910656990078</v>
      </c>
      <c r="C161" s="85">
        <f t="shared" ref="C161:W161" si="146">IF(C107=0,0,C107/C$23)</f>
        <v>5597.0327143204177</v>
      </c>
      <c r="D161" s="85">
        <f t="shared" si="146"/>
        <v>5800.185798602025</v>
      </c>
      <c r="E161" s="85">
        <f t="shared" si="146"/>
        <v>6012.0367497130528</v>
      </c>
      <c r="F161" s="85">
        <f t="shared" si="146"/>
        <v>6035.6931523211779</v>
      </c>
      <c r="G161" s="85">
        <f t="shared" si="146"/>
        <v>5839.6149742018906</v>
      </c>
      <c r="H161" s="85">
        <f t="shared" si="146"/>
        <v>6121.2770738844592</v>
      </c>
      <c r="I161" s="85">
        <f t="shared" si="146"/>
        <v>6077.3083128131511</v>
      </c>
      <c r="J161" s="85">
        <f t="shared" si="146"/>
        <v>5408.2527421780669</v>
      </c>
      <c r="K161" s="85">
        <f t="shared" si="146"/>
        <v>5613.9559194998255</v>
      </c>
      <c r="L161" s="85">
        <f t="shared" si="146"/>
        <v>6295.3656440027999</v>
      </c>
      <c r="M161" s="85">
        <f t="shared" si="146"/>
        <v>5745.4318401971805</v>
      </c>
      <c r="N161" s="85">
        <f t="shared" si="146"/>
        <v>6546.2496958670545</v>
      </c>
      <c r="O161" s="85">
        <f t="shared" si="146"/>
        <v>6104.9931144439452</v>
      </c>
      <c r="P161" s="85">
        <f t="shared" si="146"/>
        <v>6240.5127077966117</v>
      </c>
      <c r="Q161" s="85">
        <f t="shared" si="146"/>
        <v>5827.7419979435635</v>
      </c>
      <c r="R161" s="85">
        <f t="shared" si="146"/>
        <v>5988.7039103773122</v>
      </c>
      <c r="S161" s="85">
        <f t="shared" si="146"/>
        <v>6191.2917237091533</v>
      </c>
      <c r="T161" s="85">
        <f t="shared" si="146"/>
        <v>6046.977868421217</v>
      </c>
      <c r="U161" s="85">
        <f t="shared" si="146"/>
        <v>5860.6646069438557</v>
      </c>
      <c r="V161" s="85">
        <f t="shared" si="146"/>
        <v>5904.0128047204989</v>
      </c>
      <c r="W161" s="85">
        <f t="shared" si="146"/>
        <v>6980.7140583859928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3981.9028208353329</v>
      </c>
      <c r="C162" s="65">
        <f t="shared" ref="C162:W162" si="148">IF(C108=0,0,C108/C$23)</f>
        <v>4340.6582200991943</v>
      </c>
      <c r="D162" s="65">
        <f t="shared" si="148"/>
        <v>4578.7437551794283</v>
      </c>
      <c r="E162" s="65">
        <f t="shared" si="148"/>
        <v>4783.593638956092</v>
      </c>
      <c r="F162" s="65">
        <f t="shared" si="148"/>
        <v>4788.4530423215365</v>
      </c>
      <c r="G162" s="65">
        <f t="shared" si="148"/>
        <v>4583.2257171173615</v>
      </c>
      <c r="H162" s="65">
        <f t="shared" si="148"/>
        <v>4819.6578127714429</v>
      </c>
      <c r="I162" s="65">
        <f t="shared" si="148"/>
        <v>4831.6685653811701</v>
      </c>
      <c r="J162" s="65">
        <f t="shared" si="148"/>
        <v>4125.6691425379022</v>
      </c>
      <c r="K162" s="65">
        <f t="shared" si="148"/>
        <v>4134.6717036762329</v>
      </c>
      <c r="L162" s="65">
        <f t="shared" si="148"/>
        <v>4736.2298126010046</v>
      </c>
      <c r="M162" s="65">
        <f t="shared" si="148"/>
        <v>4173.7084514361704</v>
      </c>
      <c r="N162" s="65">
        <f t="shared" si="148"/>
        <v>4998.324328114637</v>
      </c>
      <c r="O162" s="65">
        <f t="shared" si="148"/>
        <v>4567.3974843196156</v>
      </c>
      <c r="P162" s="65">
        <f t="shared" si="148"/>
        <v>4688.4942029163176</v>
      </c>
      <c r="Q162" s="65">
        <f t="shared" si="148"/>
        <v>4286.6723976716421</v>
      </c>
      <c r="R162" s="65">
        <f t="shared" si="148"/>
        <v>4448.3220955724582</v>
      </c>
      <c r="S162" s="65">
        <f t="shared" si="148"/>
        <v>4628.8449013314103</v>
      </c>
      <c r="T162" s="65">
        <f t="shared" si="148"/>
        <v>4494.0139942179612</v>
      </c>
      <c r="U162" s="65">
        <f t="shared" si="148"/>
        <v>4317.6764461565508</v>
      </c>
      <c r="V162" s="65">
        <f t="shared" si="148"/>
        <v>4422.1511054316425</v>
      </c>
      <c r="W162" s="65">
        <f t="shared" si="148"/>
        <v>5324.828939944693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22.561430777368873</v>
      </c>
      <c r="C163" s="65">
        <f t="shared" ref="C163:W163" si="150">IF(C109=0,0,C109/C$23)</f>
        <v>25.913826228897317</v>
      </c>
      <c r="D163" s="65">
        <f t="shared" si="150"/>
        <v>29.071322022147211</v>
      </c>
      <c r="E163" s="65">
        <f t="shared" si="150"/>
        <v>30.870504723247109</v>
      </c>
      <c r="F163" s="65">
        <f t="shared" si="150"/>
        <v>31.538919573806108</v>
      </c>
      <c r="G163" s="65">
        <f t="shared" si="150"/>
        <v>34.516047926092384</v>
      </c>
      <c r="H163" s="65">
        <f t="shared" si="150"/>
        <v>40.156859534790101</v>
      </c>
      <c r="I163" s="65">
        <f t="shared" si="150"/>
        <v>39.770487546555913</v>
      </c>
      <c r="J163" s="65">
        <f t="shared" si="150"/>
        <v>43.77286117190819</v>
      </c>
      <c r="K163" s="65">
        <f t="shared" si="150"/>
        <v>53.437461299253023</v>
      </c>
      <c r="L163" s="65">
        <f t="shared" si="150"/>
        <v>72.059236811199781</v>
      </c>
      <c r="M163" s="65">
        <f t="shared" si="150"/>
        <v>63.121754933444137</v>
      </c>
      <c r="N163" s="65">
        <f t="shared" si="150"/>
        <v>64.497743251085907</v>
      </c>
      <c r="O163" s="65">
        <f t="shared" si="150"/>
        <v>64.035588825201998</v>
      </c>
      <c r="P163" s="65">
        <f t="shared" si="150"/>
        <v>70.974679591030608</v>
      </c>
      <c r="Q163" s="65">
        <f t="shared" si="150"/>
        <v>68.958789637994528</v>
      </c>
      <c r="R163" s="65">
        <f t="shared" si="150"/>
        <v>71.319325849914733</v>
      </c>
      <c r="S163" s="65">
        <f t="shared" si="150"/>
        <v>74.442664608492748</v>
      </c>
      <c r="T163" s="65">
        <f t="shared" si="150"/>
        <v>81.694261725594771</v>
      </c>
      <c r="U163" s="65">
        <f t="shared" si="150"/>
        <v>80.690244784123777</v>
      </c>
      <c r="V163" s="65">
        <f t="shared" si="150"/>
        <v>85.610739656153555</v>
      </c>
      <c r="W163" s="65">
        <f t="shared" si="150"/>
        <v>106.68560676747764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509.58945813392165</v>
      </c>
      <c r="C164" s="65">
        <f t="shared" ref="C164:W164" si="152">IF(C110=0,0,C110/C$23)</f>
        <v>548.86904303185281</v>
      </c>
      <c r="D164" s="65">
        <f t="shared" si="152"/>
        <v>540.56201438318908</v>
      </c>
      <c r="E164" s="65">
        <f t="shared" si="152"/>
        <v>550.10385616227995</v>
      </c>
      <c r="F164" s="65">
        <f t="shared" si="152"/>
        <v>561.35297491479798</v>
      </c>
      <c r="G164" s="65">
        <f t="shared" si="152"/>
        <v>558.23347969517908</v>
      </c>
      <c r="H164" s="65">
        <f t="shared" si="152"/>
        <v>581.49194511936184</v>
      </c>
      <c r="I164" s="65">
        <f t="shared" si="152"/>
        <v>568.09525012140455</v>
      </c>
      <c r="J164" s="65">
        <f t="shared" si="152"/>
        <v>576.74202836248526</v>
      </c>
      <c r="K164" s="65">
        <f t="shared" si="152"/>
        <v>670.22045588195601</v>
      </c>
      <c r="L164" s="65">
        <f t="shared" si="152"/>
        <v>701.44336411336565</v>
      </c>
      <c r="M164" s="65">
        <f t="shared" si="152"/>
        <v>723.28986857324162</v>
      </c>
      <c r="N164" s="65">
        <f t="shared" si="152"/>
        <v>704.5918251277069</v>
      </c>
      <c r="O164" s="65">
        <f t="shared" si="152"/>
        <v>707.91265142378938</v>
      </c>
      <c r="P164" s="65">
        <f t="shared" si="152"/>
        <v>711.85188718515633</v>
      </c>
      <c r="Q164" s="65">
        <f t="shared" si="152"/>
        <v>717.13287073130186</v>
      </c>
      <c r="R164" s="65">
        <f t="shared" si="152"/>
        <v>724.76874494359811</v>
      </c>
      <c r="S164" s="65">
        <f t="shared" si="152"/>
        <v>744.1448224617759</v>
      </c>
      <c r="T164" s="65">
        <f t="shared" si="152"/>
        <v>730.82768759528301</v>
      </c>
      <c r="U164" s="65">
        <f t="shared" si="152"/>
        <v>723.00427828630779</v>
      </c>
      <c r="V164" s="65">
        <f t="shared" si="152"/>
        <v>687.34637352028949</v>
      </c>
      <c r="W164" s="65">
        <f t="shared" si="152"/>
        <v>773.87185705153161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646.93735595238434</v>
      </c>
      <c r="C165" s="68">
        <f t="shared" ref="C165:W165" si="154">IF(C111=0,0,C111/C$23)</f>
        <v>681.59162496047315</v>
      </c>
      <c r="D165" s="68">
        <f t="shared" si="154"/>
        <v>651.80870701726019</v>
      </c>
      <c r="E165" s="68">
        <f t="shared" si="154"/>
        <v>647.46874987143372</v>
      </c>
      <c r="F165" s="68">
        <f t="shared" si="154"/>
        <v>654.34821551103835</v>
      </c>
      <c r="G165" s="68">
        <f t="shared" si="154"/>
        <v>663.63972946325839</v>
      </c>
      <c r="H165" s="68">
        <f t="shared" si="154"/>
        <v>679.97045645886396</v>
      </c>
      <c r="I165" s="68">
        <f t="shared" si="154"/>
        <v>637.77400976402123</v>
      </c>
      <c r="J165" s="68">
        <f t="shared" si="154"/>
        <v>662.06871010577083</v>
      </c>
      <c r="K165" s="68">
        <f t="shared" si="154"/>
        <v>755.62629864238431</v>
      </c>
      <c r="L165" s="68">
        <f t="shared" si="154"/>
        <v>785.63323047722918</v>
      </c>
      <c r="M165" s="68">
        <f t="shared" si="154"/>
        <v>785.31176525432454</v>
      </c>
      <c r="N165" s="68">
        <f t="shared" si="154"/>
        <v>778.83579937362526</v>
      </c>
      <c r="O165" s="68">
        <f t="shared" si="154"/>
        <v>765.64738987533644</v>
      </c>
      <c r="P165" s="68">
        <f t="shared" si="154"/>
        <v>769.19193810410763</v>
      </c>
      <c r="Q165" s="68">
        <f t="shared" si="154"/>
        <v>754.97793990262562</v>
      </c>
      <c r="R165" s="68">
        <f t="shared" si="154"/>
        <v>744.29374401134146</v>
      </c>
      <c r="S165" s="68">
        <f t="shared" si="154"/>
        <v>743.85933530747502</v>
      </c>
      <c r="T165" s="68">
        <f t="shared" si="154"/>
        <v>740.44192488237832</v>
      </c>
      <c r="U165" s="68">
        <f t="shared" si="154"/>
        <v>739.2936377168736</v>
      </c>
      <c r="V165" s="68">
        <f t="shared" si="154"/>
        <v>708.90458611241422</v>
      </c>
      <c r="W165" s="68">
        <f t="shared" si="154"/>
        <v>775.32765462229099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637.34995744145226</v>
      </c>
      <c r="C167" s="82">
        <f t="shared" ref="C167:W167" si="156">IF(C113=0,0,C113/C$23)</f>
        <v>696.72475943542963</v>
      </c>
      <c r="D167" s="82">
        <f t="shared" si="156"/>
        <v>745.36373184165245</v>
      </c>
      <c r="E167" s="82">
        <f t="shared" si="156"/>
        <v>775.92819754750042</v>
      </c>
      <c r="F167" s="82">
        <f t="shared" si="156"/>
        <v>798.54565932693879</v>
      </c>
      <c r="G167" s="82">
        <f t="shared" si="156"/>
        <v>706.0337554959624</v>
      </c>
      <c r="H167" s="82">
        <f t="shared" si="156"/>
        <v>783.06038199063119</v>
      </c>
      <c r="I167" s="82">
        <f t="shared" si="156"/>
        <v>715.83206953228</v>
      </c>
      <c r="J167" s="82">
        <f t="shared" si="156"/>
        <v>671.35161661192058</v>
      </c>
      <c r="K167" s="82">
        <f t="shared" si="156"/>
        <v>699.60263368579967</v>
      </c>
      <c r="L167" s="82">
        <f t="shared" si="156"/>
        <v>794.69315364334443</v>
      </c>
      <c r="M167" s="82">
        <f t="shared" si="156"/>
        <v>703.69440978162436</v>
      </c>
      <c r="N167" s="82">
        <f t="shared" si="156"/>
        <v>674.60230056517173</v>
      </c>
      <c r="O167" s="82">
        <f t="shared" si="156"/>
        <v>619.02924633496355</v>
      </c>
      <c r="P167" s="82">
        <f t="shared" si="156"/>
        <v>654.75018437434142</v>
      </c>
      <c r="Q167" s="82">
        <f t="shared" si="156"/>
        <v>621.66659253605133</v>
      </c>
      <c r="R167" s="82">
        <f t="shared" si="156"/>
        <v>569.97247814347281</v>
      </c>
      <c r="S167" s="82">
        <f t="shared" si="156"/>
        <v>602.29944576518562</v>
      </c>
      <c r="T167" s="82">
        <f t="shared" si="156"/>
        <v>624.63297797146629</v>
      </c>
      <c r="U167" s="82">
        <f t="shared" si="156"/>
        <v>597.32766878583368</v>
      </c>
      <c r="V167" s="82">
        <f t="shared" si="156"/>
        <v>635.64101941091303</v>
      </c>
      <c r="W167" s="82">
        <f t="shared" si="156"/>
        <v>779.1256607834265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637.34995744145226</v>
      </c>
      <c r="C168" s="64">
        <f t="shared" ref="C168:W168" si="158">IF(C114=0,0,C114/C$23)</f>
        <v>696.72475943542963</v>
      </c>
      <c r="D168" s="64">
        <f t="shared" si="158"/>
        <v>745.36373184165245</v>
      </c>
      <c r="E168" s="64">
        <f t="shared" si="158"/>
        <v>775.92819754750042</v>
      </c>
      <c r="F168" s="64">
        <f t="shared" si="158"/>
        <v>798.54565932693879</v>
      </c>
      <c r="G168" s="64">
        <f t="shared" si="158"/>
        <v>706.0337554959624</v>
      </c>
      <c r="H168" s="64">
        <f t="shared" si="158"/>
        <v>783.06038199063119</v>
      </c>
      <c r="I168" s="64">
        <f t="shared" si="158"/>
        <v>715.83206953228</v>
      </c>
      <c r="J168" s="64">
        <f t="shared" si="158"/>
        <v>671.35161661192058</v>
      </c>
      <c r="K168" s="64">
        <f t="shared" si="158"/>
        <v>699.60263368579967</v>
      </c>
      <c r="L168" s="64">
        <f t="shared" si="158"/>
        <v>794.69315364334443</v>
      </c>
      <c r="M168" s="64">
        <f t="shared" si="158"/>
        <v>703.69440978162436</v>
      </c>
      <c r="N168" s="64">
        <f t="shared" si="158"/>
        <v>674.60230056517173</v>
      </c>
      <c r="O168" s="64">
        <f t="shared" si="158"/>
        <v>619.02924633496355</v>
      </c>
      <c r="P168" s="64">
        <f t="shared" si="158"/>
        <v>654.75018437434142</v>
      </c>
      <c r="Q168" s="64">
        <f t="shared" si="158"/>
        <v>621.66659253605133</v>
      </c>
      <c r="R168" s="64">
        <f t="shared" si="158"/>
        <v>569.97247814347281</v>
      </c>
      <c r="S168" s="64">
        <f t="shared" si="158"/>
        <v>602.29944576518562</v>
      </c>
      <c r="T168" s="64">
        <f t="shared" si="158"/>
        <v>624.63297797146629</v>
      </c>
      <c r="U168" s="64">
        <f t="shared" si="158"/>
        <v>597.32766878583368</v>
      </c>
      <c r="V168" s="64">
        <f t="shared" si="158"/>
        <v>635.64101941091303</v>
      </c>
      <c r="W168" s="64">
        <f t="shared" si="158"/>
        <v>779.1256607834265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575.40573121226419</v>
      </c>
      <c r="C169" s="65">
        <f t="shared" ref="C169:W169" si="160">IF(C115=0,0,C115/C$23)</f>
        <v>605.05103018667819</v>
      </c>
      <c r="D169" s="65">
        <f t="shared" si="160"/>
        <v>648.09348542865985</v>
      </c>
      <c r="E169" s="65">
        <f t="shared" si="160"/>
        <v>666.45837667688363</v>
      </c>
      <c r="F169" s="65">
        <f t="shared" si="160"/>
        <v>692.58941302480798</v>
      </c>
      <c r="G169" s="65">
        <f t="shared" si="160"/>
        <v>598.86018196086661</v>
      </c>
      <c r="H169" s="65">
        <f t="shared" si="160"/>
        <v>675.4818906628459</v>
      </c>
      <c r="I169" s="65">
        <f t="shared" si="160"/>
        <v>612.43043737512085</v>
      </c>
      <c r="J169" s="65">
        <f t="shared" si="160"/>
        <v>562.99409189594314</v>
      </c>
      <c r="K169" s="65">
        <f t="shared" si="160"/>
        <v>573.02814572131251</v>
      </c>
      <c r="L169" s="65">
        <f t="shared" si="160"/>
        <v>663.17551962800951</v>
      </c>
      <c r="M169" s="65">
        <f t="shared" si="160"/>
        <v>579.50470120913542</v>
      </c>
      <c r="N169" s="65">
        <f t="shared" si="160"/>
        <v>558.57379194652594</v>
      </c>
      <c r="O169" s="65">
        <f t="shared" si="160"/>
        <v>510.90997562627246</v>
      </c>
      <c r="P169" s="65">
        <f t="shared" si="160"/>
        <v>539.80381215889827</v>
      </c>
      <c r="Q169" s="65">
        <f t="shared" si="160"/>
        <v>509.33204993671808</v>
      </c>
      <c r="R169" s="65">
        <f t="shared" si="160"/>
        <v>442.21096899013429</v>
      </c>
      <c r="S169" s="65">
        <f t="shared" si="160"/>
        <v>459.06530781833771</v>
      </c>
      <c r="T169" s="65">
        <f t="shared" si="160"/>
        <v>485.23123673518444</v>
      </c>
      <c r="U169" s="65">
        <f t="shared" si="160"/>
        <v>460.75476161012722</v>
      </c>
      <c r="V169" s="65">
        <f t="shared" si="160"/>
        <v>495.08718225253011</v>
      </c>
      <c r="W169" s="65">
        <f t="shared" si="160"/>
        <v>630.35396580744259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38.555585455584186</v>
      </c>
      <c r="C171" s="65">
        <f t="shared" ref="C171:W171" si="164">IF(C117=0,0,C117/C$23)</f>
        <v>40.637463177085891</v>
      </c>
      <c r="D171" s="65">
        <f t="shared" si="164"/>
        <v>42.786191527052445</v>
      </c>
      <c r="E171" s="65">
        <f t="shared" si="164"/>
        <v>43.286316502543812</v>
      </c>
      <c r="F171" s="65">
        <f t="shared" si="164"/>
        <v>42.881825886673532</v>
      </c>
      <c r="G171" s="65">
        <f t="shared" si="164"/>
        <v>44.333424041349168</v>
      </c>
      <c r="H171" s="65">
        <f t="shared" si="164"/>
        <v>45.238073100103882</v>
      </c>
      <c r="I171" s="65">
        <f t="shared" si="164"/>
        <v>42.679569637355932</v>
      </c>
      <c r="J171" s="65">
        <f t="shared" si="164"/>
        <v>47.092929898329409</v>
      </c>
      <c r="K171" s="65">
        <f t="shared" si="164"/>
        <v>54.416388562845832</v>
      </c>
      <c r="L171" s="65">
        <f t="shared" si="164"/>
        <v>57.756831069223878</v>
      </c>
      <c r="M171" s="65">
        <f t="shared" si="164"/>
        <v>58.893152897872781</v>
      </c>
      <c r="N171" s="65">
        <f t="shared" si="164"/>
        <v>59.124497637923895</v>
      </c>
      <c r="O171" s="65">
        <f t="shared" si="164"/>
        <v>58.279040834762831</v>
      </c>
      <c r="P171" s="65">
        <f t="shared" si="164"/>
        <v>58.979871846779382</v>
      </c>
      <c r="Q171" s="65">
        <f t="shared" si="164"/>
        <v>58.470912119915063</v>
      </c>
      <c r="R171" s="65">
        <f t="shared" si="164"/>
        <v>57.630470908220595</v>
      </c>
      <c r="S171" s="65">
        <f t="shared" si="164"/>
        <v>57.08380519012654</v>
      </c>
      <c r="T171" s="65">
        <f t="shared" si="164"/>
        <v>54.094418071130512</v>
      </c>
      <c r="U171" s="65">
        <f t="shared" si="164"/>
        <v>52.284552835507682</v>
      </c>
      <c r="V171" s="65">
        <f t="shared" si="164"/>
        <v>50.901915456615512</v>
      </c>
      <c r="W171" s="65">
        <f t="shared" si="164"/>
        <v>53.592779300922125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23.388640773603871</v>
      </c>
      <c r="C172" s="67">
        <f t="shared" ref="C172:W172" si="166">IF(C118=0,0,C118/C$23)</f>
        <v>51.036266071665601</v>
      </c>
      <c r="D172" s="67">
        <f t="shared" si="166"/>
        <v>54.484054885940076</v>
      </c>
      <c r="E172" s="67">
        <f t="shared" si="166"/>
        <v>66.183504368072931</v>
      </c>
      <c r="F172" s="67">
        <f t="shared" si="166"/>
        <v>63.074420415457396</v>
      </c>
      <c r="G172" s="67">
        <f t="shared" si="166"/>
        <v>62.840149493746637</v>
      </c>
      <c r="H172" s="67">
        <f t="shared" si="166"/>
        <v>62.340418227681319</v>
      </c>
      <c r="I172" s="67">
        <f t="shared" si="166"/>
        <v>60.72206251980321</v>
      </c>
      <c r="J172" s="67">
        <f t="shared" si="166"/>
        <v>61.26459481764806</v>
      </c>
      <c r="K172" s="67">
        <f t="shared" si="166"/>
        <v>72.158099401641323</v>
      </c>
      <c r="L172" s="67">
        <f t="shared" si="166"/>
        <v>73.760802946110886</v>
      </c>
      <c r="M172" s="67">
        <f t="shared" si="166"/>
        <v>65.296555674616144</v>
      </c>
      <c r="N172" s="67">
        <f t="shared" si="166"/>
        <v>56.904010980721921</v>
      </c>
      <c r="O172" s="67">
        <f t="shared" si="166"/>
        <v>49.840229873928266</v>
      </c>
      <c r="P172" s="67">
        <f t="shared" si="166"/>
        <v>55.966500368663638</v>
      </c>
      <c r="Q172" s="67">
        <f t="shared" si="166"/>
        <v>53.863630479418013</v>
      </c>
      <c r="R172" s="67">
        <f t="shared" si="166"/>
        <v>70.131038245117963</v>
      </c>
      <c r="S172" s="67">
        <f t="shared" si="166"/>
        <v>86.15033275672134</v>
      </c>
      <c r="T172" s="67">
        <f t="shared" si="166"/>
        <v>85.307323165151359</v>
      </c>
      <c r="U172" s="67">
        <f t="shared" si="166"/>
        <v>84.288354340198808</v>
      </c>
      <c r="V172" s="67">
        <f t="shared" si="166"/>
        <v>89.651921701767577</v>
      </c>
      <c r="W172" s="67">
        <f t="shared" si="166"/>
        <v>95.178915675061845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12774.925639396286</v>
      </c>
      <c r="C3" s="125">
        <f t="shared" si="0"/>
        <v>13313.459304722574</v>
      </c>
      <c r="D3" s="125">
        <f t="shared" si="0"/>
        <v>13941.253685068088</v>
      </c>
      <c r="E3" s="125">
        <f t="shared" si="0"/>
        <v>14612.782811719751</v>
      </c>
      <c r="F3" s="125">
        <f t="shared" si="0"/>
        <v>15415.53156281848</v>
      </c>
      <c r="G3" s="125">
        <f t="shared" si="0"/>
        <v>16049.300002318021</v>
      </c>
      <c r="H3" s="125">
        <f t="shared" si="0"/>
        <v>17008.270010500972</v>
      </c>
      <c r="I3" s="125">
        <f t="shared" si="0"/>
        <v>18023.322830821679</v>
      </c>
      <c r="J3" s="125">
        <f t="shared" si="0"/>
        <v>18579.373307633443</v>
      </c>
      <c r="K3" s="125">
        <f t="shared" si="0"/>
        <v>18613.824129688681</v>
      </c>
      <c r="L3" s="125">
        <f t="shared" si="0"/>
        <v>18523.221166702591</v>
      </c>
      <c r="M3" s="125">
        <f t="shared" si="0"/>
        <v>18824.137865271805</v>
      </c>
      <c r="N3" s="125">
        <f t="shared" si="0"/>
        <v>18740.27185020053</v>
      </c>
      <c r="O3" s="125">
        <f t="shared" si="0"/>
        <v>18930.684800060611</v>
      </c>
      <c r="P3" s="125">
        <f t="shared" si="0"/>
        <v>19141.279222169574</v>
      </c>
      <c r="Q3" s="125">
        <f t="shared" si="0"/>
        <v>19404.648510811061</v>
      </c>
      <c r="R3" s="125">
        <f t="shared" si="0"/>
        <v>19489.20535670907</v>
      </c>
      <c r="S3" s="125">
        <f t="shared" si="0"/>
        <v>19704.30398500077</v>
      </c>
      <c r="T3" s="125">
        <f t="shared" si="0"/>
        <v>19851.318053630079</v>
      </c>
      <c r="U3" s="125">
        <f t="shared" si="0"/>
        <v>19997.18281153659</v>
      </c>
      <c r="V3" s="125">
        <f t="shared" si="0"/>
        <v>20133.01555555555</v>
      </c>
      <c r="W3" s="125">
        <f t="shared" si="0"/>
        <v>20265.836886542893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12774.925639396286</v>
      </c>
      <c r="C4" s="140">
        <f t="shared" si="1"/>
        <v>13313.459304722574</v>
      </c>
      <c r="D4" s="140">
        <f t="shared" si="1"/>
        <v>13941.253685068088</v>
      </c>
      <c r="E4" s="140">
        <f t="shared" si="1"/>
        <v>14612.782811719751</v>
      </c>
      <c r="F4" s="140">
        <f t="shared" si="1"/>
        <v>15415.53156281848</v>
      </c>
      <c r="G4" s="140">
        <f t="shared" si="1"/>
        <v>16049.300002318021</v>
      </c>
      <c r="H4" s="140">
        <f t="shared" si="1"/>
        <v>17008.270010500972</v>
      </c>
      <c r="I4" s="140">
        <f t="shared" si="1"/>
        <v>18023.322830821679</v>
      </c>
      <c r="J4" s="140">
        <f t="shared" si="1"/>
        <v>18579.373307633443</v>
      </c>
      <c r="K4" s="140">
        <f t="shared" si="1"/>
        <v>18613.824129688681</v>
      </c>
      <c r="L4" s="140">
        <f t="shared" si="1"/>
        <v>18523.221166702591</v>
      </c>
      <c r="M4" s="140">
        <f t="shared" si="1"/>
        <v>18824.137865271805</v>
      </c>
      <c r="N4" s="140">
        <f t="shared" si="1"/>
        <v>18740.27185020053</v>
      </c>
      <c r="O4" s="140">
        <f t="shared" si="1"/>
        <v>18930.684800060611</v>
      </c>
      <c r="P4" s="140">
        <f t="shared" si="1"/>
        <v>19141.279222169574</v>
      </c>
      <c r="Q4" s="140">
        <f t="shared" si="1"/>
        <v>19404.648510811061</v>
      </c>
      <c r="R4" s="140">
        <f t="shared" ref="R4:W4" si="2">SUM(R5:R14)</f>
        <v>19489.20535670907</v>
      </c>
      <c r="S4" s="140">
        <f t="shared" si="2"/>
        <v>19704.30398500077</v>
      </c>
      <c r="T4" s="140">
        <f t="shared" si="2"/>
        <v>19851.318053630079</v>
      </c>
      <c r="U4" s="140">
        <f t="shared" si="2"/>
        <v>19997.18281153659</v>
      </c>
      <c r="V4" s="140">
        <f t="shared" si="2"/>
        <v>20133.01555555555</v>
      </c>
      <c r="W4" s="140">
        <f t="shared" si="2"/>
        <v>20265.836886542893</v>
      </c>
      <c r="DA4" s="170" t="s">
        <v>245</v>
      </c>
    </row>
    <row r="5" spans="1:105" ht="12" customHeight="1" x14ac:dyDescent="0.25">
      <c r="A5" s="132" t="s">
        <v>29</v>
      </c>
      <c r="B5" s="141">
        <v>1177.4379887819975</v>
      </c>
      <c r="C5" s="141">
        <v>1131.487509989189</v>
      </c>
      <c r="D5" s="141">
        <v>1041.1856873278864</v>
      </c>
      <c r="E5" s="141">
        <v>956.60886684597779</v>
      </c>
      <c r="F5" s="141">
        <v>891.26420308335253</v>
      </c>
      <c r="G5" s="141">
        <v>826.48177048326431</v>
      </c>
      <c r="H5" s="141">
        <v>809.62496874509657</v>
      </c>
      <c r="I5" s="141">
        <v>795.6992955032805</v>
      </c>
      <c r="J5" s="141">
        <v>820.35363044012138</v>
      </c>
      <c r="K5" s="141">
        <v>837.15557579453139</v>
      </c>
      <c r="L5" s="141">
        <v>866.97017901025401</v>
      </c>
      <c r="M5" s="141">
        <v>815.26756629161594</v>
      </c>
      <c r="N5" s="141">
        <v>629.39015707701992</v>
      </c>
      <c r="O5" s="141">
        <v>523.92310673366103</v>
      </c>
      <c r="P5" s="141">
        <v>415.26407893974294</v>
      </c>
      <c r="Q5" s="141">
        <v>350.5594567150427</v>
      </c>
      <c r="R5" s="141">
        <v>286.01732152492553</v>
      </c>
      <c r="S5" s="141">
        <v>224.60431911341905</v>
      </c>
      <c r="T5" s="141">
        <v>183.3518979156751</v>
      </c>
      <c r="U5" s="141">
        <v>143.36166432891284</v>
      </c>
      <c r="V5" s="141">
        <v>103.3865800845882</v>
      </c>
      <c r="W5" s="141">
        <v>92.082410732121005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1095.0551993712593</v>
      </c>
      <c r="C7" s="141">
        <v>1142.2122646533905</v>
      </c>
      <c r="D7" s="141">
        <v>1197.6928961897434</v>
      </c>
      <c r="E7" s="141">
        <v>1252.2280176992292</v>
      </c>
      <c r="F7" s="141">
        <v>1305.9817577824535</v>
      </c>
      <c r="G7" s="141">
        <v>1290.0837722338138</v>
      </c>
      <c r="H7" s="141">
        <v>1343.4177957784216</v>
      </c>
      <c r="I7" s="141">
        <v>1276.6112811495425</v>
      </c>
      <c r="J7" s="141">
        <v>1271.8066564776925</v>
      </c>
      <c r="K7" s="141">
        <v>1270.3954820668619</v>
      </c>
      <c r="L7" s="141">
        <v>1292.5950706755625</v>
      </c>
      <c r="M7" s="141">
        <v>1374.7970450536141</v>
      </c>
      <c r="N7" s="141">
        <v>1543.4722323371079</v>
      </c>
      <c r="O7" s="141">
        <v>1766.9199299277532</v>
      </c>
      <c r="P7" s="141">
        <v>1879.6421549120005</v>
      </c>
      <c r="Q7" s="141">
        <v>1884.3665687722464</v>
      </c>
      <c r="R7" s="141">
        <v>1637.5597903928076</v>
      </c>
      <c r="S7" s="141">
        <v>1540.4001586932286</v>
      </c>
      <c r="T7" s="141">
        <v>1564.0079020291876</v>
      </c>
      <c r="U7" s="141">
        <v>1676.2832424154185</v>
      </c>
      <c r="V7" s="141">
        <v>1911.4321221975608</v>
      </c>
      <c r="W7" s="141">
        <v>2287.6988004390923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1111.5830619165565</v>
      </c>
      <c r="C9" s="141">
        <v>1256.4271132111767</v>
      </c>
      <c r="D9" s="141">
        <v>1662.3880728138486</v>
      </c>
      <c r="E9" s="141">
        <v>2016.7391460795518</v>
      </c>
      <c r="F9" s="141">
        <v>2432.4539546886444</v>
      </c>
      <c r="G9" s="141">
        <v>2767.4301619974867</v>
      </c>
      <c r="H9" s="141">
        <v>3139.6213695663059</v>
      </c>
      <c r="I9" s="141">
        <v>3551.9103398584307</v>
      </c>
      <c r="J9" s="141">
        <v>3995.2163059778545</v>
      </c>
      <c r="K9" s="141">
        <v>4292.5636342052503</v>
      </c>
      <c r="L9" s="141">
        <v>4311.8477035875649</v>
      </c>
      <c r="M9" s="141">
        <v>4141.2332850584771</v>
      </c>
      <c r="N9" s="141">
        <v>3746.4247873645736</v>
      </c>
      <c r="O9" s="141">
        <v>3514.32653435053</v>
      </c>
      <c r="P9" s="141">
        <v>3537.2729720796683</v>
      </c>
      <c r="Q9" s="141">
        <v>3696.1607070835817</v>
      </c>
      <c r="R9" s="141">
        <v>3956.1013165618524</v>
      </c>
      <c r="S9" s="141">
        <v>4273.2935109753162</v>
      </c>
      <c r="T9" s="141">
        <v>4651.0304393634487</v>
      </c>
      <c r="U9" s="141">
        <v>4988.4888210304898</v>
      </c>
      <c r="V9" s="141">
        <v>5218.7581668028997</v>
      </c>
      <c r="W9" s="141">
        <v>5330.7166119401409</v>
      </c>
      <c r="DA9" s="171" t="s">
        <v>250</v>
      </c>
    </row>
    <row r="10" spans="1:105" ht="12" customHeight="1" x14ac:dyDescent="0.25">
      <c r="A10" s="132" t="s">
        <v>128</v>
      </c>
      <c r="B10" s="141">
        <v>2136.6647502598421</v>
      </c>
      <c r="C10" s="141">
        <v>2252.9984502999268</v>
      </c>
      <c r="D10" s="141">
        <v>2330.0589958964629</v>
      </c>
      <c r="E10" s="141">
        <v>2479.0120548641548</v>
      </c>
      <c r="F10" s="141">
        <v>2720.637189511725</v>
      </c>
      <c r="G10" s="141">
        <v>2971.6579237700244</v>
      </c>
      <c r="H10" s="141">
        <v>3110.514968665947</v>
      </c>
      <c r="I10" s="141">
        <v>3173.425122894304</v>
      </c>
      <c r="J10" s="141">
        <v>2891.7409770520144</v>
      </c>
      <c r="K10" s="141">
        <v>2815.4193000251853</v>
      </c>
      <c r="L10" s="141">
        <v>2767.3981899355981</v>
      </c>
      <c r="M10" s="141">
        <v>2883.590186890694</v>
      </c>
      <c r="N10" s="141">
        <v>3082.8132515521315</v>
      </c>
      <c r="O10" s="141">
        <v>3233.548335457654</v>
      </c>
      <c r="P10" s="141">
        <v>3189.501410335557</v>
      </c>
      <c r="Q10" s="141">
        <v>3157.7780539596333</v>
      </c>
      <c r="R10" s="141">
        <v>3026.8262815853709</v>
      </c>
      <c r="S10" s="141">
        <v>2906.5919018570089</v>
      </c>
      <c r="T10" s="141">
        <v>2596.9655291771933</v>
      </c>
      <c r="U10" s="141">
        <v>2267.2488672600166</v>
      </c>
      <c r="V10" s="141">
        <v>1893.1886976245519</v>
      </c>
      <c r="W10" s="141">
        <v>1720.4721571398034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6458.6752903141523</v>
      </c>
      <c r="C12" s="141">
        <v>6600.8402877814442</v>
      </c>
      <c r="D12" s="141">
        <v>6396.4401088078957</v>
      </c>
      <c r="E12" s="141">
        <v>6332.9662401362866</v>
      </c>
      <c r="F12" s="141">
        <v>6275.103776307149</v>
      </c>
      <c r="G12" s="141">
        <v>6157.7756237632657</v>
      </c>
      <c r="H12" s="141">
        <v>6302.8202760543909</v>
      </c>
      <c r="I12" s="141">
        <v>6694.0458111004082</v>
      </c>
      <c r="J12" s="141">
        <v>7177.5286901410673</v>
      </c>
      <c r="K12" s="141">
        <v>7370.6054045682131</v>
      </c>
      <c r="L12" s="141">
        <v>7296.2045090654219</v>
      </c>
      <c r="M12" s="141">
        <v>7440.8981176318548</v>
      </c>
      <c r="N12" s="141">
        <v>7152.4452321478338</v>
      </c>
      <c r="O12" s="141">
        <v>7211.8887158407169</v>
      </c>
      <c r="P12" s="141">
        <v>7298.2153081042497</v>
      </c>
      <c r="Q12" s="141">
        <v>7656.5825490024126</v>
      </c>
      <c r="R12" s="141">
        <v>7882.9171292202609</v>
      </c>
      <c r="S12" s="141">
        <v>7982.6584397394827</v>
      </c>
      <c r="T12" s="141">
        <v>7867.5357337412806</v>
      </c>
      <c r="U12" s="141">
        <v>7881.8429894570127</v>
      </c>
      <c r="V12" s="141">
        <v>8072.0335890076922</v>
      </c>
      <c r="W12" s="141">
        <v>8070.2603332213685</v>
      </c>
      <c r="DA12" s="171" t="s">
        <v>253</v>
      </c>
    </row>
    <row r="13" spans="1:105" ht="12" customHeight="1" x14ac:dyDescent="0.25">
      <c r="A13" s="132" t="s">
        <v>77</v>
      </c>
      <c r="B13" s="141">
        <v>8.6375383917179692E-4</v>
      </c>
      <c r="C13" s="141">
        <v>3.7284827249959491E-3</v>
      </c>
      <c r="D13" s="141">
        <v>1.500457715167075E-2</v>
      </c>
      <c r="E13" s="141">
        <v>3.4045849418557185E-2</v>
      </c>
      <c r="F13" s="141">
        <v>7.4301894944073216E-2</v>
      </c>
      <c r="G13" s="141">
        <v>0.1588829961048086</v>
      </c>
      <c r="H13" s="141">
        <v>0.35548161850417337</v>
      </c>
      <c r="I13" s="141">
        <v>0.82497420254986731</v>
      </c>
      <c r="J13" s="141">
        <v>1.8363293293870846</v>
      </c>
      <c r="K13" s="141">
        <v>4.1445264026575375</v>
      </c>
      <c r="L13" s="141">
        <v>7.978254549997855</v>
      </c>
      <c r="M13" s="141">
        <v>15.287879661530699</v>
      </c>
      <c r="N13" s="141">
        <v>25.366910487898785</v>
      </c>
      <c r="O13" s="141">
        <v>41.545403546118976</v>
      </c>
      <c r="P13" s="141">
        <v>59.346312527067433</v>
      </c>
      <c r="Q13" s="141">
        <v>78.275217371580993</v>
      </c>
      <c r="R13" s="141">
        <v>91.77423149011301</v>
      </c>
      <c r="S13" s="141">
        <v>102.02508354327743</v>
      </c>
      <c r="T13" s="141">
        <v>107.52236115954103</v>
      </c>
      <c r="U13" s="141">
        <v>107.20423976426264</v>
      </c>
      <c r="V13" s="141">
        <v>107.88350077853175</v>
      </c>
      <c r="W13" s="141">
        <v>110.23814863976546</v>
      </c>
      <c r="DA13" s="171" t="s">
        <v>254</v>
      </c>
    </row>
    <row r="14" spans="1:105" ht="12" customHeight="1" x14ac:dyDescent="0.25">
      <c r="A14" s="60" t="s">
        <v>76</v>
      </c>
      <c r="B14" s="142">
        <v>795.50848499863923</v>
      </c>
      <c r="C14" s="142">
        <v>929.48995030472213</v>
      </c>
      <c r="D14" s="142">
        <v>1313.4729194551001</v>
      </c>
      <c r="E14" s="142">
        <v>1575.1944402451343</v>
      </c>
      <c r="F14" s="142">
        <v>1790.0163795502115</v>
      </c>
      <c r="G14" s="142">
        <v>2035.7118670740601</v>
      </c>
      <c r="H14" s="142">
        <v>2301.915150072306</v>
      </c>
      <c r="I14" s="142">
        <v>2530.8060061131646</v>
      </c>
      <c r="J14" s="142">
        <v>2420.8907182153043</v>
      </c>
      <c r="K14" s="142">
        <v>2023.5402066259808</v>
      </c>
      <c r="L14" s="142">
        <v>1980.2272598781938</v>
      </c>
      <c r="M14" s="142">
        <v>2153.0637846840182</v>
      </c>
      <c r="N14" s="142">
        <v>2560.3592792339659</v>
      </c>
      <c r="O14" s="142">
        <v>2638.5327742041791</v>
      </c>
      <c r="P14" s="142">
        <v>2762.0369852712852</v>
      </c>
      <c r="Q14" s="142">
        <v>2580.9259579065629</v>
      </c>
      <c r="R14" s="142">
        <v>2608.0092859337374</v>
      </c>
      <c r="S14" s="142">
        <v>2674.7305710790347</v>
      </c>
      <c r="T14" s="142">
        <v>2880.9041902437548</v>
      </c>
      <c r="U14" s="142">
        <v>2932.7529872804821</v>
      </c>
      <c r="V14" s="142">
        <v>2826.3328990597242</v>
      </c>
      <c r="W14" s="142">
        <v>2654.3684244306005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11979.416290643807</v>
      </c>
      <c r="C15" s="144">
        <f t="shared" si="3"/>
        <v>12383.965625935127</v>
      </c>
      <c r="D15" s="144">
        <f t="shared" si="3"/>
        <v>12627.765761035836</v>
      </c>
      <c r="E15" s="144">
        <f t="shared" si="3"/>
        <v>13037.554325625199</v>
      </c>
      <c r="F15" s="144">
        <f t="shared" si="3"/>
        <v>13625.440881373324</v>
      </c>
      <c r="G15" s="144">
        <f t="shared" si="3"/>
        <v>14013.429252247855</v>
      </c>
      <c r="H15" s="144">
        <f t="shared" si="3"/>
        <v>14705.99937881016</v>
      </c>
      <c r="I15" s="144">
        <f t="shared" si="3"/>
        <v>15491.691850505966</v>
      </c>
      <c r="J15" s="144">
        <f t="shared" si="3"/>
        <v>16156.646260088752</v>
      </c>
      <c r="K15" s="144">
        <f t="shared" si="3"/>
        <v>16586.139396660041</v>
      </c>
      <c r="L15" s="144">
        <f t="shared" si="3"/>
        <v>16535.0156522744</v>
      </c>
      <c r="M15" s="144">
        <f t="shared" si="3"/>
        <v>16655.786200926257</v>
      </c>
      <c r="N15" s="144">
        <f t="shared" si="3"/>
        <v>16154.545660478667</v>
      </c>
      <c r="O15" s="144">
        <f t="shared" si="3"/>
        <v>16250.606622310315</v>
      </c>
      <c r="P15" s="144">
        <f t="shared" si="3"/>
        <v>16319.89592437122</v>
      </c>
      <c r="Q15" s="144">
        <f t="shared" si="3"/>
        <v>16745.447335532917</v>
      </c>
      <c r="R15" s="144">
        <f t="shared" ref="R15:W15" si="4">SUM(R5:R12)</f>
        <v>16789.42183928522</v>
      </c>
      <c r="S15" s="144">
        <f t="shared" si="4"/>
        <v>16927.548330378457</v>
      </c>
      <c r="T15" s="144">
        <f t="shared" si="4"/>
        <v>16862.891502226783</v>
      </c>
      <c r="U15" s="144">
        <f t="shared" si="4"/>
        <v>16957.225584491847</v>
      </c>
      <c r="V15" s="144">
        <f t="shared" si="4"/>
        <v>17198.799155717294</v>
      </c>
      <c r="W15" s="144">
        <f t="shared" si="4"/>
        <v>17501.230313472526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680.33804737716218</v>
      </c>
      <c r="C16" s="140">
        <f t="shared" si="5"/>
        <v>739.60168892446802</v>
      </c>
      <c r="D16" s="140">
        <f t="shared" si="5"/>
        <v>823.53132305907195</v>
      </c>
      <c r="E16" s="140">
        <f t="shared" si="5"/>
        <v>927.65815834104797</v>
      </c>
      <c r="F16" s="140">
        <f t="shared" si="5"/>
        <v>1015.085255776741</v>
      </c>
      <c r="G16" s="140">
        <f t="shared" si="5"/>
        <v>1143.6975741551842</v>
      </c>
      <c r="H16" s="140">
        <f t="shared" si="5"/>
        <v>1276.4290598878508</v>
      </c>
      <c r="I16" s="140">
        <f t="shared" si="5"/>
        <v>1446.4447514299595</v>
      </c>
      <c r="J16" s="140">
        <f t="shared" si="5"/>
        <v>1591.5979257731101</v>
      </c>
      <c r="K16" s="140">
        <f t="shared" si="5"/>
        <v>1727.9987874861376</v>
      </c>
      <c r="L16" s="140">
        <f t="shared" si="5"/>
        <v>1813.4745019838188</v>
      </c>
      <c r="M16" s="140">
        <f t="shared" si="5"/>
        <v>1900.592168135162</v>
      </c>
      <c r="N16" s="140">
        <f t="shared" si="5"/>
        <v>1954.9891552330457</v>
      </c>
      <c r="O16" s="140">
        <f t="shared" si="5"/>
        <v>2026.5493574945083</v>
      </c>
      <c r="P16" s="140">
        <f t="shared" si="5"/>
        <v>2104.5267004620641</v>
      </c>
      <c r="Q16" s="140">
        <f t="shared" si="5"/>
        <v>2195.9269177546025</v>
      </c>
      <c r="R16" s="140">
        <f t="shared" ref="R16:W16" si="6">SUM(R17:R18)</f>
        <v>2270.0590933734311</v>
      </c>
      <c r="S16" s="140">
        <f t="shared" si="6"/>
        <v>2356.2534573107168</v>
      </c>
      <c r="T16" s="140">
        <f t="shared" si="6"/>
        <v>2437.6883983165353</v>
      </c>
      <c r="U16" s="140">
        <f t="shared" si="6"/>
        <v>2539.5603461315577</v>
      </c>
      <c r="V16" s="140">
        <f t="shared" si="6"/>
        <v>2629.527330811773</v>
      </c>
      <c r="W16" s="140">
        <f t="shared" si="6"/>
        <v>2732.5215988547302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680.33804737716218</v>
      </c>
      <c r="C18" s="141">
        <v>739.60168892446802</v>
      </c>
      <c r="D18" s="141">
        <v>823.53132305907195</v>
      </c>
      <c r="E18" s="141">
        <v>927.65815834104797</v>
      </c>
      <c r="F18" s="141">
        <v>1015.085255776741</v>
      </c>
      <c r="G18" s="141">
        <v>1143.6975741551842</v>
      </c>
      <c r="H18" s="141">
        <v>1276.4290598878508</v>
      </c>
      <c r="I18" s="141">
        <v>1446.4447514299595</v>
      </c>
      <c r="J18" s="141">
        <v>1591.5979257731101</v>
      </c>
      <c r="K18" s="141">
        <v>1727.9987874861376</v>
      </c>
      <c r="L18" s="141">
        <v>1813.4745019838188</v>
      </c>
      <c r="M18" s="141">
        <v>1900.592168135162</v>
      </c>
      <c r="N18" s="141">
        <v>1954.9891552330457</v>
      </c>
      <c r="O18" s="141">
        <v>2026.5493574945083</v>
      </c>
      <c r="P18" s="141">
        <v>2104.5267004620641</v>
      </c>
      <c r="Q18" s="141">
        <v>2195.9269177546025</v>
      </c>
      <c r="R18" s="141">
        <v>2270.0590933734311</v>
      </c>
      <c r="S18" s="141">
        <v>2356.2534573107168</v>
      </c>
      <c r="T18" s="141">
        <v>2437.6883983165353</v>
      </c>
      <c r="U18" s="141">
        <v>2539.5603461315577</v>
      </c>
      <c r="V18" s="141">
        <v>2629.527330811773</v>
      </c>
      <c r="W18" s="141">
        <v>2732.5215988547302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12774.925639396286</v>
      </c>
      <c r="C19" s="140">
        <f t="shared" si="7"/>
        <v>13313.459304722574</v>
      </c>
      <c r="D19" s="140">
        <f t="shared" si="7"/>
        <v>13941.253685068088</v>
      </c>
      <c r="E19" s="140">
        <f t="shared" si="7"/>
        <v>14612.782811719753</v>
      </c>
      <c r="F19" s="140">
        <f t="shared" si="7"/>
        <v>15415.53156281848</v>
      </c>
      <c r="G19" s="140">
        <f t="shared" si="7"/>
        <v>16049.300002318019</v>
      </c>
      <c r="H19" s="140">
        <f t="shared" si="7"/>
        <v>17008.270010500972</v>
      </c>
      <c r="I19" s="140">
        <f t="shared" si="7"/>
        <v>18023.322830821682</v>
      </c>
      <c r="J19" s="140">
        <f t="shared" si="7"/>
        <v>18579.373307633439</v>
      </c>
      <c r="K19" s="140">
        <f t="shared" si="7"/>
        <v>18613.824129688681</v>
      </c>
      <c r="L19" s="140">
        <f t="shared" si="7"/>
        <v>18523.221166702595</v>
      </c>
      <c r="M19" s="140">
        <f t="shared" si="7"/>
        <v>18824.137865271805</v>
      </c>
      <c r="N19" s="140">
        <f t="shared" si="7"/>
        <v>18740.271850200534</v>
      </c>
      <c r="O19" s="140">
        <f t="shared" si="7"/>
        <v>18930.684800060601</v>
      </c>
      <c r="P19" s="140">
        <f t="shared" si="7"/>
        <v>19141.279222169578</v>
      </c>
      <c r="Q19" s="140">
        <f t="shared" si="7"/>
        <v>19404.64851081105</v>
      </c>
      <c r="R19" s="140">
        <f t="shared" ref="R19:W19" si="8">SUM(R20:R26)</f>
        <v>19489.205356709062</v>
      </c>
      <c r="S19" s="140">
        <f t="shared" si="8"/>
        <v>19704.303985000763</v>
      </c>
      <c r="T19" s="140">
        <f t="shared" si="8"/>
        <v>19851.318053630079</v>
      </c>
      <c r="U19" s="140">
        <f t="shared" si="8"/>
        <v>19997.182811536593</v>
      </c>
      <c r="V19" s="140">
        <f t="shared" si="8"/>
        <v>20133.015555555554</v>
      </c>
      <c r="W19" s="140">
        <f t="shared" si="8"/>
        <v>20265.836886542897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1073.167506437253</v>
      </c>
      <c r="C22" s="141">
        <v>1095.8573019537207</v>
      </c>
      <c r="D22" s="141">
        <v>1136.3504150995957</v>
      </c>
      <c r="E22" s="141">
        <v>1166.7871575743734</v>
      </c>
      <c r="F22" s="141">
        <v>1190.1488498259841</v>
      </c>
      <c r="G22" s="141">
        <v>1214.0556025192263</v>
      </c>
      <c r="H22" s="141">
        <v>1241.7555689188348</v>
      </c>
      <c r="I22" s="141">
        <v>1251.8909620800328</v>
      </c>
      <c r="J22" s="141">
        <v>1265.549014064311</v>
      </c>
      <c r="K22" s="141">
        <v>1254.3654110097725</v>
      </c>
      <c r="L22" s="141">
        <v>1263.0038535121776</v>
      </c>
      <c r="M22" s="141">
        <v>1279.294710192356</v>
      </c>
      <c r="N22" s="141">
        <v>1315.5513122275388</v>
      </c>
      <c r="O22" s="141">
        <v>1343.3736820223837</v>
      </c>
      <c r="P22" s="141">
        <v>1362.9816147796701</v>
      </c>
      <c r="Q22" s="141">
        <v>1356.7692060775737</v>
      </c>
      <c r="R22" s="141">
        <v>1327.1986381391096</v>
      </c>
      <c r="S22" s="141">
        <v>1279.9471925084922</v>
      </c>
      <c r="T22" s="141">
        <v>1225.2677060088661</v>
      </c>
      <c r="U22" s="141">
        <v>1162.5555619979336</v>
      </c>
      <c r="V22" s="141">
        <v>1098.0110808053901</v>
      </c>
      <c r="W22" s="141">
        <v>1064.6894500135472</v>
      </c>
      <c r="DA22" s="171" t="s">
        <v>262</v>
      </c>
    </row>
    <row r="23" spans="1:105" ht="12" customHeight="1" x14ac:dyDescent="0.25">
      <c r="A23" s="132" t="s">
        <v>153</v>
      </c>
      <c r="B23" s="141">
        <v>989.07683128375766</v>
      </c>
      <c r="C23" s="141">
        <v>1072.0419404153729</v>
      </c>
      <c r="D23" s="141">
        <v>1247.3372675356025</v>
      </c>
      <c r="E23" s="141">
        <v>1405.5313729115762</v>
      </c>
      <c r="F23" s="141">
        <v>1562.9906795872921</v>
      </c>
      <c r="G23" s="141">
        <v>1726.4582750674253</v>
      </c>
      <c r="H23" s="141">
        <v>1898.7370877742635</v>
      </c>
      <c r="I23" s="141">
        <v>2103.073741007971</v>
      </c>
      <c r="J23" s="141">
        <v>2346.7235639398946</v>
      </c>
      <c r="K23" s="141">
        <v>2520.7013248366143</v>
      </c>
      <c r="L23" s="141">
        <v>2642.1202382544006</v>
      </c>
      <c r="M23" s="141">
        <v>2719.612698390752</v>
      </c>
      <c r="N23" s="141">
        <v>2798.1127822913913</v>
      </c>
      <c r="O23" s="141">
        <v>2862.2998748784853</v>
      </c>
      <c r="P23" s="141">
        <v>2930.3651965849831</v>
      </c>
      <c r="Q23" s="141">
        <v>2991.5454345271337</v>
      </c>
      <c r="R23" s="141">
        <v>3048.0465972560778</v>
      </c>
      <c r="S23" s="141">
        <v>3118.9197519768018</v>
      </c>
      <c r="T23" s="141">
        <v>3234.9252147976463</v>
      </c>
      <c r="U23" s="141">
        <v>3389.8481617192824</v>
      </c>
      <c r="V23" s="141">
        <v>3612.1276661716547</v>
      </c>
      <c r="W23" s="141">
        <v>3660.0858307788171</v>
      </c>
      <c r="DA23" s="171" t="s">
        <v>263</v>
      </c>
    </row>
    <row r="24" spans="1:105" ht="12" customHeight="1" x14ac:dyDescent="0.25">
      <c r="A24" s="132" t="s">
        <v>128</v>
      </c>
      <c r="B24" s="141">
        <v>1612.6082465345908</v>
      </c>
      <c r="C24" s="141">
        <v>1658.3060926839275</v>
      </c>
      <c r="D24" s="141">
        <v>1724.2816587669695</v>
      </c>
      <c r="E24" s="141">
        <v>1822.9482851267667</v>
      </c>
      <c r="F24" s="141">
        <v>1989.638779237572</v>
      </c>
      <c r="G24" s="141">
        <v>2158.4123067547171</v>
      </c>
      <c r="H24" s="141">
        <v>2287.9405388913729</v>
      </c>
      <c r="I24" s="141">
        <v>2378.6238545287251</v>
      </c>
      <c r="J24" s="141">
        <v>2439.9946254895572</v>
      </c>
      <c r="K24" s="141">
        <v>2496.5186978570105</v>
      </c>
      <c r="L24" s="141">
        <v>2582.4802633086847</v>
      </c>
      <c r="M24" s="141">
        <v>2676.4890443584909</v>
      </c>
      <c r="N24" s="141">
        <v>2768.9351213682166</v>
      </c>
      <c r="O24" s="141">
        <v>2843.1785692429303</v>
      </c>
      <c r="P24" s="141">
        <v>2884.4989417211414</v>
      </c>
      <c r="Q24" s="141">
        <v>2897.7184833257356</v>
      </c>
      <c r="R24" s="141">
        <v>2812.7212401157731</v>
      </c>
      <c r="S24" s="141">
        <v>2690.4228733985392</v>
      </c>
      <c r="T24" s="141">
        <v>2414.2229105453812</v>
      </c>
      <c r="U24" s="141">
        <v>2171.1313431390149</v>
      </c>
      <c r="V24" s="141">
        <v>1974.9650309961839</v>
      </c>
      <c r="W24" s="141">
        <v>1954.2646838454098</v>
      </c>
      <c r="DA24" s="171" t="s">
        <v>264</v>
      </c>
    </row>
    <row r="25" spans="1:105" ht="12" customHeight="1" x14ac:dyDescent="0.25">
      <c r="A25" s="132" t="s">
        <v>169</v>
      </c>
      <c r="B25" s="141">
        <v>4982.4388887118848</v>
      </c>
      <c r="C25" s="141">
        <v>5212.9440188631943</v>
      </c>
      <c r="D25" s="141">
        <v>5331.4297849004342</v>
      </c>
      <c r="E25" s="141">
        <v>5422.9960654769038</v>
      </c>
      <c r="F25" s="141">
        <v>5543.14075042065</v>
      </c>
      <c r="G25" s="141">
        <v>5449.07269565158</v>
      </c>
      <c r="H25" s="141">
        <v>5596.5707852308924</v>
      </c>
      <c r="I25" s="141">
        <v>5613.3433894153259</v>
      </c>
      <c r="J25" s="141">
        <v>5585.2003240553122</v>
      </c>
      <c r="K25" s="141">
        <v>5585.2064689850076</v>
      </c>
      <c r="L25" s="141">
        <v>5641.0116364373744</v>
      </c>
      <c r="M25" s="141">
        <v>5737.8162367813839</v>
      </c>
      <c r="N25" s="141">
        <v>5844.5266623108773</v>
      </c>
      <c r="O25" s="141">
        <v>5948.8727717677812</v>
      </c>
      <c r="P25" s="141">
        <v>6075.8064308633975</v>
      </c>
      <c r="Q25" s="141">
        <v>6315.3555676339283</v>
      </c>
      <c r="R25" s="141">
        <v>6346.1383199086267</v>
      </c>
      <c r="S25" s="141">
        <v>6487.7285495220885</v>
      </c>
      <c r="T25" s="141">
        <v>6584.8800437555119</v>
      </c>
      <c r="U25" s="141">
        <v>6791.5371459496391</v>
      </c>
      <c r="V25" s="141">
        <v>7034.1586570878871</v>
      </c>
      <c r="W25" s="141">
        <v>7235.7314850453113</v>
      </c>
      <c r="DA25" s="171" t="s">
        <v>265</v>
      </c>
    </row>
    <row r="26" spans="1:105" ht="12" customHeight="1" x14ac:dyDescent="0.25">
      <c r="A26" s="132" t="s">
        <v>24</v>
      </c>
      <c r="B26" s="142">
        <v>4117.6341664288002</v>
      </c>
      <c r="C26" s="142">
        <v>4274.3099508063588</v>
      </c>
      <c r="D26" s="142">
        <v>4501.8545587654871</v>
      </c>
      <c r="E26" s="142">
        <v>4794.5199306301329</v>
      </c>
      <c r="F26" s="142">
        <v>5129.6125037469828</v>
      </c>
      <c r="G26" s="142">
        <v>5501.3011223250705</v>
      </c>
      <c r="H26" s="142">
        <v>5983.2660296856084</v>
      </c>
      <c r="I26" s="142">
        <v>6676.3908837896261</v>
      </c>
      <c r="J26" s="142">
        <v>6941.9057800843639</v>
      </c>
      <c r="K26" s="142">
        <v>6757.0322270002762</v>
      </c>
      <c r="L26" s="142">
        <v>6394.6051751899568</v>
      </c>
      <c r="M26" s="142">
        <v>6410.9251755488212</v>
      </c>
      <c r="N26" s="142">
        <v>6013.1459720025086</v>
      </c>
      <c r="O26" s="142">
        <v>5932.9599021490212</v>
      </c>
      <c r="P26" s="142">
        <v>5887.6270382203875</v>
      </c>
      <c r="Q26" s="142">
        <v>5843.2598192466794</v>
      </c>
      <c r="R26" s="142">
        <v>5955.1005612894733</v>
      </c>
      <c r="S26" s="142">
        <v>6127.2856175948409</v>
      </c>
      <c r="T26" s="142">
        <v>6392.022178522674</v>
      </c>
      <c r="U26" s="142">
        <v>6482.1105987307246</v>
      </c>
      <c r="V26" s="142">
        <v>6413.7531204944371</v>
      </c>
      <c r="W26" s="142">
        <v>6351.0654368598116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12774.925639396286</v>
      </c>
      <c r="C29" s="140">
        <f t="shared" si="9"/>
        <v>13313.459304722574</v>
      </c>
      <c r="D29" s="140">
        <f t="shared" si="9"/>
        <v>13941.253685068088</v>
      </c>
      <c r="E29" s="140">
        <f t="shared" si="9"/>
        <v>14612.782811719753</v>
      </c>
      <c r="F29" s="140">
        <f t="shared" si="9"/>
        <v>15415.531562818482</v>
      </c>
      <c r="G29" s="140">
        <f t="shared" si="9"/>
        <v>16049.300002318018</v>
      </c>
      <c r="H29" s="140">
        <f t="shared" si="9"/>
        <v>17008.270010500975</v>
      </c>
      <c r="I29" s="140">
        <f t="shared" si="9"/>
        <v>18023.322830821686</v>
      </c>
      <c r="J29" s="140">
        <f t="shared" si="9"/>
        <v>18579.373307633439</v>
      </c>
      <c r="K29" s="140">
        <f t="shared" si="9"/>
        <v>18613.824129688684</v>
      </c>
      <c r="L29" s="140">
        <f t="shared" si="9"/>
        <v>18523.221166702591</v>
      </c>
      <c r="M29" s="140">
        <f t="shared" si="9"/>
        <v>18824.137865271809</v>
      </c>
      <c r="N29" s="140">
        <f t="shared" si="9"/>
        <v>18740.271850200526</v>
      </c>
      <c r="O29" s="140">
        <f t="shared" si="9"/>
        <v>18930.684800060608</v>
      </c>
      <c r="P29" s="140">
        <f t="shared" si="9"/>
        <v>19141.279222169571</v>
      </c>
      <c r="Q29" s="140">
        <f t="shared" si="9"/>
        <v>19404.648510811057</v>
      </c>
      <c r="R29" s="140">
        <f t="shared" ref="R29:W29" si="10">SUM(R30:R33)</f>
        <v>19489.20535670907</v>
      </c>
      <c r="S29" s="140">
        <f t="shared" si="10"/>
        <v>19704.30398500077</v>
      </c>
      <c r="T29" s="140">
        <f t="shared" si="10"/>
        <v>19851.318053630079</v>
      </c>
      <c r="U29" s="140">
        <f t="shared" si="10"/>
        <v>19997.182811536593</v>
      </c>
      <c r="V29" s="140">
        <f t="shared" si="10"/>
        <v>20133.015555555576</v>
      </c>
      <c r="W29" s="140">
        <f t="shared" si="10"/>
        <v>20265.836886542897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333.18050152855511</v>
      </c>
      <c r="D30" s="141">
        <v>535.50330168527819</v>
      </c>
      <c r="E30" s="141">
        <v>831.62299602700409</v>
      </c>
      <c r="F30" s="141">
        <v>867.43180934752866</v>
      </c>
      <c r="G30" s="141">
        <v>902.1397866478419</v>
      </c>
      <c r="H30" s="141">
        <v>853.92180919013731</v>
      </c>
      <c r="I30" s="141">
        <v>808.94561153070345</v>
      </c>
      <c r="J30" s="141">
        <v>693.49603306460187</v>
      </c>
      <c r="K30" s="141">
        <v>603.8349770616212</v>
      </c>
      <c r="L30" s="141">
        <v>544.23140345821741</v>
      </c>
      <c r="M30" s="141">
        <v>485.29065666559598</v>
      </c>
      <c r="N30" s="141">
        <v>578.49835573215285</v>
      </c>
      <c r="O30" s="141">
        <v>674.58234394900092</v>
      </c>
      <c r="P30" s="141">
        <v>900.29462672064869</v>
      </c>
      <c r="Q30" s="141">
        <v>1174.8981750276887</v>
      </c>
      <c r="R30" s="141">
        <v>1583.0610410057075</v>
      </c>
      <c r="S30" s="141">
        <v>1900.3758915647936</v>
      </c>
      <c r="T30" s="141">
        <v>1896.8954168818634</v>
      </c>
      <c r="U30" s="141">
        <v>1753.4402919405447</v>
      </c>
      <c r="V30" s="141">
        <v>1641.200905248741</v>
      </c>
      <c r="W30" s="141">
        <v>1608.0616515400227</v>
      </c>
      <c r="DA30" s="171" t="s">
        <v>269</v>
      </c>
    </row>
    <row r="31" spans="1:105" ht="12" customHeight="1" x14ac:dyDescent="0.25">
      <c r="A31" s="132" t="s">
        <v>153</v>
      </c>
      <c r="B31" s="141">
        <v>1622.5963452526019</v>
      </c>
      <c r="C31" s="141">
        <v>2209.2085045026165</v>
      </c>
      <c r="D31" s="141">
        <v>2745.8779629484038</v>
      </c>
      <c r="E31" s="141">
        <v>3093.4465363599752</v>
      </c>
      <c r="F31" s="141">
        <v>3338.4890032013009</v>
      </c>
      <c r="G31" s="141">
        <v>3499.2093217185256</v>
      </c>
      <c r="H31" s="141">
        <v>3707.1163733300159</v>
      </c>
      <c r="I31" s="141">
        <v>3991.7401703049409</v>
      </c>
      <c r="J31" s="141">
        <v>4258.6111034295191</v>
      </c>
      <c r="K31" s="141">
        <v>4417.2905237474606</v>
      </c>
      <c r="L31" s="141">
        <v>4331.7725499765784</v>
      </c>
      <c r="M31" s="141">
        <v>4047.708758203898</v>
      </c>
      <c r="N31" s="141">
        <v>3582.2737333284676</v>
      </c>
      <c r="O31" s="141">
        <v>3253.5890329149288</v>
      </c>
      <c r="P31" s="141">
        <v>3191.1266076651655</v>
      </c>
      <c r="Q31" s="141">
        <v>3335.8020716298811</v>
      </c>
      <c r="R31" s="141">
        <v>3732.695179861932</v>
      </c>
      <c r="S31" s="141">
        <v>4191.9824214026539</v>
      </c>
      <c r="T31" s="141">
        <v>4704.8566663978854</v>
      </c>
      <c r="U31" s="141">
        <v>5164.0579984201804</v>
      </c>
      <c r="V31" s="141">
        <v>5650.5638517713132</v>
      </c>
      <c r="W31" s="141">
        <v>5753.5486782673688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11152.329294143685</v>
      </c>
      <c r="C33" s="153">
        <v>10771.070298691402</v>
      </c>
      <c r="D33" s="153">
        <v>10659.872420434407</v>
      </c>
      <c r="E33" s="153">
        <v>10687.713279332775</v>
      </c>
      <c r="F33" s="153">
        <v>11209.610750269652</v>
      </c>
      <c r="G33" s="153">
        <v>11647.950893951649</v>
      </c>
      <c r="H33" s="153">
        <v>12447.231827980822</v>
      </c>
      <c r="I33" s="153">
        <v>13222.63704898604</v>
      </c>
      <c r="J33" s="153">
        <v>13627.266171139318</v>
      </c>
      <c r="K33" s="153">
        <v>13592.698628879602</v>
      </c>
      <c r="L33" s="153">
        <v>13647.217213267793</v>
      </c>
      <c r="M33" s="153">
        <v>14291.138450402314</v>
      </c>
      <c r="N33" s="153">
        <v>14579.499761139907</v>
      </c>
      <c r="O33" s="153">
        <v>15002.513423196679</v>
      </c>
      <c r="P33" s="153">
        <v>15049.857987783758</v>
      </c>
      <c r="Q33" s="153">
        <v>14893.948264153489</v>
      </c>
      <c r="R33" s="153">
        <v>14173.449135841433</v>
      </c>
      <c r="S33" s="153">
        <v>13611.945672033322</v>
      </c>
      <c r="T33" s="153">
        <v>13249.565970350332</v>
      </c>
      <c r="U33" s="153">
        <v>13079.68452117587</v>
      </c>
      <c r="V33" s="153">
        <v>12841.250798535521</v>
      </c>
      <c r="W33" s="153">
        <v>12904.226556735506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415.8927869181652</v>
      </c>
      <c r="C3" s="126">
        <f t="shared" si="0"/>
        <v>442.2820460149984</v>
      </c>
      <c r="D3" s="126">
        <f t="shared" si="0"/>
        <v>469.77888878544366</v>
      </c>
      <c r="E3" s="126">
        <f t="shared" si="0"/>
        <v>493.55421712481814</v>
      </c>
      <c r="F3" s="126">
        <f t="shared" si="0"/>
        <v>518.58551465851588</v>
      </c>
      <c r="G3" s="126">
        <f t="shared" si="0"/>
        <v>508.44295798521262</v>
      </c>
      <c r="H3" s="126">
        <f t="shared" si="0"/>
        <v>543.29211803288263</v>
      </c>
      <c r="I3" s="126">
        <f t="shared" si="0"/>
        <v>579.10529972226004</v>
      </c>
      <c r="J3" s="126">
        <f t="shared" si="0"/>
        <v>499.83029853761826</v>
      </c>
      <c r="K3" s="126">
        <f t="shared" si="0"/>
        <v>459.22406657261138</v>
      </c>
      <c r="L3" s="126">
        <f t="shared" si="0"/>
        <v>482.99338230470278</v>
      </c>
      <c r="M3" s="126">
        <f t="shared" si="0"/>
        <v>438.0805455106746</v>
      </c>
      <c r="N3" s="126">
        <f t="shared" si="0"/>
        <v>502.46657505901226</v>
      </c>
      <c r="O3" s="126">
        <f t="shared" si="0"/>
        <v>476.97951689218058</v>
      </c>
      <c r="P3" s="126">
        <f t="shared" si="0"/>
        <v>479.60236180387381</v>
      </c>
      <c r="Q3" s="126">
        <f t="shared" si="0"/>
        <v>452.48533373292668</v>
      </c>
      <c r="R3" s="126">
        <f t="shared" ref="R3:W3" si="1">SUM(R4,R16,R19,R29)</f>
        <v>459.32863915844371</v>
      </c>
      <c r="S3" s="126">
        <f t="shared" si="1"/>
        <v>470.95252475966851</v>
      </c>
      <c r="T3" s="126">
        <f t="shared" si="1"/>
        <v>456.11272433548697</v>
      </c>
      <c r="U3" s="126">
        <f t="shared" si="1"/>
        <v>431.45453847766379</v>
      </c>
      <c r="V3" s="126">
        <f t="shared" si="1"/>
        <v>417.49489774240647</v>
      </c>
      <c r="W3" s="126">
        <f t="shared" si="1"/>
        <v>468.97946349492832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329.94377765528077</v>
      </c>
      <c r="C4" s="131">
        <f t="shared" si="2"/>
        <v>351.55203547668884</v>
      </c>
      <c r="D4" s="131">
        <f t="shared" si="2"/>
        <v>379.01739336629629</v>
      </c>
      <c r="E4" s="131">
        <f t="shared" si="2"/>
        <v>400.20449280556443</v>
      </c>
      <c r="F4" s="131">
        <f t="shared" si="2"/>
        <v>420.31433568759161</v>
      </c>
      <c r="G4" s="131">
        <f t="shared" si="2"/>
        <v>407.13341351237381</v>
      </c>
      <c r="H4" s="131">
        <f t="shared" si="2"/>
        <v>437.04401922239146</v>
      </c>
      <c r="I4" s="131">
        <f t="shared" si="2"/>
        <v>469.71600949397606</v>
      </c>
      <c r="J4" s="131">
        <f t="shared" si="2"/>
        <v>388.0583575753098</v>
      </c>
      <c r="K4" s="131">
        <f t="shared" si="2"/>
        <v>345.10096065438381</v>
      </c>
      <c r="L4" s="131">
        <f t="shared" si="2"/>
        <v>370.74979751605491</v>
      </c>
      <c r="M4" s="131">
        <f t="shared" si="2"/>
        <v>324.85762324637949</v>
      </c>
      <c r="N4" s="131">
        <f t="shared" si="2"/>
        <v>390.77806324782779</v>
      </c>
      <c r="O4" s="131">
        <f t="shared" si="2"/>
        <v>364.30599047745187</v>
      </c>
      <c r="P4" s="131">
        <f t="shared" si="2"/>
        <v>367.59733556887079</v>
      </c>
      <c r="Q4" s="131">
        <f t="shared" si="2"/>
        <v>340.2736758753166</v>
      </c>
      <c r="R4" s="131">
        <f t="shared" ref="R4:W4" si="3">SUM(R5:R15)</f>
        <v>346.53663515308159</v>
      </c>
      <c r="S4" s="131">
        <f t="shared" si="3"/>
        <v>357.29206451259705</v>
      </c>
      <c r="T4" s="131">
        <f t="shared" si="3"/>
        <v>344.29904320393632</v>
      </c>
      <c r="U4" s="131">
        <f t="shared" si="3"/>
        <v>322.52543851053923</v>
      </c>
      <c r="V4" s="131">
        <f t="shared" si="3"/>
        <v>316.6009199734242</v>
      </c>
      <c r="W4" s="131">
        <f t="shared" si="3"/>
        <v>363.03580582448632</v>
      </c>
      <c r="DA4" s="156" t="s">
        <v>213</v>
      </c>
    </row>
    <row r="5" spans="1:105" ht="12" customHeight="1" x14ac:dyDescent="0.25">
      <c r="A5" s="132" t="s">
        <v>29</v>
      </c>
      <c r="B5" s="133">
        <v>35.407480653482374</v>
      </c>
      <c r="C5" s="133">
        <v>35.037489251934652</v>
      </c>
      <c r="D5" s="133">
        <v>32.628288907996563</v>
      </c>
      <c r="E5" s="133">
        <v>30.060189165950138</v>
      </c>
      <c r="F5" s="133">
        <v>28.807652622527943</v>
      </c>
      <c r="G5" s="133">
        <v>23.1713671539123</v>
      </c>
      <c r="H5" s="133">
        <v>23.797678417884775</v>
      </c>
      <c r="I5" s="133">
        <v>23.411435941530527</v>
      </c>
      <c r="J5" s="133">
        <v>20.280223559759239</v>
      </c>
      <c r="K5" s="133">
        <v>15.270163370593284</v>
      </c>
      <c r="L5" s="133">
        <v>21.292605331040399</v>
      </c>
      <c r="M5" s="133">
        <v>18.787618228718841</v>
      </c>
      <c r="N5" s="133">
        <v>10.113929492691314</v>
      </c>
      <c r="O5" s="133">
        <v>10.918572656921745</v>
      </c>
      <c r="P5" s="133">
        <v>8.3194325021496116</v>
      </c>
      <c r="Q5" s="133">
        <v>6.281857265692171</v>
      </c>
      <c r="R5" s="133">
        <v>5.7540842648323265</v>
      </c>
      <c r="S5" s="133">
        <v>3.8762682717110879</v>
      </c>
      <c r="T5" s="133">
        <v>3.6726569217540832</v>
      </c>
      <c r="U5" s="133">
        <v>2.6890799656061892</v>
      </c>
      <c r="V5" s="133">
        <v>1.5437661220980237</v>
      </c>
      <c r="W5" s="133">
        <v>1.9831470335339645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35.803173608794339</v>
      </c>
      <c r="C7" s="133">
        <v>40.731976990449795</v>
      </c>
      <c r="D7" s="133">
        <v>40.758919565287812</v>
      </c>
      <c r="E7" s="133">
        <v>45.343256519667342</v>
      </c>
      <c r="F7" s="133">
        <v>47.379352833036592</v>
      </c>
      <c r="G7" s="133">
        <v>37.188294873217444</v>
      </c>
      <c r="H7" s="133">
        <v>49.541826270466082</v>
      </c>
      <c r="I7" s="133">
        <v>38.935222637421901</v>
      </c>
      <c r="J7" s="133">
        <v>32.661219988356493</v>
      </c>
      <c r="K7" s="133">
        <v>30.885645628801036</v>
      </c>
      <c r="L7" s="133">
        <v>30.977932472468627</v>
      </c>
      <c r="M7" s="133">
        <v>26.808229902048478</v>
      </c>
      <c r="N7" s="133">
        <v>37.834702457001882</v>
      </c>
      <c r="O7" s="133">
        <v>39.825336891958216</v>
      </c>
      <c r="P7" s="133">
        <v>42.831807424998104</v>
      </c>
      <c r="Q7" s="133">
        <v>44.868022237542007</v>
      </c>
      <c r="R7" s="133">
        <v>27.79597388468855</v>
      </c>
      <c r="S7" s="133">
        <v>29.486636870478282</v>
      </c>
      <c r="T7" s="133">
        <v>33.588884603210623</v>
      </c>
      <c r="U7" s="133">
        <v>26.659752069703298</v>
      </c>
      <c r="V7" s="133">
        <v>32.637662838121827</v>
      </c>
      <c r="W7" s="133">
        <v>49.421088769778834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34.731809387048678</v>
      </c>
      <c r="C9" s="133">
        <v>33.727874165379625</v>
      </c>
      <c r="D9" s="133">
        <v>52.895084167477577</v>
      </c>
      <c r="E9" s="133">
        <v>59.388422545368826</v>
      </c>
      <c r="F9" s="133">
        <v>73.930724911306697</v>
      </c>
      <c r="G9" s="133">
        <v>75.783416270326143</v>
      </c>
      <c r="H9" s="133">
        <v>83.5300723468592</v>
      </c>
      <c r="I9" s="133">
        <v>94.746020523453467</v>
      </c>
      <c r="J9" s="133">
        <v>93.033201598331047</v>
      </c>
      <c r="K9" s="133">
        <v>88.22815874440478</v>
      </c>
      <c r="L9" s="133">
        <v>93.138006153143493</v>
      </c>
      <c r="M9" s="133">
        <v>82.411918475499377</v>
      </c>
      <c r="N9" s="133">
        <v>79.409541009748494</v>
      </c>
      <c r="O9" s="133">
        <v>66.401274989515187</v>
      </c>
      <c r="P9" s="133">
        <v>73.281412013738944</v>
      </c>
      <c r="Q9" s="133">
        <v>68.201931938888819</v>
      </c>
      <c r="R9" s="133">
        <v>74.359130158663945</v>
      </c>
      <c r="S9" s="133">
        <v>79.69439963090862</v>
      </c>
      <c r="T9" s="133">
        <v>82.859333574394086</v>
      </c>
      <c r="U9" s="133">
        <v>86.429535174794083</v>
      </c>
      <c r="V9" s="133">
        <v>86.594618806749239</v>
      </c>
      <c r="W9" s="133">
        <v>92.916138045395158</v>
      </c>
      <c r="DA9" s="157" t="s">
        <v>278</v>
      </c>
    </row>
    <row r="10" spans="1:105" ht="12" customHeight="1" x14ac:dyDescent="0.25">
      <c r="A10" s="132" t="s">
        <v>128</v>
      </c>
      <c r="B10" s="133">
        <v>70.571762682717107</v>
      </c>
      <c r="C10" s="133">
        <v>82.468013626748956</v>
      </c>
      <c r="D10" s="133">
        <v>81.217669057213271</v>
      </c>
      <c r="E10" s="133">
        <v>82.893159934060336</v>
      </c>
      <c r="F10" s="133">
        <v>96.555548930737331</v>
      </c>
      <c r="G10" s="133">
        <v>94.839043837559757</v>
      </c>
      <c r="H10" s="133">
        <v>100.25042318908113</v>
      </c>
      <c r="I10" s="133">
        <v>118.40675222619682</v>
      </c>
      <c r="J10" s="133">
        <v>66.816938194804862</v>
      </c>
      <c r="K10" s="133">
        <v>66.109396337636412</v>
      </c>
      <c r="L10" s="133">
        <v>69.35694614631791</v>
      </c>
      <c r="M10" s="133">
        <v>57.965349367627262</v>
      </c>
      <c r="N10" s="133">
        <v>82.760271335973769</v>
      </c>
      <c r="O10" s="133">
        <v>83.712752186376932</v>
      </c>
      <c r="P10" s="133">
        <v>74.550837676225257</v>
      </c>
      <c r="Q10" s="133">
        <v>71.126053778609617</v>
      </c>
      <c r="R10" s="133">
        <v>68.836516266714938</v>
      </c>
      <c r="S10" s="133">
        <v>73.34719596992899</v>
      </c>
      <c r="T10" s="133">
        <v>59.97200554374708</v>
      </c>
      <c r="U10" s="133">
        <v>49.275637729079797</v>
      </c>
      <c r="V10" s="133">
        <v>39.463363408636638</v>
      </c>
      <c r="W10" s="133">
        <v>41.584781378916261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128.33998605206278</v>
      </c>
      <c r="C12" s="133">
        <v>143.03186205708408</v>
      </c>
      <c r="D12" s="133">
        <v>135.669982692357</v>
      </c>
      <c r="E12" s="133">
        <v>139.66407420927007</v>
      </c>
      <c r="F12" s="133">
        <v>130.30443048730459</v>
      </c>
      <c r="G12" s="133">
        <v>129.87708455072723</v>
      </c>
      <c r="H12" s="133">
        <v>129.800023874376</v>
      </c>
      <c r="I12" s="133">
        <v>124.44189133256106</v>
      </c>
      <c r="J12" s="133">
        <v>119.53379441873427</v>
      </c>
      <c r="K12" s="133">
        <v>117.19545004963118</v>
      </c>
      <c r="L12" s="133">
        <v>122.76266057161119</v>
      </c>
      <c r="M12" s="133">
        <v>104.46556011284736</v>
      </c>
      <c r="N12" s="133">
        <v>122.86248301593834</v>
      </c>
      <c r="O12" s="133">
        <v>118.25199637825645</v>
      </c>
      <c r="P12" s="133">
        <v>111.73918010744717</v>
      </c>
      <c r="Q12" s="133">
        <v>109.32640980016026</v>
      </c>
      <c r="R12" s="133">
        <v>125.78043027548584</v>
      </c>
      <c r="S12" s="133">
        <v>126.30453784664086</v>
      </c>
      <c r="T12" s="133">
        <v>113.43378019788052</v>
      </c>
      <c r="U12" s="133">
        <v>108.51551531725637</v>
      </c>
      <c r="V12" s="133">
        <v>113.20613144292732</v>
      </c>
      <c r="W12" s="133">
        <v>131.4243907495582</v>
      </c>
      <c r="DA12" s="157" t="s">
        <v>281</v>
      </c>
    </row>
    <row r="13" spans="1:105" ht="12" customHeight="1" x14ac:dyDescent="0.25">
      <c r="A13" s="132" t="s">
        <v>77</v>
      </c>
      <c r="B13" s="133">
        <v>7.638386396368039E-6</v>
      </c>
      <c r="C13" s="133">
        <v>1.5317094574548485E-5</v>
      </c>
      <c r="D13" s="133">
        <v>1.3693054286017479E-4</v>
      </c>
      <c r="E13" s="133">
        <v>2.7290293037556641E-4</v>
      </c>
      <c r="F13" s="133">
        <v>5.5215018928296761E-4</v>
      </c>
      <c r="G13" s="133">
        <v>1.0972289293294363E-3</v>
      </c>
      <c r="H13" s="133">
        <v>2.2026433992547701E-3</v>
      </c>
      <c r="I13" s="133">
        <v>4.4238444811686255E-3</v>
      </c>
      <c r="J13" s="133">
        <v>8.6252448345813526E-3</v>
      </c>
      <c r="K13" s="133">
        <v>1.7341512262497173E-2</v>
      </c>
      <c r="L13" s="133">
        <v>3.4689321233951215E-2</v>
      </c>
      <c r="M13" s="133">
        <v>7.025656840030281E-2</v>
      </c>
      <c r="N13" s="133">
        <v>0.11417377404327557</v>
      </c>
      <c r="O13" s="133">
        <v>0.20297590952966685</v>
      </c>
      <c r="P13" s="133">
        <v>0.28219630587747241</v>
      </c>
      <c r="Q13" s="133">
        <v>0.36006523133657414</v>
      </c>
      <c r="R13" s="133">
        <v>0.41230461733854434</v>
      </c>
      <c r="S13" s="133">
        <v>0.4685161066342986</v>
      </c>
      <c r="T13" s="133">
        <v>0.46237050186976508</v>
      </c>
      <c r="U13" s="133">
        <v>0.45957478601798629</v>
      </c>
      <c r="V13" s="133">
        <v>0.4552285017669972</v>
      </c>
      <c r="W13" s="133">
        <v>0.32500672473797237</v>
      </c>
      <c r="DA13" s="157" t="s">
        <v>282</v>
      </c>
    </row>
    <row r="14" spans="1:105" ht="12" customHeight="1" x14ac:dyDescent="0.25">
      <c r="A14" s="60" t="s">
        <v>76</v>
      </c>
      <c r="B14" s="65">
        <v>23.45835171620098</v>
      </c>
      <c r="C14" s="65">
        <v>14.795191122945235</v>
      </c>
      <c r="D14" s="65">
        <v>33.945737069123332</v>
      </c>
      <c r="E14" s="65">
        <v>40.844337199410027</v>
      </c>
      <c r="F14" s="65">
        <v>41.142235449264021</v>
      </c>
      <c r="G14" s="65">
        <v>44.192946230502045</v>
      </c>
      <c r="H14" s="65">
        <v>47.833425747888654</v>
      </c>
      <c r="I14" s="65">
        <v>67.405803860431575</v>
      </c>
      <c r="J14" s="65">
        <v>53.692291816751322</v>
      </c>
      <c r="K14" s="65">
        <v>25.465413508940991</v>
      </c>
      <c r="L14" s="65">
        <v>31.146374398523687</v>
      </c>
      <c r="M14" s="65">
        <v>32.577513302500357</v>
      </c>
      <c r="N14" s="65">
        <v>55.71244145745662</v>
      </c>
      <c r="O14" s="65">
        <v>43.134102821179269</v>
      </c>
      <c r="P14" s="65">
        <v>54.713654931327063</v>
      </c>
      <c r="Q14" s="65">
        <v>38.28984860446662</v>
      </c>
      <c r="R14" s="65">
        <v>41.825957253927491</v>
      </c>
      <c r="S14" s="65">
        <v>42.241378332770907</v>
      </c>
      <c r="T14" s="65">
        <v>48.43974244046138</v>
      </c>
      <c r="U14" s="65">
        <v>46.696275998147847</v>
      </c>
      <c r="V14" s="65">
        <v>40.84291990614873</v>
      </c>
      <c r="W14" s="65">
        <v>43.178103411837235</v>
      </c>
      <c r="DA14" s="109" t="s">
        <v>283</v>
      </c>
    </row>
    <row r="15" spans="1:105" ht="12" customHeight="1" x14ac:dyDescent="0.25">
      <c r="A15" s="134" t="s">
        <v>80</v>
      </c>
      <c r="B15" s="135">
        <v>1.6312059165881101</v>
      </c>
      <c r="C15" s="135">
        <v>1.7596129450519302</v>
      </c>
      <c r="D15" s="135">
        <v>1.9015749762979206</v>
      </c>
      <c r="E15" s="135">
        <v>2.0107803289072628</v>
      </c>
      <c r="F15" s="135">
        <v>2.1938383032251854</v>
      </c>
      <c r="G15" s="135">
        <v>2.0801633671996136</v>
      </c>
      <c r="H15" s="135">
        <v>2.2883667324363994</v>
      </c>
      <c r="I15" s="135">
        <v>2.3644591278995652</v>
      </c>
      <c r="J15" s="135">
        <v>2.0320627537379314</v>
      </c>
      <c r="K15" s="135">
        <v>1.9293915021136825</v>
      </c>
      <c r="L15" s="135">
        <v>2.0405831217156432</v>
      </c>
      <c r="M15" s="135">
        <v>1.7711772887375279</v>
      </c>
      <c r="N15" s="135">
        <v>1.970520704974092</v>
      </c>
      <c r="O15" s="135">
        <v>1.8589786437144242</v>
      </c>
      <c r="P15" s="135">
        <v>1.8788146071072038</v>
      </c>
      <c r="Q15" s="135">
        <v>1.8194870186205405</v>
      </c>
      <c r="R15" s="135">
        <v>1.7722384314299733</v>
      </c>
      <c r="S15" s="135">
        <v>1.8731314835240178</v>
      </c>
      <c r="T15" s="135">
        <v>1.8702694206188089</v>
      </c>
      <c r="U15" s="135">
        <v>1.8000674699336994</v>
      </c>
      <c r="V15" s="135">
        <v>1.857228946975469</v>
      </c>
      <c r="W15" s="135">
        <v>2.2031497107286553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0.54816220212352695</v>
      </c>
      <c r="C16" s="131">
        <f t="shared" si="4"/>
        <v>0.58974449799820483</v>
      </c>
      <c r="D16" s="131">
        <f t="shared" si="4"/>
        <v>0.64481989691773833</v>
      </c>
      <c r="E16" s="131">
        <f t="shared" si="4"/>
        <v>0.66130799194950818</v>
      </c>
      <c r="F16" s="131">
        <f t="shared" si="4"/>
        <v>0.66986374031894569</v>
      </c>
      <c r="G16" s="131">
        <f t="shared" si="4"/>
        <v>0.71532830953109039</v>
      </c>
      <c r="H16" s="131">
        <f t="shared" si="4"/>
        <v>0.80657846003450906</v>
      </c>
      <c r="I16" s="131">
        <f t="shared" si="4"/>
        <v>0.81780278306964282</v>
      </c>
      <c r="J16" s="131">
        <f t="shared" si="4"/>
        <v>0.85343910428146152</v>
      </c>
      <c r="K16" s="131">
        <f t="shared" si="4"/>
        <v>0.90952932322379321</v>
      </c>
      <c r="L16" s="131">
        <f t="shared" si="4"/>
        <v>1.1355054098093551</v>
      </c>
      <c r="M16" s="131">
        <f t="shared" si="4"/>
        <v>0.97070283074045804</v>
      </c>
      <c r="N16" s="131">
        <f t="shared" si="4"/>
        <v>0.9762309357716914</v>
      </c>
      <c r="O16" s="131">
        <f t="shared" si="4"/>
        <v>0.9622381050614861</v>
      </c>
      <c r="P16" s="131">
        <f t="shared" si="4"/>
        <v>1.0187016967428959</v>
      </c>
      <c r="Q16" s="131">
        <f t="shared" si="4"/>
        <v>0.96700789411612798</v>
      </c>
      <c r="R16" s="131">
        <f t="shared" ref="R16:W16" si="5">SUM(R17:R18)</f>
        <v>0.96778460022160973</v>
      </c>
      <c r="S16" s="131">
        <f t="shared" si="5"/>
        <v>0.97097281798106505</v>
      </c>
      <c r="T16" s="131">
        <f t="shared" si="5"/>
        <v>1.0386778147420599</v>
      </c>
      <c r="U16" s="131">
        <f t="shared" si="5"/>
        <v>0.99222521564407651</v>
      </c>
      <c r="V16" s="131">
        <f t="shared" si="5"/>
        <v>1.0020610342539098</v>
      </c>
      <c r="W16" s="131">
        <f t="shared" si="5"/>
        <v>1.1714726857000028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0.54816220212352695</v>
      </c>
      <c r="C18" s="133">
        <v>0.58974449799820483</v>
      </c>
      <c r="D18" s="133">
        <v>0.64481989691773833</v>
      </c>
      <c r="E18" s="133">
        <v>0.66130799194950818</v>
      </c>
      <c r="F18" s="133">
        <v>0.66986374031894569</v>
      </c>
      <c r="G18" s="133">
        <v>0.71532830953109039</v>
      </c>
      <c r="H18" s="133">
        <v>0.80657846003450906</v>
      </c>
      <c r="I18" s="133">
        <v>0.81780278306964282</v>
      </c>
      <c r="J18" s="133">
        <v>0.85343910428146152</v>
      </c>
      <c r="K18" s="133">
        <v>0.90952932322379321</v>
      </c>
      <c r="L18" s="133">
        <v>1.1355054098093551</v>
      </c>
      <c r="M18" s="133">
        <v>0.97070283074045804</v>
      </c>
      <c r="N18" s="133">
        <v>0.9762309357716914</v>
      </c>
      <c r="O18" s="133">
        <v>0.9622381050614861</v>
      </c>
      <c r="P18" s="133">
        <v>1.0187016967428959</v>
      </c>
      <c r="Q18" s="133">
        <v>0.96700789411612798</v>
      </c>
      <c r="R18" s="133">
        <v>0.96778460022160973</v>
      </c>
      <c r="S18" s="133">
        <v>0.97097281798106505</v>
      </c>
      <c r="T18" s="133">
        <v>1.0386778147420599</v>
      </c>
      <c r="U18" s="133">
        <v>0.99222521564407651</v>
      </c>
      <c r="V18" s="133">
        <v>1.0020610342539098</v>
      </c>
      <c r="W18" s="133">
        <v>1.1714726857000028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41.163004923706076</v>
      </c>
      <c r="C19" s="131">
        <f t="shared" si="6"/>
        <v>43.035453997541765</v>
      </c>
      <c r="D19" s="131">
        <f t="shared" si="6"/>
        <v>43.435049298229615</v>
      </c>
      <c r="E19" s="131">
        <f t="shared" si="6"/>
        <v>44.843666731474656</v>
      </c>
      <c r="F19" s="131">
        <f t="shared" si="6"/>
        <v>47.434896325895494</v>
      </c>
      <c r="G19" s="131">
        <f t="shared" si="6"/>
        <v>48.389789877419645</v>
      </c>
      <c r="H19" s="131">
        <f t="shared" si="6"/>
        <v>51.074952194144117</v>
      </c>
      <c r="I19" s="131">
        <f t="shared" si="6"/>
        <v>53.450019693052283</v>
      </c>
      <c r="J19" s="131">
        <f t="shared" si="6"/>
        <v>53.98517337580823</v>
      </c>
      <c r="K19" s="131">
        <f t="shared" si="6"/>
        <v>55.372948647726119</v>
      </c>
      <c r="L19" s="131">
        <f t="shared" si="6"/>
        <v>54.379941800879223</v>
      </c>
      <c r="M19" s="131">
        <f t="shared" si="6"/>
        <v>55.751142066288736</v>
      </c>
      <c r="N19" s="131">
        <f t="shared" si="6"/>
        <v>54.475066399978232</v>
      </c>
      <c r="O19" s="131">
        <f t="shared" si="6"/>
        <v>55.468615084391985</v>
      </c>
      <c r="P19" s="131">
        <f t="shared" si="6"/>
        <v>54.860841242556553</v>
      </c>
      <c r="Q19" s="131">
        <f t="shared" si="6"/>
        <v>55.485087711639999</v>
      </c>
      <c r="R19" s="131">
        <f t="shared" ref="R19:W19" si="7">SUM(R20:R27)</f>
        <v>55.657054496617235</v>
      </c>
      <c r="S19" s="131">
        <f t="shared" si="7"/>
        <v>55.999826581635077</v>
      </c>
      <c r="T19" s="131">
        <f t="shared" si="7"/>
        <v>54.235879944521415</v>
      </c>
      <c r="U19" s="131">
        <f t="shared" si="7"/>
        <v>52.190974706438709</v>
      </c>
      <c r="V19" s="131">
        <f t="shared" si="7"/>
        <v>47.496039153599114</v>
      </c>
      <c r="W19" s="131">
        <f t="shared" si="7"/>
        <v>50.334409846182957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4.2308762622288789</v>
      </c>
      <c r="C22" s="133">
        <v>4.350654135947452</v>
      </c>
      <c r="D22" s="133">
        <v>4.4384149145058229</v>
      </c>
      <c r="E22" s="133">
        <v>4.5145250796447849</v>
      </c>
      <c r="F22" s="133">
        <v>4.5218509502823867</v>
      </c>
      <c r="G22" s="133">
        <v>4.5610602428616556</v>
      </c>
      <c r="H22" s="133">
        <v>4.7408908404539405</v>
      </c>
      <c r="I22" s="133">
        <v>4.61989344168384</v>
      </c>
      <c r="J22" s="133">
        <v>4.741187578281524</v>
      </c>
      <c r="K22" s="133">
        <v>4.6245865294104904</v>
      </c>
      <c r="L22" s="133">
        <v>4.6282584131719569</v>
      </c>
      <c r="M22" s="133">
        <v>4.7230684642455918</v>
      </c>
      <c r="N22" s="133">
        <v>4.8418237682775747</v>
      </c>
      <c r="O22" s="133">
        <v>4.9162796170701766</v>
      </c>
      <c r="P22" s="133">
        <v>4.9190094279683896</v>
      </c>
      <c r="Q22" s="133">
        <v>4.895348355751139</v>
      </c>
      <c r="R22" s="133">
        <v>4.7320570697396453</v>
      </c>
      <c r="S22" s="133">
        <v>4.5118154081115343</v>
      </c>
      <c r="T22" s="133">
        <v>4.2023449754651701</v>
      </c>
      <c r="U22" s="133">
        <v>3.7749856775021948</v>
      </c>
      <c r="V22" s="133">
        <v>3.2053294232711109</v>
      </c>
      <c r="W22" s="133">
        <v>3.230501943892687</v>
      </c>
      <c r="DA22" s="157" t="s">
        <v>289</v>
      </c>
    </row>
    <row r="23" spans="1:105" ht="12" customHeight="1" x14ac:dyDescent="0.25">
      <c r="A23" s="132" t="s">
        <v>153</v>
      </c>
      <c r="B23" s="133">
        <v>3.7750786572989634</v>
      </c>
      <c r="C23" s="133">
        <v>3.9645688457089774</v>
      </c>
      <c r="D23" s="133">
        <v>4.6920443936333385</v>
      </c>
      <c r="E23" s="133">
        <v>5.0838495780051716</v>
      </c>
      <c r="F23" s="133">
        <v>5.4986057407951421</v>
      </c>
      <c r="G23" s="133">
        <v>6.0924219480676731</v>
      </c>
      <c r="H23" s="133">
        <v>6.3970398458908893</v>
      </c>
      <c r="I23" s="133">
        <v>6.8336920279003781</v>
      </c>
      <c r="J23" s="133">
        <v>7.9838914295977945</v>
      </c>
      <c r="K23" s="133">
        <v>8.588019553741395</v>
      </c>
      <c r="L23" s="133">
        <v>8.696374942790154</v>
      </c>
      <c r="M23" s="133">
        <v>8.9657945961478003</v>
      </c>
      <c r="N23" s="133">
        <v>9.1378835176197786</v>
      </c>
      <c r="O23" s="133">
        <v>9.2910413590915972</v>
      </c>
      <c r="P23" s="133">
        <v>9.3074955882101218</v>
      </c>
      <c r="Q23" s="133">
        <v>9.467022637804245</v>
      </c>
      <c r="R23" s="133">
        <v>9.5185026563049089</v>
      </c>
      <c r="S23" s="133">
        <v>9.6249420548831335</v>
      </c>
      <c r="T23" s="133">
        <v>9.3538896596752519</v>
      </c>
      <c r="U23" s="133">
        <v>9.3396177055250043</v>
      </c>
      <c r="V23" s="133">
        <v>9.3923291763572667</v>
      </c>
      <c r="W23" s="133">
        <v>9.5174172441967766</v>
      </c>
      <c r="DA23" s="157" t="s">
        <v>290</v>
      </c>
    </row>
    <row r="24" spans="1:105" ht="12" customHeight="1" x14ac:dyDescent="0.25">
      <c r="A24" s="132" t="s">
        <v>128</v>
      </c>
      <c r="B24" s="133">
        <v>7.8413069647463427</v>
      </c>
      <c r="C24" s="133">
        <v>7.0036974652544837</v>
      </c>
      <c r="D24" s="133">
        <v>7.0836207106285141</v>
      </c>
      <c r="E24" s="133">
        <v>7.1278202894994322</v>
      </c>
      <c r="F24" s="133">
        <v>7.7723100546452564</v>
      </c>
      <c r="G24" s="133">
        <v>8.2229510033688484</v>
      </c>
      <c r="H24" s="133">
        <v>8.3766619355964576</v>
      </c>
      <c r="I24" s="133">
        <v>8.468226277672537</v>
      </c>
      <c r="J24" s="133">
        <v>8.2761830433722565</v>
      </c>
      <c r="K24" s="133">
        <v>8.3388409796465037</v>
      </c>
      <c r="L24" s="133">
        <v>8.4590469749202768</v>
      </c>
      <c r="M24" s="133">
        <v>8.7204631861130704</v>
      </c>
      <c r="N24" s="133">
        <v>8.6938129288586019</v>
      </c>
      <c r="O24" s="133">
        <v>8.8400423106135495</v>
      </c>
      <c r="P24" s="133">
        <v>8.8541494260962779</v>
      </c>
      <c r="Q24" s="133">
        <v>9.0067063245718195</v>
      </c>
      <c r="R24" s="133">
        <v>8.5017468459248029</v>
      </c>
      <c r="S24" s="133">
        <v>8.8635520954193208</v>
      </c>
      <c r="T24" s="133">
        <v>7.1191380504060051</v>
      </c>
      <c r="U24" s="133">
        <v>5.9407853147722998</v>
      </c>
      <c r="V24" s="133">
        <v>5.1322513807012493</v>
      </c>
      <c r="W24" s="133">
        <v>5.4328454482548203</v>
      </c>
      <c r="DA24" s="157" t="s">
        <v>291</v>
      </c>
    </row>
    <row r="25" spans="1:105" ht="12" customHeight="1" x14ac:dyDescent="0.25">
      <c r="A25" s="132" t="s">
        <v>169</v>
      </c>
      <c r="B25" s="133">
        <v>13.343418935039535</v>
      </c>
      <c r="C25" s="133">
        <v>13.603305612735337</v>
      </c>
      <c r="D25" s="133">
        <v>13.704221950807215</v>
      </c>
      <c r="E25" s="133">
        <v>13.770491568889859</v>
      </c>
      <c r="F25" s="133">
        <v>13.862981378559487</v>
      </c>
      <c r="G25" s="133">
        <v>13.74097219905781</v>
      </c>
      <c r="H25" s="133">
        <v>13.818032875409044</v>
      </c>
      <c r="I25" s="133">
        <v>13.921565245254955</v>
      </c>
      <c r="J25" s="133">
        <v>13.336196982813437</v>
      </c>
      <c r="K25" s="133">
        <v>13.620457087084244</v>
      </c>
      <c r="L25" s="133">
        <v>13.689961956333823</v>
      </c>
      <c r="M25" s="133">
        <v>14.193081331692605</v>
      </c>
      <c r="N25" s="133">
        <v>14.354455935050449</v>
      </c>
      <c r="O25" s="133">
        <v>14.594091325956748</v>
      </c>
      <c r="P25" s="133">
        <v>14.538635885674113</v>
      </c>
      <c r="Q25" s="133">
        <v>15.494484438876732</v>
      </c>
      <c r="R25" s="133">
        <v>15.735734814797912</v>
      </c>
      <c r="S25" s="133">
        <v>15.954189582421924</v>
      </c>
      <c r="T25" s="133">
        <v>15.523141556203818</v>
      </c>
      <c r="U25" s="133">
        <v>15.831088294093581</v>
      </c>
      <c r="V25" s="133">
        <v>15.007196158104408</v>
      </c>
      <c r="W25" s="133">
        <v>16.525394289134798</v>
      </c>
      <c r="DA25" s="157" t="s">
        <v>292</v>
      </c>
    </row>
    <row r="26" spans="1:105" ht="12" customHeight="1" x14ac:dyDescent="0.25">
      <c r="A26" s="132" t="s">
        <v>24</v>
      </c>
      <c r="B26" s="65">
        <v>11.972324104392355</v>
      </c>
      <c r="C26" s="65">
        <v>14.113227937895514</v>
      </c>
      <c r="D26" s="65">
        <v>13.516747328654722</v>
      </c>
      <c r="E26" s="65">
        <v>14.346980215435405</v>
      </c>
      <c r="F26" s="65">
        <v>15.779148201613214</v>
      </c>
      <c r="G26" s="65">
        <v>15.772384484063659</v>
      </c>
      <c r="H26" s="65">
        <v>17.742326696793778</v>
      </c>
      <c r="I26" s="65">
        <v>19.606642700540579</v>
      </c>
      <c r="J26" s="65">
        <v>19.647714341743217</v>
      </c>
      <c r="K26" s="65">
        <v>20.201044497843483</v>
      </c>
      <c r="L26" s="65">
        <v>18.906299513663019</v>
      </c>
      <c r="M26" s="65">
        <v>19.148734488089669</v>
      </c>
      <c r="N26" s="65">
        <v>17.447090250171829</v>
      </c>
      <c r="O26" s="65">
        <v>17.827160471659919</v>
      </c>
      <c r="P26" s="65">
        <v>17.24155091460765</v>
      </c>
      <c r="Q26" s="65">
        <v>16.621525954636063</v>
      </c>
      <c r="R26" s="65">
        <v>17.169013109849971</v>
      </c>
      <c r="S26" s="65">
        <v>17.045327440799166</v>
      </c>
      <c r="T26" s="65">
        <v>18.037365702771165</v>
      </c>
      <c r="U26" s="65">
        <v>17.304497714545633</v>
      </c>
      <c r="V26" s="65">
        <v>14.758933015165075</v>
      </c>
      <c r="W26" s="65">
        <v>15.628250920703868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44.23784213705482</v>
      </c>
      <c r="C29" s="131">
        <f t="shared" si="8"/>
        <v>47.104812042769616</v>
      </c>
      <c r="D29" s="131">
        <f t="shared" si="8"/>
        <v>46.681626224000013</v>
      </c>
      <c r="E29" s="131">
        <f t="shared" si="8"/>
        <v>47.844749595829512</v>
      </c>
      <c r="F29" s="131">
        <f t="shared" si="8"/>
        <v>50.166418904709879</v>
      </c>
      <c r="G29" s="131">
        <f t="shared" si="8"/>
        <v>52.204426285888083</v>
      </c>
      <c r="H29" s="131">
        <f t="shared" si="8"/>
        <v>54.366568156312447</v>
      </c>
      <c r="I29" s="131">
        <f t="shared" si="8"/>
        <v>55.121467752162069</v>
      </c>
      <c r="J29" s="131">
        <f t="shared" si="8"/>
        <v>56.933328482218755</v>
      </c>
      <c r="K29" s="131">
        <f t="shared" si="8"/>
        <v>57.840627947277667</v>
      </c>
      <c r="L29" s="131">
        <f t="shared" si="8"/>
        <v>56.728137577959245</v>
      </c>
      <c r="M29" s="131">
        <f t="shared" si="8"/>
        <v>56.501077367265907</v>
      </c>
      <c r="N29" s="131">
        <f t="shared" si="8"/>
        <v>56.237214475434534</v>
      </c>
      <c r="O29" s="131">
        <f t="shared" si="8"/>
        <v>56.242673225275261</v>
      </c>
      <c r="P29" s="131">
        <f t="shared" si="8"/>
        <v>56.12548329570361</v>
      </c>
      <c r="Q29" s="131">
        <f t="shared" si="8"/>
        <v>55.75956225185395</v>
      </c>
      <c r="R29" s="131">
        <f t="shared" ref="R29:W29" si="9">SUM(R30:R33)</f>
        <v>56.167164908523347</v>
      </c>
      <c r="S29" s="131">
        <f t="shared" si="9"/>
        <v>56.689660847455286</v>
      </c>
      <c r="T29" s="131">
        <f t="shared" si="9"/>
        <v>56.539123372287207</v>
      </c>
      <c r="U29" s="131">
        <f t="shared" si="9"/>
        <v>55.745900045041765</v>
      </c>
      <c r="V29" s="131">
        <f t="shared" si="9"/>
        <v>52.39587758112927</v>
      </c>
      <c r="W29" s="131">
        <f t="shared" si="9"/>
        <v>54.437775138559076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2.1754084264832332</v>
      </c>
      <c r="D30" s="133">
        <v>1.0877042132416159</v>
      </c>
      <c r="E30" s="133">
        <v>4.3508168529664655</v>
      </c>
      <c r="F30" s="133">
        <v>3.2631126397248487</v>
      </c>
      <c r="G30" s="133">
        <v>3.2631126397248509</v>
      </c>
      <c r="H30" s="133">
        <v>3.2631126397248522</v>
      </c>
      <c r="I30" s="133">
        <v>3.2631126397248491</v>
      </c>
      <c r="J30" s="133">
        <v>2.1754084264832336</v>
      </c>
      <c r="K30" s="133">
        <v>2.1754084264832336</v>
      </c>
      <c r="L30" s="133">
        <v>2.1754084264832327</v>
      </c>
      <c r="M30" s="133">
        <v>1.0877042132416157</v>
      </c>
      <c r="N30" s="133">
        <v>2.1754084264832327</v>
      </c>
      <c r="O30" s="133">
        <v>2.1754084264832323</v>
      </c>
      <c r="P30" s="133">
        <v>3.2631126397248496</v>
      </c>
      <c r="Q30" s="133">
        <v>3.2631126397248482</v>
      </c>
      <c r="R30" s="133">
        <v>5.4385210662080796</v>
      </c>
      <c r="S30" s="133">
        <v>7.9021496130696436</v>
      </c>
      <c r="T30" s="133">
        <v>6.6567497850386985</v>
      </c>
      <c r="U30" s="133">
        <v>5.1557179707652603</v>
      </c>
      <c r="V30" s="133">
        <v>5.1252794496990548</v>
      </c>
      <c r="W30" s="133">
        <v>5.4308684436801373</v>
      </c>
      <c r="DA30" s="157" t="s">
        <v>295</v>
      </c>
    </row>
    <row r="31" spans="1:105" ht="12" customHeight="1" x14ac:dyDescent="0.25">
      <c r="A31" s="132" t="s">
        <v>153</v>
      </c>
      <c r="B31" s="133">
        <v>5.7106527983006785</v>
      </c>
      <c r="C31" s="133">
        <v>9.8140058281203384</v>
      </c>
      <c r="D31" s="133">
        <v>12.253800071735165</v>
      </c>
      <c r="E31" s="133">
        <v>12.137530112223587</v>
      </c>
      <c r="F31" s="133">
        <v>13.398098410666849</v>
      </c>
      <c r="G31" s="133">
        <v>13.662510878768709</v>
      </c>
      <c r="H31" s="133">
        <v>13.915880068642862</v>
      </c>
      <c r="I31" s="133">
        <v>14.809883321389103</v>
      </c>
      <c r="J31" s="133">
        <v>16.174996395974755</v>
      </c>
      <c r="K31" s="133">
        <v>17.153899087924337</v>
      </c>
      <c r="L31" s="133">
        <v>16.571121913524607</v>
      </c>
      <c r="M31" s="133">
        <v>15.751865604191192</v>
      </c>
      <c r="N31" s="133">
        <v>12.608551396965378</v>
      </c>
      <c r="O31" s="133">
        <v>11.149644098512757</v>
      </c>
      <c r="P31" s="133">
        <v>11.406535218343338</v>
      </c>
      <c r="Q31" s="133">
        <v>11.083753935774714</v>
      </c>
      <c r="R31" s="133">
        <v>13.092960478238394</v>
      </c>
      <c r="S31" s="133">
        <v>14.602240429427452</v>
      </c>
      <c r="T31" s="133">
        <v>16.029769027323667</v>
      </c>
      <c r="U31" s="133">
        <v>17.33179294943147</v>
      </c>
      <c r="V31" s="133">
        <v>18.265330606747341</v>
      </c>
      <c r="W31" s="133">
        <v>18.397485123133912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38.527189338754141</v>
      </c>
      <c r="C33" s="68">
        <v>35.115397788166042</v>
      </c>
      <c r="D33" s="68">
        <v>33.340121939023227</v>
      </c>
      <c r="E33" s="68">
        <v>31.356402630639455</v>
      </c>
      <c r="F33" s="68">
        <v>33.505207854318179</v>
      </c>
      <c r="G33" s="68">
        <v>35.278802767394524</v>
      </c>
      <c r="H33" s="68">
        <v>37.187575447944731</v>
      </c>
      <c r="I33" s="68">
        <v>37.048471791048115</v>
      </c>
      <c r="J33" s="68">
        <v>38.582923659760766</v>
      </c>
      <c r="K33" s="68">
        <v>38.5113204328701</v>
      </c>
      <c r="L33" s="68">
        <v>37.981607237951401</v>
      </c>
      <c r="M33" s="68">
        <v>39.661507549833104</v>
      </c>
      <c r="N33" s="68">
        <v>41.453254651985922</v>
      </c>
      <c r="O33" s="68">
        <v>42.917620700279272</v>
      </c>
      <c r="P33" s="68">
        <v>41.455835437635422</v>
      </c>
      <c r="Q33" s="68">
        <v>41.412695676354389</v>
      </c>
      <c r="R33" s="68">
        <v>37.635683364076868</v>
      </c>
      <c r="S33" s="68">
        <v>34.185270804958186</v>
      </c>
      <c r="T33" s="68">
        <v>33.852604559924842</v>
      </c>
      <c r="U33" s="68">
        <v>33.258389124845039</v>
      </c>
      <c r="V33" s="68">
        <v>29.005267524682878</v>
      </c>
      <c r="W33" s="68">
        <v>30.609421571745031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254.49499280032023</v>
      </c>
      <c r="C3" s="126">
        <f t="shared" si="0"/>
        <v>271.55955715473624</v>
      </c>
      <c r="D3" s="126">
        <f t="shared" si="0"/>
        <v>289.75992682612002</v>
      </c>
      <c r="E3" s="126">
        <f t="shared" si="0"/>
        <v>306.89819239635824</v>
      </c>
      <c r="F3" s="126">
        <f t="shared" si="0"/>
        <v>321.26702399079124</v>
      </c>
      <c r="G3" s="126">
        <f t="shared" si="0"/>
        <v>320.4256488208888</v>
      </c>
      <c r="H3" s="126">
        <f t="shared" si="0"/>
        <v>343.15995069915647</v>
      </c>
      <c r="I3" s="126">
        <f t="shared" si="0"/>
        <v>368.31728213269298</v>
      </c>
      <c r="J3" s="126">
        <f t="shared" si="0"/>
        <v>327.35507462220551</v>
      </c>
      <c r="K3" s="126">
        <f t="shared" si="0"/>
        <v>302.44403107159212</v>
      </c>
      <c r="L3" s="126">
        <f t="shared" si="0"/>
        <v>320.95538704201033</v>
      </c>
      <c r="M3" s="126">
        <f t="shared" si="0"/>
        <v>294.54354013433908</v>
      </c>
      <c r="N3" s="126">
        <f t="shared" si="0"/>
        <v>340.59073331661187</v>
      </c>
      <c r="O3" s="126">
        <f t="shared" si="0"/>
        <v>326.18930966331232</v>
      </c>
      <c r="P3" s="126">
        <f t="shared" si="0"/>
        <v>330.31790350752499</v>
      </c>
      <c r="Q3" s="126">
        <f t="shared" si="0"/>
        <v>313.72093144045812</v>
      </c>
      <c r="R3" s="126">
        <f t="shared" ref="R3:W3" si="1">SUM(R4,R16,R19,R29)</f>
        <v>324.73399372323684</v>
      </c>
      <c r="S3" s="126">
        <f t="shared" si="1"/>
        <v>335.09102110823096</v>
      </c>
      <c r="T3" s="126">
        <f t="shared" si="1"/>
        <v>329.85406360502327</v>
      </c>
      <c r="U3" s="126">
        <f t="shared" si="1"/>
        <v>318.25474914147821</v>
      </c>
      <c r="V3" s="126">
        <f t="shared" si="1"/>
        <v>313.1918881981311</v>
      </c>
      <c r="W3" s="126">
        <f t="shared" si="1"/>
        <v>355.92638197263324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196.35266111099358</v>
      </c>
      <c r="C4" s="131">
        <f t="shared" si="2"/>
        <v>210.60216800132181</v>
      </c>
      <c r="D4" s="131">
        <f t="shared" si="2"/>
        <v>228.74033721059737</v>
      </c>
      <c r="E4" s="131">
        <f t="shared" si="2"/>
        <v>244.18949884569676</v>
      </c>
      <c r="F4" s="131">
        <f t="shared" si="2"/>
        <v>254.87910329481716</v>
      </c>
      <c r="G4" s="131">
        <f t="shared" si="2"/>
        <v>251.48628472729527</v>
      </c>
      <c r="H4" s="131">
        <f t="shared" si="2"/>
        <v>270.19092869911651</v>
      </c>
      <c r="I4" s="131">
        <f t="shared" si="2"/>
        <v>292.82487288248166</v>
      </c>
      <c r="J4" s="131">
        <f t="shared" si="2"/>
        <v>249.72182226049495</v>
      </c>
      <c r="K4" s="131">
        <f t="shared" si="2"/>
        <v>222.74966087174062</v>
      </c>
      <c r="L4" s="131">
        <f t="shared" si="2"/>
        <v>241.46627195060313</v>
      </c>
      <c r="M4" s="131">
        <f t="shared" si="2"/>
        <v>213.96805270122732</v>
      </c>
      <c r="N4" s="131">
        <f t="shared" si="2"/>
        <v>260.05469197754815</v>
      </c>
      <c r="O4" s="131">
        <f t="shared" si="2"/>
        <v>244.03569413425333</v>
      </c>
      <c r="P4" s="131">
        <f t="shared" si="2"/>
        <v>248.16768240526702</v>
      </c>
      <c r="Q4" s="131">
        <f t="shared" si="2"/>
        <v>230.76156388738482</v>
      </c>
      <c r="R4" s="131">
        <f t="shared" ref="R4:W4" si="3">SUM(R5:R15)</f>
        <v>241.20768384616159</v>
      </c>
      <c r="S4" s="131">
        <f t="shared" si="3"/>
        <v>250.52677757034016</v>
      </c>
      <c r="T4" s="131">
        <f t="shared" si="3"/>
        <v>245.14208752638649</v>
      </c>
      <c r="U4" s="131">
        <f t="shared" si="3"/>
        <v>234.46505241360012</v>
      </c>
      <c r="V4" s="131">
        <f t="shared" si="3"/>
        <v>234.58313869174523</v>
      </c>
      <c r="W4" s="131">
        <f t="shared" si="3"/>
        <v>271.49759800588157</v>
      </c>
      <c r="DA4" s="156" t="s">
        <v>301</v>
      </c>
    </row>
    <row r="5" spans="1:105" ht="12" customHeight="1" x14ac:dyDescent="0.25">
      <c r="A5" s="132" t="s">
        <v>29</v>
      </c>
      <c r="B5" s="133">
        <v>18.121784499057839</v>
      </c>
      <c r="C5" s="133">
        <v>18.02578807742664</v>
      </c>
      <c r="D5" s="133">
        <v>16.797656690043926</v>
      </c>
      <c r="E5" s="133">
        <v>15.501307490687688</v>
      </c>
      <c r="F5" s="133">
        <v>14.933466198464437</v>
      </c>
      <c r="G5" s="133">
        <v>12.09025196599957</v>
      </c>
      <c r="H5" s="133">
        <v>12.627918116572735</v>
      </c>
      <c r="I5" s="133">
        <v>12.664996670584131</v>
      </c>
      <c r="J5" s="133">
        <v>11.279368404672519</v>
      </c>
      <c r="K5" s="133">
        <v>8.7335233394994294</v>
      </c>
      <c r="L5" s="133">
        <v>12.55574849218617</v>
      </c>
      <c r="M5" s="133">
        <v>11.34131221752008</v>
      </c>
      <c r="N5" s="133">
        <v>6.2533088254328062</v>
      </c>
      <c r="O5" s="133">
        <v>6.9226635586516752</v>
      </c>
      <c r="P5" s="133">
        <v>5.2776429258316231</v>
      </c>
      <c r="Q5" s="133">
        <v>3.9865290013231012</v>
      </c>
      <c r="R5" s="133">
        <v>3.6559111374406879</v>
      </c>
      <c r="S5" s="133">
        <v>2.4681655281808648</v>
      </c>
      <c r="T5" s="133">
        <v>2.3391314053273322</v>
      </c>
      <c r="U5" s="133">
        <v>1.714417168199917</v>
      </c>
      <c r="V5" s="133">
        <v>0.9858759960575737</v>
      </c>
      <c r="W5" s="133">
        <v>1.2682577594731967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15.860489628458941</v>
      </c>
      <c r="C7" s="133">
        <v>18.308816176998953</v>
      </c>
      <c r="D7" s="133">
        <v>18.609219624862021</v>
      </c>
      <c r="E7" s="133">
        <v>21.029031732684029</v>
      </c>
      <c r="F7" s="133">
        <v>22.321572086552415</v>
      </c>
      <c r="G7" s="133">
        <v>17.706156226370439</v>
      </c>
      <c r="H7" s="133">
        <v>23.994362642519871</v>
      </c>
      <c r="I7" s="133">
        <v>19.014886826491907</v>
      </c>
      <c r="J7" s="133">
        <v>16.195337849756559</v>
      </c>
      <c r="K7" s="133">
        <v>15.584443340662396</v>
      </c>
      <c r="L7" s="133">
        <v>15.968665138845752</v>
      </c>
      <c r="M7" s="133">
        <v>14.21339231962126</v>
      </c>
      <c r="N7" s="133">
        <v>20.824223746791652</v>
      </c>
      <c r="O7" s="133">
        <v>22.781518363433467</v>
      </c>
      <c r="P7" s="133">
        <v>24.918957071913013</v>
      </c>
      <c r="Q7" s="133">
        <v>26.426332013304254</v>
      </c>
      <c r="R7" s="133">
        <v>16.481717202539571</v>
      </c>
      <c r="S7" s="133">
        <v>17.60212204649855</v>
      </c>
      <c r="T7" s="133">
        <v>20.46733346043511</v>
      </c>
      <c r="U7" s="133">
        <v>16.714757498903037</v>
      </c>
      <c r="V7" s="133">
        <v>21.163763941422125</v>
      </c>
      <c r="W7" s="133">
        <v>33.119751214856059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16.912354463172314</v>
      </c>
      <c r="C9" s="133">
        <v>16.912096884069243</v>
      </c>
      <c r="D9" s="133">
        <v>27.737481638533218</v>
      </c>
      <c r="E9" s="133">
        <v>32.051427749918531</v>
      </c>
      <c r="F9" s="133">
        <v>40.901541468471144</v>
      </c>
      <c r="G9" s="133">
        <v>42.688691235142826</v>
      </c>
      <c r="H9" s="133">
        <v>47.845615969371778</v>
      </c>
      <c r="I9" s="133">
        <v>55.129966402330638</v>
      </c>
      <c r="J9" s="133">
        <v>54.947681515389348</v>
      </c>
      <c r="K9" s="133">
        <v>52.739480726915382</v>
      </c>
      <c r="L9" s="133">
        <v>56.119522047985733</v>
      </c>
      <c r="M9" s="133">
        <v>49.943101329015846</v>
      </c>
      <c r="N9" s="133">
        <v>48.419823699483302</v>
      </c>
      <c r="O9" s="133">
        <v>40.708473089350697</v>
      </c>
      <c r="P9" s="133">
        <v>45.208281815040706</v>
      </c>
      <c r="Q9" s="133">
        <v>42.784777788239687</v>
      </c>
      <c r="R9" s="133">
        <v>47.767707311290344</v>
      </c>
      <c r="S9" s="133">
        <v>52.592043337949768</v>
      </c>
      <c r="T9" s="133">
        <v>56.175254096289663</v>
      </c>
      <c r="U9" s="133">
        <v>59.902893599319938</v>
      </c>
      <c r="V9" s="133">
        <v>61.10147392665926</v>
      </c>
      <c r="W9" s="133">
        <v>66.486935521979703</v>
      </c>
      <c r="DA9" s="157" t="s">
        <v>306</v>
      </c>
    </row>
    <row r="10" spans="1:105" ht="12" customHeight="1" x14ac:dyDescent="0.25">
      <c r="A10" s="132" t="s">
        <v>128</v>
      </c>
      <c r="B10" s="133">
        <v>30.861915548709746</v>
      </c>
      <c r="C10" s="133">
        <v>36.876223936682685</v>
      </c>
      <c r="D10" s="133">
        <v>36.982502416991579</v>
      </c>
      <c r="E10" s="133">
        <v>38.545021268163225</v>
      </c>
      <c r="F10" s="133">
        <v>45.924385336041702</v>
      </c>
      <c r="G10" s="133">
        <v>46.006325857162864</v>
      </c>
      <c r="H10" s="133">
        <v>49.339229913331401</v>
      </c>
      <c r="I10" s="133">
        <v>58.980612379813181</v>
      </c>
      <c r="J10" s="133">
        <v>33.530945818063259</v>
      </c>
      <c r="K10" s="133">
        <v>33.47740453921481</v>
      </c>
      <c r="L10" s="133">
        <v>35.545801151208273</v>
      </c>
      <c r="M10" s="133">
        <v>30.129197524662167</v>
      </c>
      <c r="N10" s="133">
        <v>43.613176494908323</v>
      </c>
      <c r="O10" s="133">
        <v>44.559082179529213</v>
      </c>
      <c r="P10" s="133">
        <v>39.690039788314039</v>
      </c>
      <c r="Q10" s="133">
        <v>37.877186474065709</v>
      </c>
      <c r="R10" s="133">
        <v>36.668609692761954</v>
      </c>
      <c r="S10" s="133">
        <v>39.088555106807114</v>
      </c>
      <c r="T10" s="133">
        <v>31.969138756910763</v>
      </c>
      <c r="U10" s="133">
        <v>26.274829842081502</v>
      </c>
      <c r="V10" s="133">
        <v>21.048795056553718</v>
      </c>
      <c r="W10" s="133">
        <v>22.185532255700231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97.182406855561808</v>
      </c>
      <c r="C12" s="133">
        <v>108.65715394339422</v>
      </c>
      <c r="D12" s="133">
        <v>103.24965827316039</v>
      </c>
      <c r="E12" s="133">
        <v>106.58557357588664</v>
      </c>
      <c r="F12" s="133">
        <v>99.7510273974016</v>
      </c>
      <c r="G12" s="133">
        <v>99.733228237869056</v>
      </c>
      <c r="H12" s="133">
        <v>100.1501530745925</v>
      </c>
      <c r="I12" s="133">
        <v>96.595337928553263</v>
      </c>
      <c r="J12" s="133">
        <v>93.372873521479775</v>
      </c>
      <c r="K12" s="133">
        <v>92.032326914654334</v>
      </c>
      <c r="L12" s="133">
        <v>96.856888454495447</v>
      </c>
      <c r="M12" s="133">
        <v>82.918118160670545</v>
      </c>
      <c r="N12" s="133">
        <v>98.044761605041245</v>
      </c>
      <c r="O12" s="133">
        <v>95.011898670833716</v>
      </c>
      <c r="P12" s="133">
        <v>90.011611705635104</v>
      </c>
      <c r="Q12" s="133">
        <v>88.524604783586568</v>
      </c>
      <c r="R12" s="133">
        <v>102.41979956895005</v>
      </c>
      <c r="S12" s="133">
        <v>103.4739943147337</v>
      </c>
      <c r="T12" s="133">
        <v>93.377645999710651</v>
      </c>
      <c r="U12" s="133">
        <v>89.916348047613354</v>
      </c>
      <c r="V12" s="133">
        <v>94.57941677694285</v>
      </c>
      <c r="W12" s="133">
        <v>110.63043908047847</v>
      </c>
      <c r="DA12" s="157" t="s">
        <v>309</v>
      </c>
    </row>
    <row r="13" spans="1:105" ht="12" customHeight="1" x14ac:dyDescent="0.25">
      <c r="A13" s="132" t="s">
        <v>77</v>
      </c>
      <c r="B13" s="133">
        <v>1.0056124151156874E-5</v>
      </c>
      <c r="C13" s="133">
        <v>2.0291149516654374E-5</v>
      </c>
      <c r="D13" s="133">
        <v>1.9184370616445284E-4</v>
      </c>
      <c r="E13" s="133">
        <v>4.0150375699318449E-4</v>
      </c>
      <c r="F13" s="133">
        <v>8.5954362005035117E-4</v>
      </c>
      <c r="G13" s="133">
        <v>1.8127388552197643E-3</v>
      </c>
      <c r="H13" s="133">
        <v>3.8750571662496337E-3</v>
      </c>
      <c r="I13" s="133">
        <v>8.2894852946238749E-3</v>
      </c>
      <c r="J13" s="133">
        <v>1.7140758437557795E-2</v>
      </c>
      <c r="K13" s="133">
        <v>3.6550195502785258E-2</v>
      </c>
      <c r="L13" s="133">
        <v>7.6745275858473613E-2</v>
      </c>
      <c r="M13" s="133">
        <v>0.16356380109220092</v>
      </c>
      <c r="N13" s="133">
        <v>0.27845395532235634</v>
      </c>
      <c r="O13" s="133">
        <v>0.52032190983205462</v>
      </c>
      <c r="P13" s="133">
        <v>0.75256297747902878</v>
      </c>
      <c r="Q13" s="133">
        <v>0.9930557590190201</v>
      </c>
      <c r="R13" s="133">
        <v>1.1599053538201307</v>
      </c>
      <c r="S13" s="133">
        <v>1.3360999415440149</v>
      </c>
      <c r="T13" s="133">
        <v>1.3299543367794802</v>
      </c>
      <c r="U13" s="133">
        <v>1.3271586209277035</v>
      </c>
      <c r="V13" s="133">
        <v>1.3228123366767126</v>
      </c>
      <c r="W13" s="133">
        <v>0.95312366368895962</v>
      </c>
      <c r="DA13" s="157" t="s">
        <v>310</v>
      </c>
    </row>
    <row r="14" spans="1:105" ht="12" customHeight="1" x14ac:dyDescent="0.25">
      <c r="A14" s="60" t="s">
        <v>76</v>
      </c>
      <c r="B14" s="65">
        <v>15.782494143320683</v>
      </c>
      <c r="C14" s="65">
        <v>10.062455746548599</v>
      </c>
      <c r="D14" s="65">
        <v>23.462051747002157</v>
      </c>
      <c r="E14" s="65">
        <v>28.465955195692359</v>
      </c>
      <c r="F14" s="65">
        <v>28.852412961040645</v>
      </c>
      <c r="G14" s="65">
        <v>31.179655098695651</v>
      </c>
      <c r="H14" s="65">
        <v>33.941407193125606</v>
      </c>
      <c r="I14" s="65">
        <v>48.066324061514365</v>
      </c>
      <c r="J14" s="65">
        <v>38.346411638957996</v>
      </c>
      <c r="K14" s="65">
        <v>18.216540313177802</v>
      </c>
      <c r="L14" s="65">
        <v>22.302318268307616</v>
      </c>
      <c r="M14" s="65">
        <v>23.48819005990768</v>
      </c>
      <c r="N14" s="65">
        <v>40.650422945594414</v>
      </c>
      <c r="O14" s="65">
        <v>31.672757718908066</v>
      </c>
      <c r="P14" s="65">
        <v>40.429771513946285</v>
      </c>
      <c r="Q14" s="65">
        <v>28.349591049225907</v>
      </c>
      <c r="R14" s="65">
        <v>31.281795147928865</v>
      </c>
      <c r="S14" s="65">
        <v>32.092665811102123</v>
      </c>
      <c r="T14" s="65">
        <v>37.613360050314689</v>
      </c>
      <c r="U14" s="65">
        <v>36.814580166620978</v>
      </c>
      <c r="V14" s="65">
        <v>32.52377171045751</v>
      </c>
      <c r="W14" s="65">
        <v>34.650408798976336</v>
      </c>
      <c r="DA14" s="109" t="s">
        <v>311</v>
      </c>
    </row>
    <row r="15" spans="1:105" ht="12" customHeight="1" x14ac:dyDescent="0.25">
      <c r="A15" s="134" t="s">
        <v>80</v>
      </c>
      <c r="B15" s="135">
        <v>1.6312059165881101</v>
      </c>
      <c r="C15" s="135">
        <v>1.7596129450519302</v>
      </c>
      <c r="D15" s="135">
        <v>1.9015749762979206</v>
      </c>
      <c r="E15" s="135">
        <v>2.0107803289072628</v>
      </c>
      <c r="F15" s="135">
        <v>2.1938383032251854</v>
      </c>
      <c r="G15" s="135">
        <v>2.0801633671996136</v>
      </c>
      <c r="H15" s="135">
        <v>2.2883667324363994</v>
      </c>
      <c r="I15" s="135">
        <v>2.3644591278995652</v>
      </c>
      <c r="J15" s="135">
        <v>2.0320627537379314</v>
      </c>
      <c r="K15" s="135">
        <v>1.9293915021136825</v>
      </c>
      <c r="L15" s="135">
        <v>2.0405831217156432</v>
      </c>
      <c r="M15" s="135">
        <v>1.7711772887375279</v>
      </c>
      <c r="N15" s="135">
        <v>1.970520704974092</v>
      </c>
      <c r="O15" s="135">
        <v>1.8589786437144242</v>
      </c>
      <c r="P15" s="135">
        <v>1.8788146071072038</v>
      </c>
      <c r="Q15" s="135">
        <v>1.8194870186205405</v>
      </c>
      <c r="R15" s="135">
        <v>1.7722384314299733</v>
      </c>
      <c r="S15" s="135">
        <v>1.8731314835240178</v>
      </c>
      <c r="T15" s="135">
        <v>1.8702694206188089</v>
      </c>
      <c r="U15" s="135">
        <v>1.8000674699336994</v>
      </c>
      <c r="V15" s="135">
        <v>1.857228946975469</v>
      </c>
      <c r="W15" s="135">
        <v>2.2031497107286553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1.112532668659783</v>
      </c>
      <c r="C16" s="131">
        <f t="shared" si="4"/>
        <v>1.2572996325176173</v>
      </c>
      <c r="D16" s="131">
        <f t="shared" si="4"/>
        <v>1.4523162592319456</v>
      </c>
      <c r="E16" s="131">
        <f t="shared" si="4"/>
        <v>1.5758556529748362</v>
      </c>
      <c r="F16" s="131">
        <f t="shared" si="4"/>
        <v>1.6787491636258753</v>
      </c>
      <c r="G16" s="131">
        <f t="shared" si="4"/>
        <v>1.8939308670710107</v>
      </c>
      <c r="H16" s="131">
        <f t="shared" si="4"/>
        <v>2.2512011418308213</v>
      </c>
      <c r="I16" s="131">
        <f t="shared" si="4"/>
        <v>2.410303563397632</v>
      </c>
      <c r="J16" s="131">
        <f t="shared" si="4"/>
        <v>2.6495189700743569</v>
      </c>
      <c r="K16" s="131">
        <f t="shared" si="4"/>
        <v>2.8788685620848655</v>
      </c>
      <c r="L16" s="131">
        <f t="shared" si="4"/>
        <v>3.6737818815532841</v>
      </c>
      <c r="M16" s="131">
        <f t="shared" si="4"/>
        <v>3.2359804579895153</v>
      </c>
      <c r="N16" s="131">
        <f t="shared" si="4"/>
        <v>3.3557127655889567</v>
      </c>
      <c r="O16" s="131">
        <f t="shared" si="4"/>
        <v>3.421416555467951</v>
      </c>
      <c r="P16" s="131">
        <f t="shared" si="4"/>
        <v>3.7567758391610075</v>
      </c>
      <c r="Q16" s="131">
        <f t="shared" si="4"/>
        <v>3.7122123326448184</v>
      </c>
      <c r="R16" s="131">
        <f t="shared" ref="R16:W16" si="5">SUM(R17:R18)</f>
        <v>3.8672490507937862</v>
      </c>
      <c r="S16" s="131">
        <f t="shared" si="5"/>
        <v>4.0290572001561271</v>
      </c>
      <c r="T16" s="131">
        <f t="shared" si="5"/>
        <v>4.4563060738363989</v>
      </c>
      <c r="U16" s="131">
        <f t="shared" si="5"/>
        <v>4.3817647543777625</v>
      </c>
      <c r="V16" s="131">
        <f t="shared" si="5"/>
        <v>4.541417861003211</v>
      </c>
      <c r="W16" s="131">
        <f t="shared" si="5"/>
        <v>5.4395899484934551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1.112532668659783</v>
      </c>
      <c r="C18" s="133">
        <v>1.2572996325176173</v>
      </c>
      <c r="D18" s="133">
        <v>1.4523162592319456</v>
      </c>
      <c r="E18" s="133">
        <v>1.5758556529748362</v>
      </c>
      <c r="F18" s="133">
        <v>1.6787491636258753</v>
      </c>
      <c r="G18" s="133">
        <v>1.8939308670710107</v>
      </c>
      <c r="H18" s="133">
        <v>2.2512011418308213</v>
      </c>
      <c r="I18" s="133">
        <v>2.410303563397632</v>
      </c>
      <c r="J18" s="133">
        <v>2.6495189700743569</v>
      </c>
      <c r="K18" s="133">
        <v>2.8788685620848655</v>
      </c>
      <c r="L18" s="133">
        <v>3.6737818815532841</v>
      </c>
      <c r="M18" s="133">
        <v>3.2359804579895153</v>
      </c>
      <c r="N18" s="133">
        <v>3.3557127655889567</v>
      </c>
      <c r="O18" s="133">
        <v>3.421416555467951</v>
      </c>
      <c r="P18" s="133">
        <v>3.7567758391610075</v>
      </c>
      <c r="Q18" s="133">
        <v>3.7122123326448184</v>
      </c>
      <c r="R18" s="133">
        <v>3.8672490507937862</v>
      </c>
      <c r="S18" s="133">
        <v>4.0290572001561271</v>
      </c>
      <c r="T18" s="133">
        <v>4.4563060738363989</v>
      </c>
      <c r="U18" s="133">
        <v>4.3817647543777625</v>
      </c>
      <c r="V18" s="133">
        <v>4.541417861003211</v>
      </c>
      <c r="W18" s="133">
        <v>5.4395899484934551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25.128500287637383</v>
      </c>
      <c r="C19" s="131">
        <f t="shared" si="6"/>
        <v>26.630295349233325</v>
      </c>
      <c r="D19" s="131">
        <f t="shared" si="6"/>
        <v>27.004860735737989</v>
      </c>
      <c r="E19" s="131">
        <f t="shared" si="6"/>
        <v>28.081311893931421</v>
      </c>
      <c r="F19" s="131">
        <f t="shared" si="6"/>
        <v>29.879616989789902</v>
      </c>
      <c r="G19" s="131">
        <f t="shared" si="6"/>
        <v>30.630842224202802</v>
      </c>
      <c r="H19" s="131">
        <f t="shared" si="6"/>
        <v>32.59854844186772</v>
      </c>
      <c r="I19" s="131">
        <f t="shared" si="6"/>
        <v>34.429600696093772</v>
      </c>
      <c r="J19" s="131">
        <f t="shared" si="6"/>
        <v>34.909505663436931</v>
      </c>
      <c r="K19" s="131">
        <f t="shared" si="6"/>
        <v>36.107190596116894</v>
      </c>
      <c r="L19" s="131">
        <f t="shared" si="6"/>
        <v>35.761548915196727</v>
      </c>
      <c r="M19" s="131">
        <f t="shared" si="6"/>
        <v>37.07995575586741</v>
      </c>
      <c r="N19" s="131">
        <f t="shared" si="6"/>
        <v>36.658767623948762</v>
      </c>
      <c r="O19" s="131">
        <f t="shared" si="6"/>
        <v>37.823718182994696</v>
      </c>
      <c r="P19" s="131">
        <f t="shared" si="6"/>
        <v>37.679183424962204</v>
      </c>
      <c r="Q19" s="131">
        <f t="shared" si="6"/>
        <v>38.604933480545654</v>
      </c>
      <c r="R19" s="131">
        <f t="shared" ref="R19:W19" si="7">SUM(R20:R27)</f>
        <v>39.300164542027616</v>
      </c>
      <c r="S19" s="131">
        <f t="shared" si="7"/>
        <v>40.275318873479328</v>
      </c>
      <c r="T19" s="131">
        <f t="shared" si="7"/>
        <v>39.865613500468399</v>
      </c>
      <c r="U19" s="131">
        <f t="shared" si="7"/>
        <v>39.261681165237974</v>
      </c>
      <c r="V19" s="131">
        <f t="shared" si="7"/>
        <v>36.461863429029002</v>
      </c>
      <c r="W19" s="131">
        <f t="shared" si="7"/>
        <v>39.457483559279211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2.0998806403563739</v>
      </c>
      <c r="C22" s="133">
        <v>2.1666177159273721</v>
      </c>
      <c r="D22" s="133">
        <v>2.2195203135457238</v>
      </c>
      <c r="E22" s="133">
        <v>2.2669218610086843</v>
      </c>
      <c r="F22" s="133">
        <v>2.2802059795093879</v>
      </c>
      <c r="G22" s="133">
        <v>2.310600190094684</v>
      </c>
      <c r="H22" s="133">
        <v>2.4140512361817117</v>
      </c>
      <c r="I22" s="133">
        <v>2.3644157390920544</v>
      </c>
      <c r="J22" s="133">
        <v>2.4407711792778946</v>
      </c>
      <c r="K22" s="133">
        <v>2.394819036780123</v>
      </c>
      <c r="L22" s="133">
        <v>2.4155603603610731</v>
      </c>
      <c r="M22" s="133">
        <v>2.4912393660452197</v>
      </c>
      <c r="N22" s="133">
        <v>2.5952387492382156</v>
      </c>
      <c r="O22" s="133">
        <v>2.6857648646388519</v>
      </c>
      <c r="P22" s="133">
        <v>2.7192605569070722</v>
      </c>
      <c r="Q22" s="133">
        <v>2.7425530836916461</v>
      </c>
      <c r="R22" s="133">
        <v>2.6914836409475718</v>
      </c>
      <c r="S22" s="133">
        <v>2.6152451563559773</v>
      </c>
      <c r="T22" s="133">
        <v>2.4852417660986394</v>
      </c>
      <c r="U22" s="133">
        <v>2.2771833922094067</v>
      </c>
      <c r="V22" s="133">
        <v>1.9745786361406925</v>
      </c>
      <c r="W22" s="133">
        <v>2.0484402995815332</v>
      </c>
      <c r="DA22" s="157" t="s">
        <v>319</v>
      </c>
    </row>
    <row r="23" spans="1:105" ht="12" customHeight="1" x14ac:dyDescent="0.25">
      <c r="A23" s="132" t="s">
        <v>153</v>
      </c>
      <c r="B23" s="133">
        <v>1.9141739873578671</v>
      </c>
      <c r="C23" s="133">
        <v>2.0398437892145713</v>
      </c>
      <c r="D23" s="133">
        <v>2.4634271900624687</v>
      </c>
      <c r="E23" s="133">
        <v>2.7138933308346314</v>
      </c>
      <c r="F23" s="133">
        <v>2.9800478306151184</v>
      </c>
      <c r="G23" s="133">
        <v>3.349704984296872</v>
      </c>
      <c r="H23" s="133">
        <v>3.5665182084820946</v>
      </c>
      <c r="I23" s="133">
        <v>3.8650287386108189</v>
      </c>
      <c r="J23" s="133">
        <v>4.5830745809565903</v>
      </c>
      <c r="K23" s="133">
        <v>4.9922058590713005</v>
      </c>
      <c r="L23" s="133">
        <v>5.1141932737115168</v>
      </c>
      <c r="M23" s="133">
        <v>5.3352635655797451</v>
      </c>
      <c r="N23" s="133">
        <v>5.5164571640493589</v>
      </c>
      <c r="O23" s="133">
        <v>5.697409289877073</v>
      </c>
      <c r="P23" s="133">
        <v>5.778703994508378</v>
      </c>
      <c r="Q23" s="133">
        <v>5.9734835021166983</v>
      </c>
      <c r="R23" s="133">
        <v>6.1278676599377562</v>
      </c>
      <c r="S23" s="133">
        <v>6.3571262414605938</v>
      </c>
      <c r="T23" s="133">
        <v>6.3630855247772606</v>
      </c>
      <c r="U23" s="133">
        <v>6.5475127410881253</v>
      </c>
      <c r="V23" s="133">
        <v>6.7908617699837919</v>
      </c>
      <c r="W23" s="133">
        <v>7.0401625338934881</v>
      </c>
      <c r="DA23" s="157" t="s">
        <v>320</v>
      </c>
    </row>
    <row r="24" spans="1:105" ht="12" customHeight="1" x14ac:dyDescent="0.25">
      <c r="A24" s="132" t="s">
        <v>128</v>
      </c>
      <c r="B24" s="133">
        <v>3.4990643523662084</v>
      </c>
      <c r="C24" s="133">
        <v>3.1945072793623108</v>
      </c>
      <c r="D24" s="133">
        <v>3.313125595144593</v>
      </c>
      <c r="E24" s="133">
        <v>3.431700473328235</v>
      </c>
      <c r="F24" s="133">
        <v>3.8739413666584621</v>
      </c>
      <c r="G24" s="133">
        <v>4.2351744256021231</v>
      </c>
      <c r="H24" s="133">
        <v>4.4394953367816203</v>
      </c>
      <c r="I24" s="133">
        <v>4.6056733359903479</v>
      </c>
      <c r="J24" s="133">
        <v>4.6139801815894836</v>
      </c>
      <c r="K24" s="133">
        <v>4.769728740846471</v>
      </c>
      <c r="L24" s="133">
        <v>4.9782748702575832</v>
      </c>
      <c r="M24" s="133">
        <v>5.2873066955308126</v>
      </c>
      <c r="N24" s="133">
        <v>5.4361349074980296</v>
      </c>
      <c r="O24" s="133">
        <v>5.6771308580084661</v>
      </c>
      <c r="P24" s="133">
        <v>5.7339127054134584</v>
      </c>
      <c r="Q24" s="133">
        <v>5.8888839677537925</v>
      </c>
      <c r="R24" s="133">
        <v>5.6107779686446868</v>
      </c>
      <c r="S24" s="133">
        <v>5.9198620262390831</v>
      </c>
      <c r="T24" s="133">
        <v>4.7937056719241617</v>
      </c>
      <c r="U24" s="133">
        <v>4.034180721375507</v>
      </c>
      <c r="V24" s="133">
        <v>3.523563858825419</v>
      </c>
      <c r="W24" s="133">
        <v>3.814425868922025</v>
      </c>
      <c r="DA24" s="157" t="s">
        <v>321</v>
      </c>
    </row>
    <row r="25" spans="1:105" ht="12" customHeight="1" x14ac:dyDescent="0.25">
      <c r="A25" s="132" t="s">
        <v>169</v>
      </c>
      <c r="B25" s="133">
        <v>10.127715399679859</v>
      </c>
      <c r="C25" s="133">
        <v>10.36607976256815</v>
      </c>
      <c r="D25" s="133">
        <v>10.4790612533775</v>
      </c>
      <c r="E25" s="133">
        <v>10.56672425802148</v>
      </c>
      <c r="F25" s="133">
        <v>10.679084027081256</v>
      </c>
      <c r="G25" s="133">
        <v>10.616028170053418</v>
      </c>
      <c r="H25" s="133">
        <v>10.725072379240798</v>
      </c>
      <c r="I25" s="133">
        <v>10.850259282598392</v>
      </c>
      <c r="J25" s="133">
        <v>10.438576565683212</v>
      </c>
      <c r="K25" s="133">
        <v>10.713599539767099</v>
      </c>
      <c r="L25" s="133">
        <v>10.830192640650557</v>
      </c>
      <c r="M25" s="133">
        <v>11.302875307979157</v>
      </c>
      <c r="N25" s="133">
        <v>11.519584924154939</v>
      </c>
      <c r="O25" s="133">
        <v>11.803186754609021</v>
      </c>
      <c r="P25" s="133">
        <v>11.803313079260269</v>
      </c>
      <c r="Q25" s="133">
        <v>12.655227485534118</v>
      </c>
      <c r="R25" s="133">
        <v>12.926009588196717</v>
      </c>
      <c r="S25" s="133">
        <v>13.215042277998682</v>
      </c>
      <c r="T25" s="133">
        <v>12.957765860612625</v>
      </c>
      <c r="U25" s="133">
        <v>13.329029090837924</v>
      </c>
      <c r="V25" s="133">
        <v>12.74647223308774</v>
      </c>
      <c r="W25" s="133">
        <v>14.150608762898488</v>
      </c>
      <c r="DA25" s="157" t="s">
        <v>322</v>
      </c>
    </row>
    <row r="26" spans="1:105" ht="12" customHeight="1" x14ac:dyDescent="0.25">
      <c r="A26" s="132" t="s">
        <v>24</v>
      </c>
      <c r="B26" s="65">
        <v>7.4876659078770764</v>
      </c>
      <c r="C26" s="65">
        <v>8.8632468021609192</v>
      </c>
      <c r="D26" s="65">
        <v>8.5297263836077057</v>
      </c>
      <c r="E26" s="65">
        <v>9.1020719707383879</v>
      </c>
      <c r="F26" s="65">
        <v>10.066337785925677</v>
      </c>
      <c r="G26" s="65">
        <v>10.119334454155705</v>
      </c>
      <c r="H26" s="65">
        <v>11.453411281181497</v>
      </c>
      <c r="I26" s="65">
        <v>12.744223599802154</v>
      </c>
      <c r="J26" s="65">
        <v>12.83310315592975</v>
      </c>
      <c r="K26" s="65">
        <v>13.2368374196519</v>
      </c>
      <c r="L26" s="65">
        <v>12.423327770215998</v>
      </c>
      <c r="M26" s="65">
        <v>12.663270820732476</v>
      </c>
      <c r="N26" s="65">
        <v>11.591351879008217</v>
      </c>
      <c r="O26" s="65">
        <v>11.960226415861289</v>
      </c>
      <c r="P26" s="65">
        <v>11.643993088873025</v>
      </c>
      <c r="Q26" s="65">
        <v>11.344785441449394</v>
      </c>
      <c r="R26" s="65">
        <v>11.944025684300881</v>
      </c>
      <c r="S26" s="65">
        <v>12.168043171424992</v>
      </c>
      <c r="T26" s="65">
        <v>13.265814677055713</v>
      </c>
      <c r="U26" s="65">
        <v>13.073775219727013</v>
      </c>
      <c r="V26" s="65">
        <v>11.426386930991356</v>
      </c>
      <c r="W26" s="65">
        <v>12.403846093983676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31.901298733029485</v>
      </c>
      <c r="C29" s="131">
        <f t="shared" si="8"/>
        <v>33.069794171663474</v>
      </c>
      <c r="D29" s="131">
        <f t="shared" si="8"/>
        <v>32.56241262055272</v>
      </c>
      <c r="E29" s="131">
        <f t="shared" si="8"/>
        <v>33.051526003755185</v>
      </c>
      <c r="F29" s="131">
        <f t="shared" si="8"/>
        <v>34.829554542558313</v>
      </c>
      <c r="G29" s="131">
        <f t="shared" si="8"/>
        <v>36.41459100231971</v>
      </c>
      <c r="H29" s="131">
        <f t="shared" si="8"/>
        <v>38.119272416341381</v>
      </c>
      <c r="I29" s="131">
        <f t="shared" si="8"/>
        <v>38.652504990719919</v>
      </c>
      <c r="J29" s="131">
        <f t="shared" si="8"/>
        <v>40.074227728199261</v>
      </c>
      <c r="K29" s="131">
        <f t="shared" si="8"/>
        <v>40.708311041649694</v>
      </c>
      <c r="L29" s="131">
        <f t="shared" si="8"/>
        <v>40.05378429465722</v>
      </c>
      <c r="M29" s="131">
        <f t="shared" si="8"/>
        <v>40.25955121925481</v>
      </c>
      <c r="N29" s="131">
        <f t="shared" si="8"/>
        <v>40.521560949525949</v>
      </c>
      <c r="O29" s="131">
        <f t="shared" si="8"/>
        <v>40.908480790596329</v>
      </c>
      <c r="P29" s="131">
        <f t="shared" si="8"/>
        <v>40.714261838134775</v>
      </c>
      <c r="Q29" s="131">
        <f t="shared" si="8"/>
        <v>40.642221739882785</v>
      </c>
      <c r="R29" s="131">
        <f t="shared" ref="R29:W29" si="9">SUM(R30:R33)</f>
        <v>40.358896284253859</v>
      </c>
      <c r="S29" s="131">
        <f t="shared" si="9"/>
        <v>40.259867464255379</v>
      </c>
      <c r="T29" s="131">
        <f t="shared" si="9"/>
        <v>40.390056504331966</v>
      </c>
      <c r="U29" s="131">
        <f t="shared" si="9"/>
        <v>40.146250808262387</v>
      </c>
      <c r="V29" s="131">
        <f t="shared" si="9"/>
        <v>37.605468216353671</v>
      </c>
      <c r="W29" s="131">
        <f t="shared" si="9"/>
        <v>39.531710458979035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1.3074906552576153</v>
      </c>
      <c r="D30" s="133">
        <v>0.65391148751886319</v>
      </c>
      <c r="E30" s="133">
        <v>2.6166577792023649</v>
      </c>
      <c r="F30" s="133">
        <v>1.9626221954939786</v>
      </c>
      <c r="G30" s="133">
        <v>1.9628225975542553</v>
      </c>
      <c r="H30" s="133">
        <v>1.962840711712317</v>
      </c>
      <c r="I30" s="133">
        <v>1.9628552518929616</v>
      </c>
      <c r="J30" s="133">
        <v>1.3085869195916433</v>
      </c>
      <c r="K30" s="133">
        <v>1.3085869195916431</v>
      </c>
      <c r="L30" s="133">
        <v>1.3086060005396865</v>
      </c>
      <c r="M30" s="133">
        <v>0.65434485931105357</v>
      </c>
      <c r="N30" s="133">
        <v>1.311015586182928</v>
      </c>
      <c r="O30" s="133">
        <v>1.3133668349338536</v>
      </c>
      <c r="P30" s="133">
        <v>1.9719971423278726</v>
      </c>
      <c r="Q30" s="133">
        <v>1.9728698821170871</v>
      </c>
      <c r="R30" s="133">
        <v>3.2900626589730817</v>
      </c>
      <c r="S30" s="133">
        <v>4.7845215994448447</v>
      </c>
      <c r="T30" s="133">
        <v>4.0310027545179077</v>
      </c>
      <c r="U30" s="133">
        <v>3.1221587692909285</v>
      </c>
      <c r="V30" s="133">
        <v>3.1037855828494885</v>
      </c>
      <c r="W30" s="133">
        <v>3.2892530350673033</v>
      </c>
      <c r="DA30" s="157" t="s">
        <v>326</v>
      </c>
    </row>
    <row r="31" spans="1:105" ht="12" customHeight="1" x14ac:dyDescent="0.25">
      <c r="A31" s="132" t="s">
        <v>153</v>
      </c>
      <c r="B31" s="133">
        <v>3.2546063987591878</v>
      </c>
      <c r="C31" s="133">
        <v>5.6165900517107099</v>
      </c>
      <c r="D31" s="133">
        <v>7.0332055648515448</v>
      </c>
      <c r="E31" s="133">
        <v>6.9803022741407537</v>
      </c>
      <c r="F31" s="133">
        <v>7.718240740953906</v>
      </c>
      <c r="G31" s="133">
        <v>7.8826415151156288</v>
      </c>
      <c r="H31" s="133">
        <v>8.0430825333468867</v>
      </c>
      <c r="I31" s="133">
        <v>8.5775593618379737</v>
      </c>
      <c r="J31" s="133">
        <v>9.3882198877572378</v>
      </c>
      <c r="K31" s="133">
        <v>9.9771427887877771</v>
      </c>
      <c r="L31" s="133">
        <v>9.6519639800658297</v>
      </c>
      <c r="M31" s="133">
        <v>9.1807600653338728</v>
      </c>
      <c r="N31" s="133">
        <v>7.3543704949546278</v>
      </c>
      <c r="O31" s="133">
        <v>6.5147825676714195</v>
      </c>
      <c r="P31" s="133">
        <v>6.6776248920975751</v>
      </c>
      <c r="Q31" s="133">
        <v>6.4990163252239377</v>
      </c>
      <c r="R31" s="133">
        <v>7.6973083511227713</v>
      </c>
      <c r="S31" s="133">
        <v>8.6194690389138184</v>
      </c>
      <c r="T31" s="133">
        <v>9.514691383466177</v>
      </c>
      <c r="U31" s="133">
        <v>10.350451085396632</v>
      </c>
      <c r="V31" s="133">
        <v>10.978295984313906</v>
      </c>
      <c r="W31" s="133">
        <v>11.102214718234634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28.646692334270298</v>
      </c>
      <c r="C33" s="68">
        <v>26.145713464695145</v>
      </c>
      <c r="D33" s="68">
        <v>24.87529556818231</v>
      </c>
      <c r="E33" s="68">
        <v>23.454565950412071</v>
      </c>
      <c r="F33" s="68">
        <v>25.148691606110429</v>
      </c>
      <c r="G33" s="68">
        <v>26.56912688964983</v>
      </c>
      <c r="H33" s="68">
        <v>28.113349171282177</v>
      </c>
      <c r="I33" s="68">
        <v>28.112090376988984</v>
      </c>
      <c r="J33" s="68">
        <v>29.377420920850376</v>
      </c>
      <c r="K33" s="68">
        <v>29.422581333270273</v>
      </c>
      <c r="L33" s="68">
        <v>29.093214314051703</v>
      </c>
      <c r="M33" s="68">
        <v>30.424446294609883</v>
      </c>
      <c r="N33" s="68">
        <v>31.856174868388397</v>
      </c>
      <c r="O33" s="68">
        <v>33.080331387991052</v>
      </c>
      <c r="P33" s="68">
        <v>32.064639803709326</v>
      </c>
      <c r="Q33" s="68">
        <v>32.170335532541756</v>
      </c>
      <c r="R33" s="68">
        <v>29.371525274158003</v>
      </c>
      <c r="S33" s="68">
        <v>26.855876825896715</v>
      </c>
      <c r="T33" s="68">
        <v>26.844362366347884</v>
      </c>
      <c r="U33" s="68">
        <v>26.673640953574829</v>
      </c>
      <c r="V33" s="68">
        <v>23.523386649190279</v>
      </c>
      <c r="W33" s="68">
        <v>25.140242705677096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0.6119245171001173</v>
      </c>
      <c r="C3" s="127">
        <f>IF(SER_hh_tes!C3=0,"",SER_hh_tes!C3/SER_hh_fec!C3)</f>
        <v>0.61399633921727692</v>
      </c>
      <c r="D3" s="127">
        <f>IF(SER_hh_tes!D3=0,"",SER_hh_tes!D3/SER_hh_fec!D3)</f>
        <v>0.61680065610282997</v>
      </c>
      <c r="E3" s="127">
        <f>IF(SER_hh_tes!E3=0,"",SER_hh_tes!E3/SER_hh_fec!E3)</f>
        <v>0.62181252180192548</v>
      </c>
      <c r="F3" s="127">
        <f>IF(SER_hh_tes!F3=0,"",SER_hh_tes!F3/SER_hh_fec!F3)</f>
        <v>0.61950635895092987</v>
      </c>
      <c r="G3" s="127">
        <f>IF(SER_hh_tes!G3=0,"",SER_hh_tes!G3/SER_hh_fec!G3)</f>
        <v>0.63020963077279546</v>
      </c>
      <c r="H3" s="127">
        <f>IF(SER_hh_tes!H3=0,"",SER_hh_tes!H3/SER_hh_fec!H3)</f>
        <v>0.63163064456309082</v>
      </c>
      <c r="I3" s="127">
        <f>IF(SER_hh_tes!I3=0,"",SER_hh_tes!I3/SER_hh_fec!I3)</f>
        <v>0.63601089872487548</v>
      </c>
      <c r="J3" s="127">
        <f>IF(SER_hh_tes!J3=0,"",SER_hh_tes!J3/SER_hh_fec!J3)</f>
        <v>0.65493243522845002</v>
      </c>
      <c r="K3" s="127">
        <f>IF(SER_hh_tes!K3=0,"",SER_hh_tes!K3/SER_hh_fec!K3)</f>
        <v>0.65859795486953299</v>
      </c>
      <c r="L3" s="127">
        <f>IF(SER_hh_tes!L3=0,"",SER_hh_tes!L3/SER_hh_fec!L3)</f>
        <v>0.66451301156654641</v>
      </c>
      <c r="M3" s="127">
        <f>IF(SER_hh_tes!M3=0,"",SER_hh_tes!M3/SER_hh_fec!M3)</f>
        <v>0.67235019485055403</v>
      </c>
      <c r="N3" s="127">
        <f>IF(SER_hh_tes!N3=0,"",SER_hh_tes!N3/SER_hh_fec!N3)</f>
        <v>0.67783759203606953</v>
      </c>
      <c r="O3" s="127">
        <f>IF(SER_hh_tes!O3=0,"",SER_hh_tes!O3/SER_hh_fec!O3)</f>
        <v>0.68386439692135914</v>
      </c>
      <c r="P3" s="127">
        <f>IF(SER_hh_tes!P3=0,"",SER_hh_tes!P3/SER_hh_fec!P3)</f>
        <v>0.68873285416097163</v>
      </c>
      <c r="Q3" s="127">
        <f>IF(SER_hh_tes!Q3=0,"",SER_hh_tes!Q3/SER_hh_fec!Q3)</f>
        <v>0.69332839774565524</v>
      </c>
      <c r="R3" s="127">
        <f>IF(SER_hh_tes!R3=0,"",SER_hh_tes!R3/SER_hh_fec!R3)</f>
        <v>0.7069752809626596</v>
      </c>
      <c r="S3" s="127">
        <f>IF(SER_hh_tes!S3=0,"",SER_hh_tes!S3/SER_hh_fec!S3)</f>
        <v>0.71151762330869983</v>
      </c>
      <c r="T3" s="127">
        <f>IF(SER_hh_tes!T3=0,"",SER_hh_tes!T3/SER_hh_fec!T3)</f>
        <v>0.72318540134040199</v>
      </c>
      <c r="U3" s="127">
        <f>IF(SER_hh_tes!U3=0,"",SER_hh_tes!U3/SER_hh_fec!U3)</f>
        <v>0.73763217386564617</v>
      </c>
      <c r="V3" s="127">
        <f>IF(SER_hh_tes!V3=0,"",SER_hh_tes!V3/SER_hh_fec!V3)</f>
        <v>0.75016937905518999</v>
      </c>
      <c r="W3" s="127">
        <f>IF(SER_hh_tes!W3=0,"",SER_hh_tes!W3/SER_hh_fec!W3)</f>
        <v>0.75893809788641697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0.59510945321156883</v>
      </c>
      <c r="C4" s="136">
        <f>IF(SER_hh_tes!C4=0,"",SER_hh_tes!C4/SER_hh_fec!C4)</f>
        <v>0.59906399835163715</v>
      </c>
      <c r="D4" s="136">
        <f>IF(SER_hh_tes!D4=0,"",SER_hh_tes!D4/SER_hh_fec!D4)</f>
        <v>0.60350881308904558</v>
      </c>
      <c r="E4" s="136">
        <f>IF(SER_hh_tes!E4=0,"",SER_hh_tes!E4/SER_hh_fec!E4)</f>
        <v>0.6101618128618409</v>
      </c>
      <c r="F4" s="136">
        <f>IF(SER_hh_tes!F4=0,"",SER_hh_tes!F4/SER_hh_fec!F4)</f>
        <v>0.60640116611264472</v>
      </c>
      <c r="G4" s="136">
        <f>IF(SER_hh_tes!G4=0,"",SER_hh_tes!G4/SER_hh_fec!G4)</f>
        <v>0.61769993908803056</v>
      </c>
      <c r="H4" s="136">
        <f>IF(SER_hh_tes!H4=0,"",SER_hh_tes!H4/SER_hh_fec!H4)</f>
        <v>0.61822360406590726</v>
      </c>
      <c r="I4" s="136">
        <f>IF(SER_hh_tes!I4=0,"",SER_hh_tes!I4/SER_hh_fec!I4)</f>
        <v>0.62340832963718051</v>
      </c>
      <c r="J4" s="136">
        <f>IF(SER_hh_tes!J4=0,"",SER_hh_tes!J4/SER_hh_fec!J4)</f>
        <v>0.64351615520104311</v>
      </c>
      <c r="K4" s="136">
        <f>IF(SER_hh_tes!K4=0,"",SER_hh_tes!K4/SER_hh_fec!K4)</f>
        <v>0.64546230311663155</v>
      </c>
      <c r="L4" s="136">
        <f>IF(SER_hh_tes!L4=0,"",SER_hh_tes!L4/SER_hh_fec!L4)</f>
        <v>0.65129171632291105</v>
      </c>
      <c r="M4" s="136">
        <f>IF(SER_hh_tes!M4=0,"",SER_hh_tes!M4/SER_hh_fec!M4)</f>
        <v>0.65865178278100323</v>
      </c>
      <c r="N4" s="136">
        <f>IF(SER_hh_tes!N4=0,"",SER_hh_tes!N4/SER_hh_fec!N4)</f>
        <v>0.66547924879965403</v>
      </c>
      <c r="O4" s="136">
        <f>IF(SER_hh_tes!O4=0,"",SER_hh_tes!O4/SER_hh_fec!O4)</f>
        <v>0.66986462071190545</v>
      </c>
      <c r="P4" s="136">
        <f>IF(SER_hh_tes!P4=0,"",SER_hh_tes!P4/SER_hh_fec!P4)</f>
        <v>0.67510740256378121</v>
      </c>
      <c r="Q4" s="136">
        <f>IF(SER_hh_tes!Q4=0,"",SER_hh_tes!Q4/SER_hh_fec!Q4)</f>
        <v>0.67816460763171316</v>
      </c>
      <c r="R4" s="136">
        <f>IF(SER_hh_tes!R4=0,"",SER_hh_tes!R4/SER_hh_fec!R4)</f>
        <v>0.69605247866393338</v>
      </c>
      <c r="S4" s="136">
        <f>IF(SER_hh_tes!S4=0,"",SER_hh_tes!S4/SER_hh_fec!S4)</f>
        <v>0.70118203692012682</v>
      </c>
      <c r="T4" s="136">
        <f>IF(SER_hh_tes!T4=0,"",SER_hh_tes!T4/SER_hh_fec!T4)</f>
        <v>0.71200339462222417</v>
      </c>
      <c r="U4" s="136">
        <f>IF(SER_hh_tes!U4=0,"",SER_hh_tes!U4/SER_hh_fec!U4)</f>
        <v>0.7269660759051676</v>
      </c>
      <c r="V4" s="136">
        <f>IF(SER_hh_tes!V4=0,"",SER_hh_tes!V4/SER_hh_fec!V4)</f>
        <v>0.74094269439089555</v>
      </c>
      <c r="W4" s="136">
        <f>IF(SER_hh_tes!W4=0,"",SER_hh_tes!W4/SER_hh_fec!W4)</f>
        <v>0.74785349998545347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0.51180666245101902</v>
      </c>
      <c r="C5" s="137">
        <f>IF(SER_hh_tes!C5=0,"",SER_hh_tes!C5/SER_hh_fec!C5)</f>
        <v>0.51447145506955283</v>
      </c>
      <c r="D5" s="137">
        <f>IF(SER_hh_tes!D5=0,"",SER_hh_tes!D5/SER_hh_fec!D5)</f>
        <v>0.51481880454745954</v>
      </c>
      <c r="E5" s="137">
        <f>IF(SER_hh_tes!E5=0,"",SER_hh_tes!E5/SER_hh_fec!E5)</f>
        <v>0.51567564678689293</v>
      </c>
      <c r="F5" s="137">
        <f>IF(SER_hh_tes!F5=0,"",SER_hh_tes!F5/SER_hh_fec!F5)</f>
        <v>0.51838538856811545</v>
      </c>
      <c r="G5" s="137">
        <f>IF(SER_hh_tes!G5=0,"",SER_hh_tes!G5/SER_hh_fec!G5)</f>
        <v>0.52177551223852703</v>
      </c>
      <c r="H5" s="137">
        <f>IF(SER_hh_tes!H5=0,"",SER_hh_tes!H5/SER_hh_fec!H5)</f>
        <v>0.53063655600465709</v>
      </c>
      <c r="I5" s="137">
        <f>IF(SER_hh_tes!I5=0,"",SER_hh_tes!I5/SER_hh_fec!I5)</f>
        <v>0.54097479121804581</v>
      </c>
      <c r="J5" s="137">
        <f>IF(SER_hh_tes!J5=0,"",SER_hh_tes!J5/SER_hh_fec!J5)</f>
        <v>0.55617574290716665</v>
      </c>
      <c r="K5" s="137">
        <f>IF(SER_hh_tes!K5=0,"",SER_hh_tes!K5/SER_hh_fec!K5)</f>
        <v>0.57193385084000647</v>
      </c>
      <c r="L5" s="137">
        <f>IF(SER_hh_tes!L5=0,"",SER_hh_tes!L5/SER_hh_fec!L5)</f>
        <v>0.58967647673825885</v>
      </c>
      <c r="M5" s="137">
        <f>IF(SER_hh_tes!M5=0,"",SER_hh_tes!M5/SER_hh_fec!M5)</f>
        <v>0.60365886082269316</v>
      </c>
      <c r="N5" s="137">
        <f>IF(SER_hh_tes!N5=0,"",SER_hh_tes!N5/SER_hh_fec!N5)</f>
        <v>0.61828677270804289</v>
      </c>
      <c r="O5" s="137">
        <f>IF(SER_hh_tes!O5=0,"",SER_hh_tes!O5/SER_hh_fec!O5)</f>
        <v>0.63402642233306072</v>
      </c>
      <c r="P5" s="137">
        <f>IF(SER_hh_tes!P5=0,"",SER_hh_tes!P5/SER_hh_fec!P5)</f>
        <v>0.63437535246159671</v>
      </c>
      <c r="Q5" s="137">
        <f>IF(SER_hh_tes!Q5=0,"",SER_hh_tes!Q5/SER_hh_fec!Q5)</f>
        <v>0.63460993026619539</v>
      </c>
      <c r="R5" s="137">
        <f>IF(SER_hh_tes!R5=0,"",SER_hh_tes!R5/SER_hh_fec!R5)</f>
        <v>0.63535933246316834</v>
      </c>
      <c r="S5" s="137">
        <f>IF(SER_hh_tes!S5=0,"",SER_hh_tes!S5/SER_hh_fec!S5)</f>
        <v>0.63673754115355663</v>
      </c>
      <c r="T5" s="137">
        <f>IF(SER_hh_tes!T5=0,"",SER_hh_tes!T5/SER_hh_fec!T5)</f>
        <v>0.6369044142054382</v>
      </c>
      <c r="U5" s="137">
        <f>IF(SER_hh_tes!U5=0,"",SER_hh_tes!U5/SER_hh_fec!U5)</f>
        <v>0.63754785656344082</v>
      </c>
      <c r="V5" s="137">
        <f>IF(SER_hh_tes!V5=0,"",SER_hh_tes!V5/SER_hh_fec!V5)</f>
        <v>0.6386174576222331</v>
      </c>
      <c r="W5" s="137">
        <f>IF(SER_hh_tes!W5=0,"",SER_hh_tes!W5/SER_hh_fec!W5)</f>
        <v>0.63951776546450201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0.44299116613961637</v>
      </c>
      <c r="C7" s="137">
        <f>IF(SER_hh_tes!C7=0,"",SER_hh_tes!C7/SER_hh_fec!C7)</f>
        <v>0.44949490620825305</v>
      </c>
      <c r="D7" s="137">
        <f>IF(SER_hh_tes!D7=0,"",SER_hh_tes!D7/SER_hh_fec!D7)</f>
        <v>0.45656803034373111</v>
      </c>
      <c r="E7" s="137">
        <f>IF(SER_hh_tes!E7=0,"",SER_hh_tes!E7/SER_hh_fec!E7)</f>
        <v>0.46377418268497816</v>
      </c>
      <c r="F7" s="137">
        <f>IF(SER_hh_tes!F7=0,"",SER_hh_tes!F7/SER_hh_fec!F7)</f>
        <v>0.471124461433928</v>
      </c>
      <c r="G7" s="137">
        <f>IF(SER_hh_tes!G7=0,"",SER_hh_tes!G7/SER_hh_fec!G7)</f>
        <v>0.47612175515802407</v>
      </c>
      <c r="H7" s="137">
        <f>IF(SER_hh_tes!H7=0,"",SER_hh_tes!H7/SER_hh_fec!H7)</f>
        <v>0.48432535594320419</v>
      </c>
      <c r="I7" s="137">
        <f>IF(SER_hh_tes!I7=0,"",SER_hh_tes!I7/SER_hh_fec!I7)</f>
        <v>0.48837236667592815</v>
      </c>
      <c r="J7" s="137">
        <f>IF(SER_hh_tes!J7=0,"",SER_hh_tes!J7/SER_hh_fec!J7)</f>
        <v>0.49585832542477254</v>
      </c>
      <c r="K7" s="137">
        <f>IF(SER_hh_tes!K7=0,"",SER_hh_tes!K7/SER_hh_fec!K7)</f>
        <v>0.50458531862872302</v>
      </c>
      <c r="L7" s="137">
        <f>IF(SER_hh_tes!L7=0,"",SER_hh_tes!L7/SER_hh_fec!L7)</f>
        <v>0.51548518136379073</v>
      </c>
      <c r="M7" s="137">
        <f>IF(SER_hh_tes!M7=0,"",SER_hh_tes!M7/SER_hh_fec!M7)</f>
        <v>0.5301876465381693</v>
      </c>
      <c r="N7" s="137">
        <f>IF(SER_hh_tes!N7=0,"",SER_hh_tes!N7/SER_hh_fec!N7)</f>
        <v>0.55040009288979663</v>
      </c>
      <c r="O7" s="137">
        <f>IF(SER_hh_tes!O7=0,"",SER_hh_tes!O7/SER_hh_fec!O7)</f>
        <v>0.57203579784490544</v>
      </c>
      <c r="P7" s="137">
        <f>IF(SER_hh_tes!P7=0,"",SER_hh_tes!P7/SER_hh_fec!P7)</f>
        <v>0.58178626049223081</v>
      </c>
      <c r="Q7" s="137">
        <f>IF(SER_hh_tes!Q7=0,"",SER_hh_tes!Q7/SER_hh_fec!Q7)</f>
        <v>0.58897920379456337</v>
      </c>
      <c r="R7" s="137">
        <f>IF(SER_hh_tes!R7=0,"",SER_hh_tes!R7/SER_hh_fec!R7)</f>
        <v>0.59295339932732294</v>
      </c>
      <c r="S7" s="137">
        <f>IF(SER_hh_tes!S7=0,"",SER_hh_tes!S7/SER_hh_fec!S7)</f>
        <v>0.59695251526367232</v>
      </c>
      <c r="T7" s="137">
        <f>IF(SER_hh_tes!T7=0,"",SER_hh_tes!T7/SER_hh_fec!T7)</f>
        <v>0.60934841100614345</v>
      </c>
      <c r="U7" s="137">
        <f>IF(SER_hh_tes!U7=0,"",SER_hh_tes!U7/SER_hh_fec!U7)</f>
        <v>0.6269659768478506</v>
      </c>
      <c r="V7" s="137">
        <f>IF(SER_hh_tes!V7=0,"",SER_hh_tes!V7/SER_hh_fec!V7)</f>
        <v>0.64844606203548916</v>
      </c>
      <c r="W7" s="137">
        <f>IF(SER_hh_tes!W7=0,"",SER_hh_tes!W7/SER_hh_fec!W7)</f>
        <v>0.67015422038028638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0.48694135899176183</v>
      </c>
      <c r="C9" s="137">
        <f>IF(SER_hh_tes!C9=0,"",SER_hh_tes!C9/SER_hh_fec!C9)</f>
        <v>0.5014278931765247</v>
      </c>
      <c r="D9" s="137">
        <f>IF(SER_hh_tes!D9=0,"",SER_hh_tes!D9/SER_hh_fec!D9)</f>
        <v>0.52438675682432401</v>
      </c>
      <c r="E9" s="137">
        <f>IF(SER_hh_tes!E9=0,"",SER_hh_tes!E9/SER_hh_fec!E9)</f>
        <v>0.53969151521802694</v>
      </c>
      <c r="F9" s="137">
        <f>IF(SER_hh_tes!F9=0,"",SER_hh_tes!F9/SER_hh_fec!F9)</f>
        <v>0.55324145025684457</v>
      </c>
      <c r="G9" s="137">
        <f>IF(SER_hh_tes!G9=0,"",SER_hh_tes!G9/SER_hh_fec!G9)</f>
        <v>0.56329858610317185</v>
      </c>
      <c r="H9" s="137">
        <f>IF(SER_hh_tes!H9=0,"",SER_hh_tes!H9/SER_hh_fec!H9)</f>
        <v>0.57279509792224925</v>
      </c>
      <c r="I9" s="137">
        <f>IF(SER_hh_tes!I9=0,"",SER_hh_tes!I9/SER_hh_fec!I9)</f>
        <v>0.58187104954644242</v>
      </c>
      <c r="J9" s="137">
        <f>IF(SER_hh_tes!J9=0,"",SER_hh_tes!J9/SER_hh_fec!J9)</f>
        <v>0.59062442839089691</v>
      </c>
      <c r="K9" s="137">
        <f>IF(SER_hh_tes!K9=0,"",SER_hh_tes!K9/SER_hh_fec!K9)</f>
        <v>0.59776245449823573</v>
      </c>
      <c r="L9" s="137">
        <f>IF(SER_hh_tes!L9=0,"",SER_hh_tes!L9/SER_hh_fec!L9)</f>
        <v>0.60254158711225159</v>
      </c>
      <c r="M9" s="137">
        <f>IF(SER_hh_tes!M9=0,"",SER_hh_tes!M9/SER_hh_fec!M9)</f>
        <v>0.60601794319184144</v>
      </c>
      <c r="N9" s="137">
        <f>IF(SER_hh_tes!N9=0,"",SER_hh_tes!N9/SER_hh_fec!N9)</f>
        <v>0.60974818748214621</v>
      </c>
      <c r="O9" s="137">
        <f>IF(SER_hh_tes!O9=0,"",SER_hh_tes!O9/SER_hh_fec!O9)</f>
        <v>0.61306764208636955</v>
      </c>
      <c r="P9" s="137">
        <f>IF(SER_hh_tes!P9=0,"",SER_hh_tes!P9/SER_hh_fec!P9)</f>
        <v>0.61691335596215002</v>
      </c>
      <c r="Q9" s="137">
        <f>IF(SER_hh_tes!Q9=0,"",SER_hh_tes!Q9/SER_hh_fec!Q9)</f>
        <v>0.62732501223830817</v>
      </c>
      <c r="R9" s="137">
        <f>IF(SER_hh_tes!R9=0,"",SER_hh_tes!R9/SER_hh_fec!R9)</f>
        <v>0.64239195925726811</v>
      </c>
      <c r="S9" s="137">
        <f>IF(SER_hh_tes!S9=0,"",SER_hh_tes!S9/SER_hh_fec!S9)</f>
        <v>0.65992144468772063</v>
      </c>
      <c r="T9" s="137">
        <f>IF(SER_hh_tes!T9=0,"",SER_hh_tes!T9/SER_hh_fec!T9)</f>
        <v>0.67795927957655489</v>
      </c>
      <c r="U9" s="137">
        <f>IF(SER_hh_tes!U9=0,"",SER_hh_tes!U9/SER_hh_fec!U9)</f>
        <v>0.69308360247654954</v>
      </c>
      <c r="V9" s="137">
        <f>IF(SER_hh_tes!V9=0,"",SER_hh_tes!V9/SER_hh_fec!V9)</f>
        <v>0.70560359025331232</v>
      </c>
      <c r="W9" s="137">
        <f>IF(SER_hh_tes!W9=0,"",SER_hh_tes!W9/SER_hh_fec!W9)</f>
        <v>0.7155585339706737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0.43731252239598334</v>
      </c>
      <c r="C10" s="137">
        <f>IF(SER_hh_tes!C10=0,"",SER_hh_tes!C10/SER_hh_fec!C10)</f>
        <v>0.44715790177249615</v>
      </c>
      <c r="D10" s="137">
        <f>IF(SER_hh_tes!D10=0,"",SER_hh_tes!D10/SER_hh_fec!D10)</f>
        <v>0.45535045324853501</v>
      </c>
      <c r="E10" s="137">
        <f>IF(SER_hh_tes!E10=0,"",SER_hh_tes!E10/SER_hh_fec!E10)</f>
        <v>0.46499640379043256</v>
      </c>
      <c r="F10" s="137">
        <f>IF(SER_hh_tes!F10=0,"",SER_hh_tes!F10/SER_hh_fec!F10)</f>
        <v>0.47562657811603215</v>
      </c>
      <c r="G10" s="137">
        <f>IF(SER_hh_tes!G10=0,"",SER_hh_tes!G10/SER_hh_fec!G10)</f>
        <v>0.48509900559481034</v>
      </c>
      <c r="H10" s="137">
        <f>IF(SER_hh_tes!H10=0,"",SER_hh_tes!H10/SER_hh_fec!H10)</f>
        <v>0.49215981682464588</v>
      </c>
      <c r="I10" s="137">
        <f>IF(SER_hh_tes!I10=0,"",SER_hh_tes!I10/SER_hh_fec!I10)</f>
        <v>0.49811865684095724</v>
      </c>
      <c r="J10" s="137">
        <f>IF(SER_hh_tes!J10=0,"",SER_hh_tes!J10/SER_hh_fec!J10)</f>
        <v>0.50183301905130318</v>
      </c>
      <c r="K10" s="137">
        <f>IF(SER_hh_tes!K10=0,"",SER_hh_tes!K10/SER_hh_fec!K10)</f>
        <v>0.50639404371865293</v>
      </c>
      <c r="L10" s="137">
        <f>IF(SER_hh_tes!L10=0,"",SER_hh_tes!L10/SER_hh_fec!L10)</f>
        <v>0.51250528067108914</v>
      </c>
      <c r="M10" s="137">
        <f>IF(SER_hh_tes!M10=0,"",SER_hh_tes!M10/SER_hh_fec!M10)</f>
        <v>0.51977945192009578</v>
      </c>
      <c r="N10" s="137">
        <f>IF(SER_hh_tes!N10=0,"",SER_hh_tes!N10/SER_hh_fec!N10)</f>
        <v>0.52698203849352043</v>
      </c>
      <c r="O10" s="137">
        <f>IF(SER_hh_tes!O10=0,"",SER_hh_tes!O10/SER_hh_fec!O10)</f>
        <v>0.53228547641491319</v>
      </c>
      <c r="P10" s="137">
        <f>IF(SER_hh_tes!P10=0,"",SER_hh_tes!P10/SER_hh_fec!P10)</f>
        <v>0.53238891775687514</v>
      </c>
      <c r="Q10" s="137">
        <f>IF(SER_hh_tes!Q10=0,"",SER_hh_tes!Q10/SER_hh_fec!Q10)</f>
        <v>0.53253603232317748</v>
      </c>
      <c r="R10" s="137">
        <f>IF(SER_hh_tes!R10=0,"",SER_hh_tes!R10/SER_hh_fec!R10)</f>
        <v>0.53269124705098736</v>
      </c>
      <c r="S10" s="137">
        <f>IF(SER_hh_tes!S10=0,"",SER_hh_tes!S10/SER_hh_fec!S10)</f>
        <v>0.53292500946911059</v>
      </c>
      <c r="T10" s="137">
        <f>IF(SER_hh_tes!T10=0,"",SER_hh_tes!T10/SER_hh_fec!T10)</f>
        <v>0.53306769495294948</v>
      </c>
      <c r="U10" s="137">
        <f>IF(SER_hh_tes!U10=0,"",SER_hh_tes!U10/SER_hh_fec!U10)</f>
        <v>0.53322150768584631</v>
      </c>
      <c r="V10" s="137">
        <f>IF(SER_hh_tes!V10=0,"",SER_hh_tes!V10/SER_hh_fec!V10)</f>
        <v>0.53337559798431033</v>
      </c>
      <c r="W10" s="137">
        <f>IF(SER_hh_tes!W10=0,"",SER_hh_tes!W10/SER_hh_fec!W10)</f>
        <v>0.5335012357897938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0.75722625383595177</v>
      </c>
      <c r="C12" s="137">
        <f>IF(SER_hh_tes!C12=0,"",SER_hh_tes!C12/SER_hh_fec!C12)</f>
        <v>0.7596709738703471</v>
      </c>
      <c r="D12" s="137">
        <f>IF(SER_hh_tes!D12=0,"",SER_hh_tes!D12/SER_hh_fec!D12)</f>
        <v>0.7610353906161218</v>
      </c>
      <c r="E12" s="137">
        <f>IF(SER_hh_tes!E12=0,"",SER_hh_tes!E12/SER_hh_fec!E12)</f>
        <v>0.76315669709148526</v>
      </c>
      <c r="F12" s="137">
        <f>IF(SER_hh_tes!F12=0,"",SER_hh_tes!F12/SER_hh_fec!F12)</f>
        <v>0.76552291448846965</v>
      </c>
      <c r="G12" s="137">
        <f>IF(SER_hh_tes!G12=0,"",SER_hh_tes!G12/SER_hh_fec!G12)</f>
        <v>0.76790473533393322</v>
      </c>
      <c r="H12" s="137">
        <f>IF(SER_hh_tes!H12=0,"",SER_hh_tes!H12/SER_hh_fec!H12)</f>
        <v>0.77157268608456153</v>
      </c>
      <c r="I12" s="137">
        <f>IF(SER_hh_tes!I12=0,"",SER_hh_tes!I12/SER_hh_fec!I12)</f>
        <v>0.77622846208926466</v>
      </c>
      <c r="J12" s="137">
        <f>IF(SER_hh_tes!J12=0,"",SER_hh_tes!J12/SER_hh_fec!J12)</f>
        <v>0.78114205255117075</v>
      </c>
      <c r="K12" s="137">
        <f>IF(SER_hh_tes!K12=0,"",SER_hh_tes!K12/SER_hh_fec!K12)</f>
        <v>0.78528924864983674</v>
      </c>
      <c r="L12" s="137">
        <f>IF(SER_hh_tes!L12=0,"",SER_hh_tes!L12/SER_hh_fec!L12)</f>
        <v>0.78897677847244019</v>
      </c>
      <c r="M12" s="137">
        <f>IF(SER_hh_tes!M12=0,"",SER_hh_tes!M12/SER_hh_fec!M12)</f>
        <v>0.79373640529088718</v>
      </c>
      <c r="N12" s="137">
        <f>IF(SER_hh_tes!N12=0,"",SER_hh_tes!N12/SER_hh_fec!N12)</f>
        <v>0.79800407087916647</v>
      </c>
      <c r="O12" s="137">
        <f>IF(SER_hh_tes!O12=0,"",SER_hh_tes!O12/SER_hh_fec!O12)</f>
        <v>0.80346972212558776</v>
      </c>
      <c r="P12" s="137">
        <f>IF(SER_hh_tes!P12=0,"",SER_hh_tes!P12/SER_hh_fec!P12)</f>
        <v>0.80555103070454726</v>
      </c>
      <c r="Q12" s="137">
        <f>IF(SER_hh_tes!Q12=0,"",SER_hh_tes!Q12/SER_hh_fec!Q12)</f>
        <v>0.80972753925974805</v>
      </c>
      <c r="R12" s="137">
        <f>IF(SER_hh_tes!R12=0,"",SER_hh_tes!R12/SER_hh_fec!R12)</f>
        <v>0.81427452064386285</v>
      </c>
      <c r="S12" s="137">
        <f>IF(SER_hh_tes!S12=0,"",SER_hh_tes!S12/SER_hh_fec!S12)</f>
        <v>0.81924209595994069</v>
      </c>
      <c r="T12" s="137">
        <f>IF(SER_hh_tes!T12=0,"",SER_hh_tes!T12/SER_hh_fec!T12)</f>
        <v>0.82319081526523419</v>
      </c>
      <c r="U12" s="137">
        <f>IF(SER_hh_tes!U12=0,"",SER_hh_tes!U12/SER_hh_fec!U12)</f>
        <v>0.82860361290027129</v>
      </c>
      <c r="V12" s="137">
        <f>IF(SER_hh_tes!V12=0,"",SER_hh_tes!V12/SER_hh_fec!V12)</f>
        <v>0.83546196280565344</v>
      </c>
      <c r="W12" s="137">
        <f>IF(SER_hh_tes!W12=0,"",SER_hh_tes!W12/SER_hh_fec!W12)</f>
        <v>0.84178011744635284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1.316524672794563</v>
      </c>
      <c r="C13" s="137">
        <f>IF(SER_hh_tes!C13=0,"",SER_hh_tes!C13/SER_hh_fec!C13)</f>
        <v>1.3247388019899664</v>
      </c>
      <c r="D13" s="137">
        <f>IF(SER_hh_tes!D13=0,"",SER_hh_tes!D13/SER_hh_fec!D13)</f>
        <v>1.4010293259433877</v>
      </c>
      <c r="E13" s="137">
        <f>IF(SER_hh_tes!E13=0,"",SER_hh_tes!E13/SER_hh_fec!E13)</f>
        <v>1.4712328535301502</v>
      </c>
      <c r="F13" s="137">
        <f>IF(SER_hh_tes!F13=0,"",SER_hh_tes!F13/SER_hh_fec!F13)</f>
        <v>1.5567206834911536</v>
      </c>
      <c r="G13" s="137">
        <f>IF(SER_hh_tes!G13=0,"",SER_hh_tes!G13/SER_hh_fec!G13)</f>
        <v>1.6521063260040061</v>
      </c>
      <c r="H13" s="137">
        <f>IF(SER_hh_tes!H13=0,"",SER_hh_tes!H13/SER_hh_fec!H13)</f>
        <v>1.7592757718115872</v>
      </c>
      <c r="I13" s="137">
        <f>IF(SER_hh_tes!I13=0,"",SER_hh_tes!I13/SER_hh_fec!I13)</f>
        <v>1.8738193283942211</v>
      </c>
      <c r="J13" s="137">
        <f>IF(SER_hh_tes!J13=0,"",SER_hh_tes!J13/SER_hh_fec!J13)</f>
        <v>1.9872778995020566</v>
      </c>
      <c r="K13" s="137">
        <f>IF(SER_hh_tes!K13=0,"",SER_hh_tes!K13/SER_hh_fec!K13)</f>
        <v>2.1076705969772234</v>
      </c>
      <c r="L13" s="137">
        <f>IF(SER_hh_tes!L13=0,"",SER_hh_tes!L13/SER_hh_fec!L13)</f>
        <v>2.2123602632893635</v>
      </c>
      <c r="M13" s="137">
        <f>IF(SER_hh_tes!M13=0,"",SER_hh_tes!M13/SER_hh_fec!M13)</f>
        <v>2.3280926583299499</v>
      </c>
      <c r="N13" s="137">
        <f>IF(SER_hh_tes!N13=0,"",SER_hh_tes!N13/SER_hh_fec!N13)</f>
        <v>2.438860917541477</v>
      </c>
      <c r="O13" s="137">
        <f>IF(SER_hh_tes!O13=0,"",SER_hh_tes!O13/SER_hh_fec!O13)</f>
        <v>2.5634663297616838</v>
      </c>
      <c r="P13" s="137">
        <f>IF(SER_hh_tes!P13=0,"",SER_hh_tes!P13/SER_hh_fec!P13)</f>
        <v>2.6668066229250575</v>
      </c>
      <c r="Q13" s="137">
        <f>IF(SER_hh_tes!Q13=0,"",SER_hh_tes!Q13/SER_hh_fec!Q13)</f>
        <v>2.7579884770677912</v>
      </c>
      <c r="R13" s="137">
        <f>IF(SER_hh_tes!R13=0,"",SER_hh_tes!R13/SER_hh_fec!R13)</f>
        <v>2.8132242643980132</v>
      </c>
      <c r="S13" s="137">
        <f>IF(SER_hh_tes!S13=0,"",SER_hh_tes!S13/SER_hh_fec!S13)</f>
        <v>2.8517694965541729</v>
      </c>
      <c r="T13" s="137">
        <f>IF(SER_hh_tes!T13=0,"",SER_hh_tes!T13/SER_hh_fec!T13)</f>
        <v>2.8763823198091596</v>
      </c>
      <c r="U13" s="137">
        <f>IF(SER_hh_tes!U13=0,"",SER_hh_tes!U13/SER_hh_fec!U13)</f>
        <v>2.8877968533194567</v>
      </c>
      <c r="V13" s="137">
        <f>IF(SER_hh_tes!V13=0,"",SER_hh_tes!V13/SER_hh_fec!V13)</f>
        <v>2.9058205528479344</v>
      </c>
      <c r="W13" s="137">
        <f>IF(SER_hh_tes!W13=0,"",SER_hh_tes!W13/SER_hh_fec!W13)</f>
        <v>2.9326275154995303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0.67278785544087738</v>
      </c>
      <c r="C14" s="138">
        <f>IF(SER_hh_tes!C14=0,"",SER_hh_tes!C14/SER_hh_fec!C14)</f>
        <v>0.6801166448565279</v>
      </c>
      <c r="D14" s="138">
        <f>IF(SER_hh_tes!D14=0,"",SER_hh_tes!D14/SER_hh_fec!D14)</f>
        <v>0.69116342058582014</v>
      </c>
      <c r="E14" s="138">
        <f>IF(SER_hh_tes!E14=0,"",SER_hh_tes!E14/SER_hh_fec!E14)</f>
        <v>0.69693762091709333</v>
      </c>
      <c r="F14" s="138">
        <f>IF(SER_hh_tes!F14=0,"",SER_hh_tes!F14/SER_hh_fec!F14)</f>
        <v>0.70128452297204424</v>
      </c>
      <c r="G14" s="138">
        <f>IF(SER_hh_tes!G14=0,"",SER_hh_tes!G14/SER_hh_fec!G14)</f>
        <v>0.70553465560020534</v>
      </c>
      <c r="H14" s="138">
        <f>IF(SER_hh_tes!H14=0,"",SER_hh_tes!H14/SER_hh_fec!H14)</f>
        <v>0.7095750860918375</v>
      </c>
      <c r="I14" s="138">
        <f>IF(SER_hh_tes!I14=0,"",SER_hh_tes!I14/SER_hh_fec!I14)</f>
        <v>0.71308880405964814</v>
      </c>
      <c r="J14" s="138">
        <f>IF(SER_hh_tes!J14=0,"",SER_hh_tes!J14/SER_hh_fec!J14)</f>
        <v>0.71418839355623098</v>
      </c>
      <c r="K14" s="138">
        <f>IF(SER_hh_tes!K14=0,"",SER_hh_tes!K14/SER_hh_fec!K14)</f>
        <v>0.7153443750984807</v>
      </c>
      <c r="L14" s="138">
        <f>IF(SER_hh_tes!L14=0,"",SER_hh_tes!L14/SER_hh_fec!L14)</f>
        <v>0.71604861557705823</v>
      </c>
      <c r="M14" s="138">
        <f>IF(SER_hh_tes!M14=0,"",SER_hh_tes!M14/SER_hh_fec!M14)</f>
        <v>0.72099395192649463</v>
      </c>
      <c r="N14" s="138">
        <f>IF(SER_hh_tes!N14=0,"",SER_hh_tes!N14/SER_hh_fec!N14)</f>
        <v>0.72964712875913129</v>
      </c>
      <c r="O14" s="138">
        <f>IF(SER_hh_tes!O14=0,"",SER_hh_tes!O14/SER_hh_fec!O14)</f>
        <v>0.73428576572494353</v>
      </c>
      <c r="P14" s="138">
        <f>IF(SER_hh_tes!P14=0,"",SER_hh_tes!P14/SER_hh_fec!P14)</f>
        <v>0.73893384685579944</v>
      </c>
      <c r="Q14" s="138">
        <f>IF(SER_hh_tes!Q14=0,"",SER_hh_tes!Q14/SER_hh_fec!Q14)</f>
        <v>0.7403944408889318</v>
      </c>
      <c r="R14" s="138">
        <f>IF(SER_hh_tes!R14=0,"",SER_hh_tes!R14/SER_hh_fec!R14)</f>
        <v>0.74790386644388107</v>
      </c>
      <c r="S14" s="138">
        <f>IF(SER_hh_tes!S14=0,"",SER_hh_tes!S14/SER_hh_fec!S14)</f>
        <v>0.75974475923302431</v>
      </c>
      <c r="T14" s="138">
        <f>IF(SER_hh_tes!T14=0,"",SER_hh_tes!T14/SER_hh_fec!T14)</f>
        <v>0.77649793651455323</v>
      </c>
      <c r="U14" s="138">
        <f>IF(SER_hh_tes!U14=0,"",SER_hh_tes!U14/SER_hh_fec!U14)</f>
        <v>0.78838364258599947</v>
      </c>
      <c r="V14" s="138">
        <f>IF(SER_hh_tes!V14=0,"",SER_hh_tes!V14/SER_hh_fec!V14)</f>
        <v>0.79631357858822416</v>
      </c>
      <c r="W14" s="138">
        <f>IF(SER_hh_tes!W14=0,"",SER_hh_tes!W14/SER_hh_fec!W14)</f>
        <v>0.80249955558439279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2.0295683729194383</v>
      </c>
      <c r="C16" s="136">
        <f>IF(SER_hh_tes!C16=0,"",SER_hh_tes!C16/SER_hh_fec!C16)</f>
        <v>2.1319395717727314</v>
      </c>
      <c r="D16" s="136">
        <f>IF(SER_hh_tes!D16=0,"",SER_hh_tes!D16/SER_hh_fec!D16)</f>
        <v>2.2522820188614965</v>
      </c>
      <c r="E16" s="136">
        <f>IF(SER_hh_tes!E16=0,"",SER_hh_tes!E16/SER_hh_fec!E16)</f>
        <v>2.3829375603480609</v>
      </c>
      <c r="F16" s="136">
        <f>IF(SER_hh_tes!F16=0,"",SER_hh_tes!F16/SER_hh_fec!F16)</f>
        <v>2.5061054399310581</v>
      </c>
      <c r="G16" s="136">
        <f>IF(SER_hh_tes!G16=0,"",SER_hh_tes!G16/SER_hh_fec!G16)</f>
        <v>2.6476386322701444</v>
      </c>
      <c r="H16" s="136">
        <f>IF(SER_hh_tes!H16=0,"",SER_hh_tes!H16/SER_hh_fec!H16)</f>
        <v>2.7910504103153273</v>
      </c>
      <c r="I16" s="136">
        <f>IF(SER_hh_tes!I16=0,"",SER_hh_tes!I16/SER_hh_fec!I16)</f>
        <v>2.947291955097656</v>
      </c>
      <c r="J16" s="136">
        <f>IF(SER_hh_tes!J16=0,"",SER_hh_tes!J16/SER_hh_fec!J16)</f>
        <v>3.104520236748554</v>
      </c>
      <c r="K16" s="136">
        <f>IF(SER_hh_tes!K16=0,"",SER_hh_tes!K16/SER_hh_fec!K16)</f>
        <v>3.1652289690681132</v>
      </c>
      <c r="L16" s="136">
        <f>IF(SER_hh_tes!L16=0,"",SER_hh_tes!L16/SER_hh_fec!L16)</f>
        <v>3.2353715357200201</v>
      </c>
      <c r="M16" s="136">
        <f>IF(SER_hh_tes!M16=0,"",SER_hh_tes!M16/SER_hh_fec!M16)</f>
        <v>3.3336468747300239</v>
      </c>
      <c r="N16" s="136">
        <f>IF(SER_hh_tes!N16=0,"",SER_hh_tes!N16/SER_hh_fec!N16)</f>
        <v>3.4374169498494038</v>
      </c>
      <c r="O16" s="136">
        <f>IF(SER_hh_tes!O16=0,"",SER_hh_tes!O16/SER_hh_fec!O16)</f>
        <v>3.5556859965022127</v>
      </c>
      <c r="P16" s="136">
        <f>IF(SER_hh_tes!P16=0,"",SER_hh_tes!P16/SER_hh_fec!P16)</f>
        <v>3.687807580150873</v>
      </c>
      <c r="Q16" s="136">
        <f>IF(SER_hh_tes!Q16=0,"",SER_hh_tes!Q16/SER_hh_fec!Q16)</f>
        <v>3.8388645586372214</v>
      </c>
      <c r="R16" s="136">
        <f>IF(SER_hh_tes!R16=0,"",SER_hh_tes!R16/SER_hh_fec!R16)</f>
        <v>3.995981182081465</v>
      </c>
      <c r="S16" s="136">
        <f>IF(SER_hh_tes!S16=0,"",SER_hh_tes!S16/SER_hh_fec!S16)</f>
        <v>4.1495056561250694</v>
      </c>
      <c r="T16" s="136">
        <f>IF(SER_hh_tes!T16=0,"",SER_hh_tes!T16/SER_hh_fec!T16)</f>
        <v>4.2903641635429137</v>
      </c>
      <c r="U16" s="136">
        <f>IF(SER_hh_tes!U16=0,"",SER_hh_tes!U16/SER_hh_fec!U16)</f>
        <v>4.4160989715761829</v>
      </c>
      <c r="V16" s="136">
        <f>IF(SER_hh_tes!V16=0,"",SER_hh_tes!V16/SER_hh_fec!V16)</f>
        <v>4.532077094869325</v>
      </c>
      <c r="W16" s="136">
        <f>IF(SER_hh_tes!W16=0,"",SER_hh_tes!W16/SER_hh_fec!W16)</f>
        <v>4.6433775323093238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2.0295683729194383</v>
      </c>
      <c r="C18" s="137">
        <f>IF(SER_hh_tes!C18=0,"",SER_hh_tes!C18/SER_hh_fec!C18)</f>
        <v>2.1319395717727314</v>
      </c>
      <c r="D18" s="137">
        <f>IF(SER_hh_tes!D18=0,"",SER_hh_tes!D18/SER_hh_fec!D18)</f>
        <v>2.2522820188614965</v>
      </c>
      <c r="E18" s="137">
        <f>IF(SER_hh_tes!E18=0,"",SER_hh_tes!E18/SER_hh_fec!E18)</f>
        <v>2.3829375603480609</v>
      </c>
      <c r="F18" s="137">
        <f>IF(SER_hh_tes!F18=0,"",SER_hh_tes!F18/SER_hh_fec!F18)</f>
        <v>2.5061054399310581</v>
      </c>
      <c r="G18" s="137">
        <f>IF(SER_hh_tes!G18=0,"",SER_hh_tes!G18/SER_hh_fec!G18)</f>
        <v>2.6476386322701444</v>
      </c>
      <c r="H18" s="137">
        <f>IF(SER_hh_tes!H18=0,"",SER_hh_tes!H18/SER_hh_fec!H18)</f>
        <v>2.7910504103153273</v>
      </c>
      <c r="I18" s="137">
        <f>IF(SER_hh_tes!I18=0,"",SER_hh_tes!I18/SER_hh_fec!I18)</f>
        <v>2.947291955097656</v>
      </c>
      <c r="J18" s="137">
        <f>IF(SER_hh_tes!J18=0,"",SER_hh_tes!J18/SER_hh_fec!J18)</f>
        <v>3.104520236748554</v>
      </c>
      <c r="K18" s="137">
        <f>IF(SER_hh_tes!K18=0,"",SER_hh_tes!K18/SER_hh_fec!K18)</f>
        <v>3.1652289690681132</v>
      </c>
      <c r="L18" s="137">
        <f>IF(SER_hh_tes!L18=0,"",SER_hh_tes!L18/SER_hh_fec!L18)</f>
        <v>3.2353715357200201</v>
      </c>
      <c r="M18" s="137">
        <f>IF(SER_hh_tes!M18=0,"",SER_hh_tes!M18/SER_hh_fec!M18)</f>
        <v>3.3336468747300239</v>
      </c>
      <c r="N18" s="137">
        <f>IF(SER_hh_tes!N18=0,"",SER_hh_tes!N18/SER_hh_fec!N18)</f>
        <v>3.4374169498494038</v>
      </c>
      <c r="O18" s="137">
        <f>IF(SER_hh_tes!O18=0,"",SER_hh_tes!O18/SER_hh_fec!O18)</f>
        <v>3.5556859965022127</v>
      </c>
      <c r="P18" s="137">
        <f>IF(SER_hh_tes!P18=0,"",SER_hh_tes!P18/SER_hh_fec!P18)</f>
        <v>3.687807580150873</v>
      </c>
      <c r="Q18" s="137">
        <f>IF(SER_hh_tes!Q18=0,"",SER_hh_tes!Q18/SER_hh_fec!Q18)</f>
        <v>3.8388645586372214</v>
      </c>
      <c r="R18" s="137">
        <f>IF(SER_hh_tes!R18=0,"",SER_hh_tes!R18/SER_hh_fec!R18)</f>
        <v>3.995981182081465</v>
      </c>
      <c r="S18" s="137">
        <f>IF(SER_hh_tes!S18=0,"",SER_hh_tes!S18/SER_hh_fec!S18)</f>
        <v>4.1495056561250694</v>
      </c>
      <c r="T18" s="137">
        <f>IF(SER_hh_tes!T18=0,"",SER_hh_tes!T18/SER_hh_fec!T18)</f>
        <v>4.2903641635429137</v>
      </c>
      <c r="U18" s="137">
        <f>IF(SER_hh_tes!U18=0,"",SER_hh_tes!U18/SER_hh_fec!U18)</f>
        <v>4.4160989715761829</v>
      </c>
      <c r="V18" s="137">
        <f>IF(SER_hh_tes!V18=0,"",SER_hh_tes!V18/SER_hh_fec!V18)</f>
        <v>4.532077094869325</v>
      </c>
      <c r="W18" s="137">
        <f>IF(SER_hh_tes!W18=0,"",SER_hh_tes!W18/SER_hh_fec!W18)</f>
        <v>4.6433775323093238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0.61046321409751347</v>
      </c>
      <c r="C19" s="136">
        <f>IF(SER_hh_tes!C19=0,"",SER_hh_tes!C19/SER_hh_fec!C19)</f>
        <v>0.61879898724327342</v>
      </c>
      <c r="D19" s="136">
        <f>IF(SER_hh_tes!D19=0,"",SER_hh_tes!D19/SER_hh_fec!D19)</f>
        <v>0.62172971303243552</v>
      </c>
      <c r="E19" s="136">
        <f>IF(SER_hh_tes!E19=0,"",SER_hh_tes!E19/SER_hh_fec!E19)</f>
        <v>0.62620463357921274</v>
      </c>
      <c r="F19" s="136">
        <f>IF(SER_hh_tes!F19=0,"",SER_hh_tes!F19/SER_hh_fec!F19)</f>
        <v>0.62990792231326387</v>
      </c>
      <c r="G19" s="136">
        <f>IF(SER_hh_tes!G19=0,"",SER_hh_tes!G19/SER_hh_fec!G19)</f>
        <v>0.63300217466941755</v>
      </c>
      <c r="H19" s="136">
        <f>IF(SER_hh_tes!H19=0,"",SER_hh_tes!H19/SER_hh_fec!H19)</f>
        <v>0.63824922083050395</v>
      </c>
      <c r="I19" s="136">
        <f>IF(SER_hh_tes!I19=0,"",SER_hh_tes!I19/SER_hh_fec!I19)</f>
        <v>0.64414570647144431</v>
      </c>
      <c r="J19" s="136">
        <f>IF(SER_hh_tes!J19=0,"",SER_hh_tes!J19/SER_hh_fec!J19)</f>
        <v>0.64664987589130418</v>
      </c>
      <c r="K19" s="136">
        <f>IF(SER_hh_tes!K19=0,"",SER_hh_tes!K19/SER_hh_fec!K19)</f>
        <v>0.65207274450607811</v>
      </c>
      <c r="L19" s="136">
        <f>IF(SER_hh_tes!L19=0,"",SER_hh_tes!L19/SER_hh_fec!L19)</f>
        <v>0.65762389092182749</v>
      </c>
      <c r="M19" s="136">
        <f>IF(SER_hh_tes!M19=0,"",SER_hh_tes!M19/SER_hh_fec!M19)</f>
        <v>0.66509768915189083</v>
      </c>
      <c r="N19" s="136">
        <f>IF(SER_hh_tes!N19=0,"",SER_hh_tes!N19/SER_hh_fec!N19)</f>
        <v>0.67294580890980626</v>
      </c>
      <c r="O19" s="136">
        <f>IF(SER_hh_tes!O19=0,"",SER_hh_tes!O19/SER_hh_fec!O19)</f>
        <v>0.68189404270231557</v>
      </c>
      <c r="P19" s="136">
        <f>IF(SER_hh_tes!P19=0,"",SER_hh_tes!P19/SER_hh_fec!P19)</f>
        <v>0.68681381057156987</v>
      </c>
      <c r="Q19" s="136">
        <f>IF(SER_hh_tes!Q19=0,"",SER_hh_tes!Q19/SER_hh_fec!Q19)</f>
        <v>0.69577133375328304</v>
      </c>
      <c r="R19" s="136">
        <f>IF(SER_hh_tes!R19=0,"",SER_hh_tes!R19/SER_hh_fec!R19)</f>
        <v>0.70611290693466777</v>
      </c>
      <c r="S19" s="136">
        <f>IF(SER_hh_tes!S19=0,"",SER_hh_tes!S19/SER_hh_fec!S19)</f>
        <v>0.71920434994145965</v>
      </c>
      <c r="T19" s="136">
        <f>IF(SER_hh_tes!T19=0,"",SER_hh_tes!T19/SER_hh_fec!T19)</f>
        <v>0.73504133317736253</v>
      </c>
      <c r="U19" s="136">
        <f>IF(SER_hh_tes!U19=0,"",SER_hh_tes!U19/SER_hh_fec!U19)</f>
        <v>0.75226955208396074</v>
      </c>
      <c r="V19" s="136">
        <f>IF(SER_hh_tes!V19=0,"",SER_hh_tes!V19/SER_hh_fec!V19)</f>
        <v>0.76768219158472772</v>
      </c>
      <c r="W19" s="136">
        <f>IF(SER_hh_tes!W19=0,"",SER_hh_tes!W19/SER_hh_fec!W19)</f>
        <v>0.78390674848195163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0.49632286793708552</v>
      </c>
      <c r="C22" s="137">
        <f>IF(SER_hh_tes!C22=0,"",SER_hh_tes!C22/SER_hh_fec!C22)</f>
        <v>0.49799815113447138</v>
      </c>
      <c r="D22" s="137">
        <f>IF(SER_hh_tes!D22=0,"",SER_hh_tes!D22/SER_hh_fec!D22)</f>
        <v>0.50007048829341971</v>
      </c>
      <c r="E22" s="137">
        <f>IF(SER_hh_tes!E22=0,"",SER_hh_tes!E22/SER_hh_fec!E22)</f>
        <v>0.50213960959699711</v>
      </c>
      <c r="F22" s="137">
        <f>IF(SER_hh_tes!F22=0,"",SER_hh_tes!F22/SER_hh_fec!F22)</f>
        <v>0.50426385225434966</v>
      </c>
      <c r="G22" s="137">
        <f>IF(SER_hh_tes!G22=0,"",SER_hh_tes!G22/SER_hh_fec!G22)</f>
        <v>0.50659278042006084</v>
      </c>
      <c r="H22" s="137">
        <f>IF(SER_hh_tes!H22=0,"",SER_hh_tes!H22/SER_hh_fec!H22)</f>
        <v>0.5091978105850179</v>
      </c>
      <c r="I22" s="137">
        <f>IF(SER_hh_tes!I22=0,"",SER_hh_tes!I22/SER_hh_fec!I22)</f>
        <v>0.51179010272372905</v>
      </c>
      <c r="J22" s="137">
        <f>IF(SER_hh_tes!J22=0,"",SER_hh_tes!J22/SER_hh_fec!J22)</f>
        <v>0.5148016481057619</v>
      </c>
      <c r="K22" s="137">
        <f>IF(SER_hh_tes!K22=0,"",SER_hh_tes!K22/SER_hh_fec!K22)</f>
        <v>0.51784500550482671</v>
      </c>
      <c r="L22" s="137">
        <f>IF(SER_hh_tes!L22=0,"",SER_hh_tes!L22/SER_hh_fec!L22)</f>
        <v>0.5219156202441988</v>
      </c>
      <c r="M22" s="137">
        <f>IF(SER_hh_tes!M22=0,"",SER_hh_tes!M22/SER_hh_fec!M22)</f>
        <v>0.52746204822231846</v>
      </c>
      <c r="N22" s="137">
        <f>IF(SER_hh_tes!N22=0,"",SER_hh_tes!N22/SER_hh_fec!N22)</f>
        <v>0.53600438046538879</v>
      </c>
      <c r="O22" s="137">
        <f>IF(SER_hh_tes!O22=0,"",SER_hh_tes!O22/SER_hh_fec!O22)</f>
        <v>0.54630026642776985</v>
      </c>
      <c r="P22" s="137">
        <f>IF(SER_hh_tes!P22=0,"",SER_hh_tes!P22/SER_hh_fec!P22)</f>
        <v>0.55280653487792963</v>
      </c>
      <c r="Q22" s="137">
        <f>IF(SER_hh_tes!Q22=0,"",SER_hh_tes!Q22/SER_hh_fec!Q22)</f>
        <v>0.56023655200546607</v>
      </c>
      <c r="R22" s="137">
        <f>IF(SER_hh_tes!R22=0,"",SER_hh_tes!R22/SER_hh_fec!R22)</f>
        <v>0.56877666547154626</v>
      </c>
      <c r="S22" s="137">
        <f>IF(SER_hh_tes!S22=0,"",SER_hh_tes!S22/SER_hh_fec!S22)</f>
        <v>0.57964365112415239</v>
      </c>
      <c r="T22" s="137">
        <f>IF(SER_hh_tes!T22=0,"",SER_hh_tes!T22/SER_hh_fec!T22)</f>
        <v>0.59139403847337413</v>
      </c>
      <c r="U22" s="137">
        <f>IF(SER_hh_tes!U22=0,"",SER_hh_tes!U22/SER_hh_fec!U22)</f>
        <v>0.60322967734175803</v>
      </c>
      <c r="V22" s="137">
        <f>IF(SER_hh_tes!V22=0,"",SER_hh_tes!V22/SER_hh_fec!V22)</f>
        <v>0.61602986008395688</v>
      </c>
      <c r="W22" s="137">
        <f>IF(SER_hh_tes!W22=0,"",SER_hh_tes!W22/SER_hh_fec!W22)</f>
        <v>0.63409350471190418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0.50705539172194158</v>
      </c>
      <c r="C23" s="137">
        <f>IF(SER_hh_tes!C23=0,"",SER_hh_tes!C23/SER_hh_fec!C23)</f>
        <v>0.51451844288752402</v>
      </c>
      <c r="D23" s="137">
        <f>IF(SER_hh_tes!D23=0,"",SER_hh_tes!D23/SER_hh_fec!D23)</f>
        <v>0.52502214032866079</v>
      </c>
      <c r="E23" s="137">
        <f>IF(SER_hh_tes!E23=0,"",SER_hh_tes!E23/SER_hh_fec!E23)</f>
        <v>0.53382644179246619</v>
      </c>
      <c r="F23" s="137">
        <f>IF(SER_hh_tes!F23=0,"",SER_hh_tes!F23/SER_hh_fec!F23)</f>
        <v>0.54196426714241563</v>
      </c>
      <c r="G23" s="137">
        <f>IF(SER_hh_tes!G23=0,"",SER_hh_tes!G23/SER_hh_fec!G23)</f>
        <v>0.54981500179239795</v>
      </c>
      <c r="H23" s="137">
        <f>IF(SER_hh_tes!H23=0,"",SER_hh_tes!H23/SER_hh_fec!H23)</f>
        <v>0.55752633943229724</v>
      </c>
      <c r="I23" s="137">
        <f>IF(SER_hh_tes!I23=0,"",SER_hh_tes!I23/SER_hh_fec!I23)</f>
        <v>0.56558427316168236</v>
      </c>
      <c r="J23" s="137">
        <f>IF(SER_hh_tes!J23=0,"",SER_hh_tes!J23/SER_hh_fec!J23)</f>
        <v>0.57404019347836654</v>
      </c>
      <c r="K23" s="137">
        <f>IF(SER_hh_tes!K23=0,"",SER_hh_tes!K23/SER_hh_fec!K23)</f>
        <v>0.58129884635584372</v>
      </c>
      <c r="L23" s="137">
        <f>IF(SER_hh_tes!L23=0,"",SER_hh_tes!L23/SER_hh_fec!L23)</f>
        <v>0.58808334591777311</v>
      </c>
      <c r="M23" s="137">
        <f>IF(SER_hh_tes!M23=0,"",SER_hh_tes!M23/SER_hh_fec!M23)</f>
        <v>0.59506868112638545</v>
      </c>
      <c r="N23" s="137">
        <f>IF(SER_hh_tes!N23=0,"",SER_hh_tes!N23/SER_hh_fec!N23)</f>
        <v>0.60369090429008632</v>
      </c>
      <c r="O23" s="137">
        <f>IF(SER_hh_tes!O23=0,"",SER_hh_tes!O23/SER_hh_fec!O23)</f>
        <v>0.61321536194669568</v>
      </c>
      <c r="P23" s="137">
        <f>IF(SER_hh_tes!P23=0,"",SER_hh_tes!P23/SER_hh_fec!P23)</f>
        <v>0.62086561736632007</v>
      </c>
      <c r="Q23" s="137">
        <f>IF(SER_hh_tes!Q23=0,"",SER_hh_tes!Q23/SER_hh_fec!Q23)</f>
        <v>0.63097805198680412</v>
      </c>
      <c r="R23" s="137">
        <f>IF(SER_hh_tes!R23=0,"",SER_hh_tes!R23/SER_hh_fec!R23)</f>
        <v>0.64378483477952819</v>
      </c>
      <c r="S23" s="137">
        <f>IF(SER_hh_tes!S23=0,"",SER_hh_tes!S23/SER_hh_fec!S23)</f>
        <v>0.66048462476045344</v>
      </c>
      <c r="T23" s="137">
        <f>IF(SER_hh_tes!T23=0,"",SER_hh_tes!T23/SER_hh_fec!T23)</f>
        <v>0.68026091351158557</v>
      </c>
      <c r="U23" s="137">
        <f>IF(SER_hh_tes!U23=0,"",SER_hh_tes!U23/SER_hh_fec!U23)</f>
        <v>0.70104718924574794</v>
      </c>
      <c r="V23" s="137">
        <f>IF(SER_hh_tes!V23=0,"",SER_hh_tes!V23/SER_hh_fec!V23)</f>
        <v>0.72302212182660841</v>
      </c>
      <c r="W23" s="137">
        <f>IF(SER_hh_tes!W23=0,"",SER_hh_tes!W23/SER_hh_fec!W23)</f>
        <v>0.73971355392516924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0.44623483917893003</v>
      </c>
      <c r="C24" s="137">
        <f>IF(SER_hh_tes!C24=0,"",SER_hh_tes!C24/SER_hh_fec!C24)</f>
        <v>0.45611725737874037</v>
      </c>
      <c r="D24" s="137">
        <f>IF(SER_hh_tes!D24=0,"",SER_hh_tes!D24/SER_hh_fec!D24)</f>
        <v>0.46771640245693319</v>
      </c>
      <c r="E24" s="137">
        <f>IF(SER_hh_tes!E24=0,"",SER_hh_tes!E24/SER_hh_fec!E24)</f>
        <v>0.48145159865825321</v>
      </c>
      <c r="F24" s="137">
        <f>IF(SER_hh_tes!F24=0,"",SER_hh_tes!F24/SER_hh_fec!F24)</f>
        <v>0.49842856749431058</v>
      </c>
      <c r="G24" s="137">
        <f>IF(SER_hh_tes!G24=0,"",SER_hh_tes!G24/SER_hh_fec!G24)</f>
        <v>0.515043130363664</v>
      </c>
      <c r="H24" s="137">
        <f>IF(SER_hh_tes!H24=0,"",SER_hh_tes!H24/SER_hh_fec!H24)</f>
        <v>0.52998382540855249</v>
      </c>
      <c r="I24" s="137">
        <f>IF(SER_hh_tes!I24=0,"",SER_hh_tes!I24/SER_hh_fec!I24)</f>
        <v>0.54387698025190245</v>
      </c>
      <c r="J24" s="137">
        <f>IF(SER_hh_tes!J24=0,"",SER_hh_tes!J24/SER_hh_fec!J24)</f>
        <v>0.55750098293010297</v>
      </c>
      <c r="K24" s="137">
        <f>IF(SER_hh_tes!K24=0,"",SER_hh_tes!K24/SER_hh_fec!K24)</f>
        <v>0.57198941105705881</v>
      </c>
      <c r="L24" s="137">
        <f>IF(SER_hh_tes!L24=0,"",SER_hh_tes!L24/SER_hh_fec!L24)</f>
        <v>0.58851486284653265</v>
      </c>
      <c r="M24" s="137">
        <f>IF(SER_hh_tes!M24=0,"",SER_hh_tes!M24/SER_hh_fec!M24)</f>
        <v>0.6063103051625286</v>
      </c>
      <c r="N24" s="137">
        <f>IF(SER_hh_tes!N24=0,"",SER_hh_tes!N24/SER_hh_fec!N24)</f>
        <v>0.62528777096791432</v>
      </c>
      <c r="O24" s="137">
        <f>IF(SER_hh_tes!O24=0,"",SER_hh_tes!O24/SER_hh_fec!O24)</f>
        <v>0.64220629930609918</v>
      </c>
      <c r="P24" s="137">
        <f>IF(SER_hh_tes!P24=0,"",SER_hh_tes!P24/SER_hh_fec!P24)</f>
        <v>0.64759610770895848</v>
      </c>
      <c r="Q24" s="137">
        <f>IF(SER_hh_tes!Q24=0,"",SER_hh_tes!Q24/SER_hh_fec!Q24)</f>
        <v>0.65383323887089784</v>
      </c>
      <c r="R24" s="137">
        <f>IF(SER_hh_tes!R24=0,"",SER_hh_tes!R24/SER_hh_fec!R24)</f>
        <v>0.65995589733822024</v>
      </c>
      <c r="S24" s="137">
        <f>IF(SER_hh_tes!S24=0,"",SER_hh_tes!S24/SER_hh_fec!S24)</f>
        <v>0.66788821936280651</v>
      </c>
      <c r="T24" s="137">
        <f>IF(SER_hh_tes!T24=0,"",SER_hh_tes!T24/SER_hh_fec!T24)</f>
        <v>0.6733547850853624</v>
      </c>
      <c r="U24" s="137">
        <f>IF(SER_hh_tes!U24=0,"",SER_hh_tes!U24/SER_hh_fec!U24)</f>
        <v>0.67906522582867146</v>
      </c>
      <c r="V24" s="137">
        <f>IF(SER_hh_tes!V24=0,"",SER_hh_tes!V24/SER_hh_fec!V24)</f>
        <v>0.68655324875064361</v>
      </c>
      <c r="W24" s="137">
        <f>IF(SER_hh_tes!W24=0,"",SER_hh_tes!W24/SER_hh_fec!W24)</f>
        <v>0.70210461631065235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0.75900452867328427</v>
      </c>
      <c r="C25" s="137">
        <f>IF(SER_hh_tes!C25=0,"",SER_hh_tes!C25/SER_hh_fec!C25)</f>
        <v>0.76202652926237913</v>
      </c>
      <c r="D25" s="137">
        <f>IF(SER_hh_tes!D25=0,"",SER_hh_tes!D25/SER_hh_fec!D25)</f>
        <v>0.76465933571371092</v>
      </c>
      <c r="E25" s="137">
        <f>IF(SER_hh_tes!E25=0,"",SER_hh_tes!E25/SER_hh_fec!E25)</f>
        <v>0.76734546513166646</v>
      </c>
      <c r="F25" s="137">
        <f>IF(SER_hh_tes!F25=0,"",SER_hh_tes!F25/SER_hh_fec!F25)</f>
        <v>0.77033097971245545</v>
      </c>
      <c r="G25" s="137">
        <f>IF(SER_hh_tes!G25=0,"",SER_hh_tes!G25/SER_hh_fec!G25)</f>
        <v>0.77258202813199328</v>
      </c>
      <c r="H25" s="137">
        <f>IF(SER_hh_tes!H25=0,"",SER_hh_tes!H25/SER_hh_fec!H25)</f>
        <v>0.77616491985103286</v>
      </c>
      <c r="I25" s="137">
        <f>IF(SER_hh_tes!I25=0,"",SER_hh_tes!I25/SER_hh_fec!I25)</f>
        <v>0.77938501105661295</v>
      </c>
      <c r="J25" s="137">
        <f>IF(SER_hh_tes!J25=0,"",SER_hh_tes!J25/SER_hh_fec!J25)</f>
        <v>0.78272513364458896</v>
      </c>
      <c r="K25" s="137">
        <f>IF(SER_hh_tes!K25=0,"",SER_hh_tes!K25/SER_hh_fec!K25)</f>
        <v>0.78658149805606703</v>
      </c>
      <c r="L25" s="137">
        <f>IF(SER_hh_tes!L25=0,"",SER_hh_tes!L25/SER_hh_fec!L25)</f>
        <v>0.79110465574667577</v>
      </c>
      <c r="M25" s="137">
        <f>IF(SER_hh_tes!M25=0,"",SER_hh_tes!M25/SER_hh_fec!M25)</f>
        <v>0.79636514748494192</v>
      </c>
      <c r="N25" s="137">
        <f>IF(SER_hh_tes!N25=0,"",SER_hh_tes!N25/SER_hh_fec!N25)</f>
        <v>0.80250933760760845</v>
      </c>
      <c r="O25" s="137">
        <f>IF(SER_hh_tes!O25=0,"",SER_hh_tes!O25/SER_hh_fec!O25)</f>
        <v>0.80876475903752343</v>
      </c>
      <c r="P25" s="137">
        <f>IF(SER_hh_tes!P25=0,"",SER_hh_tes!P25/SER_hh_fec!P25)</f>
        <v>0.81185835948273932</v>
      </c>
      <c r="Q25" s="137">
        <f>IF(SER_hh_tes!Q25=0,"",SER_hh_tes!Q25/SER_hh_fec!Q25)</f>
        <v>0.81675692634091634</v>
      </c>
      <c r="R25" s="137">
        <f>IF(SER_hh_tes!R25=0,"",SER_hh_tes!R25/SER_hh_fec!R25)</f>
        <v>0.82144302381361156</v>
      </c>
      <c r="S25" s="137">
        <f>IF(SER_hh_tes!S25=0,"",SER_hh_tes!S25/SER_hh_fec!S25)</f>
        <v>0.82831172399748898</v>
      </c>
      <c r="T25" s="137">
        <f>IF(SER_hh_tes!T25=0,"",SER_hh_tes!T25/SER_hh_fec!T25)</f>
        <v>0.83473862643699581</v>
      </c>
      <c r="U25" s="137">
        <f>IF(SER_hh_tes!U25=0,"",SER_hh_tes!U25/SER_hh_fec!U25)</f>
        <v>0.84195279839421089</v>
      </c>
      <c r="V25" s="137">
        <f>IF(SER_hh_tes!V25=0,"",SER_hh_tes!V25/SER_hh_fec!V25)</f>
        <v>0.84935734155804987</v>
      </c>
      <c r="W25" s="137">
        <f>IF(SER_hh_tes!W25=0,"",SER_hh_tes!W25/SER_hh_fec!W25)</f>
        <v>0.85629477368671947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0.62541456801441198</v>
      </c>
      <c r="C26" s="138">
        <f>IF(SER_hh_tes!C26=0,"",SER_hh_tes!C26/SER_hh_fec!C26)</f>
        <v>0.62800989547983999</v>
      </c>
      <c r="D26" s="138">
        <f>IF(SER_hh_tes!D26=0,"",SER_hh_tes!D26/SER_hh_fec!D26)</f>
        <v>0.63104874095894203</v>
      </c>
      <c r="E26" s="138">
        <f>IF(SER_hh_tes!E26=0,"",SER_hh_tes!E26/SER_hh_fec!E26)</f>
        <v>0.63442423660316982</v>
      </c>
      <c r="F26" s="138">
        <f>IF(SER_hh_tes!F26=0,"",SER_hh_tes!F26/SER_hh_fec!F26)</f>
        <v>0.63795191332929646</v>
      </c>
      <c r="G26" s="138">
        <f>IF(SER_hh_tes!G26=0,"",SER_hh_tes!G26/SER_hh_fec!G26)</f>
        <v>0.64158558044157699</v>
      </c>
      <c r="H26" s="138">
        <f>IF(SER_hh_tes!H26=0,"",SER_hh_tes!H26/SER_hh_fec!H26)</f>
        <v>0.64554167426368303</v>
      </c>
      <c r="I26" s="138">
        <f>IF(SER_hh_tes!I26=0,"",SER_hh_tes!I26/SER_hh_fec!I26)</f>
        <v>0.64999519777298642</v>
      </c>
      <c r="J26" s="138">
        <f>IF(SER_hh_tes!J26=0,"",SER_hh_tes!J26/SER_hh_fec!J26)</f>
        <v>0.65316010466748009</v>
      </c>
      <c r="K26" s="138">
        <f>IF(SER_hh_tes!K26=0,"",SER_hh_tes!K26/SER_hh_fec!K26)</f>
        <v>0.65525509936206361</v>
      </c>
      <c r="L26" s="138">
        <f>IF(SER_hh_tes!L26=0,"",SER_hh_tes!L26/SER_hh_fec!L26)</f>
        <v>0.65709991324521388</v>
      </c>
      <c r="M26" s="138">
        <f>IF(SER_hh_tes!M26=0,"",SER_hh_tes!M26/SER_hh_fec!M26)</f>
        <v>0.66131110797995085</v>
      </c>
      <c r="N26" s="138">
        <f>IF(SER_hh_tes!N26=0,"",SER_hh_tes!N26/SER_hh_fec!N26)</f>
        <v>0.6643716352011223</v>
      </c>
      <c r="O26" s="138">
        <f>IF(SER_hh_tes!O26=0,"",SER_hh_tes!O26/SER_hh_fec!O26)</f>
        <v>0.67089912803974727</v>
      </c>
      <c r="P26" s="138">
        <f>IF(SER_hh_tes!P26=0,"",SER_hh_tes!P26/SER_hh_fec!P26)</f>
        <v>0.67534487741516469</v>
      </c>
      <c r="Q26" s="138">
        <f>IF(SER_hh_tes!Q26=0,"",SER_hh_tes!Q26/SER_hh_fec!Q26)</f>
        <v>0.68253573543198753</v>
      </c>
      <c r="R26" s="138">
        <f>IF(SER_hh_tes!R26=0,"",SER_hh_tes!R26/SER_hh_fec!R26)</f>
        <v>0.69567339764267044</v>
      </c>
      <c r="S26" s="138">
        <f>IF(SER_hh_tes!S26=0,"",SER_hh_tes!S26/SER_hh_fec!S26)</f>
        <v>0.71386385586820367</v>
      </c>
      <c r="T26" s="138">
        <f>IF(SER_hh_tes!T26=0,"",SER_hh_tes!T26/SER_hh_fec!T26)</f>
        <v>0.73546297700321195</v>
      </c>
      <c r="U26" s="138">
        <f>IF(SER_hh_tes!U26=0,"",SER_hh_tes!U26/SER_hh_fec!U26)</f>
        <v>0.75551312932577042</v>
      </c>
      <c r="V26" s="138">
        <f>IF(SER_hh_tes!V26=0,"",SER_hh_tes!V26/SER_hh_fec!V26)</f>
        <v>0.77420142223360811</v>
      </c>
      <c r="W26" s="138">
        <f>IF(SER_hh_tes!W26=0,"",SER_hh_tes!W26/SER_hh_fec!W26)</f>
        <v>0.79368101759560361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0.72113143842312533</v>
      </c>
      <c r="C29" s="136">
        <f>IF(SER_hh_tes!C29=0,"",SER_hh_tes!C29/SER_hh_fec!C29)</f>
        <v>0.70204704652334016</v>
      </c>
      <c r="D29" s="136">
        <f>IF(SER_hh_tes!D29=0,"",SER_hh_tes!D29/SER_hh_fec!D29)</f>
        <v>0.69754237918583251</v>
      </c>
      <c r="E29" s="136">
        <f>IF(SER_hh_tes!E29=0,"",SER_hh_tes!E29/SER_hh_fec!E29)</f>
        <v>0.69080779569251194</v>
      </c>
      <c r="F29" s="136">
        <f>IF(SER_hh_tes!F29=0,"",SER_hh_tes!F29/SER_hh_fec!F29)</f>
        <v>0.69428026363046491</v>
      </c>
      <c r="G29" s="136">
        <f>IF(SER_hh_tes!G29=0,"",SER_hh_tes!G29/SER_hh_fec!G29)</f>
        <v>0.69753838118825018</v>
      </c>
      <c r="H29" s="136">
        <f>IF(SER_hh_tes!H29=0,"",SER_hh_tes!H29/SER_hh_fec!H29)</f>
        <v>0.70115281705371713</v>
      </c>
      <c r="I29" s="136">
        <f>IF(SER_hh_tes!I29=0,"",SER_hh_tes!I29/SER_hh_fec!I29)</f>
        <v>0.70122416123804732</v>
      </c>
      <c r="J29" s="136">
        <f>IF(SER_hh_tes!J29=0,"",SER_hh_tes!J29/SER_hh_fec!J29)</f>
        <v>0.70387993810541261</v>
      </c>
      <c r="K29" s="136">
        <f>IF(SER_hh_tes!K29=0,"",SER_hh_tes!K29/SER_hh_fec!K29)</f>
        <v>0.70380133284091839</v>
      </c>
      <c r="L29" s="136">
        <f>IF(SER_hh_tes!L29=0,"",SER_hh_tes!L29/SER_hh_fec!L29)</f>
        <v>0.70606556119726094</v>
      </c>
      <c r="M29" s="136">
        <f>IF(SER_hh_tes!M29=0,"",SER_hh_tes!M29/SER_hh_fec!M29)</f>
        <v>0.71254484153569997</v>
      </c>
      <c r="N29" s="136">
        <f>IF(SER_hh_tes!N29=0,"",SER_hh_tes!N29/SER_hh_fec!N29)</f>
        <v>0.72054708483519436</v>
      </c>
      <c r="O29" s="136">
        <f>IF(SER_hh_tes!O29=0,"",SER_hh_tes!O29/SER_hh_fec!O29)</f>
        <v>0.72735662166591686</v>
      </c>
      <c r="P29" s="136">
        <f>IF(SER_hh_tes!P29=0,"",SER_hh_tes!P29/SER_hh_fec!P29)</f>
        <v>0.72541489974575313</v>
      </c>
      <c r="Q29" s="136">
        <f>IF(SER_hh_tes!Q29=0,"",SER_hh_tes!Q29/SER_hh_fec!Q29)</f>
        <v>0.72888344345873113</v>
      </c>
      <c r="R29" s="136">
        <f>IF(SER_hh_tes!R29=0,"",SER_hh_tes!R29/SER_hh_fec!R29)</f>
        <v>0.71854964283820233</v>
      </c>
      <c r="S29" s="136">
        <f>IF(SER_hh_tes!S29=0,"",SER_hh_tes!S29/SER_hh_fec!S29)</f>
        <v>0.71018007274006445</v>
      </c>
      <c r="T29" s="136">
        <f>IF(SER_hh_tes!T29=0,"",SER_hh_tes!T29/SER_hh_fec!T29)</f>
        <v>0.71437358938835716</v>
      </c>
      <c r="U29" s="136">
        <f>IF(SER_hh_tes!U29=0,"",SER_hh_tes!U29/SER_hh_fec!U29)</f>
        <v>0.7201650843528381</v>
      </c>
      <c r="V29" s="136">
        <f>IF(SER_hh_tes!V29=0,"",SER_hh_tes!V29/SER_hh_fec!V29)</f>
        <v>0.71771807158159973</v>
      </c>
      <c r="W29" s="136">
        <f>IF(SER_hh_tes!W29=0,"",SER_hh_tes!W29/SER_hh_fec!W29)</f>
        <v>0.72618159648075231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>
        <f>IF(SER_hh_tes!C30=0,"",SER_hh_tes!C30/SER_hh_fec!C30)</f>
        <v>0.60103226563818435</v>
      </c>
      <c r="D30" s="137">
        <f>IF(SER_hh_tes!D30=0,"",SER_hh_tes!D30/SER_hh_fec!D30)</f>
        <v>0.60118502765568249</v>
      </c>
      <c r="E30" s="137">
        <f>IF(SER_hh_tes!E30=0,"",SER_hh_tes!E30/SER_hh_fec!E30)</f>
        <v>0.60141758838188752</v>
      </c>
      <c r="F30" s="137">
        <f>IF(SER_hh_tes!F30=0,"",SER_hh_tes!F30/SER_hh_fec!F30)</f>
        <v>0.60145707861910347</v>
      </c>
      <c r="G30" s="137">
        <f>IF(SER_hh_tes!G30=0,"",SER_hh_tes!G30/SER_hh_fec!G30)</f>
        <v>0.60151849300542759</v>
      </c>
      <c r="H30" s="137">
        <f>IF(SER_hh_tes!H30=0,"",SER_hh_tes!H30/SER_hh_fec!H30)</f>
        <v>0.60152404419536831</v>
      </c>
      <c r="I30" s="137">
        <f>IF(SER_hh_tes!I30=0,"",SER_hh_tes!I30/SER_hh_fec!I30)</f>
        <v>0.60152850011897618</v>
      </c>
      <c r="J30" s="137">
        <f>IF(SER_hh_tes!J30=0,"",SER_hh_tes!J30/SER_hh_fec!J30)</f>
        <v>0.60153620058698842</v>
      </c>
      <c r="K30" s="137">
        <f>IF(SER_hh_tes!K30=0,"",SER_hh_tes!K30/SER_hh_fec!K30)</f>
        <v>0.60153620058698831</v>
      </c>
      <c r="L30" s="137">
        <f>IF(SER_hh_tes!L30=0,"",SER_hh_tes!L30/SER_hh_fec!L30)</f>
        <v>0.60154497178958721</v>
      </c>
      <c r="M30" s="137">
        <f>IF(SER_hh_tes!M30=0,"",SER_hh_tes!M30/SER_hh_fec!M30)</f>
        <v>0.60158345563538018</v>
      </c>
      <c r="N30" s="137">
        <f>IF(SER_hh_tes!N30=0,"",SER_hh_tes!N30/SER_hh_fec!N30)</f>
        <v>0.6026526192611642</v>
      </c>
      <c r="O30" s="137">
        <f>IF(SER_hh_tes!O30=0,"",SER_hh_tes!O30/SER_hh_fec!O30)</f>
        <v>0.60373345020872426</v>
      </c>
      <c r="P30" s="137">
        <f>IF(SER_hh_tes!P30=0,"",SER_hh_tes!P30/SER_hh_fec!P30)</f>
        <v>0.60433008604145344</v>
      </c>
      <c r="Q30" s="137">
        <f>IF(SER_hh_tes!Q30=0,"",SER_hh_tes!Q30/SER_hh_fec!Q30)</f>
        <v>0.60459754226671236</v>
      </c>
      <c r="R30" s="137">
        <f>IF(SER_hh_tes!R30=0,"",SER_hh_tes!R30/SER_hh_fec!R30)</f>
        <v>0.60495539484358829</v>
      </c>
      <c r="S30" s="137">
        <f>IF(SER_hh_tes!S30=0,"",SER_hh_tes!S30/SER_hh_fec!S30)</f>
        <v>0.60547089510068952</v>
      </c>
      <c r="T30" s="137">
        <f>IF(SER_hh_tes!T30=0,"",SER_hh_tes!T30/SER_hh_fec!T30)</f>
        <v>0.60555119009846836</v>
      </c>
      <c r="U30" s="137">
        <f>IF(SER_hh_tes!U30=0,"",SER_hh_tes!U30/SER_hh_fec!U30)</f>
        <v>0.60557206328869617</v>
      </c>
      <c r="V30" s="137">
        <f>IF(SER_hh_tes!V30=0,"",SER_hh_tes!V30/SER_hh_fec!V30)</f>
        <v>0.60558367857029449</v>
      </c>
      <c r="W30" s="137">
        <f>IF(SER_hh_tes!W30=0,"",SER_hh_tes!W30/SER_hh_fec!W30)</f>
        <v>0.60565875774342937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0.56991845130694385</v>
      </c>
      <c r="C31" s="137">
        <f>IF(SER_hh_tes!C31=0,"",SER_hh_tes!C31/SER_hh_fec!C31)</f>
        <v>0.57230351704268823</v>
      </c>
      <c r="D31" s="137">
        <f>IF(SER_hh_tes!D31=0,"",SER_hh_tes!D31/SER_hh_fec!D31)</f>
        <v>0.57396118132157736</v>
      </c>
      <c r="E31" s="137">
        <f>IF(SER_hh_tes!E31=0,"",SER_hh_tes!E31/SER_hh_fec!E31)</f>
        <v>0.57510071732888723</v>
      </c>
      <c r="F31" s="137">
        <f>IF(SER_hh_tes!F31=0,"",SER_hh_tes!F31/SER_hh_fec!F31)</f>
        <v>0.57606986487045475</v>
      </c>
      <c r="G31" s="137">
        <f>IF(SER_hh_tes!G31=0,"",SER_hh_tes!G31/SER_hh_fec!G31)</f>
        <v>0.57695408882455923</v>
      </c>
      <c r="H31" s="137">
        <f>IF(SER_hh_tes!H31=0,"",SER_hh_tes!H31/SER_hh_fec!H31)</f>
        <v>0.57797871882143093</v>
      </c>
      <c r="I31" s="137">
        <f>IF(SER_hh_tes!I31=0,"",SER_hh_tes!I31/SER_hh_fec!I31)</f>
        <v>0.57917805128483857</v>
      </c>
      <c r="J31" s="137">
        <f>IF(SER_hh_tes!J31=0,"",SER_hh_tes!J31/SER_hh_fec!J31)</f>
        <v>0.58041557833629887</v>
      </c>
      <c r="K31" s="137">
        <f>IF(SER_hh_tes!K31=0,"",SER_hh_tes!K31/SER_hh_fec!K31)</f>
        <v>0.5816253632861399</v>
      </c>
      <c r="L31" s="137">
        <f>IF(SER_hh_tes!L31=0,"",SER_hh_tes!L31/SER_hh_fec!L31)</f>
        <v>0.582456880737105</v>
      </c>
      <c r="M31" s="137">
        <f>IF(SER_hh_tes!M31=0,"",SER_hh_tes!M31/SER_hh_fec!M31)</f>
        <v>0.58283636338867018</v>
      </c>
      <c r="N31" s="137">
        <f>IF(SER_hh_tes!N31=0,"",SER_hh_tes!N31/SER_hh_fec!N31)</f>
        <v>0.58328433326009799</v>
      </c>
      <c r="O31" s="137">
        <f>IF(SER_hh_tes!O31=0,"",SER_hh_tes!O31/SER_hh_fec!O31)</f>
        <v>0.58430408272318046</v>
      </c>
      <c r="P31" s="137">
        <f>IF(SER_hh_tes!P31=0,"",SER_hh_tes!P31/SER_hh_fec!P31)</f>
        <v>0.5854209682672965</v>
      </c>
      <c r="Q31" s="137">
        <f>IF(SER_hh_tes!Q31=0,"",SER_hh_tes!Q31/SER_hh_fec!Q31)</f>
        <v>0.58635516115593733</v>
      </c>
      <c r="R31" s="137">
        <f>IF(SER_hh_tes!R31=0,"",SER_hh_tes!R31/SER_hh_fec!R31)</f>
        <v>0.58789670708288988</v>
      </c>
      <c r="S31" s="137">
        <f>IF(SER_hh_tes!S31=0,"",SER_hh_tes!S31/SER_hh_fec!S31)</f>
        <v>0.59028401022238097</v>
      </c>
      <c r="T31" s="137">
        <f>IF(SER_hh_tes!T31=0,"",SER_hh_tes!T31/SER_hh_fec!T31)</f>
        <v>0.59356384781638694</v>
      </c>
      <c r="U31" s="137">
        <f>IF(SER_hh_tes!U31=0,"",SER_hh_tes!U31/SER_hh_fec!U31)</f>
        <v>0.59719448043234058</v>
      </c>
      <c r="V31" s="137">
        <f>IF(SER_hh_tes!V31=0,"",SER_hh_tes!V31/SER_hh_fec!V31)</f>
        <v>0.60104556663531983</v>
      </c>
      <c r="W31" s="137">
        <f>IF(SER_hh_tes!W31=0,"",SER_hh_tes!W31/SER_hh_fec!W31)</f>
        <v>0.60346371495494011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0.74354482706722802</v>
      </c>
      <c r="C33" s="150">
        <f>IF(SER_hh_tes!C33=0,"",SER_hh_tes!C33/SER_hh_fec!C33)</f>
        <v>0.74456549296178842</v>
      </c>
      <c r="D33" s="150">
        <f>IF(SER_hh_tes!D33=0,"",SER_hh_tes!D33/SER_hh_fec!D33)</f>
        <v>0.74610691627575632</v>
      </c>
      <c r="E33" s="150">
        <f>IF(SER_hh_tes!E33=0,"",SER_hh_tes!E33/SER_hh_fec!E33)</f>
        <v>0.74799925956728797</v>
      </c>
      <c r="F33" s="150">
        <f>IF(SER_hh_tes!F33=0,"",SER_hh_tes!F33/SER_hh_fec!F33)</f>
        <v>0.75059052656702874</v>
      </c>
      <c r="G33" s="150">
        <f>IF(SER_hh_tes!G33=0,"",SER_hh_tes!G33/SER_hh_fec!G33)</f>
        <v>0.75311872301419547</v>
      </c>
      <c r="H33" s="150">
        <f>IF(SER_hh_tes!H33=0,"",SER_hh_tes!H33/SER_hh_fec!H33)</f>
        <v>0.75598768762527468</v>
      </c>
      <c r="I33" s="150">
        <f>IF(SER_hh_tes!I33=0,"",SER_hh_tes!I33/SER_hh_fec!I33)</f>
        <v>0.75879217192925097</v>
      </c>
      <c r="J33" s="150">
        <f>IF(SER_hh_tes!J33=0,"",SER_hh_tes!J33/SER_hh_fec!J33)</f>
        <v>0.76140992268786845</v>
      </c>
      <c r="K33" s="150">
        <f>IF(SER_hh_tes!K33=0,"",SER_hh_tes!K33/SER_hh_fec!K33)</f>
        <v>0.76399824785435233</v>
      </c>
      <c r="L33" s="150">
        <f>IF(SER_hh_tes!L33=0,"",SER_hh_tes!L33/SER_hh_fec!L33)</f>
        <v>0.76598165348257374</v>
      </c>
      <c r="M33" s="150">
        <f>IF(SER_hh_tes!M33=0,"",SER_hh_tes!M33/SER_hh_fec!M33)</f>
        <v>0.76710261848677286</v>
      </c>
      <c r="N33" s="150">
        <f>IF(SER_hh_tes!N33=0,"",SER_hh_tes!N33/SER_hh_fec!N33)</f>
        <v>0.76848428756274378</v>
      </c>
      <c r="O33" s="150">
        <f>IF(SER_hh_tes!O33=0,"",SER_hh_tes!O33/SER_hh_fec!O33)</f>
        <v>0.77078670364817758</v>
      </c>
      <c r="P33" s="150">
        <f>IF(SER_hh_tes!P33=0,"",SER_hh_tes!P33/SER_hh_fec!P33)</f>
        <v>0.7734650493763694</v>
      </c>
      <c r="Q33" s="150">
        <f>IF(SER_hh_tes!Q33=0,"",SER_hh_tes!Q33/SER_hh_fec!Q33)</f>
        <v>0.77682302509252521</v>
      </c>
      <c r="R33" s="150">
        <f>IF(SER_hh_tes!R33=0,"",SER_hh_tes!R33/SER_hh_fec!R33)</f>
        <v>0.78041695138165135</v>
      </c>
      <c r="S33" s="150">
        <f>IF(SER_hh_tes!S33=0,"",SER_hh_tes!S33/SER_hh_fec!S33)</f>
        <v>0.78559789621445897</v>
      </c>
      <c r="T33" s="150">
        <f>IF(SER_hh_tes!T33=0,"",SER_hh_tes!T33/SER_hh_fec!T33)</f>
        <v>0.79297775504477996</v>
      </c>
      <c r="U33" s="150">
        <f>IF(SER_hh_tes!U33=0,"",SER_hh_tes!U33/SER_hh_fec!U33)</f>
        <v>0.80201241417458791</v>
      </c>
      <c r="V33" s="150">
        <f>IF(SER_hh_tes!V33=0,"",SER_hh_tes!V33/SER_hh_fec!V33)</f>
        <v>0.81100395399464487</v>
      </c>
      <c r="W33" s="150">
        <f>IF(SER_hh_tes!W33=0,"",SER_hh_tes!W33/SER_hh_fec!W33)</f>
        <v>0.82132367796468164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365.51382709309848</v>
      </c>
      <c r="C3" s="126">
        <f t="shared" si="0"/>
        <v>393.14088000662991</v>
      </c>
      <c r="D3" s="126">
        <f t="shared" si="0"/>
        <v>433.05632820000005</v>
      </c>
      <c r="E3" s="126">
        <f t="shared" si="0"/>
        <v>460.65305232000003</v>
      </c>
      <c r="F3" s="126">
        <f t="shared" si="0"/>
        <v>494.3317049497482</v>
      </c>
      <c r="G3" s="126">
        <f t="shared" si="0"/>
        <v>450.55544106974838</v>
      </c>
      <c r="H3" s="126">
        <f t="shared" si="0"/>
        <v>510.53970785025166</v>
      </c>
      <c r="I3" s="126">
        <f t="shared" si="0"/>
        <v>504.54707588913209</v>
      </c>
      <c r="J3" s="126">
        <f t="shared" si="0"/>
        <v>472.59797051396157</v>
      </c>
      <c r="K3" s="126">
        <f t="shared" si="0"/>
        <v>438.33603013583775</v>
      </c>
      <c r="L3" s="126">
        <f t="shared" si="0"/>
        <v>471.19741158974824</v>
      </c>
      <c r="M3" s="126">
        <f t="shared" si="0"/>
        <v>419.55668100000014</v>
      </c>
      <c r="N3" s="126">
        <f t="shared" si="0"/>
        <v>408.19510604897977</v>
      </c>
      <c r="O3" s="126">
        <f t="shared" si="0"/>
        <v>384.65858338008309</v>
      </c>
      <c r="P3" s="126">
        <f t="shared" si="0"/>
        <v>403.05766599900079</v>
      </c>
      <c r="Q3" s="126">
        <f t="shared" si="0"/>
        <v>389.20680358904559</v>
      </c>
      <c r="R3" s="126">
        <f t="shared" ref="R3:W3" si="1">SUM(R4,R16,R19,R29)</f>
        <v>359.44174389161827</v>
      </c>
      <c r="S3" s="126">
        <f t="shared" si="1"/>
        <v>379.11738613689602</v>
      </c>
      <c r="T3" s="126">
        <f t="shared" si="1"/>
        <v>396.26716122509828</v>
      </c>
      <c r="U3" s="126">
        <f t="shared" si="1"/>
        <v>377.24228922169328</v>
      </c>
      <c r="V3" s="126">
        <f t="shared" si="1"/>
        <v>392.15237051536872</v>
      </c>
      <c r="W3" s="126">
        <f t="shared" si="1"/>
        <v>462.00593433135623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329.98943279292143</v>
      </c>
      <c r="C4" s="131">
        <f t="shared" si="2"/>
        <v>341.41214480343689</v>
      </c>
      <c r="D4" s="131">
        <f t="shared" si="2"/>
        <v>376.5423150340514</v>
      </c>
      <c r="E4" s="131">
        <f t="shared" si="2"/>
        <v>395.66300906553226</v>
      </c>
      <c r="F4" s="131">
        <f t="shared" si="2"/>
        <v>428.74055023887712</v>
      </c>
      <c r="G4" s="131">
        <f t="shared" si="2"/>
        <v>382.16262511832701</v>
      </c>
      <c r="H4" s="131">
        <f t="shared" si="2"/>
        <v>440.40068307436229</v>
      </c>
      <c r="I4" s="131">
        <f t="shared" si="2"/>
        <v>431.66546947948007</v>
      </c>
      <c r="J4" s="131">
        <f t="shared" si="2"/>
        <v>396.31969099014924</v>
      </c>
      <c r="K4" s="131">
        <f t="shared" si="2"/>
        <v>359.03078470168828</v>
      </c>
      <c r="L4" s="131">
        <f t="shared" si="2"/>
        <v>393.21666085303576</v>
      </c>
      <c r="M4" s="131">
        <f t="shared" si="2"/>
        <v>345.51229295491078</v>
      </c>
      <c r="N4" s="131">
        <f t="shared" si="2"/>
        <v>337.98741576892337</v>
      </c>
      <c r="O4" s="131">
        <f t="shared" si="2"/>
        <v>317.4743497544095</v>
      </c>
      <c r="P4" s="131">
        <f t="shared" si="2"/>
        <v>332.29782872689623</v>
      </c>
      <c r="Q4" s="131">
        <f t="shared" si="2"/>
        <v>318.87751650388111</v>
      </c>
      <c r="R4" s="131">
        <f t="shared" ref="R4:W4" si="3">SUM(R5:R15)</f>
        <v>278.87150337424839</v>
      </c>
      <c r="S4" s="131">
        <f t="shared" si="3"/>
        <v>288.95865800625262</v>
      </c>
      <c r="T4" s="131">
        <f t="shared" si="3"/>
        <v>307.83069658480105</v>
      </c>
      <c r="U4" s="131">
        <f t="shared" si="3"/>
        <v>290.98966969487583</v>
      </c>
      <c r="V4" s="131">
        <f t="shared" si="3"/>
        <v>305.4390862188759</v>
      </c>
      <c r="W4" s="131">
        <f t="shared" si="3"/>
        <v>373.78729464449725</v>
      </c>
      <c r="DA4" s="156" t="s">
        <v>233</v>
      </c>
    </row>
    <row r="5" spans="1:105" ht="12" customHeight="1" x14ac:dyDescent="0.25">
      <c r="A5" s="132" t="s">
        <v>29</v>
      </c>
      <c r="B5" s="133">
        <v>136.33309417309849</v>
      </c>
      <c r="C5" s="133">
        <v>134.69188392662991</v>
      </c>
      <c r="D5" s="133">
        <v>125.22411000000002</v>
      </c>
      <c r="E5" s="133">
        <v>118.48320000000007</v>
      </c>
      <c r="F5" s="133">
        <v>113.54628702974831</v>
      </c>
      <c r="G5" s="133">
        <v>91.330687029748333</v>
      </c>
      <c r="H5" s="133">
        <v>93.799312970251719</v>
      </c>
      <c r="I5" s="133">
        <v>92.396421809131965</v>
      </c>
      <c r="J5" s="133">
        <v>80.053007153961758</v>
      </c>
      <c r="K5" s="133">
        <v>60.303775575837641</v>
      </c>
      <c r="L5" s="133">
        <v>83.925487029748254</v>
      </c>
      <c r="M5" s="133">
        <v>74.052000000000064</v>
      </c>
      <c r="N5" s="133">
        <v>40.220202448979592</v>
      </c>
      <c r="O5" s="133">
        <v>44.164792780082948</v>
      </c>
      <c r="P5" s="133">
        <v>33.73419375900059</v>
      </c>
      <c r="Q5" s="133">
        <v>25.409633029045626</v>
      </c>
      <c r="R5" s="133">
        <v>23.320240411618244</v>
      </c>
      <c r="S5" s="133">
        <v>15.781050496896222</v>
      </c>
      <c r="T5" s="133">
        <v>15.086391305098223</v>
      </c>
      <c r="U5" s="133">
        <v>11.006652901693439</v>
      </c>
      <c r="V5" s="133">
        <v>6.3547514353687005</v>
      </c>
      <c r="W5" s="133">
        <v>8.1520148113559454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112.07844533693184</v>
      </c>
      <c r="C7" s="133">
        <v>127.500405422109</v>
      </c>
      <c r="D7" s="133">
        <v>127.07850639591767</v>
      </c>
      <c r="E7" s="133">
        <v>141.16768333646652</v>
      </c>
      <c r="F7" s="133">
        <v>147.30980531700416</v>
      </c>
      <c r="G7" s="133">
        <v>116.21422075200705</v>
      </c>
      <c r="H7" s="133">
        <v>154.37740174500451</v>
      </c>
      <c r="I7" s="133">
        <v>120.61182839995172</v>
      </c>
      <c r="J7" s="133">
        <v>101.26898613931428</v>
      </c>
      <c r="K7" s="133">
        <v>95.753170075809976</v>
      </c>
      <c r="L7" s="133">
        <v>95.78045622366389</v>
      </c>
      <c r="M7" s="133">
        <v>82.81146927134958</v>
      </c>
      <c r="N7" s="133">
        <v>117.10770125242605</v>
      </c>
      <c r="O7" s="133">
        <v>123.09452280273062</v>
      </c>
      <c r="P7" s="133">
        <v>132.6076177755069</v>
      </c>
      <c r="Q7" s="133">
        <v>139.00910008881701</v>
      </c>
      <c r="R7" s="133">
        <v>85.973163708631176</v>
      </c>
      <c r="S7" s="133">
        <v>91.159138098515967</v>
      </c>
      <c r="T7" s="133">
        <v>103.90349383739247</v>
      </c>
      <c r="U7" s="133">
        <v>82.449527741546945</v>
      </c>
      <c r="V7" s="133">
        <v>101.05799486472681</v>
      </c>
      <c r="W7" s="133">
        <v>153.05277868948554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81.577893282891125</v>
      </c>
      <c r="C9" s="133">
        <v>79.219855454698006</v>
      </c>
      <c r="D9" s="133">
        <v>124.23969863813367</v>
      </c>
      <c r="E9" s="133">
        <v>136.01212572906573</v>
      </c>
      <c r="F9" s="133">
        <v>167.88445789212466</v>
      </c>
      <c r="G9" s="133">
        <v>174.61771733657164</v>
      </c>
      <c r="H9" s="133">
        <v>192.2239683591061</v>
      </c>
      <c r="I9" s="133">
        <v>218.65721927039638</v>
      </c>
      <c r="J9" s="133">
        <v>214.99769769687322</v>
      </c>
      <c r="K9" s="133">
        <v>202.97383905004065</v>
      </c>
      <c r="L9" s="133">
        <v>213.5107175996236</v>
      </c>
      <c r="M9" s="133">
        <v>188.64882368356115</v>
      </c>
      <c r="N9" s="133">
        <v>180.65951206751768</v>
      </c>
      <c r="O9" s="133">
        <v>150.21503417159593</v>
      </c>
      <c r="P9" s="133">
        <v>165.95601719238877</v>
      </c>
      <c r="Q9" s="133">
        <v>154.45878338601844</v>
      </c>
      <c r="R9" s="133">
        <v>169.57809925399897</v>
      </c>
      <c r="S9" s="133">
        <v>182.01846941084042</v>
      </c>
      <c r="T9" s="133">
        <v>188.84081144231035</v>
      </c>
      <c r="U9" s="133">
        <v>197.53348905163543</v>
      </c>
      <c r="V9" s="133">
        <v>198.02633991878037</v>
      </c>
      <c r="W9" s="133">
        <v>212.5825011436558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22.111242702922972</v>
      </c>
      <c r="C19" s="131">
        <f t="shared" si="6"/>
        <v>22.930501346934257</v>
      </c>
      <c r="D19" s="131">
        <f t="shared" si="6"/>
        <v>24.85877727721747</v>
      </c>
      <c r="E19" s="131">
        <f t="shared" si="6"/>
        <v>25.698220381230215</v>
      </c>
      <c r="F19" s="131">
        <f t="shared" si="6"/>
        <v>26.545565496886383</v>
      </c>
      <c r="G19" s="131">
        <f t="shared" si="6"/>
        <v>28.291374551986969</v>
      </c>
      <c r="H19" s="131">
        <f t="shared" si="6"/>
        <v>29.494318899805727</v>
      </c>
      <c r="I19" s="131">
        <f t="shared" si="6"/>
        <v>30.082267863193948</v>
      </c>
      <c r="J19" s="131">
        <f t="shared" si="6"/>
        <v>33.151068001928991</v>
      </c>
      <c r="K19" s="131">
        <f t="shared" si="6"/>
        <v>34.094588254051054</v>
      </c>
      <c r="L19" s="131">
        <f t="shared" si="6"/>
        <v>34.24575784587492</v>
      </c>
      <c r="M19" s="131">
        <f t="shared" si="6"/>
        <v>35.113275620769713</v>
      </c>
      <c r="N19" s="131">
        <f t="shared" si="6"/>
        <v>35.775642275731371</v>
      </c>
      <c r="O19" s="131">
        <f t="shared" si="6"/>
        <v>36.214013184313281</v>
      </c>
      <c r="P19" s="131">
        <f t="shared" si="6"/>
        <v>36.307419310158913</v>
      </c>
      <c r="Q19" s="131">
        <f t="shared" si="6"/>
        <v>36.606883950915218</v>
      </c>
      <c r="R19" s="131">
        <f t="shared" ref="R19:W19" si="7">SUM(R20:R27)</f>
        <v>36.343503868851158</v>
      </c>
      <c r="S19" s="131">
        <f t="shared" si="7"/>
        <v>35.931401176925142</v>
      </c>
      <c r="T19" s="131">
        <f t="shared" si="7"/>
        <v>34.317498824325199</v>
      </c>
      <c r="U19" s="131">
        <f t="shared" si="7"/>
        <v>33.020309343264877</v>
      </c>
      <c r="V19" s="131">
        <f t="shared" si="7"/>
        <v>31.40342772180437</v>
      </c>
      <c r="W19" s="131">
        <f t="shared" si="7"/>
        <v>31.779446269860799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13.244357583068181</v>
      </c>
      <c r="C22" s="133">
        <v>13.618542657891005</v>
      </c>
      <c r="D22" s="133">
        <v>13.838127804082331</v>
      </c>
      <c r="E22" s="133">
        <v>14.055122983533492</v>
      </c>
      <c r="F22" s="133">
        <v>14.059140602995797</v>
      </c>
      <c r="G22" s="133">
        <v>14.253411287992934</v>
      </c>
      <c r="H22" s="133">
        <v>14.773101134995454</v>
      </c>
      <c r="I22" s="133">
        <v>14.31130368004824</v>
      </c>
      <c r="J22" s="133">
        <v>14.700469220685747</v>
      </c>
      <c r="K22" s="133">
        <v>14.337366484190035</v>
      </c>
      <c r="L22" s="133">
        <v>14.310080336336098</v>
      </c>
      <c r="M22" s="133">
        <v>14.589707728650424</v>
      </c>
      <c r="N22" s="133">
        <v>14.986634347573977</v>
      </c>
      <c r="O22" s="133">
        <v>15.195529797269431</v>
      </c>
      <c r="P22" s="133">
        <v>15.22929246449319</v>
      </c>
      <c r="Q22" s="133">
        <v>15.166658471182824</v>
      </c>
      <c r="R22" s="133">
        <v>14.636289371368811</v>
      </c>
      <c r="S22" s="133">
        <v>13.948460981483922</v>
      </c>
      <c r="T22" s="133">
        <v>12.999488682607403</v>
      </c>
      <c r="U22" s="133">
        <v>11.674744218453023</v>
      </c>
      <c r="V22" s="133">
        <v>9.9248578552731406</v>
      </c>
      <c r="W22" s="133">
        <v>10.004581270514427</v>
      </c>
      <c r="DA22" s="157" t="s">
        <v>372</v>
      </c>
    </row>
    <row r="23" spans="1:105" ht="12" customHeight="1" x14ac:dyDescent="0.25">
      <c r="A23" s="132" t="s">
        <v>153</v>
      </c>
      <c r="B23" s="133">
        <v>8.8668851198547891</v>
      </c>
      <c r="C23" s="133">
        <v>9.3119586890432497</v>
      </c>
      <c r="D23" s="133">
        <v>11.020649473135141</v>
      </c>
      <c r="E23" s="133">
        <v>11.643097397696723</v>
      </c>
      <c r="F23" s="133">
        <v>12.486424893890588</v>
      </c>
      <c r="G23" s="133">
        <v>14.037963263994033</v>
      </c>
      <c r="H23" s="133">
        <v>14.721217764810275</v>
      </c>
      <c r="I23" s="133">
        <v>15.770964183145706</v>
      </c>
      <c r="J23" s="133">
        <v>18.45059878124324</v>
      </c>
      <c r="K23" s="133">
        <v>19.757221769861019</v>
      </c>
      <c r="L23" s="133">
        <v>19.935677509538824</v>
      </c>
      <c r="M23" s="133">
        <v>20.523567892119292</v>
      </c>
      <c r="N23" s="133">
        <v>20.789007928157396</v>
      </c>
      <c r="O23" s="133">
        <v>21.018483387043851</v>
      </c>
      <c r="P23" s="133">
        <v>21.078126845665722</v>
      </c>
      <c r="Q23" s="133">
        <v>21.440225479732398</v>
      </c>
      <c r="R23" s="133">
        <v>21.707214497482347</v>
      </c>
      <c r="S23" s="133">
        <v>21.98294019544122</v>
      </c>
      <c r="T23" s="133">
        <v>21.318010141717792</v>
      </c>
      <c r="U23" s="133">
        <v>21.345565124811852</v>
      </c>
      <c r="V23" s="133">
        <v>21.478569866531227</v>
      </c>
      <c r="W23" s="133">
        <v>21.77486499934637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13.413151597254084</v>
      </c>
      <c r="C29" s="131">
        <f t="shared" si="8"/>
        <v>28.798233856258747</v>
      </c>
      <c r="D29" s="131">
        <f t="shared" si="8"/>
        <v>31.655235888731184</v>
      </c>
      <c r="E29" s="131">
        <f t="shared" si="8"/>
        <v>39.291822873237535</v>
      </c>
      <c r="F29" s="131">
        <f t="shared" si="8"/>
        <v>39.045589213984748</v>
      </c>
      <c r="G29" s="131">
        <f t="shared" si="8"/>
        <v>40.101441399434407</v>
      </c>
      <c r="H29" s="131">
        <f t="shared" si="8"/>
        <v>40.644705876083663</v>
      </c>
      <c r="I29" s="131">
        <f t="shared" si="8"/>
        <v>42.799338546458081</v>
      </c>
      <c r="J29" s="131">
        <f t="shared" si="8"/>
        <v>43.127211521883353</v>
      </c>
      <c r="K29" s="131">
        <f t="shared" si="8"/>
        <v>45.210657180098366</v>
      </c>
      <c r="L29" s="131">
        <f t="shared" si="8"/>
        <v>43.734992890837532</v>
      </c>
      <c r="M29" s="131">
        <f t="shared" si="8"/>
        <v>38.931112424319629</v>
      </c>
      <c r="N29" s="131">
        <f t="shared" si="8"/>
        <v>34.432048004325033</v>
      </c>
      <c r="O29" s="131">
        <f t="shared" si="8"/>
        <v>30.970220441360286</v>
      </c>
      <c r="P29" s="131">
        <f t="shared" si="8"/>
        <v>34.452417961945642</v>
      </c>
      <c r="Q29" s="131">
        <f t="shared" si="8"/>
        <v>33.722403134249234</v>
      </c>
      <c r="R29" s="131">
        <f t="shared" ref="R29:W29" si="9">SUM(R30:R33)</f>
        <v>44.226736648518752</v>
      </c>
      <c r="S29" s="131">
        <f t="shared" si="9"/>
        <v>54.227326953718247</v>
      </c>
      <c r="T29" s="131">
        <f t="shared" si="9"/>
        <v>54.118965815972025</v>
      </c>
      <c r="U29" s="131">
        <f t="shared" si="9"/>
        <v>53.232310183552556</v>
      </c>
      <c r="V29" s="131">
        <f t="shared" si="9"/>
        <v>55.309856574688482</v>
      </c>
      <c r="W29" s="131">
        <f t="shared" si="9"/>
        <v>56.439193416998179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5.747148000000001</v>
      </c>
      <c r="D30" s="133">
        <v>2.8735739999999987</v>
      </c>
      <c r="E30" s="133">
        <v>11.494296</v>
      </c>
      <c r="F30" s="133">
        <v>8.6207219999999989</v>
      </c>
      <c r="G30" s="133">
        <v>8.6207220000000042</v>
      </c>
      <c r="H30" s="133">
        <v>8.6207220000000078</v>
      </c>
      <c r="I30" s="133">
        <v>8.6207220000000007</v>
      </c>
      <c r="J30" s="133">
        <v>5.7471480000000028</v>
      </c>
      <c r="K30" s="133">
        <v>5.7471480000000028</v>
      </c>
      <c r="L30" s="133">
        <v>5.7471480000000001</v>
      </c>
      <c r="M30" s="133">
        <v>2.8735739999999983</v>
      </c>
      <c r="N30" s="133">
        <v>5.7471480000000001</v>
      </c>
      <c r="O30" s="133">
        <v>5.7471479999999993</v>
      </c>
      <c r="P30" s="133">
        <v>8.6207220000000007</v>
      </c>
      <c r="Q30" s="133">
        <v>8.6207219999999971</v>
      </c>
      <c r="R30" s="133">
        <v>14.367869999999995</v>
      </c>
      <c r="S30" s="133">
        <v>20.876458319999994</v>
      </c>
      <c r="T30" s="133">
        <v>17.586272880000017</v>
      </c>
      <c r="U30" s="133">
        <v>13.620740759999997</v>
      </c>
      <c r="V30" s="133">
        <v>13.540326120000003</v>
      </c>
      <c r="W30" s="133">
        <v>14.347652760000001</v>
      </c>
      <c r="DA30" s="157" t="s">
        <v>378</v>
      </c>
    </row>
    <row r="31" spans="1:105" ht="12" customHeight="1" x14ac:dyDescent="0.25">
      <c r="A31" s="132" t="s">
        <v>153</v>
      </c>
      <c r="B31" s="133">
        <v>13.413151597254084</v>
      </c>
      <c r="C31" s="133">
        <v>23.051085856258748</v>
      </c>
      <c r="D31" s="133">
        <v>28.781661888731186</v>
      </c>
      <c r="E31" s="133">
        <v>27.797526873237537</v>
      </c>
      <c r="F31" s="133">
        <v>30.424867213984751</v>
      </c>
      <c r="G31" s="133">
        <v>31.480719399434406</v>
      </c>
      <c r="H31" s="133">
        <v>32.023983876083655</v>
      </c>
      <c r="I31" s="133">
        <v>34.17861654645808</v>
      </c>
      <c r="J31" s="133">
        <v>37.380063521883351</v>
      </c>
      <c r="K31" s="133">
        <v>39.463509180098363</v>
      </c>
      <c r="L31" s="133">
        <v>37.987844890837529</v>
      </c>
      <c r="M31" s="133">
        <v>36.057538424319631</v>
      </c>
      <c r="N31" s="133">
        <v>28.684900004325034</v>
      </c>
      <c r="O31" s="133">
        <v>25.223072441360287</v>
      </c>
      <c r="P31" s="133">
        <v>25.831695961945638</v>
      </c>
      <c r="Q31" s="133">
        <v>25.101681134249237</v>
      </c>
      <c r="R31" s="133">
        <v>29.858866648518759</v>
      </c>
      <c r="S31" s="133">
        <v>33.350868633718257</v>
      </c>
      <c r="T31" s="133">
        <v>36.532692935972008</v>
      </c>
      <c r="U31" s="133">
        <v>39.611569423552559</v>
      </c>
      <c r="V31" s="133">
        <v>41.769530454688478</v>
      </c>
      <c r="W31" s="133">
        <v>42.091540656998177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378619.27719892689</v>
      </c>
      <c r="C3" s="126">
        <f>IF(SER_hh_fec!C3=0,0,11630*1000*SER_hh_fec!C3/SER_hh_num!C3)</f>
        <v>386356.39899615233</v>
      </c>
      <c r="D3" s="126">
        <f>IF(SER_hh_fec!D3=0,0,11630*1000*SER_hh_fec!D3/SER_hh_num!D3)</f>
        <v>391896.4965415179</v>
      </c>
      <c r="E3" s="126">
        <f>IF(SER_hh_fec!E3=0,0,11630*1000*SER_hh_fec!E3/SER_hh_num!E3)</f>
        <v>392809.20130818675</v>
      </c>
      <c r="F3" s="126">
        <f>IF(SER_hh_fec!F3=0,0,11630*1000*SER_hh_fec!F3/SER_hh_num!F3)</f>
        <v>391238.50584727043</v>
      </c>
      <c r="G3" s="126">
        <f>IF(SER_hh_fec!G3=0,0,11630*1000*SER_hh_fec!G3/SER_hh_num!G3)</f>
        <v>368439.2216803208</v>
      </c>
      <c r="H3" s="126">
        <f>IF(SER_hh_fec!H3=0,0,11630*1000*SER_hh_fec!H3/SER_hh_num!H3)</f>
        <v>371495.00383174571</v>
      </c>
      <c r="I3" s="126">
        <f>IF(SER_hh_fec!I3=0,0,11630*1000*SER_hh_fec!I3/SER_hh_num!I3)</f>
        <v>373682.18385637371</v>
      </c>
      <c r="J3" s="126">
        <f>IF(SER_hh_fec!J3=0,0,11630*1000*SER_hh_fec!J3/SER_hh_num!J3)</f>
        <v>312875.26633657684</v>
      </c>
      <c r="K3" s="126">
        <f>IF(SER_hh_fec!K3=0,0,11630*1000*SER_hh_fec!K3/SER_hh_num!K3)</f>
        <v>286925.23669658182</v>
      </c>
      <c r="L3" s="126">
        <f>IF(SER_hh_fec!L3=0,0,11630*1000*SER_hh_fec!L3/SER_hh_num!L3)</f>
        <v>303252.49510604644</v>
      </c>
      <c r="M3" s="126">
        <f>IF(SER_hh_fec!M3=0,0,11630*1000*SER_hh_fec!M3/SER_hh_num!M3)</f>
        <v>270656.57831207028</v>
      </c>
      <c r="N3" s="126">
        <f>IF(SER_hh_fec!N3=0,0,11630*1000*SER_hh_fec!N3/SER_hh_num!N3)</f>
        <v>311825.05326750543</v>
      </c>
      <c r="O3" s="126">
        <f>IF(SER_hh_fec!O3=0,0,11630*1000*SER_hh_fec!O3/SER_hh_num!O3)</f>
        <v>293030.69804629037</v>
      </c>
      <c r="P3" s="126">
        <f>IF(SER_hh_fec!P3=0,0,11630*1000*SER_hh_fec!P3/SER_hh_num!P3)</f>
        <v>291400.35015626496</v>
      </c>
      <c r="Q3" s="126">
        <f>IF(SER_hh_fec!Q3=0,0,11630*1000*SER_hh_fec!Q3/SER_hh_num!Q3)</f>
        <v>271192.9787536246</v>
      </c>
      <c r="R3" s="126">
        <f>IF(SER_hh_fec!R3=0,0,11630*1000*SER_hh_fec!R3/SER_hh_num!R3)</f>
        <v>274100.04541687196</v>
      </c>
      <c r="S3" s="126">
        <f>IF(SER_hh_fec!S3=0,0,11630*1000*SER_hh_fec!S3/SER_hh_num!S3)</f>
        <v>277968.60356621881</v>
      </c>
      <c r="T3" s="126">
        <f>IF(SER_hh_fec!T3=0,0,11630*1000*SER_hh_fec!T3/SER_hh_num!T3)</f>
        <v>267216.05939166836</v>
      </c>
      <c r="U3" s="126">
        <f>IF(SER_hh_fec!U3=0,0,11630*1000*SER_hh_fec!U3/SER_hh_num!U3)</f>
        <v>250926.15943883843</v>
      </c>
      <c r="V3" s="126">
        <f>IF(SER_hh_fec!V3=0,0,11630*1000*SER_hh_fec!V3/SER_hh_num!V3)</f>
        <v>241169.31948648693</v>
      </c>
      <c r="W3" s="126">
        <f>IF(SER_hh_fec!W3=0,0,11630*1000*SER_hh_fec!W3/SER_hh_num!W3)</f>
        <v>269134.26723905909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300373.26575877075</v>
      </c>
      <c r="C4" s="131">
        <f>IF(SER_hh_fec!C4=0,0,11630*1000*SER_hh_fec!C4/SER_hh_num!C4)</f>
        <v>307099.01003292162</v>
      </c>
      <c r="D4" s="131">
        <f>IF(SER_hh_fec!D4=0,0,11630*1000*SER_hh_fec!D4/SER_hh_num!D4)</f>
        <v>316181.9147994722</v>
      </c>
      <c r="E4" s="131">
        <f>IF(SER_hh_fec!E4=0,0,11630*1000*SER_hh_fec!E4/SER_hh_num!E4)</f>
        <v>318514.1606016212</v>
      </c>
      <c r="F4" s="131">
        <f>IF(SER_hh_fec!F4=0,0,11630*1000*SER_hh_fec!F4/SER_hh_num!F4)</f>
        <v>317099.39447283983</v>
      </c>
      <c r="G4" s="131">
        <f>IF(SER_hh_fec!G4=0,0,11630*1000*SER_hh_fec!G4/SER_hh_num!G4)</f>
        <v>295026.0508847757</v>
      </c>
      <c r="H4" s="131">
        <f>IF(SER_hh_fec!H4=0,0,11630*1000*SER_hh_fec!H4/SER_hh_num!H4)</f>
        <v>298844.14701896539</v>
      </c>
      <c r="I4" s="131">
        <f>IF(SER_hh_fec!I4=0,0,11630*1000*SER_hh_fec!I4/SER_hh_num!I4)</f>
        <v>303096.00741729012</v>
      </c>
      <c r="J4" s="131">
        <f>IF(SER_hh_fec!J4=0,0,11630*1000*SER_hh_fec!J4/SER_hh_num!J4)</f>
        <v>242910.16838262312</v>
      </c>
      <c r="K4" s="131">
        <f>IF(SER_hh_fec!K4=0,0,11630*1000*SER_hh_fec!K4/SER_hh_num!K4)</f>
        <v>215620.6131769018</v>
      </c>
      <c r="L4" s="131">
        <f>IF(SER_hh_fec!L4=0,0,11630*1000*SER_hh_fec!L4/SER_hh_num!L4)</f>
        <v>232779.17519349506</v>
      </c>
      <c r="M4" s="131">
        <f>IF(SER_hh_fec!M4=0,0,11630*1000*SER_hh_fec!M4/SER_hh_num!M4)</f>
        <v>200704.76456324238</v>
      </c>
      <c r="N4" s="131">
        <f>IF(SER_hh_fec!N4=0,0,11630*1000*SER_hh_fec!N4/SER_hh_num!N4)</f>
        <v>242512.4305506596</v>
      </c>
      <c r="O4" s="131">
        <f>IF(SER_hh_fec!O4=0,0,11630*1000*SER_hh_fec!O4/SER_hh_num!O4)</f>
        <v>223810.11115029498</v>
      </c>
      <c r="P4" s="131">
        <f>IF(SER_hh_fec!P4=0,0,11630*1000*SER_hh_fec!P4/SER_hh_num!P4)</f>
        <v>223347.50791966129</v>
      </c>
      <c r="Q4" s="131">
        <f>IF(SER_hh_fec!Q4=0,0,11630*1000*SER_hh_fec!Q4/SER_hh_num!Q4)</f>
        <v>203939.93986673476</v>
      </c>
      <c r="R4" s="131">
        <f>IF(SER_hh_fec!R4=0,0,11630*1000*SER_hh_fec!R4/SER_hh_num!R4)</f>
        <v>206792.47783917232</v>
      </c>
      <c r="S4" s="131">
        <f>IF(SER_hh_fec!S4=0,0,11630*1000*SER_hh_fec!S4/SER_hh_num!S4)</f>
        <v>210883.20163171404</v>
      </c>
      <c r="T4" s="131">
        <f>IF(SER_hh_fec!T4=0,0,11630*1000*SER_hh_fec!T4/SER_hh_num!T4)</f>
        <v>201709.421089526</v>
      </c>
      <c r="U4" s="131">
        <f>IF(SER_hh_fec!U4=0,0,11630*1000*SER_hh_fec!U4/SER_hh_num!U4)</f>
        <v>187574.9641951363</v>
      </c>
      <c r="V4" s="131">
        <f>IF(SER_hh_fec!V4=0,0,11630*1000*SER_hh_fec!V4/SER_hh_num!V4)</f>
        <v>182887.09354694185</v>
      </c>
      <c r="W4" s="131">
        <f>IF(SER_hh_fec!W4=0,0,11630*1000*SER_hh_fec!W4/SER_hh_num!W4)</f>
        <v>208336.14942111657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349733.0678331313</v>
      </c>
      <c r="C5" s="133">
        <f>IF(SER_hh_fec!C5=0,0,11630*1000*SER_hh_fec!C5/SER_hh_num!C5)</f>
        <v>360133.00756973744</v>
      </c>
      <c r="D5" s="133">
        <f>IF(SER_hh_fec!D5=0,0,11630*1000*SER_hh_fec!D5/SER_hh_num!D5)</f>
        <v>364456.60425266647</v>
      </c>
      <c r="E5" s="133">
        <f>IF(SER_hh_fec!E5=0,0,11630*1000*SER_hh_fec!E5/SER_hh_num!E5)</f>
        <v>365457.62026298331</v>
      </c>
      <c r="F5" s="133">
        <f>IF(SER_hh_fec!F5=0,0,11630*1000*SER_hh_fec!F5/SER_hh_num!F5)</f>
        <v>375907.61397231516</v>
      </c>
      <c r="G5" s="133">
        <f>IF(SER_hh_fec!G5=0,0,11630*1000*SER_hh_fec!G5/SER_hh_num!G5)</f>
        <v>326060.42822024581</v>
      </c>
      <c r="H5" s="133">
        <f>IF(SER_hh_fec!H5=0,0,11630*1000*SER_hh_fec!H5/SER_hh_num!H5)</f>
        <v>341845.9295159629</v>
      </c>
      <c r="I5" s="133">
        <f>IF(SER_hh_fec!I5=0,0,11630*1000*SER_hh_fec!I5/SER_hh_num!I5)</f>
        <v>342183.28649868403</v>
      </c>
      <c r="J5" s="133">
        <f>IF(SER_hh_fec!J5=0,0,11630*1000*SER_hh_fec!J5/SER_hh_num!J5)</f>
        <v>287508.93669290049</v>
      </c>
      <c r="K5" s="133">
        <f>IF(SER_hh_fec!K5=0,0,11630*1000*SER_hh_fec!K5/SER_hh_num!K5)</f>
        <v>212137.39134622624</v>
      </c>
      <c r="L5" s="133">
        <f>IF(SER_hh_fec!L5=0,0,11630*1000*SER_hh_fec!L5/SER_hh_num!L5)</f>
        <v>285630.35499410296</v>
      </c>
      <c r="M5" s="133">
        <f>IF(SER_hh_fec!M5=0,0,11630*1000*SER_hh_fec!M5/SER_hh_num!M5)</f>
        <v>268010.17118083668</v>
      </c>
      <c r="N5" s="133">
        <f>IF(SER_hh_fec!N5=0,0,11630*1000*SER_hh_fec!N5/SER_hh_num!N5)</f>
        <v>186887.25693815696</v>
      </c>
      <c r="O5" s="133">
        <f>IF(SER_hh_fec!O5=0,0,11630*1000*SER_hh_fec!O5/SER_hh_num!O5)</f>
        <v>242369.53546802117</v>
      </c>
      <c r="P5" s="133">
        <f>IF(SER_hh_fec!P5=0,0,11630*1000*SER_hh_fec!P5/SER_hh_num!P5)</f>
        <v>232996.31465123585</v>
      </c>
      <c r="Q5" s="133">
        <f>IF(SER_hh_fec!Q5=0,0,11630*1000*SER_hh_fec!Q5/SER_hh_num!Q5)</f>
        <v>208404.01991889838</v>
      </c>
      <c r="R5" s="133">
        <f>IF(SER_hh_fec!R5=0,0,11630*1000*SER_hh_fec!R5/SER_hh_num!R5)</f>
        <v>233971.8435345465</v>
      </c>
      <c r="S5" s="133">
        <f>IF(SER_hh_fec!S5=0,0,11630*1000*SER_hh_fec!S5/SER_hh_num!S5)</f>
        <v>200712.97015991612</v>
      </c>
      <c r="T5" s="133">
        <f>IF(SER_hh_fec!T5=0,0,11630*1000*SER_hh_fec!T5/SER_hh_num!T5)</f>
        <v>232956.41051746305</v>
      </c>
      <c r="U5" s="133">
        <f>IF(SER_hh_fec!U5=0,0,11630*1000*SER_hh_fec!U5/SER_hh_num!U5)</f>
        <v>218147.5790365299</v>
      </c>
      <c r="V5" s="133">
        <f>IF(SER_hh_fec!V5=0,0,11630*1000*SER_hh_fec!V5/SER_hh_num!V5)</f>
        <v>173658.9022028828</v>
      </c>
      <c r="W5" s="133">
        <f>IF(SER_hh_fec!W5=0,0,11630*1000*SER_hh_fec!W5/SER_hh_num!W5)</f>
        <v>250471.28780214067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380246.50201136403</v>
      </c>
      <c r="C7" s="133">
        <f>IF(SER_hh_fec!C7=0,0,11630*1000*SER_hh_fec!C7/SER_hh_num!C7)</f>
        <v>414732.80147511058</v>
      </c>
      <c r="D7" s="133">
        <f>IF(SER_hh_fec!D7=0,0,11630*1000*SER_hh_fec!D7/SER_hh_num!D7)</f>
        <v>395782.78877025261</v>
      </c>
      <c r="E7" s="133">
        <f>IF(SER_hh_fec!E7=0,0,11630*1000*SER_hh_fec!E7/SER_hh_num!E7)</f>
        <v>421123.04298432707</v>
      </c>
      <c r="F7" s="133">
        <f>IF(SER_hh_fec!F7=0,0,11630*1000*SER_hh_fec!F7/SER_hh_num!F7)</f>
        <v>421921.56985702948</v>
      </c>
      <c r="G7" s="133">
        <f>IF(SER_hh_fec!G7=0,0,11630*1000*SER_hh_fec!G7/SER_hh_num!G7)</f>
        <v>335249.44556634029</v>
      </c>
      <c r="H7" s="133">
        <f>IF(SER_hh_fec!H7=0,0,11630*1000*SER_hh_fec!H7/SER_hh_num!H7)</f>
        <v>428884.77533652692</v>
      </c>
      <c r="I7" s="133">
        <f>IF(SER_hh_fec!I7=0,0,11630*1000*SER_hh_fec!I7/SER_hh_num!I7)</f>
        <v>354702.05062379804</v>
      </c>
      <c r="J7" s="133">
        <f>IF(SER_hh_fec!J7=0,0,11630*1000*SER_hh_fec!J7/SER_hh_num!J7)</f>
        <v>298669.60243516276</v>
      </c>
      <c r="K7" s="133">
        <f>IF(SER_hh_fec!K7=0,0,11630*1000*SER_hh_fec!K7/SER_hh_num!K7)</f>
        <v>282746.64365033619</v>
      </c>
      <c r="L7" s="133">
        <f>IF(SER_hh_fec!L7=0,0,11630*1000*SER_hh_fec!L7/SER_hh_num!L7)</f>
        <v>278720.97211891477</v>
      </c>
      <c r="M7" s="133">
        <f>IF(SER_hh_fec!M7=0,0,11630*1000*SER_hh_fec!M7/SER_hh_num!M7)</f>
        <v>226782.35662680308</v>
      </c>
      <c r="N7" s="133">
        <f>IF(SER_hh_fec!N7=0,0,11630*1000*SER_hh_fec!N7/SER_hh_num!N7)</f>
        <v>285082.93207754201</v>
      </c>
      <c r="O7" s="133">
        <f>IF(SER_hh_fec!O7=0,0,11630*1000*SER_hh_fec!O7/SER_hh_num!O7)</f>
        <v>262133.36564289723</v>
      </c>
      <c r="P7" s="133">
        <f>IF(SER_hh_fec!P7=0,0,11630*1000*SER_hh_fec!P7/SER_hh_num!P7)</f>
        <v>265015.29509272426</v>
      </c>
      <c r="Q7" s="133">
        <f>IF(SER_hh_fec!Q7=0,0,11630*1000*SER_hh_fec!Q7/SER_hh_num!Q7)</f>
        <v>276918.04093223787</v>
      </c>
      <c r="R7" s="133">
        <f>IF(SER_hh_fec!R7=0,0,11630*1000*SER_hh_fec!R7/SER_hh_num!R7)</f>
        <v>197407.86148723433</v>
      </c>
      <c r="S7" s="133">
        <f>IF(SER_hh_fec!S7=0,0,11630*1000*SER_hh_fec!S7/SER_hh_num!S7)</f>
        <v>222623.70259334479</v>
      </c>
      <c r="T7" s="133">
        <f>IF(SER_hh_fec!T7=0,0,11630*1000*SER_hh_fec!T7/SER_hh_num!T7)</f>
        <v>249767.74569266176</v>
      </c>
      <c r="U7" s="133">
        <f>IF(SER_hh_fec!U7=0,0,11630*1000*SER_hh_fec!U7/SER_hh_num!U7)</f>
        <v>184964.51478205001</v>
      </c>
      <c r="V7" s="133">
        <f>IF(SER_hh_fec!V7=0,0,11630*1000*SER_hh_fec!V7/SER_hh_num!V7)</f>
        <v>198582.00267711355</v>
      </c>
      <c r="W7" s="133">
        <f>IF(SER_hh_fec!W7=0,0,11630*1000*SER_hh_fec!W7/SER_hh_num!W7)</f>
        <v>251242.54219227162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363383.49963243509</v>
      </c>
      <c r="C9" s="133">
        <f>IF(SER_hh_fec!C9=0,0,11630*1000*SER_hh_fec!C9/SER_hh_num!C9)</f>
        <v>312198.9110381733</v>
      </c>
      <c r="D9" s="133">
        <f>IF(SER_hh_fec!D9=0,0,11630*1000*SER_hh_fec!D9/SER_hh_num!D9)</f>
        <v>370051.87833578128</v>
      </c>
      <c r="E9" s="133">
        <f>IF(SER_hh_fec!E9=0,0,11630*1000*SER_hh_fec!E9/SER_hh_num!E9)</f>
        <v>342477.28842141235</v>
      </c>
      <c r="F9" s="133">
        <f>IF(SER_hh_fec!F9=0,0,11630*1000*SER_hh_fec!F9/SER_hh_num!F9)</f>
        <v>353476.09728076175</v>
      </c>
      <c r="G9" s="133">
        <f>IF(SER_hh_fec!G9=0,0,11630*1000*SER_hh_fec!G9/SER_hh_num!G9)</f>
        <v>318476.37686645024</v>
      </c>
      <c r="H9" s="133">
        <f>IF(SER_hh_fec!H9=0,0,11630*1000*SER_hh_fec!H9/SER_hh_num!H9)</f>
        <v>309417.80139818747</v>
      </c>
      <c r="I9" s="133">
        <f>IF(SER_hh_fec!I9=0,0,11630*1000*SER_hh_fec!I9/SER_hh_num!I9)</f>
        <v>310226.36081846664</v>
      </c>
      <c r="J9" s="133">
        <f>IF(SER_hh_fec!J9=0,0,11630*1000*SER_hh_fec!J9/SER_hh_num!J9)</f>
        <v>270817.91115281545</v>
      </c>
      <c r="K9" s="133">
        <f>IF(SER_hh_fec!K9=0,0,11630*1000*SER_hh_fec!K9/SER_hh_num!K9)</f>
        <v>239039.78452899613</v>
      </c>
      <c r="L9" s="133">
        <f>IF(SER_hh_fec!L9=0,0,11630*1000*SER_hh_fec!L9/SER_hh_num!L9)</f>
        <v>251213.65271315438</v>
      </c>
      <c r="M9" s="133">
        <f>IF(SER_hh_fec!M9=0,0,11630*1000*SER_hh_fec!M9/SER_hh_num!M9)</f>
        <v>231440.86456760037</v>
      </c>
      <c r="N9" s="133">
        <f>IF(SER_hh_fec!N9=0,0,11630*1000*SER_hh_fec!N9/SER_hh_num!N9)</f>
        <v>246510.47715094668</v>
      </c>
      <c r="O9" s="133">
        <f>IF(SER_hh_fec!O9=0,0,11630*1000*SER_hh_fec!O9/SER_hh_num!O9)</f>
        <v>219742.47998294723</v>
      </c>
      <c r="P9" s="133">
        <f>IF(SER_hh_fec!P9=0,0,11630*1000*SER_hh_fec!P9/SER_hh_num!P9)</f>
        <v>240937.81521721609</v>
      </c>
      <c r="Q9" s="133">
        <f>IF(SER_hh_fec!Q9=0,0,11630*1000*SER_hh_fec!Q9/SER_hh_num!Q9)</f>
        <v>214597.93859318804</v>
      </c>
      <c r="R9" s="133">
        <f>IF(SER_hh_fec!R9=0,0,11630*1000*SER_hh_fec!R9/SER_hh_num!R9)</f>
        <v>218598.21438972512</v>
      </c>
      <c r="S9" s="133">
        <f>IF(SER_hh_fec!S9=0,0,11630*1000*SER_hh_fec!S9/SER_hh_num!S9)</f>
        <v>216892.6298479152</v>
      </c>
      <c r="T9" s="133">
        <f>IF(SER_hh_fec!T9=0,0,11630*1000*SER_hh_fec!T9/SER_hh_num!T9)</f>
        <v>207191.51638192486</v>
      </c>
      <c r="U9" s="133">
        <f>IF(SER_hh_fec!U9=0,0,11630*1000*SER_hh_fec!U9/SER_hh_num!U9)</f>
        <v>201498.99701994573</v>
      </c>
      <c r="V9" s="133">
        <f>IF(SER_hh_fec!V9=0,0,11630*1000*SER_hh_fec!V9/SER_hh_num!V9)</f>
        <v>192976.06528862353</v>
      </c>
      <c r="W9" s="133">
        <f>IF(SER_hh_fec!W9=0,0,11630*1000*SER_hh_fec!W9/SER_hh_num!W9)</f>
        <v>202714.71251116658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384126.52237567346</v>
      </c>
      <c r="C10" s="133">
        <f>IF(SER_hh_fec!C10=0,0,11630*1000*SER_hh_fec!C10/SER_hh_num!C10)</f>
        <v>425700.69160562952</v>
      </c>
      <c r="D10" s="133">
        <f>IF(SER_hh_fec!D10=0,0,11630*1000*SER_hh_fec!D10/SER_hh_num!D10)</f>
        <v>405380.933615366</v>
      </c>
      <c r="E10" s="133">
        <f>IF(SER_hh_fec!E10=0,0,11630*1000*SER_hh_fec!E10/SER_hh_num!E10)</f>
        <v>388883.72815353237</v>
      </c>
      <c r="F10" s="133">
        <f>IF(SER_hh_fec!F10=0,0,11630*1000*SER_hh_fec!F10/SER_hh_num!F10)</f>
        <v>412749.27740953589</v>
      </c>
      <c r="G10" s="133">
        <f>IF(SER_hh_fec!G10=0,0,11630*1000*SER_hh_fec!G10/SER_hh_num!G10)</f>
        <v>371165.89732896158</v>
      </c>
      <c r="H10" s="133">
        <f>IF(SER_hh_fec!H10=0,0,11630*1000*SER_hh_fec!H10/SER_hh_num!H10)</f>
        <v>374829.38787754998</v>
      </c>
      <c r="I10" s="133">
        <f>IF(SER_hh_fec!I10=0,0,11630*1000*SER_hh_fec!I10/SER_hh_num!I10)</f>
        <v>433938.24497573765</v>
      </c>
      <c r="J10" s="133">
        <f>IF(SER_hh_fec!J10=0,0,11630*1000*SER_hh_fec!J10/SER_hh_num!J10)</f>
        <v>268724.27280737151</v>
      </c>
      <c r="K10" s="133">
        <f>IF(SER_hh_fec!K10=0,0,11630*1000*SER_hh_fec!K10/SER_hh_num!K10)</f>
        <v>273086.24310412083</v>
      </c>
      <c r="L10" s="133">
        <f>IF(SER_hh_fec!L10=0,0,11630*1000*SER_hh_fec!L10/SER_hh_num!L10)</f>
        <v>291472.79441577173</v>
      </c>
      <c r="M10" s="133">
        <f>IF(SER_hh_fec!M10=0,0,11630*1000*SER_hh_fec!M10/SER_hh_num!M10)</f>
        <v>233783.91846741954</v>
      </c>
      <c r="N10" s="133">
        <f>IF(SER_hh_fec!N10=0,0,11630*1000*SER_hh_fec!N10/SER_hh_num!N10)</f>
        <v>312215.45941933896</v>
      </c>
      <c r="O10" s="133">
        <f>IF(SER_hh_fec!O10=0,0,11630*1000*SER_hh_fec!O10/SER_hh_num!O10)</f>
        <v>301086.9815217313</v>
      </c>
      <c r="P10" s="133">
        <f>IF(SER_hh_fec!P10=0,0,11630*1000*SER_hh_fec!P10/SER_hh_num!P10)</f>
        <v>271837.54782641178</v>
      </c>
      <c r="Q10" s="133">
        <f>IF(SER_hh_fec!Q10=0,0,11630*1000*SER_hh_fec!Q10/SER_hh_num!Q10)</f>
        <v>261955.08085439503</v>
      </c>
      <c r="R10" s="133">
        <f>IF(SER_hh_fec!R10=0,0,11630*1000*SER_hh_fec!R10/SER_hh_num!R10)</f>
        <v>264491.12360772095</v>
      </c>
      <c r="S10" s="133">
        <f>IF(SER_hh_fec!S10=0,0,11630*1000*SER_hh_fec!S10/SER_hh_num!S10)</f>
        <v>293480.44649311737</v>
      </c>
      <c r="T10" s="133">
        <f>IF(SER_hh_fec!T10=0,0,11630*1000*SER_hh_fec!T10/SER_hh_num!T10)</f>
        <v>268572.84651551081</v>
      </c>
      <c r="U10" s="133">
        <f>IF(SER_hh_fec!U10=0,0,11630*1000*SER_hh_fec!U10/SER_hh_num!U10)</f>
        <v>252762.57717652465</v>
      </c>
      <c r="V10" s="133">
        <f>IF(SER_hh_fec!V10=0,0,11630*1000*SER_hh_fec!V10/SER_hh_num!V10)</f>
        <v>242426.39786425696</v>
      </c>
      <c r="W10" s="133">
        <f>IF(SER_hh_fec!W10=0,0,11630*1000*SER_hh_fec!W10/SER_hh_num!W10)</f>
        <v>281103.65252339095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231099.09860678102</v>
      </c>
      <c r="C12" s="133">
        <f>IF(SER_hh_fec!C12=0,0,11630*1000*SER_hh_fec!C12/SER_hh_num!C12)</f>
        <v>252007.39348338035</v>
      </c>
      <c r="D12" s="133">
        <f>IF(SER_hh_fec!D12=0,0,11630*1000*SER_hh_fec!D12/SER_hh_num!D12)</f>
        <v>246675.00545177062</v>
      </c>
      <c r="E12" s="133">
        <f>IF(SER_hh_fec!E12=0,0,11630*1000*SER_hh_fec!E12/SER_hh_num!E12)</f>
        <v>256482.21093609615</v>
      </c>
      <c r="F12" s="133">
        <f>IF(SER_hh_fec!F12=0,0,11630*1000*SER_hh_fec!F12/SER_hh_num!F12)</f>
        <v>241500.472436677</v>
      </c>
      <c r="G12" s="133">
        <f>IF(SER_hh_fec!G12=0,0,11630*1000*SER_hh_fec!G12/SER_hh_num!G12)</f>
        <v>245294.82488708285</v>
      </c>
      <c r="H12" s="133">
        <f>IF(SER_hh_fec!H12=0,0,11630*1000*SER_hh_fec!H12/SER_hh_num!H12)</f>
        <v>239507.74598383388</v>
      </c>
      <c r="I12" s="133">
        <f>IF(SER_hh_fec!I12=0,0,11630*1000*SER_hh_fec!I12/SER_hh_num!I12)</f>
        <v>216200.96979285174</v>
      </c>
      <c r="J12" s="133">
        <f>IF(SER_hh_fec!J12=0,0,11630*1000*SER_hh_fec!J12/SER_hh_num!J12)</f>
        <v>193684.77495595449</v>
      </c>
      <c r="K12" s="133">
        <f>IF(SER_hh_fec!K12=0,0,11630*1000*SER_hh_fec!K12/SER_hh_num!K12)</f>
        <v>184921.45614421985</v>
      </c>
      <c r="L12" s="133">
        <f>IF(SER_hh_fec!L12=0,0,11630*1000*SER_hh_fec!L12/SER_hh_num!L12)</f>
        <v>195681.15732966445</v>
      </c>
      <c r="M12" s="133">
        <f>IF(SER_hh_fec!M12=0,0,11630*1000*SER_hh_fec!M12/SER_hh_num!M12)</f>
        <v>163277.93297337616</v>
      </c>
      <c r="N12" s="133">
        <f>IF(SER_hh_fec!N12=0,0,11630*1000*SER_hh_fec!N12/SER_hh_num!N12)</f>
        <v>199776.52831971087</v>
      </c>
      <c r="O12" s="133">
        <f>IF(SER_hh_fec!O12=0,0,11630*1000*SER_hh_fec!O12/SER_hh_num!O12)</f>
        <v>190694.94442674605</v>
      </c>
      <c r="P12" s="133">
        <f>IF(SER_hh_fec!P12=0,0,11630*1000*SER_hh_fec!P12/SER_hh_num!P12)</f>
        <v>178060.88335138053</v>
      </c>
      <c r="Q12" s="133">
        <f>IF(SER_hh_fec!Q12=0,0,11630*1000*SER_hh_fec!Q12/SER_hh_num!Q12)</f>
        <v>166061.83474656395</v>
      </c>
      <c r="R12" s="133">
        <f>IF(SER_hh_fec!R12=0,0,11630*1000*SER_hh_fec!R12/SER_hh_num!R12)</f>
        <v>185569.17193528786</v>
      </c>
      <c r="S12" s="133">
        <f>IF(SER_hh_fec!S12=0,0,11630*1000*SER_hh_fec!S12/SER_hh_num!S12)</f>
        <v>184014.1083631748</v>
      </c>
      <c r="T12" s="133">
        <f>IF(SER_hh_fec!T12=0,0,11630*1000*SER_hh_fec!T12/SER_hh_num!T12)</f>
        <v>167680.8226041586</v>
      </c>
      <c r="U12" s="133">
        <f>IF(SER_hh_fec!U12=0,0,11630*1000*SER_hh_fec!U12/SER_hh_num!U12)</f>
        <v>160119.3331087447</v>
      </c>
      <c r="V12" s="133">
        <f>IF(SER_hh_fec!V12=0,0,11630*1000*SER_hh_fec!V12/SER_hh_num!V12)</f>
        <v>163104.78569788692</v>
      </c>
      <c r="W12" s="133">
        <f>IF(SER_hh_fec!W12=0,0,11630*1000*SER_hh_fec!W12/SER_hh_num!W12)</f>
        <v>189394.83998123408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102846.93365292413</v>
      </c>
      <c r="C13" s="133">
        <f>IF(SER_hh_fec!C13=0,0,11630*1000*SER_hh_fec!C13/SER_hh_num!C13)</f>
        <v>47777.560750852725</v>
      </c>
      <c r="D13" s="133">
        <f>IF(SER_hh_fec!D13=0,0,11630*1000*SER_hh_fec!D13/SER_hh_num!D13)</f>
        <v>106134.42800595741</v>
      </c>
      <c r="E13" s="133">
        <f>IF(SER_hh_fec!E13=0,0,11630*1000*SER_hh_fec!E13/SER_hh_num!E13)</f>
        <v>93223.142746377722</v>
      </c>
      <c r="F13" s="133">
        <f>IF(SER_hh_fec!F13=0,0,11630*1000*SER_hh_fec!F13/SER_hh_num!F13)</f>
        <v>86424.534746985388</v>
      </c>
      <c r="G13" s="133">
        <f>IF(SER_hh_fec!G13=0,0,11630*1000*SER_hh_fec!G13/SER_hh_num!G13)</f>
        <v>80315.532567648625</v>
      </c>
      <c r="H13" s="133">
        <f>IF(SER_hh_fec!H13=0,0,11630*1000*SER_hh_fec!H13/SER_hh_num!H13)</f>
        <v>72062.074098585872</v>
      </c>
      <c r="I13" s="133">
        <f>IF(SER_hh_fec!I13=0,0,11630*1000*SER_hh_fec!I13/SER_hh_num!I13)</f>
        <v>62364.751718258914</v>
      </c>
      <c r="J13" s="133">
        <f>IF(SER_hh_fec!J13=0,0,11630*1000*SER_hh_fec!J13/SER_hh_num!J13)</f>
        <v>54626.147837905708</v>
      </c>
      <c r="K13" s="133">
        <f>IF(SER_hh_fec!K13=0,0,11630*1000*SER_hh_fec!K13/SER_hh_num!K13)</f>
        <v>48662.203595450737</v>
      </c>
      <c r="L13" s="133">
        <f>IF(SER_hh_fec!L13=0,0,11630*1000*SER_hh_fec!L13/SER_hh_num!L13)</f>
        <v>50567.051154185232</v>
      </c>
      <c r="M13" s="133">
        <f>IF(SER_hh_fec!M13=0,0,11630*1000*SER_hh_fec!M13/SER_hh_num!M13)</f>
        <v>53446.515055424708</v>
      </c>
      <c r="N13" s="133">
        <f>IF(SER_hh_fec!N13=0,0,11630*1000*SER_hh_fec!N13/SER_hh_num!N13)</f>
        <v>52345.396683476203</v>
      </c>
      <c r="O13" s="133">
        <f>IF(SER_hh_fec!O13=0,0,11630*1000*SER_hh_fec!O13/SER_hh_num!O13)</f>
        <v>56819.999960032772</v>
      </c>
      <c r="P13" s="133">
        <f>IF(SER_hh_fec!P13=0,0,11630*1000*SER_hh_fec!P13/SER_hh_num!P13)</f>
        <v>55301.549457822395</v>
      </c>
      <c r="Q13" s="133">
        <f>IF(SER_hh_fec!Q13=0,0,11630*1000*SER_hh_fec!Q13/SER_hh_num!Q13)</f>
        <v>53497.885806762562</v>
      </c>
      <c r="R13" s="133">
        <f>IF(SER_hh_fec!R13=0,0,11630*1000*SER_hh_fec!R13/SER_hh_num!R13)</f>
        <v>52248.900609577489</v>
      </c>
      <c r="S13" s="133">
        <f>IF(SER_hh_fec!S13=0,0,11630*1000*SER_hh_fec!S13/SER_hh_num!S13)</f>
        <v>53406.889079836721</v>
      </c>
      <c r="T13" s="133">
        <f>IF(SER_hh_fec!T13=0,0,11630*1000*SER_hh_fec!T13/SER_hh_num!T13)</f>
        <v>50011.633661638625</v>
      </c>
      <c r="U13" s="133">
        <f>IF(SER_hh_fec!U13=0,0,11630*1000*SER_hh_fec!U13/SER_hh_num!U13)</f>
        <v>49856.747952714177</v>
      </c>
      <c r="V13" s="133">
        <f>IF(SER_hh_fec!V13=0,0,11630*1000*SER_hh_fec!V13/SER_hh_num!V13)</f>
        <v>49074.301791694517</v>
      </c>
      <c r="W13" s="133">
        <f>IF(SER_hh_fec!W13=0,0,11630*1000*SER_hh_fec!W13/SER_hh_num!W13)</f>
        <v>34287.84187091425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342951.25143748039</v>
      </c>
      <c r="C14" s="65">
        <f>IF(SER_hh_fec!C14=0,0,11630*1000*SER_hh_fec!C14/SER_hh_num!C14)</f>
        <v>185120.96091350168</v>
      </c>
      <c r="D14" s="65">
        <f>IF(SER_hh_fec!D14=0,0,11630*1000*SER_hh_fec!D14/SER_hh_num!D14)</f>
        <v>300568.75651283644</v>
      </c>
      <c r="E14" s="65">
        <f>IF(SER_hh_fec!E14=0,0,11630*1000*SER_hh_fec!E14/SER_hh_num!E14)</f>
        <v>301562.54332335969</v>
      </c>
      <c r="F14" s="65">
        <f>IF(SER_hh_fec!F14=0,0,11630*1000*SER_hh_fec!F14/SER_hh_num!F14)</f>
        <v>267307.16195746337</v>
      </c>
      <c r="G14" s="65">
        <f>IF(SER_hh_fec!G14=0,0,11630*1000*SER_hh_fec!G14/SER_hh_num!G14)</f>
        <v>252473.82646516769</v>
      </c>
      <c r="H14" s="65">
        <f>IF(SER_hh_fec!H14=0,0,11630*1000*SER_hh_fec!H14/SER_hh_num!H14)</f>
        <v>241669.52523444264</v>
      </c>
      <c r="I14" s="65">
        <f>IF(SER_hh_fec!I14=0,0,11630*1000*SER_hh_fec!I14/SER_hh_num!I14)</f>
        <v>309754.87532558275</v>
      </c>
      <c r="J14" s="65">
        <f>IF(SER_hh_fec!J14=0,0,11630*1000*SER_hh_fec!J14/SER_hh_num!J14)</f>
        <v>257938.67898719522</v>
      </c>
      <c r="K14" s="65">
        <f>IF(SER_hh_fec!K14=0,0,11630*1000*SER_hh_fec!K14/SER_hh_num!K14)</f>
        <v>146358.72227258625</v>
      </c>
      <c r="L14" s="65">
        <f>IF(SER_hh_fec!L14=0,0,11630*1000*SER_hh_fec!L14/SER_hh_num!L14)</f>
        <v>182924.62769001161</v>
      </c>
      <c r="M14" s="65">
        <f>IF(SER_hh_fec!M14=0,0,11630*1000*SER_hh_fec!M14/SER_hh_num!M14)</f>
        <v>175970.85715864322</v>
      </c>
      <c r="N14" s="65">
        <f>IF(SER_hh_fec!N14=0,0,11630*1000*SER_hh_fec!N14/SER_hh_num!N14)</f>
        <v>253064.36460123534</v>
      </c>
      <c r="O14" s="65">
        <f>IF(SER_hh_fec!O14=0,0,11630*1000*SER_hh_fec!O14/SER_hh_num!O14)</f>
        <v>190124.45883361064</v>
      </c>
      <c r="P14" s="65">
        <f>IF(SER_hh_fec!P14=0,0,11630*1000*SER_hh_fec!P14/SER_hh_num!P14)</f>
        <v>230380.62496792921</v>
      </c>
      <c r="Q14" s="65">
        <f>IF(SER_hh_fec!Q14=0,0,11630*1000*SER_hh_fec!Q14/SER_hh_num!Q14)</f>
        <v>172539.21520133293</v>
      </c>
      <c r="R14" s="65">
        <f>IF(SER_hh_fec!R14=0,0,11630*1000*SER_hh_fec!R14/SER_hh_num!R14)</f>
        <v>186516.16214971396</v>
      </c>
      <c r="S14" s="65">
        <f>IF(SER_hh_fec!S14=0,0,11630*1000*SER_hh_fec!S14/SER_hh_num!S14)</f>
        <v>183669.80036121528</v>
      </c>
      <c r="T14" s="65">
        <f>IF(SER_hh_fec!T14=0,0,11630*1000*SER_hh_fec!T14/SER_hh_num!T14)</f>
        <v>195547.70564407427</v>
      </c>
      <c r="U14" s="65">
        <f>IF(SER_hh_fec!U14=0,0,11630*1000*SER_hh_fec!U14/SER_hh_num!U14)</f>
        <v>185176.75788374219</v>
      </c>
      <c r="V14" s="65">
        <f>IF(SER_hh_fec!V14=0,0,11630*1000*SER_hh_fec!V14/SER_hh_num!V14)</f>
        <v>168063.41484633167</v>
      </c>
      <c r="W14" s="65">
        <f>IF(SER_hh_fec!W14=0,0,11630*1000*SER_hh_fec!W14/SER_hh_num!W14)</f>
        <v>189182.98532253967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1583.626810326012</v>
      </c>
      <c r="C15" s="135">
        <f>IF(SER_hh_fec!C15=0,0,11630*1000*SER_hh_fec!C15/SER_hh_num!C15)</f>
        <v>1652.483474929596</v>
      </c>
      <c r="D15" s="135">
        <f>IF(SER_hh_fec!D15=0,0,11630*1000*SER_hh_fec!D15/SER_hh_num!D15)</f>
        <v>1751.3246121957468</v>
      </c>
      <c r="E15" s="135">
        <f>IF(SER_hh_fec!E15=0,0,11630*1000*SER_hh_fec!E15/SER_hh_num!E15)</f>
        <v>1793.6934060729257</v>
      </c>
      <c r="F15" s="135">
        <f>IF(SER_hh_fec!F15=0,0,11630*1000*SER_hh_fec!F15/SER_hh_num!F15)</f>
        <v>1872.5514784177233</v>
      </c>
      <c r="G15" s="135">
        <f>IF(SER_hh_fec!G15=0,0,11630*1000*SER_hh_fec!G15/SER_hh_num!G15)</f>
        <v>1726.3654402544535</v>
      </c>
      <c r="H15" s="135">
        <f>IF(SER_hh_fec!H15=0,0,11630*1000*SER_hh_fec!H15/SER_hh_num!H15)</f>
        <v>1809.7175453837533</v>
      </c>
      <c r="I15" s="135">
        <f>IF(SER_hh_fec!I15=0,0,11630*1000*SER_hh_fec!I15/SER_hh_num!I15)</f>
        <v>1775.0585231640678</v>
      </c>
      <c r="J15" s="135">
        <f>IF(SER_hh_fec!J15=0,0,11630*1000*SER_hh_fec!J15/SER_hh_num!J15)</f>
        <v>1462.7348674676202</v>
      </c>
      <c r="K15" s="135">
        <f>IF(SER_hh_fec!K15=0,0,11630*1000*SER_hh_fec!K15/SER_hh_num!K15)</f>
        <v>1352.8659462551391</v>
      </c>
      <c r="L15" s="135">
        <f>IF(SER_hh_fec!L15=0,0,11630*1000*SER_hh_fec!L15/SER_hh_num!L15)</f>
        <v>1435.2560774436631</v>
      </c>
      <c r="M15" s="135">
        <f>IF(SER_hh_fec!M15=0,0,11630*1000*SER_hh_fec!M15/SER_hh_num!M15)</f>
        <v>1236.7348871752397</v>
      </c>
      <c r="N15" s="135">
        <f>IF(SER_hh_fec!N15=0,0,11630*1000*SER_hh_fec!N15/SER_hh_num!N15)</f>
        <v>1418.6196430713881</v>
      </c>
      <c r="O15" s="135">
        <f>IF(SER_hh_fec!O15=0,0,11630*1000*SER_hh_fec!O15/SER_hh_num!O15)</f>
        <v>1330.4070505723123</v>
      </c>
      <c r="P15" s="135">
        <f>IF(SER_hh_fec!P15=0,0,11630*1000*SER_hh_fec!P15/SER_hh_num!P15)</f>
        <v>1338.894192825476</v>
      </c>
      <c r="Q15" s="135">
        <f>IF(SER_hh_fec!Q15=0,0,11630*1000*SER_hh_fec!Q15/SER_hh_num!Q15)</f>
        <v>1263.6648996324623</v>
      </c>
      <c r="R15" s="135">
        <f>IF(SER_hh_fec!R15=0,0,11630*1000*SER_hh_fec!R15/SER_hh_num!R15)</f>
        <v>1227.6261300018698</v>
      </c>
      <c r="S15" s="135">
        <f>IF(SER_hh_fec!S15=0,0,11630*1000*SER_hh_fec!S15/SER_hh_num!S15)</f>
        <v>1286.9270096419971</v>
      </c>
      <c r="T15" s="135">
        <f>IF(SER_hh_fec!T15=0,0,11630*1000*SER_hh_fec!T15/SER_hh_num!T15)</f>
        <v>1289.887523674362</v>
      </c>
      <c r="U15" s="135">
        <f>IF(SER_hh_fec!U15=0,0,11630*1000*SER_hh_fec!U15/SER_hh_num!U15)</f>
        <v>1234.5642611769426</v>
      </c>
      <c r="V15" s="135">
        <f>IF(SER_hh_fec!V15=0,0,11630*1000*SER_hh_fec!V15/SER_hh_num!V15)</f>
        <v>1255.8767887085005</v>
      </c>
      <c r="W15" s="135">
        <f>IF(SER_hh_fec!W15=0,0,11630*1000*SER_hh_fec!W15/SER_hh_num!W15)</f>
        <v>1464.0474227717491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9370.5275418212932</v>
      </c>
      <c r="C16" s="131">
        <f>IF(SER_hh_fec!C16=0,0,11630*1000*SER_hh_fec!C16/SER_hh_num!C16)</f>
        <v>9273.5436038458956</v>
      </c>
      <c r="D16" s="131">
        <f>IF(SER_hh_fec!D16=0,0,11630*1000*SER_hh_fec!D16/SER_hh_num!D16)</f>
        <v>9106.2175671675996</v>
      </c>
      <c r="E16" s="131">
        <f>IF(SER_hh_fec!E16=0,0,11630*1000*SER_hh_fec!E16/SER_hh_num!E16)</f>
        <v>8290.7824150728011</v>
      </c>
      <c r="F16" s="131">
        <f>IF(SER_hh_fec!F16=0,0,11630*1000*SER_hh_fec!F16/SER_hh_num!F16)</f>
        <v>7674.7398857133958</v>
      </c>
      <c r="G16" s="131">
        <f>IF(SER_hh_fec!G16=0,0,11630*1000*SER_hh_fec!G16/SER_hh_num!G16)</f>
        <v>7274.0105669908244</v>
      </c>
      <c r="H16" s="131">
        <f>IF(SER_hh_fec!H16=0,0,11630*1000*SER_hh_fec!H16/SER_hh_num!H16)</f>
        <v>7349.0237608861144</v>
      </c>
      <c r="I16" s="131">
        <f>IF(SER_hh_fec!I16=0,0,11630*1000*SER_hh_fec!I16/SER_hh_num!I16)</f>
        <v>6575.4646748154728</v>
      </c>
      <c r="J16" s="131">
        <f>IF(SER_hh_fec!J16=0,0,11630*1000*SER_hh_fec!J16/SER_hh_num!J16)</f>
        <v>6236.1835373542226</v>
      </c>
      <c r="K16" s="131">
        <f>IF(SER_hh_fec!K16=0,0,11630*1000*SER_hh_fec!K16/SER_hh_num!K16)</f>
        <v>6121.4313954937143</v>
      </c>
      <c r="L16" s="131">
        <f>IF(SER_hh_fec!L16=0,0,11630*1000*SER_hh_fec!L16/SER_hh_num!L16)</f>
        <v>7282.1139208940658</v>
      </c>
      <c r="M16" s="131">
        <f>IF(SER_hh_fec!M16=0,0,11630*1000*SER_hh_fec!M16/SER_hh_num!M16)</f>
        <v>5939.8718519336144</v>
      </c>
      <c r="N16" s="131">
        <f>IF(SER_hh_fec!N16=0,0,11630*1000*SER_hh_fec!N16/SER_hh_num!N16)</f>
        <v>5807.4827436428222</v>
      </c>
      <c r="O16" s="131">
        <f>IF(SER_hh_fec!O16=0,0,11630*1000*SER_hh_fec!O16/SER_hh_num!O16)</f>
        <v>5522.1103401600267</v>
      </c>
      <c r="P16" s="131">
        <f>IF(SER_hh_fec!P16=0,0,11630*1000*SER_hh_fec!P16/SER_hh_num!P16)</f>
        <v>5629.5321558613032</v>
      </c>
      <c r="Q16" s="131">
        <f>IF(SER_hh_fec!Q16=0,0,11630*1000*SER_hh_fec!Q16/SER_hh_num!Q16)</f>
        <v>5121.4372015942272</v>
      </c>
      <c r="R16" s="131">
        <f>IF(SER_hh_fec!R16=0,0,11630*1000*SER_hh_fec!R16/SER_hh_num!R16)</f>
        <v>4958.1682403920522</v>
      </c>
      <c r="S16" s="131">
        <f>IF(SER_hh_fec!S16=0,0,11630*1000*SER_hh_fec!S16/SER_hh_num!S16)</f>
        <v>4792.5293597269692</v>
      </c>
      <c r="T16" s="131">
        <f>IF(SER_hh_fec!T16=0,0,11630*1000*SER_hh_fec!T16/SER_hh_num!T16)</f>
        <v>4955.4418004337504</v>
      </c>
      <c r="U16" s="131">
        <f>IF(SER_hh_fec!U16=0,0,11630*1000*SER_hh_fec!U16/SER_hh_num!U16)</f>
        <v>4543.9279580493258</v>
      </c>
      <c r="V16" s="131">
        <f>IF(SER_hh_fec!V16=0,0,11630*1000*SER_hh_fec!V16/SER_hh_num!V16)</f>
        <v>4431.9637570662635</v>
      </c>
      <c r="W16" s="131">
        <f>IF(SER_hh_fec!W16=0,0,11630*1000*SER_hh_fec!W16/SER_hh_num!W16)</f>
        <v>4985.9541239861728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9370.5275418212932</v>
      </c>
      <c r="C18" s="133">
        <f>IF(SER_hh_fec!C18=0,0,11630*1000*SER_hh_fec!C18/SER_hh_num!C18)</f>
        <v>9273.5436038458956</v>
      </c>
      <c r="D18" s="133">
        <f>IF(SER_hh_fec!D18=0,0,11630*1000*SER_hh_fec!D18/SER_hh_num!D18)</f>
        <v>9106.2175671675996</v>
      </c>
      <c r="E18" s="133">
        <f>IF(SER_hh_fec!E18=0,0,11630*1000*SER_hh_fec!E18/SER_hh_num!E18)</f>
        <v>8290.7824150728011</v>
      </c>
      <c r="F18" s="133">
        <f>IF(SER_hh_fec!F18=0,0,11630*1000*SER_hh_fec!F18/SER_hh_num!F18)</f>
        <v>7674.7398857133958</v>
      </c>
      <c r="G18" s="133">
        <f>IF(SER_hh_fec!G18=0,0,11630*1000*SER_hh_fec!G18/SER_hh_num!G18)</f>
        <v>7274.0105669908244</v>
      </c>
      <c r="H18" s="133">
        <f>IF(SER_hh_fec!H18=0,0,11630*1000*SER_hh_fec!H18/SER_hh_num!H18)</f>
        <v>7349.0237608861144</v>
      </c>
      <c r="I18" s="133">
        <f>IF(SER_hh_fec!I18=0,0,11630*1000*SER_hh_fec!I18/SER_hh_num!I18)</f>
        <v>6575.4646748154728</v>
      </c>
      <c r="J18" s="133">
        <f>IF(SER_hh_fec!J18=0,0,11630*1000*SER_hh_fec!J18/SER_hh_num!J18)</f>
        <v>6236.1835373542226</v>
      </c>
      <c r="K18" s="133">
        <f>IF(SER_hh_fec!K18=0,0,11630*1000*SER_hh_fec!K18/SER_hh_num!K18)</f>
        <v>6121.4313954937143</v>
      </c>
      <c r="L18" s="133">
        <f>IF(SER_hh_fec!L18=0,0,11630*1000*SER_hh_fec!L18/SER_hh_num!L18)</f>
        <v>7282.1139208940658</v>
      </c>
      <c r="M18" s="133">
        <f>IF(SER_hh_fec!M18=0,0,11630*1000*SER_hh_fec!M18/SER_hh_num!M18)</f>
        <v>5939.8718519336144</v>
      </c>
      <c r="N18" s="133">
        <f>IF(SER_hh_fec!N18=0,0,11630*1000*SER_hh_fec!N18/SER_hh_num!N18)</f>
        <v>5807.4827436428222</v>
      </c>
      <c r="O18" s="133">
        <f>IF(SER_hh_fec!O18=0,0,11630*1000*SER_hh_fec!O18/SER_hh_num!O18)</f>
        <v>5522.1103401600267</v>
      </c>
      <c r="P18" s="133">
        <f>IF(SER_hh_fec!P18=0,0,11630*1000*SER_hh_fec!P18/SER_hh_num!P18)</f>
        <v>5629.5321558613032</v>
      </c>
      <c r="Q18" s="133">
        <f>IF(SER_hh_fec!Q18=0,0,11630*1000*SER_hh_fec!Q18/SER_hh_num!Q18)</f>
        <v>5121.4372015942272</v>
      </c>
      <c r="R18" s="133">
        <f>IF(SER_hh_fec!R18=0,0,11630*1000*SER_hh_fec!R18/SER_hh_num!R18)</f>
        <v>4958.1682403920522</v>
      </c>
      <c r="S18" s="133">
        <f>IF(SER_hh_fec!S18=0,0,11630*1000*SER_hh_fec!S18/SER_hh_num!S18)</f>
        <v>4792.5293597269692</v>
      </c>
      <c r="T18" s="133">
        <f>IF(SER_hh_fec!T18=0,0,11630*1000*SER_hh_fec!T18/SER_hh_num!T18)</f>
        <v>4955.4418004337504</v>
      </c>
      <c r="U18" s="133">
        <f>IF(SER_hh_fec!U18=0,0,11630*1000*SER_hh_fec!U18/SER_hh_num!U18)</f>
        <v>4543.9279580493258</v>
      </c>
      <c r="V18" s="133">
        <f>IF(SER_hh_fec!V18=0,0,11630*1000*SER_hh_fec!V18/SER_hh_num!V18)</f>
        <v>4431.9637570662635</v>
      </c>
      <c r="W18" s="133">
        <f>IF(SER_hh_fec!W18=0,0,11630*1000*SER_hh_fec!W18/SER_hh_num!W18)</f>
        <v>4985.9541239861728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37473.857834942763</v>
      </c>
      <c r="C19" s="131">
        <f>IF(SER_hh_fec!C19=0,0,11630*1000*SER_hh_fec!C19/SER_hh_num!C19)</f>
        <v>37593.710134665875</v>
      </c>
      <c r="D19" s="131">
        <f>IF(SER_hh_fec!D19=0,0,11630*1000*SER_hh_fec!D19/SER_hh_num!D19)</f>
        <v>36234.160481525112</v>
      </c>
      <c r="E19" s="131">
        <f>IF(SER_hh_fec!E19=0,0,11630*1000*SER_hh_fec!E19/SER_hh_num!E19)</f>
        <v>35690.11124073992</v>
      </c>
      <c r="F19" s="131">
        <f>IF(SER_hh_fec!F19=0,0,11630*1000*SER_hh_fec!F19/SER_hh_num!F19)</f>
        <v>35786.495069736091</v>
      </c>
      <c r="G19" s="131">
        <f>IF(SER_hh_fec!G19=0,0,11630*1000*SER_hh_fec!G19/SER_hh_num!G19)</f>
        <v>35065.283606955345</v>
      </c>
      <c r="H19" s="131">
        <f>IF(SER_hh_fec!H19=0,0,11630*1000*SER_hh_fec!H19/SER_hh_num!H19)</f>
        <v>34924.286458949508</v>
      </c>
      <c r="I19" s="131">
        <f>IF(SER_hh_fec!I19=0,0,11630*1000*SER_hh_fec!I19/SER_hh_num!I19)</f>
        <v>34489.96252606425</v>
      </c>
      <c r="J19" s="131">
        <f>IF(SER_hh_fec!J19=0,0,11630*1000*SER_hh_fec!J19/SER_hh_num!J19)</f>
        <v>33792.720344485191</v>
      </c>
      <c r="K19" s="131">
        <f>IF(SER_hh_fec!K19=0,0,11630*1000*SER_hh_fec!K19/SER_hh_num!K19)</f>
        <v>34597.26428519906</v>
      </c>
      <c r="L19" s="131">
        <f>IF(SER_hh_fec!L19=0,0,11630*1000*SER_hh_fec!L19/SER_hh_num!L19)</f>
        <v>34143.020668624275</v>
      </c>
      <c r="M19" s="131">
        <f>IF(SER_hh_fec!M19=0,0,11630*1000*SER_hh_fec!M19/SER_hh_num!M19)</f>
        <v>34444.381297649183</v>
      </c>
      <c r="N19" s="131">
        <f>IF(SER_hh_fec!N19=0,0,11630*1000*SER_hh_fec!N19/SER_hh_num!N19)</f>
        <v>33806.607892135107</v>
      </c>
      <c r="O19" s="131">
        <f>IF(SER_hh_fec!O19=0,0,11630*1000*SER_hh_fec!O19/SER_hh_num!O19)</f>
        <v>34076.949684853113</v>
      </c>
      <c r="P19" s="131">
        <f>IF(SER_hh_fec!P19=0,0,11630*1000*SER_hh_fec!P19/SER_hh_num!P19)</f>
        <v>33332.755676640438</v>
      </c>
      <c r="Q19" s="131">
        <f>IF(SER_hh_fec!Q19=0,0,11630*1000*SER_hh_fec!Q19/SER_hh_num!Q19)</f>
        <v>33254.483827772368</v>
      </c>
      <c r="R19" s="131">
        <f>IF(SER_hh_fec!R19=0,0,11630*1000*SER_hh_fec!R19/SER_hh_num!R19)</f>
        <v>33212.823814431795</v>
      </c>
      <c r="S19" s="131">
        <f>IF(SER_hh_fec!S19=0,0,11630*1000*SER_hh_fec!S19/SER_hh_num!S19)</f>
        <v>33052.574891261291</v>
      </c>
      <c r="T19" s="131">
        <f>IF(SER_hh_fec!T19=0,0,11630*1000*SER_hh_fec!T19/SER_hh_num!T19)</f>
        <v>31774.37800607102</v>
      </c>
      <c r="U19" s="131">
        <f>IF(SER_hh_fec!U19=0,0,11630*1000*SER_hh_fec!U19/SER_hh_num!U19)</f>
        <v>30353.327343975081</v>
      </c>
      <c r="V19" s="131">
        <f>IF(SER_hh_fec!V19=0,0,11630*1000*SER_hh_fec!V19/SER_hh_num!V19)</f>
        <v>27436.47288366262</v>
      </c>
      <c r="W19" s="131">
        <f>IF(SER_hh_fec!W19=0,0,11630*1000*SER_hh_fec!W19/SER_hh_num!W19)</f>
        <v>28885.517523326322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45850.336163340435</v>
      </c>
      <c r="C22" s="133">
        <f>IF(SER_hh_fec!C22=0,0,11630*1000*SER_hh_fec!C22/SER_hh_num!C22)</f>
        <v>46172.168138006062</v>
      </c>
      <c r="D22" s="133">
        <f>IF(SER_hh_fec!D22=0,0,11630*1000*SER_hh_fec!D22/SER_hh_num!D22)</f>
        <v>45425.042108317073</v>
      </c>
      <c r="E22" s="133">
        <f>IF(SER_hh_fec!E22=0,0,11630*1000*SER_hh_fec!E22/SER_hh_num!E22)</f>
        <v>44998.718348442344</v>
      </c>
      <c r="F22" s="133">
        <f>IF(SER_hh_fec!F22=0,0,11630*1000*SER_hh_fec!F22/SER_hh_num!F22)</f>
        <v>44187.016237064294</v>
      </c>
      <c r="G22" s="133">
        <f>IF(SER_hh_fec!G22=0,0,11630*1000*SER_hh_fec!G22/SER_hh_num!G22)</f>
        <v>43692.505116248169</v>
      </c>
      <c r="H22" s="133">
        <f>IF(SER_hh_fec!H22=0,0,11630*1000*SER_hh_fec!H22/SER_hh_num!H22)</f>
        <v>44402.104451591338</v>
      </c>
      <c r="I22" s="133">
        <f>IF(SER_hh_fec!I22=0,0,11630*1000*SER_hh_fec!I22/SER_hh_num!I22)</f>
        <v>42918.562681777847</v>
      </c>
      <c r="J22" s="133">
        <f>IF(SER_hh_fec!J22=0,0,11630*1000*SER_hh_fec!J22/SER_hh_num!J22)</f>
        <v>43570.032391184883</v>
      </c>
      <c r="K22" s="133">
        <f>IF(SER_hh_fec!K22=0,0,11630*1000*SER_hh_fec!K22/SER_hh_num!K22)</f>
        <v>42877.411051814292</v>
      </c>
      <c r="L22" s="133">
        <f>IF(SER_hh_fec!L22=0,0,11630*1000*SER_hh_fec!L22/SER_hh_num!L22)</f>
        <v>42617.95812855837</v>
      </c>
      <c r="M22" s="133">
        <f>IF(SER_hh_fec!M22=0,0,11630*1000*SER_hh_fec!M22/SER_hh_num!M22)</f>
        <v>42937.163580483357</v>
      </c>
      <c r="N22" s="133">
        <f>IF(SER_hh_fec!N22=0,0,11630*1000*SER_hh_fec!N22/SER_hh_num!N22)</f>
        <v>42803.659501294082</v>
      </c>
      <c r="O22" s="133">
        <f>IF(SER_hh_fec!O22=0,0,11630*1000*SER_hh_fec!O22/SER_hh_num!O22)</f>
        <v>42561.74786783821</v>
      </c>
      <c r="P22" s="133">
        <f>IF(SER_hh_fec!P22=0,0,11630*1000*SER_hh_fec!P22/SER_hh_num!P22)</f>
        <v>41972.744919615237</v>
      </c>
      <c r="Q22" s="133">
        <f>IF(SER_hh_fec!Q22=0,0,11630*1000*SER_hh_fec!Q22/SER_hh_num!Q22)</f>
        <v>41962.111995435866</v>
      </c>
      <c r="R22" s="133">
        <f>IF(SER_hh_fec!R22=0,0,11630*1000*SER_hh_fec!R22/SER_hh_num!R22)</f>
        <v>41466.154454645948</v>
      </c>
      <c r="S22" s="133">
        <f>IF(SER_hh_fec!S22=0,0,11630*1000*SER_hh_fec!S22/SER_hh_num!S22)</f>
        <v>40995.764124846108</v>
      </c>
      <c r="T22" s="133">
        <f>IF(SER_hh_fec!T22=0,0,11630*1000*SER_hh_fec!T22/SER_hh_num!T22)</f>
        <v>39887.831716268447</v>
      </c>
      <c r="U22" s="133">
        <f>IF(SER_hh_fec!U22=0,0,11630*1000*SER_hh_fec!U22/SER_hh_num!U22)</f>
        <v>37764.288318314851</v>
      </c>
      <c r="V22" s="133">
        <f>IF(SER_hh_fec!V22=0,0,11630*1000*SER_hh_fec!V22/SER_hh_num!V22)</f>
        <v>33950.459921861308</v>
      </c>
      <c r="W22" s="133">
        <f>IF(SER_hh_fec!W22=0,0,11630*1000*SER_hh_fec!W22/SER_hh_num!W22)</f>
        <v>35287.977735661698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44389.033688517593</v>
      </c>
      <c r="C23" s="133">
        <f>IF(SER_hh_fec!C23=0,0,11630*1000*SER_hh_fec!C23/SER_hh_num!C23)</f>
        <v>43009.451344534573</v>
      </c>
      <c r="D23" s="133">
        <f>IF(SER_hh_fec!D23=0,0,11630*1000*SER_hh_fec!D23/SER_hh_num!D23)</f>
        <v>43747.972355358324</v>
      </c>
      <c r="E23" s="133">
        <f>IF(SER_hh_fec!E23=0,0,11630*1000*SER_hh_fec!E23/SER_hh_num!E23)</f>
        <v>42066.062509669631</v>
      </c>
      <c r="F23" s="133">
        <f>IF(SER_hh_fec!F23=0,0,11630*1000*SER_hh_fec!F23/SER_hh_num!F23)</f>
        <v>40914.373707163235</v>
      </c>
      <c r="G23" s="133">
        <f>IF(SER_hh_fec!G23=0,0,11630*1000*SER_hh_fec!G23/SER_hh_num!G23)</f>
        <v>41040.590600580756</v>
      </c>
      <c r="H23" s="133">
        <f>IF(SER_hh_fec!H23=0,0,11630*1000*SER_hh_fec!H23/SER_hh_num!H23)</f>
        <v>39182.66193184298</v>
      </c>
      <c r="I23" s="133">
        <f>IF(SER_hh_fec!I23=0,0,11630*1000*SER_hh_fec!I23/SER_hh_num!I23)</f>
        <v>37790.324102658349</v>
      </c>
      <c r="J23" s="133">
        <f>IF(SER_hh_fec!J23=0,0,11630*1000*SER_hh_fec!J23/SER_hh_num!J23)</f>
        <v>39566.934407192297</v>
      </c>
      <c r="K23" s="133">
        <f>IF(SER_hh_fec!K23=0,0,11630*1000*SER_hh_fec!K23/SER_hh_num!K23)</f>
        <v>39623.3645080844</v>
      </c>
      <c r="L23" s="133">
        <f>IF(SER_hh_fec!L23=0,0,11630*1000*SER_hh_fec!L23/SER_hh_num!L23)</f>
        <v>38279.423896116867</v>
      </c>
      <c r="M23" s="133">
        <f>IF(SER_hh_fec!M23=0,0,11630*1000*SER_hh_fec!M23/SER_hh_num!M23)</f>
        <v>38340.823755860089</v>
      </c>
      <c r="N23" s="133">
        <f>IF(SER_hh_fec!N23=0,0,11630*1000*SER_hh_fec!N23/SER_hh_num!N23)</f>
        <v>37980.45096055419</v>
      </c>
      <c r="O23" s="133">
        <f>IF(SER_hh_fec!O23=0,0,11630*1000*SER_hh_fec!O23/SER_hh_num!O23)</f>
        <v>37751.044869406833</v>
      </c>
      <c r="P23" s="133">
        <f>IF(SER_hh_fec!P23=0,0,11630*1000*SER_hh_fec!P23/SER_hh_num!P23)</f>
        <v>36939.482429368414</v>
      </c>
      <c r="Q23" s="133">
        <f>IF(SER_hh_fec!Q23=0,0,11630*1000*SER_hh_fec!Q23/SER_hh_num!Q23)</f>
        <v>36804.212300077212</v>
      </c>
      <c r="R23" s="133">
        <f>IF(SER_hh_fec!R23=0,0,11630*1000*SER_hh_fec!R23/SER_hh_num!R23)</f>
        <v>36318.403397271213</v>
      </c>
      <c r="S23" s="133">
        <f>IF(SER_hh_fec!S23=0,0,11630*1000*SER_hh_fec!S23/SER_hh_num!S23)</f>
        <v>35890.014812770802</v>
      </c>
      <c r="T23" s="133">
        <f>IF(SER_hh_fec!T23=0,0,11630*1000*SER_hh_fec!T23/SER_hh_num!T23)</f>
        <v>33628.516741098152</v>
      </c>
      <c r="U23" s="133">
        <f>IF(SER_hh_fec!U23=0,0,11630*1000*SER_hh_fec!U23/SER_hh_num!U23)</f>
        <v>32042.660536206855</v>
      </c>
      <c r="V23" s="133">
        <f>IF(SER_hh_fec!V23=0,0,11630*1000*SER_hh_fec!V23/SER_hh_num!V23)</f>
        <v>30240.56689469294</v>
      </c>
      <c r="W23" s="133">
        <f>IF(SER_hh_fec!W23=0,0,11630*1000*SER_hh_fec!W23/SER_hh_num!W23)</f>
        <v>30241.79422766588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56550.870427440685</v>
      </c>
      <c r="C24" s="133">
        <f>IF(SER_hh_fec!C24=0,0,11630*1000*SER_hh_fec!C24/SER_hh_num!C24)</f>
        <v>49118.194692923054</v>
      </c>
      <c r="D24" s="133">
        <f>IF(SER_hh_fec!D24=0,0,11630*1000*SER_hh_fec!D24/SER_hh_num!D24)</f>
        <v>47777.872278431118</v>
      </c>
      <c r="E24" s="133">
        <f>IF(SER_hh_fec!E24=0,0,11630*1000*SER_hh_fec!E24/SER_hh_num!E24)</f>
        <v>45473.890095085073</v>
      </c>
      <c r="F24" s="133">
        <f>IF(SER_hh_fec!F24=0,0,11630*1000*SER_hh_fec!F24/SER_hh_num!F24)</f>
        <v>45431.345065641748</v>
      </c>
      <c r="G24" s="133">
        <f>IF(SER_hh_fec!G24=0,0,11630*1000*SER_hh_fec!G24/SER_hh_num!G24)</f>
        <v>44307.067685769769</v>
      </c>
      <c r="H24" s="133">
        <f>IF(SER_hh_fec!H24=0,0,11630*1000*SER_hh_fec!H24/SER_hh_num!H24)</f>
        <v>42580.030667314539</v>
      </c>
      <c r="I24" s="133">
        <f>IF(SER_hh_fec!I24=0,0,11630*1000*SER_hh_fec!I24/SER_hh_num!I24)</f>
        <v>41404.390787480967</v>
      </c>
      <c r="J24" s="133">
        <f>IF(SER_hh_fec!J24=0,0,11630*1000*SER_hh_fec!J24/SER_hh_num!J24)</f>
        <v>39447.631477920768</v>
      </c>
      <c r="K24" s="133">
        <f>IF(SER_hh_fec!K24=0,0,11630*1000*SER_hh_fec!K24/SER_hh_num!K24)</f>
        <v>38846.382635361886</v>
      </c>
      <c r="L24" s="133">
        <f>IF(SER_hh_fec!L24=0,0,11630*1000*SER_hh_fec!L24/SER_hh_num!L24)</f>
        <v>38094.663380807251</v>
      </c>
      <c r="M24" s="133">
        <f>IF(SER_hh_fec!M24=0,0,11630*1000*SER_hh_fec!M24/SER_hh_num!M24)</f>
        <v>37892.546979882529</v>
      </c>
      <c r="N24" s="133">
        <f>IF(SER_hh_fec!N24=0,0,11630*1000*SER_hh_fec!N24/SER_hh_num!N24)</f>
        <v>36515.497810820656</v>
      </c>
      <c r="O24" s="133">
        <f>IF(SER_hh_fec!O24=0,0,11630*1000*SER_hh_fec!O24/SER_hh_num!O24)</f>
        <v>36160.124863283323</v>
      </c>
      <c r="P24" s="133">
        <f>IF(SER_hh_fec!P24=0,0,11630*1000*SER_hh_fec!P24/SER_hh_num!P24)</f>
        <v>35699.01043682015</v>
      </c>
      <c r="Q24" s="133">
        <f>IF(SER_hh_fec!Q24=0,0,11630*1000*SER_hh_fec!Q24/SER_hh_num!Q24)</f>
        <v>36148.437178255532</v>
      </c>
      <c r="R24" s="133">
        <f>IF(SER_hh_fec!R24=0,0,11630*1000*SER_hh_fec!R24/SER_hh_num!R24)</f>
        <v>35152.902608306715</v>
      </c>
      <c r="S24" s="133">
        <f>IF(SER_hh_fec!S24=0,0,11630*1000*SER_hh_fec!S24/SER_hh_num!S24)</f>
        <v>38314.835890282273</v>
      </c>
      <c r="T24" s="133">
        <f>IF(SER_hh_fec!T24=0,0,11630*1000*SER_hh_fec!T24/SER_hh_num!T24)</f>
        <v>34294.917492733941</v>
      </c>
      <c r="U24" s="133">
        <f>IF(SER_hh_fec!U24=0,0,11630*1000*SER_hh_fec!U24/SER_hh_num!U24)</f>
        <v>31822.733078372774</v>
      </c>
      <c r="V24" s="133">
        <f>IF(SER_hh_fec!V24=0,0,11630*1000*SER_hh_fec!V24/SER_hh_num!V24)</f>
        <v>30222.349571145827</v>
      </c>
      <c r="W24" s="133">
        <f>IF(SER_hh_fec!W24=0,0,11630*1000*SER_hh_fec!W24/SER_hh_num!W24)</f>
        <v>32331.338270349497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31146.184766278118</v>
      </c>
      <c r="C25" s="133">
        <f>IF(SER_hh_fec!C25=0,0,11630*1000*SER_hh_fec!C25/SER_hh_num!C25)</f>
        <v>30348.771002266127</v>
      </c>
      <c r="D25" s="133">
        <f>IF(SER_hh_fec!D25=0,0,11630*1000*SER_hh_fec!D25/SER_hh_num!D25)</f>
        <v>29894.438774994458</v>
      </c>
      <c r="E25" s="133">
        <f>IF(SER_hh_fec!E25=0,0,11630*1000*SER_hh_fec!E25/SER_hh_num!E25)</f>
        <v>29531.796632809332</v>
      </c>
      <c r="F25" s="133">
        <f>IF(SER_hh_fec!F25=0,0,11630*1000*SER_hh_fec!F25/SER_hh_num!F25)</f>
        <v>29085.762150349856</v>
      </c>
      <c r="G25" s="133">
        <f>IF(SER_hh_fec!G25=0,0,11630*1000*SER_hh_fec!G25/SER_hh_num!G25)</f>
        <v>29327.468286956508</v>
      </c>
      <c r="H25" s="133">
        <f>IF(SER_hh_fec!H25=0,0,11630*1000*SER_hh_fec!H25/SER_hh_num!H25)</f>
        <v>28714.67698846896</v>
      </c>
      <c r="I25" s="133">
        <f>IF(SER_hh_fec!I25=0,0,11630*1000*SER_hh_fec!I25/SER_hh_num!I25)</f>
        <v>28843.381309544133</v>
      </c>
      <c r="J25" s="133">
        <f>IF(SER_hh_fec!J25=0,0,11630*1000*SER_hh_fec!J25/SER_hh_num!J25)</f>
        <v>27769.813419602651</v>
      </c>
      <c r="K25" s="133">
        <f>IF(SER_hh_fec!K25=0,0,11630*1000*SER_hh_fec!K25/SER_hh_num!K25)</f>
        <v>28361.693842909383</v>
      </c>
      <c r="L25" s="133">
        <f>IF(SER_hh_fec!L25=0,0,11630*1000*SER_hh_fec!L25/SER_hh_num!L25)</f>
        <v>28224.41572779938</v>
      </c>
      <c r="M25" s="133">
        <f>IF(SER_hh_fec!M25=0,0,11630*1000*SER_hh_fec!M25/SER_hh_num!M25)</f>
        <v>28768.006690325474</v>
      </c>
      <c r="N25" s="133">
        <f>IF(SER_hh_fec!N25=0,0,11630*1000*SER_hh_fec!N25/SER_hh_num!N25)</f>
        <v>28563.873889255065</v>
      </c>
      <c r="O25" s="133">
        <f>IF(SER_hh_fec!O25=0,0,11630*1000*SER_hh_fec!O25/SER_hh_num!O25)</f>
        <v>28531.335033147774</v>
      </c>
      <c r="P25" s="133">
        <f>IF(SER_hh_fec!P25=0,0,11630*1000*SER_hh_fec!P25/SER_hh_num!P25)</f>
        <v>27829.118204208877</v>
      </c>
      <c r="Q25" s="133">
        <f>IF(SER_hh_fec!Q25=0,0,11630*1000*SER_hh_fec!Q25/SER_hh_num!Q25)</f>
        <v>28533.762207730975</v>
      </c>
      <c r="R25" s="133">
        <f>IF(SER_hh_fec!R25=0,0,11630*1000*SER_hh_fec!R25/SER_hh_num!R25)</f>
        <v>28837.473542293465</v>
      </c>
      <c r="S25" s="133">
        <f>IF(SER_hh_fec!S25=0,0,11630*1000*SER_hh_fec!S25/SER_hh_num!S25)</f>
        <v>28599.720753920126</v>
      </c>
      <c r="T25" s="133">
        <f>IF(SER_hh_fec!T25=0,0,11630*1000*SER_hh_fec!T25/SER_hh_num!T25)</f>
        <v>27416.465463156343</v>
      </c>
      <c r="U25" s="133">
        <f>IF(SER_hh_fec!U25=0,0,11630*1000*SER_hh_fec!U25/SER_hh_num!U25)</f>
        <v>27109.556040654483</v>
      </c>
      <c r="V25" s="133">
        <f>IF(SER_hh_fec!V25=0,0,11630*1000*SER_hh_fec!V25/SER_hh_num!V25)</f>
        <v>24812.305184911835</v>
      </c>
      <c r="W25" s="133">
        <f>IF(SER_hh_fec!W25=0,0,11630*1000*SER_hh_fec!W25/SER_hh_num!W25)</f>
        <v>26561.286302546392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33815.080142207844</v>
      </c>
      <c r="C26" s="65">
        <f>IF(SER_hh_fec!C26=0,0,11630*1000*SER_hh_fec!C26/SER_hh_num!C26)</f>
        <v>38400.781133516066</v>
      </c>
      <c r="D26" s="65">
        <f>IF(SER_hh_fec!D26=0,0,11630*1000*SER_hh_fec!D26/SER_hh_num!D26)</f>
        <v>34918.891621270464</v>
      </c>
      <c r="E26" s="65">
        <f>IF(SER_hh_fec!E26=0,0,11630*1000*SER_hh_fec!E26/SER_hh_num!E26)</f>
        <v>34801.269432534056</v>
      </c>
      <c r="F26" s="65">
        <f>IF(SER_hh_fec!F26=0,0,11630*1000*SER_hh_fec!F26/SER_hh_num!F26)</f>
        <v>35774.923242391829</v>
      </c>
      <c r="G26" s="65">
        <f>IF(SER_hh_fec!G26=0,0,11630*1000*SER_hh_fec!G26/SER_hh_num!G26)</f>
        <v>33343.535914669999</v>
      </c>
      <c r="H26" s="65">
        <f>IF(SER_hh_fec!H26=0,0,11630*1000*SER_hh_fec!H26/SER_hh_num!H26)</f>
        <v>34486.726557026239</v>
      </c>
      <c r="I26" s="65">
        <f>IF(SER_hh_fec!I26=0,0,11630*1000*SER_hh_fec!I26/SER_hh_num!I26)</f>
        <v>34153.970097966485</v>
      </c>
      <c r="J26" s="65">
        <f>IF(SER_hh_fec!J26=0,0,11630*1000*SER_hh_fec!J26/SER_hh_num!J26)</f>
        <v>32916.453353490586</v>
      </c>
      <c r="K26" s="65">
        <f>IF(SER_hh_fec!K26=0,0,11630*1000*SER_hh_fec!K26/SER_hh_num!K26)</f>
        <v>34769.42829592192</v>
      </c>
      <c r="L26" s="65">
        <f>IF(SER_hh_fec!L26=0,0,11630*1000*SER_hh_fec!L26/SER_hh_num!L26)</f>
        <v>34385.275919301646</v>
      </c>
      <c r="M26" s="65">
        <f>IF(SER_hh_fec!M26=0,0,11630*1000*SER_hh_fec!M26/SER_hh_num!M26)</f>
        <v>34737.541930119027</v>
      </c>
      <c r="N26" s="65">
        <f>IF(SER_hh_fec!N26=0,0,11630*1000*SER_hh_fec!N26/SER_hh_num!N26)</f>
        <v>33744.342903740457</v>
      </c>
      <c r="O26" s="65">
        <f>IF(SER_hh_fec!O26=0,0,11630*1000*SER_hh_fec!O26/SER_hh_num!O26)</f>
        <v>34945.4369665142</v>
      </c>
      <c r="P26" s="65">
        <f>IF(SER_hh_fec!P26=0,0,11630*1000*SER_hh_fec!P26/SER_hh_num!P26)</f>
        <v>34057.734268014465</v>
      </c>
      <c r="Q26" s="65">
        <f>IF(SER_hh_fec!Q26=0,0,11630*1000*SER_hh_fec!Q26/SER_hh_num!Q26)</f>
        <v>33082.278185832743</v>
      </c>
      <c r="R26" s="65">
        <f>IF(SER_hh_fec!R26=0,0,11630*1000*SER_hh_fec!R26/SER_hh_num!R26)</f>
        <v>33530.18482433803</v>
      </c>
      <c r="S26" s="65">
        <f>IF(SER_hh_fec!S26=0,0,11630*1000*SER_hh_fec!S26/SER_hh_num!S26)</f>
        <v>32353.17732981882</v>
      </c>
      <c r="T26" s="65">
        <f>IF(SER_hh_fec!T26=0,0,11630*1000*SER_hh_fec!T26/SER_hh_num!T26)</f>
        <v>32818.184490672684</v>
      </c>
      <c r="U26" s="65">
        <f>IF(SER_hh_fec!U26=0,0,11630*1000*SER_hh_fec!U26/SER_hh_num!U26)</f>
        <v>31047.18831233351</v>
      </c>
      <c r="V26" s="65">
        <f>IF(SER_hh_fec!V26=0,0,11630*1000*SER_hh_fec!V26/SER_hh_num!V26)</f>
        <v>26762.238542966803</v>
      </c>
      <c r="W26" s="65">
        <f>IF(SER_hh_fec!W26=0,0,11630*1000*SER_hh_fec!W26/SER_hh_num!W26)</f>
        <v>28618.278305388201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40273.119278857972</v>
      </c>
      <c r="C29" s="131">
        <f>IF(SER_hh_fec!C29=0,0,11630*1000*SER_hh_fec!C29/SER_hh_num!C29)</f>
        <v>41148.506298666027</v>
      </c>
      <c r="D29" s="131">
        <f>IF(SER_hh_fec!D29=0,0,11630*1000*SER_hh_fec!D29/SER_hh_num!D29)</f>
        <v>38942.50296632979</v>
      </c>
      <c r="E29" s="131">
        <f>IF(SER_hh_fec!E29=0,0,11630*1000*SER_hh_fec!E29/SER_hh_num!E29)</f>
        <v>38078.608637995043</v>
      </c>
      <c r="F29" s="131">
        <f>IF(SER_hh_fec!F29=0,0,11630*1000*SER_hh_fec!F29/SER_hh_num!F29)</f>
        <v>37847.248373127397</v>
      </c>
      <c r="G29" s="131">
        <f>IF(SER_hh_fec!G29=0,0,11630*1000*SER_hh_fec!G29/SER_hh_num!G29)</f>
        <v>37829.530111418499</v>
      </c>
      <c r="H29" s="131">
        <f>IF(SER_hh_fec!H29=0,0,11630*1000*SER_hh_fec!H29/SER_hh_num!H29)</f>
        <v>37175.044097226797</v>
      </c>
      <c r="I29" s="131">
        <f>IF(SER_hh_fec!I29=0,0,11630*1000*SER_hh_fec!I29/SER_hh_num!I29)</f>
        <v>35568.506205823687</v>
      </c>
      <c r="J29" s="131">
        <f>IF(SER_hh_fec!J29=0,0,11630*1000*SER_hh_fec!J29/SER_hh_num!J29)</f>
        <v>35638.156319091904</v>
      </c>
      <c r="K29" s="131">
        <f>IF(SER_hh_fec!K29=0,0,11630*1000*SER_hh_fec!K29/SER_hh_num!K29)</f>
        <v>36139.081273144591</v>
      </c>
      <c r="L29" s="131">
        <f>IF(SER_hh_fec!L29=0,0,11630*1000*SER_hh_fec!L29/SER_hh_num!L29)</f>
        <v>35617.360182344084</v>
      </c>
      <c r="M29" s="131">
        <f>IF(SER_hh_fec!M29=0,0,11630*1000*SER_hh_fec!M29/SER_hh_num!M29)</f>
        <v>34907.709159609592</v>
      </c>
      <c r="N29" s="131">
        <f>IF(SER_hh_fec!N29=0,0,11630*1000*SER_hh_fec!N29/SER_hh_num!N29)</f>
        <v>34900.176986616403</v>
      </c>
      <c r="O29" s="131">
        <f>IF(SER_hh_fec!O29=0,0,11630*1000*SER_hh_fec!O29/SER_hh_num!O29)</f>
        <v>34552.489596565312</v>
      </c>
      <c r="P29" s="131">
        <f>IF(SER_hh_fec!P29=0,0,11630*1000*SER_hh_fec!P29/SER_hh_num!P29)</f>
        <v>34101.136248669602</v>
      </c>
      <c r="Q29" s="131">
        <f>IF(SER_hh_fec!Q29=0,0,11630*1000*SER_hh_fec!Q29/SER_hh_num!Q29)</f>
        <v>33418.987652766133</v>
      </c>
      <c r="R29" s="131">
        <f>IF(SER_hh_fec!R29=0,0,11630*1000*SER_hh_fec!R29/SER_hh_num!R29)</f>
        <v>33517.227405131584</v>
      </c>
      <c r="S29" s="131">
        <f>IF(SER_hh_fec!S29=0,0,11630*1000*SER_hh_fec!S29/SER_hh_num!S29)</f>
        <v>33459.733272374157</v>
      </c>
      <c r="T29" s="131">
        <f>IF(SER_hh_fec!T29=0,0,11630*1000*SER_hh_fec!T29/SER_hh_num!T29)</f>
        <v>33123.745387750634</v>
      </c>
      <c r="U29" s="131">
        <f>IF(SER_hh_fec!U29=0,0,11630*1000*SER_hh_fec!U29/SER_hh_num!U29)</f>
        <v>32420.807652456431</v>
      </c>
      <c r="V29" s="131">
        <f>IF(SER_hh_fec!V29=0,0,11630*1000*SER_hh_fec!V29/SER_hh_num!V29)</f>
        <v>30266.904358516887</v>
      </c>
      <c r="W29" s="131">
        <f>IF(SER_hh_fec!W29=0,0,11630*1000*SER_hh_fec!W29/SER_hh_num!W29)</f>
        <v>31240.324710293429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75934.815764816522</v>
      </c>
      <c r="D30" s="133">
        <f>IF(SER_hh_fec!D30=0,0,11630*1000*SER_hh_fec!D30/SER_hh_num!D30)</f>
        <v>23622.636798296626</v>
      </c>
      <c r="E30" s="133">
        <f>IF(SER_hh_fec!E30=0,0,11630*1000*SER_hh_fec!E30/SER_hh_num!E30)</f>
        <v>60844.878318344301</v>
      </c>
      <c r="F30" s="133">
        <f>IF(SER_hh_fec!F30=0,0,11630*1000*SER_hh_fec!F30/SER_hh_num!F30)</f>
        <v>43749.83669153833</v>
      </c>
      <c r="G30" s="133">
        <f>IF(SER_hh_fec!G30=0,0,11630*1000*SER_hh_fec!G30/SER_hh_num!G30)</f>
        <v>42066.651489803015</v>
      </c>
      <c r="H30" s="133">
        <f>IF(SER_hh_fec!H30=0,0,11630*1000*SER_hh_fec!H30/SER_hh_num!H30)</f>
        <v>44442.008145912041</v>
      </c>
      <c r="I30" s="133">
        <f>IF(SER_hh_fec!I30=0,0,11630*1000*SER_hh_fec!I30/SER_hh_num!I30)</f>
        <v>46912.91906286533</v>
      </c>
      <c r="J30" s="133">
        <f>IF(SER_hh_fec!J30=0,0,11630*1000*SER_hh_fec!J30/SER_hh_num!J30)</f>
        <v>36481.823678497109</v>
      </c>
      <c r="K30" s="133">
        <f>IF(SER_hh_fec!K30=0,0,11630*1000*SER_hh_fec!K30/SER_hh_num!K30)</f>
        <v>41898.864691665833</v>
      </c>
      <c r="L30" s="133">
        <f>IF(SER_hh_fec!L30=0,0,11630*1000*SER_hh_fec!L30/SER_hh_num!L30)</f>
        <v>46487.578333840793</v>
      </c>
      <c r="M30" s="133">
        <f>IF(SER_hh_fec!M30=0,0,11630*1000*SER_hh_fec!M30/SER_hh_num!M30)</f>
        <v>26066.85256814423</v>
      </c>
      <c r="N30" s="133">
        <f>IF(SER_hh_fec!N30=0,0,11630*1000*SER_hh_fec!N30/SER_hh_num!N30)</f>
        <v>43733.918600304547</v>
      </c>
      <c r="O30" s="133">
        <f>IF(SER_hh_fec!O30=0,0,11630*1000*SER_hh_fec!O30/SER_hh_num!O30)</f>
        <v>37504.687495812519</v>
      </c>
      <c r="P30" s="133">
        <f>IF(SER_hh_fec!P30=0,0,11630*1000*SER_hh_fec!P30/SER_hh_num!P30)</f>
        <v>42152.867376576556</v>
      </c>
      <c r="Q30" s="133">
        <f>IF(SER_hh_fec!Q30=0,0,11630*1000*SER_hh_fec!Q30/SER_hh_num!Q30)</f>
        <v>32300.671502111767</v>
      </c>
      <c r="R30" s="133">
        <f>IF(SER_hh_fec!R30=0,0,11630*1000*SER_hh_fec!R30/SER_hh_num!R30)</f>
        <v>39954.239515500733</v>
      </c>
      <c r="S30" s="133">
        <f>IF(SER_hh_fec!S30=0,0,11630*1000*SER_hh_fec!S30/SER_hh_num!S30)</f>
        <v>48359.906273240857</v>
      </c>
      <c r="T30" s="133">
        <f>IF(SER_hh_fec!T30=0,0,11630*1000*SER_hh_fec!T30/SER_hh_num!T30)</f>
        <v>40813.003875174407</v>
      </c>
      <c r="U30" s="133">
        <f>IF(SER_hh_fec!U30=0,0,11630*1000*SER_hh_fec!U30/SER_hh_num!U30)</f>
        <v>34196.202902147706</v>
      </c>
      <c r="V30" s="133">
        <f>IF(SER_hh_fec!V30=0,0,11630*1000*SER_hh_fec!V30/SER_hh_num!V30)</f>
        <v>36319.13668178604</v>
      </c>
      <c r="W30" s="133">
        <f>IF(SER_hh_fec!W30=0,0,11630*1000*SER_hh_fec!W30/SER_hh_num!W30)</f>
        <v>39277.722927794101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40931.247157405363</v>
      </c>
      <c r="C31" s="133">
        <f>IF(SER_hh_fec!C31=0,0,11630*1000*SER_hh_fec!C31/SER_hh_num!C31)</f>
        <v>51664.153722211217</v>
      </c>
      <c r="D31" s="133">
        <f>IF(SER_hh_fec!D31=0,0,11630*1000*SER_hh_fec!D31/SER_hh_num!D31)</f>
        <v>51900.22890939303</v>
      </c>
      <c r="E31" s="133">
        <f>IF(SER_hh_fec!E31=0,0,11630*1000*SER_hh_fec!E31/SER_hh_num!E31)</f>
        <v>45631.781104341026</v>
      </c>
      <c r="F31" s="133">
        <f>IF(SER_hh_fec!F31=0,0,11630*1000*SER_hh_fec!F31/SER_hh_num!F31)</f>
        <v>46673.774982226591</v>
      </c>
      <c r="G31" s="133">
        <f>IF(SER_hh_fec!G31=0,0,11630*1000*SER_hh_fec!G31/SER_hh_num!G31)</f>
        <v>45408.830084518595</v>
      </c>
      <c r="H31" s="133">
        <f>IF(SER_hh_fec!H31=0,0,11630*1000*SER_hh_fec!H31/SER_hh_num!H31)</f>
        <v>43657.028509449752</v>
      </c>
      <c r="I31" s="133">
        <f>IF(SER_hh_fec!I31=0,0,11630*1000*SER_hh_fec!I31/SER_hh_num!I31)</f>
        <v>43148.836266714578</v>
      </c>
      <c r="J31" s="133">
        <f>IF(SER_hh_fec!J31=0,0,11630*1000*SER_hh_fec!J31/SER_hh_num!J31)</f>
        <v>44172.901332477762</v>
      </c>
      <c r="K31" s="133">
        <f>IF(SER_hh_fec!K31=0,0,11630*1000*SER_hh_fec!K31/SER_hh_num!K31)</f>
        <v>45163.39718206082</v>
      </c>
      <c r="L31" s="133">
        <f>IF(SER_hh_fec!L31=0,0,11630*1000*SER_hh_fec!L31/SER_hh_num!L31)</f>
        <v>44490.36638715789</v>
      </c>
      <c r="M31" s="133">
        <f>IF(SER_hh_fec!M31=0,0,11630*1000*SER_hh_fec!M31/SER_hh_num!M31)</f>
        <v>45258.739677217505</v>
      </c>
      <c r="N31" s="133">
        <f>IF(SER_hh_fec!N31=0,0,11630*1000*SER_hh_fec!N31/SER_hh_num!N31)</f>
        <v>40934.184169800792</v>
      </c>
      <c r="O31" s="133">
        <f>IF(SER_hh_fec!O31=0,0,11630*1000*SER_hh_fec!O31/SER_hh_num!O31)</f>
        <v>39854.560472725148</v>
      </c>
      <c r="P31" s="133">
        <f>IF(SER_hh_fec!P31=0,0,11630*1000*SER_hh_fec!P31/SER_hh_num!P31)</f>
        <v>41570.899841668834</v>
      </c>
      <c r="Q31" s="133">
        <f>IF(SER_hh_fec!Q31=0,0,11630*1000*SER_hh_fec!Q31/SER_hh_num!Q31)</f>
        <v>38642.597943491623</v>
      </c>
      <c r="R31" s="133">
        <f>IF(SER_hh_fec!R31=0,0,11630*1000*SER_hh_fec!R31/SER_hh_num!R31)</f>
        <v>40793.882978557289</v>
      </c>
      <c r="S31" s="133">
        <f>IF(SER_hh_fec!S31=0,0,11630*1000*SER_hh_fec!S31/SER_hh_num!S31)</f>
        <v>40511.633666969778</v>
      </c>
      <c r="T31" s="133">
        <f>IF(SER_hh_fec!T31=0,0,11630*1000*SER_hh_fec!T31/SER_hh_num!T31)</f>
        <v>39624.20685825168</v>
      </c>
      <c r="U31" s="133">
        <f>IF(SER_hh_fec!U31=0,0,11630*1000*SER_hh_fec!U31/SER_hh_num!U31)</f>
        <v>39033.014746068526</v>
      </c>
      <c r="V31" s="133">
        <f>IF(SER_hh_fec!V31=0,0,11630*1000*SER_hh_fec!V31/SER_hh_num!V31)</f>
        <v>37593.734099629946</v>
      </c>
      <c r="W31" s="133">
        <f>IF(SER_hh_fec!W31=0,0,11630*1000*SER_hh_fec!W31/SER_hh_num!W31)</f>
        <v>37187.962411831097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40177.365659835923</v>
      </c>
      <c r="C33" s="68">
        <f>IF(SER_hh_fec!C33=0,0,11630*1000*SER_hh_fec!C33/SER_hh_num!C33)</f>
        <v>37915.644866414754</v>
      </c>
      <c r="D33" s="68">
        <f>IF(SER_hh_fec!D33=0,0,11630*1000*SER_hh_fec!D33/SER_hh_num!D33)</f>
        <v>36374.320710213418</v>
      </c>
      <c r="E33" s="68">
        <f>IF(SER_hh_fec!E33=0,0,11630*1000*SER_hh_fec!E33/SER_hh_num!E33)</f>
        <v>34120.953010549252</v>
      </c>
      <c r="F33" s="68">
        <f>IF(SER_hh_fec!F33=0,0,11630*1000*SER_hh_fec!F33/SER_hh_num!F33)</f>
        <v>34761.739370508192</v>
      </c>
      <c r="G33" s="68">
        <f>IF(SER_hh_fec!G33=0,0,11630*1000*SER_hh_fec!G33/SER_hh_num!G33)</f>
        <v>35224.433887152467</v>
      </c>
      <c r="H33" s="68">
        <f>IF(SER_hh_fec!H33=0,0,11630*1000*SER_hh_fec!H33/SER_hh_num!H33)</f>
        <v>34745.99882420247</v>
      </c>
      <c r="I33" s="68">
        <f>IF(SER_hh_fec!I33=0,0,11630*1000*SER_hh_fec!I33/SER_hh_num!I33)</f>
        <v>32586.066253927049</v>
      </c>
      <c r="J33" s="68">
        <f>IF(SER_hh_fec!J33=0,0,11630*1000*SER_hh_fec!J33/SER_hh_num!J33)</f>
        <v>32928.057361449646</v>
      </c>
      <c r="K33" s="68">
        <f>IF(SER_hh_fec!K33=0,0,11630*1000*SER_hh_fec!K33/SER_hh_num!K33)</f>
        <v>32950.532404410187</v>
      </c>
      <c r="L33" s="68">
        <f>IF(SER_hh_fec!L33=0,0,11630*1000*SER_hh_fec!L33/SER_hh_num!L33)</f>
        <v>32367.484540945803</v>
      </c>
      <c r="M33" s="68">
        <f>IF(SER_hh_fec!M33=0,0,11630*1000*SER_hh_fec!M33/SER_hh_num!M33)</f>
        <v>32276.17830485533</v>
      </c>
      <c r="N33" s="68">
        <f>IF(SER_hh_fec!N33=0,0,11630*1000*SER_hh_fec!N33/SER_hh_num!N33)</f>
        <v>33067.07085297849</v>
      </c>
      <c r="O33" s="68">
        <f>IF(SER_hh_fec!O33=0,0,11630*1000*SER_hh_fec!O33/SER_hh_num!O33)</f>
        <v>33269.887162540181</v>
      </c>
      <c r="P33" s="68">
        <f>IF(SER_hh_fec!P33=0,0,11630*1000*SER_hh_fec!P33/SER_hh_num!P33)</f>
        <v>32035.609009138469</v>
      </c>
      <c r="Q33" s="68">
        <f>IF(SER_hh_fec!Q33=0,0,11630*1000*SER_hh_fec!Q33/SER_hh_num!Q33)</f>
        <v>32337.271633686276</v>
      </c>
      <c r="R33" s="68">
        <f>IF(SER_hh_fec!R33=0,0,11630*1000*SER_hh_fec!R33/SER_hh_num!R33)</f>
        <v>30881.897083001662</v>
      </c>
      <c r="S33" s="68">
        <f>IF(SER_hh_fec!S33=0,0,11630*1000*SER_hh_fec!S33/SER_hh_num!S33)</f>
        <v>29207.778890750957</v>
      </c>
      <c r="T33" s="68">
        <f>IF(SER_hh_fec!T33=0,0,11630*1000*SER_hh_fec!T33/SER_hh_num!T33)</f>
        <v>29714.617966577509</v>
      </c>
      <c r="U33" s="68">
        <f>IF(SER_hh_fec!U33=0,0,11630*1000*SER_hh_fec!U33/SER_hh_num!U33)</f>
        <v>29572.2014468874</v>
      </c>
      <c r="V33" s="68">
        <f>IF(SER_hh_fec!V33=0,0,11630*1000*SER_hh_fec!V33/SER_hh_num!V33)</f>
        <v>26269.346078851817</v>
      </c>
      <c r="W33" s="68">
        <f>IF(SER_hh_fec!W33=0,0,11630*1000*SER_hh_fec!W33/SER_hh_num!W33)</f>
        <v>27586.897309516236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231686.41836474885</v>
      </c>
      <c r="C3" s="126">
        <f>IF(SER_hh_tes!C3=0,0,11630*1000*SER_hh_tes!C3/SER_hh_num!C3)</f>
        <v>237221.41461680713</v>
      </c>
      <c r="D3" s="126">
        <f>IF(SER_hh_tes!D3=0,0,11630*1000*SER_hh_tes!D3/SER_hh_num!D3)</f>
        <v>241722.01619120865</v>
      </c>
      <c r="E3" s="126">
        <f>IF(SER_hh_tes!E3=0,0,11630*1000*SER_hh_tes!E3/SER_hh_num!E3)</f>
        <v>244253.68005244381</v>
      </c>
      <c r="F3" s="126">
        <f>IF(SER_hh_tes!F3=0,0,11630*1000*SER_hh_tes!F3/SER_hh_num!F3)</f>
        <v>242374.7422388446</v>
      </c>
      <c r="G3" s="126">
        <f>IF(SER_hh_tes!G3=0,0,11630*1000*SER_hh_tes!G3/SER_hh_num!G3)</f>
        <v>232193.94585737112</v>
      </c>
      <c r="H3" s="126">
        <f>IF(SER_hh_tes!H3=0,0,11630*1000*SER_hh_tes!H3/SER_hh_num!H3)</f>
        <v>234647.62872221347</v>
      </c>
      <c r="I3" s="126">
        <f>IF(SER_hh_tes!I3=0,0,11630*1000*SER_hh_tes!I3/SER_hh_num!I3)</f>
        <v>237665.9415919664</v>
      </c>
      <c r="J3" s="126">
        <f>IF(SER_hh_tes!J3=0,0,11630*1000*SER_hh_tes!J3/SER_hh_num!J3)</f>
        <v>204912.16010456416</v>
      </c>
      <c r="K3" s="126">
        <f>IF(SER_hh_tes!K3=0,0,11630*1000*SER_hh_tes!K3/SER_hh_num!K3)</f>
        <v>188968.37408882545</v>
      </c>
      <c r="L3" s="126">
        <f>IF(SER_hh_tes!L3=0,0,11630*1000*SER_hh_tes!L3/SER_hh_num!L3)</f>
        <v>201515.22878798831</v>
      </c>
      <c r="M3" s="126">
        <f>IF(SER_hh_tes!M3=0,0,11630*1000*SER_hh_tes!M3/SER_hh_num!M3)</f>
        <v>181976.00316570469</v>
      </c>
      <c r="N3" s="126">
        <f>IF(SER_hh_tes!N3=0,0,11630*1000*SER_hh_tes!N3/SER_hh_num!N3)</f>
        <v>211366.743243365</v>
      </c>
      <c r="O3" s="126">
        <f>IF(SER_hh_tes!O3=0,0,11630*1000*SER_hh_tes!O3/SER_hh_num!O3)</f>
        <v>200393.26159887126</v>
      </c>
      <c r="P3" s="126">
        <f>IF(SER_hh_tes!P3=0,0,11630*1000*SER_hh_tes!P3/SER_hh_num!P3)</f>
        <v>200696.99486663091</v>
      </c>
      <c r="Q3" s="126">
        <f>IF(SER_hh_tes!Q3=0,0,11630*1000*SER_hh_tes!Q3/SER_hh_num!Q3)</f>
        <v>188025.79343912206</v>
      </c>
      <c r="R3" s="126">
        <f>IF(SER_hh_tes!R3=0,0,11630*1000*SER_hh_tes!R3/SER_hh_num!R3)</f>
        <v>193781.95662047082</v>
      </c>
      <c r="S3" s="126">
        <f>IF(SER_hh_tes!S3=0,0,11630*1000*SER_hh_tes!S3/SER_hh_num!S3)</f>
        <v>197779.56016387421</v>
      </c>
      <c r="T3" s="126">
        <f>IF(SER_hh_tes!T3=0,0,11630*1000*SER_hh_tes!T3/SER_hh_num!T3)</f>
        <v>193246.75315576437</v>
      </c>
      <c r="U3" s="126">
        <f>IF(SER_hh_tes!U3=0,0,11630*1000*SER_hh_tes!U3/SER_hh_num!U3)</f>
        <v>185091.20846662813</v>
      </c>
      <c r="V3" s="126">
        <f>IF(SER_hh_tes!V3=0,0,11630*1000*SER_hh_tes!V3/SER_hh_num!V3)</f>
        <v>180917.83864634062</v>
      </c>
      <c r="W3" s="126">
        <f>IF(SER_hh_tes!W3=0,0,11630*1000*SER_hh_tes!W3/SER_hh_num!W3)</f>
        <v>204256.24885446613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178754.96994507531</v>
      </c>
      <c r="C4" s="131">
        <f>IF(SER_hh_tes!C4=0,0,11630*1000*SER_hh_tes!C4/SER_hh_num!C4)</f>
        <v>183971.96084015159</v>
      </c>
      <c r="D4" s="131">
        <f>IF(SER_hh_tes!D4=0,0,11630*1000*SER_hh_tes!D4/SER_hh_num!D4)</f>
        <v>190818.5721208512</v>
      </c>
      <c r="E4" s="131">
        <f>IF(SER_hh_tes!E4=0,0,11630*1000*SER_hh_tes!E4/SER_hh_num!E4)</f>
        <v>194345.17765485271</v>
      </c>
      <c r="F4" s="131">
        <f>IF(SER_hh_tes!F4=0,0,11630*1000*SER_hh_tes!F4/SER_hh_num!F4)</f>
        <v>192289.44258194361</v>
      </c>
      <c r="G4" s="131">
        <f>IF(SER_hh_tes!G4=0,0,11630*1000*SER_hh_tes!G4/SER_hh_num!G4)</f>
        <v>182237.57366090818</v>
      </c>
      <c r="H4" s="131">
        <f>IF(SER_hh_tes!H4=0,0,11630*1000*SER_hh_tes!H4/SER_hh_num!H4)</f>
        <v>184752.50562406666</v>
      </c>
      <c r="I4" s="131">
        <f>IF(SER_hh_tes!I4=0,0,11630*1000*SER_hh_tes!I4/SER_hh_num!I4)</f>
        <v>188952.57570371131</v>
      </c>
      <c r="J4" s="131">
        <f>IF(SER_hh_tes!J4=0,0,11630*1000*SER_hh_tes!J4/SER_hh_num!J4)</f>
        <v>156316.61761682361</v>
      </c>
      <c r="K4" s="131">
        <f>IF(SER_hh_tes!K4=0,0,11630*1000*SER_hh_tes!K4/SER_hh_num!K4)</f>
        <v>139174.97758058336</v>
      </c>
      <c r="L4" s="131">
        <f>IF(SER_hh_tes!L4=0,0,11630*1000*SER_hh_tes!L4/SER_hh_num!L4)</f>
        <v>151607.14853600299</v>
      </c>
      <c r="M4" s="131">
        <f>IF(SER_hh_tes!M4=0,0,11630*1000*SER_hh_tes!M4/SER_hh_num!M4)</f>
        <v>132194.55099222111</v>
      </c>
      <c r="N4" s="131">
        <f>IF(SER_hh_tes!N4=0,0,11630*1000*SER_hh_tes!N4/SER_hh_num!N4)</f>
        <v>161386.99010743122</v>
      </c>
      <c r="O4" s="131">
        <f>IF(SER_hh_tes!O4=0,0,11630*1000*SER_hh_tes!O4/SER_hh_num!O4)</f>
        <v>149922.47521718175</v>
      </c>
      <c r="P4" s="131">
        <f>IF(SER_hh_tes!P4=0,0,11630*1000*SER_hh_tes!P4/SER_hh_num!P4)</f>
        <v>150783.55594073609</v>
      </c>
      <c r="Q4" s="131">
        <f>IF(SER_hh_tes!Q4=0,0,11630*1000*SER_hh_tes!Q4/SER_hh_num!Q4)</f>
        <v>138304.84930015935</v>
      </c>
      <c r="R4" s="131">
        <f>IF(SER_hh_tes!R4=0,0,11630*1000*SER_hh_tes!R4/SER_hh_num!R4)</f>
        <v>143938.41676901243</v>
      </c>
      <c r="S4" s="131">
        <f>IF(SER_hh_tes!S4=0,0,11630*1000*SER_hh_tes!S4/SER_hh_num!S4)</f>
        <v>147867.51287236306</v>
      </c>
      <c r="T4" s="131">
        <f>IF(SER_hh_tes!T4=0,0,11630*1000*SER_hh_tes!T4/SER_hh_num!T4)</f>
        <v>143617.79254302618</v>
      </c>
      <c r="U4" s="131">
        <f>IF(SER_hh_tes!U4=0,0,11630*1000*SER_hh_tes!U4/SER_hh_num!U4)</f>
        <v>136360.63565899056</v>
      </c>
      <c r="V4" s="131">
        <f>IF(SER_hh_tes!V4=0,0,11630*1000*SER_hh_tes!V4/SER_hh_num!V4)</f>
        <v>135508.85586199089</v>
      </c>
      <c r="W4" s="131">
        <f>IF(SER_hh_tes!W4=0,0,11630*1000*SER_hh_tes!W4/SER_hh_num!W4)</f>
        <v>155804.91851807444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178995.71419643075</v>
      </c>
      <c r="C5" s="133">
        <f>IF(SER_hh_tes!C5=0,0,11630*1000*SER_hh_tes!C5/SER_hh_num!C5)</f>
        <v>185278.15242297715</v>
      </c>
      <c r="D5" s="133">
        <f>IF(SER_hh_tes!D5=0,0,11630*1000*SER_hh_tes!D5/SER_hh_num!D5)</f>
        <v>187629.11331078433</v>
      </c>
      <c r="E5" s="133">
        <f>IF(SER_hh_tes!E5=0,0,11630*1000*SER_hh_tes!E5/SER_hh_num!E5)</f>
        <v>188457.59470231261</v>
      </c>
      <c r="F5" s="133">
        <f>IF(SER_hh_tes!F5=0,0,11630*1000*SER_hh_tes!F5/SER_hh_num!F5)</f>
        <v>194865.01453475171</v>
      </c>
      <c r="G5" s="133">
        <f>IF(SER_hh_tes!G5=0,0,11630*1000*SER_hh_tes!G5/SER_hh_num!G5)</f>
        <v>170130.34695533221</v>
      </c>
      <c r="H5" s="133">
        <f>IF(SER_hh_tes!H5=0,0,11630*1000*SER_hh_tes!H5/SER_hh_num!H5)</f>
        <v>181395.94672256132</v>
      </c>
      <c r="I5" s="133">
        <f>IF(SER_hh_tes!I5=0,0,11630*1000*SER_hh_tes!I5/SER_hh_num!I5)</f>
        <v>185112.53197193032</v>
      </c>
      <c r="J5" s="133">
        <f>IF(SER_hh_tes!J5=0,0,11630*1000*SER_hh_tes!J5/SER_hh_num!J5)</f>
        <v>159905.49645762349</v>
      </c>
      <c r="K5" s="133">
        <f>IF(SER_hh_tes!K5=0,0,11630*1000*SER_hh_tes!K5/SER_hh_num!K5)</f>
        <v>121328.55513980065</v>
      </c>
      <c r="L5" s="133">
        <f>IF(SER_hh_tes!L5=0,0,11630*1000*SER_hh_tes!L5/SER_hh_num!L5)</f>
        <v>168429.50138242077</v>
      </c>
      <c r="M5" s="133">
        <f>IF(SER_hh_tes!M5=0,0,11630*1000*SER_hh_tes!M5/SER_hh_num!M5)</f>
        <v>161786.71462391887</v>
      </c>
      <c r="N5" s="133">
        <f>IF(SER_hh_tes!N5=0,0,11630*1000*SER_hh_tes!N5/SER_hh_num!N5)</f>
        <v>115549.91895255184</v>
      </c>
      <c r="O5" s="133">
        <f>IF(SER_hh_tes!O5=0,0,11630*1000*SER_hh_tes!O5/SER_hh_num!O5)</f>
        <v>153668.68945531533</v>
      </c>
      <c r="P5" s="133">
        <f>IF(SER_hh_tes!P5=0,0,11630*1000*SER_hh_tes!P5/SER_hh_num!P5)</f>
        <v>147807.11922913083</v>
      </c>
      <c r="Q5" s="133">
        <f>IF(SER_hh_tes!Q5=0,0,11630*1000*SER_hh_tes!Q5/SER_hh_num!Q5)</f>
        <v>132255.26054792688</v>
      </c>
      <c r="R5" s="133">
        <f>IF(SER_hh_tes!R5=0,0,11630*1000*SER_hh_tes!R5/SER_hh_num!R5)</f>
        <v>148656.19432328636</v>
      </c>
      <c r="S5" s="133">
        <f>IF(SER_hh_tes!S5=0,0,11630*1000*SER_hh_tes!S5/SER_hh_num!S5)</f>
        <v>127801.48309725216</v>
      </c>
      <c r="T5" s="133">
        <f>IF(SER_hh_tes!T5=0,0,11630*1000*SER_hh_tes!T5/SER_hh_num!T5)</f>
        <v>148370.96617602641</v>
      </c>
      <c r="U5" s="133">
        <f>IF(SER_hh_tes!U5=0,0,11630*1000*SER_hh_tes!U5/SER_hh_num!U5)</f>
        <v>139079.52142924341</v>
      </c>
      <c r="V5" s="133">
        <f>IF(SER_hh_tes!V5=0,0,11630*1000*SER_hh_tes!V5/SER_hh_num!V5)</f>
        <v>110901.60661827303</v>
      </c>
      <c r="W5" s="133">
        <f>IF(SER_hh_tes!W5=0,0,11630*1000*SER_hh_tes!W5/SER_hh_num!W5)</f>
        <v>160180.83828824118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168445.84134652413</v>
      </c>
      <c r="C7" s="133">
        <f>IF(SER_hh_tes!C7=0,0,11630*1000*SER_hh_tes!C7/SER_hh_num!C7)</f>
        <v>186420.28170054089</v>
      </c>
      <c r="D7" s="133">
        <f>IF(SER_hh_tes!D7=0,0,11630*1000*SER_hh_tes!D7/SER_hh_num!D7)</f>
        <v>180701.76831278321</v>
      </c>
      <c r="E7" s="133">
        <f>IF(SER_hh_tes!E7=0,0,11630*1000*SER_hh_tes!E7/SER_hh_num!E7)</f>
        <v>195305.9950698672</v>
      </c>
      <c r="F7" s="133">
        <f>IF(SER_hh_tes!F7=0,0,11630*1000*SER_hh_tes!F7/SER_hh_num!F7)</f>
        <v>198777.57236625042</v>
      </c>
      <c r="G7" s="133">
        <f>IF(SER_hh_tes!G7=0,0,11630*1000*SER_hh_tes!G7/SER_hh_num!G7)</f>
        <v>159619.55443880038</v>
      </c>
      <c r="H7" s="133">
        <f>IF(SER_hh_tes!H7=0,0,11630*1000*SER_hh_tes!H7/SER_hh_num!H7)</f>
        <v>207719.77147348458</v>
      </c>
      <c r="I7" s="133">
        <f>IF(SER_hh_tes!I7=0,0,11630*1000*SER_hh_tes!I7/SER_hh_num!I7)</f>
        <v>173226.67992794912</v>
      </c>
      <c r="J7" s="133">
        <f>IF(SER_hh_tes!J7=0,0,11630*1000*SER_hh_tes!J7/SER_hh_num!J7)</f>
        <v>148097.80891878234</v>
      </c>
      <c r="K7" s="133">
        <f>IF(SER_hh_tes!K7=0,0,11630*1000*SER_hh_tes!K7/SER_hh_num!K7)</f>
        <v>142669.80527750688</v>
      </c>
      <c r="L7" s="133">
        <f>IF(SER_hh_tes!L7=0,0,11630*1000*SER_hh_tes!L7/SER_hh_num!L7)</f>
        <v>143676.53086261085</v>
      </c>
      <c r="M7" s="133">
        <f>IF(SER_hh_tes!M7=0,0,11630*1000*SER_hh_tes!M7/SER_hh_num!M7)</f>
        <v>120237.20393634454</v>
      </c>
      <c r="N7" s="133">
        <f>IF(SER_hh_tes!N7=0,0,11630*1000*SER_hh_tes!N7/SER_hh_num!N7)</f>
        <v>156909.67229677472</v>
      </c>
      <c r="O7" s="133">
        <f>IF(SER_hh_tes!O7=0,0,11630*1000*SER_hh_tes!O7/SER_hh_num!O7)</f>
        <v>149949.66895730505</v>
      </c>
      <c r="P7" s="133">
        <f>IF(SER_hh_tes!P7=0,0,11630*1000*SER_hh_tes!P7/SER_hh_num!P7)</f>
        <v>154182.25750524108</v>
      </c>
      <c r="Q7" s="133">
        <f>IF(SER_hh_tes!Q7=0,0,11630*1000*SER_hh_tes!Q7/SER_hh_num!Q7)</f>
        <v>163098.96726461977</v>
      </c>
      <c r="R7" s="133">
        <f>IF(SER_hh_tes!R7=0,0,11630*1000*SER_hh_tes!R7/SER_hh_num!R7)</f>
        <v>117053.66252279292</v>
      </c>
      <c r="S7" s="133">
        <f>IF(SER_hh_tes!S7=0,0,11630*1000*SER_hh_tes!S7/SER_hh_num!S7)</f>
        <v>132895.77922040891</v>
      </c>
      <c r="T7" s="133">
        <f>IF(SER_hh_tes!T7=0,0,11630*1000*SER_hh_tes!T7/SER_hh_num!T7)</f>
        <v>152195.57895840995</v>
      </c>
      <c r="U7" s="133">
        <f>IF(SER_hh_tes!U7=0,0,11630*1000*SER_hh_tes!U7/SER_hh_num!U7)</f>
        <v>115966.45769251668</v>
      </c>
      <c r="V7" s="133">
        <f>IF(SER_hh_tes!V7=0,0,11630*1000*SER_hh_tes!V7/SER_hh_num!V7)</f>
        <v>128769.71762709525</v>
      </c>
      <c r="W7" s="133">
        <f>IF(SER_hh_tes!W7=0,0,11630*1000*SER_hh_tes!W7/SER_hh_num!W7)</f>
        <v>168371.24998922297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176946.45514620034</v>
      </c>
      <c r="C9" s="133">
        <f>IF(SER_hh_tes!C9=0,0,11630*1000*SER_hh_tes!C9/SER_hh_num!C9)</f>
        <v>156545.24221387651</v>
      </c>
      <c r="D9" s="133">
        <f>IF(SER_hh_tes!D9=0,0,11630*1000*SER_hh_tes!D9/SER_hh_num!D9)</f>
        <v>194050.30433724972</v>
      </c>
      <c r="E9" s="133">
        <f>IF(SER_hh_tes!E9=0,0,11630*1000*SER_hh_tes!E9/SER_hh_num!E9)</f>
        <v>184832.08671591323</v>
      </c>
      <c r="F9" s="133">
        <f>IF(SER_hh_tes!F9=0,0,11630*1000*SER_hh_tes!F9/SER_hh_num!F9)</f>
        <v>195557.62869073811</v>
      </c>
      <c r="G9" s="133">
        <f>IF(SER_hh_tes!G9=0,0,11630*1000*SER_hh_tes!G9/SER_hh_num!G9)</f>
        <v>179397.29279613236</v>
      </c>
      <c r="H9" s="133">
        <f>IF(SER_hh_tes!H9=0,0,11630*1000*SER_hh_tes!H9/SER_hh_num!H9)</f>
        <v>177232.99985076181</v>
      </c>
      <c r="I9" s="133">
        <f>IF(SER_hh_tes!I9=0,0,11630*1000*SER_hh_tes!I9/SER_hh_num!I9)</f>
        <v>180511.73816641449</v>
      </c>
      <c r="J9" s="133">
        <f>IF(SER_hh_tes!J9=0,0,11630*1000*SER_hh_tes!J9/SER_hh_num!J9)</f>
        <v>159951.67397264831</v>
      </c>
      <c r="K9" s="133">
        <f>IF(SER_hh_tes!K9=0,0,11630*1000*SER_hh_tes!K9/SER_hh_num!K9)</f>
        <v>142889.00832278212</v>
      </c>
      <c r="L9" s="133">
        <f>IF(SER_hh_tes!L9=0,0,11630*1000*SER_hh_tes!L9/SER_hh_num!L9)</f>
        <v>151366.67301005003</v>
      </c>
      <c r="M9" s="133">
        <f>IF(SER_hh_tes!M9=0,0,11630*1000*SER_hh_tes!M9/SER_hh_num!M9)</f>
        <v>140257.31671579869</v>
      </c>
      <c r="N9" s="133">
        <f>IF(SER_hh_tes!N9=0,0,11630*1000*SER_hh_tes!N9/SER_hh_num!N9)</f>
        <v>150309.31663814877</v>
      </c>
      <c r="O9" s="133">
        <f>IF(SER_hh_tes!O9=0,0,11630*1000*SER_hh_tes!O9/SER_hh_num!O9)</f>
        <v>134717.00406935671</v>
      </c>
      <c r="P9" s="133">
        <f>IF(SER_hh_tes!P9=0,0,11630*1000*SER_hh_tes!P9/SER_hh_num!P9)</f>
        <v>148637.75616384114</v>
      </c>
      <c r="Q9" s="133">
        <f>IF(SER_hh_tes!Q9=0,0,11630*1000*SER_hh_tes!Q9/SER_hh_num!Q9)</f>
        <v>134622.65445428737</v>
      </c>
      <c r="R9" s="133">
        <f>IF(SER_hh_tes!R9=0,0,11630*1000*SER_hh_tes!R9/SER_hh_num!R9)</f>
        <v>140425.73523195586</v>
      </c>
      <c r="S9" s="133">
        <f>IF(SER_hh_tes!S9=0,0,11630*1000*SER_hh_tes!S9/SER_hh_num!S9)</f>
        <v>143132.09763135525</v>
      </c>
      <c r="T9" s="133">
        <f>IF(SER_hh_tes!T9=0,0,11630*1000*SER_hh_tes!T9/SER_hh_num!T9)</f>
        <v>140467.41118066377</v>
      </c>
      <c r="U9" s="133">
        <f>IF(SER_hh_tes!U9=0,0,11630*1000*SER_hh_tes!U9/SER_hh_num!U9)</f>
        <v>139655.65074999549</v>
      </c>
      <c r="V9" s="133">
        <f>IF(SER_hh_tes!V9=0,0,11630*1000*SER_hh_tes!V9/SER_hh_num!V9)</f>
        <v>136164.60450061035</v>
      </c>
      <c r="W9" s="133">
        <f>IF(SER_hh_tes!W9=0,0,11630*1000*SER_hh_tes!W9/SER_hh_num!W9)</f>
        <v>145054.24249877696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167983.33841930289</v>
      </c>
      <c r="C10" s="133">
        <f>IF(SER_hh_tes!C10=0,0,11630*1000*SER_hh_tes!C10/SER_hh_num!C10)</f>
        <v>190355.42804147376</v>
      </c>
      <c r="D10" s="133">
        <f>IF(SER_hh_tes!D10=0,0,11630*1000*SER_hh_tes!D10/SER_hh_num!D10)</f>
        <v>184590.39186007116</v>
      </c>
      <c r="E10" s="133">
        <f>IF(SER_hh_tes!E10=0,0,11630*1000*SER_hh_tes!E10/SER_hh_num!E10)</f>
        <v>180829.53508400876</v>
      </c>
      <c r="F10" s="133">
        <f>IF(SER_hh_tes!F10=0,0,11630*1000*SER_hh_tes!F10/SER_hh_num!F10)</f>
        <v>196314.52643416246</v>
      </c>
      <c r="G10" s="133">
        <f>IF(SER_hh_tes!G10=0,0,11630*1000*SER_hh_tes!G10/SER_hh_num!G10)</f>
        <v>180052.20770498473</v>
      </c>
      <c r="H10" s="133">
        <f>IF(SER_hh_tes!H10=0,0,11630*1000*SER_hh_tes!H10/SER_hh_num!H10)</f>
        <v>184475.96287830916</v>
      </c>
      <c r="I10" s="133">
        <f>IF(SER_hh_tes!I10=0,0,11630*1000*SER_hh_tes!I10/SER_hh_num!I10)</f>
        <v>216152.73573923673</v>
      </c>
      <c r="J10" s="133">
        <f>IF(SER_hh_tes!J10=0,0,11630*1000*SER_hh_tes!J10/SER_hh_num!J10)</f>
        <v>134854.71311528928</v>
      </c>
      <c r="K10" s="133">
        <f>IF(SER_hh_tes!K10=0,0,11630*1000*SER_hh_tes!K10/SER_hh_num!K10)</f>
        <v>138289.24692943087</v>
      </c>
      <c r="L10" s="133">
        <f>IF(SER_hh_tes!L10=0,0,11630*1000*SER_hh_tes!L10/SER_hh_num!L10)</f>
        <v>149381.34631004173</v>
      </c>
      <c r="M10" s="133">
        <f>IF(SER_hh_tes!M10=0,0,11630*1000*SER_hh_tes!M10/SER_hh_num!M10)</f>
        <v>121516.07700872768</v>
      </c>
      <c r="N10" s="133">
        <f>IF(SER_hh_tes!N10=0,0,11630*1000*SER_hh_tes!N10/SER_hh_num!N10)</f>
        <v>164531.93925399423</v>
      </c>
      <c r="O10" s="133">
        <f>IF(SER_hh_tes!O10=0,0,11630*1000*SER_hh_tes!O10/SER_hh_num!O10)</f>
        <v>160264.22740162292</v>
      </c>
      <c r="P10" s="133">
        <f>IF(SER_hh_tes!P10=0,0,11630*1000*SER_hh_tes!P10/SER_hh_num!P10)</f>
        <v>144723.29789298613</v>
      </c>
      <c r="Q10" s="133">
        <f>IF(SER_hh_tes!Q10=0,0,11630*1000*SER_hh_tes!Q10/SER_hh_num!Q10)</f>
        <v>139500.51940509665</v>
      </c>
      <c r="R10" s="133">
        <f>IF(SER_hh_tes!R10=0,0,11630*1000*SER_hh_tes!R10/SER_hh_num!R10)</f>
        <v>140892.10646851372</v>
      </c>
      <c r="S10" s="133">
        <f>IF(SER_hh_tes!S10=0,0,11630*1000*SER_hh_tes!S10/SER_hh_num!S10)</f>
        <v>156403.06972634335</v>
      </c>
      <c r="T10" s="133">
        <f>IF(SER_hh_tes!T10=0,0,11630*1000*SER_hh_tes!T10/SER_hh_num!T10)</f>
        <v>143167.50821897562</v>
      </c>
      <c r="U10" s="133">
        <f>IF(SER_hh_tes!U10=0,0,11630*1000*SER_hh_tes!U10/SER_hh_num!U10)</f>
        <v>134778.44248862655</v>
      </c>
      <c r="V10" s="133">
        <f>IF(SER_hh_tes!V10=0,0,11630*1000*SER_hh_tes!V10/SER_hh_num!V10)</f>
        <v>129304.3249280304</v>
      </c>
      <c r="W10" s="133">
        <f>IF(SER_hh_tes!W10=0,0,11630*1000*SER_hh_tes!W10/SER_hh_num!W10)</f>
        <v>149969.14600625384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174994.304702878</v>
      </c>
      <c r="C12" s="133">
        <f>IF(SER_hh_tes!C12=0,0,11630*1000*SER_hh_tes!C12/SER_hh_num!C12)</f>
        <v>191442.70203004731</v>
      </c>
      <c r="D12" s="133">
        <f>IF(SER_hh_tes!D12=0,0,11630*1000*SER_hh_tes!D12/SER_hh_num!D12)</f>
        <v>187728.40912922221</v>
      </c>
      <c r="E12" s="133">
        <f>IF(SER_hh_tes!E12=0,0,11630*1000*SER_hh_tes!E12/SER_hh_num!E12)</f>
        <v>195736.1169607128</v>
      </c>
      <c r="F12" s="133">
        <f>IF(SER_hh_tes!F12=0,0,11630*1000*SER_hh_tes!F12/SER_hh_num!F12)</f>
        <v>184874.14551006729</v>
      </c>
      <c r="G12" s="133">
        <f>IF(SER_hh_tes!G12=0,0,11630*1000*SER_hh_tes!G12/SER_hh_num!G12)</f>
        <v>188363.05758369886</v>
      </c>
      <c r="H12" s="133">
        <f>IF(SER_hh_tes!H12=0,0,11630*1000*SER_hh_tes!H12/SER_hh_num!H12)</f>
        <v>184797.63490680556</v>
      </c>
      <c r="I12" s="133">
        <f>IF(SER_hh_tes!I12=0,0,11630*1000*SER_hh_tes!I12/SER_hh_num!I12)</f>
        <v>167821.34628451287</v>
      </c>
      <c r="J12" s="133">
        <f>IF(SER_hh_tes!J12=0,0,11630*1000*SER_hh_tes!J12/SER_hh_num!J12)</f>
        <v>151295.32265700592</v>
      </c>
      <c r="K12" s="133">
        <f>IF(SER_hh_tes!K12=0,0,11630*1000*SER_hh_tes!K12/SER_hh_num!K12)</f>
        <v>145216.83135472814</v>
      </c>
      <c r="L12" s="133">
        <f>IF(SER_hh_tes!L12=0,0,11630*1000*SER_hh_tes!L12/SER_hh_num!L12)</f>
        <v>154387.88911771742</v>
      </c>
      <c r="M12" s="133">
        <f>IF(SER_hh_tes!M12=0,0,11630*1000*SER_hh_tes!M12/SER_hh_num!M12)</f>
        <v>129599.63958161401</v>
      </c>
      <c r="N12" s="133">
        <f>IF(SER_hh_tes!N12=0,0,11630*1000*SER_hh_tes!N12/SER_hh_num!N12)</f>
        <v>159422.48286523638</v>
      </c>
      <c r="O12" s="133">
        <f>IF(SER_hh_tes!O12=0,0,11630*1000*SER_hh_tes!O12/SER_hh_num!O12)</f>
        <v>153217.61400931206</v>
      </c>
      <c r="P12" s="133">
        <f>IF(SER_hh_tes!P12=0,0,11630*1000*SER_hh_tes!P12/SER_hh_num!P12)</f>
        <v>143437.12811186674</v>
      </c>
      <c r="Q12" s="133">
        <f>IF(SER_hh_tes!Q12=0,0,11630*1000*SER_hh_tes!Q12/SER_hh_num!Q12)</f>
        <v>134464.84081429415</v>
      </c>
      <c r="R12" s="133">
        <f>IF(SER_hh_tes!R12=0,0,11630*1000*SER_hh_tes!R12/SER_hh_num!R12)</f>
        <v>151104.24852388509</v>
      </c>
      <c r="S12" s="133">
        <f>IF(SER_hh_tes!S12=0,0,11630*1000*SER_hh_tes!S12/SER_hh_num!S12)</f>
        <v>150752.10382164698</v>
      </c>
      <c r="T12" s="133">
        <f>IF(SER_hh_tes!T12=0,0,11630*1000*SER_hh_tes!T12/SER_hh_num!T12)</f>
        <v>138033.31306386244</v>
      </c>
      <c r="U12" s="133">
        <f>IF(SER_hh_tes!U12=0,0,11630*1000*SER_hh_tes!U12/SER_hh_num!U12)</f>
        <v>132675.45790908788</v>
      </c>
      <c r="V12" s="133">
        <f>IF(SER_hh_tes!V12=0,0,11630*1000*SER_hh_tes!V12/SER_hh_num!V12)</f>
        <v>136267.84440215208</v>
      </c>
      <c r="W12" s="133">
        <f>IF(SER_hh_tes!W12=0,0,11630*1000*SER_hh_tes!W12/SER_hh_num!W12)</f>
        <v>159428.81064313641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135400.52567534006</v>
      </c>
      <c r="C13" s="133">
        <f>IF(SER_hh_tes!C13=0,0,11630*1000*SER_hh_tes!C13/SER_hh_num!C13)</f>
        <v>63292.788591087476</v>
      </c>
      <c r="D13" s="133">
        <f>IF(SER_hh_tes!D13=0,0,11630*1000*SER_hh_tes!D13/SER_hh_num!D13)</f>
        <v>148697.4461285735</v>
      </c>
      <c r="E13" s="133">
        <f>IF(SER_hh_tes!E13=0,0,11630*1000*SER_hh_tes!E13/SER_hh_num!E13)</f>
        <v>137152.95031780182</v>
      </c>
      <c r="F13" s="133">
        <f>IF(SER_hh_tes!F13=0,0,11630*1000*SER_hh_tes!F13/SER_hh_num!F13)</f>
        <v>134538.86080173205</v>
      </c>
      <c r="G13" s="133">
        <f>IF(SER_hh_tes!G13=0,0,11630*1000*SER_hh_tes!G13/SER_hh_num!G13)</f>
        <v>132689.79943139307</v>
      </c>
      <c r="H13" s="133">
        <f>IF(SER_hh_tes!H13=0,0,11630*1000*SER_hh_tes!H13/SER_hh_num!H13)</f>
        <v>126777.06102813345</v>
      </c>
      <c r="I13" s="133">
        <f>IF(SER_hh_tes!I13=0,0,11630*1000*SER_hh_tes!I13/SER_hh_num!I13)</f>
        <v>116860.27718018024</v>
      </c>
      <c r="J13" s="133">
        <f>IF(SER_hh_tes!J13=0,0,11630*1000*SER_hh_tes!J13/SER_hh_num!J13)</f>
        <v>108557.33633320207</v>
      </c>
      <c r="K13" s="133">
        <f>IF(SER_hh_tes!K13=0,0,11630*1000*SER_hh_tes!K13/SER_hh_num!K13)</f>
        <v>102563.89570225084</v>
      </c>
      <c r="L13" s="133">
        <f>IF(SER_hh_tes!L13=0,0,11630*1000*SER_hh_tes!L13/SER_hh_num!L13)</f>
        <v>111872.53460523994</v>
      </c>
      <c r="M13" s="133">
        <f>IF(SER_hh_tes!M13=0,0,11630*1000*SER_hh_tes!M13/SER_hh_num!M13)</f>
        <v>124428.43931385539</v>
      </c>
      <c r="N13" s="133">
        <f>IF(SER_hh_tes!N13=0,0,11630*1000*SER_hh_tes!N13/SER_hh_num!N13)</f>
        <v>127663.14218453538</v>
      </c>
      <c r="O13" s="133">
        <f>IF(SER_hh_tes!O13=0,0,11630*1000*SER_hh_tes!O13/SER_hh_num!O13)</f>
        <v>145656.15675460422</v>
      </c>
      <c r="P13" s="133">
        <f>IF(SER_hh_tes!P13=0,0,11630*1000*SER_hh_tes!P13/SER_hh_num!P13)</f>
        <v>147478.53835213836</v>
      </c>
      <c r="Q13" s="133">
        <f>IF(SER_hh_tes!Q13=0,0,11630*1000*SER_hh_tes!Q13/SER_hh_num!Q13)</f>
        <v>147546.55260253968</v>
      </c>
      <c r="R13" s="133">
        <f>IF(SER_hh_tes!R13=0,0,11630*1000*SER_hh_tes!R13/SER_hh_num!R13)</f>
        <v>146987.87498298351</v>
      </c>
      <c r="S13" s="133">
        <f>IF(SER_hh_tes!S13=0,0,11630*1000*SER_hh_tes!S13/SER_hh_num!S13)</f>
        <v>152304.13718373052</v>
      </c>
      <c r="T13" s="133">
        <f>IF(SER_hh_tes!T13=0,0,11630*1000*SER_hh_tes!T13/SER_hh_num!T13)</f>
        <v>143852.57884910997</v>
      </c>
      <c r="U13" s="133">
        <f>IF(SER_hh_tes!U13=0,0,11630*1000*SER_hh_tes!U13/SER_hh_num!U13)</f>
        <v>143976.15985458926</v>
      </c>
      <c r="V13" s="133">
        <f>IF(SER_hh_tes!V13=0,0,11630*1000*SER_hh_tes!V13/SER_hh_num!V13)</f>
        <v>142601.11476296812</v>
      </c>
      <c r="W13" s="133">
        <f>IF(SER_hh_tes!W13=0,0,11630*1000*SER_hh_tes!W13/SER_hh_num!W13)</f>
        <v>100553.46851774001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230733.43697538754</v>
      </c>
      <c r="C14" s="65">
        <f>IF(SER_hh_tes!C14=0,0,11630*1000*SER_hh_tes!C14/SER_hh_num!C14)</f>
        <v>125903.84682910721</v>
      </c>
      <c r="D14" s="65">
        <f>IF(SER_hh_tes!D14=0,0,11630*1000*SER_hh_tes!D14/SER_hh_num!D14)</f>
        <v>207742.1298726385</v>
      </c>
      <c r="E14" s="65">
        <f>IF(SER_hh_tes!E14=0,0,11630*1000*SER_hh_tes!E14/SER_hh_num!E14)</f>
        <v>210170.28150149019</v>
      </c>
      <c r="F14" s="65">
        <f>IF(SER_hh_tes!F14=0,0,11630*1000*SER_hh_tes!F14/SER_hh_num!F14)</f>
        <v>187458.37556035066</v>
      </c>
      <c r="G14" s="65">
        <f>IF(SER_hh_tes!G14=0,0,11630*1000*SER_hh_tes!G14/SER_hh_num!G14)</f>
        <v>178129.03420316806</v>
      </c>
      <c r="H14" s="65">
        <f>IF(SER_hh_tes!H14=0,0,11630*1000*SER_hh_tes!H14/SER_hh_num!H14)</f>
        <v>171482.67417400316</v>
      </c>
      <c r="I14" s="65">
        <f>IF(SER_hh_tes!I14=0,0,11630*1000*SER_hh_tes!I14/SER_hh_num!I14)</f>
        <v>220882.73359756518</v>
      </c>
      <c r="J14" s="65">
        <f>IF(SER_hh_tes!J14=0,0,11630*1000*SER_hh_tes!J14/SER_hh_num!J14)</f>
        <v>184216.81078188133</v>
      </c>
      <c r="K14" s="65">
        <f>IF(SER_hh_tes!K14=0,0,11630*1000*SER_hh_tes!K14/SER_hh_num!K14)</f>
        <v>104696.88872429531</v>
      </c>
      <c r="L14" s="65">
        <f>IF(SER_hh_tes!L14=0,0,11630*1000*SER_hh_tes!L14/SER_hh_num!L14)</f>
        <v>130982.92641238162</v>
      </c>
      <c r="M14" s="65">
        <f>IF(SER_hh_tes!M14=0,0,11630*1000*SER_hh_tes!M14/SER_hh_num!M14)</f>
        <v>126873.92372670287</v>
      </c>
      <c r="N14" s="65">
        <f>IF(SER_hh_tes!N14=0,0,11630*1000*SER_hh_tes!N14/SER_hh_num!N14)</f>
        <v>184647.68702254532</v>
      </c>
      <c r="O14" s="65">
        <f>IF(SER_hh_tes!O14=0,0,11630*1000*SER_hh_tes!O14/SER_hh_num!O14)</f>
        <v>139605.68383767828</v>
      </c>
      <c r="P14" s="65">
        <f>IF(SER_hh_tes!P14=0,0,11630*1000*SER_hh_tes!P14/SER_hh_num!P14)</f>
        <v>170236.04144859515</v>
      </c>
      <c r="Q14" s="65">
        <f>IF(SER_hh_tes!Q14=0,0,11630*1000*SER_hh_tes!Q14/SER_hh_num!Q14)</f>
        <v>127747.07577040597</v>
      </c>
      <c r="R14" s="65">
        <f>IF(SER_hh_tes!R14=0,0,11630*1000*SER_hh_tes!R14/SER_hh_num!R14)</f>
        <v>139496.15882604494</v>
      </c>
      <c r="S14" s="65">
        <f>IF(SER_hh_tes!S14=0,0,11630*1000*SER_hh_tes!S14/SER_hh_num!S14)</f>
        <v>139542.16825380916</v>
      </c>
      <c r="T14" s="65">
        <f>IF(SER_hh_tes!T14=0,0,11630*1000*SER_hh_tes!T14/SER_hh_num!T14)</f>
        <v>151842.38992277891</v>
      </c>
      <c r="U14" s="65">
        <f>IF(SER_hh_tes!U14=0,0,11630*1000*SER_hh_tes!U14/SER_hh_num!U14)</f>
        <v>145990.32690265035</v>
      </c>
      <c r="V14" s="65">
        <f>IF(SER_hh_tes!V14=0,0,11630*1000*SER_hh_tes!V14/SER_hh_num!V14)</f>
        <v>133831.17930603964</v>
      </c>
      <c r="W14" s="65">
        <f>IF(SER_hh_tes!W14=0,0,11630*1000*SER_hh_tes!W14/SER_hh_num!W14)</f>
        <v>151819.26164546679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1583.626810326012</v>
      </c>
      <c r="C15" s="135">
        <f>IF(SER_hh_tes!C15=0,0,11630*1000*SER_hh_tes!C15/SER_hh_num!C15)</f>
        <v>1652.483474929596</v>
      </c>
      <c r="D15" s="135">
        <f>IF(SER_hh_tes!D15=0,0,11630*1000*SER_hh_tes!D15/SER_hh_num!D15)</f>
        <v>1751.3246121957468</v>
      </c>
      <c r="E15" s="135">
        <f>IF(SER_hh_tes!E15=0,0,11630*1000*SER_hh_tes!E15/SER_hh_num!E15)</f>
        <v>1793.6934060729257</v>
      </c>
      <c r="F15" s="135">
        <f>IF(SER_hh_tes!F15=0,0,11630*1000*SER_hh_tes!F15/SER_hh_num!F15)</f>
        <v>1872.5514784177233</v>
      </c>
      <c r="G15" s="135">
        <f>IF(SER_hh_tes!G15=0,0,11630*1000*SER_hh_tes!G15/SER_hh_num!G15)</f>
        <v>1726.3654402544535</v>
      </c>
      <c r="H15" s="135">
        <f>IF(SER_hh_tes!H15=0,0,11630*1000*SER_hh_tes!H15/SER_hh_num!H15)</f>
        <v>1809.7175453837533</v>
      </c>
      <c r="I15" s="135">
        <f>IF(SER_hh_tes!I15=0,0,11630*1000*SER_hh_tes!I15/SER_hh_num!I15)</f>
        <v>1775.0585231640678</v>
      </c>
      <c r="J15" s="135">
        <f>IF(SER_hh_tes!J15=0,0,11630*1000*SER_hh_tes!J15/SER_hh_num!J15)</f>
        <v>1462.7348674676202</v>
      </c>
      <c r="K15" s="135">
        <f>IF(SER_hh_tes!K15=0,0,11630*1000*SER_hh_tes!K15/SER_hh_num!K15)</f>
        <v>1352.8659462551391</v>
      </c>
      <c r="L15" s="135">
        <f>IF(SER_hh_tes!L15=0,0,11630*1000*SER_hh_tes!L15/SER_hh_num!L15)</f>
        <v>1435.2560774436631</v>
      </c>
      <c r="M15" s="135">
        <f>IF(SER_hh_tes!M15=0,0,11630*1000*SER_hh_tes!M15/SER_hh_num!M15)</f>
        <v>1236.7348871752397</v>
      </c>
      <c r="N15" s="135">
        <f>IF(SER_hh_tes!N15=0,0,11630*1000*SER_hh_tes!N15/SER_hh_num!N15)</f>
        <v>1418.6196430713881</v>
      </c>
      <c r="O15" s="135">
        <f>IF(SER_hh_tes!O15=0,0,11630*1000*SER_hh_tes!O15/SER_hh_num!O15)</f>
        <v>1330.4070505723123</v>
      </c>
      <c r="P15" s="135">
        <f>IF(SER_hh_tes!P15=0,0,11630*1000*SER_hh_tes!P15/SER_hh_num!P15)</f>
        <v>1338.894192825476</v>
      </c>
      <c r="Q15" s="135">
        <f>IF(SER_hh_tes!Q15=0,0,11630*1000*SER_hh_tes!Q15/SER_hh_num!Q15)</f>
        <v>1263.6648996324623</v>
      </c>
      <c r="R15" s="135">
        <f>IF(SER_hh_tes!R15=0,0,11630*1000*SER_hh_tes!R15/SER_hh_num!R15)</f>
        <v>1227.6261300018698</v>
      </c>
      <c r="S15" s="135">
        <f>IF(SER_hh_tes!S15=0,0,11630*1000*SER_hh_tes!S15/SER_hh_num!S15)</f>
        <v>1286.9270096419971</v>
      </c>
      <c r="T15" s="135">
        <f>IF(SER_hh_tes!T15=0,0,11630*1000*SER_hh_tes!T15/SER_hh_num!T15)</f>
        <v>1289.887523674362</v>
      </c>
      <c r="U15" s="135">
        <f>IF(SER_hh_tes!U15=0,0,11630*1000*SER_hh_tes!U15/SER_hh_num!U15)</f>
        <v>1234.5642611769426</v>
      </c>
      <c r="V15" s="135">
        <f>IF(SER_hh_tes!V15=0,0,11630*1000*SER_hh_tes!V15/SER_hh_num!V15)</f>
        <v>1255.8767887085005</v>
      </c>
      <c r="W15" s="135">
        <f>IF(SER_hh_tes!W15=0,0,11630*1000*SER_hh_tes!W15/SER_hh_num!W15)</f>
        <v>1464.0474227717491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19018.126336451027</v>
      </c>
      <c r="C16" s="131">
        <f>IF(SER_hh_tes!C16=0,0,11630*1000*SER_hh_tes!C16/SER_hh_num!C16)</f>
        <v>19770.634579598973</v>
      </c>
      <c r="D16" s="131">
        <f>IF(SER_hh_tes!D16=0,0,11630*1000*SER_hh_tes!D16/SER_hh_num!D16)</f>
        <v>20509.770086372264</v>
      </c>
      <c r="E16" s="131">
        <f>IF(SER_hh_tes!E16=0,0,11630*1000*SER_hh_tes!E16/SER_hh_num!E16)</f>
        <v>19756.416821550185</v>
      </c>
      <c r="F16" s="131">
        <f>IF(SER_hh_tes!F16=0,0,11630*1000*SER_hh_tes!F16/SER_hh_num!F16)</f>
        <v>19233.707377642208</v>
      </c>
      <c r="G16" s="131">
        <f>IF(SER_hh_tes!G16=0,0,11630*1000*SER_hh_tes!G16/SER_hh_num!G16)</f>
        <v>19258.951388706162</v>
      </c>
      <c r="H16" s="131">
        <f>IF(SER_hh_tes!H16=0,0,11630*1000*SER_hh_tes!H16/SER_hh_num!H16)</f>
        <v>20511.495783238279</v>
      </c>
      <c r="I16" s="131">
        <f>IF(SER_hh_tes!I16=0,0,11630*1000*SER_hh_tes!I16/SER_hh_num!I16)</f>
        <v>19379.814137112469</v>
      </c>
      <c r="J16" s="131">
        <f>IF(SER_hh_tes!J16=0,0,11630*1000*SER_hh_tes!J16/SER_hh_num!J16)</f>
        <v>19360.357991794368</v>
      </c>
      <c r="K16" s="131">
        <f>IF(SER_hh_tes!K16=0,0,11630*1000*SER_hh_tes!K16/SER_hh_num!K16)</f>
        <v>19375.731985179751</v>
      </c>
      <c r="L16" s="131">
        <f>IF(SER_hh_tes!L16=0,0,11630*1000*SER_hh_tes!L16/SER_hh_num!L16)</f>
        <v>23560.344099531168</v>
      </c>
      <c r="M16" s="131">
        <f>IF(SER_hh_tes!M16=0,0,11630*1000*SER_hh_tes!M16/SER_hh_num!M16)</f>
        <v>19801.43523549533</v>
      </c>
      <c r="N16" s="131">
        <f>IF(SER_hh_tes!N16=0,0,11630*1000*SER_hh_tes!N16/SER_hh_num!N16)</f>
        <v>19962.739618955755</v>
      </c>
      <c r="O16" s="131">
        <f>IF(SER_hh_tes!O16=0,0,11630*1000*SER_hh_tes!O16/SER_hh_num!O16)</f>
        <v>19634.890407647075</v>
      </c>
      <c r="P16" s="131">
        <f>IF(SER_hh_tes!P16=0,0,11630*1000*SER_hh_tes!P16/SER_hh_num!P16)</f>
        <v>20760.631357088401</v>
      </c>
      <c r="Q16" s="131">
        <f>IF(SER_hh_tes!Q16=0,0,11630*1000*SER_hh_tes!Q16/SER_hh_num!Q16)</f>
        <v>19660.503762486267</v>
      </c>
      <c r="R16" s="131">
        <f>IF(SER_hh_tes!R16=0,0,11630*1000*SER_hh_tes!R16/SER_hh_num!R16)</f>
        <v>19812.746986200611</v>
      </c>
      <c r="S16" s="131">
        <f>IF(SER_hh_tes!S16=0,0,11630*1000*SER_hh_tes!S16/SER_hh_num!S16)</f>
        <v>19886.627685332518</v>
      </c>
      <c r="T16" s="131">
        <f>IF(SER_hh_tes!T16=0,0,11630*1000*SER_hh_tes!T16/SER_hh_num!T16)</f>
        <v>21260.649915103535</v>
      </c>
      <c r="U16" s="131">
        <f>IF(SER_hh_tes!U16=0,0,11630*1000*SER_hh_tes!U16/SER_hh_num!U16)</f>
        <v>20066.435582457892</v>
      </c>
      <c r="V16" s="131">
        <f>IF(SER_hh_tes!V16=0,0,11630*1000*SER_hh_tes!V16/SER_hh_num!V16)</f>
        <v>20086.001428691015</v>
      </c>
      <c r="W16" s="131">
        <f>IF(SER_hh_tes!W16=0,0,11630*1000*SER_hh_tes!W16/SER_hh_num!W16)</f>
        <v>23151.667356442409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19018.126336451027</v>
      </c>
      <c r="C18" s="133">
        <f>IF(SER_hh_tes!C18=0,0,11630*1000*SER_hh_tes!C18/SER_hh_num!C18)</f>
        <v>19770.634579598973</v>
      </c>
      <c r="D18" s="133">
        <f>IF(SER_hh_tes!D18=0,0,11630*1000*SER_hh_tes!D18/SER_hh_num!D18)</f>
        <v>20509.770086372264</v>
      </c>
      <c r="E18" s="133">
        <f>IF(SER_hh_tes!E18=0,0,11630*1000*SER_hh_tes!E18/SER_hh_num!E18)</f>
        <v>19756.416821550185</v>
      </c>
      <c r="F18" s="133">
        <f>IF(SER_hh_tes!F18=0,0,11630*1000*SER_hh_tes!F18/SER_hh_num!F18)</f>
        <v>19233.707377642208</v>
      </c>
      <c r="G18" s="133">
        <f>IF(SER_hh_tes!G18=0,0,11630*1000*SER_hh_tes!G18/SER_hh_num!G18)</f>
        <v>19258.951388706162</v>
      </c>
      <c r="H18" s="133">
        <f>IF(SER_hh_tes!H18=0,0,11630*1000*SER_hh_tes!H18/SER_hh_num!H18)</f>
        <v>20511.495783238279</v>
      </c>
      <c r="I18" s="133">
        <f>IF(SER_hh_tes!I18=0,0,11630*1000*SER_hh_tes!I18/SER_hh_num!I18)</f>
        <v>19379.814137112469</v>
      </c>
      <c r="J18" s="133">
        <f>IF(SER_hh_tes!J18=0,0,11630*1000*SER_hh_tes!J18/SER_hh_num!J18)</f>
        <v>19360.357991794368</v>
      </c>
      <c r="K18" s="133">
        <f>IF(SER_hh_tes!K18=0,0,11630*1000*SER_hh_tes!K18/SER_hh_num!K18)</f>
        <v>19375.731985179751</v>
      </c>
      <c r="L18" s="133">
        <f>IF(SER_hh_tes!L18=0,0,11630*1000*SER_hh_tes!L18/SER_hh_num!L18)</f>
        <v>23560.344099531168</v>
      </c>
      <c r="M18" s="133">
        <f>IF(SER_hh_tes!M18=0,0,11630*1000*SER_hh_tes!M18/SER_hh_num!M18)</f>
        <v>19801.43523549533</v>
      </c>
      <c r="N18" s="133">
        <f>IF(SER_hh_tes!N18=0,0,11630*1000*SER_hh_tes!N18/SER_hh_num!N18)</f>
        <v>19962.739618955755</v>
      </c>
      <c r="O18" s="133">
        <f>IF(SER_hh_tes!O18=0,0,11630*1000*SER_hh_tes!O18/SER_hh_num!O18)</f>
        <v>19634.890407647075</v>
      </c>
      <c r="P18" s="133">
        <f>IF(SER_hh_tes!P18=0,0,11630*1000*SER_hh_tes!P18/SER_hh_num!P18)</f>
        <v>20760.631357088401</v>
      </c>
      <c r="Q18" s="133">
        <f>IF(SER_hh_tes!Q18=0,0,11630*1000*SER_hh_tes!Q18/SER_hh_num!Q18)</f>
        <v>19660.503762486267</v>
      </c>
      <c r="R18" s="133">
        <f>IF(SER_hh_tes!R18=0,0,11630*1000*SER_hh_tes!R18/SER_hh_num!R18)</f>
        <v>19812.746986200611</v>
      </c>
      <c r="S18" s="133">
        <f>IF(SER_hh_tes!S18=0,0,11630*1000*SER_hh_tes!S18/SER_hh_num!S18)</f>
        <v>19886.627685332518</v>
      </c>
      <c r="T18" s="133">
        <f>IF(SER_hh_tes!T18=0,0,11630*1000*SER_hh_tes!T18/SER_hh_num!T18)</f>
        <v>21260.649915103535</v>
      </c>
      <c r="U18" s="133">
        <f>IF(SER_hh_tes!U18=0,0,11630*1000*SER_hh_tes!U18/SER_hh_num!U18)</f>
        <v>20066.435582457892</v>
      </c>
      <c r="V18" s="133">
        <f>IF(SER_hh_tes!V18=0,0,11630*1000*SER_hh_tes!V18/SER_hh_num!V18)</f>
        <v>20086.001428691015</v>
      </c>
      <c r="W18" s="133">
        <f>IF(SER_hh_tes!W18=0,0,11630*1000*SER_hh_tes!W18/SER_hh_num!W18)</f>
        <v>23151.667356442409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22876.411698552445</v>
      </c>
      <c r="C19" s="131">
        <f>IF(SER_hh_tes!C19=0,0,11630*1000*SER_hh_tes!C19/SER_hh_num!C19)</f>
        <v>23262.949758048424</v>
      </c>
      <c r="D19" s="131">
        <f>IF(SER_hh_tes!D19=0,0,11630*1000*SER_hh_tes!D19/SER_hh_num!D19)</f>
        <v>22527.854198149824</v>
      </c>
      <c r="E19" s="131">
        <f>IF(SER_hh_tes!E19=0,0,11630*1000*SER_hh_tes!E19/SER_hh_num!E19)</f>
        <v>22349.313031908885</v>
      </c>
      <c r="F19" s="131">
        <f>IF(SER_hh_tes!F19=0,0,11630*1000*SER_hh_tes!F19/SER_hh_num!F19)</f>
        <v>22542.19675625132</v>
      </c>
      <c r="G19" s="131">
        <f>IF(SER_hh_tes!G19=0,0,11630*1000*SER_hh_tes!G19/SER_hh_num!G19)</f>
        <v>22196.400778602612</v>
      </c>
      <c r="H19" s="131">
        <f>IF(SER_hh_tes!H19=0,0,11630*1000*SER_hh_tes!H19/SER_hh_num!H19)</f>
        <v>22290.398620485841</v>
      </c>
      <c r="I19" s="131">
        <f>IF(SER_hh_tes!I19=0,0,11630*1000*SER_hh_tes!I19/SER_hh_num!I19)</f>
        <v>22216.561277525296</v>
      </c>
      <c r="J19" s="131">
        <f>IF(SER_hh_tes!J19=0,0,11630*1000*SER_hh_tes!J19/SER_hh_num!J19)</f>
        <v>21852.058416790904</v>
      </c>
      <c r="K19" s="131">
        <f>IF(SER_hh_tes!K19=0,0,11630*1000*SER_hh_tes!K19/SER_hh_num!K19)</f>
        <v>22559.93307485187</v>
      </c>
      <c r="L19" s="131">
        <f>IF(SER_hh_tes!L19=0,0,11630*1000*SER_hh_tes!L19/SER_hh_num!L19)</f>
        <v>22453.266099925073</v>
      </c>
      <c r="M19" s="131">
        <f>IF(SER_hh_tes!M19=0,0,11630*1000*SER_hh_tes!M19/SER_hh_num!M19)</f>
        <v>22908.878405333078</v>
      </c>
      <c r="N19" s="131">
        <f>IF(SER_hh_tes!N19=0,0,11630*1000*SER_hh_tes!N19/SER_hh_num!N19)</f>
        <v>22750.015094469505</v>
      </c>
      <c r="O19" s="131">
        <f>IF(SER_hh_tes!O19=0,0,11630*1000*SER_hh_tes!O19/SER_hh_num!O19)</f>
        <v>23236.868983567892</v>
      </c>
      <c r="P19" s="131">
        <f>IF(SER_hh_tes!P19=0,0,11630*1000*SER_hh_tes!P19/SER_hh_num!P19)</f>
        <v>22893.396943124546</v>
      </c>
      <c r="Q19" s="131">
        <f>IF(SER_hh_tes!Q19=0,0,11630*1000*SER_hh_tes!Q19/SER_hh_num!Q19)</f>
        <v>23137.51656612616</v>
      </c>
      <c r="R19" s="131">
        <f>IF(SER_hh_tes!R19=0,0,11630*1000*SER_hh_tes!R19/SER_hh_num!R19)</f>
        <v>23452.003571117395</v>
      </c>
      <c r="S19" s="131">
        <f>IF(SER_hh_tes!S19=0,0,11630*1000*SER_hh_tes!S19/SER_hh_num!S19)</f>
        <v>23771.555638560985</v>
      </c>
      <c r="T19" s="131">
        <f>IF(SER_hh_tes!T19=0,0,11630*1000*SER_hh_tes!T19/SER_hh_num!T19)</f>
        <v>23355.481170463907</v>
      </c>
      <c r="U19" s="131">
        <f>IF(SER_hh_tes!U19=0,0,11630*1000*SER_hh_tes!U19/SER_hh_num!U19)</f>
        <v>22833.883965309971</v>
      </c>
      <c r="V19" s="131">
        <f>IF(SER_hh_tes!V19=0,0,11630*1000*SER_hh_tes!V19/SER_hh_num!V19)</f>
        <v>21062.491632685073</v>
      </c>
      <c r="W19" s="131">
        <f>IF(SER_hh_tes!W19=0,0,11630*1000*SER_hh_tes!W19/SER_hh_num!W19)</f>
        <v>22643.552119929172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22756.570340468592</v>
      </c>
      <c r="C22" s="133">
        <f>IF(SER_hh_tes!C22=0,0,11630*1000*SER_hh_tes!C22/SER_hh_num!C22)</f>
        <v>22993.654366596962</v>
      </c>
      <c r="D22" s="133">
        <f>IF(SER_hh_tes!D22=0,0,11630*1000*SER_hh_tes!D22/SER_hh_num!D22)</f>
        <v>22715.722987855275</v>
      </c>
      <c r="E22" s="133">
        <f>IF(SER_hh_tes!E22=0,0,11630*1000*SER_hh_tes!E22/SER_hh_num!E22)</f>
        <v>22595.638863852069</v>
      </c>
      <c r="F22" s="133">
        <f>IF(SER_hh_tes!F22=0,0,11630*1000*SER_hh_tes!F22/SER_hh_num!F22)</f>
        <v>22281.915027327537</v>
      </c>
      <c r="G22" s="133">
        <f>IF(SER_hh_tes!G22=0,0,11630*1000*SER_hh_tes!G22/SER_hh_num!G22)</f>
        <v>22134.307650357892</v>
      </c>
      <c r="H22" s="133">
        <f>IF(SER_hh_tes!H22=0,0,11630*1000*SER_hh_tes!H22/SER_hh_num!H22)</f>
        <v>22609.454372117583</v>
      </c>
      <c r="I22" s="133">
        <f>IF(SER_hh_tes!I22=0,0,11630*1000*SER_hh_tes!I22/SER_hh_num!I22)</f>
        <v>21965.295603661885</v>
      </c>
      <c r="J22" s="133">
        <f>IF(SER_hh_tes!J22=0,0,11630*1000*SER_hh_tes!J22/SER_hh_num!J22)</f>
        <v>22429.924483003408</v>
      </c>
      <c r="K22" s="133">
        <f>IF(SER_hh_tes!K22=0,0,11630*1000*SER_hh_tes!K22/SER_hh_num!K22)</f>
        <v>22203.853162159492</v>
      </c>
      <c r="L22" s="133">
        <f>IF(SER_hh_tes!L22=0,0,11630*1000*SER_hh_tes!L22/SER_hh_num!L22)</f>
        <v>22242.978050207839</v>
      </c>
      <c r="M22" s="133">
        <f>IF(SER_hh_tes!M22=0,0,11630*1000*SER_hh_tes!M22/SER_hh_num!M22)</f>
        <v>22647.724247018483</v>
      </c>
      <c r="N22" s="133">
        <f>IF(SER_hh_tes!N22=0,0,11630*1000*SER_hh_tes!N22/SER_hh_num!N22)</f>
        <v>22942.948992642589</v>
      </c>
      <c r="O22" s="133">
        <f>IF(SER_hh_tes!O22=0,0,11630*1000*SER_hh_tes!O22/SER_hh_num!O22)</f>
        <v>23251.494199831581</v>
      </c>
      <c r="P22" s="133">
        <f>IF(SER_hh_tes!P22=0,0,11630*1000*SER_hh_tes!P22/SER_hh_num!P22)</f>
        <v>23202.807678327725</v>
      </c>
      <c r="Q22" s="133">
        <f>IF(SER_hh_tes!Q22=0,0,11630*1000*SER_hh_tes!Q22/SER_hh_num!Q22)</f>
        <v>23508.708939190197</v>
      </c>
      <c r="R22" s="133">
        <f>IF(SER_hh_tes!R22=0,0,11630*1000*SER_hh_tes!R22/SER_hh_num!R22)</f>
        <v>23584.981060641629</v>
      </c>
      <c r="S22" s="133">
        <f>IF(SER_hh_tes!S22=0,0,11630*1000*SER_hh_tes!S22/SER_hh_num!S22)</f>
        <v>23762.934397950343</v>
      </c>
      <c r="T22" s="133">
        <f>IF(SER_hh_tes!T22=0,0,11630*1000*SER_hh_tes!T22/SER_hh_num!T22)</f>
        <v>23589.425884630335</v>
      </c>
      <c r="U22" s="133">
        <f>IF(SER_hh_tes!U22=0,0,11630*1000*SER_hh_tes!U22/SER_hh_num!U22)</f>
        <v>22780.53945729819</v>
      </c>
      <c r="V22" s="133">
        <f>IF(SER_hh_tes!V22=0,0,11630*1000*SER_hh_tes!V22/SER_hh_num!V22)</f>
        <v>20914.49707545021</v>
      </c>
      <c r="W22" s="133">
        <f>IF(SER_hh_tes!W22=0,0,11630*1000*SER_hh_tes!W22/SER_hh_num!W22)</f>
        <v>22375.87747660137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22507.698865089747</v>
      </c>
      <c r="C23" s="133">
        <f>IF(SER_hh_tes!C23=0,0,11630*1000*SER_hh_tes!C23/SER_hh_num!C23)</f>
        <v>22129.155935236649</v>
      </c>
      <c r="D23" s="133">
        <f>IF(SER_hh_tes!D23=0,0,11630*1000*SER_hh_tes!D23/SER_hh_num!D23)</f>
        <v>22968.65408104931</v>
      </c>
      <c r="E23" s="133">
        <f>IF(SER_hh_tes!E23=0,0,11630*1000*SER_hh_tes!E23/SER_hh_num!E23)</f>
        <v>22455.976469756399</v>
      </c>
      <c r="F23" s="133">
        <f>IF(SER_hh_tes!F23=0,0,11630*1000*SER_hh_tes!F23/SER_hh_num!F23)</f>
        <v>22174.128561793641</v>
      </c>
      <c r="G23" s="133">
        <f>IF(SER_hh_tes!G23=0,0,11630*1000*SER_hh_tes!G23/SER_hh_num!G23)</f>
        <v>22564.732394619376</v>
      </c>
      <c r="H23" s="133">
        <f>IF(SER_hh_tes!H23=0,0,11630*1000*SER_hh_tes!H23/SER_hh_num!H23)</f>
        <v>21845.366076073646</v>
      </c>
      <c r="I23" s="133">
        <f>IF(SER_hh_tes!I23=0,0,11630*1000*SER_hh_tes!I23/SER_hh_num!I23)</f>
        <v>21373.61299014643</v>
      </c>
      <c r="J23" s="133">
        <f>IF(SER_hh_tes!J23=0,0,11630*1000*SER_hh_tes!J23/SER_hh_num!J23)</f>
        <v>22713.010682450502</v>
      </c>
      <c r="K23" s="133">
        <f>IF(SER_hh_tes!K23=0,0,11630*1000*SER_hh_tes!K23/SER_hh_num!K23)</f>
        <v>23033.016077286546</v>
      </c>
      <c r="L23" s="133">
        <f>IF(SER_hh_tes!L23=0,0,11630*1000*SER_hh_tes!L23/SER_hh_num!L23)</f>
        <v>22511.491684633165</v>
      </c>
      <c r="M23" s="133">
        <f>IF(SER_hh_tes!M23=0,0,11630*1000*SER_hh_tes!M23/SER_hh_num!M23)</f>
        <v>22815.423425698857</v>
      </c>
      <c r="N23" s="133">
        <f>IF(SER_hh_tes!N23=0,0,11630*1000*SER_hh_tes!N23/SER_hh_num!N23)</f>
        <v>22928.452785722235</v>
      </c>
      <c r="O23" s="133">
        <f>IF(SER_hh_tes!O23=0,0,11630*1000*SER_hh_tes!O23/SER_hh_num!O23)</f>
        <v>23149.520643459262</v>
      </c>
      <c r="P23" s="133">
        <f>IF(SER_hh_tes!P23=0,0,11630*1000*SER_hh_tes!P23/SER_hh_num!P23)</f>
        <v>22934.454563702158</v>
      </c>
      <c r="Q23" s="133">
        <f>IF(SER_hh_tes!Q23=0,0,11630*1000*SER_hh_tes!Q23/SER_hh_num!Q23)</f>
        <v>23222.650182011494</v>
      </c>
      <c r="R23" s="133">
        <f>IF(SER_hh_tes!R23=0,0,11630*1000*SER_hh_tes!R23/SER_hh_num!R23)</f>
        <v>23381.237330568503</v>
      </c>
      <c r="S23" s="133">
        <f>IF(SER_hh_tes!S23=0,0,11630*1000*SER_hh_tes!S23/SER_hh_num!S23)</f>
        <v>23704.802966260035</v>
      </c>
      <c r="T23" s="133">
        <f>IF(SER_hh_tes!T23=0,0,11630*1000*SER_hh_tes!T23/SER_hh_num!T23)</f>
        <v>22876.165518339076</v>
      </c>
      <c r="U23" s="133">
        <f>IF(SER_hh_tes!U23=0,0,11630*1000*SER_hh_tes!U23/SER_hh_num!U23)</f>
        <v>22463.417104863463</v>
      </c>
      <c r="V23" s="133">
        <f>IF(SER_hh_tes!V23=0,0,11630*1000*SER_hh_tes!V23/SER_hh_num!V23)</f>
        <v>21864.598841440376</v>
      </c>
      <c r="W23" s="133">
        <f>IF(SER_hh_tes!W23=0,0,11630*1000*SER_hh_tes!W23/SER_hh_num!W23)</f>
        <v>22370.265085220399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25234.968570617504</v>
      </c>
      <c r="C24" s="133">
        <f>IF(SER_hh_tes!C24=0,0,11630*1000*SER_hh_tes!C24/SER_hh_num!C24)</f>
        <v>22403.656250731063</v>
      </c>
      <c r="D24" s="133">
        <f>IF(SER_hh_tes!D24=0,0,11630*1000*SER_hh_tes!D24/SER_hh_num!D24)</f>
        <v>22346.494539114639</v>
      </c>
      <c r="E24" s="133">
        <f>IF(SER_hh_tes!E24=0,0,11630*1000*SER_hh_tes!E24/SER_hh_num!E24)</f>
        <v>21893.477083488418</v>
      </c>
      <c r="F24" s="133">
        <f>IF(SER_hh_tes!F24=0,0,11630*1000*SER_hh_tes!F24/SER_hh_num!F24)</f>
        <v>22644.280240407534</v>
      </c>
      <c r="G24" s="133">
        <f>IF(SER_hh_tes!G24=0,0,11630*1000*SER_hh_tes!G24/SER_hh_num!G24)</f>
        <v>22820.050838113602</v>
      </c>
      <c r="H24" s="133">
        <f>IF(SER_hh_tes!H24=0,0,11630*1000*SER_hh_tes!H24/SER_hh_num!H24)</f>
        <v>22566.727539076837</v>
      </c>
      <c r="I24" s="133">
        <f>IF(SER_hh_tes!I24=0,0,11630*1000*SER_hh_tes!I24/SER_hh_num!I24)</f>
        <v>22518.895030664837</v>
      </c>
      <c r="J24" s="133">
        <f>IF(SER_hh_tes!J24=0,0,11630*1000*SER_hh_tes!J24/SER_hh_num!J24)</f>
        <v>21992.093323205296</v>
      </c>
      <c r="K24" s="133">
        <f>IF(SER_hh_tes!K24=0,0,11630*1000*SER_hh_tes!K24/SER_hh_num!K24)</f>
        <v>22219.719525297802</v>
      </c>
      <c r="L24" s="133">
        <f>IF(SER_hh_tes!L24=0,0,11630*1000*SER_hh_tes!L24/SER_hh_num!L24)</f>
        <v>22419.275594740608</v>
      </c>
      <c r="M24" s="133">
        <f>IF(SER_hh_tes!M24=0,0,11630*1000*SER_hh_tes!M24/SER_hh_num!M24)</f>
        <v>22974.641722758031</v>
      </c>
      <c r="N24" s="133">
        <f>IF(SER_hh_tes!N24=0,0,11630*1000*SER_hh_tes!N24/SER_hh_num!N24)</f>
        <v>22832.694231911799</v>
      </c>
      <c r="O24" s="133">
        <f>IF(SER_hh_tes!O24=0,0,11630*1000*SER_hh_tes!O24/SER_hh_num!O24)</f>
        <v>23222.259970895648</v>
      </c>
      <c r="P24" s="133">
        <f>IF(SER_hh_tes!P24=0,0,11630*1000*SER_hh_tes!P24/SER_hh_num!P24)</f>
        <v>23118.540207946218</v>
      </c>
      <c r="Q24" s="133">
        <f>IF(SER_hh_tes!Q24=0,0,11630*1000*SER_hh_tes!Q24/SER_hh_num!Q24)</f>
        <v>23635.049760379992</v>
      </c>
      <c r="R24" s="133">
        <f>IF(SER_hh_tes!R24=0,0,11630*1000*SER_hh_tes!R24/SER_hh_num!R24)</f>
        <v>23199.36538490812</v>
      </c>
      <c r="S24" s="133">
        <f>IF(SER_hh_tes!S24=0,0,11630*1000*SER_hh_tes!S24/SER_hh_num!S24)</f>
        <v>25590.027517938779</v>
      </c>
      <c r="T24" s="133">
        <f>IF(SER_hh_tes!T24=0,0,11630*1000*SER_hh_tes!T24/SER_hh_num!T24)</f>
        <v>23092.646797840098</v>
      </c>
      <c r="U24" s="133">
        <f>IF(SER_hh_tes!U24=0,0,11630*1000*SER_hh_tes!U24/SER_hh_num!U24)</f>
        <v>21609.711424350746</v>
      </c>
      <c r="V24" s="133">
        <f>IF(SER_hh_tes!V24=0,0,11630*1000*SER_hh_tes!V24/SER_hh_num!V24)</f>
        <v>20749.252282947789</v>
      </c>
      <c r="W24" s="133">
        <f>IF(SER_hh_tes!W24=0,0,11630*1000*SER_hh_tes!W24/SER_hh_num!W24)</f>
        <v>22699.981851113647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23640.095288499953</v>
      </c>
      <c r="C25" s="133">
        <f>IF(SER_hh_tes!C25=0,0,11630*1000*SER_hh_tes!C25/SER_hh_num!C25)</f>
        <v>23126.568634235591</v>
      </c>
      <c r="D25" s="133">
        <f>IF(SER_hh_tes!D25=0,0,11630*1000*SER_hh_tes!D25/SER_hh_num!D25)</f>
        <v>22859.061695221466</v>
      </c>
      <c r="E25" s="133">
        <f>IF(SER_hh_tes!E25=0,0,11630*1000*SER_hh_tes!E25/SER_hh_num!E25)</f>
        <v>22661.090223376854</v>
      </c>
      <c r="F25" s="133">
        <f>IF(SER_hh_tes!F25=0,0,11630*1000*SER_hh_tes!F25/SER_hh_num!F25)</f>
        <v>22405.663652962459</v>
      </c>
      <c r="G25" s="133">
        <f>IF(SER_hh_tes!G25=0,0,11630*1000*SER_hh_tes!G25/SER_hh_num!G25)</f>
        <v>22657.874929113575</v>
      </c>
      <c r="H25" s="133">
        <f>IF(SER_hh_tes!H25=0,0,11630*1000*SER_hh_tes!H25/SER_hh_num!H25)</f>
        <v>22287.324963303308</v>
      </c>
      <c r="I25" s="133">
        <f>IF(SER_hh_tes!I25=0,0,11630*1000*SER_hh_tes!I25/SER_hh_num!I25)</f>
        <v>22480.099060849159</v>
      </c>
      <c r="J25" s="133">
        <f>IF(SER_hh_tes!J25=0,0,11630*1000*SER_hh_tes!J25/SER_hh_num!J25)</f>
        <v>21736.130920143783</v>
      </c>
      <c r="K25" s="133">
        <f>IF(SER_hh_tes!K25=0,0,11630*1000*SER_hh_tes!K25/SER_hh_num!K25)</f>
        <v>22308.783630363196</v>
      </c>
      <c r="L25" s="133">
        <f>IF(SER_hh_tes!L25=0,0,11630*1000*SER_hh_tes!L25/SER_hh_num!L25)</f>
        <v>22328.466687991793</v>
      </c>
      <c r="M25" s="133">
        <f>IF(SER_hh_tes!M25=0,0,11630*1000*SER_hh_tes!M25/SER_hh_num!M25)</f>
        <v>22909.837890788844</v>
      </c>
      <c r="N25" s="133">
        <f>IF(SER_hh_tes!N25=0,0,11630*1000*SER_hh_tes!N25/SER_hh_num!N25)</f>
        <v>22922.775514373345</v>
      </c>
      <c r="O25" s="133">
        <f>IF(SER_hh_tes!O25=0,0,11630*1000*SER_hh_tes!O25/SER_hh_num!O25)</f>
        <v>23075.138303102609</v>
      </c>
      <c r="P25" s="133">
        <f>IF(SER_hh_tes!P25=0,0,11630*1000*SER_hh_tes!P25/SER_hh_num!P25)</f>
        <v>22593.302251120254</v>
      </c>
      <c r="Q25" s="133">
        <f>IF(SER_hh_tes!Q25=0,0,11630*1000*SER_hh_tes!Q25/SER_hh_num!Q25)</f>
        <v>23305.147917728955</v>
      </c>
      <c r="R25" s="133">
        <f>IF(SER_hh_tes!R25=0,0,11630*1000*SER_hh_tes!R25/SER_hh_num!R25)</f>
        <v>23688.341465726564</v>
      </c>
      <c r="S25" s="133">
        <f>IF(SER_hh_tes!S25=0,0,11630*1000*SER_hh_tes!S25/SER_hh_num!S25)</f>
        <v>23689.484003526344</v>
      </c>
      <c r="T25" s="133">
        <f>IF(SER_hh_tes!T25=0,0,11630*1000*SER_hh_tes!T25/SER_hh_num!T25)</f>
        <v>22885.58272247246</v>
      </c>
      <c r="U25" s="133">
        <f>IF(SER_hh_tes!U25=0,0,11630*1000*SER_hh_tes!U25/SER_hh_num!U25)</f>
        <v>22824.966571653724</v>
      </c>
      <c r="V25" s="133">
        <f>IF(SER_hh_tes!V25=0,0,11630*1000*SER_hh_tes!V25/SER_hh_num!V25)</f>
        <v>21074.513569783736</v>
      </c>
      <c r="W25" s="133">
        <f>IF(SER_hh_tes!W25=0,0,11630*1000*SER_hh_tes!W25/SER_hh_num!W25)</f>
        <v>22744.290643267126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21148.44373951164</v>
      </c>
      <c r="C26" s="65">
        <f>IF(SER_hh_tes!C26=0,0,11630*1000*SER_hh_tes!C26/SER_hh_num!C26)</f>
        <v>24116.070546003637</v>
      </c>
      <c r="D26" s="65">
        <f>IF(SER_hh_tes!D26=0,0,11630*1000*SER_hh_tes!D26/SER_hh_num!D26)</f>
        <v>22035.522593284477</v>
      </c>
      <c r="E26" s="65">
        <f>IF(SER_hh_tes!E26=0,0,11630*1000*SER_hh_tes!E26/SER_hh_num!E26)</f>
        <v>22078.76879255665</v>
      </c>
      <c r="F26" s="65">
        <f>IF(SER_hh_tes!F26=0,0,11630*1000*SER_hh_tes!F26/SER_hh_num!F26)</f>
        <v>22822.680731692584</v>
      </c>
      <c r="G26" s="65">
        <f>IF(SER_hh_tes!G26=0,0,11630*1000*SER_hh_tes!G26/SER_hh_num!G26)</f>
        <v>21392.731843788119</v>
      </c>
      <c r="H26" s="65">
        <f>IF(SER_hh_tes!H26=0,0,11630*1000*SER_hh_tes!H26/SER_hh_num!H26)</f>
        <v>22262.619201496542</v>
      </c>
      <c r="I26" s="65">
        <f>IF(SER_hh_tes!I26=0,0,11630*1000*SER_hh_tes!I26/SER_hh_num!I26)</f>
        <v>22199.916548560392</v>
      </c>
      <c r="J26" s="65">
        <f>IF(SER_hh_tes!J26=0,0,11630*1000*SER_hh_tes!J26/SER_hh_num!J26)</f>
        <v>21499.714117648135</v>
      </c>
      <c r="K26" s="65">
        <f>IF(SER_hh_tes!K26=0,0,11630*1000*SER_hh_tes!K26/SER_hh_num!K26)</f>
        <v>22782.845192806464</v>
      </c>
      <c r="L26" s="65">
        <f>IF(SER_hh_tes!L26=0,0,11630*1000*SER_hh_tes!L26/SER_hh_num!L26)</f>
        <v>22594.561823485852</v>
      </c>
      <c r="M26" s="65">
        <f>IF(SER_hh_tes!M26=0,0,11630*1000*SER_hh_tes!M26/SER_hh_num!M26)</f>
        <v>22972.322342307016</v>
      </c>
      <c r="N26" s="65">
        <f>IF(SER_hh_tes!N26=0,0,11630*1000*SER_hh_tes!N26/SER_hh_num!N26)</f>
        <v>22418.784273745441</v>
      </c>
      <c r="O26" s="65">
        <f>IF(SER_hh_tes!O26=0,0,11630*1000*SER_hh_tes!O26/SER_hh_num!O26)</f>
        <v>23444.863189802323</v>
      </c>
      <c r="P26" s="65">
        <f>IF(SER_hh_tes!P26=0,0,11630*1000*SER_hh_tes!P26/SER_hh_num!P26)</f>
        <v>23000.71637427048</v>
      </c>
      <c r="Q26" s="65">
        <f>IF(SER_hh_tes!Q26=0,0,11630*1000*SER_hh_tes!Q26/SER_hh_num!Q26)</f>
        <v>22579.837071332953</v>
      </c>
      <c r="R26" s="65">
        <f>IF(SER_hh_tes!R26=0,0,11630*1000*SER_hh_tes!R26/SER_hh_num!R26)</f>
        <v>23326.057600333941</v>
      </c>
      <c r="S26" s="65">
        <f>IF(SER_hh_tes!S26=0,0,11630*1000*SER_hh_tes!S26/SER_hh_num!S26)</f>
        <v>23095.763918252214</v>
      </c>
      <c r="T26" s="65">
        <f>IF(SER_hh_tes!T26=0,0,11630*1000*SER_hh_tes!T26/SER_hh_num!T26)</f>
        <v>24136.559665350775</v>
      </c>
      <c r="U26" s="65">
        <f>IF(SER_hh_tes!U26=0,0,11630*1000*SER_hh_tes!U26/SER_hh_num!U26)</f>
        <v>23456.558398617573</v>
      </c>
      <c r="V26" s="65">
        <f>IF(SER_hh_tes!V26=0,0,11630*1000*SER_hh_tes!V26/SER_hh_num!V26)</f>
        <v>20719.363142119983</v>
      </c>
      <c r="W26" s="65">
        <f>IF(SER_hh_tes!W26=0,0,11630*1000*SER_hh_tes!W26/SER_hh_num!W26)</f>
        <v>22713.784247254694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29042.212435348945</v>
      </c>
      <c r="C29" s="131">
        <f>IF(SER_hh_tes!C29=0,0,11630*1000*SER_hh_tes!C29/SER_hh_num!C29)</f>
        <v>28888.187315825544</v>
      </c>
      <c r="D29" s="131">
        <f>IF(SER_hh_tes!D29=0,0,11630*1000*SER_hh_tes!D29/SER_hh_num!D29)</f>
        <v>27164.046170585025</v>
      </c>
      <c r="E29" s="131">
        <f>IF(SER_hh_tes!E29=0,0,11630*1000*SER_hh_tes!E29/SER_hh_num!E29)</f>
        <v>26304.999696251194</v>
      </c>
      <c r="F29" s="131">
        <f>IF(SER_hh_tes!F29=0,0,11630*1000*SER_hh_tes!F29/SER_hh_num!F29)</f>
        <v>26276.597578182576</v>
      </c>
      <c r="G29" s="131">
        <f>IF(SER_hh_tes!G29=0,0,11630*1000*SER_hh_tes!G29/SER_hh_num!G29)</f>
        <v>26387.549195031024</v>
      </c>
      <c r="H29" s="131">
        <f>IF(SER_hh_tes!H29=0,0,11630*1000*SER_hh_tes!H29/SER_hh_num!H29)</f>
        <v>26065.386892866722</v>
      </c>
      <c r="I29" s="131">
        <f>IF(SER_hh_tes!I29=0,0,11630*1000*SER_hh_tes!I29/SER_hh_num!I29)</f>
        <v>24941.495930668993</v>
      </c>
      <c r="J29" s="131">
        <f>IF(SER_hh_tes!J29=0,0,11630*1000*SER_hh_tes!J29/SER_hh_num!J29)</f>
        <v>25084.983264073428</v>
      </c>
      <c r="K29" s="131">
        <f>IF(SER_hh_tes!K29=0,0,11630*1000*SER_hh_tes!K29/SER_hh_num!K29)</f>
        <v>25434.733567685435</v>
      </c>
      <c r="L29" s="131">
        <f>IF(SER_hh_tes!L29=0,0,11630*1000*SER_hh_tes!L29/SER_hh_num!L29)</f>
        <v>25148.191405511752</v>
      </c>
      <c r="M29" s="131">
        <f>IF(SER_hh_tes!M29=0,0,11630*1000*SER_hh_tes!M29/SER_hh_num!M29)</f>
        <v>24873.308091508319</v>
      </c>
      <c r="N29" s="131">
        <f>IF(SER_hh_tes!N29=0,0,11630*1000*SER_hh_tes!N29/SER_hh_num!N29)</f>
        <v>25147.220787938786</v>
      </c>
      <c r="O29" s="131">
        <f>IF(SER_hh_tes!O29=0,0,11630*1000*SER_hh_tes!O29/SER_hh_num!O29)</f>
        <v>25131.982103104485</v>
      </c>
      <c r="P29" s="131">
        <f>IF(SER_hh_tes!P29=0,0,11630*1000*SER_hh_tes!P29/SER_hh_num!P29)</f>
        <v>24737.472333044923</v>
      </c>
      <c r="Q29" s="131">
        <f>IF(SER_hh_tes!Q29=0,0,11630*1000*SER_hh_tes!Q29/SER_hh_num!Q29)</f>
        <v>24358.546797252995</v>
      </c>
      <c r="R29" s="131">
        <f>IF(SER_hh_tes!R29=0,0,11630*1000*SER_hh_tes!R29/SER_hh_num!R29)</f>
        <v>24083.791780884108</v>
      </c>
      <c r="S29" s="131">
        <f>IF(SER_hh_tes!S29=0,0,11630*1000*SER_hh_tes!S29/SER_hh_num!S29)</f>
        <v>23762.435809237835</v>
      </c>
      <c r="T29" s="131">
        <f>IF(SER_hh_tes!T29=0,0,11630*1000*SER_hh_tes!T29/SER_hh_num!T29)</f>
        <v>23662.728886633457</v>
      </c>
      <c r="U29" s="131">
        <f>IF(SER_hh_tes!U29=0,0,11630*1000*SER_hh_tes!U29/SER_hh_num!U29)</f>
        <v>23348.333677818424</v>
      </c>
      <c r="V29" s="131">
        <f>IF(SER_hh_tes!V29=0,0,11630*1000*SER_hh_tes!V29/SER_hh_num!V29)</f>
        <v>21723.104228939457</v>
      </c>
      <c r="W29" s="131">
        <f>IF(SER_hh_tes!W29=0,0,11630*1000*SER_hh_tes!W29/SER_hh_num!W29)</f>
        <v>22686.148872697973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45639.274359945797</v>
      </c>
      <c r="D30" s="133">
        <f>IF(SER_hh_tes!D30=0,0,11630*1000*SER_hh_tes!D30/SER_hh_num!D30)</f>
        <v>14201.5755568841</v>
      </c>
      <c r="E30" s="133">
        <f>IF(SER_hh_tes!E30=0,0,11630*1000*SER_hh_tes!E30/SER_hh_num!E30)</f>
        <v>36593.179983608024</v>
      </c>
      <c r="F30" s="133">
        <f>IF(SER_hh_tes!F30=0,0,11630*1000*SER_hh_tes!F30/SER_hh_num!F30)</f>
        <v>26313.648966555505</v>
      </c>
      <c r="G30" s="133">
        <f>IF(SER_hh_tes!G30=0,0,11630*1000*SER_hh_tes!G30/SER_hh_num!G30)</f>
        <v>25303.868809930838</v>
      </c>
      <c r="H30" s="133">
        <f>IF(SER_hh_tes!H30=0,0,11630*1000*SER_hh_tes!H30/SER_hh_num!H30)</f>
        <v>26732.936472092515</v>
      </c>
      <c r="I30" s="133">
        <f>IF(SER_hh_tes!I30=0,0,11630*1000*SER_hh_tes!I30/SER_hh_num!I30)</f>
        <v>28219.457840088315</v>
      </c>
      <c r="J30" s="133">
        <f>IF(SER_hh_tes!J30=0,0,11630*1000*SER_hh_tes!J30/SER_hh_num!J30)</f>
        <v>21945.137606047581</v>
      </c>
      <c r="K30" s="133">
        <f>IF(SER_hh_tes!K30=0,0,11630*1000*SER_hh_tes!K30/SER_hh_num!K30)</f>
        <v>25203.683875532981</v>
      </c>
      <c r="L30" s="133">
        <f>IF(SER_hh_tes!L30=0,0,11630*1000*SER_hh_tes!L30/SER_hh_num!L30)</f>
        <v>27964.368997396483</v>
      </c>
      <c r="M30" s="133">
        <f>IF(SER_hh_tes!M30=0,0,11630*1000*SER_hh_tes!M30/SER_hh_num!M30)</f>
        <v>15681.387245482189</v>
      </c>
      <c r="N30" s="133">
        <f>IF(SER_hh_tes!N30=0,0,11630*1000*SER_hh_tes!N30/SER_hh_num!N30)</f>
        <v>26356.360595028083</v>
      </c>
      <c r="O30" s="133">
        <f>IF(SER_hh_tes!O30=0,0,11630*1000*SER_hh_tes!O30/SER_hh_num!O30)</f>
        <v>22642.834380846889</v>
      </c>
      <c r="P30" s="133">
        <f>IF(SER_hh_tes!P30=0,0,11630*1000*SER_hh_tes!P30/SER_hh_num!P30)</f>
        <v>25474.245968580486</v>
      </c>
      <c r="Q30" s="133">
        <f>IF(SER_hh_tes!Q30=0,0,11630*1000*SER_hh_tes!Q30/SER_hh_num!Q30)</f>
        <v>19528.906603741209</v>
      </c>
      <c r="R30" s="133">
        <f>IF(SER_hh_tes!R30=0,0,11630*1000*SER_hh_tes!R30/SER_hh_num!R30)</f>
        <v>24170.532741775045</v>
      </c>
      <c r="S30" s="133">
        <f>IF(SER_hh_tes!S30=0,0,11630*1000*SER_hh_tes!S30/SER_hh_num!S30)</f>
        <v>29280.515738244598</v>
      </c>
      <c r="T30" s="133">
        <f>IF(SER_hh_tes!T30=0,0,11630*1000*SER_hh_tes!T30/SER_hh_num!T30)</f>
        <v>24714.363068105267</v>
      </c>
      <c r="U30" s="133">
        <f>IF(SER_hh_tes!U30=0,0,11630*1000*SER_hh_tes!U30/SER_hh_num!U30)</f>
        <v>20708.265148092487</v>
      </c>
      <c r="V30" s="133">
        <f>IF(SER_hh_tes!V30=0,0,11630*1000*SER_hh_tes!V30/SER_hh_num!V30)</f>
        <v>21994.276394253313</v>
      </c>
      <c r="W30" s="133">
        <f>IF(SER_hh_tes!W30=0,0,11630*1000*SER_hh_tes!W30/SER_hh_num!W30)</f>
        <v>23788.896875438386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23327.47299001021</v>
      </c>
      <c r="C31" s="133">
        <f>IF(SER_hh_tes!C31=0,0,11630*1000*SER_hh_tes!C31/SER_hh_num!C31)</f>
        <v>29567.576880255576</v>
      </c>
      <c r="D31" s="133">
        <f>IF(SER_hh_tes!D31=0,0,11630*1000*SER_hh_tes!D31/SER_hh_num!D31)</f>
        <v>29788.716695695501</v>
      </c>
      <c r="E31" s="133">
        <f>IF(SER_hh_tes!E31=0,0,11630*1000*SER_hh_tes!E31/SER_hh_num!E31)</f>
        <v>26242.870046101289</v>
      </c>
      <c r="F31" s="133">
        <f>IF(SER_hh_tes!F31=0,0,11630*1000*SER_hh_tes!F31/SER_hh_num!F31)</f>
        <v>26887.355247005282</v>
      </c>
      <c r="G31" s="133">
        <f>IF(SER_hh_tes!G31=0,0,11630*1000*SER_hh_tes!G31/SER_hh_num!G31)</f>
        <v>26198.810186002658</v>
      </c>
      <c r="H31" s="133">
        <f>IF(SER_hh_tes!H31=0,0,11630*1000*SER_hh_tes!H31/SER_hh_num!H31)</f>
        <v>25232.833405442449</v>
      </c>
      <c r="I31" s="133">
        <f>IF(SER_hh_tes!I31=0,0,11630*1000*SER_hh_tes!I31/SER_hh_num!I31)</f>
        <v>24990.858904164321</v>
      </c>
      <c r="J31" s="133">
        <f>IF(SER_hh_tes!J31=0,0,11630*1000*SER_hh_tes!J31/SER_hh_num!J31)</f>
        <v>25638.640073682349</v>
      </c>
      <c r="K31" s="133">
        <f>IF(SER_hh_tes!K31=0,0,11630*1000*SER_hh_tes!K31/SER_hh_num!K31)</f>
        <v>26268.177293252353</v>
      </c>
      <c r="L31" s="133">
        <f>IF(SER_hh_tes!L31=0,0,11630*1000*SER_hh_tes!L31/SER_hh_num!L31)</f>
        <v>25913.720028714928</v>
      </c>
      <c r="M31" s="133">
        <f>IF(SER_hh_tes!M31=0,0,11630*1000*SER_hh_tes!M31/SER_hh_num!M31)</f>
        <v>26378.439245023972</v>
      </c>
      <c r="N31" s="133">
        <f>IF(SER_hh_tes!N31=0,0,11630*1000*SER_hh_tes!N31/SER_hh_num!N31)</f>
        <v>23876.268321028314</v>
      </c>
      <c r="O31" s="133">
        <f>IF(SER_hh_tes!O31=0,0,11630*1000*SER_hh_tes!O31/SER_hh_num!O31)</f>
        <v>23287.182399351193</v>
      </c>
      <c r="P31" s="133">
        <f>IF(SER_hh_tes!P31=0,0,11630*1000*SER_hh_tes!P31/SER_hh_num!P31)</f>
        <v>24336.47643705257</v>
      </c>
      <c r="Q31" s="133">
        <f>IF(SER_hh_tes!Q31=0,0,11630*1000*SER_hh_tes!Q31/SER_hh_num!Q31)</f>
        <v>22658.286744640125</v>
      </c>
      <c r="R31" s="133">
        <f>IF(SER_hh_tes!R31=0,0,11630*1000*SER_hh_tes!R31/SER_hh_num!R31)</f>
        <v>23982.589472218588</v>
      </c>
      <c r="S31" s="133">
        <f>IF(SER_hh_tes!S31=0,0,11630*1000*SER_hh_tes!S31/SER_hh_num!S31)</f>
        <v>23913.369581598945</v>
      </c>
      <c r="T31" s="133">
        <f>IF(SER_hh_tes!T31=0,0,11630*1000*SER_hh_tes!T31/SER_hh_num!T31)</f>
        <v>23519.496689456337</v>
      </c>
      <c r="U31" s="133">
        <f>IF(SER_hh_tes!U31=0,0,11630*1000*SER_hh_tes!U31/SER_hh_num!U31)</f>
        <v>23310.300960986282</v>
      </c>
      <c r="V31" s="133">
        <f>IF(SER_hh_tes!V31=0,0,11630*1000*SER_hh_tes!V31/SER_hh_num!V31)</f>
        <v>22595.54721384963</v>
      </c>
      <c r="W31" s="133">
        <f>IF(SER_hh_tes!W31=0,0,11630*1000*SER_hh_tes!W31/SER_hh_num!W31)</f>
        <v>22441.585948648266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29873.672401559485</v>
      </c>
      <c r="C33" s="68">
        <f>IF(SER_hh_tes!C33=0,0,11630*1000*SER_hh_tes!C33/SER_hh_num!C33)</f>
        <v>28230.680810926202</v>
      </c>
      <c r="D33" s="68">
        <f>IF(SER_hh_tes!D33=0,0,11630*1000*SER_hh_tes!D33/SER_hh_num!D33)</f>
        <v>27139.132256722714</v>
      </c>
      <c r="E33" s="68">
        <f>IF(SER_hh_tes!E33=0,0,11630*1000*SER_hh_tes!E33/SER_hh_num!E33)</f>
        <v>25522.447587621064</v>
      </c>
      <c r="F33" s="68">
        <f>IF(SER_hh_tes!F33=0,0,11630*1000*SER_hh_tes!F33/SER_hh_num!F33)</f>
        <v>26091.832258495553</v>
      </c>
      <c r="G33" s="68">
        <f>IF(SER_hh_tes!G33=0,0,11630*1000*SER_hh_tes!G33/SER_hh_num!G33)</f>
        <v>26528.180667990218</v>
      </c>
      <c r="H33" s="68">
        <f>IF(SER_hh_tes!H33=0,0,11630*1000*SER_hh_tes!H33/SER_hh_num!H33)</f>
        <v>26267.54730533934</v>
      </c>
      <c r="I33" s="68">
        <f>IF(SER_hh_tes!I33=0,0,11630*1000*SER_hh_tes!I33/SER_hh_num!I33)</f>
        <v>24726.051987447776</v>
      </c>
      <c r="J33" s="68">
        <f>IF(SER_hh_tes!J33=0,0,11630*1000*SER_hh_tes!J33/SER_hh_num!J33)</f>
        <v>25071.749609843071</v>
      </c>
      <c r="K33" s="68">
        <f>IF(SER_hh_tes!K33=0,0,11630*1000*SER_hh_tes!K33/SER_hh_num!K33)</f>
        <v>25174.149022837442</v>
      </c>
      <c r="L33" s="68">
        <f>IF(SER_hh_tes!L33=0,0,11630*1000*SER_hh_tes!L33/SER_hh_num!L33)</f>
        <v>24792.899327745308</v>
      </c>
      <c r="M33" s="68">
        <f>IF(SER_hh_tes!M33=0,0,11630*1000*SER_hh_tes!M33/SER_hh_num!M33)</f>
        <v>24759.140892400494</v>
      </c>
      <c r="N33" s="68">
        <f>IF(SER_hh_tes!N33=0,0,11630*1000*SER_hh_tes!N33/SER_hh_num!N33)</f>
        <v>25411.524386237947</v>
      </c>
      <c r="O33" s="68">
        <f>IF(SER_hh_tes!O33=0,0,11630*1000*SER_hh_tes!O33/SER_hh_num!O33)</f>
        <v>25643.986656761168</v>
      </c>
      <c r="P33" s="68">
        <f>IF(SER_hh_tes!P33=0,0,11630*1000*SER_hh_tes!P33/SER_hh_num!P33)</f>
        <v>24778.423904055351</v>
      </c>
      <c r="Q33" s="68">
        <f>IF(SER_hh_tes!Q33=0,0,11630*1000*SER_hh_tes!Q33/SER_hh_num!Q33)</f>
        <v>25120.337173718875</v>
      </c>
      <c r="R33" s="68">
        <f>IF(SER_hh_tes!R33=0,0,11630*1000*SER_hh_tes!R33/SER_hh_num!R33)</f>
        <v>24100.755974398067</v>
      </c>
      <c r="S33" s="68">
        <f>IF(SER_hh_tes!S33=0,0,11630*1000*SER_hh_tes!S33/SER_hh_num!S33)</f>
        <v>22945.569649671033</v>
      </c>
      <c r="T33" s="68">
        <f>IF(SER_hh_tes!T33=0,0,11630*1000*SER_hh_tes!T33/SER_hh_num!T33)</f>
        <v>23563.031047149918</v>
      </c>
      <c r="U33" s="68">
        <f>IF(SER_hh_tes!U33=0,0,11630*1000*SER_hh_tes!U33/SER_hh_num!U33)</f>
        <v>23717.272674875403</v>
      </c>
      <c r="V33" s="68">
        <f>IF(SER_hh_tes!V33=0,0,11630*1000*SER_hh_tes!V33/SER_hh_num!V33)</f>
        <v>21304.543538802543</v>
      </c>
      <c r="W33" s="68">
        <f>IF(SER_hh_tes!W33=0,0,11630*1000*SER_hh_tes!W33/SER_hh_num!W33)</f>
        <v>22657.771961885857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28611.816413701788</v>
      </c>
      <c r="C3" s="126">
        <f>IF(SER_hh_emi!C3=0,0,1000000*SER_hh_emi!C3/SER_hh_num!C3)</f>
        <v>29529.581381390053</v>
      </c>
      <c r="D3" s="126">
        <f>IF(SER_hh_emi!D3=0,0,1000000*SER_hh_emi!D3/SER_hh_num!D3)</f>
        <v>31062.940104434736</v>
      </c>
      <c r="E3" s="126">
        <f>IF(SER_hh_emi!E3=0,0,1000000*SER_hh_emi!E3/SER_hh_num!E3)</f>
        <v>31523.978577889138</v>
      </c>
      <c r="F3" s="126">
        <f>IF(SER_hh_emi!F3=0,0,1000000*SER_hh_emi!F3/SER_hh_num!F3)</f>
        <v>32067.120289387392</v>
      </c>
      <c r="G3" s="126">
        <f>IF(SER_hh_emi!G3=0,0,1000000*SER_hh_emi!G3/SER_hh_num!G3)</f>
        <v>28073.214470704275</v>
      </c>
      <c r="H3" s="126">
        <f>IF(SER_hh_emi!H3=0,0,1000000*SER_hh_emi!H3/SER_hh_num!H3)</f>
        <v>30017.145043854696</v>
      </c>
      <c r="I3" s="126">
        <f>IF(SER_hh_emi!I3=0,0,1000000*SER_hh_emi!I3/SER_hh_num!I3)</f>
        <v>27994.120763697705</v>
      </c>
      <c r="J3" s="126">
        <f>IF(SER_hh_emi!J3=0,0,1000000*SER_hh_emi!J3/SER_hh_num!J3)</f>
        <v>25436.701372472664</v>
      </c>
      <c r="K3" s="126">
        <f>IF(SER_hh_emi!K3=0,0,1000000*SER_hh_emi!K3/SER_hh_num!K3)</f>
        <v>23548.950880904718</v>
      </c>
      <c r="L3" s="126">
        <f>IF(SER_hh_emi!L3=0,0,1000000*SER_hh_emi!L3/SER_hh_num!L3)</f>
        <v>25438.200372879768</v>
      </c>
      <c r="M3" s="126">
        <f>IF(SER_hh_emi!M3=0,0,1000000*SER_hh_emi!M3/SER_hh_num!M3)</f>
        <v>22288.228231372555</v>
      </c>
      <c r="N3" s="126">
        <f>IF(SER_hh_emi!N3=0,0,1000000*SER_hh_emi!N3/SER_hh_num!N3)</f>
        <v>21781.706760279034</v>
      </c>
      <c r="O3" s="126">
        <f>IF(SER_hh_emi!O3=0,0,1000000*SER_hh_emi!O3/SER_hh_num!O3)</f>
        <v>20319.316889099093</v>
      </c>
      <c r="P3" s="126">
        <f>IF(SER_hh_emi!P3=0,0,1000000*SER_hh_emi!P3/SER_hh_num!P3)</f>
        <v>21056.986908804734</v>
      </c>
      <c r="Q3" s="126">
        <f>IF(SER_hh_emi!Q3=0,0,1000000*SER_hh_emi!Q3/SER_hh_num!Q3)</f>
        <v>20057.400337460575</v>
      </c>
      <c r="R3" s="126">
        <f>IF(SER_hh_emi!R3=0,0,1000000*SER_hh_emi!R3/SER_hh_num!R3)</f>
        <v>18443.11952759439</v>
      </c>
      <c r="S3" s="126">
        <f>IF(SER_hh_emi!S3=0,0,1000000*SER_hh_emi!S3/SER_hh_num!S3)</f>
        <v>19240.333808567215</v>
      </c>
      <c r="T3" s="126">
        <f>IF(SER_hh_emi!T3=0,0,1000000*SER_hh_emi!T3/SER_hh_num!T3)</f>
        <v>19961.755695745123</v>
      </c>
      <c r="U3" s="126">
        <f>IF(SER_hh_emi!U3=0,0,1000000*SER_hh_emi!U3/SER_hh_num!U3)</f>
        <v>18864.771741950477</v>
      </c>
      <c r="V3" s="126">
        <f>IF(SER_hh_emi!V3=0,0,1000000*SER_hh_emi!V3/SER_hh_num!V3)</f>
        <v>19478.074182839304</v>
      </c>
      <c r="W3" s="126">
        <f>IF(SER_hh_emi!W3=0,0,1000000*SER_hh_emi!W3/SER_hh_num!W3)</f>
        <v>22797.278835207722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25831.025722394417</v>
      </c>
      <c r="C4" s="131">
        <f>IF(SER_hh_emi!C4=0,0,1000000*SER_hh_emi!C4/SER_hh_num!C4)</f>
        <v>25644.134780382028</v>
      </c>
      <c r="D4" s="131">
        <f>IF(SER_hh_emi!D4=0,0,1000000*SER_hh_emi!D4/SER_hh_num!D4)</f>
        <v>27009.214776526922</v>
      </c>
      <c r="E4" s="131">
        <f>IF(SER_hh_emi!E4=0,0,1000000*SER_hh_emi!E4/SER_hh_num!E4)</f>
        <v>27076.499675900366</v>
      </c>
      <c r="F4" s="131">
        <f>IF(SER_hh_emi!F4=0,0,1000000*SER_hh_emi!F4/SER_hh_num!F4)</f>
        <v>27812.245623302326</v>
      </c>
      <c r="G4" s="131">
        <f>IF(SER_hh_emi!G4=0,0,1000000*SER_hh_emi!G4/SER_hh_num!G4)</f>
        <v>23811.793976256333</v>
      </c>
      <c r="H4" s="131">
        <f>IF(SER_hh_emi!H4=0,0,1000000*SER_hh_emi!H4/SER_hh_num!H4)</f>
        <v>25893.326176175306</v>
      </c>
      <c r="I4" s="131">
        <f>IF(SER_hh_emi!I4=0,0,1000000*SER_hh_emi!I4/SER_hh_num!I4)</f>
        <v>23950.382153799583</v>
      </c>
      <c r="J4" s="131">
        <f>IF(SER_hh_emi!J4=0,0,1000000*SER_hh_emi!J4/SER_hh_num!J4)</f>
        <v>21331.165719530432</v>
      </c>
      <c r="K4" s="131">
        <f>IF(SER_hh_emi!K4=0,0,1000000*SER_hh_emi!K4/SER_hh_num!K4)</f>
        <v>19288.394593190624</v>
      </c>
      <c r="L4" s="131">
        <f>IF(SER_hh_emi!L4=0,0,1000000*SER_hh_emi!L4/SER_hh_num!L4)</f>
        <v>21228.30890557434</v>
      </c>
      <c r="M4" s="131">
        <f>IF(SER_hh_emi!M4=0,0,1000000*SER_hh_emi!M4/SER_hh_num!M4)</f>
        <v>18354.747262680114</v>
      </c>
      <c r="N4" s="131">
        <f>IF(SER_hh_emi!N4=0,0,1000000*SER_hh_emi!N4/SER_hh_num!N4)</f>
        <v>18035.35287377951</v>
      </c>
      <c r="O4" s="131">
        <f>IF(SER_hh_emi!O4=0,0,1000000*SER_hh_emi!O4/SER_hh_num!O4)</f>
        <v>16770.357391053967</v>
      </c>
      <c r="P4" s="131">
        <f>IF(SER_hh_emi!P4=0,0,1000000*SER_hh_emi!P4/SER_hh_num!P4)</f>
        <v>17360.272783755558</v>
      </c>
      <c r="Q4" s="131">
        <f>IF(SER_hh_emi!Q4=0,0,1000000*SER_hh_emi!Q4/SER_hh_num!Q4)</f>
        <v>16433.047799150932</v>
      </c>
      <c r="R4" s="131">
        <f>IF(SER_hh_emi!R4=0,0,1000000*SER_hh_emi!R4/SER_hh_num!R4)</f>
        <v>14309.023804208013</v>
      </c>
      <c r="S4" s="131">
        <f>IF(SER_hh_emi!S4=0,0,1000000*SER_hh_emi!S4/SER_hh_num!S4)</f>
        <v>14664.748281705995</v>
      </c>
      <c r="T4" s="131">
        <f>IF(SER_hh_emi!T4=0,0,1000000*SER_hh_emi!T4/SER_hh_num!T4)</f>
        <v>15506.813993568052</v>
      </c>
      <c r="U4" s="131">
        <f>IF(SER_hh_emi!U4=0,0,1000000*SER_hh_emi!U4/SER_hh_num!U4)</f>
        <v>14551.533205317339</v>
      </c>
      <c r="V4" s="131">
        <f>IF(SER_hh_emi!V4=0,0,1000000*SER_hh_emi!V4/SER_hh_num!V4)</f>
        <v>15171.054995514189</v>
      </c>
      <c r="W4" s="131">
        <f>IF(SER_hh_emi!W4=0,0,1000000*SER_hh_emi!W4/SER_hh_num!W4)</f>
        <v>18444.207201366698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115787.91874562197</v>
      </c>
      <c r="C5" s="133">
        <f>IF(SER_hh_emi!C5=0,0,1000000*SER_hh_emi!C5/SER_hh_num!C5)</f>
        <v>119039.65597279712</v>
      </c>
      <c r="D5" s="133">
        <f>IF(SER_hh_emi!D5=0,0,1000000*SER_hh_emi!D5/SER_hh_num!D5)</f>
        <v>120270.67940337995</v>
      </c>
      <c r="E5" s="133">
        <f>IF(SER_hh_emi!E5=0,0,1000000*SER_hh_emi!E5/SER_hh_num!E5)</f>
        <v>123857.5180581897</v>
      </c>
      <c r="F5" s="133">
        <f>IF(SER_hh_emi!F5=0,0,1000000*SER_hh_emi!F5/SER_hh_num!F5)</f>
        <v>127399.13331751896</v>
      </c>
      <c r="G5" s="133">
        <f>IF(SER_hh_emi!G5=0,0,1000000*SER_hh_emi!G5/SER_hh_num!G5)</f>
        <v>110505.38595224553</v>
      </c>
      <c r="H5" s="133">
        <f>IF(SER_hh_emi!H5=0,0,1000000*SER_hh_emi!H5/SER_hh_num!H5)</f>
        <v>115855.26211677845</v>
      </c>
      <c r="I5" s="133">
        <f>IF(SER_hh_emi!I5=0,0,1000000*SER_hh_emi!I5/SER_hh_num!I5)</f>
        <v>116119.77330040383</v>
      </c>
      <c r="J5" s="133">
        <f>IF(SER_hh_emi!J5=0,0,1000000*SER_hh_emi!J5/SER_hh_num!J5)</f>
        <v>97583.534933603165</v>
      </c>
      <c r="K5" s="133">
        <f>IF(SER_hh_emi!K5=0,0,1000000*SER_hh_emi!K5/SER_hh_num!K5)</f>
        <v>72034.132387644029</v>
      </c>
      <c r="L5" s="133">
        <f>IF(SER_hh_emi!L5=0,0,1000000*SER_hh_emi!L5/SER_hh_num!L5)</f>
        <v>96803.199304454552</v>
      </c>
      <c r="M5" s="133">
        <f>IF(SER_hh_emi!M5=0,0,1000000*SER_hh_emi!M5/SER_hh_num!M5)</f>
        <v>90831.529502440841</v>
      </c>
      <c r="N5" s="133">
        <f>IF(SER_hh_emi!N5=0,0,1000000*SER_hh_emi!N5/SER_hh_num!N5)</f>
        <v>63903.450024970371</v>
      </c>
      <c r="O5" s="133">
        <f>IF(SER_hh_emi!O5=0,0,1000000*SER_hh_emi!O5/SER_hh_num!O5)</f>
        <v>84296.325572321715</v>
      </c>
      <c r="P5" s="133">
        <f>IF(SER_hh_emi!P5=0,0,1000000*SER_hh_emi!P5/SER_hh_num!P5)</f>
        <v>81235.520888614119</v>
      </c>
      <c r="Q5" s="133">
        <f>IF(SER_hh_emi!Q5=0,0,1000000*SER_hh_emi!Q5/SER_hh_num!Q5)</f>
        <v>72483.091077186982</v>
      </c>
      <c r="R5" s="133">
        <f>IF(SER_hh_emi!R5=0,0,1000000*SER_hh_emi!R5/SER_hh_num!R5)</f>
        <v>81534.364028319716</v>
      </c>
      <c r="S5" s="133">
        <f>IF(SER_hh_emi!S5=0,0,1000000*SER_hh_emi!S5/SER_hh_num!S5)</f>
        <v>70261.562908446213</v>
      </c>
      <c r="T5" s="133">
        <f>IF(SER_hh_emi!T5=0,0,1000000*SER_hh_emi!T5/SER_hh_num!T5)</f>
        <v>82281.075225283828</v>
      </c>
      <c r="U5" s="133">
        <f>IF(SER_hh_emi!U5=0,0,1000000*SER_hh_emi!U5/SER_hh_num!U5)</f>
        <v>76775.426354154319</v>
      </c>
      <c r="V5" s="133">
        <f>IF(SER_hh_emi!V5=0,0,1000000*SER_hh_emi!V5/SER_hh_num!V5)</f>
        <v>61465.921690894589</v>
      </c>
      <c r="W5" s="133">
        <f>IF(SER_hh_emi!W5=0,0,1000000*SER_hh_emi!W5/SER_hh_num!W5)</f>
        <v>88529.554629832113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102349.58511797688</v>
      </c>
      <c r="C7" s="133">
        <f>IF(SER_hh_emi!C7=0,0,1000000*SER_hh_emi!C7/SER_hh_num!C7)</f>
        <v>111625.8416825874</v>
      </c>
      <c r="D7" s="133">
        <f>IF(SER_hh_emi!D7=0,0,1000000*SER_hh_emi!D7/SER_hh_num!D7)</f>
        <v>106102.74703991011</v>
      </c>
      <c r="E7" s="133">
        <f>IF(SER_hh_emi!E7=0,0,1000000*SER_hh_emi!E7/SER_hh_num!E7)</f>
        <v>112733.20940050503</v>
      </c>
      <c r="F7" s="133">
        <f>IF(SER_hh_emi!F7=0,0,1000000*SER_hh_emi!F7/SER_hh_num!F7)</f>
        <v>112796.2197321462</v>
      </c>
      <c r="G7" s="133">
        <f>IF(SER_hh_emi!G7=0,0,1000000*SER_hh_emi!G7/SER_hh_num!G7)</f>
        <v>90082.693274080244</v>
      </c>
      <c r="H7" s="133">
        <f>IF(SER_hh_emi!H7=0,0,1000000*SER_hh_emi!H7/SER_hh_num!H7)</f>
        <v>114913.91749470837</v>
      </c>
      <c r="I7" s="133">
        <f>IF(SER_hh_emi!I7=0,0,1000000*SER_hh_emi!I7/SER_hh_num!I7)</f>
        <v>94478.115759203632</v>
      </c>
      <c r="J7" s="133">
        <f>IF(SER_hh_emi!J7=0,0,1000000*SER_hh_emi!J7/SER_hh_num!J7)</f>
        <v>79626.085949087443</v>
      </c>
      <c r="K7" s="133">
        <f>IF(SER_hh_emi!K7=0,0,1000000*SER_hh_emi!K7/SER_hh_num!K7)</f>
        <v>75372.725601971571</v>
      </c>
      <c r="L7" s="133">
        <f>IF(SER_hh_emi!L7=0,0,1000000*SER_hh_emi!L7/SER_hh_num!L7)</f>
        <v>74099.351294605469</v>
      </c>
      <c r="M7" s="133">
        <f>IF(SER_hh_emi!M7=0,0,1000000*SER_hh_emi!M7/SER_hh_num!M7)</f>
        <v>60235.41407024199</v>
      </c>
      <c r="N7" s="133">
        <f>IF(SER_hh_emi!N7=0,0,1000000*SER_hh_emi!N7/SER_hh_num!N7)</f>
        <v>75872.891522708465</v>
      </c>
      <c r="O7" s="133">
        <f>IF(SER_hh_emi!O7=0,0,1000000*SER_hh_emi!O7/SER_hh_num!O7)</f>
        <v>69666.157881734791</v>
      </c>
      <c r="P7" s="133">
        <f>IF(SER_hh_emi!P7=0,0,1000000*SER_hh_emi!P7/SER_hh_num!P7)</f>
        <v>70549.39549475853</v>
      </c>
      <c r="Q7" s="133">
        <f>IF(SER_hh_emi!Q7=0,0,1000000*SER_hh_emi!Q7/SER_hh_num!Q7)</f>
        <v>73769.670080375057</v>
      </c>
      <c r="R7" s="133">
        <f>IF(SER_hh_emi!R7=0,0,1000000*SER_hh_emi!R7/SER_hh_num!R7)</f>
        <v>52500.778422269679</v>
      </c>
      <c r="S7" s="133">
        <f>IF(SER_hh_emi!S7=0,0,1000000*SER_hh_emi!S7/SER_hh_num!S7)</f>
        <v>59178.868285659766</v>
      </c>
      <c r="T7" s="133">
        <f>IF(SER_hh_emi!T7=0,0,1000000*SER_hh_emi!T7/SER_hh_num!T7)</f>
        <v>66434.12332033948</v>
      </c>
      <c r="U7" s="133">
        <f>IF(SER_hh_emi!U7=0,0,1000000*SER_hh_emi!U7/SER_hh_num!U7)</f>
        <v>49185.916589336281</v>
      </c>
      <c r="V7" s="133">
        <f>IF(SER_hh_emi!V7=0,0,1000000*SER_hh_emi!V7/SER_hh_num!V7)</f>
        <v>52870.302686208444</v>
      </c>
      <c r="W7" s="133">
        <f>IF(SER_hh_emi!W7=0,0,1000000*SER_hh_emi!W7/SER_hh_num!W7)</f>
        <v>66902.50423705655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73388.931585766593</v>
      </c>
      <c r="C9" s="133">
        <f>IF(SER_hh_emi!C9=0,0,1000000*SER_hh_emi!C9/SER_hh_num!C9)</f>
        <v>63051.692073269485</v>
      </c>
      <c r="D9" s="133">
        <f>IF(SER_hh_emi!D9=0,0,1000000*SER_hh_emi!D9/SER_hh_num!D9)</f>
        <v>74735.6773486944</v>
      </c>
      <c r="E9" s="133">
        <f>IF(SER_hh_emi!E9=0,0,1000000*SER_hh_emi!E9/SER_hh_num!E9)</f>
        <v>67441.605422033404</v>
      </c>
      <c r="F9" s="133">
        <f>IF(SER_hh_emi!F9=0,0,1000000*SER_hh_emi!F9/SER_hh_num!F9)</f>
        <v>69018.555343471642</v>
      </c>
      <c r="G9" s="133">
        <f>IF(SER_hh_emi!G9=0,0,1000000*SER_hh_emi!G9/SER_hh_num!G9)</f>
        <v>63097.425089323799</v>
      </c>
      <c r="H9" s="133">
        <f>IF(SER_hh_emi!H9=0,0,1000000*SER_hh_emi!H9/SER_hh_num!H9)</f>
        <v>61225.207033693718</v>
      </c>
      <c r="I9" s="133">
        <f>IF(SER_hh_emi!I9=0,0,1000000*SER_hh_emi!I9/SER_hh_num!I9)</f>
        <v>61560.455740307749</v>
      </c>
      <c r="J9" s="133">
        <f>IF(SER_hh_emi!J9=0,0,1000000*SER_hh_emi!J9/SER_hh_num!J9)</f>
        <v>53813.78159054424</v>
      </c>
      <c r="K9" s="133">
        <f>IF(SER_hh_emi!K9=0,0,1000000*SER_hh_emi!K9/SER_hh_num!K9)</f>
        <v>47284.992453611092</v>
      </c>
      <c r="L9" s="133">
        <f>IF(SER_hh_emi!L9=0,0,1000000*SER_hh_emi!L9/SER_hh_num!L9)</f>
        <v>49517.221450557576</v>
      </c>
      <c r="M9" s="133">
        <f>IF(SER_hh_emi!M9=0,0,1000000*SER_hh_emi!M9/SER_hh_num!M9)</f>
        <v>45553.778475654573</v>
      </c>
      <c r="N9" s="133">
        <f>IF(SER_hh_emi!N9=0,0,1000000*SER_hh_emi!N9/SER_hh_num!N9)</f>
        <v>48221.844110369231</v>
      </c>
      <c r="O9" s="133">
        <f>IF(SER_hh_emi!O9=0,0,1000000*SER_hh_emi!O9/SER_hh_num!O9)</f>
        <v>42743.618927646581</v>
      </c>
      <c r="P9" s="133">
        <f>IF(SER_hh_emi!P9=0,0,1000000*SER_hh_emi!P9/SER_hh_num!P9)</f>
        <v>46916.372726195987</v>
      </c>
      <c r="Q9" s="133">
        <f>IF(SER_hh_emi!Q9=0,0,1000000*SER_hh_emi!Q9/SER_hh_num!Q9)</f>
        <v>41788.979329281538</v>
      </c>
      <c r="R9" s="133">
        <f>IF(SER_hh_emi!R9=0,0,1000000*SER_hh_emi!R9/SER_hh_num!R9)</f>
        <v>42864.95357034359</v>
      </c>
      <c r="S9" s="133">
        <f>IF(SER_hh_emi!S9=0,0,1000000*SER_hh_emi!S9/SER_hh_num!S9)</f>
        <v>42594.422532258352</v>
      </c>
      <c r="T9" s="133">
        <f>IF(SER_hh_emi!T9=0,0,1000000*SER_hh_emi!T9/SER_hh_num!T9)</f>
        <v>40601.929809806956</v>
      </c>
      <c r="U9" s="133">
        <f>IF(SER_hh_emi!U9=0,0,1000000*SER_hh_emi!U9/SER_hh_num!U9)</f>
        <v>39597.861424259987</v>
      </c>
      <c r="V9" s="133">
        <f>IF(SER_hh_emi!V9=0,0,1000000*SER_hh_emi!V9/SER_hh_num!V9)</f>
        <v>37945.107550383902</v>
      </c>
      <c r="W9" s="133">
        <f>IF(SER_hh_emi!W9=0,0,1000000*SER_hh_emi!W9/SER_hh_num!W9)</f>
        <v>39878.78490248337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1730.8314214162347</v>
      </c>
      <c r="C19" s="131">
        <f>IF(SER_hh_emi!C19=0,0,1000000*SER_hh_emi!C19/SER_hh_num!C19)</f>
        <v>1722.3548607536065</v>
      </c>
      <c r="D19" s="131">
        <f>IF(SER_hh_emi!D19=0,0,1000000*SER_hh_emi!D19/SER_hh_num!D19)</f>
        <v>1783.1091692881753</v>
      </c>
      <c r="E19" s="131">
        <f>IF(SER_hh_emi!E19=0,0,1000000*SER_hh_emi!E19/SER_hh_num!E19)</f>
        <v>1758.6123541519901</v>
      </c>
      <c r="F19" s="131">
        <f>IF(SER_hh_emi!F19=0,0,1000000*SER_hh_emi!F19/SER_hh_num!F19)</f>
        <v>1722.0013068451697</v>
      </c>
      <c r="G19" s="131">
        <f>IF(SER_hh_emi!G19=0,0,1000000*SER_hh_emi!G19/SER_hh_num!G19)</f>
        <v>1762.7793453858308</v>
      </c>
      <c r="H19" s="131">
        <f>IF(SER_hh_emi!H19=0,0,1000000*SER_hh_emi!H19/SER_hh_num!H19)</f>
        <v>1734.1163376166901</v>
      </c>
      <c r="I19" s="131">
        <f>IF(SER_hh_emi!I19=0,0,1000000*SER_hh_emi!I19/SER_hh_num!I19)</f>
        <v>1669.0744623266839</v>
      </c>
      <c r="J19" s="131">
        <f>IF(SER_hh_emi!J19=0,0,1000000*SER_hh_emi!J19/SER_hh_num!J19)</f>
        <v>1784.2941983575242</v>
      </c>
      <c r="K19" s="131">
        <f>IF(SER_hh_emi!K19=0,0,1000000*SER_hh_emi!K19/SER_hh_num!K19)</f>
        <v>1831.6810138799399</v>
      </c>
      <c r="L19" s="131">
        <f>IF(SER_hh_emi!L19=0,0,1000000*SER_hh_emi!L19/SER_hh_num!L19)</f>
        <v>1848.8014334912336</v>
      </c>
      <c r="M19" s="131">
        <f>IF(SER_hh_emi!M19=0,0,1000000*SER_hh_emi!M19/SER_hh_num!M19)</f>
        <v>1865.3324721738963</v>
      </c>
      <c r="N19" s="131">
        <f>IF(SER_hh_emi!N19=0,0,1000000*SER_hh_emi!N19/SER_hh_num!N19)</f>
        <v>1909.0247228910155</v>
      </c>
      <c r="O19" s="131">
        <f>IF(SER_hh_emi!O19=0,0,1000000*SER_hh_emi!O19/SER_hh_num!O19)</f>
        <v>1912.9795655462688</v>
      </c>
      <c r="P19" s="131">
        <f>IF(SER_hh_emi!P19=0,0,1000000*SER_hh_emi!P19/SER_hh_num!P19)</f>
        <v>1896.8125844017459</v>
      </c>
      <c r="Q19" s="131">
        <f>IF(SER_hh_emi!Q19=0,0,1000000*SER_hh_emi!Q19/SER_hh_num!Q19)</f>
        <v>1886.500749061245</v>
      </c>
      <c r="R19" s="131">
        <f>IF(SER_hh_emi!R19=0,0,1000000*SER_hh_emi!R19/SER_hh_num!R19)</f>
        <v>1864.8017301711116</v>
      </c>
      <c r="S19" s="131">
        <f>IF(SER_hh_emi!S19=0,0,1000000*SER_hh_emi!S19/SER_hh_num!S19)</f>
        <v>1823.530595360116</v>
      </c>
      <c r="T19" s="131">
        <f>IF(SER_hh_emi!T19=0,0,1000000*SER_hh_emi!T19/SER_hh_num!T19)</f>
        <v>1728.7264619716161</v>
      </c>
      <c r="U19" s="131">
        <f>IF(SER_hh_emi!U19=0,0,1000000*SER_hh_emi!U19/SER_hh_num!U19)</f>
        <v>1651.2480610126293</v>
      </c>
      <c r="V19" s="131">
        <f>IF(SER_hh_emi!V19=0,0,1000000*SER_hh_emi!V19/SER_hh_num!V19)</f>
        <v>1559.7975194102917</v>
      </c>
      <c r="W19" s="131">
        <f>IF(SER_hh_emi!W19=0,0,1000000*SER_hh_emi!W19/SER_hh_num!W19)</f>
        <v>1568.1289871114711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12341.370292730313</v>
      </c>
      <c r="C22" s="133">
        <f>IF(SER_hh_emi!C22=0,0,1000000*SER_hh_emi!C22/SER_hh_num!C22)</f>
        <v>12427.295628373822</v>
      </c>
      <c r="D22" s="133">
        <f>IF(SER_hh_emi!D22=0,0,1000000*SER_hh_emi!D22/SER_hh_num!D22)</f>
        <v>12177.694151561063</v>
      </c>
      <c r="E22" s="133">
        <f>IF(SER_hh_emi!E22=0,0,1000000*SER_hh_emi!E22/SER_hh_num!E22)</f>
        <v>12046.004185332826</v>
      </c>
      <c r="F22" s="133">
        <f>IF(SER_hh_emi!F22=0,0,1000000*SER_hh_emi!F22/SER_hh_num!F22)</f>
        <v>11812.926261325574</v>
      </c>
      <c r="G22" s="133">
        <f>IF(SER_hh_emi!G22=0,0,1000000*SER_hh_emi!G22/SER_hh_num!G22)</f>
        <v>11740.328250548318</v>
      </c>
      <c r="H22" s="133">
        <f>IF(SER_hh_emi!H22=0,0,1000000*SER_hh_emi!H22/SER_hh_num!H22)</f>
        <v>11896.947760707866</v>
      </c>
      <c r="I22" s="133">
        <f>IF(SER_hh_emi!I22=0,0,1000000*SER_hh_emi!I22/SER_hh_num!I22)</f>
        <v>11431.749340429638</v>
      </c>
      <c r="J22" s="133">
        <f>IF(SER_hh_emi!J22=0,0,1000000*SER_hh_emi!J22/SER_hh_num!J22)</f>
        <v>11615.882954604172</v>
      </c>
      <c r="K22" s="133">
        <f>IF(SER_hh_emi!K22=0,0,1000000*SER_hh_emi!K22/SER_hh_num!K22)</f>
        <v>11429.975953058494</v>
      </c>
      <c r="L22" s="133">
        <f>IF(SER_hh_emi!L22=0,0,1000000*SER_hh_emi!L22/SER_hh_num!L22)</f>
        <v>11330.195309018607</v>
      </c>
      <c r="M22" s="133">
        <f>IF(SER_hh_emi!M22=0,0,1000000*SER_hh_emi!M22/SER_hh_num!M22)</f>
        <v>11404.493126104384</v>
      </c>
      <c r="N22" s="133">
        <f>IF(SER_hh_emi!N22=0,0,1000000*SER_hh_emi!N22/SER_hh_num!N22)</f>
        <v>11391.904069631513</v>
      </c>
      <c r="O22" s="133">
        <f>IF(SER_hh_emi!O22=0,0,1000000*SER_hh_emi!O22/SER_hh_num!O22)</f>
        <v>11311.469028031948</v>
      </c>
      <c r="P22" s="133">
        <f>IF(SER_hh_emi!P22=0,0,1000000*SER_hh_emi!P22/SER_hh_num!P22)</f>
        <v>11173.512760078607</v>
      </c>
      <c r="Q22" s="133">
        <f>IF(SER_hh_emi!Q22=0,0,1000000*SER_hh_emi!Q22/SER_hh_num!Q22)</f>
        <v>11178.510245695881</v>
      </c>
      <c r="R22" s="133">
        <f>IF(SER_hh_emi!R22=0,0,1000000*SER_hh_emi!R22/SER_hh_num!R22)</f>
        <v>11027.956894147081</v>
      </c>
      <c r="S22" s="133">
        <f>IF(SER_hh_emi!S22=0,0,1000000*SER_hh_emi!S22/SER_hh_num!S22)</f>
        <v>10897.684735060957</v>
      </c>
      <c r="T22" s="133">
        <f>IF(SER_hh_emi!T22=0,0,1000000*SER_hh_emi!T22/SER_hh_num!T22)</f>
        <v>10609.508941479715</v>
      </c>
      <c r="U22" s="133">
        <f>IF(SER_hh_emi!U22=0,0,1000000*SER_hh_emi!U22/SER_hh_num!U22)</f>
        <v>10042.310750626966</v>
      </c>
      <c r="V22" s="133">
        <f>IF(SER_hh_emi!V22=0,0,1000000*SER_hh_emi!V22/SER_hh_num!V22)</f>
        <v>9038.9414358125305</v>
      </c>
      <c r="W22" s="133">
        <f>IF(SER_hh_emi!W22=0,0,1000000*SER_hh_emi!W22/SER_hh_num!W22)</f>
        <v>9396.7130700760936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8964.8092437330142</v>
      </c>
      <c r="C23" s="133">
        <f>IF(SER_hh_emi!C23=0,0,1000000*SER_hh_emi!C23/SER_hh_num!C23)</f>
        <v>8686.1887935422037</v>
      </c>
      <c r="D23" s="133">
        <f>IF(SER_hh_emi!D23=0,0,1000000*SER_hh_emi!D23/SER_hh_num!D23)</f>
        <v>8835.3404968881678</v>
      </c>
      <c r="E23" s="133">
        <f>IF(SER_hh_emi!E23=0,0,1000000*SER_hh_emi!E23/SER_hh_num!E23)</f>
        <v>8283.7691296622543</v>
      </c>
      <c r="F23" s="133">
        <f>IF(SER_hh_emi!F23=0,0,1000000*SER_hh_emi!F23/SER_hh_num!F23)</f>
        <v>7988.8031687992088</v>
      </c>
      <c r="G23" s="133">
        <f>IF(SER_hh_emi!G23=0,0,1000000*SER_hh_emi!G23/SER_hh_num!G23)</f>
        <v>8131.0758949247074</v>
      </c>
      <c r="H23" s="133">
        <f>IF(SER_hh_emi!H23=0,0,1000000*SER_hh_emi!H23/SER_hh_num!H23)</f>
        <v>7753.1628046865471</v>
      </c>
      <c r="I23" s="133">
        <f>IF(SER_hh_emi!I23=0,0,1000000*SER_hh_emi!I23/SER_hh_num!I23)</f>
        <v>7499.0067517018806</v>
      </c>
      <c r="J23" s="133">
        <f>IF(SER_hh_emi!J23=0,0,1000000*SER_hh_emi!J23/SER_hh_num!J23)</f>
        <v>7862.2804427235915</v>
      </c>
      <c r="K23" s="133">
        <f>IF(SER_hh_emi!K23=0,0,1000000*SER_hh_emi!K23/SER_hh_num!K23)</f>
        <v>7837.9860299956936</v>
      </c>
      <c r="L23" s="133">
        <f>IF(SER_hh_emi!L23=0,0,1000000*SER_hh_emi!L23/SER_hh_num!L23)</f>
        <v>7545.3331838939894</v>
      </c>
      <c r="M23" s="133">
        <f>IF(SER_hh_emi!M23=0,0,1000000*SER_hh_emi!M23/SER_hh_num!M23)</f>
        <v>7546.503921041216</v>
      </c>
      <c r="N23" s="133">
        <f>IF(SER_hh_emi!N23=0,0,1000000*SER_hh_emi!N23/SER_hh_num!N23)</f>
        <v>7429.6533219555049</v>
      </c>
      <c r="O23" s="133">
        <f>IF(SER_hh_emi!O23=0,0,1000000*SER_hh_emi!O23/SER_hh_num!O23)</f>
        <v>7343.2150039611624</v>
      </c>
      <c r="P23" s="133">
        <f>IF(SER_hh_emi!P23=0,0,1000000*SER_hh_emi!P23/SER_hh_num!P23)</f>
        <v>7193.0034079813504</v>
      </c>
      <c r="Q23" s="133">
        <f>IF(SER_hh_emi!Q23=0,0,1000000*SER_hh_emi!Q23/SER_hh_num!Q23)</f>
        <v>7166.9396133110722</v>
      </c>
      <c r="R23" s="133">
        <f>IF(SER_hh_emi!R23=0,0,1000000*SER_hh_emi!R23/SER_hh_num!R23)</f>
        <v>7121.6806583677844</v>
      </c>
      <c r="S23" s="133">
        <f>IF(SER_hh_emi!S23=0,0,1000000*SER_hh_emi!S23/SER_hh_num!S23)</f>
        <v>7048.2545059096883</v>
      </c>
      <c r="T23" s="133">
        <f>IF(SER_hh_emi!T23=0,0,1000000*SER_hh_emi!T23/SER_hh_num!T23)</f>
        <v>6589.9545510981134</v>
      </c>
      <c r="U23" s="133">
        <f>IF(SER_hh_emi!U23=0,0,1000000*SER_hh_emi!U23/SER_hh_num!U23)</f>
        <v>6296.9089193616528</v>
      </c>
      <c r="V23" s="133">
        <f>IF(SER_hh_emi!V23=0,0,1000000*SER_hh_emi!V23/SER_hh_num!V23)</f>
        <v>5946.2377444968542</v>
      </c>
      <c r="W23" s="133">
        <f>IF(SER_hh_emi!W23=0,0,1000000*SER_hh_emi!W23/SER_hh_num!W23)</f>
        <v>5949.2771497965041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1049.9592698911365</v>
      </c>
      <c r="C29" s="131">
        <f>IF(SER_hh_emi!C29=0,0,1000000*SER_hh_emi!C29/SER_hh_num!C29)</f>
        <v>2163.0917402544196</v>
      </c>
      <c r="D29" s="131">
        <f>IF(SER_hh_emi!D29=0,0,1000000*SER_hh_emi!D29/SER_hh_num!D29)</f>
        <v>2270.6161586196386</v>
      </c>
      <c r="E29" s="131">
        <f>IF(SER_hh_emi!E29=0,0,1000000*SER_hh_emi!E29/SER_hh_num!E29)</f>
        <v>2688.8665478367807</v>
      </c>
      <c r="F29" s="131">
        <f>IF(SER_hh_emi!F29=0,0,1000000*SER_hh_emi!F29/SER_hh_num!F29)</f>
        <v>2532.8733592398999</v>
      </c>
      <c r="G29" s="131">
        <f>IF(SER_hh_emi!G29=0,0,1000000*SER_hh_emi!G29/SER_hh_num!G29)</f>
        <v>2498.6411490621094</v>
      </c>
      <c r="H29" s="131">
        <f>IF(SER_hh_emi!H29=0,0,1000000*SER_hh_emi!H29/SER_hh_num!H29)</f>
        <v>2389.7025300626965</v>
      </c>
      <c r="I29" s="131">
        <f>IF(SER_hh_emi!I29=0,0,1000000*SER_hh_emi!I29/SER_hh_num!I29)</f>
        <v>2374.6641475714414</v>
      </c>
      <c r="J29" s="131">
        <f>IF(SER_hh_emi!J29=0,0,1000000*SER_hh_emi!J29/SER_hh_num!J29)</f>
        <v>2321.2414545847087</v>
      </c>
      <c r="K29" s="131">
        <f>IF(SER_hh_emi!K29=0,0,1000000*SER_hh_emi!K29/SER_hh_num!K29)</f>
        <v>2428.8752738341527</v>
      </c>
      <c r="L29" s="131">
        <f>IF(SER_hh_emi!L29=0,0,1000000*SER_hh_emi!L29/SER_hh_num!L29)</f>
        <v>2361.0900338141896</v>
      </c>
      <c r="M29" s="131">
        <f>IF(SER_hh_emi!M29=0,0,1000000*SER_hh_emi!M29/SER_hh_num!M29)</f>
        <v>2068.1484965185414</v>
      </c>
      <c r="N29" s="131">
        <f>IF(SER_hh_emi!N29=0,0,1000000*SER_hh_emi!N29/SER_hh_num!N29)</f>
        <v>1837.3291636085098</v>
      </c>
      <c r="O29" s="131">
        <f>IF(SER_hh_emi!O29=0,0,1000000*SER_hh_emi!O29/SER_hh_num!O29)</f>
        <v>1635.9799324988569</v>
      </c>
      <c r="P29" s="131">
        <f>IF(SER_hh_emi!P29=0,0,1000000*SER_hh_emi!P29/SER_hh_num!P29)</f>
        <v>1799.9015406474298</v>
      </c>
      <c r="Q29" s="131">
        <f>IF(SER_hh_emi!Q29=0,0,1000000*SER_hh_emi!Q29/SER_hh_num!Q29)</f>
        <v>1737.8517892483967</v>
      </c>
      <c r="R29" s="131">
        <f>IF(SER_hh_emi!R29=0,0,1000000*SER_hh_emi!R29/SER_hh_num!R29)</f>
        <v>2269.2939932152694</v>
      </c>
      <c r="S29" s="131">
        <f>IF(SER_hh_emi!S29=0,0,1000000*SER_hh_emi!S29/SER_hh_num!S29)</f>
        <v>2752.0549315011049</v>
      </c>
      <c r="T29" s="131">
        <f>IF(SER_hh_emi!T29=0,0,1000000*SER_hh_emi!T29/SER_hh_num!T29)</f>
        <v>2726.2152402054558</v>
      </c>
      <c r="U29" s="131">
        <f>IF(SER_hh_emi!U29=0,0,1000000*SER_hh_emi!U29/SER_hh_num!U29)</f>
        <v>2661.9904756205087</v>
      </c>
      <c r="V29" s="131">
        <f>IF(SER_hh_emi!V29=0,0,1000000*SER_hh_emi!V29/SER_hh_num!V29)</f>
        <v>2747.2216679148237</v>
      </c>
      <c r="W29" s="131">
        <f>IF(SER_hh_emi!W29=0,0,1000000*SER_hh_emi!W29/SER_hh_num!W29)</f>
        <v>2784.942646729553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17249.352749135724</v>
      </c>
      <c r="D30" s="133">
        <f>IF(SER_hh_emi!D30=0,0,1000000*SER_hh_emi!D30/SER_hh_num!D30)</f>
        <v>5366.1181751010627</v>
      </c>
      <c r="E30" s="133">
        <f>IF(SER_hh_emi!E30=0,0,1000000*SER_hh_emi!E30/SER_hh_num!E30)</f>
        <v>13821.522558795094</v>
      </c>
      <c r="F30" s="133">
        <f>IF(SER_hh_emi!F30=0,0,1000000*SER_hh_emi!F30/SER_hh_num!F30)</f>
        <v>9938.2129028498475</v>
      </c>
      <c r="G30" s="133">
        <f>IF(SER_hh_emi!G30=0,0,1000000*SER_hh_emi!G30/SER_hh_num!G30)</f>
        <v>9555.8605524236536</v>
      </c>
      <c r="H30" s="133">
        <f>IF(SER_hh_emi!H30=0,0,1000000*SER_hh_emi!H30/SER_hh_num!H30)</f>
        <v>10095.44657042538</v>
      </c>
      <c r="I30" s="133">
        <f>IF(SER_hh_emi!I30=0,0,1000000*SER_hh_emi!I30/SER_hh_num!I30)</f>
        <v>10656.738694320491</v>
      </c>
      <c r="J30" s="133">
        <f>IF(SER_hh_emi!J30=0,0,1000000*SER_hh_emi!J30/SER_hh_num!J30)</f>
        <v>8287.2110668074056</v>
      </c>
      <c r="K30" s="133">
        <f>IF(SER_hh_emi!K30=0,0,1000000*SER_hh_emi!K30/SER_hh_num!K30)</f>
        <v>9517.7461033588115</v>
      </c>
      <c r="L30" s="133">
        <f>IF(SER_hh_emi!L30=0,0,1000000*SER_hh_emi!L30/SER_hh_num!L30)</f>
        <v>10560.118294315276</v>
      </c>
      <c r="M30" s="133">
        <f>IF(SER_hh_emi!M30=0,0,1000000*SER_hh_emi!M30/SER_hh_num!M30)</f>
        <v>5921.3462293796438</v>
      </c>
      <c r="N30" s="133">
        <f>IF(SER_hh_emi!N30=0,0,1000000*SER_hh_emi!N30/SER_hh_num!N30)</f>
        <v>9934.5969492451823</v>
      </c>
      <c r="O30" s="133">
        <f>IF(SER_hh_emi!O30=0,0,1000000*SER_hh_emi!O30/SER_hh_num!O30)</f>
        <v>8519.5648115487729</v>
      </c>
      <c r="P30" s="133">
        <f>IF(SER_hh_emi!P30=0,0,1000000*SER_hh_emi!P30/SER_hh_num!P30)</f>
        <v>9575.4453532631305</v>
      </c>
      <c r="Q30" s="133">
        <f>IF(SER_hh_emi!Q30=0,0,1000000*SER_hh_emi!Q30/SER_hh_num!Q30)</f>
        <v>7337.4205384197085</v>
      </c>
      <c r="R30" s="133">
        <f>IF(SER_hh_emi!R30=0,0,1000000*SER_hh_emi!R30/SER_hh_num!R30)</f>
        <v>9076.0050483411487</v>
      </c>
      <c r="S30" s="133">
        <f>IF(SER_hh_emi!S30=0,0,1000000*SER_hh_emi!S30/SER_hh_num!S30)</f>
        <v>10985.436309029395</v>
      </c>
      <c r="T30" s="133">
        <f>IF(SER_hh_emi!T30=0,0,1000000*SER_hh_emi!T30/SER_hh_num!T30)</f>
        <v>9271.0819602846204</v>
      </c>
      <c r="U30" s="133">
        <f>IF(SER_hh_emi!U30=0,0,1000000*SER_hh_emi!U30/SER_hh_num!U30)</f>
        <v>7768.0094512518735</v>
      </c>
      <c r="V30" s="133">
        <f>IF(SER_hh_emi!V30=0,0,1000000*SER_hh_emi!V30/SER_hh_num!V30)</f>
        <v>8250.255088634518</v>
      </c>
      <c r="W30" s="133">
        <f>IF(SER_hh_emi!W30=0,0,1000000*SER_hh_emi!W30/SER_hh_num!W30)</f>
        <v>8922.327540277709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8266.4746759095888</v>
      </c>
      <c r="C31" s="133">
        <f>IF(SER_hh_emi!C31=0,0,1000000*SER_hh_emi!C31/SER_hh_num!C31)</f>
        <v>10434.092485737778</v>
      </c>
      <c r="D31" s="133">
        <f>IF(SER_hh_emi!D31=0,0,1000000*SER_hh_emi!D31/SER_hh_num!D31)</f>
        <v>10481.770230541015</v>
      </c>
      <c r="E31" s="133">
        <f>IF(SER_hh_emi!E31=0,0,1000000*SER_hh_emi!E31/SER_hh_num!E31)</f>
        <v>8985.9406155913657</v>
      </c>
      <c r="F31" s="133">
        <f>IF(SER_hh_emi!F31=0,0,1000000*SER_hh_emi!F31/SER_hh_num!F31)</f>
        <v>9113.3645145483861</v>
      </c>
      <c r="G31" s="133">
        <f>IF(SER_hh_emi!G31=0,0,1000000*SER_hh_emi!G31/SER_hh_num!G31)</f>
        <v>8996.5236443682224</v>
      </c>
      <c r="H31" s="133">
        <f>IF(SER_hh_emi!H31=0,0,1000000*SER_hh_emi!H31/SER_hh_num!H31)</f>
        <v>8638.5159382836573</v>
      </c>
      <c r="I31" s="133">
        <f>IF(SER_hh_emi!I31=0,0,1000000*SER_hh_emi!I31/SER_hh_num!I31)</f>
        <v>8562.3349938247793</v>
      </c>
      <c r="J31" s="133">
        <f>IF(SER_hh_emi!J31=0,0,1000000*SER_hh_emi!J31/SER_hh_num!J31)</f>
        <v>8777.5245529653239</v>
      </c>
      <c r="K31" s="133">
        <f>IF(SER_hh_emi!K31=0,0,1000000*SER_hh_emi!K31/SER_hh_num!K31)</f>
        <v>8933.8722386362369</v>
      </c>
      <c r="L31" s="133">
        <f>IF(SER_hh_emi!L31=0,0,1000000*SER_hh_emi!L31/SER_hh_num!L31)</f>
        <v>8769.5843797345551</v>
      </c>
      <c r="M31" s="133">
        <f>IF(SER_hh_emi!M31=0,0,1000000*SER_hh_emi!M31/SER_hh_num!M31)</f>
        <v>8908.1355844187638</v>
      </c>
      <c r="N31" s="133">
        <f>IF(SER_hh_emi!N31=0,0,1000000*SER_hh_emi!N31/SER_hh_num!N31)</f>
        <v>8007.4561967302461</v>
      </c>
      <c r="O31" s="133">
        <f>IF(SER_hh_emi!O31=0,0,1000000*SER_hh_emi!O31/SER_hh_num!O31)</f>
        <v>7752.3842704751924</v>
      </c>
      <c r="P31" s="133">
        <f>IF(SER_hh_emi!P31=0,0,1000000*SER_hh_emi!P31/SER_hh_num!P31)</f>
        <v>8094.8514859602446</v>
      </c>
      <c r="Q31" s="133">
        <f>IF(SER_hh_emi!Q31=0,0,1000000*SER_hh_emi!Q31/SER_hh_num!Q31)</f>
        <v>7524.9312145143231</v>
      </c>
      <c r="R31" s="133">
        <f>IF(SER_hh_emi!R31=0,0,1000000*SER_hh_emi!R31/SER_hh_num!R31)</f>
        <v>7999.2780577446465</v>
      </c>
      <c r="S31" s="133">
        <f>IF(SER_hh_emi!S31=0,0,1000000*SER_hh_emi!S31/SER_hh_num!S31)</f>
        <v>7955.870345123948</v>
      </c>
      <c r="T31" s="133">
        <f>IF(SER_hh_emi!T31=0,0,1000000*SER_hh_emi!T31/SER_hh_num!T31)</f>
        <v>7764.8896717489224</v>
      </c>
      <c r="U31" s="133">
        <f>IF(SER_hh_emi!U31=0,0,1000000*SER_hh_emi!U31/SER_hh_num!U31)</f>
        <v>7670.6282996183945</v>
      </c>
      <c r="V31" s="133">
        <f>IF(SER_hh_emi!V31=0,0,1000000*SER_hh_emi!V31/SER_hh_num!V31)</f>
        <v>7392.099540932496</v>
      </c>
      <c r="W31" s="133">
        <f>IF(SER_hh_emi!W31=0,0,1000000*SER_hh_emi!W31/SER_hh_num!W31)</f>
        <v>7315.7529397446033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420.68808577658541</v>
      </c>
      <c r="C3" s="126">
        <f>IF(SER_hh_fech!C3=0,0,SER_hh_fech!C3/SER_summary!C$26)</f>
        <v>429.28488777350253</v>
      </c>
      <c r="D3" s="126">
        <f>IF(SER_hh_fech!D3=0,0,SER_hh_fech!D3/SER_summary!D$26)</f>
        <v>435.44055171279774</v>
      </c>
      <c r="E3" s="126">
        <f>IF(SER_hh_fech!E3=0,0,SER_hh_fech!E3/SER_summary!E$26)</f>
        <v>436.45466812020749</v>
      </c>
      <c r="F3" s="126">
        <f>IF(SER_hh_fech!F3=0,0,SER_hh_fech!F3/SER_summary!F$26)</f>
        <v>434.7094509414116</v>
      </c>
      <c r="G3" s="126">
        <f>IF(SER_hh_fech!G3=0,0,SER_hh_fech!G3/SER_summary!G$26)</f>
        <v>409.37691297813416</v>
      </c>
      <c r="H3" s="126">
        <f>IF(SER_hh_fech!H3=0,0,SER_hh_fech!H3/SER_summary!H$26)</f>
        <v>412.77222647971746</v>
      </c>
      <c r="I3" s="126">
        <f>IF(SER_hh_fech!I3=0,0,SER_hh_fech!I3/SER_summary!I$26)</f>
        <v>415.20242650708184</v>
      </c>
      <c r="J3" s="126">
        <f>IF(SER_hh_fech!J3=0,0,SER_hh_fech!J3/SER_summary!J$26)</f>
        <v>347.6391848184187</v>
      </c>
      <c r="K3" s="126">
        <f>IF(SER_hh_fech!K3=0,0,SER_hh_fech!K3/SER_summary!K$26)</f>
        <v>318.80581855175757</v>
      </c>
      <c r="L3" s="126">
        <f>IF(SER_hh_fech!L3=0,0,SER_hh_fech!L3/SER_summary!L$26)</f>
        <v>336.94721678449605</v>
      </c>
      <c r="M3" s="126">
        <f>IF(SER_hh_fech!M3=0,0,SER_hh_fech!M3/SER_summary!M$26)</f>
        <v>300.7295314578559</v>
      </c>
      <c r="N3" s="126">
        <f>IF(SER_hh_fech!N3=0,0,SER_hh_fech!N3/SER_summary!N$26)</f>
        <v>346.47228140833943</v>
      </c>
      <c r="O3" s="126">
        <f>IF(SER_hh_fech!O3=0,0,SER_hh_fech!O3/SER_summary!O$26)</f>
        <v>325.5896644958782</v>
      </c>
      <c r="P3" s="126">
        <f>IF(SER_hh_fech!P3=0,0,SER_hh_fech!P3/SER_summary!P$26)</f>
        <v>323.77816684029443</v>
      </c>
      <c r="Q3" s="126">
        <f>IF(SER_hh_fech!Q3=0,0,SER_hh_fech!Q3/SER_summary!Q$26)</f>
        <v>301.32553194847179</v>
      </c>
      <c r="R3" s="126">
        <f>IF(SER_hh_fech!R3=0,0,SER_hh_fech!R3/SER_summary!R$26)</f>
        <v>304.55560601874663</v>
      </c>
      <c r="S3" s="126">
        <f>IF(SER_hh_fech!S3=0,0,SER_hh_fech!S3/SER_summary!S$26)</f>
        <v>308.85400396246536</v>
      </c>
      <c r="T3" s="126">
        <f>IF(SER_hh_fech!T3=0,0,SER_hh_fech!T3/SER_summary!T$26)</f>
        <v>296.90673265740929</v>
      </c>
      <c r="U3" s="126">
        <f>IF(SER_hh_fech!U3=0,0,SER_hh_fech!U3/SER_summary!U$26)</f>
        <v>278.80684382093159</v>
      </c>
      <c r="V3" s="126">
        <f>IF(SER_hh_fech!V3=0,0,SER_hh_fech!V3/SER_summary!V$26)</f>
        <v>267.96591054054102</v>
      </c>
      <c r="W3" s="126">
        <f>IF(SER_hh_fech!W3=0,0,SER_hh_fech!W3/SER_summary!W$26)</f>
        <v>299.03807471006564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333.74807306530079</v>
      </c>
      <c r="C4" s="131">
        <f>IF(SER_hh_fech!C4=0,0,SER_hh_fech!C4/SER_summary!C$26)</f>
        <v>341.22112225880176</v>
      </c>
      <c r="D4" s="131">
        <f>IF(SER_hh_fech!D4=0,0,SER_hh_fech!D4/SER_summary!D$26)</f>
        <v>351.31323866608028</v>
      </c>
      <c r="E4" s="131">
        <f>IF(SER_hh_fech!E4=0,0,SER_hh_fech!E4/SER_summary!E$26)</f>
        <v>353.90462289069023</v>
      </c>
      <c r="F4" s="131">
        <f>IF(SER_hh_fech!F4=0,0,SER_hh_fech!F4/SER_summary!F$26)</f>
        <v>352.33266052537761</v>
      </c>
      <c r="G4" s="131">
        <f>IF(SER_hh_fech!G4=0,0,SER_hh_fech!G4/SER_summary!G$26)</f>
        <v>327.8067232053063</v>
      </c>
      <c r="H4" s="131">
        <f>IF(SER_hh_fech!H4=0,0,SER_hh_fech!H4/SER_summary!H$26)</f>
        <v>332.04905224329485</v>
      </c>
      <c r="I4" s="131">
        <f>IF(SER_hh_fech!I4=0,0,SER_hh_fech!I4/SER_summary!I$26)</f>
        <v>336.77334157476673</v>
      </c>
      <c r="J4" s="131">
        <f>IF(SER_hh_fech!J4=0,0,SER_hh_fech!J4/SER_summary!J$26)</f>
        <v>269.90018709180345</v>
      </c>
      <c r="K4" s="131">
        <f>IF(SER_hh_fech!K4=0,0,SER_hh_fech!K4/SER_summary!K$26)</f>
        <v>239.57845908544644</v>
      </c>
      <c r="L4" s="131">
        <f>IF(SER_hh_fech!L4=0,0,SER_hh_fech!L4/SER_summary!L$26)</f>
        <v>258.64352799277231</v>
      </c>
      <c r="M4" s="131">
        <f>IF(SER_hh_fech!M4=0,0,SER_hh_fech!M4/SER_summary!M$26)</f>
        <v>223.00529395915819</v>
      </c>
      <c r="N4" s="131">
        <f>IF(SER_hh_fech!N4=0,0,SER_hh_fech!N4/SER_summary!N$26)</f>
        <v>269.45825616739961</v>
      </c>
      <c r="O4" s="131">
        <f>IF(SER_hh_fech!O4=0,0,SER_hh_fech!O4/SER_summary!O$26)</f>
        <v>248.67790127810554</v>
      </c>
      <c r="P4" s="131">
        <f>IF(SER_hh_fech!P4=0,0,SER_hh_fech!P4/SER_summary!P$26)</f>
        <v>248.16389768851258</v>
      </c>
      <c r="Q4" s="131">
        <f>IF(SER_hh_fech!Q4=0,0,SER_hh_fech!Q4/SER_summary!Q$26)</f>
        <v>226.59993318526088</v>
      </c>
      <c r="R4" s="131">
        <f>IF(SER_hh_fech!R4=0,0,SER_hh_fech!R4/SER_summary!R$26)</f>
        <v>229.76941982130259</v>
      </c>
      <c r="S4" s="131">
        <f>IF(SER_hh_fech!S4=0,0,SER_hh_fech!S4/SER_summary!S$26)</f>
        <v>234.31466847968227</v>
      </c>
      <c r="T4" s="131">
        <f>IF(SER_hh_fech!T4=0,0,SER_hh_fech!T4/SER_summary!T$26)</f>
        <v>224.12157898836222</v>
      </c>
      <c r="U4" s="131">
        <f>IF(SER_hh_fech!U4=0,0,SER_hh_fech!U4/SER_summary!U$26)</f>
        <v>208.41662688348478</v>
      </c>
      <c r="V4" s="131">
        <f>IF(SER_hh_fech!V4=0,0,SER_hh_fech!V4/SER_summary!V$26)</f>
        <v>203.20788171882424</v>
      </c>
      <c r="W4" s="131">
        <f>IF(SER_hh_fech!W4=0,0,SER_hh_fech!W4/SER_summary!W$26)</f>
        <v>231.48461046790726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388.59229759236808</v>
      </c>
      <c r="C5" s="133">
        <f>IF(SER_hh_fech!C5=0,0,SER_hh_fech!C5/SER_summary!C$26)</f>
        <v>400.14778618859708</v>
      </c>
      <c r="D5" s="133">
        <f>IF(SER_hh_fech!D5=0,0,SER_hh_fech!D5/SER_summary!D$26)</f>
        <v>404.95178250296277</v>
      </c>
      <c r="E5" s="133">
        <f>IF(SER_hh_fech!E5=0,0,SER_hh_fech!E5/SER_summary!E$26)</f>
        <v>406.06402251442591</v>
      </c>
      <c r="F5" s="133">
        <f>IF(SER_hh_fech!F5=0,0,SER_hh_fech!F5/SER_summary!F$26)</f>
        <v>417.67512663590571</v>
      </c>
      <c r="G5" s="133">
        <f>IF(SER_hh_fech!G5=0,0,SER_hh_fech!G5/SER_summary!G$26)</f>
        <v>362.28936468916197</v>
      </c>
      <c r="H5" s="133">
        <f>IF(SER_hh_fech!H5=0,0,SER_hh_fech!H5/SER_summary!H$26)</f>
        <v>379.82881057329212</v>
      </c>
      <c r="I5" s="133">
        <f>IF(SER_hh_fech!I5=0,0,SER_hh_fech!I5/SER_summary!I$26)</f>
        <v>380.2036516652044</v>
      </c>
      <c r="J5" s="133">
        <f>IF(SER_hh_fech!J5=0,0,SER_hh_fech!J5/SER_summary!J$26)</f>
        <v>319.45437410322279</v>
      </c>
      <c r="K5" s="133">
        <f>IF(SER_hh_fech!K5=0,0,SER_hh_fech!K5/SER_summary!K$26)</f>
        <v>235.70821260691804</v>
      </c>
      <c r="L5" s="133">
        <f>IF(SER_hh_fech!L5=0,0,SER_hh_fech!L5/SER_summary!L$26)</f>
        <v>317.36706110455884</v>
      </c>
      <c r="M5" s="133">
        <f>IF(SER_hh_fech!M5=0,0,SER_hh_fech!M5/SER_summary!M$26)</f>
        <v>297.78907908981853</v>
      </c>
      <c r="N5" s="133">
        <f>IF(SER_hh_fech!N5=0,0,SER_hh_fech!N5/SER_summary!N$26)</f>
        <v>207.65250770906331</v>
      </c>
      <c r="O5" s="133">
        <f>IF(SER_hh_fech!O5=0,0,SER_hh_fech!O5/SER_summary!O$26)</f>
        <v>269.29948385335683</v>
      </c>
      <c r="P5" s="133">
        <f>IF(SER_hh_fech!P5=0,0,SER_hh_fech!P5/SER_summary!P$26)</f>
        <v>258.88479405692874</v>
      </c>
      <c r="Q5" s="133">
        <f>IF(SER_hh_fech!Q5=0,0,SER_hh_fech!Q5/SER_summary!Q$26)</f>
        <v>231.56002213210934</v>
      </c>
      <c r="R5" s="133">
        <f>IF(SER_hh_fech!R5=0,0,SER_hh_fech!R5/SER_summary!R$26)</f>
        <v>259.96871503838497</v>
      </c>
      <c r="S5" s="133">
        <f>IF(SER_hh_fech!S5=0,0,SER_hh_fech!S5/SER_summary!S$26)</f>
        <v>223.01441128879569</v>
      </c>
      <c r="T5" s="133">
        <f>IF(SER_hh_fech!T5=0,0,SER_hh_fech!T5/SER_summary!T$26)</f>
        <v>258.8404561305145</v>
      </c>
      <c r="U5" s="133">
        <f>IF(SER_hh_fech!U5=0,0,SER_hh_fech!U5/SER_summary!U$26)</f>
        <v>242.38619892947767</v>
      </c>
      <c r="V5" s="133">
        <f>IF(SER_hh_fech!V5=0,0,SER_hh_fech!V5/SER_summary!V$26)</f>
        <v>192.95433578098087</v>
      </c>
      <c r="W5" s="133">
        <f>IF(SER_hh_fech!W5=0,0,SER_hh_fech!W5/SER_summary!W$26)</f>
        <v>278.30143089126739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422.49611334596</v>
      </c>
      <c r="C7" s="133">
        <f>IF(SER_hh_fech!C7=0,0,SER_hh_fech!C7/SER_summary!C$26)</f>
        <v>460.81422386123393</v>
      </c>
      <c r="D7" s="133">
        <f>IF(SER_hh_fech!D7=0,0,SER_hh_fech!D7/SER_summary!D$26)</f>
        <v>439.75865418916959</v>
      </c>
      <c r="E7" s="133">
        <f>IF(SER_hh_fech!E7=0,0,SER_hh_fech!E7/SER_summary!E$26)</f>
        <v>467.91449220480786</v>
      </c>
      <c r="F7" s="133">
        <f>IF(SER_hh_fech!F7=0,0,SER_hh_fech!F7/SER_summary!F$26)</f>
        <v>468.80174428558831</v>
      </c>
      <c r="G7" s="133">
        <f>IF(SER_hh_fech!G7=0,0,SER_hh_fech!G7/SER_summary!G$26)</f>
        <v>372.49938396260029</v>
      </c>
      <c r="H7" s="133">
        <f>IF(SER_hh_fech!H7=0,0,SER_hh_fech!H7/SER_summary!H$26)</f>
        <v>476.53863926280769</v>
      </c>
      <c r="I7" s="133">
        <f>IF(SER_hh_fech!I7=0,0,SER_hh_fech!I7/SER_summary!I$26)</f>
        <v>394.11338958199775</v>
      </c>
      <c r="J7" s="133">
        <f>IF(SER_hh_fech!J7=0,0,SER_hh_fech!J7/SER_summary!J$26)</f>
        <v>331.85511381684751</v>
      </c>
      <c r="K7" s="133">
        <f>IF(SER_hh_fech!K7=0,0,SER_hh_fech!K7/SER_summary!K$26)</f>
        <v>314.16293738926242</v>
      </c>
      <c r="L7" s="133">
        <f>IF(SER_hh_fech!L7=0,0,SER_hh_fech!L7/SER_summary!L$26)</f>
        <v>309.6899690210164</v>
      </c>
      <c r="M7" s="133">
        <f>IF(SER_hh_fech!M7=0,0,SER_hh_fech!M7/SER_summary!M$26)</f>
        <v>251.98039625200343</v>
      </c>
      <c r="N7" s="133">
        <f>IF(SER_hh_fech!N7=0,0,SER_hh_fech!N7/SER_summary!N$26)</f>
        <v>316.75881341949116</v>
      </c>
      <c r="O7" s="133">
        <f>IF(SER_hh_fech!O7=0,0,SER_hh_fech!O7/SER_summary!O$26)</f>
        <v>291.25929515877471</v>
      </c>
      <c r="P7" s="133">
        <f>IF(SER_hh_fech!P7=0,0,SER_hh_fech!P7/SER_summary!P$26)</f>
        <v>294.46143899191588</v>
      </c>
      <c r="Q7" s="133">
        <f>IF(SER_hh_fech!Q7=0,0,SER_hh_fech!Q7/SER_summary!Q$26)</f>
        <v>307.68671214693103</v>
      </c>
      <c r="R7" s="133">
        <f>IF(SER_hh_fech!R7=0,0,SER_hh_fech!R7/SER_summary!R$26)</f>
        <v>219.34206831914926</v>
      </c>
      <c r="S7" s="133">
        <f>IF(SER_hh_fech!S7=0,0,SER_hh_fech!S7/SER_summary!S$26)</f>
        <v>247.35966954816087</v>
      </c>
      <c r="T7" s="133">
        <f>IF(SER_hh_fech!T7=0,0,SER_hh_fech!T7/SER_summary!T$26)</f>
        <v>277.51971743629082</v>
      </c>
      <c r="U7" s="133">
        <f>IF(SER_hh_fech!U7=0,0,SER_hh_fech!U7/SER_summary!U$26)</f>
        <v>205.51612753561113</v>
      </c>
      <c r="V7" s="133">
        <f>IF(SER_hh_fech!V7=0,0,SER_hh_fech!V7/SER_summary!V$26)</f>
        <v>220.64666964123725</v>
      </c>
      <c r="W7" s="133">
        <f>IF(SER_hh_fech!W7=0,0,SER_hh_fech!W7/SER_summary!W$26)</f>
        <v>279.1583802136351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403.75944403603893</v>
      </c>
      <c r="C9" s="133">
        <f>IF(SER_hh_fech!C9=0,0,SER_hh_fech!C9/SER_summary!C$26)</f>
        <v>346.88767893130364</v>
      </c>
      <c r="D9" s="133">
        <f>IF(SER_hh_fech!D9=0,0,SER_hh_fech!D9/SER_summary!D$26)</f>
        <v>411.16875370642367</v>
      </c>
      <c r="E9" s="133">
        <f>IF(SER_hh_fech!E9=0,0,SER_hh_fech!E9/SER_summary!E$26)</f>
        <v>380.53032046823591</v>
      </c>
      <c r="F9" s="133">
        <f>IF(SER_hh_fech!F9=0,0,SER_hh_fech!F9/SER_summary!F$26)</f>
        <v>392.75121920084638</v>
      </c>
      <c r="G9" s="133">
        <f>IF(SER_hh_fech!G9=0,0,SER_hh_fech!G9/SER_summary!G$26)</f>
        <v>353.86264096272242</v>
      </c>
      <c r="H9" s="133">
        <f>IF(SER_hh_fech!H9=0,0,SER_hh_fech!H9/SER_summary!H$26)</f>
        <v>343.79755710909717</v>
      </c>
      <c r="I9" s="133">
        <f>IF(SER_hh_fech!I9=0,0,SER_hh_fech!I9/SER_summary!I$26)</f>
        <v>344.69595646496288</v>
      </c>
      <c r="J9" s="133">
        <f>IF(SER_hh_fech!J9=0,0,SER_hh_fech!J9/SER_summary!J$26)</f>
        <v>300.90879016979494</v>
      </c>
      <c r="K9" s="133">
        <f>IF(SER_hh_fech!K9=0,0,SER_hh_fech!K9/SER_summary!K$26)</f>
        <v>265.59976058777346</v>
      </c>
      <c r="L9" s="133">
        <f>IF(SER_hh_fech!L9=0,0,SER_hh_fech!L9/SER_summary!L$26)</f>
        <v>279.12628079239374</v>
      </c>
      <c r="M9" s="133">
        <f>IF(SER_hh_fech!M9=0,0,SER_hh_fech!M9/SER_summary!M$26)</f>
        <v>257.15651618622263</v>
      </c>
      <c r="N9" s="133">
        <f>IF(SER_hh_fech!N9=0,0,SER_hh_fech!N9/SER_summary!N$26)</f>
        <v>273.90053016771856</v>
      </c>
      <c r="O9" s="133">
        <f>IF(SER_hh_fech!O9=0,0,SER_hh_fech!O9/SER_summary!O$26)</f>
        <v>244.15831109216359</v>
      </c>
      <c r="P9" s="133">
        <f>IF(SER_hh_fech!P9=0,0,SER_hh_fech!P9/SER_summary!P$26)</f>
        <v>267.70868357468458</v>
      </c>
      <c r="Q9" s="133">
        <f>IF(SER_hh_fech!Q9=0,0,SER_hh_fech!Q9/SER_summary!Q$26)</f>
        <v>238.44215399243117</v>
      </c>
      <c r="R9" s="133">
        <f>IF(SER_hh_fech!R9=0,0,SER_hh_fech!R9/SER_summary!R$26)</f>
        <v>242.88690487747235</v>
      </c>
      <c r="S9" s="133">
        <f>IF(SER_hh_fech!S9=0,0,SER_hh_fech!S9/SER_summary!S$26)</f>
        <v>240.99181094212801</v>
      </c>
      <c r="T9" s="133">
        <f>IF(SER_hh_fech!T9=0,0,SER_hh_fech!T9/SER_summary!T$26)</f>
        <v>230.21279597991651</v>
      </c>
      <c r="U9" s="133">
        <f>IF(SER_hh_fech!U9=0,0,SER_hh_fech!U9/SER_summary!U$26)</f>
        <v>223.88777446660637</v>
      </c>
      <c r="V9" s="133">
        <f>IF(SER_hh_fech!V9=0,0,SER_hh_fech!V9/SER_summary!V$26)</f>
        <v>214.41785032069279</v>
      </c>
      <c r="W9" s="133">
        <f>IF(SER_hh_fech!W9=0,0,SER_hh_fech!W9/SER_summary!W$26)</f>
        <v>225.23856945685174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426.80724708408155</v>
      </c>
      <c r="C10" s="133">
        <f>IF(SER_hh_fech!C10=0,0,SER_hh_fech!C10/SER_summary!C$26)</f>
        <v>473.00076845069941</v>
      </c>
      <c r="D10" s="133">
        <f>IF(SER_hh_fech!D10=0,0,SER_hh_fech!D10/SER_summary!D$26)</f>
        <v>450.42325957262892</v>
      </c>
      <c r="E10" s="133">
        <f>IF(SER_hh_fech!E10=0,0,SER_hh_fech!E10/SER_summary!E$26)</f>
        <v>432.09303128170262</v>
      </c>
      <c r="F10" s="133">
        <f>IF(SER_hh_fech!F10=0,0,SER_hh_fech!F10/SER_summary!F$26)</f>
        <v>458.61030823281766</v>
      </c>
      <c r="G10" s="133">
        <f>IF(SER_hh_fech!G10=0,0,SER_hh_fech!G10/SER_summary!G$26)</f>
        <v>412.40655258773506</v>
      </c>
      <c r="H10" s="133">
        <f>IF(SER_hh_fech!H10=0,0,SER_hh_fech!H10/SER_summary!H$26)</f>
        <v>416.4770976417222</v>
      </c>
      <c r="I10" s="133">
        <f>IF(SER_hh_fech!I10=0,0,SER_hh_fech!I10/SER_summary!I$26)</f>
        <v>482.15360552859732</v>
      </c>
      <c r="J10" s="133">
        <f>IF(SER_hh_fech!J10=0,0,SER_hh_fech!J10/SER_summary!J$26)</f>
        <v>298.58252534152388</v>
      </c>
      <c r="K10" s="133">
        <f>IF(SER_hh_fech!K10=0,0,SER_hh_fech!K10/SER_summary!K$26)</f>
        <v>303.42915900457871</v>
      </c>
      <c r="L10" s="133">
        <f>IF(SER_hh_fech!L10=0,0,SER_hh_fech!L10/SER_summary!L$26)</f>
        <v>323.85866046196861</v>
      </c>
      <c r="M10" s="133">
        <f>IF(SER_hh_fech!M10=0,0,SER_hh_fech!M10/SER_summary!M$26)</f>
        <v>259.75990940824391</v>
      </c>
      <c r="N10" s="133">
        <f>IF(SER_hh_fech!N10=0,0,SER_hh_fech!N10/SER_summary!N$26)</f>
        <v>346.90606602148779</v>
      </c>
      <c r="O10" s="133">
        <f>IF(SER_hh_fech!O10=0,0,SER_hh_fech!O10/SER_summary!O$26)</f>
        <v>334.54109057970146</v>
      </c>
      <c r="P10" s="133">
        <f>IF(SER_hh_fech!P10=0,0,SER_hh_fech!P10/SER_summary!P$26)</f>
        <v>302.04171980712425</v>
      </c>
      <c r="Q10" s="133">
        <f>IF(SER_hh_fech!Q10=0,0,SER_hh_fech!Q10/SER_summary!Q$26)</f>
        <v>291.06120094932783</v>
      </c>
      <c r="R10" s="133">
        <f>IF(SER_hh_fech!R10=0,0,SER_hh_fech!R10/SER_summary!R$26)</f>
        <v>293.87902623080106</v>
      </c>
      <c r="S10" s="133">
        <f>IF(SER_hh_fech!S10=0,0,SER_hh_fech!S10/SER_summary!S$26)</f>
        <v>326.08938499235262</v>
      </c>
      <c r="T10" s="133">
        <f>IF(SER_hh_fech!T10=0,0,SER_hh_fech!T10/SER_summary!T$26)</f>
        <v>298.41427390612313</v>
      </c>
      <c r="U10" s="133">
        <f>IF(SER_hh_fech!U10=0,0,SER_hh_fech!U10/SER_summary!U$26)</f>
        <v>280.84730797391626</v>
      </c>
      <c r="V10" s="133">
        <f>IF(SER_hh_fech!V10=0,0,SER_hh_fech!V10/SER_summary!V$26)</f>
        <v>269.36266429361882</v>
      </c>
      <c r="W10" s="133">
        <f>IF(SER_hh_fech!W10=0,0,SER_hh_fech!W10/SER_summary!W$26)</f>
        <v>312.33739169265658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256.77677622975665</v>
      </c>
      <c r="C12" s="133">
        <f>IF(SER_hh_fech!C12=0,0,SER_hh_fech!C12/SER_summary!C$26)</f>
        <v>280.00821498153368</v>
      </c>
      <c r="D12" s="133">
        <f>IF(SER_hh_fech!D12=0,0,SER_hh_fech!D12/SER_summary!D$26)</f>
        <v>274.08333939085628</v>
      </c>
      <c r="E12" s="133">
        <f>IF(SER_hh_fech!E12=0,0,SER_hh_fech!E12/SER_summary!E$26)</f>
        <v>284.98023437344017</v>
      </c>
      <c r="F12" s="133">
        <f>IF(SER_hh_fech!F12=0,0,SER_hh_fech!F12/SER_summary!F$26)</f>
        <v>268.33385826297445</v>
      </c>
      <c r="G12" s="133">
        <f>IF(SER_hh_fech!G12=0,0,SER_hh_fech!G12/SER_summary!G$26)</f>
        <v>272.54980543009202</v>
      </c>
      <c r="H12" s="133">
        <f>IF(SER_hh_fech!H12=0,0,SER_hh_fech!H12/SER_summary!H$26)</f>
        <v>266.11971775981544</v>
      </c>
      <c r="I12" s="133">
        <f>IF(SER_hh_fech!I12=0,0,SER_hh_fech!I12/SER_summary!I$26)</f>
        <v>240.22329976983525</v>
      </c>
      <c r="J12" s="133">
        <f>IF(SER_hh_fech!J12=0,0,SER_hh_fech!J12/SER_summary!J$26)</f>
        <v>215.2053055066161</v>
      </c>
      <c r="K12" s="133">
        <f>IF(SER_hh_fech!K12=0,0,SER_hh_fech!K12/SER_summary!K$26)</f>
        <v>205.46828460468871</v>
      </c>
      <c r="L12" s="133">
        <f>IF(SER_hh_fech!L12=0,0,SER_hh_fech!L12/SER_summary!L$26)</f>
        <v>217.4235081440716</v>
      </c>
      <c r="M12" s="133">
        <f>IF(SER_hh_fech!M12=0,0,SER_hh_fech!M12/SER_summary!M$26)</f>
        <v>181.4199255259735</v>
      </c>
      <c r="N12" s="133">
        <f>IF(SER_hh_fech!N12=0,0,SER_hh_fech!N12/SER_summary!N$26)</f>
        <v>221.97392035523433</v>
      </c>
      <c r="O12" s="133">
        <f>IF(SER_hh_fech!O12=0,0,SER_hh_fech!O12/SER_summary!O$26)</f>
        <v>211.88327158527338</v>
      </c>
      <c r="P12" s="133">
        <f>IF(SER_hh_fech!P12=0,0,SER_hh_fech!P12/SER_summary!P$26)</f>
        <v>197.84542594597838</v>
      </c>
      <c r="Q12" s="133">
        <f>IF(SER_hh_fech!Q12=0,0,SER_hh_fech!Q12/SER_summary!Q$26)</f>
        <v>184.51314971840441</v>
      </c>
      <c r="R12" s="133">
        <f>IF(SER_hh_fech!R12=0,0,SER_hh_fech!R12/SER_summary!R$26)</f>
        <v>206.18796881698651</v>
      </c>
      <c r="S12" s="133">
        <f>IF(SER_hh_fech!S12=0,0,SER_hh_fech!S12/SER_summary!S$26)</f>
        <v>204.46012040352755</v>
      </c>
      <c r="T12" s="133">
        <f>IF(SER_hh_fech!T12=0,0,SER_hh_fech!T12/SER_summary!T$26)</f>
        <v>186.31202511573179</v>
      </c>
      <c r="U12" s="133">
        <f>IF(SER_hh_fech!U12=0,0,SER_hh_fech!U12/SER_summary!U$26)</f>
        <v>177.91037012082745</v>
      </c>
      <c r="V12" s="133">
        <f>IF(SER_hh_fech!V12=0,0,SER_hh_fech!V12/SER_summary!V$26)</f>
        <v>181.22753966431878</v>
      </c>
      <c r="W12" s="133">
        <f>IF(SER_hh_fech!W12=0,0,SER_hh_fech!W12/SER_summary!W$26)</f>
        <v>210.43871109026006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114.27437072547124</v>
      </c>
      <c r="C13" s="133">
        <f>IF(SER_hh_fech!C13=0,0,SER_hh_fech!C13/SER_summary!C$26)</f>
        <v>53.086178612058575</v>
      </c>
      <c r="D13" s="133">
        <f>IF(SER_hh_fech!D13=0,0,SER_hh_fech!D13/SER_summary!D$26)</f>
        <v>117.92714222884157</v>
      </c>
      <c r="E13" s="133">
        <f>IF(SER_hh_fech!E13=0,0,SER_hh_fech!E13/SER_summary!E$26)</f>
        <v>103.58126971819748</v>
      </c>
      <c r="F13" s="133">
        <f>IF(SER_hh_fech!F13=0,0,SER_hh_fech!F13/SER_summary!F$26)</f>
        <v>96.02726082998376</v>
      </c>
      <c r="G13" s="133">
        <f>IF(SER_hh_fech!G13=0,0,SER_hh_fech!G13/SER_summary!G$26)</f>
        <v>89.239480630720678</v>
      </c>
      <c r="H13" s="133">
        <f>IF(SER_hh_fech!H13=0,0,SER_hh_fech!H13/SER_summary!H$26)</f>
        <v>80.068971220650965</v>
      </c>
      <c r="I13" s="133">
        <f>IF(SER_hh_fech!I13=0,0,SER_hh_fech!I13/SER_summary!I$26)</f>
        <v>69.29416857584323</v>
      </c>
      <c r="J13" s="133">
        <f>IF(SER_hh_fech!J13=0,0,SER_hh_fech!J13/SER_summary!J$26)</f>
        <v>60.695719819895231</v>
      </c>
      <c r="K13" s="133">
        <f>IF(SER_hh_fech!K13=0,0,SER_hh_fech!K13/SER_summary!K$26)</f>
        <v>54.069115106056373</v>
      </c>
      <c r="L13" s="133">
        <f>IF(SER_hh_fech!L13=0,0,SER_hh_fech!L13/SER_summary!L$26)</f>
        <v>56.185612393539145</v>
      </c>
      <c r="M13" s="133">
        <f>IF(SER_hh_fech!M13=0,0,SER_hh_fech!M13/SER_summary!M$26)</f>
        <v>59.385016728249674</v>
      </c>
      <c r="N13" s="133">
        <f>IF(SER_hh_fech!N13=0,0,SER_hh_fech!N13/SER_summary!N$26)</f>
        <v>58.161551870529124</v>
      </c>
      <c r="O13" s="133">
        <f>IF(SER_hh_fech!O13=0,0,SER_hh_fech!O13/SER_summary!O$26)</f>
        <v>63.1333332889253</v>
      </c>
      <c r="P13" s="133">
        <f>IF(SER_hh_fech!P13=0,0,SER_hh_fech!P13/SER_summary!P$26)</f>
        <v>61.446166064247116</v>
      </c>
      <c r="Q13" s="133">
        <f>IF(SER_hh_fech!Q13=0,0,SER_hh_fech!Q13/SER_summary!Q$26)</f>
        <v>59.442095340847303</v>
      </c>
      <c r="R13" s="133">
        <f>IF(SER_hh_fech!R13=0,0,SER_hh_fech!R13/SER_summary!R$26)</f>
        <v>58.054334010641654</v>
      </c>
      <c r="S13" s="133">
        <f>IF(SER_hh_fech!S13=0,0,SER_hh_fech!S13/SER_summary!S$26)</f>
        <v>59.340987866485243</v>
      </c>
      <c r="T13" s="133">
        <f>IF(SER_hh_fech!T13=0,0,SER_hh_fech!T13/SER_summary!T$26)</f>
        <v>55.568481846265136</v>
      </c>
      <c r="U13" s="133">
        <f>IF(SER_hh_fech!U13=0,0,SER_hh_fech!U13/SER_summary!U$26)</f>
        <v>55.396386614126861</v>
      </c>
      <c r="V13" s="133">
        <f>IF(SER_hh_fech!V13=0,0,SER_hh_fech!V13/SER_summary!V$26)</f>
        <v>54.52700199077168</v>
      </c>
      <c r="W13" s="133">
        <f>IF(SER_hh_fech!W13=0,0,SER_hh_fech!W13/SER_summary!W$26)</f>
        <v>38.097602078793606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381.05694604164484</v>
      </c>
      <c r="C14" s="65">
        <f>IF(SER_hh_fech!C14=0,0,SER_hh_fech!C14/SER_summary!C$26)</f>
        <v>205.6899565705574</v>
      </c>
      <c r="D14" s="65">
        <f>IF(SER_hh_fech!D14=0,0,SER_hh_fech!D14/SER_summary!D$26)</f>
        <v>333.96528501426275</v>
      </c>
      <c r="E14" s="65">
        <f>IF(SER_hh_fech!E14=0,0,SER_hh_fech!E14/SER_summary!E$26)</f>
        <v>335.06949258151076</v>
      </c>
      <c r="F14" s="65">
        <f>IF(SER_hh_fech!F14=0,0,SER_hh_fech!F14/SER_summary!F$26)</f>
        <v>297.00795773051487</v>
      </c>
      <c r="G14" s="65">
        <f>IF(SER_hh_fech!G14=0,0,SER_hh_fech!G14/SER_summary!G$26)</f>
        <v>280.52647385018628</v>
      </c>
      <c r="H14" s="65">
        <f>IF(SER_hh_fech!H14=0,0,SER_hh_fech!H14/SER_summary!H$26)</f>
        <v>268.52169470493629</v>
      </c>
      <c r="I14" s="65">
        <f>IF(SER_hh_fech!I14=0,0,SER_hh_fech!I14/SER_summary!I$26)</f>
        <v>344.17208369509189</v>
      </c>
      <c r="J14" s="65">
        <f>IF(SER_hh_fech!J14=0,0,SER_hh_fech!J14/SER_summary!J$26)</f>
        <v>286.59853220799471</v>
      </c>
      <c r="K14" s="65">
        <f>IF(SER_hh_fech!K14=0,0,SER_hh_fech!K14/SER_summary!K$26)</f>
        <v>162.62080252509583</v>
      </c>
      <c r="L14" s="65">
        <f>IF(SER_hh_fech!L14=0,0,SER_hh_fech!L14/SER_summary!L$26)</f>
        <v>203.24958632223513</v>
      </c>
      <c r="M14" s="65">
        <f>IF(SER_hh_fech!M14=0,0,SER_hh_fech!M14/SER_summary!M$26)</f>
        <v>195.52317462071468</v>
      </c>
      <c r="N14" s="65">
        <f>IF(SER_hh_fech!N14=0,0,SER_hh_fech!N14/SER_summary!N$26)</f>
        <v>281.18262733470596</v>
      </c>
      <c r="O14" s="65">
        <f>IF(SER_hh_fech!O14=0,0,SER_hh_fech!O14/SER_summary!O$26)</f>
        <v>211.24939870401181</v>
      </c>
      <c r="P14" s="65">
        <f>IF(SER_hh_fech!P14=0,0,SER_hh_fech!P14/SER_summary!P$26)</f>
        <v>255.97847218658805</v>
      </c>
      <c r="Q14" s="65">
        <f>IF(SER_hh_fech!Q14=0,0,SER_hh_fech!Q14/SER_summary!Q$26)</f>
        <v>191.71023911259218</v>
      </c>
      <c r="R14" s="65">
        <f>IF(SER_hh_fech!R14=0,0,SER_hh_fech!R14/SER_summary!R$26)</f>
        <v>207.24018016634884</v>
      </c>
      <c r="S14" s="65">
        <f>IF(SER_hh_fech!S14=0,0,SER_hh_fech!S14/SER_summary!S$26)</f>
        <v>204.07755595690588</v>
      </c>
      <c r="T14" s="65">
        <f>IF(SER_hh_fech!T14=0,0,SER_hh_fech!T14/SER_summary!T$26)</f>
        <v>217.27522849341585</v>
      </c>
      <c r="U14" s="65">
        <f>IF(SER_hh_fech!U14=0,0,SER_hh_fech!U14/SER_summary!U$26)</f>
        <v>205.75195320415799</v>
      </c>
      <c r="V14" s="65">
        <f>IF(SER_hh_fech!V14=0,0,SER_hh_fech!V14/SER_summary!V$26)</f>
        <v>186.73712760703515</v>
      </c>
      <c r="W14" s="65">
        <f>IF(SER_hh_fech!W14=0,0,SER_hh_fech!W14/SER_summary!W$26)</f>
        <v>210.20331702504404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1.7595853448066798</v>
      </c>
      <c r="C15" s="135">
        <f>IF(SER_hh_fech!C15=0,0,SER_hh_fech!C15/SER_summary!C$26)</f>
        <v>1.8360927499217732</v>
      </c>
      <c r="D15" s="135">
        <f>IF(SER_hh_fech!D15=0,0,SER_hh_fech!D15/SER_summary!D$26)</f>
        <v>1.9459162357730522</v>
      </c>
      <c r="E15" s="135">
        <f>IF(SER_hh_fech!E15=0,0,SER_hh_fech!E15/SER_summary!E$26)</f>
        <v>1.9929926734143619</v>
      </c>
      <c r="F15" s="135">
        <f>IF(SER_hh_fech!F15=0,0,SER_hh_fech!F15/SER_summary!F$26)</f>
        <v>2.0806127537974701</v>
      </c>
      <c r="G15" s="135">
        <f>IF(SER_hh_fech!G15=0,0,SER_hh_fech!G15/SER_summary!G$26)</f>
        <v>1.9181838225049481</v>
      </c>
      <c r="H15" s="135">
        <f>IF(SER_hh_fech!H15=0,0,SER_hh_fech!H15/SER_summary!H$26)</f>
        <v>2.010797272648615</v>
      </c>
      <c r="I15" s="135">
        <f>IF(SER_hh_fech!I15=0,0,SER_hh_fech!I15/SER_summary!I$26)</f>
        <v>1.972287247960075</v>
      </c>
      <c r="J15" s="135">
        <f>IF(SER_hh_fech!J15=0,0,SER_hh_fech!J15/SER_summary!J$26)</f>
        <v>1.6252609638529114</v>
      </c>
      <c r="K15" s="135">
        <f>IF(SER_hh_fech!K15=0,0,SER_hh_fech!K15/SER_summary!K$26)</f>
        <v>1.5031843847279323</v>
      </c>
      <c r="L15" s="135">
        <f>IF(SER_hh_fech!L15=0,0,SER_hh_fech!L15/SER_summary!L$26)</f>
        <v>1.5947289749374034</v>
      </c>
      <c r="M15" s="135">
        <f>IF(SER_hh_fech!M15=0,0,SER_hh_fech!M15/SER_summary!M$26)</f>
        <v>1.3741498746391552</v>
      </c>
      <c r="N15" s="135">
        <f>IF(SER_hh_fech!N15=0,0,SER_hh_fech!N15/SER_summary!N$26)</f>
        <v>1.576244047857098</v>
      </c>
      <c r="O15" s="135">
        <f>IF(SER_hh_fech!O15=0,0,SER_hh_fech!O15/SER_summary!O$26)</f>
        <v>1.4782300561914581</v>
      </c>
      <c r="P15" s="135">
        <f>IF(SER_hh_fech!P15=0,0,SER_hh_fech!P15/SER_summary!P$26)</f>
        <v>1.4876602142505291</v>
      </c>
      <c r="Q15" s="135">
        <f>IF(SER_hh_fech!Q15=0,0,SER_hh_fech!Q15/SER_summary!Q$26)</f>
        <v>1.4040721107027361</v>
      </c>
      <c r="R15" s="135">
        <f>IF(SER_hh_fech!R15=0,0,SER_hh_fech!R15/SER_summary!R$26)</f>
        <v>1.3640290333354108</v>
      </c>
      <c r="S15" s="135">
        <f>IF(SER_hh_fech!S15=0,0,SER_hh_fech!S15/SER_summary!S$26)</f>
        <v>1.429918899602219</v>
      </c>
      <c r="T15" s="135">
        <f>IF(SER_hh_fech!T15=0,0,SER_hh_fech!T15/SER_summary!T$26)</f>
        <v>1.4332083596381799</v>
      </c>
      <c r="U15" s="135">
        <f>IF(SER_hh_fech!U15=0,0,SER_hh_fech!U15/SER_summary!U$26)</f>
        <v>1.3717380679743807</v>
      </c>
      <c r="V15" s="135">
        <f>IF(SER_hh_fech!V15=0,0,SER_hh_fech!V15/SER_summary!V$26)</f>
        <v>1.395418654120556</v>
      </c>
      <c r="W15" s="135">
        <f>IF(SER_hh_fech!W15=0,0,SER_hh_fech!W15/SER_summary!W$26)</f>
        <v>1.6267193586352766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10.411697268690325</v>
      </c>
      <c r="C16" s="131">
        <f>IF(SER_hh_fech!C16=0,0,SER_hh_fech!C16/SER_summary!C$26)</f>
        <v>10.30393733760655</v>
      </c>
      <c r="D16" s="131">
        <f>IF(SER_hh_fech!D16=0,0,SER_hh_fech!D16/SER_summary!D$26)</f>
        <v>10.118019519075112</v>
      </c>
      <c r="E16" s="131">
        <f>IF(SER_hh_fech!E16=0,0,SER_hh_fech!E16/SER_summary!E$26)</f>
        <v>9.2119804611920006</v>
      </c>
      <c r="F16" s="131">
        <f>IF(SER_hh_fech!F16=0,0,SER_hh_fech!F16/SER_summary!F$26)</f>
        <v>8.5274887619037738</v>
      </c>
      <c r="G16" s="131">
        <f>IF(SER_hh_fech!G16=0,0,SER_hh_fech!G16/SER_summary!G$26)</f>
        <v>8.0822339633231373</v>
      </c>
      <c r="H16" s="131">
        <f>IF(SER_hh_fech!H16=0,0,SER_hh_fech!H16/SER_summary!H$26)</f>
        <v>8.1655819565401266</v>
      </c>
      <c r="I16" s="131">
        <f>IF(SER_hh_fech!I16=0,0,SER_hh_fech!I16/SER_summary!I$26)</f>
        <v>7.30607186090608</v>
      </c>
      <c r="J16" s="131">
        <f>IF(SER_hh_fech!J16=0,0,SER_hh_fech!J16/SER_summary!J$26)</f>
        <v>6.9290928192824692</v>
      </c>
      <c r="K16" s="131">
        <f>IF(SER_hh_fech!K16=0,0,SER_hh_fech!K16/SER_summary!K$26)</f>
        <v>6.8015904394374607</v>
      </c>
      <c r="L16" s="131">
        <f>IF(SER_hh_fech!L16=0,0,SER_hh_fech!L16/SER_summary!L$26)</f>
        <v>8.0912376898822949</v>
      </c>
      <c r="M16" s="131">
        <f>IF(SER_hh_fech!M16=0,0,SER_hh_fech!M16/SER_summary!M$26)</f>
        <v>6.5998576132595712</v>
      </c>
      <c r="N16" s="131">
        <f>IF(SER_hh_fech!N16=0,0,SER_hh_fech!N16/SER_summary!N$26)</f>
        <v>6.4527586040475811</v>
      </c>
      <c r="O16" s="131">
        <f>IF(SER_hh_fech!O16=0,0,SER_hh_fech!O16/SER_summary!O$26)</f>
        <v>6.1356781557333626</v>
      </c>
      <c r="P16" s="131">
        <f>IF(SER_hh_fech!P16=0,0,SER_hh_fech!P16/SER_summary!P$26)</f>
        <v>6.2550357287347822</v>
      </c>
      <c r="Q16" s="131">
        <f>IF(SER_hh_fech!Q16=0,0,SER_hh_fech!Q16/SER_summary!Q$26)</f>
        <v>5.6904857795491424</v>
      </c>
      <c r="R16" s="131">
        <f>IF(SER_hh_fech!R16=0,0,SER_hh_fech!R16/SER_summary!R$26)</f>
        <v>5.5090758226578354</v>
      </c>
      <c r="S16" s="131">
        <f>IF(SER_hh_fech!S16=0,0,SER_hh_fech!S16/SER_summary!S$26)</f>
        <v>5.3250326219188544</v>
      </c>
      <c r="T16" s="131">
        <f>IF(SER_hh_fech!T16=0,0,SER_hh_fech!T16/SER_summary!T$26)</f>
        <v>5.5060464449263895</v>
      </c>
      <c r="U16" s="131">
        <f>IF(SER_hh_fech!U16=0,0,SER_hh_fech!U16/SER_summary!U$26)</f>
        <v>5.0488088422770288</v>
      </c>
      <c r="V16" s="131">
        <f>IF(SER_hh_fech!V16=0,0,SER_hh_fech!V16/SER_summary!V$26)</f>
        <v>4.9244041745180702</v>
      </c>
      <c r="W16" s="131">
        <f>IF(SER_hh_fech!W16=0,0,SER_hh_fech!W16/SER_summary!W$26)</f>
        <v>5.5399490266513025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10.411697268690325</v>
      </c>
      <c r="C18" s="133">
        <f>IF(SER_hh_fech!C18=0,0,SER_hh_fech!C18/SER_summary!C$26)</f>
        <v>10.30393733760655</v>
      </c>
      <c r="D18" s="133">
        <f>IF(SER_hh_fech!D18=0,0,SER_hh_fech!D18/SER_summary!D$26)</f>
        <v>10.118019519075112</v>
      </c>
      <c r="E18" s="133">
        <f>IF(SER_hh_fech!E18=0,0,SER_hh_fech!E18/SER_summary!E$26)</f>
        <v>9.2119804611920006</v>
      </c>
      <c r="F18" s="133">
        <f>IF(SER_hh_fech!F18=0,0,SER_hh_fech!F18/SER_summary!F$26)</f>
        <v>8.5274887619037738</v>
      </c>
      <c r="G18" s="133">
        <f>IF(SER_hh_fech!G18=0,0,SER_hh_fech!G18/SER_summary!G$26)</f>
        <v>8.0822339633231373</v>
      </c>
      <c r="H18" s="133">
        <f>IF(SER_hh_fech!H18=0,0,SER_hh_fech!H18/SER_summary!H$26)</f>
        <v>8.1655819565401266</v>
      </c>
      <c r="I18" s="133">
        <f>IF(SER_hh_fech!I18=0,0,SER_hh_fech!I18/SER_summary!I$26)</f>
        <v>7.30607186090608</v>
      </c>
      <c r="J18" s="133">
        <f>IF(SER_hh_fech!J18=0,0,SER_hh_fech!J18/SER_summary!J$26)</f>
        <v>6.9290928192824692</v>
      </c>
      <c r="K18" s="133">
        <f>IF(SER_hh_fech!K18=0,0,SER_hh_fech!K18/SER_summary!K$26)</f>
        <v>6.8015904394374607</v>
      </c>
      <c r="L18" s="133">
        <f>IF(SER_hh_fech!L18=0,0,SER_hh_fech!L18/SER_summary!L$26)</f>
        <v>8.0912376898822949</v>
      </c>
      <c r="M18" s="133">
        <f>IF(SER_hh_fech!M18=0,0,SER_hh_fech!M18/SER_summary!M$26)</f>
        <v>6.5998576132595712</v>
      </c>
      <c r="N18" s="133">
        <f>IF(SER_hh_fech!N18=0,0,SER_hh_fech!N18/SER_summary!N$26)</f>
        <v>6.4527586040475811</v>
      </c>
      <c r="O18" s="133">
        <f>IF(SER_hh_fech!O18=0,0,SER_hh_fech!O18/SER_summary!O$26)</f>
        <v>6.1356781557333626</v>
      </c>
      <c r="P18" s="133">
        <f>IF(SER_hh_fech!P18=0,0,SER_hh_fech!P18/SER_summary!P$26)</f>
        <v>6.2550357287347822</v>
      </c>
      <c r="Q18" s="133">
        <f>IF(SER_hh_fech!Q18=0,0,SER_hh_fech!Q18/SER_summary!Q$26)</f>
        <v>5.6904857795491424</v>
      </c>
      <c r="R18" s="133">
        <f>IF(SER_hh_fech!R18=0,0,SER_hh_fech!R18/SER_summary!R$26)</f>
        <v>5.5090758226578354</v>
      </c>
      <c r="S18" s="133">
        <f>IF(SER_hh_fech!S18=0,0,SER_hh_fech!S18/SER_summary!S$26)</f>
        <v>5.3250326219188544</v>
      </c>
      <c r="T18" s="133">
        <f>IF(SER_hh_fech!T18=0,0,SER_hh_fech!T18/SER_summary!T$26)</f>
        <v>5.5060464449263895</v>
      </c>
      <c r="U18" s="133">
        <f>IF(SER_hh_fech!U18=0,0,SER_hh_fech!U18/SER_summary!U$26)</f>
        <v>5.0488088422770288</v>
      </c>
      <c r="V18" s="133">
        <f>IF(SER_hh_fech!V18=0,0,SER_hh_fech!V18/SER_summary!V$26)</f>
        <v>4.9244041745180702</v>
      </c>
      <c r="W18" s="133">
        <f>IF(SER_hh_fech!W18=0,0,SER_hh_fech!W18/SER_summary!W$26)</f>
        <v>5.5399490266513025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41.637619816603063</v>
      </c>
      <c r="C19" s="131">
        <f>IF(SER_hh_fech!C19=0,0,SER_hh_fech!C19/SER_summary!C$26)</f>
        <v>41.770789038517634</v>
      </c>
      <c r="D19" s="131">
        <f>IF(SER_hh_fech!D19=0,0,SER_hh_fech!D19/SER_summary!D$26)</f>
        <v>40.260178312805685</v>
      </c>
      <c r="E19" s="131">
        <f>IF(SER_hh_fech!E19=0,0,SER_hh_fech!E19/SER_summary!E$26)</f>
        <v>39.655679156377687</v>
      </c>
      <c r="F19" s="131">
        <f>IF(SER_hh_fech!F19=0,0,SER_hh_fech!F19/SER_summary!F$26)</f>
        <v>39.762772299706768</v>
      </c>
      <c r="G19" s="131">
        <f>IF(SER_hh_fech!G19=0,0,SER_hh_fech!G19/SER_summary!G$26)</f>
        <v>38.961426229950376</v>
      </c>
      <c r="H19" s="131">
        <f>IF(SER_hh_fech!H19=0,0,SER_hh_fech!H19/SER_summary!H$26)</f>
        <v>38.804762732166118</v>
      </c>
      <c r="I19" s="131">
        <f>IF(SER_hh_fech!I19=0,0,SER_hh_fech!I19/SER_summary!I$26)</f>
        <v>38.322180584515827</v>
      </c>
      <c r="J19" s="131">
        <f>IF(SER_hh_fech!J19=0,0,SER_hh_fech!J19/SER_summary!J$26)</f>
        <v>37.547467049427993</v>
      </c>
      <c r="K19" s="131">
        <f>IF(SER_hh_fech!K19=0,0,SER_hh_fech!K19/SER_summary!K$26)</f>
        <v>38.441404761332286</v>
      </c>
      <c r="L19" s="131">
        <f>IF(SER_hh_fech!L19=0,0,SER_hh_fech!L19/SER_summary!L$26)</f>
        <v>37.936689631804747</v>
      </c>
      <c r="M19" s="131">
        <f>IF(SER_hh_fech!M19=0,0,SER_hh_fech!M19/SER_summary!M$26)</f>
        <v>38.271534775165762</v>
      </c>
      <c r="N19" s="131">
        <f>IF(SER_hh_fech!N19=0,0,SER_hh_fech!N19/SER_summary!N$26)</f>
        <v>37.562897657927898</v>
      </c>
      <c r="O19" s="131">
        <f>IF(SER_hh_fech!O19=0,0,SER_hh_fech!O19/SER_summary!O$26)</f>
        <v>37.86327742761457</v>
      </c>
      <c r="P19" s="131">
        <f>IF(SER_hh_fech!P19=0,0,SER_hh_fech!P19/SER_summary!P$26)</f>
        <v>37.036395196267158</v>
      </c>
      <c r="Q19" s="131">
        <f>IF(SER_hh_fech!Q19=0,0,SER_hh_fech!Q19/SER_summary!Q$26)</f>
        <v>36.949426475302637</v>
      </c>
      <c r="R19" s="131">
        <f>IF(SER_hh_fech!R19=0,0,SER_hh_fech!R19/SER_summary!R$26)</f>
        <v>36.903137571590882</v>
      </c>
      <c r="S19" s="131">
        <f>IF(SER_hh_fech!S19=0,0,SER_hh_fech!S19/SER_summary!S$26)</f>
        <v>36.725083212512544</v>
      </c>
      <c r="T19" s="131">
        <f>IF(SER_hh_fech!T19=0,0,SER_hh_fech!T19/SER_summary!T$26)</f>
        <v>35.304864451190021</v>
      </c>
      <c r="U19" s="131">
        <f>IF(SER_hh_fech!U19=0,0,SER_hh_fech!U19/SER_summary!U$26)</f>
        <v>33.72591927108342</v>
      </c>
      <c r="V19" s="131">
        <f>IF(SER_hh_fech!V19=0,0,SER_hh_fech!V19/SER_summary!V$26)</f>
        <v>30.48496987073624</v>
      </c>
      <c r="W19" s="131">
        <f>IF(SER_hh_fech!W19=0,0,SER_hh_fech!W19/SER_summary!W$26)</f>
        <v>32.095019470362573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50.944817959267141</v>
      </c>
      <c r="C22" s="133">
        <f>IF(SER_hh_fech!C22=0,0,SER_hh_fech!C22/SER_summary!C$26)</f>
        <v>51.302409042228952</v>
      </c>
      <c r="D22" s="133">
        <f>IF(SER_hh_fech!D22=0,0,SER_hh_fech!D22/SER_summary!D$26)</f>
        <v>50.472269009241202</v>
      </c>
      <c r="E22" s="133">
        <f>IF(SER_hh_fech!E22=0,0,SER_hh_fech!E22/SER_summary!E$26)</f>
        <v>49.998575942713714</v>
      </c>
      <c r="F22" s="133">
        <f>IF(SER_hh_fech!F22=0,0,SER_hh_fech!F22/SER_summary!F$26)</f>
        <v>49.096684707849214</v>
      </c>
      <c r="G22" s="133">
        <f>IF(SER_hh_fech!G22=0,0,SER_hh_fech!G22/SER_summary!G$26)</f>
        <v>48.547227906942403</v>
      </c>
      <c r="H22" s="133">
        <f>IF(SER_hh_fech!H22=0,0,SER_hh_fech!H22/SER_summary!H$26)</f>
        <v>49.335671612879267</v>
      </c>
      <c r="I22" s="133">
        <f>IF(SER_hh_fech!I22=0,0,SER_hh_fech!I22/SER_summary!I$26)</f>
        <v>47.687291868642049</v>
      </c>
      <c r="J22" s="133">
        <f>IF(SER_hh_fech!J22=0,0,SER_hh_fech!J22/SER_summary!J$26)</f>
        <v>48.411147101316537</v>
      </c>
      <c r="K22" s="133">
        <f>IF(SER_hh_fech!K22=0,0,SER_hh_fech!K22/SER_summary!K$26)</f>
        <v>47.641567835349214</v>
      </c>
      <c r="L22" s="133">
        <f>IF(SER_hh_fech!L22=0,0,SER_hh_fech!L22/SER_summary!L$26)</f>
        <v>47.353286809509299</v>
      </c>
      <c r="M22" s="133">
        <f>IF(SER_hh_fech!M22=0,0,SER_hh_fech!M22/SER_summary!M$26)</f>
        <v>47.707959533870394</v>
      </c>
      <c r="N22" s="133">
        <f>IF(SER_hh_fech!N22=0,0,SER_hh_fech!N22/SER_summary!N$26)</f>
        <v>47.559621668104541</v>
      </c>
      <c r="O22" s="133">
        <f>IF(SER_hh_fech!O22=0,0,SER_hh_fech!O22/SER_summary!O$26)</f>
        <v>47.290830964264678</v>
      </c>
      <c r="P22" s="133">
        <f>IF(SER_hh_fech!P22=0,0,SER_hh_fech!P22/SER_summary!P$26)</f>
        <v>46.636383244016933</v>
      </c>
      <c r="Q22" s="133">
        <f>IF(SER_hh_fech!Q22=0,0,SER_hh_fech!Q22/SER_summary!Q$26)</f>
        <v>46.624568883817638</v>
      </c>
      <c r="R22" s="133">
        <f>IF(SER_hh_fech!R22=0,0,SER_hh_fech!R22/SER_summary!R$26)</f>
        <v>46.073504949606608</v>
      </c>
      <c r="S22" s="133">
        <f>IF(SER_hh_fech!S22=0,0,SER_hh_fech!S22/SER_summary!S$26)</f>
        <v>45.550849027606787</v>
      </c>
      <c r="T22" s="133">
        <f>IF(SER_hh_fech!T22=0,0,SER_hh_fech!T22/SER_summary!T$26)</f>
        <v>44.319813018076054</v>
      </c>
      <c r="U22" s="133">
        <f>IF(SER_hh_fech!U22=0,0,SER_hh_fech!U22/SER_summary!U$26)</f>
        <v>41.960320353683166</v>
      </c>
      <c r="V22" s="133">
        <f>IF(SER_hh_fech!V22=0,0,SER_hh_fech!V22/SER_summary!V$26)</f>
        <v>37.722733246512561</v>
      </c>
      <c r="W22" s="133">
        <f>IF(SER_hh_fech!W22=0,0,SER_hh_fech!W22/SER_summary!W$26)</f>
        <v>39.208864150735216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49.321148542797317</v>
      </c>
      <c r="C23" s="133">
        <f>IF(SER_hh_fech!C23=0,0,SER_hh_fech!C23/SER_summary!C$26)</f>
        <v>47.788279271705072</v>
      </c>
      <c r="D23" s="133">
        <f>IF(SER_hh_fech!D23=0,0,SER_hh_fech!D23/SER_summary!D$26)</f>
        <v>48.608858172620366</v>
      </c>
      <c r="E23" s="133">
        <f>IF(SER_hh_fech!E23=0,0,SER_hh_fech!E23/SER_summary!E$26)</f>
        <v>46.740069455188483</v>
      </c>
      <c r="F23" s="133">
        <f>IF(SER_hh_fech!F23=0,0,SER_hh_fech!F23/SER_summary!F$26)</f>
        <v>45.460415230181376</v>
      </c>
      <c r="G23" s="133">
        <f>IF(SER_hh_fech!G23=0,0,SER_hh_fech!G23/SER_summary!G$26)</f>
        <v>45.600656222867499</v>
      </c>
      <c r="H23" s="133">
        <f>IF(SER_hh_fech!H23=0,0,SER_hh_fech!H23/SER_summary!H$26)</f>
        <v>43.53629103538109</v>
      </c>
      <c r="I23" s="133">
        <f>IF(SER_hh_fech!I23=0,0,SER_hh_fech!I23/SER_summary!I$26)</f>
        <v>41.989249002953713</v>
      </c>
      <c r="J23" s="133">
        <f>IF(SER_hh_fech!J23=0,0,SER_hh_fech!J23/SER_summary!J$26)</f>
        <v>43.963260452435883</v>
      </c>
      <c r="K23" s="133">
        <f>IF(SER_hh_fech!K23=0,0,SER_hh_fech!K23/SER_summary!K$26)</f>
        <v>44.025960564538224</v>
      </c>
      <c r="L23" s="133">
        <f>IF(SER_hh_fech!L23=0,0,SER_hh_fech!L23/SER_summary!L$26)</f>
        <v>42.532693217907628</v>
      </c>
      <c r="M23" s="133">
        <f>IF(SER_hh_fech!M23=0,0,SER_hh_fech!M23/SER_summary!M$26)</f>
        <v>42.600915284288988</v>
      </c>
      <c r="N23" s="133">
        <f>IF(SER_hh_fech!N23=0,0,SER_hh_fech!N23/SER_summary!N$26)</f>
        <v>42.200501067282438</v>
      </c>
      <c r="O23" s="133">
        <f>IF(SER_hh_fech!O23=0,0,SER_hh_fech!O23/SER_summary!O$26)</f>
        <v>41.945605410452039</v>
      </c>
      <c r="P23" s="133">
        <f>IF(SER_hh_fech!P23=0,0,SER_hh_fech!P23/SER_summary!P$26)</f>
        <v>41.043869365964909</v>
      </c>
      <c r="Q23" s="133">
        <f>IF(SER_hh_fech!Q23=0,0,SER_hh_fech!Q23/SER_summary!Q$26)</f>
        <v>40.893569222308017</v>
      </c>
      <c r="R23" s="133">
        <f>IF(SER_hh_fech!R23=0,0,SER_hh_fech!R23/SER_summary!R$26)</f>
        <v>40.353781552523571</v>
      </c>
      <c r="S23" s="133">
        <f>IF(SER_hh_fech!S23=0,0,SER_hh_fech!S23/SER_summary!S$26)</f>
        <v>39.877794236412001</v>
      </c>
      <c r="T23" s="133">
        <f>IF(SER_hh_fech!T23=0,0,SER_hh_fech!T23/SER_summary!T$26)</f>
        <v>37.365018601220171</v>
      </c>
      <c r="U23" s="133">
        <f>IF(SER_hh_fech!U23=0,0,SER_hh_fech!U23/SER_summary!U$26)</f>
        <v>35.602956151340948</v>
      </c>
      <c r="V23" s="133">
        <f>IF(SER_hh_fech!V23=0,0,SER_hh_fech!V23/SER_summary!V$26)</f>
        <v>33.600629882992152</v>
      </c>
      <c r="W23" s="133">
        <f>IF(SER_hh_fech!W23=0,0,SER_hh_fech!W23/SER_summary!W$26)</f>
        <v>33.601993586295414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62.834300474934089</v>
      </c>
      <c r="C24" s="133">
        <f>IF(SER_hh_fech!C24=0,0,SER_hh_fech!C24/SER_summary!C$26)</f>
        <v>54.575771881025609</v>
      </c>
      <c r="D24" s="133">
        <f>IF(SER_hh_fech!D24=0,0,SER_hh_fech!D24/SER_summary!D$26)</f>
        <v>53.086524753812363</v>
      </c>
      <c r="E24" s="133">
        <f>IF(SER_hh_fech!E24=0,0,SER_hh_fech!E24/SER_summary!E$26)</f>
        <v>50.526544550094528</v>
      </c>
      <c r="F24" s="133">
        <f>IF(SER_hh_fech!F24=0,0,SER_hh_fech!F24/SER_summary!F$26)</f>
        <v>50.4792722951575</v>
      </c>
      <c r="G24" s="133">
        <f>IF(SER_hh_fech!G24=0,0,SER_hh_fech!G24/SER_summary!G$26)</f>
        <v>49.230075206410845</v>
      </c>
      <c r="H24" s="133">
        <f>IF(SER_hh_fech!H24=0,0,SER_hh_fech!H24/SER_summary!H$26)</f>
        <v>47.31114518590504</v>
      </c>
      <c r="I24" s="133">
        <f>IF(SER_hh_fech!I24=0,0,SER_hh_fech!I24/SER_summary!I$26)</f>
        <v>46.004878652756624</v>
      </c>
      <c r="J24" s="133">
        <f>IF(SER_hh_fech!J24=0,0,SER_hh_fech!J24/SER_summary!J$26)</f>
        <v>43.830701642134187</v>
      </c>
      <c r="K24" s="133">
        <f>IF(SER_hh_fech!K24=0,0,SER_hh_fech!K24/SER_summary!K$26)</f>
        <v>43.16264737262432</v>
      </c>
      <c r="L24" s="133">
        <f>IF(SER_hh_fech!L24=0,0,SER_hh_fech!L24/SER_summary!L$26)</f>
        <v>42.327403756452505</v>
      </c>
      <c r="M24" s="133">
        <f>IF(SER_hh_fech!M24=0,0,SER_hh_fech!M24/SER_summary!M$26)</f>
        <v>42.102829977647254</v>
      </c>
      <c r="N24" s="133">
        <f>IF(SER_hh_fech!N24=0,0,SER_hh_fech!N24/SER_summary!N$26)</f>
        <v>40.572775345356291</v>
      </c>
      <c r="O24" s="133">
        <f>IF(SER_hh_fech!O24=0,0,SER_hh_fech!O24/SER_summary!O$26)</f>
        <v>40.177916514759247</v>
      </c>
      <c r="P24" s="133">
        <f>IF(SER_hh_fech!P24=0,0,SER_hh_fech!P24/SER_summary!P$26)</f>
        <v>39.66556715202239</v>
      </c>
      <c r="Q24" s="133">
        <f>IF(SER_hh_fech!Q24=0,0,SER_hh_fech!Q24/SER_summary!Q$26)</f>
        <v>40.164930198061704</v>
      </c>
      <c r="R24" s="133">
        <f>IF(SER_hh_fech!R24=0,0,SER_hh_fech!R24/SER_summary!R$26)</f>
        <v>39.058780675896351</v>
      </c>
      <c r="S24" s="133">
        <f>IF(SER_hh_fech!S24=0,0,SER_hh_fech!S24/SER_summary!S$26)</f>
        <v>42.572039878091417</v>
      </c>
      <c r="T24" s="133">
        <f>IF(SER_hh_fech!T24=0,0,SER_hh_fech!T24/SER_summary!T$26)</f>
        <v>38.105463880815492</v>
      </c>
      <c r="U24" s="133">
        <f>IF(SER_hh_fech!U24=0,0,SER_hh_fech!U24/SER_summary!U$26)</f>
        <v>35.358592309303084</v>
      </c>
      <c r="V24" s="133">
        <f>IF(SER_hh_fech!V24=0,0,SER_hh_fech!V24/SER_summary!V$26)</f>
        <v>33.580388412384245</v>
      </c>
      <c r="W24" s="133">
        <f>IF(SER_hh_fech!W24=0,0,SER_hh_fech!W24/SER_summary!W$26)</f>
        <v>35.923709189277211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34.606871962531237</v>
      </c>
      <c r="C25" s="133">
        <f>IF(SER_hh_fech!C25=0,0,SER_hh_fech!C25/SER_summary!C$26)</f>
        <v>33.720856669184577</v>
      </c>
      <c r="D25" s="133">
        <f>IF(SER_hh_fech!D25=0,0,SER_hh_fech!D25/SER_summary!D$26)</f>
        <v>33.216043083327179</v>
      </c>
      <c r="E25" s="133">
        <f>IF(SER_hh_fech!E25=0,0,SER_hh_fech!E25/SER_summary!E$26)</f>
        <v>32.813107369788149</v>
      </c>
      <c r="F25" s="133">
        <f>IF(SER_hh_fech!F25=0,0,SER_hh_fech!F25/SER_summary!F$26)</f>
        <v>32.317513500388728</v>
      </c>
      <c r="G25" s="133">
        <f>IF(SER_hh_fech!G25=0,0,SER_hh_fech!G25/SER_summary!G$26)</f>
        <v>32.586075874396116</v>
      </c>
      <c r="H25" s="133">
        <f>IF(SER_hh_fech!H25=0,0,SER_hh_fech!H25/SER_summary!H$26)</f>
        <v>31.9051966538544</v>
      </c>
      <c r="I25" s="133">
        <f>IF(SER_hh_fech!I25=0,0,SER_hh_fech!I25/SER_summary!I$26)</f>
        <v>32.048201455049032</v>
      </c>
      <c r="J25" s="133">
        <f>IF(SER_hh_fech!J25=0,0,SER_hh_fech!J25/SER_summary!J$26)</f>
        <v>30.855348244002947</v>
      </c>
      <c r="K25" s="133">
        <f>IF(SER_hh_fech!K25=0,0,SER_hh_fech!K25/SER_summary!K$26)</f>
        <v>31.512993158788202</v>
      </c>
      <c r="L25" s="133">
        <f>IF(SER_hh_fech!L25=0,0,SER_hh_fech!L25/SER_summary!L$26)</f>
        <v>31.360461919777087</v>
      </c>
      <c r="M25" s="133">
        <f>IF(SER_hh_fech!M25=0,0,SER_hh_fech!M25/SER_summary!M$26)</f>
        <v>31.964451878139414</v>
      </c>
      <c r="N25" s="133">
        <f>IF(SER_hh_fech!N25=0,0,SER_hh_fech!N25/SER_summary!N$26)</f>
        <v>31.737637654727852</v>
      </c>
      <c r="O25" s="133">
        <f>IF(SER_hh_fech!O25=0,0,SER_hh_fech!O25/SER_summary!O$26)</f>
        <v>31.701483370164194</v>
      </c>
      <c r="P25" s="133">
        <f>IF(SER_hh_fech!P25=0,0,SER_hh_fech!P25/SER_summary!P$26)</f>
        <v>30.921242449120978</v>
      </c>
      <c r="Q25" s="133">
        <f>IF(SER_hh_fech!Q25=0,0,SER_hh_fech!Q25/SER_summary!Q$26)</f>
        <v>31.704180230812199</v>
      </c>
      <c r="R25" s="133">
        <f>IF(SER_hh_fech!R25=0,0,SER_hh_fech!R25/SER_summary!R$26)</f>
        <v>32.041637269214959</v>
      </c>
      <c r="S25" s="133">
        <f>IF(SER_hh_fech!S25=0,0,SER_hh_fech!S25/SER_summary!S$26)</f>
        <v>31.777467504355695</v>
      </c>
      <c r="T25" s="133">
        <f>IF(SER_hh_fech!T25=0,0,SER_hh_fech!T25/SER_summary!T$26)</f>
        <v>30.462739403507047</v>
      </c>
      <c r="U25" s="133">
        <f>IF(SER_hh_fech!U25=0,0,SER_hh_fech!U25/SER_summary!U$26)</f>
        <v>30.121728934060535</v>
      </c>
      <c r="V25" s="133">
        <f>IF(SER_hh_fech!V25=0,0,SER_hh_fech!V25/SER_summary!V$26)</f>
        <v>27.569227983235368</v>
      </c>
      <c r="W25" s="133">
        <f>IF(SER_hh_fech!W25=0,0,SER_hh_fech!W25/SER_summary!W$26)</f>
        <v>29.512540336162655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37.572311269119822</v>
      </c>
      <c r="C26" s="65">
        <f>IF(SER_hh_fech!C26=0,0,SER_hh_fech!C26/SER_summary!C$26)</f>
        <v>42.667534592795626</v>
      </c>
      <c r="D26" s="65">
        <f>IF(SER_hh_fech!D26=0,0,SER_hh_fech!D26/SER_summary!D$26)</f>
        <v>38.7987684680783</v>
      </c>
      <c r="E26" s="65">
        <f>IF(SER_hh_fech!E26=0,0,SER_hh_fech!E26/SER_summary!E$26)</f>
        <v>38.668077147260064</v>
      </c>
      <c r="F26" s="65">
        <f>IF(SER_hh_fech!F26=0,0,SER_hh_fech!F26/SER_summary!F$26)</f>
        <v>39.749914713768696</v>
      </c>
      <c r="G26" s="65">
        <f>IF(SER_hh_fech!G26=0,0,SER_hh_fech!G26/SER_summary!G$26)</f>
        <v>37.048373238522217</v>
      </c>
      <c r="H26" s="65">
        <f>IF(SER_hh_fech!H26=0,0,SER_hh_fech!H26/SER_summary!H$26)</f>
        <v>38.318585063362491</v>
      </c>
      <c r="I26" s="65">
        <f>IF(SER_hh_fech!I26=0,0,SER_hh_fech!I26/SER_summary!I$26)</f>
        <v>37.948855664407198</v>
      </c>
      <c r="J26" s="65">
        <f>IF(SER_hh_fech!J26=0,0,SER_hh_fech!J26/SER_summary!J$26)</f>
        <v>36.573837059433984</v>
      </c>
      <c r="K26" s="65">
        <f>IF(SER_hh_fech!K26=0,0,SER_hh_fech!K26/SER_summary!K$26)</f>
        <v>38.632698106579909</v>
      </c>
      <c r="L26" s="65">
        <f>IF(SER_hh_fech!L26=0,0,SER_hh_fech!L26/SER_summary!L$26)</f>
        <v>38.205862132557385</v>
      </c>
      <c r="M26" s="65">
        <f>IF(SER_hh_fech!M26=0,0,SER_hh_fech!M26/SER_summary!M$26)</f>
        <v>38.59726881124336</v>
      </c>
      <c r="N26" s="65">
        <f>IF(SER_hh_fech!N26=0,0,SER_hh_fech!N26/SER_summary!N$26)</f>
        <v>37.493714337489401</v>
      </c>
      <c r="O26" s="65">
        <f>IF(SER_hh_fech!O26=0,0,SER_hh_fech!O26/SER_summary!O$26)</f>
        <v>38.828263296126892</v>
      </c>
      <c r="P26" s="65">
        <f>IF(SER_hh_fech!P26=0,0,SER_hh_fech!P26/SER_summary!P$26)</f>
        <v>37.841926964460519</v>
      </c>
      <c r="Q26" s="65">
        <f>IF(SER_hh_fech!Q26=0,0,SER_hh_fech!Q26/SER_summary!Q$26)</f>
        <v>36.758086873147498</v>
      </c>
      <c r="R26" s="65">
        <f>IF(SER_hh_fech!R26=0,0,SER_hh_fech!R26/SER_summary!R$26)</f>
        <v>37.255760915931141</v>
      </c>
      <c r="S26" s="65">
        <f>IF(SER_hh_fech!S26=0,0,SER_hh_fech!S26/SER_summary!S$26)</f>
        <v>35.947974810909798</v>
      </c>
      <c r="T26" s="65">
        <f>IF(SER_hh_fech!T26=0,0,SER_hh_fech!T26/SER_summary!T$26)</f>
        <v>36.464649434080762</v>
      </c>
      <c r="U26" s="65">
        <f>IF(SER_hh_fech!U26=0,0,SER_hh_fech!U26/SER_summary!U$26)</f>
        <v>34.496875902592791</v>
      </c>
      <c r="V26" s="65">
        <f>IF(SER_hh_fech!V26=0,0,SER_hh_fech!V26/SER_summary!V$26)</f>
        <v>29.735820603296442</v>
      </c>
      <c r="W26" s="65">
        <f>IF(SER_hh_fech!W26=0,0,SER_hh_fech!W26/SER_summary!W$26)</f>
        <v>31.798087005986886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44.747910309842183</v>
      </c>
      <c r="C29" s="131">
        <f>IF(SER_hh_fech!C29=0,0,SER_hh_fech!C29/SER_summary!C$26)</f>
        <v>45.720562554073361</v>
      </c>
      <c r="D29" s="131">
        <f>IF(SER_hh_fech!D29=0,0,SER_hh_fech!D29/SER_summary!D$26)</f>
        <v>43.269447740366438</v>
      </c>
      <c r="E29" s="131">
        <f>IF(SER_hh_fech!E29=0,0,SER_hh_fech!E29/SER_summary!E$26)</f>
        <v>42.309565153327824</v>
      </c>
      <c r="F29" s="131">
        <f>IF(SER_hh_fech!F29=0,0,SER_hh_fech!F29/SER_summary!F$26)</f>
        <v>42.052498192363771</v>
      </c>
      <c r="G29" s="131">
        <f>IF(SER_hh_fech!G29=0,0,SER_hh_fech!G29/SER_summary!G$26)</f>
        <v>42.032811234909438</v>
      </c>
      <c r="H29" s="131">
        <f>IF(SER_hh_fech!H29=0,0,SER_hh_fech!H29/SER_summary!H$26)</f>
        <v>41.305604552474222</v>
      </c>
      <c r="I29" s="131">
        <f>IF(SER_hh_fech!I29=0,0,SER_hh_fech!I29/SER_summary!I$26)</f>
        <v>39.5205624509152</v>
      </c>
      <c r="J29" s="131">
        <f>IF(SER_hh_fech!J29=0,0,SER_hh_fech!J29/SER_summary!J$26)</f>
        <v>39.597951465657673</v>
      </c>
      <c r="K29" s="131">
        <f>IF(SER_hh_fech!K29=0,0,SER_hh_fech!K29/SER_summary!K$26)</f>
        <v>40.154534747938435</v>
      </c>
      <c r="L29" s="131">
        <f>IF(SER_hh_fech!L29=0,0,SER_hh_fech!L29/SER_summary!L$26)</f>
        <v>39.574844647048984</v>
      </c>
      <c r="M29" s="131">
        <f>IF(SER_hh_fech!M29=0,0,SER_hh_fech!M29/SER_summary!M$26)</f>
        <v>38.786343510677327</v>
      </c>
      <c r="N29" s="131">
        <f>IF(SER_hh_fech!N29=0,0,SER_hh_fech!N29/SER_summary!N$26)</f>
        <v>38.777974429573788</v>
      </c>
      <c r="O29" s="131">
        <f>IF(SER_hh_fech!O29=0,0,SER_hh_fech!O29/SER_summary!O$26)</f>
        <v>38.391655107294788</v>
      </c>
      <c r="P29" s="131">
        <f>IF(SER_hh_fech!P29=0,0,SER_hh_fech!P29/SER_summary!P$26)</f>
        <v>37.890151387410675</v>
      </c>
      <c r="Q29" s="131">
        <f>IF(SER_hh_fech!Q29=0,0,SER_hh_fech!Q29/SER_summary!Q$26)</f>
        <v>37.132208503073485</v>
      </c>
      <c r="R29" s="131">
        <f>IF(SER_hh_fech!R29=0,0,SER_hh_fech!R29/SER_summary!R$26)</f>
        <v>37.241363783479535</v>
      </c>
      <c r="S29" s="131">
        <f>IF(SER_hh_fech!S29=0,0,SER_hh_fech!S29/SER_summary!S$26)</f>
        <v>37.177481413749064</v>
      </c>
      <c r="T29" s="131">
        <f>IF(SER_hh_fech!T29=0,0,SER_hh_fech!T29/SER_summary!T$26)</f>
        <v>36.804161541945149</v>
      </c>
      <c r="U29" s="131">
        <f>IF(SER_hh_fech!U29=0,0,SER_hh_fech!U29/SER_summary!U$26)</f>
        <v>36.023119613840478</v>
      </c>
      <c r="V29" s="131">
        <f>IF(SER_hh_fech!V29=0,0,SER_hh_fech!V29/SER_summary!V$26)</f>
        <v>33.629893731685428</v>
      </c>
      <c r="W29" s="131">
        <f>IF(SER_hh_fech!W29=0,0,SER_hh_fech!W29/SER_summary!W$26)</f>
        <v>34.711471900326025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84.37201751646279</v>
      </c>
      <c r="D30" s="133">
        <f>IF(SER_hh_fech!D30=0,0,SER_hh_fech!D30/SER_summary!D$26)</f>
        <v>26.247374220329586</v>
      </c>
      <c r="E30" s="133">
        <f>IF(SER_hh_fech!E30=0,0,SER_hh_fech!E30/SER_summary!E$26)</f>
        <v>67.605420353715886</v>
      </c>
      <c r="F30" s="133">
        <f>IF(SER_hh_fech!F30=0,0,SER_hh_fech!F30/SER_summary!F$26)</f>
        <v>48.610929657264812</v>
      </c>
      <c r="G30" s="133">
        <f>IF(SER_hh_fech!G30=0,0,SER_hh_fech!G30/SER_summary!G$26)</f>
        <v>46.740723877558899</v>
      </c>
      <c r="H30" s="133">
        <f>IF(SER_hh_fech!H30=0,0,SER_hh_fech!H30/SER_summary!H$26)</f>
        <v>49.380009051013381</v>
      </c>
      <c r="I30" s="133">
        <f>IF(SER_hh_fech!I30=0,0,SER_hh_fech!I30/SER_summary!I$26)</f>
        <v>52.125465625405916</v>
      </c>
      <c r="J30" s="133">
        <f>IF(SER_hh_fech!J30=0,0,SER_hh_fech!J30/SER_summary!J$26)</f>
        <v>40.535359642774566</v>
      </c>
      <c r="K30" s="133">
        <f>IF(SER_hh_fech!K30=0,0,SER_hh_fech!K30/SER_summary!K$26)</f>
        <v>46.554294101850928</v>
      </c>
      <c r="L30" s="133">
        <f>IF(SER_hh_fech!L30=0,0,SER_hh_fech!L30/SER_summary!L$26)</f>
        <v>51.652864815378656</v>
      </c>
      <c r="M30" s="133">
        <f>IF(SER_hh_fech!M30=0,0,SER_hh_fech!M30/SER_summary!M$26)</f>
        <v>28.963169520160257</v>
      </c>
      <c r="N30" s="133">
        <f>IF(SER_hh_fech!N30=0,0,SER_hh_fech!N30/SER_summary!N$26)</f>
        <v>48.593242889227284</v>
      </c>
      <c r="O30" s="133">
        <f>IF(SER_hh_fech!O30=0,0,SER_hh_fech!O30/SER_summary!O$26)</f>
        <v>41.671874995347245</v>
      </c>
      <c r="P30" s="133">
        <f>IF(SER_hh_fech!P30=0,0,SER_hh_fech!P30/SER_summary!P$26)</f>
        <v>46.836519307307292</v>
      </c>
      <c r="Q30" s="133">
        <f>IF(SER_hh_fech!Q30=0,0,SER_hh_fech!Q30/SER_summary!Q$26)</f>
        <v>35.889635002346409</v>
      </c>
      <c r="R30" s="133">
        <f>IF(SER_hh_fech!R30=0,0,SER_hh_fech!R30/SER_summary!R$26)</f>
        <v>44.393599461667478</v>
      </c>
      <c r="S30" s="133">
        <f>IF(SER_hh_fech!S30=0,0,SER_hh_fech!S30/SER_summary!S$26)</f>
        <v>53.733229192489837</v>
      </c>
      <c r="T30" s="133">
        <f>IF(SER_hh_fech!T30=0,0,SER_hh_fech!T30/SER_summary!T$26)</f>
        <v>45.347782083527122</v>
      </c>
      <c r="U30" s="133">
        <f>IF(SER_hh_fech!U30=0,0,SER_hh_fech!U30/SER_summary!U$26)</f>
        <v>37.995781002386337</v>
      </c>
      <c r="V30" s="133">
        <f>IF(SER_hh_fech!V30=0,0,SER_hh_fech!V30/SER_summary!V$26)</f>
        <v>40.354596313095598</v>
      </c>
      <c r="W30" s="133">
        <f>IF(SER_hh_fech!W30=0,0,SER_hh_fech!W30/SER_summary!W$26)</f>
        <v>43.641914364215658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45.479163508228176</v>
      </c>
      <c r="C31" s="133">
        <f>IF(SER_hh_fech!C31=0,0,SER_hh_fech!C31/SER_summary!C$26)</f>
        <v>57.404615246901344</v>
      </c>
      <c r="D31" s="133">
        <f>IF(SER_hh_fech!D31=0,0,SER_hh_fech!D31/SER_summary!D$26)</f>
        <v>57.66692101043671</v>
      </c>
      <c r="E31" s="133">
        <f>IF(SER_hh_fech!E31=0,0,SER_hh_fech!E31/SER_summary!E$26)</f>
        <v>50.701979004823365</v>
      </c>
      <c r="F31" s="133">
        <f>IF(SER_hh_fech!F31=0,0,SER_hh_fech!F31/SER_summary!F$26)</f>
        <v>51.85974998025177</v>
      </c>
      <c r="G31" s="133">
        <f>IF(SER_hh_fech!G31=0,0,SER_hh_fech!G31/SER_summary!G$26)</f>
        <v>50.454255649465097</v>
      </c>
      <c r="H31" s="133">
        <f>IF(SER_hh_fech!H31=0,0,SER_hh_fech!H31/SER_summary!H$26)</f>
        <v>48.507809454944166</v>
      </c>
      <c r="I31" s="133">
        <f>IF(SER_hh_fech!I31=0,0,SER_hh_fech!I31/SER_summary!I$26)</f>
        <v>47.943151407460633</v>
      </c>
      <c r="J31" s="133">
        <f>IF(SER_hh_fech!J31=0,0,SER_hh_fech!J31/SER_summary!J$26)</f>
        <v>49.081001480530844</v>
      </c>
      <c r="K31" s="133">
        <f>IF(SER_hh_fech!K31=0,0,SER_hh_fech!K31/SER_summary!K$26)</f>
        <v>50.18155242451202</v>
      </c>
      <c r="L31" s="133">
        <f>IF(SER_hh_fech!L31=0,0,SER_hh_fech!L31/SER_summary!L$26)</f>
        <v>49.433740430175433</v>
      </c>
      <c r="M31" s="133">
        <f>IF(SER_hh_fech!M31=0,0,SER_hh_fech!M31/SER_summary!M$26)</f>
        <v>50.287488530241674</v>
      </c>
      <c r="N31" s="133">
        <f>IF(SER_hh_fech!N31=0,0,SER_hh_fech!N31/SER_summary!N$26)</f>
        <v>45.482426855334218</v>
      </c>
      <c r="O31" s="133">
        <f>IF(SER_hh_fech!O31=0,0,SER_hh_fech!O31/SER_summary!O$26)</f>
        <v>44.282844969694608</v>
      </c>
      <c r="P31" s="133">
        <f>IF(SER_hh_fech!P31=0,0,SER_hh_fech!P31/SER_summary!P$26)</f>
        <v>46.189888712965377</v>
      </c>
      <c r="Q31" s="133">
        <f>IF(SER_hh_fech!Q31=0,0,SER_hh_fech!Q31/SER_summary!Q$26)</f>
        <v>42.936219937212918</v>
      </c>
      <c r="R31" s="133">
        <f>IF(SER_hh_fech!R31=0,0,SER_hh_fech!R31/SER_summary!R$26)</f>
        <v>45.326536642841432</v>
      </c>
      <c r="S31" s="133">
        <f>IF(SER_hh_fech!S31=0,0,SER_hh_fech!S31/SER_summary!S$26)</f>
        <v>45.012926296633083</v>
      </c>
      <c r="T31" s="133">
        <f>IF(SER_hh_fech!T31=0,0,SER_hh_fech!T31/SER_summary!T$26)</f>
        <v>44.02689650916853</v>
      </c>
      <c r="U31" s="133">
        <f>IF(SER_hh_fech!U31=0,0,SER_hh_fech!U31/SER_summary!U$26)</f>
        <v>43.370016384520582</v>
      </c>
      <c r="V31" s="133">
        <f>IF(SER_hh_fech!V31=0,0,SER_hh_fech!V31/SER_summary!V$26)</f>
        <v>41.770815666255494</v>
      </c>
      <c r="W31" s="133">
        <f>IF(SER_hh_fech!W31=0,0,SER_hh_fech!W31/SER_summary!W$26)</f>
        <v>41.319958235367878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44.641517399817687</v>
      </c>
      <c r="C33" s="68">
        <f>IF(SER_hh_fech!C33=0,0,SER_hh_fech!C33/SER_summary!C$26)</f>
        <v>42.128494296016385</v>
      </c>
      <c r="D33" s="68">
        <f>IF(SER_hh_fech!D33=0,0,SER_hh_fech!D33/SER_summary!D$26)</f>
        <v>40.415911900237134</v>
      </c>
      <c r="E33" s="68">
        <f>IF(SER_hh_fech!E33=0,0,SER_hh_fech!E33/SER_summary!E$26)</f>
        <v>37.912170011721393</v>
      </c>
      <c r="F33" s="68">
        <f>IF(SER_hh_fech!F33=0,0,SER_hh_fech!F33/SER_summary!F$26)</f>
        <v>38.624154856120214</v>
      </c>
      <c r="G33" s="68">
        <f>IF(SER_hh_fech!G33=0,0,SER_hh_fech!G33/SER_summary!G$26)</f>
        <v>39.138259874613844</v>
      </c>
      <c r="H33" s="68">
        <f>IF(SER_hh_fech!H33=0,0,SER_hh_fech!H33/SER_summary!H$26)</f>
        <v>38.606665360224966</v>
      </c>
      <c r="I33" s="68">
        <f>IF(SER_hh_fech!I33=0,0,SER_hh_fech!I33/SER_summary!I$26)</f>
        <v>36.206740282141162</v>
      </c>
      <c r="J33" s="68">
        <f>IF(SER_hh_fech!J33=0,0,SER_hh_fech!J33/SER_summary!J$26)</f>
        <v>36.586730401610716</v>
      </c>
      <c r="K33" s="68">
        <f>IF(SER_hh_fech!K33=0,0,SER_hh_fech!K33/SER_summary!K$26)</f>
        <v>36.611702671566874</v>
      </c>
      <c r="L33" s="68">
        <f>IF(SER_hh_fech!L33=0,0,SER_hh_fech!L33/SER_summary!L$26)</f>
        <v>35.963871712162003</v>
      </c>
      <c r="M33" s="68">
        <f>IF(SER_hh_fech!M33=0,0,SER_hh_fech!M33/SER_summary!M$26)</f>
        <v>35.862420338728143</v>
      </c>
      <c r="N33" s="68">
        <f>IF(SER_hh_fech!N33=0,0,SER_hh_fech!N33/SER_summary!N$26)</f>
        <v>36.741189836642768</v>
      </c>
      <c r="O33" s="68">
        <f>IF(SER_hh_fech!O33=0,0,SER_hh_fech!O33/SER_summary!O$26)</f>
        <v>36.966541291711309</v>
      </c>
      <c r="P33" s="68">
        <f>IF(SER_hh_fech!P33=0,0,SER_hh_fech!P33/SER_summary!P$26)</f>
        <v>35.595121121264967</v>
      </c>
      <c r="Q33" s="68">
        <f>IF(SER_hh_fech!Q33=0,0,SER_hh_fech!Q33/SER_summary!Q$26)</f>
        <v>35.930301815206981</v>
      </c>
      <c r="R33" s="68">
        <f>IF(SER_hh_fech!R33=0,0,SER_hh_fech!R33/SER_summary!R$26)</f>
        <v>34.313218981112961</v>
      </c>
      <c r="S33" s="68">
        <f>IF(SER_hh_fech!S33=0,0,SER_hh_fech!S33/SER_summary!S$26)</f>
        <v>32.453087656389954</v>
      </c>
      <c r="T33" s="68">
        <f>IF(SER_hh_fech!T33=0,0,SER_hh_fech!T33/SER_summary!T$26)</f>
        <v>33.016242185086121</v>
      </c>
      <c r="U33" s="68">
        <f>IF(SER_hh_fech!U33=0,0,SER_hh_fech!U33/SER_summary!U$26)</f>
        <v>32.858001607652668</v>
      </c>
      <c r="V33" s="68">
        <f>IF(SER_hh_fech!V33=0,0,SER_hh_fech!V33/SER_summary!V$26)</f>
        <v>29.188162309835349</v>
      </c>
      <c r="W33" s="68">
        <f>IF(SER_hh_fech!W33=0,0,SER_hh_fech!W33/SER_summary!W$26)</f>
        <v>30.652108121684702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257.42935373860979</v>
      </c>
      <c r="C3" s="126">
        <f>IF(SER_hh_tesh!C3=0,0,SER_hh_tesh!C3/SER_summary!C$26)</f>
        <v>263.57934957423009</v>
      </c>
      <c r="D3" s="126">
        <f>IF(SER_hh_tesh!D3=0,0,SER_hh_tesh!D3/SER_summary!D$26)</f>
        <v>268.58001799023185</v>
      </c>
      <c r="E3" s="126">
        <f>IF(SER_hh_tesh!E3=0,0,SER_hh_tesh!E3/SER_summary!E$26)</f>
        <v>271.39297783604866</v>
      </c>
      <c r="F3" s="126">
        <f>IF(SER_hh_tesh!F3=0,0,SER_hh_tesh!F3/SER_summary!F$26)</f>
        <v>269.3052691542718</v>
      </c>
      <c r="G3" s="126">
        <f>IF(SER_hh_tesh!G3=0,0,SER_hh_tesh!G3/SER_summary!G$26)</f>
        <v>257.99327317485677</v>
      </c>
      <c r="H3" s="126">
        <f>IF(SER_hh_tesh!H3=0,0,SER_hh_tesh!H3/SER_summary!H$26)</f>
        <v>260.71958746912605</v>
      </c>
      <c r="I3" s="126">
        <f>IF(SER_hh_tesh!I3=0,0,SER_hh_tesh!I3/SER_summary!I$26)</f>
        <v>264.07326843551817</v>
      </c>
      <c r="J3" s="126">
        <f>IF(SER_hh_tesh!J3=0,0,SER_hh_tesh!J3/SER_summary!J$26)</f>
        <v>227.68017789396018</v>
      </c>
      <c r="K3" s="126">
        <f>IF(SER_hh_tesh!K3=0,0,SER_hh_tesh!K3/SER_summary!K$26)</f>
        <v>209.96486009869494</v>
      </c>
      <c r="L3" s="126">
        <f>IF(SER_hh_tesh!L3=0,0,SER_hh_tesh!L3/SER_summary!L$26)</f>
        <v>223.90580976443147</v>
      </c>
      <c r="M3" s="126">
        <f>IF(SER_hh_tesh!M3=0,0,SER_hh_tesh!M3/SER_summary!M$26)</f>
        <v>202.19555907300523</v>
      </c>
      <c r="N3" s="126">
        <f>IF(SER_hh_tesh!N3=0,0,SER_hh_tesh!N3/SER_summary!N$26)</f>
        <v>234.85193693707225</v>
      </c>
      <c r="O3" s="126">
        <f>IF(SER_hh_tesh!O3=0,0,SER_hh_tesh!O3/SER_summary!O$26)</f>
        <v>222.6591795543014</v>
      </c>
      <c r="P3" s="126">
        <f>IF(SER_hh_tesh!P3=0,0,SER_hh_tesh!P3/SER_summary!P$26)</f>
        <v>222.99666096292324</v>
      </c>
      <c r="Q3" s="126">
        <f>IF(SER_hh_tesh!Q3=0,0,SER_hh_tesh!Q3/SER_summary!Q$26)</f>
        <v>208.91754826569121</v>
      </c>
      <c r="R3" s="126">
        <f>IF(SER_hh_tesh!R3=0,0,SER_hh_tesh!R3/SER_summary!R$26)</f>
        <v>215.31328513385648</v>
      </c>
      <c r="S3" s="126">
        <f>IF(SER_hh_tesh!S3=0,0,SER_hh_tesh!S3/SER_summary!S$26)</f>
        <v>219.75506684874912</v>
      </c>
      <c r="T3" s="126">
        <f>IF(SER_hh_tesh!T3=0,0,SER_hh_tesh!T3/SER_summary!T$26)</f>
        <v>214.71861461751595</v>
      </c>
      <c r="U3" s="126">
        <f>IF(SER_hh_tesh!U3=0,0,SER_hh_tesh!U3/SER_summary!U$26)</f>
        <v>205.65689829625347</v>
      </c>
      <c r="V3" s="126">
        <f>IF(SER_hh_tesh!V3=0,0,SER_hh_tesh!V3/SER_summary!V$26)</f>
        <v>201.01982071815621</v>
      </c>
      <c r="W3" s="126">
        <f>IF(SER_hh_tesh!W3=0,0,SER_hh_tesh!W3/SER_summary!W$26)</f>
        <v>226.95138761607345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198.61663327230588</v>
      </c>
      <c r="C4" s="131">
        <f>IF(SER_hh_tesh!C4=0,0,SER_hh_tesh!C4/SER_summary!C$26)</f>
        <v>204.41328982239062</v>
      </c>
      <c r="D4" s="131">
        <f>IF(SER_hh_tesh!D4=0,0,SER_hh_tesh!D4/SER_summary!D$26)</f>
        <v>212.02063568983468</v>
      </c>
      <c r="E4" s="131">
        <f>IF(SER_hh_tesh!E4=0,0,SER_hh_tesh!E4/SER_summary!E$26)</f>
        <v>215.93908628316967</v>
      </c>
      <c r="F4" s="131">
        <f>IF(SER_hh_tesh!F4=0,0,SER_hh_tesh!F4/SER_summary!F$26)</f>
        <v>213.65493620215958</v>
      </c>
      <c r="G4" s="131">
        <f>IF(SER_hh_tesh!G4=0,0,SER_hh_tesh!G4/SER_summary!G$26)</f>
        <v>202.48619295656462</v>
      </c>
      <c r="H4" s="131">
        <f>IF(SER_hh_tesh!H4=0,0,SER_hh_tesh!H4/SER_summary!H$26)</f>
        <v>205.2805618045185</v>
      </c>
      <c r="I4" s="131">
        <f>IF(SER_hh_tesh!I4=0,0,SER_hh_tesh!I4/SER_summary!I$26)</f>
        <v>209.94730633745698</v>
      </c>
      <c r="J4" s="131">
        <f>IF(SER_hh_tesh!J4=0,0,SER_hh_tesh!J4/SER_summary!J$26)</f>
        <v>173.68513068535958</v>
      </c>
      <c r="K4" s="131">
        <f>IF(SER_hh_tesh!K4=0,0,SER_hh_tesh!K4/SER_summary!K$26)</f>
        <v>154.63886397842595</v>
      </c>
      <c r="L4" s="131">
        <f>IF(SER_hh_tesh!L4=0,0,SER_hh_tesh!L4/SER_summary!L$26)</f>
        <v>168.45238726222556</v>
      </c>
      <c r="M4" s="131">
        <f>IF(SER_hh_tesh!M4=0,0,SER_hh_tesh!M4/SER_summary!M$26)</f>
        <v>146.88283443580121</v>
      </c>
      <c r="N4" s="131">
        <f>IF(SER_hh_tesh!N4=0,0,SER_hh_tesh!N4/SER_summary!N$26)</f>
        <v>179.31887789714582</v>
      </c>
      <c r="O4" s="131">
        <f>IF(SER_hh_tesh!O4=0,0,SER_hh_tesh!O4/SER_summary!O$26)</f>
        <v>166.58052801909085</v>
      </c>
      <c r="P4" s="131">
        <f>IF(SER_hh_tesh!P4=0,0,SER_hh_tesh!P4/SER_summary!P$26)</f>
        <v>167.53728437859567</v>
      </c>
      <c r="Q4" s="131">
        <f>IF(SER_hh_tesh!Q4=0,0,SER_hh_tesh!Q4/SER_summary!Q$26)</f>
        <v>153.67205477795486</v>
      </c>
      <c r="R4" s="131">
        <f>IF(SER_hh_tesh!R4=0,0,SER_hh_tesh!R4/SER_summary!R$26)</f>
        <v>159.9315741877916</v>
      </c>
      <c r="S4" s="131">
        <f>IF(SER_hh_tesh!S4=0,0,SER_hh_tesh!S4/SER_summary!S$26)</f>
        <v>164.29723652484785</v>
      </c>
      <c r="T4" s="131">
        <f>IF(SER_hh_tesh!T4=0,0,SER_hh_tesh!T4/SER_summary!T$26)</f>
        <v>159.57532504780687</v>
      </c>
      <c r="U4" s="131">
        <f>IF(SER_hh_tesh!U4=0,0,SER_hh_tesh!U4/SER_summary!U$26)</f>
        <v>151.51181739887841</v>
      </c>
      <c r="V4" s="131">
        <f>IF(SER_hh_tesh!V4=0,0,SER_hh_tesh!V4/SER_summary!V$26)</f>
        <v>150.56539540221209</v>
      </c>
      <c r="W4" s="131">
        <f>IF(SER_hh_tesh!W4=0,0,SER_hh_tesh!W4/SER_summary!W$26)</f>
        <v>173.1165761311938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198.88412688492303</v>
      </c>
      <c r="C5" s="133">
        <f>IF(SER_hh_tesh!C5=0,0,SER_hh_tesh!C5/SER_summary!C$26)</f>
        <v>205.86461380330792</v>
      </c>
      <c r="D5" s="133">
        <f>IF(SER_hh_tesh!D5=0,0,SER_hh_tesh!D5/SER_summary!D$26)</f>
        <v>208.47679256753818</v>
      </c>
      <c r="E5" s="133">
        <f>IF(SER_hh_tesh!E5=0,0,SER_hh_tesh!E5/SER_summary!E$26)</f>
        <v>209.39732744701402</v>
      </c>
      <c r="F5" s="133">
        <f>IF(SER_hh_tesh!F5=0,0,SER_hh_tesh!F5/SER_summary!F$26)</f>
        <v>216.51668281639078</v>
      </c>
      <c r="G5" s="133">
        <f>IF(SER_hh_tesh!G5=0,0,SER_hh_tesh!G5/SER_summary!G$26)</f>
        <v>189.03371883925797</v>
      </c>
      <c r="H5" s="133">
        <f>IF(SER_hh_tesh!H5=0,0,SER_hh_tesh!H5/SER_summary!H$26)</f>
        <v>201.55105191395702</v>
      </c>
      <c r="I5" s="133">
        <f>IF(SER_hh_tesh!I5=0,0,SER_hh_tesh!I5/SER_summary!I$26)</f>
        <v>205.68059107992255</v>
      </c>
      <c r="J5" s="133">
        <f>IF(SER_hh_tesh!J5=0,0,SER_hh_tesh!J5/SER_summary!J$26)</f>
        <v>177.67277384180389</v>
      </c>
      <c r="K5" s="133">
        <f>IF(SER_hh_tesh!K5=0,0,SER_hh_tesh!K5/SER_summary!K$26)</f>
        <v>134.80950571088962</v>
      </c>
      <c r="L5" s="133">
        <f>IF(SER_hh_tesh!L5=0,0,SER_hh_tesh!L5/SER_summary!L$26)</f>
        <v>187.14389042491197</v>
      </c>
      <c r="M5" s="133">
        <f>IF(SER_hh_tesh!M5=0,0,SER_hh_tesh!M5/SER_summary!M$26)</f>
        <v>179.76301624879875</v>
      </c>
      <c r="N5" s="133">
        <f>IF(SER_hh_tesh!N5=0,0,SER_hh_tesh!N5/SER_summary!N$26)</f>
        <v>128.38879883616875</v>
      </c>
      <c r="O5" s="133">
        <f>IF(SER_hh_tesh!O5=0,0,SER_hh_tesh!O5/SER_summary!O$26)</f>
        <v>170.7429882836837</v>
      </c>
      <c r="P5" s="133">
        <f>IF(SER_hh_tesh!P5=0,0,SER_hh_tesh!P5/SER_summary!P$26)</f>
        <v>164.23013247681206</v>
      </c>
      <c r="Q5" s="133">
        <f>IF(SER_hh_tesh!Q5=0,0,SER_hh_tesh!Q5/SER_summary!Q$26)</f>
        <v>146.95028949769656</v>
      </c>
      <c r="R5" s="133">
        <f>IF(SER_hh_tesh!R5=0,0,SER_hh_tesh!R5/SER_summary!R$26)</f>
        <v>165.17354924809595</v>
      </c>
      <c r="S5" s="133">
        <f>IF(SER_hh_tesh!S5=0,0,SER_hh_tesh!S5/SER_summary!S$26)</f>
        <v>142.00164788583572</v>
      </c>
      <c r="T5" s="133">
        <f>IF(SER_hh_tesh!T5=0,0,SER_hh_tesh!T5/SER_summary!T$26)</f>
        <v>164.85662908447378</v>
      </c>
      <c r="U5" s="133">
        <f>IF(SER_hh_tesh!U5=0,0,SER_hh_tesh!U5/SER_summary!U$26)</f>
        <v>154.53280158804824</v>
      </c>
      <c r="V5" s="133">
        <f>IF(SER_hh_tesh!V5=0,0,SER_hh_tesh!V5/SER_summary!V$26)</f>
        <v>123.22400735363668</v>
      </c>
      <c r="W5" s="133">
        <f>IF(SER_hh_tesh!W5=0,0,SER_hh_tesh!W5/SER_summary!W$26)</f>
        <v>177.97870920915685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187.16204594058235</v>
      </c>
      <c r="C7" s="133">
        <f>IF(SER_hh_tesh!C7=0,0,SER_hh_tesh!C7/SER_summary!C$26)</f>
        <v>207.13364633393428</v>
      </c>
      <c r="D7" s="133">
        <f>IF(SER_hh_tesh!D7=0,0,SER_hh_tesh!D7/SER_summary!D$26)</f>
        <v>200.77974256975915</v>
      </c>
      <c r="E7" s="133">
        <f>IF(SER_hh_tesh!E7=0,0,SER_hh_tesh!E7/SER_summary!E$26)</f>
        <v>217.00666118874133</v>
      </c>
      <c r="F7" s="133">
        <f>IF(SER_hh_tesh!F7=0,0,SER_hh_tesh!F7/SER_summary!F$26)</f>
        <v>220.86396929583378</v>
      </c>
      <c r="G7" s="133">
        <f>IF(SER_hh_tesh!G7=0,0,SER_hh_tesh!G7/SER_summary!G$26)</f>
        <v>177.35506048755596</v>
      </c>
      <c r="H7" s="133">
        <f>IF(SER_hh_tesh!H7=0,0,SER_hh_tesh!H7/SER_summary!H$26)</f>
        <v>230.79974608164954</v>
      </c>
      <c r="I7" s="133">
        <f>IF(SER_hh_tesh!I7=0,0,SER_hh_tesh!I7/SER_summary!I$26)</f>
        <v>192.47408880883233</v>
      </c>
      <c r="J7" s="133">
        <f>IF(SER_hh_tesh!J7=0,0,SER_hh_tesh!J7/SER_summary!J$26)</f>
        <v>164.55312102086927</v>
      </c>
      <c r="K7" s="133">
        <f>IF(SER_hh_tesh!K7=0,0,SER_hh_tesh!K7/SER_summary!K$26)</f>
        <v>158.52200586389654</v>
      </c>
      <c r="L7" s="133">
        <f>IF(SER_hh_tesh!L7=0,0,SER_hh_tesh!L7/SER_summary!L$26)</f>
        <v>159.64058984734538</v>
      </c>
      <c r="M7" s="133">
        <f>IF(SER_hh_tesh!M7=0,0,SER_hh_tesh!M7/SER_summary!M$26)</f>
        <v>133.59689326260505</v>
      </c>
      <c r="N7" s="133">
        <f>IF(SER_hh_tesh!N7=0,0,SER_hh_tesh!N7/SER_summary!N$26)</f>
        <v>174.34408032974972</v>
      </c>
      <c r="O7" s="133">
        <f>IF(SER_hh_tesh!O7=0,0,SER_hh_tesh!O7/SER_summary!O$26)</f>
        <v>166.6107432858945</v>
      </c>
      <c r="P7" s="133">
        <f>IF(SER_hh_tesh!P7=0,0,SER_hh_tesh!P7/SER_summary!P$26)</f>
        <v>171.31361945026788</v>
      </c>
      <c r="Q7" s="133">
        <f>IF(SER_hh_tesh!Q7=0,0,SER_hh_tesh!Q7/SER_summary!Q$26)</f>
        <v>181.22107473846643</v>
      </c>
      <c r="R7" s="133">
        <f>IF(SER_hh_tesh!R7=0,0,SER_hh_tesh!R7/SER_summary!R$26)</f>
        <v>130.05962502532546</v>
      </c>
      <c r="S7" s="133">
        <f>IF(SER_hh_tesh!S7=0,0,SER_hh_tesh!S7/SER_summary!S$26)</f>
        <v>147.66197691156546</v>
      </c>
      <c r="T7" s="133">
        <f>IF(SER_hh_tesh!T7=0,0,SER_hh_tesh!T7/SER_summary!T$26)</f>
        <v>169.10619884267771</v>
      </c>
      <c r="U7" s="133">
        <f>IF(SER_hh_tesh!U7=0,0,SER_hh_tesh!U7/SER_summary!U$26)</f>
        <v>128.85161965835186</v>
      </c>
      <c r="V7" s="133">
        <f>IF(SER_hh_tesh!V7=0,0,SER_hh_tesh!V7/SER_summary!V$26)</f>
        <v>143.0774640301058</v>
      </c>
      <c r="W7" s="133">
        <f>IF(SER_hh_tesh!W7=0,0,SER_hh_tesh!W7/SER_summary!W$26)</f>
        <v>187.07916665469216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196.60717238466702</v>
      </c>
      <c r="C9" s="133">
        <f>IF(SER_hh_tesh!C9=0,0,SER_hh_tesh!C9/SER_summary!C$26)</f>
        <v>173.93915801541831</v>
      </c>
      <c r="D9" s="133">
        <f>IF(SER_hh_tesh!D9=0,0,SER_hh_tesh!D9/SER_summary!D$26)</f>
        <v>215.61144926361084</v>
      </c>
      <c r="E9" s="133">
        <f>IF(SER_hh_tesh!E9=0,0,SER_hh_tesh!E9/SER_summary!E$26)</f>
        <v>205.36898523990359</v>
      </c>
      <c r="F9" s="133">
        <f>IF(SER_hh_tesh!F9=0,0,SER_hh_tesh!F9/SER_summary!F$26)</f>
        <v>217.28625410082012</v>
      </c>
      <c r="G9" s="133">
        <f>IF(SER_hh_tesh!G9=0,0,SER_hh_tesh!G9/SER_summary!G$26)</f>
        <v>199.33032532903593</v>
      </c>
      <c r="H9" s="133">
        <f>IF(SER_hh_tesh!H9=0,0,SER_hh_tesh!H9/SER_summary!H$26)</f>
        <v>196.92555538973534</v>
      </c>
      <c r="I9" s="133">
        <f>IF(SER_hh_tesh!I9=0,0,SER_hh_tesh!I9/SER_summary!I$26)</f>
        <v>200.56859796268273</v>
      </c>
      <c r="J9" s="133">
        <f>IF(SER_hh_tesh!J9=0,0,SER_hh_tesh!J9/SER_summary!J$26)</f>
        <v>177.72408219183146</v>
      </c>
      <c r="K9" s="133">
        <f>IF(SER_hh_tesh!K9=0,0,SER_hh_tesh!K9/SER_summary!K$26)</f>
        <v>158.76556480309125</v>
      </c>
      <c r="L9" s="133">
        <f>IF(SER_hh_tesh!L9=0,0,SER_hh_tesh!L9/SER_summary!L$26)</f>
        <v>168.18519223338893</v>
      </c>
      <c r="M9" s="133">
        <f>IF(SER_hh_tesh!M9=0,0,SER_hh_tesh!M9/SER_summary!M$26)</f>
        <v>155.8414630175541</v>
      </c>
      <c r="N9" s="133">
        <f>IF(SER_hh_tesh!N9=0,0,SER_hh_tesh!N9/SER_summary!N$26)</f>
        <v>167.01035182016531</v>
      </c>
      <c r="O9" s="133">
        <f>IF(SER_hh_tesh!O9=0,0,SER_hh_tesh!O9/SER_summary!O$26)</f>
        <v>149.685560077063</v>
      </c>
      <c r="P9" s="133">
        <f>IF(SER_hh_tesh!P9=0,0,SER_hh_tesh!P9/SER_summary!P$26)</f>
        <v>165.15306240426796</v>
      </c>
      <c r="Q9" s="133">
        <f>IF(SER_hh_tesh!Q9=0,0,SER_hh_tesh!Q9/SER_summary!Q$26)</f>
        <v>149.58072717143042</v>
      </c>
      <c r="R9" s="133">
        <f>IF(SER_hh_tesh!R9=0,0,SER_hh_tesh!R9/SER_summary!R$26)</f>
        <v>156.02859470217317</v>
      </c>
      <c r="S9" s="133">
        <f>IF(SER_hh_tesh!S9=0,0,SER_hh_tesh!S9/SER_summary!S$26)</f>
        <v>159.03566403483916</v>
      </c>
      <c r="T9" s="133">
        <f>IF(SER_hh_tesh!T9=0,0,SER_hh_tesh!T9/SER_summary!T$26)</f>
        <v>156.07490131184863</v>
      </c>
      <c r="U9" s="133">
        <f>IF(SER_hh_tesh!U9=0,0,SER_hh_tesh!U9/SER_summary!U$26)</f>
        <v>155.17294527777275</v>
      </c>
      <c r="V9" s="133">
        <f>IF(SER_hh_tesh!V9=0,0,SER_hh_tesh!V9/SER_summary!V$26)</f>
        <v>151.29400500067814</v>
      </c>
      <c r="W9" s="133">
        <f>IF(SER_hh_tesh!W9=0,0,SER_hh_tesh!W9/SER_summary!W$26)</f>
        <v>161.17138055419662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186.64815379922541</v>
      </c>
      <c r="C10" s="133">
        <f>IF(SER_hh_tesh!C10=0,0,SER_hh_tesh!C10/SER_summary!C$26)</f>
        <v>211.50603115719304</v>
      </c>
      <c r="D10" s="133">
        <f>IF(SER_hh_tesh!D10=0,0,SER_hh_tesh!D10/SER_summary!D$26)</f>
        <v>205.10043540007911</v>
      </c>
      <c r="E10" s="133">
        <f>IF(SER_hh_tesh!E10=0,0,SER_hh_tesh!E10/SER_summary!E$26)</f>
        <v>200.92170564889864</v>
      </c>
      <c r="F10" s="133">
        <f>IF(SER_hh_tesh!F10=0,0,SER_hh_tesh!F10/SER_summary!F$26)</f>
        <v>218.12725159351385</v>
      </c>
      <c r="G10" s="133">
        <f>IF(SER_hh_tesh!G10=0,0,SER_hh_tesh!G10/SER_summary!G$26)</f>
        <v>200.05800856109411</v>
      </c>
      <c r="H10" s="133">
        <f>IF(SER_hh_tesh!H10=0,0,SER_hh_tesh!H10/SER_summary!H$26)</f>
        <v>204.97329208701018</v>
      </c>
      <c r="I10" s="133">
        <f>IF(SER_hh_tesh!I10=0,0,SER_hh_tesh!I10/SER_summary!I$26)</f>
        <v>240.16970637692967</v>
      </c>
      <c r="J10" s="133">
        <f>IF(SER_hh_tesh!J10=0,0,SER_hh_tesh!J10/SER_summary!J$26)</f>
        <v>149.83857012809921</v>
      </c>
      <c r="K10" s="133">
        <f>IF(SER_hh_tesh!K10=0,0,SER_hh_tesh!K10/SER_summary!K$26)</f>
        <v>153.65471881047876</v>
      </c>
      <c r="L10" s="133">
        <f>IF(SER_hh_tesh!L10=0,0,SER_hh_tesh!L10/SER_summary!L$26)</f>
        <v>165.97927367782415</v>
      </c>
      <c r="M10" s="133">
        <f>IF(SER_hh_tesh!M10=0,0,SER_hh_tesh!M10/SER_summary!M$26)</f>
        <v>135.01786334303074</v>
      </c>
      <c r="N10" s="133">
        <f>IF(SER_hh_tesh!N10=0,0,SER_hh_tesh!N10/SER_summary!N$26)</f>
        <v>182.81326583777138</v>
      </c>
      <c r="O10" s="133">
        <f>IF(SER_hh_tesh!O10=0,0,SER_hh_tesh!O10/SER_summary!O$26)</f>
        <v>178.07136377958102</v>
      </c>
      <c r="P10" s="133">
        <f>IF(SER_hh_tesh!P10=0,0,SER_hh_tesh!P10/SER_summary!P$26)</f>
        <v>160.80366432554015</v>
      </c>
      <c r="Q10" s="133">
        <f>IF(SER_hh_tesh!Q10=0,0,SER_hh_tesh!Q10/SER_summary!Q$26)</f>
        <v>155.00057711677408</v>
      </c>
      <c r="R10" s="133">
        <f>IF(SER_hh_tesh!R10=0,0,SER_hh_tesh!R10/SER_summary!R$26)</f>
        <v>156.54678496501526</v>
      </c>
      <c r="S10" s="133">
        <f>IF(SER_hh_tesh!S10=0,0,SER_hh_tesh!S10/SER_summary!S$26)</f>
        <v>173.78118858482594</v>
      </c>
      <c r="T10" s="133">
        <f>IF(SER_hh_tesh!T10=0,0,SER_hh_tesh!T10/SER_summary!T$26)</f>
        <v>159.07500913219513</v>
      </c>
      <c r="U10" s="133">
        <f>IF(SER_hh_tesh!U10=0,0,SER_hh_tesh!U10/SER_summary!U$26)</f>
        <v>149.75382498736283</v>
      </c>
      <c r="V10" s="133">
        <f>IF(SER_hh_tesh!V10=0,0,SER_hh_tesh!V10/SER_summary!V$26)</f>
        <v>143.67147214225599</v>
      </c>
      <c r="W10" s="133">
        <f>IF(SER_hh_tesh!W10=0,0,SER_hh_tesh!W10/SER_summary!W$26)</f>
        <v>166.63238445139314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194.4381163365311</v>
      </c>
      <c r="C12" s="133">
        <f>IF(SER_hh_tesh!C12=0,0,SER_hh_tesh!C12/SER_summary!C$26)</f>
        <v>212.7141133667192</v>
      </c>
      <c r="D12" s="133">
        <f>IF(SER_hh_tesh!D12=0,0,SER_hh_tesh!D12/SER_summary!D$26)</f>
        <v>208.58712125469137</v>
      </c>
      <c r="E12" s="133">
        <f>IF(SER_hh_tesh!E12=0,0,SER_hh_tesh!E12/SER_summary!E$26)</f>
        <v>217.48457440079198</v>
      </c>
      <c r="F12" s="133">
        <f>IF(SER_hh_tesh!F12=0,0,SER_hh_tesh!F12/SER_summary!F$26)</f>
        <v>205.41571723340809</v>
      </c>
      <c r="G12" s="133">
        <f>IF(SER_hh_tesh!G12=0,0,SER_hh_tesh!G12/SER_summary!G$26)</f>
        <v>209.29228620410981</v>
      </c>
      <c r="H12" s="133">
        <f>IF(SER_hh_tesh!H12=0,0,SER_hh_tesh!H12/SER_summary!H$26)</f>
        <v>205.33070545200619</v>
      </c>
      <c r="I12" s="133">
        <f>IF(SER_hh_tesh!I12=0,0,SER_hh_tesh!I12/SER_summary!I$26)</f>
        <v>186.4681625383476</v>
      </c>
      <c r="J12" s="133">
        <f>IF(SER_hh_tesh!J12=0,0,SER_hh_tesh!J12/SER_summary!J$26)</f>
        <v>168.10591406333992</v>
      </c>
      <c r="K12" s="133">
        <f>IF(SER_hh_tesh!K12=0,0,SER_hh_tesh!K12/SER_summary!K$26)</f>
        <v>161.35203483858683</v>
      </c>
      <c r="L12" s="133">
        <f>IF(SER_hh_tesh!L12=0,0,SER_hh_tesh!L12/SER_summary!L$26)</f>
        <v>171.54209901968602</v>
      </c>
      <c r="M12" s="133">
        <f>IF(SER_hh_tesh!M12=0,0,SER_hh_tesh!M12/SER_summary!M$26)</f>
        <v>143.99959953512669</v>
      </c>
      <c r="N12" s="133">
        <f>IF(SER_hh_tesh!N12=0,0,SER_hh_tesh!N12/SER_summary!N$26)</f>
        <v>177.1360920724849</v>
      </c>
      <c r="O12" s="133">
        <f>IF(SER_hh_tesh!O12=0,0,SER_hh_tesh!O12/SER_summary!O$26)</f>
        <v>170.24179334368006</v>
      </c>
      <c r="P12" s="133">
        <f>IF(SER_hh_tesh!P12=0,0,SER_hh_tesh!P12/SER_summary!P$26)</f>
        <v>159.37458679096306</v>
      </c>
      <c r="Q12" s="133">
        <f>IF(SER_hh_tesh!Q12=0,0,SER_hh_tesh!Q12/SER_summary!Q$26)</f>
        <v>149.40537868254907</v>
      </c>
      <c r="R12" s="133">
        <f>IF(SER_hh_tesh!R12=0,0,SER_hh_tesh!R12/SER_summary!R$26)</f>
        <v>167.89360947098345</v>
      </c>
      <c r="S12" s="133">
        <f>IF(SER_hh_tesh!S12=0,0,SER_hh_tesh!S12/SER_summary!S$26)</f>
        <v>167.50233757960774</v>
      </c>
      <c r="T12" s="133">
        <f>IF(SER_hh_tesh!T12=0,0,SER_hh_tesh!T12/SER_summary!T$26)</f>
        <v>153.37034784873606</v>
      </c>
      <c r="U12" s="133">
        <f>IF(SER_hh_tesh!U12=0,0,SER_hh_tesh!U12/SER_summary!U$26)</f>
        <v>147.4171754545421</v>
      </c>
      <c r="V12" s="133">
        <f>IF(SER_hh_tesh!V12=0,0,SER_hh_tesh!V12/SER_summary!V$26)</f>
        <v>151.40871600239117</v>
      </c>
      <c r="W12" s="133">
        <f>IF(SER_hh_tesh!W12=0,0,SER_hh_tesh!W12/SER_summary!W$26)</f>
        <v>177.1431229368182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150.4450285281556</v>
      </c>
      <c r="C13" s="133">
        <f>IF(SER_hh_tesh!C13=0,0,SER_hh_tesh!C13/SER_summary!C$26)</f>
        <v>70.32532065676385</v>
      </c>
      <c r="D13" s="133">
        <f>IF(SER_hh_tesh!D13=0,0,SER_hh_tesh!D13/SER_summary!D$26)</f>
        <v>165.21938458730392</v>
      </c>
      <c r="E13" s="133">
        <f>IF(SER_hh_tesh!E13=0,0,SER_hh_tesh!E13/SER_summary!E$26)</f>
        <v>152.39216701977981</v>
      </c>
      <c r="F13" s="133">
        <f>IF(SER_hh_tesh!F13=0,0,SER_hh_tesh!F13/SER_summary!F$26)</f>
        <v>149.48762311303562</v>
      </c>
      <c r="G13" s="133">
        <f>IF(SER_hh_tesh!G13=0,0,SER_hh_tesh!G13/SER_summary!G$26)</f>
        <v>147.43311047932562</v>
      </c>
      <c r="H13" s="133">
        <f>IF(SER_hh_tesh!H13=0,0,SER_hh_tesh!H13/SER_summary!H$26)</f>
        <v>140.86340114237049</v>
      </c>
      <c r="I13" s="133">
        <f>IF(SER_hh_tesh!I13=0,0,SER_hh_tesh!I13/SER_summary!I$26)</f>
        <v>129.84475242242249</v>
      </c>
      <c r="J13" s="133">
        <f>IF(SER_hh_tesh!J13=0,0,SER_hh_tesh!J13/SER_summary!J$26)</f>
        <v>120.61926259244674</v>
      </c>
      <c r="K13" s="133">
        <f>IF(SER_hh_tesh!K13=0,0,SER_hh_tesh!K13/SER_summary!K$26)</f>
        <v>113.95988411361205</v>
      </c>
      <c r="L13" s="133">
        <f>IF(SER_hh_tesh!L13=0,0,SER_hh_tesh!L13/SER_summary!L$26)</f>
        <v>124.30281622804438</v>
      </c>
      <c r="M13" s="133">
        <f>IF(SER_hh_tesh!M13=0,0,SER_hh_tesh!M13/SER_summary!M$26)</f>
        <v>138.25382145983932</v>
      </c>
      <c r="N13" s="133">
        <f>IF(SER_hh_tesh!N13=0,0,SER_hh_tesh!N13/SER_summary!N$26)</f>
        <v>141.84793576059488</v>
      </c>
      <c r="O13" s="133">
        <f>IF(SER_hh_tesh!O13=0,0,SER_hh_tesh!O13/SER_summary!O$26)</f>
        <v>161.84017417178248</v>
      </c>
      <c r="P13" s="133">
        <f>IF(SER_hh_tesh!P13=0,0,SER_hh_tesh!P13/SER_summary!P$26)</f>
        <v>163.86504261348708</v>
      </c>
      <c r="Q13" s="133">
        <f>IF(SER_hh_tesh!Q13=0,0,SER_hh_tesh!Q13/SER_summary!Q$26)</f>
        <v>163.94061400282189</v>
      </c>
      <c r="R13" s="133">
        <f>IF(SER_hh_tesh!R13=0,0,SER_hh_tesh!R13/SER_summary!R$26)</f>
        <v>163.31986109220389</v>
      </c>
      <c r="S13" s="133">
        <f>IF(SER_hh_tesh!S13=0,0,SER_hh_tesh!S13/SER_summary!S$26)</f>
        <v>169.22681909303392</v>
      </c>
      <c r="T13" s="133">
        <f>IF(SER_hh_tesh!T13=0,0,SER_hh_tesh!T13/SER_summary!T$26)</f>
        <v>159.8361987212333</v>
      </c>
      <c r="U13" s="133">
        <f>IF(SER_hh_tesh!U13=0,0,SER_hh_tesh!U13/SER_summary!U$26)</f>
        <v>159.97351094954362</v>
      </c>
      <c r="V13" s="133">
        <f>IF(SER_hh_tesh!V13=0,0,SER_hh_tesh!V13/SER_summary!V$26)</f>
        <v>158.44568306996456</v>
      </c>
      <c r="W13" s="133">
        <f>IF(SER_hh_tesh!W13=0,0,SER_hh_tesh!W13/SER_summary!W$26)</f>
        <v>111.72607613082222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256.37048552820835</v>
      </c>
      <c r="C14" s="65">
        <f>IF(SER_hh_tesh!C14=0,0,SER_hh_tesh!C14/SER_summary!C$26)</f>
        <v>139.89316314345243</v>
      </c>
      <c r="D14" s="65">
        <f>IF(SER_hh_tesh!D14=0,0,SER_hh_tesh!D14/SER_summary!D$26)</f>
        <v>230.82458874737614</v>
      </c>
      <c r="E14" s="65">
        <f>IF(SER_hh_tesh!E14=0,0,SER_hh_tesh!E14/SER_summary!E$26)</f>
        <v>233.52253500165577</v>
      </c>
      <c r="F14" s="65">
        <f>IF(SER_hh_tesh!F14=0,0,SER_hh_tesh!F14/SER_summary!F$26)</f>
        <v>208.28708395594518</v>
      </c>
      <c r="G14" s="65">
        <f>IF(SER_hh_tesh!G14=0,0,SER_hh_tesh!G14/SER_summary!G$26)</f>
        <v>197.92114911463116</v>
      </c>
      <c r="H14" s="65">
        <f>IF(SER_hh_tesh!H14=0,0,SER_hh_tesh!H14/SER_summary!H$26)</f>
        <v>190.53630463778129</v>
      </c>
      <c r="I14" s="65">
        <f>IF(SER_hh_tesh!I14=0,0,SER_hh_tesh!I14/SER_summary!I$26)</f>
        <v>245.42525955285018</v>
      </c>
      <c r="J14" s="65">
        <f>IF(SER_hh_tesh!J14=0,0,SER_hh_tesh!J14/SER_summary!J$26)</f>
        <v>204.68534531320148</v>
      </c>
      <c r="K14" s="65">
        <f>IF(SER_hh_tesh!K14=0,0,SER_hh_tesh!K14/SER_summary!K$26)</f>
        <v>116.32987636032811</v>
      </c>
      <c r="L14" s="65">
        <f>IF(SER_hh_tesh!L14=0,0,SER_hh_tesh!L14/SER_summary!L$26)</f>
        <v>145.53658490264624</v>
      </c>
      <c r="M14" s="65">
        <f>IF(SER_hh_tesh!M14=0,0,SER_hh_tesh!M14/SER_summary!M$26)</f>
        <v>140.97102636300318</v>
      </c>
      <c r="N14" s="65">
        <f>IF(SER_hh_tesh!N14=0,0,SER_hh_tesh!N14/SER_summary!N$26)</f>
        <v>205.16409669171705</v>
      </c>
      <c r="O14" s="65">
        <f>IF(SER_hh_tesh!O14=0,0,SER_hh_tesh!O14/SER_summary!O$26)</f>
        <v>155.1174264863092</v>
      </c>
      <c r="P14" s="65">
        <f>IF(SER_hh_tesh!P14=0,0,SER_hh_tesh!P14/SER_summary!P$26)</f>
        <v>189.15115716510573</v>
      </c>
      <c r="Q14" s="65">
        <f>IF(SER_hh_tesh!Q14=0,0,SER_hh_tesh!Q14/SER_summary!Q$26)</f>
        <v>141.94119530045108</v>
      </c>
      <c r="R14" s="65">
        <f>IF(SER_hh_tesh!R14=0,0,SER_hh_tesh!R14/SER_summary!R$26)</f>
        <v>154.99573202893882</v>
      </c>
      <c r="S14" s="65">
        <f>IF(SER_hh_tesh!S14=0,0,SER_hh_tesh!S14/SER_summary!S$26)</f>
        <v>155.04685361534351</v>
      </c>
      <c r="T14" s="65">
        <f>IF(SER_hh_tesh!T14=0,0,SER_hh_tesh!T14/SER_summary!T$26)</f>
        <v>168.71376658086547</v>
      </c>
      <c r="U14" s="65">
        <f>IF(SER_hh_tesh!U14=0,0,SER_hh_tesh!U14/SER_summary!U$26)</f>
        <v>162.21147433627817</v>
      </c>
      <c r="V14" s="65">
        <f>IF(SER_hh_tesh!V14=0,0,SER_hh_tesh!V14/SER_summary!V$26)</f>
        <v>148.70131034004402</v>
      </c>
      <c r="W14" s="65">
        <f>IF(SER_hh_tesh!W14=0,0,SER_hh_tesh!W14/SER_summary!W$26)</f>
        <v>168.68806849496306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1.7595853448066798</v>
      </c>
      <c r="C15" s="135">
        <f>IF(SER_hh_tesh!C15=0,0,SER_hh_tesh!C15/SER_summary!C$26)</f>
        <v>1.8360927499217732</v>
      </c>
      <c r="D15" s="135">
        <f>IF(SER_hh_tesh!D15=0,0,SER_hh_tesh!D15/SER_summary!D$26)</f>
        <v>1.9459162357730522</v>
      </c>
      <c r="E15" s="135">
        <f>IF(SER_hh_tesh!E15=0,0,SER_hh_tesh!E15/SER_summary!E$26)</f>
        <v>1.9929926734143619</v>
      </c>
      <c r="F15" s="135">
        <f>IF(SER_hh_tesh!F15=0,0,SER_hh_tesh!F15/SER_summary!F$26)</f>
        <v>2.0806127537974701</v>
      </c>
      <c r="G15" s="135">
        <f>IF(SER_hh_tesh!G15=0,0,SER_hh_tesh!G15/SER_summary!G$26)</f>
        <v>1.9181838225049481</v>
      </c>
      <c r="H15" s="135">
        <f>IF(SER_hh_tesh!H15=0,0,SER_hh_tesh!H15/SER_summary!H$26)</f>
        <v>2.010797272648615</v>
      </c>
      <c r="I15" s="135">
        <f>IF(SER_hh_tesh!I15=0,0,SER_hh_tesh!I15/SER_summary!I$26)</f>
        <v>1.972287247960075</v>
      </c>
      <c r="J15" s="135">
        <f>IF(SER_hh_tesh!J15=0,0,SER_hh_tesh!J15/SER_summary!J$26)</f>
        <v>1.6252609638529114</v>
      </c>
      <c r="K15" s="135">
        <f>IF(SER_hh_tesh!K15=0,0,SER_hh_tesh!K15/SER_summary!K$26)</f>
        <v>1.5031843847279323</v>
      </c>
      <c r="L15" s="135">
        <f>IF(SER_hh_tesh!L15=0,0,SER_hh_tesh!L15/SER_summary!L$26)</f>
        <v>1.5947289749374034</v>
      </c>
      <c r="M15" s="135">
        <f>IF(SER_hh_tesh!M15=0,0,SER_hh_tesh!M15/SER_summary!M$26)</f>
        <v>1.3741498746391552</v>
      </c>
      <c r="N15" s="135">
        <f>IF(SER_hh_tesh!N15=0,0,SER_hh_tesh!N15/SER_summary!N$26)</f>
        <v>1.576244047857098</v>
      </c>
      <c r="O15" s="135">
        <f>IF(SER_hh_tesh!O15=0,0,SER_hh_tesh!O15/SER_summary!O$26)</f>
        <v>1.4782300561914581</v>
      </c>
      <c r="P15" s="135">
        <f>IF(SER_hh_tesh!P15=0,0,SER_hh_tesh!P15/SER_summary!P$26)</f>
        <v>1.4876602142505291</v>
      </c>
      <c r="Q15" s="135">
        <f>IF(SER_hh_tesh!Q15=0,0,SER_hh_tesh!Q15/SER_summary!Q$26)</f>
        <v>1.4040721107027361</v>
      </c>
      <c r="R15" s="135">
        <f>IF(SER_hh_tesh!R15=0,0,SER_hh_tesh!R15/SER_summary!R$26)</f>
        <v>1.3640290333354108</v>
      </c>
      <c r="S15" s="135">
        <f>IF(SER_hh_tesh!S15=0,0,SER_hh_tesh!S15/SER_summary!S$26)</f>
        <v>1.429918899602219</v>
      </c>
      <c r="T15" s="135">
        <f>IF(SER_hh_tesh!T15=0,0,SER_hh_tesh!T15/SER_summary!T$26)</f>
        <v>1.4332083596381799</v>
      </c>
      <c r="U15" s="135">
        <f>IF(SER_hh_tesh!U15=0,0,SER_hh_tesh!U15/SER_summary!U$26)</f>
        <v>1.3717380679743807</v>
      </c>
      <c r="V15" s="135">
        <f>IF(SER_hh_tesh!V15=0,0,SER_hh_tesh!V15/SER_summary!V$26)</f>
        <v>1.395418654120556</v>
      </c>
      <c r="W15" s="135">
        <f>IF(SER_hh_tesh!W15=0,0,SER_hh_tesh!W15/SER_summary!W$26)</f>
        <v>1.6267193586352766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21.131251484945583</v>
      </c>
      <c r="C16" s="131">
        <f>IF(SER_hh_tesh!C16=0,0,SER_hh_tesh!C16/SER_summary!C$26)</f>
        <v>21.967371755109966</v>
      </c>
      <c r="D16" s="131">
        <f>IF(SER_hh_tesh!D16=0,0,SER_hh_tesh!D16/SER_summary!D$26)</f>
        <v>22.788633429302518</v>
      </c>
      <c r="E16" s="131">
        <f>IF(SER_hh_tesh!E16=0,0,SER_hh_tesh!E16/SER_summary!E$26)</f>
        <v>21.951574246166871</v>
      </c>
      <c r="F16" s="131">
        <f>IF(SER_hh_tesh!F16=0,0,SER_hh_tesh!F16/SER_summary!F$26)</f>
        <v>21.370785975158007</v>
      </c>
      <c r="G16" s="131">
        <f>IF(SER_hh_tesh!G16=0,0,SER_hh_tesh!G16/SER_summary!G$26)</f>
        <v>21.398834876340178</v>
      </c>
      <c r="H16" s="131">
        <f>IF(SER_hh_tesh!H16=0,0,SER_hh_tesh!H16/SER_summary!H$26)</f>
        <v>22.790550870264756</v>
      </c>
      <c r="I16" s="131">
        <f>IF(SER_hh_tesh!I16=0,0,SER_hh_tesh!I16/SER_summary!I$26)</f>
        <v>21.533126819013852</v>
      </c>
      <c r="J16" s="131">
        <f>IF(SER_hh_tesh!J16=0,0,SER_hh_tesh!J16/SER_summary!J$26)</f>
        <v>21.511508879771519</v>
      </c>
      <c r="K16" s="131">
        <f>IF(SER_hh_tesh!K16=0,0,SER_hh_tesh!K16/SER_summary!K$26)</f>
        <v>21.528591094644167</v>
      </c>
      <c r="L16" s="131">
        <f>IF(SER_hh_tesh!L16=0,0,SER_hh_tesh!L16/SER_summary!L$26)</f>
        <v>26.178160110590188</v>
      </c>
      <c r="M16" s="131">
        <f>IF(SER_hh_tesh!M16=0,0,SER_hh_tesh!M16/SER_summary!M$26)</f>
        <v>22.001594706105923</v>
      </c>
      <c r="N16" s="131">
        <f>IF(SER_hh_tesh!N16=0,0,SER_hh_tesh!N16/SER_summary!N$26)</f>
        <v>22.18082179883973</v>
      </c>
      <c r="O16" s="131">
        <f>IF(SER_hh_tesh!O16=0,0,SER_hh_tesh!O16/SER_summary!O$26)</f>
        <v>21.81654489738564</v>
      </c>
      <c r="P16" s="131">
        <f>IF(SER_hh_tesh!P16=0,0,SER_hh_tesh!P16/SER_summary!P$26)</f>
        <v>23.067368174542672</v>
      </c>
      <c r="Q16" s="131">
        <f>IF(SER_hh_tesh!Q16=0,0,SER_hh_tesh!Q16/SER_summary!Q$26)</f>
        <v>21.8450041805403</v>
      </c>
      <c r="R16" s="131">
        <f>IF(SER_hh_tesh!R16=0,0,SER_hh_tesh!R16/SER_summary!R$26)</f>
        <v>22.01416331800068</v>
      </c>
      <c r="S16" s="131">
        <f>IF(SER_hh_tesh!S16=0,0,SER_hh_tesh!S16/SER_summary!S$26)</f>
        <v>22.096252983702797</v>
      </c>
      <c r="T16" s="131">
        <f>IF(SER_hh_tesh!T16=0,0,SER_hh_tesh!T16/SER_summary!T$26)</f>
        <v>23.622944350115038</v>
      </c>
      <c r="U16" s="131">
        <f>IF(SER_hh_tesh!U16=0,0,SER_hh_tesh!U16/SER_summary!U$26)</f>
        <v>22.296039536064324</v>
      </c>
      <c r="V16" s="131">
        <f>IF(SER_hh_tesh!V16=0,0,SER_hh_tesh!V16/SER_summary!V$26)</f>
        <v>22.317779365212235</v>
      </c>
      <c r="W16" s="131">
        <f>IF(SER_hh_tesh!W16=0,0,SER_hh_tesh!W16/SER_summary!W$26)</f>
        <v>25.724074840491561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21.131251484945583</v>
      </c>
      <c r="C18" s="133">
        <f>IF(SER_hh_tesh!C18=0,0,SER_hh_tesh!C18/SER_summary!C$26)</f>
        <v>21.967371755109966</v>
      </c>
      <c r="D18" s="133">
        <f>IF(SER_hh_tesh!D18=0,0,SER_hh_tesh!D18/SER_summary!D$26)</f>
        <v>22.788633429302518</v>
      </c>
      <c r="E18" s="133">
        <f>IF(SER_hh_tesh!E18=0,0,SER_hh_tesh!E18/SER_summary!E$26)</f>
        <v>21.951574246166871</v>
      </c>
      <c r="F18" s="133">
        <f>IF(SER_hh_tesh!F18=0,0,SER_hh_tesh!F18/SER_summary!F$26)</f>
        <v>21.370785975158007</v>
      </c>
      <c r="G18" s="133">
        <f>IF(SER_hh_tesh!G18=0,0,SER_hh_tesh!G18/SER_summary!G$26)</f>
        <v>21.398834876340178</v>
      </c>
      <c r="H18" s="133">
        <f>IF(SER_hh_tesh!H18=0,0,SER_hh_tesh!H18/SER_summary!H$26)</f>
        <v>22.790550870264756</v>
      </c>
      <c r="I18" s="133">
        <f>IF(SER_hh_tesh!I18=0,0,SER_hh_tesh!I18/SER_summary!I$26)</f>
        <v>21.533126819013852</v>
      </c>
      <c r="J18" s="133">
        <f>IF(SER_hh_tesh!J18=0,0,SER_hh_tesh!J18/SER_summary!J$26)</f>
        <v>21.511508879771519</v>
      </c>
      <c r="K18" s="133">
        <f>IF(SER_hh_tesh!K18=0,0,SER_hh_tesh!K18/SER_summary!K$26)</f>
        <v>21.528591094644167</v>
      </c>
      <c r="L18" s="133">
        <f>IF(SER_hh_tesh!L18=0,0,SER_hh_tesh!L18/SER_summary!L$26)</f>
        <v>26.178160110590188</v>
      </c>
      <c r="M18" s="133">
        <f>IF(SER_hh_tesh!M18=0,0,SER_hh_tesh!M18/SER_summary!M$26)</f>
        <v>22.001594706105923</v>
      </c>
      <c r="N18" s="133">
        <f>IF(SER_hh_tesh!N18=0,0,SER_hh_tesh!N18/SER_summary!N$26)</f>
        <v>22.18082179883973</v>
      </c>
      <c r="O18" s="133">
        <f>IF(SER_hh_tesh!O18=0,0,SER_hh_tesh!O18/SER_summary!O$26)</f>
        <v>21.81654489738564</v>
      </c>
      <c r="P18" s="133">
        <f>IF(SER_hh_tesh!P18=0,0,SER_hh_tesh!P18/SER_summary!P$26)</f>
        <v>23.067368174542672</v>
      </c>
      <c r="Q18" s="133">
        <f>IF(SER_hh_tesh!Q18=0,0,SER_hh_tesh!Q18/SER_summary!Q$26)</f>
        <v>21.8450041805403</v>
      </c>
      <c r="R18" s="133">
        <f>IF(SER_hh_tesh!R18=0,0,SER_hh_tesh!R18/SER_summary!R$26)</f>
        <v>22.01416331800068</v>
      </c>
      <c r="S18" s="133">
        <f>IF(SER_hh_tesh!S18=0,0,SER_hh_tesh!S18/SER_summary!S$26)</f>
        <v>22.096252983702797</v>
      </c>
      <c r="T18" s="133">
        <f>IF(SER_hh_tesh!T18=0,0,SER_hh_tesh!T18/SER_summary!T$26)</f>
        <v>23.622944350115038</v>
      </c>
      <c r="U18" s="133">
        <f>IF(SER_hh_tesh!U18=0,0,SER_hh_tesh!U18/SER_summary!U$26)</f>
        <v>22.296039536064324</v>
      </c>
      <c r="V18" s="133">
        <f>IF(SER_hh_tesh!V18=0,0,SER_hh_tesh!V18/SER_summary!V$26)</f>
        <v>22.317779365212235</v>
      </c>
      <c r="W18" s="133">
        <f>IF(SER_hh_tesh!W18=0,0,SER_hh_tesh!W18/SER_summary!W$26)</f>
        <v>25.724074840491561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25.418235220613823</v>
      </c>
      <c r="C19" s="131">
        <f>IF(SER_hh_tesh!C19=0,0,SER_hh_tesh!C19/SER_summary!C$26)</f>
        <v>25.847721953387133</v>
      </c>
      <c r="D19" s="131">
        <f>IF(SER_hh_tesh!D19=0,0,SER_hh_tesh!D19/SER_summary!D$26)</f>
        <v>25.030949109055364</v>
      </c>
      <c r="E19" s="131">
        <f>IF(SER_hh_tesh!E19=0,0,SER_hh_tesh!E19/SER_summary!E$26)</f>
        <v>24.832570035454317</v>
      </c>
      <c r="F19" s="131">
        <f>IF(SER_hh_tesh!F19=0,0,SER_hh_tesh!F19/SER_summary!F$26)</f>
        <v>25.04688528472369</v>
      </c>
      <c r="G19" s="131">
        <f>IF(SER_hh_tesh!G19=0,0,SER_hh_tesh!G19/SER_summary!G$26)</f>
        <v>24.662667531780677</v>
      </c>
      <c r="H19" s="131">
        <f>IF(SER_hh_tesh!H19=0,0,SER_hh_tesh!H19/SER_summary!H$26)</f>
        <v>24.767109578317601</v>
      </c>
      <c r="I19" s="131">
        <f>IF(SER_hh_tesh!I19=0,0,SER_hh_tesh!I19/SER_summary!I$26)</f>
        <v>24.685068086139214</v>
      </c>
      <c r="J19" s="131">
        <f>IF(SER_hh_tesh!J19=0,0,SER_hh_tesh!J19/SER_summary!J$26)</f>
        <v>24.280064907545448</v>
      </c>
      <c r="K19" s="131">
        <f>IF(SER_hh_tesh!K19=0,0,SER_hh_tesh!K19/SER_summary!K$26)</f>
        <v>25.066592305390966</v>
      </c>
      <c r="L19" s="131">
        <f>IF(SER_hh_tesh!L19=0,0,SER_hh_tesh!L19/SER_summary!L$26)</f>
        <v>24.948073444361192</v>
      </c>
      <c r="M19" s="131">
        <f>IF(SER_hh_tesh!M19=0,0,SER_hh_tesh!M19/SER_summary!M$26)</f>
        <v>25.454309339258977</v>
      </c>
      <c r="N19" s="131">
        <f>IF(SER_hh_tesh!N19=0,0,SER_hh_tesh!N19/SER_summary!N$26)</f>
        <v>25.277794549410565</v>
      </c>
      <c r="O19" s="131">
        <f>IF(SER_hh_tesh!O19=0,0,SER_hh_tesh!O19/SER_summary!O$26)</f>
        <v>25.818743315075437</v>
      </c>
      <c r="P19" s="131">
        <f>IF(SER_hh_tesh!P19=0,0,SER_hh_tesh!P19/SER_summary!P$26)</f>
        <v>25.437107714582833</v>
      </c>
      <c r="Q19" s="131">
        <f>IF(SER_hh_tesh!Q19=0,0,SER_hh_tesh!Q19/SER_summary!Q$26)</f>
        <v>25.708351740140181</v>
      </c>
      <c r="R19" s="131">
        <f>IF(SER_hh_tesh!R19=0,0,SER_hh_tesh!R19/SER_summary!R$26)</f>
        <v>26.057781745685993</v>
      </c>
      <c r="S19" s="131">
        <f>IF(SER_hh_tesh!S19=0,0,SER_hh_tesh!S19/SER_summary!S$26)</f>
        <v>26.412839598401096</v>
      </c>
      <c r="T19" s="131">
        <f>IF(SER_hh_tesh!T19=0,0,SER_hh_tesh!T19/SER_summary!T$26)</f>
        <v>25.950534633848786</v>
      </c>
      <c r="U19" s="131">
        <f>IF(SER_hh_tesh!U19=0,0,SER_hh_tesh!U19/SER_summary!U$26)</f>
        <v>25.370982183677746</v>
      </c>
      <c r="V19" s="131">
        <f>IF(SER_hh_tesh!V19=0,0,SER_hh_tesh!V19/SER_summary!V$26)</f>
        <v>23.402768480761189</v>
      </c>
      <c r="W19" s="131">
        <f>IF(SER_hh_tesh!W19=0,0,SER_hh_tesh!W19/SER_summary!W$26)</f>
        <v>25.159502355476857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25.28507815607621</v>
      </c>
      <c r="C22" s="133">
        <f>IF(SER_hh_tesh!C22=0,0,SER_hh_tesh!C22/SER_summary!C$26)</f>
        <v>25.5485048517744</v>
      </c>
      <c r="D22" s="133">
        <f>IF(SER_hh_tesh!D22=0,0,SER_hh_tesh!D22/SER_summary!D$26)</f>
        <v>25.239692208728087</v>
      </c>
      <c r="E22" s="133">
        <f>IF(SER_hh_tesh!E22=0,0,SER_hh_tesh!E22/SER_summary!E$26)</f>
        <v>25.106265404280077</v>
      </c>
      <c r="F22" s="133">
        <f>IF(SER_hh_tesh!F22=0,0,SER_hh_tesh!F22/SER_summary!F$26)</f>
        <v>24.757683363697264</v>
      </c>
      <c r="G22" s="133">
        <f>IF(SER_hh_tesh!G22=0,0,SER_hh_tesh!G22/SER_summary!G$26)</f>
        <v>24.593675167064323</v>
      </c>
      <c r="H22" s="133">
        <f>IF(SER_hh_tesh!H22=0,0,SER_hh_tesh!H22/SER_summary!H$26)</f>
        <v>25.121615969019537</v>
      </c>
      <c r="I22" s="133">
        <f>IF(SER_hh_tesh!I22=0,0,SER_hh_tesh!I22/SER_summary!I$26)</f>
        <v>24.40588400406876</v>
      </c>
      <c r="J22" s="133">
        <f>IF(SER_hh_tesh!J22=0,0,SER_hh_tesh!J22/SER_summary!J$26)</f>
        <v>24.92213831444823</v>
      </c>
      <c r="K22" s="133">
        <f>IF(SER_hh_tesh!K22=0,0,SER_hh_tesh!K22/SER_summary!K$26)</f>
        <v>24.67094795795499</v>
      </c>
      <c r="L22" s="133">
        <f>IF(SER_hh_tesh!L22=0,0,SER_hh_tesh!L22/SER_summary!L$26)</f>
        <v>24.714420055786487</v>
      </c>
      <c r="M22" s="133">
        <f>IF(SER_hh_tesh!M22=0,0,SER_hh_tesh!M22/SER_summary!M$26)</f>
        <v>25.164138052242759</v>
      </c>
      <c r="N22" s="133">
        <f>IF(SER_hh_tesh!N22=0,0,SER_hh_tesh!N22/SER_summary!N$26)</f>
        <v>25.492165547380658</v>
      </c>
      <c r="O22" s="133">
        <f>IF(SER_hh_tesh!O22=0,0,SER_hh_tesh!O22/SER_summary!O$26)</f>
        <v>25.834993555368424</v>
      </c>
      <c r="P22" s="133">
        <f>IF(SER_hh_tesh!P22=0,0,SER_hh_tesh!P22/SER_summary!P$26)</f>
        <v>25.780897420364141</v>
      </c>
      <c r="Q22" s="133">
        <f>IF(SER_hh_tesh!Q22=0,0,SER_hh_tesh!Q22/SER_summary!Q$26)</f>
        <v>26.120787710211335</v>
      </c>
      <c r="R22" s="133">
        <f>IF(SER_hh_tesh!R22=0,0,SER_hh_tesh!R22/SER_summary!R$26)</f>
        <v>26.20553451182403</v>
      </c>
      <c r="S22" s="133">
        <f>IF(SER_hh_tesh!S22=0,0,SER_hh_tesh!S22/SER_summary!S$26)</f>
        <v>26.403260442167049</v>
      </c>
      <c r="T22" s="133">
        <f>IF(SER_hh_tesh!T22=0,0,SER_hh_tesh!T22/SER_summary!T$26)</f>
        <v>26.210473205144815</v>
      </c>
      <c r="U22" s="133">
        <f>IF(SER_hh_tesh!U22=0,0,SER_hh_tesh!U22/SER_summary!U$26)</f>
        <v>25.311710508109101</v>
      </c>
      <c r="V22" s="133">
        <f>IF(SER_hh_tesh!V22=0,0,SER_hh_tesh!V22/SER_summary!V$26)</f>
        <v>23.238330083833564</v>
      </c>
      <c r="W22" s="133">
        <f>IF(SER_hh_tesh!W22=0,0,SER_hh_tesh!W22/SER_summary!W$26)</f>
        <v>24.86208608511263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25.008554294544162</v>
      </c>
      <c r="C23" s="133">
        <f>IF(SER_hh_tesh!C23=0,0,SER_hh_tesh!C23/SER_summary!C$26)</f>
        <v>24.587951039151829</v>
      </c>
      <c r="D23" s="133">
        <f>IF(SER_hh_tesh!D23=0,0,SER_hh_tesh!D23/SER_summary!D$26)</f>
        <v>25.520726756721459</v>
      </c>
      <c r="E23" s="133">
        <f>IF(SER_hh_tesh!E23=0,0,SER_hh_tesh!E23/SER_summary!E$26)</f>
        <v>24.951084966395999</v>
      </c>
      <c r="F23" s="133">
        <f>IF(SER_hh_tesh!F23=0,0,SER_hh_tesh!F23/SER_summary!F$26)</f>
        <v>24.637920624215155</v>
      </c>
      <c r="G23" s="133">
        <f>IF(SER_hh_tesh!G23=0,0,SER_hh_tesh!G23/SER_summary!G$26)</f>
        <v>25.071924882910412</v>
      </c>
      <c r="H23" s="133">
        <f>IF(SER_hh_tesh!H23=0,0,SER_hh_tesh!H23/SER_summary!H$26)</f>
        <v>24.272628973415163</v>
      </c>
      <c r="I23" s="133">
        <f>IF(SER_hh_tesh!I23=0,0,SER_hh_tesh!I23/SER_summary!I$26)</f>
        <v>23.748458877940475</v>
      </c>
      <c r="J23" s="133">
        <f>IF(SER_hh_tesh!J23=0,0,SER_hh_tesh!J23/SER_summary!J$26)</f>
        <v>25.236678536056115</v>
      </c>
      <c r="K23" s="133">
        <f>IF(SER_hh_tesh!K23=0,0,SER_hh_tesh!K23/SER_summary!K$26)</f>
        <v>25.592240085873939</v>
      </c>
      <c r="L23" s="133">
        <f>IF(SER_hh_tesh!L23=0,0,SER_hh_tesh!L23/SER_summary!L$26)</f>
        <v>25.012768538481296</v>
      </c>
      <c r="M23" s="133">
        <f>IF(SER_hh_tesh!M23=0,0,SER_hh_tesh!M23/SER_summary!M$26)</f>
        <v>25.35047047299873</v>
      </c>
      <c r="N23" s="133">
        <f>IF(SER_hh_tesh!N23=0,0,SER_hh_tesh!N23/SER_summary!N$26)</f>
        <v>25.476058650802486</v>
      </c>
      <c r="O23" s="133">
        <f>IF(SER_hh_tesh!O23=0,0,SER_hh_tesh!O23/SER_summary!O$26)</f>
        <v>25.721689603843625</v>
      </c>
      <c r="P23" s="133">
        <f>IF(SER_hh_tesh!P23=0,0,SER_hh_tesh!P23/SER_summary!P$26)</f>
        <v>25.482727293002402</v>
      </c>
      <c r="Q23" s="133">
        <f>IF(SER_hh_tesh!Q23=0,0,SER_hh_tesh!Q23/SER_summary!Q$26)</f>
        <v>25.802944646679439</v>
      </c>
      <c r="R23" s="133">
        <f>IF(SER_hh_tesh!R23=0,0,SER_hh_tesh!R23/SER_summary!R$26)</f>
        <v>25.97915258952056</v>
      </c>
      <c r="S23" s="133">
        <f>IF(SER_hh_tesh!S23=0,0,SER_hh_tesh!S23/SER_summary!S$26)</f>
        <v>26.338669962511151</v>
      </c>
      <c r="T23" s="133">
        <f>IF(SER_hh_tesh!T23=0,0,SER_hh_tesh!T23/SER_summary!T$26)</f>
        <v>25.417961687043416</v>
      </c>
      <c r="U23" s="133">
        <f>IF(SER_hh_tesh!U23=0,0,SER_hh_tesh!U23/SER_summary!U$26)</f>
        <v>24.959352338737183</v>
      </c>
      <c r="V23" s="133">
        <f>IF(SER_hh_tesh!V23=0,0,SER_hh_tesh!V23/SER_summary!V$26)</f>
        <v>24.293998712711527</v>
      </c>
      <c r="W23" s="133">
        <f>IF(SER_hh_tesh!W23=0,0,SER_hh_tesh!W23/SER_summary!W$26)</f>
        <v>24.85585009468933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28.038853967352779</v>
      </c>
      <c r="C24" s="133">
        <f>IF(SER_hh_tesh!C24=0,0,SER_hh_tesh!C24/SER_summary!C$26)</f>
        <v>24.892951389701178</v>
      </c>
      <c r="D24" s="133">
        <f>IF(SER_hh_tesh!D24=0,0,SER_hh_tesh!D24/SER_summary!D$26)</f>
        <v>24.829438376794048</v>
      </c>
      <c r="E24" s="133">
        <f>IF(SER_hh_tesh!E24=0,0,SER_hh_tesh!E24/SER_summary!E$26)</f>
        <v>24.326085648320465</v>
      </c>
      <c r="F24" s="133">
        <f>IF(SER_hh_tesh!F24=0,0,SER_hh_tesh!F24/SER_summary!F$26)</f>
        <v>25.160311378230592</v>
      </c>
      <c r="G24" s="133">
        <f>IF(SER_hh_tesh!G24=0,0,SER_hh_tesh!G24/SER_summary!G$26)</f>
        <v>25.355612042348444</v>
      </c>
      <c r="H24" s="133">
        <f>IF(SER_hh_tesh!H24=0,0,SER_hh_tesh!H24/SER_summary!H$26)</f>
        <v>25.074141710085375</v>
      </c>
      <c r="I24" s="133">
        <f>IF(SER_hh_tesh!I24=0,0,SER_hh_tesh!I24/SER_summary!I$26)</f>
        <v>25.020994478516482</v>
      </c>
      <c r="J24" s="133">
        <f>IF(SER_hh_tesh!J24=0,0,SER_hh_tesh!J24/SER_summary!J$26)</f>
        <v>24.435659248005884</v>
      </c>
      <c r="K24" s="133">
        <f>IF(SER_hh_tesh!K24=0,0,SER_hh_tesh!K24/SER_summary!K$26)</f>
        <v>24.688577250330891</v>
      </c>
      <c r="L24" s="133">
        <f>IF(SER_hh_tesh!L24=0,0,SER_hh_tesh!L24/SER_summary!L$26)</f>
        <v>24.910306216378451</v>
      </c>
      <c r="M24" s="133">
        <f>IF(SER_hh_tesh!M24=0,0,SER_hh_tesh!M24/SER_summary!M$26)</f>
        <v>25.527379691953367</v>
      </c>
      <c r="N24" s="133">
        <f>IF(SER_hh_tesh!N24=0,0,SER_hh_tesh!N24/SER_summary!N$26)</f>
        <v>25.369660257679779</v>
      </c>
      <c r="O24" s="133">
        <f>IF(SER_hh_tesh!O24=0,0,SER_hh_tesh!O24/SER_summary!O$26)</f>
        <v>25.802511078772941</v>
      </c>
      <c r="P24" s="133">
        <f>IF(SER_hh_tesh!P24=0,0,SER_hh_tesh!P24/SER_summary!P$26)</f>
        <v>25.687266897718022</v>
      </c>
      <c r="Q24" s="133">
        <f>IF(SER_hh_tesh!Q24=0,0,SER_hh_tesh!Q24/SER_summary!Q$26)</f>
        <v>26.261166400422216</v>
      </c>
      <c r="R24" s="133">
        <f>IF(SER_hh_tesh!R24=0,0,SER_hh_tesh!R24/SER_summary!R$26)</f>
        <v>25.77707264989791</v>
      </c>
      <c r="S24" s="133">
        <f>IF(SER_hh_tesh!S24=0,0,SER_hh_tesh!S24/SER_summary!S$26)</f>
        <v>28.433363908820866</v>
      </c>
      <c r="T24" s="133">
        <f>IF(SER_hh_tesh!T24=0,0,SER_hh_tesh!T24/SER_summary!T$26)</f>
        <v>25.658496442044552</v>
      </c>
      <c r="U24" s="133">
        <f>IF(SER_hh_tesh!U24=0,0,SER_hh_tesh!U24/SER_summary!U$26)</f>
        <v>24.01079047150083</v>
      </c>
      <c r="V24" s="133">
        <f>IF(SER_hh_tesh!V24=0,0,SER_hh_tesh!V24/SER_summary!V$26)</f>
        <v>23.054724758830876</v>
      </c>
      <c r="W24" s="133">
        <f>IF(SER_hh_tesh!W24=0,0,SER_hh_tesh!W24/SER_summary!W$26)</f>
        <v>25.222202056792938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26.266772542777723</v>
      </c>
      <c r="C25" s="133">
        <f>IF(SER_hh_tesh!C25=0,0,SER_hh_tesh!C25/SER_summary!C$26)</f>
        <v>25.696187371372876</v>
      </c>
      <c r="D25" s="133">
        <f>IF(SER_hh_tesh!D25=0,0,SER_hh_tesh!D25/SER_summary!D$26)</f>
        <v>25.398957439134964</v>
      </c>
      <c r="E25" s="133">
        <f>IF(SER_hh_tesh!E25=0,0,SER_hh_tesh!E25/SER_summary!E$26)</f>
        <v>25.178989137085392</v>
      </c>
      <c r="F25" s="133">
        <f>IF(SER_hh_tesh!F25=0,0,SER_hh_tesh!F25/SER_summary!F$26)</f>
        <v>24.895181836624953</v>
      </c>
      <c r="G25" s="133">
        <f>IF(SER_hh_tesh!G25=0,0,SER_hh_tesh!G25/SER_summary!G$26)</f>
        <v>25.175416587903971</v>
      </c>
      <c r="H25" s="133">
        <f>IF(SER_hh_tesh!H25=0,0,SER_hh_tesh!H25/SER_summary!H$26)</f>
        <v>24.763694403670343</v>
      </c>
      <c r="I25" s="133">
        <f>IF(SER_hh_tesh!I25=0,0,SER_hh_tesh!I25/SER_summary!I$26)</f>
        <v>24.977887845387951</v>
      </c>
      <c r="J25" s="133">
        <f>IF(SER_hh_tesh!J25=0,0,SER_hh_tesh!J25/SER_summary!J$26)</f>
        <v>24.151256577937538</v>
      </c>
      <c r="K25" s="133">
        <f>IF(SER_hh_tesh!K25=0,0,SER_hh_tesh!K25/SER_summary!K$26)</f>
        <v>24.787537367070218</v>
      </c>
      <c r="L25" s="133">
        <f>IF(SER_hh_tesh!L25=0,0,SER_hh_tesh!L25/SER_summary!L$26)</f>
        <v>24.809407431101992</v>
      </c>
      <c r="M25" s="133">
        <f>IF(SER_hh_tesh!M25=0,0,SER_hh_tesh!M25/SER_summary!M$26)</f>
        <v>25.455375434209827</v>
      </c>
      <c r="N25" s="133">
        <f>IF(SER_hh_tesh!N25=0,0,SER_hh_tesh!N25/SER_summary!N$26)</f>
        <v>25.469750571525942</v>
      </c>
      <c r="O25" s="133">
        <f>IF(SER_hh_tesh!O25=0,0,SER_hh_tesh!O25/SER_summary!O$26)</f>
        <v>25.639042559002899</v>
      </c>
      <c r="P25" s="133">
        <f>IF(SER_hh_tesh!P25=0,0,SER_hh_tesh!P25/SER_summary!P$26)</f>
        <v>25.103669167911399</v>
      </c>
      <c r="Q25" s="133">
        <f>IF(SER_hh_tesh!Q25=0,0,SER_hh_tesh!Q25/SER_summary!Q$26)</f>
        <v>25.894608797476618</v>
      </c>
      <c r="R25" s="133">
        <f>IF(SER_hh_tesh!R25=0,0,SER_hh_tesh!R25/SER_summary!R$26)</f>
        <v>26.32037940636285</v>
      </c>
      <c r="S25" s="133">
        <f>IF(SER_hh_tesh!S25=0,0,SER_hh_tesh!S25/SER_summary!S$26)</f>
        <v>26.321648892807048</v>
      </c>
      <c r="T25" s="133">
        <f>IF(SER_hh_tesh!T25=0,0,SER_hh_tesh!T25/SER_summary!T$26)</f>
        <v>25.428425247191623</v>
      </c>
      <c r="U25" s="133">
        <f>IF(SER_hh_tesh!U25=0,0,SER_hh_tesh!U25/SER_summary!U$26)</f>
        <v>25.361073968504137</v>
      </c>
      <c r="V25" s="133">
        <f>IF(SER_hh_tesh!V25=0,0,SER_hh_tesh!V25/SER_summary!V$26)</f>
        <v>23.416126188648594</v>
      </c>
      <c r="W25" s="133">
        <f>IF(SER_hh_tesh!W25=0,0,SER_hh_tesh!W25/SER_summary!W$26)</f>
        <v>25.271434048074582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23.498270821679597</v>
      </c>
      <c r="C26" s="65">
        <f>IF(SER_hh_tesh!C26=0,0,SER_hh_tesh!C26/SER_summary!C$26)</f>
        <v>26.795633940004038</v>
      </c>
      <c r="D26" s="65">
        <f>IF(SER_hh_tesh!D26=0,0,SER_hh_tesh!D26/SER_summary!D$26)</f>
        <v>24.483913992538312</v>
      </c>
      <c r="E26" s="65">
        <f>IF(SER_hh_tesh!E26=0,0,SER_hh_tesh!E26/SER_summary!E$26)</f>
        <v>24.531965325062945</v>
      </c>
      <c r="F26" s="65">
        <f>IF(SER_hh_tesh!F26=0,0,SER_hh_tesh!F26/SER_summary!F$26)</f>
        <v>25.358534146325095</v>
      </c>
      <c r="G26" s="65">
        <f>IF(SER_hh_tesh!G26=0,0,SER_hh_tesh!G26/SER_summary!G$26)</f>
        <v>23.76970204865346</v>
      </c>
      <c r="H26" s="65">
        <f>IF(SER_hh_tesh!H26=0,0,SER_hh_tesh!H26/SER_summary!H$26)</f>
        <v>24.73624355721838</v>
      </c>
      <c r="I26" s="65">
        <f>IF(SER_hh_tesh!I26=0,0,SER_hh_tesh!I26/SER_summary!I$26)</f>
        <v>24.666573942844877</v>
      </c>
      <c r="J26" s="65">
        <f>IF(SER_hh_tesh!J26=0,0,SER_hh_tesh!J26/SER_summary!J$26)</f>
        <v>23.888571241831261</v>
      </c>
      <c r="K26" s="65">
        <f>IF(SER_hh_tesh!K26=0,0,SER_hh_tesh!K26/SER_summary!K$26)</f>
        <v>25.314272436451628</v>
      </c>
      <c r="L26" s="65">
        <f>IF(SER_hh_tesh!L26=0,0,SER_hh_tesh!L26/SER_summary!L$26)</f>
        <v>25.105068692762057</v>
      </c>
      <c r="M26" s="65">
        <f>IF(SER_hh_tesh!M26=0,0,SER_hh_tesh!M26/SER_summary!M$26)</f>
        <v>25.524802602563351</v>
      </c>
      <c r="N26" s="65">
        <f>IF(SER_hh_tesh!N26=0,0,SER_hh_tesh!N26/SER_summary!N$26)</f>
        <v>24.909760304161605</v>
      </c>
      <c r="O26" s="65">
        <f>IF(SER_hh_tesh!O26=0,0,SER_hh_tesh!O26/SER_summary!O$26)</f>
        <v>26.049847988669249</v>
      </c>
      <c r="P26" s="65">
        <f>IF(SER_hh_tesh!P26=0,0,SER_hh_tesh!P26/SER_summary!P$26)</f>
        <v>25.556351526967202</v>
      </c>
      <c r="Q26" s="65">
        <f>IF(SER_hh_tesh!Q26=0,0,SER_hh_tesh!Q26/SER_summary!Q$26)</f>
        <v>25.088707857036617</v>
      </c>
      <c r="R26" s="65">
        <f>IF(SER_hh_tesh!R26=0,0,SER_hh_tesh!R26/SER_summary!R$26)</f>
        <v>25.917841778148823</v>
      </c>
      <c r="S26" s="65">
        <f>IF(SER_hh_tesh!S26=0,0,SER_hh_tesh!S26/SER_summary!S$26)</f>
        <v>25.661959909169127</v>
      </c>
      <c r="T26" s="65">
        <f>IF(SER_hh_tesh!T26=0,0,SER_hh_tesh!T26/SER_summary!T$26)</f>
        <v>26.818399628167526</v>
      </c>
      <c r="U26" s="65">
        <f>IF(SER_hh_tesh!U26=0,0,SER_hh_tesh!U26/SER_summary!U$26)</f>
        <v>26.062842665130638</v>
      </c>
      <c r="V26" s="65">
        <f>IF(SER_hh_tesh!V26=0,0,SER_hh_tesh!V26/SER_summary!V$26)</f>
        <v>23.021514602355534</v>
      </c>
      <c r="W26" s="65">
        <f>IF(SER_hh_tesh!W26=0,0,SER_hh_tesh!W26/SER_summary!W$26)</f>
        <v>25.237538052505212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32.269124928165489</v>
      </c>
      <c r="C29" s="131">
        <f>IF(SER_hh_tesh!C29=0,0,SER_hh_tesh!C29/SER_summary!C$26)</f>
        <v>32.097985906472822</v>
      </c>
      <c r="D29" s="131">
        <f>IF(SER_hh_tesh!D29=0,0,SER_hh_tesh!D29/SER_summary!D$26)</f>
        <v>30.182273522872254</v>
      </c>
      <c r="E29" s="131">
        <f>IF(SER_hh_tesh!E29=0,0,SER_hh_tesh!E29/SER_summary!E$26)</f>
        <v>29.227777440279105</v>
      </c>
      <c r="F29" s="131">
        <f>IF(SER_hh_tesh!F29=0,0,SER_hh_tesh!F29/SER_summary!F$26)</f>
        <v>29.196219531313975</v>
      </c>
      <c r="G29" s="131">
        <f>IF(SER_hh_tesh!G29=0,0,SER_hh_tesh!G29/SER_summary!G$26)</f>
        <v>29.319499105590022</v>
      </c>
      <c r="H29" s="131">
        <f>IF(SER_hh_tesh!H29=0,0,SER_hh_tesh!H29/SER_summary!H$26)</f>
        <v>28.961540992074134</v>
      </c>
      <c r="I29" s="131">
        <f>IF(SER_hh_tesh!I29=0,0,SER_hh_tesh!I29/SER_summary!I$26)</f>
        <v>27.712773256298878</v>
      </c>
      <c r="J29" s="131">
        <f>IF(SER_hh_tesh!J29=0,0,SER_hh_tesh!J29/SER_summary!J$26)</f>
        <v>27.872203626748252</v>
      </c>
      <c r="K29" s="131">
        <f>IF(SER_hh_tesh!K29=0,0,SER_hh_tesh!K29/SER_summary!K$26)</f>
        <v>28.26081507520604</v>
      </c>
      <c r="L29" s="131">
        <f>IF(SER_hh_tesh!L29=0,0,SER_hh_tesh!L29/SER_summary!L$26)</f>
        <v>27.942434895013058</v>
      </c>
      <c r="M29" s="131">
        <f>IF(SER_hh_tesh!M29=0,0,SER_hh_tesh!M29/SER_summary!M$26)</f>
        <v>27.637008990564798</v>
      </c>
      <c r="N29" s="131">
        <f>IF(SER_hh_tesh!N29=0,0,SER_hh_tesh!N29/SER_summary!N$26)</f>
        <v>27.941356431043101</v>
      </c>
      <c r="O29" s="131">
        <f>IF(SER_hh_tesh!O29=0,0,SER_hh_tesh!O29/SER_summary!O$26)</f>
        <v>27.924424559004983</v>
      </c>
      <c r="P29" s="131">
        <f>IF(SER_hh_tesh!P29=0,0,SER_hh_tesh!P29/SER_summary!P$26)</f>
        <v>27.486080370049919</v>
      </c>
      <c r="Q29" s="131">
        <f>IF(SER_hh_tesh!Q29=0,0,SER_hh_tesh!Q29/SER_summary!Q$26)</f>
        <v>27.065051996947776</v>
      </c>
      <c r="R29" s="131">
        <f>IF(SER_hh_tesh!R29=0,0,SER_hh_tesh!R29/SER_summary!R$26)</f>
        <v>26.759768645426789</v>
      </c>
      <c r="S29" s="131">
        <f>IF(SER_hh_tesh!S29=0,0,SER_hh_tesh!S29/SER_summary!S$26)</f>
        <v>26.402706454708706</v>
      </c>
      <c r="T29" s="131">
        <f>IF(SER_hh_tesh!T29=0,0,SER_hh_tesh!T29/SER_summary!T$26)</f>
        <v>26.291920985148284</v>
      </c>
      <c r="U29" s="131">
        <f>IF(SER_hh_tesh!U29=0,0,SER_hh_tesh!U29/SER_summary!U$26)</f>
        <v>25.942592975353804</v>
      </c>
      <c r="V29" s="131">
        <f>IF(SER_hh_tesh!V29=0,0,SER_hh_tesh!V29/SER_summary!V$26)</f>
        <v>24.136782476599393</v>
      </c>
      <c r="W29" s="131">
        <f>IF(SER_hh_tesh!W29=0,0,SER_hh_tesh!W29/SER_summary!W$26)</f>
        <v>25.206832080775524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50.710304844384211</v>
      </c>
      <c r="D30" s="133">
        <f>IF(SER_hh_tesh!D30=0,0,SER_hh_tesh!D30/SER_summary!D$26)</f>
        <v>15.77952839653789</v>
      </c>
      <c r="E30" s="133">
        <f>IF(SER_hh_tesh!E30=0,0,SER_hh_tesh!E30/SER_summary!E$26)</f>
        <v>40.659088870675582</v>
      </c>
      <c r="F30" s="133">
        <f>IF(SER_hh_tesh!F30=0,0,SER_hh_tesh!F30/SER_summary!F$26)</f>
        <v>29.23738774061723</v>
      </c>
      <c r="G30" s="133">
        <f>IF(SER_hh_tesh!G30=0,0,SER_hh_tesh!G30/SER_summary!G$26)</f>
        <v>28.115409788812038</v>
      </c>
      <c r="H30" s="133">
        <f>IF(SER_hh_tesh!H30=0,0,SER_hh_tesh!H30/SER_summary!H$26)</f>
        <v>29.703262746769461</v>
      </c>
      <c r="I30" s="133">
        <f>IF(SER_hh_tesh!I30=0,0,SER_hh_tesh!I30/SER_summary!I$26)</f>
        <v>31.354953155653678</v>
      </c>
      <c r="J30" s="133">
        <f>IF(SER_hh_tesh!J30=0,0,SER_hh_tesh!J30/SER_summary!J$26)</f>
        <v>24.383486228941756</v>
      </c>
      <c r="K30" s="133">
        <f>IF(SER_hh_tesh!K30=0,0,SER_hh_tesh!K30/SER_summary!K$26)</f>
        <v>28.004093195036646</v>
      </c>
      <c r="L30" s="133">
        <f>IF(SER_hh_tesh!L30=0,0,SER_hh_tesh!L30/SER_summary!L$26)</f>
        <v>31.071521108218313</v>
      </c>
      <c r="M30" s="133">
        <f>IF(SER_hh_tesh!M30=0,0,SER_hh_tesh!M30/SER_summary!M$26)</f>
        <v>17.42376360609132</v>
      </c>
      <c r="N30" s="133">
        <f>IF(SER_hh_tesh!N30=0,0,SER_hh_tesh!N30/SER_summary!N$26)</f>
        <v>29.284845105586761</v>
      </c>
      <c r="O30" s="133">
        <f>IF(SER_hh_tesh!O30=0,0,SER_hh_tesh!O30/SER_summary!O$26)</f>
        <v>25.158704867607653</v>
      </c>
      <c r="P30" s="133">
        <f>IF(SER_hh_tesh!P30=0,0,SER_hh_tesh!P30/SER_summary!P$26)</f>
        <v>28.304717742867211</v>
      </c>
      <c r="Q30" s="133">
        <f>IF(SER_hh_tesh!Q30=0,0,SER_hh_tesh!Q30/SER_summary!Q$26)</f>
        <v>21.698785115268013</v>
      </c>
      <c r="R30" s="133">
        <f>IF(SER_hh_tesh!R30=0,0,SER_hh_tesh!R30/SER_summary!R$26)</f>
        <v>26.856147490861161</v>
      </c>
      <c r="S30" s="133">
        <f>IF(SER_hh_tesh!S30=0,0,SER_hh_tesh!S30/SER_summary!S$26)</f>
        <v>32.533906375827328</v>
      </c>
      <c r="T30" s="133">
        <f>IF(SER_hh_tesh!T30=0,0,SER_hh_tesh!T30/SER_summary!T$26)</f>
        <v>27.460403409005853</v>
      </c>
      <c r="U30" s="133">
        <f>IF(SER_hh_tesh!U30=0,0,SER_hh_tesh!U30/SER_summary!U$26)</f>
        <v>23.009183497880542</v>
      </c>
      <c r="V30" s="133">
        <f>IF(SER_hh_tesh!V30=0,0,SER_hh_tesh!V30/SER_summary!V$26)</f>
        <v>24.438084882503677</v>
      </c>
      <c r="W30" s="133">
        <f>IF(SER_hh_tesh!W30=0,0,SER_hh_tesh!W30/SER_summary!W$26)</f>
        <v>26.432107639375982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25.919414433344674</v>
      </c>
      <c r="C31" s="133">
        <f>IF(SER_hh_tesh!C31=0,0,SER_hh_tesh!C31/SER_summary!C$26)</f>
        <v>32.85286320028397</v>
      </c>
      <c r="D31" s="133">
        <f>IF(SER_hh_tesh!D31=0,0,SER_hh_tesh!D31/SER_summary!D$26)</f>
        <v>33.098574106328336</v>
      </c>
      <c r="E31" s="133">
        <f>IF(SER_hh_tesh!E31=0,0,SER_hh_tesh!E31/SER_summary!E$26)</f>
        <v>29.158744495668099</v>
      </c>
      <c r="F31" s="133">
        <f>IF(SER_hh_tesh!F31=0,0,SER_hh_tesh!F31/SER_summary!F$26)</f>
        <v>29.874839163339203</v>
      </c>
      <c r="G31" s="133">
        <f>IF(SER_hh_tesh!G31=0,0,SER_hh_tesh!G31/SER_summary!G$26)</f>
        <v>29.109789095558504</v>
      </c>
      <c r="H31" s="133">
        <f>IF(SER_hh_tesh!H31=0,0,SER_hh_tesh!H31/SER_summary!H$26)</f>
        <v>28.03648156160272</v>
      </c>
      <c r="I31" s="133">
        <f>IF(SER_hh_tesh!I31=0,0,SER_hh_tesh!I31/SER_summary!I$26)</f>
        <v>27.767621004627021</v>
      </c>
      <c r="J31" s="133">
        <f>IF(SER_hh_tesh!J31=0,0,SER_hh_tesh!J31/SER_summary!J$26)</f>
        <v>28.487377859647054</v>
      </c>
      <c r="K31" s="133">
        <f>IF(SER_hh_tesh!K31=0,0,SER_hh_tesh!K31/SER_summary!K$26)</f>
        <v>29.18686365916928</v>
      </c>
      <c r="L31" s="133">
        <f>IF(SER_hh_tesh!L31=0,0,SER_hh_tesh!L31/SER_summary!L$26)</f>
        <v>28.793022254127699</v>
      </c>
      <c r="M31" s="133">
        <f>IF(SER_hh_tesh!M31=0,0,SER_hh_tesh!M31/SER_summary!M$26)</f>
        <v>29.309376938915523</v>
      </c>
      <c r="N31" s="133">
        <f>IF(SER_hh_tesh!N31=0,0,SER_hh_tesh!N31/SER_summary!N$26)</f>
        <v>26.529187023364798</v>
      </c>
      <c r="O31" s="133">
        <f>IF(SER_hh_tesh!O31=0,0,SER_hh_tesh!O31/SER_summary!O$26)</f>
        <v>25.874647110390214</v>
      </c>
      <c r="P31" s="133">
        <f>IF(SER_hh_tesh!P31=0,0,SER_hh_tesh!P31/SER_summary!P$26)</f>
        <v>27.04052937450286</v>
      </c>
      <c r="Q31" s="133">
        <f>IF(SER_hh_tesh!Q31=0,0,SER_hh_tesh!Q31/SER_summary!Q$26)</f>
        <v>25.175874160711253</v>
      </c>
      <c r="R31" s="133">
        <f>IF(SER_hh_tesh!R31=0,0,SER_hh_tesh!R31/SER_summary!R$26)</f>
        <v>26.647321635798431</v>
      </c>
      <c r="S31" s="133">
        <f>IF(SER_hh_tesh!S31=0,0,SER_hh_tesh!S31/SER_summary!S$26)</f>
        <v>26.570410646221049</v>
      </c>
      <c r="T31" s="133">
        <f>IF(SER_hh_tesh!T31=0,0,SER_hh_tesh!T31/SER_summary!T$26)</f>
        <v>26.132774099395931</v>
      </c>
      <c r="U31" s="133">
        <f>IF(SER_hh_tesh!U31=0,0,SER_hh_tesh!U31/SER_summary!U$26)</f>
        <v>25.900334401095868</v>
      </c>
      <c r="V31" s="133">
        <f>IF(SER_hh_tesh!V31=0,0,SER_hh_tesh!V31/SER_summary!V$26)</f>
        <v>25.10616357094403</v>
      </c>
      <c r="W31" s="133">
        <f>IF(SER_hh_tesh!W31=0,0,SER_hh_tesh!W31/SER_summary!W$26)</f>
        <v>24.935095498498072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33.192969335066088</v>
      </c>
      <c r="C33" s="68">
        <f>IF(SER_hh_tesh!C33=0,0,SER_hh_tesh!C33/SER_summary!C$26)</f>
        <v>31.367423123251331</v>
      </c>
      <c r="D33" s="68">
        <f>IF(SER_hh_tesh!D33=0,0,SER_hh_tesh!D33/SER_summary!D$26)</f>
        <v>30.154591396358576</v>
      </c>
      <c r="E33" s="68">
        <f>IF(SER_hh_tesh!E33=0,0,SER_hh_tesh!E33/SER_summary!E$26)</f>
        <v>28.358275097356739</v>
      </c>
      <c r="F33" s="68">
        <f>IF(SER_hh_tesh!F33=0,0,SER_hh_tesh!F33/SER_summary!F$26)</f>
        <v>28.990924731661725</v>
      </c>
      <c r="G33" s="68">
        <f>IF(SER_hh_tesh!G33=0,0,SER_hh_tesh!G33/SER_summary!G$26)</f>
        <v>29.475756297766907</v>
      </c>
      <c r="H33" s="68">
        <f>IF(SER_hh_tesh!H33=0,0,SER_hh_tesh!H33/SER_summary!H$26)</f>
        <v>29.186163672599267</v>
      </c>
      <c r="I33" s="68">
        <f>IF(SER_hh_tesh!I33=0,0,SER_hh_tesh!I33/SER_summary!I$26)</f>
        <v>27.473391097164193</v>
      </c>
      <c r="J33" s="68">
        <f>IF(SER_hh_tesh!J33=0,0,SER_hh_tesh!J33/SER_summary!J$26)</f>
        <v>27.857499566492301</v>
      </c>
      <c r="K33" s="68">
        <f>IF(SER_hh_tesh!K33=0,0,SER_hh_tesh!K33/SER_summary!K$26)</f>
        <v>27.971276692041602</v>
      </c>
      <c r="L33" s="68">
        <f>IF(SER_hh_tesh!L33=0,0,SER_hh_tesh!L33/SER_summary!L$26)</f>
        <v>27.547665919717009</v>
      </c>
      <c r="M33" s="68">
        <f>IF(SER_hh_tesh!M33=0,0,SER_hh_tesh!M33/SER_summary!M$26)</f>
        <v>27.510156547111659</v>
      </c>
      <c r="N33" s="68">
        <f>IF(SER_hh_tesh!N33=0,0,SER_hh_tesh!N33/SER_summary!N$26)</f>
        <v>28.235027095819945</v>
      </c>
      <c r="O33" s="68">
        <f>IF(SER_hh_tesh!O33=0,0,SER_hh_tesh!O33/SER_summary!O$26)</f>
        <v>28.493318507512409</v>
      </c>
      <c r="P33" s="68">
        <f>IF(SER_hh_tesh!P33=0,0,SER_hh_tesh!P33/SER_summary!P$26)</f>
        <v>27.531582115617059</v>
      </c>
      <c r="Q33" s="68">
        <f>IF(SER_hh_tesh!Q33=0,0,SER_hh_tesh!Q33/SER_summary!Q$26)</f>
        <v>27.911485748576531</v>
      </c>
      <c r="R33" s="68">
        <f>IF(SER_hh_tesh!R33=0,0,SER_hh_tesh!R33/SER_summary!R$26)</f>
        <v>26.778617749331186</v>
      </c>
      <c r="S33" s="68">
        <f>IF(SER_hh_tesh!S33=0,0,SER_hh_tesh!S33/SER_summary!S$26)</f>
        <v>25.49507738852337</v>
      </c>
      <c r="T33" s="68">
        <f>IF(SER_hh_tesh!T33=0,0,SER_hh_tesh!T33/SER_summary!T$26)</f>
        <v>26.181145607944352</v>
      </c>
      <c r="U33" s="68">
        <f>IF(SER_hh_tesh!U33=0,0,SER_hh_tesh!U33/SER_summary!U$26)</f>
        <v>26.352525194306004</v>
      </c>
      <c r="V33" s="68">
        <f>IF(SER_hh_tesh!V33=0,0,SER_hh_tesh!V33/SER_summary!V$26)</f>
        <v>23.671715043113934</v>
      </c>
      <c r="W33" s="68">
        <f>IF(SER_hh_tesh!W33=0,0,SER_hh_tesh!W33/SER_summary!W$26)</f>
        <v>25.175302179873171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31.790907126335316</v>
      </c>
      <c r="C3" s="126">
        <f>IF(SER_hh_emih!C3=0,0,SER_hh_emih!C3/SER_summary!C$26)</f>
        <v>32.810645979322274</v>
      </c>
      <c r="D3" s="126">
        <f>IF(SER_hh_emih!D3=0,0,SER_hh_emih!D3/SER_summary!D$26)</f>
        <v>34.514377893816381</v>
      </c>
      <c r="E3" s="126">
        <f>IF(SER_hh_emih!E3=0,0,SER_hh_emih!E3/SER_summary!E$26)</f>
        <v>35.026642864321268</v>
      </c>
      <c r="F3" s="126">
        <f>IF(SER_hh_emih!F3=0,0,SER_hh_emih!F3/SER_summary!F$26)</f>
        <v>35.630133654874882</v>
      </c>
      <c r="G3" s="126">
        <f>IF(SER_hh_emih!G3=0,0,SER_hh_emih!G3/SER_summary!G$26)</f>
        <v>31.192460523004748</v>
      </c>
      <c r="H3" s="126">
        <f>IF(SER_hh_emih!H3=0,0,SER_hh_emih!H3/SER_summary!H$26)</f>
        <v>33.352383382060772</v>
      </c>
      <c r="I3" s="126">
        <f>IF(SER_hh_emih!I3=0,0,SER_hh_emih!I3/SER_summary!I$26)</f>
        <v>31.104578626330781</v>
      </c>
      <c r="J3" s="126">
        <f>IF(SER_hh_emih!J3=0,0,SER_hh_emih!J3/SER_summary!J$26)</f>
        <v>28.263001524969628</v>
      </c>
      <c r="K3" s="126">
        <f>IF(SER_hh_emih!K3=0,0,SER_hh_emih!K3/SER_summary!K$26)</f>
        <v>26.165500978783019</v>
      </c>
      <c r="L3" s="126">
        <f>IF(SER_hh_emih!L3=0,0,SER_hh_emih!L3/SER_summary!L$26)</f>
        <v>28.264667080977521</v>
      </c>
      <c r="M3" s="126">
        <f>IF(SER_hh_emih!M3=0,0,SER_hh_emih!M3/SER_summary!M$26)</f>
        <v>24.764698034858394</v>
      </c>
      <c r="N3" s="126">
        <f>IF(SER_hh_emih!N3=0,0,SER_hh_emih!N3/SER_summary!N$26)</f>
        <v>24.201896400310041</v>
      </c>
      <c r="O3" s="126">
        <f>IF(SER_hh_emih!O3=0,0,SER_hh_emih!O3/SER_summary!O$26)</f>
        <v>22.57701876566566</v>
      </c>
      <c r="P3" s="126">
        <f>IF(SER_hh_emih!P3=0,0,SER_hh_emih!P3/SER_summary!P$26)</f>
        <v>23.396652120894153</v>
      </c>
      <c r="Q3" s="126">
        <f>IF(SER_hh_emih!Q3=0,0,SER_hh_emih!Q3/SER_summary!Q$26)</f>
        <v>22.286000374956195</v>
      </c>
      <c r="R3" s="126">
        <f>IF(SER_hh_emih!R3=0,0,SER_hh_emih!R3/SER_summary!R$26)</f>
        <v>20.492355030660434</v>
      </c>
      <c r="S3" s="126">
        <f>IF(SER_hh_emih!S3=0,0,SER_hh_emih!S3/SER_summary!S$26)</f>
        <v>21.378148676185795</v>
      </c>
      <c r="T3" s="126">
        <f>IF(SER_hh_emih!T3=0,0,SER_hh_emih!T3/SER_summary!T$26)</f>
        <v>22.179728550827914</v>
      </c>
      <c r="U3" s="126">
        <f>IF(SER_hh_emih!U3=0,0,SER_hh_emih!U3/SER_summary!U$26)</f>
        <v>20.960857491056085</v>
      </c>
      <c r="V3" s="126">
        <f>IF(SER_hh_emih!V3=0,0,SER_hh_emih!V3/SER_summary!V$26)</f>
        <v>21.642304647599225</v>
      </c>
      <c r="W3" s="126">
        <f>IF(SER_hh_emih!W3=0,0,SER_hh_emih!W3/SER_summary!W$26)</f>
        <v>25.330309816897465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28.701139691549351</v>
      </c>
      <c r="C4" s="131">
        <f>IF(SER_hh_emih!C4=0,0,SER_hh_emih!C4/SER_summary!C$26)</f>
        <v>28.493483089313361</v>
      </c>
      <c r="D4" s="131">
        <f>IF(SER_hh_emih!D4=0,0,SER_hh_emih!D4/SER_summary!D$26)</f>
        <v>30.010238640585474</v>
      </c>
      <c r="E4" s="131">
        <f>IF(SER_hh_emih!E4=0,0,SER_hh_emih!E4/SER_summary!E$26)</f>
        <v>30.084999639889297</v>
      </c>
      <c r="F4" s="131">
        <f>IF(SER_hh_emih!F4=0,0,SER_hh_emih!F4/SER_summary!F$26)</f>
        <v>30.902495137002585</v>
      </c>
      <c r="G4" s="131">
        <f>IF(SER_hh_emih!G4=0,0,SER_hh_emih!G4/SER_summary!G$26)</f>
        <v>26.457548862507032</v>
      </c>
      <c r="H4" s="131">
        <f>IF(SER_hh_emih!H4=0,0,SER_hh_emih!H4/SER_summary!H$26)</f>
        <v>28.77036241797256</v>
      </c>
      <c r="I4" s="131">
        <f>IF(SER_hh_emih!I4=0,0,SER_hh_emih!I4/SER_summary!I$26)</f>
        <v>26.611535726443979</v>
      </c>
      <c r="J4" s="131">
        <f>IF(SER_hh_emih!J4=0,0,SER_hh_emih!J4/SER_summary!J$26)</f>
        <v>23.701295243922704</v>
      </c>
      <c r="K4" s="131">
        <f>IF(SER_hh_emih!K4=0,0,SER_hh_emih!K4/SER_summary!K$26)</f>
        <v>21.431549547989583</v>
      </c>
      <c r="L4" s="131">
        <f>IF(SER_hh_emih!L4=0,0,SER_hh_emih!L4/SER_summary!L$26)</f>
        <v>23.587009895082602</v>
      </c>
      <c r="M4" s="131">
        <f>IF(SER_hh_emih!M4=0,0,SER_hh_emih!M4/SER_summary!M$26)</f>
        <v>20.394163625200125</v>
      </c>
      <c r="N4" s="131">
        <f>IF(SER_hh_emih!N4=0,0,SER_hh_emih!N4/SER_summary!N$26)</f>
        <v>20.039280970866123</v>
      </c>
      <c r="O4" s="131">
        <f>IF(SER_hh_emih!O4=0,0,SER_hh_emih!O4/SER_summary!O$26)</f>
        <v>18.633730434504407</v>
      </c>
      <c r="P4" s="131">
        <f>IF(SER_hh_emih!P4=0,0,SER_hh_emih!P4/SER_summary!P$26)</f>
        <v>19.289191981950623</v>
      </c>
      <c r="Q4" s="131">
        <f>IF(SER_hh_emih!Q4=0,0,SER_hh_emih!Q4/SER_summary!Q$26)</f>
        <v>18.258941999056592</v>
      </c>
      <c r="R4" s="131">
        <f>IF(SER_hh_emih!R4=0,0,SER_hh_emih!R4/SER_summary!R$26)</f>
        <v>15.898915338008903</v>
      </c>
      <c r="S4" s="131">
        <f>IF(SER_hh_emih!S4=0,0,SER_hh_emih!S4/SER_summary!S$26)</f>
        <v>16.294164757451107</v>
      </c>
      <c r="T4" s="131">
        <f>IF(SER_hh_emih!T4=0,0,SER_hh_emih!T4/SER_summary!T$26)</f>
        <v>17.229793326186723</v>
      </c>
      <c r="U4" s="131">
        <f>IF(SER_hh_emih!U4=0,0,SER_hh_emih!U4/SER_summary!U$26)</f>
        <v>16.168370228130378</v>
      </c>
      <c r="V4" s="131">
        <f>IF(SER_hh_emih!V4=0,0,SER_hh_emih!V4/SER_summary!V$26)</f>
        <v>16.856727772793541</v>
      </c>
      <c r="W4" s="131">
        <f>IF(SER_hh_emih!W4=0,0,SER_hh_emih!W4/SER_summary!W$26)</f>
        <v>20.493563557074108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128.65324305069106</v>
      </c>
      <c r="C5" s="133">
        <f>IF(SER_hh_emih!C5=0,0,SER_hh_emih!C5/SER_summary!C$26)</f>
        <v>132.266284414219</v>
      </c>
      <c r="D5" s="133">
        <f>IF(SER_hh_emih!D5=0,0,SER_hh_emih!D5/SER_summary!D$26)</f>
        <v>133.63408822597773</v>
      </c>
      <c r="E5" s="133">
        <f>IF(SER_hh_emih!E5=0,0,SER_hh_emih!E5/SER_summary!E$26)</f>
        <v>137.61946450909966</v>
      </c>
      <c r="F5" s="133">
        <f>IF(SER_hh_emih!F5=0,0,SER_hh_emih!F5/SER_summary!F$26)</f>
        <v>141.55459257502108</v>
      </c>
      <c r="G5" s="133">
        <f>IF(SER_hh_emih!G5=0,0,SER_hh_emih!G5/SER_summary!G$26)</f>
        <v>122.78376216916169</v>
      </c>
      <c r="H5" s="133">
        <f>IF(SER_hh_emih!H5=0,0,SER_hh_emih!H5/SER_summary!H$26)</f>
        <v>128.72806901864271</v>
      </c>
      <c r="I5" s="133">
        <f>IF(SER_hh_emih!I5=0,0,SER_hh_emih!I5/SER_summary!I$26)</f>
        <v>129.02197033378201</v>
      </c>
      <c r="J5" s="133">
        <f>IF(SER_hh_emih!J5=0,0,SER_hh_emih!J5/SER_summary!J$26)</f>
        <v>108.42614992622573</v>
      </c>
      <c r="K5" s="133">
        <f>IF(SER_hh_emih!K5=0,0,SER_hh_emih!K5/SER_summary!K$26)</f>
        <v>80.03792487516003</v>
      </c>
      <c r="L5" s="133">
        <f>IF(SER_hh_emih!L5=0,0,SER_hh_emih!L5/SER_summary!L$26)</f>
        <v>107.55911033828284</v>
      </c>
      <c r="M5" s="133">
        <f>IF(SER_hh_emih!M5=0,0,SER_hh_emih!M5/SER_summary!M$26)</f>
        <v>100.92392166937871</v>
      </c>
      <c r="N5" s="133">
        <f>IF(SER_hh_emih!N5=0,0,SER_hh_emih!N5/SER_summary!N$26)</f>
        <v>71.003833361078193</v>
      </c>
      <c r="O5" s="133">
        <f>IF(SER_hh_emih!O5=0,0,SER_hh_emih!O5/SER_summary!O$26)</f>
        <v>93.662583969246356</v>
      </c>
      <c r="P5" s="133">
        <f>IF(SER_hh_emih!P5=0,0,SER_hh_emih!P5/SER_summary!P$26)</f>
        <v>90.261689876237924</v>
      </c>
      <c r="Q5" s="133">
        <f>IF(SER_hh_emih!Q5=0,0,SER_hh_emih!Q5/SER_summary!Q$26)</f>
        <v>80.536767863541101</v>
      </c>
      <c r="R5" s="133">
        <f>IF(SER_hh_emih!R5=0,0,SER_hh_emih!R5/SER_summary!R$26)</f>
        <v>90.593737809244132</v>
      </c>
      <c r="S5" s="133">
        <f>IF(SER_hh_emih!S5=0,0,SER_hh_emih!S5/SER_summary!S$26)</f>
        <v>78.068403231606908</v>
      </c>
      <c r="T5" s="133">
        <f>IF(SER_hh_emih!T5=0,0,SER_hh_emih!T5/SER_summary!T$26)</f>
        <v>91.423416916982035</v>
      </c>
      <c r="U5" s="133">
        <f>IF(SER_hh_emih!U5=0,0,SER_hh_emih!U5/SER_summary!U$26)</f>
        <v>85.306029282393681</v>
      </c>
      <c r="V5" s="133">
        <f>IF(SER_hh_emih!V5=0,0,SER_hh_emih!V5/SER_summary!V$26)</f>
        <v>68.295468545438425</v>
      </c>
      <c r="W5" s="133">
        <f>IF(SER_hh_emih!W5=0,0,SER_hh_emih!W5/SER_summary!W$26)</f>
        <v>98.366171810924556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113.72176124219652</v>
      </c>
      <c r="C7" s="133">
        <f>IF(SER_hh_emih!C7=0,0,SER_hh_emih!C7/SER_summary!C$26)</f>
        <v>124.02871298065266</v>
      </c>
      <c r="D7" s="133">
        <f>IF(SER_hh_emih!D7=0,0,SER_hh_emih!D7/SER_summary!D$26)</f>
        <v>117.8919411554557</v>
      </c>
      <c r="E7" s="133">
        <f>IF(SER_hh_emih!E7=0,0,SER_hh_emih!E7/SER_summary!E$26)</f>
        <v>125.2591215561167</v>
      </c>
      <c r="F7" s="133">
        <f>IF(SER_hh_emih!F7=0,0,SER_hh_emih!F7/SER_summary!F$26)</f>
        <v>125.329133035718</v>
      </c>
      <c r="G7" s="133">
        <f>IF(SER_hh_emih!G7=0,0,SER_hh_emih!G7/SER_summary!G$26)</f>
        <v>100.09188141564471</v>
      </c>
      <c r="H7" s="133">
        <f>IF(SER_hh_emih!H7=0,0,SER_hh_emih!H7/SER_summary!H$26)</f>
        <v>127.68213054967596</v>
      </c>
      <c r="I7" s="133">
        <f>IF(SER_hh_emih!I7=0,0,SER_hh_emih!I7/SER_summary!I$26)</f>
        <v>104.97568417689291</v>
      </c>
      <c r="J7" s="133">
        <f>IF(SER_hh_emih!J7=0,0,SER_hh_emih!J7/SER_summary!J$26)</f>
        <v>88.473428832319385</v>
      </c>
      <c r="K7" s="133">
        <f>IF(SER_hh_emih!K7=0,0,SER_hh_emih!K7/SER_summary!K$26)</f>
        <v>83.747472891079525</v>
      </c>
      <c r="L7" s="133">
        <f>IF(SER_hh_emih!L7=0,0,SER_hh_emih!L7/SER_summary!L$26)</f>
        <v>82.332612549561631</v>
      </c>
      <c r="M7" s="133">
        <f>IF(SER_hh_emih!M7=0,0,SER_hh_emih!M7/SER_summary!M$26)</f>
        <v>66.928237855824435</v>
      </c>
      <c r="N7" s="133">
        <f>IF(SER_hh_emih!N7=0,0,SER_hh_emih!N7/SER_summary!N$26)</f>
        <v>84.303212803009416</v>
      </c>
      <c r="O7" s="133">
        <f>IF(SER_hh_emih!O7=0,0,SER_hh_emih!O7/SER_summary!O$26)</f>
        <v>77.40684209081644</v>
      </c>
      <c r="P7" s="133">
        <f>IF(SER_hh_emih!P7=0,0,SER_hh_emih!P7/SER_summary!P$26)</f>
        <v>78.388217216398374</v>
      </c>
      <c r="Q7" s="133">
        <f>IF(SER_hh_emih!Q7=0,0,SER_hh_emih!Q7/SER_summary!Q$26)</f>
        <v>81.966300089305633</v>
      </c>
      <c r="R7" s="133">
        <f>IF(SER_hh_emih!R7=0,0,SER_hh_emih!R7/SER_summary!R$26)</f>
        <v>58.334198246966309</v>
      </c>
      <c r="S7" s="133">
        <f>IF(SER_hh_emih!S7=0,0,SER_hh_emih!S7/SER_summary!S$26)</f>
        <v>65.754298095177518</v>
      </c>
      <c r="T7" s="133">
        <f>IF(SER_hh_emih!T7=0,0,SER_hh_emih!T7/SER_summary!T$26)</f>
        <v>73.81569257815498</v>
      </c>
      <c r="U7" s="133">
        <f>IF(SER_hh_emih!U7=0,0,SER_hh_emih!U7/SER_summary!U$26)</f>
        <v>54.651018432595869</v>
      </c>
      <c r="V7" s="133">
        <f>IF(SER_hh_emih!V7=0,0,SER_hh_emih!V7/SER_summary!V$26)</f>
        <v>58.744780762453821</v>
      </c>
      <c r="W7" s="133">
        <f>IF(SER_hh_emih!W7=0,0,SER_hh_emih!W7/SER_summary!W$26)</f>
        <v>74.336115818951711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81.543257317518425</v>
      </c>
      <c r="C9" s="133">
        <f>IF(SER_hh_emih!C9=0,0,SER_hh_emih!C9/SER_summary!C$26)</f>
        <v>70.05743563696609</v>
      </c>
      <c r="D9" s="133">
        <f>IF(SER_hh_emih!D9=0,0,SER_hh_emih!D9/SER_summary!D$26)</f>
        <v>83.039641498549344</v>
      </c>
      <c r="E9" s="133">
        <f>IF(SER_hh_emih!E9=0,0,SER_hh_emih!E9/SER_summary!E$26)</f>
        <v>74.935117135592677</v>
      </c>
      <c r="F9" s="133">
        <f>IF(SER_hh_emih!F9=0,0,SER_hh_emih!F9/SER_summary!F$26)</f>
        <v>76.687283714968487</v>
      </c>
      <c r="G9" s="133">
        <f>IF(SER_hh_emih!G9=0,0,SER_hh_emih!G9/SER_summary!G$26)</f>
        <v>70.10825009924865</v>
      </c>
      <c r="H9" s="133">
        <f>IF(SER_hh_emih!H9=0,0,SER_hh_emih!H9/SER_summary!H$26)</f>
        <v>68.028007815215247</v>
      </c>
      <c r="I9" s="133">
        <f>IF(SER_hh_emih!I9=0,0,SER_hh_emih!I9/SER_summary!I$26)</f>
        <v>68.400506378119715</v>
      </c>
      <c r="J9" s="133">
        <f>IF(SER_hh_emih!J9=0,0,SER_hh_emih!J9/SER_summary!J$26)</f>
        <v>59.793090656160267</v>
      </c>
      <c r="K9" s="133">
        <f>IF(SER_hh_emih!K9=0,0,SER_hh_emih!K9/SER_summary!K$26)</f>
        <v>52.538880504012326</v>
      </c>
      <c r="L9" s="133">
        <f>IF(SER_hh_emih!L9=0,0,SER_hh_emih!L9/SER_summary!L$26)</f>
        <v>55.019134945063975</v>
      </c>
      <c r="M9" s="133">
        <f>IF(SER_hh_emih!M9=0,0,SER_hh_emih!M9/SER_summary!M$26)</f>
        <v>50.615309417393973</v>
      </c>
      <c r="N9" s="133">
        <f>IF(SER_hh_emih!N9=0,0,SER_hh_emih!N9/SER_summary!N$26)</f>
        <v>53.579826789299155</v>
      </c>
      <c r="O9" s="133">
        <f>IF(SER_hh_emih!O9=0,0,SER_hh_emih!O9/SER_summary!O$26)</f>
        <v>47.492909919607314</v>
      </c>
      <c r="P9" s="133">
        <f>IF(SER_hh_emih!P9=0,0,SER_hh_emih!P9/SER_summary!P$26)</f>
        <v>52.129303029106659</v>
      </c>
      <c r="Q9" s="133">
        <f>IF(SER_hh_emih!Q9=0,0,SER_hh_emih!Q9/SER_summary!Q$26)</f>
        <v>46.432199254757272</v>
      </c>
      <c r="R9" s="133">
        <f>IF(SER_hh_emih!R9=0,0,SER_hh_emih!R9/SER_summary!R$26)</f>
        <v>47.627726189270653</v>
      </c>
      <c r="S9" s="133">
        <f>IF(SER_hh_emih!S9=0,0,SER_hh_emih!S9/SER_summary!S$26)</f>
        <v>47.327136146953727</v>
      </c>
      <c r="T9" s="133">
        <f>IF(SER_hh_emih!T9=0,0,SER_hh_emih!T9/SER_summary!T$26)</f>
        <v>45.113255344229948</v>
      </c>
      <c r="U9" s="133">
        <f>IF(SER_hh_emih!U9=0,0,SER_hh_emih!U9/SER_summary!U$26)</f>
        <v>43.997623804733315</v>
      </c>
      <c r="V9" s="133">
        <f>IF(SER_hh_emih!V9=0,0,SER_hh_emih!V9/SER_summary!V$26)</f>
        <v>42.161230611537661</v>
      </c>
      <c r="W9" s="133">
        <f>IF(SER_hh_emih!W9=0,0,SER_hh_emih!W9/SER_summary!W$26)</f>
        <v>44.309761002759295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1.923146023795816</v>
      </c>
      <c r="C19" s="131">
        <f>IF(SER_hh_emih!C19=0,0,SER_hh_emih!C19/SER_summary!C$26)</f>
        <v>1.9137276230595626</v>
      </c>
      <c r="D19" s="131">
        <f>IF(SER_hh_emih!D19=0,0,SER_hh_emih!D19/SER_summary!D$26)</f>
        <v>1.981232410320195</v>
      </c>
      <c r="E19" s="131">
        <f>IF(SER_hh_emih!E19=0,0,SER_hh_emih!E19/SER_summary!E$26)</f>
        <v>1.9540137268355444</v>
      </c>
      <c r="F19" s="131">
        <f>IF(SER_hh_emih!F19=0,0,SER_hh_emih!F19/SER_summary!F$26)</f>
        <v>1.9133347853835219</v>
      </c>
      <c r="G19" s="131">
        <f>IF(SER_hh_emih!G19=0,0,SER_hh_emih!G19/SER_summary!G$26)</f>
        <v>1.9586437170953672</v>
      </c>
      <c r="H19" s="131">
        <f>IF(SER_hh_emih!H19=0,0,SER_hh_emih!H19/SER_summary!H$26)</f>
        <v>1.9267959306852112</v>
      </c>
      <c r="I19" s="131">
        <f>IF(SER_hh_emih!I19=0,0,SER_hh_emih!I19/SER_summary!I$26)</f>
        <v>1.8545271803629819</v>
      </c>
      <c r="J19" s="131">
        <f>IF(SER_hh_emih!J19=0,0,SER_hh_emih!J19/SER_summary!J$26)</f>
        <v>1.982549109286138</v>
      </c>
      <c r="K19" s="131">
        <f>IF(SER_hh_emih!K19=0,0,SER_hh_emih!K19/SER_summary!K$26)</f>
        <v>2.0352011265332663</v>
      </c>
      <c r="L19" s="131">
        <f>IF(SER_hh_emih!L19=0,0,SER_hh_emih!L19/SER_summary!L$26)</f>
        <v>2.0542238149902596</v>
      </c>
      <c r="M19" s="131">
        <f>IF(SER_hh_emih!M19=0,0,SER_hh_emih!M19/SER_summary!M$26)</f>
        <v>2.0725916357487737</v>
      </c>
      <c r="N19" s="131">
        <f>IF(SER_hh_emih!N19=0,0,SER_hh_emih!N19/SER_summary!N$26)</f>
        <v>2.1211385809900176</v>
      </c>
      <c r="O19" s="131">
        <f>IF(SER_hh_emih!O19=0,0,SER_hh_emih!O19/SER_summary!O$26)</f>
        <v>2.1255328506069655</v>
      </c>
      <c r="P19" s="131">
        <f>IF(SER_hh_emih!P19=0,0,SER_hh_emih!P19/SER_summary!P$26)</f>
        <v>2.1075695382241624</v>
      </c>
      <c r="Q19" s="131">
        <f>IF(SER_hh_emih!Q19=0,0,SER_hh_emih!Q19/SER_summary!Q$26)</f>
        <v>2.0961119434013837</v>
      </c>
      <c r="R19" s="131">
        <f>IF(SER_hh_emih!R19=0,0,SER_hh_emih!R19/SER_summary!R$26)</f>
        <v>2.0720019224123463</v>
      </c>
      <c r="S19" s="131">
        <f>IF(SER_hh_emih!S19=0,0,SER_hh_emih!S19/SER_summary!S$26)</f>
        <v>2.0261451059556843</v>
      </c>
      <c r="T19" s="131">
        <f>IF(SER_hh_emih!T19=0,0,SER_hh_emih!T19/SER_summary!T$26)</f>
        <v>1.9208071799684623</v>
      </c>
      <c r="U19" s="131">
        <f>IF(SER_hh_emih!U19=0,0,SER_hh_emih!U19/SER_summary!U$26)</f>
        <v>1.8347200677918103</v>
      </c>
      <c r="V19" s="131">
        <f>IF(SER_hh_emih!V19=0,0,SER_hh_emih!V19/SER_summary!V$26)</f>
        <v>1.7331083549003239</v>
      </c>
      <c r="W19" s="131">
        <f>IF(SER_hh_emih!W19=0,0,SER_hh_emih!W19/SER_summary!W$26)</f>
        <v>1.7423655412349677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13.712633658589235</v>
      </c>
      <c r="C22" s="133">
        <f>IF(SER_hh_emih!C22=0,0,SER_hh_emih!C22/SER_summary!C$26)</f>
        <v>13.80810625374869</v>
      </c>
      <c r="D22" s="133">
        <f>IF(SER_hh_emih!D22=0,0,SER_hh_emih!D22/SER_summary!D$26)</f>
        <v>13.530771279512294</v>
      </c>
      <c r="E22" s="133">
        <f>IF(SER_hh_emih!E22=0,0,SER_hh_emih!E22/SER_summary!E$26)</f>
        <v>13.384449094814251</v>
      </c>
      <c r="F22" s="133">
        <f>IF(SER_hh_emih!F22=0,0,SER_hh_emih!F22/SER_summary!F$26)</f>
        <v>13.125473623695083</v>
      </c>
      <c r="G22" s="133">
        <f>IF(SER_hh_emih!G22=0,0,SER_hh_emih!G22/SER_summary!G$26)</f>
        <v>13.044809167275908</v>
      </c>
      <c r="H22" s="133">
        <f>IF(SER_hh_emih!H22=0,0,SER_hh_emih!H22/SER_summary!H$26)</f>
        <v>13.218830845230963</v>
      </c>
      <c r="I22" s="133">
        <f>IF(SER_hh_emih!I22=0,0,SER_hh_emih!I22/SER_summary!I$26)</f>
        <v>12.701943711588486</v>
      </c>
      <c r="J22" s="133">
        <f>IF(SER_hh_emih!J22=0,0,SER_hh_emih!J22/SER_summary!J$26)</f>
        <v>12.906536616226859</v>
      </c>
      <c r="K22" s="133">
        <f>IF(SER_hh_emih!K22=0,0,SER_hh_emih!K22/SER_summary!K$26)</f>
        <v>12.699973281176105</v>
      </c>
      <c r="L22" s="133">
        <f>IF(SER_hh_emih!L22=0,0,SER_hh_emih!L22/SER_summary!L$26)</f>
        <v>12.589105898909564</v>
      </c>
      <c r="M22" s="133">
        <f>IF(SER_hh_emih!M22=0,0,SER_hh_emih!M22/SER_summary!M$26)</f>
        <v>12.671659029004871</v>
      </c>
      <c r="N22" s="133">
        <f>IF(SER_hh_emih!N22=0,0,SER_hh_emih!N22/SER_summary!N$26)</f>
        <v>12.65767118847946</v>
      </c>
      <c r="O22" s="133">
        <f>IF(SER_hh_emih!O22=0,0,SER_hh_emih!O22/SER_summary!O$26)</f>
        <v>12.568298920035499</v>
      </c>
      <c r="P22" s="133">
        <f>IF(SER_hh_emih!P22=0,0,SER_hh_emih!P22/SER_summary!P$26)</f>
        <v>12.415014177865121</v>
      </c>
      <c r="Q22" s="133">
        <f>IF(SER_hh_emih!Q22=0,0,SER_hh_emih!Q22/SER_summary!Q$26)</f>
        <v>12.420566939662091</v>
      </c>
      <c r="R22" s="133">
        <f>IF(SER_hh_emih!R22=0,0,SER_hh_emih!R22/SER_summary!R$26)</f>
        <v>12.253285437941202</v>
      </c>
      <c r="S22" s="133">
        <f>IF(SER_hh_emih!S22=0,0,SER_hh_emih!S22/SER_summary!S$26)</f>
        <v>12.108538594512174</v>
      </c>
      <c r="T22" s="133">
        <f>IF(SER_hh_emih!T22=0,0,SER_hh_emih!T22/SER_summary!T$26)</f>
        <v>11.788343268310795</v>
      </c>
      <c r="U22" s="133">
        <f>IF(SER_hh_emih!U22=0,0,SER_hh_emih!U22/SER_summary!U$26)</f>
        <v>11.158123056252185</v>
      </c>
      <c r="V22" s="133">
        <f>IF(SER_hh_emih!V22=0,0,SER_hh_emih!V22/SER_summary!V$26)</f>
        <v>10.043268262013921</v>
      </c>
      <c r="W22" s="133">
        <f>IF(SER_hh_emih!W22=0,0,SER_hh_emih!W22/SER_summary!W$26)</f>
        <v>10.440792300084548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9.9608991597033487</v>
      </c>
      <c r="C23" s="133">
        <f>IF(SER_hh_emih!C23=0,0,SER_hh_emih!C23/SER_summary!C$26)</f>
        <v>9.6513208817135592</v>
      </c>
      <c r="D23" s="133">
        <f>IF(SER_hh_emih!D23=0,0,SER_hh_emih!D23/SER_summary!D$26)</f>
        <v>9.8170449965424105</v>
      </c>
      <c r="E23" s="133">
        <f>IF(SER_hh_emih!E23=0,0,SER_hh_emih!E23/SER_summary!E$26)</f>
        <v>9.20418792184695</v>
      </c>
      <c r="F23" s="133">
        <f>IF(SER_hh_emih!F23=0,0,SER_hh_emih!F23/SER_summary!F$26)</f>
        <v>8.8764479653324546</v>
      </c>
      <c r="G23" s="133">
        <f>IF(SER_hh_emih!G23=0,0,SER_hh_emih!G23/SER_summary!G$26)</f>
        <v>9.0345287721385628</v>
      </c>
      <c r="H23" s="133">
        <f>IF(SER_hh_emih!H23=0,0,SER_hh_emih!H23/SER_summary!H$26)</f>
        <v>8.6146253385406073</v>
      </c>
      <c r="I23" s="133">
        <f>IF(SER_hh_emih!I23=0,0,SER_hh_emih!I23/SER_summary!I$26)</f>
        <v>8.3322297241131995</v>
      </c>
      <c r="J23" s="133">
        <f>IF(SER_hh_emih!J23=0,0,SER_hh_emih!J23/SER_summary!J$26)</f>
        <v>8.7358671585817689</v>
      </c>
      <c r="K23" s="133">
        <f>IF(SER_hh_emih!K23=0,0,SER_hh_emih!K23/SER_summary!K$26)</f>
        <v>8.7088733666618818</v>
      </c>
      <c r="L23" s="133">
        <f>IF(SER_hh_emih!L23=0,0,SER_hh_emih!L23/SER_summary!L$26)</f>
        <v>8.3837035376599882</v>
      </c>
      <c r="M23" s="133">
        <f>IF(SER_hh_emih!M23=0,0,SER_hh_emih!M23/SER_summary!M$26)</f>
        <v>8.3850043567124626</v>
      </c>
      <c r="N23" s="133">
        <f>IF(SER_hh_emih!N23=0,0,SER_hh_emih!N23/SER_summary!N$26)</f>
        <v>8.2551703577283391</v>
      </c>
      <c r="O23" s="133">
        <f>IF(SER_hh_emih!O23=0,0,SER_hh_emih!O23/SER_summary!O$26)</f>
        <v>8.1591277821790698</v>
      </c>
      <c r="P23" s="133">
        <f>IF(SER_hh_emih!P23=0,0,SER_hh_emih!P23/SER_summary!P$26)</f>
        <v>7.992226008868168</v>
      </c>
      <c r="Q23" s="133">
        <f>IF(SER_hh_emih!Q23=0,0,SER_hh_emih!Q23/SER_summary!Q$26)</f>
        <v>7.9632662370123031</v>
      </c>
      <c r="R23" s="133">
        <f>IF(SER_hh_emih!R23=0,0,SER_hh_emih!R23/SER_summary!R$26)</f>
        <v>7.9129785092975382</v>
      </c>
      <c r="S23" s="133">
        <f>IF(SER_hh_emih!S23=0,0,SER_hh_emih!S23/SER_summary!S$26)</f>
        <v>7.8313938954552089</v>
      </c>
      <c r="T23" s="133">
        <f>IF(SER_hh_emih!T23=0,0,SER_hh_emih!T23/SER_summary!T$26)</f>
        <v>7.3221717234423478</v>
      </c>
      <c r="U23" s="133">
        <f>IF(SER_hh_emih!U23=0,0,SER_hh_emih!U23/SER_summary!U$26)</f>
        <v>6.9965654659573921</v>
      </c>
      <c r="V23" s="133">
        <f>IF(SER_hh_emih!V23=0,0,SER_hh_emih!V23/SER_summary!V$26)</f>
        <v>6.6069308272187257</v>
      </c>
      <c r="W23" s="133">
        <f>IF(SER_hh_emih!W23=0,0,SER_hh_emih!W23/SER_summary!W$26)</f>
        <v>6.610307944218337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1.1666214109901516</v>
      </c>
      <c r="C29" s="131">
        <f>IF(SER_hh_emih!C29=0,0,SER_hh_emih!C29/SER_summary!C$26)</f>
        <v>2.4034352669493546</v>
      </c>
      <c r="D29" s="131">
        <f>IF(SER_hh_emih!D29=0,0,SER_hh_emih!D29/SER_summary!D$26)</f>
        <v>2.52290684291071</v>
      </c>
      <c r="E29" s="131">
        <f>IF(SER_hh_emih!E29=0,0,SER_hh_emih!E29/SER_summary!E$26)</f>
        <v>2.9876294975964228</v>
      </c>
      <c r="F29" s="131">
        <f>IF(SER_hh_emih!F29=0,0,SER_hh_emih!F29/SER_summary!F$26)</f>
        <v>2.8143037324887774</v>
      </c>
      <c r="G29" s="131">
        <f>IF(SER_hh_emih!G29=0,0,SER_hh_emih!G29/SER_summary!G$26)</f>
        <v>2.7762679434023436</v>
      </c>
      <c r="H29" s="131">
        <f>IF(SER_hh_emih!H29=0,0,SER_hh_emih!H29/SER_summary!H$26)</f>
        <v>2.6552250334029961</v>
      </c>
      <c r="I29" s="131">
        <f>IF(SER_hh_emih!I29=0,0,SER_hh_emih!I29/SER_summary!I$26)</f>
        <v>2.6385157195238236</v>
      </c>
      <c r="J29" s="131">
        <f>IF(SER_hh_emih!J29=0,0,SER_hh_emih!J29/SER_summary!J$26)</f>
        <v>2.5791571717607873</v>
      </c>
      <c r="K29" s="131">
        <f>IF(SER_hh_emih!K29=0,0,SER_hh_emih!K29/SER_summary!K$26)</f>
        <v>2.6987503042601695</v>
      </c>
      <c r="L29" s="131">
        <f>IF(SER_hh_emih!L29=0,0,SER_hh_emih!L29/SER_summary!L$26)</f>
        <v>2.6234333709046553</v>
      </c>
      <c r="M29" s="131">
        <f>IF(SER_hh_emih!M29=0,0,SER_hh_emih!M29/SER_summary!M$26)</f>
        <v>2.2979427739094902</v>
      </c>
      <c r="N29" s="131">
        <f>IF(SER_hh_emih!N29=0,0,SER_hh_emih!N29/SER_summary!N$26)</f>
        <v>2.0414768484538999</v>
      </c>
      <c r="O29" s="131">
        <f>IF(SER_hh_emih!O29=0,0,SER_hh_emih!O29/SER_summary!O$26)</f>
        <v>1.8177554805542855</v>
      </c>
      <c r="P29" s="131">
        <f>IF(SER_hh_emih!P29=0,0,SER_hh_emih!P29/SER_summary!P$26)</f>
        <v>1.9998906007193666</v>
      </c>
      <c r="Q29" s="131">
        <f>IF(SER_hh_emih!Q29=0,0,SER_hh_emih!Q29/SER_summary!Q$26)</f>
        <v>1.9309464324982188</v>
      </c>
      <c r="R29" s="131">
        <f>IF(SER_hh_emih!R29=0,0,SER_hh_emih!R29/SER_summary!R$26)</f>
        <v>2.5214377702391881</v>
      </c>
      <c r="S29" s="131">
        <f>IF(SER_hh_emih!S29=0,0,SER_hh_emih!S29/SER_summary!S$26)</f>
        <v>3.0578388127790053</v>
      </c>
      <c r="T29" s="131">
        <f>IF(SER_hh_emih!T29=0,0,SER_hh_emih!T29/SER_summary!T$26)</f>
        <v>3.0291280446727287</v>
      </c>
      <c r="U29" s="131">
        <f>IF(SER_hh_emih!U29=0,0,SER_hh_emih!U29/SER_summary!U$26)</f>
        <v>2.9577671951338984</v>
      </c>
      <c r="V29" s="131">
        <f>IF(SER_hh_emih!V29=0,0,SER_hh_emih!V29/SER_summary!V$26)</f>
        <v>3.0524685199053594</v>
      </c>
      <c r="W29" s="131">
        <f>IF(SER_hh_emih!W29=0,0,SER_hh_emih!W29/SER_summary!W$26)</f>
        <v>3.0943807185883916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19.165947499039689</v>
      </c>
      <c r="D30" s="133">
        <f>IF(SER_hh_emih!D30=0,0,SER_hh_emih!D30/SER_summary!D$26)</f>
        <v>5.9623535278900706</v>
      </c>
      <c r="E30" s="133">
        <f>IF(SER_hh_emih!E30=0,0,SER_hh_emih!E30/SER_summary!E$26)</f>
        <v>15.357247287550104</v>
      </c>
      <c r="F30" s="133">
        <f>IF(SER_hh_emih!F30=0,0,SER_hh_emih!F30/SER_summary!F$26)</f>
        <v>11.042458780944274</v>
      </c>
      <c r="G30" s="133">
        <f>IF(SER_hh_emih!G30=0,0,SER_hh_emih!G30/SER_summary!G$26)</f>
        <v>10.61762283602628</v>
      </c>
      <c r="H30" s="133">
        <f>IF(SER_hh_emih!H30=0,0,SER_hh_emih!H30/SER_summary!H$26)</f>
        <v>11.2171628560282</v>
      </c>
      <c r="I30" s="133">
        <f>IF(SER_hh_emih!I30=0,0,SER_hh_emih!I30/SER_summary!I$26)</f>
        <v>11.840820771467211</v>
      </c>
      <c r="J30" s="133">
        <f>IF(SER_hh_emih!J30=0,0,SER_hh_emih!J30/SER_summary!J$26)</f>
        <v>9.2080122964526723</v>
      </c>
      <c r="K30" s="133">
        <f>IF(SER_hh_emih!K30=0,0,SER_hh_emih!K30/SER_summary!K$26)</f>
        <v>10.575273448176457</v>
      </c>
      <c r="L30" s="133">
        <f>IF(SER_hh_emih!L30=0,0,SER_hh_emih!L30/SER_summary!L$26)</f>
        <v>11.733464771461419</v>
      </c>
      <c r="M30" s="133">
        <f>IF(SER_hh_emih!M30=0,0,SER_hh_emih!M30/SER_summary!M$26)</f>
        <v>6.5792735881996043</v>
      </c>
      <c r="N30" s="133">
        <f>IF(SER_hh_emih!N30=0,0,SER_hh_emih!N30/SER_summary!N$26)</f>
        <v>11.03844105471687</v>
      </c>
      <c r="O30" s="133">
        <f>IF(SER_hh_emih!O30=0,0,SER_hh_emih!O30/SER_summary!O$26)</f>
        <v>9.4661831239430807</v>
      </c>
      <c r="P30" s="133">
        <f>IF(SER_hh_emih!P30=0,0,SER_hh_emih!P30/SER_summary!P$26)</f>
        <v>10.639383725847924</v>
      </c>
      <c r="Q30" s="133">
        <f>IF(SER_hh_emih!Q30=0,0,SER_hh_emih!Q30/SER_summary!Q$26)</f>
        <v>8.15268948713301</v>
      </c>
      <c r="R30" s="133">
        <f>IF(SER_hh_emih!R30=0,0,SER_hh_emih!R30/SER_summary!R$26)</f>
        <v>10.084450053712388</v>
      </c>
      <c r="S30" s="133">
        <f>IF(SER_hh_emih!S30=0,0,SER_hh_emih!S30/SER_summary!S$26)</f>
        <v>12.206040343365995</v>
      </c>
      <c r="T30" s="133">
        <f>IF(SER_hh_emih!T30=0,0,SER_hh_emih!T30/SER_summary!T$26)</f>
        <v>10.301202178094023</v>
      </c>
      <c r="U30" s="133">
        <f>IF(SER_hh_emih!U30=0,0,SER_hh_emih!U30/SER_summary!U$26)</f>
        <v>8.6311216125020813</v>
      </c>
      <c r="V30" s="133">
        <f>IF(SER_hh_emih!V30=0,0,SER_hh_emih!V30/SER_summary!V$26)</f>
        <v>9.166950098482797</v>
      </c>
      <c r="W30" s="133">
        <f>IF(SER_hh_emih!W30=0,0,SER_hh_emih!W30/SER_summary!W$26)</f>
        <v>9.9136972669752303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9.1849718621217633</v>
      </c>
      <c r="C31" s="133">
        <f>IF(SER_hh_emih!C31=0,0,SER_hh_emih!C31/SER_summary!C$26)</f>
        <v>11.593436095264195</v>
      </c>
      <c r="D31" s="133">
        <f>IF(SER_hh_emih!D31=0,0,SER_hh_emih!D31/SER_summary!D$26)</f>
        <v>11.646411367267795</v>
      </c>
      <c r="E31" s="133">
        <f>IF(SER_hh_emih!E31=0,0,SER_hh_emih!E31/SER_summary!E$26)</f>
        <v>9.9843784617681841</v>
      </c>
      <c r="F31" s="133">
        <f>IF(SER_hh_emih!F31=0,0,SER_hh_emih!F31/SER_summary!F$26)</f>
        <v>10.125960571720428</v>
      </c>
      <c r="G31" s="133">
        <f>IF(SER_hh_emih!G31=0,0,SER_hh_emih!G31/SER_summary!G$26)</f>
        <v>9.9961373826313569</v>
      </c>
      <c r="H31" s="133">
        <f>IF(SER_hh_emih!H31=0,0,SER_hh_emih!H31/SER_summary!H$26)</f>
        <v>9.5983510425373968</v>
      </c>
      <c r="I31" s="133">
        <f>IF(SER_hh_emih!I31=0,0,SER_hh_emih!I31/SER_summary!I$26)</f>
        <v>9.5137055486941975</v>
      </c>
      <c r="J31" s="133">
        <f>IF(SER_hh_emih!J31=0,0,SER_hh_emih!J31/SER_summary!J$26)</f>
        <v>9.7528050588503596</v>
      </c>
      <c r="K31" s="133">
        <f>IF(SER_hh_emih!K31=0,0,SER_hh_emih!K31/SER_summary!K$26)</f>
        <v>9.9265247095958191</v>
      </c>
      <c r="L31" s="133">
        <f>IF(SER_hh_emih!L31=0,0,SER_hh_emih!L31/SER_summary!L$26)</f>
        <v>9.7439826441495061</v>
      </c>
      <c r="M31" s="133">
        <f>IF(SER_hh_emih!M31=0,0,SER_hh_emih!M31/SER_summary!M$26)</f>
        <v>9.8979284271319603</v>
      </c>
      <c r="N31" s="133">
        <f>IF(SER_hh_emih!N31=0,0,SER_hh_emih!N31/SER_summary!N$26)</f>
        <v>8.8971735519224975</v>
      </c>
      <c r="O31" s="133">
        <f>IF(SER_hh_emih!O31=0,0,SER_hh_emih!O31/SER_summary!O$26)</f>
        <v>8.613760300527991</v>
      </c>
      <c r="P31" s="133">
        <f>IF(SER_hh_emih!P31=0,0,SER_hh_emih!P31/SER_summary!P$26)</f>
        <v>8.9942794288447168</v>
      </c>
      <c r="Q31" s="133">
        <f>IF(SER_hh_emih!Q31=0,0,SER_hh_emih!Q31/SER_summary!Q$26)</f>
        <v>8.3610346827936937</v>
      </c>
      <c r="R31" s="133">
        <f>IF(SER_hh_emih!R31=0,0,SER_hh_emih!R31/SER_summary!R$26)</f>
        <v>8.8880867308273857</v>
      </c>
      <c r="S31" s="133">
        <f>IF(SER_hh_emih!S31=0,0,SER_hh_emih!S31/SER_summary!S$26)</f>
        <v>8.8398559390266094</v>
      </c>
      <c r="T31" s="133">
        <f>IF(SER_hh_emih!T31=0,0,SER_hh_emih!T31/SER_summary!T$26)</f>
        <v>8.6276551908321366</v>
      </c>
      <c r="U31" s="133">
        <f>IF(SER_hh_emih!U31=0,0,SER_hh_emih!U31/SER_summary!U$26)</f>
        <v>8.5229203329093277</v>
      </c>
      <c r="V31" s="133">
        <f>IF(SER_hh_emih!V31=0,0,SER_hh_emih!V31/SER_summary!V$26)</f>
        <v>8.2134439343694385</v>
      </c>
      <c r="W31" s="133">
        <f>IF(SER_hh_emih!W31=0,0,SER_hh_emih!W31/SER_summary!W$26)</f>
        <v>8.128614377494003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589.49488358265455</v>
      </c>
      <c r="D3" s="125">
        <f t="shared" si="0"/>
        <v>681.14974979513022</v>
      </c>
      <c r="E3" s="125">
        <f t="shared" si="0"/>
        <v>727.27864729453268</v>
      </c>
      <c r="F3" s="125">
        <f t="shared" si="0"/>
        <v>861.23444453388151</v>
      </c>
      <c r="G3" s="125">
        <f t="shared" si="0"/>
        <v>695.33232732601891</v>
      </c>
      <c r="H3" s="125">
        <f t="shared" si="0"/>
        <v>1023.2700688017212</v>
      </c>
      <c r="I3" s="125">
        <f t="shared" si="0"/>
        <v>1083.1151185288754</v>
      </c>
      <c r="J3" s="125">
        <f t="shared" si="0"/>
        <v>628.21703420835502</v>
      </c>
      <c r="K3" s="125">
        <f t="shared" si="0"/>
        <v>108.66950904605217</v>
      </c>
      <c r="L3" s="125">
        <f t="shared" si="0"/>
        <v>74.560708589848261</v>
      </c>
      <c r="M3" s="125">
        <f t="shared" si="0"/>
        <v>375.13538556002584</v>
      </c>
      <c r="N3" s="125">
        <f t="shared" si="0"/>
        <v>75.244751787920237</v>
      </c>
      <c r="O3" s="125">
        <f t="shared" si="0"/>
        <v>265.31568004895917</v>
      </c>
      <c r="P3" s="125">
        <f t="shared" si="0"/>
        <v>286.18119549592524</v>
      </c>
      <c r="Q3" s="125">
        <f t="shared" si="0"/>
        <v>339.98212682554293</v>
      </c>
      <c r="R3" s="125">
        <f t="shared" si="0"/>
        <v>185.09906616127779</v>
      </c>
      <c r="S3" s="125">
        <f t="shared" si="0"/>
        <v>316.07896692750398</v>
      </c>
      <c r="T3" s="125">
        <f t="shared" si="0"/>
        <v>249.10890792982769</v>
      </c>
      <c r="U3" s="125">
        <f t="shared" si="0"/>
        <v>248.72132813258062</v>
      </c>
      <c r="V3" s="125">
        <f t="shared" si="0"/>
        <v>239.44509019272419</v>
      </c>
      <c r="W3" s="125">
        <f t="shared" si="0"/>
        <v>237.13747376223557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589.49488358265455</v>
      </c>
      <c r="D4" s="140">
        <f t="shared" si="1"/>
        <v>681.14974979513022</v>
      </c>
      <c r="E4" s="140">
        <f t="shared" si="1"/>
        <v>727.27864729453268</v>
      </c>
      <c r="F4" s="140">
        <f t="shared" si="1"/>
        <v>861.23444453388151</v>
      </c>
      <c r="G4" s="140">
        <f t="shared" si="1"/>
        <v>695.33232732601891</v>
      </c>
      <c r="H4" s="140">
        <f t="shared" si="1"/>
        <v>1023.2700688017212</v>
      </c>
      <c r="I4" s="140">
        <f t="shared" si="1"/>
        <v>1083.1151185288754</v>
      </c>
      <c r="J4" s="140">
        <f t="shared" si="1"/>
        <v>628.21703420835502</v>
      </c>
      <c r="K4" s="140">
        <f t="shared" si="1"/>
        <v>108.66950904605217</v>
      </c>
      <c r="L4" s="140">
        <f t="shared" si="1"/>
        <v>74.560708589848261</v>
      </c>
      <c r="M4" s="140">
        <f t="shared" si="1"/>
        <v>375.13538556002584</v>
      </c>
      <c r="N4" s="140">
        <f t="shared" si="1"/>
        <v>75.244751787920237</v>
      </c>
      <c r="O4" s="140">
        <f t="shared" si="1"/>
        <v>265.31568004895917</v>
      </c>
      <c r="P4" s="140">
        <f t="shared" si="1"/>
        <v>286.18119549592524</v>
      </c>
      <c r="Q4" s="140">
        <f t="shared" si="1"/>
        <v>339.98212682554293</v>
      </c>
      <c r="R4" s="140">
        <f t="shared" ref="R4:W4" si="2">SUM(R5:R14)</f>
        <v>185.09906616127779</v>
      </c>
      <c r="S4" s="140">
        <f t="shared" si="2"/>
        <v>316.07896692750398</v>
      </c>
      <c r="T4" s="140">
        <f t="shared" si="2"/>
        <v>249.10890792982769</v>
      </c>
      <c r="U4" s="140">
        <f t="shared" si="2"/>
        <v>248.72132813258062</v>
      </c>
      <c r="V4" s="140">
        <f t="shared" si="2"/>
        <v>239.44509019272419</v>
      </c>
      <c r="W4" s="140">
        <f t="shared" si="2"/>
        <v>237.13747376223557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17.661683018726062</v>
      </c>
      <c r="D5" s="141">
        <v>0.7106997347067836</v>
      </c>
      <c r="E5" s="141">
        <v>3.2566409805117331</v>
      </c>
      <c r="F5" s="141">
        <v>12.773186329606727</v>
      </c>
      <c r="G5" s="141">
        <v>11.605285623251692</v>
      </c>
      <c r="H5" s="141">
        <v>38.729612072204048</v>
      </c>
      <c r="I5" s="141">
        <v>40.968983062112059</v>
      </c>
      <c r="J5" s="141">
        <v>41.37968503408991</v>
      </c>
      <c r="K5" s="141">
        <v>8.2397062030079375</v>
      </c>
      <c r="L5" s="141">
        <v>8.5005352195367863</v>
      </c>
      <c r="M5" s="141">
        <v>11.035395386531505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50.91248373534853</v>
      </c>
      <c r="D7" s="141">
        <v>59.085740754748414</v>
      </c>
      <c r="E7" s="141">
        <v>61.026059786961035</v>
      </c>
      <c r="F7" s="141">
        <v>66.667312229810747</v>
      </c>
      <c r="G7" s="141">
        <v>30.12992707569461</v>
      </c>
      <c r="H7" s="141">
        <v>72.973133183996026</v>
      </c>
      <c r="I7" s="141">
        <v>13.353641506278016</v>
      </c>
      <c r="J7" s="141">
        <v>32.039067624787577</v>
      </c>
      <c r="K7" s="141">
        <v>7.3941935367065206</v>
      </c>
      <c r="L7" s="141">
        <v>8.761575199200351</v>
      </c>
      <c r="M7" s="141">
        <v>45.883182238259927</v>
      </c>
      <c r="N7" s="141">
        <v>13.463936261706149</v>
      </c>
      <c r="O7" s="141">
        <v>54.958743123927377</v>
      </c>
      <c r="P7" s="141">
        <v>47.760323974938004</v>
      </c>
      <c r="Q7" s="141">
        <v>21.47175516886163</v>
      </c>
      <c r="R7" s="141">
        <v>0</v>
      </c>
      <c r="S7" s="141">
        <v>0</v>
      </c>
      <c r="T7" s="141">
        <v>14.994111525314791</v>
      </c>
      <c r="U7" s="141">
        <v>27.346881626857833</v>
      </c>
      <c r="V7" s="141">
        <v>41.719129080599558</v>
      </c>
      <c r="W7" s="141">
        <v>67.704506484089819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88.884706115114398</v>
      </c>
      <c r="D9" s="141">
        <v>206.43785911706172</v>
      </c>
      <c r="E9" s="141">
        <v>192.06468640685443</v>
      </c>
      <c r="F9" s="141">
        <v>239.94382956161908</v>
      </c>
      <c r="G9" s="141">
        <v>179.26564950240044</v>
      </c>
      <c r="H9" s="141">
        <v>239.74337001198123</v>
      </c>
      <c r="I9" s="141">
        <v>267.79711424912563</v>
      </c>
      <c r="J9" s="141">
        <v>195.96864179807037</v>
      </c>
      <c r="K9" s="141">
        <v>31.865061702075121</v>
      </c>
      <c r="L9" s="141">
        <v>11.910835806178948</v>
      </c>
      <c r="M9" s="141">
        <v>3.7179875007819301</v>
      </c>
      <c r="N9" s="141">
        <v>0</v>
      </c>
      <c r="O9" s="141">
        <v>0</v>
      </c>
      <c r="P9" s="141">
        <v>38.457832585786768</v>
      </c>
      <c r="Q9" s="141">
        <v>96.815978531769446</v>
      </c>
      <c r="R9" s="141">
        <v>66.329358190154565</v>
      </c>
      <c r="S9" s="141">
        <v>119.77854665438598</v>
      </c>
      <c r="T9" s="141">
        <v>109.06071431164438</v>
      </c>
      <c r="U9" s="141">
        <v>99.581075525442884</v>
      </c>
      <c r="V9" s="141">
        <v>78.661074033112612</v>
      </c>
      <c r="W9" s="141">
        <v>67.962253775607678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108.67072775643118</v>
      </c>
      <c r="D10" s="141">
        <v>102.22483916091457</v>
      </c>
      <c r="E10" s="141">
        <v>137.58765434049448</v>
      </c>
      <c r="F10" s="141">
        <v>195.1385915290804</v>
      </c>
      <c r="G10" s="141">
        <v>177.25238814681302</v>
      </c>
      <c r="H10" s="141">
        <v>160.42993067664486</v>
      </c>
      <c r="I10" s="141">
        <v>126.63480700405616</v>
      </c>
      <c r="J10" s="141">
        <v>0</v>
      </c>
      <c r="K10" s="141">
        <v>5.2229267761649112</v>
      </c>
      <c r="L10" s="141">
        <v>10.368959323875481</v>
      </c>
      <c r="M10" s="141">
        <v>80.255306321692274</v>
      </c>
      <c r="N10" s="141">
        <v>20.970307510510843</v>
      </c>
      <c r="O10" s="141">
        <v>65.289597065503997</v>
      </c>
      <c r="P10" s="141">
        <v>30.07121063204174</v>
      </c>
      <c r="Q10" s="141">
        <v>39.756483225222574</v>
      </c>
      <c r="R10" s="141">
        <v>12.19641416173514</v>
      </c>
      <c r="S10" s="141">
        <v>27.774987537587315</v>
      </c>
      <c r="T10" s="141">
        <v>0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248.12019972774252</v>
      </c>
      <c r="D12" s="141">
        <v>125.80024574001941</v>
      </c>
      <c r="E12" s="141">
        <v>192.3164357035437</v>
      </c>
      <c r="F12" s="141">
        <v>214.15146153391194</v>
      </c>
      <c r="G12" s="141">
        <v>165.95167438459578</v>
      </c>
      <c r="H12" s="141">
        <v>339.19076125739127</v>
      </c>
      <c r="I12" s="141">
        <v>475.70850853752029</v>
      </c>
      <c r="J12" s="141">
        <v>358.47652413909077</v>
      </c>
      <c r="K12" s="141">
        <v>55.7776062580797</v>
      </c>
      <c r="L12" s="141">
        <v>34.761216658937435</v>
      </c>
      <c r="M12" s="141">
        <v>178.5603342902092</v>
      </c>
      <c r="N12" s="141">
        <v>17.576208811293149</v>
      </c>
      <c r="O12" s="141">
        <v>109.64955069599441</v>
      </c>
      <c r="P12" s="141">
        <v>100.14882676140397</v>
      </c>
      <c r="Q12" s="141">
        <v>177.22612221498005</v>
      </c>
      <c r="R12" s="141">
        <v>78.202531337300684</v>
      </c>
      <c r="S12" s="141">
        <v>110.1361983660001</v>
      </c>
      <c r="T12" s="141">
        <v>58.112858474818381</v>
      </c>
      <c r="U12" s="141">
        <v>82.025899047293521</v>
      </c>
      <c r="V12" s="141">
        <v>103.570497649871</v>
      </c>
      <c r="W12" s="141">
        <v>94.543838115992045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1.1249193118696669E-3</v>
      </c>
      <c r="D13" s="141">
        <v>4.7516361578155289E-3</v>
      </c>
      <c r="E13" s="141">
        <v>8.3122703181086367E-3</v>
      </c>
      <c r="F13" s="141">
        <v>1.9192945932254107E-2</v>
      </c>
      <c r="G13" s="141">
        <v>3.55824147480856E-2</v>
      </c>
      <c r="H13" s="141">
        <v>0.10049371165328426</v>
      </c>
      <c r="I13" s="141">
        <v>0.24278922522466317</v>
      </c>
      <c r="J13" s="141">
        <v>0.35311561231641653</v>
      </c>
      <c r="K13" s="141">
        <v>0.17001457001798009</v>
      </c>
      <c r="L13" s="141">
        <v>0.25758638211925478</v>
      </c>
      <c r="M13" s="141">
        <v>1.6926099365782898</v>
      </c>
      <c r="N13" s="141">
        <v>0.46232748837479293</v>
      </c>
      <c r="O13" s="141">
        <v>2.5986886469540993</v>
      </c>
      <c r="P13" s="141">
        <v>4.7990376183155528</v>
      </c>
      <c r="Q13" s="141">
        <v>4.7117876847092202</v>
      </c>
      <c r="R13" s="141">
        <v>1.6133813227393961</v>
      </c>
      <c r="S13" s="141">
        <v>1.8696631697836046</v>
      </c>
      <c r="T13" s="141">
        <v>0.9304274248865686</v>
      </c>
      <c r="U13" s="141">
        <v>0.22830042245148255</v>
      </c>
      <c r="V13" s="141">
        <v>0.43899708013348793</v>
      </c>
      <c r="W13" s="141">
        <v>0.86157665691165908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75.243958309979917</v>
      </c>
      <c r="D14" s="142">
        <v>186.88561365152157</v>
      </c>
      <c r="E14" s="142">
        <v>141.01885780584917</v>
      </c>
      <c r="F14" s="142">
        <v>132.54087040392039</v>
      </c>
      <c r="G14" s="142">
        <v>131.09182017851529</v>
      </c>
      <c r="H14" s="142">
        <v>172.10276788785055</v>
      </c>
      <c r="I14" s="142">
        <v>158.40927494455849</v>
      </c>
      <c r="J14" s="142">
        <v>0</v>
      </c>
      <c r="K14" s="142">
        <v>0</v>
      </c>
      <c r="L14" s="142">
        <v>0</v>
      </c>
      <c r="M14" s="142">
        <v>53.990569885972697</v>
      </c>
      <c r="N14" s="142">
        <v>22.771971716035313</v>
      </c>
      <c r="O14" s="142">
        <v>32.819100516579276</v>
      </c>
      <c r="P14" s="142">
        <v>64.943963923439199</v>
      </c>
      <c r="Q14" s="142">
        <v>0</v>
      </c>
      <c r="R14" s="142">
        <v>26.757381149347992</v>
      </c>
      <c r="S14" s="142">
        <v>56.519571199746935</v>
      </c>
      <c r="T14" s="142">
        <v>66.010796193163571</v>
      </c>
      <c r="U14" s="142">
        <v>39.539171510534921</v>
      </c>
      <c r="V14" s="142">
        <v>15.055392349007558</v>
      </c>
      <c r="W14" s="142">
        <v>6.0652987296343692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514.24980035336273</v>
      </c>
      <c r="D15" s="144">
        <f t="shared" si="3"/>
        <v>494.25938450745087</v>
      </c>
      <c r="E15" s="144">
        <f t="shared" si="3"/>
        <v>586.25147721836538</v>
      </c>
      <c r="F15" s="144">
        <f t="shared" si="3"/>
        <v>728.6743811840289</v>
      </c>
      <c r="G15" s="144">
        <f t="shared" si="3"/>
        <v>564.20492473275556</v>
      </c>
      <c r="H15" s="144">
        <f t="shared" si="3"/>
        <v>851.06680720221743</v>
      </c>
      <c r="I15" s="144">
        <f t="shared" si="3"/>
        <v>924.46305435909221</v>
      </c>
      <c r="J15" s="144">
        <f t="shared" si="3"/>
        <v>627.86391859603862</v>
      </c>
      <c r="K15" s="144">
        <f t="shared" si="3"/>
        <v>108.49949447603419</v>
      </c>
      <c r="L15" s="144">
        <f t="shared" si="3"/>
        <v>74.303122207729004</v>
      </c>
      <c r="M15" s="144">
        <f t="shared" si="3"/>
        <v>319.45220573747486</v>
      </c>
      <c r="N15" s="144">
        <f t="shared" si="3"/>
        <v>52.010452583510137</v>
      </c>
      <c r="O15" s="144">
        <f t="shared" si="3"/>
        <v>229.8978908854258</v>
      </c>
      <c r="P15" s="144">
        <f t="shared" si="3"/>
        <v>216.43819395417046</v>
      </c>
      <c r="Q15" s="144">
        <f t="shared" si="3"/>
        <v>335.2703391408337</v>
      </c>
      <c r="R15" s="144">
        <f t="shared" ref="R15:W15" si="4">SUM(R5:R12)</f>
        <v>156.7283036891904</v>
      </c>
      <c r="S15" s="144">
        <f t="shared" si="4"/>
        <v>257.6897325579734</v>
      </c>
      <c r="T15" s="144">
        <f t="shared" si="4"/>
        <v>182.16768431177755</v>
      </c>
      <c r="U15" s="144">
        <f t="shared" si="4"/>
        <v>208.95385619959424</v>
      </c>
      <c r="V15" s="144">
        <f t="shared" si="4"/>
        <v>223.95070076358317</v>
      </c>
      <c r="W15" s="144">
        <f t="shared" si="4"/>
        <v>230.21059837568953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144.30589746945111</v>
      </c>
      <c r="D16" s="140">
        <f t="shared" si="5"/>
        <v>169.11619595421868</v>
      </c>
      <c r="E16" s="140">
        <f t="shared" si="5"/>
        <v>190.3483486823616</v>
      </c>
      <c r="F16" s="140">
        <f t="shared" si="5"/>
        <v>176.58532713011977</v>
      </c>
      <c r="G16" s="140">
        <f t="shared" si="5"/>
        <v>223.716123997995</v>
      </c>
      <c r="H16" s="140">
        <f t="shared" si="5"/>
        <v>237.91013268962823</v>
      </c>
      <c r="I16" s="140">
        <f t="shared" si="5"/>
        <v>290.70780520457663</v>
      </c>
      <c r="J16" s="140">
        <f t="shared" si="5"/>
        <v>288.26344453918227</v>
      </c>
      <c r="K16" s="140">
        <f t="shared" si="5"/>
        <v>108.66950904605216</v>
      </c>
      <c r="L16" s="140">
        <f t="shared" si="5"/>
        <v>74.560708589848261</v>
      </c>
      <c r="M16" s="140">
        <f t="shared" si="5"/>
        <v>270.41606143522625</v>
      </c>
      <c r="N16" s="140">
        <f t="shared" si="5"/>
        <v>75.244751787920237</v>
      </c>
      <c r="O16" s="140">
        <f t="shared" si="5"/>
        <v>265.31568004895917</v>
      </c>
      <c r="P16" s="140">
        <f t="shared" si="5"/>
        <v>286.18119549592518</v>
      </c>
      <c r="Q16" s="140">
        <f t="shared" si="5"/>
        <v>339.98212682554293</v>
      </c>
      <c r="R16" s="140">
        <f t="shared" ref="R16:W16" si="6">SUM(R17:R18)</f>
        <v>185.09906616127776</v>
      </c>
      <c r="S16" s="140">
        <f t="shared" si="6"/>
        <v>316.07896692750393</v>
      </c>
      <c r="T16" s="140">
        <f t="shared" si="6"/>
        <v>249.10890792982769</v>
      </c>
      <c r="U16" s="140">
        <f t="shared" si="6"/>
        <v>248.72132813258062</v>
      </c>
      <c r="V16" s="140">
        <f t="shared" si="6"/>
        <v>239.44509019272419</v>
      </c>
      <c r="W16" s="140">
        <f t="shared" si="6"/>
        <v>237.13747376223554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144.30589746945111</v>
      </c>
      <c r="D18" s="141">
        <v>169.11619595421868</v>
      </c>
      <c r="E18" s="141">
        <v>190.3483486823616</v>
      </c>
      <c r="F18" s="141">
        <v>176.58532713011977</v>
      </c>
      <c r="G18" s="141">
        <v>223.716123997995</v>
      </c>
      <c r="H18" s="141">
        <v>237.91013268962823</v>
      </c>
      <c r="I18" s="141">
        <v>290.70780520457663</v>
      </c>
      <c r="J18" s="141">
        <v>288.26344453918227</v>
      </c>
      <c r="K18" s="141">
        <v>108.66950904605216</v>
      </c>
      <c r="L18" s="141">
        <v>74.560708589848261</v>
      </c>
      <c r="M18" s="141">
        <v>270.41606143522625</v>
      </c>
      <c r="N18" s="141">
        <v>75.244751787920237</v>
      </c>
      <c r="O18" s="141">
        <v>265.31568004895917</v>
      </c>
      <c r="P18" s="141">
        <v>286.18119549592518</v>
      </c>
      <c r="Q18" s="141">
        <v>339.98212682554293</v>
      </c>
      <c r="R18" s="141">
        <v>185.09906616127776</v>
      </c>
      <c r="S18" s="141">
        <v>316.07896692750393</v>
      </c>
      <c r="T18" s="141">
        <v>249.10890792982769</v>
      </c>
      <c r="U18" s="141">
        <v>248.72132813258062</v>
      </c>
      <c r="V18" s="141">
        <v>239.44509019272419</v>
      </c>
      <c r="W18" s="141">
        <v>237.13747376223554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589.49488358265432</v>
      </c>
      <c r="D19" s="140">
        <f t="shared" si="7"/>
        <v>681.14974979513011</v>
      </c>
      <c r="E19" s="140">
        <f t="shared" si="7"/>
        <v>727.27864729453268</v>
      </c>
      <c r="F19" s="140">
        <f t="shared" si="7"/>
        <v>861.23444453388151</v>
      </c>
      <c r="G19" s="140">
        <f t="shared" si="7"/>
        <v>695.3323273260188</v>
      </c>
      <c r="H19" s="140">
        <f t="shared" si="7"/>
        <v>1023.2700688017212</v>
      </c>
      <c r="I19" s="140">
        <f t="shared" si="7"/>
        <v>1083.115118528875</v>
      </c>
      <c r="J19" s="140">
        <f t="shared" si="7"/>
        <v>628.21703420835513</v>
      </c>
      <c r="K19" s="140">
        <f t="shared" si="7"/>
        <v>108.66950904605216</v>
      </c>
      <c r="L19" s="140">
        <f t="shared" si="7"/>
        <v>74.560708589848261</v>
      </c>
      <c r="M19" s="140">
        <f t="shared" si="7"/>
        <v>375.13538556002584</v>
      </c>
      <c r="N19" s="140">
        <f t="shared" si="7"/>
        <v>75.244751787920251</v>
      </c>
      <c r="O19" s="140">
        <f t="shared" si="7"/>
        <v>265.31568004895917</v>
      </c>
      <c r="P19" s="140">
        <f t="shared" si="7"/>
        <v>286.18119549592518</v>
      </c>
      <c r="Q19" s="140">
        <f t="shared" si="7"/>
        <v>339.98212682554288</v>
      </c>
      <c r="R19" s="140">
        <f t="shared" ref="R19:W19" si="8">SUM(R20:R26)</f>
        <v>185.09906616127776</v>
      </c>
      <c r="S19" s="140">
        <f t="shared" si="8"/>
        <v>316.07896692750393</v>
      </c>
      <c r="T19" s="140">
        <f t="shared" si="8"/>
        <v>249.10890792982769</v>
      </c>
      <c r="U19" s="140">
        <f t="shared" si="8"/>
        <v>248.72132813258062</v>
      </c>
      <c r="V19" s="140">
        <f t="shared" si="8"/>
        <v>239.44509019272419</v>
      </c>
      <c r="W19" s="140">
        <f t="shared" si="8"/>
        <v>237.13747376223552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40.869788029793085</v>
      </c>
      <c r="D22" s="141">
        <v>52.089200817374284</v>
      </c>
      <c r="E22" s="141">
        <v>49.782819422260729</v>
      </c>
      <c r="F22" s="141">
        <v>51.327523241614891</v>
      </c>
      <c r="G22" s="141">
        <v>45.966621467852484</v>
      </c>
      <c r="H22" s="141">
        <v>58.663252303981267</v>
      </c>
      <c r="I22" s="141">
        <v>51.591064314251547</v>
      </c>
      <c r="J22" s="141">
        <v>39.747294433701626</v>
      </c>
      <c r="K22" s="141">
        <v>7.6129886085406859</v>
      </c>
      <c r="L22" s="141">
        <v>6.9707394229209712</v>
      </c>
      <c r="M22" s="141">
        <v>28.019372521868871</v>
      </c>
      <c r="N22" s="141">
        <v>8.0651291268417218</v>
      </c>
      <c r="O22" s="141">
        <v>22.188907125055625</v>
      </c>
      <c r="P22" s="141">
        <v>20.445979377597933</v>
      </c>
      <c r="Q22" s="141">
        <v>16.790779127641226</v>
      </c>
      <c r="R22" s="141">
        <v>7.8867554067819903</v>
      </c>
      <c r="S22" s="141">
        <v>10.793259905382101</v>
      </c>
      <c r="T22" s="141">
        <v>7.6996032828616219</v>
      </c>
      <c r="U22" s="141">
        <v>6.4019161005984371</v>
      </c>
      <c r="V22" s="141">
        <v>5.8555498220932209</v>
      </c>
      <c r="W22" s="141">
        <v>9.9135206740609476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61.473571362033745</v>
      </c>
      <c r="D23" s="141">
        <v>105.80583237161441</v>
      </c>
      <c r="E23" s="141">
        <v>102.53133373719197</v>
      </c>
      <c r="F23" s="141">
        <v>112.20767644326044</v>
      </c>
      <c r="G23" s="141">
        <v>102.3433696328771</v>
      </c>
      <c r="H23" s="141">
        <v>130.48237235267675</v>
      </c>
      <c r="I23" s="141">
        <v>151.05519180254933</v>
      </c>
      <c r="J23" s="141">
        <v>125.87865461202155</v>
      </c>
      <c r="K23" s="141">
        <v>24.424982442922651</v>
      </c>
      <c r="L23" s="141">
        <v>14.748074698594158</v>
      </c>
      <c r="M23" s="141">
        <v>46.077147266667573</v>
      </c>
      <c r="N23" s="141">
        <v>11.857784037868393</v>
      </c>
      <c r="O23" s="141">
        <v>34.9374275274102</v>
      </c>
      <c r="P23" s="141">
        <v>49.740804145219151</v>
      </c>
      <c r="Q23" s="141">
        <v>53.56014603421395</v>
      </c>
      <c r="R23" s="141">
        <v>31.728394980461822</v>
      </c>
      <c r="S23" s="141">
        <v>51.600463576023245</v>
      </c>
      <c r="T23" s="141">
        <v>49.059446259097179</v>
      </c>
      <c r="U23" s="141">
        <v>55.231982280180915</v>
      </c>
      <c r="V23" s="141">
        <v>63.353601106806238</v>
      </c>
      <c r="W23" s="141">
        <v>40.799878032297038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65.864789210979168</v>
      </c>
      <c r="D24" s="141">
        <v>80.42159853939151</v>
      </c>
      <c r="E24" s="141">
        <v>97.83121364849768</v>
      </c>
      <c r="F24" s="141">
        <v>139.73679448066255</v>
      </c>
      <c r="G24" s="141">
        <v>124.94163360736863</v>
      </c>
      <c r="H24" s="141">
        <v>133.36355126956593</v>
      </c>
      <c r="I24" s="141">
        <v>117.33553220079158</v>
      </c>
      <c r="J24" s="141">
        <v>76.107588912902642</v>
      </c>
      <c r="K24" s="141">
        <v>18.357993522409821</v>
      </c>
      <c r="L24" s="141">
        <v>15.529570835490524</v>
      </c>
      <c r="M24" s="141">
        <v>60.152538600082913</v>
      </c>
      <c r="N24" s="141">
        <v>14.987203711188981</v>
      </c>
      <c r="O24" s="141">
        <v>42.139725092617297</v>
      </c>
      <c r="P24" s="141">
        <v>41.824692510906189</v>
      </c>
      <c r="Q24" s="141">
        <v>40.551343304369048</v>
      </c>
      <c r="R24" s="141">
        <v>13.061707448119453</v>
      </c>
      <c r="S24" s="141">
        <v>17.965600401672944</v>
      </c>
      <c r="T24" s="141">
        <v>0</v>
      </c>
      <c r="U24" s="141">
        <v>0</v>
      </c>
      <c r="V24" s="141">
        <v>4.6145944245083079</v>
      </c>
      <c r="W24" s="141">
        <v>29.003957242681711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237.76537641957614</v>
      </c>
      <c r="D25" s="141">
        <v>212.73334824405509</v>
      </c>
      <c r="E25" s="141">
        <v>209.58479708495076</v>
      </c>
      <c r="F25" s="141">
        <v>244.06959691439641</v>
      </c>
      <c r="G25" s="141">
        <v>127.64150936028254</v>
      </c>
      <c r="H25" s="141">
        <v>282.4957206264022</v>
      </c>
      <c r="I25" s="141">
        <v>224.41341598241056</v>
      </c>
      <c r="J25" s="141">
        <v>150.81138501606998</v>
      </c>
      <c r="K25" s="141">
        <v>39.923882788032302</v>
      </c>
      <c r="L25" s="141">
        <v>33.295834156067855</v>
      </c>
      <c r="M25" s="141">
        <v>134.31857229998212</v>
      </c>
      <c r="N25" s="141">
        <v>34.088880983814811</v>
      </c>
      <c r="O25" s="141">
        <v>98.298530655189268</v>
      </c>
      <c r="P25" s="141">
        <v>102.19262241695256</v>
      </c>
      <c r="Q25" s="141">
        <v>141.12100037162807</v>
      </c>
      <c r="R25" s="141">
        <v>56.137696112658716</v>
      </c>
      <c r="S25" s="141">
        <v>107.75319472988541</v>
      </c>
      <c r="T25" s="141">
        <v>76.443906859248173</v>
      </c>
      <c r="U25" s="141">
        <v>92.17793697101736</v>
      </c>
      <c r="V25" s="141">
        <v>95.096843146278005</v>
      </c>
      <c r="W25" s="141">
        <v>89.02618217641313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183.52135856027226</v>
      </c>
      <c r="D26" s="142">
        <v>230.09976982269487</v>
      </c>
      <c r="E26" s="142">
        <v>267.54848340163153</v>
      </c>
      <c r="F26" s="142">
        <v>313.89285345394723</v>
      </c>
      <c r="G26" s="142">
        <v>294.43919325763801</v>
      </c>
      <c r="H26" s="142">
        <v>418.26517224909509</v>
      </c>
      <c r="I26" s="142">
        <v>538.71991422887209</v>
      </c>
      <c r="J26" s="142">
        <v>235.67211123365928</v>
      </c>
      <c r="K26" s="142">
        <v>18.3496616841467</v>
      </c>
      <c r="L26" s="142">
        <v>4.0164894767747512</v>
      </c>
      <c r="M26" s="142">
        <v>106.56775487142437</v>
      </c>
      <c r="N26" s="142">
        <v>6.2457539282063355</v>
      </c>
      <c r="O26" s="142">
        <v>67.751089648686758</v>
      </c>
      <c r="P26" s="142">
        <v>71.977097045249351</v>
      </c>
      <c r="Q26" s="142">
        <v>87.958857987690607</v>
      </c>
      <c r="R26" s="142">
        <v>76.28451221325578</v>
      </c>
      <c r="S26" s="142">
        <v>127.96644831454024</v>
      </c>
      <c r="T26" s="142">
        <v>115.90595152862073</v>
      </c>
      <c r="U26" s="142">
        <v>94.909492780783921</v>
      </c>
      <c r="V26" s="142">
        <v>70.524501693038417</v>
      </c>
      <c r="W26" s="142">
        <v>68.3939356367827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589.49488358265444</v>
      </c>
      <c r="D29" s="140">
        <f t="shared" si="9"/>
        <v>681.14974979513022</v>
      </c>
      <c r="E29" s="140">
        <f t="shared" si="9"/>
        <v>727.27864729453256</v>
      </c>
      <c r="F29" s="140">
        <f t="shared" si="9"/>
        <v>861.23444453388163</v>
      </c>
      <c r="G29" s="140">
        <f t="shared" si="9"/>
        <v>695.3323273260188</v>
      </c>
      <c r="H29" s="140">
        <f t="shared" si="9"/>
        <v>1023.2700688017214</v>
      </c>
      <c r="I29" s="140">
        <f t="shared" si="9"/>
        <v>1083.1151185288752</v>
      </c>
      <c r="J29" s="140">
        <f t="shared" si="9"/>
        <v>628.21703420835502</v>
      </c>
      <c r="K29" s="140">
        <f t="shared" si="9"/>
        <v>108.66950904605217</v>
      </c>
      <c r="L29" s="140">
        <f t="shared" si="9"/>
        <v>74.560708589848261</v>
      </c>
      <c r="M29" s="140">
        <f t="shared" si="9"/>
        <v>375.13538556002584</v>
      </c>
      <c r="N29" s="140">
        <f t="shared" si="9"/>
        <v>75.244751787920237</v>
      </c>
      <c r="O29" s="140">
        <f t="shared" si="9"/>
        <v>265.31568004895922</v>
      </c>
      <c r="P29" s="140">
        <f t="shared" si="9"/>
        <v>286.18119549592518</v>
      </c>
      <c r="Q29" s="140">
        <f t="shared" si="9"/>
        <v>339.98212682554288</v>
      </c>
      <c r="R29" s="140">
        <f t="shared" ref="R29:W29" si="10">SUM(R30:R33)</f>
        <v>185.09906616127779</v>
      </c>
      <c r="S29" s="140">
        <f t="shared" si="10"/>
        <v>316.07896692750387</v>
      </c>
      <c r="T29" s="140">
        <f t="shared" si="10"/>
        <v>249.10890792982769</v>
      </c>
      <c r="U29" s="140">
        <f t="shared" si="10"/>
        <v>248.72132813258062</v>
      </c>
      <c r="V29" s="140">
        <f t="shared" si="10"/>
        <v>239.44509019272419</v>
      </c>
      <c r="W29" s="140">
        <f t="shared" si="10"/>
        <v>237.13747376223552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105.07297929610772</v>
      </c>
      <c r="D30" s="141">
        <v>70.39377007437011</v>
      </c>
      <c r="E30" s="141">
        <v>107.6245730289197</v>
      </c>
      <c r="F30" s="141">
        <v>16.110819069165903</v>
      </c>
      <c r="G30" s="141">
        <v>15.474130316734833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9.7864873555143941</v>
      </c>
      <c r="O30" s="141">
        <v>31.019271300873594</v>
      </c>
      <c r="P30" s="141">
        <v>41.797273197002703</v>
      </c>
      <c r="Q30" s="141">
        <v>50.947562665966281</v>
      </c>
      <c r="R30" s="141">
        <v>35.65166860297338</v>
      </c>
      <c r="S30" s="141">
        <v>45.99413382661961</v>
      </c>
      <c r="T30" s="141">
        <v>3.1020447946422838</v>
      </c>
      <c r="U30" s="141">
        <v>0</v>
      </c>
      <c r="V30" s="141">
        <v>0</v>
      </c>
      <c r="W30" s="141">
        <v>0.97419426068493797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238.29896833497114</v>
      </c>
      <c r="D31" s="141">
        <v>245.44752342226559</v>
      </c>
      <c r="E31" s="141">
        <v>188.08339038571998</v>
      </c>
      <c r="F31" s="141">
        <v>169.42315803599593</v>
      </c>
      <c r="G31" s="141">
        <v>121.62583255020681</v>
      </c>
      <c r="H31" s="141">
        <v>177.47350887318404</v>
      </c>
      <c r="I31" s="141">
        <v>222.96050664797315</v>
      </c>
      <c r="J31" s="141">
        <v>150.44342500327821</v>
      </c>
      <c r="K31" s="141">
        <v>28.017020390494011</v>
      </c>
      <c r="L31" s="141">
        <v>13.171241135002647</v>
      </c>
      <c r="M31" s="141">
        <v>15.492159582491112</v>
      </c>
      <c r="N31" s="141">
        <v>0</v>
      </c>
      <c r="O31" s="141">
        <v>27.072257729461196</v>
      </c>
      <c r="P31" s="141">
        <v>55.068415909672844</v>
      </c>
      <c r="Q31" s="141">
        <v>82.893490813750617</v>
      </c>
      <c r="R31" s="141">
        <v>66.476953715854933</v>
      </c>
      <c r="S31" s="141">
        <v>114.88462835487574</v>
      </c>
      <c r="T31" s="141">
        <v>99.058310425230857</v>
      </c>
      <c r="U31" s="141">
        <v>92.512308937028735</v>
      </c>
      <c r="V31" s="141">
        <v>97.331912868958042</v>
      </c>
      <c r="W31" s="141">
        <v>53.608510837075862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246.12293595157561</v>
      </c>
      <c r="D33" s="153">
        <v>365.30845629849449</v>
      </c>
      <c r="E33" s="153">
        <v>431.5706838798929</v>
      </c>
      <c r="F33" s="153">
        <v>675.70046742871978</v>
      </c>
      <c r="G33" s="153">
        <v>558.23236445907719</v>
      </c>
      <c r="H33" s="153">
        <v>845.79655992853736</v>
      </c>
      <c r="I33" s="153">
        <v>860.15461188090205</v>
      </c>
      <c r="J33" s="153">
        <v>477.77360920507687</v>
      </c>
      <c r="K33" s="153">
        <v>80.652488655558159</v>
      </c>
      <c r="L33" s="153">
        <v>61.389467454845608</v>
      </c>
      <c r="M33" s="153">
        <v>359.64322597753471</v>
      </c>
      <c r="N33" s="153">
        <v>65.458264432405841</v>
      </c>
      <c r="O33" s="153">
        <v>207.22415101862441</v>
      </c>
      <c r="P33" s="153">
        <v>189.31550638924963</v>
      </c>
      <c r="Q33" s="153">
        <v>206.14107334582599</v>
      </c>
      <c r="R33" s="153">
        <v>82.970443842449455</v>
      </c>
      <c r="S33" s="153">
        <v>155.20020474600855</v>
      </c>
      <c r="T33" s="153">
        <v>146.94855270995455</v>
      </c>
      <c r="U33" s="153">
        <v>156.20901919555189</v>
      </c>
      <c r="V33" s="153">
        <v>142.11317732376617</v>
      </c>
      <c r="W33" s="153">
        <v>182.55476866447472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18.216269161959797</v>
      </c>
      <c r="D3" s="126">
        <f t="shared" si="0"/>
        <v>22.269947390938874</v>
      </c>
      <c r="E3" s="126">
        <f t="shared" si="0"/>
        <v>23.218615112568134</v>
      </c>
      <c r="F3" s="126">
        <f t="shared" si="0"/>
        <v>27.249373576822212</v>
      </c>
      <c r="G3" s="126">
        <f t="shared" si="0"/>
        <v>20.427903675749167</v>
      </c>
      <c r="H3" s="126">
        <f t="shared" si="0"/>
        <v>29.016570949002084</v>
      </c>
      <c r="I3" s="126">
        <f t="shared" si="0"/>
        <v>29.661319154043476</v>
      </c>
      <c r="J3" s="126">
        <f t="shared" si="0"/>
        <v>14.421227590069567</v>
      </c>
      <c r="K3" s="126">
        <f t="shared" si="0"/>
        <v>2.3577470966303382</v>
      </c>
      <c r="L3" s="126">
        <f t="shared" si="0"/>
        <v>1.6979371834615955</v>
      </c>
      <c r="M3" s="126">
        <f t="shared" si="0"/>
        <v>7.1285466345433646</v>
      </c>
      <c r="N3" s="126">
        <f t="shared" si="0"/>
        <v>1.7646454958654794</v>
      </c>
      <c r="O3" s="126">
        <f t="shared" si="0"/>
        <v>5.5356144588270402</v>
      </c>
      <c r="P3" s="126">
        <f t="shared" si="0"/>
        <v>5.4923430865000507</v>
      </c>
      <c r="Q3" s="126">
        <f t="shared" si="0"/>
        <v>5.7711975259718837</v>
      </c>
      <c r="R3" s="126">
        <f t="shared" ref="R3:W3" si="1">SUM(R4,R16,R19,R29)</f>
        <v>3.1201888094992896</v>
      </c>
      <c r="S3" s="126">
        <f t="shared" si="1"/>
        <v>5.1979763920510322</v>
      </c>
      <c r="T3" s="126">
        <f t="shared" si="1"/>
        <v>3.7304416125883311</v>
      </c>
      <c r="U3" s="126">
        <f t="shared" si="1"/>
        <v>3.3722684896671624</v>
      </c>
      <c r="V3" s="126">
        <f t="shared" si="1"/>
        <v>2.9589728285636863</v>
      </c>
      <c r="W3" s="126">
        <f t="shared" si="1"/>
        <v>2.9151309842312818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13.826535751936092</v>
      </c>
      <c r="D4" s="131">
        <f t="shared" si="2"/>
        <v>17.787854296727279</v>
      </c>
      <c r="E4" s="131">
        <f t="shared" si="2"/>
        <v>18.447024070630246</v>
      </c>
      <c r="F4" s="131">
        <f t="shared" si="2"/>
        <v>21.914709350674265</v>
      </c>
      <c r="G4" s="131">
        <f t="shared" si="2"/>
        <v>16.105437143445528</v>
      </c>
      <c r="H4" s="131">
        <f t="shared" si="2"/>
        <v>22.85142563858269</v>
      </c>
      <c r="I4" s="131">
        <f t="shared" si="2"/>
        <v>23.28791269630452</v>
      </c>
      <c r="J4" s="131">
        <f t="shared" si="2"/>
        <v>10.650972221194191</v>
      </c>
      <c r="K4" s="131">
        <f t="shared" si="2"/>
        <v>1.676413594168279</v>
      </c>
      <c r="L4" s="131">
        <f t="shared" si="2"/>
        <v>1.2414303086053922</v>
      </c>
      <c r="M4" s="131">
        <f t="shared" si="2"/>
        <v>4.9633200763104028</v>
      </c>
      <c r="N4" s="131">
        <f t="shared" si="2"/>
        <v>1.3187674170746007</v>
      </c>
      <c r="O4" s="131">
        <f t="shared" si="2"/>
        <v>3.9797528429595594</v>
      </c>
      <c r="P4" s="131">
        <f t="shared" si="2"/>
        <v>3.827410489468321</v>
      </c>
      <c r="Q4" s="131">
        <f t="shared" si="2"/>
        <v>3.8774278719733881</v>
      </c>
      <c r="R4" s="131">
        <f t="shared" ref="R4:W4" si="3">SUM(R5:R15)</f>
        <v>2.0604412030473602</v>
      </c>
      <c r="S4" s="131">
        <f t="shared" si="3"/>
        <v>3.4196614955402773</v>
      </c>
      <c r="T4" s="131">
        <f t="shared" si="3"/>
        <v>2.4029426627535941</v>
      </c>
      <c r="U4" s="131">
        <f t="shared" si="3"/>
        <v>2.0991892604462548</v>
      </c>
      <c r="V4" s="131">
        <f t="shared" si="3"/>
        <v>1.8282282173113715</v>
      </c>
      <c r="W4" s="131">
        <f t="shared" si="3"/>
        <v>1.7946956438442727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0.47479036957306014</v>
      </c>
      <c r="D5" s="133">
        <v>1.890087300857278E-2</v>
      </c>
      <c r="E5" s="133">
        <v>8.4881655740253595E-2</v>
      </c>
      <c r="F5" s="133">
        <v>0.33560933528590958</v>
      </c>
      <c r="G5" s="133">
        <v>0.25921710474773946</v>
      </c>
      <c r="H5" s="133">
        <v>0.89921722122336123</v>
      </c>
      <c r="I5" s="133">
        <v>0.9458907747024069</v>
      </c>
      <c r="J5" s="133">
        <v>0.80318252221528885</v>
      </c>
      <c r="K5" s="133">
        <v>0.1173580571684088</v>
      </c>
      <c r="L5" s="133">
        <v>0.16206986946529281</v>
      </c>
      <c r="M5" s="133">
        <v>0.19493665624664402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1.5966162013872365</v>
      </c>
      <c r="D7" s="133">
        <v>1.7546011380252708</v>
      </c>
      <c r="E7" s="133">
        <v>1.911174365019199</v>
      </c>
      <c r="F7" s="133">
        <v>2.0721898771016671</v>
      </c>
      <c r="G7" s="133">
        <v>0.73140839277366054</v>
      </c>
      <c r="H7" s="133">
        <v>2.2433835024646744</v>
      </c>
      <c r="I7" s="133">
        <v>0.33160959210056934</v>
      </c>
      <c r="J7" s="133">
        <v>0.65804990317747714</v>
      </c>
      <c r="K7" s="133">
        <v>0.1408044961020786</v>
      </c>
      <c r="L7" s="133">
        <v>0.16109355467220721</v>
      </c>
      <c r="M7" s="133">
        <v>0.67181374789869586</v>
      </c>
      <c r="N7" s="133">
        <v>0.24026235373693919</v>
      </c>
      <c r="O7" s="133">
        <v>0.86692197688115091</v>
      </c>
      <c r="P7" s="133">
        <v>0.71078070360795675</v>
      </c>
      <c r="Q7" s="133">
        <v>0.31109907046890806</v>
      </c>
      <c r="R7" s="133">
        <v>0</v>
      </c>
      <c r="S7" s="133">
        <v>0</v>
      </c>
      <c r="T7" s="133">
        <v>0.16378320969461244</v>
      </c>
      <c r="U7" s="133">
        <v>0.21066655660173469</v>
      </c>
      <c r="V7" s="133">
        <v>0.32741882736578692</v>
      </c>
      <c r="W7" s="133">
        <v>0.58598594283821592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2.0516150033693696</v>
      </c>
      <c r="D9" s="133">
        <v>5.7786046648313025</v>
      </c>
      <c r="E9" s="133">
        <v>5.0044902194090897</v>
      </c>
      <c r="F9" s="133">
        <v>6.4633384684430473</v>
      </c>
      <c r="G9" s="133">
        <v>4.3184567065126611</v>
      </c>
      <c r="H9" s="133">
        <v>5.5626617167293499</v>
      </c>
      <c r="I9" s="133">
        <v>6.1637052985893419</v>
      </c>
      <c r="J9" s="133">
        <v>3.8766565850491599</v>
      </c>
      <c r="K9" s="133">
        <v>0.54273230281707641</v>
      </c>
      <c r="L9" s="133">
        <v>0.20665638424147872</v>
      </c>
      <c r="M9" s="133">
        <v>5.716396974675194E-2</v>
      </c>
      <c r="N9" s="133">
        <v>0</v>
      </c>
      <c r="O9" s="133">
        <v>0</v>
      </c>
      <c r="P9" s="133">
        <v>0.52538622877224883</v>
      </c>
      <c r="Q9" s="133">
        <v>1.1279628265528854</v>
      </c>
      <c r="R9" s="133">
        <v>0.75984524172042989</v>
      </c>
      <c r="S9" s="133">
        <v>1.3187277571764922</v>
      </c>
      <c r="T9" s="133">
        <v>1.1030203678758963</v>
      </c>
      <c r="U9" s="133">
        <v>0.92872800845998371</v>
      </c>
      <c r="V9" s="133">
        <v>0.65516432790360812</v>
      </c>
      <c r="W9" s="133">
        <v>0.50510509738425691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3.3206945520327529</v>
      </c>
      <c r="D10" s="133">
        <v>2.9959702579300598</v>
      </c>
      <c r="E10" s="133">
        <v>3.9047105652296517</v>
      </c>
      <c r="F10" s="133">
        <v>5.9417520393733323</v>
      </c>
      <c r="G10" s="133">
        <v>4.88430418310028</v>
      </c>
      <c r="H10" s="133">
        <v>4.4632119879165977</v>
      </c>
      <c r="I10" s="133">
        <v>4.0595010439309398</v>
      </c>
      <c r="J10" s="133">
        <v>0</v>
      </c>
      <c r="K10" s="133">
        <v>0.10234771139239798</v>
      </c>
      <c r="L10" s="133">
        <v>0.21374175986515409</v>
      </c>
      <c r="M10" s="133">
        <v>1.3114501155759273</v>
      </c>
      <c r="N10" s="133">
        <v>0.44899015646165025</v>
      </c>
      <c r="O10" s="133">
        <v>1.3172000263234849</v>
      </c>
      <c r="P10" s="133">
        <v>0.52696237429136494</v>
      </c>
      <c r="Q10" s="133">
        <v>0.64355069912060126</v>
      </c>
      <c r="R10" s="133">
        <v>0.18962200488891623</v>
      </c>
      <c r="S10" s="133">
        <v>0.45377454779529919</v>
      </c>
      <c r="T10" s="133">
        <v>0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5.1658162143434279</v>
      </c>
      <c r="D12" s="133">
        <v>2.5318710721636708</v>
      </c>
      <c r="E12" s="133">
        <v>3.9747190223731463</v>
      </c>
      <c r="F12" s="133">
        <v>4.1133445641943416</v>
      </c>
      <c r="G12" s="133">
        <v>3.1904373811889601</v>
      </c>
      <c r="H12" s="133">
        <v>6.2882532057753382</v>
      </c>
      <c r="I12" s="133">
        <v>7.8741867433039427</v>
      </c>
      <c r="J12" s="133">
        <v>5.2400952998339987</v>
      </c>
      <c r="K12" s="133">
        <v>0.76151994308261062</v>
      </c>
      <c r="L12" s="133">
        <v>0.48959333259178345</v>
      </c>
      <c r="M12" s="133">
        <v>2.0457049433993264</v>
      </c>
      <c r="N12" s="133">
        <v>0.23817450969809717</v>
      </c>
      <c r="O12" s="133">
        <v>1.3675346340067631</v>
      </c>
      <c r="P12" s="133">
        <v>1.1130207302900337</v>
      </c>
      <c r="Q12" s="133">
        <v>1.7550162879767857</v>
      </c>
      <c r="R12" s="133">
        <v>0.82187089530871671</v>
      </c>
      <c r="S12" s="133">
        <v>1.0856400547710918</v>
      </c>
      <c r="T12" s="133">
        <v>0.48846279474694809</v>
      </c>
      <c r="U12" s="133">
        <v>0.61218099252939906</v>
      </c>
      <c r="V12" s="133">
        <v>0.72567706183486491</v>
      </c>
      <c r="W12" s="133">
        <v>0.64751081872695815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4.5811426086424445E-6</v>
      </c>
      <c r="D13" s="133">
        <v>4.1964126444964694E-5</v>
      </c>
      <c r="E13" s="133">
        <v>6.2580462862550765E-5</v>
      </c>
      <c r="F13" s="133">
        <v>1.3147323855674682E-4</v>
      </c>
      <c r="G13" s="133">
        <v>2.2288862853275218E-4</v>
      </c>
      <c r="H13" s="133">
        <v>5.6114856920136055E-4</v>
      </c>
      <c r="I13" s="133">
        <v>1.1665787604579305E-3</v>
      </c>
      <c r="J13" s="133">
        <v>1.4550990288235697E-3</v>
      </c>
      <c r="K13" s="133">
        <v>6.0131006193133373E-4</v>
      </c>
      <c r="L13" s="133">
        <v>9.0944057164861426E-4</v>
      </c>
      <c r="M13" s="133">
        <v>6.1696779786848607E-3</v>
      </c>
      <c r="N13" s="133">
        <v>1.5668410021820334E-3</v>
      </c>
      <c r="O13" s="133">
        <v>9.1824567493916532E-3</v>
      </c>
      <c r="P13" s="133">
        <v>1.5819623789607735E-2</v>
      </c>
      <c r="Q13" s="133">
        <v>1.4338696240361033E-2</v>
      </c>
      <c r="R13" s="133">
        <v>4.5654949890821207E-3</v>
      </c>
      <c r="S13" s="133">
        <v>5.1286323470270097E-3</v>
      </c>
      <c r="T13" s="133">
        <v>2.2427077538909705E-3</v>
      </c>
      <c r="U13" s="133">
        <v>5.0773072254222719E-4</v>
      </c>
      <c r="V13" s="133">
        <v>8.8017003465198983E-4</v>
      </c>
      <c r="W13" s="133">
        <v>1.0130509713369166E-3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1.1381612173047562</v>
      </c>
      <c r="D14" s="65">
        <v>4.6007390363876226</v>
      </c>
      <c r="E14" s="65">
        <v>3.4576298086029897</v>
      </c>
      <c r="F14" s="65">
        <v>2.8502538804529358</v>
      </c>
      <c r="G14" s="65">
        <v>2.6299918276477952</v>
      </c>
      <c r="H14" s="65">
        <v>3.2625315722343107</v>
      </c>
      <c r="I14" s="65">
        <v>3.7889722250562223</v>
      </c>
      <c r="J14" s="65">
        <v>0</v>
      </c>
      <c r="K14" s="65">
        <v>0</v>
      </c>
      <c r="L14" s="65">
        <v>0</v>
      </c>
      <c r="M14" s="65">
        <v>0.65491396273030456</v>
      </c>
      <c r="N14" s="65">
        <v>0.38454328976379176</v>
      </c>
      <c r="O14" s="65">
        <v>0.39936227852351719</v>
      </c>
      <c r="P14" s="65">
        <v>0.91551592049799246</v>
      </c>
      <c r="Q14" s="65">
        <v>0</v>
      </c>
      <c r="R14" s="65">
        <v>0.2720000291217855</v>
      </c>
      <c r="S14" s="65">
        <v>0.53519553603521042</v>
      </c>
      <c r="T14" s="65">
        <v>0.6288224430074314</v>
      </c>
      <c r="U14" s="65">
        <v>0.3315245252134994</v>
      </c>
      <c r="V14" s="65">
        <v>0.10492877930155985</v>
      </c>
      <c r="W14" s="65">
        <v>3.9900886615663475E-2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7.8837612782880512E-2</v>
      </c>
      <c r="D15" s="135">
        <v>0.10712529025433504</v>
      </c>
      <c r="E15" s="135">
        <v>0.10935585379305282</v>
      </c>
      <c r="F15" s="135">
        <v>0.13808971258447333</v>
      </c>
      <c r="G15" s="135">
        <v>9.1398658845896694E-2</v>
      </c>
      <c r="H15" s="135">
        <v>0.13160528366985444</v>
      </c>
      <c r="I15" s="135">
        <v>0.12288043986064157</v>
      </c>
      <c r="J15" s="135">
        <v>7.1532811889443035E-2</v>
      </c>
      <c r="K15" s="135">
        <v>1.1049773543775291E-2</v>
      </c>
      <c r="L15" s="135">
        <v>7.3659671978273918E-3</v>
      </c>
      <c r="M15" s="135">
        <v>2.1167002734067374E-2</v>
      </c>
      <c r="N15" s="135">
        <v>5.2302664119401173E-3</v>
      </c>
      <c r="O15" s="135">
        <v>1.9551470475251465E-2</v>
      </c>
      <c r="P15" s="135">
        <v>1.9924908219116414E-2</v>
      </c>
      <c r="Q15" s="135">
        <v>2.5460291613847101E-2</v>
      </c>
      <c r="R15" s="135">
        <v>1.2537537018429905E-2</v>
      </c>
      <c r="S15" s="135">
        <v>2.1194967415156373E-2</v>
      </c>
      <c r="T15" s="135">
        <v>1.6611139674815641E-2</v>
      </c>
      <c r="U15" s="135">
        <v>1.5581446919095649E-2</v>
      </c>
      <c r="V15" s="135">
        <v>1.4159050870899826E-2</v>
      </c>
      <c r="W15" s="135">
        <v>1.5179847307841315E-2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9.0344608839782861E-2</v>
      </c>
      <c r="D16" s="131">
        <f t="shared" si="4"/>
        <v>0.10533241712682821</v>
      </c>
      <c r="E16" s="131">
        <f t="shared" si="4"/>
        <v>0.10967742530767072</v>
      </c>
      <c r="F16" s="131">
        <f t="shared" si="4"/>
        <v>9.5201325861070094E-2</v>
      </c>
      <c r="G16" s="131">
        <f t="shared" si="4"/>
        <v>0.11628367784904257</v>
      </c>
      <c r="H16" s="131">
        <f t="shared" si="4"/>
        <v>0.12690346463170413</v>
      </c>
      <c r="I16" s="131">
        <f t="shared" si="4"/>
        <v>0.14140134193097284</v>
      </c>
      <c r="J16" s="131">
        <f t="shared" si="4"/>
        <v>0.13515633386865306</v>
      </c>
      <c r="K16" s="131">
        <f t="shared" si="4"/>
        <v>4.8892306742905976E-2</v>
      </c>
      <c r="L16" s="131">
        <f t="shared" si="4"/>
        <v>3.9043718424526939E-2</v>
      </c>
      <c r="M16" s="131">
        <f t="shared" si="4"/>
        <v>0.11403048411033609</v>
      </c>
      <c r="N16" s="131">
        <f t="shared" si="4"/>
        <v>3.0293121061946534E-2</v>
      </c>
      <c r="O16" s="131">
        <f t="shared" si="4"/>
        <v>9.9312342713089932E-2</v>
      </c>
      <c r="P16" s="131">
        <f t="shared" si="4"/>
        <v>0.10688420080214131</v>
      </c>
      <c r="Q16" s="131">
        <f t="shared" si="4"/>
        <v>0.11469988273215301</v>
      </c>
      <c r="R16" s="131">
        <f t="shared" ref="R16:W16" si="5">SUM(R17:R18)</f>
        <v>6.0146636208225426E-2</v>
      </c>
      <c r="S16" s="131">
        <f t="shared" si="5"/>
        <v>9.9971836509438708E-2</v>
      </c>
      <c r="T16" s="131">
        <f t="shared" si="5"/>
        <v>8.1213702007383454E-2</v>
      </c>
      <c r="U16" s="131">
        <f t="shared" si="5"/>
        <v>7.353703197219065E-2</v>
      </c>
      <c r="V16" s="131">
        <f t="shared" si="5"/>
        <v>6.7725187560387035E-2</v>
      </c>
      <c r="W16" s="131">
        <f t="shared" si="5"/>
        <v>7.0198421142527015E-2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9.0344608839782861E-2</v>
      </c>
      <c r="D18" s="133">
        <v>0.10533241712682821</v>
      </c>
      <c r="E18" s="133">
        <v>0.10967742530767072</v>
      </c>
      <c r="F18" s="133">
        <v>9.5201325861070094E-2</v>
      </c>
      <c r="G18" s="133">
        <v>0.11628367784904257</v>
      </c>
      <c r="H18" s="133">
        <v>0.12690346463170413</v>
      </c>
      <c r="I18" s="133">
        <v>0.14140134193097284</v>
      </c>
      <c r="J18" s="133">
        <v>0.13515633386865306</v>
      </c>
      <c r="K18" s="133">
        <v>4.8892306742905976E-2</v>
      </c>
      <c r="L18" s="133">
        <v>3.9043718424526939E-2</v>
      </c>
      <c r="M18" s="133">
        <v>0.11403048411033609</v>
      </c>
      <c r="N18" s="133">
        <v>3.0293121061946534E-2</v>
      </c>
      <c r="O18" s="133">
        <v>9.9312342713089932E-2</v>
      </c>
      <c r="P18" s="133">
        <v>0.10688420080214131</v>
      </c>
      <c r="Q18" s="133">
        <v>0.11469988273215301</v>
      </c>
      <c r="R18" s="133">
        <v>6.0146636208225426E-2</v>
      </c>
      <c r="S18" s="133">
        <v>9.9971836509438708E-2</v>
      </c>
      <c r="T18" s="133">
        <v>8.1213702007383454E-2</v>
      </c>
      <c r="U18" s="133">
        <v>7.353703197219065E-2</v>
      </c>
      <c r="V18" s="133">
        <v>6.7725187560387035E-2</v>
      </c>
      <c r="W18" s="133">
        <v>7.0198421142527015E-2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1.7749669107443613</v>
      </c>
      <c r="D19" s="131">
        <f t="shared" si="6"/>
        <v>2.0239180820126315</v>
      </c>
      <c r="E19" s="131">
        <f t="shared" si="6"/>
        <v>2.122027885748285</v>
      </c>
      <c r="F19" s="131">
        <f t="shared" si="6"/>
        <v>2.5159363438859201</v>
      </c>
      <c r="G19" s="131">
        <f t="shared" si="6"/>
        <v>2.0126290873167125</v>
      </c>
      <c r="H19" s="131">
        <f t="shared" si="6"/>
        <v>2.8824686616945598</v>
      </c>
      <c r="I19" s="131">
        <f t="shared" si="6"/>
        <v>3.0283804178093283</v>
      </c>
      <c r="J19" s="131">
        <f t="shared" si="6"/>
        <v>1.7291788359878086</v>
      </c>
      <c r="K19" s="131">
        <f t="shared" si="6"/>
        <v>0.29808729542164181</v>
      </c>
      <c r="L19" s="131">
        <f t="shared" si="6"/>
        <v>0.1981913899811589</v>
      </c>
      <c r="M19" s="131">
        <f t="shared" si="6"/>
        <v>1.004287767940824</v>
      </c>
      <c r="N19" s="131">
        <f t="shared" si="6"/>
        <v>0.19536026889933089</v>
      </c>
      <c r="O19" s="131">
        <f t="shared" si="6"/>
        <v>0.68187276176527212</v>
      </c>
      <c r="P19" s="131">
        <f t="shared" si="6"/>
        <v>0.70064972707266093</v>
      </c>
      <c r="Q19" s="131">
        <f t="shared" si="6"/>
        <v>0.80584730198565091</v>
      </c>
      <c r="R19" s="131">
        <f t="shared" ref="R19:W19" si="7">SUM(R20:R27)</f>
        <v>0.43357258463175113</v>
      </c>
      <c r="S19" s="131">
        <f t="shared" si="7"/>
        <v>0.72143198918703388</v>
      </c>
      <c r="T19" s="131">
        <f t="shared" si="7"/>
        <v>0.54984949230552549</v>
      </c>
      <c r="U19" s="131">
        <f t="shared" si="7"/>
        <v>0.52382850435319228</v>
      </c>
      <c r="V19" s="131">
        <f t="shared" si="7"/>
        <v>0.45707577024730189</v>
      </c>
      <c r="W19" s="131">
        <f t="shared" si="7"/>
        <v>0.47535584365219485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0.15686410896944505</v>
      </c>
      <c r="D22" s="133">
        <v>0.19623111621001996</v>
      </c>
      <c r="E22" s="133">
        <v>0.1851804199990266</v>
      </c>
      <c r="F22" s="133">
        <v>0.18684976966204167</v>
      </c>
      <c r="G22" s="133">
        <v>0.16482454789145798</v>
      </c>
      <c r="H22" s="133">
        <v>0.21292958245766042</v>
      </c>
      <c r="I22" s="133">
        <v>0.18011670592950837</v>
      </c>
      <c r="J22" s="133">
        <v>0.14006519572668766</v>
      </c>
      <c r="K22" s="133">
        <v>2.6184124656355209E-2</v>
      </c>
      <c r="L22" s="133">
        <v>2.3629699129567354E-2</v>
      </c>
      <c r="M22" s="133">
        <v>9.3988016608366101E-2</v>
      </c>
      <c r="N22" s="133">
        <v>2.6215197737102978E-2</v>
      </c>
      <c r="O22" s="133">
        <v>6.8828280029816016E-2</v>
      </c>
      <c r="P22" s="133">
        <v>5.9084858361776585E-2</v>
      </c>
      <c r="Q22" s="133">
        <v>4.6288949420966674E-2</v>
      </c>
      <c r="R22" s="133">
        <v>2.0917876018103642E-2</v>
      </c>
      <c r="S22" s="133">
        <v>2.7716675468219504E-2</v>
      </c>
      <c r="T22" s="133">
        <v>1.8922653102483873E-2</v>
      </c>
      <c r="U22" s="133">
        <v>1.4716514464783712E-2</v>
      </c>
      <c r="V22" s="133">
        <v>1.2041595490439587E-2</v>
      </c>
      <c r="W22" s="133">
        <v>2.1277826944151677E-2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0.20789067454554372</v>
      </c>
      <c r="D23" s="133">
        <v>0.3663878440940907</v>
      </c>
      <c r="E23" s="133">
        <v>0.34227096410680036</v>
      </c>
      <c r="F23" s="133">
        <v>0.36467347193228372</v>
      </c>
      <c r="G23" s="133">
        <v>0.33352584470588709</v>
      </c>
      <c r="H23" s="133">
        <v>0.40555626355616398</v>
      </c>
      <c r="I23" s="133">
        <v>0.45235080970461805</v>
      </c>
      <c r="J23" s="133">
        <v>0.39398418749640707</v>
      </c>
      <c r="K23" s="133">
        <v>7.6086929996052127E-2</v>
      </c>
      <c r="L23" s="133">
        <v>4.4015346168383457E-2</v>
      </c>
      <c r="M23" s="133">
        <v>0.13563705019776184</v>
      </c>
      <c r="N23" s="133">
        <v>3.3810329312575847E-2</v>
      </c>
      <c r="O23" s="133">
        <v>9.6037023187137624E-2</v>
      </c>
      <c r="P23" s="133">
        <v>0.12872728713190734</v>
      </c>
      <c r="Q23" s="133">
        <v>0.13422819647568215</v>
      </c>
      <c r="R23" s="133">
        <v>7.7575031684867041E-2</v>
      </c>
      <c r="S23" s="133">
        <v>0.1242596226844447</v>
      </c>
      <c r="T23" s="133">
        <v>0.11102686141877348</v>
      </c>
      <c r="U23" s="133">
        <v>0.11988606144625405</v>
      </c>
      <c r="V23" s="133">
        <v>0.13118652825699406</v>
      </c>
      <c r="W23" s="133">
        <v>8.4482392867104156E-2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0.22435642638988959</v>
      </c>
      <c r="D24" s="133">
        <v>0.26707246275453961</v>
      </c>
      <c r="E24" s="133">
        <v>0.31115201261639519</v>
      </c>
      <c r="F24" s="133">
        <v>0.44945698012987095</v>
      </c>
      <c r="G24" s="133">
        <v>0.39598204523857949</v>
      </c>
      <c r="H24" s="133">
        <v>0.40875341177685121</v>
      </c>
      <c r="I24" s="133">
        <v>0.35094872664528054</v>
      </c>
      <c r="J24" s="133">
        <v>0.2173618782896394</v>
      </c>
      <c r="K24" s="133">
        <v>5.1769204424452119E-2</v>
      </c>
      <c r="L24" s="133">
        <v>4.31846366846814E-2</v>
      </c>
      <c r="M24" s="133">
        <v>0.16785917570866207</v>
      </c>
      <c r="N24" s="133">
        <v>4.0756121999039857E-2</v>
      </c>
      <c r="O24" s="133">
        <v>0.11458874353088912</v>
      </c>
      <c r="P24" s="133">
        <v>0.11145152959476733</v>
      </c>
      <c r="Q24" s="133">
        <v>0.10850254723958302</v>
      </c>
      <c r="R24" s="133">
        <v>3.3481046161042922E-2</v>
      </c>
      <c r="S24" s="133">
        <v>4.9473736654393523E-2</v>
      </c>
      <c r="T24" s="133">
        <v>0</v>
      </c>
      <c r="U24" s="133">
        <v>0</v>
      </c>
      <c r="V24" s="133">
        <v>9.5429523534567746E-3</v>
      </c>
      <c r="W24" s="133">
        <v>6.3835167073735946E-2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0.60098263106444227</v>
      </c>
      <c r="D25" s="133">
        <v>0.5284047508794848</v>
      </c>
      <c r="E25" s="133">
        <v>0.51294532676263027</v>
      </c>
      <c r="F25" s="133">
        <v>0.58695841512505353</v>
      </c>
      <c r="G25" s="133">
        <v>0.30835583154791035</v>
      </c>
      <c r="H25" s="133">
        <v>0.666895217415854</v>
      </c>
      <c r="I25" s="133">
        <v>0.5306520728169033</v>
      </c>
      <c r="J25" s="133">
        <v>0.34220445936041</v>
      </c>
      <c r="K25" s="133">
        <v>9.2181723907516722E-2</v>
      </c>
      <c r="L25" s="133">
        <v>7.6239008651116685E-2</v>
      </c>
      <c r="M25" s="133">
        <v>0.31219439968858065</v>
      </c>
      <c r="N25" s="133">
        <v>7.817785828138557E-2</v>
      </c>
      <c r="O25" s="133">
        <v>0.223232887001694</v>
      </c>
      <c r="P25" s="133">
        <v>0.22306151970752508</v>
      </c>
      <c r="Q25" s="133">
        <v>0.31214301270455269</v>
      </c>
      <c r="R25" s="133">
        <v>0.12420363140620999</v>
      </c>
      <c r="S25" s="133">
        <v>0.2346908908995361</v>
      </c>
      <c r="T25" s="133">
        <v>0.15825394269573115</v>
      </c>
      <c r="U25" s="133">
        <v>0.18723936238185435</v>
      </c>
      <c r="V25" s="133">
        <v>0.17543361949278508</v>
      </c>
      <c r="W25" s="133">
        <v>0.17306278347292625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0.58487306977504072</v>
      </c>
      <c r="D26" s="65">
        <v>0.66582190807449626</v>
      </c>
      <c r="E26" s="65">
        <v>0.7704791622634326</v>
      </c>
      <c r="F26" s="65">
        <v>0.92799770703667017</v>
      </c>
      <c r="G26" s="65">
        <v>0.80994081793287764</v>
      </c>
      <c r="H26" s="65">
        <v>1.1883341864880299</v>
      </c>
      <c r="I26" s="65">
        <v>1.514312102713018</v>
      </c>
      <c r="J26" s="65">
        <v>0.63556311511466457</v>
      </c>
      <c r="K26" s="65">
        <v>5.1865312437265637E-2</v>
      </c>
      <c r="L26" s="65">
        <v>1.1122699347409998E-2</v>
      </c>
      <c r="M26" s="65">
        <v>0.29460912573745329</v>
      </c>
      <c r="N26" s="65">
        <v>1.6400761569226662E-2</v>
      </c>
      <c r="O26" s="65">
        <v>0.17918582801573538</v>
      </c>
      <c r="P26" s="65">
        <v>0.17832453227668454</v>
      </c>
      <c r="Q26" s="65">
        <v>0.20468459614486637</v>
      </c>
      <c r="R26" s="65">
        <v>0.17739499936152753</v>
      </c>
      <c r="S26" s="65">
        <v>0.28529106348044009</v>
      </c>
      <c r="T26" s="65">
        <v>0.26164603508853707</v>
      </c>
      <c r="U26" s="65">
        <v>0.20198656606030016</v>
      </c>
      <c r="V26" s="65">
        <v>0.12887107465362641</v>
      </c>
      <c r="W26" s="65">
        <v>0.13269767329427687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2.5244218904395623</v>
      </c>
      <c r="D29" s="131">
        <f t="shared" si="8"/>
        <v>2.3528425950721363</v>
      </c>
      <c r="E29" s="131">
        <f t="shared" si="8"/>
        <v>2.5398857308819336</v>
      </c>
      <c r="F29" s="131">
        <f t="shared" si="8"/>
        <v>2.7235265564009574</v>
      </c>
      <c r="G29" s="131">
        <f t="shared" si="8"/>
        <v>2.1935537671378804</v>
      </c>
      <c r="H29" s="131">
        <f t="shared" si="8"/>
        <v>3.1557731840931331</v>
      </c>
      <c r="I29" s="131">
        <f t="shared" si="8"/>
        <v>3.2036246979986558</v>
      </c>
      <c r="J29" s="131">
        <f t="shared" si="8"/>
        <v>1.9059201990189127</v>
      </c>
      <c r="K29" s="131">
        <f t="shared" si="8"/>
        <v>0.33435390029751139</v>
      </c>
      <c r="L29" s="131">
        <f t="shared" si="8"/>
        <v>0.21927176645051757</v>
      </c>
      <c r="M29" s="131">
        <f t="shared" si="8"/>
        <v>1.0469083061818012</v>
      </c>
      <c r="N29" s="131">
        <f t="shared" si="8"/>
        <v>0.22022468882960106</v>
      </c>
      <c r="O29" s="131">
        <f t="shared" si="8"/>
        <v>0.77467651138911808</v>
      </c>
      <c r="P29" s="131">
        <f t="shared" si="8"/>
        <v>0.85739866915692819</v>
      </c>
      <c r="Q29" s="131">
        <f t="shared" si="8"/>
        <v>0.97322246928069189</v>
      </c>
      <c r="R29" s="131">
        <f t="shared" ref="R29:W29" si="9">SUM(R30:R33)</f>
        <v>0.56602838561195257</v>
      </c>
      <c r="S29" s="131">
        <f t="shared" si="9"/>
        <v>0.95691107081428273</v>
      </c>
      <c r="T29" s="131">
        <f t="shared" si="9"/>
        <v>0.69643575552182813</v>
      </c>
      <c r="U29" s="131">
        <f t="shared" si="9"/>
        <v>0.67571369289552463</v>
      </c>
      <c r="V29" s="131">
        <f t="shared" si="9"/>
        <v>0.60594365344462608</v>
      </c>
      <c r="W29" s="131">
        <f t="shared" si="9"/>
        <v>0.57488107559228707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0.68604448191834233</v>
      </c>
      <c r="D30" s="133">
        <v>0.14292274456107054</v>
      </c>
      <c r="E30" s="133">
        <v>0.56267107561981844</v>
      </c>
      <c r="F30" s="133">
        <v>6.0527794463329031E-2</v>
      </c>
      <c r="G30" s="133">
        <v>5.5868428560156766E-2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3.6679946403792268E-2</v>
      </c>
      <c r="O30" s="133">
        <v>9.9880059768869212E-2</v>
      </c>
      <c r="P30" s="133">
        <v>0.15141388405971251</v>
      </c>
      <c r="Q30" s="133">
        <v>0.14148739576150365</v>
      </c>
      <c r="R30" s="133">
        <v>0.12230595654884886</v>
      </c>
      <c r="S30" s="133">
        <v>0.19054647097815178</v>
      </c>
      <c r="T30" s="133">
        <v>1.0807714496528882E-2</v>
      </c>
      <c r="U30" s="133">
        <v>0</v>
      </c>
      <c r="V30" s="133">
        <v>0</v>
      </c>
      <c r="W30" s="133">
        <v>3.2330173171571334E-3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1.0500776058095325</v>
      </c>
      <c r="D31" s="133">
        <v>1.0872684852886283</v>
      </c>
      <c r="E31" s="133">
        <v>0.73239696706107105</v>
      </c>
      <c r="F31" s="133">
        <v>0.6744781721890587</v>
      </c>
      <c r="G31" s="133">
        <v>0.47079416629191934</v>
      </c>
      <c r="H31" s="133">
        <v>0.66025676361777996</v>
      </c>
      <c r="I31" s="133">
        <v>0.81983704957092851</v>
      </c>
      <c r="J31" s="133">
        <v>0.56639272779939875</v>
      </c>
      <c r="K31" s="133">
        <v>0.10786167252240819</v>
      </c>
      <c r="L31" s="133">
        <v>4.9931481807961475E-2</v>
      </c>
      <c r="M31" s="133">
        <v>5.9724237730751417E-2</v>
      </c>
      <c r="N31" s="133">
        <v>0</v>
      </c>
      <c r="O31" s="133">
        <v>9.2136344692832259E-2</v>
      </c>
      <c r="P31" s="133">
        <v>0.19586184475428767</v>
      </c>
      <c r="Q31" s="133">
        <v>0.2744966543213147</v>
      </c>
      <c r="R31" s="133">
        <v>0.23155797972239486</v>
      </c>
      <c r="S31" s="133">
        <v>0.39502160562984184</v>
      </c>
      <c r="T31" s="133">
        <v>0.33112248677939865</v>
      </c>
      <c r="U31" s="133">
        <v>0.30286532892071988</v>
      </c>
      <c r="V31" s="133">
        <v>0.30550881239288513</v>
      </c>
      <c r="W31" s="133">
        <v>0.16545301197137971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0.78829980271168787</v>
      </c>
      <c r="D33" s="68">
        <v>1.1226513652224372</v>
      </c>
      <c r="E33" s="68">
        <v>1.2448176882010438</v>
      </c>
      <c r="F33" s="68">
        <v>1.9885205897485696</v>
      </c>
      <c r="G33" s="68">
        <v>1.6668911722858044</v>
      </c>
      <c r="H33" s="68">
        <v>2.495516420475353</v>
      </c>
      <c r="I33" s="68">
        <v>2.3837876484277274</v>
      </c>
      <c r="J33" s="68">
        <v>1.339527471219514</v>
      </c>
      <c r="K33" s="68">
        <v>0.22649222777510319</v>
      </c>
      <c r="L33" s="68">
        <v>0.1693402846425561</v>
      </c>
      <c r="M33" s="68">
        <v>0.98718406845104978</v>
      </c>
      <c r="N33" s="68">
        <v>0.18354474242580879</v>
      </c>
      <c r="O33" s="68">
        <v>0.58266010692741654</v>
      </c>
      <c r="P33" s="68">
        <v>0.51012294034292804</v>
      </c>
      <c r="Q33" s="68">
        <v>0.55723841919787354</v>
      </c>
      <c r="R33" s="68">
        <v>0.21216444934070883</v>
      </c>
      <c r="S33" s="68">
        <v>0.37134299420628908</v>
      </c>
      <c r="T33" s="68">
        <v>0.35450555424590052</v>
      </c>
      <c r="U33" s="68">
        <v>0.37284836397480475</v>
      </c>
      <c r="V33" s="68">
        <v>0.3004348410517409</v>
      </c>
      <c r="W33" s="68">
        <v>0.40619504630375025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11.999977300779484</v>
      </c>
      <c r="D3" s="126">
        <f t="shared" si="0"/>
        <v>14.434690409614737</v>
      </c>
      <c r="E3" s="126">
        <f t="shared" si="0"/>
        <v>15.219089699817552</v>
      </c>
      <c r="F3" s="126">
        <f t="shared" si="0"/>
        <v>17.662297625926598</v>
      </c>
      <c r="G3" s="126">
        <f t="shared" si="0"/>
        <v>13.547105694940951</v>
      </c>
      <c r="H3" s="126">
        <f t="shared" si="0"/>
        <v>19.719209691042469</v>
      </c>
      <c r="I3" s="126">
        <f t="shared" si="0"/>
        <v>20.773385056594247</v>
      </c>
      <c r="J3" s="126">
        <f t="shared" si="0"/>
        <v>10.581683338346394</v>
      </c>
      <c r="K3" s="126">
        <f t="shared" si="0"/>
        <v>1.7967245120900595</v>
      </c>
      <c r="L3" s="126">
        <f t="shared" si="0"/>
        <v>1.2919033718910589</v>
      </c>
      <c r="M3" s="126">
        <f t="shared" si="0"/>
        <v>5.396938706306849</v>
      </c>
      <c r="N3" s="126">
        <f t="shared" si="0"/>
        <v>1.3088634059631379</v>
      </c>
      <c r="O3" s="126">
        <f t="shared" si="0"/>
        <v>4.2282845664120572</v>
      </c>
      <c r="P3" s="126">
        <f t="shared" si="0"/>
        <v>4.4508255826487684</v>
      </c>
      <c r="Q3" s="126">
        <f t="shared" si="0"/>
        <v>4.7751825938085801</v>
      </c>
      <c r="R3" s="126">
        <f t="shared" ref="R3:W3" si="1">SUM(R4,R16,R19,R29)</f>
        <v>2.6131370039904205</v>
      </c>
      <c r="S3" s="126">
        <f t="shared" si="1"/>
        <v>4.3489867589273628</v>
      </c>
      <c r="T3" s="126">
        <f t="shared" si="1"/>
        <v>3.2701789392752278</v>
      </c>
      <c r="U3" s="126">
        <f t="shared" si="1"/>
        <v>2.9927581535447452</v>
      </c>
      <c r="V3" s="126">
        <f t="shared" si="1"/>
        <v>2.6563314576171093</v>
      </c>
      <c r="W3" s="126">
        <f t="shared" si="1"/>
        <v>2.6637638464538913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8.9648728421251338</v>
      </c>
      <c r="D4" s="131">
        <f t="shared" si="2"/>
        <v>11.258841643932175</v>
      </c>
      <c r="E4" s="131">
        <f t="shared" si="2"/>
        <v>11.804567673695077</v>
      </c>
      <c r="F4" s="131">
        <f t="shared" si="2"/>
        <v>13.776315014363112</v>
      </c>
      <c r="G4" s="131">
        <f t="shared" si="2"/>
        <v>10.298644513142582</v>
      </c>
      <c r="H4" s="131">
        <f t="shared" si="2"/>
        <v>15.083938595305977</v>
      </c>
      <c r="I4" s="131">
        <f t="shared" si="2"/>
        <v>15.966794160449361</v>
      </c>
      <c r="J4" s="131">
        <f t="shared" si="2"/>
        <v>7.5980912187076557</v>
      </c>
      <c r="K4" s="131">
        <f t="shared" si="2"/>
        <v>1.1813668616176733</v>
      </c>
      <c r="L4" s="131">
        <f t="shared" si="2"/>
        <v>0.85056839581945942</v>
      </c>
      <c r="M4" s="131">
        <f t="shared" si="2"/>
        <v>3.4524883947309508</v>
      </c>
      <c r="N4" s="131">
        <f t="shared" si="2"/>
        <v>0.88258052639985274</v>
      </c>
      <c r="O4" s="131">
        <f t="shared" si="2"/>
        <v>2.7415811198663111</v>
      </c>
      <c r="P4" s="131">
        <f t="shared" si="2"/>
        <v>2.8435627552670013</v>
      </c>
      <c r="Q4" s="131">
        <f t="shared" si="2"/>
        <v>2.926991141107572</v>
      </c>
      <c r="R4" s="131">
        <f t="shared" ref="R4:W4" si="3">SUM(R5:R15)</f>
        <v>1.6023159376376235</v>
      </c>
      <c r="S4" s="131">
        <f t="shared" si="3"/>
        <v>2.6238353113986532</v>
      </c>
      <c r="T4" s="131">
        <f t="shared" si="3"/>
        <v>1.9122839064870123</v>
      </c>
      <c r="U4" s="131">
        <f t="shared" si="3"/>
        <v>1.6816392193259322</v>
      </c>
      <c r="V4" s="131">
        <f t="shared" si="3"/>
        <v>1.4780313878154192</v>
      </c>
      <c r="W4" s="131">
        <f t="shared" si="3"/>
        <v>1.4405304482219152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0.27859901247329433</v>
      </c>
      <c r="D5" s="133">
        <v>1.1224377297219508E-2</v>
      </c>
      <c r="E5" s="133">
        <v>5.1006426421001706E-2</v>
      </c>
      <c r="F5" s="133">
        <v>0.20403958578661086</v>
      </c>
      <c r="G5" s="133">
        <v>0.15942098617350328</v>
      </c>
      <c r="H5" s="133">
        <v>0.55934865915311716</v>
      </c>
      <c r="I5" s="133">
        <v>0.59501712975315979</v>
      </c>
      <c r="J5" s="133">
        <v>0.51085929708506628</v>
      </c>
      <c r="K5" s="133">
        <v>7.546086815833071E-2</v>
      </c>
      <c r="L5" s="133">
        <v>0.10533105469635945</v>
      </c>
      <c r="M5" s="133">
        <v>0.1279666298886154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0.80828877541266198</v>
      </c>
      <c r="D7" s="133">
        <v>0.89987293212803743</v>
      </c>
      <c r="E7" s="133">
        <v>0.99326209082723937</v>
      </c>
      <c r="F7" s="133">
        <v>1.0910672701739286</v>
      </c>
      <c r="G7" s="133">
        <v>0.39023884433774197</v>
      </c>
      <c r="H7" s="133">
        <v>1.2130530563654212</v>
      </c>
      <c r="I7" s="133">
        <v>0.18176187232297647</v>
      </c>
      <c r="J7" s="133">
        <v>0.36584443803961714</v>
      </c>
      <c r="K7" s="133">
        <v>7.9470340102637316E-2</v>
      </c>
      <c r="L7" s="133">
        <v>9.2387433253162163E-2</v>
      </c>
      <c r="M7" s="133">
        <v>0.39508606993840462</v>
      </c>
      <c r="N7" s="133">
        <v>0.14645751037791815</v>
      </c>
      <c r="O7" s="133">
        <v>0.55374959002276869</v>
      </c>
      <c r="P7" s="133">
        <v>0.47779031787894305</v>
      </c>
      <c r="Q7" s="133">
        <v>0.2177349376201384</v>
      </c>
      <c r="R7" s="133">
        <v>0</v>
      </c>
      <c r="S7" s="133">
        <v>0</v>
      </c>
      <c r="T7" s="133">
        <v>0.11959728237249453</v>
      </c>
      <c r="U7" s="133">
        <v>0.1549970424682606</v>
      </c>
      <c r="V7" s="133">
        <v>0.24246761838076442</v>
      </c>
      <c r="W7" s="133">
        <v>0.43576417427066338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1.1853039718820508</v>
      </c>
      <c r="D9" s="133">
        <v>3.3820468842758746</v>
      </c>
      <c r="E9" s="133">
        <v>2.9666695644664429</v>
      </c>
      <c r="F9" s="133">
        <v>3.8795520877861258</v>
      </c>
      <c r="G9" s="133">
        <v>2.6242087045220717</v>
      </c>
      <c r="H9" s="133">
        <v>3.4215438996079923</v>
      </c>
      <c r="I9" s="133">
        <v>3.8370128171020177</v>
      </c>
      <c r="J9" s="133">
        <v>2.4424549044821688</v>
      </c>
      <c r="K9" s="133">
        <v>0.34612333168494414</v>
      </c>
      <c r="L9" s="133">
        <v>0.13342607612505919</v>
      </c>
      <c r="M9" s="133">
        <v>3.748471059818495E-2</v>
      </c>
      <c r="N9" s="133">
        <v>0</v>
      </c>
      <c r="O9" s="133">
        <v>0</v>
      </c>
      <c r="P9" s="133">
        <v>0.36928921029223211</v>
      </c>
      <c r="Q9" s="133">
        <v>0.81004357176729314</v>
      </c>
      <c r="R9" s="133">
        <v>0.55226976404363348</v>
      </c>
      <c r="S9" s="133">
        <v>0.96730333391409351</v>
      </c>
      <c r="T9" s="133">
        <v>0.81496299455473575</v>
      </c>
      <c r="U9" s="133">
        <v>0.69031256752648662</v>
      </c>
      <c r="V9" s="133">
        <v>0.48950207903528187</v>
      </c>
      <c r="W9" s="133">
        <v>0.37873362443331759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1.7617441906771714</v>
      </c>
      <c r="D10" s="133">
        <v>1.590263654755723</v>
      </c>
      <c r="E10" s="133">
        <v>2.0736724580054959</v>
      </c>
      <c r="F10" s="133">
        <v>3.1570921417122251</v>
      </c>
      <c r="G10" s="133">
        <v>2.5965601661149895</v>
      </c>
      <c r="H10" s="133">
        <v>2.3739274200875098</v>
      </c>
      <c r="I10" s="133">
        <v>2.1603183984844017</v>
      </c>
      <c r="J10" s="133">
        <v>0</v>
      </c>
      <c r="K10" s="133">
        <v>5.4522203937870571E-2</v>
      </c>
      <c r="L10" s="133">
        <v>0.11392206786731944</v>
      </c>
      <c r="M10" s="133">
        <v>0.69931963445628353</v>
      </c>
      <c r="N10" s="133">
        <v>0.23951891100882308</v>
      </c>
      <c r="O10" s="133">
        <v>0.70291475745142173</v>
      </c>
      <c r="P10" s="133">
        <v>0.28129374811390673</v>
      </c>
      <c r="Q10" s="133">
        <v>0.34365084131752771</v>
      </c>
      <c r="R10" s="133">
        <v>0.10130960022925328</v>
      </c>
      <c r="S10" s="133">
        <v>0.24258085553867897</v>
      </c>
      <c r="T10" s="133">
        <v>0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4.0450108949668131</v>
      </c>
      <c r="D12" s="133">
        <v>1.9891036855250845</v>
      </c>
      <c r="E12" s="133">
        <v>3.1332221178083315</v>
      </c>
      <c r="F12" s="133">
        <v>3.2534867586848888</v>
      </c>
      <c r="G12" s="133">
        <v>2.5322331384926136</v>
      </c>
      <c r="H12" s="133">
        <v>5.0085187943527423</v>
      </c>
      <c r="I12" s="133">
        <v>6.2942529175955162</v>
      </c>
      <c r="J12" s="133">
        <v>4.204359507252966</v>
      </c>
      <c r="K12" s="133">
        <v>0.61341132067488058</v>
      </c>
      <c r="L12" s="133">
        <v>0.39601280185436338</v>
      </c>
      <c r="M12" s="133">
        <v>1.6641835293422989</v>
      </c>
      <c r="N12" s="133">
        <v>0.19525058438483286</v>
      </c>
      <c r="O12" s="133">
        <v>1.1323202037200908</v>
      </c>
      <c r="P12" s="133">
        <v>0.93224899448782572</v>
      </c>
      <c r="Q12" s="133">
        <v>1.4858430284188793</v>
      </c>
      <c r="R12" s="133">
        <v>0.70151181093227277</v>
      </c>
      <c r="S12" s="133">
        <v>0.93397064424210952</v>
      </c>
      <c r="T12" s="133">
        <v>0.4234004598145909</v>
      </c>
      <c r="U12" s="133">
        <v>0.53445267149126829</v>
      </c>
      <c r="V12" s="133">
        <v>0.63782353933926794</v>
      </c>
      <c r="W12" s="133">
        <v>0.5726428361830409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6.0791571737474504E-6</v>
      </c>
      <c r="D13" s="133">
        <v>5.9910366513414562E-5</v>
      </c>
      <c r="E13" s="133">
        <v>9.5823237119111232E-5</v>
      </c>
      <c r="F13" s="133">
        <v>2.1524757302279109E-4</v>
      </c>
      <c r="G13" s="133">
        <v>3.8916428331875469E-4</v>
      </c>
      <c r="H13" s="133">
        <v>1.0423628736950042E-3</v>
      </c>
      <c r="I13" s="133">
        <v>2.3003854672550656E-3</v>
      </c>
      <c r="J13" s="133">
        <v>3.0402599583943413E-3</v>
      </c>
      <c r="K13" s="133">
        <v>1.3290235152348647E-3</v>
      </c>
      <c r="L13" s="133">
        <v>2.1229948253683609E-3</v>
      </c>
      <c r="M13" s="133">
        <v>1.5244938251693933E-2</v>
      </c>
      <c r="N13" s="133">
        <v>4.1084923679579723E-3</v>
      </c>
      <c r="O13" s="133">
        <v>2.5586754224270099E-2</v>
      </c>
      <c r="P13" s="133">
        <v>4.6690526814476781E-2</v>
      </c>
      <c r="Q13" s="133">
        <v>4.425847036988656E-2</v>
      </c>
      <c r="R13" s="133">
        <v>1.4336487547791805E-2</v>
      </c>
      <c r="S13" s="133">
        <v>1.6278635150530175E-2</v>
      </c>
      <c r="T13" s="133">
        <v>7.1672529360579376E-3</v>
      </c>
      <c r="U13" s="133">
        <v>1.6313898668138334E-3</v>
      </c>
      <c r="V13" s="133">
        <v>2.8464527022401191E-3</v>
      </c>
      <c r="W13" s="133">
        <v>3.3003685951832483E-3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0.80708230477308784</v>
      </c>
      <c r="D14" s="65">
        <v>3.2791449093293901</v>
      </c>
      <c r="E14" s="65">
        <v>2.4772833391363935</v>
      </c>
      <c r="F14" s="65">
        <v>2.052772210061836</v>
      </c>
      <c r="G14" s="65">
        <v>1.9041948503724462</v>
      </c>
      <c r="H14" s="65">
        <v>2.374899119195645</v>
      </c>
      <c r="I14" s="65">
        <v>2.7732501998633938</v>
      </c>
      <c r="J14" s="65">
        <v>0</v>
      </c>
      <c r="K14" s="65">
        <v>0</v>
      </c>
      <c r="L14" s="65">
        <v>0</v>
      </c>
      <c r="M14" s="65">
        <v>0.49203587952140199</v>
      </c>
      <c r="N14" s="65">
        <v>0.29201476184838043</v>
      </c>
      <c r="O14" s="65">
        <v>0.30745834397250837</v>
      </c>
      <c r="P14" s="65">
        <v>0.71632504946050057</v>
      </c>
      <c r="Q14" s="65">
        <v>0</v>
      </c>
      <c r="R14" s="65">
        <v>0.22035073786624221</v>
      </c>
      <c r="S14" s="65">
        <v>0.44250687513808434</v>
      </c>
      <c r="T14" s="65">
        <v>0.53054477713431747</v>
      </c>
      <c r="U14" s="65">
        <v>0.28466410105400713</v>
      </c>
      <c r="V14" s="65">
        <v>9.1232647486965149E-2</v>
      </c>
      <c r="W14" s="65">
        <v>3.4909597431868826E-2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7.8837612782880512E-2</v>
      </c>
      <c r="D15" s="135">
        <v>0.10712529025433504</v>
      </c>
      <c r="E15" s="135">
        <v>0.10935585379305282</v>
      </c>
      <c r="F15" s="135">
        <v>0.13808971258447333</v>
      </c>
      <c r="G15" s="135">
        <v>9.1398658845896694E-2</v>
      </c>
      <c r="H15" s="135">
        <v>0.13160528366985444</v>
      </c>
      <c r="I15" s="135">
        <v>0.12288043986064157</v>
      </c>
      <c r="J15" s="135">
        <v>7.1532811889443035E-2</v>
      </c>
      <c r="K15" s="135">
        <v>1.1049773543775291E-2</v>
      </c>
      <c r="L15" s="135">
        <v>7.3659671978273918E-3</v>
      </c>
      <c r="M15" s="135">
        <v>2.1167002734067374E-2</v>
      </c>
      <c r="N15" s="135">
        <v>5.2302664119401173E-3</v>
      </c>
      <c r="O15" s="135">
        <v>1.9551470475251465E-2</v>
      </c>
      <c r="P15" s="135">
        <v>1.9924908219116414E-2</v>
      </c>
      <c r="Q15" s="135">
        <v>2.5460291613847101E-2</v>
      </c>
      <c r="R15" s="135">
        <v>1.2537537018429905E-2</v>
      </c>
      <c r="S15" s="135">
        <v>2.1194967415156373E-2</v>
      </c>
      <c r="T15" s="135">
        <v>1.6611139674815641E-2</v>
      </c>
      <c r="U15" s="135">
        <v>1.5581446919095649E-2</v>
      </c>
      <c r="V15" s="135">
        <v>1.4159050870899826E-2</v>
      </c>
      <c r="W15" s="135">
        <v>1.5179847307841315E-2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0.24373341204221091</v>
      </c>
      <c r="D16" s="131">
        <f t="shared" si="4"/>
        <v>0.29461292287674312</v>
      </c>
      <c r="E16" s="131">
        <f t="shared" si="4"/>
        <v>0.31775665072766041</v>
      </c>
      <c r="F16" s="131">
        <f t="shared" si="4"/>
        <v>0.28536700579808938</v>
      </c>
      <c r="G16" s="131">
        <f t="shared" si="4"/>
        <v>0.36033778003015049</v>
      </c>
      <c r="H16" s="131">
        <f t="shared" si="4"/>
        <v>0.4062050019919905</v>
      </c>
      <c r="I16" s="131">
        <f t="shared" si="4"/>
        <v>0.46719853642428083</v>
      </c>
      <c r="J16" s="131">
        <f t="shared" si="4"/>
        <v>0.460763146766905</v>
      </c>
      <c r="K16" s="131">
        <f t="shared" si="4"/>
        <v>0.17194268075669941</v>
      </c>
      <c r="L16" s="131">
        <f t="shared" si="4"/>
        <v>0.14161892419638328</v>
      </c>
      <c r="M16" s="131">
        <f t="shared" si="4"/>
        <v>0.42864978130367964</v>
      </c>
      <c r="N16" s="131">
        <f t="shared" si="4"/>
        <v>0.11870533965994277</v>
      </c>
      <c r="O16" s="131">
        <f t="shared" si="4"/>
        <v>0.40807456585389473</v>
      </c>
      <c r="P16" s="131">
        <f t="shared" si="4"/>
        <v>0.46126238409943504</v>
      </c>
      <c r="Q16" s="131">
        <f t="shared" si="4"/>
        <v>0.51534936174298041</v>
      </c>
      <c r="R16" s="131">
        <f t="shared" ref="R16:W16" si="5">SUM(R17:R18)</f>
        <v>0.27693763362323842</v>
      </c>
      <c r="S16" s="131">
        <f t="shared" si="5"/>
        <v>0.46916819372521112</v>
      </c>
      <c r="T16" s="131">
        <f t="shared" si="5"/>
        <v>0.3871503256460514</v>
      </c>
      <c r="U16" s="131">
        <f t="shared" si="5"/>
        <v>0.35551276467569204</v>
      </c>
      <c r="V16" s="131">
        <f t="shared" si="5"/>
        <v>0.33207084412624904</v>
      </c>
      <c r="W16" s="131">
        <f t="shared" si="5"/>
        <v>0.34892165172494644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0.24373341204221091</v>
      </c>
      <c r="D18" s="133">
        <v>0.29461292287674312</v>
      </c>
      <c r="E18" s="133">
        <v>0.31775665072766041</v>
      </c>
      <c r="F18" s="133">
        <v>0.28536700579808938</v>
      </c>
      <c r="G18" s="133">
        <v>0.36033778003015049</v>
      </c>
      <c r="H18" s="133">
        <v>0.4062050019919905</v>
      </c>
      <c r="I18" s="133">
        <v>0.46719853642428083</v>
      </c>
      <c r="J18" s="133">
        <v>0.460763146766905</v>
      </c>
      <c r="K18" s="133">
        <v>0.17194268075669941</v>
      </c>
      <c r="L18" s="133">
        <v>0.14161892419638328</v>
      </c>
      <c r="M18" s="133">
        <v>0.42864978130367964</v>
      </c>
      <c r="N18" s="133">
        <v>0.11870533965994277</v>
      </c>
      <c r="O18" s="133">
        <v>0.40807456585389473</v>
      </c>
      <c r="P18" s="133">
        <v>0.46126238409943504</v>
      </c>
      <c r="Q18" s="133">
        <v>0.51534936174298041</v>
      </c>
      <c r="R18" s="133">
        <v>0.27693763362323842</v>
      </c>
      <c r="S18" s="133">
        <v>0.46916819372521112</v>
      </c>
      <c r="T18" s="133">
        <v>0.3871503256460514</v>
      </c>
      <c r="U18" s="133">
        <v>0.35551276467569204</v>
      </c>
      <c r="V18" s="133">
        <v>0.33207084412624904</v>
      </c>
      <c r="W18" s="133">
        <v>0.34892165172494644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1.1757566320172312</v>
      </c>
      <c r="D19" s="131">
        <f t="shared" si="6"/>
        <v>1.3141314839653109</v>
      </c>
      <c r="E19" s="131">
        <f t="shared" si="6"/>
        <v>1.3866266391173285</v>
      </c>
      <c r="F19" s="131">
        <f t="shared" si="6"/>
        <v>1.6565452422339884</v>
      </c>
      <c r="G19" s="131">
        <f t="shared" si="6"/>
        <v>1.3071348821405671</v>
      </c>
      <c r="H19" s="131">
        <f t="shared" si="6"/>
        <v>1.9336954461183198</v>
      </c>
      <c r="I19" s="131">
        <f t="shared" si="6"/>
        <v>2.0315503809200326</v>
      </c>
      <c r="J19" s="131">
        <f t="shared" si="6"/>
        <v>1.1611965459335893</v>
      </c>
      <c r="K19" s="131">
        <f t="shared" si="6"/>
        <v>0.2055547953972095</v>
      </c>
      <c r="L19" s="131">
        <f t="shared" si="6"/>
        <v>0.13949775939069026</v>
      </c>
      <c r="M19" s="131">
        <f t="shared" si="6"/>
        <v>0.71501667014357151</v>
      </c>
      <c r="N19" s="131">
        <f t="shared" si="6"/>
        <v>0.14237285610235245</v>
      </c>
      <c r="O19" s="131">
        <f t="shared" si="6"/>
        <v>0.50710229513134308</v>
      </c>
      <c r="P19" s="131">
        <f t="shared" si="6"/>
        <v>0.53586586947565218</v>
      </c>
      <c r="Q19" s="131">
        <f t="shared" si="6"/>
        <v>0.64053702260776735</v>
      </c>
      <c r="R19" s="131">
        <f t="shared" ref="R19:W19" si="7">SUM(R20:R27)</f>
        <v>0.35076565682822736</v>
      </c>
      <c r="S19" s="131">
        <f t="shared" si="7"/>
        <v>0.59775731707823676</v>
      </c>
      <c r="T19" s="131">
        <f t="shared" si="7"/>
        <v>0.46609982534886485</v>
      </c>
      <c r="U19" s="131">
        <f t="shared" si="7"/>
        <v>0.45162150346800217</v>
      </c>
      <c r="V19" s="131">
        <f t="shared" si="7"/>
        <v>0.39679464215208859</v>
      </c>
      <c r="W19" s="131">
        <f t="shared" si="7"/>
        <v>0.41321808104805663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8.0648000751366827E-2</v>
      </c>
      <c r="D22" s="133">
        <v>0.10133546065080282</v>
      </c>
      <c r="E22" s="133">
        <v>9.6121363485642278E-2</v>
      </c>
      <c r="F22" s="133">
        <v>9.7494516153436031E-2</v>
      </c>
      <c r="G22" s="133">
        <v>8.6506462742490547E-2</v>
      </c>
      <c r="H22" s="133">
        <v>0.11247170125916751</v>
      </c>
      <c r="I22" s="133">
        <v>9.5816067858640483E-2</v>
      </c>
      <c r="J22" s="133">
        <v>7.5131849962100886E-2</v>
      </c>
      <c r="K22" s="133">
        <v>1.4186147007079652E-2</v>
      </c>
      <c r="L22" s="133">
        <v>1.2953060095616626E-2</v>
      </c>
      <c r="M22" s="133">
        <v>5.2783337622155369E-2</v>
      </c>
      <c r="N22" s="133">
        <v>1.5309253453714932E-2</v>
      </c>
      <c r="O22" s="133">
        <v>4.2462266958183302E-2</v>
      </c>
      <c r="P22" s="133">
        <v>3.8823153605382722E-2</v>
      </c>
      <c r="Q22" s="133">
        <v>3.2102464734953713E-2</v>
      </c>
      <c r="R22" s="133">
        <v>1.5021582253462345E-2</v>
      </c>
      <c r="S22" s="133">
        <v>2.0560943966495333E-2</v>
      </c>
      <c r="T22" s="133">
        <v>1.4443538655399404E-2</v>
      </c>
      <c r="U22" s="133">
        <v>1.1496295803827048E-2</v>
      </c>
      <c r="V22" s="133">
        <v>9.5628744744567767E-3</v>
      </c>
      <c r="W22" s="133">
        <v>1.7027675143322443E-2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0.11674920452348435</v>
      </c>
      <c r="D23" s="133">
        <v>0.20816891335888507</v>
      </c>
      <c r="E23" s="133">
        <v>0.19681463303254029</v>
      </c>
      <c r="F23" s="133">
        <v>0.21221866125915964</v>
      </c>
      <c r="G23" s="133">
        <v>0.19648571716245833</v>
      </c>
      <c r="H23" s="133">
        <v>0.24192409941329945</v>
      </c>
      <c r="I23" s="133">
        <v>0.27331526991545979</v>
      </c>
      <c r="J23" s="133">
        <v>0.24126734482681791</v>
      </c>
      <c r="K23" s="133">
        <v>4.7264747456209032E-2</v>
      </c>
      <c r="L23" s="133">
        <v>2.7760362484522589E-2</v>
      </c>
      <c r="M23" s="133">
        <v>8.7495230728175402E-2</v>
      </c>
      <c r="N23" s="133">
        <v>2.2503994207201811E-2</v>
      </c>
      <c r="O23" s="133">
        <v>6.6575439212378157E-2</v>
      </c>
      <c r="P23" s="133">
        <v>9.3376271030720617E-2</v>
      </c>
      <c r="Q23" s="133">
        <v>0.10120177729685169</v>
      </c>
      <c r="R23" s="133">
        <v>5.9945362921172821E-2</v>
      </c>
      <c r="S23" s="133">
        <v>9.8150509328840452E-2</v>
      </c>
      <c r="T23" s="133">
        <v>8.9369362510028236E-2</v>
      </c>
      <c r="U23" s="133">
        <v>9.7994953299272367E-2</v>
      </c>
      <c r="V23" s="133">
        <v>0.1084567364158182</v>
      </c>
      <c r="W23" s="133">
        <v>7.0251786197672236E-2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0.12663610182567997</v>
      </c>
      <c r="D24" s="133">
        <v>0.15391208220239525</v>
      </c>
      <c r="E24" s="133">
        <v>0.18303758160494185</v>
      </c>
      <c r="F24" s="133">
        <v>0.2698195049589911</v>
      </c>
      <c r="G24" s="133">
        <v>0.24253053698929894</v>
      </c>
      <c r="H24" s="133">
        <v>0.25535235925548955</v>
      </c>
      <c r="I24" s="133">
        <v>0.22355421787386257</v>
      </c>
      <c r="J24" s="133">
        <v>0.14113499209647654</v>
      </c>
      <c r="K24" s="133">
        <v>3.4249809177972358E-2</v>
      </c>
      <c r="L24" s="133">
        <v>2.9097263645646142E-2</v>
      </c>
      <c r="M24" s="133">
        <v>0.11498754443090917</v>
      </c>
      <c r="N24" s="133">
        <v>2.8318152221650371E-2</v>
      </c>
      <c r="O24" s="133">
        <v>8.0546351434400351E-2</v>
      </c>
      <c r="P24" s="133">
        <v>7.9131609593044258E-2</v>
      </c>
      <c r="Q24" s="133">
        <v>7.7953963052719691E-2</v>
      </c>
      <c r="R24" s="133">
        <v>2.4471388390274545E-2</v>
      </c>
      <c r="S24" s="133">
        <v>3.685082104624679E-2</v>
      </c>
      <c r="T24" s="133">
        <v>0</v>
      </c>
      <c r="U24" s="133">
        <v>0</v>
      </c>
      <c r="V24" s="133">
        <v>7.4684940131653586E-3</v>
      </c>
      <c r="W24" s="133">
        <v>5.0514481260568962E-2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0.47190030455620197</v>
      </c>
      <c r="D25" s="133">
        <v>0.41646422620452334</v>
      </c>
      <c r="E25" s="133">
        <v>0.40582821503405608</v>
      </c>
      <c r="F25" s="133">
        <v>0.46616349483385566</v>
      </c>
      <c r="G25" s="133">
        <v>0.24585347445019715</v>
      </c>
      <c r="H25" s="133">
        <v>0.53383123821918876</v>
      </c>
      <c r="I25" s="133">
        <v>0.42649633471354781</v>
      </c>
      <c r="J25" s="133">
        <v>0.27619789465917988</v>
      </c>
      <c r="K25" s="133">
        <v>7.4732016586252586E-2</v>
      </c>
      <c r="L25" s="133">
        <v>6.2096982798209292E-2</v>
      </c>
      <c r="M25" s="133">
        <v>0.25592662813926426</v>
      </c>
      <c r="N25" s="133">
        <v>6.4644254085354694E-2</v>
      </c>
      <c r="O25" s="133">
        <v>0.18666980044218298</v>
      </c>
      <c r="P25" s="133">
        <v>0.18895084483249061</v>
      </c>
      <c r="Q25" s="133">
        <v>0.26761072315196938</v>
      </c>
      <c r="R25" s="133">
        <v>0.10745988042477911</v>
      </c>
      <c r="S25" s="133">
        <v>0.20484644770204691</v>
      </c>
      <c r="T25" s="133">
        <v>0.13929742047257318</v>
      </c>
      <c r="U25" s="133">
        <v>0.1661334334243226</v>
      </c>
      <c r="V25" s="133">
        <v>0.1568333559527573</v>
      </c>
      <c r="W25" s="133">
        <v>0.155781571941631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0.3798230203604982</v>
      </c>
      <c r="D26" s="65">
        <v>0.43425080154870432</v>
      </c>
      <c r="E26" s="65">
        <v>0.50482484596014787</v>
      </c>
      <c r="F26" s="65">
        <v>0.61084906502854619</v>
      </c>
      <c r="G26" s="65">
        <v>0.53575869079612215</v>
      </c>
      <c r="H26" s="65">
        <v>0.79011604797117441</v>
      </c>
      <c r="I26" s="65">
        <v>1.012368490558522</v>
      </c>
      <c r="J26" s="65">
        <v>0.4274644643890142</v>
      </c>
      <c r="K26" s="65">
        <v>3.5122075169695885E-2</v>
      </c>
      <c r="L26" s="65">
        <v>7.5900903666956104E-3</v>
      </c>
      <c r="M26" s="65">
        <v>0.20382392922306738</v>
      </c>
      <c r="N26" s="65">
        <v>1.1597202134430653E-2</v>
      </c>
      <c r="O26" s="65">
        <v>0.1308484370841983</v>
      </c>
      <c r="P26" s="65">
        <v>0.13558399041401392</v>
      </c>
      <c r="Q26" s="65">
        <v>0.16166809437127289</v>
      </c>
      <c r="R26" s="65">
        <v>0.14386744283853856</v>
      </c>
      <c r="S26" s="65">
        <v>0.23734859503460728</v>
      </c>
      <c r="T26" s="65">
        <v>0.22298950371086398</v>
      </c>
      <c r="U26" s="65">
        <v>0.17599682094058017</v>
      </c>
      <c r="V26" s="65">
        <v>0.11447318129589096</v>
      </c>
      <c r="W26" s="65">
        <v>0.11964256650486201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1.6156144145949076</v>
      </c>
      <c r="D29" s="131">
        <f t="shared" si="8"/>
        <v>1.5671043588405076</v>
      </c>
      <c r="E29" s="131">
        <f t="shared" si="8"/>
        <v>1.7101387362774851</v>
      </c>
      <c r="F29" s="131">
        <f t="shared" si="8"/>
        <v>1.9440703635314061</v>
      </c>
      <c r="G29" s="131">
        <f t="shared" si="8"/>
        <v>1.580988519627653</v>
      </c>
      <c r="H29" s="131">
        <f t="shared" si="8"/>
        <v>2.2953706476261826</v>
      </c>
      <c r="I29" s="131">
        <f t="shared" si="8"/>
        <v>2.3078419788005711</v>
      </c>
      <c r="J29" s="131">
        <f t="shared" si="8"/>
        <v>1.3616324269382436</v>
      </c>
      <c r="K29" s="131">
        <f t="shared" si="8"/>
        <v>0.23786017431847728</v>
      </c>
      <c r="L29" s="131">
        <f t="shared" si="8"/>
        <v>0.16021829248452593</v>
      </c>
      <c r="M29" s="131">
        <f t="shared" si="8"/>
        <v>0.80078386012864744</v>
      </c>
      <c r="N29" s="131">
        <f t="shared" si="8"/>
        <v>0.1652046838009899</v>
      </c>
      <c r="O29" s="131">
        <f t="shared" si="8"/>
        <v>0.57152658556050828</v>
      </c>
      <c r="P29" s="131">
        <f t="shared" si="8"/>
        <v>0.61013457380668035</v>
      </c>
      <c r="Q29" s="131">
        <f t="shared" si="8"/>
        <v>0.69230506835025984</v>
      </c>
      <c r="R29" s="131">
        <f t="shared" ref="R29:W29" si="9">SUM(R30:R33)</f>
        <v>0.38311777590133111</v>
      </c>
      <c r="S29" s="131">
        <f t="shared" si="9"/>
        <v>0.65822593672526164</v>
      </c>
      <c r="T29" s="131">
        <f t="shared" si="9"/>
        <v>0.50464488179329969</v>
      </c>
      <c r="U29" s="131">
        <f t="shared" si="9"/>
        <v>0.50398466607511871</v>
      </c>
      <c r="V29" s="131">
        <f t="shared" si="9"/>
        <v>0.44943458352335219</v>
      </c>
      <c r="W29" s="131">
        <f t="shared" si="9"/>
        <v>0.46109366545897285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0.4123348692959557</v>
      </c>
      <c r="D30" s="133">
        <v>8.595893761350766E-2</v>
      </c>
      <c r="E30" s="133">
        <v>0.33863502764455933</v>
      </c>
      <c r="F30" s="133">
        <v>3.6451800305221001E-2</v>
      </c>
      <c r="G30" s="133">
        <v>3.3667701073295933E-2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2.2178520180620834E-2</v>
      </c>
      <c r="O30" s="133">
        <v>6.039245250904883E-2</v>
      </c>
      <c r="P30" s="133">
        <v>9.1552366142425054E-2</v>
      </c>
      <c r="Q30" s="133">
        <v>8.5550317540146831E-2</v>
      </c>
      <c r="R30" s="133">
        <v>7.4094567778768897E-2</v>
      </c>
      <c r="S30" s="133">
        <v>0.11579810484757215</v>
      </c>
      <c r="T30" s="133">
        <v>6.5920087109471639E-3</v>
      </c>
      <c r="U30" s="133">
        <v>0</v>
      </c>
      <c r="V30" s="133">
        <v>0</v>
      </c>
      <c r="W30" s="133">
        <v>1.9926919006085912E-3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0.60584033247892066</v>
      </c>
      <c r="D31" s="133">
        <v>0.62868157686035731</v>
      </c>
      <c r="E31" s="133">
        <v>0.42440653239231169</v>
      </c>
      <c r="F31" s="133">
        <v>0.3916887908154203</v>
      </c>
      <c r="G31" s="133">
        <v>0.27398556325859097</v>
      </c>
      <c r="H31" s="133">
        <v>0.38505240612866432</v>
      </c>
      <c r="I31" s="133">
        <v>0.47910357376100499</v>
      </c>
      <c r="J31" s="133">
        <v>0.33165647679372939</v>
      </c>
      <c r="K31" s="133">
        <v>6.3280830511277961E-2</v>
      </c>
      <c r="L31" s="133">
        <v>2.934788092890387E-2</v>
      </c>
      <c r="M31" s="133">
        <v>3.5138348264914673E-2</v>
      </c>
      <c r="N31" s="133">
        <v>0</v>
      </c>
      <c r="O31" s="133">
        <v>5.4207790516612932E-2</v>
      </c>
      <c r="P31" s="133">
        <v>0.11523398161750339</v>
      </c>
      <c r="Q31" s="133">
        <v>0.1614982359520338</v>
      </c>
      <c r="R31" s="133">
        <v>0.13708422100868656</v>
      </c>
      <c r="S31" s="133">
        <v>0.2362234374114173</v>
      </c>
      <c r="T31" s="133">
        <v>0.20032687911516375</v>
      </c>
      <c r="U31" s="133">
        <v>0.185424743243154</v>
      </c>
      <c r="V31" s="133">
        <v>0.18910299506834372</v>
      </c>
      <c r="W31" s="133">
        <v>0.10344454028626669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0.59743921282003132</v>
      </c>
      <c r="D33" s="68">
        <v>0.85246384436664258</v>
      </c>
      <c r="E33" s="68">
        <v>0.94709717624061418</v>
      </c>
      <c r="F33" s="68">
        <v>1.5159297724107648</v>
      </c>
      <c r="G33" s="68">
        <v>1.2733352552957662</v>
      </c>
      <c r="H33" s="68">
        <v>1.9103182414975182</v>
      </c>
      <c r="I33" s="68">
        <v>1.8287384050395661</v>
      </c>
      <c r="J33" s="68">
        <v>1.0299759501445143</v>
      </c>
      <c r="K33" s="68">
        <v>0.17457934380719931</v>
      </c>
      <c r="L33" s="68">
        <v>0.13087041155562207</v>
      </c>
      <c r="M33" s="68">
        <v>0.76564551186373275</v>
      </c>
      <c r="N33" s="68">
        <v>0.14302616362036907</v>
      </c>
      <c r="O33" s="68">
        <v>0.45692634253484649</v>
      </c>
      <c r="P33" s="68">
        <v>0.40334822604675186</v>
      </c>
      <c r="Q33" s="68">
        <v>0.44525651485807916</v>
      </c>
      <c r="R33" s="68">
        <v>0.1719389871138757</v>
      </c>
      <c r="S33" s="68">
        <v>0.30620439446627223</v>
      </c>
      <c r="T33" s="68">
        <v>0.2977259939671888</v>
      </c>
      <c r="U33" s="68">
        <v>0.31855992283196471</v>
      </c>
      <c r="V33" s="68">
        <v>0.26033158845500848</v>
      </c>
      <c r="W33" s="68">
        <v>0.35565643327209756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0.65875054842944947</v>
      </c>
      <c r="D3" s="127">
        <f>IF(SER_hh_tes_in!D3=0,"",SER_hh_tes_in!D3/SER_hh_fec_in!D3)</f>
        <v>0.64816903947819282</v>
      </c>
      <c r="E3" s="127">
        <f>IF(SER_hh_tes_in!E3=0,"",SER_hh_tes_in!E3/SER_hh_fec_in!E3)</f>
        <v>0.65546931313657575</v>
      </c>
      <c r="F3" s="127">
        <f>IF(SER_hh_tes_in!F3=0,"",SER_hh_tes_in!F3/SER_hh_fec_in!F3)</f>
        <v>0.64817261123939396</v>
      </c>
      <c r="G3" s="127">
        <f>IF(SER_hh_tes_in!G3=0,"",SER_hh_tes_in!G3/SER_hh_fec_in!G3)</f>
        <v>0.66316671108172964</v>
      </c>
      <c r="H3" s="127">
        <f>IF(SER_hh_tes_in!H3=0,"",SER_hh_tes_in!H3/SER_hh_fec_in!H3)</f>
        <v>0.67958442524789919</v>
      </c>
      <c r="I3" s="127">
        <f>IF(SER_hh_tes_in!I3=0,"",SER_hh_tes_in!I3/SER_hh_fec_in!I3)</f>
        <v>0.70035270342190392</v>
      </c>
      <c r="J3" s="127">
        <f>IF(SER_hh_tes_in!J3=0,"",SER_hh_tes_in!J3/SER_hh_fec_in!J3)</f>
        <v>0.73375746081650661</v>
      </c>
      <c r="K3" s="127">
        <f>IF(SER_hh_tes_in!K3=0,"",SER_hh_tes_in!K3/SER_hh_fec_in!K3)</f>
        <v>0.76205141537780496</v>
      </c>
      <c r="L3" s="127">
        <f>IF(SER_hh_tes_in!L3=0,"",SER_hh_tes_in!L3/SER_hh_fec_in!L3)</f>
        <v>0.76086641159318225</v>
      </c>
      <c r="M3" s="127">
        <f>IF(SER_hh_tes_in!M3=0,"",SER_hh_tes_in!M3/SER_hh_fec_in!M3)</f>
        <v>0.75708822330690451</v>
      </c>
      <c r="N3" s="127">
        <f>IF(SER_hh_tes_in!N3=0,"",SER_hh_tes_in!N3/SER_hh_fec_in!N3)</f>
        <v>0.74171464411961063</v>
      </c>
      <c r="O3" s="127">
        <f>IF(SER_hh_tes_in!O3=0,"",SER_hh_tes_in!O3/SER_hh_fec_in!O3)</f>
        <v>0.76383292186645568</v>
      </c>
      <c r="P3" s="127">
        <f>IF(SER_hh_tes_in!P3=0,"",SER_hh_tes_in!P3/SER_hh_fec_in!P3)</f>
        <v>0.81036918352546317</v>
      </c>
      <c r="Q3" s="127">
        <f>IF(SER_hh_tes_in!Q3=0,"",SER_hh_tes_in!Q3/SER_hh_fec_in!Q3)</f>
        <v>0.82741624633692079</v>
      </c>
      <c r="R3" s="127">
        <f>IF(SER_hh_tes_in!R3=0,"",SER_hh_tes_in!R3/SER_hh_fec_in!R3)</f>
        <v>0.83749322990802022</v>
      </c>
      <c r="S3" s="127">
        <f>IF(SER_hh_tes_in!S3=0,"",SER_hh_tes_in!S3/SER_hh_fec_in!S3)</f>
        <v>0.83666920180284376</v>
      </c>
      <c r="T3" s="127">
        <f>IF(SER_hh_tes_in!T3=0,"",SER_hh_tes_in!T3/SER_hh_fec_in!T3)</f>
        <v>0.87661978899228654</v>
      </c>
      <c r="U3" s="127">
        <f>IF(SER_hh_tes_in!U3=0,"",SER_hh_tes_in!U3/SER_hh_fec_in!U3)</f>
        <v>0.8874614114251993</v>
      </c>
      <c r="V3" s="127">
        <f>IF(SER_hh_tes_in!V3=0,"",SER_hh_tes_in!V3/SER_hh_fec_in!V3)</f>
        <v>0.89772080093973627</v>
      </c>
      <c r="W3" s="127">
        <f>IF(SER_hh_tes_in!W3=0,"",SER_hh_tes_in!W3/SER_hh_fec_in!W3)</f>
        <v>0.91377158037251083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0.64838170623251068</v>
      </c>
      <c r="D4" s="136">
        <f>IF(SER_hh_tes_in!D4=0,"",SER_hh_tes_in!D4/SER_hh_fec_in!D4)</f>
        <v>0.6329510831446179</v>
      </c>
      <c r="E4" s="136">
        <f>IF(SER_hh_tes_in!E4=0,"",SER_hh_tes_in!E4/SER_hh_fec_in!E4)</f>
        <v>0.63991718276604237</v>
      </c>
      <c r="F4" s="136">
        <f>IF(SER_hh_tes_in!F4=0,"",SER_hh_tes_in!F4/SER_hh_fec_in!F4)</f>
        <v>0.62863325239306656</v>
      </c>
      <c r="G4" s="136">
        <f>IF(SER_hh_tes_in!G4=0,"",SER_hh_tes_in!G4/SER_hh_fec_in!G4)</f>
        <v>0.63945141143429618</v>
      </c>
      <c r="H4" s="136">
        <f>IF(SER_hh_tes_in!H4=0,"",SER_hh_tes_in!H4/SER_hh_fec_in!H4)</f>
        <v>0.66008742009680255</v>
      </c>
      <c r="I4" s="136">
        <f>IF(SER_hh_tes_in!I4=0,"",SER_hh_tes_in!I4/SER_hh_fec_in!I4)</f>
        <v>0.68562581664878353</v>
      </c>
      <c r="J4" s="136">
        <f>IF(SER_hh_tes_in!J4=0,"",SER_hh_tes_in!J4/SER_hh_fec_in!J4)</f>
        <v>0.71337067273430133</v>
      </c>
      <c r="K4" s="136">
        <f>IF(SER_hh_tes_in!K4=0,"",SER_hh_tes_in!K4/SER_hh_fec_in!K4)</f>
        <v>0.7046989273573544</v>
      </c>
      <c r="L4" s="136">
        <f>IF(SER_hh_tes_in!L4=0,"",SER_hh_tes_in!L4/SER_hh_fec_in!L4)</f>
        <v>0.68515194926646961</v>
      </c>
      <c r="M4" s="136">
        <f>IF(SER_hh_tes_in!M4=0,"",SER_hh_tes_in!M4/SER_hh_fec_in!M4)</f>
        <v>0.6956005942895862</v>
      </c>
      <c r="N4" s="136">
        <f>IF(SER_hh_tes_in!N4=0,"",SER_hh_tes_in!N4/SER_hh_fec_in!N4)</f>
        <v>0.66924653655582889</v>
      </c>
      <c r="O4" s="136">
        <f>IF(SER_hh_tes_in!O4=0,"",SER_hh_tes_in!O4/SER_hh_fec_in!O4)</f>
        <v>0.68888225677540393</v>
      </c>
      <c r="P4" s="136">
        <f>IF(SER_hh_tes_in!P4=0,"",SER_hh_tes_in!P4/SER_hh_fec_in!P4)</f>
        <v>0.74294689923944124</v>
      </c>
      <c r="Q4" s="136">
        <f>IF(SER_hh_tes_in!Q4=0,"",SER_hh_tes_in!Q4/SER_hh_fec_in!Q4)</f>
        <v>0.75487958454734627</v>
      </c>
      <c r="R4" s="136">
        <f>IF(SER_hh_tes_in!R4=0,"",SER_hh_tes_in!R4/SER_hh_fec_in!R4)</f>
        <v>0.77765671510928014</v>
      </c>
      <c r="S4" s="136">
        <f>IF(SER_hh_tes_in!S4=0,"",SER_hh_tes_in!S4/SER_hh_fec_in!S4)</f>
        <v>0.76727925112485718</v>
      </c>
      <c r="T4" s="136">
        <f>IF(SER_hh_tes_in!T4=0,"",SER_hh_tes_in!T4/SER_hh_fec_in!T4)</f>
        <v>0.79580921181684661</v>
      </c>
      <c r="U4" s="136">
        <f>IF(SER_hh_tes_in!U4=0,"",SER_hh_tes_in!U4/SER_hh_fec_in!U4)</f>
        <v>0.80108985455100989</v>
      </c>
      <c r="V4" s="136">
        <f>IF(SER_hh_tes_in!V4=0,"",SER_hh_tes_in!V4/SER_hh_fec_in!V4)</f>
        <v>0.80845015617855487</v>
      </c>
      <c r="W4" s="136">
        <f>IF(SER_hh_tes_in!W4=0,"",SER_hh_tes_in!W4/SER_hh_fec_in!W4)</f>
        <v>0.80266002381120805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0.58678320018119878</v>
      </c>
      <c r="D5" s="137">
        <f>IF(SER_hh_tes_in!D5=0,"",SER_hh_tes_in!D5/SER_hh_fec_in!D5)</f>
        <v>0.59385496596525045</v>
      </c>
      <c r="E5" s="137">
        <f>IF(SER_hh_tes_in!E5=0,"",SER_hh_tes_in!E5/SER_hh_fec_in!E5)</f>
        <v>0.60091224630545026</v>
      </c>
      <c r="F5" s="137">
        <f>IF(SER_hh_tes_in!F5=0,"",SER_hh_tes_in!F5/SER_hh_fec_in!F5)</f>
        <v>0.60796755135785219</v>
      </c>
      <c r="G5" s="137">
        <f>IF(SER_hh_tes_in!G5=0,"",SER_hh_tes_in!G5/SER_hh_fec_in!G5)</f>
        <v>0.61500951616848709</v>
      </c>
      <c r="H5" s="137">
        <f>IF(SER_hh_tes_in!H5=0,"",SER_hh_tes_in!H5/SER_hh_fec_in!H5)</f>
        <v>0.62203953166303705</v>
      </c>
      <c r="I5" s="137">
        <f>IF(SER_hh_tes_in!I5=0,"",SER_hh_tes_in!I5/SER_hh_fec_in!I5)</f>
        <v>0.62905479751651261</v>
      </c>
      <c r="J5" s="137">
        <f>IF(SER_hh_tes_in!J5=0,"",SER_hh_tes_in!J5/SER_hh_fec_in!J5)</f>
        <v>0.63604384178585638</v>
      </c>
      <c r="K5" s="137">
        <f>IF(SER_hh_tes_in!K5=0,"",SER_hh_tes_in!K5/SER_hh_fec_in!K5)</f>
        <v>0.64299691030198614</v>
      </c>
      <c r="L5" s="137">
        <f>IF(SER_hh_tes_in!L5=0,"",SER_hh_tes_in!L5/SER_hh_fec_in!L5)</f>
        <v>0.64991139342477255</v>
      </c>
      <c r="M5" s="137">
        <f>IF(SER_hh_tes_in!M5=0,"",SER_hh_tes_in!M5/SER_hh_fec_in!M5)</f>
        <v>0.65645236946459851</v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0.50625114207808486</v>
      </c>
      <c r="D7" s="137">
        <f>IF(SER_hh_tes_in!D7=0,"",SER_hh_tes_in!D7/SER_hh_fec_in!D7)</f>
        <v>0.51286466914116235</v>
      </c>
      <c r="E7" s="137">
        <f>IF(SER_hh_tes_in!E7=0,"",SER_hh_tes_in!E7/SER_hh_fec_in!E7)</f>
        <v>0.51971296235823117</v>
      </c>
      <c r="F7" s="137">
        <f>IF(SER_hh_tes_in!F7=0,"",SER_hh_tes_in!F7/SER_hh_fec_in!F7)</f>
        <v>0.52652861701070741</v>
      </c>
      <c r="G7" s="137">
        <f>IF(SER_hh_tes_in!G7=0,"",SER_hh_tes_in!G7/SER_hh_fec_in!G7)</f>
        <v>0.53354438941816207</v>
      </c>
      <c r="H7" s="137">
        <f>IF(SER_hh_tes_in!H7=0,"",SER_hh_tes_in!H7/SER_hh_fec_in!H7)</f>
        <v>0.54072478246929723</v>
      </c>
      <c r="I7" s="137">
        <f>IF(SER_hh_tes_in!I7=0,"",SER_hh_tes_in!I7/SER_hh_fec_in!I7)</f>
        <v>0.54812006845644079</v>
      </c>
      <c r="J7" s="137">
        <f>IF(SER_hh_tes_in!J7=0,"",SER_hh_tes_in!J7/SER_hh_fec_in!J7)</f>
        <v>0.55595242286806978</v>
      </c>
      <c r="K7" s="137">
        <f>IF(SER_hh_tes_in!K7=0,"",SER_hh_tes_in!K7/SER_hh_fec_in!K7)</f>
        <v>0.56440200634661519</v>
      </c>
      <c r="L7" s="137">
        <f>IF(SER_hh_tes_in!L7=0,"",SER_hh_tes_in!L7/SER_hh_fec_in!L7)</f>
        <v>0.57350173593941667</v>
      </c>
      <c r="M7" s="137">
        <f>IF(SER_hh_tes_in!M7=0,"",SER_hh_tes_in!M7/SER_hh_fec_in!M7)</f>
        <v>0.58808869448438328</v>
      </c>
      <c r="N7" s="137">
        <f>IF(SER_hh_tes_in!N7=0,"",SER_hh_tes_in!N7/SER_hh_fec_in!N7)</f>
        <v>0.60957327729450694</v>
      </c>
      <c r="O7" s="137">
        <f>IF(SER_hh_tes_in!O7=0,"",SER_hh_tes_in!O7/SER_hh_fec_in!O7)</f>
        <v>0.63875366502409481</v>
      </c>
      <c r="P7" s="137">
        <f>IF(SER_hh_tes_in!P7=0,"",SER_hh_tes_in!P7/SER_hh_fec_in!P7)</f>
        <v>0.67220496484169678</v>
      </c>
      <c r="Q7" s="137">
        <f>IF(SER_hh_tes_in!Q7=0,"",SER_hh_tes_in!Q7/SER_hh_fec_in!Q7)</f>
        <v>0.69988938665729417</v>
      </c>
      <c r="R7" s="137" t="str">
        <f>IF(SER_hh_tes_in!R7=0,"",SER_hh_tes_in!R7/SER_hh_fec_in!R7)</f>
        <v/>
      </c>
      <c r="S7" s="137" t="str">
        <f>IF(SER_hh_tes_in!S7=0,"",SER_hh_tes_in!S7/SER_hh_fec_in!S7)</f>
        <v/>
      </c>
      <c r="T7" s="137">
        <f>IF(SER_hh_tes_in!T7=0,"",SER_hh_tes_in!T7/SER_hh_fec_in!T7)</f>
        <v>0.73021698985807959</v>
      </c>
      <c r="U7" s="137">
        <f>IF(SER_hh_tes_in!U7=0,"",SER_hh_tes_in!U7/SER_hh_fec_in!U7)</f>
        <v>0.73574583915226111</v>
      </c>
      <c r="V7" s="137">
        <f>IF(SER_hh_tes_in!V7=0,"",SER_hh_tes_in!V7/SER_hh_fec_in!V7)</f>
        <v>0.74054268757698405</v>
      </c>
      <c r="W7" s="137">
        <f>IF(SER_hh_tes_in!W7=0,"",SER_hh_tes_in!W7/SER_hh_fec_in!W7)</f>
        <v>0.74364270951628086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0.57774191060965374</v>
      </c>
      <c r="D9" s="137">
        <f>IF(SER_hh_tes_in!D9=0,"",SER_hh_tes_in!D9/SER_hh_fec_in!D9)</f>
        <v>0.58527050740450826</v>
      </c>
      <c r="E9" s="137">
        <f>IF(SER_hh_tes_in!E9=0,"",SER_hh_tes_in!E9/SER_hh_fec_in!E9)</f>
        <v>0.59280155108720256</v>
      </c>
      <c r="F9" s="137">
        <f>IF(SER_hh_tes_in!F9=0,"",SER_hh_tes_in!F9/SER_hh_fec_in!F9)</f>
        <v>0.60023966046770727</v>
      </c>
      <c r="G9" s="137">
        <f>IF(SER_hh_tes_in!G9=0,"",SER_hh_tes_in!G9/SER_hh_fec_in!G9)</f>
        <v>0.60767280601991558</v>
      </c>
      <c r="H9" s="137">
        <f>IF(SER_hh_tes_in!H9=0,"",SER_hh_tes_in!H9/SER_hh_fec_in!H9)</f>
        <v>0.61509113331805121</v>
      </c>
      <c r="I9" s="137">
        <f>IF(SER_hh_tes_in!I9=0,"",SER_hh_tes_in!I9/SER_hh_fec_in!I9)</f>
        <v>0.62251724104657902</v>
      </c>
      <c r="J9" s="137">
        <f>IF(SER_hh_tes_in!J9=0,"",SER_hh_tes_in!J9/SER_hh_fec_in!J9)</f>
        <v>0.63004159664330861</v>
      </c>
      <c r="K9" s="137">
        <f>IF(SER_hh_tes_in!K9=0,"",SER_hh_tes_in!K9/SER_hh_fec_in!K9)</f>
        <v>0.63774227162889596</v>
      </c>
      <c r="L9" s="137">
        <f>IF(SER_hh_tes_in!L9=0,"",SER_hh_tes_in!L9/SER_hh_fec_in!L9)</f>
        <v>0.64564216883399228</v>
      </c>
      <c r="M9" s="137">
        <f>IF(SER_hh_tes_in!M9=0,"",SER_hh_tes_in!M9/SER_hh_fec_in!M9)</f>
        <v>0.65574015877920788</v>
      </c>
      <c r="N9" s="137" t="str">
        <f>IF(SER_hh_tes_in!N9=0,"",SER_hh_tes_in!N9/SER_hh_fec_in!N9)</f>
        <v/>
      </c>
      <c r="O9" s="137" t="str">
        <f>IF(SER_hh_tes_in!O9=0,"",SER_hh_tes_in!O9/SER_hh_fec_in!O9)</f>
        <v/>
      </c>
      <c r="P9" s="137">
        <f>IF(SER_hh_tes_in!P9=0,"",SER_hh_tes_in!P9/SER_hh_fec_in!P9)</f>
        <v>0.70289092113283447</v>
      </c>
      <c r="Q9" s="137">
        <f>IF(SER_hh_tes_in!Q9=0,"",SER_hh_tes_in!Q9/SER_hh_fec_in!Q9)</f>
        <v>0.71814740051569748</v>
      </c>
      <c r="R9" s="137">
        <f>IF(SER_hh_tes_in!R9=0,"",SER_hh_tes_in!R9/SER_hh_fec_in!R9)</f>
        <v>0.7268187437657605</v>
      </c>
      <c r="S9" s="137">
        <f>IF(SER_hh_tes_in!S9=0,"",SER_hh_tes_in!S9/SER_hh_fec_in!S9)</f>
        <v>0.73351253027779739</v>
      </c>
      <c r="T9" s="137">
        <f>IF(SER_hh_tes_in!T9=0,"",SER_hh_tes_in!T9/SER_hh_fec_in!T9)</f>
        <v>0.73884673238094667</v>
      </c>
      <c r="U9" s="137">
        <f>IF(SER_hh_tes_in!U9=0,"",SER_hh_tes_in!U9/SER_hh_fec_in!U9)</f>
        <v>0.74328819766205023</v>
      </c>
      <c r="V9" s="137">
        <f>IF(SER_hh_tes_in!V9=0,"",SER_hh_tes_in!V9/SER_hh_fec_in!V9)</f>
        <v>0.74714397317935244</v>
      </c>
      <c r="W9" s="137">
        <f>IF(SER_hh_tes_in!W9=0,"",SER_hh_tes_in!W9/SER_hh_fec_in!W9)</f>
        <v>0.74981152713491095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0.53053485139087098</v>
      </c>
      <c r="D10" s="137">
        <f>IF(SER_hh_tes_in!D10=0,"",SER_hh_tes_in!D10/SER_hh_fec_in!D10)</f>
        <v>0.53080088179995788</v>
      </c>
      <c r="E10" s="137">
        <f>IF(SER_hh_tes_in!E10=0,"",SER_hh_tes_in!E10/SER_hh_fec_in!E10)</f>
        <v>0.5310694412208079</v>
      </c>
      <c r="F10" s="137">
        <f>IF(SER_hh_tes_in!F10=0,"",SER_hh_tes_in!F10/SER_hh_fec_in!F10)</f>
        <v>0.53134027148753227</v>
      </c>
      <c r="G10" s="137">
        <f>IF(SER_hh_tes_in!G10=0,"",SER_hh_tes_in!G10/SER_hh_fec_in!G10)</f>
        <v>0.53161311596830974</v>
      </c>
      <c r="H10" s="137">
        <f>IF(SER_hh_tes_in!H10=0,"",SER_hh_tes_in!H10/SER_hh_fec_in!H10)</f>
        <v>0.53188766890627703</v>
      </c>
      <c r="I10" s="137">
        <f>IF(SER_hh_tes_in!I10=0,"",SER_hh_tes_in!I10/SER_hh_fec_in!I10)</f>
        <v>0.5321635282528463</v>
      </c>
      <c r="J10" s="137" t="str">
        <f>IF(SER_hh_tes_in!J10=0,"",SER_hh_tes_in!J10/SER_hh_fec_in!J10)</f>
        <v/>
      </c>
      <c r="K10" s="137">
        <f>IF(SER_hh_tes_in!K10=0,"",SER_hh_tes_in!K10/SER_hh_fec_in!K10)</f>
        <v>0.53271541880242068</v>
      </c>
      <c r="L10" s="137">
        <f>IF(SER_hh_tes_in!L10=0,"",SER_hh_tes_in!L10/SER_hh_fec_in!L10)</f>
        <v>0.53298928547790969</v>
      </c>
      <c r="M10" s="137">
        <f>IF(SER_hh_tes_in!M10=0,"",SER_hh_tes_in!M10/SER_hh_fec_in!M10)</f>
        <v>0.53324150583430707</v>
      </c>
      <c r="N10" s="137">
        <f>IF(SER_hh_tes_in!N10=0,"",SER_hh_tes_in!N10/SER_hh_fec_in!N10)</f>
        <v>0.53346138564906642</v>
      </c>
      <c r="O10" s="137">
        <f>IF(SER_hh_tes_in!O10=0,"",SER_hh_tes_in!O10/SER_hh_fec_in!O10)</f>
        <v>0.53364313954150822</v>
      </c>
      <c r="P10" s="137">
        <f>IF(SER_hh_tes_in!P10=0,"",SER_hh_tes_in!P10/SER_hh_fec_in!P10)</f>
        <v>0.53380233928879228</v>
      </c>
      <c r="Q10" s="137">
        <f>IF(SER_hh_tes_in!Q10=0,"",SER_hh_tes_in!Q10/SER_hh_fec_in!Q10)</f>
        <v>0.53399187008439197</v>
      </c>
      <c r="R10" s="137">
        <f>IF(SER_hh_tes_in!R10=0,"",SER_hh_tes_in!R10/SER_hh_fec_in!R10)</f>
        <v>0.53427132725762583</v>
      </c>
      <c r="S10" s="137">
        <f>IF(SER_hh_tes_in!S10=0,"",SER_hh_tes_in!S10/SER_hh_fec_in!S10)</f>
        <v>0.53458453480319235</v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0.78303422482112661</v>
      </c>
      <c r="D12" s="137">
        <f>IF(SER_hh_tes_in!D12=0,"",SER_hh_tes_in!D12/SER_hh_fec_in!D12)</f>
        <v>0.78562597732326411</v>
      </c>
      <c r="E12" s="137">
        <f>IF(SER_hh_tes_in!E12=0,"",SER_hh_tes_in!E12/SER_hh_fec_in!E12)</f>
        <v>0.78828770038129881</v>
      </c>
      <c r="F12" s="137">
        <f>IF(SER_hh_tes_in!F12=0,"",SER_hh_tes_in!F12/SER_hh_fec_in!F12)</f>
        <v>0.79095896487877415</v>
      </c>
      <c r="G12" s="137">
        <f>IF(SER_hh_tes_in!G12=0,"",SER_hh_tes_in!G12/SER_hh_fec_in!G12)</f>
        <v>0.79369466814263012</v>
      </c>
      <c r="H12" s="137">
        <f>IF(SER_hh_tes_in!H12=0,"",SER_hh_tes_in!H12/SER_hh_fec_in!H12)</f>
        <v>0.79648809143893162</v>
      </c>
      <c r="I12" s="137">
        <f>IF(SER_hh_tes_in!I12=0,"",SER_hh_tes_in!I12/SER_hh_fec_in!I12)</f>
        <v>0.79935276147064049</v>
      </c>
      <c r="J12" s="137">
        <f>IF(SER_hh_tes_in!J12=0,"",SER_hh_tes_in!J12/SER_hh_fec_in!J12)</f>
        <v>0.80234409236529658</v>
      </c>
      <c r="K12" s="137">
        <f>IF(SER_hh_tes_in!K12=0,"",SER_hh_tes_in!K12/SER_hh_fec_in!K12)</f>
        <v>0.80550920070695631</v>
      </c>
      <c r="L12" s="137">
        <f>IF(SER_hh_tes_in!L12=0,"",SER_hh_tes_in!L12/SER_hh_fec_in!L12)</f>
        <v>0.80886069211353762</v>
      </c>
      <c r="M12" s="137">
        <f>IF(SER_hh_tes_in!M12=0,"",SER_hh_tes_in!M12/SER_hh_fec_in!M12)</f>
        <v>0.8135012503694411</v>
      </c>
      <c r="N12" s="137">
        <f>IF(SER_hh_tes_in!N12=0,"",SER_hh_tes_in!N12/SER_hh_fec_in!N12)</f>
        <v>0.81977951642401459</v>
      </c>
      <c r="O12" s="137">
        <f>IF(SER_hh_tes_in!O12=0,"",SER_hh_tes_in!O12/SER_hh_fec_in!O12)</f>
        <v>0.82800111643424079</v>
      </c>
      <c r="P12" s="137">
        <f>IF(SER_hh_tes_in!P12=0,"",SER_hh_tes_in!P12/SER_hh_fec_in!P12)</f>
        <v>0.83758457422881782</v>
      </c>
      <c r="Q12" s="137">
        <f>IF(SER_hh_tes_in!Q12=0,"",SER_hh_tes_in!Q12/SER_hh_fec_in!Q12)</f>
        <v>0.84662634677412929</v>
      </c>
      <c r="R12" s="137">
        <f>IF(SER_hh_tes_in!R12=0,"",SER_hh_tes_in!R12/SER_hh_fec_in!R12)</f>
        <v>0.8535547552985997</v>
      </c>
      <c r="S12" s="137">
        <f>IF(SER_hh_tes_in!S12=0,"",SER_hh_tes_in!S12/SER_hh_fec_in!S12)</f>
        <v>0.86029493858260242</v>
      </c>
      <c r="T12" s="137">
        <f>IF(SER_hh_tes_in!T12=0,"",SER_hh_tes_in!T12/SER_hh_fec_in!T12)</f>
        <v>0.86680186161145956</v>
      </c>
      <c r="U12" s="137">
        <f>IF(SER_hh_tes_in!U12=0,"",SER_hh_tes_in!U12/SER_hh_fec_in!U12)</f>
        <v>0.87303048937051408</v>
      </c>
      <c r="V12" s="137">
        <f>IF(SER_hh_tes_in!V12=0,"",SER_hh_tes_in!V12/SER_hh_fec_in!V12)</f>
        <v>0.87893578684510087</v>
      </c>
      <c r="W12" s="137">
        <f>IF(SER_hh_tes_in!W12=0,"",SER_hh_tes_in!W12/SER_hh_fec_in!W12)</f>
        <v>0.88437570403671117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1.326995837736848</v>
      </c>
      <c r="D13" s="137">
        <f>IF(SER_hh_tes_in!D13=0,"",SER_hh_tes_in!D13/SER_hh_fec_in!D13)</f>
        <v>1.4276567055908118</v>
      </c>
      <c r="E13" s="137">
        <f>IF(SER_hh_tes_in!E13=0,"",SER_hh_tes_in!E13/SER_hh_fec_in!E13)</f>
        <v>1.5312005174773726</v>
      </c>
      <c r="F13" s="137">
        <f>IF(SER_hh_tes_in!F13=0,"",SER_hh_tes_in!F13/SER_hh_fec_in!F13)</f>
        <v>1.6371968575938394</v>
      </c>
      <c r="G13" s="137">
        <f>IF(SER_hh_tes_in!G13=0,"",SER_hh_tes_in!G13/SER_hh_fec_in!G13)</f>
        <v>1.7460033106245672</v>
      </c>
      <c r="H13" s="137">
        <f>IF(SER_hh_tes_in!H13=0,"",SER_hh_tes_in!H13/SER_hh_fec_in!H13)</f>
        <v>1.8575524039534108</v>
      </c>
      <c r="I13" s="137">
        <f>IF(SER_hh_tes_in!I13=0,"",SER_hh_tes_in!I13/SER_hh_fec_in!I13)</f>
        <v>1.9719075515759168</v>
      </c>
      <c r="J13" s="137">
        <f>IF(SER_hh_tes_in!J13=0,"",SER_hh_tes_in!J13/SER_hh_fec_in!J13)</f>
        <v>2.0893835389694098</v>
      </c>
      <c r="K13" s="137">
        <f>IF(SER_hh_tes_in!K13=0,"",SER_hh_tes_in!K13/SER_hh_fec_in!K13)</f>
        <v>2.2102133314819397</v>
      </c>
      <c r="L13" s="137">
        <f>IF(SER_hh_tes_in!L13=0,"",SER_hh_tes_in!L13/SER_hh_fec_in!L13)</f>
        <v>2.3343964317754615</v>
      </c>
      <c r="M13" s="137">
        <f>IF(SER_hh_tes_in!M13=0,"",SER_hh_tes_in!M13/SER_hh_fec_in!M13)</f>
        <v>2.4709455346555331</v>
      </c>
      <c r="N13" s="137">
        <f>IF(SER_hh_tes_in!N13=0,"",SER_hh_tes_in!N13/SER_hh_fec_in!N13)</f>
        <v>2.6221501494001962</v>
      </c>
      <c r="O13" s="137">
        <f>IF(SER_hh_tes_in!O13=0,"",SER_hh_tes_in!O13/SER_hh_fec_in!O13)</f>
        <v>2.7864824112528761</v>
      </c>
      <c r="P13" s="137">
        <f>IF(SER_hh_tes_in!P13=0,"",SER_hh_tes_in!P13/SER_hh_fec_in!P13)</f>
        <v>2.9514309212048921</v>
      </c>
      <c r="Q13" s="137">
        <f>IF(SER_hh_tes_in!Q13=0,"",SER_hh_tes_in!Q13/SER_hh_fec_in!Q13)</f>
        <v>3.0866453705397818</v>
      </c>
      <c r="R13" s="137">
        <f>IF(SER_hh_tes_in!R13=0,"",SER_hh_tes_in!R13/SER_hh_fec_in!R13)</f>
        <v>3.1401825173559361</v>
      </c>
      <c r="S13" s="137">
        <f>IF(SER_hh_tes_in!S13=0,"",SER_hh_tes_in!S13/SER_hh_fec_in!S13)</f>
        <v>3.1740694300239034</v>
      </c>
      <c r="T13" s="137">
        <f>IF(SER_hh_tes_in!T13=0,"",SER_hh_tes_in!T13/SER_hh_fec_in!T13)</f>
        <v>3.1958033424654464</v>
      </c>
      <c r="U13" s="137">
        <f>IF(SER_hh_tes_in!U13=0,"",SER_hh_tes_in!U13/SER_hh_fec_in!U13)</f>
        <v>3.2131005558328276</v>
      </c>
      <c r="V13" s="137">
        <f>IF(SER_hh_tes_in!V13=0,"",SER_hh_tes_in!V13/SER_hh_fec_in!V13)</f>
        <v>3.2339804698822507</v>
      </c>
      <c r="W13" s="137">
        <f>IF(SER_hh_tes_in!W13=0,"",SER_hh_tes_in!W13/SER_hh_fec_in!W13)</f>
        <v>3.2578504819237022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0.70911070637630236</v>
      </c>
      <c r="D14" s="138">
        <f>IF(SER_hh_tes_in!D14=0,"",SER_hh_tes_in!D14/SER_hh_fec_in!D14)</f>
        <v>0.71274307962141814</v>
      </c>
      <c r="E14" s="138">
        <f>IF(SER_hh_tes_in!E14=0,"",SER_hh_tes_in!E14/SER_hh_fec_in!E14)</f>
        <v>0.71646864362767271</v>
      </c>
      <c r="F14" s="138">
        <f>IF(SER_hh_tes_in!F14=0,"",SER_hh_tes_in!F14/SER_hh_fec_in!F14)</f>
        <v>0.72020679425779033</v>
      </c>
      <c r="G14" s="138">
        <f>IF(SER_hh_tes_in!G14=0,"",SER_hh_tes_in!G14/SER_hh_fec_in!G14)</f>
        <v>0.72403071004046227</v>
      </c>
      <c r="H14" s="138">
        <f>IF(SER_hh_tes_in!H14=0,"",SER_hh_tes_in!H14/SER_hh_fec_in!H14)</f>
        <v>0.72793138291968162</v>
      </c>
      <c r="I14" s="138">
        <f>IF(SER_hh_tes_in!I14=0,"",SER_hh_tes_in!I14/SER_hh_fec_in!I14)</f>
        <v>0.73192676935557188</v>
      </c>
      <c r="J14" s="138" t="str">
        <f>IF(SER_hh_tes_in!J14=0,"",SER_hh_tes_in!J14/SER_hh_fec_in!J14)</f>
        <v/>
      </c>
      <c r="K14" s="138" t="str">
        <f>IF(SER_hh_tes_in!K14=0,"",SER_hh_tes_in!K14/SER_hh_fec_in!K14)</f>
        <v/>
      </c>
      <c r="L14" s="138" t="str">
        <f>IF(SER_hh_tes_in!L14=0,"",SER_hh_tes_in!L14/SER_hh_fec_in!L14)</f>
        <v/>
      </c>
      <c r="M14" s="138">
        <f>IF(SER_hh_tes_in!M14=0,"",SER_hh_tes_in!M14/SER_hh_fec_in!M14)</f>
        <v>0.75129850258517661</v>
      </c>
      <c r="N14" s="138">
        <f>IF(SER_hh_tes_in!N14=0,"",SER_hh_tes_in!N14/SER_hh_fec_in!N14)</f>
        <v>0.75938072415137559</v>
      </c>
      <c r="O14" s="138">
        <f>IF(SER_hh_tes_in!O14=0,"",SER_hh_tes_in!O14/SER_hh_fec_in!O14)</f>
        <v>0.76987327173015196</v>
      </c>
      <c r="P14" s="138">
        <f>IF(SER_hh_tes_in!P14=0,"",SER_hh_tes_in!P14/SER_hh_fec_in!P14)</f>
        <v>0.78242773656066789</v>
      </c>
      <c r="Q14" s="138" t="str">
        <f>IF(SER_hh_tes_in!Q14=0,"",SER_hh_tes_in!Q14/SER_hh_fec_in!Q14)</f>
        <v/>
      </c>
      <c r="R14" s="138">
        <f>IF(SER_hh_tes_in!R14=0,"",SER_hh_tes_in!R14/SER_hh_fec_in!R14)</f>
        <v>0.81011292012613056</v>
      </c>
      <c r="S14" s="138">
        <f>IF(SER_hh_tes_in!S14=0,"",SER_hh_tes_in!S14/SER_hh_fec_in!S14)</f>
        <v>0.82681346413354972</v>
      </c>
      <c r="T14" s="138">
        <f>IF(SER_hh_tes_in!T14=0,"",SER_hh_tes_in!T14/SER_hh_fec_in!T14)</f>
        <v>0.84371158032609772</v>
      </c>
      <c r="U14" s="138">
        <f>IF(SER_hh_tes_in!U14=0,"",SER_hh_tes_in!U14/SER_hh_fec_in!U14)</f>
        <v>0.85865171172686394</v>
      </c>
      <c r="V14" s="138">
        <f>IF(SER_hh_tes_in!V14=0,"",SER_hh_tes_in!V14/SER_hh_fec_in!V14)</f>
        <v>0.86947211331571173</v>
      </c>
      <c r="W14" s="138">
        <f>IF(SER_hh_tes_in!W14=0,"",SER_hh_tes_in!W14/SER_hh_fec_in!W14)</f>
        <v>0.87490781265408601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2.6978191081046989</v>
      </c>
      <c r="D16" s="136">
        <f>IF(SER_hh_tes_in!D16=0,"",SER_hh_tes_in!D16/SER_hh_fec_in!D16)</f>
        <v>2.7969824571860613</v>
      </c>
      <c r="E16" s="136">
        <f>IF(SER_hh_tes_in!E16=0,"",SER_hh_tes_in!E16/SER_hh_fec_in!E16)</f>
        <v>2.8971928346811482</v>
      </c>
      <c r="F16" s="136">
        <f>IF(SER_hh_tes_in!F16=0,"",SER_hh_tes_in!F16/SER_hh_fec_in!F16)</f>
        <v>2.9975108352433377</v>
      </c>
      <c r="G16" s="136">
        <f>IF(SER_hh_tes_in!G16=0,"",SER_hh_tes_in!G16/SER_hh_fec_in!G16)</f>
        <v>3.0987821050683886</v>
      </c>
      <c r="H16" s="136">
        <f>IF(SER_hh_tes_in!H16=0,"",SER_hh_tes_in!H16/SER_hh_fec_in!H16)</f>
        <v>3.2008976521710255</v>
      </c>
      <c r="I16" s="136">
        <f>IF(SER_hh_tes_in!I16=0,"",SER_hh_tes_in!I16/SER_hh_fec_in!I16)</f>
        <v>3.3040601315675682</v>
      </c>
      <c r="J16" s="136">
        <f>IF(SER_hh_tes_in!J16=0,"",SER_hh_tes_in!J16/SER_hh_fec_in!J16)</f>
        <v>3.4091124964567441</v>
      </c>
      <c r="K16" s="136">
        <f>IF(SER_hh_tes_in!K16=0,"",SER_hh_tes_in!K16/SER_hh_fec_in!K16)</f>
        <v>3.5167635198895053</v>
      </c>
      <c r="L16" s="136">
        <f>IF(SER_hh_tes_in!L16=0,"",SER_hh_tes_in!L16/SER_hh_fec_in!L16)</f>
        <v>3.6271884418523888</v>
      </c>
      <c r="M16" s="136">
        <f>IF(SER_hh_tes_in!M16=0,"",SER_hh_tes_in!M16/SER_hh_fec_in!M16)</f>
        <v>3.7590806059274238</v>
      </c>
      <c r="N16" s="136">
        <f>IF(SER_hh_tes_in!N16=0,"",SER_hh_tes_in!N16/SER_hh_fec_in!N16)</f>
        <v>3.9185575965316257</v>
      </c>
      <c r="O16" s="136">
        <f>IF(SER_hh_tes_in!O16=0,"",SER_hh_tes_in!O16/SER_hh_fec_in!O16)</f>
        <v>4.1090015068198387</v>
      </c>
      <c r="P16" s="136">
        <f>IF(SER_hh_tes_in!P16=0,"",SER_hh_tes_in!P16/SER_hh_fec_in!P16)</f>
        <v>4.3155338266812784</v>
      </c>
      <c r="Q16" s="136">
        <f>IF(SER_hh_tes_in!Q16=0,"",SER_hh_tes_in!Q16/SER_hh_fec_in!Q16)</f>
        <v>4.4930243123824587</v>
      </c>
      <c r="R16" s="136">
        <f>IF(SER_hh_tes_in!R16=0,"",SER_hh_tes_in!R16/SER_hh_fec_in!R16)</f>
        <v>4.6043744269337123</v>
      </c>
      <c r="S16" s="136">
        <f>IF(SER_hh_tes_in!S16=0,"",SER_hh_tes_in!S16/SER_hh_fec_in!S16)</f>
        <v>4.6930036508923711</v>
      </c>
      <c r="T16" s="136">
        <f>IF(SER_hh_tes_in!T16=0,"",SER_hh_tes_in!T16/SER_hh_fec_in!T16)</f>
        <v>4.7670567413717215</v>
      </c>
      <c r="U16" s="136">
        <f>IF(SER_hh_tes_in!U16=0,"",SER_hh_tes_in!U16/SER_hh_fec_in!U16)</f>
        <v>4.8344725798851327</v>
      </c>
      <c r="V16" s="136">
        <f>IF(SER_hh_tes_in!V16=0,"",SER_hh_tes_in!V16/SER_hh_fec_in!V16)</f>
        <v>4.9032104020407283</v>
      </c>
      <c r="W16" s="136">
        <f>IF(SER_hh_tes_in!W16=0,"",SER_hh_tes_in!W16/SER_hh_fec_in!W16)</f>
        <v>4.9705056900997118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2.6978191081046989</v>
      </c>
      <c r="D18" s="137">
        <f>IF(SER_hh_tes_in!D18=0,"",SER_hh_tes_in!D18/SER_hh_fec_in!D18)</f>
        <v>2.7969824571860613</v>
      </c>
      <c r="E18" s="137">
        <f>IF(SER_hh_tes_in!E18=0,"",SER_hh_tes_in!E18/SER_hh_fec_in!E18)</f>
        <v>2.8971928346811482</v>
      </c>
      <c r="F18" s="137">
        <f>IF(SER_hh_tes_in!F18=0,"",SER_hh_tes_in!F18/SER_hh_fec_in!F18)</f>
        <v>2.9975108352433377</v>
      </c>
      <c r="G18" s="137">
        <f>IF(SER_hh_tes_in!G18=0,"",SER_hh_tes_in!G18/SER_hh_fec_in!G18)</f>
        <v>3.0987821050683886</v>
      </c>
      <c r="H18" s="137">
        <f>IF(SER_hh_tes_in!H18=0,"",SER_hh_tes_in!H18/SER_hh_fec_in!H18)</f>
        <v>3.2008976521710255</v>
      </c>
      <c r="I18" s="137">
        <f>IF(SER_hh_tes_in!I18=0,"",SER_hh_tes_in!I18/SER_hh_fec_in!I18)</f>
        <v>3.3040601315675682</v>
      </c>
      <c r="J18" s="137">
        <f>IF(SER_hh_tes_in!J18=0,"",SER_hh_tes_in!J18/SER_hh_fec_in!J18)</f>
        <v>3.4091124964567441</v>
      </c>
      <c r="K18" s="137">
        <f>IF(SER_hh_tes_in!K18=0,"",SER_hh_tes_in!K18/SER_hh_fec_in!K18)</f>
        <v>3.5167635198895053</v>
      </c>
      <c r="L18" s="137">
        <f>IF(SER_hh_tes_in!L18=0,"",SER_hh_tes_in!L18/SER_hh_fec_in!L18)</f>
        <v>3.6271884418523888</v>
      </c>
      <c r="M18" s="137">
        <f>IF(SER_hh_tes_in!M18=0,"",SER_hh_tes_in!M18/SER_hh_fec_in!M18)</f>
        <v>3.7590806059274238</v>
      </c>
      <c r="N18" s="137">
        <f>IF(SER_hh_tes_in!N18=0,"",SER_hh_tes_in!N18/SER_hh_fec_in!N18)</f>
        <v>3.9185575965316257</v>
      </c>
      <c r="O18" s="137">
        <f>IF(SER_hh_tes_in!O18=0,"",SER_hh_tes_in!O18/SER_hh_fec_in!O18)</f>
        <v>4.1090015068198387</v>
      </c>
      <c r="P18" s="137">
        <f>IF(SER_hh_tes_in!P18=0,"",SER_hh_tes_in!P18/SER_hh_fec_in!P18)</f>
        <v>4.3155338266812784</v>
      </c>
      <c r="Q18" s="137">
        <f>IF(SER_hh_tes_in!Q18=0,"",SER_hh_tes_in!Q18/SER_hh_fec_in!Q18)</f>
        <v>4.4930243123824587</v>
      </c>
      <c r="R18" s="137">
        <f>IF(SER_hh_tes_in!R18=0,"",SER_hh_tes_in!R18/SER_hh_fec_in!R18)</f>
        <v>4.6043744269337123</v>
      </c>
      <c r="S18" s="137">
        <f>IF(SER_hh_tes_in!S18=0,"",SER_hh_tes_in!S18/SER_hh_fec_in!S18)</f>
        <v>4.6930036508923711</v>
      </c>
      <c r="T18" s="137">
        <f>IF(SER_hh_tes_in!T18=0,"",SER_hh_tes_in!T18/SER_hh_fec_in!T18)</f>
        <v>4.7670567413717215</v>
      </c>
      <c r="U18" s="137">
        <f>IF(SER_hh_tes_in!U18=0,"",SER_hh_tes_in!U18/SER_hh_fec_in!U18)</f>
        <v>4.8344725798851327</v>
      </c>
      <c r="V18" s="137">
        <f>IF(SER_hh_tes_in!V18=0,"",SER_hh_tes_in!V18/SER_hh_fec_in!V18)</f>
        <v>4.9032104020407283</v>
      </c>
      <c r="W18" s="137">
        <f>IF(SER_hh_tes_in!W18=0,"",SER_hh_tes_in!W18/SER_hh_fec_in!W18)</f>
        <v>4.9705056900997118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0.66241045109069585</v>
      </c>
      <c r="D19" s="136">
        <f>IF(SER_hh_tes_in!D19=0,"",SER_hh_tes_in!D19/SER_hh_fec_in!D19)</f>
        <v>0.64930072795165095</v>
      </c>
      <c r="E19" s="136">
        <f>IF(SER_hh_tes_in!E19=0,"",SER_hh_tes_in!E19/SER_hh_fec_in!E19)</f>
        <v>0.65344411750195552</v>
      </c>
      <c r="F19" s="136">
        <f>IF(SER_hh_tes_in!F19=0,"",SER_hh_tes_in!F19/SER_hh_fec_in!F19)</f>
        <v>0.65842096770835512</v>
      </c>
      <c r="G19" s="136">
        <f>IF(SER_hh_tes_in!G19=0,"",SER_hh_tes_in!G19/SER_hh_fec_in!G19)</f>
        <v>0.649466357401836</v>
      </c>
      <c r="H19" s="136">
        <f>IF(SER_hh_tes_in!H19=0,"",SER_hh_tes_in!H19/SER_hh_fec_in!H19)</f>
        <v>0.67084699716441298</v>
      </c>
      <c r="I19" s="136">
        <f>IF(SER_hh_tes_in!I19=0,"",SER_hh_tes_in!I19/SER_hh_fec_in!I19)</f>
        <v>0.67083724652717736</v>
      </c>
      <c r="J19" s="136">
        <f>IF(SER_hh_tes_in!J19=0,"",SER_hh_tes_in!J19/SER_hh_fec_in!J19)</f>
        <v>0.67153062584775713</v>
      </c>
      <c r="K19" s="136">
        <f>IF(SER_hh_tes_in!K19=0,"",SER_hh_tes_in!K19/SER_hh_fec_in!K19)</f>
        <v>0.68957918889650793</v>
      </c>
      <c r="L19" s="136">
        <f>IF(SER_hh_tes_in!L19=0,"",SER_hh_tes_in!L19/SER_hh_fec_in!L19)</f>
        <v>0.70385378196273629</v>
      </c>
      <c r="M19" s="136">
        <f>IF(SER_hh_tes_in!M19=0,"",SER_hh_tes_in!M19/SER_hh_fec_in!M19)</f>
        <v>0.71196393401229074</v>
      </c>
      <c r="N19" s="136">
        <f>IF(SER_hh_tes_in!N19=0,"",SER_hh_tes_in!N19/SER_hh_fec_in!N19)</f>
        <v>0.72877078284386043</v>
      </c>
      <c r="O19" s="136">
        <f>IF(SER_hh_tes_in!O19=0,"",SER_hh_tes_in!O19/SER_hh_fec_in!O19)</f>
        <v>0.74369049999669579</v>
      </c>
      <c r="P19" s="136">
        <f>IF(SER_hh_tes_in!P19=0,"",SER_hh_tes_in!P19/SER_hh_fec_in!P19)</f>
        <v>0.76481278557620869</v>
      </c>
      <c r="Q19" s="136">
        <f>IF(SER_hh_tes_in!Q19=0,"",SER_hh_tes_in!Q19/SER_hh_fec_in!Q19)</f>
        <v>0.79486153397728054</v>
      </c>
      <c r="R19" s="136">
        <f>IF(SER_hh_tes_in!R19=0,"",SER_hh_tes_in!R19/SER_hh_fec_in!R19)</f>
        <v>0.80901253737282608</v>
      </c>
      <c r="S19" s="136">
        <f>IF(SER_hh_tes_in!S19=0,"",SER_hh_tes_in!S19/SER_hh_fec_in!S19)</f>
        <v>0.82857057357802577</v>
      </c>
      <c r="T19" s="136">
        <f>IF(SER_hh_tes_in!T19=0,"",SER_hh_tes_in!T19/SER_hh_fec_in!T19)</f>
        <v>0.84768619753471575</v>
      </c>
      <c r="U19" s="136">
        <f>IF(SER_hh_tes_in!U19=0,"",SER_hh_tes_in!U19/SER_hh_fec_in!U19)</f>
        <v>0.86215526592171776</v>
      </c>
      <c r="V19" s="136">
        <f>IF(SER_hh_tes_in!V19=0,"",SER_hh_tes_in!V19/SER_hh_fec_in!V19)</f>
        <v>0.868115677926664</v>
      </c>
      <c r="W19" s="136">
        <f>IF(SER_hh_tes_in!W19=0,"",SER_hh_tes_in!W19/SER_hh_fec_in!W19)</f>
        <v>0.86928158466144201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0.51412653462415636</v>
      </c>
      <c r="D22" s="137">
        <f>IF(SER_hh_tes_in!D22=0,"",SER_hh_tes_in!D22/SER_hh_fec_in!D22)</f>
        <v>0.51640872562915396</v>
      </c>
      <c r="E22" s="137">
        <f>IF(SER_hh_tes_in!E22=0,"",SER_hh_tes_in!E22/SER_hh_fec_in!E22)</f>
        <v>0.51906871950148692</v>
      </c>
      <c r="F22" s="137">
        <f>IF(SER_hh_tes_in!F22=0,"",SER_hh_tes_in!F22/SER_hh_fec_in!F22)</f>
        <v>0.52178023194663825</v>
      </c>
      <c r="G22" s="137">
        <f>IF(SER_hh_tes_in!G22=0,"",SER_hh_tes_in!G22/SER_hh_fec_in!G22)</f>
        <v>0.52483967861060177</v>
      </c>
      <c r="H22" s="137">
        <f>IF(SER_hh_tes_in!H22=0,"",SER_hh_tes_in!H22/SER_hh_fec_in!H22)</f>
        <v>0.52821078199189042</v>
      </c>
      <c r="I22" s="137">
        <f>IF(SER_hh_tes_in!I22=0,"",SER_hh_tes_in!I22/SER_hh_fec_in!I22)</f>
        <v>0.5319665789143383</v>
      </c>
      <c r="J22" s="137">
        <f>IF(SER_hh_tes_in!J22=0,"",SER_hh_tes_in!J22/SER_hh_fec_in!J22)</f>
        <v>0.53640627546551489</v>
      </c>
      <c r="K22" s="137">
        <f>IF(SER_hh_tes_in!K22=0,"",SER_hh_tes_in!K22/SER_hh_fec_in!K22)</f>
        <v>0.54178427552041541</v>
      </c>
      <c r="L22" s="137">
        <f>IF(SER_hh_tes_in!L22=0,"",SER_hh_tes_in!L22/SER_hh_fec_in!L22)</f>
        <v>0.54816864254563147</v>
      </c>
      <c r="M22" s="137">
        <f>IF(SER_hh_tes_in!M22=0,"",SER_hh_tes_in!M22/SER_hh_fec_in!M22)</f>
        <v>0.56159646226066862</v>
      </c>
      <c r="N22" s="137">
        <f>IF(SER_hh_tes_in!N22=0,"",SER_hh_tes_in!N22/SER_hh_fec_in!N22)</f>
        <v>0.58398390152317603</v>
      </c>
      <c r="O22" s="137">
        <f>IF(SER_hh_tes_in!O22=0,"",SER_hh_tes_in!O22/SER_hh_fec_in!O22)</f>
        <v>0.61693052535656701</v>
      </c>
      <c r="P22" s="137">
        <f>IF(SER_hh_tes_in!P22=0,"",SER_hh_tes_in!P22/SER_hh_fec_in!P22)</f>
        <v>0.6570744972877578</v>
      </c>
      <c r="Q22" s="137">
        <f>IF(SER_hh_tes_in!Q22=0,"",SER_hh_tes_in!Q22/SER_hh_fec_in!Q22)</f>
        <v>0.69352329522546552</v>
      </c>
      <c r="R22" s="137">
        <f>IF(SER_hh_tes_in!R22=0,"",SER_hh_tes_in!R22/SER_hh_fec_in!R22)</f>
        <v>0.71812177490973395</v>
      </c>
      <c r="S22" s="137">
        <f>IF(SER_hh_tes_in!S22=0,"",SER_hh_tes_in!S22/SER_hh_fec_in!S22)</f>
        <v>0.7418257644236923</v>
      </c>
      <c r="T22" s="137">
        <f>IF(SER_hh_tes_in!T22=0,"",SER_hh_tes_in!T22/SER_hh_fec_in!T22)</f>
        <v>0.76329352851178567</v>
      </c>
      <c r="U22" s="137">
        <f>IF(SER_hh_tes_in!U22=0,"",SER_hh_tes_in!U22/SER_hh_fec_in!U22)</f>
        <v>0.78118333191853451</v>
      </c>
      <c r="V22" s="137">
        <f>IF(SER_hh_tes_in!V22=0,"",SER_hh_tes_in!V22/SER_hh_fec_in!V22)</f>
        <v>0.79415343938842753</v>
      </c>
      <c r="W22" s="137">
        <f>IF(SER_hh_tes_in!W22=0,"",SER_hh_tes_in!W22/SER_hh_fec_in!W22)</f>
        <v>0.80025442391346213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0.56158942568589088</v>
      </c>
      <c r="D23" s="137">
        <f>IF(SER_hh_tes_in!D23=0,"",SER_hh_tes_in!D23/SER_hh_fec_in!D23)</f>
        <v>0.56816544739247954</v>
      </c>
      <c r="E23" s="137">
        <f>IF(SER_hh_tes_in!E23=0,"",SER_hh_tes_in!E23/SER_hh_fec_in!E23)</f>
        <v>0.57502579439115764</v>
      </c>
      <c r="F23" s="137">
        <f>IF(SER_hh_tes_in!F23=0,"",SER_hh_tes_in!F23/SER_hh_fec_in!F23)</f>
        <v>0.58194159321401517</v>
      </c>
      <c r="G23" s="137">
        <f>IF(SER_hh_tes_in!G23=0,"",SER_hh_tes_in!G23/SER_hh_fec_in!G23)</f>
        <v>0.58911691636888053</v>
      </c>
      <c r="H23" s="137">
        <f>IF(SER_hh_tes_in!H23=0,"",SER_hh_tes_in!H23/SER_hh_fec_in!H23)</f>
        <v>0.59652413525058601</v>
      </c>
      <c r="I23" s="137">
        <f>IF(SER_hh_tes_in!I23=0,"",SER_hh_tes_in!I23/SER_hh_fec_in!I23)</f>
        <v>0.6042108559370829</v>
      </c>
      <c r="J23" s="137">
        <f>IF(SER_hh_tes_in!J23=0,"",SER_hh_tes_in!J23/SER_hh_fec_in!J23)</f>
        <v>0.61237824380710237</v>
      </c>
      <c r="K23" s="137">
        <f>IF(SER_hh_tes_in!K23=0,"",SER_hh_tes_in!K23/SER_hh_fec_in!K23)</f>
        <v>0.62119404027290137</v>
      </c>
      <c r="L23" s="137">
        <f>IF(SER_hh_tes_in!L23=0,"",SER_hh_tes_in!L23/SER_hh_fec_in!L23)</f>
        <v>0.63069735674288663</v>
      </c>
      <c r="M23" s="137">
        <f>IF(SER_hh_tes_in!M23=0,"",SER_hh_tes_in!M23/SER_hh_fec_in!M23)</f>
        <v>0.6450688112179187</v>
      </c>
      <c r="N23" s="137">
        <f>IF(SER_hh_tes_in!N23=0,"",SER_hh_tes_in!N23/SER_hh_fec_in!N23)</f>
        <v>0.66559523863706904</v>
      </c>
      <c r="O23" s="137">
        <f>IF(SER_hh_tes_in!O23=0,"",SER_hh_tes_in!O23/SER_hh_fec_in!O23)</f>
        <v>0.69322680985904095</v>
      </c>
      <c r="P23" s="137">
        <f>IF(SER_hh_tes_in!P23=0,"",SER_hh_tes_in!P23/SER_hh_fec_in!P23)</f>
        <v>0.72538055536770218</v>
      </c>
      <c r="Q23" s="137">
        <f>IF(SER_hh_tes_in!Q23=0,"",SER_hh_tes_in!Q23/SER_hh_fec_in!Q23)</f>
        <v>0.75395319280167938</v>
      </c>
      <c r="R23" s="137">
        <f>IF(SER_hh_tes_in!R23=0,"",SER_hh_tes_in!R23/SER_hh_fec_in!R23)</f>
        <v>0.77274042458260017</v>
      </c>
      <c r="S23" s="137">
        <f>IF(SER_hh_tes_in!S23=0,"",SER_hh_tes_in!S23/SER_hh_fec_in!S23)</f>
        <v>0.78988256368757925</v>
      </c>
      <c r="T23" s="137">
        <f>IF(SER_hh_tes_in!T23=0,"",SER_hh_tes_in!T23/SER_hh_fec_in!T23)</f>
        <v>0.80493460202340561</v>
      </c>
      <c r="U23" s="137">
        <f>IF(SER_hh_tes_in!U23=0,"",SER_hh_tes_in!U23/SER_hh_fec_in!U23)</f>
        <v>0.81740072296231325</v>
      </c>
      <c r="V23" s="137">
        <f>IF(SER_hh_tes_in!V23=0,"",SER_hh_tes_in!V23/SER_hh_fec_in!V23)</f>
        <v>0.82673684452836294</v>
      </c>
      <c r="W23" s="137">
        <f>IF(SER_hh_tes_in!W23=0,"",SER_hh_tes_in!W23/SER_hh_fec_in!W23)</f>
        <v>0.83155535506886613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0.56444160688140954</v>
      </c>
      <c r="D24" s="137">
        <f>IF(SER_hh_tes_in!D24=0,"",SER_hh_tes_in!D24/SER_hh_fec_in!D24)</f>
        <v>0.57629334231980489</v>
      </c>
      <c r="E24" s="137">
        <f>IF(SER_hh_tes_in!E24=0,"",SER_hh_tes_in!E24/SER_hh_fec_in!E24)</f>
        <v>0.5882577459995425</v>
      </c>
      <c r="F24" s="137">
        <f>IF(SER_hh_tes_in!F24=0,"",SER_hh_tes_in!F24/SER_hh_fec_in!F24)</f>
        <v>0.60032331655195681</v>
      </c>
      <c r="G24" s="137">
        <f>IF(SER_hh_tes_in!G24=0,"",SER_hh_tes_in!G24/SER_hh_fec_in!G24)</f>
        <v>0.6124786209515487</v>
      </c>
      <c r="H24" s="137">
        <f>IF(SER_hh_tes_in!H24=0,"",SER_hh_tes_in!H24/SER_hh_fec_in!H24)</f>
        <v>0.62471003763729527</v>
      </c>
      <c r="I24" s="137">
        <f>IF(SER_hh_tes_in!I24=0,"",SER_hh_tes_in!I24/SER_hh_fec_in!I24)</f>
        <v>0.63699965522262381</v>
      </c>
      <c r="J24" s="137">
        <f>IF(SER_hh_tes_in!J24=0,"",SER_hh_tes_in!J24/SER_hh_fec_in!J24)</f>
        <v>0.64930885400433969</v>
      </c>
      <c r="K24" s="137">
        <f>IF(SER_hh_tes_in!K24=0,"",SER_hh_tes_in!K24/SER_hh_fec_in!K24)</f>
        <v>0.66158654664963645</v>
      </c>
      <c r="L24" s="137">
        <f>IF(SER_hh_tes_in!L24=0,"",SER_hh_tes_in!L24/SER_hh_fec_in!L24)</f>
        <v>0.67378739013376077</v>
      </c>
      <c r="M24" s="137">
        <f>IF(SER_hh_tes_in!M24=0,"",SER_hh_tes_in!M24/SER_hh_fec_in!M24)</f>
        <v>0.68502388353486621</v>
      </c>
      <c r="N24" s="137">
        <f>IF(SER_hh_tes_in!N24=0,"",SER_hh_tes_in!N24/SER_hh_fec_in!N24)</f>
        <v>0.69481959599388521</v>
      </c>
      <c r="O24" s="137">
        <f>IF(SER_hh_tes_in!O24=0,"",SER_hh_tes_in!O24/SER_hh_fec_in!O24)</f>
        <v>0.70291678704625882</v>
      </c>
      <c r="P24" s="137">
        <f>IF(SER_hh_tes_in!P24=0,"",SER_hh_tes_in!P24/SER_hh_fec_in!P24)</f>
        <v>0.71000918408893243</v>
      </c>
      <c r="Q24" s="137">
        <f>IF(SER_hh_tes_in!Q24=0,"",SER_hh_tes_in!Q24/SER_hh_fec_in!Q24)</f>
        <v>0.71845283853650543</v>
      </c>
      <c r="R24" s="137">
        <f>IF(SER_hh_tes_in!R24=0,"",SER_hh_tes_in!R24/SER_hh_fec_in!R24)</f>
        <v>0.73090274039131964</v>
      </c>
      <c r="S24" s="137">
        <f>IF(SER_hh_tes_in!S24=0,"",SER_hh_tes_in!S24/SER_hh_fec_in!S24)</f>
        <v>0.74485623157340886</v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>
        <f>IF(SER_hh_tes_in!V24=0,"",SER_hh_tes_in!V24/SER_hh_fec_in!V24)</f>
        <v>0.78261880983404697</v>
      </c>
      <c r="W24" s="137">
        <f>IF(SER_hh_tes_in!W24=0,"",SER_hh_tes_in!W24/SER_hh_fec_in!W24)</f>
        <v>0.7913268434344306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0.78521454724970408</v>
      </c>
      <c r="D25" s="137">
        <f>IF(SER_hh_tes_in!D25=0,"",SER_hh_tes_in!D25/SER_hh_fec_in!D25)</f>
        <v>0.7881538262314145</v>
      </c>
      <c r="E25" s="137">
        <f>IF(SER_hh_tes_in!E25=0,"",SER_hh_tes_in!E25/SER_hh_fec_in!E25)</f>
        <v>0.79117245807730396</v>
      </c>
      <c r="F25" s="137">
        <f>IF(SER_hh_tes_in!F25=0,"",SER_hh_tes_in!F25/SER_hh_fec_in!F25)</f>
        <v>0.79420191076830871</v>
      </c>
      <c r="G25" s="137">
        <f>IF(SER_hh_tes_in!G25=0,"",SER_hh_tes_in!G25/SER_hh_fec_in!G25)</f>
        <v>0.79730444277976309</v>
      </c>
      <c r="H25" s="137">
        <f>IF(SER_hh_tes_in!H25=0,"",SER_hh_tes_in!H25/SER_hh_fec_in!H25)</f>
        <v>0.80047243446688132</v>
      </c>
      <c r="I25" s="137">
        <f>IF(SER_hh_tes_in!I25=0,"",SER_hh_tes_in!I25/SER_hh_fec_in!I25)</f>
        <v>0.80372122631980469</v>
      </c>
      <c r="J25" s="137">
        <f>IF(SER_hh_tes_in!J25=0,"",SER_hh_tes_in!J25/SER_hh_fec_in!J25)</f>
        <v>0.80711366291193787</v>
      </c>
      <c r="K25" s="137">
        <f>IF(SER_hh_tes_in!K25=0,"",SER_hh_tes_in!K25/SER_hh_fec_in!K25)</f>
        <v>0.81070317866076225</v>
      </c>
      <c r="L25" s="137">
        <f>IF(SER_hh_tes_in!L25=0,"",SER_hh_tes_in!L25/SER_hh_fec_in!L25)</f>
        <v>0.81450406946365439</v>
      </c>
      <c r="M25" s="137">
        <f>IF(SER_hh_tes_in!M25=0,"",SER_hh_tes_in!M25/SER_hh_fec_in!M25)</f>
        <v>0.81976687728721442</v>
      </c>
      <c r="N25" s="137">
        <f>IF(SER_hh_tes_in!N25=0,"",SER_hh_tes_in!N25/SER_hh_fec_in!N25)</f>
        <v>0.8268869921286488</v>
      </c>
      <c r="O25" s="137">
        <f>IF(SER_hh_tes_in!O25=0,"",SER_hh_tes_in!O25/SER_hh_fec_in!O25)</f>
        <v>0.83621102136606984</v>
      </c>
      <c r="P25" s="137">
        <f>IF(SER_hh_tes_in!P25=0,"",SER_hh_tes_in!P25/SER_hh_fec_in!P25)</f>
        <v>0.84707951905035039</v>
      </c>
      <c r="Q25" s="137">
        <f>IF(SER_hh_tes_in!Q25=0,"",SER_hh_tes_in!Q25/SER_hh_fec_in!Q25)</f>
        <v>0.85733369724750597</v>
      </c>
      <c r="R25" s="137">
        <f>IF(SER_hh_tes_in!R25=0,"",SER_hh_tes_in!R25/SER_hh_fec_in!R25)</f>
        <v>0.86519113175789386</v>
      </c>
      <c r="S25" s="137">
        <f>IF(SER_hh_tes_in!S25=0,"",SER_hh_tes_in!S25/SER_hh_fec_in!S25)</f>
        <v>0.87283510202249537</v>
      </c>
      <c r="T25" s="137">
        <f>IF(SER_hh_tes_in!T25=0,"",SER_hh_tes_in!T25/SER_hh_fec_in!T25)</f>
        <v>0.88021453430954988</v>
      </c>
      <c r="U25" s="137">
        <f>IF(SER_hh_tes_in!U25=0,"",SER_hh_tes_in!U25/SER_hh_fec_in!U25)</f>
        <v>0.88727835488732065</v>
      </c>
      <c r="V25" s="137">
        <f>IF(SER_hh_tes_in!V25=0,"",SER_hh_tes_in!V25/SER_hh_fec_in!V25)</f>
        <v>0.89397549002406151</v>
      </c>
      <c r="W25" s="137">
        <f>IF(SER_hh_tes_in!W25=0,"",SER_hh_tes_in!W25/SER_hh_fec_in!W25)</f>
        <v>0.90014484232539405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0.64941102606517553</v>
      </c>
      <c r="D26" s="138">
        <f>IF(SER_hh_tes_in!D26=0,"",SER_hh_tes_in!D26/SER_hh_fec_in!D26)</f>
        <v>0.65220263299013836</v>
      </c>
      <c r="E26" s="138">
        <f>IF(SER_hh_tes_in!E26=0,"",SER_hh_tes_in!E26/SER_hh_fec_in!E26)</f>
        <v>0.65520895396719958</v>
      </c>
      <c r="F26" s="138">
        <f>IF(SER_hh_tes_in!F26=0,"",SER_hh_tes_in!F26/SER_hh_fec_in!F26)</f>
        <v>0.65824415340328879</v>
      </c>
      <c r="G26" s="138">
        <f>IF(SER_hh_tes_in!G26=0,"",SER_hh_tes_in!G26/SER_hh_fec_in!G26)</f>
        <v>0.66147881293781419</v>
      </c>
      <c r="H26" s="138">
        <f>IF(SER_hh_tes_in!H26=0,"",SER_hh_tes_in!H26/SER_hh_fec_in!H26)</f>
        <v>0.66489381266246461</v>
      </c>
      <c r="I26" s="138">
        <f>IF(SER_hh_tes_in!I26=0,"",SER_hh_tes_in!I26/SER_hh_fec_in!I26)</f>
        <v>0.66853357953408565</v>
      </c>
      <c r="J26" s="138">
        <f>IF(SER_hh_tes_in!J26=0,"",SER_hh_tes_in!J26/SER_hh_fec_in!J26)</f>
        <v>0.67257594757035821</v>
      </c>
      <c r="K26" s="138">
        <f>IF(SER_hh_tes_in!K26=0,"",SER_hh_tes_in!K26/SER_hh_fec_in!K26)</f>
        <v>0.6771785133306244</v>
      </c>
      <c r="L26" s="138">
        <f>IF(SER_hh_tes_in!L26=0,"",SER_hh_tes_in!L26/SER_hh_fec_in!L26)</f>
        <v>0.6823964336016165</v>
      </c>
      <c r="M26" s="138">
        <f>IF(SER_hh_tes_in!M26=0,"",SER_hh_tes_in!M26/SER_hh_fec_in!M26)</f>
        <v>0.69184526688663772</v>
      </c>
      <c r="N26" s="138">
        <f>IF(SER_hh_tes_in!N26=0,"",SER_hh_tes_in!N26/SER_hh_fec_in!N26)</f>
        <v>0.70711363527111448</v>
      </c>
      <c r="O26" s="138">
        <f>IF(SER_hh_tes_in!O26=0,"",SER_hh_tes_in!O26/SER_hh_fec_in!O26)</f>
        <v>0.73023876125241172</v>
      </c>
      <c r="P26" s="138">
        <f>IF(SER_hh_tes_in!P26=0,"",SER_hh_tes_in!P26/SER_hh_fec_in!P26)</f>
        <v>0.76032158157378305</v>
      </c>
      <c r="Q26" s="138">
        <f>IF(SER_hh_tes_in!Q26=0,"",SER_hh_tes_in!Q26/SER_hh_fec_in!Q26)</f>
        <v>0.78984006327887823</v>
      </c>
      <c r="R26" s="138">
        <f>IF(SER_hh_tes_in!R26=0,"",SER_hh_tes_in!R26/SER_hh_fec_in!R26)</f>
        <v>0.81100055444820929</v>
      </c>
      <c r="S26" s="138">
        <f>IF(SER_hh_tes_in!S26=0,"",SER_hh_tes_in!S26/SER_hh_fec_in!S26)</f>
        <v>0.83195243530956309</v>
      </c>
      <c r="T26" s="138">
        <f>IF(SER_hh_tes_in!T26=0,"",SER_hh_tes_in!T26/SER_hh_fec_in!T26)</f>
        <v>0.85225638384089297</v>
      </c>
      <c r="U26" s="138">
        <f>IF(SER_hh_tes_in!U26=0,"",SER_hh_tes_in!U26/SER_hh_fec_in!U26)</f>
        <v>0.87132933824935099</v>
      </c>
      <c r="V26" s="138">
        <f>IF(SER_hh_tes_in!V26=0,"",SER_hh_tes_in!V26/SER_hh_fec_in!V26)</f>
        <v>0.88827676500383479</v>
      </c>
      <c r="W26" s="138">
        <f>IF(SER_hh_tes_in!W26=0,"",SER_hh_tes_in!W26/SER_hh_fec_in!W26)</f>
        <v>0.90161766619326311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0.63999382223451973</v>
      </c>
      <c r="D29" s="136">
        <f>IF(SER_hh_tes_in!D29=0,"",SER_hh_tes_in!D29/SER_hh_fec_in!D29)</f>
        <v>0.66604725795201836</v>
      </c>
      <c r="E29" s="136">
        <f>IF(SER_hh_tes_in!E29=0,"",SER_hh_tes_in!E29/SER_hh_fec_in!E29)</f>
        <v>0.67331325794868246</v>
      </c>
      <c r="F29" s="136">
        <f>IF(SER_hh_tes_in!F29=0,"",SER_hh_tes_in!F29/SER_hh_fec_in!F29)</f>
        <v>0.71380628140465985</v>
      </c>
      <c r="G29" s="136">
        <f>IF(SER_hh_tes_in!G29=0,"",SER_hh_tes_in!G29/SER_hh_fec_in!G29)</f>
        <v>0.72074299855913981</v>
      </c>
      <c r="H29" s="136">
        <f>IF(SER_hh_tes_in!H29=0,"",SER_hh_tes_in!H29/SER_hh_fec_in!H29)</f>
        <v>0.72735602773866581</v>
      </c>
      <c r="I29" s="136">
        <f>IF(SER_hh_tes_in!I29=0,"",SER_hh_tes_in!I29/SER_hh_fec_in!I29)</f>
        <v>0.72038462565303252</v>
      </c>
      <c r="J29" s="136">
        <f>IF(SER_hh_tes_in!J29=0,"",SER_hh_tes_in!J29/SER_hh_fec_in!J29)</f>
        <v>0.71442258056720032</v>
      </c>
      <c r="K29" s="136">
        <f>IF(SER_hh_tes_in!K29=0,"",SER_hh_tes_in!K29/SER_hh_fec_in!K29)</f>
        <v>0.71140242152649324</v>
      </c>
      <c r="L29" s="136">
        <f>IF(SER_hh_tes_in!L29=0,"",SER_hh_tes_in!L29/SER_hh_fec_in!L29)</f>
        <v>0.73068364011507125</v>
      </c>
      <c r="M29" s="136">
        <f>IF(SER_hh_tes_in!M29=0,"",SER_hh_tes_in!M29/SER_hh_fec_in!M29)</f>
        <v>0.76490353109261422</v>
      </c>
      <c r="N29" s="136">
        <f>IF(SER_hh_tes_in!N29=0,"",SER_hh_tes_in!N29/SER_hh_fec_in!N29)</f>
        <v>0.75016422853850462</v>
      </c>
      <c r="O29" s="136">
        <f>IF(SER_hh_tes_in!O29=0,"",SER_hh_tes_in!O29/SER_hh_fec_in!O29)</f>
        <v>0.7377616039186089</v>
      </c>
      <c r="P29" s="136">
        <f>IF(SER_hh_tes_in!P29=0,"",SER_hh_tes_in!P29/SER_hh_fec_in!P29)</f>
        <v>0.71161129093729503</v>
      </c>
      <c r="Q29" s="136">
        <f>IF(SER_hh_tes_in!Q29=0,"",SER_hh_tes_in!Q29/SER_hh_fec_in!Q29)</f>
        <v>0.711353354656867</v>
      </c>
      <c r="R29" s="136">
        <f>IF(SER_hh_tes_in!R29=0,"",SER_hh_tes_in!R29/SER_hh_fec_in!R29)</f>
        <v>0.67685258485248834</v>
      </c>
      <c r="S29" s="136">
        <f>IF(SER_hh_tes_in!S29=0,"",SER_hh_tes_in!S29/SER_hh_fec_in!S29)</f>
        <v>0.68786531664342099</v>
      </c>
      <c r="T29" s="136">
        <f>IF(SER_hh_tes_in!T29=0,"",SER_hh_tes_in!T29/SER_hh_fec_in!T29)</f>
        <v>0.72461081699514029</v>
      </c>
      <c r="U29" s="136">
        <f>IF(SER_hh_tes_in!U29=0,"",SER_hh_tes_in!U29/SER_hh_fec_in!U29)</f>
        <v>0.74585533987845687</v>
      </c>
      <c r="V29" s="136">
        <f>IF(SER_hh_tes_in!V29=0,"",SER_hh_tes_in!V29/SER_hh_fec_in!V29)</f>
        <v>0.74171019197649468</v>
      </c>
      <c r="W29" s="136">
        <f>IF(SER_hh_tes_in!W29=0,"",SER_hh_tes_in!W29/SER_hh_fec_in!W29)</f>
        <v>0.80206791462724425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0.60103226563818435</v>
      </c>
      <c r="D30" s="137">
        <f>IF(SER_hh_tes_in!D30=0,"",SER_hh_tes_in!D30/SER_hh_fec_in!D30)</f>
        <v>0.60143637653681925</v>
      </c>
      <c r="E30" s="137">
        <f>IF(SER_hh_tes_in!E30=0,"",SER_hh_tes_in!E30/SER_hh_fec_in!E30)</f>
        <v>0.60183478824023617</v>
      </c>
      <c r="F30" s="137">
        <f>IF(SER_hh_tes_in!F30=0,"",SER_hh_tes_in!F30/SER_hh_fec_in!F30)</f>
        <v>0.60223242278066891</v>
      </c>
      <c r="G30" s="137">
        <f>IF(SER_hh_tes_in!G30=0,"",SER_hh_tes_in!G30/SER_hh_fec_in!G30)</f>
        <v>0.6026248086975271</v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>
        <f>IF(SER_hh_tes_in!N30=0,"",SER_hh_tes_in!N30/SER_hh_fec_in!N30)</f>
        <v>0.60464974339024224</v>
      </c>
      <c r="O30" s="137">
        <f>IF(SER_hh_tes_in!O30=0,"",SER_hh_tes_in!O30/SER_hh_fec_in!O30)</f>
        <v>0.60464974339024224</v>
      </c>
      <c r="P30" s="137">
        <f>IF(SER_hh_tes_in!P30=0,"",SER_hh_tes_in!P30/SER_hh_fec_in!P30)</f>
        <v>0.60464974339024224</v>
      </c>
      <c r="Q30" s="137">
        <f>IF(SER_hh_tes_in!Q30=0,"",SER_hh_tes_in!Q30/SER_hh_fec_in!Q30)</f>
        <v>0.60464974339024224</v>
      </c>
      <c r="R30" s="137">
        <f>IF(SER_hh_tes_in!R30=0,"",SER_hh_tes_in!R30/SER_hh_fec_in!R30)</f>
        <v>0.60581323975971368</v>
      </c>
      <c r="S30" s="137">
        <f>IF(SER_hh_tes_in!S30=0,"",SER_hh_tes_in!S30/SER_hh_fec_in!S30)</f>
        <v>0.60771581994215818</v>
      </c>
      <c r="T30" s="137">
        <f>IF(SER_hh_tes_in!T30=0,"",SER_hh_tes_in!T30/SER_hh_fec_in!T30)</f>
        <v>0.60993549682167514</v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>
        <f>IF(SER_hh_tes_in!W30=0,"",SER_hh_tes_in!W30/SER_hh_fec_in!W30)</f>
        <v>0.61635670493742079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0.5769481504291889</v>
      </c>
      <c r="D31" s="137">
        <f>IF(SER_hh_tes_in!D31=0,"",SER_hh_tes_in!D31/SER_hh_fec_in!D31)</f>
        <v>0.57822109751803052</v>
      </c>
      <c r="E31" s="137">
        <f>IF(SER_hh_tes_in!E31=0,"",SER_hh_tes_in!E31/SER_hh_fec_in!E31)</f>
        <v>0.57947609217355278</v>
      </c>
      <c r="F31" s="137">
        <f>IF(SER_hh_tes_in!F31=0,"",SER_hh_tes_in!F31/SER_hh_fec_in!F31)</f>
        <v>0.58072863876998604</v>
      </c>
      <c r="G31" s="137">
        <f>IF(SER_hh_tes_in!G31=0,"",SER_hh_tes_in!G31/SER_hh_fec_in!G31)</f>
        <v>0.58196465223127725</v>
      </c>
      <c r="H31" s="137">
        <f>IF(SER_hh_tes_in!H31=0,"",SER_hh_tes_in!H31/SER_hh_fec_in!H31)</f>
        <v>0.58318585639142295</v>
      </c>
      <c r="I31" s="137">
        <f>IF(SER_hh_tes_in!I31=0,"",SER_hh_tes_in!I31/SER_hh_fec_in!I31)</f>
        <v>0.5843887806872714</v>
      </c>
      <c r="J31" s="137">
        <f>IF(SER_hh_tes_in!J31=0,"",SER_hh_tes_in!J31/SER_hh_fec_in!J31)</f>
        <v>0.58555920744659229</v>
      </c>
      <c r="K31" s="137">
        <f>IF(SER_hh_tes_in!K31=0,"",SER_hh_tes_in!K31/SER_hh_fec_in!K31)</f>
        <v>0.58668504790829579</v>
      </c>
      <c r="L31" s="137">
        <f>IF(SER_hh_tes_in!L31=0,"",SER_hh_tes_in!L31/SER_hh_fec_in!L31)</f>
        <v>0.58776306783317633</v>
      </c>
      <c r="M31" s="137">
        <f>IF(SER_hh_tes_in!M31=0,"",SER_hh_tes_in!M31/SER_hh_fec_in!M31)</f>
        <v>0.58834318527973928</v>
      </c>
      <c r="N31" s="137" t="str">
        <f>IF(SER_hh_tes_in!N31=0,"",SER_hh_tes_in!N31/SER_hh_fec_in!N31)</f>
        <v/>
      </c>
      <c r="O31" s="137">
        <f>IF(SER_hh_tes_in!O31=0,"",SER_hh_tes_in!O31/SER_hh_fec_in!O31)</f>
        <v>0.58834318527973928</v>
      </c>
      <c r="P31" s="137">
        <f>IF(SER_hh_tes_in!P31=0,"",SER_hh_tes_in!P31/SER_hh_fec_in!P31)</f>
        <v>0.58834318527973928</v>
      </c>
      <c r="Q31" s="137">
        <f>IF(SER_hh_tes_in!Q31=0,"",SER_hh_tes_in!Q31/SER_hh_fec_in!Q31)</f>
        <v>0.58834318527973928</v>
      </c>
      <c r="R31" s="137">
        <f>IF(SER_hh_tes_in!R31=0,"",SER_hh_tes_in!R31/SER_hh_fec_in!R31)</f>
        <v>0.59200819238892599</v>
      </c>
      <c r="S31" s="137">
        <f>IF(SER_hh_tes_in!S31=0,"",SER_hh_tes_in!S31/SER_hh_fec_in!S31)</f>
        <v>0.59800130940881335</v>
      </c>
      <c r="T31" s="137">
        <f>IF(SER_hh_tes_in!T31=0,"",SER_hh_tes_in!T31/SER_hh_fec_in!T31)</f>
        <v>0.60499327926534352</v>
      </c>
      <c r="U31" s="137">
        <f>IF(SER_hh_tes_in!U31=0,"",SER_hh_tes_in!U31/SER_hh_fec_in!U31)</f>
        <v>0.6122349623310368</v>
      </c>
      <c r="V31" s="137">
        <f>IF(SER_hh_tes_in!V31=0,"",SER_hh_tes_in!V31/SER_hh_fec_in!V31)</f>
        <v>0.6189772189784063</v>
      </c>
      <c r="W31" s="137">
        <f>IF(SER_hh_tes_in!W31=0,"",SER_hh_tes_in!W31/SER_hh_fec_in!W31)</f>
        <v>0.62522004920744911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0.75788324539076191</v>
      </c>
      <c r="D33" s="150">
        <f>IF(SER_hh_tes_in!D33=0,"",SER_hh_tes_in!D33/SER_hh_fec_in!D33)</f>
        <v>0.7593308757948547</v>
      </c>
      <c r="E33" s="150">
        <f>IF(SER_hh_tes_in!E33=0,"",SER_hh_tes_in!E33/SER_hh_fec_in!E33)</f>
        <v>0.76083203606249983</v>
      </c>
      <c r="F33" s="150">
        <f>IF(SER_hh_tes_in!F33=0,"",SER_hh_tes_in!F33/SER_hh_fec_in!F33)</f>
        <v>0.76234049585699304</v>
      </c>
      <c r="G33" s="150">
        <f>IF(SER_hh_tes_in!G33=0,"",SER_hh_tes_in!G33/SER_hh_fec_in!G33)</f>
        <v>0.76389825350724261</v>
      </c>
      <c r="H33" s="150">
        <f>IF(SER_hh_tes_in!H33=0,"",SER_hh_tes_in!H33/SER_hh_fec_in!H33)</f>
        <v>0.76550016895245887</v>
      </c>
      <c r="I33" s="150">
        <f>IF(SER_hh_tes_in!I33=0,"",SER_hh_tes_in!I33/SER_hh_fec_in!I33)</f>
        <v>0.76715659058211216</v>
      </c>
      <c r="J33" s="150">
        <f>IF(SER_hh_tes_in!J33=0,"",SER_hh_tes_in!J33/SER_hh_fec_in!J33)</f>
        <v>0.76890991209520909</v>
      </c>
      <c r="K33" s="150">
        <f>IF(SER_hh_tes_in!K33=0,"",SER_hh_tes_in!K33/SER_hh_fec_in!K33)</f>
        <v>0.77079617928677402</v>
      </c>
      <c r="L33" s="150">
        <f>IF(SER_hh_tes_in!L33=0,"",SER_hh_tes_in!L33/SER_hh_fec_in!L33)</f>
        <v>0.7728250358847788</v>
      </c>
      <c r="M33" s="150">
        <f>IF(SER_hh_tes_in!M33=0,"",SER_hh_tes_in!M33/SER_hh_fec_in!M33)</f>
        <v>0.77558536075756968</v>
      </c>
      <c r="N33" s="150">
        <f>IF(SER_hh_tes_in!N33=0,"",SER_hh_tes_in!N33/SER_hh_fec_in!N33)</f>
        <v>0.77924413268433523</v>
      </c>
      <c r="O33" s="150">
        <f>IF(SER_hh_tes_in!O33=0,"",SER_hh_tes_in!O33/SER_hh_fec_in!O33)</f>
        <v>0.78420735708917677</v>
      </c>
      <c r="P33" s="150">
        <f>IF(SER_hh_tes_in!P33=0,"",SER_hh_tes_in!P33/SER_hh_fec_in!P33)</f>
        <v>0.79068827168525824</v>
      </c>
      <c r="Q33" s="150">
        <f>IF(SER_hh_tes_in!Q33=0,"",SER_hh_tes_in!Q33/SER_hh_fec_in!Q33)</f>
        <v>0.79904130712848431</v>
      </c>
      <c r="R33" s="150">
        <f>IF(SER_hh_tes_in!R33=0,"",SER_hh_tes_in!R33/SER_hh_fec_in!R33)</f>
        <v>0.81040432385429373</v>
      </c>
      <c r="S33" s="150">
        <f>IF(SER_hh_tes_in!S33=0,"",SER_hh_tes_in!S33/SER_hh_fec_in!S33)</f>
        <v>0.82458643153011546</v>
      </c>
      <c r="T33" s="150">
        <f>IF(SER_hh_tes_in!T33=0,"",SER_hh_tes_in!T33/SER_hh_fec_in!T33)</f>
        <v>0.83983449737623306</v>
      </c>
      <c r="U33" s="150">
        <f>IF(SER_hh_tes_in!U33=0,"",SER_hh_tes_in!U33/SER_hh_fec_in!U33)</f>
        <v>0.85439538861297359</v>
      </c>
      <c r="V33" s="150">
        <f>IF(SER_hh_tes_in!V33=0,"",SER_hh_tes_in!V33/SER_hh_fec_in!V33)</f>
        <v>0.86651597246064471</v>
      </c>
      <c r="W33" s="150">
        <f>IF(SER_hh_tes_in!W33=0,"",SER_hh_tes_in!W33/SER_hh_fec_in!W33)</f>
        <v>0.87558042991528706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16.899966913753335</v>
      </c>
      <c r="D3" s="126">
        <f t="shared" si="0"/>
        <v>23.519541510914483</v>
      </c>
      <c r="E3" s="126">
        <f t="shared" si="0"/>
        <v>22.270239412074591</v>
      </c>
      <c r="F3" s="126">
        <f t="shared" si="0"/>
        <v>25.543343665853087</v>
      </c>
      <c r="G3" s="126">
        <f t="shared" si="0"/>
        <v>15.773794727701848</v>
      </c>
      <c r="H3" s="126">
        <f t="shared" si="0"/>
        <v>26.452224929239343</v>
      </c>
      <c r="I3" s="126">
        <f t="shared" si="0"/>
        <v>22.479029055996133</v>
      </c>
      <c r="J3" s="126">
        <f t="shared" si="0"/>
        <v>16.823342144516104</v>
      </c>
      <c r="K3" s="126">
        <f t="shared" si="0"/>
        <v>2.6529380335142361</v>
      </c>
      <c r="L3" s="126">
        <f t="shared" si="0"/>
        <v>1.89905466998299</v>
      </c>
      <c r="M3" s="126">
        <f t="shared" si="0"/>
        <v>3.7119895849575255</v>
      </c>
      <c r="N3" s="126">
        <f t="shared" si="0"/>
        <v>0.99863687689416203</v>
      </c>
      <c r="O3" s="126">
        <f t="shared" si="0"/>
        <v>3.5818344885857041</v>
      </c>
      <c r="P3" s="126">
        <f t="shared" si="0"/>
        <v>4.7084140499310108</v>
      </c>
      <c r="Q3" s="126">
        <f t="shared" si="0"/>
        <v>4.9612216407149603</v>
      </c>
      <c r="R3" s="126">
        <f t="shared" ref="R3:W3" si="1">SUM(R4,R16,R19,R29)</f>
        <v>2.8256508264064566</v>
      </c>
      <c r="S3" s="126">
        <f t="shared" si="1"/>
        <v>4.7870172822632835</v>
      </c>
      <c r="T3" s="126">
        <f t="shared" si="1"/>
        <v>4.1152565856914842</v>
      </c>
      <c r="U3" s="126">
        <f t="shared" si="1"/>
        <v>3.7858202196086084</v>
      </c>
      <c r="V3" s="126">
        <f t="shared" si="1"/>
        <v>3.5479790556613953</v>
      </c>
      <c r="W3" s="126">
        <f t="shared" si="1"/>
        <v>3.6166383388849681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11.641796130261183</v>
      </c>
      <c r="D4" s="131">
        <f t="shared" si="2"/>
        <v>19.115806613352511</v>
      </c>
      <c r="E4" s="131">
        <f t="shared" si="2"/>
        <v>17.745992534529282</v>
      </c>
      <c r="F4" s="131">
        <f t="shared" si="2"/>
        <v>22.442750300948397</v>
      </c>
      <c r="G4" s="131">
        <f t="shared" si="2"/>
        <v>13.257828928809305</v>
      </c>
      <c r="H4" s="131">
        <f t="shared" si="2"/>
        <v>23.336007357880543</v>
      </c>
      <c r="I4" s="131">
        <f t="shared" si="2"/>
        <v>18.985084670883516</v>
      </c>
      <c r="J4" s="131">
        <f t="shared" si="2"/>
        <v>14.169647598786787</v>
      </c>
      <c r="K4" s="131">
        <f t="shared" si="2"/>
        <v>2.1485766447989949</v>
      </c>
      <c r="L4" s="131">
        <f t="shared" si="2"/>
        <v>1.6106292951084216</v>
      </c>
      <c r="M4" s="131">
        <f t="shared" si="2"/>
        <v>2.974456816115802</v>
      </c>
      <c r="N4" s="131">
        <f t="shared" si="2"/>
        <v>0.74367102465274149</v>
      </c>
      <c r="O4" s="131">
        <f t="shared" si="2"/>
        <v>2.6795340700038968</v>
      </c>
      <c r="P4" s="131">
        <f t="shared" si="2"/>
        <v>3.3903934047544251</v>
      </c>
      <c r="Q4" s="131">
        <f t="shared" si="2"/>
        <v>3.5183684714563501</v>
      </c>
      <c r="R4" s="131">
        <f t="shared" ref="R4:W4" si="3">SUM(R5:R15)</f>
        <v>1.7328485626876662</v>
      </c>
      <c r="S4" s="131">
        <f t="shared" si="3"/>
        <v>3.0119156307410258</v>
      </c>
      <c r="T4" s="131">
        <f t="shared" si="3"/>
        <v>3.0204870776378723</v>
      </c>
      <c r="U4" s="131">
        <f t="shared" si="3"/>
        <v>2.7741146889594925</v>
      </c>
      <c r="V4" s="131">
        <f t="shared" si="3"/>
        <v>2.5120501168121154</v>
      </c>
      <c r="W4" s="131">
        <f t="shared" si="3"/>
        <v>2.9703752382992912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1.8251995423583387</v>
      </c>
      <c r="D5" s="133">
        <v>7.2539660519601479E-2</v>
      </c>
      <c r="E5" s="133">
        <v>0.33456376930573245</v>
      </c>
      <c r="F5" s="133">
        <v>1.3228149621755931</v>
      </c>
      <c r="G5" s="133">
        <v>1.0217125346648368</v>
      </c>
      <c r="H5" s="133">
        <v>3.5442935264803497</v>
      </c>
      <c r="I5" s="133">
        <v>3.7330868223137537</v>
      </c>
      <c r="J5" s="133">
        <v>3.170437249243069</v>
      </c>
      <c r="K5" s="133">
        <v>0.4634615733796883</v>
      </c>
      <c r="L5" s="133">
        <v>0.63880359008456833</v>
      </c>
      <c r="M5" s="133">
        <v>0.76834908462800255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4.9977739363868849</v>
      </c>
      <c r="D7" s="133">
        <v>5.4705103648214024</v>
      </c>
      <c r="E7" s="133">
        <v>5.9500811867092187</v>
      </c>
      <c r="F7" s="133">
        <v>6.4427618598214886</v>
      </c>
      <c r="G7" s="133">
        <v>2.2856669472868161</v>
      </c>
      <c r="H7" s="133">
        <v>6.9906126257312513</v>
      </c>
      <c r="I7" s="133">
        <v>1.0272456790774933</v>
      </c>
      <c r="J7" s="133">
        <v>2.0403416206624789</v>
      </c>
      <c r="K7" s="133">
        <v>0.43652889839960374</v>
      </c>
      <c r="L7" s="133">
        <v>0.49808405305643583</v>
      </c>
      <c r="M7" s="133">
        <v>2.0752538956677604</v>
      </c>
      <c r="N7" s="133">
        <v>0.74367102465274149</v>
      </c>
      <c r="O7" s="133">
        <v>2.6795340700038968</v>
      </c>
      <c r="P7" s="133">
        <v>2.2005827335514074</v>
      </c>
      <c r="Q7" s="133">
        <v>0.96384016205122314</v>
      </c>
      <c r="R7" s="133">
        <v>0</v>
      </c>
      <c r="S7" s="133">
        <v>0</v>
      </c>
      <c r="T7" s="133">
        <v>0.50664521671987517</v>
      </c>
      <c r="U7" s="133">
        <v>0.65151986625148683</v>
      </c>
      <c r="V7" s="133">
        <v>1.0138069732094417</v>
      </c>
      <c r="W7" s="133">
        <v>1.8147470858475048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4.8188226515159585</v>
      </c>
      <c r="D9" s="133">
        <v>13.572756588011508</v>
      </c>
      <c r="E9" s="133">
        <v>11.461347578514332</v>
      </c>
      <c r="F9" s="133">
        <v>14.677173478951318</v>
      </c>
      <c r="G9" s="133">
        <v>9.9504494468576521</v>
      </c>
      <c r="H9" s="133">
        <v>12.801101205668942</v>
      </c>
      <c r="I9" s="133">
        <v>14.224752169492268</v>
      </c>
      <c r="J9" s="133">
        <v>8.9588687288812388</v>
      </c>
      <c r="K9" s="133">
        <v>1.2485861730197028</v>
      </c>
      <c r="L9" s="133">
        <v>0.47374165196741724</v>
      </c>
      <c r="M9" s="133">
        <v>0.13085383582003896</v>
      </c>
      <c r="N9" s="133">
        <v>0</v>
      </c>
      <c r="O9" s="133">
        <v>0</v>
      </c>
      <c r="P9" s="133">
        <v>1.1898106712030176</v>
      </c>
      <c r="Q9" s="133">
        <v>2.5545283094051272</v>
      </c>
      <c r="R9" s="133">
        <v>1.7328485626876662</v>
      </c>
      <c r="S9" s="133">
        <v>3.0119156307410258</v>
      </c>
      <c r="T9" s="133">
        <v>2.5138418609179971</v>
      </c>
      <c r="U9" s="133">
        <v>2.1225948227080056</v>
      </c>
      <c r="V9" s="133">
        <v>1.4982431436026737</v>
      </c>
      <c r="W9" s="133">
        <v>1.1556281524517866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0.9793130790890765</v>
      </c>
      <c r="D19" s="131">
        <f t="shared" si="6"/>
        <v>1.4723809076004146</v>
      </c>
      <c r="E19" s="131">
        <f t="shared" si="6"/>
        <v>1.3603976812089991</v>
      </c>
      <c r="F19" s="131">
        <f t="shared" si="6"/>
        <v>1.4090582927263084</v>
      </c>
      <c r="G19" s="131">
        <f t="shared" si="6"/>
        <v>1.2835798096053788</v>
      </c>
      <c r="H19" s="131">
        <f t="shared" si="6"/>
        <v>1.5967986163323322</v>
      </c>
      <c r="I19" s="131">
        <f t="shared" si="6"/>
        <v>1.6019040806900138</v>
      </c>
      <c r="J19" s="131">
        <f t="shared" si="6"/>
        <v>1.3447733178554726</v>
      </c>
      <c r="K19" s="131">
        <f t="shared" si="6"/>
        <v>0.25621954749587095</v>
      </c>
      <c r="L19" s="131">
        <f t="shared" si="6"/>
        <v>0.17396182823066614</v>
      </c>
      <c r="M19" s="131">
        <f t="shared" si="6"/>
        <v>0.60081823286531355</v>
      </c>
      <c r="N19" s="131">
        <f t="shared" si="6"/>
        <v>0.15806217289167671</v>
      </c>
      <c r="O19" s="131">
        <f t="shared" si="6"/>
        <v>0.42999649409660612</v>
      </c>
      <c r="P19" s="131">
        <f t="shared" si="6"/>
        <v>0.47444815728628525</v>
      </c>
      <c r="Q19" s="131">
        <f t="shared" si="6"/>
        <v>0.44740165802919213</v>
      </c>
      <c r="R19" s="131">
        <f t="shared" ref="R19:W19" si="7">SUM(R20:R27)</f>
        <v>0.24161120707102213</v>
      </c>
      <c r="S19" s="131">
        <f t="shared" si="7"/>
        <v>0.36949069003721186</v>
      </c>
      <c r="T19" s="131">
        <f t="shared" si="7"/>
        <v>0.31157123111708951</v>
      </c>
      <c r="U19" s="131">
        <f t="shared" si="7"/>
        <v>0.31951107404941892</v>
      </c>
      <c r="V19" s="131">
        <f t="shared" si="7"/>
        <v>0.33728515746016369</v>
      </c>
      <c r="W19" s="131">
        <f t="shared" si="7"/>
        <v>0.25918253001313024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0.49102054374801096</v>
      </c>
      <c r="D22" s="133">
        <v>0.61181104460900348</v>
      </c>
      <c r="E22" s="133">
        <v>0.57652433673787318</v>
      </c>
      <c r="F22" s="133">
        <v>0.58094510681559974</v>
      </c>
      <c r="G22" s="133">
        <v>0.51508025466913299</v>
      </c>
      <c r="H22" s="133">
        <v>0.66351037434520999</v>
      </c>
      <c r="I22" s="133">
        <v>0.557957647496655</v>
      </c>
      <c r="J22" s="133">
        <v>0.43428446242065877</v>
      </c>
      <c r="K22" s="133">
        <v>8.117728771608386E-2</v>
      </c>
      <c r="L22" s="133">
        <v>7.3060504120774708E-2</v>
      </c>
      <c r="M22" s="133">
        <v>0.29033195319785232</v>
      </c>
      <c r="N22" s="133">
        <v>8.1142478875284002E-2</v>
      </c>
      <c r="O22" s="133">
        <v>0.21273854653351881</v>
      </c>
      <c r="P22" s="133">
        <v>0.18292719324717543</v>
      </c>
      <c r="Q22" s="133">
        <v>0.14341138481654297</v>
      </c>
      <c r="R22" s="133">
        <v>6.4699153438617679E-2</v>
      </c>
      <c r="S22" s="133">
        <v>8.5687230379562399E-2</v>
      </c>
      <c r="T22" s="133">
        <v>5.8535131286649347E-2</v>
      </c>
      <c r="U22" s="133">
        <v>4.5513163980319238E-2</v>
      </c>
      <c r="V22" s="133">
        <v>3.7285129798405293E-2</v>
      </c>
      <c r="W22" s="133">
        <v>6.589556441071083E-2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0.48829253534106554</v>
      </c>
      <c r="D23" s="133">
        <v>0.86056986299141103</v>
      </c>
      <c r="E23" s="133">
        <v>0.78387334447112589</v>
      </c>
      <c r="F23" s="133">
        <v>0.8281131859107087</v>
      </c>
      <c r="G23" s="133">
        <v>0.76849955493624567</v>
      </c>
      <c r="H23" s="133">
        <v>0.93328824198712224</v>
      </c>
      <c r="I23" s="133">
        <v>1.0439464331933588</v>
      </c>
      <c r="J23" s="133">
        <v>0.91048885543481395</v>
      </c>
      <c r="K23" s="133">
        <v>0.17504225977978707</v>
      </c>
      <c r="L23" s="133">
        <v>0.10090132410989144</v>
      </c>
      <c r="M23" s="133">
        <v>0.31048627966746117</v>
      </c>
      <c r="N23" s="133">
        <v>7.6919694016392703E-2</v>
      </c>
      <c r="O23" s="133">
        <v>0.21725794756308728</v>
      </c>
      <c r="P23" s="133">
        <v>0.29152096403910982</v>
      </c>
      <c r="Q23" s="133">
        <v>0.30399027321264915</v>
      </c>
      <c r="R23" s="133">
        <v>0.17691205363240445</v>
      </c>
      <c r="S23" s="133">
        <v>0.28380345965764947</v>
      </c>
      <c r="T23" s="133">
        <v>0.25303609983044018</v>
      </c>
      <c r="U23" s="133">
        <v>0.27399791006909968</v>
      </c>
      <c r="V23" s="133">
        <v>0.30000002766175837</v>
      </c>
      <c r="W23" s="133">
        <v>0.19328696560241942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4.2788577044030767</v>
      </c>
      <c r="D29" s="131">
        <f t="shared" si="8"/>
        <v>2.9313539899615582</v>
      </c>
      <c r="E29" s="131">
        <f t="shared" si="8"/>
        <v>3.1638491963363125</v>
      </c>
      <c r="F29" s="131">
        <f t="shared" si="8"/>
        <v>1.6915350721783837</v>
      </c>
      <c r="G29" s="131">
        <f t="shared" si="8"/>
        <v>1.2323859892871627</v>
      </c>
      <c r="H29" s="131">
        <f t="shared" si="8"/>
        <v>1.5194189550264661</v>
      </c>
      <c r="I29" s="131">
        <f t="shared" si="8"/>
        <v>1.8920403044226057</v>
      </c>
      <c r="J29" s="131">
        <f t="shared" si="8"/>
        <v>1.308921227873846</v>
      </c>
      <c r="K29" s="131">
        <f t="shared" si="8"/>
        <v>0.24814184121937011</v>
      </c>
      <c r="L29" s="131">
        <f t="shared" si="8"/>
        <v>0.11446354664390236</v>
      </c>
      <c r="M29" s="131">
        <f t="shared" si="8"/>
        <v>0.13671453597640984</v>
      </c>
      <c r="N29" s="131">
        <f t="shared" si="8"/>
        <v>9.6903679349743824E-2</v>
      </c>
      <c r="O29" s="131">
        <f t="shared" si="8"/>
        <v>0.4723039244852012</v>
      </c>
      <c r="P29" s="131">
        <f t="shared" si="8"/>
        <v>0.84357248789030093</v>
      </c>
      <c r="Q29" s="131">
        <f t="shared" si="8"/>
        <v>0.99545151122941833</v>
      </c>
      <c r="R29" s="131">
        <f t="shared" ref="R29:W29" si="9">SUM(R30:R33)</f>
        <v>0.85119105664776806</v>
      </c>
      <c r="S29" s="131">
        <f t="shared" si="9"/>
        <v>1.4056109614850463</v>
      </c>
      <c r="T29" s="131">
        <f t="shared" si="9"/>
        <v>0.783198276936522</v>
      </c>
      <c r="U29" s="131">
        <f t="shared" si="9"/>
        <v>0.69219445659969703</v>
      </c>
      <c r="V29" s="131">
        <f t="shared" si="9"/>
        <v>0.69864378138911631</v>
      </c>
      <c r="W29" s="131">
        <f t="shared" si="9"/>
        <v>0.38708057057254652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1.8124408842811968</v>
      </c>
      <c r="D30" s="133">
        <v>0.37758342551175111</v>
      </c>
      <c r="E30" s="133">
        <v>1.4865042846845904</v>
      </c>
      <c r="F30" s="133">
        <v>0.15990661278107066</v>
      </c>
      <c r="G30" s="133">
        <v>0.14759717005496423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9.6903679349743824E-2</v>
      </c>
      <c r="O30" s="133">
        <v>0.26387021340563038</v>
      </c>
      <c r="P30" s="133">
        <v>0.40001591901194</v>
      </c>
      <c r="Q30" s="133">
        <v>0.37379141943036032</v>
      </c>
      <c r="R30" s="133">
        <v>0.32311653527247264</v>
      </c>
      <c r="S30" s="133">
        <v>0.5033991577202267</v>
      </c>
      <c r="T30" s="133">
        <v>2.855258534311636E-2</v>
      </c>
      <c r="U30" s="133">
        <v>0</v>
      </c>
      <c r="V30" s="133">
        <v>0</v>
      </c>
      <c r="W30" s="133">
        <v>8.5412140460917711E-3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2.4664168201218799</v>
      </c>
      <c r="D31" s="133">
        <v>2.553770564449807</v>
      </c>
      <c r="E31" s="133">
        <v>1.6773449116517221</v>
      </c>
      <c r="F31" s="133">
        <v>1.5316284593973131</v>
      </c>
      <c r="G31" s="133">
        <v>1.0847888192321984</v>
      </c>
      <c r="H31" s="133">
        <v>1.5194189550264661</v>
      </c>
      <c r="I31" s="133">
        <v>1.8920403044226057</v>
      </c>
      <c r="J31" s="133">
        <v>1.308921227873846</v>
      </c>
      <c r="K31" s="133">
        <v>0.24814184121937011</v>
      </c>
      <c r="L31" s="133">
        <v>0.11446354664390236</v>
      </c>
      <c r="M31" s="133">
        <v>0.13671453597640984</v>
      </c>
      <c r="N31" s="133">
        <v>0</v>
      </c>
      <c r="O31" s="133">
        <v>0.20843371107957079</v>
      </c>
      <c r="P31" s="133">
        <v>0.44355656887836092</v>
      </c>
      <c r="Q31" s="133">
        <v>0.62166009179905801</v>
      </c>
      <c r="R31" s="133">
        <v>0.52807452137529542</v>
      </c>
      <c r="S31" s="133">
        <v>0.90221180376481958</v>
      </c>
      <c r="T31" s="133">
        <v>0.75464569159340567</v>
      </c>
      <c r="U31" s="133">
        <v>0.69219445659969703</v>
      </c>
      <c r="V31" s="133">
        <v>0.69864378138911631</v>
      </c>
      <c r="W31" s="133">
        <v>0.37853935652645476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359384.30723273224</v>
      </c>
      <c r="D3" s="126">
        <f>IF(SER_hh_fec_in!D3=0,0,11630*1000*SER_hh_fec_in!D3/SER_hh_num_in!D3)</f>
        <v>380238.68941377208</v>
      </c>
      <c r="E3" s="126">
        <f>IF(SER_hh_fec_in!E3=0,0,11630*1000*SER_hh_fec_in!E3/SER_hh_num_in!E3)</f>
        <v>371291.65659363824</v>
      </c>
      <c r="F3" s="126">
        <f>IF(SER_hh_fec_in!F3=0,0,11630*1000*SER_hh_fec_in!F3/SER_hh_num_in!F3)</f>
        <v>367972.06232265936</v>
      </c>
      <c r="G3" s="126">
        <f>IF(SER_hh_fec_in!G3=0,0,11630*1000*SER_hh_fec_in!G3/SER_hh_num_in!G3)</f>
        <v>341673.34152662061</v>
      </c>
      <c r="H3" s="126">
        <f>IF(SER_hh_fec_in!H3=0,0,11630*1000*SER_hh_fec_in!H3/SER_hh_num_in!H3)</f>
        <v>329788.51861862122</v>
      </c>
      <c r="I3" s="126">
        <f>IF(SER_hh_fec_in!I3=0,0,11630*1000*SER_hh_fec_in!I3/SER_hh_num_in!I3)</f>
        <v>318489.82242078189</v>
      </c>
      <c r="J3" s="126">
        <f>IF(SER_hh_fec_in!J3=0,0,11630*1000*SER_hh_fec_in!J3/SER_hh_num_in!J3)</f>
        <v>266976.00946758676</v>
      </c>
      <c r="K3" s="126">
        <f>IF(SER_hh_fec_in!K3=0,0,11630*1000*SER_hh_fec_in!K3/SER_hh_num_in!K3)</f>
        <v>252330.19799685007</v>
      </c>
      <c r="L3" s="126">
        <f>IF(SER_hh_fec_in!L3=0,0,11630*1000*SER_hh_fec_in!L3/SER_hh_num_in!L3)</f>
        <v>264844.71267950087</v>
      </c>
      <c r="M3" s="126">
        <f>IF(SER_hh_fec_in!M3=0,0,11630*1000*SER_hh_fec_in!M3/SER_hh_num_in!M3)</f>
        <v>221000.20566168</v>
      </c>
      <c r="N3" s="126">
        <f>IF(SER_hh_fec_in!N3=0,0,11630*1000*SER_hh_fec_in!N3/SER_hh_num_in!N3)</f>
        <v>272747.62198378664</v>
      </c>
      <c r="O3" s="126">
        <f>IF(SER_hh_fec_in!O3=0,0,11630*1000*SER_hh_fec_in!O3/SER_hh_num_in!O3)</f>
        <v>242651.30558540102</v>
      </c>
      <c r="P3" s="126">
        <f>IF(SER_hh_fec_in!P3=0,0,11630*1000*SER_hh_fec_in!P3/SER_hh_num_in!P3)</f>
        <v>223201.07366000951</v>
      </c>
      <c r="Q3" s="126">
        <f>IF(SER_hh_fec_in!Q3=0,0,11630*1000*SER_hh_fec_in!Q3/SER_hh_num_in!Q3)</f>
        <v>197419.28157739359</v>
      </c>
      <c r="R3" s="126">
        <f>IF(SER_hh_fec_in!R3=0,0,11630*1000*SER_hh_fec_in!R3/SER_hh_num_in!R3)</f>
        <v>196045.26704018586</v>
      </c>
      <c r="S3" s="126">
        <f>IF(SER_hh_fec_in!S3=0,0,11630*1000*SER_hh_fec_in!S3/SER_hh_num_in!S3)</f>
        <v>191257.47602629603</v>
      </c>
      <c r="T3" s="126">
        <f>IF(SER_hh_fec_in!T3=0,0,11630*1000*SER_hh_fec_in!T3/SER_hh_num_in!T3)</f>
        <v>174160.91746756629</v>
      </c>
      <c r="U3" s="126">
        <f>IF(SER_hh_fec_in!U3=0,0,11630*1000*SER_hh_fec_in!U3/SER_hh_num_in!U3)</f>
        <v>157684.43675213572</v>
      </c>
      <c r="V3" s="126">
        <f>IF(SER_hh_fec_in!V3=0,0,11630*1000*SER_hh_fec_in!V3/SER_hh_num_in!V3)</f>
        <v>143719.18826357019</v>
      </c>
      <c r="W3" s="126">
        <f>IF(SER_hh_fec_in!W3=0,0,11630*1000*SER_hh_fec_in!W3/SER_hh_num_in!W3)</f>
        <v>142967.59094516802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272780.3332536816</v>
      </c>
      <c r="D4" s="131">
        <f>IF(SER_hh_fec_in!D4=0,0,11630*1000*SER_hh_fec_in!D4/SER_hh_num_in!D4)</f>
        <v>303711.10836223525</v>
      </c>
      <c r="E4" s="131">
        <f>IF(SER_hh_fec_in!E4=0,0,11630*1000*SER_hh_fec_in!E4/SER_hh_num_in!E4)</f>
        <v>294988.57245364168</v>
      </c>
      <c r="F4" s="131">
        <f>IF(SER_hh_fec_in!F4=0,0,11630*1000*SER_hh_fec_in!F4/SER_hh_num_in!F4)</f>
        <v>295933.43759756582</v>
      </c>
      <c r="G4" s="131">
        <f>IF(SER_hh_fec_in!G4=0,0,11630*1000*SER_hh_fec_in!G4/SER_hh_num_in!G4)</f>
        <v>269376.56515781354</v>
      </c>
      <c r="H4" s="131">
        <f>IF(SER_hh_fec_in!H4=0,0,11630*1000*SER_hh_fec_in!H4/SER_hh_num_in!H4)</f>
        <v>259718.41479535482</v>
      </c>
      <c r="I4" s="131">
        <f>IF(SER_hh_fec_in!I4=0,0,11630*1000*SER_hh_fec_in!I4/SER_hh_num_in!I4)</f>
        <v>250055.06803919765</v>
      </c>
      <c r="J4" s="131">
        <f>IF(SER_hh_fec_in!J4=0,0,11630*1000*SER_hh_fec_in!J4/SER_hh_num_in!J4)</f>
        <v>197178.36382546314</v>
      </c>
      <c r="K4" s="131">
        <f>IF(SER_hh_fec_in!K4=0,0,11630*1000*SER_hh_fec_in!K4/SER_hh_num_in!K4)</f>
        <v>179412.70068602904</v>
      </c>
      <c r="L4" s="131">
        <f>IF(SER_hh_fec_in!L4=0,0,11630*1000*SER_hh_fec_in!L4/SER_hh_num_in!L4)</f>
        <v>193638.64375943551</v>
      </c>
      <c r="M4" s="131">
        <f>IF(SER_hh_fec_in!M4=0,0,11630*1000*SER_hh_fec_in!M4/SER_hh_num_in!M4)</f>
        <v>153873.5472829811</v>
      </c>
      <c r="N4" s="131">
        <f>IF(SER_hh_fec_in!N4=0,0,11630*1000*SER_hh_fec_in!N4/SER_hh_num_in!N4)</f>
        <v>203831.69186079825</v>
      </c>
      <c r="O4" s="131">
        <f>IF(SER_hh_fec_in!O4=0,0,11630*1000*SER_hh_fec_in!O4/SER_hh_num_in!O4)</f>
        <v>174450.77333943741</v>
      </c>
      <c r="P4" s="131">
        <f>IF(SER_hh_fec_in!P4=0,0,11630*1000*SER_hh_fec_in!P4/SER_hh_num_in!P4)</f>
        <v>155540.56203930549</v>
      </c>
      <c r="Q4" s="131">
        <f>IF(SER_hh_fec_in!Q4=0,0,11630*1000*SER_hh_fec_in!Q4/SER_hh_num_in!Q4)</f>
        <v>132637.81414659513</v>
      </c>
      <c r="R4" s="131">
        <f>IF(SER_hh_fec_in!R4=0,0,11630*1000*SER_hh_fec_in!R4/SER_hh_num_in!R4)</f>
        <v>129460.03288078056</v>
      </c>
      <c r="S4" s="131">
        <f>IF(SER_hh_fec_in!S4=0,0,11630*1000*SER_hh_fec_in!S4/SER_hh_num_in!S4)</f>
        <v>125825.08598952503</v>
      </c>
      <c r="T4" s="131">
        <f>IF(SER_hh_fec_in!T4=0,0,11630*1000*SER_hh_fec_in!T4/SER_hh_num_in!T4)</f>
        <v>112184.76047310424</v>
      </c>
      <c r="U4" s="131">
        <f>IF(SER_hh_fec_in!U4=0,0,11630*1000*SER_hh_fec_in!U4/SER_hh_num_in!U4)</f>
        <v>98156.32331287775</v>
      </c>
      <c r="V4" s="131">
        <f>IF(SER_hh_fec_in!V4=0,0,11630*1000*SER_hh_fec_in!V4/SER_hh_num_in!V4)</f>
        <v>88798.20484194388</v>
      </c>
      <c r="W4" s="131">
        <f>IF(SER_hh_fec_in!W4=0,0,11630*1000*SER_hh_fec_in!W4/SER_hh_num_in!W4)</f>
        <v>88017.764576662332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312643.59077671735</v>
      </c>
      <c r="D5" s="133">
        <f>IF(SER_hh_fec_in!D5=0,0,11630*1000*SER_hh_fec_in!D5/SER_hh_num_in!D5)</f>
        <v>309296.79913331097</v>
      </c>
      <c r="E5" s="133">
        <f>IF(SER_hh_fec_in!E5=0,0,11630*1000*SER_hh_fec_in!E5/SER_hh_num_in!E5)</f>
        <v>303126.33850846818</v>
      </c>
      <c r="F5" s="133">
        <f>IF(SER_hh_fec_in!F5=0,0,11630*1000*SER_hh_fec_in!F5/SER_hh_num_in!F5)</f>
        <v>305572.66359828494</v>
      </c>
      <c r="G5" s="133">
        <f>IF(SER_hh_fec_in!G5=0,0,11630*1000*SER_hh_fec_in!G5/SER_hh_num_in!G5)</f>
        <v>259769.12814417409</v>
      </c>
      <c r="H5" s="133">
        <f>IF(SER_hh_fec_in!H5=0,0,11630*1000*SER_hh_fec_in!H5/SER_hh_num_in!H5)</f>
        <v>270023.26445539703</v>
      </c>
      <c r="I5" s="133">
        <f>IF(SER_hh_fec_in!I5=0,0,11630*1000*SER_hh_fec_in!I5/SER_hh_num_in!I5)</f>
        <v>268513.12596925069</v>
      </c>
      <c r="J5" s="133">
        <f>IF(SER_hh_fec_in!J5=0,0,11630*1000*SER_hh_fec_in!J5/SER_hh_num_in!J5)</f>
        <v>225739.09699091193</v>
      </c>
      <c r="K5" s="133">
        <f>IF(SER_hh_fec_in!K5=0,0,11630*1000*SER_hh_fec_in!K5/SER_hh_num_in!K5)</f>
        <v>165645.97950960213</v>
      </c>
      <c r="L5" s="133">
        <f>IF(SER_hh_fec_in!L5=0,0,11630*1000*SER_hh_fec_in!L5/SER_hh_num_in!L5)</f>
        <v>221735.75347930461</v>
      </c>
      <c r="M5" s="133">
        <f>IF(SER_hh_fec_in!M5=0,0,11630*1000*SER_hh_fec_in!M5/SER_hh_num_in!M5)</f>
        <v>205440.15259439094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364716.96251662838</v>
      </c>
      <c r="D7" s="133">
        <f>IF(SER_hh_fec_in!D7=0,0,11630*1000*SER_hh_fec_in!D7/SER_hh_num_in!D7)</f>
        <v>345362.7046825841</v>
      </c>
      <c r="E7" s="133">
        <f>IF(SER_hh_fec_in!E7=0,0,11630*1000*SER_hh_fec_in!E7/SER_hh_num_in!E7)</f>
        <v>364220.75983221753</v>
      </c>
      <c r="F7" s="133">
        <f>IF(SER_hh_fec_in!F7=0,0,11630*1000*SER_hh_fec_in!F7/SER_hh_num_in!F7)</f>
        <v>361490.02359084308</v>
      </c>
      <c r="G7" s="133">
        <f>IF(SER_hh_fec_in!G7=0,0,11630*1000*SER_hh_fec_in!G7/SER_hh_num_in!G7)</f>
        <v>282319.95340007206</v>
      </c>
      <c r="H7" s="133">
        <f>IF(SER_hh_fec_in!H7=0,0,11630*1000*SER_hh_fec_in!H7/SER_hh_num_in!H7)</f>
        <v>357536.38353281189</v>
      </c>
      <c r="I7" s="133">
        <f>IF(SER_hh_fec_in!I7=0,0,11630*1000*SER_hh_fec_in!I7/SER_hh_num_in!I7)</f>
        <v>288806.58165912936</v>
      </c>
      <c r="J7" s="133">
        <f>IF(SER_hh_fec_in!J7=0,0,11630*1000*SER_hh_fec_in!J7/SER_hh_num_in!J7)</f>
        <v>238868.38604607488</v>
      </c>
      <c r="K7" s="133">
        <f>IF(SER_hh_fec_in!K7=0,0,11630*1000*SER_hh_fec_in!K7/SER_hh_num_in!K7)</f>
        <v>221465.16473202364</v>
      </c>
      <c r="L7" s="133">
        <f>IF(SER_hh_fec_in!L7=0,0,11630*1000*SER_hh_fec_in!L7/SER_hh_num_in!L7)</f>
        <v>213833.47152105271</v>
      </c>
      <c r="M7" s="133">
        <f>IF(SER_hh_fec_in!M7=0,0,11630*1000*SER_hh_fec_in!M7/SER_hh_num_in!M7)</f>
        <v>170284.48130493358</v>
      </c>
      <c r="N7" s="133">
        <f>IF(SER_hh_fec_in!N7=0,0,11630*1000*SER_hh_fec_in!N7/SER_hh_num_in!N7)</f>
        <v>207535.97756608183</v>
      </c>
      <c r="O7" s="133">
        <f>IF(SER_hh_fec_in!O7=0,0,11630*1000*SER_hh_fec_in!O7/SER_hh_num_in!O7)</f>
        <v>183452.20465455396</v>
      </c>
      <c r="P7" s="133">
        <f>IF(SER_hh_fec_in!P7=0,0,11630*1000*SER_hh_fec_in!P7/SER_hh_num_in!P7)</f>
        <v>173080.47548626928</v>
      </c>
      <c r="Q7" s="133">
        <f>IF(SER_hh_fec_in!Q7=0,0,11630*1000*SER_hh_fec_in!Q7/SER_hh_num_in!Q7)</f>
        <v>168504.25878552996</v>
      </c>
      <c r="R7" s="133">
        <f>IF(SER_hh_fec_in!R7=0,0,11630*1000*SER_hh_fec_in!R7/SER_hh_num_in!R7)</f>
        <v>0</v>
      </c>
      <c r="S7" s="133">
        <f>IF(SER_hh_fec_in!S7=0,0,11630*1000*SER_hh_fec_in!S7/SER_hh_num_in!S7)</f>
        <v>0</v>
      </c>
      <c r="T7" s="133">
        <f>IF(SER_hh_fec_in!T7=0,0,11630*1000*SER_hh_fec_in!T7/SER_hh_num_in!T7)</f>
        <v>127036.45197866119</v>
      </c>
      <c r="U7" s="133">
        <f>IF(SER_hh_fec_in!U7=0,0,11630*1000*SER_hh_fec_in!U7/SER_hh_num_in!U7)</f>
        <v>89591.642904978871</v>
      </c>
      <c r="V7" s="133">
        <f>IF(SER_hh_fec_in!V7=0,0,11630*1000*SER_hh_fec_in!V7/SER_hh_num_in!V7)</f>
        <v>91274.219912583503</v>
      </c>
      <c r="W7" s="133">
        <f>IF(SER_hh_fec_in!W7=0,0,11630*1000*SER_hh_fec_in!W7/SER_hh_num_in!W7)</f>
        <v>100658.24077471034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268440.80980910669</v>
      </c>
      <c r="D9" s="133">
        <f>IF(SER_hh_fec_in!D9=0,0,11630*1000*SER_hh_fec_in!D9/SER_hh_num_in!D9)</f>
        <v>325546.740987461</v>
      </c>
      <c r="E9" s="133">
        <f>IF(SER_hh_fec_in!E9=0,0,11630*1000*SER_hh_fec_in!E9/SER_hh_num_in!E9)</f>
        <v>303034.47416896198</v>
      </c>
      <c r="F9" s="133">
        <f>IF(SER_hh_fec_in!F9=0,0,11630*1000*SER_hh_fec_in!F9/SER_hh_num_in!F9)</f>
        <v>313275.93014301232</v>
      </c>
      <c r="G9" s="133">
        <f>IF(SER_hh_fec_in!G9=0,0,11630*1000*SER_hh_fec_in!G9/SER_hh_num_in!G9)</f>
        <v>280163.2752072211</v>
      </c>
      <c r="H9" s="133">
        <f>IF(SER_hh_fec_in!H9=0,0,11630*1000*SER_hh_fec_in!H9/SER_hh_num_in!H9)</f>
        <v>269845.85960533237</v>
      </c>
      <c r="I9" s="133">
        <f>IF(SER_hh_fec_in!I9=0,0,11630*1000*SER_hh_fec_in!I9/SER_hh_num_in!I9)</f>
        <v>267679.85466754559</v>
      </c>
      <c r="J9" s="133">
        <f>IF(SER_hh_fec_in!J9=0,0,11630*1000*SER_hh_fec_in!J9/SER_hh_num_in!J9)</f>
        <v>230064.95156800983</v>
      </c>
      <c r="K9" s="133">
        <f>IF(SER_hh_fec_in!K9=0,0,11630*1000*SER_hh_fec_in!K9/SER_hh_num_in!K9)</f>
        <v>198084.55859200639</v>
      </c>
      <c r="L9" s="133">
        <f>IF(SER_hh_fec_in!L9=0,0,11630*1000*SER_hh_fec_in!L9/SER_hh_num_in!L9)</f>
        <v>201783.80323919721</v>
      </c>
      <c r="M9" s="133">
        <f>IF(SER_hh_fec_in!M9=0,0,11630*1000*SER_hh_fec_in!M9/SER_hh_num_in!M9)</f>
        <v>178810.97448953427</v>
      </c>
      <c r="N9" s="133">
        <f>IF(SER_hh_fec_in!N9=0,0,11630*1000*SER_hh_fec_in!N9/SER_hh_num_in!N9)</f>
        <v>0</v>
      </c>
      <c r="O9" s="133">
        <f>IF(SER_hh_fec_in!O9=0,0,11630*1000*SER_hh_fec_in!O9/SER_hh_num_in!O9)</f>
        <v>0</v>
      </c>
      <c r="P9" s="133">
        <f>IF(SER_hh_fec_in!P9=0,0,11630*1000*SER_hh_fec_in!P9/SER_hh_num_in!P9)</f>
        <v>158881.5965380086</v>
      </c>
      <c r="Q9" s="133">
        <f>IF(SER_hh_fec_in!Q9=0,0,11630*1000*SER_hh_fec_in!Q9/SER_hh_num_in!Q9)</f>
        <v>135496.30827214554</v>
      </c>
      <c r="R9" s="133">
        <f>IF(SER_hh_fec_in!R9=0,0,11630*1000*SER_hh_fec_in!R9/SER_hh_num_in!R9)</f>
        <v>133229.09194861315</v>
      </c>
      <c r="S9" s="133">
        <f>IF(SER_hh_fec_in!S9=0,0,11630*1000*SER_hh_fec_in!S9/SER_hh_num_in!S9)</f>
        <v>128042.99471270142</v>
      </c>
      <c r="T9" s="133">
        <f>IF(SER_hh_fec_in!T9=0,0,11630*1000*SER_hh_fec_in!T9/SER_hh_num_in!T9)</f>
        <v>117623.71958925469</v>
      </c>
      <c r="U9" s="133">
        <f>IF(SER_hh_fec_in!U9=0,0,11630*1000*SER_hh_fec_in!U9/SER_hh_num_in!U9)</f>
        <v>108465.4557243654</v>
      </c>
      <c r="V9" s="133">
        <f>IF(SER_hh_fec_in!V9=0,0,11630*1000*SER_hh_fec_in!V9/SER_hh_num_in!V9)</f>
        <v>96865.714423267156</v>
      </c>
      <c r="W9" s="133">
        <f>IF(SER_hh_fec_in!W9=0,0,11630*1000*SER_hh_fec_in!W9/SER_hh_num_in!W9)</f>
        <v>86435.807470047119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355382.52515158465</v>
      </c>
      <c r="D10" s="133">
        <f>IF(SER_hh_fec_in!D10=0,0,11630*1000*SER_hh_fec_in!D10/SER_hh_num_in!D10)</f>
        <v>340848.02075236512</v>
      </c>
      <c r="E10" s="133">
        <f>IF(SER_hh_fec_in!E10=0,0,11630*1000*SER_hh_fec_in!E10/SER_hh_num_in!E10)</f>
        <v>330057.1122554224</v>
      </c>
      <c r="F10" s="133">
        <f>IF(SER_hh_fec_in!F10=0,0,11630*1000*SER_hh_fec_in!F10/SER_hh_num_in!F10)</f>
        <v>354120.50315846357</v>
      </c>
      <c r="G10" s="133">
        <f>IF(SER_hh_fec_in!G10=0,0,11630*1000*SER_hh_fec_in!G10/SER_hh_num_in!G10)</f>
        <v>320472.17102884263</v>
      </c>
      <c r="H10" s="133">
        <f>IF(SER_hh_fec_in!H10=0,0,11630*1000*SER_hh_fec_in!H10/SER_hh_num_in!H10)</f>
        <v>323550.3200714566</v>
      </c>
      <c r="I10" s="133">
        <f>IF(SER_hh_fec_in!I10=0,0,11630*1000*SER_hh_fec_in!I10/SER_hh_num_in!I10)</f>
        <v>372820.06628244487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227899.78387704</v>
      </c>
      <c r="L10" s="133">
        <f>IF(SER_hh_fec_in!L10=0,0,11630*1000*SER_hh_fec_in!L10/SER_hh_num_in!L10)</f>
        <v>239736.36983105153</v>
      </c>
      <c r="M10" s="133">
        <f>IF(SER_hh_fec_in!M10=0,0,11630*1000*SER_hh_fec_in!M10/SER_hh_num_in!M10)</f>
        <v>190045.56263247997</v>
      </c>
      <c r="N10" s="133">
        <f>IF(SER_hh_fec_in!N10=0,0,11630*1000*SER_hh_fec_in!N10/SER_hh_num_in!N10)</f>
        <v>249007.10287780559</v>
      </c>
      <c r="O10" s="133">
        <f>IF(SER_hh_fec_in!O10=0,0,11630*1000*SER_hh_fec_in!O10/SER_hh_num_in!O10)</f>
        <v>234632.11590619539</v>
      </c>
      <c r="P10" s="133">
        <f>IF(SER_hh_fec_in!P10=0,0,11630*1000*SER_hh_fec_in!P10/SER_hh_num_in!P10)</f>
        <v>203801.98482858564</v>
      </c>
      <c r="Q10" s="133">
        <f>IF(SER_hh_fec_in!Q10=0,0,11630*1000*SER_hh_fec_in!Q10/SER_hh_num_in!Q10)</f>
        <v>188258.4681439889</v>
      </c>
      <c r="R10" s="133">
        <f>IF(SER_hh_fec_in!R10=0,0,11630*1000*SER_hh_fec_in!R10/SER_hh_num_in!R10)</f>
        <v>180815.76171601203</v>
      </c>
      <c r="S10" s="133">
        <f>IF(SER_hh_fec_in!S10=0,0,11630*1000*SER_hh_fec_in!S10/SER_hh_num_in!S10)</f>
        <v>190005.41345761312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242134.42774404091</v>
      </c>
      <c r="D12" s="133">
        <f>IF(SER_hh_fec_in!D12=0,0,11630*1000*SER_hh_fec_in!D12/SER_hh_num_in!D12)</f>
        <v>234066.79689733131</v>
      </c>
      <c r="E12" s="133">
        <f>IF(SER_hh_fec_in!E12=0,0,11630*1000*SER_hh_fec_in!E12/SER_hh_num_in!E12)</f>
        <v>240364.17928136507</v>
      </c>
      <c r="F12" s="133">
        <f>IF(SER_hh_fec_in!F12=0,0,11630*1000*SER_hh_fec_in!F12/SER_hh_num_in!F12)</f>
        <v>223384.87413967418</v>
      </c>
      <c r="G12" s="133">
        <f>IF(SER_hh_fec_in!G12=0,0,11630*1000*SER_hh_fec_in!G12/SER_hh_num_in!G12)</f>
        <v>223587.90220601598</v>
      </c>
      <c r="H12" s="133">
        <f>IF(SER_hh_fec_in!H12=0,0,11630*1000*SER_hh_fec_in!H12/SER_hh_num_in!H12)</f>
        <v>215608.42197488822</v>
      </c>
      <c r="I12" s="133">
        <f>IF(SER_hh_fec_in!I12=0,0,11630*1000*SER_hh_fec_in!I12/SER_hh_num_in!I12)</f>
        <v>192506.10443391296</v>
      </c>
      <c r="J12" s="133">
        <f>IF(SER_hh_fec_in!J12=0,0,11630*1000*SER_hh_fec_in!J12/SER_hh_num_in!J12)</f>
        <v>170003.62431940864</v>
      </c>
      <c r="K12" s="133">
        <f>IF(SER_hh_fec_in!K12=0,0,11630*1000*SER_hh_fec_in!K12/SER_hh_num_in!K12)</f>
        <v>158781.94731183629</v>
      </c>
      <c r="L12" s="133">
        <f>IF(SER_hh_fec_in!L12=0,0,11630*1000*SER_hh_fec_in!L12/SER_hh_num_in!L12)</f>
        <v>163802.39258911175</v>
      </c>
      <c r="M12" s="133">
        <f>IF(SER_hh_fec_in!M12=0,0,11630*1000*SER_hh_fec_in!M12/SER_hh_num_in!M12)</f>
        <v>133240.94954407073</v>
      </c>
      <c r="N12" s="133">
        <f>IF(SER_hh_fec_in!N12=0,0,11630*1000*SER_hh_fec_in!N12/SER_hh_num_in!N12)</f>
        <v>157597.6695275204</v>
      </c>
      <c r="O12" s="133">
        <f>IF(SER_hh_fec_in!O12=0,0,11630*1000*SER_hh_fec_in!O12/SER_hh_num_in!O12)</f>
        <v>145047.81544973224</v>
      </c>
      <c r="P12" s="133">
        <f>IF(SER_hh_fec_in!P12=0,0,11630*1000*SER_hh_fec_in!P12/SER_hh_num_in!P12)</f>
        <v>129251.94944232442</v>
      </c>
      <c r="Q12" s="133">
        <f>IF(SER_hh_fec_in!Q12=0,0,11630*1000*SER_hh_fec_in!Q12/SER_hh_num_in!Q12)</f>
        <v>115168.34637058254</v>
      </c>
      <c r="R12" s="133">
        <f>IF(SER_hh_fec_in!R12=0,0,11630*1000*SER_hh_fec_in!R12/SER_hh_num_in!R12)</f>
        <v>122225.69204586954</v>
      </c>
      <c r="S12" s="133">
        <f>IF(SER_hh_fec_in!S12=0,0,11630*1000*SER_hh_fec_in!S12/SER_hh_num_in!S12)</f>
        <v>114639.81891793298</v>
      </c>
      <c r="T12" s="133">
        <f>IF(SER_hh_fec_in!T12=0,0,11630*1000*SER_hh_fec_in!T12/SER_hh_num_in!T12)</f>
        <v>97754.996949059641</v>
      </c>
      <c r="U12" s="133">
        <f>IF(SER_hh_fec_in!U12=0,0,11630*1000*SER_hh_fec_in!U12/SER_hh_num_in!U12)</f>
        <v>86797.767849053853</v>
      </c>
      <c r="V12" s="133">
        <f>IF(SER_hh_fec_in!V12=0,0,11630*1000*SER_hh_fec_in!V12/SER_hh_num_in!V12)</f>
        <v>81486.759459922236</v>
      </c>
      <c r="W12" s="133">
        <f>IF(SER_hh_fec_in!W12=0,0,11630*1000*SER_hh_fec_in!W12/SER_hh_num_in!W12)</f>
        <v>79651.418557342593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47362.231207463257</v>
      </c>
      <c r="D13" s="133">
        <f>IF(SER_hh_fec_in!D13=0,0,11630*1000*SER_hh_fec_in!D13/SER_hh_num_in!D13)</f>
        <v>102710.47158192084</v>
      </c>
      <c r="E13" s="133">
        <f>IF(SER_hh_fec_in!E13=0,0,11630*1000*SER_hh_fec_in!E13/SER_hh_num_in!E13)</f>
        <v>87558.603755450356</v>
      </c>
      <c r="F13" s="133">
        <f>IF(SER_hh_fec_in!F13=0,0,11630*1000*SER_hh_fec_in!F13/SER_hh_num_in!F13)</f>
        <v>79666.444630857601</v>
      </c>
      <c r="G13" s="133">
        <f>IF(SER_hh_fec_in!G13=0,0,11630*1000*SER_hh_fec_in!G13/SER_hh_num_in!G13)</f>
        <v>72850.445035503741</v>
      </c>
      <c r="H13" s="133">
        <f>IF(SER_hh_fec_in!H13=0,0,11630*1000*SER_hh_fec_in!H13/SER_hh_num_in!H13)</f>
        <v>64940.957523072444</v>
      </c>
      <c r="I13" s="133">
        <f>IF(SER_hh_fec_in!I13=0,0,11630*1000*SER_hh_fec_in!I13/SER_hh_num_in!I13)</f>
        <v>55881.025904552902</v>
      </c>
      <c r="J13" s="133">
        <f>IF(SER_hh_fec_in!J13=0,0,11630*1000*SER_hh_fec_in!J13/SER_hh_num_in!J13)</f>
        <v>47924.252326895396</v>
      </c>
      <c r="K13" s="133">
        <f>IF(SER_hh_fec_in!K13=0,0,11630*1000*SER_hh_fec_in!K13/SER_hh_num_in!K13)</f>
        <v>41133.157114251051</v>
      </c>
      <c r="L13" s="133">
        <f>IF(SER_hh_fec_in!L13=0,0,11630*1000*SER_hh_fec_in!L13/SER_hh_num_in!L13)</f>
        <v>41061.15300527279</v>
      </c>
      <c r="M13" s="133">
        <f>IF(SER_hh_fec_in!M13=0,0,11630*1000*SER_hh_fec_in!M13/SER_hh_num_in!M13)</f>
        <v>42392.138520206579</v>
      </c>
      <c r="N13" s="133">
        <f>IF(SER_hh_fec_in!N13=0,0,11630*1000*SER_hh_fec_in!N13/SER_hh_num_in!N13)</f>
        <v>39414.400643651134</v>
      </c>
      <c r="O13" s="133">
        <f>IF(SER_hh_fec_in!O13=0,0,11630*1000*SER_hh_fec_in!O13/SER_hh_num_in!O13)</f>
        <v>41094.562105620033</v>
      </c>
      <c r="P13" s="133">
        <f>IF(SER_hh_fec_in!P13=0,0,11630*1000*SER_hh_fec_in!P13/SER_hh_num_in!P13)</f>
        <v>38337.316625935331</v>
      </c>
      <c r="Q13" s="133">
        <f>IF(SER_hh_fec_in!Q13=0,0,11630*1000*SER_hh_fec_in!Q13/SER_hh_num_in!Q13)</f>
        <v>35391.882748997436</v>
      </c>
      <c r="R13" s="133">
        <f>IF(SER_hh_fec_in!R13=0,0,11630*1000*SER_hh_fec_in!R13/SER_hh_num_in!R13)</f>
        <v>32910.202922685989</v>
      </c>
      <c r="S13" s="133">
        <f>IF(SER_hh_fec_in!S13=0,0,11630*1000*SER_hh_fec_in!S13/SER_hh_num_in!S13)</f>
        <v>31901.999868151423</v>
      </c>
      <c r="T13" s="133">
        <f>IF(SER_hh_fec_in!T13=0,0,11630*1000*SER_hh_fec_in!T13/SER_hh_num_in!T13)</f>
        <v>28033.020609782445</v>
      </c>
      <c r="U13" s="133">
        <f>IF(SER_hh_fec_in!U13=0,0,11630*1000*SER_hh_fec_in!U13/SER_hh_num_in!U13)</f>
        <v>25864.640283006873</v>
      </c>
      <c r="V13" s="133">
        <f>IF(SER_hh_fec_in!V13=0,0,11630*1000*SER_hh_fec_in!V13/SER_hh_num_in!V13)</f>
        <v>23317.643707083465</v>
      </c>
      <c r="W13" s="133">
        <f>IF(SER_hh_fec_in!W13=0,0,11630*1000*SER_hh_fec_in!W13/SER_hh_num_in!W13)</f>
        <v>13674.677351264838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175918.64190242448</v>
      </c>
      <c r="D14" s="65">
        <f>IF(SER_hh_fec_in!D14=0,0,11630*1000*SER_hh_fec_in!D14/SER_hh_num_in!D14)</f>
        <v>286306.65543341258</v>
      </c>
      <c r="E14" s="65">
        <f>IF(SER_hh_fec_in!E14=0,0,11630*1000*SER_hh_fec_in!E14/SER_hh_num_in!E14)</f>
        <v>285155.01614270522</v>
      </c>
      <c r="F14" s="65">
        <f>IF(SER_hh_fec_in!F14=0,0,11630*1000*SER_hh_fec_in!F14/SER_hh_num_in!F14)</f>
        <v>250099.8562077283</v>
      </c>
      <c r="G14" s="65">
        <f>IF(SER_hh_fec_in!G14=0,0,11630*1000*SER_hh_fec_in!G14/SER_hh_num_in!G14)</f>
        <v>233323.52021576968</v>
      </c>
      <c r="H14" s="65">
        <f>IF(SER_hh_fec_in!H14=0,0,11630*1000*SER_hh_fec_in!H14/SER_hh_num_in!H14)</f>
        <v>220468.5180299393</v>
      </c>
      <c r="I14" s="65">
        <f>IF(SER_hh_fec_in!I14=0,0,11630*1000*SER_hh_fec_in!I14/SER_hh_num_in!I14)</f>
        <v>278176.55874522746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141073.69865959362</v>
      </c>
      <c r="N14" s="65">
        <f>IF(SER_hh_fec_in!N14=0,0,11630*1000*SER_hh_fec_in!N14/SER_hh_num_in!N14)</f>
        <v>196392.2367251004</v>
      </c>
      <c r="O14" s="65">
        <f>IF(SER_hh_fec_in!O14=0,0,11630*1000*SER_hh_fec_in!O14/SER_hh_num_in!O14)</f>
        <v>141520.73719638336</v>
      </c>
      <c r="P14" s="65">
        <f>IF(SER_hh_fec_in!P14=0,0,11630*1000*SER_hh_fec_in!P14/SER_hh_num_in!P14)</f>
        <v>163948.26419809641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118223.83965866735</v>
      </c>
      <c r="S14" s="65">
        <f>IF(SER_hh_fec_in!S14=0,0,11630*1000*SER_hh_fec_in!S14/SER_hh_num_in!S14)</f>
        <v>110126.880865603</v>
      </c>
      <c r="T14" s="65">
        <f>IF(SER_hh_fec_in!T14=0,0,11630*1000*SER_hh_fec_in!T14/SER_hh_num_in!T14)</f>
        <v>110788.01399056328</v>
      </c>
      <c r="U14" s="65">
        <f>IF(SER_hh_fec_in!U14=0,0,11630*1000*SER_hh_fec_in!U14/SER_hh_num_in!U14)</f>
        <v>97514.188611809775</v>
      </c>
      <c r="V14" s="65">
        <f>IF(SER_hh_fec_in!V14=0,0,11630*1000*SER_hh_fec_in!V14/SER_hh_num_in!V14)</f>
        <v>81055.456741888484</v>
      </c>
      <c r="W14" s="65">
        <f>IF(SER_hh_fec_in!W14=0,0,11630*1000*SER_hh_fec_in!W14/SER_hh_num_in!W14)</f>
        <v>76508.566523340894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1782.9495238206655</v>
      </c>
      <c r="D15" s="135">
        <f>IF(SER_hh_fec_in!D15=0,0,11630*1000*SER_hh_fec_in!D15/SER_hh_num_in!D15)</f>
        <v>2520.674699782327</v>
      </c>
      <c r="E15" s="135">
        <f>IF(SER_hh_fec_in!E15=0,0,11630*1000*SER_hh_fec_in!E15/SER_hh_num_in!E15)</f>
        <v>2169.3908314698956</v>
      </c>
      <c r="F15" s="135">
        <f>IF(SER_hh_fec_in!F15=0,0,11630*1000*SER_hh_fec_in!F15/SER_hh_num_in!F15)</f>
        <v>2203.9794438056811</v>
      </c>
      <c r="G15" s="135">
        <f>IF(SER_hh_fec_in!G15=0,0,11630*1000*SER_hh_fec_in!G15/SER_hh_num_in!G15)</f>
        <v>1884.0076642033371</v>
      </c>
      <c r="H15" s="135">
        <f>IF(SER_hh_fec_in!H15=0,0,11630*1000*SER_hh_fec_in!H15/SER_hh_num_in!H15)</f>
        <v>1798.41281098951</v>
      </c>
      <c r="I15" s="135">
        <f>IF(SER_hh_fec_in!I15=0,0,11630*1000*SER_hh_fec_in!I15/SER_hh_num_in!I15)</f>
        <v>1545.8697985178233</v>
      </c>
      <c r="J15" s="135">
        <f>IF(SER_hh_fec_in!J15=0,0,11630*1000*SER_hh_fec_in!J15/SER_hh_num_in!J15)</f>
        <v>1325.0110057836846</v>
      </c>
      <c r="K15" s="135">
        <f>IF(SER_hh_fec_in!K15=0,0,11630*1000*SER_hh_fec_in!K15/SER_hh_num_in!K15)</f>
        <v>1184.4190328692471</v>
      </c>
      <c r="L15" s="135">
        <f>IF(SER_hh_fec_in!L15=0,0,11630*1000*SER_hh_fec_in!L15/SER_hh_num_in!L15)</f>
        <v>1152.9286517898379</v>
      </c>
      <c r="M15" s="135">
        <f>IF(SER_hh_fec_in!M15=0,0,11630*1000*SER_hh_fec_in!M15/SER_hh_num_in!M15)</f>
        <v>770.60742538590375</v>
      </c>
      <c r="N15" s="135">
        <f>IF(SER_hh_fec_in!N15=0,0,11630*1000*SER_hh_fec_in!N15/SER_hh_num_in!N15)</f>
        <v>1169.5341099598318</v>
      </c>
      <c r="O15" s="135">
        <f>IF(SER_hh_fec_in!O15=0,0,11630*1000*SER_hh_fec_in!O15/SER_hh_num_in!O15)</f>
        <v>989.06345226322969</v>
      </c>
      <c r="P15" s="135">
        <f>IF(SER_hh_fec_in!P15=0,0,11630*1000*SER_hh_fec_in!P15/SER_hh_num_in!P15)</f>
        <v>1070.6367409321051</v>
      </c>
      <c r="Q15" s="135">
        <f>IF(SER_hh_fec_in!Q15=0,0,11630*1000*SER_hh_fec_in!Q15/SER_hh_num_in!Q15)</f>
        <v>883.17741506104619</v>
      </c>
      <c r="R15" s="135">
        <f>IF(SER_hh_fec_in!R15=0,0,11630*1000*SER_hh_fec_in!R15/SER_hh_num_in!R15)</f>
        <v>930.34603254240699</v>
      </c>
      <c r="S15" s="135">
        <f>IF(SER_hh_fec_in!S15=0,0,11630*1000*SER_hh_fec_in!S15/SER_hh_num_in!S15)</f>
        <v>956.5669093269488</v>
      </c>
      <c r="T15" s="135">
        <f>IF(SER_hh_fec_in!T15=0,0,11630*1000*SER_hh_fec_in!T15/SER_hh_num_in!T15)</f>
        <v>1060.4930020819061</v>
      </c>
      <c r="U15" s="135">
        <f>IF(SER_hh_fec_in!U15=0,0,11630*1000*SER_hh_fec_in!U15/SER_hh_num_in!U15)</f>
        <v>867.23562304582299</v>
      </c>
      <c r="V15" s="135">
        <f>IF(SER_hh_fec_in!V15=0,0,11630*1000*SER_hh_fec_in!V15/SER_hh_num_in!V15)</f>
        <v>735.29469239036234</v>
      </c>
      <c r="W15" s="135">
        <f>IF(SER_hh_fec_in!W15=0,0,11630*1000*SER_hh_fec_in!W15/SER_hh_num_in!W15)</f>
        <v>766.87009823105291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7281.1147654523584</v>
      </c>
      <c r="D16" s="131">
        <f>IF(SER_hh_fec_in!D16=0,0,11630*1000*SER_hh_fec_in!D16/SER_hh_num_in!D16)</f>
        <v>7243.6350893124109</v>
      </c>
      <c r="E16" s="131">
        <f>IF(SER_hh_fec_in!E16=0,0,11630*1000*SER_hh_fec_in!E16/SER_hh_num_in!E16)</f>
        <v>6701.126987220392</v>
      </c>
      <c r="F16" s="131">
        <f>IF(SER_hh_fec_in!F16=0,0,11630*1000*SER_hh_fec_in!F16/SER_hh_num_in!F16)</f>
        <v>6270.0080338407342</v>
      </c>
      <c r="G16" s="131">
        <f>IF(SER_hh_fec_in!G16=0,0,11630*1000*SER_hh_fec_in!G16/SER_hh_num_in!G16)</f>
        <v>6045.0679603070785</v>
      </c>
      <c r="H16" s="131">
        <f>IF(SER_hh_fec_in!H16=0,0,11630*1000*SER_hh_fec_in!H16/SER_hh_num_in!H16)</f>
        <v>6203.5495377245061</v>
      </c>
      <c r="I16" s="131">
        <f>IF(SER_hh_fec_in!I16=0,0,11630*1000*SER_hh_fec_in!I16/SER_hh_num_in!I16)</f>
        <v>5656.8746253646332</v>
      </c>
      <c r="J16" s="131">
        <f>IF(SER_hh_fec_in!J16=0,0,11630*1000*SER_hh_fec_in!J16/SER_hh_num_in!J16)</f>
        <v>5452.8876021904971</v>
      </c>
      <c r="K16" s="131">
        <f>IF(SER_hh_fec_in!K16=0,0,11630*1000*SER_hh_fec_in!K16/SER_hh_num_in!K16)</f>
        <v>5232.5397658604188</v>
      </c>
      <c r="L16" s="131">
        <f>IF(SER_hh_fec_in!L16=0,0,11630*1000*SER_hh_fec_in!L16/SER_hh_num_in!L16)</f>
        <v>6090.0500258801585</v>
      </c>
      <c r="M16" s="131">
        <f>IF(SER_hh_fec_in!M16=0,0,11630*1000*SER_hh_fec_in!M16/SER_hh_num_in!M16)</f>
        <v>4904.2003021735163</v>
      </c>
      <c r="N16" s="131">
        <f>IF(SER_hh_fec_in!N16=0,0,11630*1000*SER_hh_fec_in!N16/SER_hh_num_in!N16)</f>
        <v>4682.1737008772716</v>
      </c>
      <c r="O16" s="131">
        <f>IF(SER_hh_fec_in!O16=0,0,11630*1000*SER_hh_fec_in!O16/SER_hh_num_in!O16)</f>
        <v>4353.3143067160645</v>
      </c>
      <c r="P16" s="131">
        <f>IF(SER_hh_fec_in!P16=0,0,11630*1000*SER_hh_fec_in!P16/SER_hh_num_in!P16)</f>
        <v>4343.6231132335279</v>
      </c>
      <c r="Q16" s="131">
        <f>IF(SER_hh_fec_in!Q16=0,0,11630*1000*SER_hh_fec_in!Q16/SER_hh_num_in!Q16)</f>
        <v>3923.6169519565428</v>
      </c>
      <c r="R16" s="131">
        <f>IF(SER_hh_fec_in!R16=0,0,11630*1000*SER_hh_fec_in!R16/SER_hh_num_in!R16)</f>
        <v>3779.0864838409238</v>
      </c>
      <c r="S16" s="131">
        <f>IF(SER_hh_fec_in!S16=0,0,11630*1000*SER_hh_fec_in!S16/SER_hh_num_in!S16)</f>
        <v>3678.4240024153314</v>
      </c>
      <c r="T16" s="131">
        <f>IF(SER_hh_fec_in!T16=0,0,11630*1000*SER_hh_fec_in!T16/SER_hh_num_in!T16)</f>
        <v>3791.5759905781179</v>
      </c>
      <c r="U16" s="131">
        <f>IF(SER_hh_fec_in!U16=0,0,11630*1000*SER_hh_fec_in!U16/SER_hh_num_in!U16)</f>
        <v>3438.5297322821261</v>
      </c>
      <c r="V16" s="131">
        <f>IF(SER_hh_fec_in!V16=0,0,11630*1000*SER_hh_fec_in!V16/SER_hh_num_in!V16)</f>
        <v>3289.4553431575632</v>
      </c>
      <c r="W16" s="131">
        <f>IF(SER_hh_fec_in!W16=0,0,11630*1000*SER_hh_fec_in!W16/SER_hh_num_in!W16)</f>
        <v>3442.7609644950312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7281.1147654523584</v>
      </c>
      <c r="D18" s="133">
        <f>IF(SER_hh_fec_in!D18=0,0,11630*1000*SER_hh_fec_in!D18/SER_hh_num_in!D18)</f>
        <v>7243.6350893124109</v>
      </c>
      <c r="E18" s="133">
        <f>IF(SER_hh_fec_in!E18=0,0,11630*1000*SER_hh_fec_in!E18/SER_hh_num_in!E18)</f>
        <v>6701.126987220392</v>
      </c>
      <c r="F18" s="133">
        <f>IF(SER_hh_fec_in!F18=0,0,11630*1000*SER_hh_fec_in!F18/SER_hh_num_in!F18)</f>
        <v>6270.0080338407342</v>
      </c>
      <c r="G18" s="133">
        <f>IF(SER_hh_fec_in!G18=0,0,11630*1000*SER_hh_fec_in!G18/SER_hh_num_in!G18)</f>
        <v>6045.0679603070785</v>
      </c>
      <c r="H18" s="133">
        <f>IF(SER_hh_fec_in!H18=0,0,11630*1000*SER_hh_fec_in!H18/SER_hh_num_in!H18)</f>
        <v>6203.5495377245061</v>
      </c>
      <c r="I18" s="133">
        <f>IF(SER_hh_fec_in!I18=0,0,11630*1000*SER_hh_fec_in!I18/SER_hh_num_in!I18)</f>
        <v>5656.8746253646332</v>
      </c>
      <c r="J18" s="133">
        <f>IF(SER_hh_fec_in!J18=0,0,11630*1000*SER_hh_fec_in!J18/SER_hh_num_in!J18)</f>
        <v>5452.8876021904971</v>
      </c>
      <c r="K18" s="133">
        <f>IF(SER_hh_fec_in!K18=0,0,11630*1000*SER_hh_fec_in!K18/SER_hh_num_in!K18)</f>
        <v>5232.5397658604188</v>
      </c>
      <c r="L18" s="133">
        <f>IF(SER_hh_fec_in!L18=0,0,11630*1000*SER_hh_fec_in!L18/SER_hh_num_in!L18)</f>
        <v>6090.0500258801585</v>
      </c>
      <c r="M18" s="133">
        <f>IF(SER_hh_fec_in!M18=0,0,11630*1000*SER_hh_fec_in!M18/SER_hh_num_in!M18)</f>
        <v>4904.2003021735163</v>
      </c>
      <c r="N18" s="133">
        <f>IF(SER_hh_fec_in!N18=0,0,11630*1000*SER_hh_fec_in!N18/SER_hh_num_in!N18)</f>
        <v>4682.1737008772716</v>
      </c>
      <c r="O18" s="133">
        <f>IF(SER_hh_fec_in!O18=0,0,11630*1000*SER_hh_fec_in!O18/SER_hh_num_in!O18)</f>
        <v>4353.3143067160645</v>
      </c>
      <c r="P18" s="133">
        <f>IF(SER_hh_fec_in!P18=0,0,11630*1000*SER_hh_fec_in!P18/SER_hh_num_in!P18)</f>
        <v>4343.6231132335279</v>
      </c>
      <c r="Q18" s="133">
        <f>IF(SER_hh_fec_in!Q18=0,0,11630*1000*SER_hh_fec_in!Q18/SER_hh_num_in!Q18)</f>
        <v>3923.6169519565428</v>
      </c>
      <c r="R18" s="133">
        <f>IF(SER_hh_fec_in!R18=0,0,11630*1000*SER_hh_fec_in!R18/SER_hh_num_in!R18)</f>
        <v>3779.0864838409238</v>
      </c>
      <c r="S18" s="133">
        <f>IF(SER_hh_fec_in!S18=0,0,11630*1000*SER_hh_fec_in!S18/SER_hh_num_in!S18)</f>
        <v>3678.4240024153314</v>
      </c>
      <c r="T18" s="133">
        <f>IF(SER_hh_fec_in!T18=0,0,11630*1000*SER_hh_fec_in!T18/SER_hh_num_in!T18)</f>
        <v>3791.5759905781179</v>
      </c>
      <c r="U18" s="133">
        <f>IF(SER_hh_fec_in!U18=0,0,11630*1000*SER_hh_fec_in!U18/SER_hh_num_in!U18)</f>
        <v>3438.5297322821261</v>
      </c>
      <c r="V18" s="133">
        <f>IF(SER_hh_fec_in!V18=0,0,11630*1000*SER_hh_fec_in!V18/SER_hh_num_in!V18)</f>
        <v>3289.4553431575632</v>
      </c>
      <c r="W18" s="133">
        <f>IF(SER_hh_fec_in!W18=0,0,11630*1000*SER_hh_fec_in!W18/SER_hh_num_in!W18)</f>
        <v>3442.7609644950312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35017.88691786422</v>
      </c>
      <c r="D19" s="131">
        <f>IF(SER_hh_fec_in!D19=0,0,11630*1000*SER_hh_fec_in!D19/SER_hh_num_in!D19)</f>
        <v>34556.523438328346</v>
      </c>
      <c r="E19" s="131">
        <f>IF(SER_hh_fec_in!E19=0,0,11630*1000*SER_hh_fec_in!E19/SER_hh_num_in!E19)</f>
        <v>33933.602207432887</v>
      </c>
      <c r="F19" s="131">
        <f>IF(SER_hh_fec_in!F19=0,0,11630*1000*SER_hh_fec_in!F19/SER_hh_num_in!F19)</f>
        <v>33974.883221524622</v>
      </c>
      <c r="G19" s="131">
        <f>IF(SER_hh_fec_in!G19=0,0,11630*1000*SER_hh_fec_in!G19/SER_hh_num_in!G19)</f>
        <v>33662.862153277449</v>
      </c>
      <c r="H19" s="131">
        <f>IF(SER_hh_fec_in!H19=0,0,11630*1000*SER_hh_fec_in!H19/SER_hh_num_in!H19)</f>
        <v>32760.765273594156</v>
      </c>
      <c r="I19" s="131">
        <f>IF(SER_hh_fec_in!I19=0,0,11630*1000*SER_hh_fec_in!I19/SER_hh_num_in!I19)</f>
        <v>32517.378491549098</v>
      </c>
      <c r="J19" s="131">
        <f>IF(SER_hh_fec_in!J19=0,0,11630*1000*SER_hh_fec_in!J19/SER_hh_num_in!J19)</f>
        <v>32011.786958117398</v>
      </c>
      <c r="K19" s="131">
        <f>IF(SER_hh_fec_in!K19=0,0,11630*1000*SER_hh_fec_in!K19/SER_hh_num_in!K19)</f>
        <v>31901.821184123935</v>
      </c>
      <c r="L19" s="131">
        <f>IF(SER_hh_fec_in!L19=0,0,11630*1000*SER_hh_fec_in!L19/SER_hh_num_in!L19)</f>
        <v>30913.947963669274</v>
      </c>
      <c r="M19" s="131">
        <f>IF(SER_hh_fec_in!M19=0,0,11630*1000*SER_hh_fec_in!M19/SER_hh_num_in!M19)</f>
        <v>31135.070672459595</v>
      </c>
      <c r="N19" s="131">
        <f>IF(SER_hh_fec_in!N19=0,0,11630*1000*SER_hh_fec_in!N19/SER_hh_num_in!N19)</f>
        <v>30195.327558565623</v>
      </c>
      <c r="O19" s="131">
        <f>IF(SER_hh_fec_in!O19=0,0,11630*1000*SER_hh_fec_in!O19/SER_hh_num_in!O19)</f>
        <v>29889.602521293669</v>
      </c>
      <c r="P19" s="131">
        <f>IF(SER_hh_fec_in!P19=0,0,11630*1000*SER_hh_fec_in!P19/SER_hh_num_in!P19)</f>
        <v>28473.41633238467</v>
      </c>
      <c r="Q19" s="131">
        <f>IF(SER_hh_fec_in!Q19=0,0,11630*1000*SER_hh_fec_in!Q19/SER_hh_num_in!Q19)</f>
        <v>27566.167108844034</v>
      </c>
      <c r="R19" s="131">
        <f>IF(SER_hh_fec_in!R19=0,0,11630*1000*SER_hh_fec_in!R19/SER_hh_num_in!R19)</f>
        <v>27241.894104823597</v>
      </c>
      <c r="S19" s="131">
        <f>IF(SER_hh_fec_in!S19=0,0,11630*1000*SER_hh_fec_in!S19/SER_hh_num_in!S19)</f>
        <v>26544.803394556773</v>
      </c>
      <c r="T19" s="131">
        <f>IF(SER_hh_fec_in!T19=0,0,11630*1000*SER_hh_fec_in!T19/SER_hh_num_in!T19)</f>
        <v>25670.497489052537</v>
      </c>
      <c r="U19" s="131">
        <f>IF(SER_hh_fec_in!U19=0,0,11630*1000*SER_hh_fec_in!U19/SER_hh_num_in!U19)</f>
        <v>24493.780052429705</v>
      </c>
      <c r="V19" s="131">
        <f>IF(SER_hh_fec_in!V19=0,0,11630*1000*SER_hh_fec_in!V19/SER_hh_num_in!V19)</f>
        <v>22200.460254572587</v>
      </c>
      <c r="W19" s="131">
        <f>IF(SER_hh_fec_in!W19=0,0,11630*1000*SER_hh_fec_in!W19/SER_hh_num_in!W19)</f>
        <v>23313.010693611555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44637.608249515608</v>
      </c>
      <c r="D22" s="133">
        <f>IF(SER_hh_fec_in!D22=0,0,11630*1000*SER_hh_fec_in!D22/SER_hh_num_in!D22)</f>
        <v>43812.687576525808</v>
      </c>
      <c r="E22" s="133">
        <f>IF(SER_hh_fec_in!E22=0,0,11630*1000*SER_hh_fec_in!E22/SER_hh_num_in!E22)</f>
        <v>43260.874124490838</v>
      </c>
      <c r="F22" s="133">
        <f>IF(SER_hh_fec_in!F22=0,0,11630*1000*SER_hh_fec_in!F22/SER_hh_num_in!F22)</f>
        <v>42337.184495348629</v>
      </c>
      <c r="G22" s="133">
        <f>IF(SER_hh_fec_in!G22=0,0,11630*1000*SER_hh_fec_in!G22/SER_hh_num_in!G22)</f>
        <v>41702.205443101331</v>
      </c>
      <c r="H22" s="133">
        <f>IF(SER_hh_fec_in!H22=0,0,11630*1000*SER_hh_fec_in!H22/SER_hh_num_in!H22)</f>
        <v>42213.326856658576</v>
      </c>
      <c r="I22" s="133">
        <f>IF(SER_hh_fec_in!I22=0,0,11630*1000*SER_hh_fec_in!I22/SER_hh_num_in!I22)</f>
        <v>40603.102839681589</v>
      </c>
      <c r="J22" s="133">
        <f>IF(SER_hh_fec_in!J22=0,0,11630*1000*SER_hh_fec_in!J22/SER_hh_num_in!J22)</f>
        <v>40982.870645912139</v>
      </c>
      <c r="K22" s="133">
        <f>IF(SER_hh_fec_in!K22=0,0,11630*1000*SER_hh_fec_in!K22/SER_hh_num_in!K22)</f>
        <v>40000.239775977287</v>
      </c>
      <c r="L22" s="133">
        <f>IF(SER_hh_fec_in!L22=0,0,11630*1000*SER_hh_fec_in!L22/SER_hh_num_in!L22)</f>
        <v>39423.85222050266</v>
      </c>
      <c r="M22" s="133">
        <f>IF(SER_hh_fec_in!M22=0,0,11630*1000*SER_hh_fec_in!M22/SER_hh_num_in!M22)</f>
        <v>39011.602858063932</v>
      </c>
      <c r="N22" s="133">
        <f>IF(SER_hh_fec_in!N22=0,0,11630*1000*SER_hh_fec_in!N22/SER_hh_num_in!N22)</f>
        <v>37802.587520616515</v>
      </c>
      <c r="O22" s="133">
        <f>IF(SER_hh_fec_in!O22=0,0,11630*1000*SER_hh_fec_in!O22/SER_hh_num_in!O22)</f>
        <v>36075.363794860787</v>
      </c>
      <c r="P22" s="133">
        <f>IF(SER_hh_fec_in!P22=0,0,11630*1000*SER_hh_fec_in!P22/SER_hh_num_in!P22)</f>
        <v>33608.41219963078</v>
      </c>
      <c r="Q22" s="133">
        <f>IF(SER_hh_fec_in!Q22=0,0,11630*1000*SER_hh_fec_in!Q22/SER_hh_num_in!Q22)</f>
        <v>32061.673712306681</v>
      </c>
      <c r="R22" s="133">
        <f>IF(SER_hh_fec_in!R22=0,0,11630*1000*SER_hh_fec_in!R22/SER_hh_num_in!R22)</f>
        <v>30846.005174871792</v>
      </c>
      <c r="S22" s="133">
        <f>IF(SER_hh_fec_in!S22=0,0,11630*1000*SER_hh_fec_in!S22/SER_hh_num_in!S22)</f>
        <v>29865.39178350132</v>
      </c>
      <c r="T22" s="133">
        <f>IF(SER_hh_fec_in!T22=0,0,11630*1000*SER_hh_fec_in!T22/SER_hh_num_in!T22)</f>
        <v>28582.051243047477</v>
      </c>
      <c r="U22" s="133">
        <f>IF(SER_hh_fec_in!U22=0,0,11630*1000*SER_hh_fec_in!U22/SER_hh_num_in!U22)</f>
        <v>26734.662019303181</v>
      </c>
      <c r="V22" s="133">
        <f>IF(SER_hh_fec_in!V22=0,0,11630*1000*SER_hh_fec_in!V22/SER_hh_num_in!V22)</f>
        <v>23916.414309280022</v>
      </c>
      <c r="W22" s="133">
        <f>IF(SER_hh_fec_in!W22=0,0,11630*1000*SER_hh_fec_in!W22/SER_hh_num_in!W22)</f>
        <v>24961.982276183091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39330.211201262566</v>
      </c>
      <c r="D23" s="133">
        <f>IF(SER_hh_fec_in!D23=0,0,11630*1000*SER_hh_fec_in!D23/SER_hh_num_in!D23)</f>
        <v>40272.738575018673</v>
      </c>
      <c r="E23" s="133">
        <f>IF(SER_hh_fec_in!E23=0,0,11630*1000*SER_hh_fec_in!E23/SER_hh_num_in!E23)</f>
        <v>38823.364209473562</v>
      </c>
      <c r="F23" s="133">
        <f>IF(SER_hh_fec_in!F23=0,0,11630*1000*SER_hh_fec_in!F23/SER_hh_num_in!F23)</f>
        <v>37797.346964198703</v>
      </c>
      <c r="G23" s="133">
        <f>IF(SER_hh_fec_in!G23=0,0,11630*1000*SER_hh_fec_in!G23/SER_hh_num_in!G23)</f>
        <v>37900.897614019887</v>
      </c>
      <c r="H23" s="133">
        <f>IF(SER_hh_fec_in!H23=0,0,11630*1000*SER_hh_fec_in!H23/SER_hh_num_in!H23)</f>
        <v>36147.559705687927</v>
      </c>
      <c r="I23" s="133">
        <f>IF(SER_hh_fec_in!I23=0,0,11630*1000*SER_hh_fec_in!I23/SER_hh_num_in!I23)</f>
        <v>34827.269781904455</v>
      </c>
      <c r="J23" s="133">
        <f>IF(SER_hh_fec_in!J23=0,0,11630*1000*SER_hh_fec_in!J23/SER_hh_num_in!J23)</f>
        <v>36400.421617992295</v>
      </c>
      <c r="K23" s="133">
        <f>IF(SER_hh_fec_in!K23=0,0,11630*1000*SER_hh_fec_in!K23/SER_hh_num_in!K23)</f>
        <v>36228.930682834165</v>
      </c>
      <c r="L23" s="133">
        <f>IF(SER_hh_fec_in!L23=0,0,11630*1000*SER_hh_fec_in!L23/SER_hh_num_in!L23)</f>
        <v>34709.512014276392</v>
      </c>
      <c r="M23" s="133">
        <f>IF(SER_hh_fec_in!M23=0,0,11630*1000*SER_hh_fec_in!M23/SER_hh_num_in!M23)</f>
        <v>34235.168350821739</v>
      </c>
      <c r="N23" s="133">
        <f>IF(SER_hh_fec_in!N23=0,0,11630*1000*SER_hh_fec_in!N23/SER_hh_num_in!N23)</f>
        <v>33160.844273222479</v>
      </c>
      <c r="O23" s="133">
        <f>IF(SER_hh_fec_in!O23=0,0,11630*1000*SER_hh_fec_in!O23/SER_hh_num_in!O23)</f>
        <v>31968.884337295214</v>
      </c>
      <c r="P23" s="133">
        <f>IF(SER_hh_fec_in!P23=0,0,11630*1000*SER_hh_fec_in!P23/SER_hh_num_in!P23)</f>
        <v>30097.992484666662</v>
      </c>
      <c r="Q23" s="133">
        <f>IF(SER_hh_fec_in!Q23=0,0,11630*1000*SER_hh_fec_in!Q23/SER_hh_num_in!Q23)</f>
        <v>29146.185001343671</v>
      </c>
      <c r="R23" s="133">
        <f>IF(SER_hh_fec_in!R23=0,0,11630*1000*SER_hh_fec_in!R23/SER_hh_num_in!R23)</f>
        <v>28435.022289988894</v>
      </c>
      <c r="S23" s="133">
        <f>IF(SER_hh_fec_in!S23=0,0,11630*1000*SER_hh_fec_in!S23/SER_hh_num_in!S23)</f>
        <v>28006.326138736331</v>
      </c>
      <c r="T23" s="133">
        <f>IF(SER_hh_fec_in!T23=0,0,11630*1000*SER_hh_fec_in!T23/SER_hh_num_in!T23)</f>
        <v>26319.954601218073</v>
      </c>
      <c r="U23" s="133">
        <f>IF(SER_hh_fec_in!U23=0,0,11630*1000*SER_hh_fec_in!U23/SER_hh_num_in!U23)</f>
        <v>25243.977077394287</v>
      </c>
      <c r="V23" s="133">
        <f>IF(SER_hh_fec_in!V23=0,0,11630*1000*SER_hh_fec_in!V23/SER_hh_num_in!V23)</f>
        <v>24082.282569173974</v>
      </c>
      <c r="W23" s="133">
        <f>IF(SER_hh_fec_in!W23=0,0,11630*1000*SER_hh_fec_in!W23/SER_hh_num_in!W23)</f>
        <v>24081.695250820456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39615.479988197862</v>
      </c>
      <c r="D24" s="133">
        <f>IF(SER_hh_fec_in!D24=0,0,11630*1000*SER_hh_fec_in!D24/SER_hh_num_in!D24)</f>
        <v>38622.121398319534</v>
      </c>
      <c r="E24" s="133">
        <f>IF(SER_hh_fec_in!E24=0,0,11630*1000*SER_hh_fec_in!E24/SER_hh_num_in!E24)</f>
        <v>36989.195695051523</v>
      </c>
      <c r="F24" s="133">
        <f>IF(SER_hh_fec_in!F24=0,0,11630*1000*SER_hh_fec_in!F24/SER_hh_num_in!F24)</f>
        <v>37407.360733709698</v>
      </c>
      <c r="G24" s="133">
        <f>IF(SER_hh_fec_in!G24=0,0,11630*1000*SER_hh_fec_in!G24/SER_hh_num_in!G24)</f>
        <v>36859.380281490703</v>
      </c>
      <c r="H24" s="133">
        <f>IF(SER_hh_fec_in!H24=0,0,11630*1000*SER_hh_fec_in!H24/SER_hh_num_in!H24)</f>
        <v>35645.437855475102</v>
      </c>
      <c r="I24" s="133">
        <f>IF(SER_hh_fec_in!I24=0,0,11630*1000*SER_hh_fec_in!I24/SER_hh_num_in!I24)</f>
        <v>34785.146616116661</v>
      </c>
      <c r="J24" s="133">
        <f>IF(SER_hh_fec_in!J24=0,0,11630*1000*SER_hh_fec_in!J24/SER_hh_num_in!J24)</f>
        <v>33215.06673140639</v>
      </c>
      <c r="K24" s="133">
        <f>IF(SER_hh_fec_in!K24=0,0,11630*1000*SER_hh_fec_in!K24/SER_hh_num_in!K24)</f>
        <v>32796.38631103214</v>
      </c>
      <c r="L24" s="133">
        <f>IF(SER_hh_fec_in!L24=0,0,11630*1000*SER_hh_fec_in!L24/SER_hh_num_in!L24)</f>
        <v>32340.708572258543</v>
      </c>
      <c r="M24" s="133">
        <f>IF(SER_hh_fec_in!M24=0,0,11630*1000*SER_hh_fec_in!M24/SER_hh_num_in!M24)</f>
        <v>32454.194933828596</v>
      </c>
      <c r="N24" s="133">
        <f>IF(SER_hh_fec_in!N24=0,0,11630*1000*SER_hh_fec_in!N24/SER_hh_num_in!N24)</f>
        <v>31626.560096395075</v>
      </c>
      <c r="O24" s="133">
        <f>IF(SER_hh_fec_in!O24=0,0,11630*1000*SER_hh_fec_in!O24/SER_hh_num_in!O24)</f>
        <v>31624.959212126378</v>
      </c>
      <c r="P24" s="133">
        <f>IF(SER_hh_fec_in!P24=0,0,11630*1000*SER_hh_fec_in!P24/SER_hh_num_in!P24)</f>
        <v>30990.814549303675</v>
      </c>
      <c r="Q24" s="133">
        <f>IF(SER_hh_fec_in!Q24=0,0,11630*1000*SER_hh_fec_in!Q24/SER_hh_num_in!Q24)</f>
        <v>31118.195393058497</v>
      </c>
      <c r="R24" s="133">
        <f>IF(SER_hh_fec_in!R24=0,0,11630*1000*SER_hh_fec_in!R24/SER_hh_num_in!R24)</f>
        <v>29811.153587656754</v>
      </c>
      <c r="S24" s="133">
        <f>IF(SER_hh_fec_in!S24=0,0,11630*1000*SER_hh_fec_in!S24/SER_hh_num_in!S24)</f>
        <v>32026.736898646468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24050.767122947724</v>
      </c>
      <c r="W24" s="133">
        <f>IF(SER_hh_fec_in!W24=0,0,11630*1000*SER_hh_fec_in!W24/SER_hh_num_in!W24)</f>
        <v>25596.610381670333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29396.32382363977</v>
      </c>
      <c r="D25" s="133">
        <f>IF(SER_hh_fec_in!D25=0,0,11630*1000*SER_hh_fec_in!D25/SER_hh_num_in!D25)</f>
        <v>28887.559489160354</v>
      </c>
      <c r="E25" s="133">
        <f>IF(SER_hh_fec_in!E25=0,0,11630*1000*SER_hh_fec_in!E25/SER_hh_num_in!E25)</f>
        <v>28463.677867967584</v>
      </c>
      <c r="F25" s="133">
        <f>IF(SER_hh_fec_in!F25=0,0,11630*1000*SER_hh_fec_in!F25/SER_hh_num_in!F25)</f>
        <v>27968.76978617947</v>
      </c>
      <c r="G25" s="133">
        <f>IF(SER_hh_fec_in!G25=0,0,11630*1000*SER_hh_fec_in!G25/SER_hh_num_in!G25)</f>
        <v>28095.706004069612</v>
      </c>
      <c r="H25" s="133">
        <f>IF(SER_hh_fec_in!H25=0,0,11630*1000*SER_hh_fec_in!H25/SER_hh_num_in!H25)</f>
        <v>27455.252636565085</v>
      </c>
      <c r="I25" s="133">
        <f>IF(SER_hh_fec_in!I25=0,0,11630*1000*SER_hh_fec_in!I25/SER_hh_num_in!I25)</f>
        <v>27500.510964746885</v>
      </c>
      <c r="J25" s="133">
        <f>IF(SER_hh_fec_in!J25=0,0,11630*1000*SER_hh_fec_in!J25/SER_hh_num_in!J25)</f>
        <v>26389.5054205456</v>
      </c>
      <c r="K25" s="133">
        <f>IF(SER_hh_fec_in!K25=0,0,11630*1000*SER_hh_fec_in!K25/SER_hh_num_in!K25)</f>
        <v>26852.935490677959</v>
      </c>
      <c r="L25" s="133">
        <f>IF(SER_hh_fec_in!L25=0,0,11630*1000*SER_hh_fec_in!L25/SER_hh_num_in!L25)</f>
        <v>26629.747927516681</v>
      </c>
      <c r="M25" s="133">
        <f>IF(SER_hh_fec_in!M25=0,0,11630*1000*SER_hh_fec_in!M25/SER_hh_num_in!M25)</f>
        <v>27031.413498568556</v>
      </c>
      <c r="N25" s="133">
        <f>IF(SER_hh_fec_in!N25=0,0,11630*1000*SER_hh_fec_in!N25/SER_hh_num_in!N25)</f>
        <v>26671.70248985881</v>
      </c>
      <c r="O25" s="133">
        <f>IF(SER_hh_fec_in!O25=0,0,11630*1000*SER_hh_fec_in!O25/SER_hh_num_in!O25)</f>
        <v>26411.366055273236</v>
      </c>
      <c r="P25" s="133">
        <f>IF(SER_hh_fec_in!P25=0,0,11630*1000*SER_hh_fec_in!P25/SER_hh_num_in!P25)</f>
        <v>25385.447724533275</v>
      </c>
      <c r="Q25" s="133">
        <f>IF(SER_hh_fec_in!Q25=0,0,11630*1000*SER_hh_fec_in!Q25/SER_hh_num_in!Q25)</f>
        <v>25724.188662170174</v>
      </c>
      <c r="R25" s="133">
        <f>IF(SER_hh_fec_in!R25=0,0,11630*1000*SER_hh_fec_in!R25/SER_hh_num_in!R25)</f>
        <v>25731.16342992385</v>
      </c>
      <c r="S25" s="133">
        <f>IF(SER_hh_fec_in!S25=0,0,11630*1000*SER_hh_fec_in!S25/SER_hh_num_in!S25)</f>
        <v>25330.61843784562</v>
      </c>
      <c r="T25" s="133">
        <f>IF(SER_hh_fec_in!T25=0,0,11630*1000*SER_hh_fec_in!T25/SER_hh_num_in!T25)</f>
        <v>24076.390508666038</v>
      </c>
      <c r="U25" s="133">
        <f>IF(SER_hh_fec_in!U25=0,0,11630*1000*SER_hh_fec_in!U25/SER_hh_num_in!U25)</f>
        <v>23623.806911469997</v>
      </c>
      <c r="V25" s="133">
        <f>IF(SER_hh_fec_in!V25=0,0,11630*1000*SER_hh_fec_in!V25/SER_hh_num_in!V25)</f>
        <v>21454.897210023166</v>
      </c>
      <c r="W25" s="133">
        <f>IF(SER_hh_fec_in!W25=0,0,11630*1000*SER_hh_fec_in!W25/SER_hh_num_in!W25)</f>
        <v>22608.18247604679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37064.207974734338</v>
      </c>
      <c r="D26" s="65">
        <f>IF(SER_hh_fec_in!D26=0,0,11630*1000*SER_hh_fec_in!D26/SER_hh_num_in!D26)</f>
        <v>33652.831538567858</v>
      </c>
      <c r="E26" s="65">
        <f>IF(SER_hh_fec_in!E26=0,0,11630*1000*SER_hh_fec_in!E26/SER_hh_num_in!E26)</f>
        <v>33491.771447167463</v>
      </c>
      <c r="F26" s="65">
        <f>IF(SER_hh_fec_in!F26=0,0,11630*1000*SER_hh_fec_in!F26/SER_hh_num_in!F26)</f>
        <v>34383.11262610479</v>
      </c>
      <c r="G26" s="65">
        <f>IF(SER_hh_fec_in!G26=0,0,11630*1000*SER_hh_fec_in!G26/SER_hh_num_in!G26)</f>
        <v>31991.704665204295</v>
      </c>
      <c r="H26" s="65">
        <f>IF(SER_hh_fec_in!H26=0,0,11630*1000*SER_hh_fec_in!H26/SER_hh_num_in!H26)</f>
        <v>33042.020961346461</v>
      </c>
      <c r="I26" s="65">
        <f>IF(SER_hh_fec_in!I26=0,0,11630*1000*SER_hh_fec_in!I26/SER_hh_num_in!I26)</f>
        <v>32691.291503046745</v>
      </c>
      <c r="J26" s="65">
        <f>IF(SER_hh_fec_in!J26=0,0,11630*1000*SER_hh_fec_in!J26/SER_hh_num_in!J26)</f>
        <v>31363.910604827906</v>
      </c>
      <c r="K26" s="65">
        <f>IF(SER_hh_fec_in!K26=0,0,11630*1000*SER_hh_fec_in!K26/SER_hh_num_in!K26)</f>
        <v>32872.190998841797</v>
      </c>
      <c r="L26" s="65">
        <f>IF(SER_hh_fec_in!L26=0,0,11630*1000*SER_hh_fec_in!L26/SER_hh_num_in!L26)</f>
        <v>32206.481346056506</v>
      </c>
      <c r="M26" s="65">
        <f>IF(SER_hh_fec_in!M26=0,0,11630*1000*SER_hh_fec_in!M26/SER_hh_num_in!M26)</f>
        <v>32151.415186145852</v>
      </c>
      <c r="N26" s="65">
        <f>IF(SER_hh_fec_in!N26=0,0,11630*1000*SER_hh_fec_in!N26/SER_hh_num_in!N26)</f>
        <v>30539.284647239267</v>
      </c>
      <c r="O26" s="65">
        <f>IF(SER_hh_fec_in!O26=0,0,11630*1000*SER_hh_fec_in!O26/SER_hh_num_in!O26)</f>
        <v>30758.637102796707</v>
      </c>
      <c r="P26" s="65">
        <f>IF(SER_hh_fec_in!P26=0,0,11630*1000*SER_hh_fec_in!P26/SER_hh_num_in!P26)</f>
        <v>28813.530907950451</v>
      </c>
      <c r="Q26" s="65">
        <f>IF(SER_hh_fec_in!Q26=0,0,11630*1000*SER_hh_fec_in!Q26/SER_hh_num_in!Q26)</f>
        <v>27063.582993516491</v>
      </c>
      <c r="R26" s="65">
        <f>IF(SER_hh_fec_in!R26=0,0,11630*1000*SER_hh_fec_in!R26/SER_hh_num_in!R26)</f>
        <v>27044.858552770093</v>
      </c>
      <c r="S26" s="65">
        <f>IF(SER_hh_fec_in!S26=0,0,11630*1000*SER_hh_fec_in!S26/SER_hh_num_in!S26)</f>
        <v>25928.16407721239</v>
      </c>
      <c r="T26" s="65">
        <f>IF(SER_hh_fec_in!T26=0,0,11630*1000*SER_hh_fec_in!T26/SER_hh_num_in!T26)</f>
        <v>26253.555990421166</v>
      </c>
      <c r="U26" s="65">
        <f>IF(SER_hh_fec_in!U26=0,0,11630*1000*SER_hh_fec_in!U26/SER_hh_num_in!U26)</f>
        <v>24750.988488655246</v>
      </c>
      <c r="V26" s="65">
        <f>IF(SER_hh_fec_in!V26=0,0,11630*1000*SER_hh_fec_in!V26/SER_hh_num_in!V26)</f>
        <v>21251.771543812567</v>
      </c>
      <c r="W26" s="65">
        <f>IF(SER_hh_fec_in!W26=0,0,11630*1000*SER_hh_fec_in!W26/SER_hh_num_in!W26)</f>
        <v>22564.485082540814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49803.70042803877</v>
      </c>
      <c r="D29" s="131">
        <f>IF(SER_hh_fec_in!D29=0,0,11630*1000*SER_hh_fec_in!D29/SER_hh_num_in!D29)</f>
        <v>40172.604319269143</v>
      </c>
      <c r="E29" s="131">
        <f>IF(SER_hh_fec_in!E29=0,0,11630*1000*SER_hh_fec_in!E29/SER_hh_num_in!E29)</f>
        <v>40615.617081624929</v>
      </c>
      <c r="F29" s="131">
        <f>IF(SER_hh_fec_in!F29=0,0,11630*1000*SER_hh_fec_in!F29/SER_hh_num_in!F29)</f>
        <v>36778.154951856472</v>
      </c>
      <c r="G29" s="131">
        <f>IF(SER_hh_fec_in!G29=0,0,11630*1000*SER_hh_fec_in!G29/SER_hh_num_in!G29)</f>
        <v>36688.97491062896</v>
      </c>
      <c r="H29" s="131">
        <f>IF(SER_hh_fec_in!H29=0,0,11630*1000*SER_hh_fec_in!H29/SER_hh_num_in!H29)</f>
        <v>35867.014241882222</v>
      </c>
      <c r="I29" s="131">
        <f>IF(SER_hh_fec_in!I29=0,0,11630*1000*SER_hh_fec_in!I29/SER_hh_num_in!I29)</f>
        <v>34399.072268818192</v>
      </c>
      <c r="J29" s="131">
        <f>IF(SER_hh_fec_in!J29=0,0,11630*1000*SER_hh_fec_in!J29/SER_hh_num_in!J29)</f>
        <v>35283.748621242274</v>
      </c>
      <c r="K29" s="131">
        <f>IF(SER_hh_fec_in!K29=0,0,11630*1000*SER_hh_fec_in!K29/SER_hh_num_in!K29)</f>
        <v>35783.136360836659</v>
      </c>
      <c r="L29" s="131">
        <f>IF(SER_hh_fec_in!L29=0,0,11630*1000*SER_hh_fec_in!L29/SER_hh_num_in!L29)</f>
        <v>34202.07093051594</v>
      </c>
      <c r="M29" s="131">
        <f>IF(SER_hh_fec_in!M29=0,0,11630*1000*SER_hh_fec_in!M29/SER_hh_num_in!M29)</f>
        <v>32456.398595184313</v>
      </c>
      <c r="N29" s="131">
        <f>IF(SER_hh_fec_in!N29=0,0,11630*1000*SER_hh_fec_in!N29/SER_hh_num_in!N29)</f>
        <v>34038.428863545487</v>
      </c>
      <c r="O29" s="131">
        <f>IF(SER_hh_fec_in!O29=0,0,11630*1000*SER_hh_fec_in!O29/SER_hh_num_in!O29)</f>
        <v>33957.615417953828</v>
      </c>
      <c r="P29" s="131">
        <f>IF(SER_hh_fec_in!P29=0,0,11630*1000*SER_hh_fec_in!P29/SER_hh_num_in!P29)</f>
        <v>34843.472175085859</v>
      </c>
      <c r="Q29" s="131">
        <f>IF(SER_hh_fec_in!Q29=0,0,11630*1000*SER_hh_fec_in!Q29/SER_hh_num_in!Q29)</f>
        <v>33291.683369997911</v>
      </c>
      <c r="R29" s="131">
        <f>IF(SER_hh_fec_in!R29=0,0,11630*1000*SER_hh_fec_in!R29/SER_hh_num_in!R29)</f>
        <v>35564.253570740788</v>
      </c>
      <c r="S29" s="131">
        <f>IF(SER_hh_fec_in!S29=0,0,11630*1000*SER_hh_fec_in!S29/SER_hh_num_in!S29)</f>
        <v>35209.162639798917</v>
      </c>
      <c r="T29" s="131">
        <f>IF(SER_hh_fec_in!T29=0,0,11630*1000*SER_hh_fec_in!T29/SER_hh_num_in!T29)</f>
        <v>32514.083514831389</v>
      </c>
      <c r="U29" s="131">
        <f>IF(SER_hh_fec_in!U29=0,0,11630*1000*SER_hh_fec_in!U29/SER_hh_num_in!U29)</f>
        <v>31595.803654546104</v>
      </c>
      <c r="V29" s="131">
        <f>IF(SER_hh_fec_in!V29=0,0,11630*1000*SER_hh_fec_in!V29/SER_hh_num_in!V29)</f>
        <v>29431.06782389617</v>
      </c>
      <c r="W29" s="131">
        <f>IF(SER_hh_fec_in!W29=0,0,11630*1000*SER_hh_fec_in!W29/SER_hh_num_in!W29)</f>
        <v>28194.054710399098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75934.815764816536</v>
      </c>
      <c r="D30" s="133">
        <f>IF(SER_hh_fec_in!D30=0,0,11630*1000*SER_hh_fec_in!D30/SER_hh_num_in!D30)</f>
        <v>23612.764559834861</v>
      </c>
      <c r="E30" s="133">
        <f>IF(SER_hh_fec_in!E30=0,0,11630*1000*SER_hh_fec_in!E30/SER_hh_num_in!E30)</f>
        <v>60802.699841606736</v>
      </c>
      <c r="F30" s="133">
        <f>IF(SER_hh_fec_in!F30=0,0,11630*1000*SER_hh_fec_in!F30/SER_hh_num_in!F30)</f>
        <v>43693.510962193512</v>
      </c>
      <c r="G30" s="133">
        <f>IF(SER_hh_fec_in!G30=0,0,11630*1000*SER_hh_fec_in!G30/SER_hh_num_in!G30)</f>
        <v>41989.424339533783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43589.467924437115</v>
      </c>
      <c r="O30" s="133">
        <f>IF(SER_hh_fec_in!O30=0,0,11630*1000*SER_hh_fec_in!O30/SER_hh_num_in!O30)</f>
        <v>37447.852460648704</v>
      </c>
      <c r="P30" s="133">
        <f>IF(SER_hh_fec_in!P30=0,0,11630*1000*SER_hh_fec_in!P30/SER_hh_num_in!P30)</f>
        <v>42130.582617545835</v>
      </c>
      <c r="Q30" s="133">
        <f>IF(SER_hh_fec_in!Q30=0,0,11630*1000*SER_hh_fec_in!Q30/SER_hh_num_in!Q30)</f>
        <v>32297.882893728784</v>
      </c>
      <c r="R30" s="133">
        <f>IF(SER_hh_fec_in!R30=0,0,11630*1000*SER_hh_fec_in!R30/SER_hh_num_in!R30)</f>
        <v>39897.663430667068</v>
      </c>
      <c r="S30" s="133">
        <f>IF(SER_hh_fec_in!S30=0,0,11630*1000*SER_hh_fec_in!S30/SER_hh_num_in!S30)</f>
        <v>48181.262980831241</v>
      </c>
      <c r="T30" s="133">
        <f>IF(SER_hh_fec_in!T30=0,0,11630*1000*SER_hh_fec_in!T30/SER_hh_num_in!T30)</f>
        <v>40519.633956196762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38595.989440649755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51248.239305837786</v>
      </c>
      <c r="D31" s="133">
        <f>IF(SER_hh_fec_in!D31=0,0,11630*1000*SER_hh_fec_in!D31/SER_hh_num_in!D31)</f>
        <v>51517.865438603454</v>
      </c>
      <c r="E31" s="133">
        <f>IF(SER_hh_fec_in!E31=0,0,11630*1000*SER_hh_fec_in!E31/SER_hh_num_in!E31)</f>
        <v>45287.235143156795</v>
      </c>
      <c r="F31" s="133">
        <f>IF(SER_hh_fec_in!F31=0,0,11630*1000*SER_hh_fec_in!F31/SER_hh_num_in!F31)</f>
        <v>46299.344395954213</v>
      </c>
      <c r="G31" s="133">
        <f>IF(SER_hh_fec_in!G31=0,0,11630*1000*SER_hh_fec_in!G31/SER_hh_num_in!G31)</f>
        <v>45017.871936990181</v>
      </c>
      <c r="H31" s="133">
        <f>IF(SER_hh_fec_in!H31=0,0,11630*1000*SER_hh_fec_in!H31/SER_hh_num_in!H31)</f>
        <v>43267.224554408036</v>
      </c>
      <c r="I31" s="133">
        <f>IF(SER_hh_fec_in!I31=0,0,11630*1000*SER_hh_fec_in!I31/SER_hh_num_in!I31)</f>
        <v>42764.097686430221</v>
      </c>
      <c r="J31" s="133">
        <f>IF(SER_hh_fec_in!J31=0,0,11630*1000*SER_hh_fec_in!J31/SER_hh_num_in!J31)</f>
        <v>43784.880756094666</v>
      </c>
      <c r="K31" s="133">
        <f>IF(SER_hh_fec_in!K31=0,0,11630*1000*SER_hh_fec_in!K31/SER_hh_num_in!K31)</f>
        <v>44773.899363732031</v>
      </c>
      <c r="L31" s="133">
        <f>IF(SER_hh_fec_in!L31=0,0,11630*1000*SER_hh_fec_in!L31/SER_hh_num_in!L31)</f>
        <v>44088.717796181721</v>
      </c>
      <c r="M31" s="133">
        <f>IF(SER_hh_fec_in!M31=0,0,11630*1000*SER_hh_fec_in!M31/SER_hh_num_in!M31)</f>
        <v>44835.123283499619</v>
      </c>
      <c r="N31" s="133">
        <f>IF(SER_hh_fec_in!N31=0,0,11630*1000*SER_hh_fec_in!N31/SER_hh_num_in!N31)</f>
        <v>0</v>
      </c>
      <c r="O31" s="133">
        <f>IF(SER_hh_fec_in!O31=0,0,11630*1000*SER_hh_fec_in!O31/SER_hh_num_in!O31)</f>
        <v>39580.950339857947</v>
      </c>
      <c r="P31" s="133">
        <f>IF(SER_hh_fec_in!P31=0,0,11630*1000*SER_hh_fec_in!P31/SER_hh_num_in!P31)</f>
        <v>41364.423088339718</v>
      </c>
      <c r="Q31" s="133">
        <f>IF(SER_hh_fec_in!Q31=0,0,11630*1000*SER_hh_fec_in!Q31/SER_hh_num_in!Q31)</f>
        <v>38512.023783987221</v>
      </c>
      <c r="R31" s="133">
        <f>IF(SER_hh_fec_in!R31=0,0,11630*1000*SER_hh_fec_in!R31/SER_hh_num_in!R31)</f>
        <v>40510.570259917913</v>
      </c>
      <c r="S31" s="133">
        <f>IF(SER_hh_fec_in!S31=0,0,11630*1000*SER_hh_fec_in!S31/SER_hh_num_in!S31)</f>
        <v>39988.824782406889</v>
      </c>
      <c r="T31" s="133">
        <f>IF(SER_hh_fec_in!T31=0,0,11630*1000*SER_hh_fec_in!T31/SER_hh_num_in!T31)</f>
        <v>38875.632995488086</v>
      </c>
      <c r="U31" s="133">
        <f>IF(SER_hh_fec_in!U31=0,0,11630*1000*SER_hh_fec_in!U31/SER_hh_num_in!U31)</f>
        <v>38074.109443593581</v>
      </c>
      <c r="V31" s="133">
        <f>IF(SER_hh_fec_in!V31=0,0,11630*1000*SER_hh_fec_in!V31/SER_hh_num_in!V31)</f>
        <v>36504.650770738423</v>
      </c>
      <c r="W31" s="133">
        <f>IF(SER_hh_fec_in!W31=0,0,11630*1000*SER_hh_fec_in!W31/SER_hh_num_in!W31)</f>
        <v>35893.900039027918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37249.379746309824</v>
      </c>
      <c r="D33" s="68">
        <f>IF(SER_hh_fec_in!D33=0,0,11630*1000*SER_hh_fec_in!D33/SER_hh_num_in!D33)</f>
        <v>35740.851744391315</v>
      </c>
      <c r="E33" s="68">
        <f>IF(SER_hh_fec_in!E33=0,0,11630*1000*SER_hh_fec_in!E33/SER_hh_num_in!E33)</f>
        <v>33545.44285451786</v>
      </c>
      <c r="F33" s="68">
        <f>IF(SER_hh_fec_in!F33=0,0,11630*1000*SER_hh_fec_in!F33/SER_hh_num_in!F33)</f>
        <v>34225.955987244444</v>
      </c>
      <c r="G33" s="68">
        <f>IF(SER_hh_fec_in!G33=0,0,11630*1000*SER_hh_fec_in!G33/SER_hh_num_in!G33)</f>
        <v>34727.374419555075</v>
      </c>
      <c r="H33" s="68">
        <f>IF(SER_hh_fec_in!H33=0,0,11630*1000*SER_hh_fec_in!H33/SER_hh_num_in!H33)</f>
        <v>34314.227965860424</v>
      </c>
      <c r="I33" s="68">
        <f>IF(SER_hh_fec_in!I33=0,0,11630*1000*SER_hh_fec_in!I33/SER_hh_num_in!I33)</f>
        <v>32230.775686468198</v>
      </c>
      <c r="J33" s="68">
        <f>IF(SER_hh_fec_in!J33=0,0,11630*1000*SER_hh_fec_in!J33/SER_hh_num_in!J33)</f>
        <v>32606.875285980961</v>
      </c>
      <c r="K33" s="68">
        <f>IF(SER_hh_fec_in!K33=0,0,11630*1000*SER_hh_fec_in!K33/SER_hh_num_in!K33)</f>
        <v>32659.929692608701</v>
      </c>
      <c r="L33" s="68">
        <f>IF(SER_hh_fec_in!L33=0,0,11630*1000*SER_hh_fec_in!L33/SER_hh_num_in!L33)</f>
        <v>32080.869765510175</v>
      </c>
      <c r="M33" s="68">
        <f>IF(SER_hh_fec_in!M33=0,0,11630*1000*SER_hh_fec_in!M33/SER_hh_num_in!M33)</f>
        <v>31923.166868720258</v>
      </c>
      <c r="N33" s="68">
        <f>IF(SER_hh_fec_in!N33=0,0,11630*1000*SER_hh_fec_in!N33/SER_hh_num_in!N33)</f>
        <v>32610.47895054465</v>
      </c>
      <c r="O33" s="68">
        <f>IF(SER_hh_fec_in!O33=0,0,11630*1000*SER_hh_fec_in!O33/SER_hh_num_in!O33)</f>
        <v>32700.517822156871</v>
      </c>
      <c r="P33" s="68">
        <f>IF(SER_hh_fec_in!P33=0,0,11630*1000*SER_hh_fec_in!P33/SER_hh_num_in!P33)</f>
        <v>31337.791126258984</v>
      </c>
      <c r="Q33" s="68">
        <f>IF(SER_hh_fec_in!Q33=0,0,11630*1000*SER_hh_fec_in!Q33/SER_hh_num_in!Q33)</f>
        <v>31438.095815088531</v>
      </c>
      <c r="R33" s="68">
        <f>IF(SER_hh_fec_in!R33=0,0,11630*1000*SER_hh_fec_in!R33/SER_hh_num_in!R33)</f>
        <v>29739.174958710199</v>
      </c>
      <c r="S33" s="68">
        <f>IF(SER_hh_fec_in!S33=0,0,11630*1000*SER_hh_fec_in!S33/SER_hh_num_in!S33)</f>
        <v>27826.761115985006</v>
      </c>
      <c r="T33" s="68">
        <f>IF(SER_hh_fec_in!T33=0,0,11630*1000*SER_hh_fec_in!T33/SER_hh_num_in!T33)</f>
        <v>28056.755373545984</v>
      </c>
      <c r="U33" s="68">
        <f>IF(SER_hh_fec_in!U33=0,0,11630*1000*SER_hh_fec_in!U33/SER_hh_num_in!U33)</f>
        <v>27759.130012836387</v>
      </c>
      <c r="V33" s="68">
        <f>IF(SER_hh_fec_in!V33=0,0,11630*1000*SER_hh_fec_in!V33/SER_hh_num_in!V33)</f>
        <v>24586.440661104134</v>
      </c>
      <c r="W33" s="68">
        <f>IF(SER_hh_fec_in!W33=0,0,11630*1000*SER_hh_fec_in!W33/SER_hh_num_in!W33)</f>
        <v>25877.430773638935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236744.60948650012</v>
      </c>
      <c r="D3" s="126">
        <f>IF(SER_hh_tes_in!D3=0,0,11630*1000*SER_hh_tes_in!D3/SER_hh_num_in!D3)</f>
        <v>246458.94608977155</v>
      </c>
      <c r="E3" s="126">
        <f>IF(SER_hh_tes_in!E3=0,0,11630*1000*SER_hh_tes_in!E3/SER_hh_num_in!E3)</f>
        <v>243370.28712077343</v>
      </c>
      <c r="F3" s="126">
        <f>IF(SER_hh_tes_in!F3=0,0,11630*1000*SER_hh_tes_in!F3/SER_hh_num_in!F3)</f>
        <v>238509.41249882311</v>
      </c>
      <c r="G3" s="126">
        <f>IF(SER_hh_tes_in!G3=0,0,11630*1000*SER_hh_tes_in!G3/SER_hh_num_in!G3)</f>
        <v>226586.38616451353</v>
      </c>
      <c r="H3" s="126">
        <f>IF(SER_hh_tes_in!H3=0,0,11630*1000*SER_hh_tes_in!H3/SER_hh_num_in!H3)</f>
        <v>224119.14087879178</v>
      </c>
      <c r="I3" s="126">
        <f>IF(SER_hh_tes_in!I3=0,0,11630*1000*SER_hh_tes_in!I3/SER_hh_num_in!I3)</f>
        <v>223055.20814475667</v>
      </c>
      <c r="J3" s="126">
        <f>IF(SER_hh_tes_in!J3=0,0,11630*1000*SER_hh_tes_in!J3/SER_hh_num_in!J3)</f>
        <v>195895.6388058601</v>
      </c>
      <c r="K3" s="126">
        <f>IF(SER_hh_tes_in!K3=0,0,11630*1000*SER_hh_tes_in!K3/SER_hh_num_in!K3)</f>
        <v>192288.58452606137</v>
      </c>
      <c r="L3" s="126">
        <f>IF(SER_hh_tes_in!L3=0,0,11630*1000*SER_hh_tes_in!L3/SER_hh_num_in!L3)</f>
        <v>201511.4461658792</v>
      </c>
      <c r="M3" s="126">
        <f>IF(SER_hh_tes_in!M3=0,0,11630*1000*SER_hh_tes_in!M3/SER_hh_num_in!M3)</f>
        <v>167316.65305486179</v>
      </c>
      <c r="N3" s="126">
        <f>IF(SER_hh_tes_in!N3=0,0,11630*1000*SER_hh_tes_in!N3/SER_hh_num_in!N3)</f>
        <v>202300.90537417441</v>
      </c>
      <c r="O3" s="126">
        <f>IF(SER_hh_tes_in!O3=0,0,11630*1000*SER_hh_tes_in!O3/SER_hh_num_in!O3)</f>
        <v>185345.05574000708</v>
      </c>
      <c r="P3" s="126">
        <f>IF(SER_hh_tes_in!P3=0,0,11630*1000*SER_hh_tes_in!P3/SER_hh_num_in!P3)</f>
        <v>180875.27182386865</v>
      </c>
      <c r="Q3" s="126">
        <f>IF(SER_hh_tes_in!Q3=0,0,11630*1000*SER_hh_tes_in!Q3/SER_hh_num_in!Q3)</f>
        <v>163347.92091729864</v>
      </c>
      <c r="R3" s="126">
        <f>IF(SER_hh_tes_in!R3=0,0,11630*1000*SER_hh_tes_in!R3/SER_hh_num_in!R3)</f>
        <v>164186.58390166561</v>
      </c>
      <c r="S3" s="126">
        <f>IF(SER_hh_tes_in!S3=0,0,11630*1000*SER_hh_tes_in!S3/SER_hh_num_in!S3)</f>
        <v>160019.23980574761</v>
      </c>
      <c r="T3" s="126">
        <f>IF(SER_hh_tes_in!T3=0,0,11630*1000*SER_hh_tes_in!T3/SER_hh_num_in!T3)</f>
        <v>152672.90672112099</v>
      </c>
      <c r="U3" s="126">
        <f>IF(SER_hh_tes_in!U3=0,0,11630*1000*SER_hh_tes_in!U3/SER_hh_num_in!U3)</f>
        <v>139938.85279983791</v>
      </c>
      <c r="V3" s="126">
        <f>IF(SER_hh_tes_in!V3=0,0,11630*1000*SER_hh_tes_in!V3/SER_hh_num_in!V3)</f>
        <v>129019.70479838096</v>
      </c>
      <c r="W3" s="126">
        <f>IF(SER_hh_tes_in!W3=0,0,11630*1000*SER_hh_tes_in!W3/SER_hh_num_in!W3)</f>
        <v>130639.72152001684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176865.77790169496</v>
      </c>
      <c r="D4" s="131">
        <f>IF(SER_hh_tes_in!D4=0,0,11630*1000*SER_hh_tes_in!D4/SER_hh_num_in!D4)</f>
        <v>192234.27500092925</v>
      </c>
      <c r="E4" s="131">
        <f>IF(SER_hh_tes_in!E4=0,0,11630*1000*SER_hh_tes_in!E4/SER_hh_num_in!E4)</f>
        <v>188768.25623271093</v>
      </c>
      <c r="F4" s="131">
        <f>IF(SER_hh_tes_in!F4=0,0,11630*1000*SER_hh_tes_in!F4/SER_hh_num_in!F4)</f>
        <v>186033.59936881842</v>
      </c>
      <c r="G4" s="131">
        <f>IF(SER_hh_tes_in!G4=0,0,11630*1000*SER_hh_tes_in!G4/SER_hh_num_in!G4)</f>
        <v>172253.22479748653</v>
      </c>
      <c r="H4" s="131">
        <f>IF(SER_hh_tes_in!H4=0,0,11630*1000*SER_hh_tes_in!H4/SER_hh_num_in!H4)</f>
        <v>171436.85837389698</v>
      </c>
      <c r="I4" s="131">
        <f>IF(SER_hh_tes_in!I4=0,0,11630*1000*SER_hh_tes_in!I4/SER_hh_num_in!I4)</f>
        <v>171444.21023154203</v>
      </c>
      <c r="J4" s="131">
        <f>IF(SER_hh_tes_in!J4=0,0,11630*1000*SER_hh_tes_in!J4/SER_hh_num_in!J4)</f>
        <v>140661.26205081947</v>
      </c>
      <c r="K4" s="131">
        <f>IF(SER_hh_tes_in!K4=0,0,11630*1000*SER_hh_tes_in!K4/SER_hh_num_in!K4)</f>
        <v>126431.93772773075</v>
      </c>
      <c r="L4" s="131">
        <f>IF(SER_hh_tes_in!L4=0,0,11630*1000*SER_hh_tes_in!L4/SER_hh_num_in!L4)</f>
        <v>132671.89422509275</v>
      </c>
      <c r="M4" s="131">
        <f>IF(SER_hh_tes_in!M4=0,0,11630*1000*SER_hh_tes_in!M4/SER_hh_num_in!M4)</f>
        <v>107034.53093548841</v>
      </c>
      <c r="N4" s="131">
        <f>IF(SER_hh_tes_in!N4=0,0,11630*1000*SER_hh_tes_in!N4/SER_hh_num_in!N4)</f>
        <v>136413.65381815415</v>
      </c>
      <c r="O4" s="131">
        <f>IF(SER_hh_tes_in!O4=0,0,11630*1000*SER_hh_tes_in!O4/SER_hh_num_in!O4)</f>
        <v>120176.04243428612</v>
      </c>
      <c r="P4" s="131">
        <f>IF(SER_hh_tes_in!P4=0,0,11630*1000*SER_hh_tes_in!P4/SER_hh_num_in!P4)</f>
        <v>115558.37827306197</v>
      </c>
      <c r="Q4" s="131">
        <f>IF(SER_hh_tes_in!Q4=0,0,11630*1000*SER_hh_tes_in!Q4/SER_hh_num_in!Q4)</f>
        <v>100125.57803824986</v>
      </c>
      <c r="R4" s="131">
        <f>IF(SER_hh_tes_in!R4=0,0,11630*1000*SER_hh_tes_in!R4/SER_hh_num_in!R4)</f>
        <v>100675.46390800722</v>
      </c>
      <c r="S4" s="131">
        <f>IF(SER_hh_tes_in!S4=0,0,11630*1000*SER_hh_tes_in!S4/SER_hh_num_in!S4)</f>
        <v>96542.97775076353</v>
      </c>
      <c r="T4" s="131">
        <f>IF(SER_hh_tes_in!T4=0,0,11630*1000*SER_hh_tes_in!T4/SER_hh_num_in!T4)</f>
        <v>89277.665809962811</v>
      </c>
      <c r="U4" s="131">
        <f>IF(SER_hh_tes_in!U4=0,0,11630*1000*SER_hh_tes_in!U4/SER_hh_num_in!U4)</f>
        <v>78632.034765975142</v>
      </c>
      <c r="V4" s="131">
        <f>IF(SER_hh_tes_in!V4=0,0,11630*1000*SER_hh_tes_in!V4/SER_hh_num_in!V4)</f>
        <v>71788.922572844836</v>
      </c>
      <c r="W4" s="131">
        <f>IF(SER_hh_tes_in!W4=0,0,11630*1000*SER_hh_tes_in!W4/SER_hh_num_in!W4)</f>
        <v>70648.341010913093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183454.00671210338</v>
      </c>
      <c r="D5" s="133">
        <f>IF(SER_hh_tes_in!D5=0,0,11630*1000*SER_hh_tes_in!D5/SER_hh_num_in!D5)</f>
        <v>183677.44012247329</v>
      </c>
      <c r="E5" s="133">
        <f>IF(SER_hh_tes_in!E5=0,0,11630*1000*SER_hh_tes_in!E5/SER_hh_num_in!E5)</f>
        <v>182152.32898746993</v>
      </c>
      <c r="F5" s="133">
        <f>IF(SER_hh_tes_in!F5=0,0,11630*1000*SER_hh_tes_in!F5/SER_hh_num_in!F5)</f>
        <v>185778.26404974601</v>
      </c>
      <c r="G5" s="133">
        <f>IF(SER_hh_tes_in!G5=0,0,11630*1000*SER_hh_tes_in!G5/SER_hh_num_in!G5)</f>
        <v>159760.4858154582</v>
      </c>
      <c r="H5" s="133">
        <f>IF(SER_hh_tes_in!H5=0,0,11630*1000*SER_hh_tes_in!H5/SER_hh_num_in!H5)</f>
        <v>167965.14495995955</v>
      </c>
      <c r="I5" s="133">
        <f>IF(SER_hh_tes_in!I5=0,0,11630*1000*SER_hh_tes_in!I5/SER_hh_num_in!I5)</f>
        <v>168909.47008711283</v>
      </c>
      <c r="J5" s="133">
        <f>IF(SER_hh_tes_in!J5=0,0,11630*1000*SER_hh_tes_in!J5/SER_hh_num_in!J5)</f>
        <v>143579.96249136969</v>
      </c>
      <c r="K5" s="133">
        <f>IF(SER_hh_tes_in!K5=0,0,11630*1000*SER_hh_tes_in!K5/SER_hh_num_in!K5)</f>
        <v>106509.85302862026</v>
      </c>
      <c r="L5" s="133">
        <f>IF(SER_hh_tes_in!L5=0,0,11630*1000*SER_hh_tes_in!L5/SER_hh_num_in!L5)</f>
        <v>144108.59251582672</v>
      </c>
      <c r="M5" s="133">
        <f>IF(SER_hh_tes_in!M5=0,0,11630*1000*SER_hh_tes_in!M5/SER_hh_num_in!M5)</f>
        <v>134861.67495375662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184638.37880929315</v>
      </c>
      <c r="D7" s="133">
        <f>IF(SER_hh_tes_in!D7=0,0,11630*1000*SER_hh_tes_in!D7/SER_hh_num_in!D7)</f>
        <v>177124.32927073044</v>
      </c>
      <c r="E7" s="133">
        <f>IF(SER_hh_tes_in!E7=0,0,11630*1000*SER_hh_tes_in!E7/SER_hh_num_in!E7)</f>
        <v>189290.25004476766</v>
      </c>
      <c r="F7" s="133">
        <f>IF(SER_hh_tes_in!F7=0,0,11630*1000*SER_hh_tes_in!F7/SER_hh_num_in!F7)</f>
        <v>190334.84218445461</v>
      </c>
      <c r="G7" s="133">
        <f>IF(SER_hh_tes_in!G7=0,0,11630*1000*SER_hh_tes_in!G7/SER_hh_num_in!G7)</f>
        <v>150630.22715740543</v>
      </c>
      <c r="H7" s="133">
        <f>IF(SER_hh_tes_in!H7=0,0,11630*1000*SER_hh_tes_in!H7/SER_hh_num_in!H7)</f>
        <v>193328.78321063891</v>
      </c>
      <c r="I7" s="133">
        <f>IF(SER_hh_tes_in!I7=0,0,11630*1000*SER_hh_tes_in!I7/SER_hh_num_in!I7)</f>
        <v>158300.68330967263</v>
      </c>
      <c r="J7" s="133">
        <f>IF(SER_hh_tes_in!J7=0,0,11630*1000*SER_hh_tes_in!J7/SER_hh_num_in!J7)</f>
        <v>132799.45796890077</v>
      </c>
      <c r="K7" s="133">
        <f>IF(SER_hh_tes_in!K7=0,0,11630*1000*SER_hh_tes_in!K7/SER_hh_num_in!K7)</f>
        <v>124995.38331063779</v>
      </c>
      <c r="L7" s="133">
        <f>IF(SER_hh_tes_in!L7=0,0,11630*1000*SER_hh_tes_in!L7/SER_hh_num_in!L7)</f>
        <v>122633.86711927553</v>
      </c>
      <c r="M7" s="133">
        <f>IF(SER_hh_tes_in!M7=0,0,11630*1000*SER_hh_tes_in!M7/SER_hh_num_in!M7)</f>
        <v>100142.37830156877</v>
      </c>
      <c r="N7" s="133">
        <f>IF(SER_hh_tes_in!N7=0,0,11630*1000*SER_hh_tes_in!N7/SER_hh_num_in!N7)</f>
        <v>126508.38600147577</v>
      </c>
      <c r="O7" s="133">
        <f>IF(SER_hh_tes_in!O7=0,0,11630*1000*SER_hh_tes_in!O7/SER_hh_num_in!O7)</f>
        <v>117180.76807984663</v>
      </c>
      <c r="P7" s="133">
        <f>IF(SER_hh_tes_in!P7=0,0,11630*1000*SER_hh_tes_in!P7/SER_hh_num_in!P7)</f>
        <v>116345.5549390318</v>
      </c>
      <c r="Q7" s="133">
        <f>IF(SER_hh_tes_in!Q7=0,0,11630*1000*SER_hh_tes_in!Q7/SER_hh_num_in!Q7)</f>
        <v>117934.34233054655</v>
      </c>
      <c r="R7" s="133">
        <f>IF(SER_hh_tes_in!R7=0,0,11630*1000*SER_hh_tes_in!R7/SER_hh_num_in!R7)</f>
        <v>0</v>
      </c>
      <c r="S7" s="133">
        <f>IF(SER_hh_tes_in!S7=0,0,11630*1000*SER_hh_tes_in!S7/SER_hh_num_in!S7)</f>
        <v>0</v>
      </c>
      <c r="T7" s="133">
        <f>IF(SER_hh_tes_in!T7=0,0,11630*1000*SER_hh_tes_in!T7/SER_hh_num_in!T7)</f>
        <v>92764.175566108446</v>
      </c>
      <c r="U7" s="133">
        <f>IF(SER_hh_tes_in!U7=0,0,11630*1000*SER_hh_tes_in!U7/SER_hh_num_in!U7)</f>
        <v>65916.678490153397</v>
      </c>
      <c r="V7" s="133">
        <f>IF(SER_hh_tes_in!V7=0,0,11630*1000*SER_hh_tes_in!V7/SER_hh_num_in!V7)</f>
        <v>67592.456120557254</v>
      </c>
      <c r="W7" s="133">
        <f>IF(SER_hh_tes_in!W7=0,0,11630*1000*SER_hh_tes_in!W7/SER_hh_num_in!W7)</f>
        <v>74853.766904847784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155089.50634471598</v>
      </c>
      <c r="D9" s="133">
        <f>IF(SER_hh_tes_in!D9=0,0,11630*1000*SER_hh_tes_in!D9/SER_hh_num_in!D9)</f>
        <v>190532.90628161532</v>
      </c>
      <c r="E9" s="133">
        <f>IF(SER_hh_tes_in!E9=0,0,11630*1000*SER_hh_tes_in!E9/SER_hh_num_in!E9)</f>
        <v>179639.30632025548</v>
      </c>
      <c r="F9" s="133">
        <f>IF(SER_hh_tes_in!F9=0,0,11630*1000*SER_hh_tes_in!F9/SER_hh_num_in!F9)</f>
        <v>188040.63794174689</v>
      </c>
      <c r="G9" s="133">
        <f>IF(SER_hh_tes_in!G9=0,0,11630*1000*SER_hh_tes_in!G9/SER_hh_num_in!G9)</f>
        <v>170247.60358890187</v>
      </c>
      <c r="H9" s="133">
        <f>IF(SER_hh_tes_in!H9=0,0,11630*1000*SER_hh_tes_in!H9/SER_hh_num_in!H9)</f>
        <v>165979.79560582762</v>
      </c>
      <c r="I9" s="133">
        <f>IF(SER_hh_tes_in!I9=0,0,11630*1000*SER_hh_tes_in!I9/SER_hh_num_in!I9)</f>
        <v>166635.32461138972</v>
      </c>
      <c r="J9" s="133">
        <f>IF(SER_hh_tes_in!J9=0,0,11630*1000*SER_hh_tes_in!J9/SER_hh_num_in!J9)</f>
        <v>144950.48941757437</v>
      </c>
      <c r="K9" s="133">
        <f>IF(SER_hh_tes_in!K9=0,0,11630*1000*SER_hh_tes_in!K9/SER_hh_num_in!K9)</f>
        <v>126326.89637107331</v>
      </c>
      <c r="L9" s="133">
        <f>IF(SER_hh_tes_in!L9=0,0,11630*1000*SER_hh_tes_in!L9/SER_hh_num_in!L9)</f>
        <v>130280.13235892683</v>
      </c>
      <c r="M9" s="133">
        <f>IF(SER_hh_tes_in!M9=0,0,11630*1000*SER_hh_tes_in!M9/SER_hh_num_in!M9)</f>
        <v>117253.5368032321</v>
      </c>
      <c r="N9" s="133">
        <f>IF(SER_hh_tes_in!N9=0,0,11630*1000*SER_hh_tes_in!N9/SER_hh_num_in!N9)</f>
        <v>0</v>
      </c>
      <c r="O9" s="133">
        <f>IF(SER_hh_tes_in!O9=0,0,11630*1000*SER_hh_tes_in!O9/SER_hh_num_in!O9)</f>
        <v>0</v>
      </c>
      <c r="P9" s="133">
        <f>IF(SER_hh_tes_in!P9=0,0,11630*1000*SER_hh_tes_in!P9/SER_hh_num_in!P9)</f>
        <v>111676.43174165624</v>
      </c>
      <c r="Q9" s="133">
        <f>IF(SER_hh_tes_in!Q9=0,0,11630*1000*SER_hh_tes_in!Q9/SER_hh_num_in!Q9)</f>
        <v>97306.321565114908</v>
      </c>
      <c r="R9" s="133">
        <f>IF(SER_hh_tes_in!R9=0,0,11630*1000*SER_hh_tes_in!R9/SER_hh_num_in!R9)</f>
        <v>96833.401243144006</v>
      </c>
      <c r="S9" s="133">
        <f>IF(SER_hh_tes_in!S9=0,0,11630*1000*SER_hh_tes_in!S9/SER_hh_num_in!S9)</f>
        <v>93921.141036060246</v>
      </c>
      <c r="T9" s="133">
        <f>IF(SER_hh_tes_in!T9=0,0,11630*1000*SER_hh_tes_in!T9/SER_hh_num_in!T9)</f>
        <v>86905.900869013582</v>
      </c>
      <c r="U9" s="133">
        <f>IF(SER_hh_tes_in!U9=0,0,11630*1000*SER_hh_tes_in!U9/SER_hh_num_in!U9)</f>
        <v>80621.093093956457</v>
      </c>
      <c r="V9" s="133">
        <f>IF(SER_hh_tes_in!V9=0,0,11630*1000*SER_hh_tes_in!V9/SER_hh_num_in!V9)</f>
        <v>72372.634739056331</v>
      </c>
      <c r="W9" s="133">
        <f>IF(SER_hh_tes_in!W9=0,0,11630*1000*SER_hh_tes_in!W9/SER_hh_num_in!W9)</f>
        <v>64810.564798255167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188542.81516820847</v>
      </c>
      <c r="D10" s="133">
        <f>IF(SER_hh_tes_in!D10=0,0,11630*1000*SER_hh_tes_in!D10/SER_hh_num_in!D10)</f>
        <v>180922.42997512573</v>
      </c>
      <c r="E10" s="133">
        <f>IF(SER_hh_tes_in!E10=0,0,11630*1000*SER_hh_tes_in!E10/SER_hh_num_in!E10)</f>
        <v>175283.24617644065</v>
      </c>
      <c r="F10" s="133">
        <f>IF(SER_hh_tes_in!F10=0,0,11630*1000*SER_hh_tes_in!F10/SER_hh_num_in!F10)</f>
        <v>188158.48428751959</v>
      </c>
      <c r="G10" s="133">
        <f>IF(SER_hh_tes_in!G10=0,0,11630*1000*SER_hh_tes_in!G10/SER_hh_num_in!G10)</f>
        <v>170367.2094217721</v>
      </c>
      <c r="H10" s="133">
        <f>IF(SER_hh_tes_in!H10=0,0,11630*1000*SER_hh_tes_in!H10/SER_hh_num_in!H10)</f>
        <v>172092.42551668684</v>
      </c>
      <c r="I10" s="133">
        <f>IF(SER_hh_tes_in!I10=0,0,11630*1000*SER_hh_tes_in!I10/SER_hh_num_in!I10)</f>
        <v>198401.24187632586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121405.72881303851</v>
      </c>
      <c r="L10" s="133">
        <f>IF(SER_hh_tes_in!L10=0,0,11630*1000*SER_hh_tes_in!L10/SER_hh_num_in!L10)</f>
        <v>127776.91645932005</v>
      </c>
      <c r="M10" s="133">
        <f>IF(SER_hh_tes_in!M10=0,0,11630*1000*SER_hh_tes_in!M10/SER_hh_num_in!M10)</f>
        <v>101340.18199527173</v>
      </c>
      <c r="N10" s="133">
        <f>IF(SER_hh_tes_in!N10=0,0,11630*1000*SER_hh_tes_in!N10/SER_hh_num_in!N10)</f>
        <v>132835.67413765381</v>
      </c>
      <c r="O10" s="133">
        <f>IF(SER_hh_tes_in!O10=0,0,11630*1000*SER_hh_tes_in!O10/SER_hh_num_in!O10)</f>
        <v>125209.81896944916</v>
      </c>
      <c r="P10" s="133">
        <f>IF(SER_hh_tes_in!P10=0,0,11630*1000*SER_hh_tes_in!P10/SER_hh_num_in!P10)</f>
        <v>108789.97625319798</v>
      </c>
      <c r="Q10" s="133">
        <f>IF(SER_hh_tes_in!Q10=0,0,11630*1000*SER_hh_tes_in!Q10/SER_hh_num_in!Q10)</f>
        <v>100528.49146343155</v>
      </c>
      <c r="R10" s="133">
        <f>IF(SER_hh_tes_in!R10=0,0,11630*1000*SER_hh_tes_in!R10/SER_hh_num_in!R10)</f>
        <v>96604.677001112359</v>
      </c>
      <c r="S10" s="133">
        <f>IF(SER_hh_tes_in!S10=0,0,11630*1000*SER_hh_tes_in!S10/SER_hh_num_in!S10)</f>
        <v>101573.95556332634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189599.54393106216</v>
      </c>
      <c r="D12" s="133">
        <f>IF(SER_hh_tes_in!D12=0,0,11630*1000*SER_hh_tes_in!D12/SER_hh_num_in!D12)</f>
        <v>183888.95607139191</v>
      </c>
      <c r="E12" s="133">
        <f>IF(SER_hh_tes_in!E12=0,0,11630*1000*SER_hh_tes_in!E12/SER_hh_num_in!E12)</f>
        <v>189476.12613974549</v>
      </c>
      <c r="F12" s="133">
        <f>IF(SER_hh_tes_in!F12=0,0,11630*1000*SER_hh_tes_in!F12/SER_hh_num_in!F12)</f>
        <v>176688.26881909193</v>
      </c>
      <c r="G12" s="133">
        <f>IF(SER_hh_tes_in!G12=0,0,11630*1000*SER_hh_tes_in!G12/SER_hh_num_in!G12)</f>
        <v>177460.52584211068</v>
      </c>
      <c r="H12" s="133">
        <f>IF(SER_hh_tes_in!H12=0,0,11630*1000*SER_hh_tes_in!H12/SER_hh_num_in!H12)</f>
        <v>171729.54051693852</v>
      </c>
      <c r="I12" s="133">
        <f>IF(SER_hh_tes_in!I12=0,0,11630*1000*SER_hh_tes_in!I12/SER_hh_num_in!I12)</f>
        <v>153880.28617920383</v>
      </c>
      <c r="J12" s="133">
        <f>IF(SER_hh_tes_in!J12=0,0,11630*1000*SER_hh_tes_in!J12/SER_hh_num_in!J12)</f>
        <v>136401.40365336675</v>
      </c>
      <c r="K12" s="133">
        <f>IF(SER_hh_tes_in!K12=0,0,11630*1000*SER_hh_tes_in!K12/SER_hh_num_in!K12)</f>
        <v>127900.31946585131</v>
      </c>
      <c r="L12" s="133">
        <f>IF(SER_hh_tes_in!L12=0,0,11630*1000*SER_hh_tes_in!L12/SER_hh_num_in!L12)</f>
        <v>132493.31663948233</v>
      </c>
      <c r="M12" s="133">
        <f>IF(SER_hh_tes_in!M12=0,0,11630*1000*SER_hh_tes_in!M12/SER_hh_num_in!M12)</f>
        <v>108391.67905451315</v>
      </c>
      <c r="N12" s="133">
        <f>IF(SER_hh_tes_in!N12=0,0,11630*1000*SER_hh_tes_in!N12/SER_hh_num_in!N12)</f>
        <v>129195.34131482235</v>
      </c>
      <c r="O12" s="133">
        <f>IF(SER_hh_tes_in!O12=0,0,11630*1000*SER_hh_tes_in!O12/SER_hh_num_in!O12)</f>
        <v>120099.75312872602</v>
      </c>
      <c r="P12" s="133">
        <f>IF(SER_hh_tes_in!P12=0,0,11630*1000*SER_hh_tes_in!P12/SER_hh_num_in!P12)</f>
        <v>108259.43904189399</v>
      </c>
      <c r="Q12" s="133">
        <f>IF(SER_hh_tes_in!Q12=0,0,11630*1000*SER_hh_tes_in!Q12/SER_hh_num_in!Q12)</f>
        <v>97504.556351743857</v>
      </c>
      <c r="R12" s="133">
        <f>IF(SER_hh_tes_in!R12=0,0,11630*1000*SER_hh_tes_in!R12/SER_hh_num_in!R12)</f>
        <v>104326.32066541418</v>
      </c>
      <c r="S12" s="133">
        <f>IF(SER_hh_tes_in!S12=0,0,11630*1000*SER_hh_tes_in!S12/SER_hh_num_in!S12)</f>
        <v>98624.055975123818</v>
      </c>
      <c r="T12" s="133">
        <f>IF(SER_hh_tes_in!T12=0,0,11630*1000*SER_hh_tes_in!T12/SER_hh_num_in!T12)</f>
        <v>84734.213337267458</v>
      </c>
      <c r="U12" s="133">
        <f>IF(SER_hh_tes_in!U12=0,0,11630*1000*SER_hh_tes_in!U12/SER_hh_num_in!U12)</f>
        <v>75777.097741527759</v>
      </c>
      <c r="V12" s="133">
        <f>IF(SER_hh_tes_in!V12=0,0,11630*1000*SER_hh_tes_in!V12/SER_hh_num_in!V12)</f>
        <v>71621.629043364213</v>
      </c>
      <c r="W12" s="133">
        <f>IF(SER_hh_tes_in!W12=0,0,11630*1000*SER_hh_tes_in!W12/SER_hh_num_in!W12)</f>
        <v>70441.779364172617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62849.483678233999</v>
      </c>
      <c r="D13" s="133">
        <f>IF(SER_hh_tes_in!D13=0,0,11630*1000*SER_hh_tes_in!D13/SER_hh_num_in!D13)</f>
        <v>146635.2934883238</v>
      </c>
      <c r="E13" s="133">
        <f>IF(SER_hh_tes_in!E13=0,0,11630*1000*SER_hh_tes_in!E13/SER_hh_num_in!E13)</f>
        <v>134069.77937994181</v>
      </c>
      <c r="F13" s="133">
        <f>IF(SER_hh_tes_in!F13=0,0,11630*1000*SER_hh_tes_in!F13/SER_hh_num_in!F13)</f>
        <v>130429.65280531366</v>
      </c>
      <c r="G13" s="133">
        <f>IF(SER_hh_tes_in!G13=0,0,11630*1000*SER_hh_tes_in!G13/SER_hh_num_in!G13)</f>
        <v>127197.11821246262</v>
      </c>
      <c r="H13" s="133">
        <f>IF(SER_hh_tes_in!H13=0,0,11630*1000*SER_hh_tes_in!H13/SER_hh_num_in!H13)</f>
        <v>120631.23176201955</v>
      </c>
      <c r="I13" s="133">
        <f>IF(SER_hh_tes_in!I13=0,0,11630*1000*SER_hh_tes_in!I13/SER_hh_num_in!I13)</f>
        <v>110192.21697099729</v>
      </c>
      <c r="J13" s="133">
        <f>IF(SER_hh_tes_in!J13=0,0,11630*1000*SER_hh_tes_in!J13/SER_hh_num_in!J13)</f>
        <v>100132.14392923166</v>
      </c>
      <c r="K13" s="133">
        <f>IF(SER_hh_tes_in!K13=0,0,11630*1000*SER_hh_tes_in!K13/SER_hh_num_in!K13)</f>
        <v>90913.052219858873</v>
      </c>
      <c r="L13" s="133">
        <f>IF(SER_hh_tes_in!L13=0,0,11630*1000*SER_hh_tes_in!L13/SER_hh_num_in!L13)</f>
        <v>95853.009060095064</v>
      </c>
      <c r="M13" s="133">
        <f>IF(SER_hh_tes_in!M13=0,0,11630*1000*SER_hh_tes_in!M13/SER_hh_num_in!M13)</f>
        <v>104748.66538100326</v>
      </c>
      <c r="N13" s="133">
        <f>IF(SER_hh_tes_in!N13=0,0,11630*1000*SER_hh_tes_in!N13/SER_hh_num_in!N13)</f>
        <v>103350.47653626899</v>
      </c>
      <c r="O13" s="133">
        <f>IF(SER_hh_tes_in!O13=0,0,11630*1000*SER_hh_tes_in!O13/SER_hh_num_in!O13)</f>
        <v>114509.27450544917</v>
      </c>
      <c r="P13" s="133">
        <f>IF(SER_hh_tes_in!P13=0,0,11630*1000*SER_hh_tes_in!P13/SER_hh_num_in!P13)</f>
        <v>113149.94172580795</v>
      </c>
      <c r="Q13" s="133">
        <f>IF(SER_hh_tes_in!Q13=0,0,11630*1000*SER_hh_tes_in!Q13/SER_hh_num_in!Q13)</f>
        <v>109242.19104187971</v>
      </c>
      <c r="R13" s="133">
        <f>IF(SER_hh_tes_in!R13=0,0,11630*1000*SER_hh_tes_in!R13/SER_hh_num_in!R13)</f>
        <v>103344.04386045478</v>
      </c>
      <c r="S13" s="133">
        <f>IF(SER_hh_tes_in!S13=0,0,11630*1000*SER_hh_tes_in!S13/SER_hh_num_in!S13)</f>
        <v>101259.16253812604</v>
      </c>
      <c r="T13" s="133">
        <f>IF(SER_hh_tes_in!T13=0,0,11630*1000*SER_hh_tes_in!T13/SER_hh_num_in!T13)</f>
        <v>89588.020964145486</v>
      </c>
      <c r="U13" s="133">
        <f>IF(SER_hh_tes_in!U13=0,0,11630*1000*SER_hh_tes_in!U13/SER_hh_num_in!U13)</f>
        <v>83105.690069745542</v>
      </c>
      <c r="V13" s="133">
        <f>IF(SER_hh_tes_in!V13=0,0,11630*1000*SER_hh_tes_in!V13/SER_hh_num_in!V13)</f>
        <v>75408.804352380699</v>
      </c>
      <c r="W13" s="133">
        <f>IF(SER_hh_tes_in!W13=0,0,11630*1000*SER_hh_tes_in!W13/SER_hh_num_in!W13)</f>
        <v>44550.054198969287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124745.79242418801</v>
      </c>
      <c r="D14" s="65">
        <f>IF(SER_hh_tes_in!D14=0,0,11630*1000*SER_hh_tes_in!D14/SER_hh_num_in!D14)</f>
        <v>204063.08730971871</v>
      </c>
      <c r="E14" s="65">
        <f>IF(SER_hh_tes_in!E14=0,0,11630*1000*SER_hh_tes_in!E14/SER_hh_num_in!E14)</f>
        <v>204304.62763939114</v>
      </c>
      <c r="F14" s="65">
        <f>IF(SER_hh_tes_in!F14=0,0,11630*1000*SER_hh_tes_in!F14/SER_hh_num_in!F14)</f>
        <v>180123.61568370232</v>
      </c>
      <c r="G14" s="65">
        <f>IF(SER_hh_tes_in!G14=0,0,11630*1000*SER_hh_tes_in!G14/SER_hh_num_in!G14)</f>
        <v>168933.39401096388</v>
      </c>
      <c r="H14" s="65">
        <f>IF(SER_hh_tes_in!H14=0,0,11630*1000*SER_hh_tes_in!H14/SER_hh_num_in!H14)</f>
        <v>160485.95321978646</v>
      </c>
      <c r="I14" s="65">
        <f>IF(SER_hh_tes_in!I14=0,0,11630*1000*SER_hh_tes_in!I14/SER_hh_num_in!I14)</f>
        <v>203604.86995284481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105988.45855710513</v>
      </c>
      <c r="N14" s="65">
        <f>IF(SER_hh_tes_in!N14=0,0,11630*1000*SER_hh_tes_in!N14/SER_hh_num_in!N14)</f>
        <v>149136.47894201512</v>
      </c>
      <c r="O14" s="65">
        <f>IF(SER_hh_tes_in!O14=0,0,11630*1000*SER_hh_tes_in!O14/SER_hh_num_in!O14)</f>
        <v>108953.03296304266</v>
      </c>
      <c r="P14" s="65">
        <f>IF(SER_hh_tes_in!P14=0,0,11630*1000*SER_hh_tes_in!P14/SER_hh_num_in!P14)</f>
        <v>128277.66926956695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95774.659974406444</v>
      </c>
      <c r="S14" s="65">
        <f>IF(SER_hh_tes_in!S14=0,0,11630*1000*SER_hh_tes_in!S14/SER_hh_num_in!S14)</f>
        <v>91054.387862711956</v>
      </c>
      <c r="T14" s="65">
        <f>IF(SER_hh_tes_in!T14=0,0,11630*1000*SER_hh_tes_in!T14/SER_hh_num_in!T14)</f>
        <v>93473.130365167963</v>
      </c>
      <c r="U14" s="65">
        <f>IF(SER_hh_tes_in!U14=0,0,11630*1000*SER_hh_tes_in!U14/SER_hh_num_in!U14)</f>
        <v>83730.724969186733</v>
      </c>
      <c r="V14" s="65">
        <f>IF(SER_hh_tes_in!V14=0,0,11630*1000*SER_hh_tes_in!V14/SER_hh_num_in!V14)</f>
        <v>70475.459269140032</v>
      </c>
      <c r="W14" s="65">
        <f>IF(SER_hh_tes_in!W14=0,0,11630*1000*SER_hh_tes_in!W14/SER_hh_num_in!W14)</f>
        <v>66937.942586235818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1782.9495238206655</v>
      </c>
      <c r="D15" s="135">
        <f>IF(SER_hh_tes_in!D15=0,0,11630*1000*SER_hh_tes_in!D15/SER_hh_num_in!D15)</f>
        <v>2520.674699782327</v>
      </c>
      <c r="E15" s="135">
        <f>IF(SER_hh_tes_in!E15=0,0,11630*1000*SER_hh_tes_in!E15/SER_hh_num_in!E15)</f>
        <v>2169.3908314698956</v>
      </c>
      <c r="F15" s="135">
        <f>IF(SER_hh_tes_in!F15=0,0,11630*1000*SER_hh_tes_in!F15/SER_hh_num_in!F15)</f>
        <v>2203.9794438056811</v>
      </c>
      <c r="G15" s="135">
        <f>IF(SER_hh_tes_in!G15=0,0,11630*1000*SER_hh_tes_in!G15/SER_hh_num_in!G15)</f>
        <v>1884.0076642033371</v>
      </c>
      <c r="H15" s="135">
        <f>IF(SER_hh_tes_in!H15=0,0,11630*1000*SER_hh_tes_in!H15/SER_hh_num_in!H15)</f>
        <v>1798.41281098951</v>
      </c>
      <c r="I15" s="135">
        <f>IF(SER_hh_tes_in!I15=0,0,11630*1000*SER_hh_tes_in!I15/SER_hh_num_in!I15)</f>
        <v>1545.8697985178233</v>
      </c>
      <c r="J15" s="135">
        <f>IF(SER_hh_tes_in!J15=0,0,11630*1000*SER_hh_tes_in!J15/SER_hh_num_in!J15)</f>
        <v>1325.0110057836846</v>
      </c>
      <c r="K15" s="135">
        <f>IF(SER_hh_tes_in!K15=0,0,11630*1000*SER_hh_tes_in!K15/SER_hh_num_in!K15)</f>
        <v>1184.4190328692471</v>
      </c>
      <c r="L15" s="135">
        <f>IF(SER_hh_tes_in!L15=0,0,11630*1000*SER_hh_tes_in!L15/SER_hh_num_in!L15)</f>
        <v>1152.9286517898379</v>
      </c>
      <c r="M15" s="135">
        <f>IF(SER_hh_tes_in!M15=0,0,11630*1000*SER_hh_tes_in!M15/SER_hh_num_in!M15)</f>
        <v>770.60742538590375</v>
      </c>
      <c r="N15" s="135">
        <f>IF(SER_hh_tes_in!N15=0,0,11630*1000*SER_hh_tes_in!N15/SER_hh_num_in!N15)</f>
        <v>1169.5341099598318</v>
      </c>
      <c r="O15" s="135">
        <f>IF(SER_hh_tes_in!O15=0,0,11630*1000*SER_hh_tes_in!O15/SER_hh_num_in!O15)</f>
        <v>989.06345226322969</v>
      </c>
      <c r="P15" s="135">
        <f>IF(SER_hh_tes_in!P15=0,0,11630*1000*SER_hh_tes_in!P15/SER_hh_num_in!P15)</f>
        <v>1070.6367409321051</v>
      </c>
      <c r="Q15" s="135">
        <f>IF(SER_hh_tes_in!Q15=0,0,11630*1000*SER_hh_tes_in!Q15/SER_hh_num_in!Q15)</f>
        <v>883.17741506104619</v>
      </c>
      <c r="R15" s="135">
        <f>IF(SER_hh_tes_in!R15=0,0,11630*1000*SER_hh_tes_in!R15/SER_hh_num_in!R15)</f>
        <v>930.34603254240699</v>
      </c>
      <c r="S15" s="135">
        <f>IF(SER_hh_tes_in!S15=0,0,11630*1000*SER_hh_tes_in!S15/SER_hh_num_in!S15)</f>
        <v>956.5669093269488</v>
      </c>
      <c r="T15" s="135">
        <f>IF(SER_hh_tes_in!T15=0,0,11630*1000*SER_hh_tes_in!T15/SER_hh_num_in!T15)</f>
        <v>1060.4930020819061</v>
      </c>
      <c r="U15" s="135">
        <f>IF(SER_hh_tes_in!U15=0,0,11630*1000*SER_hh_tes_in!U15/SER_hh_num_in!U15)</f>
        <v>867.23562304582299</v>
      </c>
      <c r="V15" s="135">
        <f>IF(SER_hh_tes_in!V15=0,0,11630*1000*SER_hh_tes_in!V15/SER_hh_num_in!V15)</f>
        <v>735.29469239036234</v>
      </c>
      <c r="W15" s="135">
        <f>IF(SER_hh_tes_in!W15=0,0,11630*1000*SER_hh_tes_in!W15/SER_hh_num_in!W15)</f>
        <v>766.87009823105291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19643.130542540639</v>
      </c>
      <c r="D16" s="131">
        <f>IF(SER_hh_tes_in!D16=0,0,11630*1000*SER_hh_tes_in!D16/SER_hh_num_in!D16)</f>
        <v>20260.3202710642</v>
      </c>
      <c r="E16" s="131">
        <f>IF(SER_hh_tes_in!E16=0,0,11630*1000*SER_hh_tes_in!E16/SER_hh_num_in!E16)</f>
        <v>19414.457091663389</v>
      </c>
      <c r="F16" s="131">
        <f>IF(SER_hh_tes_in!F16=0,0,11630*1000*SER_hh_tes_in!F16/SER_hh_num_in!F16)</f>
        <v>18794.417018500379</v>
      </c>
      <c r="G16" s="131">
        <f>IF(SER_hh_tes_in!G16=0,0,11630*1000*SER_hh_tes_in!G16/SER_hh_num_in!G16)</f>
        <v>18732.348419321839</v>
      </c>
      <c r="H16" s="131">
        <f>IF(SER_hh_tes_in!H16=0,0,11630*1000*SER_hh_tes_in!H16/SER_hh_num_in!H16)</f>
        <v>19856.927150429019</v>
      </c>
      <c r="I16" s="131">
        <f>IF(SER_hh_tes_in!I16=0,0,11630*1000*SER_hh_tes_in!I16/SER_hh_num_in!I16)</f>
        <v>18690.65391894351</v>
      </c>
      <c r="J16" s="131">
        <f>IF(SER_hh_tes_in!J16=0,0,11630*1000*SER_hh_tes_in!J16/SER_hh_num_in!J16)</f>
        <v>18589.507266401673</v>
      </c>
      <c r="K16" s="131">
        <f>IF(SER_hh_tes_in!K16=0,0,11630*1000*SER_hh_tes_in!K16/SER_hh_num_in!K16)</f>
        <v>18401.604964949096</v>
      </c>
      <c r="L16" s="131">
        <f>IF(SER_hh_tes_in!L16=0,0,11630*1000*SER_hh_tes_in!L16/SER_hh_num_in!L16)</f>
        <v>22089.759064175349</v>
      </c>
      <c r="M16" s="131">
        <f>IF(SER_hh_tes_in!M16=0,0,11630*1000*SER_hh_tes_in!M16/SER_hh_num_in!M16)</f>
        <v>18435.284243483875</v>
      </c>
      <c r="N16" s="131">
        <f>IF(SER_hh_tes_in!N16=0,0,11630*1000*SER_hh_tes_in!N16/SER_hh_num_in!N16)</f>
        <v>18347.367323853228</v>
      </c>
      <c r="O16" s="131">
        <f>IF(SER_hh_tes_in!O16=0,0,11630*1000*SER_hh_tes_in!O16/SER_hh_num_in!O16)</f>
        <v>17887.775045956671</v>
      </c>
      <c r="P16" s="131">
        <f>IF(SER_hh_tes_in!P16=0,0,11630*1000*SER_hh_tes_in!P16/SER_hh_num_in!P16)</f>
        <v>18745.052475513934</v>
      </c>
      <c r="Q16" s="131">
        <f>IF(SER_hh_tes_in!Q16=0,0,11630*1000*SER_hh_tes_in!Q16/SER_hh_num_in!Q16)</f>
        <v>17628.906357616703</v>
      </c>
      <c r="R16" s="131">
        <f>IF(SER_hh_tes_in!R16=0,0,11630*1000*SER_hh_tes_in!R16/SER_hh_num_in!R16)</f>
        <v>17400.329163367991</v>
      </c>
      <c r="S16" s="131">
        <f>IF(SER_hh_tes_in!S16=0,0,11630*1000*SER_hh_tes_in!S16/SER_hh_num_in!S16)</f>
        <v>17262.85727286528</v>
      </c>
      <c r="T16" s="131">
        <f>IF(SER_hh_tes_in!T16=0,0,11630*1000*SER_hh_tes_in!T16/SER_hh_num_in!T16)</f>
        <v>18074.657886308578</v>
      </c>
      <c r="U16" s="131">
        <f>IF(SER_hh_tes_in!U16=0,0,11630*1000*SER_hh_tes_in!U16/SER_hh_num_in!U16)</f>
        <v>16623.477705837704</v>
      </c>
      <c r="V16" s="131">
        <f>IF(SER_hh_tes_in!V16=0,0,11630*1000*SER_hh_tes_in!V16/SER_hh_num_in!V16)</f>
        <v>16128.891655618618</v>
      </c>
      <c r="W16" s="131">
        <f>IF(SER_hh_tes_in!W16=0,0,11630*1000*SER_hh_tes_in!W16/SER_hh_num_in!W16)</f>
        <v>17112.262963675723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19643.130542540639</v>
      </c>
      <c r="D18" s="133">
        <f>IF(SER_hh_tes_in!D18=0,0,11630*1000*SER_hh_tes_in!D18/SER_hh_num_in!D18)</f>
        <v>20260.3202710642</v>
      </c>
      <c r="E18" s="133">
        <f>IF(SER_hh_tes_in!E18=0,0,11630*1000*SER_hh_tes_in!E18/SER_hh_num_in!E18)</f>
        <v>19414.457091663389</v>
      </c>
      <c r="F18" s="133">
        <f>IF(SER_hh_tes_in!F18=0,0,11630*1000*SER_hh_tes_in!F18/SER_hh_num_in!F18)</f>
        <v>18794.417018500379</v>
      </c>
      <c r="G18" s="133">
        <f>IF(SER_hh_tes_in!G18=0,0,11630*1000*SER_hh_tes_in!G18/SER_hh_num_in!G18)</f>
        <v>18732.348419321839</v>
      </c>
      <c r="H18" s="133">
        <f>IF(SER_hh_tes_in!H18=0,0,11630*1000*SER_hh_tes_in!H18/SER_hh_num_in!H18)</f>
        <v>19856.927150429019</v>
      </c>
      <c r="I18" s="133">
        <f>IF(SER_hh_tes_in!I18=0,0,11630*1000*SER_hh_tes_in!I18/SER_hh_num_in!I18)</f>
        <v>18690.65391894351</v>
      </c>
      <c r="J18" s="133">
        <f>IF(SER_hh_tes_in!J18=0,0,11630*1000*SER_hh_tes_in!J18/SER_hh_num_in!J18)</f>
        <v>18589.507266401673</v>
      </c>
      <c r="K18" s="133">
        <f>IF(SER_hh_tes_in!K18=0,0,11630*1000*SER_hh_tes_in!K18/SER_hh_num_in!K18)</f>
        <v>18401.604964949096</v>
      </c>
      <c r="L18" s="133">
        <f>IF(SER_hh_tes_in!L18=0,0,11630*1000*SER_hh_tes_in!L18/SER_hh_num_in!L18)</f>
        <v>22089.759064175349</v>
      </c>
      <c r="M18" s="133">
        <f>IF(SER_hh_tes_in!M18=0,0,11630*1000*SER_hh_tes_in!M18/SER_hh_num_in!M18)</f>
        <v>18435.284243483875</v>
      </c>
      <c r="N18" s="133">
        <f>IF(SER_hh_tes_in!N18=0,0,11630*1000*SER_hh_tes_in!N18/SER_hh_num_in!N18)</f>
        <v>18347.367323853228</v>
      </c>
      <c r="O18" s="133">
        <f>IF(SER_hh_tes_in!O18=0,0,11630*1000*SER_hh_tes_in!O18/SER_hh_num_in!O18)</f>
        <v>17887.775045956671</v>
      </c>
      <c r="P18" s="133">
        <f>IF(SER_hh_tes_in!P18=0,0,11630*1000*SER_hh_tes_in!P18/SER_hh_num_in!P18)</f>
        <v>18745.052475513934</v>
      </c>
      <c r="Q18" s="133">
        <f>IF(SER_hh_tes_in!Q18=0,0,11630*1000*SER_hh_tes_in!Q18/SER_hh_num_in!Q18)</f>
        <v>17628.906357616703</v>
      </c>
      <c r="R18" s="133">
        <f>IF(SER_hh_tes_in!R18=0,0,11630*1000*SER_hh_tes_in!R18/SER_hh_num_in!R18)</f>
        <v>17400.329163367991</v>
      </c>
      <c r="S18" s="133">
        <f>IF(SER_hh_tes_in!S18=0,0,11630*1000*SER_hh_tes_in!S18/SER_hh_num_in!S18)</f>
        <v>17262.85727286528</v>
      </c>
      <c r="T18" s="133">
        <f>IF(SER_hh_tes_in!T18=0,0,11630*1000*SER_hh_tes_in!T18/SER_hh_num_in!T18)</f>
        <v>18074.657886308578</v>
      </c>
      <c r="U18" s="133">
        <f>IF(SER_hh_tes_in!U18=0,0,11630*1000*SER_hh_tes_in!U18/SER_hh_num_in!U18)</f>
        <v>16623.477705837704</v>
      </c>
      <c r="V18" s="133">
        <f>IF(SER_hh_tes_in!V18=0,0,11630*1000*SER_hh_tes_in!V18/SER_hh_num_in!V18)</f>
        <v>16128.891655618618</v>
      </c>
      <c r="W18" s="133">
        <f>IF(SER_hh_tes_in!W18=0,0,11630*1000*SER_hh_tes_in!W18/SER_hh_num_in!W18)</f>
        <v>17112.262963675723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23196.214269505414</v>
      </c>
      <c r="D19" s="131">
        <f>IF(SER_hh_tes_in!D19=0,0,11630*1000*SER_hh_tes_in!D19/SER_hh_num_in!D19)</f>
        <v>22437.575823984887</v>
      </c>
      <c r="E19" s="131">
        <f>IF(SER_hh_tes_in!E19=0,0,11630*1000*SER_hh_tes_in!E19/SER_hh_num_in!E19)</f>
        <v>22173.712748098387</v>
      </c>
      <c r="F19" s="131">
        <f>IF(SER_hh_tes_in!F19=0,0,11630*1000*SER_hh_tes_in!F19/SER_hh_num_in!F19)</f>
        <v>22369.775488494597</v>
      </c>
      <c r="G19" s="131">
        <f>IF(SER_hh_tes_in!G19=0,0,11630*1000*SER_hh_tes_in!G19/SER_hh_num_in!G19)</f>
        <v>21862.896462409233</v>
      </c>
      <c r="H19" s="131">
        <f>IF(SER_hh_tes_in!H19=0,0,11630*1000*SER_hh_tes_in!H19/SER_hh_num_in!H19)</f>
        <v>21977.461008598817</v>
      </c>
      <c r="I19" s="131">
        <f>IF(SER_hh_tes_in!I19=0,0,11630*1000*SER_hh_tes_in!I19/SER_hh_num_in!I19)</f>
        <v>21813.868651552853</v>
      </c>
      <c r="J19" s="131">
        <f>IF(SER_hh_tes_in!J19=0,0,11630*1000*SER_hh_tes_in!J19/SER_hh_num_in!J19)</f>
        <v>21496.895330489646</v>
      </c>
      <c r="K19" s="131">
        <f>IF(SER_hh_tes_in!K19=0,0,11630*1000*SER_hh_tes_in!K19/SER_hh_num_in!K19)</f>
        <v>21998.831976469617</v>
      </c>
      <c r="L19" s="131">
        <f>IF(SER_hh_tes_in!L19=0,0,11630*1000*SER_hh_tes_in!L19/SER_hh_num_in!L19)</f>
        <v>21758.899189627853</v>
      </c>
      <c r="M19" s="131">
        <f>IF(SER_hh_tes_in!M19=0,0,11630*1000*SER_hh_tes_in!M19/SER_hh_num_in!M19)</f>
        <v>22167.04740171503</v>
      </c>
      <c r="N19" s="131">
        <f>IF(SER_hh_tes_in!N19=0,0,11630*1000*SER_hh_tes_in!N19/SER_hh_num_in!N19)</f>
        <v>22005.472503082659</v>
      </c>
      <c r="O19" s="131">
        <f>IF(SER_hh_tes_in!O19=0,0,11630*1000*SER_hh_tes_in!O19/SER_hh_num_in!O19)</f>
        <v>22228.613443763388</v>
      </c>
      <c r="P19" s="131">
        <f>IF(SER_hh_tes_in!P19=0,0,11630*1000*SER_hh_tes_in!P19/SER_hh_num_in!P19)</f>
        <v>21776.832860042236</v>
      </c>
      <c r="Q19" s="131">
        <f>IF(SER_hh_tes_in!Q19=0,0,11630*1000*SER_hh_tes_in!Q19/SER_hh_num_in!Q19)</f>
        <v>21911.285874009827</v>
      </c>
      <c r="R19" s="131">
        <f>IF(SER_hh_tes_in!R19=0,0,11630*1000*SER_hh_tes_in!R19/SER_hh_num_in!R19)</f>
        <v>22039.033872585169</v>
      </c>
      <c r="S19" s="131">
        <f>IF(SER_hh_tes_in!S19=0,0,11630*1000*SER_hh_tes_in!S19/SER_hh_num_in!S19)</f>
        <v>21994.242974143832</v>
      </c>
      <c r="T19" s="131">
        <f>IF(SER_hh_tes_in!T19=0,0,11630*1000*SER_hh_tes_in!T19/SER_hh_num_in!T19)</f>
        <v>21760.526405319411</v>
      </c>
      <c r="U19" s="131">
        <f>IF(SER_hh_tes_in!U19=0,0,11630*1000*SER_hh_tes_in!U19/SER_hh_num_in!U19)</f>
        <v>21117.441454530595</v>
      </c>
      <c r="V19" s="131">
        <f>IF(SER_hh_tes_in!V19=0,0,11630*1000*SER_hh_tes_in!V19/SER_hh_num_in!V19)</f>
        <v>19272.567604182241</v>
      </c>
      <c r="W19" s="131">
        <f>IF(SER_hh_tes_in!W19=0,0,11630*1000*SER_hh_tes_in!W19/SER_hh_num_in!W19)</f>
        <v>20265.570878971794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22949.378843234113</v>
      </c>
      <c r="D22" s="133">
        <f>IF(SER_hh_tes_in!D22=0,0,11630*1000*SER_hh_tes_in!D22/SER_hh_num_in!D22)</f>
        <v>22625.254157781954</v>
      </c>
      <c r="E22" s="133">
        <f>IF(SER_hh_tes_in!E22=0,0,11630*1000*SER_hh_tes_in!E22/SER_hh_num_in!E22)</f>
        <v>22455.366536314472</v>
      </c>
      <c r="F22" s="133">
        <f>IF(SER_hh_tes_in!F22=0,0,11630*1000*SER_hh_tes_in!F22/SER_hh_num_in!F22)</f>
        <v>22090.705945950627</v>
      </c>
      <c r="G22" s="133">
        <f>IF(SER_hh_tes_in!G22=0,0,11630*1000*SER_hh_tes_in!G22/SER_hh_num_in!G22)</f>
        <v>21886.972102110591</v>
      </c>
      <c r="H22" s="133">
        <f>IF(SER_hh_tes_in!H22=0,0,11630*1000*SER_hh_tes_in!H22/SER_hh_num_in!H22)</f>
        <v>22297.534389434899</v>
      </c>
      <c r="I22" s="133">
        <f>IF(SER_hh_tes_in!I22=0,0,11630*1000*SER_hh_tes_in!I22/SER_hh_num_in!I22)</f>
        <v>21599.493710932471</v>
      </c>
      <c r="J22" s="133">
        <f>IF(SER_hh_tes_in!J22=0,0,11630*1000*SER_hh_tes_in!J22/SER_hh_num_in!J22)</f>
        <v>21983.469001058715</v>
      </c>
      <c r="K22" s="133">
        <f>IF(SER_hh_tes_in!K22=0,0,11630*1000*SER_hh_tes_in!K22/SER_hh_num_in!K22)</f>
        <v>21671.500927670753</v>
      </c>
      <c r="L22" s="133">
        <f>IF(SER_hh_tes_in!L22=0,0,11630*1000*SER_hh_tes_in!L22/SER_hh_num_in!L22)</f>
        <v>21610.919555632521</v>
      </c>
      <c r="M22" s="133">
        <f>IF(SER_hh_tes_in!M22=0,0,11630*1000*SER_hh_tes_in!M22/SER_hh_num_in!M22)</f>
        <v>21908.778152206894</v>
      </c>
      <c r="N22" s="133">
        <f>IF(SER_hh_tes_in!N22=0,0,11630*1000*SER_hh_tes_in!N22/SER_hh_num_in!N22)</f>
        <v>22076.102547960956</v>
      </c>
      <c r="O22" s="133">
        <f>IF(SER_hh_tes_in!O22=0,0,11630*1000*SER_hh_tes_in!O22/SER_hh_num_in!O22)</f>
        <v>22255.99313839274</v>
      </c>
      <c r="P22" s="133">
        <f>IF(SER_hh_tes_in!P22=0,0,11630*1000*SER_hh_tes_in!P22/SER_hh_num_in!P22)</f>
        <v>22083.230550712142</v>
      </c>
      <c r="Q22" s="133">
        <f>IF(SER_hh_tes_in!Q22=0,0,11630*1000*SER_hh_tes_in!Q22/SER_hh_num_in!Q22)</f>
        <v>22235.517603402612</v>
      </c>
      <c r="R22" s="133">
        <f>IF(SER_hh_tes_in!R22=0,0,11630*1000*SER_hh_tes_in!R22/SER_hh_num_in!R22)</f>
        <v>22151.18798505377</v>
      </c>
      <c r="S22" s="133">
        <f>IF(SER_hh_tes_in!S22=0,0,11630*1000*SER_hh_tes_in!S22/SER_hh_num_in!S22)</f>
        <v>22154.917089608927</v>
      </c>
      <c r="T22" s="133">
        <f>IF(SER_hh_tes_in!T22=0,0,11630*1000*SER_hh_tes_in!T22/SER_hh_num_in!T22)</f>
        <v>21816.494745410379</v>
      </c>
      <c r="U22" s="133">
        <f>IF(SER_hh_tes_in!U22=0,0,11630*1000*SER_hh_tes_in!U22/SER_hh_num_in!U22)</f>
        <v>20884.672353955157</v>
      </c>
      <c r="V22" s="133">
        <f>IF(SER_hh_tes_in!V22=0,0,11630*1000*SER_hh_tes_in!V22/SER_hh_num_in!V22)</f>
        <v>18993.302681553334</v>
      </c>
      <c r="W22" s="133">
        <f>IF(SER_hh_tes_in!W22=0,0,11630*1000*SER_hh_tes_in!W22/SER_hh_num_in!W22)</f>
        <v>19975.936746164953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22087.43072062184</v>
      </c>
      <c r="D23" s="133">
        <f>IF(SER_hh_tes_in!D23=0,0,11630*1000*SER_hh_tes_in!D23/SER_hh_num_in!D23)</f>
        <v>22881.578530195849</v>
      </c>
      <c r="E23" s="133">
        <f>IF(SER_hh_tes_in!E23=0,0,11630*1000*SER_hh_tes_in!E23/SER_hh_num_in!E23)</f>
        <v>22324.435845489777</v>
      </c>
      <c r="F23" s="133">
        <f>IF(SER_hh_tes_in!F23=0,0,11630*1000*SER_hh_tes_in!F23/SER_hh_num_in!F23)</f>
        <v>21995.848311608708</v>
      </c>
      <c r="G23" s="133">
        <f>IF(SER_hh_tes_in!G23=0,0,11630*1000*SER_hh_tes_in!G23/SER_hh_num_in!G23)</f>
        <v>22328.059929984058</v>
      </c>
      <c r="H23" s="133">
        <f>IF(SER_hh_tes_in!H23=0,0,11630*1000*SER_hh_tes_in!H23/SER_hh_num_in!H23)</f>
        <v>21562.891794854419</v>
      </c>
      <c r="I23" s="133">
        <f>IF(SER_hh_tes_in!I23=0,0,11630*1000*SER_hh_tes_in!I23/SER_hh_num_in!I23)</f>
        <v>21043.014484876196</v>
      </c>
      <c r="J23" s="133">
        <f>IF(SER_hh_tes_in!J23=0,0,11630*1000*SER_hh_tes_in!J23/SER_hh_num_in!J23)</f>
        <v>22290.826264264204</v>
      </c>
      <c r="K23" s="133">
        <f>IF(SER_hh_tes_in!K23=0,0,11630*1000*SER_hh_tes_in!K23/SER_hh_num_in!K23)</f>
        <v>22505.195825636638</v>
      </c>
      <c r="L23" s="133">
        <f>IF(SER_hh_tes_in!L23=0,0,11630*1000*SER_hh_tes_in!L23/SER_hh_num_in!L23)</f>
        <v>21891.197481239586</v>
      </c>
      <c r="M23" s="133">
        <f>IF(SER_hh_tes_in!M23=0,0,11630*1000*SER_hh_tes_in!M23/SER_hh_num_in!M23)</f>
        <v>22084.039349909897</v>
      </c>
      <c r="N23" s="133">
        <f>IF(SER_hh_tes_in!N23=0,0,11630*1000*SER_hh_tes_in!N23/SER_hh_num_in!N23)</f>
        <v>22071.700057442202</v>
      </c>
      <c r="O23" s="133">
        <f>IF(SER_hh_tes_in!O23=0,0,11630*1000*SER_hh_tes_in!O23/SER_hh_num_in!O23)</f>
        <v>22161.687703895819</v>
      </c>
      <c r="P23" s="133">
        <f>IF(SER_hh_tes_in!P23=0,0,11630*1000*SER_hh_tes_in!P23/SER_hh_num_in!P23)</f>
        <v>21832.498503980434</v>
      </c>
      <c r="Q23" s="133">
        <f>IF(SER_hh_tes_in!Q23=0,0,11630*1000*SER_hh_tes_in!Q23/SER_hh_num_in!Q23)</f>
        <v>21974.859239751484</v>
      </c>
      <c r="R23" s="133">
        <f>IF(SER_hh_tes_in!R23=0,0,11630*1000*SER_hh_tes_in!R23/SER_hh_num_in!R23)</f>
        <v>21972.891197381719</v>
      </c>
      <c r="S23" s="133">
        <f>IF(SER_hh_tes_in!S23=0,0,11630*1000*SER_hh_tes_in!S23/SER_hh_num_in!S23)</f>
        <v>22121.708689935516</v>
      </c>
      <c r="T23" s="133">
        <f>IF(SER_hh_tes_in!T23=0,0,11630*1000*SER_hh_tes_in!T23/SER_hh_num_in!T23)</f>
        <v>21185.842182205572</v>
      </c>
      <c r="U23" s="133">
        <f>IF(SER_hh_tes_in!U23=0,0,11630*1000*SER_hh_tes_in!U23/SER_hh_num_in!U23)</f>
        <v>20634.445113506154</v>
      </c>
      <c r="V23" s="133">
        <f>IF(SER_hh_tes_in!V23=0,0,11630*1000*SER_hh_tes_in!V23/SER_hh_num_in!V23)</f>
        <v>19909.71030027929</v>
      </c>
      <c r="W23" s="133">
        <f>IF(SER_hh_tes_in!W23=0,0,11630*1000*SER_hh_tes_in!W23/SER_hh_num_in!W23)</f>
        <v>20025.26264495623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22360.625181916726</v>
      </c>
      <c r="D24" s="133">
        <f>IF(SER_hh_tes_in!D24=0,0,11630*1000*SER_hh_tes_in!D24/SER_hh_num_in!D24)</f>
        <v>22257.671428118821</v>
      </c>
      <c r="E24" s="133">
        <f>IF(SER_hh_tes_in!E24=0,0,11630*1000*SER_hh_tes_in!E24/SER_hh_num_in!E24)</f>
        <v>21759.18088590699</v>
      </c>
      <c r="F24" s="133">
        <f>IF(SER_hh_tes_in!F24=0,0,11630*1000*SER_hh_tes_in!F24/SER_hh_num_in!F24)</f>
        <v>22456.51085911605</v>
      </c>
      <c r="G24" s="133">
        <f>IF(SER_hh_tes_in!G24=0,0,11630*1000*SER_hh_tes_in!G24/SER_hh_num_in!G24)</f>
        <v>22575.582403936132</v>
      </c>
      <c r="H24" s="133">
        <f>IF(SER_hh_tes_in!H24=0,0,11630*1000*SER_hh_tes_in!H24/SER_hh_num_in!H24)</f>
        <v>22268.062824291719</v>
      </c>
      <c r="I24" s="133">
        <f>IF(SER_hh_tes_in!I24=0,0,11630*1000*SER_hh_tes_in!I24/SER_hh_num_in!I24)</f>
        <v>22158.126401334735</v>
      </c>
      <c r="J24" s="133">
        <f>IF(SER_hh_tes_in!J24=0,0,11630*1000*SER_hh_tes_in!J24/SER_hh_num_in!J24)</f>
        <v>21566.836915047152</v>
      </c>
      <c r="K24" s="133">
        <f>IF(SER_hh_tes_in!K24=0,0,11630*1000*SER_hh_tes_in!K24/SER_hh_num_in!K24)</f>
        <v>21697.647962103165</v>
      </c>
      <c r="L24" s="133">
        <f>IF(SER_hh_tes_in!L24=0,0,11630*1000*SER_hh_tes_in!L24/SER_hh_num_in!L24)</f>
        <v>21790.761623978629</v>
      </c>
      <c r="M24" s="133">
        <f>IF(SER_hh_tes_in!M24=0,0,11630*1000*SER_hh_tes_in!M24/SER_hh_num_in!M24)</f>
        <v>22231.898650568844</v>
      </c>
      <c r="N24" s="133">
        <f>IF(SER_hh_tes_in!N24=0,0,11630*1000*SER_hh_tes_in!N24/SER_hh_num_in!N24)</f>
        <v>21974.753708853557</v>
      </c>
      <c r="O24" s="133">
        <f>IF(SER_hh_tes_in!O24=0,0,11630*1000*SER_hh_tes_in!O24/SER_hh_num_in!O24)</f>
        <v>22229.714719856856</v>
      </c>
      <c r="P24" s="133">
        <f>IF(SER_hh_tes_in!P24=0,0,11630*1000*SER_hh_tes_in!P24/SER_hh_num_in!P24)</f>
        <v>22003.762952402521</v>
      </c>
      <c r="Q24" s="133">
        <f>IF(SER_hh_tes_in!Q24=0,0,11630*1000*SER_hh_tes_in!Q24/SER_hh_num_in!Q24)</f>
        <v>22356.955810276482</v>
      </c>
      <c r="R24" s="133">
        <f>IF(SER_hh_tes_in!R24=0,0,11630*1000*SER_hh_tes_in!R24/SER_hh_num_in!R24)</f>
        <v>21789.053851444842</v>
      </c>
      <c r="S24" s="133">
        <f>IF(SER_hh_tes_in!S24=0,0,11630*1000*SER_hh_tes_in!S24/SER_hh_num_in!S24)</f>
        <v>23855.314555918852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18822.582741357175</v>
      </c>
      <c r="W24" s="133">
        <f>IF(SER_hh_tes_in!W24=0,0,11630*1000*SER_hh_tes_in!W24/SER_hh_num_in!W24)</f>
        <v>20255.284895948156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23082.42110198499</v>
      </c>
      <c r="D25" s="133">
        <f>IF(SER_hh_tes_in!D25=0,0,11630*1000*SER_hh_tes_in!D25/SER_hh_num_in!D25)</f>
        <v>22767.84054186934</v>
      </c>
      <c r="E25" s="133">
        <f>IF(SER_hh_tes_in!E25=0,0,11630*1000*SER_hh_tes_in!E25/SER_hh_num_in!E25)</f>
        <v>22519.677984720471</v>
      </c>
      <c r="F25" s="133">
        <f>IF(SER_hh_tes_in!F25=0,0,11630*1000*SER_hh_tes_in!F25/SER_hh_num_in!F25)</f>
        <v>22212.850406022677</v>
      </c>
      <c r="G25" s="133">
        <f>IF(SER_hh_tes_in!G25=0,0,11630*1000*SER_hh_tes_in!G25/SER_hh_num_in!G25)</f>
        <v>22400.831220078762</v>
      </c>
      <c r="H25" s="133">
        <f>IF(SER_hh_tes_in!H25=0,0,11630*1000*SER_hh_tes_in!H25/SER_hh_num_in!H25)</f>
        <v>21977.172916894513</v>
      </c>
      <c r="I25" s="133">
        <f>IF(SER_hh_tes_in!I25=0,0,11630*1000*SER_hh_tes_in!I25/SER_hh_num_in!I25)</f>
        <v>22102.744397007602</v>
      </c>
      <c r="J25" s="133">
        <f>IF(SER_hh_tes_in!J25=0,0,11630*1000*SER_hh_tes_in!J25/SER_hh_num_in!J25)</f>
        <v>21299.330382410997</v>
      </c>
      <c r="K25" s="133">
        <f>IF(SER_hh_tes_in!K25=0,0,11630*1000*SER_hh_tes_in!K25/SER_hh_num_in!K25)</f>
        <v>21769.760158665016</v>
      </c>
      <c r="L25" s="133">
        <f>IF(SER_hh_tes_in!L25=0,0,11630*1000*SER_hh_tes_in!L25/SER_hh_num_in!L25)</f>
        <v>21690.038055753652</v>
      </c>
      <c r="M25" s="133">
        <f>IF(SER_hh_tes_in!M25=0,0,11630*1000*SER_hh_tes_in!M25/SER_hh_num_in!M25)</f>
        <v>22159.457432381001</v>
      </c>
      <c r="N25" s="133">
        <f>IF(SER_hh_tes_in!N25=0,0,11630*1000*SER_hh_tes_in!N25/SER_hh_num_in!N25)</f>
        <v>22054.483846789546</v>
      </c>
      <c r="O25" s="133">
        <f>IF(SER_hh_tes_in!O25=0,0,11630*1000*SER_hh_tes_in!O25/SER_hh_num_in!O25)</f>
        <v>22085.475384753176</v>
      </c>
      <c r="P25" s="133">
        <f>IF(SER_hh_tes_in!P25=0,0,11630*1000*SER_hh_tes_in!P25/SER_hh_num_in!P25)</f>
        <v>21503.492849375463</v>
      </c>
      <c r="Q25" s="133">
        <f>IF(SER_hh_tes_in!Q25=0,0,11630*1000*SER_hh_tes_in!Q25/SER_hh_num_in!Q25)</f>
        <v>22054.213774430729</v>
      </c>
      <c r="R25" s="133">
        <f>IF(SER_hh_tes_in!R25=0,0,11630*1000*SER_hh_tes_in!R25/SER_hh_num_in!R25)</f>
        <v>22262.374409383141</v>
      </c>
      <c r="S25" s="133">
        <f>IF(SER_hh_tes_in!S25=0,0,11630*1000*SER_hh_tes_in!S25/SER_hh_num_in!S25)</f>
        <v>22109.452928489885</v>
      </c>
      <c r="T25" s="133">
        <f>IF(SER_hh_tes_in!T25=0,0,11630*1000*SER_hh_tes_in!T25/SER_hh_num_in!T25)</f>
        <v>21192.388859440343</v>
      </c>
      <c r="U25" s="133">
        <f>IF(SER_hh_tes_in!U25=0,0,11630*1000*SER_hh_tes_in!U25/SER_hh_num_in!U25)</f>
        <v>20960.892532584821</v>
      </c>
      <c r="V25" s="133">
        <f>IF(SER_hh_tes_in!V25=0,0,11630*1000*SER_hh_tes_in!V25/SER_hh_num_in!V25)</f>
        <v>19180.152246746329</v>
      </c>
      <c r="W25" s="133">
        <f>IF(SER_hh_tes_in!W25=0,0,11630*1000*SER_hh_tes_in!W25/SER_hh_num_in!W25)</f>
        <v>20350.638850164873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24069.905331165293</v>
      </c>
      <c r="D26" s="65">
        <f>IF(SER_hh_tes_in!D26=0,0,11630*1000*SER_hh_tes_in!D26/SER_hh_num_in!D26)</f>
        <v>21948.46533702753</v>
      </c>
      <c r="E26" s="65">
        <f>IF(SER_hh_tes_in!E26=0,0,11630*1000*SER_hh_tes_in!E26/SER_hh_num_in!E26)</f>
        <v>21944.108536407115</v>
      </c>
      <c r="F26" s="65">
        <f>IF(SER_hh_tes_in!F26=0,0,11630*1000*SER_hh_tes_in!F26/SER_hh_num_in!F26)</f>
        <v>22632.48286194028</v>
      </c>
      <c r="G26" s="65">
        <f>IF(SER_hh_tes_in!G26=0,0,11630*1000*SER_hh_tes_in!G26/SER_hh_num_in!G26)</f>
        <v>21161.834825796468</v>
      </c>
      <c r="H26" s="65">
        <f>IF(SER_hh_tes_in!H26=0,0,11630*1000*SER_hh_tes_in!H26/SER_hh_num_in!H26)</f>
        <v>21969.435295062718</v>
      </c>
      <c r="I26" s="65">
        <f>IF(SER_hh_tes_in!I26=0,0,11630*1000*SER_hh_tes_in!I26/SER_hh_num_in!I26)</f>
        <v>21855.226128124086</v>
      </c>
      <c r="J26" s="65">
        <f>IF(SER_hh_tes_in!J26=0,0,11630*1000*SER_hh_tes_in!J26/SER_hh_num_in!J26)</f>
        <v>21094.611894554138</v>
      </c>
      <c r="K26" s="65">
        <f>IF(SER_hh_tes_in!K26=0,0,11630*1000*SER_hh_tes_in!K26/SER_hh_num_in!K26)</f>
        <v>22260.341430516022</v>
      </c>
      <c r="L26" s="65">
        <f>IF(SER_hh_tes_in!L26=0,0,11630*1000*SER_hh_tes_in!L26/SER_hh_num_in!L26)</f>
        <v>21977.58800940595</v>
      </c>
      <c r="M26" s="65">
        <f>IF(SER_hh_tes_in!M26=0,0,11630*1000*SER_hh_tes_in!M26/SER_hh_num_in!M26)</f>
        <v>22243.80442024217</v>
      </c>
      <c r="N26" s="65">
        <f>IF(SER_hh_tes_in!N26=0,0,11630*1000*SER_hh_tes_in!N26/SER_hh_num_in!N26)</f>
        <v>21594.744585488694</v>
      </c>
      <c r="O26" s="65">
        <f>IF(SER_hh_tes_in!O26=0,0,11630*1000*SER_hh_tes_in!O26/SER_hh_num_in!O26)</f>
        <v>22461.149055758739</v>
      </c>
      <c r="P26" s="65">
        <f>IF(SER_hh_tes_in!P26=0,0,11630*1000*SER_hh_tes_in!P26/SER_hh_num_in!P26)</f>
        <v>21907.549390657969</v>
      </c>
      <c r="Q26" s="65">
        <f>IF(SER_hh_tes_in!Q26=0,0,11630*1000*SER_hh_tes_in!Q26/SER_hh_num_in!Q26)</f>
        <v>21375.902104152239</v>
      </c>
      <c r="R26" s="65">
        <f>IF(SER_hh_tes_in!R26=0,0,11630*1000*SER_hh_tes_in!R26/SER_hh_num_in!R26)</f>
        <v>21933.395281269939</v>
      </c>
      <c r="S26" s="65">
        <f>IF(SER_hh_tes_in!S26=0,0,11630*1000*SER_hh_tes_in!S26/SER_hh_num_in!S26)</f>
        <v>21570.999247142776</v>
      </c>
      <c r="T26" s="65">
        <f>IF(SER_hh_tes_in!T26=0,0,11630*1000*SER_hh_tes_in!T26/SER_hh_num_in!T26)</f>
        <v>22374.760691360756</v>
      </c>
      <c r="U26" s="65">
        <f>IF(SER_hh_tes_in!U26=0,0,11630*1000*SER_hh_tes_in!U26/SER_hh_num_in!U26)</f>
        <v>21566.26242083728</v>
      </c>
      <c r="V26" s="65">
        <f>IF(SER_hh_tes_in!V26=0,0,11630*1000*SER_hh_tes_in!V26/SER_hh_num_in!V26)</f>
        <v>18877.454877538377</v>
      </c>
      <c r="W26" s="65">
        <f>IF(SER_hh_tes_in!W26=0,0,11630*1000*SER_hh_tes_in!W26/SER_hh_num_in!W26)</f>
        <v>20344.538378973153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31874.060598363521</v>
      </c>
      <c r="D29" s="131">
        <f>IF(SER_hh_tes_in!D29=0,0,11630*1000*SER_hh_tes_in!D29/SER_hh_num_in!D29)</f>
        <v>26756.852951640627</v>
      </c>
      <c r="E29" s="131">
        <f>IF(SER_hh_tes_in!E29=0,0,11630*1000*SER_hh_tes_in!E29/SER_hh_num_in!E29)</f>
        <v>27347.033460825038</v>
      </c>
      <c r="F29" s="131">
        <f>IF(SER_hh_tes_in!F29=0,0,11630*1000*SER_hh_tes_in!F29/SER_hh_num_in!F29)</f>
        <v>26252.478023109044</v>
      </c>
      <c r="G29" s="131">
        <f>IF(SER_hh_tes_in!G29=0,0,11630*1000*SER_hh_tes_in!G29/SER_hh_num_in!G29)</f>
        <v>26443.32179114777</v>
      </c>
      <c r="H29" s="131">
        <f>IF(SER_hh_tes_in!H29=0,0,11630*1000*SER_hh_tes_in!H29/SER_hh_num_in!H29)</f>
        <v>26088.089005821603</v>
      </c>
      <c r="I29" s="131">
        <f>IF(SER_hh_tes_in!I29=0,0,11630*1000*SER_hh_tes_in!I29/SER_hh_num_in!I29)</f>
        <v>24780.562799184208</v>
      </c>
      <c r="J29" s="131">
        <f>IF(SER_hh_tes_in!J29=0,0,11630*1000*SER_hh_tes_in!J29/SER_hh_num_in!J29)</f>
        <v>25207.506742072299</v>
      </c>
      <c r="K29" s="131">
        <f>IF(SER_hh_tes_in!K29=0,0,11630*1000*SER_hh_tes_in!K29/SER_hh_num_in!K29)</f>
        <v>25456.209856911904</v>
      </c>
      <c r="L29" s="131">
        <f>IF(SER_hh_tes_in!L29=0,0,11630*1000*SER_hh_tes_in!L29/SER_hh_num_in!L29)</f>
        <v>24990.893686983247</v>
      </c>
      <c r="M29" s="131">
        <f>IF(SER_hh_tes_in!M29=0,0,11630*1000*SER_hh_tes_in!M29/SER_hh_num_in!M29)</f>
        <v>24826.013892005842</v>
      </c>
      <c r="N29" s="131">
        <f>IF(SER_hh_tes_in!N29=0,0,11630*1000*SER_hh_tes_in!N29/SER_hh_num_in!N29)</f>
        <v>25534.411729084368</v>
      </c>
      <c r="O29" s="131">
        <f>IF(SER_hh_tes_in!O29=0,0,11630*1000*SER_hh_tes_in!O29/SER_hh_num_in!O29)</f>
        <v>25052.624816000902</v>
      </c>
      <c r="P29" s="131">
        <f>IF(SER_hh_tes_in!P29=0,0,11630*1000*SER_hh_tes_in!P29/SER_hh_num_in!P29)</f>
        <v>24795.008215250564</v>
      </c>
      <c r="Q29" s="131">
        <f>IF(SER_hh_tes_in!Q29=0,0,11630*1000*SER_hh_tes_in!Q29/SER_hh_num_in!Q29)</f>
        <v>23682.150647422244</v>
      </c>
      <c r="R29" s="131">
        <f>IF(SER_hh_tes_in!R29=0,0,11630*1000*SER_hh_tes_in!R29/SER_hh_num_in!R29)</f>
        <v>24071.756957705238</v>
      </c>
      <c r="S29" s="131">
        <f>IF(SER_hh_tes_in!S29=0,0,11630*1000*SER_hh_tes_in!S29/SER_hh_num_in!S29)</f>
        <v>24219.161807974993</v>
      </c>
      <c r="T29" s="131">
        <f>IF(SER_hh_tes_in!T29=0,0,11630*1000*SER_hh_tes_in!T29/SER_hh_num_in!T29)</f>
        <v>23560.056619530194</v>
      </c>
      <c r="U29" s="131">
        <f>IF(SER_hh_tes_in!U29=0,0,11630*1000*SER_hh_tes_in!U29/SER_hh_num_in!U29)</f>
        <v>23565.898873494472</v>
      </c>
      <c r="V29" s="131">
        <f>IF(SER_hh_tes_in!V29=0,0,11630*1000*SER_hh_tes_in!V29/SER_hh_num_in!V29)</f>
        <v>21829.322965735264</v>
      </c>
      <c r="W29" s="131">
        <f>IF(SER_hh_tes_in!W29=0,0,11630*1000*SER_hh_tes_in!W29/SER_hh_num_in!W29)</f>
        <v>22613.546666456237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45639.274359945804</v>
      </c>
      <c r="D30" s="133">
        <f>IF(SER_hh_tes_in!D30=0,0,11630*1000*SER_hh_tes_in!D30/SER_hh_num_in!D30)</f>
        <v>14201.575556884101</v>
      </c>
      <c r="E30" s="133">
        <f>IF(SER_hh_tes_in!E30=0,0,11630*1000*SER_hh_tes_in!E30/SER_hh_num_in!E30)</f>
        <v>36593.179983608032</v>
      </c>
      <c r="F30" s="133">
        <f>IF(SER_hh_tes_in!F30=0,0,11630*1000*SER_hh_tes_in!F30/SER_hh_num_in!F30)</f>
        <v>26313.648966555513</v>
      </c>
      <c r="G30" s="133">
        <f>IF(SER_hh_tes_in!G30=0,0,11630*1000*SER_hh_tes_in!G30/SER_hh_num_in!G30)</f>
        <v>25303.868809930835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26356.360595028098</v>
      </c>
      <c r="O30" s="133">
        <f>IF(SER_hh_tes_in!O30=0,0,11630*1000*SER_hh_tes_in!O30/SER_hh_num_in!O30)</f>
        <v>22642.834380846889</v>
      </c>
      <c r="P30" s="133">
        <f>IF(SER_hh_tes_in!P30=0,0,11630*1000*SER_hh_tes_in!P30/SER_hh_num_in!P30)</f>
        <v>25474.245968580486</v>
      </c>
      <c r="Q30" s="133">
        <f>IF(SER_hh_tes_in!Q30=0,0,11630*1000*SER_hh_tes_in!Q30/SER_hh_num_in!Q30)</f>
        <v>19528.906603741201</v>
      </c>
      <c r="R30" s="133">
        <f>IF(SER_hh_tes_in!R30=0,0,11630*1000*SER_hh_tes_in!R30/SER_hh_num_in!R30)</f>
        <v>24170.532741775067</v>
      </c>
      <c r="S30" s="133">
        <f>IF(SER_hh_tes_in!S30=0,0,11630*1000*SER_hh_tes_in!S30/SER_hh_num_in!S30)</f>
        <v>29280.515738244609</v>
      </c>
      <c r="T30" s="133">
        <f>IF(SER_hh_tes_in!T30=0,0,11630*1000*SER_hh_tes_in!T30/SER_hh_num_in!T30)</f>
        <v>24714.363068105289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23788.896875438371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29567.576880255572</v>
      </c>
      <c r="D31" s="133">
        <f>IF(SER_hh_tes_in!D31=0,0,11630*1000*SER_hh_tes_in!D31/SER_hh_num_in!D31)</f>
        <v>29788.716695695504</v>
      </c>
      <c r="E31" s="133">
        <f>IF(SER_hh_tes_in!E31=0,0,11630*1000*SER_hh_tes_in!E31/SER_hh_num_in!E31)</f>
        <v>26242.870046101285</v>
      </c>
      <c r="F31" s="133">
        <f>IF(SER_hh_tes_in!F31=0,0,11630*1000*SER_hh_tes_in!F31/SER_hh_num_in!F31)</f>
        <v>26887.355247005271</v>
      </c>
      <c r="G31" s="133">
        <f>IF(SER_hh_tes_in!G31=0,0,11630*1000*SER_hh_tes_in!G31/SER_hh_num_in!G31)</f>
        <v>26198.810186002669</v>
      </c>
      <c r="H31" s="133">
        <f>IF(SER_hh_tes_in!H31=0,0,11630*1000*SER_hh_tes_in!H31/SER_hh_num_in!H31)</f>
        <v>25232.833405442456</v>
      </c>
      <c r="I31" s="133">
        <f>IF(SER_hh_tes_in!I31=0,0,11630*1000*SER_hh_tes_in!I31/SER_hh_num_in!I31)</f>
        <v>24990.858904164321</v>
      </c>
      <c r="J31" s="133">
        <f>IF(SER_hh_tes_in!J31=0,0,11630*1000*SER_hh_tes_in!J31/SER_hh_num_in!J31)</f>
        <v>25638.640073682345</v>
      </c>
      <c r="K31" s="133">
        <f>IF(SER_hh_tes_in!K31=0,0,11630*1000*SER_hh_tes_in!K31/SER_hh_num_in!K31)</f>
        <v>26268.177293252342</v>
      </c>
      <c r="L31" s="133">
        <f>IF(SER_hh_tes_in!L31=0,0,11630*1000*SER_hh_tes_in!L31/SER_hh_num_in!L31)</f>
        <v>25913.720028714924</v>
      </c>
      <c r="M31" s="133">
        <f>IF(SER_hh_tes_in!M31=0,0,11630*1000*SER_hh_tes_in!M31/SER_hh_num_in!M31)</f>
        <v>26378.439245023968</v>
      </c>
      <c r="N31" s="133">
        <f>IF(SER_hh_tes_in!N31=0,0,11630*1000*SER_hh_tes_in!N31/SER_hh_num_in!N31)</f>
        <v>0</v>
      </c>
      <c r="O31" s="133">
        <f>IF(SER_hh_tes_in!O31=0,0,11630*1000*SER_hh_tes_in!O31/SER_hh_num_in!O31)</f>
        <v>23287.182399351208</v>
      </c>
      <c r="P31" s="133">
        <f>IF(SER_hh_tes_in!P31=0,0,11630*1000*SER_hh_tes_in!P31/SER_hh_num_in!P31)</f>
        <v>24336.476437052581</v>
      </c>
      <c r="Q31" s="133">
        <f>IF(SER_hh_tes_in!Q31=0,0,11630*1000*SER_hh_tes_in!Q31/SER_hh_num_in!Q31)</f>
        <v>22658.286744640121</v>
      </c>
      <c r="R31" s="133">
        <f>IF(SER_hh_tes_in!R31=0,0,11630*1000*SER_hh_tes_in!R31/SER_hh_num_in!R31)</f>
        <v>23982.589472218584</v>
      </c>
      <c r="S31" s="133">
        <f>IF(SER_hh_tes_in!S31=0,0,11630*1000*SER_hh_tes_in!S31/SER_hh_num_in!S31)</f>
        <v>23913.369581598927</v>
      </c>
      <c r="T31" s="133">
        <f>IF(SER_hh_tes_in!T31=0,0,11630*1000*SER_hh_tes_in!T31/SER_hh_num_in!T31)</f>
        <v>23519.496689456326</v>
      </c>
      <c r="U31" s="133">
        <f>IF(SER_hh_tes_in!U31=0,0,11630*1000*SER_hh_tes_in!U31/SER_hh_num_in!U31)</f>
        <v>23310.300960986286</v>
      </c>
      <c r="V31" s="133">
        <f>IF(SER_hh_tes_in!V31=0,0,11630*1000*SER_hh_tes_in!V31/SER_hh_num_in!V31)</f>
        <v>22595.547213849604</v>
      </c>
      <c r="W31" s="133">
        <f>IF(SER_hh_tes_in!W31=0,0,11630*1000*SER_hh_tes_in!W31/SER_hh_num_in!W31)</f>
        <v>22441.585948648295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28230.680810926202</v>
      </c>
      <c r="D33" s="68">
        <f>IF(SER_hh_tes_in!D33=0,0,11630*1000*SER_hh_tes_in!D33/SER_hh_num_in!D33)</f>
        <v>27139.132256722718</v>
      </c>
      <c r="E33" s="68">
        <f>IF(SER_hh_tes_in!E33=0,0,11630*1000*SER_hh_tes_in!E33/SER_hh_num_in!E33)</f>
        <v>25522.44758762106</v>
      </c>
      <c r="F33" s="68">
        <f>IF(SER_hh_tes_in!F33=0,0,11630*1000*SER_hh_tes_in!F33/SER_hh_num_in!F33)</f>
        <v>26091.832258495553</v>
      </c>
      <c r="G33" s="68">
        <f>IF(SER_hh_tes_in!G33=0,0,11630*1000*SER_hh_tes_in!G33/SER_hh_num_in!G33)</f>
        <v>26528.180667990215</v>
      </c>
      <c r="H33" s="68">
        <f>IF(SER_hh_tes_in!H33=0,0,11630*1000*SER_hh_tes_in!H33/SER_hh_num_in!H33)</f>
        <v>26267.54730533934</v>
      </c>
      <c r="I33" s="68">
        <f>IF(SER_hh_tes_in!I33=0,0,11630*1000*SER_hh_tes_in!I33/SER_hh_num_in!I33)</f>
        <v>24726.05198744778</v>
      </c>
      <c r="J33" s="68">
        <f>IF(SER_hh_tes_in!J33=0,0,11630*1000*SER_hh_tes_in!J33/SER_hh_num_in!J33)</f>
        <v>25071.749609843071</v>
      </c>
      <c r="K33" s="68">
        <f>IF(SER_hh_tes_in!K33=0,0,11630*1000*SER_hh_tes_in!K33/SER_hh_num_in!K33)</f>
        <v>25174.14902283745</v>
      </c>
      <c r="L33" s="68">
        <f>IF(SER_hh_tes_in!L33=0,0,11630*1000*SER_hh_tes_in!L33/SER_hh_num_in!L33)</f>
        <v>24792.899327745316</v>
      </c>
      <c r="M33" s="68">
        <f>IF(SER_hh_tes_in!M33=0,0,11630*1000*SER_hh_tes_in!M33/SER_hh_num_in!M33)</f>
        <v>24759.140892400494</v>
      </c>
      <c r="N33" s="68">
        <f>IF(SER_hh_tes_in!N33=0,0,11630*1000*SER_hh_tes_in!N33/SER_hh_num_in!N33)</f>
        <v>25411.524386237936</v>
      </c>
      <c r="O33" s="68">
        <f>IF(SER_hh_tes_in!O33=0,0,11630*1000*SER_hh_tes_in!O33/SER_hh_num_in!O33)</f>
        <v>25643.986656761164</v>
      </c>
      <c r="P33" s="68">
        <f>IF(SER_hh_tes_in!P33=0,0,11630*1000*SER_hh_tes_in!P33/SER_hh_num_in!P33)</f>
        <v>24778.423904055337</v>
      </c>
      <c r="Q33" s="68">
        <f>IF(SER_hh_tes_in!Q33=0,0,11630*1000*SER_hh_tes_in!Q33/SER_hh_num_in!Q33)</f>
        <v>25120.337173718868</v>
      </c>
      <c r="R33" s="68">
        <f>IF(SER_hh_tes_in!R33=0,0,11630*1000*SER_hh_tes_in!R33/SER_hh_num_in!R33)</f>
        <v>24100.755974398082</v>
      </c>
      <c r="S33" s="68">
        <f>IF(SER_hh_tes_in!S33=0,0,11630*1000*SER_hh_tes_in!S33/SER_hh_num_in!S33)</f>
        <v>22945.569649671044</v>
      </c>
      <c r="T33" s="68">
        <f>IF(SER_hh_tes_in!T33=0,0,11630*1000*SER_hh_tes_in!T33/SER_hh_num_in!T33)</f>
        <v>23563.031047149922</v>
      </c>
      <c r="U33" s="68">
        <f>IF(SER_hh_tes_in!U33=0,0,11630*1000*SER_hh_tes_in!U33/SER_hh_num_in!U33)</f>
        <v>23717.272674875399</v>
      </c>
      <c r="V33" s="68">
        <f>IF(SER_hh_tes_in!V33=0,0,11630*1000*SER_hh_tes_in!V33/SER_hh_num_in!V33)</f>
        <v>21304.543538802587</v>
      </c>
      <c r="W33" s="68">
        <f>IF(SER_hh_tes_in!W33=0,0,11630*1000*SER_hh_tes_in!W33/SER_hh_num_in!W33)</f>
        <v>22657.771961885861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28668.555715095954</v>
      </c>
      <c r="D3" s="126">
        <f>IF(SER_hh_emi_in!D3=0,0,1000000*SER_hh_emi_in!D3/SER_hh_num_in!D3)</f>
        <v>34529.178815654661</v>
      </c>
      <c r="E3" s="126">
        <f>IF(SER_hh_emi_in!E3=0,0,1000000*SER_hh_emi_in!E3/SER_hh_num_in!E3)</f>
        <v>30621.329933058809</v>
      </c>
      <c r="F3" s="126">
        <f>IF(SER_hh_emi_in!F3=0,0,1000000*SER_hh_emi_in!F3/SER_hh_num_in!F3)</f>
        <v>29658.98986968373</v>
      </c>
      <c r="G3" s="126">
        <f>IF(SER_hh_emi_in!G3=0,0,1000000*SER_hh_emi_in!G3/SER_hh_num_in!G3)</f>
        <v>22685.260137928297</v>
      </c>
      <c r="H3" s="126">
        <f>IF(SER_hh_emi_in!H3=0,0,1000000*SER_hh_emi_in!H3/SER_hh_num_in!H3)</f>
        <v>25850.677876482463</v>
      </c>
      <c r="I3" s="126">
        <f>IF(SER_hh_emi_in!I3=0,0,1000000*SER_hh_emi_in!I3/SER_hh_num_in!I3)</f>
        <v>20754.053444040121</v>
      </c>
      <c r="J3" s="126">
        <f>IF(SER_hh_emi_in!J3=0,0,1000000*SER_hh_emi_in!J3/SER_hh_num_in!J3)</f>
        <v>26779.506489689451</v>
      </c>
      <c r="K3" s="126">
        <f>IF(SER_hh_emi_in!K3=0,0,1000000*SER_hh_emi_in!K3/SER_hh_num_in!K3)</f>
        <v>24412.901620729408</v>
      </c>
      <c r="L3" s="126">
        <f>IF(SER_hh_emi_in!L3=0,0,1000000*SER_hh_emi_in!L3/SER_hh_num_in!L3)</f>
        <v>25469.911779265924</v>
      </c>
      <c r="M3" s="126">
        <f>IF(SER_hh_emi_in!M3=0,0,1000000*SER_hh_emi_in!M3/SER_hh_num_in!M3)</f>
        <v>9895.0664955694137</v>
      </c>
      <c r="N3" s="126">
        <f>IF(SER_hh_emi_in!N3=0,0,1000000*SER_hh_emi_in!N3/SER_hh_num_in!N3)</f>
        <v>13271.847579600666</v>
      </c>
      <c r="O3" s="126">
        <f>IF(SER_hh_emi_in!O3=0,0,1000000*SER_hh_emi_in!O3/SER_hh_num_in!O3)</f>
        <v>13500.274419984305</v>
      </c>
      <c r="P3" s="126">
        <f>IF(SER_hh_emi_in!P3=0,0,1000000*SER_hh_emi_in!P3/SER_hh_num_in!P3)</f>
        <v>16452.562656228234</v>
      </c>
      <c r="Q3" s="126">
        <f>IF(SER_hh_emi_in!Q3=0,0,1000000*SER_hh_emi_in!Q3/SER_hh_num_in!Q3)</f>
        <v>14592.595460939456</v>
      </c>
      <c r="R3" s="126">
        <f>IF(SER_hh_emi_in!R3=0,0,1000000*SER_hh_emi_in!R3/SER_hh_num_in!R3)</f>
        <v>15265.613625216522</v>
      </c>
      <c r="S3" s="126">
        <f>IF(SER_hh_emi_in!S3=0,0,1000000*SER_hh_emi_in!S3/SER_hh_num_in!S3)</f>
        <v>15145.00420194437</v>
      </c>
      <c r="T3" s="126">
        <f>IF(SER_hh_emi_in!T3=0,0,1000000*SER_hh_emi_in!T3/SER_hh_num_in!T3)</f>
        <v>16519.90938377332</v>
      </c>
      <c r="U3" s="126">
        <f>IF(SER_hh_emi_in!U3=0,0,1000000*SER_hh_emi_in!U3/SER_hh_num_in!U3)</f>
        <v>15221.13221263671</v>
      </c>
      <c r="V3" s="126">
        <f>IF(SER_hh_emi_in!V3=0,0,1000000*SER_hh_emi_in!V3/SER_hh_num_in!V3)</f>
        <v>14817.505979369647</v>
      </c>
      <c r="W3" s="126">
        <f>IF(SER_hh_emi_in!W3=0,0,1000000*SER_hh_emi_in!W3/SER_hh_num_in!W3)</f>
        <v>15251.230779793026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19748.765348917328</v>
      </c>
      <c r="D4" s="131">
        <f>IF(SER_hh_emi_in!D4=0,0,1000000*SER_hh_emi_in!D4/SER_hh_num_in!D4)</f>
        <v>28064.029413652406</v>
      </c>
      <c r="E4" s="131">
        <f>IF(SER_hh_emi_in!E4=0,0,1000000*SER_hh_emi_in!E4/SER_hh_num_in!E4)</f>
        <v>24400.541113841511</v>
      </c>
      <c r="F4" s="131">
        <f>IF(SER_hh_emi_in!F4=0,0,1000000*SER_hh_emi_in!F4/SER_hh_num_in!F4)</f>
        <v>26058.816438879068</v>
      </c>
      <c r="G4" s="131">
        <f>IF(SER_hh_emi_in!G4=0,0,1000000*SER_hh_emi_in!G4/SER_hh_num_in!G4)</f>
        <v>19066.895652318977</v>
      </c>
      <c r="H4" s="131">
        <f>IF(SER_hh_emi_in!H4=0,0,1000000*SER_hh_emi_in!H4/SER_hh_num_in!H4)</f>
        <v>22805.325856161984</v>
      </c>
      <c r="I4" s="131">
        <f>IF(SER_hh_emi_in!I4=0,0,1000000*SER_hh_emi_in!I4/SER_hh_num_in!I4)</f>
        <v>17528.224235914757</v>
      </c>
      <c r="J4" s="131">
        <f>IF(SER_hh_emi_in!J4=0,0,1000000*SER_hh_emi_in!J4/SER_hh_num_in!J4)</f>
        <v>22555.338087326152</v>
      </c>
      <c r="K4" s="131">
        <f>IF(SER_hh_emi_in!K4=0,0,1000000*SER_hh_emi_in!K4/SER_hh_num_in!K4)</f>
        <v>19771.660548208303</v>
      </c>
      <c r="L4" s="131">
        <f>IF(SER_hh_emi_in!L4=0,0,1000000*SER_hh_emi_in!L4/SER_hh_num_in!L4)</f>
        <v>21601.582463068426</v>
      </c>
      <c r="M4" s="131">
        <f>IF(SER_hh_emi_in!M4=0,0,1000000*SER_hh_emi_in!M4/SER_hh_num_in!M4)</f>
        <v>7929.0222426640576</v>
      </c>
      <c r="N4" s="131">
        <f>IF(SER_hh_emi_in!N4=0,0,1000000*SER_hh_emi_in!N4/SER_hh_num_in!N4)</f>
        <v>9883.360725925475</v>
      </c>
      <c r="O4" s="131">
        <f>IF(SER_hh_emi_in!O4=0,0,1000000*SER_hh_emi_in!O4/SER_hh_num_in!O4)</f>
        <v>10099.418434332407</v>
      </c>
      <c r="P4" s="131">
        <f>IF(SER_hh_emi_in!P4=0,0,1000000*SER_hh_emi_in!P4/SER_hh_num_in!P4)</f>
        <v>11847.016708694609</v>
      </c>
      <c r="Q4" s="131">
        <f>IF(SER_hh_emi_in!Q4=0,0,1000000*SER_hh_emi_in!Q4/SER_hh_num_in!Q4)</f>
        <v>10348.686574520289</v>
      </c>
      <c r="R4" s="131">
        <f>IF(SER_hh_emi_in!R4=0,0,1000000*SER_hh_emi_in!R4/SER_hh_num_in!R4)</f>
        <v>9361.7358457001937</v>
      </c>
      <c r="S4" s="131">
        <f>IF(SER_hh_emi_in!S4=0,0,1000000*SER_hh_emi_in!S4/SER_hh_num_in!S4)</f>
        <v>9528.9973262657495</v>
      </c>
      <c r="T4" s="131">
        <f>IF(SER_hh_emi_in!T4=0,0,1000000*SER_hh_emi_in!T4/SER_hh_num_in!T4)</f>
        <v>12125.166870743631</v>
      </c>
      <c r="U4" s="131">
        <f>IF(SER_hh_emi_in!U4=0,0,1000000*SER_hh_emi_in!U4/SER_hh_num_in!U4)</f>
        <v>11153.505450408153</v>
      </c>
      <c r="V4" s="131">
        <f>IF(SER_hh_emi_in!V4=0,0,1000000*SER_hh_emi_in!V4/SER_hh_num_in!V4)</f>
        <v>10491.132287532897</v>
      </c>
      <c r="W4" s="131">
        <f>IF(SER_hh_emi_in!W4=0,0,1000000*SER_hh_emi_in!W4/SER_hh_num_in!W4)</f>
        <v>12525.963067640332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103342.33382079973</v>
      </c>
      <c r="D5" s="133">
        <f>IF(SER_hh_emi_in!D5=0,0,1000000*SER_hh_emi_in!D5/SER_hh_num_in!D5)</f>
        <v>102067.94371399262</v>
      </c>
      <c r="E5" s="133">
        <f>IF(SER_hh_emi_in!E5=0,0,1000000*SER_hh_emi_in!E5/SER_hh_num_in!E5)</f>
        <v>102732.77628937799</v>
      </c>
      <c r="F5" s="133">
        <f>IF(SER_hh_emi_in!F5=0,0,1000000*SER_hh_emi_in!F5/SER_hh_num_in!F5)</f>
        <v>103561.86217290712</v>
      </c>
      <c r="G5" s="133">
        <f>IF(SER_hh_emi_in!G5=0,0,1000000*SER_hh_emi_in!G5/SER_hh_num_in!G5)</f>
        <v>88038.551383672238</v>
      </c>
      <c r="H5" s="133">
        <f>IF(SER_hh_emi_in!H5=0,0,1000000*SER_hh_emi_in!H5/SER_hh_num_in!H5)</f>
        <v>91513.788464306941</v>
      </c>
      <c r="I5" s="133">
        <f>IF(SER_hh_emi_in!I5=0,0,1000000*SER_hh_emi_in!I5/SER_hh_num_in!I5)</f>
        <v>91119.831230716998</v>
      </c>
      <c r="J5" s="133">
        <f>IF(SER_hh_emi_in!J5=0,0,1000000*SER_hh_emi_in!J5/SER_hh_num_in!J5)</f>
        <v>76618.20641290916</v>
      </c>
      <c r="K5" s="133">
        <f>IF(SER_hh_emi_in!K5=0,0,1000000*SER_hh_emi_in!K5/SER_hh_num_in!K5)</f>
        <v>56247.342072767089</v>
      </c>
      <c r="L5" s="133">
        <f>IF(SER_hh_emi_in!L5=0,0,1000000*SER_hh_emi_in!L5/SER_hh_num_in!L5)</f>
        <v>75148.631655146324</v>
      </c>
      <c r="M5" s="133">
        <f>IF(SER_hh_emi_in!M5=0,0,1000000*SER_hh_emi_in!M5/SER_hh_num_in!M5)</f>
        <v>69625.877253637722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98164.017343293177</v>
      </c>
      <c r="D7" s="133">
        <f>IF(SER_hh_emi_in!D7=0,0,1000000*SER_hh_emi_in!D7/SER_hh_num_in!D7)</f>
        <v>92585.965665189127</v>
      </c>
      <c r="E7" s="133">
        <f>IF(SER_hh_emi_in!E7=0,0,1000000*SER_hh_emi_in!E7/SER_hh_num_in!E7)</f>
        <v>97500.66131552092</v>
      </c>
      <c r="F7" s="133">
        <f>IF(SER_hh_emi_in!F7=0,0,1000000*SER_hh_emi_in!F7/SER_hh_num_in!F7)</f>
        <v>96640.492084223602</v>
      </c>
      <c r="G7" s="133">
        <f>IF(SER_hh_emi_in!G7=0,0,1000000*SER_hh_emi_in!G7/SER_hh_num_in!G7)</f>
        <v>75860.354442431795</v>
      </c>
      <c r="H7" s="133">
        <f>IF(SER_hh_emi_in!H7=0,0,1000000*SER_hh_emi_in!H7/SER_hh_num_in!H7)</f>
        <v>95797.073809411071</v>
      </c>
      <c r="I7" s="133">
        <f>IF(SER_hh_emi_in!I7=0,0,1000000*SER_hh_emi_in!I7/SER_hh_num_in!I7)</f>
        <v>76926.258548617538</v>
      </c>
      <c r="J7" s="133">
        <f>IF(SER_hh_emi_in!J7=0,0,1000000*SER_hh_emi_in!J7/SER_hh_num_in!J7)</f>
        <v>63682.927498300029</v>
      </c>
      <c r="K7" s="133">
        <f>IF(SER_hh_emi_in!K7=0,0,1000000*SER_hh_emi_in!K7/SER_hh_num_in!K7)</f>
        <v>59036.715259422323</v>
      </c>
      <c r="L7" s="133">
        <f>IF(SER_hh_emi_in!L7=0,0,1000000*SER_hh_emi_in!L7/SER_hh_num_in!L7)</f>
        <v>56848.687790968776</v>
      </c>
      <c r="M7" s="133">
        <f>IF(SER_hh_emi_in!M7=0,0,1000000*SER_hh_emi_in!M7/SER_hh_num_in!M7)</f>
        <v>45229.075108423916</v>
      </c>
      <c r="N7" s="133">
        <f>IF(SER_hh_emi_in!N7=0,0,1000000*SER_hh_emi_in!N7/SER_hh_num_in!N7)</f>
        <v>55234.294800390235</v>
      </c>
      <c r="O7" s="133">
        <f>IF(SER_hh_emi_in!O7=0,0,1000000*SER_hh_emi_in!O7/SER_hh_num_in!O7)</f>
        <v>48755.373898594647</v>
      </c>
      <c r="P7" s="133">
        <f>IF(SER_hh_emi_in!P7=0,0,1000000*SER_hh_emi_in!P7/SER_hh_num_in!P7)</f>
        <v>46075.540331471624</v>
      </c>
      <c r="Q7" s="133">
        <f>IF(SER_hh_emi_in!Q7=0,0,1000000*SER_hh_emi_in!Q7/SER_hh_num_in!Q7)</f>
        <v>44888.745911605096</v>
      </c>
      <c r="R7" s="133">
        <f>IF(SER_hh_emi_in!R7=0,0,1000000*SER_hh_emi_in!R7/SER_hh_num_in!R7)</f>
        <v>0</v>
      </c>
      <c r="S7" s="133">
        <f>IF(SER_hh_emi_in!S7=0,0,1000000*SER_hh_emi_in!S7/SER_hh_num_in!S7)</f>
        <v>0</v>
      </c>
      <c r="T7" s="133">
        <f>IF(SER_hh_emi_in!T7=0,0,1000000*SER_hh_emi_in!T7/SER_hh_num_in!T7)</f>
        <v>33789.612399807629</v>
      </c>
      <c r="U7" s="133">
        <f>IF(SER_hh_emi_in!U7=0,0,1000000*SER_hh_emi_in!U7/SER_hh_num_in!U7)</f>
        <v>23824.283702300381</v>
      </c>
      <c r="V7" s="133">
        <f>IF(SER_hh_emi_in!V7=0,0,1000000*SER_hh_emi_in!V7/SER_hh_num_in!V7)</f>
        <v>24300.77030732857</v>
      </c>
      <c r="W7" s="133">
        <f>IF(SER_hh_emi_in!W7=0,0,1000000*SER_hh_emi_in!W7/SER_hh_num_in!W7)</f>
        <v>26803.93344679294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54214.305949047201</v>
      </c>
      <c r="D9" s="133">
        <f>IF(SER_hh_emi_in!D9=0,0,1000000*SER_hh_emi_in!D9/SER_hh_num_in!D9)</f>
        <v>65747.419809827625</v>
      </c>
      <c r="E9" s="133">
        <f>IF(SER_hh_emi_in!E9=0,0,1000000*SER_hh_emi_in!E9/SER_hh_num_in!E9)</f>
        <v>59674.413828659432</v>
      </c>
      <c r="F9" s="133">
        <f>IF(SER_hh_emi_in!F9=0,0,1000000*SER_hh_emi_in!F9/SER_hh_num_in!F9)</f>
        <v>61169.205750223839</v>
      </c>
      <c r="G9" s="133">
        <f>IF(SER_hh_emi_in!G9=0,0,1000000*SER_hh_emi_in!G9/SER_hh_num_in!G9)</f>
        <v>55506.726885366908</v>
      </c>
      <c r="H9" s="133">
        <f>IF(SER_hh_emi_in!H9=0,0,1000000*SER_hh_emi_in!H9/SER_hh_num_in!H9)</f>
        <v>53395.016533842856</v>
      </c>
      <c r="I9" s="133">
        <f>IF(SER_hh_emi_in!I9=0,0,1000000*SER_hh_emi_in!I9/SER_hh_num_in!I9)</f>
        <v>53117.645458491759</v>
      </c>
      <c r="J9" s="133">
        <f>IF(SER_hh_emi_in!J9=0,0,1000000*SER_hh_emi_in!J9/SER_hh_num_in!J9)</f>
        <v>45715.828035960054</v>
      </c>
      <c r="K9" s="133">
        <f>IF(SER_hh_emi_in!K9=0,0,1000000*SER_hh_emi_in!K9/SER_hh_num_in!K9)</f>
        <v>39183.54794644544</v>
      </c>
      <c r="L9" s="133">
        <f>IF(SER_hh_emi_in!L9=0,0,1000000*SER_hh_emi_in!L9/SER_hh_num_in!L9)</f>
        <v>39774.005760507229</v>
      </c>
      <c r="M9" s="133">
        <f>IF(SER_hh_emi_in!M9=0,0,1000000*SER_hh_emi_in!M9/SER_hh_num_in!M9)</f>
        <v>35194.802508754823</v>
      </c>
      <c r="N9" s="133">
        <f>IF(SER_hh_emi_in!N9=0,0,1000000*SER_hh_emi_in!N9/SER_hh_num_in!N9)</f>
        <v>0</v>
      </c>
      <c r="O9" s="133">
        <f>IF(SER_hh_emi_in!O9=0,0,1000000*SER_hh_emi_in!O9/SER_hh_num_in!O9)</f>
        <v>0</v>
      </c>
      <c r="P9" s="133">
        <f>IF(SER_hh_emi_in!P9=0,0,1000000*SER_hh_emi_in!P9/SER_hh_num_in!P9)</f>
        <v>30938.058418891436</v>
      </c>
      <c r="Q9" s="133">
        <f>IF(SER_hh_emi_in!Q9=0,0,1000000*SER_hh_emi_in!Q9/SER_hh_num_in!Q9)</f>
        <v>26385.399891061137</v>
      </c>
      <c r="R9" s="133">
        <f>IF(SER_hh_emi_in!R9=0,0,1000000*SER_hh_emi_in!R9/SER_hh_num_in!R9)</f>
        <v>26124.910747966158</v>
      </c>
      <c r="S9" s="133">
        <f>IF(SER_hh_emi_in!S9=0,0,1000000*SER_hh_emi_in!S9/SER_hh_num_in!S9)</f>
        <v>25145.70192132764</v>
      </c>
      <c r="T9" s="133">
        <f>IF(SER_hh_emi_in!T9=0,0,1000000*SER_hh_emi_in!T9/SER_hh_num_in!T9)</f>
        <v>23049.930277685657</v>
      </c>
      <c r="U9" s="133">
        <f>IF(SER_hh_emi_in!U9=0,0,1000000*SER_hh_emi_in!U9/SER_hh_num_in!U9)</f>
        <v>21315.242996804995</v>
      </c>
      <c r="V9" s="133">
        <f>IF(SER_hh_emi_in!V9=0,0,1000000*SER_hh_emi_in!V9/SER_hh_num_in!V9)</f>
        <v>19046.817781460544</v>
      </c>
      <c r="W9" s="133">
        <f>IF(SER_hh_emi_in!W9=0,0,1000000*SER_hh_emi_in!W9/SER_hh_num_in!W9)</f>
        <v>17003.970413743886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1661.2749429431899</v>
      </c>
      <c r="D19" s="131">
        <f>IF(SER_hh_emi_in!D19=0,0,1000000*SER_hh_emi_in!D19/SER_hh_num_in!D19)</f>
        <v>2161.6111700008169</v>
      </c>
      <c r="E19" s="131">
        <f>IF(SER_hh_emi_in!E19=0,0,1000000*SER_hh_emi_in!E19/SER_hh_num_in!E19)</f>
        <v>1870.531585479185</v>
      </c>
      <c r="F19" s="131">
        <f>IF(SER_hh_emi_in!F19=0,0,1000000*SER_hh_emi_in!F19/SER_hh_num_in!F19)</f>
        <v>1636.091428610848</v>
      </c>
      <c r="G19" s="131">
        <f>IF(SER_hh_emi_in!G19=0,0,1000000*SER_hh_emi_in!G19/SER_hh_num_in!G19)</f>
        <v>1845.9947267827081</v>
      </c>
      <c r="H19" s="131">
        <f>IF(SER_hh_emi_in!H19=0,0,1000000*SER_hh_emi_in!H19/SER_hh_num_in!H19)</f>
        <v>1560.4859997539354</v>
      </c>
      <c r="I19" s="131">
        <f>IF(SER_hh_emi_in!I19=0,0,1000000*SER_hh_emi_in!I19/SER_hh_num_in!I19)</f>
        <v>1478.9785991222948</v>
      </c>
      <c r="J19" s="131">
        <f>IF(SER_hh_emi_in!J19=0,0,1000000*SER_hh_emi_in!J19/SER_hh_num_in!J19)</f>
        <v>2140.618997302553</v>
      </c>
      <c r="K19" s="131">
        <f>IF(SER_hh_emi_in!K19=0,0,1000000*SER_hh_emi_in!K19/SER_hh_num_in!K19)</f>
        <v>2357.7869242722886</v>
      </c>
      <c r="L19" s="131">
        <f>IF(SER_hh_emi_in!L19=0,0,1000000*SER_hh_emi_in!L19/SER_hh_num_in!L19)</f>
        <v>2333.1568532645588</v>
      </c>
      <c r="M19" s="131">
        <f>IF(SER_hh_emi_in!M19=0,0,1000000*SER_hh_emi_in!M19/SER_hh_num_in!M19)</f>
        <v>1601.6037302596076</v>
      </c>
      <c r="N19" s="131">
        <f>IF(SER_hh_emi_in!N19=0,0,1000000*SER_hh_emi_in!N19/SER_hh_num_in!N19)</f>
        <v>2100.6404983191392</v>
      </c>
      <c r="O19" s="131">
        <f>IF(SER_hh_emi_in!O19=0,0,1000000*SER_hh_emi_in!O19/SER_hh_num_in!O19)</f>
        <v>1620.6976309023955</v>
      </c>
      <c r="P19" s="131">
        <f>IF(SER_hh_emi_in!P19=0,0,1000000*SER_hh_emi_in!P19/SER_hh_num_in!P19)</f>
        <v>1657.8593029640228</v>
      </c>
      <c r="Q19" s="131">
        <f>IF(SER_hh_emi_in!Q19=0,0,1000000*SER_hh_emi_in!Q19/SER_hh_num_in!Q19)</f>
        <v>1315.9564069047963</v>
      </c>
      <c r="R19" s="131">
        <f>IF(SER_hh_emi_in!R19=0,0,1000000*SER_hh_emi_in!R19/SER_hh_num_in!R19)</f>
        <v>1305.30754196515</v>
      </c>
      <c r="S19" s="131">
        <f>IF(SER_hh_emi_in!S19=0,0,1000000*SER_hh_emi_in!S19/SER_hh_num_in!S19)</f>
        <v>1168.9822123531505</v>
      </c>
      <c r="T19" s="131">
        <f>IF(SER_hh_emi_in!T19=0,0,1000000*SER_hh_emi_in!T19/SER_hh_num_in!T19)</f>
        <v>1250.7430332634151</v>
      </c>
      <c r="U19" s="131">
        <f>IF(SER_hh_emi_in!U19=0,0,1000000*SER_hh_emi_in!U19/SER_hh_num_in!U19)</f>
        <v>1284.6146989015108</v>
      </c>
      <c r="V19" s="131">
        <f>IF(SER_hh_emi_in!V19=0,0,1000000*SER_hh_emi_in!V19/SER_hh_num_in!V19)</f>
        <v>1408.6117079648204</v>
      </c>
      <c r="W19" s="131">
        <f>IF(SER_hh_emi_in!W19=0,0,1000000*SER_hh_emi_in!W19/SER_hh_num_in!W19)</f>
        <v>1092.9631909337031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12014.266954114586</v>
      </c>
      <c r="D22" s="133">
        <f>IF(SER_hh_emi_in!D22=0,0,1000000*SER_hh_emi_in!D22/SER_hh_num_in!D22)</f>
        <v>11745.448864804521</v>
      </c>
      <c r="E22" s="133">
        <f>IF(SER_hh_emi_in!E22=0,0,1000000*SER_hh_emi_in!E22/SER_hh_num_in!E22)</f>
        <v>11580.789184472673</v>
      </c>
      <c r="F22" s="133">
        <f>IF(SER_hh_emi_in!F22=0,0,1000000*SER_hh_emi_in!F22/SER_hh_num_in!F22)</f>
        <v>11318.393527014878</v>
      </c>
      <c r="G22" s="133">
        <f>IF(SER_hh_emi_in!G22=0,0,1000000*SER_hh_emi_in!G22/SER_hh_num_in!G22)</f>
        <v>11205.527798673715</v>
      </c>
      <c r="H22" s="133">
        <f>IF(SER_hh_emi_in!H22=0,0,1000000*SER_hh_emi_in!H22/SER_hh_num_in!H22)</f>
        <v>11310.494189906683</v>
      </c>
      <c r="I22" s="133">
        <f>IF(SER_hh_emi_in!I22=0,0,1000000*SER_hh_emi_in!I22/SER_hh_num_in!I22)</f>
        <v>10815.005561777574</v>
      </c>
      <c r="J22" s="133">
        <f>IF(SER_hh_emi_in!J22=0,0,1000000*SER_hh_emi_in!J22/SER_hh_num_in!J22)</f>
        <v>10926.138963874486</v>
      </c>
      <c r="K22" s="133">
        <f>IF(SER_hh_emi_in!K22=0,0,1000000*SER_hh_emi_in!K22/SER_hh_num_in!K22)</f>
        <v>10662.998710521455</v>
      </c>
      <c r="L22" s="133">
        <f>IF(SER_hh_emi_in!L22=0,0,1000000*SER_hh_emi_in!L22/SER_hh_num_in!L22)</f>
        <v>10481.026428923653</v>
      </c>
      <c r="M22" s="133">
        <f>IF(SER_hh_emi_in!M22=0,0,1000000*SER_hh_emi_in!M22/SER_hh_num_in!M22)</f>
        <v>10361.829229803445</v>
      </c>
      <c r="N22" s="133">
        <f>IF(SER_hh_emi_in!N22=0,0,1000000*SER_hh_emi_in!N22/SER_hh_num_in!N22)</f>
        <v>10060.902633937012</v>
      </c>
      <c r="O22" s="133">
        <f>IF(SER_hh_emi_in!O22=0,0,1000000*SER_hh_emi_in!O22/SER_hh_num_in!O22)</f>
        <v>9587.6081383609617</v>
      </c>
      <c r="P22" s="133">
        <f>IF(SER_hh_emi_in!P22=0,0,1000000*SER_hh_emi_in!P22/SER_hh_num_in!P22)</f>
        <v>8946.8540424922594</v>
      </c>
      <c r="Q22" s="133">
        <f>IF(SER_hh_emi_in!Q22=0,0,1000000*SER_hh_emi_in!Q22/SER_hh_num_in!Q22)</f>
        <v>8541.0798228211479</v>
      </c>
      <c r="R22" s="133">
        <f>IF(SER_hh_emi_in!R22=0,0,1000000*SER_hh_emi_in!R22/SER_hh_num_in!R22)</f>
        <v>8203.5197114115508</v>
      </c>
      <c r="S22" s="133">
        <f>IF(SER_hh_emi_in!S22=0,0,1000000*SER_hh_emi_in!S22/SER_hh_num_in!S22)</f>
        <v>7938.9573799509944</v>
      </c>
      <c r="T22" s="133">
        <f>IF(SER_hh_emi_in!T22=0,0,1000000*SER_hh_emi_in!T22/SER_hh_num_in!T22)</f>
        <v>7602.3567885557704</v>
      </c>
      <c r="U22" s="133">
        <f>IF(SER_hh_emi_in!U22=0,0,1000000*SER_hh_emi_in!U22/SER_hh_num_in!U22)</f>
        <v>7109.3034124681462</v>
      </c>
      <c r="V22" s="133">
        <f>IF(SER_hh_emi_in!V22=0,0,1000000*SER_hh_emi_in!V22/SER_hh_num_in!V22)</f>
        <v>6367.4857069317432</v>
      </c>
      <c r="W22" s="133">
        <f>IF(SER_hh_emi_in!W22=0,0,1000000*SER_hh_emi_in!W22/SER_hh_num_in!W22)</f>
        <v>6647.0395914065857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7943.12945420699</v>
      </c>
      <c r="D23" s="133">
        <f>IF(SER_hh_emi_in!D23=0,0,1000000*SER_hh_emi_in!D23/SER_hh_num_in!D23)</f>
        <v>8133.4822826107711</v>
      </c>
      <c r="E23" s="133">
        <f>IF(SER_hh_emi_in!E23=0,0,1000000*SER_hh_emi_in!E23/SER_hh_num_in!E23)</f>
        <v>7645.207722356834</v>
      </c>
      <c r="F23" s="133">
        <f>IF(SER_hh_emi_in!F23=0,0,1000000*SER_hh_emi_in!F23/SER_hh_num_in!F23)</f>
        <v>7380.1829978134974</v>
      </c>
      <c r="G23" s="133">
        <f>IF(SER_hh_emi_in!G23=0,0,1000000*SER_hh_emi_in!G23/SER_hh_num_in!G23)</f>
        <v>7509.0311926701552</v>
      </c>
      <c r="H23" s="133">
        <f>IF(SER_hh_emi_in!H23=0,0,1000000*SER_hh_emi_in!H23/SER_hh_num_in!H23)</f>
        <v>7152.6001954085141</v>
      </c>
      <c r="I23" s="133">
        <f>IF(SER_hh_emi_in!I23=0,0,1000000*SER_hh_emi_in!I23/SER_hh_num_in!I23)</f>
        <v>6911.0264979037966</v>
      </c>
      <c r="J23" s="133">
        <f>IF(SER_hh_emi_in!J23=0,0,1000000*SER_hh_emi_in!J23/SER_hh_num_in!J23)</f>
        <v>7233.0678957531636</v>
      </c>
      <c r="K23" s="133">
        <f>IF(SER_hh_emi_in!K23=0,0,1000000*SER_hh_emi_in!K23/SER_hh_num_in!K23)</f>
        <v>7166.5255108712299</v>
      </c>
      <c r="L23" s="133">
        <f>IF(SER_hh_emi_in!L23=0,0,1000000*SER_hh_emi_in!L23/SER_hh_num_in!L23)</f>
        <v>6841.6607707790999</v>
      </c>
      <c r="M23" s="133">
        <f>IF(SER_hh_emi_in!M23=0,0,1000000*SER_hh_emi_in!M23/SER_hh_num_in!M23)</f>
        <v>6738.4006624921512</v>
      </c>
      <c r="N23" s="133">
        <f>IF(SER_hh_emi_in!N23=0,0,1000000*SER_hh_emi_in!N23/SER_hh_num_in!N23)</f>
        <v>6486.852330144151</v>
      </c>
      <c r="O23" s="133">
        <f>IF(SER_hh_emi_in!O23=0,0,1000000*SER_hh_emi_in!O23/SER_hh_num_in!O23)</f>
        <v>6218.4872481706698</v>
      </c>
      <c r="P23" s="133">
        <f>IF(SER_hh_emi_in!P23=0,0,1000000*SER_hh_emi_in!P23/SER_hh_num_in!P23)</f>
        <v>5860.8011882560095</v>
      </c>
      <c r="Q23" s="133">
        <f>IF(SER_hh_emi_in!Q23=0,0,1000000*SER_hh_emi_in!Q23/SER_hh_num_in!Q23)</f>
        <v>5675.6804400507372</v>
      </c>
      <c r="R23" s="133">
        <f>IF(SER_hh_emi_in!R23=0,0,1000000*SER_hh_emi_in!R23/SER_hh_num_in!R23)</f>
        <v>5575.8273855751595</v>
      </c>
      <c r="S23" s="133">
        <f>IF(SER_hh_emi_in!S23=0,0,1000000*SER_hh_emi_in!S23/SER_hh_num_in!S23)</f>
        <v>5500.0176352974086</v>
      </c>
      <c r="T23" s="133">
        <f>IF(SER_hh_emi_in!T23=0,0,1000000*SER_hh_emi_in!T23/SER_hh_num_in!T23)</f>
        <v>5157.7447183990434</v>
      </c>
      <c r="U23" s="133">
        <f>IF(SER_hh_emi_in!U23=0,0,1000000*SER_hh_emi_in!U23/SER_hh_num_in!U23)</f>
        <v>4960.8559888211603</v>
      </c>
      <c r="V23" s="133">
        <f>IF(SER_hh_emi_in!V23=0,0,1000000*SER_hh_emi_in!V23/SER_hh_num_in!V23)</f>
        <v>4735.3271545842499</v>
      </c>
      <c r="W23" s="133">
        <f>IF(SER_hh_emi_in!W23=0,0,1000000*SER_hh_emi_in!W23/SER_hh_num_in!W23)</f>
        <v>4737.4397896340315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7258.515423235438</v>
      </c>
      <c r="D29" s="131">
        <f>IF(SER_hh_emi_in!D29=0,0,1000000*SER_hh_emi_in!D29/SER_hh_num_in!D29)</f>
        <v>4303.5382320014405</v>
      </c>
      <c r="E29" s="131">
        <f>IF(SER_hh_emi_in!E29=0,0,1000000*SER_hh_emi_in!E29/SER_hh_num_in!E29)</f>
        <v>4350.2572337381171</v>
      </c>
      <c r="F29" s="131">
        <f>IF(SER_hh_emi_in!F29=0,0,1000000*SER_hh_emi_in!F29/SER_hh_num_in!F29)</f>
        <v>1964.0820021938143</v>
      </c>
      <c r="G29" s="131">
        <f>IF(SER_hh_emi_in!G29=0,0,1000000*SER_hh_emi_in!G29/SER_hh_num_in!G29)</f>
        <v>1772.3697588266118</v>
      </c>
      <c r="H29" s="131">
        <f>IF(SER_hh_emi_in!H29=0,0,1000000*SER_hh_emi_in!H29/SER_hh_num_in!H29)</f>
        <v>1484.8660205665444</v>
      </c>
      <c r="I29" s="131">
        <f>IF(SER_hh_emi_in!I29=0,0,1000000*SER_hh_emi_in!I29/SER_hh_num_in!I29)</f>
        <v>1746.8506090030771</v>
      </c>
      <c r="J29" s="131">
        <f>IF(SER_hh_emi_in!J29=0,0,1000000*SER_hh_emi_in!J29/SER_hh_num_in!J29)</f>
        <v>2083.5494050607485</v>
      </c>
      <c r="K29" s="131">
        <f>IF(SER_hh_emi_in!K29=0,0,1000000*SER_hh_emi_in!K29/SER_hh_num_in!K29)</f>
        <v>2283.4541482488166</v>
      </c>
      <c r="L29" s="131">
        <f>IF(SER_hh_emi_in!L29=0,0,1000000*SER_hh_emi_in!L29/SER_hh_num_in!L29)</f>
        <v>1535.1724629329372</v>
      </c>
      <c r="M29" s="131">
        <f>IF(SER_hh_emi_in!M29=0,0,1000000*SER_hh_emi_in!M29/SER_hh_num_in!M29)</f>
        <v>364.44052264574759</v>
      </c>
      <c r="N29" s="131">
        <f>IF(SER_hh_emi_in!N29=0,0,1000000*SER_hh_emi_in!N29/SER_hh_num_in!N29)</f>
        <v>1287.8463553560516</v>
      </c>
      <c r="O29" s="131">
        <f>IF(SER_hh_emi_in!O29=0,0,1000000*SER_hh_emi_in!O29/SER_hh_num_in!O29)</f>
        <v>1780.1583547495045</v>
      </c>
      <c r="P29" s="131">
        <f>IF(SER_hh_emi_in!P29=0,0,1000000*SER_hh_emi_in!P29/SER_hh_num_in!P29)</f>
        <v>2947.6866445696019</v>
      </c>
      <c r="Q29" s="131">
        <f>IF(SER_hh_emi_in!Q29=0,0,1000000*SER_hh_emi_in!Q29/SER_hh_num_in!Q29)</f>
        <v>2927.952479514373</v>
      </c>
      <c r="R29" s="131">
        <f>IF(SER_hh_emi_in!R29=0,0,1000000*SER_hh_emi_in!R29/SER_hh_num_in!R29)</f>
        <v>4598.5702375511755</v>
      </c>
      <c r="S29" s="131">
        <f>IF(SER_hh_emi_in!S29=0,0,1000000*SER_hh_emi_in!S29/SER_hh_num_in!S29)</f>
        <v>4447.0246633254728</v>
      </c>
      <c r="T29" s="131">
        <f>IF(SER_hh_emi_in!T29=0,0,1000000*SER_hh_emi_in!T29/SER_hh_num_in!T29)</f>
        <v>3143.9994797662703</v>
      </c>
      <c r="U29" s="131">
        <f>IF(SER_hh_emi_in!U29=0,0,1000000*SER_hh_emi_in!U29/SER_hh_num_in!U29)</f>
        <v>2783.0120633270481</v>
      </c>
      <c r="V29" s="131">
        <f>IF(SER_hh_emi_in!V29=0,0,1000000*SER_hh_emi_in!V29/SER_hh_num_in!V29)</f>
        <v>2917.7619838719306</v>
      </c>
      <c r="W29" s="131">
        <f>IF(SER_hh_emi_in!W29=0,0,1000000*SER_hh_emi_in!W29/SER_hh_num_in!W29)</f>
        <v>1632.3045212189895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17249.352749135727</v>
      </c>
      <c r="D30" s="133">
        <f>IF(SER_hh_emi_in!D30=0,0,1000000*SER_hh_emi_in!D30/SER_hh_num_in!D30)</f>
        <v>5363.8755974120877</v>
      </c>
      <c r="E30" s="133">
        <f>IF(SER_hh_emi_in!E30=0,0,1000000*SER_hh_emi_in!E30/SER_hh_num_in!E30)</f>
        <v>13811.941296019388</v>
      </c>
      <c r="F30" s="133">
        <f>IF(SER_hh_emi_in!F30=0,0,1000000*SER_hh_emi_in!F30/SER_hh_num_in!F30)</f>
        <v>9925.4179501718791</v>
      </c>
      <c r="G30" s="133">
        <f>IF(SER_hh_emi_in!G30=0,0,1000000*SER_hh_emi_in!G30/SER_hh_num_in!G30)</f>
        <v>9538.3176329684957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9901.7835337151373</v>
      </c>
      <c r="O30" s="133">
        <f>IF(SER_hh_emi_in!O30=0,0,1000000*SER_hh_emi_in!O30/SER_hh_num_in!O30)</f>
        <v>8506.6541649609608</v>
      </c>
      <c r="P30" s="133">
        <f>IF(SER_hh_emi_in!P30=0,0,1000000*SER_hh_emi_in!P30/SER_hh_num_in!P30)</f>
        <v>9570.3831474017134</v>
      </c>
      <c r="Q30" s="133">
        <f>IF(SER_hh_emi_in!Q30=0,0,1000000*SER_hh_emi_in!Q30/SER_hh_num_in!Q30)</f>
        <v>7336.7870781394313</v>
      </c>
      <c r="R30" s="133">
        <f>IF(SER_hh_emi_in!R30=0,0,1000000*SER_hh_emi_in!R30/SER_hh_num_in!R30)</f>
        <v>9063.1532249103329</v>
      </c>
      <c r="S30" s="133">
        <f>IF(SER_hh_emi_in!S30=0,0,1000000*SER_hh_emi_in!S30/SER_hh_num_in!S30)</f>
        <v>10944.855698725625</v>
      </c>
      <c r="T30" s="133">
        <f>IF(SER_hh_emi_in!T30=0,0,1000000*SER_hh_emi_in!T30/SER_hh_num_in!T30)</f>
        <v>9204.4400494896581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8767.4649613379988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10350.094410207001</v>
      </c>
      <c r="D31" s="133">
        <f>IF(SER_hh_emi_in!D31=0,0,1000000*SER_hh_emi_in!D31/SER_hh_num_in!D31)</f>
        <v>10404.548103980354</v>
      </c>
      <c r="E31" s="133">
        <f>IF(SER_hh_emi_in!E31=0,0,1000000*SER_hh_emi_in!E31/SER_hh_num_in!E31)</f>
        <v>8918.0916412227361</v>
      </c>
      <c r="F31" s="133">
        <f>IF(SER_hh_emi_in!F31=0,0,1000000*SER_hh_emi_in!F31/SER_hh_num_in!F31)</f>
        <v>9040.2544560756032</v>
      </c>
      <c r="G31" s="133">
        <f>IF(SER_hh_emi_in!G31=0,0,1000000*SER_hh_emi_in!G31/SER_hh_num_in!G31)</f>
        <v>8919.0659293896351</v>
      </c>
      <c r="H31" s="133">
        <f>IF(SER_hh_emi_in!H31=0,0,1000000*SER_hh_emi_in!H31/SER_hh_num_in!H31)</f>
        <v>8561.3845394367363</v>
      </c>
      <c r="I31" s="133">
        <f>IF(SER_hh_emi_in!I31=0,0,1000000*SER_hh_emi_in!I31/SER_hh_num_in!I31)</f>
        <v>8485.9885406068879</v>
      </c>
      <c r="J31" s="133">
        <f>IF(SER_hh_emi_in!J31=0,0,1000000*SER_hh_emi_in!J31/SER_hh_num_in!J31)</f>
        <v>8700.4216225822038</v>
      </c>
      <c r="K31" s="133">
        <f>IF(SER_hh_emi_in!K31=0,0,1000000*SER_hh_emi_in!K31/SER_hh_num_in!K31)</f>
        <v>8856.8248072362112</v>
      </c>
      <c r="L31" s="133">
        <f>IF(SER_hh_emi_in!L31=0,0,1000000*SER_hh_emi_in!L31/SER_hh_num_in!L31)</f>
        <v>8690.41462916618</v>
      </c>
      <c r="M31" s="133">
        <f>IF(SER_hh_emi_in!M31=0,0,1000000*SER_hh_emi_in!M31/SER_hh_num_in!M31)</f>
        <v>8824.7565001151634</v>
      </c>
      <c r="N31" s="133">
        <f>IF(SER_hh_emi_in!N31=0,0,1000000*SER_hh_emi_in!N31/SER_hh_num_in!N31)</f>
        <v>0</v>
      </c>
      <c r="O31" s="133">
        <f>IF(SER_hh_emi_in!O31=0,0,1000000*SER_hh_emi_in!O31/SER_hh_num_in!O31)</f>
        <v>7699.1624844330681</v>
      </c>
      <c r="P31" s="133">
        <f>IF(SER_hh_emi_in!P31=0,0,1000000*SER_hh_emi_in!P31/SER_hh_num_in!P31)</f>
        <v>8054.6455087052827</v>
      </c>
      <c r="Q31" s="133">
        <f>IF(SER_hh_emi_in!Q31=0,0,1000000*SER_hh_emi_in!Q31/SER_hh_num_in!Q31)</f>
        <v>7499.5043120555274</v>
      </c>
      <c r="R31" s="133">
        <f>IF(SER_hh_emi_in!R31=0,0,1000000*SER_hh_emi_in!R31/SER_hh_num_in!R31)</f>
        <v>7943.7232282403502</v>
      </c>
      <c r="S31" s="133">
        <f>IF(SER_hh_emi_in!S31=0,0,1000000*SER_hh_emi_in!S31/SER_hh_num_in!S31)</f>
        <v>7853.198610504357</v>
      </c>
      <c r="T31" s="133">
        <f>IF(SER_hh_emi_in!T31=0,0,1000000*SER_hh_emi_in!T31/SER_hh_num_in!T31)</f>
        <v>7618.1966798536478</v>
      </c>
      <c r="U31" s="133">
        <f>IF(SER_hh_emi_in!U31=0,0,1000000*SER_hh_emi_in!U31/SER_hh_num_in!U31)</f>
        <v>7482.1876629504495</v>
      </c>
      <c r="V31" s="133">
        <f>IF(SER_hh_emi_in!V31=0,0,1000000*SER_hh_emi_in!V31/SER_hh_num_in!V31)</f>
        <v>7177.9518227462477</v>
      </c>
      <c r="W31" s="133">
        <f>IF(SER_hh_emi_in!W31=0,0,1000000*SER_hh_emi_in!W31/SER_hh_num_in!W31)</f>
        <v>7061.180223358404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399.31589692525802</v>
      </c>
      <c r="D3" s="126">
        <f>IF(SER_hh_fech_in!D3=0,0,SER_hh_fech_in!D3/SER_summary!D$27)</f>
        <v>422.48743268196893</v>
      </c>
      <c r="E3" s="126">
        <f>IF(SER_hh_fech_in!E3=0,0,SER_hh_fech_in!E3/SER_summary!E$27)</f>
        <v>412.54628510404257</v>
      </c>
      <c r="F3" s="126">
        <f>IF(SER_hh_fech_in!F3=0,0,SER_hh_fech_in!F3/SER_summary!F$27)</f>
        <v>408.85784702517708</v>
      </c>
      <c r="G3" s="126">
        <f>IF(SER_hh_fech_in!G3=0,0,SER_hh_fech_in!G3/SER_summary!G$27)</f>
        <v>379.63704614068956</v>
      </c>
      <c r="H3" s="126">
        <f>IF(SER_hh_fech_in!H3=0,0,SER_hh_fech_in!H3/SER_summary!H$27)</f>
        <v>366.43168735402361</v>
      </c>
      <c r="I3" s="126">
        <f>IF(SER_hh_fech_in!I3=0,0,SER_hh_fech_in!I3/SER_summary!I$27)</f>
        <v>353.87758046753544</v>
      </c>
      <c r="J3" s="126">
        <f>IF(SER_hh_fech_in!J3=0,0,SER_hh_fech_in!J3/SER_summary!J$27)</f>
        <v>296.64001051954079</v>
      </c>
      <c r="K3" s="126">
        <f>IF(SER_hh_fech_in!K3=0,0,SER_hh_fech_in!K3/SER_summary!K$27)</f>
        <v>280.36688666316672</v>
      </c>
      <c r="L3" s="126">
        <f>IF(SER_hh_fech_in!L3=0,0,SER_hh_fech_in!L3/SER_summary!L$27)</f>
        <v>294.27190297722325</v>
      </c>
      <c r="M3" s="126">
        <f>IF(SER_hh_fech_in!M3=0,0,SER_hh_fech_in!M3/SER_summary!M$27)</f>
        <v>245.55578406853334</v>
      </c>
      <c r="N3" s="126">
        <f>IF(SER_hh_fech_in!N3=0,0,SER_hh_fech_in!N3/SER_summary!N$27)</f>
        <v>303.05291331531845</v>
      </c>
      <c r="O3" s="126">
        <f>IF(SER_hh_fech_in!O3=0,0,SER_hh_fech_in!O3/SER_summary!O$27)</f>
        <v>269.61256176155666</v>
      </c>
      <c r="P3" s="126">
        <f>IF(SER_hh_fech_in!P3=0,0,SER_hh_fech_in!P3/SER_summary!P$27)</f>
        <v>248.00119295556615</v>
      </c>
      <c r="Q3" s="126">
        <f>IF(SER_hh_fech_in!Q3=0,0,SER_hh_fech_in!Q3/SER_summary!Q$27)</f>
        <v>219.35475730821508</v>
      </c>
      <c r="R3" s="126">
        <f>IF(SER_hh_fech_in!R3=0,0,SER_hh_fech_in!R3/SER_summary!R$27)</f>
        <v>217.82807448909537</v>
      </c>
      <c r="S3" s="126">
        <f>IF(SER_hh_fech_in!S3=0,0,SER_hh_fech_in!S3/SER_summary!S$27)</f>
        <v>212.50830669588447</v>
      </c>
      <c r="T3" s="126">
        <f>IF(SER_hh_fech_in!T3=0,0,SER_hh_fech_in!T3/SER_summary!T$27)</f>
        <v>193.51213051951811</v>
      </c>
      <c r="U3" s="126">
        <f>IF(SER_hh_fech_in!U3=0,0,SER_hh_fech_in!U3/SER_summary!U$27)</f>
        <v>175.20492972459522</v>
      </c>
      <c r="V3" s="126">
        <f>IF(SER_hh_fech_in!V3=0,0,SER_hh_fech_in!V3/SER_summary!V$27)</f>
        <v>159.68798695952245</v>
      </c>
      <c r="W3" s="126">
        <f>IF(SER_hh_fech_in!W3=0,0,SER_hh_fech_in!W3/SER_summary!W$27)</f>
        <v>158.85287882796447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303.08925917075732</v>
      </c>
      <c r="D4" s="131">
        <f>IF(SER_hh_fech_in!D4=0,0,SER_hh_fech_in!D4/SER_summary!D$27)</f>
        <v>337.45678706915021</v>
      </c>
      <c r="E4" s="131">
        <f>IF(SER_hh_fech_in!E4=0,0,SER_hh_fech_in!E4/SER_summary!E$27)</f>
        <v>327.76508050404641</v>
      </c>
      <c r="F4" s="131">
        <f>IF(SER_hh_fech_in!F4=0,0,SER_hh_fech_in!F4/SER_summary!F$27)</f>
        <v>328.814930663962</v>
      </c>
      <c r="G4" s="131">
        <f>IF(SER_hh_fech_in!G4=0,0,SER_hh_fech_in!G4/SER_summary!G$27)</f>
        <v>299.3072946197928</v>
      </c>
      <c r="H4" s="131">
        <f>IF(SER_hh_fech_in!H4=0,0,SER_hh_fech_in!H4/SER_summary!H$27)</f>
        <v>288.57601643928314</v>
      </c>
      <c r="I4" s="131">
        <f>IF(SER_hh_fech_in!I4=0,0,SER_hh_fech_in!I4/SER_summary!I$27)</f>
        <v>277.83896448799737</v>
      </c>
      <c r="J4" s="131">
        <f>IF(SER_hh_fech_in!J4=0,0,SER_hh_fech_in!J4/SER_summary!J$27)</f>
        <v>219.08707091718122</v>
      </c>
      <c r="K4" s="131">
        <f>IF(SER_hh_fech_in!K4=0,0,SER_hh_fech_in!K4/SER_summary!K$27)</f>
        <v>199.34744520669892</v>
      </c>
      <c r="L4" s="131">
        <f>IF(SER_hh_fech_in!L4=0,0,SER_hh_fech_in!L4/SER_summary!L$27)</f>
        <v>215.15404862159502</v>
      </c>
      <c r="M4" s="131">
        <f>IF(SER_hh_fech_in!M4=0,0,SER_hh_fech_in!M4/SER_summary!M$27)</f>
        <v>170.97060809220122</v>
      </c>
      <c r="N4" s="131">
        <f>IF(SER_hh_fech_in!N4=0,0,SER_hh_fech_in!N4/SER_summary!N$27)</f>
        <v>226.47965762310915</v>
      </c>
      <c r="O4" s="131">
        <f>IF(SER_hh_fech_in!O4=0,0,SER_hh_fech_in!O4/SER_summary!O$27)</f>
        <v>193.83419259937489</v>
      </c>
      <c r="P4" s="131">
        <f>IF(SER_hh_fech_in!P4=0,0,SER_hh_fech_in!P4/SER_summary!P$27)</f>
        <v>172.82284671033946</v>
      </c>
      <c r="Q4" s="131">
        <f>IF(SER_hh_fech_in!Q4=0,0,SER_hh_fech_in!Q4/SER_summary!Q$27)</f>
        <v>147.37534905177236</v>
      </c>
      <c r="R4" s="131">
        <f>IF(SER_hh_fech_in!R4=0,0,SER_hh_fech_in!R4/SER_summary!R$27)</f>
        <v>143.84448097864507</v>
      </c>
      <c r="S4" s="131">
        <f>IF(SER_hh_fech_in!S4=0,0,SER_hh_fech_in!S4/SER_summary!S$27)</f>
        <v>139.80565109947227</v>
      </c>
      <c r="T4" s="131">
        <f>IF(SER_hh_fech_in!T4=0,0,SER_hh_fech_in!T4/SER_summary!T$27)</f>
        <v>124.64973385900471</v>
      </c>
      <c r="U4" s="131">
        <f>IF(SER_hh_fech_in!U4=0,0,SER_hh_fech_in!U4/SER_summary!U$27)</f>
        <v>109.06258145875304</v>
      </c>
      <c r="V4" s="131">
        <f>IF(SER_hh_fech_in!V4=0,0,SER_hh_fech_in!V4/SER_summary!V$27)</f>
        <v>98.664672046604309</v>
      </c>
      <c r="W4" s="131">
        <f>IF(SER_hh_fech_in!W4=0,0,SER_hh_fech_in!W4/SER_summary!W$27)</f>
        <v>97.797516196291483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347.38176752968587</v>
      </c>
      <c r="D5" s="133">
        <f>IF(SER_hh_fech_in!D5=0,0,SER_hh_fech_in!D5/SER_summary!D$27)</f>
        <v>343.66311014812328</v>
      </c>
      <c r="E5" s="133">
        <f>IF(SER_hh_fech_in!E5=0,0,SER_hh_fech_in!E5/SER_summary!E$27)</f>
        <v>336.80704278718696</v>
      </c>
      <c r="F5" s="133">
        <f>IF(SER_hh_fech_in!F5=0,0,SER_hh_fech_in!F5/SER_summary!F$27)</f>
        <v>339.52518177587217</v>
      </c>
      <c r="G5" s="133">
        <f>IF(SER_hh_fech_in!G5=0,0,SER_hh_fech_in!G5/SER_summary!G$27)</f>
        <v>288.63236460463787</v>
      </c>
      <c r="H5" s="133">
        <f>IF(SER_hh_fech_in!H5=0,0,SER_hh_fech_in!H5/SER_summary!H$27)</f>
        <v>300.0258493948856</v>
      </c>
      <c r="I5" s="133">
        <f>IF(SER_hh_fech_in!I5=0,0,SER_hh_fech_in!I5/SER_summary!I$27)</f>
        <v>298.3479177436119</v>
      </c>
      <c r="J5" s="133">
        <f>IF(SER_hh_fech_in!J5=0,0,SER_hh_fech_in!J5/SER_summary!J$27)</f>
        <v>250.821218878791</v>
      </c>
      <c r="K5" s="133">
        <f>IF(SER_hh_fech_in!K5=0,0,SER_hh_fech_in!K5/SER_summary!K$27)</f>
        <v>184.05108834400235</v>
      </c>
      <c r="L5" s="133">
        <f>IF(SER_hh_fech_in!L5=0,0,SER_hh_fech_in!L5/SER_summary!L$27)</f>
        <v>246.3730594214496</v>
      </c>
      <c r="M5" s="133">
        <f>IF(SER_hh_fech_in!M5=0,0,SER_hh_fech_in!M5/SER_summary!M$27)</f>
        <v>228.26683621598994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405.24106946292039</v>
      </c>
      <c r="D7" s="133">
        <f>IF(SER_hh_fech_in!D7=0,0,SER_hh_fech_in!D7/SER_summary!D$27)</f>
        <v>383.73633853620453</v>
      </c>
      <c r="E7" s="133">
        <f>IF(SER_hh_fech_in!E7=0,0,SER_hh_fech_in!E7/SER_summary!E$27)</f>
        <v>404.68973314690845</v>
      </c>
      <c r="F7" s="133">
        <f>IF(SER_hh_fech_in!F7=0,0,SER_hh_fech_in!F7/SER_summary!F$27)</f>
        <v>401.65558176760339</v>
      </c>
      <c r="G7" s="133">
        <f>IF(SER_hh_fech_in!G7=0,0,SER_hh_fech_in!G7/SER_summary!G$27)</f>
        <v>313.68883711119116</v>
      </c>
      <c r="H7" s="133">
        <f>IF(SER_hh_fech_in!H7=0,0,SER_hh_fech_in!H7/SER_summary!H$27)</f>
        <v>397.26264836979101</v>
      </c>
      <c r="I7" s="133">
        <f>IF(SER_hh_fech_in!I7=0,0,SER_hh_fech_in!I7/SER_summary!I$27)</f>
        <v>320.89620184347706</v>
      </c>
      <c r="J7" s="133">
        <f>IF(SER_hh_fech_in!J7=0,0,SER_hh_fech_in!J7/SER_summary!J$27)</f>
        <v>265.40931782897206</v>
      </c>
      <c r="K7" s="133">
        <f>IF(SER_hh_fech_in!K7=0,0,SER_hh_fech_in!K7/SER_summary!K$27)</f>
        <v>246.07240525780404</v>
      </c>
      <c r="L7" s="133">
        <f>IF(SER_hh_fech_in!L7=0,0,SER_hh_fech_in!L7/SER_summary!L$27)</f>
        <v>237.59274613450305</v>
      </c>
      <c r="M7" s="133">
        <f>IF(SER_hh_fech_in!M7=0,0,SER_hh_fech_in!M7/SER_summary!M$27)</f>
        <v>189.20497922770397</v>
      </c>
      <c r="N7" s="133">
        <f>IF(SER_hh_fech_in!N7=0,0,SER_hh_fech_in!N7/SER_summary!N$27)</f>
        <v>230.59553062897979</v>
      </c>
      <c r="O7" s="133">
        <f>IF(SER_hh_fech_in!O7=0,0,SER_hh_fech_in!O7/SER_summary!O$27)</f>
        <v>203.83578294950439</v>
      </c>
      <c r="P7" s="133">
        <f>IF(SER_hh_fech_in!P7=0,0,SER_hh_fech_in!P7/SER_summary!P$27)</f>
        <v>192.31163942918812</v>
      </c>
      <c r="Q7" s="133">
        <f>IF(SER_hh_fech_in!Q7=0,0,SER_hh_fech_in!Q7/SER_summary!Q$27)</f>
        <v>187.2269542061444</v>
      </c>
      <c r="R7" s="133">
        <f>IF(SER_hh_fech_in!R7=0,0,SER_hh_fech_in!R7/SER_summary!R$27)</f>
        <v>0</v>
      </c>
      <c r="S7" s="133">
        <f>IF(SER_hh_fech_in!S7=0,0,SER_hh_fech_in!S7/SER_summary!S$27)</f>
        <v>0</v>
      </c>
      <c r="T7" s="133">
        <f>IF(SER_hh_fech_in!T7=0,0,SER_hh_fech_in!T7/SER_summary!T$27)</f>
        <v>141.15161330962354</v>
      </c>
      <c r="U7" s="133">
        <f>IF(SER_hh_fech_in!U7=0,0,SER_hh_fech_in!U7/SER_summary!U$27)</f>
        <v>99.546269894420959</v>
      </c>
      <c r="V7" s="133">
        <f>IF(SER_hh_fech_in!V7=0,0,SER_hh_fech_in!V7/SER_summary!V$27)</f>
        <v>101.41579990287056</v>
      </c>
      <c r="W7" s="133">
        <f>IF(SER_hh_fech_in!W7=0,0,SER_hh_fech_in!W7/SER_summary!W$27)</f>
        <v>111.84248974967817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298.26756645456294</v>
      </c>
      <c r="D9" s="133">
        <f>IF(SER_hh_fech_in!D9=0,0,SER_hh_fech_in!D9/SER_summary!D$27)</f>
        <v>361.71860109717886</v>
      </c>
      <c r="E9" s="133">
        <f>IF(SER_hh_fech_in!E9=0,0,SER_hh_fech_in!E9/SER_summary!E$27)</f>
        <v>336.70497129884671</v>
      </c>
      <c r="F9" s="133">
        <f>IF(SER_hh_fech_in!F9=0,0,SER_hh_fech_in!F9/SER_summary!F$27)</f>
        <v>348.08436682556925</v>
      </c>
      <c r="G9" s="133">
        <f>IF(SER_hh_fech_in!G9=0,0,SER_hh_fech_in!G9/SER_summary!G$27)</f>
        <v>311.29252800802345</v>
      </c>
      <c r="H9" s="133">
        <f>IF(SER_hh_fech_in!H9=0,0,SER_hh_fech_in!H9/SER_summary!H$27)</f>
        <v>299.82873289481375</v>
      </c>
      <c r="I9" s="133">
        <f>IF(SER_hh_fech_in!I9=0,0,SER_hh_fech_in!I9/SER_summary!I$27)</f>
        <v>297.4220607417173</v>
      </c>
      <c r="J9" s="133">
        <f>IF(SER_hh_fech_in!J9=0,0,SER_hh_fech_in!J9/SER_summary!J$27)</f>
        <v>255.62772396445533</v>
      </c>
      <c r="K9" s="133">
        <f>IF(SER_hh_fech_in!K9=0,0,SER_hh_fech_in!K9/SER_summary!K$27)</f>
        <v>220.09395399111821</v>
      </c>
      <c r="L9" s="133">
        <f>IF(SER_hh_fech_in!L9=0,0,SER_hh_fech_in!L9/SER_summary!L$27)</f>
        <v>224.20422582133025</v>
      </c>
      <c r="M9" s="133">
        <f>IF(SER_hh_fech_in!M9=0,0,SER_hh_fech_in!M9/SER_summary!M$27)</f>
        <v>198.67886054392696</v>
      </c>
      <c r="N9" s="133">
        <f>IF(SER_hh_fech_in!N9=0,0,SER_hh_fech_in!N9/SER_summary!N$27)</f>
        <v>0</v>
      </c>
      <c r="O9" s="133">
        <f>IF(SER_hh_fech_in!O9=0,0,SER_hh_fech_in!O9/SER_summary!O$27)</f>
        <v>0</v>
      </c>
      <c r="P9" s="133">
        <f>IF(SER_hh_fech_in!P9=0,0,SER_hh_fech_in!P9/SER_summary!P$27)</f>
        <v>176.53510726445401</v>
      </c>
      <c r="Q9" s="133">
        <f>IF(SER_hh_fech_in!Q9=0,0,SER_hh_fech_in!Q9/SER_summary!Q$27)</f>
        <v>150.55145363571728</v>
      </c>
      <c r="R9" s="133">
        <f>IF(SER_hh_fech_in!R9=0,0,SER_hh_fech_in!R9/SER_summary!R$27)</f>
        <v>148.03232438734793</v>
      </c>
      <c r="S9" s="133">
        <f>IF(SER_hh_fech_in!S9=0,0,SER_hh_fech_in!S9/SER_summary!S$27)</f>
        <v>142.2699941252238</v>
      </c>
      <c r="T9" s="133">
        <f>IF(SER_hh_fech_in!T9=0,0,SER_hh_fech_in!T9/SER_summary!T$27)</f>
        <v>130.69302176583855</v>
      </c>
      <c r="U9" s="133">
        <f>IF(SER_hh_fech_in!U9=0,0,SER_hh_fech_in!U9/SER_summary!U$27)</f>
        <v>120.51717302707264</v>
      </c>
      <c r="V9" s="133">
        <f>IF(SER_hh_fech_in!V9=0,0,SER_hh_fech_in!V9/SER_summary!V$27)</f>
        <v>107.62857158140795</v>
      </c>
      <c r="W9" s="133">
        <f>IF(SER_hh_fech_in!W9=0,0,SER_hh_fech_in!W9/SER_summary!W$27)</f>
        <v>96.039786077830129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394.86947239064955</v>
      </c>
      <c r="D10" s="133">
        <f>IF(SER_hh_fech_in!D10=0,0,SER_hh_fech_in!D10/SER_summary!D$27)</f>
        <v>378.72002305818341</v>
      </c>
      <c r="E10" s="133">
        <f>IF(SER_hh_fech_in!E10=0,0,SER_hh_fech_in!E10/SER_summary!E$27)</f>
        <v>366.73012472824718</v>
      </c>
      <c r="F10" s="133">
        <f>IF(SER_hh_fech_in!F10=0,0,SER_hh_fech_in!F10/SER_summary!F$27)</f>
        <v>393.46722573162617</v>
      </c>
      <c r="G10" s="133">
        <f>IF(SER_hh_fech_in!G10=0,0,SER_hh_fech_in!G10/SER_summary!G$27)</f>
        <v>356.08019003204737</v>
      </c>
      <c r="H10" s="133">
        <f>IF(SER_hh_fech_in!H10=0,0,SER_hh_fech_in!H10/SER_summary!H$27)</f>
        <v>359.5003556349518</v>
      </c>
      <c r="I10" s="133">
        <f>IF(SER_hh_fech_in!I10=0,0,SER_hh_fech_in!I10/SER_summary!I$27)</f>
        <v>414.24451809160541</v>
      </c>
      <c r="J10" s="133">
        <f>IF(SER_hh_fech_in!J10=0,0,SER_hh_fech_in!J10/SER_summary!J$27)</f>
        <v>0</v>
      </c>
      <c r="K10" s="133">
        <f>IF(SER_hh_fech_in!K10=0,0,SER_hh_fech_in!K10/SER_summary!K$27)</f>
        <v>253.22198208559999</v>
      </c>
      <c r="L10" s="133">
        <f>IF(SER_hh_fech_in!L10=0,0,SER_hh_fech_in!L10/SER_summary!L$27)</f>
        <v>266.37374425672397</v>
      </c>
      <c r="M10" s="133">
        <f>IF(SER_hh_fech_in!M10=0,0,SER_hh_fech_in!M10/SER_summary!M$27)</f>
        <v>211.16173625831107</v>
      </c>
      <c r="N10" s="133">
        <f>IF(SER_hh_fech_in!N10=0,0,SER_hh_fech_in!N10/SER_summary!N$27)</f>
        <v>276.67455875311731</v>
      </c>
      <c r="O10" s="133">
        <f>IF(SER_hh_fech_in!O10=0,0,SER_hh_fech_in!O10/SER_summary!O$27)</f>
        <v>260.70235100688376</v>
      </c>
      <c r="P10" s="133">
        <f>IF(SER_hh_fech_in!P10=0,0,SER_hh_fech_in!P10/SER_summary!P$27)</f>
        <v>226.44664980953962</v>
      </c>
      <c r="Q10" s="133">
        <f>IF(SER_hh_fech_in!Q10=0,0,SER_hh_fech_in!Q10/SER_summary!Q$27)</f>
        <v>209.17607571554322</v>
      </c>
      <c r="R10" s="133">
        <f>IF(SER_hh_fech_in!R10=0,0,SER_hh_fech_in!R10/SER_summary!R$27)</f>
        <v>200.90640190668</v>
      </c>
      <c r="S10" s="133">
        <f>IF(SER_hh_fech_in!S10=0,0,SER_hh_fech_in!S10/SER_summary!S$27)</f>
        <v>211.11712606401457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269.03825304893428</v>
      </c>
      <c r="D12" s="133">
        <f>IF(SER_hh_fech_in!D12=0,0,SER_hh_fech_in!D12/SER_summary!D$27)</f>
        <v>260.07421877481255</v>
      </c>
      <c r="E12" s="133">
        <f>IF(SER_hh_fech_in!E12=0,0,SER_hh_fech_in!E12/SER_summary!E$27)</f>
        <v>267.07131031262793</v>
      </c>
      <c r="F12" s="133">
        <f>IF(SER_hh_fech_in!F12=0,0,SER_hh_fech_in!F12/SER_summary!F$27)</f>
        <v>248.20541571074909</v>
      </c>
      <c r="G12" s="133">
        <f>IF(SER_hh_fech_in!G12=0,0,SER_hh_fech_in!G12/SER_summary!G$27)</f>
        <v>248.43100245112888</v>
      </c>
      <c r="H12" s="133">
        <f>IF(SER_hh_fech_in!H12=0,0,SER_hh_fech_in!H12/SER_summary!H$27)</f>
        <v>239.56491330543136</v>
      </c>
      <c r="I12" s="133">
        <f>IF(SER_hh_fech_in!I12=0,0,SER_hh_fech_in!I12/SER_summary!I$27)</f>
        <v>213.89567159323661</v>
      </c>
      <c r="J12" s="133">
        <f>IF(SER_hh_fech_in!J12=0,0,SER_hh_fech_in!J12/SER_summary!J$27)</f>
        <v>188.89291591045404</v>
      </c>
      <c r="K12" s="133">
        <f>IF(SER_hh_fech_in!K12=0,0,SER_hh_fech_in!K12/SER_summary!K$27)</f>
        <v>176.42438590204031</v>
      </c>
      <c r="L12" s="133">
        <f>IF(SER_hh_fech_in!L12=0,0,SER_hh_fech_in!L12/SER_summary!L$27)</f>
        <v>182.00265843234641</v>
      </c>
      <c r="M12" s="133">
        <f>IF(SER_hh_fech_in!M12=0,0,SER_hh_fech_in!M12/SER_summary!M$27)</f>
        <v>148.04549949341191</v>
      </c>
      <c r="N12" s="133">
        <f>IF(SER_hh_fech_in!N12=0,0,SER_hh_fech_in!N12/SER_summary!N$27)</f>
        <v>175.10852169724487</v>
      </c>
      <c r="O12" s="133">
        <f>IF(SER_hh_fech_in!O12=0,0,SER_hh_fech_in!O12/SER_summary!O$27)</f>
        <v>161.16423938859137</v>
      </c>
      <c r="P12" s="133">
        <f>IF(SER_hh_fech_in!P12=0,0,SER_hh_fech_in!P12/SER_summary!P$27)</f>
        <v>143.61327715813826</v>
      </c>
      <c r="Q12" s="133">
        <f>IF(SER_hh_fech_in!Q12=0,0,SER_hh_fech_in!Q12/SER_summary!Q$27)</f>
        <v>127.96482930064727</v>
      </c>
      <c r="R12" s="133">
        <f>IF(SER_hh_fech_in!R12=0,0,SER_hh_fech_in!R12/SER_summary!R$27)</f>
        <v>135.80632449541059</v>
      </c>
      <c r="S12" s="133">
        <f>IF(SER_hh_fech_in!S12=0,0,SER_hh_fech_in!S12/SER_summary!S$27)</f>
        <v>127.37757657548109</v>
      </c>
      <c r="T12" s="133">
        <f>IF(SER_hh_fech_in!T12=0,0,SER_hh_fech_in!T12/SER_summary!T$27)</f>
        <v>108.61666327673294</v>
      </c>
      <c r="U12" s="133">
        <f>IF(SER_hh_fech_in!U12=0,0,SER_hh_fech_in!U12/SER_summary!U$27)</f>
        <v>96.441964276726495</v>
      </c>
      <c r="V12" s="133">
        <f>IF(SER_hh_fech_in!V12=0,0,SER_hh_fech_in!V12/SER_summary!V$27)</f>
        <v>90.540843844358037</v>
      </c>
      <c r="W12" s="133">
        <f>IF(SER_hh_fech_in!W12=0,0,SER_hh_fech_in!W12/SER_summary!W$27)</f>
        <v>88.501576174825104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52.624701341625837</v>
      </c>
      <c r="D13" s="133">
        <f>IF(SER_hh_fech_in!D13=0,0,SER_hh_fech_in!D13/SER_summary!D$27)</f>
        <v>114.12274620213425</v>
      </c>
      <c r="E13" s="133">
        <f>IF(SER_hh_fech_in!E13=0,0,SER_hh_fech_in!E13/SER_summary!E$27)</f>
        <v>97.287337506055977</v>
      </c>
      <c r="F13" s="133">
        <f>IF(SER_hh_fech_in!F13=0,0,SER_hh_fech_in!F13/SER_summary!F$27)</f>
        <v>88.518271812064</v>
      </c>
      <c r="G13" s="133">
        <f>IF(SER_hh_fech_in!G13=0,0,SER_hh_fech_in!G13/SER_summary!G$27)</f>
        <v>80.944938928337493</v>
      </c>
      <c r="H13" s="133">
        <f>IF(SER_hh_fech_in!H13=0,0,SER_hh_fech_in!H13/SER_summary!H$27)</f>
        <v>72.1566194700805</v>
      </c>
      <c r="I13" s="133">
        <f>IF(SER_hh_fech_in!I13=0,0,SER_hh_fech_in!I13/SER_summary!I$27)</f>
        <v>62.090028782836555</v>
      </c>
      <c r="J13" s="133">
        <f>IF(SER_hh_fech_in!J13=0,0,SER_hh_fech_in!J13/SER_summary!J$27)</f>
        <v>53.249169252105986</v>
      </c>
      <c r="K13" s="133">
        <f>IF(SER_hh_fech_in!K13=0,0,SER_hh_fech_in!K13/SER_summary!K$27)</f>
        <v>45.703507904723388</v>
      </c>
      <c r="L13" s="133">
        <f>IF(SER_hh_fech_in!L13=0,0,SER_hh_fech_in!L13/SER_summary!L$27)</f>
        <v>45.623503339191998</v>
      </c>
      <c r="M13" s="133">
        <f>IF(SER_hh_fech_in!M13=0,0,SER_hh_fech_in!M13/SER_summary!M$27)</f>
        <v>47.102376133562863</v>
      </c>
      <c r="N13" s="133">
        <f>IF(SER_hh_fech_in!N13=0,0,SER_hh_fech_in!N13/SER_summary!N$27)</f>
        <v>43.793778492945698</v>
      </c>
      <c r="O13" s="133">
        <f>IF(SER_hh_fech_in!O13=0,0,SER_hh_fech_in!O13/SER_summary!O$27)</f>
        <v>45.660624561800034</v>
      </c>
      <c r="P13" s="133">
        <f>IF(SER_hh_fech_in!P13=0,0,SER_hh_fech_in!P13/SER_summary!P$27)</f>
        <v>42.597018473261485</v>
      </c>
      <c r="Q13" s="133">
        <f>IF(SER_hh_fech_in!Q13=0,0,SER_hh_fech_in!Q13/SER_summary!Q$27)</f>
        <v>39.324314165552707</v>
      </c>
      <c r="R13" s="133">
        <f>IF(SER_hh_fech_in!R13=0,0,SER_hh_fech_in!R13/SER_summary!R$27)</f>
        <v>36.566892136317762</v>
      </c>
      <c r="S13" s="133">
        <f>IF(SER_hh_fech_in!S13=0,0,SER_hh_fech_in!S13/SER_summary!S$27)</f>
        <v>35.44666652016825</v>
      </c>
      <c r="T13" s="133">
        <f>IF(SER_hh_fech_in!T13=0,0,SER_hh_fech_in!T13/SER_summary!T$27)</f>
        <v>31.147800677536051</v>
      </c>
      <c r="U13" s="133">
        <f>IF(SER_hh_fech_in!U13=0,0,SER_hh_fech_in!U13/SER_summary!U$27)</f>
        <v>28.738489203340965</v>
      </c>
      <c r="V13" s="133">
        <f>IF(SER_hh_fech_in!V13=0,0,SER_hh_fech_in!V13/SER_summary!V$27)</f>
        <v>25.908493007870518</v>
      </c>
      <c r="W13" s="133">
        <f>IF(SER_hh_fech_in!W13=0,0,SER_hh_fech_in!W13/SER_summary!W$27)</f>
        <v>15.194085945849819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195.46515766936051</v>
      </c>
      <c r="D14" s="65">
        <f>IF(SER_hh_fech_in!D14=0,0,SER_hh_fech_in!D14/SER_summary!D$27)</f>
        <v>318.11850603712503</v>
      </c>
      <c r="E14" s="65">
        <f>IF(SER_hh_fech_in!E14=0,0,SER_hh_fech_in!E14/SER_summary!E$27)</f>
        <v>316.83890682522809</v>
      </c>
      <c r="F14" s="65">
        <f>IF(SER_hh_fech_in!F14=0,0,SER_hh_fech_in!F14/SER_summary!F$27)</f>
        <v>277.8887291196981</v>
      </c>
      <c r="G14" s="65">
        <f>IF(SER_hh_fech_in!G14=0,0,SER_hh_fech_in!G14/SER_summary!G$27)</f>
        <v>259.24835579529963</v>
      </c>
      <c r="H14" s="65">
        <f>IF(SER_hh_fech_in!H14=0,0,SER_hh_fech_in!H14/SER_summary!H$27)</f>
        <v>244.96502003326589</v>
      </c>
      <c r="I14" s="65">
        <f>IF(SER_hh_fech_in!I14=0,0,SER_hh_fech_in!I14/SER_summary!I$27)</f>
        <v>309.08506527247494</v>
      </c>
      <c r="J14" s="65">
        <f>IF(SER_hh_fech_in!J14=0,0,SER_hh_fech_in!J14/SER_summary!J$27)</f>
        <v>0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156.74855406621512</v>
      </c>
      <c r="N14" s="65">
        <f>IF(SER_hh_fech_in!N14=0,0,SER_hh_fech_in!N14/SER_summary!N$27)</f>
        <v>218.21359636122264</v>
      </c>
      <c r="O14" s="65">
        <f>IF(SER_hh_fech_in!O14=0,0,SER_hh_fech_in!O14/SER_summary!O$27)</f>
        <v>157.24526355153705</v>
      </c>
      <c r="P14" s="65">
        <f>IF(SER_hh_fech_in!P14=0,0,SER_hh_fech_in!P14/SER_summary!P$27)</f>
        <v>182.16473799788491</v>
      </c>
      <c r="Q14" s="65">
        <f>IF(SER_hh_fech_in!Q14=0,0,SER_hh_fech_in!Q14/SER_summary!Q$27)</f>
        <v>0</v>
      </c>
      <c r="R14" s="65">
        <f>IF(SER_hh_fech_in!R14=0,0,SER_hh_fech_in!R14/SER_summary!R$27)</f>
        <v>131.3598218429637</v>
      </c>
      <c r="S14" s="65">
        <f>IF(SER_hh_fech_in!S14=0,0,SER_hh_fech_in!S14/SER_summary!S$27)</f>
        <v>122.36320096178112</v>
      </c>
      <c r="T14" s="65">
        <f>IF(SER_hh_fech_in!T14=0,0,SER_hh_fech_in!T14/SER_summary!T$27)</f>
        <v>123.09779332284809</v>
      </c>
      <c r="U14" s="65">
        <f>IF(SER_hh_fech_in!U14=0,0,SER_hh_fech_in!U14/SER_summary!U$27)</f>
        <v>108.3490984575664</v>
      </c>
      <c r="V14" s="65">
        <f>IF(SER_hh_fech_in!V14=0,0,SER_hh_fech_in!V14/SER_summary!V$27)</f>
        <v>90.061618602098321</v>
      </c>
      <c r="W14" s="65">
        <f>IF(SER_hh_fech_in!W14=0,0,SER_hh_fech_in!W14/SER_summary!W$27)</f>
        <v>85.009518359267659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1.9810550264674058</v>
      </c>
      <c r="D15" s="135">
        <f>IF(SER_hh_fech_in!D15=0,0,SER_hh_fech_in!D15/SER_summary!D$27)</f>
        <v>2.8007496664248075</v>
      </c>
      <c r="E15" s="135">
        <f>IF(SER_hh_fech_in!E15=0,0,SER_hh_fech_in!E15/SER_summary!E$27)</f>
        <v>2.4104342571887734</v>
      </c>
      <c r="F15" s="135">
        <f>IF(SER_hh_fech_in!F15=0,0,SER_hh_fech_in!F15/SER_summary!F$27)</f>
        <v>2.4488660486729787</v>
      </c>
      <c r="G15" s="135">
        <f>IF(SER_hh_fech_in!G15=0,0,SER_hh_fech_in!G15/SER_summary!G$27)</f>
        <v>2.093341849114819</v>
      </c>
      <c r="H15" s="135">
        <f>IF(SER_hh_fech_in!H15=0,0,SER_hh_fech_in!H15/SER_summary!H$27)</f>
        <v>1.998236456655011</v>
      </c>
      <c r="I15" s="135">
        <f>IF(SER_hh_fech_in!I15=0,0,SER_hh_fech_in!I15/SER_summary!I$27)</f>
        <v>1.7176331094642481</v>
      </c>
      <c r="J15" s="135">
        <f>IF(SER_hh_fech_in!J15=0,0,SER_hh_fech_in!J15/SER_summary!J$27)</f>
        <v>1.4722344508707605</v>
      </c>
      <c r="K15" s="135">
        <f>IF(SER_hh_fech_in!K15=0,0,SER_hh_fech_in!K15/SER_summary!K$27)</f>
        <v>1.3160211476324968</v>
      </c>
      <c r="L15" s="135">
        <f>IF(SER_hh_fech_in!L15=0,0,SER_hh_fech_in!L15/SER_summary!L$27)</f>
        <v>1.2810318353220422</v>
      </c>
      <c r="M15" s="135">
        <f>IF(SER_hh_fech_in!M15=0,0,SER_hh_fech_in!M15/SER_summary!M$27)</f>
        <v>0.85623047265100416</v>
      </c>
      <c r="N15" s="135">
        <f>IF(SER_hh_fech_in!N15=0,0,SER_hh_fech_in!N15/SER_summary!N$27)</f>
        <v>1.2994823443998129</v>
      </c>
      <c r="O15" s="135">
        <f>IF(SER_hh_fech_in!O15=0,0,SER_hh_fech_in!O15/SER_summary!O$27)</f>
        <v>1.0989593914035884</v>
      </c>
      <c r="P15" s="135">
        <f>IF(SER_hh_fech_in!P15=0,0,SER_hh_fech_in!P15/SER_summary!P$27)</f>
        <v>1.1895963788134503</v>
      </c>
      <c r="Q15" s="135">
        <f>IF(SER_hh_fech_in!Q15=0,0,SER_hh_fech_in!Q15/SER_summary!Q$27)</f>
        <v>0.98130823895671804</v>
      </c>
      <c r="R15" s="135">
        <f>IF(SER_hh_fech_in!R15=0,0,SER_hh_fech_in!R15/SER_summary!R$27)</f>
        <v>1.0337178139360077</v>
      </c>
      <c r="S15" s="135">
        <f>IF(SER_hh_fech_in!S15=0,0,SER_hh_fech_in!S15/SER_summary!S$27)</f>
        <v>1.0628521214743876</v>
      </c>
      <c r="T15" s="135">
        <f>IF(SER_hh_fech_in!T15=0,0,SER_hh_fech_in!T15/SER_summary!T$27)</f>
        <v>1.1783255578687846</v>
      </c>
      <c r="U15" s="135">
        <f>IF(SER_hh_fech_in!U15=0,0,SER_hh_fech_in!U15/SER_summary!U$27)</f>
        <v>0.96359513671758101</v>
      </c>
      <c r="V15" s="135">
        <f>IF(SER_hh_fech_in!V15=0,0,SER_hh_fech_in!V15/SER_summary!V$27)</f>
        <v>0.81699410265595818</v>
      </c>
      <c r="W15" s="135">
        <f>IF(SER_hh_fech_in!W15=0,0,SER_hh_fech_in!W15/SER_summary!W$27)</f>
        <v>0.85207788692339215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8.0901275171692859</v>
      </c>
      <c r="D16" s="131">
        <f>IF(SER_hh_fech_in!D16=0,0,SER_hh_fech_in!D16/SER_summary!D$27)</f>
        <v>8.0484834325693448</v>
      </c>
      <c r="E16" s="131">
        <f>IF(SER_hh_fech_in!E16=0,0,SER_hh_fech_in!E16/SER_summary!E$27)</f>
        <v>7.4456966524671042</v>
      </c>
      <c r="F16" s="131">
        <f>IF(SER_hh_fech_in!F16=0,0,SER_hh_fech_in!F16/SER_summary!F$27)</f>
        <v>6.9666755931563715</v>
      </c>
      <c r="G16" s="131">
        <f>IF(SER_hh_fech_in!G16=0,0,SER_hh_fech_in!G16/SER_summary!G$27)</f>
        <v>6.7167421781189764</v>
      </c>
      <c r="H16" s="131">
        <f>IF(SER_hh_fech_in!H16=0,0,SER_hh_fech_in!H16/SER_summary!H$27)</f>
        <v>6.8928328196938953</v>
      </c>
      <c r="I16" s="131">
        <f>IF(SER_hh_fech_in!I16=0,0,SER_hh_fech_in!I16/SER_summary!I$27)</f>
        <v>6.2854162504051478</v>
      </c>
      <c r="J16" s="131">
        <f>IF(SER_hh_fech_in!J16=0,0,SER_hh_fech_in!J16/SER_summary!J$27)</f>
        <v>6.0587640024338851</v>
      </c>
      <c r="K16" s="131">
        <f>IF(SER_hh_fech_in!K16=0,0,SER_hh_fech_in!K16/SER_summary!K$27)</f>
        <v>5.8139330731782435</v>
      </c>
      <c r="L16" s="131">
        <f>IF(SER_hh_fech_in!L16=0,0,SER_hh_fech_in!L16/SER_summary!L$27)</f>
        <v>6.7667222509779545</v>
      </c>
      <c r="M16" s="131">
        <f>IF(SER_hh_fech_in!M16=0,0,SER_hh_fech_in!M16/SER_summary!M$27)</f>
        <v>5.4491114468594626</v>
      </c>
      <c r="N16" s="131">
        <f>IF(SER_hh_fech_in!N16=0,0,SER_hh_fech_in!N16/SER_summary!N$27)</f>
        <v>5.2024152231969678</v>
      </c>
      <c r="O16" s="131">
        <f>IF(SER_hh_fech_in!O16=0,0,SER_hh_fech_in!O16/SER_summary!O$27)</f>
        <v>4.8370158963511827</v>
      </c>
      <c r="P16" s="131">
        <f>IF(SER_hh_fech_in!P16=0,0,SER_hh_fech_in!P16/SER_summary!P$27)</f>
        <v>4.826247903592809</v>
      </c>
      <c r="Q16" s="131">
        <f>IF(SER_hh_fech_in!Q16=0,0,SER_hh_fech_in!Q16/SER_summary!Q$27)</f>
        <v>4.3595743910628251</v>
      </c>
      <c r="R16" s="131">
        <f>IF(SER_hh_fech_in!R16=0,0,SER_hh_fech_in!R16/SER_summary!R$27)</f>
        <v>4.1989849820454701</v>
      </c>
      <c r="S16" s="131">
        <f>IF(SER_hh_fech_in!S16=0,0,SER_hh_fech_in!S16/SER_summary!S$27)</f>
        <v>4.0871377804614797</v>
      </c>
      <c r="T16" s="131">
        <f>IF(SER_hh_fech_in!T16=0,0,SER_hh_fech_in!T16/SER_summary!T$27)</f>
        <v>4.212862211753464</v>
      </c>
      <c r="U16" s="131">
        <f>IF(SER_hh_fech_in!U16=0,0,SER_hh_fech_in!U16/SER_summary!U$27)</f>
        <v>3.8205885914245843</v>
      </c>
      <c r="V16" s="131">
        <f>IF(SER_hh_fech_in!V16=0,0,SER_hh_fech_in!V16/SER_summary!V$27)</f>
        <v>3.6549503812861812</v>
      </c>
      <c r="W16" s="131">
        <f>IF(SER_hh_fech_in!W16=0,0,SER_hh_fech_in!W16/SER_summary!W$27)</f>
        <v>3.8252899605500348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8.0901275171692859</v>
      </c>
      <c r="D18" s="133">
        <f>IF(SER_hh_fech_in!D18=0,0,SER_hh_fech_in!D18/SER_summary!D$27)</f>
        <v>8.0484834325693448</v>
      </c>
      <c r="E18" s="133">
        <f>IF(SER_hh_fech_in!E18=0,0,SER_hh_fech_in!E18/SER_summary!E$27)</f>
        <v>7.4456966524671042</v>
      </c>
      <c r="F18" s="133">
        <f>IF(SER_hh_fech_in!F18=0,0,SER_hh_fech_in!F18/SER_summary!F$27)</f>
        <v>6.9666755931563715</v>
      </c>
      <c r="G18" s="133">
        <f>IF(SER_hh_fech_in!G18=0,0,SER_hh_fech_in!G18/SER_summary!G$27)</f>
        <v>6.7167421781189764</v>
      </c>
      <c r="H18" s="133">
        <f>IF(SER_hh_fech_in!H18=0,0,SER_hh_fech_in!H18/SER_summary!H$27)</f>
        <v>6.8928328196938953</v>
      </c>
      <c r="I18" s="133">
        <f>IF(SER_hh_fech_in!I18=0,0,SER_hh_fech_in!I18/SER_summary!I$27)</f>
        <v>6.2854162504051478</v>
      </c>
      <c r="J18" s="133">
        <f>IF(SER_hh_fech_in!J18=0,0,SER_hh_fech_in!J18/SER_summary!J$27)</f>
        <v>6.0587640024338851</v>
      </c>
      <c r="K18" s="133">
        <f>IF(SER_hh_fech_in!K18=0,0,SER_hh_fech_in!K18/SER_summary!K$27)</f>
        <v>5.8139330731782435</v>
      </c>
      <c r="L18" s="133">
        <f>IF(SER_hh_fech_in!L18=0,0,SER_hh_fech_in!L18/SER_summary!L$27)</f>
        <v>6.7667222509779545</v>
      </c>
      <c r="M18" s="133">
        <f>IF(SER_hh_fech_in!M18=0,0,SER_hh_fech_in!M18/SER_summary!M$27)</f>
        <v>5.4491114468594626</v>
      </c>
      <c r="N18" s="133">
        <f>IF(SER_hh_fech_in!N18=0,0,SER_hh_fech_in!N18/SER_summary!N$27)</f>
        <v>5.2024152231969678</v>
      </c>
      <c r="O18" s="133">
        <f>IF(SER_hh_fech_in!O18=0,0,SER_hh_fech_in!O18/SER_summary!O$27)</f>
        <v>4.8370158963511827</v>
      </c>
      <c r="P18" s="133">
        <f>IF(SER_hh_fech_in!P18=0,0,SER_hh_fech_in!P18/SER_summary!P$27)</f>
        <v>4.826247903592809</v>
      </c>
      <c r="Q18" s="133">
        <f>IF(SER_hh_fech_in!Q18=0,0,SER_hh_fech_in!Q18/SER_summary!Q$27)</f>
        <v>4.3595743910628251</v>
      </c>
      <c r="R18" s="133">
        <f>IF(SER_hh_fech_in!R18=0,0,SER_hh_fech_in!R18/SER_summary!R$27)</f>
        <v>4.1989849820454701</v>
      </c>
      <c r="S18" s="133">
        <f>IF(SER_hh_fech_in!S18=0,0,SER_hh_fech_in!S18/SER_summary!S$27)</f>
        <v>4.0871377804614797</v>
      </c>
      <c r="T18" s="133">
        <f>IF(SER_hh_fech_in!T18=0,0,SER_hh_fech_in!T18/SER_summary!T$27)</f>
        <v>4.212862211753464</v>
      </c>
      <c r="U18" s="133">
        <f>IF(SER_hh_fech_in!U18=0,0,SER_hh_fech_in!U18/SER_summary!U$27)</f>
        <v>3.8205885914245843</v>
      </c>
      <c r="V18" s="133">
        <f>IF(SER_hh_fech_in!V18=0,0,SER_hh_fech_in!V18/SER_summary!V$27)</f>
        <v>3.6549503812861812</v>
      </c>
      <c r="W18" s="133">
        <f>IF(SER_hh_fech_in!W18=0,0,SER_hh_fech_in!W18/SER_summary!W$27)</f>
        <v>3.8252899605500348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38.908763242071352</v>
      </c>
      <c r="D19" s="131">
        <f>IF(SER_hh_fech_in!D19=0,0,SER_hh_fech_in!D19/SER_summary!D$27)</f>
        <v>38.396137153698156</v>
      </c>
      <c r="E19" s="131">
        <f>IF(SER_hh_fech_in!E19=0,0,SER_hh_fech_in!E19/SER_summary!E$27)</f>
        <v>37.704002452703214</v>
      </c>
      <c r="F19" s="131">
        <f>IF(SER_hh_fech_in!F19=0,0,SER_hh_fech_in!F19/SER_summary!F$27)</f>
        <v>37.749870246138471</v>
      </c>
      <c r="G19" s="131">
        <f>IF(SER_hh_fech_in!G19=0,0,SER_hh_fech_in!G19/SER_summary!G$27)</f>
        <v>37.403180170308275</v>
      </c>
      <c r="H19" s="131">
        <f>IF(SER_hh_fech_in!H19=0,0,SER_hh_fech_in!H19/SER_summary!H$27)</f>
        <v>36.400850303993508</v>
      </c>
      <c r="I19" s="131">
        <f>IF(SER_hh_fech_in!I19=0,0,SER_hh_fech_in!I19/SER_summary!I$27)</f>
        <v>36.130420546165666</v>
      </c>
      <c r="J19" s="131">
        <f>IF(SER_hh_fech_in!J19=0,0,SER_hh_fech_in!J19/SER_summary!J$27)</f>
        <v>35.56865217568599</v>
      </c>
      <c r="K19" s="131">
        <f>IF(SER_hh_fech_in!K19=0,0,SER_hh_fech_in!K19/SER_summary!K$27)</f>
        <v>35.446467982359927</v>
      </c>
      <c r="L19" s="131">
        <f>IF(SER_hh_fech_in!L19=0,0,SER_hh_fech_in!L19/SER_summary!L$27)</f>
        <v>34.348831070743643</v>
      </c>
      <c r="M19" s="131">
        <f>IF(SER_hh_fech_in!M19=0,0,SER_hh_fech_in!M19/SER_summary!M$27)</f>
        <v>34.594522969399549</v>
      </c>
      <c r="N19" s="131">
        <f>IF(SER_hh_fech_in!N19=0,0,SER_hh_fech_in!N19/SER_summary!N$27)</f>
        <v>33.550363953961799</v>
      </c>
      <c r="O19" s="131">
        <f>IF(SER_hh_fech_in!O19=0,0,SER_hh_fech_in!O19/SER_summary!O$27)</f>
        <v>33.210669468104079</v>
      </c>
      <c r="P19" s="131">
        <f>IF(SER_hh_fech_in!P19=0,0,SER_hh_fech_in!P19/SER_summary!P$27)</f>
        <v>31.637129258205192</v>
      </c>
      <c r="Q19" s="131">
        <f>IF(SER_hh_fech_in!Q19=0,0,SER_hh_fech_in!Q19/SER_summary!Q$27)</f>
        <v>30.629074565382261</v>
      </c>
      <c r="R19" s="131">
        <f>IF(SER_hh_fech_in!R19=0,0,SER_hh_fech_in!R19/SER_summary!R$27)</f>
        <v>30.26877122758177</v>
      </c>
      <c r="S19" s="131">
        <f>IF(SER_hh_fech_in!S19=0,0,SER_hh_fech_in!S19/SER_summary!S$27)</f>
        <v>29.494225993951972</v>
      </c>
      <c r="T19" s="131">
        <f>IF(SER_hh_fech_in!T19=0,0,SER_hh_fech_in!T19/SER_summary!T$27)</f>
        <v>28.522774987836154</v>
      </c>
      <c r="U19" s="131">
        <f>IF(SER_hh_fech_in!U19=0,0,SER_hh_fech_in!U19/SER_summary!U$27)</f>
        <v>27.215311169366338</v>
      </c>
      <c r="V19" s="131">
        <f>IF(SER_hh_fech_in!V19=0,0,SER_hh_fech_in!V19/SER_summary!V$27)</f>
        <v>24.667178060636207</v>
      </c>
      <c r="W19" s="131">
        <f>IF(SER_hh_fech_in!W19=0,0,SER_hh_fech_in!W19/SER_summary!W$27)</f>
        <v>25.903345215123949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49.597342499461782</v>
      </c>
      <c r="D22" s="133">
        <f>IF(SER_hh_fech_in!D22=0,0,SER_hh_fech_in!D22/SER_summary!D$27)</f>
        <v>48.680763973917557</v>
      </c>
      <c r="E22" s="133">
        <f>IF(SER_hh_fech_in!E22=0,0,SER_hh_fech_in!E22/SER_summary!E$27)</f>
        <v>48.067637916100942</v>
      </c>
      <c r="F22" s="133">
        <f>IF(SER_hh_fech_in!F22=0,0,SER_hh_fech_in!F22/SER_summary!F$27)</f>
        <v>47.041316105942919</v>
      </c>
      <c r="G22" s="133">
        <f>IF(SER_hh_fech_in!G22=0,0,SER_hh_fech_in!G22/SER_summary!G$27)</f>
        <v>46.335783825668145</v>
      </c>
      <c r="H22" s="133">
        <f>IF(SER_hh_fech_in!H22=0,0,SER_hh_fech_in!H22/SER_summary!H$27)</f>
        <v>46.903696507398415</v>
      </c>
      <c r="I22" s="133">
        <f>IF(SER_hh_fech_in!I22=0,0,SER_hh_fech_in!I22/SER_summary!I$27)</f>
        <v>45.114558710757322</v>
      </c>
      <c r="J22" s="133">
        <f>IF(SER_hh_fech_in!J22=0,0,SER_hh_fech_in!J22/SER_summary!J$27)</f>
        <v>45.536522939902369</v>
      </c>
      <c r="K22" s="133">
        <f>IF(SER_hh_fech_in!K22=0,0,SER_hh_fech_in!K22/SER_summary!K$27)</f>
        <v>44.444710862196985</v>
      </c>
      <c r="L22" s="133">
        <f>IF(SER_hh_fech_in!L22=0,0,SER_hh_fech_in!L22/SER_summary!L$27)</f>
        <v>43.804280245002964</v>
      </c>
      <c r="M22" s="133">
        <f>IF(SER_hh_fech_in!M22=0,0,SER_hh_fech_in!M22/SER_summary!M$27)</f>
        <v>43.346225397848812</v>
      </c>
      <c r="N22" s="133">
        <f>IF(SER_hh_fech_in!N22=0,0,SER_hh_fech_in!N22/SER_summary!N$27)</f>
        <v>42.002875022907233</v>
      </c>
      <c r="O22" s="133">
        <f>IF(SER_hh_fech_in!O22=0,0,SER_hh_fech_in!O22/SER_summary!O$27)</f>
        <v>40.083737549845317</v>
      </c>
      <c r="P22" s="133">
        <f>IF(SER_hh_fech_in!P22=0,0,SER_hh_fech_in!P22/SER_summary!P$27)</f>
        <v>37.342680221811982</v>
      </c>
      <c r="Q22" s="133">
        <f>IF(SER_hh_fech_in!Q22=0,0,SER_hh_fech_in!Q22/SER_summary!Q$27)</f>
        <v>35.624081902562978</v>
      </c>
      <c r="R22" s="133">
        <f>IF(SER_hh_fech_in!R22=0,0,SER_hh_fech_in!R22/SER_summary!R$27)</f>
        <v>34.273339083190876</v>
      </c>
      <c r="S22" s="133">
        <f>IF(SER_hh_fech_in!S22=0,0,SER_hh_fech_in!S22/SER_summary!S$27)</f>
        <v>33.183768648334798</v>
      </c>
      <c r="T22" s="133">
        <f>IF(SER_hh_fech_in!T22=0,0,SER_hh_fech_in!T22/SER_summary!T$27)</f>
        <v>31.757834714497196</v>
      </c>
      <c r="U22" s="133">
        <f>IF(SER_hh_fech_in!U22=0,0,SER_hh_fech_in!U22/SER_summary!U$27)</f>
        <v>29.705180021447976</v>
      </c>
      <c r="V22" s="133">
        <f>IF(SER_hh_fech_in!V22=0,0,SER_hh_fech_in!V22/SER_summary!V$27)</f>
        <v>26.573793676977804</v>
      </c>
      <c r="W22" s="133">
        <f>IF(SER_hh_fech_in!W22=0,0,SER_hh_fech_in!W22/SER_summary!W$27)</f>
        <v>27.735535862425657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43.700234668069513</v>
      </c>
      <c r="D23" s="133">
        <f>IF(SER_hh_fech_in!D23=0,0,SER_hh_fech_in!D23/SER_summary!D$27)</f>
        <v>44.7474873055763</v>
      </c>
      <c r="E23" s="133">
        <f>IF(SER_hh_fech_in!E23=0,0,SER_hh_fech_in!E23/SER_summary!E$27)</f>
        <v>43.137071343859525</v>
      </c>
      <c r="F23" s="133">
        <f>IF(SER_hh_fech_in!F23=0,0,SER_hh_fech_in!F23/SER_summary!F$27)</f>
        <v>41.997052182443007</v>
      </c>
      <c r="G23" s="133">
        <f>IF(SER_hh_fech_in!G23=0,0,SER_hh_fech_in!G23/SER_summary!G$27)</f>
        <v>42.1121084600221</v>
      </c>
      <c r="H23" s="133">
        <f>IF(SER_hh_fech_in!H23=0,0,SER_hh_fech_in!H23/SER_summary!H$27)</f>
        <v>40.163955228542143</v>
      </c>
      <c r="I23" s="133">
        <f>IF(SER_hh_fech_in!I23=0,0,SER_hh_fech_in!I23/SER_summary!I$27)</f>
        <v>38.696966424338285</v>
      </c>
      <c r="J23" s="133">
        <f>IF(SER_hh_fech_in!J23=0,0,SER_hh_fech_in!J23/SER_summary!J$27)</f>
        <v>40.444912908880326</v>
      </c>
      <c r="K23" s="133">
        <f>IF(SER_hh_fech_in!K23=0,0,SER_hh_fech_in!K23/SER_summary!K$27)</f>
        <v>40.254367425371292</v>
      </c>
      <c r="L23" s="133">
        <f>IF(SER_hh_fech_in!L23=0,0,SER_hh_fech_in!L23/SER_summary!L$27)</f>
        <v>38.566124460307108</v>
      </c>
      <c r="M23" s="133">
        <f>IF(SER_hh_fech_in!M23=0,0,SER_hh_fech_in!M23/SER_summary!M$27)</f>
        <v>38.039075945357489</v>
      </c>
      <c r="N23" s="133">
        <f>IF(SER_hh_fech_in!N23=0,0,SER_hh_fech_in!N23/SER_summary!N$27)</f>
        <v>36.845382525802748</v>
      </c>
      <c r="O23" s="133">
        <f>IF(SER_hh_fech_in!O23=0,0,SER_hh_fech_in!O23/SER_summary!O$27)</f>
        <v>35.520982596994685</v>
      </c>
      <c r="P23" s="133">
        <f>IF(SER_hh_fech_in!P23=0,0,SER_hh_fech_in!P23/SER_summary!P$27)</f>
        <v>33.442213871851848</v>
      </c>
      <c r="Q23" s="133">
        <f>IF(SER_hh_fech_in!Q23=0,0,SER_hh_fech_in!Q23/SER_summary!Q$27)</f>
        <v>32.384650001492965</v>
      </c>
      <c r="R23" s="133">
        <f>IF(SER_hh_fech_in!R23=0,0,SER_hh_fech_in!R23/SER_summary!R$27)</f>
        <v>31.594469211098769</v>
      </c>
      <c r="S23" s="133">
        <f>IF(SER_hh_fech_in!S23=0,0,SER_hh_fech_in!S23/SER_summary!S$27)</f>
        <v>31.118140154151479</v>
      </c>
      <c r="T23" s="133">
        <f>IF(SER_hh_fech_in!T23=0,0,SER_hh_fech_in!T23/SER_summary!T$27)</f>
        <v>29.244394001353413</v>
      </c>
      <c r="U23" s="133">
        <f>IF(SER_hh_fech_in!U23=0,0,SER_hh_fech_in!U23/SER_summary!U$27)</f>
        <v>28.048863419326981</v>
      </c>
      <c r="V23" s="133">
        <f>IF(SER_hh_fech_in!V23=0,0,SER_hh_fech_in!V23/SER_summary!V$27)</f>
        <v>26.758091743526638</v>
      </c>
      <c r="W23" s="133">
        <f>IF(SER_hh_fech_in!W23=0,0,SER_hh_fech_in!W23/SER_summary!W$27)</f>
        <v>26.757439167578283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44.01719998688651</v>
      </c>
      <c r="D24" s="133">
        <f>IF(SER_hh_fech_in!D24=0,0,SER_hh_fech_in!D24/SER_summary!D$27)</f>
        <v>42.913468220355035</v>
      </c>
      <c r="E24" s="133">
        <f>IF(SER_hh_fech_in!E24=0,0,SER_hh_fech_in!E24/SER_summary!E$27)</f>
        <v>41.099106327835038</v>
      </c>
      <c r="F24" s="133">
        <f>IF(SER_hh_fech_in!F24=0,0,SER_hh_fech_in!F24/SER_summary!F$27)</f>
        <v>41.563734148566333</v>
      </c>
      <c r="G24" s="133">
        <f>IF(SER_hh_fech_in!G24=0,0,SER_hh_fech_in!G24/SER_summary!G$27)</f>
        <v>40.954866979434115</v>
      </c>
      <c r="H24" s="133">
        <f>IF(SER_hh_fech_in!H24=0,0,SER_hh_fech_in!H24/SER_summary!H$27)</f>
        <v>39.606042061639002</v>
      </c>
      <c r="I24" s="133">
        <f>IF(SER_hh_fech_in!I24=0,0,SER_hh_fech_in!I24/SER_summary!I$27)</f>
        <v>38.65016290679629</v>
      </c>
      <c r="J24" s="133">
        <f>IF(SER_hh_fech_in!J24=0,0,SER_hh_fech_in!J24/SER_summary!J$27)</f>
        <v>36.905629701562653</v>
      </c>
      <c r="K24" s="133">
        <f>IF(SER_hh_fech_in!K24=0,0,SER_hh_fech_in!K24/SER_summary!K$27)</f>
        <v>36.440429234480156</v>
      </c>
      <c r="L24" s="133">
        <f>IF(SER_hh_fech_in!L24=0,0,SER_hh_fech_in!L24/SER_summary!L$27)</f>
        <v>35.934120635842831</v>
      </c>
      <c r="M24" s="133">
        <f>IF(SER_hh_fech_in!M24=0,0,SER_hh_fech_in!M24/SER_summary!M$27)</f>
        <v>36.060216593142883</v>
      </c>
      <c r="N24" s="133">
        <f>IF(SER_hh_fech_in!N24=0,0,SER_hh_fech_in!N24/SER_summary!N$27)</f>
        <v>35.140622329327854</v>
      </c>
      <c r="O24" s="133">
        <f>IF(SER_hh_fech_in!O24=0,0,SER_hh_fech_in!O24/SER_summary!O$27)</f>
        <v>35.138843569029305</v>
      </c>
      <c r="P24" s="133">
        <f>IF(SER_hh_fech_in!P24=0,0,SER_hh_fech_in!P24/SER_summary!P$27)</f>
        <v>34.434238388115197</v>
      </c>
      <c r="Q24" s="133">
        <f>IF(SER_hh_fech_in!Q24=0,0,SER_hh_fech_in!Q24/SER_summary!Q$27)</f>
        <v>34.575772658953888</v>
      </c>
      <c r="R24" s="133">
        <f>IF(SER_hh_fech_in!R24=0,0,SER_hh_fech_in!R24/SER_summary!R$27)</f>
        <v>33.123503986285279</v>
      </c>
      <c r="S24" s="133">
        <f>IF(SER_hh_fech_in!S24=0,0,SER_hh_fech_in!S24/SER_summary!S$27)</f>
        <v>35.585263220718296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26.723074581053027</v>
      </c>
      <c r="W24" s="133">
        <f>IF(SER_hh_fech_in!W24=0,0,SER_hh_fech_in!W24/SER_summary!W$27)</f>
        <v>28.440678201855924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32.662582026266406</v>
      </c>
      <c r="D25" s="133">
        <f>IF(SER_hh_fech_in!D25=0,0,SER_hh_fech_in!D25/SER_summary!D$27)</f>
        <v>32.097288321289277</v>
      </c>
      <c r="E25" s="133">
        <f>IF(SER_hh_fech_in!E25=0,0,SER_hh_fech_in!E25/SER_summary!E$27)</f>
        <v>31.626308742186215</v>
      </c>
      <c r="F25" s="133">
        <f>IF(SER_hh_fech_in!F25=0,0,SER_hh_fech_in!F25/SER_summary!F$27)</f>
        <v>31.076410873532744</v>
      </c>
      <c r="G25" s="133">
        <f>IF(SER_hh_fech_in!G25=0,0,SER_hh_fech_in!G25/SER_summary!G$27)</f>
        <v>31.217451115632901</v>
      </c>
      <c r="H25" s="133">
        <f>IF(SER_hh_fech_in!H25=0,0,SER_hh_fech_in!H25/SER_summary!H$27)</f>
        <v>30.505836262850096</v>
      </c>
      <c r="I25" s="133">
        <f>IF(SER_hh_fech_in!I25=0,0,SER_hh_fech_in!I25/SER_summary!I$27)</f>
        <v>30.556123294163207</v>
      </c>
      <c r="J25" s="133">
        <f>IF(SER_hh_fech_in!J25=0,0,SER_hh_fech_in!J25/SER_summary!J$27)</f>
        <v>29.321672689495106</v>
      </c>
      <c r="K25" s="133">
        <f>IF(SER_hh_fech_in!K25=0,0,SER_hh_fech_in!K25/SER_summary!K$27)</f>
        <v>29.836594989642176</v>
      </c>
      <c r="L25" s="133">
        <f>IF(SER_hh_fech_in!L25=0,0,SER_hh_fech_in!L25/SER_summary!L$27)</f>
        <v>29.588608808351871</v>
      </c>
      <c r="M25" s="133">
        <f>IF(SER_hh_fech_in!M25=0,0,SER_hh_fech_in!M25/SER_summary!M$27)</f>
        <v>30.034903887298395</v>
      </c>
      <c r="N25" s="133">
        <f>IF(SER_hh_fech_in!N25=0,0,SER_hh_fech_in!N25/SER_summary!N$27)</f>
        <v>29.635224988732006</v>
      </c>
      <c r="O25" s="133">
        <f>IF(SER_hh_fech_in!O25=0,0,SER_hh_fech_in!O25/SER_summary!O$27)</f>
        <v>29.345962283636929</v>
      </c>
      <c r="P25" s="133">
        <f>IF(SER_hh_fech_in!P25=0,0,SER_hh_fech_in!P25/SER_summary!P$27)</f>
        <v>28.206053027259198</v>
      </c>
      <c r="Q25" s="133">
        <f>IF(SER_hh_fech_in!Q25=0,0,SER_hh_fech_in!Q25/SER_summary!Q$27)</f>
        <v>28.582431846855748</v>
      </c>
      <c r="R25" s="133">
        <f>IF(SER_hh_fech_in!R25=0,0,SER_hh_fech_in!R25/SER_summary!R$27)</f>
        <v>28.590181588804274</v>
      </c>
      <c r="S25" s="133">
        <f>IF(SER_hh_fech_in!S25=0,0,SER_hh_fech_in!S25/SER_summary!S$27)</f>
        <v>28.145131597606245</v>
      </c>
      <c r="T25" s="133">
        <f>IF(SER_hh_fech_in!T25=0,0,SER_hh_fech_in!T25/SER_summary!T$27)</f>
        <v>26.751545009628931</v>
      </c>
      <c r="U25" s="133">
        <f>IF(SER_hh_fech_in!U25=0,0,SER_hh_fech_in!U25/SER_summary!U$27)</f>
        <v>26.24867434607777</v>
      </c>
      <c r="V25" s="133">
        <f>IF(SER_hh_fech_in!V25=0,0,SER_hh_fech_in!V25/SER_summary!V$27)</f>
        <v>23.838774677803517</v>
      </c>
      <c r="W25" s="133">
        <f>IF(SER_hh_fech_in!W25=0,0,SER_hh_fech_in!W25/SER_summary!W$27)</f>
        <v>25.120202751163099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41.182453305260367</v>
      </c>
      <c r="D26" s="65">
        <f>IF(SER_hh_fech_in!D26=0,0,SER_hh_fech_in!D26/SER_summary!D$27)</f>
        <v>37.392035042853173</v>
      </c>
      <c r="E26" s="65">
        <f>IF(SER_hh_fech_in!E26=0,0,SER_hh_fech_in!E26/SER_summary!E$27)</f>
        <v>37.213079385741636</v>
      </c>
      <c r="F26" s="65">
        <f>IF(SER_hh_fech_in!F26=0,0,SER_hh_fech_in!F26/SER_summary!F$27)</f>
        <v>38.203458473449764</v>
      </c>
      <c r="G26" s="65">
        <f>IF(SER_hh_fech_in!G26=0,0,SER_hh_fech_in!G26/SER_summary!G$27)</f>
        <v>35.546338516893663</v>
      </c>
      <c r="H26" s="65">
        <f>IF(SER_hh_fech_in!H26=0,0,SER_hh_fech_in!H26/SER_summary!H$27)</f>
        <v>36.71335662371829</v>
      </c>
      <c r="I26" s="65">
        <f>IF(SER_hh_fech_in!I26=0,0,SER_hh_fech_in!I26/SER_summary!I$27)</f>
        <v>36.323657225607491</v>
      </c>
      <c r="J26" s="65">
        <f>IF(SER_hh_fech_in!J26=0,0,SER_hh_fech_in!J26/SER_summary!J$27)</f>
        <v>34.84878956091989</v>
      </c>
      <c r="K26" s="65">
        <f>IF(SER_hh_fech_in!K26=0,0,SER_hh_fech_in!K26/SER_summary!K$27)</f>
        <v>36.524656665379773</v>
      </c>
      <c r="L26" s="65">
        <f>IF(SER_hh_fech_in!L26=0,0,SER_hh_fech_in!L26/SER_summary!L$27)</f>
        <v>35.784979273396125</v>
      </c>
      <c r="M26" s="65">
        <f>IF(SER_hh_fech_in!M26=0,0,SER_hh_fech_in!M26/SER_summary!M$27)</f>
        <v>35.723794651273167</v>
      </c>
      <c r="N26" s="65">
        <f>IF(SER_hh_fech_in!N26=0,0,SER_hh_fech_in!N26/SER_summary!N$27)</f>
        <v>33.932538496932516</v>
      </c>
      <c r="O26" s="65">
        <f>IF(SER_hh_fech_in!O26=0,0,SER_hh_fech_in!O26/SER_summary!O$27)</f>
        <v>34.176263447551896</v>
      </c>
      <c r="P26" s="65">
        <f>IF(SER_hh_fech_in!P26=0,0,SER_hh_fech_in!P26/SER_summary!P$27)</f>
        <v>32.015034342167169</v>
      </c>
      <c r="Q26" s="65">
        <f>IF(SER_hh_fech_in!Q26=0,0,SER_hh_fech_in!Q26/SER_summary!Q$27)</f>
        <v>30.070647770573878</v>
      </c>
      <c r="R26" s="65">
        <f>IF(SER_hh_fech_in!R26=0,0,SER_hh_fech_in!R26/SER_summary!R$27)</f>
        <v>30.049842836411209</v>
      </c>
      <c r="S26" s="65">
        <f>IF(SER_hh_fech_in!S26=0,0,SER_hh_fech_in!S26/SER_summary!S$27)</f>
        <v>28.809071196902657</v>
      </c>
      <c r="T26" s="65">
        <f>IF(SER_hh_fech_in!T26=0,0,SER_hh_fech_in!T26/SER_summary!T$27)</f>
        <v>29.17061776713463</v>
      </c>
      <c r="U26" s="65">
        <f>IF(SER_hh_fech_in!U26=0,0,SER_hh_fech_in!U26/SER_summary!U$27)</f>
        <v>27.501098320728047</v>
      </c>
      <c r="V26" s="65">
        <f>IF(SER_hh_fech_in!V26=0,0,SER_hh_fech_in!V26/SER_summary!V$27)</f>
        <v>23.613079493125074</v>
      </c>
      <c r="W26" s="65">
        <f>IF(SER_hh_fech_in!W26=0,0,SER_hh_fech_in!W26/SER_summary!W$27)</f>
        <v>25.071650091712016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55.337444920043069</v>
      </c>
      <c r="D29" s="131">
        <f>IF(SER_hh_fech_in!D29=0,0,SER_hh_fech_in!D29/SER_summary!D$27)</f>
        <v>44.63622702141015</v>
      </c>
      <c r="E29" s="131">
        <f>IF(SER_hh_fech_in!E29=0,0,SER_hh_fech_in!E29/SER_summary!E$27)</f>
        <v>45.128463424027707</v>
      </c>
      <c r="F29" s="131">
        <f>IF(SER_hh_fech_in!F29=0,0,SER_hh_fech_in!F29/SER_summary!F$27)</f>
        <v>40.864616613173858</v>
      </c>
      <c r="G29" s="131">
        <f>IF(SER_hh_fech_in!G29=0,0,SER_hh_fech_in!G29/SER_summary!G$27)</f>
        <v>40.765527678476623</v>
      </c>
      <c r="H29" s="131">
        <f>IF(SER_hh_fech_in!H29=0,0,SER_hh_fech_in!H29/SER_summary!H$27)</f>
        <v>39.852238046535803</v>
      </c>
      <c r="I29" s="131">
        <f>IF(SER_hh_fech_in!I29=0,0,SER_hh_fech_in!I29/SER_summary!I$27)</f>
        <v>38.221191409797989</v>
      </c>
      <c r="J29" s="131">
        <f>IF(SER_hh_fech_in!J29=0,0,SER_hh_fech_in!J29/SER_summary!J$27)</f>
        <v>39.204165134713634</v>
      </c>
      <c r="K29" s="131">
        <f>IF(SER_hh_fech_in!K29=0,0,SER_hh_fech_in!K29/SER_summary!K$27)</f>
        <v>39.759040400929621</v>
      </c>
      <c r="L29" s="131">
        <f>IF(SER_hh_fech_in!L29=0,0,SER_hh_fech_in!L29/SER_summary!L$27)</f>
        <v>38.002301033906605</v>
      </c>
      <c r="M29" s="131">
        <f>IF(SER_hh_fech_in!M29=0,0,SER_hh_fech_in!M29/SER_summary!M$27)</f>
        <v>36.062665105760345</v>
      </c>
      <c r="N29" s="131">
        <f>IF(SER_hh_fech_in!N29=0,0,SER_hh_fech_in!N29/SER_summary!N$27)</f>
        <v>37.820476515050537</v>
      </c>
      <c r="O29" s="131">
        <f>IF(SER_hh_fech_in!O29=0,0,SER_hh_fech_in!O29/SER_summary!O$27)</f>
        <v>37.730683797726478</v>
      </c>
      <c r="P29" s="131">
        <f>IF(SER_hh_fech_in!P29=0,0,SER_hh_fech_in!P29/SER_summary!P$27)</f>
        <v>38.714969083428734</v>
      </c>
      <c r="Q29" s="131">
        <f>IF(SER_hh_fech_in!Q29=0,0,SER_hh_fech_in!Q29/SER_summary!Q$27)</f>
        <v>36.990759299997677</v>
      </c>
      <c r="R29" s="131">
        <f>IF(SER_hh_fech_in!R29=0,0,SER_hh_fech_in!R29/SER_summary!R$27)</f>
        <v>39.515837300823094</v>
      </c>
      <c r="S29" s="131">
        <f>IF(SER_hh_fech_in!S29=0,0,SER_hh_fech_in!S29/SER_summary!S$27)</f>
        <v>39.121291821998796</v>
      </c>
      <c r="T29" s="131">
        <f>IF(SER_hh_fech_in!T29=0,0,SER_hh_fech_in!T29/SER_summary!T$27)</f>
        <v>36.126759460923765</v>
      </c>
      <c r="U29" s="131">
        <f>IF(SER_hh_fech_in!U29=0,0,SER_hh_fech_in!U29/SER_summary!U$27)</f>
        <v>35.106448505051219</v>
      </c>
      <c r="V29" s="131">
        <f>IF(SER_hh_fech_in!V29=0,0,SER_hh_fech_in!V29/SER_summary!V$27)</f>
        <v>32.701186470995744</v>
      </c>
      <c r="W29" s="131">
        <f>IF(SER_hh_fech_in!W29=0,0,SER_hh_fech_in!W29/SER_summary!W$27)</f>
        <v>31.326727455998999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84.372017516462805</v>
      </c>
      <c r="D30" s="133">
        <f>IF(SER_hh_fech_in!D30=0,0,SER_hh_fech_in!D30/SER_summary!D$27)</f>
        <v>26.236405066483176</v>
      </c>
      <c r="E30" s="133">
        <f>IF(SER_hh_fech_in!E30=0,0,SER_hh_fech_in!E30/SER_summary!E$27)</f>
        <v>67.55855537956306</v>
      </c>
      <c r="F30" s="133">
        <f>IF(SER_hh_fech_in!F30=0,0,SER_hh_fech_in!F30/SER_summary!F$27)</f>
        <v>48.548345513548348</v>
      </c>
      <c r="G30" s="133">
        <f>IF(SER_hh_fech_in!G30=0,0,SER_hh_fech_in!G30/SER_summary!G$27)</f>
        <v>46.654915932815314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48.432742138263457</v>
      </c>
      <c r="O30" s="133">
        <f>IF(SER_hh_fech_in!O30=0,0,SER_hh_fech_in!O30/SER_summary!O$27)</f>
        <v>41.60872495627634</v>
      </c>
      <c r="P30" s="133">
        <f>IF(SER_hh_fech_in!P30=0,0,SER_hh_fech_in!P30/SER_summary!P$27)</f>
        <v>46.811758463939825</v>
      </c>
      <c r="Q30" s="133">
        <f>IF(SER_hh_fech_in!Q30=0,0,SER_hh_fech_in!Q30/SER_summary!Q$27)</f>
        <v>35.886536548587536</v>
      </c>
      <c r="R30" s="133">
        <f>IF(SER_hh_fech_in!R30=0,0,SER_hh_fech_in!R30/SER_summary!R$27)</f>
        <v>44.330737145185623</v>
      </c>
      <c r="S30" s="133">
        <f>IF(SER_hh_fech_in!S30=0,0,SER_hh_fech_in!S30/SER_summary!S$27)</f>
        <v>53.534736645368049</v>
      </c>
      <c r="T30" s="133">
        <f>IF(SER_hh_fech_in!T30=0,0,SER_hh_fech_in!T30/SER_summary!T$27)</f>
        <v>45.021815506885289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42.884432711833064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56.942488117597534</v>
      </c>
      <c r="D31" s="133">
        <f>IF(SER_hh_fech_in!D31=0,0,SER_hh_fech_in!D31/SER_summary!D$27)</f>
        <v>57.242072709559388</v>
      </c>
      <c r="E31" s="133">
        <f>IF(SER_hh_fech_in!E31=0,0,SER_hh_fech_in!E31/SER_summary!E$27)</f>
        <v>50.31915015906312</v>
      </c>
      <c r="F31" s="133">
        <f>IF(SER_hh_fech_in!F31=0,0,SER_hh_fech_in!F31/SER_summary!F$27)</f>
        <v>51.443715995504682</v>
      </c>
      <c r="G31" s="133">
        <f>IF(SER_hh_fech_in!G31=0,0,SER_hh_fech_in!G31/SER_summary!G$27)</f>
        <v>50.019857707766867</v>
      </c>
      <c r="H31" s="133">
        <f>IF(SER_hh_fech_in!H31=0,0,SER_hh_fech_in!H31/SER_summary!H$27)</f>
        <v>48.074693949342262</v>
      </c>
      <c r="I31" s="133">
        <f>IF(SER_hh_fech_in!I31=0,0,SER_hh_fech_in!I31/SER_summary!I$27)</f>
        <v>47.515664096033582</v>
      </c>
      <c r="J31" s="133">
        <f>IF(SER_hh_fech_in!J31=0,0,SER_hh_fech_in!J31/SER_summary!J$27)</f>
        <v>48.649867506771848</v>
      </c>
      <c r="K31" s="133">
        <f>IF(SER_hh_fech_in!K31=0,0,SER_hh_fech_in!K31/SER_summary!K$27)</f>
        <v>49.748777070813368</v>
      </c>
      <c r="L31" s="133">
        <f>IF(SER_hh_fech_in!L31=0,0,SER_hh_fech_in!L31/SER_summary!L$27)</f>
        <v>48.987464217979699</v>
      </c>
      <c r="M31" s="133">
        <f>IF(SER_hh_fech_in!M31=0,0,SER_hh_fech_in!M31/SER_summary!M$27)</f>
        <v>49.816803648332908</v>
      </c>
      <c r="N31" s="133">
        <f>IF(SER_hh_fech_in!N31=0,0,SER_hh_fech_in!N31/SER_summary!N$27)</f>
        <v>0</v>
      </c>
      <c r="O31" s="133">
        <f>IF(SER_hh_fech_in!O31=0,0,SER_hh_fech_in!O31/SER_summary!O$27)</f>
        <v>43.978833710953275</v>
      </c>
      <c r="P31" s="133">
        <f>IF(SER_hh_fech_in!P31=0,0,SER_hh_fech_in!P31/SER_summary!P$27)</f>
        <v>45.960470098155248</v>
      </c>
      <c r="Q31" s="133">
        <f>IF(SER_hh_fech_in!Q31=0,0,SER_hh_fech_in!Q31/SER_summary!Q$27)</f>
        <v>42.791137537763575</v>
      </c>
      <c r="R31" s="133">
        <f>IF(SER_hh_fech_in!R31=0,0,SER_hh_fech_in!R31/SER_summary!R$27)</f>
        <v>45.011744733242118</v>
      </c>
      <c r="S31" s="133">
        <f>IF(SER_hh_fech_in!S31=0,0,SER_hh_fech_in!S31/SER_summary!S$27)</f>
        <v>44.432027536007652</v>
      </c>
      <c r="T31" s="133">
        <f>IF(SER_hh_fech_in!T31=0,0,SER_hh_fech_in!T31/SER_summary!T$27)</f>
        <v>43.195147772764543</v>
      </c>
      <c r="U31" s="133">
        <f>IF(SER_hh_fech_in!U31=0,0,SER_hh_fech_in!U31/SER_summary!U$27)</f>
        <v>42.304566048437309</v>
      </c>
      <c r="V31" s="133">
        <f>IF(SER_hh_fech_in!V31=0,0,SER_hh_fech_in!V31/SER_summary!V$27)</f>
        <v>40.560723078598244</v>
      </c>
      <c r="W31" s="133">
        <f>IF(SER_hh_fech_in!W31=0,0,SER_hh_fech_in!W31/SER_summary!W$27)</f>
        <v>39.882111154475467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41.388199718122024</v>
      </c>
      <c r="D33" s="68">
        <f>IF(SER_hh_fech_in!D33=0,0,SER_hh_fech_in!D33/SER_summary!D$27)</f>
        <v>39.712057493768121</v>
      </c>
      <c r="E33" s="68">
        <f>IF(SER_hh_fech_in!E33=0,0,SER_hh_fech_in!E33/SER_summary!E$27)</f>
        <v>37.272714282797629</v>
      </c>
      <c r="F33" s="68">
        <f>IF(SER_hh_fech_in!F33=0,0,SER_hh_fech_in!F33/SER_summary!F$27)</f>
        <v>38.028839985827162</v>
      </c>
      <c r="G33" s="68">
        <f>IF(SER_hh_fech_in!G33=0,0,SER_hh_fech_in!G33/SER_summary!G$27)</f>
        <v>38.585971577283416</v>
      </c>
      <c r="H33" s="68">
        <f>IF(SER_hh_fech_in!H33=0,0,SER_hh_fech_in!H33/SER_summary!H$27)</f>
        <v>38.126919962067134</v>
      </c>
      <c r="I33" s="68">
        <f>IF(SER_hh_fech_in!I33=0,0,SER_hh_fech_in!I33/SER_summary!I$27)</f>
        <v>35.811972984964662</v>
      </c>
      <c r="J33" s="68">
        <f>IF(SER_hh_fech_in!J33=0,0,SER_hh_fech_in!J33/SER_summary!J$27)</f>
        <v>36.229861428867729</v>
      </c>
      <c r="K33" s="68">
        <f>IF(SER_hh_fech_in!K33=0,0,SER_hh_fech_in!K33/SER_summary!K$27)</f>
        <v>36.288810769565224</v>
      </c>
      <c r="L33" s="68">
        <f>IF(SER_hh_fech_in!L33=0,0,SER_hh_fech_in!L33/SER_summary!L$27)</f>
        <v>35.645410850566869</v>
      </c>
      <c r="M33" s="68">
        <f>IF(SER_hh_fech_in!M33=0,0,SER_hh_fech_in!M33/SER_summary!M$27)</f>
        <v>35.470185409689179</v>
      </c>
      <c r="N33" s="68">
        <f>IF(SER_hh_fech_in!N33=0,0,SER_hh_fech_in!N33/SER_summary!N$27)</f>
        <v>36.233865500605162</v>
      </c>
      <c r="O33" s="68">
        <f>IF(SER_hh_fech_in!O33=0,0,SER_hh_fech_in!O33/SER_summary!O$27)</f>
        <v>36.333908691285416</v>
      </c>
      <c r="P33" s="68">
        <f>IF(SER_hh_fech_in!P33=0,0,SER_hh_fech_in!P33/SER_summary!P$27)</f>
        <v>34.819767918065544</v>
      </c>
      <c r="Q33" s="68">
        <f>IF(SER_hh_fech_in!Q33=0,0,SER_hh_fech_in!Q33/SER_summary!Q$27)</f>
        <v>34.931217572320591</v>
      </c>
      <c r="R33" s="68">
        <f>IF(SER_hh_fech_in!R33=0,0,SER_hh_fech_in!R33/SER_summary!R$27)</f>
        <v>33.04352773190022</v>
      </c>
      <c r="S33" s="68">
        <f>IF(SER_hh_fech_in!S33=0,0,SER_hh_fech_in!S33/SER_summary!S$27)</f>
        <v>30.918623462205563</v>
      </c>
      <c r="T33" s="68">
        <f>IF(SER_hh_fech_in!T33=0,0,SER_hh_fech_in!T33/SER_summary!T$27)</f>
        <v>31.174172637273315</v>
      </c>
      <c r="U33" s="68">
        <f>IF(SER_hh_fech_in!U33=0,0,SER_hh_fech_in!U33/SER_summary!U$27)</f>
        <v>30.843477792040428</v>
      </c>
      <c r="V33" s="68">
        <f>IF(SER_hh_fech_in!V33=0,0,SER_hh_fech_in!V33/SER_summary!V$27)</f>
        <v>27.318267401226816</v>
      </c>
      <c r="W33" s="68">
        <f>IF(SER_hh_fech_in!W33=0,0,SER_hh_fech_in!W33/SER_summary!W$27)</f>
        <v>28.752700859598818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263.04956609611122</v>
      </c>
      <c r="D3" s="126">
        <f>IF(SER_hh_tesh_in!D3=0,0,SER_hh_tesh_in!D3/SER_summary!D$27)</f>
        <v>273.84327343307945</v>
      </c>
      <c r="E3" s="126">
        <f>IF(SER_hh_tesh_in!E3=0,0,SER_hh_tesh_in!E3/SER_summary!E$27)</f>
        <v>270.41143013419276</v>
      </c>
      <c r="F3" s="126">
        <f>IF(SER_hh_tesh_in!F3=0,0,SER_hh_tesh_in!F3/SER_summary!F$27)</f>
        <v>265.01045833202568</v>
      </c>
      <c r="G3" s="126">
        <f>IF(SER_hh_tesh_in!G3=0,0,SER_hh_tesh_in!G3/SER_summary!G$27)</f>
        <v>251.76265129390393</v>
      </c>
      <c r="H3" s="126">
        <f>IF(SER_hh_tesh_in!H3=0,0,SER_hh_tesh_in!H3/SER_summary!H$27)</f>
        <v>249.02126764310196</v>
      </c>
      <c r="I3" s="126">
        <f>IF(SER_hh_tesh_in!I3=0,0,SER_hh_tesh_in!I3/SER_summary!I$27)</f>
        <v>247.83912016084074</v>
      </c>
      <c r="J3" s="126">
        <f>IF(SER_hh_tesh_in!J3=0,0,SER_hh_tesh_in!J3/SER_summary!J$27)</f>
        <v>217.6618208954001</v>
      </c>
      <c r="K3" s="126">
        <f>IF(SER_hh_tesh_in!K3=0,0,SER_hh_tesh_in!K3/SER_summary!K$27)</f>
        <v>213.65398280673486</v>
      </c>
      <c r="L3" s="126">
        <f>IF(SER_hh_tesh_in!L3=0,0,SER_hh_tesh_in!L3/SER_summary!L$27)</f>
        <v>223.90160685097692</v>
      </c>
      <c r="M3" s="126">
        <f>IF(SER_hh_tesh_in!M3=0,0,SER_hh_tesh_in!M3/SER_summary!M$27)</f>
        <v>185.90739228317977</v>
      </c>
      <c r="N3" s="126">
        <f>IF(SER_hh_tesh_in!N3=0,0,SER_hh_tesh_in!N3/SER_summary!N$27)</f>
        <v>224.77878374908266</v>
      </c>
      <c r="O3" s="126">
        <f>IF(SER_hh_tesh_in!O3=0,0,SER_hh_tesh_in!O3/SER_summary!O$27)</f>
        <v>205.93895082223008</v>
      </c>
      <c r="P3" s="126">
        <f>IF(SER_hh_tesh_in!P3=0,0,SER_hh_tesh_in!P3/SER_summary!P$27)</f>
        <v>200.97252424874296</v>
      </c>
      <c r="Q3" s="126">
        <f>IF(SER_hh_tesh_in!Q3=0,0,SER_hh_tesh_in!Q3/SER_summary!Q$27)</f>
        <v>181.49768990810961</v>
      </c>
      <c r="R3" s="126">
        <f>IF(SER_hh_tesh_in!R3=0,0,SER_hh_tesh_in!R3/SER_summary!R$27)</f>
        <v>182.42953766851733</v>
      </c>
      <c r="S3" s="126">
        <f>IF(SER_hh_tesh_in!S3=0,0,SER_hh_tesh_in!S3/SER_summary!S$27)</f>
        <v>177.79915533971956</v>
      </c>
      <c r="T3" s="126">
        <f>IF(SER_hh_tesh_in!T3=0,0,SER_hh_tesh_in!T3/SER_summary!T$27)</f>
        <v>169.63656302346777</v>
      </c>
      <c r="U3" s="126">
        <f>IF(SER_hh_tesh_in!U3=0,0,SER_hh_tesh_in!U3/SER_summary!U$27)</f>
        <v>155.48761422204211</v>
      </c>
      <c r="V3" s="126">
        <f>IF(SER_hh_tesh_in!V3=0,0,SER_hh_tesh_in!V3/SER_summary!V$27)</f>
        <v>143.35522755375663</v>
      </c>
      <c r="W3" s="126">
        <f>IF(SER_hh_tesh_in!W3=0,0,SER_hh_tesh_in!W3/SER_summary!W$27)</f>
        <v>145.15524613335205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196.51753100188327</v>
      </c>
      <c r="D4" s="131">
        <f>IF(SER_hh_tesh_in!D4=0,0,SER_hh_tesh_in!D4/SER_summary!D$27)</f>
        <v>213.59363888992135</v>
      </c>
      <c r="E4" s="131">
        <f>IF(SER_hh_tesh_in!E4=0,0,SER_hh_tesh_in!E4/SER_summary!E$27)</f>
        <v>209.74250692523444</v>
      </c>
      <c r="F4" s="131">
        <f>IF(SER_hh_tesh_in!F4=0,0,SER_hh_tesh_in!F4/SER_summary!F$27)</f>
        <v>206.70399929868714</v>
      </c>
      <c r="G4" s="131">
        <f>IF(SER_hh_tesh_in!G4=0,0,SER_hh_tesh_in!G4/SER_summary!G$27)</f>
        <v>191.39247199720725</v>
      </c>
      <c r="H4" s="131">
        <f>IF(SER_hh_tesh_in!H4=0,0,SER_hh_tesh_in!H4/SER_summary!H$27)</f>
        <v>190.48539819321886</v>
      </c>
      <c r="I4" s="131">
        <f>IF(SER_hh_tesh_in!I4=0,0,SER_hh_tesh_in!I4/SER_summary!I$27)</f>
        <v>190.49356692393559</v>
      </c>
      <c r="J4" s="131">
        <f>IF(SER_hh_tesh_in!J4=0,0,SER_hh_tesh_in!J4/SER_summary!J$27)</f>
        <v>156.29029116757715</v>
      </c>
      <c r="K4" s="131">
        <f>IF(SER_hh_tesh_in!K4=0,0,SER_hh_tesh_in!K4/SER_summary!K$27)</f>
        <v>140.47993080858973</v>
      </c>
      <c r="L4" s="131">
        <f>IF(SER_hh_tesh_in!L4=0,0,SER_hh_tesh_in!L4/SER_summary!L$27)</f>
        <v>147.41321580565864</v>
      </c>
      <c r="M4" s="131">
        <f>IF(SER_hh_tesh_in!M4=0,0,SER_hh_tesh_in!M4/SER_summary!M$27)</f>
        <v>118.92725659498711</v>
      </c>
      <c r="N4" s="131">
        <f>IF(SER_hh_tesh_in!N4=0,0,SER_hh_tesh_in!N4/SER_summary!N$27)</f>
        <v>151.57072646461572</v>
      </c>
      <c r="O4" s="131">
        <f>IF(SER_hh_tesh_in!O4=0,0,SER_hh_tesh_in!O4/SER_summary!O$27)</f>
        <v>133.52893603809568</v>
      </c>
      <c r="P4" s="131">
        <f>IF(SER_hh_tesh_in!P4=0,0,SER_hh_tesh_in!P4/SER_summary!P$27)</f>
        <v>128.39819808118</v>
      </c>
      <c r="Q4" s="131">
        <f>IF(SER_hh_tesh_in!Q4=0,0,SER_hh_tesh_in!Q4/SER_summary!Q$27)</f>
        <v>111.25064226472207</v>
      </c>
      <c r="R4" s="131">
        <f>IF(SER_hh_tesh_in!R4=0,0,SER_hh_tesh_in!R4/SER_summary!R$27)</f>
        <v>111.86162656445245</v>
      </c>
      <c r="S4" s="131">
        <f>IF(SER_hh_tesh_in!S4=0,0,SER_hh_tesh_in!S4/SER_summary!S$27)</f>
        <v>107.26997527862615</v>
      </c>
      <c r="T4" s="131">
        <f>IF(SER_hh_tesh_in!T4=0,0,SER_hh_tesh_in!T4/SER_summary!T$27)</f>
        <v>99.197406455514241</v>
      </c>
      <c r="U4" s="131">
        <f>IF(SER_hh_tesh_in!U4=0,0,SER_hh_tesh_in!U4/SER_summary!U$27)</f>
        <v>87.368927517750151</v>
      </c>
      <c r="V4" s="131">
        <f>IF(SER_hh_tesh_in!V4=0,0,SER_hh_tesh_in!V4/SER_summary!V$27)</f>
        <v>79.765469525383153</v>
      </c>
      <c r="W4" s="131">
        <f>IF(SER_hh_tesh_in!W4=0,0,SER_hh_tesh_in!W4/SER_summary!W$27)</f>
        <v>78.498156678792327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203.8377852356704</v>
      </c>
      <c r="D5" s="133">
        <f>IF(SER_hh_tesh_in!D5=0,0,SER_hh_tesh_in!D5/SER_summary!D$27)</f>
        <v>204.08604458052585</v>
      </c>
      <c r="E5" s="133">
        <f>IF(SER_hh_tesh_in!E5=0,0,SER_hh_tesh_in!E5/SER_summary!E$27)</f>
        <v>202.39147665274442</v>
      </c>
      <c r="F5" s="133">
        <f>IF(SER_hh_tesh_in!F5=0,0,SER_hh_tesh_in!F5/SER_summary!F$27)</f>
        <v>206.42029338860667</v>
      </c>
      <c r="G5" s="133">
        <f>IF(SER_hh_tesh_in!G5=0,0,SER_hh_tesh_in!G5/SER_summary!G$27)</f>
        <v>177.51165090606466</v>
      </c>
      <c r="H5" s="133">
        <f>IF(SER_hh_tesh_in!H5=0,0,SER_hh_tesh_in!H5/SER_summary!H$27)</f>
        <v>186.62793884439949</v>
      </c>
      <c r="I5" s="133">
        <f>IF(SER_hh_tesh_in!I5=0,0,SER_hh_tesh_in!I5/SER_summary!I$27)</f>
        <v>187.67718898568091</v>
      </c>
      <c r="J5" s="133">
        <f>IF(SER_hh_tesh_in!J5=0,0,SER_hh_tesh_in!J5/SER_summary!J$27)</f>
        <v>159.5332916570774</v>
      </c>
      <c r="K5" s="133">
        <f>IF(SER_hh_tesh_in!K5=0,0,SER_hh_tesh_in!K5/SER_summary!K$27)</f>
        <v>118.3442811429114</v>
      </c>
      <c r="L5" s="133">
        <f>IF(SER_hh_tesh_in!L5=0,0,SER_hh_tesh_in!L5/SER_summary!L$27)</f>
        <v>160.1206583509186</v>
      </c>
      <c r="M5" s="133">
        <f>IF(SER_hh_tesh_in!M5=0,0,SER_hh_tesh_in!M5/SER_summary!M$27)</f>
        <v>149.84630550417401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205.15375423254793</v>
      </c>
      <c r="D7" s="133">
        <f>IF(SER_hh_tesh_in!D7=0,0,SER_hh_tesh_in!D7/SER_summary!D$27)</f>
        <v>196.80481030081157</v>
      </c>
      <c r="E7" s="133">
        <f>IF(SER_hh_tesh_in!E7=0,0,SER_hh_tesh_in!E7/SER_summary!E$27)</f>
        <v>210.3225000497419</v>
      </c>
      <c r="F7" s="133">
        <f>IF(SER_hh_tesh_in!F7=0,0,SER_hh_tesh_in!F7/SER_summary!F$27)</f>
        <v>211.48315798272733</v>
      </c>
      <c r="G7" s="133">
        <f>IF(SER_hh_tesh_in!G7=0,0,SER_hh_tesh_in!G7/SER_summary!G$27)</f>
        <v>167.36691906378383</v>
      </c>
      <c r="H7" s="133">
        <f>IF(SER_hh_tesh_in!H7=0,0,SER_hh_tesh_in!H7/SER_summary!H$27)</f>
        <v>214.80975912293212</v>
      </c>
      <c r="I7" s="133">
        <f>IF(SER_hh_tesh_in!I7=0,0,SER_hh_tesh_in!I7/SER_summary!I$27)</f>
        <v>175.88964812185847</v>
      </c>
      <c r="J7" s="133">
        <f>IF(SER_hh_tesh_in!J7=0,0,SER_hh_tesh_in!J7/SER_summary!J$27)</f>
        <v>147.5549532987786</v>
      </c>
      <c r="K7" s="133">
        <f>IF(SER_hh_tesh_in!K7=0,0,SER_hh_tesh_in!K7/SER_summary!K$27)</f>
        <v>138.88375923404197</v>
      </c>
      <c r="L7" s="133">
        <f>IF(SER_hh_tesh_in!L7=0,0,SER_hh_tesh_in!L7/SER_summary!L$27)</f>
        <v>136.25985235475059</v>
      </c>
      <c r="M7" s="133">
        <f>IF(SER_hh_tesh_in!M7=0,0,SER_hh_tesh_in!M7/SER_summary!M$27)</f>
        <v>111.26930922396529</v>
      </c>
      <c r="N7" s="133">
        <f>IF(SER_hh_tesh_in!N7=0,0,SER_hh_tesh_in!N7/SER_summary!N$27)</f>
        <v>140.56487333497304</v>
      </c>
      <c r="O7" s="133">
        <f>IF(SER_hh_tesh_in!O7=0,0,SER_hh_tesh_in!O7/SER_summary!O$27)</f>
        <v>130.20085342205181</v>
      </c>
      <c r="P7" s="133">
        <f>IF(SER_hh_tesh_in!P7=0,0,SER_hh_tesh_in!P7/SER_summary!P$27)</f>
        <v>129.27283882114648</v>
      </c>
      <c r="Q7" s="133">
        <f>IF(SER_hh_tesh_in!Q7=0,0,SER_hh_tesh_in!Q7/SER_summary!Q$27)</f>
        <v>131.03815814505174</v>
      </c>
      <c r="R7" s="133">
        <f>IF(SER_hh_tesh_in!R7=0,0,SER_hh_tesh_in!R7/SER_summary!R$27)</f>
        <v>0</v>
      </c>
      <c r="S7" s="133">
        <f>IF(SER_hh_tesh_in!S7=0,0,SER_hh_tesh_in!S7/SER_summary!S$27)</f>
        <v>0</v>
      </c>
      <c r="T7" s="133">
        <f>IF(SER_hh_tesh_in!T7=0,0,SER_hh_tesh_in!T7/SER_summary!T$27)</f>
        <v>103.07130618456495</v>
      </c>
      <c r="U7" s="133">
        <f>IF(SER_hh_tesh_in!U7=0,0,SER_hh_tesh_in!U7/SER_summary!U$27)</f>
        <v>73.240753877948208</v>
      </c>
      <c r="V7" s="133">
        <f>IF(SER_hh_tesh_in!V7=0,0,SER_hh_tesh_in!V7/SER_summary!V$27)</f>
        <v>75.102729022841388</v>
      </c>
      <c r="W7" s="133">
        <f>IF(SER_hh_tesh_in!W7=0,0,SER_hh_tesh_in!W7/SER_summary!W$27)</f>
        <v>83.170852116497542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172.32167371635106</v>
      </c>
      <c r="D9" s="133">
        <f>IF(SER_hh_tesh_in!D9=0,0,SER_hh_tesh_in!D9/SER_summary!D$27)</f>
        <v>211.70322920179476</v>
      </c>
      <c r="E9" s="133">
        <f>IF(SER_hh_tesh_in!E9=0,0,SER_hh_tesh_in!E9/SER_summary!E$27)</f>
        <v>199.59922924472835</v>
      </c>
      <c r="F9" s="133">
        <f>IF(SER_hh_tesh_in!F9=0,0,SER_hh_tesh_in!F9/SER_summary!F$27)</f>
        <v>208.93404215749655</v>
      </c>
      <c r="G9" s="133">
        <f>IF(SER_hh_tesh_in!G9=0,0,SER_hh_tesh_in!G9/SER_summary!G$27)</f>
        <v>189.16400398766874</v>
      </c>
      <c r="H9" s="133">
        <f>IF(SER_hh_tesh_in!H9=0,0,SER_hh_tesh_in!H9/SER_summary!H$27)</f>
        <v>184.42199511758625</v>
      </c>
      <c r="I9" s="133">
        <f>IF(SER_hh_tesh_in!I9=0,0,SER_hh_tesh_in!I9/SER_summary!I$27)</f>
        <v>185.15036067932192</v>
      </c>
      <c r="J9" s="133">
        <f>IF(SER_hh_tesh_in!J9=0,0,SER_hh_tesh_in!J9/SER_summary!J$27)</f>
        <v>161.0560993528604</v>
      </c>
      <c r="K9" s="133">
        <f>IF(SER_hh_tesh_in!K9=0,0,SER_hh_tesh_in!K9/SER_summary!K$27)</f>
        <v>140.36321819008145</v>
      </c>
      <c r="L9" s="133">
        <f>IF(SER_hh_tesh_in!L9=0,0,SER_hh_tesh_in!L9/SER_summary!L$27)</f>
        <v>144.75570262102983</v>
      </c>
      <c r="M9" s="133">
        <f>IF(SER_hh_tesh_in!M9=0,0,SER_hh_tesh_in!M9/SER_summary!M$27)</f>
        <v>130.28170755914678</v>
      </c>
      <c r="N9" s="133">
        <f>IF(SER_hh_tesh_in!N9=0,0,SER_hh_tesh_in!N9/SER_summary!N$27)</f>
        <v>0</v>
      </c>
      <c r="O9" s="133">
        <f>IF(SER_hh_tesh_in!O9=0,0,SER_hh_tesh_in!O9/SER_summary!O$27)</f>
        <v>0</v>
      </c>
      <c r="P9" s="133">
        <f>IF(SER_hh_tesh_in!P9=0,0,SER_hh_tesh_in!P9/SER_summary!P$27)</f>
        <v>124.08492415739583</v>
      </c>
      <c r="Q9" s="133">
        <f>IF(SER_hh_tesh_in!Q9=0,0,SER_hh_tesh_in!Q9/SER_summary!Q$27)</f>
        <v>108.1181350723499</v>
      </c>
      <c r="R9" s="133">
        <f>IF(SER_hh_tesh_in!R9=0,0,SER_hh_tesh_in!R9/SER_summary!R$27)</f>
        <v>107.59266804793778</v>
      </c>
      <c r="S9" s="133">
        <f>IF(SER_hh_tesh_in!S9=0,0,SER_hh_tesh_in!S9/SER_summary!S$27)</f>
        <v>104.35682337340027</v>
      </c>
      <c r="T9" s="133">
        <f>IF(SER_hh_tesh_in!T9=0,0,SER_hh_tesh_in!T9/SER_summary!T$27)</f>
        <v>96.562112076681757</v>
      </c>
      <c r="U9" s="133">
        <f>IF(SER_hh_tesh_in!U9=0,0,SER_hh_tesh_in!U9/SER_summary!U$27)</f>
        <v>89.578992326618277</v>
      </c>
      <c r="V9" s="133">
        <f>IF(SER_hh_tesh_in!V9=0,0,SER_hh_tesh_in!V9/SER_summary!V$27)</f>
        <v>80.414038598951478</v>
      </c>
      <c r="W9" s="133">
        <f>IF(SER_hh_tesh_in!W9=0,0,SER_hh_tesh_in!W9/SER_summary!W$27)</f>
        <v>72.011738664727957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209.49201685356493</v>
      </c>
      <c r="D10" s="133">
        <f>IF(SER_hh_tesh_in!D10=0,0,SER_hh_tesh_in!D10/SER_summary!D$27)</f>
        <v>201.02492219458412</v>
      </c>
      <c r="E10" s="133">
        <f>IF(SER_hh_tesh_in!E10=0,0,SER_hh_tesh_in!E10/SER_summary!E$27)</f>
        <v>194.75916241826744</v>
      </c>
      <c r="F10" s="133">
        <f>IF(SER_hh_tesh_in!F10=0,0,SER_hh_tesh_in!F10/SER_summary!F$27)</f>
        <v>209.06498254168844</v>
      </c>
      <c r="G10" s="133">
        <f>IF(SER_hh_tesh_in!G10=0,0,SER_hh_tesh_in!G10/SER_summary!G$27)</f>
        <v>189.29689935752455</v>
      </c>
      <c r="H10" s="133">
        <f>IF(SER_hh_tesh_in!H10=0,0,SER_hh_tesh_in!H10/SER_summary!H$27)</f>
        <v>191.21380612965206</v>
      </c>
      <c r="I10" s="133">
        <f>IF(SER_hh_tesh_in!I10=0,0,SER_hh_tesh_in!I10/SER_summary!I$27)</f>
        <v>220.44582430702874</v>
      </c>
      <c r="J10" s="133">
        <f>IF(SER_hh_tesh_in!J10=0,0,SER_hh_tesh_in!J10/SER_summary!J$27)</f>
        <v>0</v>
      </c>
      <c r="K10" s="133">
        <f>IF(SER_hh_tesh_in!K10=0,0,SER_hh_tesh_in!K10/SER_summary!K$27)</f>
        <v>134.89525423670946</v>
      </c>
      <c r="L10" s="133">
        <f>IF(SER_hh_tesh_in!L10=0,0,SER_hh_tesh_in!L10/SER_summary!L$27)</f>
        <v>141.97435162146675</v>
      </c>
      <c r="M10" s="133">
        <f>IF(SER_hh_tesh_in!M10=0,0,SER_hh_tesh_in!M10/SER_summary!M$27)</f>
        <v>112.6002022169686</v>
      </c>
      <c r="N10" s="133">
        <f>IF(SER_hh_tesh_in!N10=0,0,SER_hh_tesh_in!N10/SER_summary!N$27)</f>
        <v>147.595193486282</v>
      </c>
      <c r="O10" s="133">
        <f>IF(SER_hh_tesh_in!O10=0,0,SER_hh_tesh_in!O10/SER_summary!O$27)</f>
        <v>139.12202107716573</v>
      </c>
      <c r="P10" s="133">
        <f>IF(SER_hh_tesh_in!P10=0,0,SER_hh_tesh_in!P10/SER_summary!P$27)</f>
        <v>120.87775139244222</v>
      </c>
      <c r="Q10" s="133">
        <f>IF(SER_hh_tesh_in!Q10=0,0,SER_hh_tesh_in!Q10/SER_summary!Q$27)</f>
        <v>111.69832384825727</v>
      </c>
      <c r="R10" s="133">
        <f>IF(SER_hh_tesh_in!R10=0,0,SER_hh_tesh_in!R10/SER_summary!R$27)</f>
        <v>107.33853000123594</v>
      </c>
      <c r="S10" s="133">
        <f>IF(SER_hh_tesh_in!S10=0,0,SER_hh_tesh_in!S10/SER_summary!S$27)</f>
        <v>112.85995062591815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210.66615992340238</v>
      </c>
      <c r="D12" s="133">
        <f>IF(SER_hh_tesh_in!D12=0,0,SER_hh_tesh_in!D12/SER_summary!D$27)</f>
        <v>204.32106230154653</v>
      </c>
      <c r="E12" s="133">
        <f>IF(SER_hh_tesh_in!E12=0,0,SER_hh_tesh_in!E12/SER_summary!E$27)</f>
        <v>210.52902904416172</v>
      </c>
      <c r="F12" s="133">
        <f>IF(SER_hh_tesh_in!F12=0,0,SER_hh_tesh_in!F12/SER_summary!F$27)</f>
        <v>196.32029868787993</v>
      </c>
      <c r="G12" s="133">
        <f>IF(SER_hh_tesh_in!G12=0,0,SER_hh_tesh_in!G12/SER_summary!G$27)</f>
        <v>197.17836204678966</v>
      </c>
      <c r="H12" s="133">
        <f>IF(SER_hh_tesh_in!H12=0,0,SER_hh_tesh_in!H12/SER_summary!H$27)</f>
        <v>190.81060057437614</v>
      </c>
      <c r="I12" s="133">
        <f>IF(SER_hh_tesh_in!I12=0,0,SER_hh_tesh_in!I12/SER_summary!I$27)</f>
        <v>170.97809575467093</v>
      </c>
      <c r="J12" s="133">
        <f>IF(SER_hh_tesh_in!J12=0,0,SER_hh_tesh_in!J12/SER_summary!J$27)</f>
        <v>151.55711517040749</v>
      </c>
      <c r="K12" s="133">
        <f>IF(SER_hh_tesh_in!K12=0,0,SER_hh_tesh_in!K12/SER_summary!K$27)</f>
        <v>142.11146607316812</v>
      </c>
      <c r="L12" s="133">
        <f>IF(SER_hh_tesh_in!L12=0,0,SER_hh_tesh_in!L12/SER_summary!L$27)</f>
        <v>147.2147962660915</v>
      </c>
      <c r="M12" s="133">
        <f>IF(SER_hh_tesh_in!M12=0,0,SER_hh_tesh_in!M12/SER_summary!M$27)</f>
        <v>120.43519894945906</v>
      </c>
      <c r="N12" s="133">
        <f>IF(SER_hh_tesh_in!N12=0,0,SER_hh_tesh_in!N12/SER_summary!N$27)</f>
        <v>143.55037923869148</v>
      </c>
      <c r="O12" s="133">
        <f>IF(SER_hh_tesh_in!O12=0,0,SER_hh_tesh_in!O12/SER_summary!O$27)</f>
        <v>133.44417014302891</v>
      </c>
      <c r="P12" s="133">
        <f>IF(SER_hh_tesh_in!P12=0,0,SER_hh_tesh_in!P12/SER_summary!P$27)</f>
        <v>120.28826560210445</v>
      </c>
      <c r="Q12" s="133">
        <f>IF(SER_hh_tesh_in!Q12=0,0,SER_hh_tesh_in!Q12/SER_summary!Q$27)</f>
        <v>108.33839594638206</v>
      </c>
      <c r="R12" s="133">
        <f>IF(SER_hh_tesh_in!R12=0,0,SER_hh_tesh_in!R12/SER_summary!R$27)</f>
        <v>115.91813407268241</v>
      </c>
      <c r="S12" s="133">
        <f>IF(SER_hh_tesh_in!S12=0,0,SER_hh_tesh_in!S12/SER_summary!S$27)</f>
        <v>109.58228441680424</v>
      </c>
      <c r="T12" s="133">
        <f>IF(SER_hh_tesh_in!T12=0,0,SER_hh_tesh_in!T12/SER_summary!T$27)</f>
        <v>94.149125930297174</v>
      </c>
      <c r="U12" s="133">
        <f>IF(SER_hh_tesh_in!U12=0,0,SER_hh_tesh_in!U12/SER_summary!U$27)</f>
        <v>84.196775268364163</v>
      </c>
      <c r="V12" s="133">
        <f>IF(SER_hh_tesh_in!V12=0,0,SER_hh_tesh_in!V12/SER_summary!V$27)</f>
        <v>79.579587825960232</v>
      </c>
      <c r="W12" s="133">
        <f>IF(SER_hh_tesh_in!W12=0,0,SER_hh_tesh_in!W12/SER_summary!W$27)</f>
        <v>78.268643737969569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69.832759642482216</v>
      </c>
      <c r="D13" s="133">
        <f>IF(SER_hh_tesh_in!D13=0,0,SER_hh_tesh_in!D13/SER_summary!D$27)</f>
        <v>162.92810387591533</v>
      </c>
      <c r="E13" s="133">
        <f>IF(SER_hh_tesh_in!E13=0,0,SER_hh_tesh_in!E13/SER_summary!E$27)</f>
        <v>148.96642153326871</v>
      </c>
      <c r="F13" s="133">
        <f>IF(SER_hh_tesh_in!F13=0,0,SER_hh_tesh_in!F13/SER_summary!F$27)</f>
        <v>144.92183645034851</v>
      </c>
      <c r="G13" s="133">
        <f>IF(SER_hh_tesh_in!G13=0,0,SER_hh_tesh_in!G13/SER_summary!G$27)</f>
        <v>141.3301313471807</v>
      </c>
      <c r="H13" s="133">
        <f>IF(SER_hh_tesh_in!H13=0,0,SER_hh_tesh_in!H13/SER_summary!H$27)</f>
        <v>134.03470195779951</v>
      </c>
      <c r="I13" s="133">
        <f>IF(SER_hh_tesh_in!I13=0,0,SER_hh_tesh_in!I13/SER_summary!I$27)</f>
        <v>122.43579663444145</v>
      </c>
      <c r="J13" s="133">
        <f>IF(SER_hh_tesh_in!J13=0,0,SER_hh_tesh_in!J13/SER_summary!J$27)</f>
        <v>111.25793769914628</v>
      </c>
      <c r="K13" s="133">
        <f>IF(SER_hh_tesh_in!K13=0,0,SER_hh_tesh_in!K13/SER_summary!K$27)</f>
        <v>101.01450246650985</v>
      </c>
      <c r="L13" s="133">
        <f>IF(SER_hh_tesh_in!L13=0,0,SER_hh_tesh_in!L13/SER_summary!L$27)</f>
        <v>106.50334340010563</v>
      </c>
      <c r="M13" s="133">
        <f>IF(SER_hh_tesh_in!M13=0,0,SER_hh_tesh_in!M13/SER_summary!M$27)</f>
        <v>116.3874059788925</v>
      </c>
      <c r="N13" s="133">
        <f>IF(SER_hh_tesh_in!N13=0,0,SER_hh_tesh_in!N13/SER_summary!N$27)</f>
        <v>114.83386281807664</v>
      </c>
      <c r="O13" s="133">
        <f>IF(SER_hh_tesh_in!O13=0,0,SER_hh_tesh_in!O13/SER_summary!O$27)</f>
        <v>127.23252722827685</v>
      </c>
      <c r="P13" s="133">
        <f>IF(SER_hh_tesh_in!P13=0,0,SER_hh_tesh_in!P13/SER_summary!P$27)</f>
        <v>125.72215747311996</v>
      </c>
      <c r="Q13" s="133">
        <f>IF(SER_hh_tesh_in!Q13=0,0,SER_hh_tesh_in!Q13/SER_summary!Q$27)</f>
        <v>121.38021226875523</v>
      </c>
      <c r="R13" s="133">
        <f>IF(SER_hh_tesh_in!R13=0,0,SER_hh_tesh_in!R13/SER_summary!R$27)</f>
        <v>114.82671540050529</v>
      </c>
      <c r="S13" s="133">
        <f>IF(SER_hh_tesh_in!S13=0,0,SER_hh_tesh_in!S13/SER_summary!S$27)</f>
        <v>112.51018059791782</v>
      </c>
      <c r="T13" s="133">
        <f>IF(SER_hh_tesh_in!T13=0,0,SER_hh_tesh_in!T13/SER_summary!T$27)</f>
        <v>99.542245515717212</v>
      </c>
      <c r="U13" s="133">
        <f>IF(SER_hh_tesh_in!U13=0,0,SER_hh_tesh_in!U13/SER_summary!U$27)</f>
        <v>92.339655633050597</v>
      </c>
      <c r="V13" s="133">
        <f>IF(SER_hh_tesh_in!V13=0,0,SER_hh_tesh_in!V13/SER_summary!V$27)</f>
        <v>83.787560391534115</v>
      </c>
      <c r="W13" s="133">
        <f>IF(SER_hh_tesh_in!W13=0,0,SER_hh_tesh_in!W13/SER_summary!W$27)</f>
        <v>49.500060221076986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138.60643602687554</v>
      </c>
      <c r="D14" s="65">
        <f>IF(SER_hh_tesh_in!D14=0,0,SER_hh_tesh_in!D14/SER_summary!D$27)</f>
        <v>226.73676367746521</v>
      </c>
      <c r="E14" s="65">
        <f>IF(SER_hh_tesh_in!E14=0,0,SER_hh_tesh_in!E14/SER_summary!E$27)</f>
        <v>227.00514182154578</v>
      </c>
      <c r="F14" s="65">
        <f>IF(SER_hh_tesh_in!F14=0,0,SER_hh_tesh_in!F14/SER_summary!F$27)</f>
        <v>200.13735075966923</v>
      </c>
      <c r="G14" s="65">
        <f>IF(SER_hh_tesh_in!G14=0,0,SER_hh_tesh_in!G14/SER_summary!G$27)</f>
        <v>187.70377112329319</v>
      </c>
      <c r="H14" s="65">
        <f>IF(SER_hh_tesh_in!H14=0,0,SER_hh_tesh_in!H14/SER_summary!H$27)</f>
        <v>178.31772579976274</v>
      </c>
      <c r="I14" s="65">
        <f>IF(SER_hh_tesh_in!I14=0,0,SER_hh_tesh_in!I14/SER_summary!I$27)</f>
        <v>226.22763328093868</v>
      </c>
      <c r="J14" s="65">
        <f>IF(SER_hh_tesh_in!J14=0,0,SER_hh_tesh_in!J14/SER_summary!J$27)</f>
        <v>0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117.76495395233903</v>
      </c>
      <c r="N14" s="65">
        <f>IF(SER_hh_tesh_in!N14=0,0,SER_hh_tesh_in!N14/SER_summary!N$27)</f>
        <v>165.70719882446122</v>
      </c>
      <c r="O14" s="65">
        <f>IF(SER_hh_tesh_in!O14=0,0,SER_hh_tesh_in!O14/SER_summary!O$27)</f>
        <v>121.05892551449185</v>
      </c>
      <c r="P14" s="65">
        <f>IF(SER_hh_tesh_in!P14=0,0,SER_hh_tesh_in!P14/SER_summary!P$27)</f>
        <v>142.53074363285219</v>
      </c>
      <c r="Q14" s="65">
        <f>IF(SER_hh_tesh_in!Q14=0,0,SER_hh_tesh_in!Q14/SER_summary!Q$27)</f>
        <v>0</v>
      </c>
      <c r="R14" s="65">
        <f>IF(SER_hh_tesh_in!R14=0,0,SER_hh_tesh_in!R14/SER_summary!R$27)</f>
        <v>106.41628886045159</v>
      </c>
      <c r="S14" s="65">
        <f>IF(SER_hh_tesh_in!S14=0,0,SER_hh_tesh_in!S14/SER_summary!S$27)</f>
        <v>101.17154206967994</v>
      </c>
      <c r="T14" s="65">
        <f>IF(SER_hh_tesh_in!T14=0,0,SER_hh_tesh_in!T14/SER_summary!T$27)</f>
        <v>103.85903373907551</v>
      </c>
      <c r="U14" s="65">
        <f>IF(SER_hh_tesh_in!U14=0,0,SER_hh_tesh_in!U14/SER_summary!U$27)</f>
        <v>93.034138854651914</v>
      </c>
      <c r="V14" s="65">
        <f>IF(SER_hh_tesh_in!V14=0,0,SER_hh_tesh_in!V14/SER_summary!V$27)</f>
        <v>78.306065854600035</v>
      </c>
      <c r="W14" s="65">
        <f>IF(SER_hh_tesh_in!W14=0,0,SER_hh_tesh_in!W14/SER_summary!W$27)</f>
        <v>74.375491762484245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1.9810550264674058</v>
      </c>
      <c r="D15" s="135">
        <f>IF(SER_hh_tesh_in!D15=0,0,SER_hh_tesh_in!D15/SER_summary!D$27)</f>
        <v>2.8007496664248075</v>
      </c>
      <c r="E15" s="135">
        <f>IF(SER_hh_tesh_in!E15=0,0,SER_hh_tesh_in!E15/SER_summary!E$27)</f>
        <v>2.4104342571887734</v>
      </c>
      <c r="F15" s="135">
        <f>IF(SER_hh_tesh_in!F15=0,0,SER_hh_tesh_in!F15/SER_summary!F$27)</f>
        <v>2.4488660486729787</v>
      </c>
      <c r="G15" s="135">
        <f>IF(SER_hh_tesh_in!G15=0,0,SER_hh_tesh_in!G15/SER_summary!G$27)</f>
        <v>2.093341849114819</v>
      </c>
      <c r="H15" s="135">
        <f>IF(SER_hh_tesh_in!H15=0,0,SER_hh_tesh_in!H15/SER_summary!H$27)</f>
        <v>1.998236456655011</v>
      </c>
      <c r="I15" s="135">
        <f>IF(SER_hh_tesh_in!I15=0,0,SER_hh_tesh_in!I15/SER_summary!I$27)</f>
        <v>1.7176331094642481</v>
      </c>
      <c r="J15" s="135">
        <f>IF(SER_hh_tesh_in!J15=0,0,SER_hh_tesh_in!J15/SER_summary!J$27)</f>
        <v>1.4722344508707605</v>
      </c>
      <c r="K15" s="135">
        <f>IF(SER_hh_tesh_in!K15=0,0,SER_hh_tesh_in!K15/SER_summary!K$27)</f>
        <v>1.3160211476324968</v>
      </c>
      <c r="L15" s="135">
        <f>IF(SER_hh_tesh_in!L15=0,0,SER_hh_tesh_in!L15/SER_summary!L$27)</f>
        <v>1.2810318353220422</v>
      </c>
      <c r="M15" s="135">
        <f>IF(SER_hh_tesh_in!M15=0,0,SER_hh_tesh_in!M15/SER_summary!M$27)</f>
        <v>0.85623047265100416</v>
      </c>
      <c r="N15" s="135">
        <f>IF(SER_hh_tesh_in!N15=0,0,SER_hh_tesh_in!N15/SER_summary!N$27)</f>
        <v>1.2994823443998129</v>
      </c>
      <c r="O15" s="135">
        <f>IF(SER_hh_tesh_in!O15=0,0,SER_hh_tesh_in!O15/SER_summary!O$27)</f>
        <v>1.0989593914035884</v>
      </c>
      <c r="P15" s="135">
        <f>IF(SER_hh_tesh_in!P15=0,0,SER_hh_tesh_in!P15/SER_summary!P$27)</f>
        <v>1.1895963788134503</v>
      </c>
      <c r="Q15" s="135">
        <f>IF(SER_hh_tesh_in!Q15=0,0,SER_hh_tesh_in!Q15/SER_summary!Q$27)</f>
        <v>0.98130823895671804</v>
      </c>
      <c r="R15" s="135">
        <f>IF(SER_hh_tesh_in!R15=0,0,SER_hh_tesh_in!R15/SER_summary!R$27)</f>
        <v>1.0337178139360077</v>
      </c>
      <c r="S15" s="135">
        <f>IF(SER_hh_tesh_in!S15=0,0,SER_hh_tesh_in!S15/SER_summary!S$27)</f>
        <v>1.0628521214743876</v>
      </c>
      <c r="T15" s="135">
        <f>IF(SER_hh_tesh_in!T15=0,0,SER_hh_tesh_in!T15/SER_summary!T$27)</f>
        <v>1.1783255578687846</v>
      </c>
      <c r="U15" s="135">
        <f>IF(SER_hh_tesh_in!U15=0,0,SER_hh_tesh_in!U15/SER_summary!U$27)</f>
        <v>0.96359513671758101</v>
      </c>
      <c r="V15" s="135">
        <f>IF(SER_hh_tesh_in!V15=0,0,SER_hh_tesh_in!V15/SER_summary!V$27)</f>
        <v>0.81699410265595818</v>
      </c>
      <c r="W15" s="135">
        <f>IF(SER_hh_tesh_in!W15=0,0,SER_hh_tesh_in!W15/SER_summary!W$27)</f>
        <v>0.85207788692339215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21.825700602822931</v>
      </c>
      <c r="D16" s="131">
        <f>IF(SER_hh_tesh_in!D16=0,0,SER_hh_tesh_in!D16/SER_summary!D$27)</f>
        <v>22.51146696784911</v>
      </c>
      <c r="E16" s="131">
        <f>IF(SER_hh_tesh_in!E16=0,0,SER_hh_tesh_in!E16/SER_summary!E$27)</f>
        <v>21.571618990737104</v>
      </c>
      <c r="F16" s="131">
        <f>IF(SER_hh_tesh_in!F16=0,0,SER_hh_tesh_in!F16/SER_summary!F$27)</f>
        <v>20.88268557611153</v>
      </c>
      <c r="G16" s="131">
        <f>IF(SER_hh_tesh_in!G16=0,0,SER_hh_tesh_in!G16/SER_summary!G$27)</f>
        <v>20.813720465913153</v>
      </c>
      <c r="H16" s="131">
        <f>IF(SER_hh_tesh_in!H16=0,0,SER_hh_tesh_in!H16/SER_summary!H$27)</f>
        <v>22.063252389365577</v>
      </c>
      <c r="I16" s="131">
        <f>IF(SER_hh_tesh_in!I16=0,0,SER_hh_tesh_in!I16/SER_summary!I$27)</f>
        <v>20.767393243270565</v>
      </c>
      <c r="J16" s="131">
        <f>IF(SER_hh_tesh_in!J16=0,0,SER_hh_tesh_in!J16/SER_summary!J$27)</f>
        <v>20.655008073779634</v>
      </c>
      <c r="K16" s="131">
        <f>IF(SER_hh_tesh_in!K16=0,0,SER_hh_tesh_in!K16/SER_summary!K$27)</f>
        <v>20.446227738832327</v>
      </c>
      <c r="L16" s="131">
        <f>IF(SER_hh_tesh_in!L16=0,0,SER_hh_tesh_in!L16/SER_summary!L$27)</f>
        <v>24.544176737972613</v>
      </c>
      <c r="M16" s="131">
        <f>IF(SER_hh_tesh_in!M16=0,0,SER_hh_tesh_in!M16/SER_summary!M$27)</f>
        <v>20.483649159426527</v>
      </c>
      <c r="N16" s="131">
        <f>IF(SER_hh_tesh_in!N16=0,0,SER_hh_tesh_in!N16/SER_summary!N$27)</f>
        <v>20.38596369317025</v>
      </c>
      <c r="O16" s="131">
        <f>IF(SER_hh_tesh_in!O16=0,0,SER_hh_tesh_in!O16/SER_summary!O$27)</f>
        <v>19.875305606618522</v>
      </c>
      <c r="P16" s="131">
        <f>IF(SER_hh_tesh_in!P16=0,0,SER_hh_tesh_in!P16/SER_summary!P$27)</f>
        <v>20.827836083904373</v>
      </c>
      <c r="Q16" s="131">
        <f>IF(SER_hh_tesh_in!Q16=0,0,SER_hh_tesh_in!Q16/SER_summary!Q$27)</f>
        <v>19.587673730685225</v>
      </c>
      <c r="R16" s="131">
        <f>IF(SER_hh_tesh_in!R16=0,0,SER_hh_tesh_in!R16/SER_summary!R$27)</f>
        <v>19.333699070408876</v>
      </c>
      <c r="S16" s="131">
        <f>IF(SER_hh_tesh_in!S16=0,0,SER_hh_tesh_in!S16/SER_summary!S$27)</f>
        <v>19.180952525405868</v>
      </c>
      <c r="T16" s="131">
        <f>IF(SER_hh_tesh_in!T16=0,0,SER_hh_tesh_in!T16/SER_summary!T$27)</f>
        <v>20.082953207009531</v>
      </c>
      <c r="U16" s="131">
        <f>IF(SER_hh_tesh_in!U16=0,0,SER_hh_tesh_in!U16/SER_summary!U$27)</f>
        <v>18.470530784264113</v>
      </c>
      <c r="V16" s="131">
        <f>IF(SER_hh_tesh_in!V16=0,0,SER_hh_tesh_in!V16/SER_summary!V$27)</f>
        <v>17.920990728465132</v>
      </c>
      <c r="W16" s="131">
        <f>IF(SER_hh_tesh_in!W16=0,0,SER_hh_tesh_in!W16/SER_summary!W$27)</f>
        <v>19.013625515195248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21.825700602822931</v>
      </c>
      <c r="D18" s="133">
        <f>IF(SER_hh_tesh_in!D18=0,0,SER_hh_tesh_in!D18/SER_summary!D$27)</f>
        <v>22.51146696784911</v>
      </c>
      <c r="E18" s="133">
        <f>IF(SER_hh_tesh_in!E18=0,0,SER_hh_tesh_in!E18/SER_summary!E$27)</f>
        <v>21.571618990737104</v>
      </c>
      <c r="F18" s="133">
        <f>IF(SER_hh_tesh_in!F18=0,0,SER_hh_tesh_in!F18/SER_summary!F$27)</f>
        <v>20.88268557611153</v>
      </c>
      <c r="G18" s="133">
        <f>IF(SER_hh_tesh_in!G18=0,0,SER_hh_tesh_in!G18/SER_summary!G$27)</f>
        <v>20.813720465913153</v>
      </c>
      <c r="H18" s="133">
        <f>IF(SER_hh_tesh_in!H18=0,0,SER_hh_tesh_in!H18/SER_summary!H$27)</f>
        <v>22.063252389365577</v>
      </c>
      <c r="I18" s="133">
        <f>IF(SER_hh_tesh_in!I18=0,0,SER_hh_tesh_in!I18/SER_summary!I$27)</f>
        <v>20.767393243270565</v>
      </c>
      <c r="J18" s="133">
        <f>IF(SER_hh_tesh_in!J18=0,0,SER_hh_tesh_in!J18/SER_summary!J$27)</f>
        <v>20.655008073779634</v>
      </c>
      <c r="K18" s="133">
        <f>IF(SER_hh_tesh_in!K18=0,0,SER_hh_tesh_in!K18/SER_summary!K$27)</f>
        <v>20.446227738832327</v>
      </c>
      <c r="L18" s="133">
        <f>IF(SER_hh_tesh_in!L18=0,0,SER_hh_tesh_in!L18/SER_summary!L$27)</f>
        <v>24.544176737972613</v>
      </c>
      <c r="M18" s="133">
        <f>IF(SER_hh_tesh_in!M18=0,0,SER_hh_tesh_in!M18/SER_summary!M$27)</f>
        <v>20.483649159426527</v>
      </c>
      <c r="N18" s="133">
        <f>IF(SER_hh_tesh_in!N18=0,0,SER_hh_tesh_in!N18/SER_summary!N$27)</f>
        <v>20.38596369317025</v>
      </c>
      <c r="O18" s="133">
        <f>IF(SER_hh_tesh_in!O18=0,0,SER_hh_tesh_in!O18/SER_summary!O$27)</f>
        <v>19.875305606618522</v>
      </c>
      <c r="P18" s="133">
        <f>IF(SER_hh_tesh_in!P18=0,0,SER_hh_tesh_in!P18/SER_summary!P$27)</f>
        <v>20.827836083904373</v>
      </c>
      <c r="Q18" s="133">
        <f>IF(SER_hh_tesh_in!Q18=0,0,SER_hh_tesh_in!Q18/SER_summary!Q$27)</f>
        <v>19.587673730685225</v>
      </c>
      <c r="R18" s="133">
        <f>IF(SER_hh_tesh_in!R18=0,0,SER_hh_tesh_in!R18/SER_summary!R$27)</f>
        <v>19.333699070408876</v>
      </c>
      <c r="S18" s="133">
        <f>IF(SER_hh_tesh_in!S18=0,0,SER_hh_tesh_in!S18/SER_summary!S$27)</f>
        <v>19.180952525405868</v>
      </c>
      <c r="T18" s="133">
        <f>IF(SER_hh_tesh_in!T18=0,0,SER_hh_tesh_in!T18/SER_summary!T$27)</f>
        <v>20.082953207009531</v>
      </c>
      <c r="U18" s="133">
        <f>IF(SER_hh_tesh_in!U18=0,0,SER_hh_tesh_in!U18/SER_summary!U$27)</f>
        <v>18.470530784264113</v>
      </c>
      <c r="V18" s="133">
        <f>IF(SER_hh_tesh_in!V18=0,0,SER_hh_tesh_in!V18/SER_summary!V$27)</f>
        <v>17.920990728465132</v>
      </c>
      <c r="W18" s="133">
        <f>IF(SER_hh_tesh_in!W18=0,0,SER_hh_tesh_in!W18/SER_summary!W$27)</f>
        <v>19.013625515195248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25.773571410561566</v>
      </c>
      <c r="D19" s="131">
        <f>IF(SER_hh_tesh_in!D19=0,0,SER_hh_tesh_in!D19/SER_summary!D$27)</f>
        <v>24.930639804427649</v>
      </c>
      <c r="E19" s="131">
        <f>IF(SER_hh_tesh_in!E19=0,0,SER_hh_tesh_in!E19/SER_summary!E$27)</f>
        <v>24.637458608998216</v>
      </c>
      <c r="F19" s="131">
        <f>IF(SER_hh_tesh_in!F19=0,0,SER_hh_tesh_in!F19/SER_summary!F$27)</f>
        <v>24.855306098327329</v>
      </c>
      <c r="G19" s="131">
        <f>IF(SER_hh_tesh_in!G19=0,0,SER_hh_tesh_in!G19/SER_summary!G$27)</f>
        <v>24.292107180454703</v>
      </c>
      <c r="H19" s="131">
        <f>IF(SER_hh_tesh_in!H19=0,0,SER_hh_tesh_in!H19/SER_summary!H$27)</f>
        <v>24.419401120665352</v>
      </c>
      <c r="I19" s="131">
        <f>IF(SER_hh_tesh_in!I19=0,0,SER_hh_tesh_in!I19/SER_summary!I$27)</f>
        <v>24.237631835058725</v>
      </c>
      <c r="J19" s="131">
        <f>IF(SER_hh_tesh_in!J19=0,0,SER_hh_tesh_in!J19/SER_summary!J$27)</f>
        <v>23.885439256099602</v>
      </c>
      <c r="K19" s="131">
        <f>IF(SER_hh_tesh_in!K19=0,0,SER_hh_tesh_in!K19/SER_summary!K$27)</f>
        <v>24.443146640521796</v>
      </c>
      <c r="L19" s="131">
        <f>IF(SER_hh_tesh_in!L19=0,0,SER_hh_tesh_in!L19/SER_summary!L$27)</f>
        <v>24.176554655142063</v>
      </c>
      <c r="M19" s="131">
        <f>IF(SER_hh_tesh_in!M19=0,0,SER_hh_tesh_in!M19/SER_summary!M$27)</f>
        <v>24.630052668572255</v>
      </c>
      <c r="N19" s="131">
        <f>IF(SER_hh_tesh_in!N19=0,0,SER_hh_tesh_in!N19/SER_summary!N$27)</f>
        <v>24.450525003425174</v>
      </c>
      <c r="O19" s="131">
        <f>IF(SER_hh_tesh_in!O19=0,0,SER_hh_tesh_in!O19/SER_summary!O$27)</f>
        <v>24.698459381959321</v>
      </c>
      <c r="P19" s="131">
        <f>IF(SER_hh_tesh_in!P19=0,0,SER_hh_tesh_in!P19/SER_summary!P$27)</f>
        <v>24.196480955602485</v>
      </c>
      <c r="Q19" s="131">
        <f>IF(SER_hh_tesh_in!Q19=0,0,SER_hh_tesh_in!Q19/SER_summary!Q$27)</f>
        <v>24.345873193344254</v>
      </c>
      <c r="R19" s="131">
        <f>IF(SER_hh_tesh_in!R19=0,0,SER_hh_tesh_in!R19/SER_summary!R$27)</f>
        <v>24.487815413983519</v>
      </c>
      <c r="S19" s="131">
        <f>IF(SER_hh_tesh_in!S19=0,0,SER_hh_tesh_in!S19/SER_summary!S$27)</f>
        <v>24.438047749048703</v>
      </c>
      <c r="T19" s="131">
        <f>IF(SER_hh_tesh_in!T19=0,0,SER_hh_tesh_in!T19/SER_summary!T$27)</f>
        <v>24.178362672577123</v>
      </c>
      <c r="U19" s="131">
        <f>IF(SER_hh_tesh_in!U19=0,0,SER_hh_tesh_in!U19/SER_summary!U$27)</f>
        <v>23.463823838367325</v>
      </c>
      <c r="V19" s="131">
        <f>IF(SER_hh_tesh_in!V19=0,0,SER_hh_tesh_in!V19/SER_summary!V$27)</f>
        <v>21.413964004646935</v>
      </c>
      <c r="W19" s="131">
        <f>IF(SER_hh_tesh_in!W19=0,0,SER_hh_tesh_in!W19/SER_summary!W$27)</f>
        <v>22.517300976635326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25.499309825815679</v>
      </c>
      <c r="D22" s="133">
        <f>IF(SER_hh_tesh_in!D22=0,0,SER_hh_tesh_in!D22/SER_summary!D$27)</f>
        <v>25.139171286424389</v>
      </c>
      <c r="E22" s="133">
        <f>IF(SER_hh_tesh_in!E22=0,0,SER_hh_tesh_in!E22/SER_summary!E$27)</f>
        <v>24.950407262571641</v>
      </c>
      <c r="F22" s="133">
        <f>IF(SER_hh_tesh_in!F22=0,0,SER_hh_tesh_in!F22/SER_summary!F$27)</f>
        <v>24.545228828834031</v>
      </c>
      <c r="G22" s="133">
        <f>IF(SER_hh_tesh_in!G22=0,0,SER_hh_tesh_in!G22/SER_summary!G$27)</f>
        <v>24.318857891233989</v>
      </c>
      <c r="H22" s="133">
        <f>IF(SER_hh_tesh_in!H22=0,0,SER_hh_tesh_in!H22/SER_summary!H$27)</f>
        <v>24.775038210483221</v>
      </c>
      <c r="I22" s="133">
        <f>IF(SER_hh_tesh_in!I22=0,0,SER_hh_tesh_in!I22/SER_summary!I$27)</f>
        <v>23.999437456591636</v>
      </c>
      <c r="J22" s="133">
        <f>IF(SER_hh_tesh_in!J22=0,0,SER_hh_tesh_in!J22/SER_summary!J$27)</f>
        <v>24.426076667843013</v>
      </c>
      <c r="K22" s="133">
        <f>IF(SER_hh_tesh_in!K22=0,0,SER_hh_tesh_in!K22/SER_summary!K$27)</f>
        <v>24.079445475189726</v>
      </c>
      <c r="L22" s="133">
        <f>IF(SER_hh_tesh_in!L22=0,0,SER_hh_tesh_in!L22/SER_summary!L$27)</f>
        <v>24.012132839591693</v>
      </c>
      <c r="M22" s="133">
        <f>IF(SER_hh_tesh_in!M22=0,0,SER_hh_tesh_in!M22/SER_summary!M$27)</f>
        <v>24.343086835785439</v>
      </c>
      <c r="N22" s="133">
        <f>IF(SER_hh_tesh_in!N22=0,0,SER_hh_tesh_in!N22/SER_summary!N$27)</f>
        <v>24.529002831067725</v>
      </c>
      <c r="O22" s="133">
        <f>IF(SER_hh_tesh_in!O22=0,0,SER_hh_tesh_in!O22/SER_summary!O$27)</f>
        <v>24.728881264880822</v>
      </c>
      <c r="P22" s="133">
        <f>IF(SER_hh_tesh_in!P22=0,0,SER_hh_tesh_in!P22/SER_summary!P$27)</f>
        <v>24.536922834124606</v>
      </c>
      <c r="Q22" s="133">
        <f>IF(SER_hh_tesh_in!Q22=0,0,SER_hh_tesh_in!Q22/SER_summary!Q$27)</f>
        <v>24.706130670447347</v>
      </c>
      <c r="R22" s="133">
        <f>IF(SER_hh_tesh_in!R22=0,0,SER_hh_tesh_in!R22/SER_summary!R$27)</f>
        <v>24.612431094504185</v>
      </c>
      <c r="S22" s="133">
        <f>IF(SER_hh_tesh_in!S22=0,0,SER_hh_tesh_in!S22/SER_summary!S$27)</f>
        <v>24.616574544009918</v>
      </c>
      <c r="T22" s="133">
        <f>IF(SER_hh_tesh_in!T22=0,0,SER_hh_tesh_in!T22/SER_summary!T$27)</f>
        <v>24.240549717122644</v>
      </c>
      <c r="U22" s="133">
        <f>IF(SER_hh_tesh_in!U22=0,0,SER_hh_tesh_in!U22/SER_summary!U$27)</f>
        <v>23.205191504394616</v>
      </c>
      <c r="V22" s="133">
        <f>IF(SER_hh_tesh_in!V22=0,0,SER_hh_tesh_in!V22/SER_summary!V$27)</f>
        <v>21.103669646170371</v>
      </c>
      <c r="W22" s="133">
        <f>IF(SER_hh_tesh_in!W22=0,0,SER_hh_tesh_in!W22/SER_summary!W$27)</f>
        <v>22.195485273516613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24.541589689579819</v>
      </c>
      <c r="D23" s="133">
        <f>IF(SER_hh_tesh_in!D23=0,0,SER_hh_tesh_in!D23/SER_summary!D$27)</f>
        <v>25.423976144662053</v>
      </c>
      <c r="E23" s="133">
        <f>IF(SER_hh_tesh_in!E23=0,0,SER_hh_tesh_in!E23/SER_summary!E$27)</f>
        <v>24.804928717210871</v>
      </c>
      <c r="F23" s="133">
        <f>IF(SER_hh_tesh_in!F23=0,0,SER_hh_tesh_in!F23/SER_summary!F$27)</f>
        <v>24.439831457343008</v>
      </c>
      <c r="G23" s="133">
        <f>IF(SER_hh_tesh_in!G23=0,0,SER_hh_tesh_in!G23/SER_summary!G$27)</f>
        <v>24.808955477760065</v>
      </c>
      <c r="H23" s="133">
        <f>IF(SER_hh_tesh_in!H23=0,0,SER_hh_tesh_in!H23/SER_summary!H$27)</f>
        <v>23.958768660949353</v>
      </c>
      <c r="I23" s="133">
        <f>IF(SER_hh_tesh_in!I23=0,0,SER_hh_tesh_in!I23/SER_summary!I$27)</f>
        <v>23.381127205417997</v>
      </c>
      <c r="J23" s="133">
        <f>IF(SER_hh_tesh_in!J23=0,0,SER_hh_tesh_in!J23/SER_summary!J$27)</f>
        <v>24.767584738071335</v>
      </c>
      <c r="K23" s="133">
        <f>IF(SER_hh_tesh_in!K23=0,0,SER_hh_tesh_in!K23/SER_summary!K$27)</f>
        <v>25.005773139596265</v>
      </c>
      <c r="L23" s="133">
        <f>IF(SER_hh_tesh_in!L23=0,0,SER_hh_tesh_in!L23/SER_summary!L$27)</f>
        <v>24.323552756932877</v>
      </c>
      <c r="M23" s="133">
        <f>IF(SER_hh_tesh_in!M23=0,0,SER_hh_tesh_in!M23/SER_summary!M$27)</f>
        <v>24.537821499899884</v>
      </c>
      <c r="N23" s="133">
        <f>IF(SER_hh_tesh_in!N23=0,0,SER_hh_tesh_in!N23/SER_summary!N$27)</f>
        <v>24.524111174935776</v>
      </c>
      <c r="O23" s="133">
        <f>IF(SER_hh_tesh_in!O23=0,0,SER_hh_tesh_in!O23/SER_summary!O$27)</f>
        <v>24.624097448773131</v>
      </c>
      <c r="P23" s="133">
        <f>IF(SER_hh_tesh_in!P23=0,0,SER_hh_tesh_in!P23/SER_summary!P$27)</f>
        <v>24.258331671089373</v>
      </c>
      <c r="Q23" s="133">
        <f>IF(SER_hh_tesh_in!Q23=0,0,SER_hh_tesh_in!Q23/SER_summary!Q$27)</f>
        <v>24.416510266390539</v>
      </c>
      <c r="R23" s="133">
        <f>IF(SER_hh_tesh_in!R23=0,0,SER_hh_tesh_in!R23/SER_summary!R$27)</f>
        <v>24.414323552646351</v>
      </c>
      <c r="S23" s="133">
        <f>IF(SER_hh_tesh_in!S23=0,0,SER_hh_tesh_in!S23/SER_summary!S$27)</f>
        <v>24.579676322150572</v>
      </c>
      <c r="T23" s="133">
        <f>IF(SER_hh_tesh_in!T23=0,0,SER_hh_tesh_in!T23/SER_summary!T$27)</f>
        <v>23.539824646895081</v>
      </c>
      <c r="U23" s="133">
        <f>IF(SER_hh_tesh_in!U23=0,0,SER_hh_tesh_in!U23/SER_summary!U$27)</f>
        <v>22.927161237229058</v>
      </c>
      <c r="V23" s="133">
        <f>IF(SER_hh_tesh_in!V23=0,0,SER_hh_tesh_in!V23/SER_summary!V$27)</f>
        <v>22.121900333643655</v>
      </c>
      <c r="W23" s="133">
        <f>IF(SER_hh_tesh_in!W23=0,0,SER_hh_tesh_in!W23/SER_summary!W$27)</f>
        <v>22.250291827729146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24.845139091018581</v>
      </c>
      <c r="D24" s="133">
        <f>IF(SER_hh_tesh_in!D24=0,0,SER_hh_tesh_in!D24/SER_summary!D$27)</f>
        <v>24.730746031243132</v>
      </c>
      <c r="E24" s="133">
        <f>IF(SER_hh_tesh_in!E24=0,0,SER_hh_tesh_in!E24/SER_summary!E$27)</f>
        <v>24.176867651007772</v>
      </c>
      <c r="F24" s="133">
        <f>IF(SER_hh_tesh_in!F24=0,0,SER_hh_tesh_in!F24/SER_summary!F$27)</f>
        <v>24.951678732351166</v>
      </c>
      <c r="G24" s="133">
        <f>IF(SER_hh_tesh_in!G24=0,0,SER_hh_tesh_in!G24/SER_summary!G$27)</f>
        <v>25.083980448817925</v>
      </c>
      <c r="H24" s="133">
        <f>IF(SER_hh_tesh_in!H24=0,0,SER_hh_tesh_in!H24/SER_summary!H$27)</f>
        <v>24.7422920269908</v>
      </c>
      <c r="I24" s="133">
        <f>IF(SER_hh_tesh_in!I24=0,0,SER_hh_tesh_in!I24/SER_summary!I$27)</f>
        <v>24.620140445927483</v>
      </c>
      <c r="J24" s="133">
        <f>IF(SER_hh_tesh_in!J24=0,0,SER_hh_tesh_in!J24/SER_summary!J$27)</f>
        <v>23.963152127830167</v>
      </c>
      <c r="K24" s="133">
        <f>IF(SER_hh_tesh_in!K24=0,0,SER_hh_tesh_in!K24/SER_summary!K$27)</f>
        <v>24.108497735670184</v>
      </c>
      <c r="L24" s="133">
        <f>IF(SER_hh_tesh_in!L24=0,0,SER_hh_tesh_in!L24/SER_summary!L$27)</f>
        <v>24.211957359976257</v>
      </c>
      <c r="M24" s="133">
        <f>IF(SER_hh_tesh_in!M24=0,0,SER_hh_tesh_in!M24/SER_summary!M$27)</f>
        <v>24.702109611743161</v>
      </c>
      <c r="N24" s="133">
        <f>IF(SER_hh_tesh_in!N24=0,0,SER_hh_tesh_in!N24/SER_summary!N$27)</f>
        <v>24.416393009837282</v>
      </c>
      <c r="O24" s="133">
        <f>IF(SER_hh_tesh_in!O24=0,0,SER_hh_tesh_in!O24/SER_summary!O$27)</f>
        <v>24.699683022063173</v>
      </c>
      <c r="P24" s="133">
        <f>IF(SER_hh_tesh_in!P24=0,0,SER_hh_tesh_in!P24/SER_summary!P$27)</f>
        <v>24.448625502669472</v>
      </c>
      <c r="Q24" s="133">
        <f>IF(SER_hh_tesh_in!Q24=0,0,SER_hh_tesh_in!Q24/SER_summary!Q$27)</f>
        <v>24.841062011418312</v>
      </c>
      <c r="R24" s="133">
        <f>IF(SER_hh_tesh_in!R24=0,0,SER_hh_tesh_in!R24/SER_summary!R$27)</f>
        <v>24.210059834938711</v>
      </c>
      <c r="S24" s="133">
        <f>IF(SER_hh_tesh_in!S24=0,0,SER_hh_tesh_in!S24/SER_summary!S$27)</f>
        <v>26.505905062132058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20.913980823730196</v>
      </c>
      <c r="W24" s="133">
        <f>IF(SER_hh_tesh_in!W24=0,0,SER_hh_tesh_in!W24/SER_summary!W$27)</f>
        <v>22.505872106609061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25.647134557761095</v>
      </c>
      <c r="D25" s="133">
        <f>IF(SER_hh_tesh_in!D25=0,0,SER_hh_tesh_in!D25/SER_summary!D$27)</f>
        <v>25.29760060207704</v>
      </c>
      <c r="E25" s="133">
        <f>IF(SER_hh_tesh_in!E25=0,0,SER_hh_tesh_in!E25/SER_summary!E$27)</f>
        <v>25.021864427467197</v>
      </c>
      <c r="F25" s="133">
        <f>IF(SER_hh_tesh_in!F25=0,0,SER_hh_tesh_in!F25/SER_summary!F$27)</f>
        <v>24.680944895580751</v>
      </c>
      <c r="G25" s="133">
        <f>IF(SER_hh_tesh_in!G25=0,0,SER_hh_tesh_in!G25/SER_summary!G$27)</f>
        <v>24.889812466754179</v>
      </c>
      <c r="H25" s="133">
        <f>IF(SER_hh_tesh_in!H25=0,0,SER_hh_tesh_in!H25/SER_summary!H$27)</f>
        <v>24.419081018771681</v>
      </c>
      <c r="I25" s="133">
        <f>IF(SER_hh_tesh_in!I25=0,0,SER_hh_tesh_in!I25/SER_summary!I$27)</f>
        <v>24.558604885564002</v>
      </c>
      <c r="J25" s="133">
        <f>IF(SER_hh_tesh_in!J25=0,0,SER_hh_tesh_in!J25/SER_summary!J$27)</f>
        <v>23.665922647123327</v>
      </c>
      <c r="K25" s="133">
        <f>IF(SER_hh_tesh_in!K25=0,0,SER_hh_tesh_in!K25/SER_summary!K$27)</f>
        <v>24.188622398516685</v>
      </c>
      <c r="L25" s="133">
        <f>IF(SER_hh_tesh_in!L25=0,0,SER_hh_tesh_in!L25/SER_summary!L$27)</f>
        <v>24.100042284170726</v>
      </c>
      <c r="M25" s="133">
        <f>IF(SER_hh_tesh_in!M25=0,0,SER_hh_tesh_in!M25/SER_summary!M$27)</f>
        <v>24.621619369312224</v>
      </c>
      <c r="N25" s="133">
        <f>IF(SER_hh_tesh_in!N25=0,0,SER_hh_tesh_in!N25/SER_summary!N$27)</f>
        <v>24.504982051988382</v>
      </c>
      <c r="O25" s="133">
        <f>IF(SER_hh_tesh_in!O25=0,0,SER_hh_tesh_in!O25/SER_summary!O$27)</f>
        <v>24.539417094170194</v>
      </c>
      <c r="P25" s="133">
        <f>IF(SER_hh_tesh_in!P25=0,0,SER_hh_tesh_in!P25/SER_summary!P$27)</f>
        <v>23.892769832639406</v>
      </c>
      <c r="Q25" s="133">
        <f>IF(SER_hh_tesh_in!Q25=0,0,SER_hh_tesh_in!Q25/SER_summary!Q$27)</f>
        <v>24.504681971589701</v>
      </c>
      <c r="R25" s="133">
        <f>IF(SER_hh_tesh_in!R25=0,0,SER_hh_tesh_in!R25/SER_summary!R$27)</f>
        <v>24.735971565981266</v>
      </c>
      <c r="S25" s="133">
        <f>IF(SER_hh_tesh_in!S25=0,0,SER_hh_tesh_in!S25/SER_summary!S$27)</f>
        <v>24.566058809433205</v>
      </c>
      <c r="T25" s="133">
        <f>IF(SER_hh_tesh_in!T25=0,0,SER_hh_tesh_in!T25/SER_summary!T$27)</f>
        <v>23.547098732711493</v>
      </c>
      <c r="U25" s="133">
        <f>IF(SER_hh_tesh_in!U25=0,0,SER_hh_tesh_in!U25/SER_summary!U$27)</f>
        <v>23.289880591760909</v>
      </c>
      <c r="V25" s="133">
        <f>IF(SER_hh_tesh_in!V25=0,0,SER_hh_tesh_in!V25/SER_summary!V$27)</f>
        <v>21.311280274162588</v>
      </c>
      <c r="W25" s="133">
        <f>IF(SER_hh_tesh_in!W25=0,0,SER_hh_tesh_in!W25/SER_summary!W$27)</f>
        <v>22.611820944627635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26.744339256850324</v>
      </c>
      <c r="D26" s="65">
        <f>IF(SER_hh_tesh_in!D26=0,0,SER_hh_tesh_in!D26/SER_summary!D$27)</f>
        <v>24.387183707808365</v>
      </c>
      <c r="E26" s="65">
        <f>IF(SER_hh_tesh_in!E26=0,0,SER_hh_tesh_in!E26/SER_summary!E$27)</f>
        <v>24.382342818230136</v>
      </c>
      <c r="F26" s="65">
        <f>IF(SER_hh_tesh_in!F26=0,0,SER_hh_tesh_in!F26/SER_summary!F$27)</f>
        <v>25.147203179933644</v>
      </c>
      <c r="G26" s="65">
        <f>IF(SER_hh_tesh_in!G26=0,0,SER_hh_tesh_in!G26/SER_summary!G$27)</f>
        <v>23.51314980644052</v>
      </c>
      <c r="H26" s="65">
        <f>IF(SER_hh_tesh_in!H26=0,0,SER_hh_tesh_in!H26/SER_summary!H$27)</f>
        <v>24.410483661180798</v>
      </c>
      <c r="I26" s="65">
        <f>IF(SER_hh_tesh_in!I26=0,0,SER_hh_tesh_in!I26/SER_summary!I$27)</f>
        <v>24.28358458680454</v>
      </c>
      <c r="J26" s="65">
        <f>IF(SER_hh_tesh_in!J26=0,0,SER_hh_tesh_in!J26/SER_summary!J$27)</f>
        <v>23.438457660615708</v>
      </c>
      <c r="K26" s="65">
        <f>IF(SER_hh_tesh_in!K26=0,0,SER_hh_tesh_in!K26/SER_summary!K$27)</f>
        <v>24.733712700573356</v>
      </c>
      <c r="L26" s="65">
        <f>IF(SER_hh_tesh_in!L26=0,0,SER_hh_tesh_in!L26/SER_summary!L$27)</f>
        <v>24.41954223267328</v>
      </c>
      <c r="M26" s="65">
        <f>IF(SER_hh_tesh_in!M26=0,0,SER_hh_tesh_in!M26/SER_summary!M$27)</f>
        <v>24.715338244713521</v>
      </c>
      <c r="N26" s="65">
        <f>IF(SER_hh_tesh_in!N26=0,0,SER_hh_tesh_in!N26/SER_summary!N$27)</f>
        <v>23.994160650542991</v>
      </c>
      <c r="O26" s="65">
        <f>IF(SER_hh_tesh_in!O26=0,0,SER_hh_tesh_in!O26/SER_summary!O$27)</f>
        <v>24.956832284176375</v>
      </c>
      <c r="P26" s="65">
        <f>IF(SER_hh_tesh_in!P26=0,0,SER_hh_tesh_in!P26/SER_summary!P$27)</f>
        <v>24.341721545175524</v>
      </c>
      <c r="Q26" s="65">
        <f>IF(SER_hh_tesh_in!Q26=0,0,SER_hh_tesh_in!Q26/SER_summary!Q$27)</f>
        <v>23.751002337946932</v>
      </c>
      <c r="R26" s="65">
        <f>IF(SER_hh_tesh_in!R26=0,0,SER_hh_tesh_in!R26/SER_summary!R$27)</f>
        <v>24.370439201411042</v>
      </c>
      <c r="S26" s="65">
        <f>IF(SER_hh_tesh_in!S26=0,0,SER_hh_tesh_in!S26/SER_summary!S$27)</f>
        <v>23.967776941269751</v>
      </c>
      <c r="T26" s="65">
        <f>IF(SER_hh_tesh_in!T26=0,0,SER_hh_tesh_in!T26/SER_summary!T$27)</f>
        <v>24.860845212623062</v>
      </c>
      <c r="U26" s="65">
        <f>IF(SER_hh_tesh_in!U26=0,0,SER_hh_tesh_in!U26/SER_summary!U$27)</f>
        <v>23.962513800930306</v>
      </c>
      <c r="V26" s="65">
        <f>IF(SER_hh_tesh_in!V26=0,0,SER_hh_tesh_in!V26/SER_summary!V$27)</f>
        <v>20.974949863931531</v>
      </c>
      <c r="W26" s="65">
        <f>IF(SER_hh_tesh_in!W26=0,0,SER_hh_tesh_in!W26/SER_summary!W$27)</f>
        <v>22.605042643303502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35.415622887070576</v>
      </c>
      <c r="D29" s="131">
        <f>IF(SER_hh_tesh_in!D29=0,0,SER_hh_tesh_in!D29/SER_summary!D$27)</f>
        <v>29.729836612934026</v>
      </c>
      <c r="E29" s="131">
        <f>IF(SER_hh_tesh_in!E29=0,0,SER_hh_tesh_in!E29/SER_summary!E$27)</f>
        <v>30.38559273425005</v>
      </c>
      <c r="F29" s="131">
        <f>IF(SER_hh_tesh_in!F29=0,0,SER_hh_tesh_in!F29/SER_summary!F$27)</f>
        <v>29.169420025676715</v>
      </c>
      <c r="G29" s="131">
        <f>IF(SER_hh_tesh_in!G29=0,0,SER_hh_tesh_in!G29/SER_summary!G$27)</f>
        <v>29.381468656830855</v>
      </c>
      <c r="H29" s="131">
        <f>IF(SER_hh_tesh_in!H29=0,0,SER_hh_tesh_in!H29/SER_summary!H$27)</f>
        <v>28.986765562024004</v>
      </c>
      <c r="I29" s="131">
        <f>IF(SER_hh_tesh_in!I29=0,0,SER_hh_tesh_in!I29/SER_summary!I$27)</f>
        <v>27.533958665760231</v>
      </c>
      <c r="J29" s="131">
        <f>IF(SER_hh_tesh_in!J29=0,0,SER_hh_tesh_in!J29/SER_summary!J$27)</f>
        <v>28.008340824524772</v>
      </c>
      <c r="K29" s="131">
        <f>IF(SER_hh_tesh_in!K29=0,0,SER_hh_tesh_in!K29/SER_summary!K$27)</f>
        <v>28.284677618791005</v>
      </c>
      <c r="L29" s="131">
        <f>IF(SER_hh_tesh_in!L29=0,0,SER_hh_tesh_in!L29/SER_summary!L$27)</f>
        <v>27.767659652203612</v>
      </c>
      <c r="M29" s="131">
        <f>IF(SER_hh_tesh_in!M29=0,0,SER_hh_tesh_in!M29/SER_summary!M$27)</f>
        <v>27.584459880006492</v>
      </c>
      <c r="N29" s="131">
        <f>IF(SER_hh_tesh_in!N29=0,0,SER_hh_tesh_in!N29/SER_summary!N$27)</f>
        <v>28.371568587871515</v>
      </c>
      <c r="O29" s="131">
        <f>IF(SER_hh_tesh_in!O29=0,0,SER_hh_tesh_in!O29/SER_summary!O$27)</f>
        <v>27.836249795556558</v>
      </c>
      <c r="P29" s="131">
        <f>IF(SER_hh_tesh_in!P29=0,0,SER_hh_tesh_in!P29/SER_summary!P$27)</f>
        <v>27.550009128056185</v>
      </c>
      <c r="Q29" s="131">
        <f>IF(SER_hh_tesh_in!Q29=0,0,SER_hh_tesh_in!Q29/SER_summary!Q$27)</f>
        <v>26.31350071935805</v>
      </c>
      <c r="R29" s="131">
        <f>IF(SER_hh_tesh_in!R29=0,0,SER_hh_tesh_in!R29/SER_summary!R$27)</f>
        <v>26.746396619672485</v>
      </c>
      <c r="S29" s="131">
        <f>IF(SER_hh_tesh_in!S29=0,0,SER_hh_tesh_in!S29/SER_summary!S$27)</f>
        <v>26.910179786638881</v>
      </c>
      <c r="T29" s="131">
        <f>IF(SER_hh_tesh_in!T29=0,0,SER_hh_tesh_in!T29/SER_summary!T$27)</f>
        <v>26.177840688366881</v>
      </c>
      <c r="U29" s="131">
        <f>IF(SER_hh_tesh_in!U29=0,0,SER_hh_tesh_in!U29/SER_summary!U$27)</f>
        <v>26.184332081660521</v>
      </c>
      <c r="V29" s="131">
        <f>IF(SER_hh_tesh_in!V29=0,0,SER_hh_tesh_in!V29/SER_summary!V$27)</f>
        <v>24.254803295261404</v>
      </c>
      <c r="W29" s="131">
        <f>IF(SER_hh_tesh_in!W29=0,0,SER_hh_tesh_in!W29/SER_summary!W$27)</f>
        <v>25.126162962729154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50.710304844384218</v>
      </c>
      <c r="D30" s="133">
        <f>IF(SER_hh_tesh_in!D30=0,0,SER_hh_tesh_in!D30/SER_summary!D$27)</f>
        <v>15.779528396537888</v>
      </c>
      <c r="E30" s="133">
        <f>IF(SER_hh_tesh_in!E30=0,0,SER_hh_tesh_in!E30/SER_summary!E$27)</f>
        <v>40.659088870675603</v>
      </c>
      <c r="F30" s="133">
        <f>IF(SER_hh_tesh_in!F30=0,0,SER_hh_tesh_in!F30/SER_summary!F$27)</f>
        <v>29.237387740617237</v>
      </c>
      <c r="G30" s="133">
        <f>IF(SER_hh_tesh_in!G30=0,0,SER_hh_tesh_in!G30/SER_summary!G$27)</f>
        <v>28.115409788812038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29.284845105586772</v>
      </c>
      <c r="O30" s="133">
        <f>IF(SER_hh_tesh_in!O30=0,0,SER_hh_tesh_in!O30/SER_summary!O$27)</f>
        <v>25.158704867607653</v>
      </c>
      <c r="P30" s="133">
        <f>IF(SER_hh_tesh_in!P30=0,0,SER_hh_tesh_in!P30/SER_summary!P$27)</f>
        <v>28.304717742867211</v>
      </c>
      <c r="Q30" s="133">
        <f>IF(SER_hh_tesh_in!Q30=0,0,SER_hh_tesh_in!Q30/SER_summary!Q$27)</f>
        <v>21.698785115268002</v>
      </c>
      <c r="R30" s="133">
        <f>IF(SER_hh_tesh_in!R30=0,0,SER_hh_tesh_in!R30/SER_summary!R$27)</f>
        <v>26.856147490861183</v>
      </c>
      <c r="S30" s="133">
        <f>IF(SER_hh_tesh_in!S30=0,0,SER_hh_tesh_in!S30/SER_summary!S$27)</f>
        <v>32.533906375827343</v>
      </c>
      <c r="T30" s="133">
        <f>IF(SER_hh_tesh_in!T30=0,0,SER_hh_tesh_in!T30/SER_summary!T$27)</f>
        <v>27.460403409005878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26.432107639375968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32.852863200283963</v>
      </c>
      <c r="D31" s="133">
        <f>IF(SER_hh_tesh_in!D31=0,0,SER_hh_tesh_in!D31/SER_summary!D$27)</f>
        <v>33.098574106328336</v>
      </c>
      <c r="E31" s="133">
        <f>IF(SER_hh_tesh_in!E31=0,0,SER_hh_tesh_in!E31/SER_summary!E$27)</f>
        <v>29.158744495668103</v>
      </c>
      <c r="F31" s="133">
        <f>IF(SER_hh_tesh_in!F31=0,0,SER_hh_tesh_in!F31/SER_summary!F$27)</f>
        <v>29.874839163339189</v>
      </c>
      <c r="G31" s="133">
        <f>IF(SER_hh_tesh_in!G31=0,0,SER_hh_tesh_in!G31/SER_summary!G$27)</f>
        <v>29.109789095558522</v>
      </c>
      <c r="H31" s="133">
        <f>IF(SER_hh_tesh_in!H31=0,0,SER_hh_tesh_in!H31/SER_summary!H$27)</f>
        <v>28.036481561602727</v>
      </c>
      <c r="I31" s="133">
        <f>IF(SER_hh_tesh_in!I31=0,0,SER_hh_tesh_in!I31/SER_summary!I$27)</f>
        <v>27.767621004627024</v>
      </c>
      <c r="J31" s="133">
        <f>IF(SER_hh_tesh_in!J31=0,0,SER_hh_tesh_in!J31/SER_summary!J$27)</f>
        <v>28.487377859647047</v>
      </c>
      <c r="K31" s="133">
        <f>IF(SER_hh_tesh_in!K31=0,0,SER_hh_tesh_in!K31/SER_summary!K$27)</f>
        <v>29.186863659169269</v>
      </c>
      <c r="L31" s="133">
        <f>IF(SER_hh_tesh_in!L31=0,0,SER_hh_tesh_in!L31/SER_summary!L$27)</f>
        <v>28.793022254127699</v>
      </c>
      <c r="M31" s="133">
        <f>IF(SER_hh_tesh_in!M31=0,0,SER_hh_tesh_in!M31/SER_summary!M$27)</f>
        <v>29.30937693891552</v>
      </c>
      <c r="N31" s="133">
        <f>IF(SER_hh_tesh_in!N31=0,0,SER_hh_tesh_in!N31/SER_summary!N$27)</f>
        <v>0</v>
      </c>
      <c r="O31" s="133">
        <f>IF(SER_hh_tesh_in!O31=0,0,SER_hh_tesh_in!O31/SER_summary!O$27)</f>
        <v>25.874647110390232</v>
      </c>
      <c r="P31" s="133">
        <f>IF(SER_hh_tesh_in!P31=0,0,SER_hh_tesh_in!P31/SER_summary!P$27)</f>
        <v>27.040529374502871</v>
      </c>
      <c r="Q31" s="133">
        <f>IF(SER_hh_tesh_in!Q31=0,0,SER_hh_tesh_in!Q31/SER_summary!Q$27)</f>
        <v>25.175874160711246</v>
      </c>
      <c r="R31" s="133">
        <f>IF(SER_hh_tesh_in!R31=0,0,SER_hh_tesh_in!R31/SER_summary!R$27)</f>
        <v>26.647321635798424</v>
      </c>
      <c r="S31" s="133">
        <f>IF(SER_hh_tesh_in!S31=0,0,SER_hh_tesh_in!S31/SER_summary!S$27)</f>
        <v>26.570410646221031</v>
      </c>
      <c r="T31" s="133">
        <f>IF(SER_hh_tesh_in!T31=0,0,SER_hh_tesh_in!T31/SER_summary!T$27)</f>
        <v>26.132774099395917</v>
      </c>
      <c r="U31" s="133">
        <f>IF(SER_hh_tesh_in!U31=0,0,SER_hh_tesh_in!U31/SER_summary!U$27)</f>
        <v>25.900334401095868</v>
      </c>
      <c r="V31" s="133">
        <f>IF(SER_hh_tesh_in!V31=0,0,SER_hh_tesh_in!V31/SER_summary!V$27)</f>
        <v>25.106163570944005</v>
      </c>
      <c r="W31" s="133">
        <f>IF(SER_hh_tesh_in!W31=0,0,SER_hh_tesh_in!W31/SER_summary!W$27)</f>
        <v>24.935095498498107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31.367423123251331</v>
      </c>
      <c r="D33" s="68">
        <f>IF(SER_hh_tesh_in!D33=0,0,SER_hh_tesh_in!D33/SER_summary!D$27)</f>
        <v>30.154591396358573</v>
      </c>
      <c r="E33" s="68">
        <f>IF(SER_hh_tesh_in!E33=0,0,SER_hh_tesh_in!E33/SER_summary!E$27)</f>
        <v>28.358275097356742</v>
      </c>
      <c r="F33" s="68">
        <f>IF(SER_hh_tesh_in!F33=0,0,SER_hh_tesh_in!F33/SER_summary!F$27)</f>
        <v>28.990924731661725</v>
      </c>
      <c r="G33" s="68">
        <f>IF(SER_hh_tesh_in!G33=0,0,SER_hh_tesh_in!G33/SER_summary!G$27)</f>
        <v>29.475756297766907</v>
      </c>
      <c r="H33" s="68">
        <f>IF(SER_hh_tesh_in!H33=0,0,SER_hh_tesh_in!H33/SER_summary!H$27)</f>
        <v>29.186163672599267</v>
      </c>
      <c r="I33" s="68">
        <f>IF(SER_hh_tesh_in!I33=0,0,SER_hh_tesh_in!I33/SER_summary!I$27)</f>
        <v>27.4733910971642</v>
      </c>
      <c r="J33" s="68">
        <f>IF(SER_hh_tesh_in!J33=0,0,SER_hh_tesh_in!J33/SER_summary!J$27)</f>
        <v>27.857499566492297</v>
      </c>
      <c r="K33" s="68">
        <f>IF(SER_hh_tesh_in!K33=0,0,SER_hh_tesh_in!K33/SER_summary!K$27)</f>
        <v>27.971276692041609</v>
      </c>
      <c r="L33" s="68">
        <f>IF(SER_hh_tesh_in!L33=0,0,SER_hh_tesh_in!L33/SER_summary!L$27)</f>
        <v>27.547665919717019</v>
      </c>
      <c r="M33" s="68">
        <f>IF(SER_hh_tesh_in!M33=0,0,SER_hh_tesh_in!M33/SER_summary!M$27)</f>
        <v>27.510156547111659</v>
      </c>
      <c r="N33" s="68">
        <f>IF(SER_hh_tesh_in!N33=0,0,SER_hh_tesh_in!N33/SER_summary!N$27)</f>
        <v>28.235027095819923</v>
      </c>
      <c r="O33" s="68">
        <f>IF(SER_hh_tesh_in!O33=0,0,SER_hh_tesh_in!O33/SER_summary!O$27)</f>
        <v>28.493318507512406</v>
      </c>
      <c r="P33" s="68">
        <f>IF(SER_hh_tesh_in!P33=0,0,SER_hh_tesh_in!P33/SER_summary!P$27)</f>
        <v>27.531582115617045</v>
      </c>
      <c r="Q33" s="68">
        <f>IF(SER_hh_tesh_in!Q33=0,0,SER_hh_tesh_in!Q33/SER_summary!Q$27)</f>
        <v>27.911485748576521</v>
      </c>
      <c r="R33" s="68">
        <f>IF(SER_hh_tesh_in!R33=0,0,SER_hh_tesh_in!R33/SER_summary!R$27)</f>
        <v>26.7786177493312</v>
      </c>
      <c r="S33" s="68">
        <f>IF(SER_hh_tesh_in!S33=0,0,SER_hh_tesh_in!S33/SER_summary!S$27)</f>
        <v>25.495077388523384</v>
      </c>
      <c r="T33" s="68">
        <f>IF(SER_hh_tesh_in!T33=0,0,SER_hh_tesh_in!T33/SER_summary!T$27)</f>
        <v>26.181145607944359</v>
      </c>
      <c r="U33" s="68">
        <f>IF(SER_hh_tesh_in!U33=0,0,SER_hh_tesh_in!U33/SER_summary!U$27)</f>
        <v>26.352525194305997</v>
      </c>
      <c r="V33" s="68">
        <f>IF(SER_hh_tesh_in!V33=0,0,SER_hh_tesh_in!V33/SER_summary!V$27)</f>
        <v>23.671715043113984</v>
      </c>
      <c r="W33" s="68">
        <f>IF(SER_hh_tesh_in!W33=0,0,SER_hh_tesh_in!W33/SER_summary!W$27)</f>
        <v>25.175302179873178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31.853950794551057</v>
      </c>
      <c r="D3" s="126">
        <f>IF(SER_hh_emih_in!D3=0,0,SER_hh_emih_in!D3/SER_summary!D$27)</f>
        <v>38.365754239616287</v>
      </c>
      <c r="E3" s="126">
        <f>IF(SER_hh_emih_in!E3=0,0,SER_hh_emih_in!E3/SER_summary!E$27)</f>
        <v>34.02369992562091</v>
      </c>
      <c r="F3" s="126">
        <f>IF(SER_hh_emih_in!F3=0,0,SER_hh_emih_in!F3/SER_summary!F$27)</f>
        <v>32.954433188537479</v>
      </c>
      <c r="G3" s="126">
        <f>IF(SER_hh_emih_in!G3=0,0,SER_hh_emih_in!G3/SER_summary!G$27)</f>
        <v>25.205844597698107</v>
      </c>
      <c r="H3" s="126">
        <f>IF(SER_hh_emih_in!H3=0,0,SER_hh_emih_in!H3/SER_summary!H$27)</f>
        <v>28.722975418313847</v>
      </c>
      <c r="I3" s="126">
        <f>IF(SER_hh_emih_in!I3=0,0,SER_hh_emih_in!I3/SER_summary!I$27)</f>
        <v>23.0600593822668</v>
      </c>
      <c r="J3" s="126">
        <f>IF(SER_hh_emih_in!J3=0,0,SER_hh_emih_in!J3/SER_summary!J$27)</f>
        <v>29.755007210766053</v>
      </c>
      <c r="K3" s="126">
        <f>IF(SER_hh_emih_in!K3=0,0,SER_hh_emih_in!K3/SER_summary!K$27)</f>
        <v>27.125446245254899</v>
      </c>
      <c r="L3" s="126">
        <f>IF(SER_hh_emih_in!L3=0,0,SER_hh_emih_in!L3/SER_summary!L$27)</f>
        <v>28.29990197696214</v>
      </c>
      <c r="M3" s="126">
        <f>IF(SER_hh_emih_in!M3=0,0,SER_hh_emih_in!M3/SER_summary!M$27)</f>
        <v>10.994518328410459</v>
      </c>
      <c r="N3" s="126">
        <f>IF(SER_hh_emih_in!N3=0,0,SER_hh_emih_in!N3/SER_summary!N$27)</f>
        <v>14.746497310667404</v>
      </c>
      <c r="O3" s="126">
        <f>IF(SER_hh_emih_in!O3=0,0,SER_hh_emih_in!O3/SER_summary!O$27)</f>
        <v>15.000304911093673</v>
      </c>
      <c r="P3" s="126">
        <f>IF(SER_hh_emih_in!P3=0,0,SER_hh_emih_in!P3/SER_summary!P$27)</f>
        <v>18.28062517358693</v>
      </c>
      <c r="Q3" s="126">
        <f>IF(SER_hh_emih_in!Q3=0,0,SER_hh_emih_in!Q3/SER_summary!Q$27)</f>
        <v>16.213994956599397</v>
      </c>
      <c r="R3" s="126">
        <f>IF(SER_hh_emih_in!R3=0,0,SER_hh_emih_in!R3/SER_summary!R$27)</f>
        <v>16.961792916907243</v>
      </c>
      <c r="S3" s="126">
        <f>IF(SER_hh_emih_in!S3=0,0,SER_hh_emih_in!S3/SER_summary!S$27)</f>
        <v>16.827782446604857</v>
      </c>
      <c r="T3" s="126">
        <f>IF(SER_hh_emih_in!T3=0,0,SER_hh_emih_in!T3/SER_summary!T$27)</f>
        <v>18.355454870859244</v>
      </c>
      <c r="U3" s="126">
        <f>IF(SER_hh_emih_in!U3=0,0,SER_hh_emih_in!U3/SER_summary!U$27)</f>
        <v>16.912369125151898</v>
      </c>
      <c r="V3" s="126">
        <f>IF(SER_hh_emih_in!V3=0,0,SER_hh_emih_in!V3/SER_summary!V$27)</f>
        <v>16.463895532632943</v>
      </c>
      <c r="W3" s="126">
        <f>IF(SER_hh_emih_in!W3=0,0,SER_hh_emih_in!W3/SER_summary!W$27)</f>
        <v>16.945811977547805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21.943072609908139</v>
      </c>
      <c r="D4" s="131">
        <f>IF(SER_hh_emih_in!D4=0,0,SER_hh_emih_in!D4/SER_summary!D$27)</f>
        <v>31.182254904058226</v>
      </c>
      <c r="E4" s="131">
        <f>IF(SER_hh_emih_in!E4=0,0,SER_hh_emih_in!E4/SER_summary!E$27)</f>
        <v>27.111712348712796</v>
      </c>
      <c r="F4" s="131">
        <f>IF(SER_hh_emih_in!F4=0,0,SER_hh_emih_in!F4/SER_summary!F$27)</f>
        <v>28.954240487643411</v>
      </c>
      <c r="G4" s="131">
        <f>IF(SER_hh_emih_in!G4=0,0,SER_hh_emih_in!G4/SER_summary!G$27)</f>
        <v>21.185439613687752</v>
      </c>
      <c r="H4" s="131">
        <f>IF(SER_hh_emih_in!H4=0,0,SER_hh_emih_in!H4/SER_summary!H$27)</f>
        <v>25.339250951291092</v>
      </c>
      <c r="I4" s="131">
        <f>IF(SER_hh_emih_in!I4=0,0,SER_hh_emih_in!I4/SER_summary!I$27)</f>
        <v>19.475804706571953</v>
      </c>
      <c r="J4" s="131">
        <f>IF(SER_hh_emih_in!J4=0,0,SER_hh_emih_in!J4/SER_summary!J$27)</f>
        <v>25.061486763695722</v>
      </c>
      <c r="K4" s="131">
        <f>IF(SER_hh_emih_in!K4=0,0,SER_hh_emih_in!K4/SER_summary!K$27)</f>
        <v>21.968511720231447</v>
      </c>
      <c r="L4" s="131">
        <f>IF(SER_hh_emih_in!L4=0,0,SER_hh_emih_in!L4/SER_summary!L$27)</f>
        <v>24.001758292298252</v>
      </c>
      <c r="M4" s="131">
        <f>IF(SER_hh_emih_in!M4=0,0,SER_hh_emih_in!M4/SER_summary!M$27)</f>
        <v>8.8100247140711758</v>
      </c>
      <c r="N4" s="131">
        <f>IF(SER_hh_emih_in!N4=0,0,SER_hh_emih_in!N4/SER_summary!N$27)</f>
        <v>10.98151191769497</v>
      </c>
      <c r="O4" s="131">
        <f>IF(SER_hh_emih_in!O4=0,0,SER_hh_emih_in!O4/SER_summary!O$27)</f>
        <v>11.221576038147118</v>
      </c>
      <c r="P4" s="131">
        <f>IF(SER_hh_emih_in!P4=0,0,SER_hh_emih_in!P4/SER_summary!P$27)</f>
        <v>13.163351898549568</v>
      </c>
      <c r="Q4" s="131">
        <f>IF(SER_hh_emih_in!Q4=0,0,SER_hh_emih_in!Q4/SER_summary!Q$27)</f>
        <v>11.498540638355877</v>
      </c>
      <c r="R4" s="131">
        <f>IF(SER_hh_emih_in!R4=0,0,SER_hh_emih_in!R4/SER_summary!R$27)</f>
        <v>10.401928717444658</v>
      </c>
      <c r="S4" s="131">
        <f>IF(SER_hh_emih_in!S4=0,0,SER_hh_emih_in!S4/SER_summary!S$27)</f>
        <v>10.587774806961944</v>
      </c>
      <c r="T4" s="131">
        <f>IF(SER_hh_emih_in!T4=0,0,SER_hh_emih_in!T4/SER_summary!T$27)</f>
        <v>13.472407634159589</v>
      </c>
      <c r="U4" s="131">
        <f>IF(SER_hh_emih_in!U4=0,0,SER_hh_emih_in!U4/SER_summary!U$27)</f>
        <v>12.392783833786835</v>
      </c>
      <c r="V4" s="131">
        <f>IF(SER_hh_emih_in!V4=0,0,SER_hh_emih_in!V4/SER_summary!V$27)</f>
        <v>11.65681365281433</v>
      </c>
      <c r="W4" s="131">
        <f>IF(SER_hh_emih_in!W4=0,0,SER_hh_emih_in!W4/SER_summary!W$27)</f>
        <v>13.917736741822591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114.82481535644413</v>
      </c>
      <c r="D5" s="133">
        <f>IF(SER_hh_emih_in!D5=0,0,SER_hh_emih_in!D5/SER_summary!D$27)</f>
        <v>113.40882634888067</v>
      </c>
      <c r="E5" s="133">
        <f>IF(SER_hh_emih_in!E5=0,0,SER_hh_emih_in!E5/SER_summary!E$27)</f>
        <v>114.14752921042002</v>
      </c>
      <c r="F5" s="133">
        <f>IF(SER_hh_emih_in!F5=0,0,SER_hh_emih_in!F5/SER_summary!F$27)</f>
        <v>115.06873574767458</v>
      </c>
      <c r="G5" s="133">
        <f>IF(SER_hh_emih_in!G5=0,0,SER_hh_emih_in!G5/SER_summary!G$27)</f>
        <v>97.820612648524715</v>
      </c>
      <c r="H5" s="133">
        <f>IF(SER_hh_emih_in!H5=0,0,SER_hh_emih_in!H5/SER_summary!H$27)</f>
        <v>101.68198718256326</v>
      </c>
      <c r="I5" s="133">
        <f>IF(SER_hh_emih_in!I5=0,0,SER_hh_emih_in!I5/SER_summary!I$27)</f>
        <v>101.24425692301888</v>
      </c>
      <c r="J5" s="133">
        <f>IF(SER_hh_emih_in!J5=0,0,SER_hh_emih_in!J5/SER_summary!J$27)</f>
        <v>85.131340458787946</v>
      </c>
      <c r="K5" s="133">
        <f>IF(SER_hh_emih_in!K5=0,0,SER_hh_emih_in!K5/SER_summary!K$27)</f>
        <v>62.497046747518986</v>
      </c>
      <c r="L5" s="133">
        <f>IF(SER_hh_emih_in!L5=0,0,SER_hh_emih_in!L5/SER_summary!L$27)</f>
        <v>83.498479616829258</v>
      </c>
      <c r="M5" s="133">
        <f>IF(SER_hh_emih_in!M5=0,0,SER_hh_emih_in!M5/SER_summary!M$27)</f>
        <v>77.362085837375247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109.07113038143684</v>
      </c>
      <c r="D7" s="133">
        <f>IF(SER_hh_emih_in!D7=0,0,SER_hh_emih_in!D7/SER_summary!D$27)</f>
        <v>102.87329518354346</v>
      </c>
      <c r="E7" s="133">
        <f>IF(SER_hh_emih_in!E7=0,0,SER_hh_emih_in!E7/SER_summary!E$27)</f>
        <v>108.33406812835661</v>
      </c>
      <c r="F7" s="133">
        <f>IF(SER_hh_emih_in!F7=0,0,SER_hh_emih_in!F7/SER_summary!F$27)</f>
        <v>107.37832453802622</v>
      </c>
      <c r="G7" s="133">
        <f>IF(SER_hh_emih_in!G7=0,0,SER_hh_emih_in!G7/SER_summary!G$27)</f>
        <v>84.289282713813108</v>
      </c>
      <c r="H7" s="133">
        <f>IF(SER_hh_emih_in!H7=0,0,SER_hh_emih_in!H7/SER_summary!H$27)</f>
        <v>106.44119312156786</v>
      </c>
      <c r="I7" s="133">
        <f>IF(SER_hh_emih_in!I7=0,0,SER_hh_emih_in!I7/SER_summary!I$27)</f>
        <v>85.473620609575036</v>
      </c>
      <c r="J7" s="133">
        <f>IF(SER_hh_emih_in!J7=0,0,SER_hh_emih_in!J7/SER_summary!J$27)</f>
        <v>70.75880833144447</v>
      </c>
      <c r="K7" s="133">
        <f>IF(SER_hh_emih_in!K7=0,0,SER_hh_emih_in!K7/SER_summary!K$27)</f>
        <v>65.596350288247024</v>
      </c>
      <c r="L7" s="133">
        <f>IF(SER_hh_emih_in!L7=0,0,SER_hh_emih_in!L7/SER_summary!L$27)</f>
        <v>63.165208656631982</v>
      </c>
      <c r="M7" s="133">
        <f>IF(SER_hh_emih_in!M7=0,0,SER_hh_emih_in!M7/SER_summary!M$27)</f>
        <v>50.254527898248796</v>
      </c>
      <c r="N7" s="133">
        <f>IF(SER_hh_emih_in!N7=0,0,SER_hh_emih_in!N7/SER_summary!N$27)</f>
        <v>61.37143866710025</v>
      </c>
      <c r="O7" s="133">
        <f>IF(SER_hh_emih_in!O7=0,0,SER_hh_emih_in!O7/SER_summary!O$27)</f>
        <v>54.172637665105164</v>
      </c>
      <c r="P7" s="133">
        <f>IF(SER_hh_emih_in!P7=0,0,SER_hh_emih_in!P7/SER_summary!P$27)</f>
        <v>51.195044812746254</v>
      </c>
      <c r="Q7" s="133">
        <f>IF(SER_hh_emih_in!Q7=0,0,SER_hh_emih_in!Q7/SER_summary!Q$27)</f>
        <v>49.876384346227887</v>
      </c>
      <c r="R7" s="133">
        <f>IF(SER_hh_emih_in!R7=0,0,SER_hh_emih_in!R7/SER_summary!R$27)</f>
        <v>0</v>
      </c>
      <c r="S7" s="133">
        <f>IF(SER_hh_emih_in!S7=0,0,SER_hh_emih_in!S7/SER_summary!S$27)</f>
        <v>0</v>
      </c>
      <c r="T7" s="133">
        <f>IF(SER_hh_emih_in!T7=0,0,SER_hh_emih_in!T7/SER_summary!T$27)</f>
        <v>37.544013777564032</v>
      </c>
      <c r="U7" s="133">
        <f>IF(SER_hh_emih_in!U7=0,0,SER_hh_emih_in!U7/SER_summary!U$27)</f>
        <v>26.471426335889308</v>
      </c>
      <c r="V7" s="133">
        <f>IF(SER_hh_emih_in!V7=0,0,SER_hh_emih_in!V7/SER_summary!V$27)</f>
        <v>27.000855897031744</v>
      </c>
      <c r="W7" s="133">
        <f>IF(SER_hh_emih_in!W7=0,0,SER_hh_emih_in!W7/SER_summary!W$27)</f>
        <v>29.782148274214379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60.238117721163547</v>
      </c>
      <c r="D9" s="133">
        <f>IF(SER_hh_emih_in!D9=0,0,SER_hh_emih_in!D9/SER_summary!D$27)</f>
        <v>73.052688677586247</v>
      </c>
      <c r="E9" s="133">
        <f>IF(SER_hh_emih_in!E9=0,0,SER_hh_emih_in!E9/SER_summary!E$27)</f>
        <v>66.304904254066045</v>
      </c>
      <c r="F9" s="133">
        <f>IF(SER_hh_emih_in!F9=0,0,SER_hh_emih_in!F9/SER_summary!F$27)</f>
        <v>67.96578416691537</v>
      </c>
      <c r="G9" s="133">
        <f>IF(SER_hh_emih_in!G9=0,0,SER_hh_emih_in!G9/SER_summary!G$27)</f>
        <v>61.674140983741012</v>
      </c>
      <c r="H9" s="133">
        <f>IF(SER_hh_emih_in!H9=0,0,SER_hh_emih_in!H9/SER_summary!H$27)</f>
        <v>59.327796148714285</v>
      </c>
      <c r="I9" s="133">
        <f>IF(SER_hh_emih_in!I9=0,0,SER_hh_emih_in!I9/SER_summary!I$27)</f>
        <v>59.019606064990846</v>
      </c>
      <c r="J9" s="133">
        <f>IF(SER_hh_emih_in!J9=0,0,SER_hh_emih_in!J9/SER_summary!J$27)</f>
        <v>50.795364484400054</v>
      </c>
      <c r="K9" s="133">
        <f>IF(SER_hh_emih_in!K9=0,0,SER_hh_emih_in!K9/SER_summary!K$27)</f>
        <v>43.537275496050491</v>
      </c>
      <c r="L9" s="133">
        <f>IF(SER_hh_emih_in!L9=0,0,SER_hh_emih_in!L9/SER_summary!L$27)</f>
        <v>44.193339733896927</v>
      </c>
      <c r="M9" s="133">
        <f>IF(SER_hh_emih_in!M9=0,0,SER_hh_emih_in!M9/SER_summary!M$27)</f>
        <v>39.105336120838693</v>
      </c>
      <c r="N9" s="133">
        <f>IF(SER_hh_emih_in!N9=0,0,SER_hh_emih_in!N9/SER_summary!N$27)</f>
        <v>0</v>
      </c>
      <c r="O9" s="133">
        <f>IF(SER_hh_emih_in!O9=0,0,SER_hh_emih_in!O9/SER_summary!O$27)</f>
        <v>0</v>
      </c>
      <c r="P9" s="133">
        <f>IF(SER_hh_emih_in!P9=0,0,SER_hh_emih_in!P9/SER_summary!P$27)</f>
        <v>34.375620465434935</v>
      </c>
      <c r="Q9" s="133">
        <f>IF(SER_hh_emih_in!Q9=0,0,SER_hh_emih_in!Q9/SER_summary!Q$27)</f>
        <v>29.317110990067931</v>
      </c>
      <c r="R9" s="133">
        <f>IF(SER_hh_emih_in!R9=0,0,SER_hh_emih_in!R9/SER_summary!R$27)</f>
        <v>29.027678608851282</v>
      </c>
      <c r="S9" s="133">
        <f>IF(SER_hh_emih_in!S9=0,0,SER_hh_emih_in!S9/SER_summary!S$27)</f>
        <v>27.939668801475154</v>
      </c>
      <c r="T9" s="133">
        <f>IF(SER_hh_emih_in!T9=0,0,SER_hh_emih_in!T9/SER_summary!T$27)</f>
        <v>25.61103364187295</v>
      </c>
      <c r="U9" s="133">
        <f>IF(SER_hh_emih_in!U9=0,0,SER_hh_emih_in!U9/SER_summary!U$27)</f>
        <v>23.683603329783324</v>
      </c>
      <c r="V9" s="133">
        <f>IF(SER_hh_emih_in!V9=0,0,SER_hh_emih_in!V9/SER_summary!V$27)</f>
        <v>21.163130868289493</v>
      </c>
      <c r="W9" s="133">
        <f>IF(SER_hh_emih_in!W9=0,0,SER_hh_emih_in!W9/SER_summary!W$27)</f>
        <v>18.89330045971543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1.8458610477146553</v>
      </c>
      <c r="D19" s="131">
        <f>IF(SER_hh_emih_in!D19=0,0,SER_hh_emih_in!D19/SER_summary!D$27)</f>
        <v>2.4017901888897963</v>
      </c>
      <c r="E19" s="131">
        <f>IF(SER_hh_emih_in!E19=0,0,SER_hh_emih_in!E19/SER_summary!E$27)</f>
        <v>2.0783684283102062</v>
      </c>
      <c r="F19" s="131">
        <f>IF(SER_hh_emih_in!F19=0,0,SER_hh_emih_in!F19/SER_summary!F$27)</f>
        <v>1.8178793651231644</v>
      </c>
      <c r="G19" s="131">
        <f>IF(SER_hh_emih_in!G19=0,0,SER_hh_emih_in!G19/SER_summary!G$27)</f>
        <v>2.0511052519807866</v>
      </c>
      <c r="H19" s="131">
        <f>IF(SER_hh_emih_in!H19=0,0,SER_hh_emih_in!H19/SER_summary!H$27)</f>
        <v>1.7338733330599283</v>
      </c>
      <c r="I19" s="131">
        <f>IF(SER_hh_emih_in!I19=0,0,SER_hh_emih_in!I19/SER_summary!I$27)</f>
        <v>1.6433095545803276</v>
      </c>
      <c r="J19" s="131">
        <f>IF(SER_hh_emih_in!J19=0,0,SER_hh_emih_in!J19/SER_summary!J$27)</f>
        <v>2.3784655525583918</v>
      </c>
      <c r="K19" s="131">
        <f>IF(SER_hh_emih_in!K19=0,0,SER_hh_emih_in!K19/SER_summary!K$27)</f>
        <v>2.6197632491914318</v>
      </c>
      <c r="L19" s="131">
        <f>IF(SER_hh_emih_in!L19=0,0,SER_hh_emih_in!L19/SER_summary!L$27)</f>
        <v>2.5923965036272878</v>
      </c>
      <c r="M19" s="131">
        <f>IF(SER_hh_emih_in!M19=0,0,SER_hh_emih_in!M19/SER_summary!M$27)</f>
        <v>1.7795597002884529</v>
      </c>
      <c r="N19" s="131">
        <f>IF(SER_hh_emih_in!N19=0,0,SER_hh_emih_in!N19/SER_summary!N$27)</f>
        <v>2.3340449981323768</v>
      </c>
      <c r="O19" s="131">
        <f>IF(SER_hh_emih_in!O19=0,0,SER_hh_emih_in!O19/SER_summary!O$27)</f>
        <v>1.8007751454471062</v>
      </c>
      <c r="P19" s="131">
        <f>IF(SER_hh_emih_in!P19=0,0,SER_hh_emih_in!P19/SER_summary!P$27)</f>
        <v>1.8420658921822479</v>
      </c>
      <c r="Q19" s="131">
        <f>IF(SER_hh_emih_in!Q19=0,0,SER_hh_emih_in!Q19/SER_summary!Q$27)</f>
        <v>1.4621737854497736</v>
      </c>
      <c r="R19" s="131">
        <f>IF(SER_hh_emih_in!R19=0,0,SER_hh_emih_in!R19/SER_summary!R$27)</f>
        <v>1.4503417132946108</v>
      </c>
      <c r="S19" s="131">
        <f>IF(SER_hh_emih_in!S19=0,0,SER_hh_emih_in!S19/SER_summary!S$27)</f>
        <v>1.298869124836834</v>
      </c>
      <c r="T19" s="131">
        <f>IF(SER_hh_emih_in!T19=0,0,SER_hh_emih_in!T19/SER_summary!T$27)</f>
        <v>1.3897144814037945</v>
      </c>
      <c r="U19" s="131">
        <f>IF(SER_hh_emih_in!U19=0,0,SER_hh_emih_in!U19/SER_summary!U$27)</f>
        <v>1.4273496654461229</v>
      </c>
      <c r="V19" s="131">
        <f>IF(SER_hh_emih_in!V19=0,0,SER_hh_emih_in!V19/SER_summary!V$27)</f>
        <v>1.5651241199609116</v>
      </c>
      <c r="W19" s="131">
        <f>IF(SER_hh_emih_in!W19=0,0,SER_hh_emih_in!W19/SER_summary!W$27)</f>
        <v>1.2144035454818924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13.349185504571761</v>
      </c>
      <c r="D22" s="133">
        <f>IF(SER_hh_emih_in!D22=0,0,SER_hh_emih_in!D22/SER_summary!D$27)</f>
        <v>13.050498738671688</v>
      </c>
      <c r="E22" s="133">
        <f>IF(SER_hh_emih_in!E22=0,0,SER_hh_emih_in!E22/SER_summary!E$27)</f>
        <v>12.867543538302973</v>
      </c>
      <c r="F22" s="133">
        <f>IF(SER_hh_emih_in!F22=0,0,SER_hh_emih_in!F22/SER_summary!F$27)</f>
        <v>12.575992807794309</v>
      </c>
      <c r="G22" s="133">
        <f>IF(SER_hh_emih_in!G22=0,0,SER_hh_emih_in!G22/SER_summary!G$27)</f>
        <v>12.450586442970794</v>
      </c>
      <c r="H22" s="133">
        <f>IF(SER_hh_emih_in!H22=0,0,SER_hh_emih_in!H22/SER_summary!H$27)</f>
        <v>12.567215766562981</v>
      </c>
      <c r="I22" s="133">
        <f>IF(SER_hh_emih_in!I22=0,0,SER_hh_emih_in!I22/SER_summary!I$27)</f>
        <v>12.016672846419526</v>
      </c>
      <c r="J22" s="133">
        <f>IF(SER_hh_emih_in!J22=0,0,SER_hh_emih_in!J22/SER_summary!J$27)</f>
        <v>12.140154404304983</v>
      </c>
      <c r="K22" s="133">
        <f>IF(SER_hh_emih_in!K22=0,0,SER_hh_emih_in!K22/SER_summary!K$27)</f>
        <v>11.847776345023838</v>
      </c>
      <c r="L22" s="133">
        <f>IF(SER_hh_emih_in!L22=0,0,SER_hh_emih_in!L22/SER_summary!L$27)</f>
        <v>11.645584921026282</v>
      </c>
      <c r="M22" s="133">
        <f>IF(SER_hh_emih_in!M22=0,0,SER_hh_emih_in!M22/SER_summary!M$27)</f>
        <v>11.513143588670495</v>
      </c>
      <c r="N22" s="133">
        <f>IF(SER_hh_emih_in!N22=0,0,SER_hh_emih_in!N22/SER_summary!N$27)</f>
        <v>11.178780704374457</v>
      </c>
      <c r="O22" s="133">
        <f>IF(SER_hh_emih_in!O22=0,0,SER_hh_emih_in!O22/SER_summary!O$27)</f>
        <v>10.652897931512179</v>
      </c>
      <c r="P22" s="133">
        <f>IF(SER_hh_emih_in!P22=0,0,SER_hh_emih_in!P22/SER_summary!P$27)</f>
        <v>9.9409489361025116</v>
      </c>
      <c r="Q22" s="133">
        <f>IF(SER_hh_emih_in!Q22=0,0,SER_hh_emih_in!Q22/SER_summary!Q$27)</f>
        <v>9.4900886920234981</v>
      </c>
      <c r="R22" s="133">
        <f>IF(SER_hh_emih_in!R22=0,0,SER_hh_emih_in!R22/SER_summary!R$27)</f>
        <v>9.1150219015683884</v>
      </c>
      <c r="S22" s="133">
        <f>IF(SER_hh_emih_in!S22=0,0,SER_hh_emih_in!S22/SER_summary!S$27)</f>
        <v>8.8210637555011058</v>
      </c>
      <c r="T22" s="133">
        <f>IF(SER_hh_emih_in!T22=0,0,SER_hh_emih_in!T22/SER_summary!T$27)</f>
        <v>8.4470630983953008</v>
      </c>
      <c r="U22" s="133">
        <f>IF(SER_hh_emih_in!U22=0,0,SER_hh_emih_in!U22/SER_summary!U$27)</f>
        <v>7.8992260138534949</v>
      </c>
      <c r="V22" s="133">
        <f>IF(SER_hh_emih_in!V22=0,0,SER_hh_emih_in!V22/SER_summary!V$27)</f>
        <v>7.074984118813048</v>
      </c>
      <c r="W22" s="133">
        <f>IF(SER_hh_emih_in!W22=0,0,SER_hh_emih_in!W22/SER_summary!W$27)</f>
        <v>7.3855995460073176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8.8256993935633208</v>
      </c>
      <c r="D23" s="133">
        <f>IF(SER_hh_emih_in!D23=0,0,SER_hh_emih_in!D23/SER_summary!D$27)</f>
        <v>9.0372025362341883</v>
      </c>
      <c r="E23" s="133">
        <f>IF(SER_hh_emih_in!E23=0,0,SER_hh_emih_in!E23/SER_summary!E$27)</f>
        <v>8.4946752470631512</v>
      </c>
      <c r="F23" s="133">
        <f>IF(SER_hh_emih_in!F23=0,0,SER_hh_emih_in!F23/SER_summary!F$27)</f>
        <v>8.2002033309038858</v>
      </c>
      <c r="G23" s="133">
        <f>IF(SER_hh_emih_in!G23=0,0,SER_hh_emih_in!G23/SER_summary!G$27)</f>
        <v>8.3433679918557289</v>
      </c>
      <c r="H23" s="133">
        <f>IF(SER_hh_emih_in!H23=0,0,SER_hh_emih_in!H23/SER_summary!H$27)</f>
        <v>7.9473335504539042</v>
      </c>
      <c r="I23" s="133">
        <f>IF(SER_hh_emih_in!I23=0,0,SER_hh_emih_in!I23/SER_summary!I$27)</f>
        <v>7.6789183310042182</v>
      </c>
      <c r="J23" s="133">
        <f>IF(SER_hh_emih_in!J23=0,0,SER_hh_emih_in!J23/SER_summary!J$27)</f>
        <v>8.0367421063924027</v>
      </c>
      <c r="K23" s="133">
        <f>IF(SER_hh_emih_in!K23=0,0,SER_hh_emih_in!K23/SER_summary!K$27)</f>
        <v>7.9628061231902558</v>
      </c>
      <c r="L23" s="133">
        <f>IF(SER_hh_emih_in!L23=0,0,SER_hh_emih_in!L23/SER_summary!L$27)</f>
        <v>7.6018453008656675</v>
      </c>
      <c r="M23" s="133">
        <f>IF(SER_hh_emih_in!M23=0,0,SER_hh_emih_in!M23/SER_summary!M$27)</f>
        <v>7.4871118472135016</v>
      </c>
      <c r="N23" s="133">
        <f>IF(SER_hh_emih_in!N23=0,0,SER_hh_emih_in!N23/SER_summary!N$27)</f>
        <v>7.2076137001601666</v>
      </c>
      <c r="O23" s="133">
        <f>IF(SER_hh_emih_in!O23=0,0,SER_hh_emih_in!O23/SER_summary!O$27)</f>
        <v>6.9094302757451889</v>
      </c>
      <c r="P23" s="133">
        <f>IF(SER_hh_emih_in!P23=0,0,SER_hh_emih_in!P23/SER_summary!P$27)</f>
        <v>6.5120013202844556</v>
      </c>
      <c r="Q23" s="133">
        <f>IF(SER_hh_emih_in!Q23=0,0,SER_hh_emih_in!Q23/SER_summary!Q$27)</f>
        <v>6.3063116000563744</v>
      </c>
      <c r="R23" s="133">
        <f>IF(SER_hh_emih_in!R23=0,0,SER_hh_emih_in!R23/SER_summary!R$27)</f>
        <v>6.1953637617501762</v>
      </c>
      <c r="S23" s="133">
        <f>IF(SER_hh_emih_in!S23=0,0,SER_hh_emih_in!S23/SER_summary!S$27)</f>
        <v>6.1111307058860094</v>
      </c>
      <c r="T23" s="133">
        <f>IF(SER_hh_emih_in!T23=0,0,SER_hh_emih_in!T23/SER_summary!T$27)</f>
        <v>5.7308274648878257</v>
      </c>
      <c r="U23" s="133">
        <f>IF(SER_hh_emih_in!U23=0,0,SER_hh_emih_in!U23/SER_summary!U$27)</f>
        <v>5.5120622098012886</v>
      </c>
      <c r="V23" s="133">
        <f>IF(SER_hh_emih_in!V23=0,0,SER_hh_emih_in!V23/SER_summary!V$27)</f>
        <v>5.2614746162047226</v>
      </c>
      <c r="W23" s="133">
        <f>IF(SER_hh_emih_in!W23=0,0,SER_hh_emih_in!W23/SER_summary!W$27)</f>
        <v>5.263821988482257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8.0650171369282635</v>
      </c>
      <c r="D29" s="131">
        <f>IF(SER_hh_emih_in!D29=0,0,SER_hh_emih_in!D29/SER_summary!D$27)</f>
        <v>4.7817091466682671</v>
      </c>
      <c r="E29" s="131">
        <f>IF(SER_hh_emih_in!E29=0,0,SER_hh_emih_in!E29/SER_summary!E$27)</f>
        <v>4.8336191485979088</v>
      </c>
      <c r="F29" s="131">
        <f>IF(SER_hh_emih_in!F29=0,0,SER_hh_emih_in!F29/SER_summary!F$27)</f>
        <v>2.182313335770905</v>
      </c>
      <c r="G29" s="131">
        <f>IF(SER_hh_emih_in!G29=0,0,SER_hh_emih_in!G29/SER_summary!G$27)</f>
        <v>1.9692997320295687</v>
      </c>
      <c r="H29" s="131">
        <f>IF(SER_hh_emih_in!H29=0,0,SER_hh_emih_in!H29/SER_summary!H$27)</f>
        <v>1.6498511339628272</v>
      </c>
      <c r="I29" s="131">
        <f>IF(SER_hh_emih_in!I29=0,0,SER_hh_emih_in!I29/SER_summary!I$27)</f>
        <v>1.9409451211145301</v>
      </c>
      <c r="J29" s="131">
        <f>IF(SER_hh_emih_in!J29=0,0,SER_hh_emih_in!J29/SER_summary!J$27)</f>
        <v>2.3150548945119427</v>
      </c>
      <c r="K29" s="131">
        <f>IF(SER_hh_emih_in!K29=0,0,SER_hh_emih_in!K29/SER_summary!K$27)</f>
        <v>2.5371712758320184</v>
      </c>
      <c r="L29" s="131">
        <f>IF(SER_hh_emih_in!L29=0,0,SER_hh_emih_in!L29/SER_summary!L$27)</f>
        <v>1.7057471810365969</v>
      </c>
      <c r="M29" s="131">
        <f>IF(SER_hh_emih_in!M29=0,0,SER_hh_emih_in!M29/SER_summary!M$27)</f>
        <v>0.40493391405083068</v>
      </c>
      <c r="N29" s="131">
        <f>IF(SER_hh_emih_in!N29=0,0,SER_hh_emih_in!N29/SER_summary!N$27)</f>
        <v>1.4309403948400572</v>
      </c>
      <c r="O29" s="131">
        <f>IF(SER_hh_emih_in!O29=0,0,SER_hh_emih_in!O29/SER_summary!O$27)</f>
        <v>1.9779537274994494</v>
      </c>
      <c r="P29" s="131">
        <f>IF(SER_hh_emih_in!P29=0,0,SER_hh_emih_in!P29/SER_summary!P$27)</f>
        <v>3.2752073828551138</v>
      </c>
      <c r="Q29" s="131">
        <f>IF(SER_hh_emih_in!Q29=0,0,SER_hh_emih_in!Q29/SER_summary!Q$27)</f>
        <v>3.2532805327937475</v>
      </c>
      <c r="R29" s="131">
        <f>IF(SER_hh_emih_in!R29=0,0,SER_hh_emih_in!R29/SER_summary!R$27)</f>
        <v>5.1095224861679718</v>
      </c>
      <c r="S29" s="131">
        <f>IF(SER_hh_emih_in!S29=0,0,SER_hh_emih_in!S29/SER_summary!S$27)</f>
        <v>4.9411385148060809</v>
      </c>
      <c r="T29" s="131">
        <f>IF(SER_hh_emih_in!T29=0,0,SER_hh_emih_in!T29/SER_summary!T$27)</f>
        <v>3.4933327552958557</v>
      </c>
      <c r="U29" s="131">
        <f>IF(SER_hh_emih_in!U29=0,0,SER_hh_emih_in!U29/SER_summary!U$27)</f>
        <v>3.0922356259189421</v>
      </c>
      <c r="V29" s="131">
        <f>IF(SER_hh_emih_in!V29=0,0,SER_hh_emih_in!V29/SER_summary!V$27)</f>
        <v>3.2419577598577005</v>
      </c>
      <c r="W29" s="131">
        <f>IF(SER_hh_emih_in!W29=0,0,SER_hh_emih_in!W29/SER_summary!W$27)</f>
        <v>1.8136716902433216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19.165947499039696</v>
      </c>
      <c r="D30" s="133">
        <f>IF(SER_hh_emih_in!D30=0,0,SER_hh_emih_in!D30/SER_summary!D$27)</f>
        <v>5.9598617749023193</v>
      </c>
      <c r="E30" s="133">
        <f>IF(SER_hh_emih_in!E30=0,0,SER_hh_emih_in!E30/SER_summary!E$27)</f>
        <v>15.346601440021546</v>
      </c>
      <c r="F30" s="133">
        <f>IF(SER_hh_emih_in!F30=0,0,SER_hh_emih_in!F30/SER_summary!F$27)</f>
        <v>11.028242166857643</v>
      </c>
      <c r="G30" s="133">
        <f>IF(SER_hh_emih_in!G30=0,0,SER_hh_emih_in!G30/SER_summary!G$27)</f>
        <v>10.598130703298329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11.001981704127928</v>
      </c>
      <c r="O30" s="133">
        <f>IF(SER_hh_emih_in!O30=0,0,SER_hh_emih_in!O30/SER_summary!O$27)</f>
        <v>9.451837961067735</v>
      </c>
      <c r="P30" s="133">
        <f>IF(SER_hh_emih_in!P30=0,0,SER_hh_emih_in!P30/SER_summary!P$27)</f>
        <v>10.633759052668571</v>
      </c>
      <c r="Q30" s="133">
        <f>IF(SER_hh_emih_in!Q30=0,0,SER_hh_emih_in!Q30/SER_summary!Q$27)</f>
        <v>8.1519856423771451</v>
      </c>
      <c r="R30" s="133">
        <f>IF(SER_hh_emih_in!R30=0,0,SER_hh_emih_in!R30/SER_summary!R$27)</f>
        <v>10.070170249900368</v>
      </c>
      <c r="S30" s="133">
        <f>IF(SER_hh_emih_in!S30=0,0,SER_hh_emih_in!S30/SER_summary!S$27)</f>
        <v>12.160950776361807</v>
      </c>
      <c r="T30" s="133">
        <f>IF(SER_hh_emih_in!T30=0,0,SER_hh_emih_in!T30/SER_summary!T$27)</f>
        <v>10.227155610544065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9.741627734819998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11.500104900229999</v>
      </c>
      <c r="D31" s="133">
        <f>IF(SER_hh_emih_in!D31=0,0,SER_hh_emih_in!D31/SER_summary!D$27)</f>
        <v>11.560609004422615</v>
      </c>
      <c r="E31" s="133">
        <f>IF(SER_hh_emih_in!E31=0,0,SER_hh_emih_in!E31/SER_summary!E$27)</f>
        <v>9.9089907124697092</v>
      </c>
      <c r="F31" s="133">
        <f>IF(SER_hh_emih_in!F31=0,0,SER_hh_emih_in!F31/SER_summary!F$27)</f>
        <v>10.044727173417337</v>
      </c>
      <c r="G31" s="133">
        <f>IF(SER_hh_emih_in!G31=0,0,SER_hh_emih_in!G31/SER_summary!G$27)</f>
        <v>9.9100732548773731</v>
      </c>
      <c r="H31" s="133">
        <f>IF(SER_hh_emih_in!H31=0,0,SER_hh_emih_in!H31/SER_summary!H$27)</f>
        <v>9.5126494882630404</v>
      </c>
      <c r="I31" s="133">
        <f>IF(SER_hh_emih_in!I31=0,0,SER_hh_emih_in!I31/SER_summary!I$27)</f>
        <v>9.428876156229876</v>
      </c>
      <c r="J31" s="133">
        <f>IF(SER_hh_emih_in!J31=0,0,SER_hh_emih_in!J31/SER_summary!J$27)</f>
        <v>9.6671351362024467</v>
      </c>
      <c r="K31" s="133">
        <f>IF(SER_hh_emih_in!K31=0,0,SER_hh_emih_in!K31/SER_summary!K$27)</f>
        <v>9.8409164524846791</v>
      </c>
      <c r="L31" s="133">
        <f>IF(SER_hh_emih_in!L31=0,0,SER_hh_emih_in!L31/SER_summary!L$27)</f>
        <v>9.6560162546290904</v>
      </c>
      <c r="M31" s="133">
        <f>IF(SER_hh_emih_in!M31=0,0,SER_hh_emih_in!M31/SER_summary!M$27)</f>
        <v>9.8052850001279594</v>
      </c>
      <c r="N31" s="133">
        <f>IF(SER_hh_emih_in!N31=0,0,SER_hh_emih_in!N31/SER_summary!N$27)</f>
        <v>0</v>
      </c>
      <c r="O31" s="133">
        <f>IF(SER_hh_emih_in!O31=0,0,SER_hh_emih_in!O31/SER_summary!O$27)</f>
        <v>8.5546249827034089</v>
      </c>
      <c r="P31" s="133">
        <f>IF(SER_hh_emih_in!P31=0,0,SER_hh_emih_in!P31/SER_summary!P$27)</f>
        <v>8.949606120783649</v>
      </c>
      <c r="Q31" s="133">
        <f>IF(SER_hh_emih_in!Q31=0,0,SER_hh_emih_in!Q31/SER_summary!Q$27)</f>
        <v>8.3327825689505861</v>
      </c>
      <c r="R31" s="133">
        <f>IF(SER_hh_emih_in!R31=0,0,SER_hh_emih_in!R31/SER_summary!R$27)</f>
        <v>8.8263591424892773</v>
      </c>
      <c r="S31" s="133">
        <f>IF(SER_hh_emih_in!S31=0,0,SER_hh_emih_in!S31/SER_summary!S$27)</f>
        <v>8.7257762338937308</v>
      </c>
      <c r="T31" s="133">
        <f>IF(SER_hh_emih_in!T31=0,0,SER_hh_emih_in!T31/SER_summary!T$27)</f>
        <v>8.4646629776151645</v>
      </c>
      <c r="U31" s="133">
        <f>IF(SER_hh_emih_in!U31=0,0,SER_hh_emih_in!U31/SER_summary!U$27)</f>
        <v>8.3135418477227212</v>
      </c>
      <c r="V31" s="133">
        <f>IF(SER_hh_emih_in!V31=0,0,SER_hh_emih_in!V31/SER_summary!V$27)</f>
        <v>7.9755020252736086</v>
      </c>
      <c r="W31" s="133">
        <f>IF(SER_hh_emih_in!W31=0,0,SER_hh_emih_in!W31/SER_summary!W$27)</f>
        <v>7.84575580373156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63.17687420059346</v>
      </c>
      <c r="C3" s="180">
        <f t="shared" ref="C3:W3" si="1">SUM(C4:C9)</f>
        <v>65.876189757108449</v>
      </c>
      <c r="D3" s="180">
        <f t="shared" si="1"/>
        <v>71.341843857334865</v>
      </c>
      <c r="E3" s="180">
        <f t="shared" si="1"/>
        <v>77.437840936246445</v>
      </c>
      <c r="F3" s="180">
        <f t="shared" si="1"/>
        <v>84.028838423209947</v>
      </c>
      <c r="G3" s="180">
        <f t="shared" si="1"/>
        <v>92.251779094893593</v>
      </c>
      <c r="H3" s="180">
        <f t="shared" si="1"/>
        <v>100.73812068056998</v>
      </c>
      <c r="I3" s="180">
        <f t="shared" si="1"/>
        <v>110.66768207218949</v>
      </c>
      <c r="J3" s="180">
        <f t="shared" si="1"/>
        <v>115.5600239524542</v>
      </c>
      <c r="K3" s="180">
        <f t="shared" si="1"/>
        <v>116.44277868024042</v>
      </c>
      <c r="L3" s="180">
        <f t="shared" si="1"/>
        <v>118.27163435005079</v>
      </c>
      <c r="M3" s="180">
        <f t="shared" si="1"/>
        <v>121.00998900278397</v>
      </c>
      <c r="N3" s="180">
        <f t="shared" si="1"/>
        <v>124.42475536532794</v>
      </c>
      <c r="O3" s="180">
        <f t="shared" si="1"/>
        <v>127.20665532998413</v>
      </c>
      <c r="P3" s="180">
        <f t="shared" si="1"/>
        <v>132.12697461510663</v>
      </c>
      <c r="Q3" s="180">
        <f t="shared" si="1"/>
        <v>132.87365425243848</v>
      </c>
      <c r="R3" s="180">
        <f t="shared" si="1"/>
        <v>132.99067485130874</v>
      </c>
      <c r="S3" s="180">
        <f t="shared" si="1"/>
        <v>139.2891245967391</v>
      </c>
      <c r="T3" s="180">
        <f t="shared" si="1"/>
        <v>140.21713408396829</v>
      </c>
      <c r="U3" s="180">
        <f t="shared" si="1"/>
        <v>142.40126822519903</v>
      </c>
      <c r="V3" s="180">
        <f t="shared" si="1"/>
        <v>135.18906714047745</v>
      </c>
      <c r="W3" s="180">
        <f t="shared" si="1"/>
        <v>136.61426255554375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2.6834682573710316</v>
      </c>
      <c r="C4" s="181">
        <f t="shared" ref="C4:R9" si="3">C12*C44/11630</f>
        <v>2.9051145974701504</v>
      </c>
      <c r="D4" s="181">
        <f t="shared" si="3"/>
        <v>3.1126960185759529</v>
      </c>
      <c r="E4" s="181">
        <f t="shared" si="3"/>
        <v>3.3486069817109771</v>
      </c>
      <c r="F4" s="181">
        <f t="shared" si="3"/>
        <v>3.6364972631701455</v>
      </c>
      <c r="G4" s="181">
        <f t="shared" si="3"/>
        <v>3.8799474981378244</v>
      </c>
      <c r="H4" s="181">
        <f t="shared" si="3"/>
        <v>4.1800681886688267</v>
      </c>
      <c r="I4" s="181">
        <f t="shared" si="3"/>
        <v>4.4758323229288921</v>
      </c>
      <c r="J4" s="181">
        <f t="shared" si="3"/>
        <v>4.6824028486292741</v>
      </c>
      <c r="K4" s="181">
        <f t="shared" si="3"/>
        <v>4.7864578000432996</v>
      </c>
      <c r="L4" s="181">
        <f t="shared" si="3"/>
        <v>4.8390241263577662</v>
      </c>
      <c r="M4" s="181">
        <f t="shared" si="3"/>
        <v>4.994181590887564</v>
      </c>
      <c r="N4" s="181">
        <f t="shared" si="3"/>
        <v>5.0486701688134996</v>
      </c>
      <c r="O4" s="181">
        <f t="shared" si="3"/>
        <v>5.1382074345819655</v>
      </c>
      <c r="P4" s="181">
        <f t="shared" si="3"/>
        <v>5.2270218213349855</v>
      </c>
      <c r="Q4" s="181">
        <f t="shared" si="3"/>
        <v>5.3150815914391973</v>
      </c>
      <c r="R4" s="181">
        <f t="shared" si="3"/>
        <v>5.3323702953655676</v>
      </c>
      <c r="S4" s="181">
        <f t="shared" ref="D4:W9" si="4">S12*S44/11630</f>
        <v>5.3759977112358097</v>
      </c>
      <c r="T4" s="181">
        <f t="shared" si="4"/>
        <v>5.400947738517714</v>
      </c>
      <c r="U4" s="181">
        <f t="shared" si="4"/>
        <v>5.3912895868736399</v>
      </c>
      <c r="V4" s="181">
        <f t="shared" si="4"/>
        <v>5.3823667358155598</v>
      </c>
      <c r="W4" s="181">
        <f t="shared" si="4"/>
        <v>5.3622537797384116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14.111071740534987</v>
      </c>
      <c r="C5" s="181">
        <f t="shared" si="3"/>
        <v>14.496788975086268</v>
      </c>
      <c r="D5" s="181">
        <f t="shared" si="4"/>
        <v>14.983931563753236</v>
      </c>
      <c r="E5" s="181">
        <f t="shared" si="4"/>
        <v>15.567981970724997</v>
      </c>
      <c r="F5" s="181">
        <f t="shared" si="4"/>
        <v>16.237521091169729</v>
      </c>
      <c r="G5" s="181">
        <f t="shared" si="4"/>
        <v>16.870635187534475</v>
      </c>
      <c r="H5" s="181">
        <f t="shared" si="4"/>
        <v>17.364298350830346</v>
      </c>
      <c r="I5" s="181">
        <f t="shared" si="4"/>
        <v>17.805298218013586</v>
      </c>
      <c r="J5" s="181">
        <f t="shared" si="4"/>
        <v>18.224810280988716</v>
      </c>
      <c r="K5" s="181">
        <f t="shared" si="4"/>
        <v>18.475789301310428</v>
      </c>
      <c r="L5" s="181">
        <f t="shared" si="4"/>
        <v>18.662675721427522</v>
      </c>
      <c r="M5" s="181">
        <f t="shared" si="4"/>
        <v>18.896591945703733</v>
      </c>
      <c r="N5" s="181">
        <f t="shared" si="4"/>
        <v>19.173468097317024</v>
      </c>
      <c r="O5" s="181">
        <f t="shared" si="4"/>
        <v>19.336482460568686</v>
      </c>
      <c r="P5" s="181">
        <f t="shared" si="4"/>
        <v>19.357433544348158</v>
      </c>
      <c r="Q5" s="181">
        <f t="shared" si="4"/>
        <v>19.319382373800419</v>
      </c>
      <c r="R5" s="181">
        <f t="shared" si="4"/>
        <v>19.108736009193503</v>
      </c>
      <c r="S5" s="181">
        <f t="shared" si="4"/>
        <v>19.030423166218</v>
      </c>
      <c r="T5" s="181">
        <f t="shared" si="4"/>
        <v>18.298427354023037</v>
      </c>
      <c r="U5" s="181">
        <f t="shared" si="4"/>
        <v>17.502966328548268</v>
      </c>
      <c r="V5" s="181">
        <f t="shared" si="4"/>
        <v>16.684823659036631</v>
      </c>
      <c r="W5" s="181">
        <f t="shared" si="4"/>
        <v>15.772592841242927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16.495381976401617</v>
      </c>
      <c r="C6" s="181">
        <f t="shared" si="3"/>
        <v>17.40177622999326</v>
      </c>
      <c r="D6" s="181">
        <f t="shared" si="4"/>
        <v>18.288763486324395</v>
      </c>
      <c r="E6" s="181">
        <f t="shared" si="4"/>
        <v>19.294201239279055</v>
      </c>
      <c r="F6" s="181">
        <f t="shared" si="4"/>
        <v>20.44843593236471</v>
      </c>
      <c r="G6" s="181">
        <f t="shared" si="4"/>
        <v>21.369075471026306</v>
      </c>
      <c r="H6" s="181">
        <f t="shared" si="4"/>
        <v>22.496076921545175</v>
      </c>
      <c r="I6" s="181">
        <f t="shared" si="4"/>
        <v>23.871140775089881</v>
      </c>
      <c r="J6" s="181">
        <f t="shared" si="4"/>
        <v>24.592633493550903</v>
      </c>
      <c r="K6" s="181">
        <f t="shared" si="4"/>
        <v>24.632512989358112</v>
      </c>
      <c r="L6" s="181">
        <f t="shared" si="4"/>
        <v>24.660067119313059</v>
      </c>
      <c r="M6" s="181">
        <f t="shared" si="4"/>
        <v>25.254839787805128</v>
      </c>
      <c r="N6" s="181">
        <f t="shared" si="4"/>
        <v>25.334025206802973</v>
      </c>
      <c r="O6" s="181">
        <f t="shared" si="4"/>
        <v>25.492942049119147</v>
      </c>
      <c r="P6" s="181">
        <f t="shared" si="4"/>
        <v>25.830857481403509</v>
      </c>
      <c r="Q6" s="181">
        <f t="shared" si="4"/>
        <v>26.492001639983528</v>
      </c>
      <c r="R6" s="181">
        <f t="shared" si="4"/>
        <v>26.17984988880713</v>
      </c>
      <c r="S6" s="181">
        <f t="shared" si="4"/>
        <v>26.356456565480386</v>
      </c>
      <c r="T6" s="181">
        <f t="shared" si="4"/>
        <v>25.04001953031899</v>
      </c>
      <c r="U6" s="181">
        <f t="shared" si="4"/>
        <v>23.500052880037163</v>
      </c>
      <c r="V6" s="181">
        <f t="shared" si="4"/>
        <v>20.378601394016638</v>
      </c>
      <c r="W6" s="181">
        <f t="shared" si="4"/>
        <v>19.628192775570948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13.684527277527</v>
      </c>
      <c r="C7" s="181">
        <f t="shared" si="3"/>
        <v>13.833465119608297</v>
      </c>
      <c r="D7" s="181">
        <f t="shared" si="4"/>
        <v>14.148169735678305</v>
      </c>
      <c r="E7" s="181">
        <f t="shared" si="4"/>
        <v>14.703100724549577</v>
      </c>
      <c r="F7" s="181">
        <f t="shared" si="4"/>
        <v>15.374597153397978</v>
      </c>
      <c r="G7" s="181">
        <f t="shared" si="4"/>
        <v>16.395429932194173</v>
      </c>
      <c r="H7" s="181">
        <f t="shared" si="4"/>
        <v>17.7255884725407</v>
      </c>
      <c r="I7" s="181">
        <f t="shared" si="4"/>
        <v>18.713914903868314</v>
      </c>
      <c r="J7" s="181">
        <f t="shared" si="4"/>
        <v>19.358242028731038</v>
      </c>
      <c r="K7" s="181">
        <f t="shared" si="4"/>
        <v>19.614666832277656</v>
      </c>
      <c r="L7" s="181">
        <f t="shared" si="4"/>
        <v>19.487195250885229</v>
      </c>
      <c r="M7" s="181">
        <f t="shared" si="4"/>
        <v>19.094602588383793</v>
      </c>
      <c r="N7" s="181">
        <f t="shared" si="4"/>
        <v>18.881024570866352</v>
      </c>
      <c r="O7" s="181">
        <f t="shared" si="4"/>
        <v>18.796443680700293</v>
      </c>
      <c r="P7" s="181">
        <f t="shared" si="4"/>
        <v>18.748165433682406</v>
      </c>
      <c r="Q7" s="181">
        <f t="shared" si="4"/>
        <v>18.903658337564121</v>
      </c>
      <c r="R7" s="181">
        <f t="shared" si="4"/>
        <v>18.636427185263695</v>
      </c>
      <c r="S7" s="181">
        <f t="shared" si="4"/>
        <v>18.446180707807848</v>
      </c>
      <c r="T7" s="181">
        <f t="shared" si="4"/>
        <v>18.355183843775777</v>
      </c>
      <c r="U7" s="181">
        <f t="shared" si="4"/>
        <v>18.341837594302362</v>
      </c>
      <c r="V7" s="181">
        <f t="shared" si="4"/>
        <v>18.394694998277988</v>
      </c>
      <c r="W7" s="181">
        <f t="shared" si="4"/>
        <v>18.484232460181456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3.1400491203761769</v>
      </c>
      <c r="C8" s="55">
        <f t="shared" si="3"/>
        <v>3.4288733763409804</v>
      </c>
      <c r="D8" s="55">
        <f t="shared" si="4"/>
        <v>3.9100154076847793</v>
      </c>
      <c r="E8" s="55">
        <f t="shared" si="4"/>
        <v>4.6197734171703306</v>
      </c>
      <c r="F8" s="55">
        <f t="shared" si="4"/>
        <v>5.6041149376097632</v>
      </c>
      <c r="G8" s="55">
        <f t="shared" si="4"/>
        <v>6.7855057468109647</v>
      </c>
      <c r="H8" s="55">
        <f t="shared" si="4"/>
        <v>7.8915577291800121</v>
      </c>
      <c r="I8" s="55">
        <f t="shared" si="4"/>
        <v>8.9827754369612141</v>
      </c>
      <c r="J8" s="55">
        <f t="shared" si="4"/>
        <v>9.8496982942739653</v>
      </c>
      <c r="K8" s="55">
        <f t="shared" si="4"/>
        <v>10.245940655890434</v>
      </c>
      <c r="L8" s="55">
        <f t="shared" si="4"/>
        <v>10.478504310936417</v>
      </c>
      <c r="M8" s="55">
        <f t="shared" si="4"/>
        <v>10.850309033292513</v>
      </c>
      <c r="N8" s="55">
        <f t="shared" si="4"/>
        <v>10.950485371432709</v>
      </c>
      <c r="O8" s="55">
        <f t="shared" si="4"/>
        <v>11.120021616661049</v>
      </c>
      <c r="P8" s="55">
        <f t="shared" si="4"/>
        <v>11.232010348986694</v>
      </c>
      <c r="Q8" s="55">
        <f t="shared" si="4"/>
        <v>11.362191311835621</v>
      </c>
      <c r="R8" s="55">
        <f t="shared" si="4"/>
        <v>11.736395629592526</v>
      </c>
      <c r="S8" s="55">
        <f t="shared" si="4"/>
        <v>12.324576469304894</v>
      </c>
      <c r="T8" s="55">
        <f t="shared" si="4"/>
        <v>12.44753928992071</v>
      </c>
      <c r="U8" s="55">
        <f t="shared" si="4"/>
        <v>12.48052012585064</v>
      </c>
      <c r="V8" s="55">
        <f t="shared" si="4"/>
        <v>11.456241906109707</v>
      </c>
      <c r="W8" s="55">
        <f t="shared" si="4"/>
        <v>11.817392761036777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13.062375828382656</v>
      </c>
      <c r="C9" s="63">
        <f t="shared" si="3"/>
        <v>13.810171458609489</v>
      </c>
      <c r="D9" s="63">
        <f t="shared" si="4"/>
        <v>16.898267645318185</v>
      </c>
      <c r="E9" s="63">
        <f t="shared" si="4"/>
        <v>19.904176602811511</v>
      </c>
      <c r="F9" s="63">
        <f t="shared" si="4"/>
        <v>22.727672045497627</v>
      </c>
      <c r="G9" s="63">
        <f t="shared" si="4"/>
        <v>26.951185259189838</v>
      </c>
      <c r="H9" s="63">
        <f t="shared" si="4"/>
        <v>31.080531017804919</v>
      </c>
      <c r="I9" s="63">
        <f t="shared" si="4"/>
        <v>36.818720415327604</v>
      </c>
      <c r="J9" s="63">
        <f t="shared" si="4"/>
        <v>38.852237006280312</v>
      </c>
      <c r="K9" s="63">
        <f t="shared" si="4"/>
        <v>38.687411101360489</v>
      </c>
      <c r="L9" s="63">
        <f t="shared" si="4"/>
        <v>40.144167821130786</v>
      </c>
      <c r="M9" s="63">
        <f t="shared" si="4"/>
        <v>41.919464056711234</v>
      </c>
      <c r="N9" s="63">
        <f t="shared" si="4"/>
        <v>45.037081950095406</v>
      </c>
      <c r="O9" s="63">
        <f t="shared" si="4"/>
        <v>47.322558088352991</v>
      </c>
      <c r="P9" s="63">
        <f t="shared" si="4"/>
        <v>51.731485985350879</v>
      </c>
      <c r="Q9" s="63">
        <f t="shared" si="4"/>
        <v>51.481338997815605</v>
      </c>
      <c r="R9" s="63">
        <f t="shared" si="4"/>
        <v>51.996895843086328</v>
      </c>
      <c r="S9" s="63">
        <f t="shared" si="4"/>
        <v>57.755489976692147</v>
      </c>
      <c r="T9" s="63">
        <f t="shared" si="4"/>
        <v>60.675016327412081</v>
      </c>
      <c r="U9" s="63">
        <f t="shared" si="4"/>
        <v>65.184601709586971</v>
      </c>
      <c r="V9" s="63">
        <f t="shared" si="4"/>
        <v>62.892338447220908</v>
      </c>
      <c r="W9" s="63">
        <f t="shared" si="4"/>
        <v>65.549597937773214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285.46381956122258</v>
      </c>
      <c r="C11" s="180">
        <f t="shared" ref="C11:W11" si="6">SUM(C12:C17)</f>
        <v>298.35763872188465</v>
      </c>
      <c r="D11" s="180">
        <f t="shared" si="6"/>
        <v>329.7597563401975</v>
      </c>
      <c r="E11" s="180">
        <f t="shared" si="6"/>
        <v>364.05204215035707</v>
      </c>
      <c r="F11" s="180">
        <f t="shared" si="6"/>
        <v>400.90096185695779</v>
      </c>
      <c r="G11" s="180">
        <f t="shared" si="6"/>
        <v>448.25147385917279</v>
      </c>
      <c r="H11" s="180">
        <f t="shared" si="6"/>
        <v>494.45244437709596</v>
      </c>
      <c r="I11" s="180">
        <f t="shared" si="6"/>
        <v>551.9285161508891</v>
      </c>
      <c r="J11" s="180">
        <f t="shared" si="6"/>
        <v>578.1058030480699</v>
      </c>
      <c r="K11" s="180">
        <f t="shared" si="6"/>
        <v>580.74169673804431</v>
      </c>
      <c r="L11" s="180">
        <f t="shared" si="6"/>
        <v>589.4960028707153</v>
      </c>
      <c r="M11" s="180">
        <f t="shared" si="6"/>
        <v>604.8115099437448</v>
      </c>
      <c r="N11" s="180">
        <f t="shared" si="6"/>
        <v>622.92387031256953</v>
      </c>
      <c r="O11" s="180">
        <f t="shared" si="6"/>
        <v>636.81022987722417</v>
      </c>
      <c r="P11" s="180">
        <f t="shared" si="6"/>
        <v>663.08403538697098</v>
      </c>
      <c r="Q11" s="180">
        <f t="shared" si="6"/>
        <v>662.80121120223839</v>
      </c>
      <c r="R11" s="180">
        <f t="shared" si="6"/>
        <v>659.92866316609002</v>
      </c>
      <c r="S11" s="180">
        <f t="shared" si="6"/>
        <v>682.88300338020622</v>
      </c>
      <c r="T11" s="180">
        <f t="shared" si="6"/>
        <v>695.36913822561064</v>
      </c>
      <c r="U11" s="180">
        <f t="shared" si="6"/>
        <v>712.73010235843594</v>
      </c>
      <c r="V11" s="180">
        <f t="shared" si="6"/>
        <v>709.54158168020331</v>
      </c>
      <c r="W11" s="180">
        <f t="shared" si="6"/>
        <v>708.54411744275944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3.5626410768521812</v>
      </c>
      <c r="C12" s="181">
        <f t="shared" ref="C12:W12" si="7">C20*C52</f>
        <v>3.8569044256367429</v>
      </c>
      <c r="D12" s="181">
        <f t="shared" si="7"/>
        <v>4.1324948283148775</v>
      </c>
      <c r="E12" s="181">
        <f t="shared" si="7"/>
        <v>4.4456962553993895</v>
      </c>
      <c r="F12" s="181">
        <f t="shared" si="7"/>
        <v>4.827906754642556</v>
      </c>
      <c r="G12" s="181">
        <f t="shared" si="7"/>
        <v>5.1511175117971355</v>
      </c>
      <c r="H12" s="181">
        <f t="shared" si="7"/>
        <v>5.5495654148651203</v>
      </c>
      <c r="I12" s="181">
        <f t="shared" si="7"/>
        <v>5.942229442427287</v>
      </c>
      <c r="J12" s="181">
        <f t="shared" si="7"/>
        <v>6.2164777545158083</v>
      </c>
      <c r="K12" s="181">
        <f t="shared" si="7"/>
        <v>6.3546237687789482</v>
      </c>
      <c r="L12" s="181">
        <f t="shared" si="7"/>
        <v>6.4244121677558015</v>
      </c>
      <c r="M12" s="181">
        <f t="shared" si="7"/>
        <v>6.6304031851623701</v>
      </c>
      <c r="N12" s="181">
        <f t="shared" si="7"/>
        <v>6.7027436145320776</v>
      </c>
      <c r="O12" s="181">
        <f t="shared" si="7"/>
        <v>6.8216155781036809</v>
      </c>
      <c r="P12" s="181">
        <f t="shared" si="7"/>
        <v>6.9395278290098057</v>
      </c>
      <c r="Q12" s="181">
        <f t="shared" si="7"/>
        <v>7.0564382315568306</v>
      </c>
      <c r="R12" s="181">
        <f t="shared" si="7"/>
        <v>7.0793911569750598</v>
      </c>
      <c r="S12" s="181">
        <f t="shared" si="7"/>
        <v>7.1373120298712829</v>
      </c>
      <c r="T12" s="181">
        <f t="shared" si="7"/>
        <v>7.1704363240823072</v>
      </c>
      <c r="U12" s="181">
        <f t="shared" si="7"/>
        <v>7.1576139149931999</v>
      </c>
      <c r="V12" s="181">
        <f t="shared" si="7"/>
        <v>7.1457677097642636</v>
      </c>
      <c r="W12" s="181">
        <f t="shared" si="7"/>
        <v>7.119065234972342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42.484709664301796</v>
      </c>
      <c r="C13" s="181">
        <f t="shared" ref="C13:W13" si="8">C21*C53/1000</f>
        <v>43.585419043656003</v>
      </c>
      <c r="D13" s="181">
        <f t="shared" si="8"/>
        <v>44.93299630115321</v>
      </c>
      <c r="E13" s="181">
        <f t="shared" si="8"/>
        <v>46.594188298488547</v>
      </c>
      <c r="F13" s="181">
        <f t="shared" si="8"/>
        <v>48.502125782928346</v>
      </c>
      <c r="G13" s="181">
        <f t="shared" si="8"/>
        <v>50.315331185167153</v>
      </c>
      <c r="H13" s="181">
        <f t="shared" si="8"/>
        <v>51.713456955638762</v>
      </c>
      <c r="I13" s="181">
        <f t="shared" si="8"/>
        <v>52.969756367155959</v>
      </c>
      <c r="J13" s="181">
        <f t="shared" si="8"/>
        <v>54.259801076181368</v>
      </c>
      <c r="K13" s="181">
        <f t="shared" si="8"/>
        <v>55.029186303768604</v>
      </c>
      <c r="L13" s="181">
        <f t="shared" si="8"/>
        <v>55.62015890434499</v>
      </c>
      <c r="M13" s="181">
        <f t="shared" si="8"/>
        <v>56.336309081364483</v>
      </c>
      <c r="N13" s="181">
        <f t="shared" si="8"/>
        <v>57.193667269440461</v>
      </c>
      <c r="O13" s="181">
        <f t="shared" si="8"/>
        <v>57.867371077526883</v>
      </c>
      <c r="P13" s="181">
        <f t="shared" si="8"/>
        <v>58.29016271236943</v>
      </c>
      <c r="Q13" s="181">
        <f t="shared" si="8"/>
        <v>58.668556598363658</v>
      </c>
      <c r="R13" s="181">
        <f t="shared" si="8"/>
        <v>57.73206401406987</v>
      </c>
      <c r="S13" s="181">
        <f t="shared" si="8"/>
        <v>56.531642181293932</v>
      </c>
      <c r="T13" s="181">
        <f t="shared" si="8"/>
        <v>54.959873302978046</v>
      </c>
      <c r="U13" s="181">
        <f t="shared" si="8"/>
        <v>53.0548409921835</v>
      </c>
      <c r="V13" s="181">
        <f t="shared" si="8"/>
        <v>50.991160441052834</v>
      </c>
      <c r="W13" s="181">
        <f t="shared" si="8"/>
        <v>48.892029735932155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86.752416684768647</v>
      </c>
      <c r="C14" s="181">
        <f t="shared" ref="C14:W14" si="9">C22*C54</f>
        <v>90.419823135348523</v>
      </c>
      <c r="D14" s="181">
        <f t="shared" si="9"/>
        <v>94.080684220631099</v>
      </c>
      <c r="E14" s="181">
        <f t="shared" si="9"/>
        <v>98.198502743895631</v>
      </c>
      <c r="F14" s="181">
        <f t="shared" si="9"/>
        <v>102.87071540463251</v>
      </c>
      <c r="G14" s="181">
        <f t="shared" si="9"/>
        <v>106.31453868539795</v>
      </c>
      <c r="H14" s="181">
        <f t="shared" si="9"/>
        <v>111.22485974195361</v>
      </c>
      <c r="I14" s="181">
        <f t="shared" si="9"/>
        <v>117.27803943889187</v>
      </c>
      <c r="J14" s="181">
        <f t="shared" si="9"/>
        <v>120.13522884263351</v>
      </c>
      <c r="K14" s="181">
        <f t="shared" si="9"/>
        <v>119.82311136867803</v>
      </c>
      <c r="L14" s="181">
        <f t="shared" si="9"/>
        <v>119.52403532194532</v>
      </c>
      <c r="M14" s="181">
        <f t="shared" si="9"/>
        <v>121.90062631253676</v>
      </c>
      <c r="N14" s="181">
        <f t="shared" si="9"/>
        <v>121.65278885896832</v>
      </c>
      <c r="O14" s="181">
        <f t="shared" si="9"/>
        <v>121.67865716097324</v>
      </c>
      <c r="P14" s="181">
        <f t="shared" si="9"/>
        <v>122.72516904635665</v>
      </c>
      <c r="Q14" s="181">
        <f t="shared" si="9"/>
        <v>125.0073429551998</v>
      </c>
      <c r="R14" s="181">
        <f t="shared" si="9"/>
        <v>122.07170540067217</v>
      </c>
      <c r="S14" s="181">
        <f t="shared" si="9"/>
        <v>118.95940854283961</v>
      </c>
      <c r="T14" s="181">
        <f t="shared" si="9"/>
        <v>114.87298352694239</v>
      </c>
      <c r="U14" s="181">
        <f t="shared" si="9"/>
        <v>108.92036732798775</v>
      </c>
      <c r="V14" s="181">
        <f t="shared" si="9"/>
        <v>102.76352231476227</v>
      </c>
      <c r="W14" s="181">
        <f t="shared" si="9"/>
        <v>95.755841811000835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18.167928337630023</v>
      </c>
      <c r="C15" s="181">
        <f t="shared" ref="C15:W15" si="10">C23*C55/1000</f>
        <v>18.365662025233391</v>
      </c>
      <c r="D15" s="181">
        <f t="shared" si="10"/>
        <v>18.783471920769259</v>
      </c>
      <c r="E15" s="181">
        <f t="shared" si="10"/>
        <v>19.520212491610916</v>
      </c>
      <c r="F15" s="181">
        <f t="shared" si="10"/>
        <v>20.411708321234993</v>
      </c>
      <c r="G15" s="181">
        <f t="shared" si="10"/>
        <v>21.766992021851401</v>
      </c>
      <c r="H15" s="181">
        <f t="shared" si="10"/>
        <v>23.532944513201858</v>
      </c>
      <c r="I15" s="181">
        <f t="shared" si="10"/>
        <v>24.845071955706455</v>
      </c>
      <c r="J15" s="181">
        <f t="shared" si="10"/>
        <v>25.700497122618948</v>
      </c>
      <c r="K15" s="181">
        <f t="shared" si="10"/>
        <v>26.040933248788726</v>
      </c>
      <c r="L15" s="181">
        <f t="shared" si="10"/>
        <v>25.871698717784842</v>
      </c>
      <c r="M15" s="181">
        <f t="shared" si="10"/>
        <v>25.35048266014881</v>
      </c>
      <c r="N15" s="181">
        <f t="shared" si="10"/>
        <v>25.066931022736938</v>
      </c>
      <c r="O15" s="181">
        <f t="shared" si="10"/>
        <v>24.954639270153468</v>
      </c>
      <c r="P15" s="181">
        <f t="shared" si="10"/>
        <v>24.890543834900278</v>
      </c>
      <c r="Q15" s="181">
        <f t="shared" si="10"/>
        <v>25.096980190167891</v>
      </c>
      <c r="R15" s="181">
        <f t="shared" si="10"/>
        <v>24.742197279065838</v>
      </c>
      <c r="S15" s="181">
        <f t="shared" si="10"/>
        <v>24.489621190845348</v>
      </c>
      <c r="T15" s="181">
        <f t="shared" si="10"/>
        <v>24.368811427295924</v>
      </c>
      <c r="U15" s="181">
        <f t="shared" si="10"/>
        <v>24.351092605221059</v>
      </c>
      <c r="V15" s="181">
        <f t="shared" si="10"/>
        <v>24.421267446343951</v>
      </c>
      <c r="W15" s="181">
        <f t="shared" si="10"/>
        <v>24.540139670309397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40.551835277846941</v>
      </c>
      <c r="C16" s="55">
        <f t="shared" ref="C16:W16" si="11">C24*C56</f>
        <v>44.071302446576169</v>
      </c>
      <c r="D16" s="55">
        <f t="shared" si="11"/>
        <v>50.037255234626876</v>
      </c>
      <c r="E16" s="55">
        <f t="shared" si="11"/>
        <v>58.884037438643333</v>
      </c>
      <c r="F16" s="55">
        <f t="shared" si="11"/>
        <v>71.166351988991536</v>
      </c>
      <c r="G16" s="55">
        <f t="shared" si="11"/>
        <v>85.872030446617742</v>
      </c>
      <c r="H16" s="55">
        <f t="shared" si="11"/>
        <v>99.54760387562068</v>
      </c>
      <c r="I16" s="55">
        <f t="shared" si="11"/>
        <v>112.96975032618602</v>
      </c>
      <c r="J16" s="55">
        <f t="shared" si="11"/>
        <v>123.51888846139316</v>
      </c>
      <c r="K16" s="55">
        <f t="shared" si="11"/>
        <v>128.14103524533135</v>
      </c>
      <c r="L16" s="55">
        <f t="shared" si="11"/>
        <v>130.71392899172082</v>
      </c>
      <c r="M16" s="55">
        <f t="shared" si="11"/>
        <v>135.13205155412015</v>
      </c>
      <c r="N16" s="55">
        <f t="shared" si="11"/>
        <v>136.16835333532131</v>
      </c>
      <c r="O16" s="55">
        <f t="shared" si="11"/>
        <v>138.07178599258663</v>
      </c>
      <c r="P16" s="55">
        <f t="shared" si="11"/>
        <v>139.26458602319559</v>
      </c>
      <c r="Q16" s="55">
        <f t="shared" si="11"/>
        <v>140.68711897953077</v>
      </c>
      <c r="R16" s="55">
        <f t="shared" si="11"/>
        <v>144.30188316022603</v>
      </c>
      <c r="S16" s="55">
        <f t="shared" si="11"/>
        <v>147.89002039996345</v>
      </c>
      <c r="T16" s="55">
        <f t="shared" si="11"/>
        <v>150.05492119297358</v>
      </c>
      <c r="U16" s="55">
        <f t="shared" si="11"/>
        <v>150.96533016584303</v>
      </c>
      <c r="V16" s="55">
        <f t="shared" si="11"/>
        <v>150.76865516860968</v>
      </c>
      <c r="W16" s="55">
        <f t="shared" si="11"/>
        <v>150.45648525772512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93.944288519822962</v>
      </c>
      <c r="C17" s="63">
        <f t="shared" ref="C17:W17" si="12">C25*C57/1000</f>
        <v>98.058527645433799</v>
      </c>
      <c r="D17" s="63">
        <f t="shared" si="12"/>
        <v>117.79285383470217</v>
      </c>
      <c r="E17" s="63">
        <f t="shared" si="12"/>
        <v>136.40940492231925</v>
      </c>
      <c r="F17" s="63">
        <f t="shared" si="12"/>
        <v>153.12215360452788</v>
      </c>
      <c r="G17" s="63">
        <f t="shared" si="12"/>
        <v>178.83146400834141</v>
      </c>
      <c r="H17" s="63">
        <f t="shared" si="12"/>
        <v>202.88401387581592</v>
      </c>
      <c r="I17" s="63">
        <f t="shared" si="12"/>
        <v>237.92366862052157</v>
      </c>
      <c r="J17" s="63">
        <f t="shared" si="12"/>
        <v>248.27490979072712</v>
      </c>
      <c r="K17" s="63">
        <f t="shared" si="12"/>
        <v>245.35280680269861</v>
      </c>
      <c r="L17" s="63">
        <f t="shared" si="12"/>
        <v>251.34176876716347</v>
      </c>
      <c r="M17" s="63">
        <f t="shared" si="12"/>
        <v>259.46163715041229</v>
      </c>
      <c r="N17" s="63">
        <f t="shared" si="12"/>
        <v>276.13938621157052</v>
      </c>
      <c r="O17" s="63">
        <f t="shared" si="12"/>
        <v>287.41616079788031</v>
      </c>
      <c r="P17" s="63">
        <f t="shared" si="12"/>
        <v>310.97404594113925</v>
      </c>
      <c r="Q17" s="63">
        <f t="shared" si="12"/>
        <v>306.28477424741942</v>
      </c>
      <c r="R17" s="63">
        <f t="shared" si="12"/>
        <v>304.00142215508112</v>
      </c>
      <c r="S17" s="63">
        <f t="shared" si="12"/>
        <v>327.87499903539265</v>
      </c>
      <c r="T17" s="63">
        <f t="shared" si="12"/>
        <v>343.94211245133846</v>
      </c>
      <c r="U17" s="63">
        <f t="shared" si="12"/>
        <v>368.28085735220748</v>
      </c>
      <c r="V17" s="63">
        <f t="shared" si="12"/>
        <v>373.45120859967034</v>
      </c>
      <c r="W17" s="63">
        <f t="shared" si="12"/>
        <v>381.78055573281966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4.5233676873256519</v>
      </c>
      <c r="C20" s="182">
        <v>4.9664649191504546</v>
      </c>
      <c r="D20" s="182">
        <v>5.3955254602101466</v>
      </c>
      <c r="E20" s="182">
        <v>5.8931587805771208</v>
      </c>
      <c r="F20" s="182">
        <v>6.5106136062327948</v>
      </c>
      <c r="G20" s="182">
        <v>7.0556848612592002</v>
      </c>
      <c r="H20" s="182">
        <v>7.7365529452056609</v>
      </c>
      <c r="I20" s="182">
        <v>8.4275060145894773</v>
      </c>
      <c r="J20" s="182">
        <v>8.9459193795661385</v>
      </c>
      <c r="K20" s="182">
        <v>9.2551497986803959</v>
      </c>
      <c r="L20" s="182">
        <v>9.4620169763991999</v>
      </c>
      <c r="M20" s="182">
        <v>9.9233411219541345</v>
      </c>
      <c r="N20" s="182">
        <v>10.164975186833644</v>
      </c>
      <c r="O20" s="182">
        <v>10.511140335930424</v>
      </c>
      <c r="P20" s="182">
        <v>10.880965796243316</v>
      </c>
      <c r="Q20" s="182">
        <v>11.276951186586423</v>
      </c>
      <c r="R20" s="182">
        <v>11.494144880313307</v>
      </c>
      <c r="S20" s="182">
        <v>11.791509430445046</v>
      </c>
      <c r="T20" s="182">
        <v>12.048683066129991</v>
      </c>
      <c r="U20" s="182">
        <v>12.303110850785458</v>
      </c>
      <c r="V20" s="182">
        <v>12.545483872076396</v>
      </c>
      <c r="W20" s="182">
        <v>12.773021473667585</v>
      </c>
      <c r="DA20" s="191" t="s">
        <v>921</v>
      </c>
    </row>
    <row r="21" spans="1:105" ht="12" customHeight="1" x14ac:dyDescent="0.25">
      <c r="A21" s="132" t="s">
        <v>163</v>
      </c>
      <c r="B21" s="182">
        <v>206.16384368708782</v>
      </c>
      <c r="C21" s="182">
        <v>213.79564423148713</v>
      </c>
      <c r="D21" s="182">
        <v>223.26173990147757</v>
      </c>
      <c r="E21" s="182">
        <v>235.12081125962865</v>
      </c>
      <c r="F21" s="182">
        <v>249.11888153137392</v>
      </c>
      <c r="G21" s="182">
        <v>263.7232879552966</v>
      </c>
      <c r="H21" s="182">
        <v>277.16723573899708</v>
      </c>
      <c r="I21" s="182">
        <v>290.79318389423293</v>
      </c>
      <c r="J21" s="182">
        <v>302.60285950839733</v>
      </c>
      <c r="K21" s="182">
        <v>311.99333083760678</v>
      </c>
      <c r="L21" s="182">
        <v>321.20492650010181</v>
      </c>
      <c r="M21" s="182">
        <v>332.23776857916755</v>
      </c>
      <c r="N21" s="182">
        <v>345.44709763635149</v>
      </c>
      <c r="O21" s="182">
        <v>358.85581652757895</v>
      </c>
      <c r="P21" s="182">
        <v>372.85869158748505</v>
      </c>
      <c r="Q21" s="182">
        <v>388.68366309858766</v>
      </c>
      <c r="R21" s="182">
        <v>396.81319768329143</v>
      </c>
      <c r="S21" s="182">
        <v>405.10985331154325</v>
      </c>
      <c r="T21" s="182">
        <v>413.36758351731532</v>
      </c>
      <c r="U21" s="182">
        <v>420.69917211062773</v>
      </c>
      <c r="V21" s="182">
        <v>426.64585112625184</v>
      </c>
      <c r="W21" s="182">
        <v>430.49411943517288</v>
      </c>
      <c r="DA21" s="191" t="s">
        <v>922</v>
      </c>
    </row>
    <row r="22" spans="1:105" ht="12" customHeight="1" x14ac:dyDescent="0.25">
      <c r="A22" s="132" t="s">
        <v>167</v>
      </c>
      <c r="B22" s="182">
        <v>1.8804749077003109</v>
      </c>
      <c r="C22" s="182">
        <v>1.9854545086064412</v>
      </c>
      <c r="D22" s="182">
        <v>2.1065317037066493</v>
      </c>
      <c r="E22" s="182">
        <v>2.2507722082671844</v>
      </c>
      <c r="F22" s="182">
        <v>2.4249672512071023</v>
      </c>
      <c r="G22" s="182">
        <v>2.5846980196318166</v>
      </c>
      <c r="H22" s="182">
        <v>2.7990279198855026</v>
      </c>
      <c r="I22" s="182">
        <v>3.0478554151738506</v>
      </c>
      <c r="J22" s="182">
        <v>3.2089905584592304</v>
      </c>
      <c r="K22" s="182">
        <v>3.2873934385843295</v>
      </c>
      <c r="L22" s="182">
        <v>3.3726448593085734</v>
      </c>
      <c r="M22" s="182">
        <v>3.5471382791125752</v>
      </c>
      <c r="N22" s="182">
        <v>3.6686405848803116</v>
      </c>
      <c r="O22" s="182">
        <v>3.8436840013406606</v>
      </c>
      <c r="P22" s="182">
        <v>4.0567811448934172</v>
      </c>
      <c r="Q22" s="182">
        <v>4.3349414902324339</v>
      </c>
      <c r="R22" s="182">
        <v>4.473281126335257</v>
      </c>
      <c r="S22" s="182">
        <v>4.6453207926474329</v>
      </c>
      <c r="T22" s="182">
        <v>4.7972244850761889</v>
      </c>
      <c r="U22" s="182">
        <v>4.9391094508800517</v>
      </c>
      <c r="V22" s="182">
        <v>5.0589293343205703</v>
      </c>
      <c r="W22" s="182">
        <v>5.1405237376320949</v>
      </c>
      <c r="DA22" s="191" t="s">
        <v>923</v>
      </c>
    </row>
    <row r="23" spans="1:105" ht="12" customHeight="1" x14ac:dyDescent="0.25">
      <c r="A23" s="132" t="s">
        <v>180</v>
      </c>
      <c r="B23" s="182">
        <v>24.22908798933965</v>
      </c>
      <c r="C23" s="182">
        <v>24.777654241501942</v>
      </c>
      <c r="D23" s="182">
        <v>25.766440422739777</v>
      </c>
      <c r="E23" s="182">
        <v>27.310629144790816</v>
      </c>
      <c r="F23" s="182">
        <v>29.15634000002807</v>
      </c>
      <c r="G23" s="182">
        <v>31.810596007080896</v>
      </c>
      <c r="H23" s="182">
        <v>35.242480264166723</v>
      </c>
      <c r="I23" s="182">
        <v>38.053041441866739</v>
      </c>
      <c r="J23" s="182">
        <v>40.264393950228758</v>
      </c>
      <c r="K23" s="182">
        <v>41.744025510021849</v>
      </c>
      <c r="L23" s="182">
        <v>42.459992468653461</v>
      </c>
      <c r="M23" s="182">
        <v>42.248948149322821</v>
      </c>
      <c r="N23" s="182">
        <v>42.549076595702338</v>
      </c>
      <c r="O23" s="182">
        <v>43.394883823539089</v>
      </c>
      <c r="P23" s="182">
        <v>44.528382928373432</v>
      </c>
      <c r="Q23" s="182">
        <v>46.567854791639704</v>
      </c>
      <c r="R23" s="182">
        <v>47.641225826808942</v>
      </c>
      <c r="S23" s="182">
        <v>48.726092136997927</v>
      </c>
      <c r="T23" s="182">
        <v>49.834696579808003</v>
      </c>
      <c r="U23" s="182">
        <v>50.881804971819541</v>
      </c>
      <c r="V23" s="182">
        <v>51.851791338152182</v>
      </c>
      <c r="W23" s="182">
        <v>52.707719291264389</v>
      </c>
      <c r="DA23" s="191" t="s">
        <v>924</v>
      </c>
    </row>
    <row r="24" spans="1:105" ht="12" customHeight="1" x14ac:dyDescent="0.25">
      <c r="A24" s="60" t="s">
        <v>166</v>
      </c>
      <c r="B24" s="36">
        <v>0.72916006113281329</v>
      </c>
      <c r="C24" s="36">
        <v>0.79795667205748622</v>
      </c>
      <c r="D24" s="36">
        <v>0.91492765476249804</v>
      </c>
      <c r="E24" s="36">
        <v>1.0900445119617073</v>
      </c>
      <c r="F24" s="36">
        <v>1.3363811397811858</v>
      </c>
      <c r="G24" s="36">
        <v>1.6362705502648505</v>
      </c>
      <c r="H24" s="36">
        <v>1.9209925357356337</v>
      </c>
      <c r="I24" s="36">
        <v>2.2060704729004739</v>
      </c>
      <c r="J24" s="36">
        <v>2.4366052419414084</v>
      </c>
      <c r="K24" s="36">
        <v>2.5459140159231435</v>
      </c>
      <c r="L24" s="36">
        <v>2.6154985720910049</v>
      </c>
      <c r="M24" s="36">
        <v>2.7322939092668586</v>
      </c>
      <c r="N24" s="36">
        <v>2.7782721420725833</v>
      </c>
      <c r="O24" s="36">
        <v>2.8528558641456643</v>
      </c>
      <c r="P24" s="36">
        <v>2.9192834023907346</v>
      </c>
      <c r="Q24" s="36">
        <v>3.0037575031288504</v>
      </c>
      <c r="R24" s="36">
        <v>3.1404024044043841</v>
      </c>
      <c r="S24" s="36">
        <v>3.3005344875116442</v>
      </c>
      <c r="T24" s="36">
        <v>3.4491806506777958</v>
      </c>
      <c r="U24" s="36">
        <v>3.5952532318559607</v>
      </c>
      <c r="V24" s="36">
        <v>3.7336198532520082</v>
      </c>
      <c r="W24" s="36">
        <v>3.8595511833969516</v>
      </c>
      <c r="DA24" s="89" t="s">
        <v>925</v>
      </c>
    </row>
    <row r="25" spans="1:105" ht="12" customHeight="1" x14ac:dyDescent="0.25">
      <c r="A25" s="62" t="s">
        <v>164</v>
      </c>
      <c r="B25" s="38">
        <v>234.90009552966305</v>
      </c>
      <c r="C25" s="38">
        <v>249.62483079575489</v>
      </c>
      <c r="D25" s="38">
        <v>309.27052100481649</v>
      </c>
      <c r="E25" s="38">
        <v>368.82840500136479</v>
      </c>
      <c r="F25" s="38">
        <v>427.14433449190665</v>
      </c>
      <c r="G25" s="38">
        <v>517.75444292858845</v>
      </c>
      <c r="H25" s="38">
        <v>610.15596207701537</v>
      </c>
      <c r="I25" s="38">
        <v>761.81830209077123</v>
      </c>
      <c r="J25" s="38">
        <v>834.00773463137728</v>
      </c>
      <c r="K25" s="38">
        <v>861.16213132390556</v>
      </c>
      <c r="L25" s="38">
        <v>949.23868002572226</v>
      </c>
      <c r="M25" s="38">
        <v>1058.5387986471112</v>
      </c>
      <c r="N25" s="38">
        <v>1252.0273685969855</v>
      </c>
      <c r="O25" s="38">
        <v>1377.5610260987874</v>
      </c>
      <c r="P25" s="38">
        <v>1538.4228853628513</v>
      </c>
      <c r="Q25" s="38">
        <v>1552.4385447842549</v>
      </c>
      <c r="R25" s="38">
        <v>1565.6231289753277</v>
      </c>
      <c r="S25" s="38">
        <v>1727.4335296364011</v>
      </c>
      <c r="T25" s="38">
        <v>1837.5721681694454</v>
      </c>
      <c r="U25" s="38">
        <v>1999.8215673412387</v>
      </c>
      <c r="V25" s="38">
        <v>2056.2699839484612</v>
      </c>
      <c r="W25" s="38">
        <v>2141.6157088351683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0.63929073832993399</v>
      </c>
      <c r="D28" s="183">
        <v>0.63080349749370779</v>
      </c>
      <c r="E28" s="183">
        <v>0.70508269621913922</v>
      </c>
      <c r="F28" s="183">
        <v>0.83077203039054393</v>
      </c>
      <c r="G28" s="183">
        <v>0.7644222636711655</v>
      </c>
      <c r="H28" s="183">
        <v>0.90642356623057996</v>
      </c>
      <c r="I28" s="183">
        <v>0.92288852253148868</v>
      </c>
      <c r="J28" s="183">
        <v>0.75690925025536515</v>
      </c>
      <c r="K28" s="183">
        <v>0.55447230224567079</v>
      </c>
      <c r="L28" s="183">
        <v>0.45904587326132429</v>
      </c>
      <c r="M28" s="183">
        <v>0.72063586537014146</v>
      </c>
      <c r="N28" s="183">
        <v>0.50828057079809597</v>
      </c>
      <c r="O28" s="183">
        <v>0.62035390990273065</v>
      </c>
      <c r="P28" s="183">
        <v>0.65176981316804117</v>
      </c>
      <c r="Q28" s="183">
        <v>0.68590470677769666</v>
      </c>
      <c r="R28" s="183">
        <v>0.51531355032526527</v>
      </c>
      <c r="S28" s="183">
        <v>0.60391690404600595</v>
      </c>
      <c r="T28" s="183">
        <v>0.57239700511309444</v>
      </c>
      <c r="U28" s="183">
        <v>0.89371852298540233</v>
      </c>
      <c r="V28" s="183">
        <v>0.8731765187846463</v>
      </c>
      <c r="W28" s="183">
        <v>0.93262029781032929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33.49390631121949</v>
      </c>
      <c r="D29" s="183">
        <v>36.44143271515884</v>
      </c>
      <c r="E29" s="183">
        <v>39.995558590138131</v>
      </c>
      <c r="F29" s="183">
        <v>43.345689262758611</v>
      </c>
      <c r="G29" s="183">
        <v>45.215290197023393</v>
      </c>
      <c r="H29" s="183">
        <v>45.372473421750044</v>
      </c>
      <c r="I29" s="183">
        <v>46.928833396184444</v>
      </c>
      <c r="J29" s="183">
        <v>45.303581925383867</v>
      </c>
      <c r="K29" s="183">
        <v>45.831904044368287</v>
      </c>
      <c r="L29" s="183">
        <v>49.207154252633131</v>
      </c>
      <c r="M29" s="183">
        <v>54.378531341824328</v>
      </c>
      <c r="N29" s="183">
        <v>58.4246192542073</v>
      </c>
      <c r="O29" s="183">
        <v>58.78119231297751</v>
      </c>
      <c r="P29" s="183">
        <v>60.931708456090519</v>
      </c>
      <c r="Q29" s="183">
        <v>61.12855343648647</v>
      </c>
      <c r="R29" s="183">
        <v>53.961438629072063</v>
      </c>
      <c r="S29" s="183">
        <v>57.503809880884944</v>
      </c>
      <c r="T29" s="183">
        <v>62.636261547596405</v>
      </c>
      <c r="U29" s="183">
        <v>65.756207847519704</v>
      </c>
      <c r="V29" s="183">
        <v>64.727871328601623</v>
      </c>
      <c r="W29" s="183">
        <v>64.779976765011554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0.39864602820146744</v>
      </c>
      <c r="D30" s="183">
        <v>0.42237259223941281</v>
      </c>
      <c r="E30" s="183">
        <v>0.45336305960825829</v>
      </c>
      <c r="F30" s="183">
        <v>0.49134809256013323</v>
      </c>
      <c r="G30" s="183">
        <v>0.48512293163284426</v>
      </c>
      <c r="H30" s="183">
        <v>0.54817521564338678</v>
      </c>
      <c r="I30" s="183">
        <v>0.64747352348981524</v>
      </c>
      <c r="J30" s="183">
        <v>0.58350773552479263</v>
      </c>
      <c r="K30" s="183">
        <v>0.5317659397333574</v>
      </c>
      <c r="L30" s="183">
        <v>0.57659951328437709</v>
      </c>
      <c r="M30" s="183">
        <v>0.65961635143684605</v>
      </c>
      <c r="N30" s="183">
        <v>0.66967752141112324</v>
      </c>
      <c r="O30" s="183">
        <v>0.82251693995016417</v>
      </c>
      <c r="P30" s="183">
        <v>0.79660487907754929</v>
      </c>
      <c r="Q30" s="183">
        <v>0.80992628507237407</v>
      </c>
      <c r="R30" s="183">
        <v>0.71493914938720016</v>
      </c>
      <c r="S30" s="183">
        <v>0.83165601774902198</v>
      </c>
      <c r="T30" s="183">
        <v>0.82158121383987925</v>
      </c>
      <c r="U30" s="183">
        <v>0.96440190575402696</v>
      </c>
      <c r="V30" s="183">
        <v>0.91642476251806748</v>
      </c>
      <c r="W30" s="183">
        <v>0.8915206883838982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2.750580936489591</v>
      </c>
      <c r="D31" s="183">
        <v>3.2371845106751564</v>
      </c>
      <c r="E31" s="183">
        <v>3.8399477302889444</v>
      </c>
      <c r="F31" s="183">
        <v>4.1898281563848983</v>
      </c>
      <c r="G31" s="183">
        <v>5.0477502291477165</v>
      </c>
      <c r="H31" s="183">
        <v>5.8757954847350895</v>
      </c>
      <c r="I31" s="183">
        <v>5.3059514040455653</v>
      </c>
      <c r="J31" s="183">
        <v>4.7593060965659788</v>
      </c>
      <c r="K31" s="183">
        <v>4.0812557142440582</v>
      </c>
      <c r="L31" s="183">
        <v>3.3723922060764622</v>
      </c>
      <c r="M31" s="183">
        <v>2.5395366171589515</v>
      </c>
      <c r="N31" s="183">
        <v>3.5373129570546737</v>
      </c>
      <c r="O31" s="183">
        <v>4.685754958125699</v>
      </c>
      <c r="P31" s="183">
        <v>5.3233272612192408</v>
      </c>
      <c r="Q31" s="183">
        <v>7.0872220924139882</v>
      </c>
      <c r="R31" s="183">
        <v>6.9491665199043311</v>
      </c>
      <c r="S31" s="183">
        <v>6.3908177142345508</v>
      </c>
      <c r="T31" s="183">
        <v>5.8679105393760551</v>
      </c>
      <c r="U31" s="183">
        <v>5.1283641062555958</v>
      </c>
      <c r="V31" s="183">
        <v>4.3423785724091033</v>
      </c>
      <c r="W31" s="183">
        <v>3.3954645702711588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8.9564879221923799E-2</v>
      </c>
      <c r="D32" s="41">
        <v>0.14007633488972016</v>
      </c>
      <c r="E32" s="41">
        <v>0.20082228877099195</v>
      </c>
      <c r="F32" s="41">
        <v>0.2749347295497313</v>
      </c>
      <c r="G32" s="41">
        <v>0.33170569881518031</v>
      </c>
      <c r="H32" s="41">
        <v>0.32011860769215561</v>
      </c>
      <c r="I32" s="41">
        <v>0.32445779353361326</v>
      </c>
      <c r="J32" s="41">
        <v>0.27434609877535321</v>
      </c>
      <c r="K32" s="41">
        <v>0.15805025732091815</v>
      </c>
      <c r="L32" s="41">
        <v>0.12381099057433476</v>
      </c>
      <c r="M32" s="41">
        <v>0.17712395228953692</v>
      </c>
      <c r="N32" s="41">
        <v>0.11309571602900759</v>
      </c>
      <c r="O32" s="41">
        <v>0.14925403475536081</v>
      </c>
      <c r="P32" s="41">
        <v>0.14950061143407334</v>
      </c>
      <c r="Q32" s="41">
        <v>0.1768955094769491</v>
      </c>
      <c r="R32" s="41">
        <v>0.22620978049745766</v>
      </c>
      <c r="S32" s="41">
        <v>0.30020841799698017</v>
      </c>
      <c r="T32" s="41">
        <v>0.3494684519371436</v>
      </c>
      <c r="U32" s="41">
        <v>0.42100731072789621</v>
      </c>
      <c r="V32" s="41">
        <v>0.4700723202112278</v>
      </c>
      <c r="W32" s="41">
        <v>0.44604993783709901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61.704754372024439</v>
      </c>
      <c r="D33" s="42">
        <v>106.6257093149942</v>
      </c>
      <c r="E33" s="42">
        <v>106.53790310248093</v>
      </c>
      <c r="F33" s="42">
        <v>105.29594859647449</v>
      </c>
      <c r="G33" s="42">
        <v>137.59012754261443</v>
      </c>
      <c r="H33" s="42">
        <v>154.1062735204514</v>
      </c>
      <c r="I33" s="42">
        <v>258.28804932875005</v>
      </c>
      <c r="J33" s="42">
        <v>178.72733564308703</v>
      </c>
      <c r="K33" s="42">
        <v>132.45034528900271</v>
      </c>
      <c r="L33" s="42">
        <v>225.66667624443107</v>
      </c>
      <c r="M33" s="42">
        <v>263.40639214184034</v>
      </c>
      <c r="N33" s="42">
        <v>451.77661927862437</v>
      </c>
      <c r="O33" s="42">
        <v>304.26099314488874</v>
      </c>
      <c r="P33" s="42">
        <v>293.31220455306652</v>
      </c>
      <c r="Q33" s="42">
        <v>239.68233566583467</v>
      </c>
      <c r="R33" s="42">
        <v>276.59097633291321</v>
      </c>
      <c r="S33" s="42">
        <v>613.58701993969771</v>
      </c>
      <c r="T33" s="42">
        <v>414.39963167793303</v>
      </c>
      <c r="U33" s="42">
        <v>455.56160372485988</v>
      </c>
      <c r="V33" s="42">
        <v>296.13075227305717</v>
      </c>
      <c r="W33" s="42">
        <v>361.93670121962032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0.19619350650513123</v>
      </c>
      <c r="D36" s="183">
        <v>0.20174295643401585</v>
      </c>
      <c r="E36" s="183">
        <v>0.20744937585216494</v>
      </c>
      <c r="F36" s="183">
        <v>0.21331720473486993</v>
      </c>
      <c r="G36" s="183">
        <v>0.21935100864476009</v>
      </c>
      <c r="H36" s="183">
        <v>0.22555548228411926</v>
      </c>
      <c r="I36" s="183">
        <v>0.23193545314767228</v>
      </c>
      <c r="J36" s="183">
        <v>0.23849588527870402</v>
      </c>
      <c r="K36" s="183">
        <v>0.24524188313141337</v>
      </c>
      <c r="L36" s="183">
        <v>0.25217869554252026</v>
      </c>
      <c r="M36" s="183">
        <v>0.25931171981520684</v>
      </c>
      <c r="N36" s="183">
        <v>0.26664650591858674</v>
      </c>
      <c r="O36" s="183">
        <v>0.27418876080595034</v>
      </c>
      <c r="P36" s="183">
        <v>0.28194435285514885</v>
      </c>
      <c r="Q36" s="183">
        <v>0.2899193164345899</v>
      </c>
      <c r="R36" s="183">
        <v>0.29811985659838136</v>
      </c>
      <c r="S36" s="183">
        <v>0.30655235391426672</v>
      </c>
      <c r="T36" s="183">
        <v>0.31522336942814988</v>
      </c>
      <c r="U36" s="183">
        <v>0.63929073832993488</v>
      </c>
      <c r="V36" s="183">
        <v>0.63080349749370868</v>
      </c>
      <c r="W36" s="183">
        <v>0.7050826962191401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25.862105766820179</v>
      </c>
      <c r="D37" s="183">
        <v>26.975337045168402</v>
      </c>
      <c r="E37" s="183">
        <v>28.136487231987047</v>
      </c>
      <c r="F37" s="183">
        <v>29.347618991013348</v>
      </c>
      <c r="G37" s="183">
        <v>30.610883773100738</v>
      </c>
      <c r="H37" s="183">
        <v>31.928525638049564</v>
      </c>
      <c r="I37" s="183">
        <v>33.302885240948626</v>
      </c>
      <c r="J37" s="183">
        <v>33.493906311219462</v>
      </c>
      <c r="K37" s="183">
        <v>36.44143271515884</v>
      </c>
      <c r="L37" s="183">
        <v>39.995558590138103</v>
      </c>
      <c r="M37" s="183">
        <v>43.345689262758583</v>
      </c>
      <c r="N37" s="183">
        <v>45.215290197023364</v>
      </c>
      <c r="O37" s="183">
        <v>45.372473421750044</v>
      </c>
      <c r="P37" s="183">
        <v>46.928833396184416</v>
      </c>
      <c r="Q37" s="183">
        <v>45.303581925383867</v>
      </c>
      <c r="R37" s="183">
        <v>45.831904044368287</v>
      </c>
      <c r="S37" s="183">
        <v>49.207154252633131</v>
      </c>
      <c r="T37" s="183">
        <v>54.378531341824328</v>
      </c>
      <c r="U37" s="183">
        <v>58.4246192542073</v>
      </c>
      <c r="V37" s="183">
        <v>58.78119231297751</v>
      </c>
      <c r="W37" s="183">
        <v>60.931708456090519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0.29366642729533687</v>
      </c>
      <c r="D38" s="183">
        <v>0.30129539713920472</v>
      </c>
      <c r="E38" s="183">
        <v>0.30912255504772324</v>
      </c>
      <c r="F38" s="183">
        <v>0.31715304962021529</v>
      </c>
      <c r="G38" s="183">
        <v>0.32539216320813003</v>
      </c>
      <c r="H38" s="183">
        <v>0.33384531538970075</v>
      </c>
      <c r="I38" s="183">
        <v>0.39864602820146722</v>
      </c>
      <c r="J38" s="183">
        <v>0.42237259223941281</v>
      </c>
      <c r="K38" s="183">
        <v>0.45336305960825829</v>
      </c>
      <c r="L38" s="183">
        <v>0.49134809256013323</v>
      </c>
      <c r="M38" s="183">
        <v>0.48512293163284426</v>
      </c>
      <c r="N38" s="183">
        <v>0.54817521564338678</v>
      </c>
      <c r="O38" s="183">
        <v>0.6474735234898148</v>
      </c>
      <c r="P38" s="183">
        <v>0.58350773552479218</v>
      </c>
      <c r="Q38" s="183">
        <v>0.53176593973335695</v>
      </c>
      <c r="R38" s="183">
        <v>0.57659951328437664</v>
      </c>
      <c r="S38" s="183">
        <v>0.65961635143684649</v>
      </c>
      <c r="T38" s="183">
        <v>0.66967752141112324</v>
      </c>
      <c r="U38" s="183">
        <v>0.82251693995016417</v>
      </c>
      <c r="V38" s="183">
        <v>0.79660487907754884</v>
      </c>
      <c r="W38" s="183">
        <v>0.80992628507237363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2.202014684327299</v>
      </c>
      <c r="D39" s="183">
        <v>2.2483983294373218</v>
      </c>
      <c r="E39" s="183">
        <v>2.2957590082379049</v>
      </c>
      <c r="F39" s="183">
        <v>2.3441173011476444</v>
      </c>
      <c r="G39" s="183">
        <v>2.393494222094894</v>
      </c>
      <c r="H39" s="183">
        <v>2.4439112276492594</v>
      </c>
      <c r="I39" s="183">
        <v>2.495390226345549</v>
      </c>
      <c r="J39" s="183">
        <v>2.5479535882039599</v>
      </c>
      <c r="K39" s="183">
        <v>2.6016241544509668</v>
      </c>
      <c r="L39" s="183">
        <v>2.6564252474448509</v>
      </c>
      <c r="M39" s="183">
        <v>2.750580936489591</v>
      </c>
      <c r="N39" s="183">
        <v>3.2371845106751564</v>
      </c>
      <c r="O39" s="183">
        <v>3.839947730288948</v>
      </c>
      <c r="P39" s="183">
        <v>4.1898281563848983</v>
      </c>
      <c r="Q39" s="183">
        <v>5.0477502291477165</v>
      </c>
      <c r="R39" s="183">
        <v>5.8757954847350931</v>
      </c>
      <c r="S39" s="183">
        <v>5.3059514040455653</v>
      </c>
      <c r="T39" s="183">
        <v>4.7593060965659788</v>
      </c>
      <c r="U39" s="183">
        <v>4.0812557142440582</v>
      </c>
      <c r="V39" s="183">
        <v>3.3723922060764622</v>
      </c>
      <c r="W39" s="183">
        <v>2.5395366171589515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2.0768268297250869E-2</v>
      </c>
      <c r="D40" s="41">
        <v>2.3105352184708328E-2</v>
      </c>
      <c r="E40" s="41">
        <v>2.5705431571782844E-2</v>
      </c>
      <c r="F40" s="41">
        <v>2.859810173025279E-2</v>
      </c>
      <c r="G40" s="41">
        <v>3.1816288331515619E-2</v>
      </c>
      <c r="H40" s="41">
        <v>3.5396622221372409E-2</v>
      </c>
      <c r="I40" s="41">
        <v>3.9379856368773059E-2</v>
      </c>
      <c r="J40" s="41">
        <v>4.3811329734418702E-2</v>
      </c>
      <c r="K40" s="41">
        <v>4.8741483339183045E-2</v>
      </c>
      <c r="L40" s="41">
        <v>5.4226434406473345E-2</v>
      </c>
      <c r="M40" s="41">
        <v>6.0328615113683259E-2</v>
      </c>
      <c r="N40" s="41">
        <v>6.7117483223282814E-2</v>
      </c>
      <c r="O40" s="41">
        <v>7.467031268227986E-2</v>
      </c>
      <c r="P40" s="41">
        <v>8.3073073189003033E-2</v>
      </c>
      <c r="Q40" s="41">
        <v>9.2421408738833311E-2</v>
      </c>
      <c r="R40" s="41">
        <v>8.956487922192391E-2</v>
      </c>
      <c r="S40" s="41">
        <v>0.14007633488972004</v>
      </c>
      <c r="T40" s="41">
        <v>0.20082228877099206</v>
      </c>
      <c r="U40" s="41">
        <v>0.2749347295497313</v>
      </c>
      <c r="V40" s="41">
        <v>0.33170569881517986</v>
      </c>
      <c r="W40" s="41">
        <v>0.32011860769215605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46.980019105932598</v>
      </c>
      <c r="D41" s="42">
        <v>46.98001910593257</v>
      </c>
      <c r="E41" s="42">
        <v>46.980019105932627</v>
      </c>
      <c r="F41" s="42">
        <v>46.980019105932627</v>
      </c>
      <c r="G41" s="42">
        <v>46.980019105932683</v>
      </c>
      <c r="H41" s="42">
        <v>61.704754372024468</v>
      </c>
      <c r="I41" s="42">
        <v>106.6257093149942</v>
      </c>
      <c r="J41" s="42">
        <v>106.53790310248098</v>
      </c>
      <c r="K41" s="42">
        <v>105.29594859647443</v>
      </c>
      <c r="L41" s="42">
        <v>137.59012754261448</v>
      </c>
      <c r="M41" s="42">
        <v>154.1062735204514</v>
      </c>
      <c r="N41" s="42">
        <v>258.28804932875005</v>
      </c>
      <c r="O41" s="42">
        <v>178.72733564308692</v>
      </c>
      <c r="P41" s="42">
        <v>132.4503452890026</v>
      </c>
      <c r="Q41" s="42">
        <v>225.66667624443107</v>
      </c>
      <c r="R41" s="42">
        <v>263.40639214184034</v>
      </c>
      <c r="S41" s="42">
        <v>451.77661927862437</v>
      </c>
      <c r="T41" s="42">
        <v>304.26099314488874</v>
      </c>
      <c r="U41" s="42">
        <v>293.31220455306629</v>
      </c>
      <c r="V41" s="42">
        <v>239.68233566583467</v>
      </c>
      <c r="W41" s="42">
        <v>276.59097633291321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8759.9999999999964</v>
      </c>
      <c r="D44" s="185">
        <v>8760.0000000000018</v>
      </c>
      <c r="E44" s="185">
        <v>8760.0000000000018</v>
      </c>
      <c r="F44" s="185">
        <v>8760</v>
      </c>
      <c r="G44" s="185">
        <v>8759.9999999999982</v>
      </c>
      <c r="H44" s="185">
        <v>8760</v>
      </c>
      <c r="I44" s="185">
        <v>8759.9999999999964</v>
      </c>
      <c r="J44" s="185">
        <v>8759.9999999999964</v>
      </c>
      <c r="K44" s="185">
        <v>8759.9999999999982</v>
      </c>
      <c r="L44" s="185">
        <v>8760</v>
      </c>
      <c r="M44" s="185">
        <v>8760</v>
      </c>
      <c r="N44" s="185">
        <v>8760</v>
      </c>
      <c r="O44" s="185">
        <v>8760.0000000000018</v>
      </c>
      <c r="P44" s="185">
        <v>8759.9999999999982</v>
      </c>
      <c r="Q44" s="185">
        <v>8760.0000000000036</v>
      </c>
      <c r="R44" s="185">
        <v>8760.0000000000036</v>
      </c>
      <c r="S44" s="185">
        <v>8760.0000000000036</v>
      </c>
      <c r="T44" s="185">
        <v>8760</v>
      </c>
      <c r="U44" s="185">
        <v>8760</v>
      </c>
      <c r="V44" s="185">
        <v>8760.0000000000018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3862.8430237412795</v>
      </c>
      <c r="C45" s="185">
        <v>3868.2123398052595</v>
      </c>
      <c r="D45" s="185">
        <v>3878.2885280672381</v>
      </c>
      <c r="E45" s="185">
        <v>3885.7985712652694</v>
      </c>
      <c r="F45" s="185">
        <v>3893.4864656338877</v>
      </c>
      <c r="G45" s="185">
        <v>3899.5169585382137</v>
      </c>
      <c r="H45" s="185">
        <v>3905.1110041510565</v>
      </c>
      <c r="I45" s="185">
        <v>3909.31792927588</v>
      </c>
      <c r="J45" s="185">
        <v>3906.2904648380891</v>
      </c>
      <c r="K45" s="185">
        <v>3904.7175509394178</v>
      </c>
      <c r="L45" s="185">
        <v>3902.3066980710587</v>
      </c>
      <c r="M45" s="185">
        <v>3900.989750875096</v>
      </c>
      <c r="N45" s="185">
        <v>3898.8133585017185</v>
      </c>
      <c r="O45" s="185">
        <v>3886.1846810896254</v>
      </c>
      <c r="P45" s="185">
        <v>3862.1774523370154</v>
      </c>
      <c r="Q45" s="185">
        <v>3829.7246435676861</v>
      </c>
      <c r="R45" s="185">
        <v>3849.4137284397052</v>
      </c>
      <c r="S45" s="185">
        <v>3915.0432020591543</v>
      </c>
      <c r="T45" s="185">
        <v>3872.1106388678045</v>
      </c>
      <c r="U45" s="185">
        <v>3836.7752045662805</v>
      </c>
      <c r="V45" s="185">
        <v>3805.4536801318091</v>
      </c>
      <c r="W45" s="185">
        <v>3751.843720426346</v>
      </c>
      <c r="DA45" s="194" t="s">
        <v>940</v>
      </c>
    </row>
    <row r="46" spans="1:105" ht="12" customHeight="1" x14ac:dyDescent="0.25">
      <c r="A46" s="132" t="s">
        <v>5</v>
      </c>
      <c r="B46" s="185">
        <v>2211.3653972619868</v>
      </c>
      <c r="C46" s="185">
        <v>2238.2554017151419</v>
      </c>
      <c r="D46" s="185">
        <v>2260.8075303443611</v>
      </c>
      <c r="E46" s="185">
        <v>2285.0812806997137</v>
      </c>
      <c r="F46" s="185">
        <v>2311.7882378670829</v>
      </c>
      <c r="G46" s="185">
        <v>2337.6139406808138</v>
      </c>
      <c r="H46" s="185">
        <v>2352.2562779990158</v>
      </c>
      <c r="I46" s="185">
        <v>2367.2067553529569</v>
      </c>
      <c r="J46" s="185">
        <v>2380.7531752792324</v>
      </c>
      <c r="K46" s="185">
        <v>2390.825299009221</v>
      </c>
      <c r="L46" s="185">
        <v>2399.4887708159004</v>
      </c>
      <c r="M46" s="185">
        <v>2409.4526469382622</v>
      </c>
      <c r="N46" s="185">
        <v>2421.9314322229607</v>
      </c>
      <c r="O46" s="185">
        <v>2436.6057527987618</v>
      </c>
      <c r="P46" s="185">
        <v>2447.8505496720782</v>
      </c>
      <c r="Q46" s="185">
        <v>2464.6710488313165</v>
      </c>
      <c r="R46" s="185">
        <v>2494.2033308002788</v>
      </c>
      <c r="S46" s="185">
        <v>2576.7242256097047</v>
      </c>
      <c r="T46" s="185">
        <v>2535.1080662870395</v>
      </c>
      <c r="U46" s="185">
        <v>2509.2241396123595</v>
      </c>
      <c r="V46" s="185">
        <v>2306.296328443068</v>
      </c>
      <c r="W46" s="185">
        <v>2383.9368717623747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</v>
      </c>
      <c r="D47" s="185">
        <v>8759.9999999999982</v>
      </c>
      <c r="E47" s="185">
        <v>8759.9999999999982</v>
      </c>
      <c r="F47" s="185">
        <v>8759.9999999999982</v>
      </c>
      <c r="G47" s="185">
        <v>8759.9999999999982</v>
      </c>
      <c r="H47" s="185">
        <v>8760.0000000000018</v>
      </c>
      <c r="I47" s="185">
        <v>8759.9999999999982</v>
      </c>
      <c r="J47" s="185">
        <v>8759.9999999999982</v>
      </c>
      <c r="K47" s="185">
        <v>8759.9999999999964</v>
      </c>
      <c r="L47" s="185">
        <v>8760</v>
      </c>
      <c r="M47" s="185">
        <v>8759.9999999999982</v>
      </c>
      <c r="N47" s="185">
        <v>8760.0000000000036</v>
      </c>
      <c r="O47" s="185">
        <v>8760.0000000000018</v>
      </c>
      <c r="P47" s="185">
        <v>8759.9999999999982</v>
      </c>
      <c r="Q47" s="185">
        <v>8760</v>
      </c>
      <c r="R47" s="185">
        <v>8760.0000000000018</v>
      </c>
      <c r="S47" s="185">
        <v>8760</v>
      </c>
      <c r="T47" s="185">
        <v>8760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900.54546285664105</v>
      </c>
      <c r="C48" s="44">
        <v>904.84726234687548</v>
      </c>
      <c r="D48" s="44">
        <v>908.79243831714689</v>
      </c>
      <c r="E48" s="44">
        <v>912.4368365140557</v>
      </c>
      <c r="F48" s="44">
        <v>915.82405031078963</v>
      </c>
      <c r="G48" s="44">
        <v>918.98877230426285</v>
      </c>
      <c r="H48" s="44">
        <v>921.95907100924478</v>
      </c>
      <c r="I48" s="44">
        <v>924.75798193955291</v>
      </c>
      <c r="J48" s="44">
        <v>927.4046470893428</v>
      </c>
      <c r="K48" s="44">
        <v>929.91514856945253</v>
      </c>
      <c r="L48" s="44">
        <v>932.30313001997854</v>
      </c>
      <c r="M48" s="44">
        <v>933.82060440822511</v>
      </c>
      <c r="N48" s="44">
        <v>935.26977267725715</v>
      </c>
      <c r="O48" s="44">
        <v>936.65661287753449</v>
      </c>
      <c r="P48" s="44">
        <v>937.98634734718644</v>
      </c>
      <c r="Q48" s="44">
        <v>939.26356524419464</v>
      </c>
      <c r="R48" s="44">
        <v>945.89397021662046</v>
      </c>
      <c r="S48" s="44">
        <v>969.19875966188829</v>
      </c>
      <c r="T48" s="44">
        <v>964.7459796110744</v>
      </c>
      <c r="U48" s="44">
        <v>961.4687617626513</v>
      </c>
      <c r="V48" s="44">
        <v>883.71215634346174</v>
      </c>
      <c r="W48" s="44">
        <v>913.4619725792187</v>
      </c>
      <c r="DA48" s="95" t="s">
        <v>943</v>
      </c>
    </row>
    <row r="49" spans="1:105" ht="12" customHeight="1" x14ac:dyDescent="0.25">
      <c r="A49" s="62" t="s">
        <v>3</v>
      </c>
      <c r="B49" s="186">
        <v>1617.0800085631067</v>
      </c>
      <c r="C49" s="186">
        <v>1637.9227581754074</v>
      </c>
      <c r="D49" s="186">
        <v>1668.4106574990972</v>
      </c>
      <c r="E49" s="186">
        <v>1696.991303660634</v>
      </c>
      <c r="F49" s="186">
        <v>1726.2219715888407</v>
      </c>
      <c r="G49" s="186">
        <v>1752.7244788968321</v>
      </c>
      <c r="H49" s="186">
        <v>1781.641484864957</v>
      </c>
      <c r="I49" s="186">
        <v>1799.7440982352373</v>
      </c>
      <c r="J49" s="186">
        <v>1819.9644771350806</v>
      </c>
      <c r="K49" s="186">
        <v>1833.8269570750788</v>
      </c>
      <c r="L49" s="186">
        <v>1857.5371457350311</v>
      </c>
      <c r="M49" s="186">
        <v>1878.9805396045115</v>
      </c>
      <c r="N49" s="186">
        <v>1896.8002727372711</v>
      </c>
      <c r="O49" s="186">
        <v>1914.8587505995388</v>
      </c>
      <c r="P49" s="186">
        <v>1934.6861574534996</v>
      </c>
      <c r="Q49" s="186">
        <v>1954.808148775094</v>
      </c>
      <c r="R49" s="186">
        <v>1989.2140450139225</v>
      </c>
      <c r="S49" s="186">
        <v>2048.6354568206129</v>
      </c>
      <c r="T49" s="186">
        <v>2051.6546661253619</v>
      </c>
      <c r="U49" s="186">
        <v>2058.474945814211</v>
      </c>
      <c r="V49" s="186">
        <v>1958.5902503404693</v>
      </c>
      <c r="W49" s="186">
        <v>1996.8063133885998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0.7876081103984981</v>
      </c>
      <c r="C52" s="181">
        <v>0.77658948334955535</v>
      </c>
      <c r="D52" s="181">
        <v>0.76591146845481173</v>
      </c>
      <c r="E52" s="181">
        <v>0.75438256814862525</v>
      </c>
      <c r="F52" s="181">
        <v>0.74154404586699241</v>
      </c>
      <c r="G52" s="181">
        <v>0.73006626756822524</v>
      </c>
      <c r="H52" s="181">
        <v>0.71731757724274148</v>
      </c>
      <c r="I52" s="181">
        <v>0.70509940095447632</v>
      </c>
      <c r="J52" s="181">
        <v>0.69489534733737968</v>
      </c>
      <c r="K52" s="181">
        <v>0.68660409685481194</v>
      </c>
      <c r="L52" s="181">
        <v>0.678968573379228</v>
      </c>
      <c r="M52" s="181">
        <v>0.66816237632841657</v>
      </c>
      <c r="N52" s="181">
        <v>0.6593959642138546</v>
      </c>
      <c r="O52" s="181">
        <v>0.64898910680368593</v>
      </c>
      <c r="P52" s="181">
        <v>0.63776763560875238</v>
      </c>
      <c r="Q52" s="181">
        <v>0.62573989323907342</v>
      </c>
      <c r="R52" s="181">
        <v>0.61591281741196302</v>
      </c>
      <c r="S52" s="181">
        <v>0.60529248371231636</v>
      </c>
      <c r="T52" s="181">
        <v>0.59512199671340804</v>
      </c>
      <c r="U52" s="181">
        <v>0.58177269162264289</v>
      </c>
      <c r="V52" s="181">
        <v>0.56958884827625</v>
      </c>
      <c r="W52" s="181">
        <v>0.55735170019472358</v>
      </c>
      <c r="DA52" s="190" t="s">
        <v>945</v>
      </c>
    </row>
    <row r="53" spans="1:105" ht="12" customHeight="1" x14ac:dyDescent="0.25">
      <c r="A53" s="132" t="s">
        <v>100</v>
      </c>
      <c r="B53" s="181">
        <v>206.07255328817214</v>
      </c>
      <c r="C53" s="181">
        <v>203.86485983065171</v>
      </c>
      <c r="D53" s="181">
        <v>201.25703723791432</v>
      </c>
      <c r="E53" s="181">
        <v>198.17126373827287</v>
      </c>
      <c r="F53" s="181">
        <v>194.69469951365372</v>
      </c>
      <c r="G53" s="181">
        <v>190.78835083269567</v>
      </c>
      <c r="H53" s="181">
        <v>186.57853558252575</v>
      </c>
      <c r="I53" s="181">
        <v>182.15611403884239</v>
      </c>
      <c r="J53" s="181">
        <v>179.31027209832314</v>
      </c>
      <c r="K53" s="181">
        <v>176.379367328244</v>
      </c>
      <c r="L53" s="181">
        <v>173.16097704475078</v>
      </c>
      <c r="M53" s="181">
        <v>169.56623963100191</v>
      </c>
      <c r="N53" s="181">
        <v>165.56418525666015</v>
      </c>
      <c r="O53" s="181">
        <v>161.25521285254027</v>
      </c>
      <c r="P53" s="181">
        <v>156.33312036845095</v>
      </c>
      <c r="Q53" s="181">
        <v>150.94165813571297</v>
      </c>
      <c r="R53" s="181">
        <v>145.48927392316111</v>
      </c>
      <c r="S53" s="181">
        <v>139.54645071992158</v>
      </c>
      <c r="T53" s="181">
        <v>132.95641819643524</v>
      </c>
      <c r="U53" s="181">
        <v>126.11111337826001</v>
      </c>
      <c r="V53" s="181">
        <v>119.51636305954295</v>
      </c>
      <c r="W53" s="181">
        <v>113.5718875790467</v>
      </c>
      <c r="DA53" s="190" t="s">
        <v>946</v>
      </c>
    </row>
    <row r="54" spans="1:105" ht="12" customHeight="1" x14ac:dyDescent="0.25">
      <c r="A54" s="132" t="s">
        <v>140</v>
      </c>
      <c r="B54" s="181">
        <v>46.133248749838828</v>
      </c>
      <c r="C54" s="181">
        <v>45.541120556226062</v>
      </c>
      <c r="D54" s="181">
        <v>44.661413856286565</v>
      </c>
      <c r="E54" s="181">
        <v>43.628805430957541</v>
      </c>
      <c r="F54" s="181">
        <v>42.421486456538922</v>
      </c>
      <c r="G54" s="181">
        <v>41.132286200514123</v>
      </c>
      <c r="H54" s="181">
        <v>39.736959732257112</v>
      </c>
      <c r="I54" s="181">
        <v>38.478872342506541</v>
      </c>
      <c r="J54" s="181">
        <v>37.437077689725399</v>
      </c>
      <c r="K54" s="181">
        <v>36.449276184075551</v>
      </c>
      <c r="L54" s="181">
        <v>35.439259189136493</v>
      </c>
      <c r="M54" s="181">
        <v>34.365907591015571</v>
      </c>
      <c r="N54" s="181">
        <v>33.160181828751483</v>
      </c>
      <c r="O54" s="181">
        <v>31.656779568386018</v>
      </c>
      <c r="P54" s="181">
        <v>30.251858471793646</v>
      </c>
      <c r="Q54" s="181">
        <v>28.837146530551458</v>
      </c>
      <c r="R54" s="181">
        <v>27.289075278995401</v>
      </c>
      <c r="S54" s="181">
        <v>25.608437792095515</v>
      </c>
      <c r="T54" s="181">
        <v>23.945717754985985</v>
      </c>
      <c r="U54" s="181">
        <v>22.052632850357323</v>
      </c>
      <c r="V54" s="181">
        <v>20.313294676325761</v>
      </c>
      <c r="W54" s="181">
        <v>18.627643154335345</v>
      </c>
      <c r="DA54" s="190" t="s">
        <v>947</v>
      </c>
    </row>
    <row r="55" spans="1:105" ht="12" customHeight="1" x14ac:dyDescent="0.25">
      <c r="A55" s="132" t="s">
        <v>181</v>
      </c>
      <c r="B55" s="181">
        <v>749.83954598801142</v>
      </c>
      <c r="C55" s="181">
        <v>741.21875485982741</v>
      </c>
      <c r="D55" s="181">
        <v>728.98978720367575</v>
      </c>
      <c r="E55" s="181">
        <v>714.74781441767595</v>
      </c>
      <c r="F55" s="181">
        <v>700.07786715394809</v>
      </c>
      <c r="G55" s="181">
        <v>684.26860084627674</v>
      </c>
      <c r="H55" s="181">
        <v>667.74370977315425</v>
      </c>
      <c r="I55" s="181">
        <v>652.9063384765717</v>
      </c>
      <c r="J55" s="181">
        <v>638.29340519535958</v>
      </c>
      <c r="K55" s="181">
        <v>623.82419832837763</v>
      </c>
      <c r="L55" s="181">
        <v>609.31943727698251</v>
      </c>
      <c r="M55" s="181">
        <v>600.02636208956449</v>
      </c>
      <c r="N55" s="181">
        <v>589.12984789119537</v>
      </c>
      <c r="O55" s="181">
        <v>575.05947870788145</v>
      </c>
      <c r="P55" s="181">
        <v>558.98153487716377</v>
      </c>
      <c r="Q55" s="181">
        <v>538.93356914249648</v>
      </c>
      <c r="R55" s="181">
        <v>519.34426223648438</v>
      </c>
      <c r="S55" s="181">
        <v>502.5976867176318</v>
      </c>
      <c r="T55" s="181">
        <v>488.99287243116612</v>
      </c>
      <c r="U55" s="181">
        <v>478.58154046830111</v>
      </c>
      <c r="V55" s="181">
        <v>470.98213612487007</v>
      </c>
      <c r="W55" s="181">
        <v>465.58910156403982</v>
      </c>
      <c r="DA55" s="190" t="s">
        <v>948</v>
      </c>
    </row>
    <row r="56" spans="1:105" ht="12" customHeight="1" x14ac:dyDescent="0.25">
      <c r="A56" s="60" t="s">
        <v>99</v>
      </c>
      <c r="B56" s="55">
        <v>55.614449336193964</v>
      </c>
      <c r="C56" s="55">
        <v>55.230194808623885</v>
      </c>
      <c r="D56" s="55">
        <v>54.689848945068583</v>
      </c>
      <c r="E56" s="55">
        <v>54.019846705775535</v>
      </c>
      <c r="F56" s="55">
        <v>53.25303528351504</v>
      </c>
      <c r="G56" s="55">
        <v>52.480337333406325</v>
      </c>
      <c r="H56" s="55">
        <v>51.820921749443166</v>
      </c>
      <c r="I56" s="55">
        <v>51.208586359282009</v>
      </c>
      <c r="J56" s="55">
        <v>50.693024185968383</v>
      </c>
      <c r="K56" s="55">
        <v>50.332035741932806</v>
      </c>
      <c r="L56" s="55">
        <v>49.976677634818721</v>
      </c>
      <c r="M56" s="55">
        <v>49.457362949061142</v>
      </c>
      <c r="N56" s="55">
        <v>49.011884499457317</v>
      </c>
      <c r="O56" s="55">
        <v>48.397743372827058</v>
      </c>
      <c r="P56" s="55">
        <v>47.705058682944404</v>
      </c>
      <c r="Q56" s="55">
        <v>46.83704288145254</v>
      </c>
      <c r="R56" s="55">
        <v>45.950125040613912</v>
      </c>
      <c r="S56" s="55">
        <v>44.807900344486761</v>
      </c>
      <c r="T56" s="55">
        <v>43.504512053750041</v>
      </c>
      <c r="U56" s="55">
        <v>41.990179948440215</v>
      </c>
      <c r="V56" s="55">
        <v>40.381362081436642</v>
      </c>
      <c r="W56" s="55">
        <v>38.982896743269023</v>
      </c>
      <c r="DA56" s="101" t="s">
        <v>949</v>
      </c>
    </row>
    <row r="57" spans="1:105" ht="12" customHeight="1" x14ac:dyDescent="0.25">
      <c r="A57" s="62" t="s">
        <v>98</v>
      </c>
      <c r="B57" s="63">
        <v>399.93295152985468</v>
      </c>
      <c r="C57" s="63">
        <v>392.82361186922986</v>
      </c>
      <c r="D57" s="63">
        <v>380.87320269644351</v>
      </c>
      <c r="E57" s="63">
        <v>369.84517209788788</v>
      </c>
      <c r="F57" s="63">
        <v>358.47871840947749</v>
      </c>
      <c r="G57" s="63">
        <v>345.39822197722185</v>
      </c>
      <c r="H57" s="63">
        <v>332.51172894416038</v>
      </c>
      <c r="I57" s="63">
        <v>312.31025556560178</v>
      </c>
      <c r="J57" s="63">
        <v>297.68897754942532</v>
      </c>
      <c r="K57" s="63">
        <v>284.90895950743453</v>
      </c>
      <c r="L57" s="63">
        <v>264.78247679535423</v>
      </c>
      <c r="M57" s="63">
        <v>245.11301567974922</v>
      </c>
      <c r="N57" s="63">
        <v>220.55379390069618</v>
      </c>
      <c r="O57" s="63">
        <v>208.64132720989829</v>
      </c>
      <c r="P57" s="63">
        <v>202.13820848601924</v>
      </c>
      <c r="Q57" s="63">
        <v>197.29268851024591</v>
      </c>
      <c r="R57" s="63">
        <v>194.17279709839534</v>
      </c>
      <c r="S57" s="63">
        <v>189.80469778446724</v>
      </c>
      <c r="T57" s="63">
        <v>187.17202970807242</v>
      </c>
      <c r="U57" s="63">
        <v>184.15685847504716</v>
      </c>
      <c r="V57" s="63">
        <v>181.61584398687143</v>
      </c>
      <c r="W57" s="63">
        <v>178.267536121348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0.70200758247792328</v>
      </c>
      <c r="D60" s="181">
        <v>0.68877993401688387</v>
      </c>
      <c r="E60" s="181">
        <v>0.67593523505597319</v>
      </c>
      <c r="F60" s="181">
        <v>0.66230065487547762</v>
      </c>
      <c r="G60" s="181">
        <v>0.64882122637997708</v>
      </c>
      <c r="H60" s="181">
        <v>0.63557176989069009</v>
      </c>
      <c r="I60" s="181">
        <v>0.623410365936796</v>
      </c>
      <c r="J60" s="181">
        <v>0.61049538696323158</v>
      </c>
      <c r="K60" s="181">
        <v>0.59750596934245581</v>
      </c>
      <c r="L60" s="181">
        <v>0.58470492926761941</v>
      </c>
      <c r="M60" s="181">
        <v>0.56925702808824552</v>
      </c>
      <c r="N60" s="181">
        <v>0.55550693113699234</v>
      </c>
      <c r="O60" s="181">
        <v>0.53973264296018242</v>
      </c>
      <c r="P60" s="181">
        <v>0.52161653244324446</v>
      </c>
      <c r="Q60" s="181">
        <v>0.50335448076170441</v>
      </c>
      <c r="R60" s="181">
        <v>0.50018972368038006</v>
      </c>
      <c r="S60" s="181">
        <v>0.49570394717424193</v>
      </c>
      <c r="T60" s="181">
        <v>0.49161119650543533</v>
      </c>
      <c r="U60" s="181">
        <v>0.48780966871997661</v>
      </c>
      <c r="V60" s="181">
        <v>0.48402422312118437</v>
      </c>
      <c r="W60" s="181">
        <v>0.48239113417018709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191.98057964286122</v>
      </c>
      <c r="D61" s="181">
        <v>189.52201721012852</v>
      </c>
      <c r="E61" s="181">
        <v>186.50445261265173</v>
      </c>
      <c r="F61" s="181">
        <v>183.54019507267759</v>
      </c>
      <c r="G61" s="181">
        <v>179.61331983895519</v>
      </c>
      <c r="H61" s="181">
        <v>175.82727962119654</v>
      </c>
      <c r="I61" s="181">
        <v>173.00898866244927</v>
      </c>
      <c r="J61" s="181">
        <v>170.41090194308302</v>
      </c>
      <c r="K61" s="181">
        <v>167.47807506230996</v>
      </c>
      <c r="L61" s="181">
        <v>163.60064882103143</v>
      </c>
      <c r="M61" s="181">
        <v>159.47150880840482</v>
      </c>
      <c r="N61" s="181">
        <v>153.67882037500087</v>
      </c>
      <c r="O61" s="181">
        <v>147.18011049271857</v>
      </c>
      <c r="P61" s="181">
        <v>140.18811972063071</v>
      </c>
      <c r="Q61" s="181">
        <v>132.48502848289775</v>
      </c>
      <c r="R61" s="181">
        <v>124.89189785734604</v>
      </c>
      <c r="S61" s="181">
        <v>119.12081206063554</v>
      </c>
      <c r="T61" s="181">
        <v>113.35378878183433</v>
      </c>
      <c r="U61" s="181">
        <v>107.57302600924548</v>
      </c>
      <c r="V61" s="181">
        <v>101.77596904034368</v>
      </c>
      <c r="W61" s="181">
        <v>99.456209409820701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43.184157304012821</v>
      </c>
      <c r="D62" s="181">
        <v>41.576079772555744</v>
      </c>
      <c r="E62" s="181">
        <v>40.538473216912564</v>
      </c>
      <c r="F62" s="181">
        <v>39.286838562976229</v>
      </c>
      <c r="G62" s="181">
        <v>38.042359335966651</v>
      </c>
      <c r="H62" s="181">
        <v>37.053280512796483</v>
      </c>
      <c r="I62" s="181">
        <v>35.937179889605751</v>
      </c>
      <c r="J62" s="181">
        <v>34.991457266741051</v>
      </c>
      <c r="K62" s="181">
        <v>33.974588114030972</v>
      </c>
      <c r="L62" s="181">
        <v>32.959509514068223</v>
      </c>
      <c r="M62" s="181">
        <v>31.581709326197956</v>
      </c>
      <c r="N62" s="181">
        <v>29.960468942649818</v>
      </c>
      <c r="O62" s="181">
        <v>28.320682113643354</v>
      </c>
      <c r="P62" s="181">
        <v>26.944723088649948</v>
      </c>
      <c r="Q62" s="181">
        <v>25.124141615599278</v>
      </c>
      <c r="R62" s="181">
        <v>22.47575839587056</v>
      </c>
      <c r="S62" s="181">
        <v>21.30630289673509</v>
      </c>
      <c r="T62" s="181">
        <v>19.447167604109016</v>
      </c>
      <c r="U62" s="181">
        <v>17.981740275494293</v>
      </c>
      <c r="V62" s="181">
        <v>16.703447452168504</v>
      </c>
      <c r="W62" s="181">
        <v>14.96434390633944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672.18213950029008</v>
      </c>
      <c r="D63" s="181">
        <v>649.86962316911263</v>
      </c>
      <c r="E63" s="181">
        <v>640.16274072868396</v>
      </c>
      <c r="F63" s="181">
        <v>632.29506881377245</v>
      </c>
      <c r="G63" s="181">
        <v>624.0444115573506</v>
      </c>
      <c r="H63" s="181">
        <v>612.42665543322994</v>
      </c>
      <c r="I63" s="181">
        <v>599.94324758861342</v>
      </c>
      <c r="J63" s="181">
        <v>581.17327874448779</v>
      </c>
      <c r="K63" s="181">
        <v>561.40486198354233</v>
      </c>
      <c r="L63" s="181">
        <v>540.46447124600149</v>
      </c>
      <c r="M63" s="181">
        <v>522.802196334369</v>
      </c>
      <c r="N63" s="181">
        <v>514.57031446407723</v>
      </c>
      <c r="O63" s="181">
        <v>500.64498285918722</v>
      </c>
      <c r="P63" s="181">
        <v>485.61963605709241</v>
      </c>
      <c r="Q63" s="181">
        <v>473.59270429767622</v>
      </c>
      <c r="R63" s="181">
        <v>466.77696617760529</v>
      </c>
      <c r="S63" s="181">
        <v>458.57881725249456</v>
      </c>
      <c r="T63" s="181">
        <v>450.78597354037436</v>
      </c>
      <c r="U63" s="181">
        <v>443.32226257621153</v>
      </c>
      <c r="V63" s="181">
        <v>435.89774130725294</v>
      </c>
      <c r="W63" s="181">
        <v>426.02345427276401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52.191026375022965</v>
      </c>
      <c r="D64" s="55">
        <v>51.764234352866502</v>
      </c>
      <c r="E64" s="55">
        <v>51.171489423412822</v>
      </c>
      <c r="F64" s="55">
        <v>50.458457004891734</v>
      </c>
      <c r="G64" s="55">
        <v>49.667894980256627</v>
      </c>
      <c r="H64" s="55">
        <v>48.869814832039218</v>
      </c>
      <c r="I64" s="55">
        <v>48.117924083200265</v>
      </c>
      <c r="J64" s="55">
        <v>47.333208567716959</v>
      </c>
      <c r="K64" s="55">
        <v>46.395859544770261</v>
      </c>
      <c r="L64" s="55">
        <v>45.138698991470754</v>
      </c>
      <c r="M64" s="55">
        <v>43.88601976572545</v>
      </c>
      <c r="N64" s="55">
        <v>42.167854088054639</v>
      </c>
      <c r="O64" s="55">
        <v>40.576330072271219</v>
      </c>
      <c r="P64" s="55">
        <v>38.881869411243429</v>
      </c>
      <c r="Q64" s="55">
        <v>37.098164501885428</v>
      </c>
      <c r="R64" s="55">
        <v>36.644070544666675</v>
      </c>
      <c r="S64" s="55">
        <v>36.105188317432649</v>
      </c>
      <c r="T64" s="55">
        <v>35.600570952476765</v>
      </c>
      <c r="U64" s="55">
        <v>35.113858658290077</v>
      </c>
      <c r="V64" s="55">
        <v>34.629668916810296</v>
      </c>
      <c r="W64" s="55">
        <v>34.37275934991991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371.17231990731619</v>
      </c>
      <c r="D65" s="63">
        <v>361.29357676231325</v>
      </c>
      <c r="E65" s="63">
        <v>351.09954018524928</v>
      </c>
      <c r="F65" s="63">
        <v>337.16023132310573</v>
      </c>
      <c r="G65" s="63">
        <v>323.41105355830274</v>
      </c>
      <c r="H65" s="63">
        <v>304.69652937794541</v>
      </c>
      <c r="I65" s="63">
        <v>284.809300426856</v>
      </c>
      <c r="J65" s="63">
        <v>267.20394946834477</v>
      </c>
      <c r="K65" s="63">
        <v>245.97522435337646</v>
      </c>
      <c r="L65" s="63">
        <v>223.72434828418289</v>
      </c>
      <c r="M65" s="63">
        <v>209.08951613688018</v>
      </c>
      <c r="N65" s="63">
        <v>199.74603343393179</v>
      </c>
      <c r="O65" s="63">
        <v>194.02232253933892</v>
      </c>
      <c r="P65" s="63">
        <v>191.39124683523735</v>
      </c>
      <c r="Q65" s="63">
        <v>191.07732011746828</v>
      </c>
      <c r="R65" s="63">
        <v>190.86726431891344</v>
      </c>
      <c r="S65" s="63">
        <v>185.97877867531037</v>
      </c>
      <c r="T65" s="63">
        <v>181.22732797796104</v>
      </c>
      <c r="U65" s="63">
        <v>176.65258174584181</v>
      </c>
      <c r="V65" s="63">
        <v>172.11386941329599</v>
      </c>
      <c r="W65" s="63">
        <v>168.87347957570557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354.08172344863965</v>
      </c>
      <c r="C68" s="188">
        <f>1000000*C20/SER_summary!C$8</f>
        <v>373.04090585898604</v>
      </c>
      <c r="D68" s="188">
        <f>1000000*D20/SER_summary!D$8</f>
        <v>387.01867006330099</v>
      </c>
      <c r="E68" s="188">
        <f>1000000*E20/SER_summary!E$8</f>
        <v>403.28791965967537</v>
      </c>
      <c r="F68" s="188">
        <f>1000000*F20/SER_summary!F$8</f>
        <v>422.34116804224124</v>
      </c>
      <c r="G68" s="188">
        <f>1000000*G20/SER_summary!G$8</f>
        <v>439.62570705514509</v>
      </c>
      <c r="H68" s="188">
        <f>1000000*H20/SER_summary!H$8</f>
        <v>454.87006852719782</v>
      </c>
      <c r="I68" s="188">
        <f>1000000*I20/SER_summary!I$8</f>
        <v>467.58891763163672</v>
      </c>
      <c r="J68" s="188">
        <f>1000000*J20/SER_summary!J$8</f>
        <v>481.49736976815348</v>
      </c>
      <c r="K68" s="188">
        <f>1000000*K20/SER_summary!K$8</f>
        <v>497.21914928370984</v>
      </c>
      <c r="L68" s="188">
        <f>1000000*L20/SER_summary!L$8</f>
        <v>510.8191977650277</v>
      </c>
      <c r="M68" s="188">
        <f>1000000*M20/SER_summary!M$8</f>
        <v>527.16045712040091</v>
      </c>
      <c r="N68" s="188">
        <f>1000000*N20/SER_summary!N$8</f>
        <v>542.4134328512888</v>
      </c>
      <c r="O68" s="188">
        <f>1000000*O20/SER_summary!O$8</f>
        <v>555.24353434360546</v>
      </c>
      <c r="P68" s="188">
        <f>1000000*P20/SER_summary!P$8</f>
        <v>568.45551804295803</v>
      </c>
      <c r="Q68" s="188">
        <f>1000000*Q20/SER_summary!Q$8</f>
        <v>581.14689273055421</v>
      </c>
      <c r="R68" s="188">
        <f>1000000*R20/SER_summary!R$8</f>
        <v>589.76980692322081</v>
      </c>
      <c r="S68" s="188">
        <f>1000000*S20/SER_summary!S$8</f>
        <v>598.42303688681068</v>
      </c>
      <c r="T68" s="188">
        <f>1000000*T20/SER_summary!T$8</f>
        <v>606.94625080205822</v>
      </c>
      <c r="U68" s="188">
        <f>1000000*U20/SER_summary!U$8</f>
        <v>615.24220520140761</v>
      </c>
      <c r="V68" s="188">
        <f>1000000*V20/SER_summary!V$8</f>
        <v>623.12989514452363</v>
      </c>
      <c r="W68" s="188">
        <f>1000000*W20/SER_summary!W$8</f>
        <v>630.27357543518178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8.6561088831824048E-2</v>
      </c>
      <c r="C69" s="188">
        <f>1000*C21/SER_summary!C$3</f>
        <v>9.084605157147628E-2</v>
      </c>
      <c r="D69" s="188">
        <f>1000*D21/SER_summary!D$3</f>
        <v>9.6193870069694362E-2</v>
      </c>
      <c r="E69" s="188">
        <f>1000*E21/SER_summary!E$3</f>
        <v>0.10225355910029559</v>
      </c>
      <c r="F69" s="188">
        <f>1000*F21/SER_summary!F$3</f>
        <v>0.10942969160445501</v>
      </c>
      <c r="G69" s="188">
        <f>1000*G21/SER_summary!G$3</f>
        <v>0.11722472976920573</v>
      </c>
      <c r="H69" s="188">
        <f>1000*H21/SER_summary!H$3</f>
        <v>0.12440884706181636</v>
      </c>
      <c r="I69" s="188">
        <f>1000*I21/SER_summary!I$3</f>
        <v>0.13164972741087308</v>
      </c>
      <c r="J69" s="188">
        <f>1000*J21/SER_summary!J$3</f>
        <v>0.13806071671741499</v>
      </c>
      <c r="K69" s="188">
        <f>1000*K21/SER_summary!K$3</f>
        <v>0.14425209278086382</v>
      </c>
      <c r="L69" s="188">
        <f>1000*L21/SER_summary!L$3</f>
        <v>0.1514757465678451</v>
      </c>
      <c r="M69" s="188">
        <f>1000*M21/SER_summary!M$3</f>
        <v>0.1601450727146457</v>
      </c>
      <c r="N69" s="188">
        <f>1000*N21/SER_summary!N$3</f>
        <v>0.16893823427196106</v>
      </c>
      <c r="O69" s="188">
        <f>1000*O21/SER_summary!O$3</f>
        <v>0.17731563575288325</v>
      </c>
      <c r="P69" s="188">
        <f>1000*P21/SER_summary!P$3</f>
        <v>0.18629260702018971</v>
      </c>
      <c r="Q69" s="188">
        <f>1000*Q21/SER_summary!Q$3</f>
        <v>0.19570235431650215</v>
      </c>
      <c r="R69" s="188">
        <f>1000*R21/SER_summary!R$3</f>
        <v>0.20153471999809616</v>
      </c>
      <c r="S69" s="188">
        <f>1000*S21/SER_summary!S$3</f>
        <v>0.20773628507819189</v>
      </c>
      <c r="T69" s="188">
        <f>1000*T21/SER_summary!T$3</f>
        <v>0.21369523941136423</v>
      </c>
      <c r="U69" s="188">
        <f>1000*U21/SER_summary!U$3</f>
        <v>0.21911780410435369</v>
      </c>
      <c r="V69" s="188">
        <f>1000*V21/SER_summary!V$3</f>
        <v>0.22364703166223379</v>
      </c>
      <c r="W69" s="188">
        <f>1000*W21/SER_summary!W$3</f>
        <v>0.22738690552310684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147.20045820863015</v>
      </c>
      <c r="C70" s="188">
        <f>1000000*C22/SER_summary!C$8</f>
        <v>149.13137623834231</v>
      </c>
      <c r="D70" s="188">
        <f>1000000*D22/SER_summary!D$8</f>
        <v>151.10059333923962</v>
      </c>
      <c r="E70" s="188">
        <f>1000000*E22/SER_summary!E$8</f>
        <v>154.0276234354225</v>
      </c>
      <c r="F70" s="188">
        <f>1000000*F22/SER_summary!F$8</f>
        <v>157.30675528932173</v>
      </c>
      <c r="G70" s="188">
        <f>1000000*G22/SER_summary!G$8</f>
        <v>161.04739890577818</v>
      </c>
      <c r="H70" s="188">
        <f>1000000*H22/SER_summary!H$8</f>
        <v>164.56864326338729</v>
      </c>
      <c r="I70" s="188">
        <f>1000000*I22/SER_summary!I$8</f>
        <v>169.10618778695533</v>
      </c>
      <c r="J70" s="188">
        <f>1000000*J22/SER_summary!J$8</f>
        <v>172.71791170377091</v>
      </c>
      <c r="K70" s="188">
        <f>1000000*K22/SER_summary!K$8</f>
        <v>176.6103201405563</v>
      </c>
      <c r="L70" s="188">
        <f>1000000*L22/SER_summary!L$8</f>
        <v>182.07658532800176</v>
      </c>
      <c r="M70" s="188">
        <f>1000000*M22/SER_summary!M$8</f>
        <v>188.43563006710676</v>
      </c>
      <c r="N70" s="188">
        <f>1000000*N22/SER_summary!N$8</f>
        <v>195.76239951081897</v>
      </c>
      <c r="O70" s="188">
        <f>1000000*O22/SER_summary!O$8</f>
        <v>203.03988164909671</v>
      </c>
      <c r="P70" s="188">
        <f>1000000*P22/SER_summary!P$8</f>
        <v>211.93887293566158</v>
      </c>
      <c r="Q70" s="188">
        <f>1000000*Q22/SER_summary!Q$8</f>
        <v>223.39706322519964</v>
      </c>
      <c r="R70" s="188">
        <f>1000000*R22/SER_summary!R$8</f>
        <v>229.52609121106886</v>
      </c>
      <c r="S70" s="188">
        <f>1000000*S22/SER_summary!S$8</f>
        <v>235.75157976569611</v>
      </c>
      <c r="T70" s="188">
        <f>1000000*T22/SER_summary!T$8</f>
        <v>241.65773134640557</v>
      </c>
      <c r="U70" s="188">
        <f>1000000*U22/SER_summary!U$8</f>
        <v>246.99026345004083</v>
      </c>
      <c r="V70" s="188">
        <f>1000000*V22/SER_summary!V$8</f>
        <v>251.27529059721991</v>
      </c>
      <c r="W70" s="188">
        <f>1000000*W22/SER_summary!W$8</f>
        <v>253.65464877720157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1.0172958556896879E-2</v>
      </c>
      <c r="C71" s="188">
        <f>1000*C23/SER_summary!C$3</f>
        <v>1.0528521584876053E-2</v>
      </c>
      <c r="D71" s="188">
        <f>1000*D23/SER_summary!D$3</f>
        <v>1.1101649674849405E-2</v>
      </c>
      <c r="E71" s="188">
        <f>1000*E23/SER_summary!E$3</f>
        <v>1.1877336660936516E-2</v>
      </c>
      <c r="F71" s="188">
        <f>1000*F23/SER_summary!F$3</f>
        <v>1.2807416583218276E-2</v>
      </c>
      <c r="G71" s="188">
        <f>1000*G23/SER_summary!G$3</f>
        <v>1.4139777149144028E-2</v>
      </c>
      <c r="H71" s="188">
        <f>1000*H23/SER_summary!H$3</f>
        <v>1.5818883951321628E-2</v>
      </c>
      <c r="I71" s="188">
        <f>1000*I23/SER_summary!I$3</f>
        <v>1.7227613336351543E-2</v>
      </c>
      <c r="J71" s="188">
        <f>1000*J23/SER_summary!J$3</f>
        <v>1.837038518403911E-2</v>
      </c>
      <c r="K71" s="188">
        <f>1000*K23/SER_summary!K$3</f>
        <v>1.9300614614908888E-2</v>
      </c>
      <c r="L71" s="188">
        <f>1000*L23/SER_summary!L$3</f>
        <v>2.002353802145785E-2</v>
      </c>
      <c r="M71" s="188">
        <f>1000*M23/SER_summary!M$3</f>
        <v>2.0364815542873376E-2</v>
      </c>
      <c r="N71" s="188">
        <f>1000*N23/SER_summary!N$3</f>
        <v>2.0808297186932175E-2</v>
      </c>
      <c r="O71" s="188">
        <f>1000*O23/SER_summary!O$3</f>
        <v>2.1442013920936389E-2</v>
      </c>
      <c r="P71" s="188">
        <f>1000*P23/SER_summary!P$3</f>
        <v>2.2247861533820891E-2</v>
      </c>
      <c r="Q71" s="188">
        <f>1000*Q23/SER_summary!Q$3</f>
        <v>2.3446930456352412E-2</v>
      </c>
      <c r="R71" s="188">
        <f>1000*R23/SER_summary!R$3</f>
        <v>2.4196173825435974E-2</v>
      </c>
      <c r="S71" s="188">
        <f>1000*S23/SER_summary!S$3</f>
        <v>2.4986253195706267E-2</v>
      </c>
      <c r="T71" s="188">
        <f>1000*T23/SER_summary!T$3</f>
        <v>2.5762633165376591E-2</v>
      </c>
      <c r="U71" s="188">
        <f>1000*U23/SER_summary!U$3</f>
        <v>2.6501381779185665E-2</v>
      </c>
      <c r="V71" s="188">
        <f>1000*V23/SER_summary!V$3</f>
        <v>2.7180621090150146E-2</v>
      </c>
      <c r="W71" s="188">
        <f>1000*W23/SER_summary!W$3</f>
        <v>2.7840206510941601E-2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57.077440739394532</v>
      </c>
      <c r="C72" s="188">
        <f>1000000*C24/SER_summary!C$8</f>
        <v>59.93608826929254</v>
      </c>
      <c r="D72" s="188">
        <f>1000000*D24/SER_summary!D$8</f>
        <v>65.627358588448885</v>
      </c>
      <c r="E72" s="188">
        <f>1000000*E24/SER_summary!E$8</f>
        <v>74.595272235721524</v>
      </c>
      <c r="F72" s="188">
        <f>1000000*F24/SER_summary!F$8</f>
        <v>86.690564923785857</v>
      </c>
      <c r="G72" s="188">
        <f>1000000*G24/SER_summary!G$8</f>
        <v>101.95276741219381</v>
      </c>
      <c r="H72" s="188">
        <f>1000000*H24/SER_summary!H$8</f>
        <v>112.94461662177314</v>
      </c>
      <c r="I72" s="188">
        <f>1000000*I24/SER_summary!I$8</f>
        <v>122.40087433421949</v>
      </c>
      <c r="J72" s="188">
        <f>1000000*J24/SER_summary!J$8</f>
        <v>131.14571743602974</v>
      </c>
      <c r="K72" s="188">
        <f>1000000*K24/SER_summary!K$8</f>
        <v>136.77544163869374</v>
      </c>
      <c r="L72" s="188">
        <f>1000000*L24/SER_summary!L$8</f>
        <v>141.20106587037</v>
      </c>
      <c r="M72" s="188">
        <f>1000000*M24/SER_summary!M$8</f>
        <v>145.14842213876901</v>
      </c>
      <c r="N72" s="188">
        <f>1000000*N24/SER_summary!N$8</f>
        <v>148.25143222470672</v>
      </c>
      <c r="O72" s="188">
        <f>1000000*O24/SER_summary!O$8</f>
        <v>150.70008794063966</v>
      </c>
      <c r="P72" s="188">
        <f>1000000*P24/SER_summary!P$8</f>
        <v>152.51245063128269</v>
      </c>
      <c r="Q72" s="188">
        <f>1000000*Q24/SER_summary!Q$8</f>
        <v>154.79576975874335</v>
      </c>
      <c r="R72" s="188">
        <f>1000000*R24/SER_summary!R$8</f>
        <v>161.13547714880616</v>
      </c>
      <c r="S72" s="188">
        <f>1000000*S24/SER_summary!S$8</f>
        <v>167.5032261999238</v>
      </c>
      <c r="T72" s="188">
        <f>1000000*T24/SER_summary!T$8</f>
        <v>173.75071223782376</v>
      </c>
      <c r="U72" s="188">
        <f>1000000*U24/SER_summary!U$8</f>
        <v>179.78798642485879</v>
      </c>
      <c r="V72" s="188">
        <f>1000000*V24/SER_summary!V$8</f>
        <v>185.44762174098375</v>
      </c>
      <c r="W72" s="188">
        <f>1000000*W24/SER_summary!W$8</f>
        <v>190.44617821629689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9.8626450070500901E-2</v>
      </c>
      <c r="C73" s="52">
        <f>1000*C25/SER_summary!C$3</f>
        <v>0.10607059060304433</v>
      </c>
      <c r="D73" s="52">
        <f>1000*D25/SER_summary!D$3</f>
        <v>0.13325135030772511</v>
      </c>
      <c r="E73" s="52">
        <f>1000*E25/SER_summary!E$3</f>
        <v>0.16040271767789055</v>
      </c>
      <c r="F73" s="52">
        <f>1000*F25/SER_summary!F$3</f>
        <v>0.18763038958230396</v>
      </c>
      <c r="G73" s="52">
        <f>1000*G25/SER_summary!G$3</f>
        <v>0.23014131641418611</v>
      </c>
      <c r="H73" s="52">
        <f>1000*H25/SER_summary!H$3</f>
        <v>0.27387364010577592</v>
      </c>
      <c r="I73" s="52">
        <f>1000*I25/SER_summary!I$3</f>
        <v>0.34489519480395647</v>
      </c>
      <c r="J73" s="52">
        <f>1000*J25/SER_summary!J$3</f>
        <v>0.38051096337336598</v>
      </c>
      <c r="K73" s="52">
        <f>1000*K25/SER_summary!K$3</f>
        <v>0.3981637663010224</v>
      </c>
      <c r="L73" s="52">
        <f>1000*L25/SER_summary!L$3</f>
        <v>0.44764767245226711</v>
      </c>
      <c r="M73" s="52">
        <f>1000*M25/SER_summary!M$3</f>
        <v>0.51023630939244402</v>
      </c>
      <c r="N73" s="52">
        <f>1000*N25/SER_summary!N$3</f>
        <v>0.61229431180112093</v>
      </c>
      <c r="O73" s="52">
        <f>1000*O25/SER_summary!O$3</f>
        <v>0.68067200775698855</v>
      </c>
      <c r="P73" s="52">
        <f>1000*P25/SER_summary!P$3</f>
        <v>0.76864725559581826</v>
      </c>
      <c r="Q73" s="52">
        <f>1000*Q25/SER_summary!Q$3</f>
        <v>0.78165332631668094</v>
      </c>
      <c r="R73" s="52">
        <f>1000*R25/SER_summary!R$3</f>
        <v>0.79515354016127715</v>
      </c>
      <c r="S73" s="52">
        <f>1000*S25/SER_summary!S$3</f>
        <v>0.88581065415411231</v>
      </c>
      <c r="T73" s="52">
        <f>1000*T25/SER_summary!T$3</f>
        <v>0.94995456845294812</v>
      </c>
      <c r="U73" s="52">
        <f>1000*U25/SER_summary!U$3</f>
        <v>1.0415910928417758</v>
      </c>
      <c r="V73" s="52">
        <f>1000*V25/SER_summary!V$3</f>
        <v>1.0778932386011566</v>
      </c>
      <c r="W73" s="52">
        <f>1000*W25/SER_summary!W$3</f>
        <v>1.131200977822036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2.6834682573710316</v>
      </c>
      <c r="C3" s="199">
        <f>'SER_se-appl'!C4</f>
        <v>2.9051145974701504</v>
      </c>
      <c r="D3" s="199">
        <f>'SER_se-appl'!D4</f>
        <v>3.1126960185759529</v>
      </c>
      <c r="E3" s="199">
        <f>'SER_se-appl'!E4</f>
        <v>3.3486069817109771</v>
      </c>
      <c r="F3" s="199">
        <f>'SER_se-appl'!F4</f>
        <v>3.6364972631701455</v>
      </c>
      <c r="G3" s="199">
        <f>'SER_se-appl'!G4</f>
        <v>3.8799474981378244</v>
      </c>
      <c r="H3" s="199">
        <f>'SER_se-appl'!H4</f>
        <v>4.1800681886688267</v>
      </c>
      <c r="I3" s="199">
        <f>'SER_se-appl'!I4</f>
        <v>4.4758323229288921</v>
      </c>
      <c r="J3" s="199">
        <f>'SER_se-appl'!J4</f>
        <v>4.6824028486292741</v>
      </c>
      <c r="K3" s="199">
        <f>'SER_se-appl'!K4</f>
        <v>4.7864578000432996</v>
      </c>
      <c r="L3" s="199">
        <f>'SER_se-appl'!L4</f>
        <v>4.8390241263577662</v>
      </c>
      <c r="M3" s="199">
        <f>'SER_se-appl'!M4</f>
        <v>4.994181590887564</v>
      </c>
      <c r="N3" s="199">
        <f>'SER_se-appl'!N4</f>
        <v>5.0486701688134996</v>
      </c>
      <c r="O3" s="199">
        <f>'SER_se-appl'!O4</f>
        <v>5.1382074345819655</v>
      </c>
      <c r="P3" s="199">
        <f>'SER_se-appl'!P4</f>
        <v>5.2270218213349855</v>
      </c>
      <c r="Q3" s="199">
        <f>'SER_se-appl'!Q4</f>
        <v>5.3150815914391973</v>
      </c>
      <c r="R3" s="199">
        <f>'SER_se-appl'!R4</f>
        <v>5.3323702953655676</v>
      </c>
      <c r="S3" s="199">
        <f>'SER_se-appl'!S4</f>
        <v>5.3759977112358097</v>
      </c>
      <c r="T3" s="199">
        <f>'SER_se-appl'!T4</f>
        <v>5.400947738517714</v>
      </c>
      <c r="U3" s="199">
        <f>'SER_se-appl'!U4</f>
        <v>5.3912895868736399</v>
      </c>
      <c r="V3" s="199">
        <f>'SER_se-appl'!V4</f>
        <v>5.3823667358155598</v>
      </c>
      <c r="W3" s="199">
        <f>'SER_se-appl'!W4</f>
        <v>5.3622537797384116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3.5626410768521812</v>
      </c>
      <c r="C5" s="59">
        <f>'SER_se-appl'!C12</f>
        <v>3.8569044256367429</v>
      </c>
      <c r="D5" s="59">
        <f>'SER_se-appl'!D12</f>
        <v>4.1324948283148775</v>
      </c>
      <c r="E5" s="59">
        <f>'SER_se-appl'!E12</f>
        <v>4.4456962553993895</v>
      </c>
      <c r="F5" s="59">
        <f>'SER_se-appl'!F12</f>
        <v>4.827906754642556</v>
      </c>
      <c r="G5" s="59">
        <f>'SER_se-appl'!G12</f>
        <v>5.1511175117971355</v>
      </c>
      <c r="H5" s="59">
        <f>'SER_se-appl'!H12</f>
        <v>5.5495654148651203</v>
      </c>
      <c r="I5" s="59">
        <f>'SER_se-appl'!I12</f>
        <v>5.942229442427287</v>
      </c>
      <c r="J5" s="59">
        <f>'SER_se-appl'!J12</f>
        <v>6.2164777545158083</v>
      </c>
      <c r="K5" s="59">
        <f>'SER_se-appl'!K12</f>
        <v>6.3546237687789482</v>
      </c>
      <c r="L5" s="59">
        <f>'SER_se-appl'!L12</f>
        <v>6.4244121677558015</v>
      </c>
      <c r="M5" s="59">
        <f>'SER_se-appl'!M12</f>
        <v>6.6304031851623701</v>
      </c>
      <c r="N5" s="59">
        <f>'SER_se-appl'!N12</f>
        <v>6.7027436145320776</v>
      </c>
      <c r="O5" s="59">
        <f>'SER_se-appl'!O12</f>
        <v>6.8216155781036809</v>
      </c>
      <c r="P5" s="59">
        <f>'SER_se-appl'!P12</f>
        <v>6.9395278290098057</v>
      </c>
      <c r="Q5" s="59">
        <f>'SER_se-appl'!Q12</f>
        <v>7.0564382315568306</v>
      </c>
      <c r="R5" s="59">
        <f>'SER_se-appl'!R12</f>
        <v>7.0793911569750598</v>
      </c>
      <c r="S5" s="59">
        <f>'SER_se-appl'!S12</f>
        <v>7.1373120298712829</v>
      </c>
      <c r="T5" s="59">
        <f>'SER_se-appl'!T12</f>
        <v>7.1704363240823072</v>
      </c>
      <c r="U5" s="59">
        <f>'SER_se-appl'!U12</f>
        <v>7.1576139149931999</v>
      </c>
      <c r="V5" s="59">
        <f>'SER_se-appl'!V12</f>
        <v>7.1457677097642636</v>
      </c>
      <c r="W5" s="59">
        <f>'SER_se-appl'!W12</f>
        <v>7.119065234972342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354.08172344863965</v>
      </c>
      <c r="C6" s="202">
        <f>'SER_se-appl'!C68</f>
        <v>373.04090585898604</v>
      </c>
      <c r="D6" s="202">
        <f>'SER_se-appl'!D68</f>
        <v>387.01867006330099</v>
      </c>
      <c r="E6" s="202">
        <f>'SER_se-appl'!E68</f>
        <v>403.28791965967537</v>
      </c>
      <c r="F6" s="202">
        <f>'SER_se-appl'!F68</f>
        <v>422.34116804224124</v>
      </c>
      <c r="G6" s="202">
        <f>'SER_se-appl'!G68</f>
        <v>439.62570705514509</v>
      </c>
      <c r="H6" s="202">
        <f>'SER_se-appl'!H68</f>
        <v>454.87006852719782</v>
      </c>
      <c r="I6" s="202">
        <f>'SER_se-appl'!I68</f>
        <v>467.58891763163672</v>
      </c>
      <c r="J6" s="202">
        <f>'SER_se-appl'!J68</f>
        <v>481.49736976815348</v>
      </c>
      <c r="K6" s="202">
        <f>'SER_se-appl'!K68</f>
        <v>497.21914928370984</v>
      </c>
      <c r="L6" s="202">
        <f>'SER_se-appl'!L68</f>
        <v>510.8191977650277</v>
      </c>
      <c r="M6" s="202">
        <f>'SER_se-appl'!M68</f>
        <v>527.16045712040091</v>
      </c>
      <c r="N6" s="202">
        <f>'SER_se-appl'!N68</f>
        <v>542.4134328512888</v>
      </c>
      <c r="O6" s="202">
        <f>'SER_se-appl'!O68</f>
        <v>555.24353434360546</v>
      </c>
      <c r="P6" s="202">
        <f>'SER_se-appl'!P68</f>
        <v>568.45551804295803</v>
      </c>
      <c r="Q6" s="202">
        <f>'SER_se-appl'!Q68</f>
        <v>581.14689273055421</v>
      </c>
      <c r="R6" s="202">
        <f>'SER_se-appl'!R68</f>
        <v>589.76980692322081</v>
      </c>
      <c r="S6" s="202">
        <f>'SER_se-appl'!S68</f>
        <v>598.42303688681068</v>
      </c>
      <c r="T6" s="202">
        <f>'SER_se-appl'!T68</f>
        <v>606.94625080205822</v>
      </c>
      <c r="U6" s="202">
        <f>'SER_se-appl'!U68</f>
        <v>615.24220520140761</v>
      </c>
      <c r="V6" s="202">
        <f>'SER_se-appl'!V68</f>
        <v>623.12989514452363</v>
      </c>
      <c r="W6" s="202">
        <f>'SER_se-appl'!W68</f>
        <v>630.27357543518178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4.5233676873256519</v>
      </c>
      <c r="C8" s="34">
        <f>'SER_se-appl'!C20</f>
        <v>4.9664649191504546</v>
      </c>
      <c r="D8" s="34">
        <f>'SER_se-appl'!D20</f>
        <v>5.3955254602101466</v>
      </c>
      <c r="E8" s="34">
        <f>'SER_se-appl'!E20</f>
        <v>5.8931587805771208</v>
      </c>
      <c r="F8" s="34">
        <f>'SER_se-appl'!F20</f>
        <v>6.5106136062327948</v>
      </c>
      <c r="G8" s="34">
        <f>'SER_se-appl'!G20</f>
        <v>7.0556848612592002</v>
      </c>
      <c r="H8" s="34">
        <f>'SER_se-appl'!H20</f>
        <v>7.7365529452056609</v>
      </c>
      <c r="I8" s="34">
        <f>'SER_se-appl'!I20</f>
        <v>8.4275060145894773</v>
      </c>
      <c r="J8" s="34">
        <f>'SER_se-appl'!J20</f>
        <v>8.9459193795661385</v>
      </c>
      <c r="K8" s="34">
        <f>'SER_se-appl'!K20</f>
        <v>9.2551497986803959</v>
      </c>
      <c r="L8" s="34">
        <f>'SER_se-appl'!L20</f>
        <v>9.4620169763991999</v>
      </c>
      <c r="M8" s="34">
        <f>'SER_se-appl'!M20</f>
        <v>9.9233411219541345</v>
      </c>
      <c r="N8" s="34">
        <f>'SER_se-appl'!N20</f>
        <v>10.164975186833644</v>
      </c>
      <c r="O8" s="34">
        <f>'SER_se-appl'!O20</f>
        <v>10.511140335930424</v>
      </c>
      <c r="P8" s="34">
        <f>'SER_se-appl'!P20</f>
        <v>10.880965796243316</v>
      </c>
      <c r="Q8" s="34">
        <f>'SER_se-appl'!Q20</f>
        <v>11.276951186586423</v>
      </c>
      <c r="R8" s="34">
        <f>'SER_se-appl'!R20</f>
        <v>11.494144880313307</v>
      </c>
      <c r="S8" s="34">
        <f>'SER_se-appl'!S20</f>
        <v>11.791509430445046</v>
      </c>
      <c r="T8" s="34">
        <f>'SER_se-appl'!T20</f>
        <v>12.048683066129991</v>
      </c>
      <c r="U8" s="34">
        <f>'SER_se-appl'!U20</f>
        <v>12.303110850785458</v>
      </c>
      <c r="V8" s="34">
        <f>'SER_se-appl'!V20</f>
        <v>12.545483872076396</v>
      </c>
      <c r="W8" s="34">
        <f>'SER_se-appl'!W20</f>
        <v>12.773021473667585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0.63929073832993399</v>
      </c>
      <c r="D9" s="36">
        <f>'SER_se-appl'!D28</f>
        <v>0.63080349749370779</v>
      </c>
      <c r="E9" s="36">
        <f>'SER_se-appl'!E28</f>
        <v>0.70508269621913922</v>
      </c>
      <c r="F9" s="36">
        <f>'SER_se-appl'!F28</f>
        <v>0.83077203039054393</v>
      </c>
      <c r="G9" s="36">
        <f>'SER_se-appl'!G28</f>
        <v>0.7644222636711655</v>
      </c>
      <c r="H9" s="36">
        <f>'SER_se-appl'!H28</f>
        <v>0.90642356623057996</v>
      </c>
      <c r="I9" s="36">
        <f>'SER_se-appl'!I28</f>
        <v>0.92288852253148868</v>
      </c>
      <c r="J9" s="36">
        <f>'SER_se-appl'!J28</f>
        <v>0.75690925025536515</v>
      </c>
      <c r="K9" s="36">
        <f>'SER_se-appl'!K28</f>
        <v>0.55447230224567079</v>
      </c>
      <c r="L9" s="36">
        <f>'SER_se-appl'!L28</f>
        <v>0.45904587326132429</v>
      </c>
      <c r="M9" s="36">
        <f>'SER_se-appl'!M28</f>
        <v>0.72063586537014146</v>
      </c>
      <c r="N9" s="36">
        <f>'SER_se-appl'!N28</f>
        <v>0.50828057079809597</v>
      </c>
      <c r="O9" s="36">
        <f>'SER_se-appl'!O28</f>
        <v>0.62035390990273065</v>
      </c>
      <c r="P9" s="36">
        <f>'SER_se-appl'!P28</f>
        <v>0.65176981316804117</v>
      </c>
      <c r="Q9" s="36">
        <f>'SER_se-appl'!Q28</f>
        <v>0.68590470677769666</v>
      </c>
      <c r="R9" s="36">
        <f>'SER_se-appl'!R28</f>
        <v>0.51531355032526527</v>
      </c>
      <c r="S9" s="36">
        <f>'SER_se-appl'!S28</f>
        <v>0.60391690404600595</v>
      </c>
      <c r="T9" s="36">
        <f>'SER_se-appl'!T28</f>
        <v>0.57239700511309444</v>
      </c>
      <c r="U9" s="36">
        <f>'SER_se-appl'!U28</f>
        <v>0.89371852298540233</v>
      </c>
      <c r="V9" s="36">
        <f>'SER_se-appl'!V28</f>
        <v>0.8731765187846463</v>
      </c>
      <c r="W9" s="36">
        <f>'SER_se-appl'!W28</f>
        <v>0.93262029781032929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0.19619350650513123</v>
      </c>
      <c r="D10" s="38">
        <f>'SER_se-appl'!D36</f>
        <v>0.20174295643401585</v>
      </c>
      <c r="E10" s="38">
        <f>'SER_se-appl'!E36</f>
        <v>0.20744937585216494</v>
      </c>
      <c r="F10" s="38">
        <f>'SER_se-appl'!F36</f>
        <v>0.21331720473486993</v>
      </c>
      <c r="G10" s="38">
        <f>'SER_se-appl'!G36</f>
        <v>0.21935100864476009</v>
      </c>
      <c r="H10" s="38">
        <f>'SER_se-appl'!H36</f>
        <v>0.22555548228411926</v>
      </c>
      <c r="I10" s="38">
        <f>'SER_se-appl'!I36</f>
        <v>0.23193545314767228</v>
      </c>
      <c r="J10" s="38">
        <f>'SER_se-appl'!J36</f>
        <v>0.23849588527870402</v>
      </c>
      <c r="K10" s="38">
        <f>'SER_se-appl'!K36</f>
        <v>0.24524188313141337</v>
      </c>
      <c r="L10" s="38">
        <f>'SER_se-appl'!L36</f>
        <v>0.25217869554252026</v>
      </c>
      <c r="M10" s="38">
        <f>'SER_se-appl'!M36</f>
        <v>0.25931171981520684</v>
      </c>
      <c r="N10" s="38">
        <f>'SER_se-appl'!N36</f>
        <v>0.26664650591858674</v>
      </c>
      <c r="O10" s="38">
        <f>'SER_se-appl'!O36</f>
        <v>0.27418876080595034</v>
      </c>
      <c r="P10" s="38">
        <f>'SER_se-appl'!P36</f>
        <v>0.28194435285514885</v>
      </c>
      <c r="Q10" s="38">
        <f>'SER_se-appl'!Q36</f>
        <v>0.2899193164345899</v>
      </c>
      <c r="R10" s="38">
        <f>'SER_se-appl'!R36</f>
        <v>0.29811985659838136</v>
      </c>
      <c r="S10" s="38">
        <f>'SER_se-appl'!S36</f>
        <v>0.30655235391426672</v>
      </c>
      <c r="T10" s="38">
        <f>'SER_se-appl'!T36</f>
        <v>0.31522336942814988</v>
      </c>
      <c r="U10" s="38">
        <f>'SER_se-appl'!U36</f>
        <v>0.63929073832993488</v>
      </c>
      <c r="V10" s="38">
        <f>'SER_se-appl'!V36</f>
        <v>0.63080349749370868</v>
      </c>
      <c r="W10" s="38">
        <f>'SER_se-appl'!W36</f>
        <v>0.7050826962191401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8759.9999999999964</v>
      </c>
      <c r="D12" s="205">
        <f>'SER_se-appl'!D44</f>
        <v>8760.0000000000018</v>
      </c>
      <c r="E12" s="205">
        <f>'SER_se-appl'!E44</f>
        <v>8760.0000000000018</v>
      </c>
      <c r="F12" s="205">
        <f>'SER_se-appl'!F44</f>
        <v>8760</v>
      </c>
      <c r="G12" s="205">
        <f>'SER_se-appl'!G44</f>
        <v>8759.9999999999982</v>
      </c>
      <c r="H12" s="205">
        <f>'SER_se-appl'!H44</f>
        <v>8760</v>
      </c>
      <c r="I12" s="205">
        <f>'SER_se-appl'!I44</f>
        <v>8759.9999999999964</v>
      </c>
      <c r="J12" s="205">
        <f>'SER_se-appl'!J44</f>
        <v>8759.9999999999964</v>
      </c>
      <c r="K12" s="205">
        <f>'SER_se-appl'!K44</f>
        <v>8759.9999999999982</v>
      </c>
      <c r="L12" s="205">
        <f>'SER_se-appl'!L44</f>
        <v>8760</v>
      </c>
      <c r="M12" s="205">
        <f>'SER_se-appl'!M44</f>
        <v>8760</v>
      </c>
      <c r="N12" s="205">
        <f>'SER_se-appl'!N44</f>
        <v>8760</v>
      </c>
      <c r="O12" s="205">
        <f>'SER_se-appl'!O44</f>
        <v>8760.0000000000018</v>
      </c>
      <c r="P12" s="205">
        <f>'SER_se-appl'!P44</f>
        <v>8759.9999999999982</v>
      </c>
      <c r="Q12" s="205">
        <f>'SER_se-appl'!Q44</f>
        <v>8760.0000000000036</v>
      </c>
      <c r="R12" s="205">
        <f>'SER_se-appl'!R44</f>
        <v>8760.0000000000036</v>
      </c>
      <c r="S12" s="205">
        <f>'SER_se-appl'!S44</f>
        <v>8760.0000000000036</v>
      </c>
      <c r="T12" s="205">
        <f>'SER_se-appl'!T44</f>
        <v>8760</v>
      </c>
      <c r="U12" s="205">
        <f>'SER_se-appl'!U44</f>
        <v>8760</v>
      </c>
      <c r="V12" s="205">
        <f>'SER_se-appl'!V44</f>
        <v>8760.0000000000018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0.7876081103984981</v>
      </c>
      <c r="C14" s="59">
        <f>'SER_se-appl'!C52</f>
        <v>0.77658948334955535</v>
      </c>
      <c r="D14" s="59">
        <f>'SER_se-appl'!D52</f>
        <v>0.76591146845481173</v>
      </c>
      <c r="E14" s="59">
        <f>'SER_se-appl'!E52</f>
        <v>0.75438256814862525</v>
      </c>
      <c r="F14" s="59">
        <f>'SER_se-appl'!F52</f>
        <v>0.74154404586699241</v>
      </c>
      <c r="G14" s="59">
        <f>'SER_se-appl'!G52</f>
        <v>0.73006626756822524</v>
      </c>
      <c r="H14" s="59">
        <f>'SER_se-appl'!H52</f>
        <v>0.71731757724274148</v>
      </c>
      <c r="I14" s="59">
        <f>'SER_se-appl'!I52</f>
        <v>0.70509940095447632</v>
      </c>
      <c r="J14" s="59">
        <f>'SER_se-appl'!J52</f>
        <v>0.69489534733737968</v>
      </c>
      <c r="K14" s="59">
        <f>'SER_se-appl'!K52</f>
        <v>0.68660409685481194</v>
      </c>
      <c r="L14" s="59">
        <f>'SER_se-appl'!L52</f>
        <v>0.678968573379228</v>
      </c>
      <c r="M14" s="59">
        <f>'SER_se-appl'!M52</f>
        <v>0.66816237632841657</v>
      </c>
      <c r="N14" s="59">
        <f>'SER_se-appl'!N52</f>
        <v>0.6593959642138546</v>
      </c>
      <c r="O14" s="59">
        <f>'SER_se-appl'!O52</f>
        <v>0.64898910680368593</v>
      </c>
      <c r="P14" s="59">
        <f>'SER_se-appl'!P52</f>
        <v>0.63776763560875238</v>
      </c>
      <c r="Q14" s="59">
        <f>'SER_se-appl'!Q52</f>
        <v>0.62573989323907342</v>
      </c>
      <c r="R14" s="59">
        <f>'SER_se-appl'!R52</f>
        <v>0.61591281741196302</v>
      </c>
      <c r="S14" s="59">
        <f>'SER_se-appl'!S52</f>
        <v>0.60529248371231636</v>
      </c>
      <c r="T14" s="59">
        <f>'SER_se-appl'!T52</f>
        <v>0.59512199671340804</v>
      </c>
      <c r="U14" s="59">
        <f>'SER_se-appl'!U52</f>
        <v>0.58177269162264289</v>
      </c>
      <c r="V14" s="59">
        <f>'SER_se-appl'!V52</f>
        <v>0.56958884827625</v>
      </c>
      <c r="W14" s="59">
        <f>'SER_se-appl'!W52</f>
        <v>0.55735170019472358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0.70200758247792328</v>
      </c>
      <c r="D15" s="63">
        <f>'SER_se-appl'!D60</f>
        <v>0.68877993401688387</v>
      </c>
      <c r="E15" s="63">
        <f>'SER_se-appl'!E60</f>
        <v>0.67593523505597319</v>
      </c>
      <c r="F15" s="63">
        <f>'SER_se-appl'!F60</f>
        <v>0.66230065487547762</v>
      </c>
      <c r="G15" s="63">
        <f>'SER_se-appl'!G60</f>
        <v>0.64882122637997708</v>
      </c>
      <c r="H15" s="63">
        <f>'SER_se-appl'!H60</f>
        <v>0.63557176989069009</v>
      </c>
      <c r="I15" s="63">
        <f>'SER_se-appl'!I60</f>
        <v>0.623410365936796</v>
      </c>
      <c r="J15" s="63">
        <f>'SER_se-appl'!J60</f>
        <v>0.61049538696323158</v>
      </c>
      <c r="K15" s="63">
        <f>'SER_se-appl'!K60</f>
        <v>0.59750596934245581</v>
      </c>
      <c r="L15" s="63">
        <f>'SER_se-appl'!L60</f>
        <v>0.58470492926761941</v>
      </c>
      <c r="M15" s="63">
        <f>'SER_se-appl'!M60</f>
        <v>0.56925702808824552</v>
      </c>
      <c r="N15" s="63">
        <f>'SER_se-appl'!N60</f>
        <v>0.55550693113699234</v>
      </c>
      <c r="O15" s="63">
        <f>'SER_se-appl'!O60</f>
        <v>0.53973264296018242</v>
      </c>
      <c r="P15" s="63">
        <f>'SER_se-appl'!P60</f>
        <v>0.52161653244324446</v>
      </c>
      <c r="Q15" s="63">
        <f>'SER_se-appl'!Q60</f>
        <v>0.50335448076170441</v>
      </c>
      <c r="R15" s="63">
        <f>'SER_se-appl'!R60</f>
        <v>0.50018972368038006</v>
      </c>
      <c r="S15" s="63">
        <f>'SER_se-appl'!S60</f>
        <v>0.49570394717424193</v>
      </c>
      <c r="T15" s="63">
        <f>'SER_se-appl'!T60</f>
        <v>0.49161119650543533</v>
      </c>
      <c r="U15" s="63">
        <f>'SER_se-appl'!U60</f>
        <v>0.48780966871997661</v>
      </c>
      <c r="V15" s="63">
        <f>'SER_se-appl'!V60</f>
        <v>0.48402422312118437</v>
      </c>
      <c r="W15" s="63">
        <f>'SER_se-appl'!W60</f>
        <v>0.48239113417018709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14.111071740534987</v>
      </c>
      <c r="C3" s="199">
        <f>'SER_se-appl'!C5</f>
        <v>14.496788975086268</v>
      </c>
      <c r="D3" s="199">
        <f>'SER_se-appl'!D5</f>
        <v>14.983931563753236</v>
      </c>
      <c r="E3" s="199">
        <f>'SER_se-appl'!E5</f>
        <v>15.567981970724997</v>
      </c>
      <c r="F3" s="199">
        <f>'SER_se-appl'!F5</f>
        <v>16.237521091169729</v>
      </c>
      <c r="G3" s="199">
        <f>'SER_se-appl'!G5</f>
        <v>16.870635187534475</v>
      </c>
      <c r="H3" s="199">
        <f>'SER_se-appl'!H5</f>
        <v>17.364298350830346</v>
      </c>
      <c r="I3" s="199">
        <f>'SER_se-appl'!I5</f>
        <v>17.805298218013586</v>
      </c>
      <c r="J3" s="199">
        <f>'SER_se-appl'!J5</f>
        <v>18.224810280988716</v>
      </c>
      <c r="K3" s="199">
        <f>'SER_se-appl'!K5</f>
        <v>18.475789301310428</v>
      </c>
      <c r="L3" s="199">
        <f>'SER_se-appl'!L5</f>
        <v>18.662675721427522</v>
      </c>
      <c r="M3" s="199">
        <f>'SER_se-appl'!M5</f>
        <v>18.896591945703733</v>
      </c>
      <c r="N3" s="199">
        <f>'SER_se-appl'!N5</f>
        <v>19.173468097317024</v>
      </c>
      <c r="O3" s="199">
        <f>'SER_se-appl'!O5</f>
        <v>19.336482460568686</v>
      </c>
      <c r="P3" s="199">
        <f>'SER_se-appl'!P5</f>
        <v>19.357433544348158</v>
      </c>
      <c r="Q3" s="199">
        <f>'SER_se-appl'!Q5</f>
        <v>19.319382373800419</v>
      </c>
      <c r="R3" s="199">
        <f>'SER_se-appl'!R5</f>
        <v>19.108736009193503</v>
      </c>
      <c r="S3" s="199">
        <f>'SER_se-appl'!S5</f>
        <v>19.030423166218</v>
      </c>
      <c r="T3" s="199">
        <f>'SER_se-appl'!T5</f>
        <v>18.298427354023037</v>
      </c>
      <c r="U3" s="199">
        <f>'SER_se-appl'!U5</f>
        <v>17.502966328548268</v>
      </c>
      <c r="V3" s="199">
        <f>'SER_se-appl'!V5</f>
        <v>16.684823659036631</v>
      </c>
      <c r="W3" s="199">
        <f>'SER_se-appl'!W5</f>
        <v>15.772592841242927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42.484709664301796</v>
      </c>
      <c r="C5" s="59">
        <f>'SER_se-appl'!C13</f>
        <v>43.585419043656003</v>
      </c>
      <c r="D5" s="59">
        <f>'SER_se-appl'!D13</f>
        <v>44.93299630115321</v>
      </c>
      <c r="E5" s="59">
        <f>'SER_se-appl'!E13</f>
        <v>46.594188298488547</v>
      </c>
      <c r="F5" s="59">
        <f>'SER_se-appl'!F13</f>
        <v>48.502125782928346</v>
      </c>
      <c r="G5" s="59">
        <f>'SER_se-appl'!G13</f>
        <v>50.315331185167153</v>
      </c>
      <c r="H5" s="59">
        <f>'SER_se-appl'!H13</f>
        <v>51.713456955638762</v>
      </c>
      <c r="I5" s="59">
        <f>'SER_se-appl'!I13</f>
        <v>52.969756367155959</v>
      </c>
      <c r="J5" s="59">
        <f>'SER_se-appl'!J13</f>
        <v>54.259801076181368</v>
      </c>
      <c r="K5" s="59">
        <f>'SER_se-appl'!K13</f>
        <v>55.029186303768604</v>
      </c>
      <c r="L5" s="59">
        <f>'SER_se-appl'!L13</f>
        <v>55.62015890434499</v>
      </c>
      <c r="M5" s="59">
        <f>'SER_se-appl'!M13</f>
        <v>56.336309081364483</v>
      </c>
      <c r="N5" s="59">
        <f>'SER_se-appl'!N13</f>
        <v>57.193667269440461</v>
      </c>
      <c r="O5" s="59">
        <f>'SER_se-appl'!O13</f>
        <v>57.867371077526883</v>
      </c>
      <c r="P5" s="59">
        <f>'SER_se-appl'!P13</f>
        <v>58.29016271236943</v>
      </c>
      <c r="Q5" s="59">
        <f>'SER_se-appl'!Q13</f>
        <v>58.668556598363658</v>
      </c>
      <c r="R5" s="59">
        <f>'SER_se-appl'!R13</f>
        <v>57.73206401406987</v>
      </c>
      <c r="S5" s="59">
        <f>'SER_se-appl'!S13</f>
        <v>56.531642181293932</v>
      </c>
      <c r="T5" s="59">
        <f>'SER_se-appl'!T13</f>
        <v>54.959873302978046</v>
      </c>
      <c r="U5" s="59">
        <f>'SER_se-appl'!U13</f>
        <v>53.0548409921835</v>
      </c>
      <c r="V5" s="59">
        <f>'SER_se-appl'!V13</f>
        <v>50.991160441052834</v>
      </c>
      <c r="W5" s="59">
        <f>'SER_se-appl'!W13</f>
        <v>48.892029735932155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8.6561088831824048E-2</v>
      </c>
      <c r="C6" s="202">
        <f>'SER_se-appl'!C69</f>
        <v>9.084605157147628E-2</v>
      </c>
      <c r="D6" s="202">
        <f>'SER_se-appl'!D69</f>
        <v>9.6193870069694362E-2</v>
      </c>
      <c r="E6" s="202">
        <f>'SER_se-appl'!E69</f>
        <v>0.10225355910029559</v>
      </c>
      <c r="F6" s="202">
        <f>'SER_se-appl'!F69</f>
        <v>0.10942969160445501</v>
      </c>
      <c r="G6" s="202">
        <f>'SER_se-appl'!G69</f>
        <v>0.11722472976920573</v>
      </c>
      <c r="H6" s="202">
        <f>'SER_se-appl'!H69</f>
        <v>0.12440884706181636</v>
      </c>
      <c r="I6" s="202">
        <f>'SER_se-appl'!I69</f>
        <v>0.13164972741087308</v>
      </c>
      <c r="J6" s="202">
        <f>'SER_se-appl'!J69</f>
        <v>0.13806071671741499</v>
      </c>
      <c r="K6" s="202">
        <f>'SER_se-appl'!K69</f>
        <v>0.14425209278086382</v>
      </c>
      <c r="L6" s="202">
        <f>'SER_se-appl'!L69</f>
        <v>0.1514757465678451</v>
      </c>
      <c r="M6" s="202">
        <f>'SER_se-appl'!M69</f>
        <v>0.1601450727146457</v>
      </c>
      <c r="N6" s="202">
        <f>'SER_se-appl'!N69</f>
        <v>0.16893823427196106</v>
      </c>
      <c r="O6" s="202">
        <f>'SER_se-appl'!O69</f>
        <v>0.17731563575288325</v>
      </c>
      <c r="P6" s="202">
        <f>'SER_se-appl'!P69</f>
        <v>0.18629260702018971</v>
      </c>
      <c r="Q6" s="202">
        <f>'SER_se-appl'!Q69</f>
        <v>0.19570235431650215</v>
      </c>
      <c r="R6" s="202">
        <f>'SER_se-appl'!R69</f>
        <v>0.20153471999809616</v>
      </c>
      <c r="S6" s="202">
        <f>'SER_se-appl'!S69</f>
        <v>0.20773628507819189</v>
      </c>
      <c r="T6" s="202">
        <f>'SER_se-appl'!T69</f>
        <v>0.21369523941136423</v>
      </c>
      <c r="U6" s="202">
        <f>'SER_se-appl'!U69</f>
        <v>0.21911780410435369</v>
      </c>
      <c r="V6" s="202">
        <f>'SER_se-appl'!V69</f>
        <v>0.22364703166223379</v>
      </c>
      <c r="W6" s="202">
        <f>'SER_se-appl'!W69</f>
        <v>0.22738690552310684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206.16384368708782</v>
      </c>
      <c r="C8" s="34">
        <f>'SER_se-appl'!C21</f>
        <v>213.79564423148713</v>
      </c>
      <c r="D8" s="34">
        <f>'SER_se-appl'!D21</f>
        <v>223.26173990147757</v>
      </c>
      <c r="E8" s="34">
        <f>'SER_se-appl'!E21</f>
        <v>235.12081125962865</v>
      </c>
      <c r="F8" s="34">
        <f>'SER_se-appl'!F21</f>
        <v>249.11888153137392</v>
      </c>
      <c r="G8" s="34">
        <f>'SER_se-appl'!G21</f>
        <v>263.7232879552966</v>
      </c>
      <c r="H8" s="34">
        <f>'SER_se-appl'!H21</f>
        <v>277.16723573899708</v>
      </c>
      <c r="I8" s="34">
        <f>'SER_se-appl'!I21</f>
        <v>290.79318389423293</v>
      </c>
      <c r="J8" s="34">
        <f>'SER_se-appl'!J21</f>
        <v>302.60285950839733</v>
      </c>
      <c r="K8" s="34">
        <f>'SER_se-appl'!K21</f>
        <v>311.99333083760678</v>
      </c>
      <c r="L8" s="34">
        <f>'SER_se-appl'!L21</f>
        <v>321.20492650010181</v>
      </c>
      <c r="M8" s="34">
        <f>'SER_se-appl'!M21</f>
        <v>332.23776857916755</v>
      </c>
      <c r="N8" s="34">
        <f>'SER_se-appl'!N21</f>
        <v>345.44709763635149</v>
      </c>
      <c r="O8" s="34">
        <f>'SER_se-appl'!O21</f>
        <v>358.85581652757895</v>
      </c>
      <c r="P8" s="34">
        <f>'SER_se-appl'!P21</f>
        <v>372.85869158748505</v>
      </c>
      <c r="Q8" s="34">
        <f>'SER_se-appl'!Q21</f>
        <v>388.68366309858766</v>
      </c>
      <c r="R8" s="34">
        <f>'SER_se-appl'!R21</f>
        <v>396.81319768329143</v>
      </c>
      <c r="S8" s="34">
        <f>'SER_se-appl'!S21</f>
        <v>405.10985331154325</v>
      </c>
      <c r="T8" s="34">
        <f>'SER_se-appl'!T21</f>
        <v>413.36758351731532</v>
      </c>
      <c r="U8" s="34">
        <f>'SER_se-appl'!U21</f>
        <v>420.69917211062773</v>
      </c>
      <c r="V8" s="34">
        <f>'SER_se-appl'!V21</f>
        <v>426.64585112625184</v>
      </c>
      <c r="W8" s="34">
        <f>'SER_se-appl'!W21</f>
        <v>430.49411943517288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33.49390631121949</v>
      </c>
      <c r="D9" s="36">
        <f>'SER_se-appl'!D29</f>
        <v>36.44143271515884</v>
      </c>
      <c r="E9" s="36">
        <f>'SER_se-appl'!E29</f>
        <v>39.995558590138131</v>
      </c>
      <c r="F9" s="36">
        <f>'SER_se-appl'!F29</f>
        <v>43.345689262758611</v>
      </c>
      <c r="G9" s="36">
        <f>'SER_se-appl'!G29</f>
        <v>45.215290197023393</v>
      </c>
      <c r="H9" s="36">
        <f>'SER_se-appl'!H29</f>
        <v>45.372473421750044</v>
      </c>
      <c r="I9" s="36">
        <f>'SER_se-appl'!I29</f>
        <v>46.928833396184444</v>
      </c>
      <c r="J9" s="36">
        <f>'SER_se-appl'!J29</f>
        <v>45.303581925383867</v>
      </c>
      <c r="K9" s="36">
        <f>'SER_se-appl'!K29</f>
        <v>45.831904044368287</v>
      </c>
      <c r="L9" s="36">
        <f>'SER_se-appl'!L29</f>
        <v>49.207154252633131</v>
      </c>
      <c r="M9" s="36">
        <f>'SER_se-appl'!M29</f>
        <v>54.378531341824328</v>
      </c>
      <c r="N9" s="36">
        <f>'SER_se-appl'!N29</f>
        <v>58.4246192542073</v>
      </c>
      <c r="O9" s="36">
        <f>'SER_se-appl'!O29</f>
        <v>58.78119231297751</v>
      </c>
      <c r="P9" s="36">
        <f>'SER_se-appl'!P29</f>
        <v>60.931708456090519</v>
      </c>
      <c r="Q9" s="36">
        <f>'SER_se-appl'!Q29</f>
        <v>61.12855343648647</v>
      </c>
      <c r="R9" s="36">
        <f>'SER_se-appl'!R29</f>
        <v>53.961438629072063</v>
      </c>
      <c r="S9" s="36">
        <f>'SER_se-appl'!S29</f>
        <v>57.503809880884944</v>
      </c>
      <c r="T9" s="36">
        <f>'SER_se-appl'!T29</f>
        <v>62.636261547596405</v>
      </c>
      <c r="U9" s="36">
        <f>'SER_se-appl'!U29</f>
        <v>65.756207847519704</v>
      </c>
      <c r="V9" s="36">
        <f>'SER_se-appl'!V29</f>
        <v>64.727871328601623</v>
      </c>
      <c r="W9" s="36">
        <f>'SER_se-appl'!W29</f>
        <v>64.779976765011554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25.862105766820179</v>
      </c>
      <c r="D10" s="38">
        <f>'SER_se-appl'!D37</f>
        <v>26.975337045168402</v>
      </c>
      <c r="E10" s="38">
        <f>'SER_se-appl'!E37</f>
        <v>28.136487231987047</v>
      </c>
      <c r="F10" s="38">
        <f>'SER_se-appl'!F37</f>
        <v>29.347618991013348</v>
      </c>
      <c r="G10" s="38">
        <f>'SER_se-appl'!G37</f>
        <v>30.610883773100738</v>
      </c>
      <c r="H10" s="38">
        <f>'SER_se-appl'!H37</f>
        <v>31.928525638049564</v>
      </c>
      <c r="I10" s="38">
        <f>'SER_se-appl'!I37</f>
        <v>33.302885240948626</v>
      </c>
      <c r="J10" s="38">
        <f>'SER_se-appl'!J37</f>
        <v>33.493906311219462</v>
      </c>
      <c r="K10" s="38">
        <f>'SER_se-appl'!K37</f>
        <v>36.44143271515884</v>
      </c>
      <c r="L10" s="38">
        <f>'SER_se-appl'!L37</f>
        <v>39.995558590138103</v>
      </c>
      <c r="M10" s="38">
        <f>'SER_se-appl'!M37</f>
        <v>43.345689262758583</v>
      </c>
      <c r="N10" s="38">
        <f>'SER_se-appl'!N37</f>
        <v>45.215290197023364</v>
      </c>
      <c r="O10" s="38">
        <f>'SER_se-appl'!O37</f>
        <v>45.372473421750044</v>
      </c>
      <c r="P10" s="38">
        <f>'SER_se-appl'!P37</f>
        <v>46.928833396184416</v>
      </c>
      <c r="Q10" s="38">
        <f>'SER_se-appl'!Q37</f>
        <v>45.303581925383867</v>
      </c>
      <c r="R10" s="38">
        <f>'SER_se-appl'!R37</f>
        <v>45.831904044368287</v>
      </c>
      <c r="S10" s="38">
        <f>'SER_se-appl'!S37</f>
        <v>49.207154252633131</v>
      </c>
      <c r="T10" s="38">
        <f>'SER_se-appl'!T37</f>
        <v>54.378531341824328</v>
      </c>
      <c r="U10" s="38">
        <f>'SER_se-appl'!U37</f>
        <v>58.4246192542073</v>
      </c>
      <c r="V10" s="38">
        <f>'SER_se-appl'!V37</f>
        <v>58.78119231297751</v>
      </c>
      <c r="W10" s="38">
        <f>'SER_se-appl'!W37</f>
        <v>60.931708456090519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3862.8430237412795</v>
      </c>
      <c r="C12" s="205">
        <f>'SER_se-appl'!C45</f>
        <v>3868.2123398052595</v>
      </c>
      <c r="D12" s="205">
        <f>'SER_se-appl'!D45</f>
        <v>3878.2885280672381</v>
      </c>
      <c r="E12" s="205">
        <f>'SER_se-appl'!E45</f>
        <v>3885.7985712652694</v>
      </c>
      <c r="F12" s="205">
        <f>'SER_se-appl'!F45</f>
        <v>3893.4864656338877</v>
      </c>
      <c r="G12" s="205">
        <f>'SER_se-appl'!G45</f>
        <v>3899.5169585382137</v>
      </c>
      <c r="H12" s="205">
        <f>'SER_se-appl'!H45</f>
        <v>3905.1110041510565</v>
      </c>
      <c r="I12" s="205">
        <f>'SER_se-appl'!I45</f>
        <v>3909.31792927588</v>
      </c>
      <c r="J12" s="205">
        <f>'SER_se-appl'!J45</f>
        <v>3906.2904648380891</v>
      </c>
      <c r="K12" s="205">
        <f>'SER_se-appl'!K45</f>
        <v>3904.7175509394178</v>
      </c>
      <c r="L12" s="205">
        <f>'SER_se-appl'!L45</f>
        <v>3902.3066980710587</v>
      </c>
      <c r="M12" s="205">
        <f>'SER_se-appl'!M45</f>
        <v>3900.989750875096</v>
      </c>
      <c r="N12" s="205">
        <f>'SER_se-appl'!N45</f>
        <v>3898.8133585017185</v>
      </c>
      <c r="O12" s="205">
        <f>'SER_se-appl'!O45</f>
        <v>3886.1846810896254</v>
      </c>
      <c r="P12" s="205">
        <f>'SER_se-appl'!P45</f>
        <v>3862.1774523370154</v>
      </c>
      <c r="Q12" s="205">
        <f>'SER_se-appl'!Q45</f>
        <v>3829.7246435676861</v>
      </c>
      <c r="R12" s="205">
        <f>'SER_se-appl'!R45</f>
        <v>3849.4137284397052</v>
      </c>
      <c r="S12" s="205">
        <f>'SER_se-appl'!S45</f>
        <v>3915.0432020591543</v>
      </c>
      <c r="T12" s="205">
        <f>'SER_se-appl'!T45</f>
        <v>3872.1106388678045</v>
      </c>
      <c r="U12" s="205">
        <f>'SER_se-appl'!U45</f>
        <v>3836.7752045662805</v>
      </c>
      <c r="V12" s="205">
        <f>'SER_se-appl'!V45</f>
        <v>3805.4536801318091</v>
      </c>
      <c r="W12" s="205">
        <f>'SER_se-appl'!W45</f>
        <v>3751.843720426346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206.07255328817214</v>
      </c>
      <c r="C14" s="59">
        <f>'SER_se-appl'!C53</f>
        <v>203.86485983065171</v>
      </c>
      <c r="D14" s="59">
        <f>'SER_se-appl'!D53</f>
        <v>201.25703723791432</v>
      </c>
      <c r="E14" s="59">
        <f>'SER_se-appl'!E53</f>
        <v>198.17126373827287</v>
      </c>
      <c r="F14" s="59">
        <f>'SER_se-appl'!F53</f>
        <v>194.69469951365372</v>
      </c>
      <c r="G14" s="59">
        <f>'SER_se-appl'!G53</f>
        <v>190.78835083269567</v>
      </c>
      <c r="H14" s="59">
        <f>'SER_se-appl'!H53</f>
        <v>186.57853558252575</v>
      </c>
      <c r="I14" s="59">
        <f>'SER_se-appl'!I53</f>
        <v>182.15611403884239</v>
      </c>
      <c r="J14" s="59">
        <f>'SER_se-appl'!J53</f>
        <v>179.31027209832314</v>
      </c>
      <c r="K14" s="59">
        <f>'SER_se-appl'!K53</f>
        <v>176.379367328244</v>
      </c>
      <c r="L14" s="59">
        <f>'SER_se-appl'!L53</f>
        <v>173.16097704475078</v>
      </c>
      <c r="M14" s="59">
        <f>'SER_se-appl'!M53</f>
        <v>169.56623963100191</v>
      </c>
      <c r="N14" s="59">
        <f>'SER_se-appl'!N53</f>
        <v>165.56418525666015</v>
      </c>
      <c r="O14" s="59">
        <f>'SER_se-appl'!O53</f>
        <v>161.25521285254027</v>
      </c>
      <c r="P14" s="59">
        <f>'SER_se-appl'!P53</f>
        <v>156.33312036845095</v>
      </c>
      <c r="Q14" s="59">
        <f>'SER_se-appl'!Q53</f>
        <v>150.94165813571297</v>
      </c>
      <c r="R14" s="59">
        <f>'SER_se-appl'!R53</f>
        <v>145.48927392316111</v>
      </c>
      <c r="S14" s="59">
        <f>'SER_se-appl'!S53</f>
        <v>139.54645071992158</v>
      </c>
      <c r="T14" s="59">
        <f>'SER_se-appl'!T53</f>
        <v>132.95641819643524</v>
      </c>
      <c r="U14" s="59">
        <f>'SER_se-appl'!U53</f>
        <v>126.11111337826001</v>
      </c>
      <c r="V14" s="59">
        <f>'SER_se-appl'!V53</f>
        <v>119.51636305954295</v>
      </c>
      <c r="W14" s="59">
        <f>'SER_se-appl'!W53</f>
        <v>113.5718875790467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191.98057964286122</v>
      </c>
      <c r="D15" s="63">
        <f>'SER_se-appl'!D61</f>
        <v>189.52201721012852</v>
      </c>
      <c r="E15" s="63">
        <f>'SER_se-appl'!E61</f>
        <v>186.50445261265173</v>
      </c>
      <c r="F15" s="63">
        <f>'SER_se-appl'!F61</f>
        <v>183.54019507267759</v>
      </c>
      <c r="G15" s="63">
        <f>'SER_se-appl'!G61</f>
        <v>179.61331983895519</v>
      </c>
      <c r="H15" s="63">
        <f>'SER_se-appl'!H61</f>
        <v>175.82727962119654</v>
      </c>
      <c r="I15" s="63">
        <f>'SER_se-appl'!I61</f>
        <v>173.00898866244927</v>
      </c>
      <c r="J15" s="63">
        <f>'SER_se-appl'!J61</f>
        <v>170.41090194308302</v>
      </c>
      <c r="K15" s="63">
        <f>'SER_se-appl'!K61</f>
        <v>167.47807506230996</v>
      </c>
      <c r="L15" s="63">
        <f>'SER_se-appl'!L61</f>
        <v>163.60064882103143</v>
      </c>
      <c r="M15" s="63">
        <f>'SER_se-appl'!M61</f>
        <v>159.47150880840482</v>
      </c>
      <c r="N15" s="63">
        <f>'SER_se-appl'!N61</f>
        <v>153.67882037500087</v>
      </c>
      <c r="O15" s="63">
        <f>'SER_se-appl'!O61</f>
        <v>147.18011049271857</v>
      </c>
      <c r="P15" s="63">
        <f>'SER_se-appl'!P61</f>
        <v>140.18811972063071</v>
      </c>
      <c r="Q15" s="63">
        <f>'SER_se-appl'!Q61</f>
        <v>132.48502848289775</v>
      </c>
      <c r="R15" s="63">
        <f>'SER_se-appl'!R61</f>
        <v>124.89189785734604</v>
      </c>
      <c r="S15" s="63">
        <f>'SER_se-appl'!S61</f>
        <v>119.12081206063554</v>
      </c>
      <c r="T15" s="63">
        <f>'SER_se-appl'!T61</f>
        <v>113.35378878183433</v>
      </c>
      <c r="U15" s="63">
        <f>'SER_se-appl'!U61</f>
        <v>107.57302600924548</v>
      </c>
      <c r="V15" s="63">
        <f>'SER_se-appl'!V61</f>
        <v>101.77596904034368</v>
      </c>
      <c r="W15" s="63">
        <f>'SER_se-appl'!W61</f>
        <v>99.456209409820701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16.495381976401617</v>
      </c>
      <c r="C3" s="199">
        <f>'SER_se-appl'!C6</f>
        <v>17.40177622999326</v>
      </c>
      <c r="D3" s="199">
        <f>'SER_se-appl'!D6</f>
        <v>18.288763486324395</v>
      </c>
      <c r="E3" s="199">
        <f>'SER_se-appl'!E6</f>
        <v>19.294201239279055</v>
      </c>
      <c r="F3" s="199">
        <f>'SER_se-appl'!F6</f>
        <v>20.44843593236471</v>
      </c>
      <c r="G3" s="199">
        <f>'SER_se-appl'!G6</f>
        <v>21.369075471026306</v>
      </c>
      <c r="H3" s="199">
        <f>'SER_se-appl'!H6</f>
        <v>22.496076921545175</v>
      </c>
      <c r="I3" s="199">
        <f>'SER_se-appl'!I6</f>
        <v>23.871140775089881</v>
      </c>
      <c r="J3" s="199">
        <f>'SER_se-appl'!J6</f>
        <v>24.592633493550903</v>
      </c>
      <c r="K3" s="199">
        <f>'SER_se-appl'!K6</f>
        <v>24.632512989358112</v>
      </c>
      <c r="L3" s="199">
        <f>'SER_se-appl'!L6</f>
        <v>24.660067119313059</v>
      </c>
      <c r="M3" s="199">
        <f>'SER_se-appl'!M6</f>
        <v>25.254839787805128</v>
      </c>
      <c r="N3" s="199">
        <f>'SER_se-appl'!N6</f>
        <v>25.334025206802973</v>
      </c>
      <c r="O3" s="199">
        <f>'SER_se-appl'!O6</f>
        <v>25.492942049119147</v>
      </c>
      <c r="P3" s="199">
        <f>'SER_se-appl'!P6</f>
        <v>25.830857481403509</v>
      </c>
      <c r="Q3" s="199">
        <f>'SER_se-appl'!Q6</f>
        <v>26.492001639983528</v>
      </c>
      <c r="R3" s="199">
        <f>'SER_se-appl'!R6</f>
        <v>26.17984988880713</v>
      </c>
      <c r="S3" s="199">
        <f>'SER_se-appl'!S6</f>
        <v>26.356456565480386</v>
      </c>
      <c r="T3" s="199">
        <f>'SER_se-appl'!T6</f>
        <v>25.04001953031899</v>
      </c>
      <c r="U3" s="199">
        <f>'SER_se-appl'!U6</f>
        <v>23.500052880037163</v>
      </c>
      <c r="V3" s="199">
        <f>'SER_se-appl'!V6</f>
        <v>20.378601394016638</v>
      </c>
      <c r="W3" s="199">
        <f>'SER_se-appl'!W6</f>
        <v>19.628192775570948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86.752416684768647</v>
      </c>
      <c r="C5" s="59">
        <f>'SER_se-appl'!C14</f>
        <v>90.419823135348523</v>
      </c>
      <c r="D5" s="59">
        <f>'SER_se-appl'!D14</f>
        <v>94.080684220631099</v>
      </c>
      <c r="E5" s="59">
        <f>'SER_se-appl'!E14</f>
        <v>98.198502743895631</v>
      </c>
      <c r="F5" s="59">
        <f>'SER_se-appl'!F14</f>
        <v>102.87071540463251</v>
      </c>
      <c r="G5" s="59">
        <f>'SER_se-appl'!G14</f>
        <v>106.31453868539795</v>
      </c>
      <c r="H5" s="59">
        <f>'SER_se-appl'!H14</f>
        <v>111.22485974195361</v>
      </c>
      <c r="I5" s="59">
        <f>'SER_se-appl'!I14</f>
        <v>117.27803943889187</v>
      </c>
      <c r="J5" s="59">
        <f>'SER_se-appl'!J14</f>
        <v>120.13522884263351</v>
      </c>
      <c r="K5" s="59">
        <f>'SER_se-appl'!K14</f>
        <v>119.82311136867803</v>
      </c>
      <c r="L5" s="59">
        <f>'SER_se-appl'!L14</f>
        <v>119.52403532194532</v>
      </c>
      <c r="M5" s="59">
        <f>'SER_se-appl'!M14</f>
        <v>121.90062631253676</v>
      </c>
      <c r="N5" s="59">
        <f>'SER_se-appl'!N14</f>
        <v>121.65278885896832</v>
      </c>
      <c r="O5" s="59">
        <f>'SER_se-appl'!O14</f>
        <v>121.67865716097324</v>
      </c>
      <c r="P5" s="59">
        <f>'SER_se-appl'!P14</f>
        <v>122.72516904635665</v>
      </c>
      <c r="Q5" s="59">
        <f>'SER_se-appl'!Q14</f>
        <v>125.0073429551998</v>
      </c>
      <c r="R5" s="59">
        <f>'SER_se-appl'!R14</f>
        <v>122.07170540067217</v>
      </c>
      <c r="S5" s="59">
        <f>'SER_se-appl'!S14</f>
        <v>118.95940854283961</v>
      </c>
      <c r="T5" s="59">
        <f>'SER_se-appl'!T14</f>
        <v>114.87298352694239</v>
      </c>
      <c r="U5" s="59">
        <f>'SER_se-appl'!U14</f>
        <v>108.92036732798775</v>
      </c>
      <c r="V5" s="59">
        <f>'SER_se-appl'!V14</f>
        <v>102.76352231476227</v>
      </c>
      <c r="W5" s="59">
        <f>'SER_se-appl'!W14</f>
        <v>95.755841811000835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147.20045820863015</v>
      </c>
      <c r="C6" s="202">
        <f>'SER_se-appl'!C70</f>
        <v>149.13137623834231</v>
      </c>
      <c r="D6" s="202">
        <f>'SER_se-appl'!D70</f>
        <v>151.10059333923962</v>
      </c>
      <c r="E6" s="202">
        <f>'SER_se-appl'!E70</f>
        <v>154.0276234354225</v>
      </c>
      <c r="F6" s="202">
        <f>'SER_se-appl'!F70</f>
        <v>157.30675528932173</v>
      </c>
      <c r="G6" s="202">
        <f>'SER_se-appl'!G70</f>
        <v>161.04739890577818</v>
      </c>
      <c r="H6" s="202">
        <f>'SER_se-appl'!H70</f>
        <v>164.56864326338729</v>
      </c>
      <c r="I6" s="202">
        <f>'SER_se-appl'!I70</f>
        <v>169.10618778695533</v>
      </c>
      <c r="J6" s="202">
        <f>'SER_se-appl'!J70</f>
        <v>172.71791170377091</v>
      </c>
      <c r="K6" s="202">
        <f>'SER_se-appl'!K70</f>
        <v>176.6103201405563</v>
      </c>
      <c r="L6" s="202">
        <f>'SER_se-appl'!L70</f>
        <v>182.07658532800176</v>
      </c>
      <c r="M6" s="202">
        <f>'SER_se-appl'!M70</f>
        <v>188.43563006710676</v>
      </c>
      <c r="N6" s="202">
        <f>'SER_se-appl'!N70</f>
        <v>195.76239951081897</v>
      </c>
      <c r="O6" s="202">
        <f>'SER_se-appl'!O70</f>
        <v>203.03988164909671</v>
      </c>
      <c r="P6" s="202">
        <f>'SER_se-appl'!P70</f>
        <v>211.93887293566158</v>
      </c>
      <c r="Q6" s="202">
        <f>'SER_se-appl'!Q70</f>
        <v>223.39706322519964</v>
      </c>
      <c r="R6" s="202">
        <f>'SER_se-appl'!R70</f>
        <v>229.52609121106886</v>
      </c>
      <c r="S6" s="202">
        <f>'SER_se-appl'!S70</f>
        <v>235.75157976569611</v>
      </c>
      <c r="T6" s="202">
        <f>'SER_se-appl'!T70</f>
        <v>241.65773134640557</v>
      </c>
      <c r="U6" s="202">
        <f>'SER_se-appl'!U70</f>
        <v>246.99026345004083</v>
      </c>
      <c r="V6" s="202">
        <f>'SER_se-appl'!V70</f>
        <v>251.27529059721991</v>
      </c>
      <c r="W6" s="202">
        <f>'SER_se-appl'!W70</f>
        <v>253.65464877720157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1.8804749077003109</v>
      </c>
      <c r="C8" s="34">
        <f>'SER_se-appl'!C22</f>
        <v>1.9854545086064412</v>
      </c>
      <c r="D8" s="34">
        <f>'SER_se-appl'!D22</f>
        <v>2.1065317037066493</v>
      </c>
      <c r="E8" s="34">
        <f>'SER_se-appl'!E22</f>
        <v>2.2507722082671844</v>
      </c>
      <c r="F8" s="34">
        <f>'SER_se-appl'!F22</f>
        <v>2.4249672512071023</v>
      </c>
      <c r="G8" s="34">
        <f>'SER_se-appl'!G22</f>
        <v>2.5846980196318166</v>
      </c>
      <c r="H8" s="34">
        <f>'SER_se-appl'!H22</f>
        <v>2.7990279198855026</v>
      </c>
      <c r="I8" s="34">
        <f>'SER_se-appl'!I22</f>
        <v>3.0478554151738506</v>
      </c>
      <c r="J8" s="34">
        <f>'SER_se-appl'!J22</f>
        <v>3.2089905584592304</v>
      </c>
      <c r="K8" s="34">
        <f>'SER_se-appl'!K22</f>
        <v>3.2873934385843295</v>
      </c>
      <c r="L8" s="34">
        <f>'SER_se-appl'!L22</f>
        <v>3.3726448593085734</v>
      </c>
      <c r="M8" s="34">
        <f>'SER_se-appl'!M22</f>
        <v>3.5471382791125752</v>
      </c>
      <c r="N8" s="34">
        <f>'SER_se-appl'!N22</f>
        <v>3.6686405848803116</v>
      </c>
      <c r="O8" s="34">
        <f>'SER_se-appl'!O22</f>
        <v>3.8436840013406606</v>
      </c>
      <c r="P8" s="34">
        <f>'SER_se-appl'!P22</f>
        <v>4.0567811448934172</v>
      </c>
      <c r="Q8" s="34">
        <f>'SER_se-appl'!Q22</f>
        <v>4.3349414902324339</v>
      </c>
      <c r="R8" s="34">
        <f>'SER_se-appl'!R22</f>
        <v>4.473281126335257</v>
      </c>
      <c r="S8" s="34">
        <f>'SER_se-appl'!S22</f>
        <v>4.6453207926474329</v>
      </c>
      <c r="T8" s="34">
        <f>'SER_se-appl'!T22</f>
        <v>4.7972244850761889</v>
      </c>
      <c r="U8" s="34">
        <f>'SER_se-appl'!U22</f>
        <v>4.9391094508800517</v>
      </c>
      <c r="V8" s="34">
        <f>'SER_se-appl'!V22</f>
        <v>5.0589293343205703</v>
      </c>
      <c r="W8" s="34">
        <f>'SER_se-appl'!W22</f>
        <v>5.1405237376320949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0.39864602820146744</v>
      </c>
      <c r="D9" s="36">
        <f>'SER_se-appl'!D30</f>
        <v>0.42237259223941281</v>
      </c>
      <c r="E9" s="36">
        <f>'SER_se-appl'!E30</f>
        <v>0.45336305960825829</v>
      </c>
      <c r="F9" s="36">
        <f>'SER_se-appl'!F30</f>
        <v>0.49134809256013323</v>
      </c>
      <c r="G9" s="36">
        <f>'SER_se-appl'!G30</f>
        <v>0.48512293163284426</v>
      </c>
      <c r="H9" s="36">
        <f>'SER_se-appl'!H30</f>
        <v>0.54817521564338678</v>
      </c>
      <c r="I9" s="36">
        <f>'SER_se-appl'!I30</f>
        <v>0.64747352348981524</v>
      </c>
      <c r="J9" s="36">
        <f>'SER_se-appl'!J30</f>
        <v>0.58350773552479263</v>
      </c>
      <c r="K9" s="36">
        <f>'SER_se-appl'!K30</f>
        <v>0.5317659397333574</v>
      </c>
      <c r="L9" s="36">
        <f>'SER_se-appl'!L30</f>
        <v>0.57659951328437709</v>
      </c>
      <c r="M9" s="36">
        <f>'SER_se-appl'!M30</f>
        <v>0.65961635143684605</v>
      </c>
      <c r="N9" s="36">
        <f>'SER_se-appl'!N30</f>
        <v>0.66967752141112324</v>
      </c>
      <c r="O9" s="36">
        <f>'SER_se-appl'!O30</f>
        <v>0.82251693995016417</v>
      </c>
      <c r="P9" s="36">
        <f>'SER_se-appl'!P30</f>
        <v>0.79660487907754929</v>
      </c>
      <c r="Q9" s="36">
        <f>'SER_se-appl'!Q30</f>
        <v>0.80992628507237407</v>
      </c>
      <c r="R9" s="36">
        <f>'SER_se-appl'!R30</f>
        <v>0.71493914938720016</v>
      </c>
      <c r="S9" s="36">
        <f>'SER_se-appl'!S30</f>
        <v>0.83165601774902198</v>
      </c>
      <c r="T9" s="36">
        <f>'SER_se-appl'!T30</f>
        <v>0.82158121383987925</v>
      </c>
      <c r="U9" s="36">
        <f>'SER_se-appl'!U30</f>
        <v>0.96440190575402696</v>
      </c>
      <c r="V9" s="36">
        <f>'SER_se-appl'!V30</f>
        <v>0.91642476251806748</v>
      </c>
      <c r="W9" s="36">
        <f>'SER_se-appl'!W30</f>
        <v>0.8915206883838982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0.29366642729533687</v>
      </c>
      <c r="D10" s="38">
        <f>'SER_se-appl'!D38</f>
        <v>0.30129539713920472</v>
      </c>
      <c r="E10" s="38">
        <f>'SER_se-appl'!E38</f>
        <v>0.30912255504772324</v>
      </c>
      <c r="F10" s="38">
        <f>'SER_se-appl'!F38</f>
        <v>0.31715304962021529</v>
      </c>
      <c r="G10" s="38">
        <f>'SER_se-appl'!G38</f>
        <v>0.32539216320813003</v>
      </c>
      <c r="H10" s="38">
        <f>'SER_se-appl'!H38</f>
        <v>0.33384531538970075</v>
      </c>
      <c r="I10" s="38">
        <f>'SER_se-appl'!I38</f>
        <v>0.39864602820146722</v>
      </c>
      <c r="J10" s="38">
        <f>'SER_se-appl'!J38</f>
        <v>0.42237259223941281</v>
      </c>
      <c r="K10" s="38">
        <f>'SER_se-appl'!K38</f>
        <v>0.45336305960825829</v>
      </c>
      <c r="L10" s="38">
        <f>'SER_se-appl'!L38</f>
        <v>0.49134809256013323</v>
      </c>
      <c r="M10" s="38">
        <f>'SER_se-appl'!M38</f>
        <v>0.48512293163284426</v>
      </c>
      <c r="N10" s="38">
        <f>'SER_se-appl'!N38</f>
        <v>0.54817521564338678</v>
      </c>
      <c r="O10" s="38">
        <f>'SER_se-appl'!O38</f>
        <v>0.6474735234898148</v>
      </c>
      <c r="P10" s="38">
        <f>'SER_se-appl'!P38</f>
        <v>0.58350773552479218</v>
      </c>
      <c r="Q10" s="38">
        <f>'SER_se-appl'!Q38</f>
        <v>0.53176593973335695</v>
      </c>
      <c r="R10" s="38">
        <f>'SER_se-appl'!R38</f>
        <v>0.57659951328437664</v>
      </c>
      <c r="S10" s="38">
        <f>'SER_se-appl'!S38</f>
        <v>0.65961635143684649</v>
      </c>
      <c r="T10" s="38">
        <f>'SER_se-appl'!T38</f>
        <v>0.66967752141112324</v>
      </c>
      <c r="U10" s="38">
        <f>'SER_se-appl'!U38</f>
        <v>0.82251693995016417</v>
      </c>
      <c r="V10" s="38">
        <f>'SER_se-appl'!V38</f>
        <v>0.79660487907754884</v>
      </c>
      <c r="W10" s="38">
        <f>'SER_se-appl'!W38</f>
        <v>0.80992628507237363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2211.3653972619868</v>
      </c>
      <c r="C12" s="205">
        <f>'SER_se-appl'!C46</f>
        <v>2238.2554017151419</v>
      </c>
      <c r="D12" s="205">
        <f>'SER_se-appl'!D46</f>
        <v>2260.8075303443611</v>
      </c>
      <c r="E12" s="205">
        <f>'SER_se-appl'!E46</f>
        <v>2285.0812806997137</v>
      </c>
      <c r="F12" s="205">
        <f>'SER_se-appl'!F46</f>
        <v>2311.7882378670829</v>
      </c>
      <c r="G12" s="205">
        <f>'SER_se-appl'!G46</f>
        <v>2337.6139406808138</v>
      </c>
      <c r="H12" s="205">
        <f>'SER_se-appl'!H46</f>
        <v>2352.2562779990158</v>
      </c>
      <c r="I12" s="205">
        <f>'SER_se-appl'!I46</f>
        <v>2367.2067553529569</v>
      </c>
      <c r="J12" s="205">
        <f>'SER_se-appl'!J46</f>
        <v>2380.7531752792324</v>
      </c>
      <c r="K12" s="205">
        <f>'SER_se-appl'!K46</f>
        <v>2390.825299009221</v>
      </c>
      <c r="L12" s="205">
        <f>'SER_se-appl'!L46</f>
        <v>2399.4887708159004</v>
      </c>
      <c r="M12" s="205">
        <f>'SER_se-appl'!M46</f>
        <v>2409.4526469382622</v>
      </c>
      <c r="N12" s="205">
        <f>'SER_se-appl'!N46</f>
        <v>2421.9314322229607</v>
      </c>
      <c r="O12" s="205">
        <f>'SER_se-appl'!O46</f>
        <v>2436.6057527987618</v>
      </c>
      <c r="P12" s="205">
        <f>'SER_se-appl'!P46</f>
        <v>2447.8505496720782</v>
      </c>
      <c r="Q12" s="205">
        <f>'SER_se-appl'!Q46</f>
        <v>2464.6710488313165</v>
      </c>
      <c r="R12" s="205">
        <f>'SER_se-appl'!R46</f>
        <v>2494.2033308002788</v>
      </c>
      <c r="S12" s="205">
        <f>'SER_se-appl'!S46</f>
        <v>2576.7242256097047</v>
      </c>
      <c r="T12" s="205">
        <f>'SER_se-appl'!T46</f>
        <v>2535.1080662870395</v>
      </c>
      <c r="U12" s="205">
        <f>'SER_se-appl'!U46</f>
        <v>2509.2241396123595</v>
      </c>
      <c r="V12" s="205">
        <f>'SER_se-appl'!V46</f>
        <v>2306.296328443068</v>
      </c>
      <c r="W12" s="205">
        <f>'SER_se-appl'!W46</f>
        <v>2383.9368717623747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46.133248749838828</v>
      </c>
      <c r="C14" s="59">
        <f>'SER_se-appl'!C54</f>
        <v>45.541120556226062</v>
      </c>
      <c r="D14" s="59">
        <f>'SER_se-appl'!D54</f>
        <v>44.661413856286565</v>
      </c>
      <c r="E14" s="59">
        <f>'SER_se-appl'!E54</f>
        <v>43.628805430957541</v>
      </c>
      <c r="F14" s="59">
        <f>'SER_se-appl'!F54</f>
        <v>42.421486456538922</v>
      </c>
      <c r="G14" s="59">
        <f>'SER_se-appl'!G54</f>
        <v>41.132286200514123</v>
      </c>
      <c r="H14" s="59">
        <f>'SER_se-appl'!H54</f>
        <v>39.736959732257112</v>
      </c>
      <c r="I14" s="59">
        <f>'SER_se-appl'!I54</f>
        <v>38.478872342506541</v>
      </c>
      <c r="J14" s="59">
        <f>'SER_se-appl'!J54</f>
        <v>37.437077689725399</v>
      </c>
      <c r="K14" s="59">
        <f>'SER_se-appl'!K54</f>
        <v>36.449276184075551</v>
      </c>
      <c r="L14" s="59">
        <f>'SER_se-appl'!L54</f>
        <v>35.439259189136493</v>
      </c>
      <c r="M14" s="59">
        <f>'SER_se-appl'!M54</f>
        <v>34.365907591015571</v>
      </c>
      <c r="N14" s="59">
        <f>'SER_se-appl'!N54</f>
        <v>33.160181828751483</v>
      </c>
      <c r="O14" s="59">
        <f>'SER_se-appl'!O54</f>
        <v>31.656779568386018</v>
      </c>
      <c r="P14" s="59">
        <f>'SER_se-appl'!P54</f>
        <v>30.251858471793646</v>
      </c>
      <c r="Q14" s="59">
        <f>'SER_se-appl'!Q54</f>
        <v>28.837146530551458</v>
      </c>
      <c r="R14" s="59">
        <f>'SER_se-appl'!R54</f>
        <v>27.289075278995401</v>
      </c>
      <c r="S14" s="59">
        <f>'SER_se-appl'!S54</f>
        <v>25.608437792095515</v>
      </c>
      <c r="T14" s="59">
        <f>'SER_se-appl'!T54</f>
        <v>23.945717754985985</v>
      </c>
      <c r="U14" s="59">
        <f>'SER_se-appl'!U54</f>
        <v>22.052632850357323</v>
      </c>
      <c r="V14" s="59">
        <f>'SER_se-appl'!V54</f>
        <v>20.313294676325761</v>
      </c>
      <c r="W14" s="59">
        <f>'SER_se-appl'!W54</f>
        <v>18.627643154335345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43.184157304012821</v>
      </c>
      <c r="D15" s="63">
        <f>'SER_se-appl'!D62</f>
        <v>41.576079772555744</v>
      </c>
      <c r="E15" s="63">
        <f>'SER_se-appl'!E62</f>
        <v>40.538473216912564</v>
      </c>
      <c r="F15" s="63">
        <f>'SER_se-appl'!F62</f>
        <v>39.286838562976229</v>
      </c>
      <c r="G15" s="63">
        <f>'SER_se-appl'!G62</f>
        <v>38.042359335966651</v>
      </c>
      <c r="H15" s="63">
        <f>'SER_se-appl'!H62</f>
        <v>37.053280512796483</v>
      </c>
      <c r="I15" s="63">
        <f>'SER_se-appl'!I62</f>
        <v>35.937179889605751</v>
      </c>
      <c r="J15" s="63">
        <f>'SER_se-appl'!J62</f>
        <v>34.991457266741051</v>
      </c>
      <c r="K15" s="63">
        <f>'SER_se-appl'!K62</f>
        <v>33.974588114030972</v>
      </c>
      <c r="L15" s="63">
        <f>'SER_se-appl'!L62</f>
        <v>32.959509514068223</v>
      </c>
      <c r="M15" s="63">
        <f>'SER_se-appl'!M62</f>
        <v>31.581709326197956</v>
      </c>
      <c r="N15" s="63">
        <f>'SER_se-appl'!N62</f>
        <v>29.960468942649818</v>
      </c>
      <c r="O15" s="63">
        <f>'SER_se-appl'!O62</f>
        <v>28.320682113643354</v>
      </c>
      <c r="P15" s="63">
        <f>'SER_se-appl'!P62</f>
        <v>26.944723088649948</v>
      </c>
      <c r="Q15" s="63">
        <f>'SER_se-appl'!Q62</f>
        <v>25.124141615599278</v>
      </c>
      <c r="R15" s="63">
        <f>'SER_se-appl'!R62</f>
        <v>22.47575839587056</v>
      </c>
      <c r="S15" s="63">
        <f>'SER_se-appl'!S62</f>
        <v>21.30630289673509</v>
      </c>
      <c r="T15" s="63">
        <f>'SER_se-appl'!T62</f>
        <v>19.447167604109016</v>
      </c>
      <c r="U15" s="63">
        <f>'SER_se-appl'!U62</f>
        <v>17.981740275494293</v>
      </c>
      <c r="V15" s="63">
        <f>'SER_se-appl'!V62</f>
        <v>16.703447452168504</v>
      </c>
      <c r="W15" s="63">
        <f>'SER_se-appl'!W62</f>
        <v>14.96434390633944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13.684527277527</v>
      </c>
      <c r="C3" s="199">
        <f>'SER_se-appl'!C7</f>
        <v>13.833465119608297</v>
      </c>
      <c r="D3" s="199">
        <f>'SER_se-appl'!D7</f>
        <v>14.148169735678305</v>
      </c>
      <c r="E3" s="199">
        <f>'SER_se-appl'!E7</f>
        <v>14.703100724549577</v>
      </c>
      <c r="F3" s="199">
        <f>'SER_se-appl'!F7</f>
        <v>15.374597153397978</v>
      </c>
      <c r="G3" s="199">
        <f>'SER_se-appl'!G7</f>
        <v>16.395429932194173</v>
      </c>
      <c r="H3" s="199">
        <f>'SER_se-appl'!H7</f>
        <v>17.7255884725407</v>
      </c>
      <c r="I3" s="199">
        <f>'SER_se-appl'!I7</f>
        <v>18.713914903868314</v>
      </c>
      <c r="J3" s="199">
        <f>'SER_se-appl'!J7</f>
        <v>19.358242028731038</v>
      </c>
      <c r="K3" s="199">
        <f>'SER_se-appl'!K7</f>
        <v>19.614666832277656</v>
      </c>
      <c r="L3" s="199">
        <f>'SER_se-appl'!L7</f>
        <v>19.487195250885229</v>
      </c>
      <c r="M3" s="199">
        <f>'SER_se-appl'!M7</f>
        <v>19.094602588383793</v>
      </c>
      <c r="N3" s="199">
        <f>'SER_se-appl'!N7</f>
        <v>18.881024570866352</v>
      </c>
      <c r="O3" s="199">
        <f>'SER_se-appl'!O7</f>
        <v>18.796443680700293</v>
      </c>
      <c r="P3" s="199">
        <f>'SER_se-appl'!P7</f>
        <v>18.748165433682406</v>
      </c>
      <c r="Q3" s="199">
        <f>'SER_se-appl'!Q7</f>
        <v>18.903658337564121</v>
      </c>
      <c r="R3" s="199">
        <f>'SER_se-appl'!R7</f>
        <v>18.636427185263695</v>
      </c>
      <c r="S3" s="199">
        <f>'SER_se-appl'!S7</f>
        <v>18.446180707807848</v>
      </c>
      <c r="T3" s="199">
        <f>'SER_se-appl'!T7</f>
        <v>18.355183843775777</v>
      </c>
      <c r="U3" s="199">
        <f>'SER_se-appl'!U7</f>
        <v>18.341837594302362</v>
      </c>
      <c r="V3" s="199">
        <f>'SER_se-appl'!V7</f>
        <v>18.394694998277988</v>
      </c>
      <c r="W3" s="199">
        <f>'SER_se-appl'!W7</f>
        <v>18.484232460181456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18.167928337630023</v>
      </c>
      <c r="C5" s="59">
        <f>'SER_se-appl'!C15</f>
        <v>18.365662025233391</v>
      </c>
      <c r="D5" s="59">
        <f>'SER_se-appl'!D15</f>
        <v>18.783471920769259</v>
      </c>
      <c r="E5" s="59">
        <f>'SER_se-appl'!E15</f>
        <v>19.520212491610916</v>
      </c>
      <c r="F5" s="59">
        <f>'SER_se-appl'!F15</f>
        <v>20.411708321234993</v>
      </c>
      <c r="G5" s="59">
        <f>'SER_se-appl'!G15</f>
        <v>21.766992021851401</v>
      </c>
      <c r="H5" s="59">
        <f>'SER_se-appl'!H15</f>
        <v>23.532944513201858</v>
      </c>
      <c r="I5" s="59">
        <f>'SER_se-appl'!I15</f>
        <v>24.845071955706455</v>
      </c>
      <c r="J5" s="59">
        <f>'SER_se-appl'!J15</f>
        <v>25.700497122618948</v>
      </c>
      <c r="K5" s="59">
        <f>'SER_se-appl'!K15</f>
        <v>26.040933248788726</v>
      </c>
      <c r="L5" s="59">
        <f>'SER_se-appl'!L15</f>
        <v>25.871698717784842</v>
      </c>
      <c r="M5" s="59">
        <f>'SER_se-appl'!M15</f>
        <v>25.35048266014881</v>
      </c>
      <c r="N5" s="59">
        <f>'SER_se-appl'!N15</f>
        <v>25.066931022736938</v>
      </c>
      <c r="O5" s="59">
        <f>'SER_se-appl'!O15</f>
        <v>24.954639270153468</v>
      </c>
      <c r="P5" s="59">
        <f>'SER_se-appl'!P15</f>
        <v>24.890543834900278</v>
      </c>
      <c r="Q5" s="59">
        <f>'SER_se-appl'!Q15</f>
        <v>25.096980190167891</v>
      </c>
      <c r="R5" s="59">
        <f>'SER_se-appl'!R15</f>
        <v>24.742197279065838</v>
      </c>
      <c r="S5" s="59">
        <f>'SER_se-appl'!S15</f>
        <v>24.489621190845348</v>
      </c>
      <c r="T5" s="59">
        <f>'SER_se-appl'!T15</f>
        <v>24.368811427295924</v>
      </c>
      <c r="U5" s="59">
        <f>'SER_se-appl'!U15</f>
        <v>24.351092605221059</v>
      </c>
      <c r="V5" s="59">
        <f>'SER_se-appl'!V15</f>
        <v>24.421267446343951</v>
      </c>
      <c r="W5" s="59">
        <f>'SER_se-appl'!W15</f>
        <v>24.540139670309397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1.0172958556896879E-2</v>
      </c>
      <c r="C6" s="202">
        <f>'SER_se-appl'!C71</f>
        <v>1.0528521584876053E-2</v>
      </c>
      <c r="D6" s="202">
        <f>'SER_se-appl'!D71</f>
        <v>1.1101649674849405E-2</v>
      </c>
      <c r="E6" s="202">
        <f>'SER_se-appl'!E71</f>
        <v>1.1877336660936516E-2</v>
      </c>
      <c r="F6" s="202">
        <f>'SER_se-appl'!F71</f>
        <v>1.2807416583218276E-2</v>
      </c>
      <c r="G6" s="202">
        <f>'SER_se-appl'!G71</f>
        <v>1.4139777149144028E-2</v>
      </c>
      <c r="H6" s="202">
        <f>'SER_se-appl'!H71</f>
        <v>1.5818883951321628E-2</v>
      </c>
      <c r="I6" s="202">
        <f>'SER_se-appl'!I71</f>
        <v>1.7227613336351543E-2</v>
      </c>
      <c r="J6" s="202">
        <f>'SER_se-appl'!J71</f>
        <v>1.837038518403911E-2</v>
      </c>
      <c r="K6" s="202">
        <f>'SER_se-appl'!K71</f>
        <v>1.9300614614908888E-2</v>
      </c>
      <c r="L6" s="202">
        <f>'SER_se-appl'!L71</f>
        <v>2.002353802145785E-2</v>
      </c>
      <c r="M6" s="202">
        <f>'SER_se-appl'!M71</f>
        <v>2.0364815542873376E-2</v>
      </c>
      <c r="N6" s="202">
        <f>'SER_se-appl'!N71</f>
        <v>2.0808297186932175E-2</v>
      </c>
      <c r="O6" s="202">
        <f>'SER_se-appl'!O71</f>
        <v>2.1442013920936389E-2</v>
      </c>
      <c r="P6" s="202">
        <f>'SER_se-appl'!P71</f>
        <v>2.2247861533820891E-2</v>
      </c>
      <c r="Q6" s="202">
        <f>'SER_se-appl'!Q71</f>
        <v>2.3446930456352412E-2</v>
      </c>
      <c r="R6" s="202">
        <f>'SER_se-appl'!R71</f>
        <v>2.4196173825435974E-2</v>
      </c>
      <c r="S6" s="202">
        <f>'SER_se-appl'!S71</f>
        <v>2.4986253195706267E-2</v>
      </c>
      <c r="T6" s="202">
        <f>'SER_se-appl'!T71</f>
        <v>2.5762633165376591E-2</v>
      </c>
      <c r="U6" s="202">
        <f>'SER_se-appl'!U71</f>
        <v>2.6501381779185665E-2</v>
      </c>
      <c r="V6" s="202">
        <f>'SER_se-appl'!V71</f>
        <v>2.7180621090150146E-2</v>
      </c>
      <c r="W6" s="202">
        <f>'SER_se-appl'!W71</f>
        <v>2.7840206510941601E-2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24.22908798933965</v>
      </c>
      <c r="C8" s="34">
        <f>'SER_se-appl'!C23</f>
        <v>24.777654241501942</v>
      </c>
      <c r="D8" s="34">
        <f>'SER_se-appl'!D23</f>
        <v>25.766440422739777</v>
      </c>
      <c r="E8" s="34">
        <f>'SER_se-appl'!E23</f>
        <v>27.310629144790816</v>
      </c>
      <c r="F8" s="34">
        <f>'SER_se-appl'!F23</f>
        <v>29.15634000002807</v>
      </c>
      <c r="G8" s="34">
        <f>'SER_se-appl'!G23</f>
        <v>31.810596007080896</v>
      </c>
      <c r="H8" s="34">
        <f>'SER_se-appl'!H23</f>
        <v>35.242480264166723</v>
      </c>
      <c r="I8" s="34">
        <f>'SER_se-appl'!I23</f>
        <v>38.053041441866739</v>
      </c>
      <c r="J8" s="34">
        <f>'SER_se-appl'!J23</f>
        <v>40.264393950228758</v>
      </c>
      <c r="K8" s="34">
        <f>'SER_se-appl'!K23</f>
        <v>41.744025510021849</v>
      </c>
      <c r="L8" s="34">
        <f>'SER_se-appl'!L23</f>
        <v>42.459992468653461</v>
      </c>
      <c r="M8" s="34">
        <f>'SER_se-appl'!M23</f>
        <v>42.248948149322821</v>
      </c>
      <c r="N8" s="34">
        <f>'SER_se-appl'!N23</f>
        <v>42.549076595702338</v>
      </c>
      <c r="O8" s="34">
        <f>'SER_se-appl'!O23</f>
        <v>43.394883823539089</v>
      </c>
      <c r="P8" s="34">
        <f>'SER_se-appl'!P23</f>
        <v>44.528382928373432</v>
      </c>
      <c r="Q8" s="34">
        <f>'SER_se-appl'!Q23</f>
        <v>46.567854791639704</v>
      </c>
      <c r="R8" s="34">
        <f>'SER_se-appl'!R23</f>
        <v>47.641225826808942</v>
      </c>
      <c r="S8" s="34">
        <f>'SER_se-appl'!S23</f>
        <v>48.726092136997927</v>
      </c>
      <c r="T8" s="34">
        <f>'SER_se-appl'!T23</f>
        <v>49.834696579808003</v>
      </c>
      <c r="U8" s="34">
        <f>'SER_se-appl'!U23</f>
        <v>50.881804971819541</v>
      </c>
      <c r="V8" s="34">
        <f>'SER_se-appl'!V23</f>
        <v>51.851791338152182</v>
      </c>
      <c r="W8" s="34">
        <f>'SER_se-appl'!W23</f>
        <v>52.707719291264389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2.750580936489591</v>
      </c>
      <c r="D9" s="36">
        <f>'SER_se-appl'!D31</f>
        <v>3.2371845106751564</v>
      </c>
      <c r="E9" s="36">
        <f>'SER_se-appl'!E31</f>
        <v>3.8399477302889444</v>
      </c>
      <c r="F9" s="36">
        <f>'SER_se-appl'!F31</f>
        <v>4.1898281563848983</v>
      </c>
      <c r="G9" s="36">
        <f>'SER_se-appl'!G31</f>
        <v>5.0477502291477165</v>
      </c>
      <c r="H9" s="36">
        <f>'SER_se-appl'!H31</f>
        <v>5.8757954847350895</v>
      </c>
      <c r="I9" s="36">
        <f>'SER_se-appl'!I31</f>
        <v>5.3059514040455653</v>
      </c>
      <c r="J9" s="36">
        <f>'SER_se-appl'!J31</f>
        <v>4.7593060965659788</v>
      </c>
      <c r="K9" s="36">
        <f>'SER_se-appl'!K31</f>
        <v>4.0812557142440582</v>
      </c>
      <c r="L9" s="36">
        <f>'SER_se-appl'!L31</f>
        <v>3.3723922060764622</v>
      </c>
      <c r="M9" s="36">
        <f>'SER_se-appl'!M31</f>
        <v>2.5395366171589515</v>
      </c>
      <c r="N9" s="36">
        <f>'SER_se-appl'!N31</f>
        <v>3.5373129570546737</v>
      </c>
      <c r="O9" s="36">
        <f>'SER_se-appl'!O31</f>
        <v>4.685754958125699</v>
      </c>
      <c r="P9" s="36">
        <f>'SER_se-appl'!P31</f>
        <v>5.3233272612192408</v>
      </c>
      <c r="Q9" s="36">
        <f>'SER_se-appl'!Q31</f>
        <v>7.0872220924139882</v>
      </c>
      <c r="R9" s="36">
        <f>'SER_se-appl'!R31</f>
        <v>6.9491665199043311</v>
      </c>
      <c r="S9" s="36">
        <f>'SER_se-appl'!S31</f>
        <v>6.3908177142345508</v>
      </c>
      <c r="T9" s="36">
        <f>'SER_se-appl'!T31</f>
        <v>5.8679105393760551</v>
      </c>
      <c r="U9" s="36">
        <f>'SER_se-appl'!U31</f>
        <v>5.1283641062555958</v>
      </c>
      <c r="V9" s="36">
        <f>'SER_se-appl'!V31</f>
        <v>4.3423785724091033</v>
      </c>
      <c r="W9" s="36">
        <f>'SER_se-appl'!W31</f>
        <v>3.3954645702711588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2.202014684327299</v>
      </c>
      <c r="D10" s="38">
        <f>'SER_se-appl'!D39</f>
        <v>2.2483983294373218</v>
      </c>
      <c r="E10" s="38">
        <f>'SER_se-appl'!E39</f>
        <v>2.2957590082379049</v>
      </c>
      <c r="F10" s="38">
        <f>'SER_se-appl'!F39</f>
        <v>2.3441173011476444</v>
      </c>
      <c r="G10" s="38">
        <f>'SER_se-appl'!G39</f>
        <v>2.393494222094894</v>
      </c>
      <c r="H10" s="38">
        <f>'SER_se-appl'!H39</f>
        <v>2.4439112276492594</v>
      </c>
      <c r="I10" s="38">
        <f>'SER_se-appl'!I39</f>
        <v>2.495390226345549</v>
      </c>
      <c r="J10" s="38">
        <f>'SER_se-appl'!J39</f>
        <v>2.5479535882039599</v>
      </c>
      <c r="K10" s="38">
        <f>'SER_se-appl'!K39</f>
        <v>2.6016241544509668</v>
      </c>
      <c r="L10" s="38">
        <f>'SER_se-appl'!L39</f>
        <v>2.6564252474448509</v>
      </c>
      <c r="M10" s="38">
        <f>'SER_se-appl'!M39</f>
        <v>2.750580936489591</v>
      </c>
      <c r="N10" s="38">
        <f>'SER_se-appl'!N39</f>
        <v>3.2371845106751564</v>
      </c>
      <c r="O10" s="38">
        <f>'SER_se-appl'!O39</f>
        <v>3.839947730288948</v>
      </c>
      <c r="P10" s="38">
        <f>'SER_se-appl'!P39</f>
        <v>4.1898281563848983</v>
      </c>
      <c r="Q10" s="38">
        <f>'SER_se-appl'!Q39</f>
        <v>5.0477502291477165</v>
      </c>
      <c r="R10" s="38">
        <f>'SER_se-appl'!R39</f>
        <v>5.8757954847350931</v>
      </c>
      <c r="S10" s="38">
        <f>'SER_se-appl'!S39</f>
        <v>5.3059514040455653</v>
      </c>
      <c r="T10" s="38">
        <f>'SER_se-appl'!T39</f>
        <v>4.7593060965659788</v>
      </c>
      <c r="U10" s="38">
        <f>'SER_se-appl'!U39</f>
        <v>4.0812557142440582</v>
      </c>
      <c r="V10" s="38">
        <f>'SER_se-appl'!V39</f>
        <v>3.3723922060764622</v>
      </c>
      <c r="W10" s="38">
        <f>'SER_se-appl'!W39</f>
        <v>2.5395366171589515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</v>
      </c>
      <c r="D12" s="205">
        <f>'SER_se-appl'!D47</f>
        <v>8759.9999999999982</v>
      </c>
      <c r="E12" s="205">
        <f>'SER_se-appl'!E47</f>
        <v>8759.9999999999982</v>
      </c>
      <c r="F12" s="205">
        <f>'SER_se-appl'!F47</f>
        <v>8759.9999999999982</v>
      </c>
      <c r="G12" s="205">
        <f>'SER_se-appl'!G47</f>
        <v>8759.9999999999982</v>
      </c>
      <c r="H12" s="205">
        <f>'SER_se-appl'!H47</f>
        <v>8760.0000000000018</v>
      </c>
      <c r="I12" s="205">
        <f>'SER_se-appl'!I47</f>
        <v>8759.9999999999982</v>
      </c>
      <c r="J12" s="205">
        <f>'SER_se-appl'!J47</f>
        <v>8759.9999999999982</v>
      </c>
      <c r="K12" s="205">
        <f>'SER_se-appl'!K47</f>
        <v>8759.9999999999964</v>
      </c>
      <c r="L12" s="205">
        <f>'SER_se-appl'!L47</f>
        <v>8760</v>
      </c>
      <c r="M12" s="205">
        <f>'SER_se-appl'!M47</f>
        <v>8759.9999999999982</v>
      </c>
      <c r="N12" s="205">
        <f>'SER_se-appl'!N47</f>
        <v>8760.0000000000036</v>
      </c>
      <c r="O12" s="205">
        <f>'SER_se-appl'!O47</f>
        <v>8760.0000000000018</v>
      </c>
      <c r="P12" s="205">
        <f>'SER_se-appl'!P47</f>
        <v>8759.9999999999982</v>
      </c>
      <c r="Q12" s="205">
        <f>'SER_se-appl'!Q47</f>
        <v>8760</v>
      </c>
      <c r="R12" s="205">
        <f>'SER_se-appl'!R47</f>
        <v>8760.0000000000018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749.83954598801142</v>
      </c>
      <c r="C14" s="59">
        <f>'SER_se-appl'!C55</f>
        <v>741.21875485982741</v>
      </c>
      <c r="D14" s="59">
        <f>'SER_se-appl'!D55</f>
        <v>728.98978720367575</v>
      </c>
      <c r="E14" s="59">
        <f>'SER_se-appl'!E55</f>
        <v>714.74781441767595</v>
      </c>
      <c r="F14" s="59">
        <f>'SER_se-appl'!F55</f>
        <v>700.07786715394809</v>
      </c>
      <c r="G14" s="59">
        <f>'SER_se-appl'!G55</f>
        <v>684.26860084627674</v>
      </c>
      <c r="H14" s="59">
        <f>'SER_se-appl'!H55</f>
        <v>667.74370977315425</v>
      </c>
      <c r="I14" s="59">
        <f>'SER_se-appl'!I55</f>
        <v>652.9063384765717</v>
      </c>
      <c r="J14" s="59">
        <f>'SER_se-appl'!J55</f>
        <v>638.29340519535958</v>
      </c>
      <c r="K14" s="59">
        <f>'SER_se-appl'!K55</f>
        <v>623.82419832837763</v>
      </c>
      <c r="L14" s="59">
        <f>'SER_se-appl'!L55</f>
        <v>609.31943727698251</v>
      </c>
      <c r="M14" s="59">
        <f>'SER_se-appl'!M55</f>
        <v>600.02636208956449</v>
      </c>
      <c r="N14" s="59">
        <f>'SER_se-appl'!N55</f>
        <v>589.12984789119537</v>
      </c>
      <c r="O14" s="59">
        <f>'SER_se-appl'!O55</f>
        <v>575.05947870788145</v>
      </c>
      <c r="P14" s="59">
        <f>'SER_se-appl'!P55</f>
        <v>558.98153487716377</v>
      </c>
      <c r="Q14" s="59">
        <f>'SER_se-appl'!Q55</f>
        <v>538.93356914249648</v>
      </c>
      <c r="R14" s="59">
        <f>'SER_se-appl'!R55</f>
        <v>519.34426223648438</v>
      </c>
      <c r="S14" s="59">
        <f>'SER_se-appl'!S55</f>
        <v>502.5976867176318</v>
      </c>
      <c r="T14" s="59">
        <f>'SER_se-appl'!T55</f>
        <v>488.99287243116612</v>
      </c>
      <c r="U14" s="59">
        <f>'SER_se-appl'!U55</f>
        <v>478.58154046830111</v>
      </c>
      <c r="V14" s="59">
        <f>'SER_se-appl'!V55</f>
        <v>470.98213612487007</v>
      </c>
      <c r="W14" s="59">
        <f>'SER_se-appl'!W55</f>
        <v>465.58910156403982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672.18213950029008</v>
      </c>
      <c r="D15" s="63">
        <f>'SER_se-appl'!D63</f>
        <v>649.86962316911263</v>
      </c>
      <c r="E15" s="63">
        <f>'SER_se-appl'!E63</f>
        <v>640.16274072868396</v>
      </c>
      <c r="F15" s="63">
        <f>'SER_se-appl'!F63</f>
        <v>632.29506881377245</v>
      </c>
      <c r="G15" s="63">
        <f>'SER_se-appl'!G63</f>
        <v>624.0444115573506</v>
      </c>
      <c r="H15" s="63">
        <f>'SER_se-appl'!H63</f>
        <v>612.42665543322994</v>
      </c>
      <c r="I15" s="63">
        <f>'SER_se-appl'!I63</f>
        <v>599.94324758861342</v>
      </c>
      <c r="J15" s="63">
        <f>'SER_se-appl'!J63</f>
        <v>581.17327874448779</v>
      </c>
      <c r="K15" s="63">
        <f>'SER_se-appl'!K63</f>
        <v>561.40486198354233</v>
      </c>
      <c r="L15" s="63">
        <f>'SER_se-appl'!L63</f>
        <v>540.46447124600149</v>
      </c>
      <c r="M15" s="63">
        <f>'SER_se-appl'!M63</f>
        <v>522.802196334369</v>
      </c>
      <c r="N15" s="63">
        <f>'SER_se-appl'!N63</f>
        <v>514.57031446407723</v>
      </c>
      <c r="O15" s="63">
        <f>'SER_se-appl'!O63</f>
        <v>500.64498285918722</v>
      </c>
      <c r="P15" s="63">
        <f>'SER_se-appl'!P63</f>
        <v>485.61963605709241</v>
      </c>
      <c r="Q15" s="63">
        <f>'SER_se-appl'!Q63</f>
        <v>473.59270429767622</v>
      </c>
      <c r="R15" s="63">
        <f>'SER_se-appl'!R63</f>
        <v>466.77696617760529</v>
      </c>
      <c r="S15" s="63">
        <f>'SER_se-appl'!S63</f>
        <v>458.57881725249456</v>
      </c>
      <c r="T15" s="63">
        <f>'SER_se-appl'!T63</f>
        <v>450.78597354037436</v>
      </c>
      <c r="U15" s="63">
        <f>'SER_se-appl'!U63</f>
        <v>443.32226257621153</v>
      </c>
      <c r="V15" s="63">
        <f>'SER_se-appl'!V63</f>
        <v>435.89774130725294</v>
      </c>
      <c r="W15" s="63">
        <f>'SER_se-appl'!W63</f>
        <v>426.02345427276401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3.1400491203761769</v>
      </c>
      <c r="C3" s="199">
        <f>'SER_se-appl'!C8</f>
        <v>3.4288733763409804</v>
      </c>
      <c r="D3" s="199">
        <f>'SER_se-appl'!D8</f>
        <v>3.9100154076847793</v>
      </c>
      <c r="E3" s="199">
        <f>'SER_se-appl'!E8</f>
        <v>4.6197734171703306</v>
      </c>
      <c r="F3" s="199">
        <f>'SER_se-appl'!F8</f>
        <v>5.6041149376097632</v>
      </c>
      <c r="G3" s="199">
        <f>'SER_se-appl'!G8</f>
        <v>6.7855057468109647</v>
      </c>
      <c r="H3" s="199">
        <f>'SER_se-appl'!H8</f>
        <v>7.8915577291800121</v>
      </c>
      <c r="I3" s="199">
        <f>'SER_se-appl'!I8</f>
        <v>8.9827754369612141</v>
      </c>
      <c r="J3" s="199">
        <f>'SER_se-appl'!J8</f>
        <v>9.8496982942739653</v>
      </c>
      <c r="K3" s="199">
        <f>'SER_se-appl'!K8</f>
        <v>10.245940655890434</v>
      </c>
      <c r="L3" s="199">
        <f>'SER_se-appl'!L8</f>
        <v>10.478504310936417</v>
      </c>
      <c r="M3" s="199">
        <f>'SER_se-appl'!M8</f>
        <v>10.850309033292513</v>
      </c>
      <c r="N3" s="199">
        <f>'SER_se-appl'!N8</f>
        <v>10.950485371432709</v>
      </c>
      <c r="O3" s="199">
        <f>'SER_se-appl'!O8</f>
        <v>11.120021616661049</v>
      </c>
      <c r="P3" s="199">
        <f>'SER_se-appl'!P8</f>
        <v>11.232010348986694</v>
      </c>
      <c r="Q3" s="199">
        <f>'SER_se-appl'!Q8</f>
        <v>11.362191311835621</v>
      </c>
      <c r="R3" s="199">
        <f>'SER_se-appl'!R8</f>
        <v>11.736395629592526</v>
      </c>
      <c r="S3" s="199">
        <f>'SER_se-appl'!S8</f>
        <v>12.324576469304894</v>
      </c>
      <c r="T3" s="199">
        <f>'SER_se-appl'!T8</f>
        <v>12.44753928992071</v>
      </c>
      <c r="U3" s="199">
        <f>'SER_se-appl'!U8</f>
        <v>12.48052012585064</v>
      </c>
      <c r="V3" s="199">
        <f>'SER_se-appl'!V8</f>
        <v>11.456241906109707</v>
      </c>
      <c r="W3" s="199">
        <f>'SER_se-appl'!W8</f>
        <v>11.817392761036777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40.551835277846941</v>
      </c>
      <c r="C5" s="59">
        <f>'SER_se-appl'!C16</f>
        <v>44.071302446576169</v>
      </c>
      <c r="D5" s="59">
        <f>'SER_se-appl'!D16</f>
        <v>50.037255234626876</v>
      </c>
      <c r="E5" s="59">
        <f>'SER_se-appl'!E16</f>
        <v>58.884037438643333</v>
      </c>
      <c r="F5" s="59">
        <f>'SER_se-appl'!F16</f>
        <v>71.166351988991536</v>
      </c>
      <c r="G5" s="59">
        <f>'SER_se-appl'!G16</f>
        <v>85.872030446617742</v>
      </c>
      <c r="H5" s="59">
        <f>'SER_se-appl'!H16</f>
        <v>99.54760387562068</v>
      </c>
      <c r="I5" s="59">
        <f>'SER_se-appl'!I16</f>
        <v>112.96975032618602</v>
      </c>
      <c r="J5" s="59">
        <f>'SER_se-appl'!J16</f>
        <v>123.51888846139316</v>
      </c>
      <c r="K5" s="59">
        <f>'SER_se-appl'!K16</f>
        <v>128.14103524533135</v>
      </c>
      <c r="L5" s="59">
        <f>'SER_se-appl'!L16</f>
        <v>130.71392899172082</v>
      </c>
      <c r="M5" s="59">
        <f>'SER_se-appl'!M16</f>
        <v>135.13205155412015</v>
      </c>
      <c r="N5" s="59">
        <f>'SER_se-appl'!N16</f>
        <v>136.16835333532131</v>
      </c>
      <c r="O5" s="59">
        <f>'SER_se-appl'!O16</f>
        <v>138.07178599258663</v>
      </c>
      <c r="P5" s="59">
        <f>'SER_se-appl'!P16</f>
        <v>139.26458602319559</v>
      </c>
      <c r="Q5" s="59">
        <f>'SER_se-appl'!Q16</f>
        <v>140.68711897953077</v>
      </c>
      <c r="R5" s="59">
        <f>'SER_se-appl'!R16</f>
        <v>144.30188316022603</v>
      </c>
      <c r="S5" s="59">
        <f>'SER_se-appl'!S16</f>
        <v>147.89002039996345</v>
      </c>
      <c r="T5" s="59">
        <f>'SER_se-appl'!T16</f>
        <v>150.05492119297358</v>
      </c>
      <c r="U5" s="59">
        <f>'SER_se-appl'!U16</f>
        <v>150.96533016584303</v>
      </c>
      <c r="V5" s="59">
        <f>'SER_se-appl'!V16</f>
        <v>150.76865516860968</v>
      </c>
      <c r="W5" s="59">
        <f>'SER_se-appl'!W16</f>
        <v>150.45648525772512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57.077440739394532</v>
      </c>
      <c r="C6" s="202">
        <f>'SER_se-appl'!C72</f>
        <v>59.93608826929254</v>
      </c>
      <c r="D6" s="202">
        <f>'SER_se-appl'!D72</f>
        <v>65.627358588448885</v>
      </c>
      <c r="E6" s="202">
        <f>'SER_se-appl'!E72</f>
        <v>74.595272235721524</v>
      </c>
      <c r="F6" s="202">
        <f>'SER_se-appl'!F72</f>
        <v>86.690564923785857</v>
      </c>
      <c r="G6" s="202">
        <f>'SER_se-appl'!G72</f>
        <v>101.95276741219381</v>
      </c>
      <c r="H6" s="202">
        <f>'SER_se-appl'!H72</f>
        <v>112.94461662177314</v>
      </c>
      <c r="I6" s="202">
        <f>'SER_se-appl'!I72</f>
        <v>122.40087433421949</v>
      </c>
      <c r="J6" s="202">
        <f>'SER_se-appl'!J72</f>
        <v>131.14571743602974</v>
      </c>
      <c r="K6" s="202">
        <f>'SER_se-appl'!K72</f>
        <v>136.77544163869374</v>
      </c>
      <c r="L6" s="202">
        <f>'SER_se-appl'!L72</f>
        <v>141.20106587037</v>
      </c>
      <c r="M6" s="202">
        <f>'SER_se-appl'!M72</f>
        <v>145.14842213876901</v>
      </c>
      <c r="N6" s="202">
        <f>'SER_se-appl'!N72</f>
        <v>148.25143222470672</v>
      </c>
      <c r="O6" s="202">
        <f>'SER_se-appl'!O72</f>
        <v>150.70008794063966</v>
      </c>
      <c r="P6" s="202">
        <f>'SER_se-appl'!P72</f>
        <v>152.51245063128269</v>
      </c>
      <c r="Q6" s="202">
        <f>'SER_se-appl'!Q72</f>
        <v>154.79576975874335</v>
      </c>
      <c r="R6" s="202">
        <f>'SER_se-appl'!R72</f>
        <v>161.13547714880616</v>
      </c>
      <c r="S6" s="202">
        <f>'SER_se-appl'!S72</f>
        <v>167.5032261999238</v>
      </c>
      <c r="T6" s="202">
        <f>'SER_se-appl'!T72</f>
        <v>173.75071223782376</v>
      </c>
      <c r="U6" s="202">
        <f>'SER_se-appl'!U72</f>
        <v>179.78798642485879</v>
      </c>
      <c r="V6" s="202">
        <f>'SER_se-appl'!V72</f>
        <v>185.44762174098375</v>
      </c>
      <c r="W6" s="202">
        <f>'SER_se-appl'!W72</f>
        <v>190.44617821629689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0.72916006113281329</v>
      </c>
      <c r="C8" s="34">
        <f>'SER_se-appl'!C24</f>
        <v>0.79795667205748622</v>
      </c>
      <c r="D8" s="34">
        <f>'SER_se-appl'!D24</f>
        <v>0.91492765476249804</v>
      </c>
      <c r="E8" s="34">
        <f>'SER_se-appl'!E24</f>
        <v>1.0900445119617073</v>
      </c>
      <c r="F8" s="34">
        <f>'SER_se-appl'!F24</f>
        <v>1.3363811397811858</v>
      </c>
      <c r="G8" s="34">
        <f>'SER_se-appl'!G24</f>
        <v>1.6362705502648505</v>
      </c>
      <c r="H8" s="34">
        <f>'SER_se-appl'!H24</f>
        <v>1.9209925357356337</v>
      </c>
      <c r="I8" s="34">
        <f>'SER_se-appl'!I24</f>
        <v>2.2060704729004739</v>
      </c>
      <c r="J8" s="34">
        <f>'SER_se-appl'!J24</f>
        <v>2.4366052419414084</v>
      </c>
      <c r="K8" s="34">
        <f>'SER_se-appl'!K24</f>
        <v>2.5459140159231435</v>
      </c>
      <c r="L8" s="34">
        <f>'SER_se-appl'!L24</f>
        <v>2.6154985720910049</v>
      </c>
      <c r="M8" s="34">
        <f>'SER_se-appl'!M24</f>
        <v>2.7322939092668586</v>
      </c>
      <c r="N8" s="34">
        <f>'SER_se-appl'!N24</f>
        <v>2.7782721420725833</v>
      </c>
      <c r="O8" s="34">
        <f>'SER_se-appl'!O24</f>
        <v>2.8528558641456643</v>
      </c>
      <c r="P8" s="34">
        <f>'SER_se-appl'!P24</f>
        <v>2.9192834023907346</v>
      </c>
      <c r="Q8" s="34">
        <f>'SER_se-appl'!Q24</f>
        <v>3.0037575031288504</v>
      </c>
      <c r="R8" s="34">
        <f>'SER_se-appl'!R24</f>
        <v>3.1404024044043841</v>
      </c>
      <c r="S8" s="34">
        <f>'SER_se-appl'!S24</f>
        <v>3.3005344875116442</v>
      </c>
      <c r="T8" s="34">
        <f>'SER_se-appl'!T24</f>
        <v>3.4491806506777958</v>
      </c>
      <c r="U8" s="34">
        <f>'SER_se-appl'!U24</f>
        <v>3.5952532318559607</v>
      </c>
      <c r="V8" s="34">
        <f>'SER_se-appl'!V24</f>
        <v>3.7336198532520082</v>
      </c>
      <c r="W8" s="34">
        <f>'SER_se-appl'!W24</f>
        <v>3.8595511833969516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8.9564879221923799E-2</v>
      </c>
      <c r="D9" s="36">
        <f>'SER_se-appl'!D32</f>
        <v>0.14007633488972016</v>
      </c>
      <c r="E9" s="36">
        <f>'SER_se-appl'!E32</f>
        <v>0.20082228877099195</v>
      </c>
      <c r="F9" s="36">
        <f>'SER_se-appl'!F32</f>
        <v>0.2749347295497313</v>
      </c>
      <c r="G9" s="36">
        <f>'SER_se-appl'!G32</f>
        <v>0.33170569881518031</v>
      </c>
      <c r="H9" s="36">
        <f>'SER_se-appl'!H32</f>
        <v>0.32011860769215561</v>
      </c>
      <c r="I9" s="36">
        <f>'SER_se-appl'!I32</f>
        <v>0.32445779353361326</v>
      </c>
      <c r="J9" s="36">
        <f>'SER_se-appl'!J32</f>
        <v>0.27434609877535321</v>
      </c>
      <c r="K9" s="36">
        <f>'SER_se-appl'!K32</f>
        <v>0.15805025732091815</v>
      </c>
      <c r="L9" s="36">
        <f>'SER_se-appl'!L32</f>
        <v>0.12381099057433476</v>
      </c>
      <c r="M9" s="36">
        <f>'SER_se-appl'!M32</f>
        <v>0.17712395228953692</v>
      </c>
      <c r="N9" s="36">
        <f>'SER_se-appl'!N32</f>
        <v>0.11309571602900759</v>
      </c>
      <c r="O9" s="36">
        <f>'SER_se-appl'!O32</f>
        <v>0.14925403475536081</v>
      </c>
      <c r="P9" s="36">
        <f>'SER_se-appl'!P32</f>
        <v>0.14950061143407334</v>
      </c>
      <c r="Q9" s="36">
        <f>'SER_se-appl'!Q32</f>
        <v>0.1768955094769491</v>
      </c>
      <c r="R9" s="36">
        <f>'SER_se-appl'!R32</f>
        <v>0.22620978049745766</v>
      </c>
      <c r="S9" s="36">
        <f>'SER_se-appl'!S32</f>
        <v>0.30020841799698017</v>
      </c>
      <c r="T9" s="36">
        <f>'SER_se-appl'!T32</f>
        <v>0.3494684519371436</v>
      </c>
      <c r="U9" s="36">
        <f>'SER_se-appl'!U32</f>
        <v>0.42100731072789621</v>
      </c>
      <c r="V9" s="36">
        <f>'SER_se-appl'!V32</f>
        <v>0.4700723202112278</v>
      </c>
      <c r="W9" s="36">
        <f>'SER_se-appl'!W32</f>
        <v>0.44604993783709901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2.0768268297250869E-2</v>
      </c>
      <c r="D10" s="38">
        <f>'SER_se-appl'!D40</f>
        <v>2.3105352184708328E-2</v>
      </c>
      <c r="E10" s="38">
        <f>'SER_se-appl'!E40</f>
        <v>2.5705431571782844E-2</v>
      </c>
      <c r="F10" s="38">
        <f>'SER_se-appl'!F40</f>
        <v>2.859810173025279E-2</v>
      </c>
      <c r="G10" s="38">
        <f>'SER_se-appl'!G40</f>
        <v>3.1816288331515619E-2</v>
      </c>
      <c r="H10" s="38">
        <f>'SER_se-appl'!H40</f>
        <v>3.5396622221372409E-2</v>
      </c>
      <c r="I10" s="38">
        <f>'SER_se-appl'!I40</f>
        <v>3.9379856368773059E-2</v>
      </c>
      <c r="J10" s="38">
        <f>'SER_se-appl'!J40</f>
        <v>4.3811329734418702E-2</v>
      </c>
      <c r="K10" s="38">
        <f>'SER_se-appl'!K40</f>
        <v>4.8741483339183045E-2</v>
      </c>
      <c r="L10" s="38">
        <f>'SER_se-appl'!L40</f>
        <v>5.4226434406473345E-2</v>
      </c>
      <c r="M10" s="38">
        <f>'SER_se-appl'!M40</f>
        <v>6.0328615113683259E-2</v>
      </c>
      <c r="N10" s="38">
        <f>'SER_se-appl'!N40</f>
        <v>6.7117483223282814E-2</v>
      </c>
      <c r="O10" s="38">
        <f>'SER_se-appl'!O40</f>
        <v>7.467031268227986E-2</v>
      </c>
      <c r="P10" s="38">
        <f>'SER_se-appl'!P40</f>
        <v>8.3073073189003033E-2</v>
      </c>
      <c r="Q10" s="38">
        <f>'SER_se-appl'!Q40</f>
        <v>9.2421408738833311E-2</v>
      </c>
      <c r="R10" s="38">
        <f>'SER_se-appl'!R40</f>
        <v>8.956487922192391E-2</v>
      </c>
      <c r="S10" s="38">
        <f>'SER_se-appl'!S40</f>
        <v>0.14007633488972004</v>
      </c>
      <c r="T10" s="38">
        <f>'SER_se-appl'!T40</f>
        <v>0.20082228877099206</v>
      </c>
      <c r="U10" s="38">
        <f>'SER_se-appl'!U40</f>
        <v>0.2749347295497313</v>
      </c>
      <c r="V10" s="38">
        <f>'SER_se-appl'!V40</f>
        <v>0.33170569881517986</v>
      </c>
      <c r="W10" s="38">
        <f>'SER_se-appl'!W40</f>
        <v>0.32011860769215605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900.54546285664105</v>
      </c>
      <c r="C12" s="205">
        <f>'SER_se-appl'!C48</f>
        <v>904.84726234687548</v>
      </c>
      <c r="D12" s="205">
        <f>'SER_se-appl'!D48</f>
        <v>908.79243831714689</v>
      </c>
      <c r="E12" s="205">
        <f>'SER_se-appl'!E48</f>
        <v>912.4368365140557</v>
      </c>
      <c r="F12" s="205">
        <f>'SER_se-appl'!F48</f>
        <v>915.82405031078963</v>
      </c>
      <c r="G12" s="205">
        <f>'SER_se-appl'!G48</f>
        <v>918.98877230426285</v>
      </c>
      <c r="H12" s="205">
        <f>'SER_se-appl'!H48</f>
        <v>921.95907100924478</v>
      </c>
      <c r="I12" s="205">
        <f>'SER_se-appl'!I48</f>
        <v>924.75798193955291</v>
      </c>
      <c r="J12" s="205">
        <f>'SER_se-appl'!J48</f>
        <v>927.4046470893428</v>
      </c>
      <c r="K12" s="205">
        <f>'SER_se-appl'!K48</f>
        <v>929.91514856945253</v>
      </c>
      <c r="L12" s="205">
        <f>'SER_se-appl'!L48</f>
        <v>932.30313001997854</v>
      </c>
      <c r="M12" s="205">
        <f>'SER_se-appl'!M48</f>
        <v>933.82060440822511</v>
      </c>
      <c r="N12" s="205">
        <f>'SER_se-appl'!N48</f>
        <v>935.26977267725715</v>
      </c>
      <c r="O12" s="205">
        <f>'SER_se-appl'!O48</f>
        <v>936.65661287753449</v>
      </c>
      <c r="P12" s="205">
        <f>'SER_se-appl'!P48</f>
        <v>937.98634734718644</v>
      </c>
      <c r="Q12" s="205">
        <f>'SER_se-appl'!Q48</f>
        <v>939.26356524419464</v>
      </c>
      <c r="R12" s="205">
        <f>'SER_se-appl'!R48</f>
        <v>945.89397021662046</v>
      </c>
      <c r="S12" s="205">
        <f>'SER_se-appl'!S48</f>
        <v>969.19875966188829</v>
      </c>
      <c r="T12" s="205">
        <f>'SER_se-appl'!T48</f>
        <v>964.7459796110744</v>
      </c>
      <c r="U12" s="205">
        <f>'SER_se-appl'!U48</f>
        <v>961.4687617626513</v>
      </c>
      <c r="V12" s="205">
        <f>'SER_se-appl'!V48</f>
        <v>883.71215634346174</v>
      </c>
      <c r="W12" s="205">
        <f>'SER_se-appl'!W48</f>
        <v>913.4619725792187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55.614449336193964</v>
      </c>
      <c r="C14" s="59">
        <f>'SER_se-appl'!C56</f>
        <v>55.230194808623885</v>
      </c>
      <c r="D14" s="59">
        <f>'SER_se-appl'!D56</f>
        <v>54.689848945068583</v>
      </c>
      <c r="E14" s="59">
        <f>'SER_se-appl'!E56</f>
        <v>54.019846705775535</v>
      </c>
      <c r="F14" s="59">
        <f>'SER_se-appl'!F56</f>
        <v>53.25303528351504</v>
      </c>
      <c r="G14" s="59">
        <f>'SER_se-appl'!G56</f>
        <v>52.480337333406325</v>
      </c>
      <c r="H14" s="59">
        <f>'SER_se-appl'!H56</f>
        <v>51.820921749443166</v>
      </c>
      <c r="I14" s="59">
        <f>'SER_se-appl'!I56</f>
        <v>51.208586359282009</v>
      </c>
      <c r="J14" s="59">
        <f>'SER_se-appl'!J56</f>
        <v>50.693024185968383</v>
      </c>
      <c r="K14" s="59">
        <f>'SER_se-appl'!K56</f>
        <v>50.332035741932806</v>
      </c>
      <c r="L14" s="59">
        <f>'SER_se-appl'!L56</f>
        <v>49.976677634818721</v>
      </c>
      <c r="M14" s="59">
        <f>'SER_se-appl'!M56</f>
        <v>49.457362949061142</v>
      </c>
      <c r="N14" s="59">
        <f>'SER_se-appl'!N56</f>
        <v>49.011884499457317</v>
      </c>
      <c r="O14" s="59">
        <f>'SER_se-appl'!O56</f>
        <v>48.397743372827058</v>
      </c>
      <c r="P14" s="59">
        <f>'SER_se-appl'!P56</f>
        <v>47.705058682944404</v>
      </c>
      <c r="Q14" s="59">
        <f>'SER_se-appl'!Q56</f>
        <v>46.83704288145254</v>
      </c>
      <c r="R14" s="59">
        <f>'SER_se-appl'!R56</f>
        <v>45.950125040613912</v>
      </c>
      <c r="S14" s="59">
        <f>'SER_se-appl'!S56</f>
        <v>44.807900344486761</v>
      </c>
      <c r="T14" s="59">
        <f>'SER_se-appl'!T56</f>
        <v>43.504512053750041</v>
      </c>
      <c r="U14" s="59">
        <f>'SER_se-appl'!U56</f>
        <v>41.990179948440215</v>
      </c>
      <c r="V14" s="59">
        <f>'SER_se-appl'!V56</f>
        <v>40.381362081436642</v>
      </c>
      <c r="W14" s="59">
        <f>'SER_se-appl'!W56</f>
        <v>38.982896743269023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52.191026375022965</v>
      </c>
      <c r="D15" s="63">
        <f>'SER_se-appl'!D64</f>
        <v>51.764234352866502</v>
      </c>
      <c r="E15" s="63">
        <f>'SER_se-appl'!E64</f>
        <v>51.171489423412822</v>
      </c>
      <c r="F15" s="63">
        <f>'SER_se-appl'!F64</f>
        <v>50.458457004891734</v>
      </c>
      <c r="G15" s="63">
        <f>'SER_se-appl'!G64</f>
        <v>49.667894980256627</v>
      </c>
      <c r="H15" s="63">
        <f>'SER_se-appl'!H64</f>
        <v>48.869814832039218</v>
      </c>
      <c r="I15" s="63">
        <f>'SER_se-appl'!I64</f>
        <v>48.117924083200265</v>
      </c>
      <c r="J15" s="63">
        <f>'SER_se-appl'!J64</f>
        <v>47.333208567716959</v>
      </c>
      <c r="K15" s="63">
        <f>'SER_se-appl'!K64</f>
        <v>46.395859544770261</v>
      </c>
      <c r="L15" s="63">
        <f>'SER_se-appl'!L64</f>
        <v>45.138698991470754</v>
      </c>
      <c r="M15" s="63">
        <f>'SER_se-appl'!M64</f>
        <v>43.88601976572545</v>
      </c>
      <c r="N15" s="63">
        <f>'SER_se-appl'!N64</f>
        <v>42.167854088054639</v>
      </c>
      <c r="O15" s="63">
        <f>'SER_se-appl'!O64</f>
        <v>40.576330072271219</v>
      </c>
      <c r="P15" s="63">
        <f>'SER_se-appl'!P64</f>
        <v>38.881869411243429</v>
      </c>
      <c r="Q15" s="63">
        <f>'SER_se-appl'!Q64</f>
        <v>37.098164501885428</v>
      </c>
      <c r="R15" s="63">
        <f>'SER_se-appl'!R64</f>
        <v>36.644070544666675</v>
      </c>
      <c r="S15" s="63">
        <f>'SER_se-appl'!S64</f>
        <v>36.105188317432649</v>
      </c>
      <c r="T15" s="63">
        <f>'SER_se-appl'!T64</f>
        <v>35.600570952476765</v>
      </c>
      <c r="U15" s="63">
        <f>'SER_se-appl'!U64</f>
        <v>35.113858658290077</v>
      </c>
      <c r="V15" s="63">
        <f>'SER_se-appl'!V64</f>
        <v>34.629668916810296</v>
      </c>
      <c r="W15" s="63">
        <f>'SER_se-appl'!W64</f>
        <v>34.37275934991991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13.062375828382656</v>
      </c>
      <c r="C3" s="199">
        <f>'SER_se-appl'!C9</f>
        <v>13.810171458609489</v>
      </c>
      <c r="D3" s="199">
        <f>'SER_se-appl'!D9</f>
        <v>16.898267645318185</v>
      </c>
      <c r="E3" s="199">
        <f>'SER_se-appl'!E9</f>
        <v>19.904176602811511</v>
      </c>
      <c r="F3" s="199">
        <f>'SER_se-appl'!F9</f>
        <v>22.727672045497627</v>
      </c>
      <c r="G3" s="199">
        <f>'SER_se-appl'!G9</f>
        <v>26.951185259189838</v>
      </c>
      <c r="H3" s="199">
        <f>'SER_se-appl'!H9</f>
        <v>31.080531017804919</v>
      </c>
      <c r="I3" s="199">
        <f>'SER_se-appl'!I9</f>
        <v>36.818720415327604</v>
      </c>
      <c r="J3" s="199">
        <f>'SER_se-appl'!J9</f>
        <v>38.852237006280312</v>
      </c>
      <c r="K3" s="199">
        <f>'SER_se-appl'!K9</f>
        <v>38.687411101360489</v>
      </c>
      <c r="L3" s="199">
        <f>'SER_se-appl'!L9</f>
        <v>40.144167821130786</v>
      </c>
      <c r="M3" s="199">
        <f>'SER_se-appl'!M9</f>
        <v>41.919464056711234</v>
      </c>
      <c r="N3" s="199">
        <f>'SER_se-appl'!N9</f>
        <v>45.037081950095406</v>
      </c>
      <c r="O3" s="199">
        <f>'SER_se-appl'!O9</f>
        <v>47.322558088352991</v>
      </c>
      <c r="P3" s="199">
        <f>'SER_se-appl'!P9</f>
        <v>51.731485985350879</v>
      </c>
      <c r="Q3" s="199">
        <f>'SER_se-appl'!Q9</f>
        <v>51.481338997815605</v>
      </c>
      <c r="R3" s="199">
        <f>'SER_se-appl'!R9</f>
        <v>51.996895843086328</v>
      </c>
      <c r="S3" s="199">
        <f>'SER_se-appl'!S9</f>
        <v>57.755489976692147</v>
      </c>
      <c r="T3" s="199">
        <f>'SER_se-appl'!T9</f>
        <v>60.675016327412081</v>
      </c>
      <c r="U3" s="199">
        <f>'SER_se-appl'!U9</f>
        <v>65.184601709586971</v>
      </c>
      <c r="V3" s="199">
        <f>'SER_se-appl'!V9</f>
        <v>62.892338447220908</v>
      </c>
      <c r="W3" s="199">
        <f>'SER_se-appl'!W9</f>
        <v>65.549597937773214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93.944288519822962</v>
      </c>
      <c r="C5" s="59">
        <f>'SER_se-appl'!C17</f>
        <v>98.058527645433799</v>
      </c>
      <c r="D5" s="59">
        <f>'SER_se-appl'!D17</f>
        <v>117.79285383470217</v>
      </c>
      <c r="E5" s="59">
        <f>'SER_se-appl'!E17</f>
        <v>136.40940492231925</v>
      </c>
      <c r="F5" s="59">
        <f>'SER_se-appl'!F17</f>
        <v>153.12215360452788</v>
      </c>
      <c r="G5" s="59">
        <f>'SER_se-appl'!G17</f>
        <v>178.83146400834141</v>
      </c>
      <c r="H5" s="59">
        <f>'SER_se-appl'!H17</f>
        <v>202.88401387581592</v>
      </c>
      <c r="I5" s="59">
        <f>'SER_se-appl'!I17</f>
        <v>237.92366862052157</v>
      </c>
      <c r="J5" s="59">
        <f>'SER_se-appl'!J17</f>
        <v>248.27490979072712</v>
      </c>
      <c r="K5" s="59">
        <f>'SER_se-appl'!K17</f>
        <v>245.35280680269861</v>
      </c>
      <c r="L5" s="59">
        <f>'SER_se-appl'!L17</f>
        <v>251.34176876716347</v>
      </c>
      <c r="M5" s="59">
        <f>'SER_se-appl'!M17</f>
        <v>259.46163715041229</v>
      </c>
      <c r="N5" s="59">
        <f>'SER_se-appl'!N17</f>
        <v>276.13938621157052</v>
      </c>
      <c r="O5" s="59">
        <f>'SER_se-appl'!O17</f>
        <v>287.41616079788031</v>
      </c>
      <c r="P5" s="59">
        <f>'SER_se-appl'!P17</f>
        <v>310.97404594113925</v>
      </c>
      <c r="Q5" s="59">
        <f>'SER_se-appl'!Q17</f>
        <v>306.28477424741942</v>
      </c>
      <c r="R5" s="59">
        <f>'SER_se-appl'!R17</f>
        <v>304.00142215508112</v>
      </c>
      <c r="S5" s="59">
        <f>'SER_se-appl'!S17</f>
        <v>327.87499903539265</v>
      </c>
      <c r="T5" s="59">
        <f>'SER_se-appl'!T17</f>
        <v>343.94211245133846</v>
      </c>
      <c r="U5" s="59">
        <f>'SER_se-appl'!U17</f>
        <v>368.28085735220748</v>
      </c>
      <c r="V5" s="59">
        <f>'SER_se-appl'!V17</f>
        <v>373.45120859967034</v>
      </c>
      <c r="W5" s="59">
        <f>'SER_se-appl'!W17</f>
        <v>381.78055573281966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9.8626450070500901E-2</v>
      </c>
      <c r="C6" s="202">
        <f>'SER_se-appl'!C73</f>
        <v>0.10607059060304433</v>
      </c>
      <c r="D6" s="202">
        <f>'SER_se-appl'!D73</f>
        <v>0.13325135030772511</v>
      </c>
      <c r="E6" s="202">
        <f>'SER_se-appl'!E73</f>
        <v>0.16040271767789055</v>
      </c>
      <c r="F6" s="202">
        <f>'SER_se-appl'!F73</f>
        <v>0.18763038958230396</v>
      </c>
      <c r="G6" s="202">
        <f>'SER_se-appl'!G73</f>
        <v>0.23014131641418611</v>
      </c>
      <c r="H6" s="202">
        <f>'SER_se-appl'!H73</f>
        <v>0.27387364010577592</v>
      </c>
      <c r="I6" s="202">
        <f>'SER_se-appl'!I73</f>
        <v>0.34489519480395647</v>
      </c>
      <c r="J6" s="202">
        <f>'SER_se-appl'!J73</f>
        <v>0.38051096337336598</v>
      </c>
      <c r="K6" s="202">
        <f>'SER_se-appl'!K73</f>
        <v>0.3981637663010224</v>
      </c>
      <c r="L6" s="202">
        <f>'SER_se-appl'!L73</f>
        <v>0.44764767245226711</v>
      </c>
      <c r="M6" s="202">
        <f>'SER_se-appl'!M73</f>
        <v>0.51023630939244402</v>
      </c>
      <c r="N6" s="202">
        <f>'SER_se-appl'!N73</f>
        <v>0.61229431180112093</v>
      </c>
      <c r="O6" s="202">
        <f>'SER_se-appl'!O73</f>
        <v>0.68067200775698855</v>
      </c>
      <c r="P6" s="202">
        <f>'SER_se-appl'!P73</f>
        <v>0.76864725559581826</v>
      </c>
      <c r="Q6" s="202">
        <f>'SER_se-appl'!Q73</f>
        <v>0.78165332631668094</v>
      </c>
      <c r="R6" s="202">
        <f>'SER_se-appl'!R73</f>
        <v>0.79515354016127715</v>
      </c>
      <c r="S6" s="202">
        <f>'SER_se-appl'!S73</f>
        <v>0.88581065415411231</v>
      </c>
      <c r="T6" s="202">
        <f>'SER_se-appl'!T73</f>
        <v>0.94995456845294812</v>
      </c>
      <c r="U6" s="202">
        <f>'SER_se-appl'!U73</f>
        <v>1.0415910928417758</v>
      </c>
      <c r="V6" s="202">
        <f>'SER_se-appl'!V73</f>
        <v>1.0778932386011566</v>
      </c>
      <c r="W6" s="202">
        <f>'SER_se-appl'!W73</f>
        <v>1.131200977822036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234.90009552966305</v>
      </c>
      <c r="C8" s="34">
        <f>'SER_se-appl'!C25</f>
        <v>249.62483079575489</v>
      </c>
      <c r="D8" s="34">
        <f>'SER_se-appl'!D25</f>
        <v>309.27052100481649</v>
      </c>
      <c r="E8" s="34">
        <f>'SER_se-appl'!E25</f>
        <v>368.82840500136479</v>
      </c>
      <c r="F8" s="34">
        <f>'SER_se-appl'!F25</f>
        <v>427.14433449190665</v>
      </c>
      <c r="G8" s="34">
        <f>'SER_se-appl'!G25</f>
        <v>517.75444292858845</v>
      </c>
      <c r="H8" s="34">
        <f>'SER_se-appl'!H25</f>
        <v>610.15596207701537</v>
      </c>
      <c r="I8" s="34">
        <f>'SER_se-appl'!I25</f>
        <v>761.81830209077123</v>
      </c>
      <c r="J8" s="34">
        <f>'SER_se-appl'!J25</f>
        <v>834.00773463137728</v>
      </c>
      <c r="K8" s="34">
        <f>'SER_se-appl'!K25</f>
        <v>861.16213132390556</v>
      </c>
      <c r="L8" s="34">
        <f>'SER_se-appl'!L25</f>
        <v>949.23868002572226</v>
      </c>
      <c r="M8" s="34">
        <f>'SER_se-appl'!M25</f>
        <v>1058.5387986471112</v>
      </c>
      <c r="N8" s="34">
        <f>'SER_se-appl'!N25</f>
        <v>1252.0273685969855</v>
      </c>
      <c r="O8" s="34">
        <f>'SER_se-appl'!O25</f>
        <v>1377.5610260987874</v>
      </c>
      <c r="P8" s="34">
        <f>'SER_se-appl'!P25</f>
        <v>1538.4228853628513</v>
      </c>
      <c r="Q8" s="34">
        <f>'SER_se-appl'!Q25</f>
        <v>1552.4385447842549</v>
      </c>
      <c r="R8" s="34">
        <f>'SER_se-appl'!R25</f>
        <v>1565.6231289753277</v>
      </c>
      <c r="S8" s="34">
        <f>'SER_se-appl'!S25</f>
        <v>1727.4335296364011</v>
      </c>
      <c r="T8" s="34">
        <f>'SER_se-appl'!T25</f>
        <v>1837.5721681694454</v>
      </c>
      <c r="U8" s="34">
        <f>'SER_se-appl'!U25</f>
        <v>1999.8215673412387</v>
      </c>
      <c r="V8" s="34">
        <f>'SER_se-appl'!V25</f>
        <v>2056.2699839484612</v>
      </c>
      <c r="W8" s="34">
        <f>'SER_se-appl'!W25</f>
        <v>2141.6157088351683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61.704754372024439</v>
      </c>
      <c r="D9" s="36">
        <f>'SER_se-appl'!D33</f>
        <v>106.6257093149942</v>
      </c>
      <c r="E9" s="36">
        <f>'SER_se-appl'!E33</f>
        <v>106.53790310248093</v>
      </c>
      <c r="F9" s="36">
        <f>'SER_se-appl'!F33</f>
        <v>105.29594859647449</v>
      </c>
      <c r="G9" s="36">
        <f>'SER_se-appl'!G33</f>
        <v>137.59012754261443</v>
      </c>
      <c r="H9" s="36">
        <f>'SER_se-appl'!H33</f>
        <v>154.1062735204514</v>
      </c>
      <c r="I9" s="36">
        <f>'SER_se-appl'!I33</f>
        <v>258.28804932875005</v>
      </c>
      <c r="J9" s="36">
        <f>'SER_se-appl'!J33</f>
        <v>178.72733564308703</v>
      </c>
      <c r="K9" s="36">
        <f>'SER_se-appl'!K33</f>
        <v>132.45034528900271</v>
      </c>
      <c r="L9" s="36">
        <f>'SER_se-appl'!L33</f>
        <v>225.66667624443107</v>
      </c>
      <c r="M9" s="36">
        <f>'SER_se-appl'!M33</f>
        <v>263.40639214184034</v>
      </c>
      <c r="N9" s="36">
        <f>'SER_se-appl'!N33</f>
        <v>451.77661927862437</v>
      </c>
      <c r="O9" s="36">
        <f>'SER_se-appl'!O33</f>
        <v>304.26099314488874</v>
      </c>
      <c r="P9" s="36">
        <f>'SER_se-appl'!P33</f>
        <v>293.31220455306652</v>
      </c>
      <c r="Q9" s="36">
        <f>'SER_se-appl'!Q33</f>
        <v>239.68233566583467</v>
      </c>
      <c r="R9" s="36">
        <f>'SER_se-appl'!R33</f>
        <v>276.59097633291321</v>
      </c>
      <c r="S9" s="36">
        <f>'SER_se-appl'!S33</f>
        <v>613.58701993969771</v>
      </c>
      <c r="T9" s="36">
        <f>'SER_se-appl'!T33</f>
        <v>414.39963167793303</v>
      </c>
      <c r="U9" s="36">
        <f>'SER_se-appl'!U33</f>
        <v>455.56160372485988</v>
      </c>
      <c r="V9" s="36">
        <f>'SER_se-appl'!V33</f>
        <v>296.13075227305717</v>
      </c>
      <c r="W9" s="36">
        <f>'SER_se-appl'!W33</f>
        <v>361.93670121962032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46.980019105932598</v>
      </c>
      <c r="D10" s="38">
        <f>'SER_se-appl'!D41</f>
        <v>46.98001910593257</v>
      </c>
      <c r="E10" s="38">
        <f>'SER_se-appl'!E41</f>
        <v>46.980019105932627</v>
      </c>
      <c r="F10" s="38">
        <f>'SER_se-appl'!F41</f>
        <v>46.980019105932627</v>
      </c>
      <c r="G10" s="38">
        <f>'SER_se-appl'!G41</f>
        <v>46.980019105932683</v>
      </c>
      <c r="H10" s="38">
        <f>'SER_se-appl'!H41</f>
        <v>61.704754372024468</v>
      </c>
      <c r="I10" s="38">
        <f>'SER_se-appl'!I41</f>
        <v>106.6257093149942</v>
      </c>
      <c r="J10" s="38">
        <f>'SER_se-appl'!J41</f>
        <v>106.53790310248098</v>
      </c>
      <c r="K10" s="38">
        <f>'SER_se-appl'!K41</f>
        <v>105.29594859647443</v>
      </c>
      <c r="L10" s="38">
        <f>'SER_se-appl'!L41</f>
        <v>137.59012754261448</v>
      </c>
      <c r="M10" s="38">
        <f>'SER_se-appl'!M41</f>
        <v>154.1062735204514</v>
      </c>
      <c r="N10" s="38">
        <f>'SER_se-appl'!N41</f>
        <v>258.28804932875005</v>
      </c>
      <c r="O10" s="38">
        <f>'SER_se-appl'!O41</f>
        <v>178.72733564308692</v>
      </c>
      <c r="P10" s="38">
        <f>'SER_se-appl'!P41</f>
        <v>132.4503452890026</v>
      </c>
      <c r="Q10" s="38">
        <f>'SER_se-appl'!Q41</f>
        <v>225.66667624443107</v>
      </c>
      <c r="R10" s="38">
        <f>'SER_se-appl'!R41</f>
        <v>263.40639214184034</v>
      </c>
      <c r="S10" s="38">
        <f>'SER_se-appl'!S41</f>
        <v>451.77661927862437</v>
      </c>
      <c r="T10" s="38">
        <f>'SER_se-appl'!T41</f>
        <v>304.26099314488874</v>
      </c>
      <c r="U10" s="38">
        <f>'SER_se-appl'!U41</f>
        <v>293.31220455306629</v>
      </c>
      <c r="V10" s="38">
        <f>'SER_se-appl'!V41</f>
        <v>239.68233566583467</v>
      </c>
      <c r="W10" s="38">
        <f>'SER_se-appl'!W41</f>
        <v>276.59097633291321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1617.0800085631067</v>
      </c>
      <c r="C12" s="205">
        <f>'SER_se-appl'!C49</f>
        <v>1637.9227581754074</v>
      </c>
      <c r="D12" s="205">
        <f>'SER_se-appl'!D49</f>
        <v>1668.4106574990972</v>
      </c>
      <c r="E12" s="205">
        <f>'SER_se-appl'!E49</f>
        <v>1696.991303660634</v>
      </c>
      <c r="F12" s="205">
        <f>'SER_se-appl'!F49</f>
        <v>1726.2219715888407</v>
      </c>
      <c r="G12" s="205">
        <f>'SER_se-appl'!G49</f>
        <v>1752.7244788968321</v>
      </c>
      <c r="H12" s="205">
        <f>'SER_se-appl'!H49</f>
        <v>1781.641484864957</v>
      </c>
      <c r="I12" s="205">
        <f>'SER_se-appl'!I49</f>
        <v>1799.7440982352373</v>
      </c>
      <c r="J12" s="205">
        <f>'SER_se-appl'!J49</f>
        <v>1819.9644771350806</v>
      </c>
      <c r="K12" s="205">
        <f>'SER_se-appl'!K49</f>
        <v>1833.8269570750788</v>
      </c>
      <c r="L12" s="205">
        <f>'SER_se-appl'!L49</f>
        <v>1857.5371457350311</v>
      </c>
      <c r="M12" s="205">
        <f>'SER_se-appl'!M49</f>
        <v>1878.9805396045115</v>
      </c>
      <c r="N12" s="205">
        <f>'SER_se-appl'!N49</f>
        <v>1896.8002727372711</v>
      </c>
      <c r="O12" s="205">
        <f>'SER_se-appl'!O49</f>
        <v>1914.8587505995388</v>
      </c>
      <c r="P12" s="205">
        <f>'SER_se-appl'!P49</f>
        <v>1934.6861574534996</v>
      </c>
      <c r="Q12" s="205">
        <f>'SER_se-appl'!Q49</f>
        <v>1954.808148775094</v>
      </c>
      <c r="R12" s="205">
        <f>'SER_se-appl'!R49</f>
        <v>1989.2140450139225</v>
      </c>
      <c r="S12" s="205">
        <f>'SER_se-appl'!S49</f>
        <v>2048.6354568206129</v>
      </c>
      <c r="T12" s="205">
        <f>'SER_se-appl'!T49</f>
        <v>2051.6546661253619</v>
      </c>
      <c r="U12" s="205">
        <f>'SER_se-appl'!U49</f>
        <v>2058.474945814211</v>
      </c>
      <c r="V12" s="205">
        <f>'SER_se-appl'!V49</f>
        <v>1958.5902503404693</v>
      </c>
      <c r="W12" s="205">
        <f>'SER_se-appl'!W49</f>
        <v>1996.8063133885998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399.93295152985468</v>
      </c>
      <c r="C14" s="59">
        <f>'SER_se-appl'!C57</f>
        <v>392.82361186922986</v>
      </c>
      <c r="D14" s="59">
        <f>'SER_se-appl'!D57</f>
        <v>380.87320269644351</v>
      </c>
      <c r="E14" s="59">
        <f>'SER_se-appl'!E57</f>
        <v>369.84517209788788</v>
      </c>
      <c r="F14" s="59">
        <f>'SER_se-appl'!F57</f>
        <v>358.47871840947749</v>
      </c>
      <c r="G14" s="59">
        <f>'SER_se-appl'!G57</f>
        <v>345.39822197722185</v>
      </c>
      <c r="H14" s="59">
        <f>'SER_se-appl'!H57</f>
        <v>332.51172894416038</v>
      </c>
      <c r="I14" s="59">
        <f>'SER_se-appl'!I57</f>
        <v>312.31025556560178</v>
      </c>
      <c r="J14" s="59">
        <f>'SER_se-appl'!J57</f>
        <v>297.68897754942532</v>
      </c>
      <c r="K14" s="59">
        <f>'SER_se-appl'!K57</f>
        <v>284.90895950743453</v>
      </c>
      <c r="L14" s="59">
        <f>'SER_se-appl'!L57</f>
        <v>264.78247679535423</v>
      </c>
      <c r="M14" s="59">
        <f>'SER_se-appl'!M57</f>
        <v>245.11301567974922</v>
      </c>
      <c r="N14" s="59">
        <f>'SER_se-appl'!N57</f>
        <v>220.55379390069618</v>
      </c>
      <c r="O14" s="59">
        <f>'SER_se-appl'!O57</f>
        <v>208.64132720989829</v>
      </c>
      <c r="P14" s="59">
        <f>'SER_se-appl'!P57</f>
        <v>202.13820848601924</v>
      </c>
      <c r="Q14" s="59">
        <f>'SER_se-appl'!Q57</f>
        <v>197.29268851024591</v>
      </c>
      <c r="R14" s="59">
        <f>'SER_se-appl'!R57</f>
        <v>194.17279709839534</v>
      </c>
      <c r="S14" s="59">
        <f>'SER_se-appl'!S57</f>
        <v>189.80469778446724</v>
      </c>
      <c r="T14" s="59">
        <f>'SER_se-appl'!T57</f>
        <v>187.17202970807242</v>
      </c>
      <c r="U14" s="59">
        <f>'SER_se-appl'!U57</f>
        <v>184.15685847504716</v>
      </c>
      <c r="V14" s="59">
        <f>'SER_se-appl'!V57</f>
        <v>181.61584398687143</v>
      </c>
      <c r="W14" s="59">
        <f>'SER_se-appl'!W57</f>
        <v>178.267536121348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371.17231990731619</v>
      </c>
      <c r="D15" s="63">
        <f>'SER_se-appl'!D65</f>
        <v>361.29357676231325</v>
      </c>
      <c r="E15" s="63">
        <f>'SER_se-appl'!E65</f>
        <v>351.09954018524928</v>
      </c>
      <c r="F15" s="63">
        <f>'SER_se-appl'!F65</f>
        <v>337.16023132310573</v>
      </c>
      <c r="G15" s="63">
        <f>'SER_se-appl'!G65</f>
        <v>323.41105355830274</v>
      </c>
      <c r="H15" s="63">
        <f>'SER_se-appl'!H65</f>
        <v>304.69652937794541</v>
      </c>
      <c r="I15" s="63">
        <f>'SER_se-appl'!I65</f>
        <v>284.809300426856</v>
      </c>
      <c r="J15" s="63">
        <f>'SER_se-appl'!J65</f>
        <v>267.20394946834477</v>
      </c>
      <c r="K15" s="63">
        <f>'SER_se-appl'!K65</f>
        <v>245.97522435337646</v>
      </c>
      <c r="L15" s="63">
        <f>'SER_se-appl'!L65</f>
        <v>223.72434828418289</v>
      </c>
      <c r="M15" s="63">
        <f>'SER_se-appl'!M65</f>
        <v>209.08951613688018</v>
      </c>
      <c r="N15" s="63">
        <f>'SER_se-appl'!N65</f>
        <v>199.74603343393179</v>
      </c>
      <c r="O15" s="63">
        <f>'SER_se-appl'!O65</f>
        <v>194.02232253933892</v>
      </c>
      <c r="P15" s="63">
        <f>'SER_se-appl'!P65</f>
        <v>191.39124683523735</v>
      </c>
      <c r="Q15" s="63">
        <f>'SER_se-appl'!Q65</f>
        <v>191.07732011746828</v>
      </c>
      <c r="R15" s="63">
        <f>'SER_se-appl'!R65</f>
        <v>190.86726431891344</v>
      </c>
      <c r="S15" s="63">
        <f>'SER_se-appl'!S65</f>
        <v>185.97877867531037</v>
      </c>
      <c r="T15" s="63">
        <f>'SER_se-appl'!T65</f>
        <v>181.22732797796104</v>
      </c>
      <c r="U15" s="63">
        <f>'SER_se-appl'!U65</f>
        <v>176.65258174584181</v>
      </c>
      <c r="V15" s="63">
        <f>'SER_se-appl'!V65</f>
        <v>172.11386941329599</v>
      </c>
      <c r="W15" s="63">
        <f>'SER_se-appl'!W65</f>
        <v>168.87347957570557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626.11661523469218</v>
      </c>
      <c r="C3" s="220">
        <v>655.12763666307717</v>
      </c>
      <c r="D3" s="220">
        <v>714.69857685157695</v>
      </c>
      <c r="E3" s="220">
        <v>680.99413277078247</v>
      </c>
      <c r="F3" s="220">
        <v>785.07715138266133</v>
      </c>
      <c r="G3" s="220">
        <v>779.95655938150276</v>
      </c>
      <c r="H3" s="220">
        <v>763.14546068174138</v>
      </c>
      <c r="I3" s="220">
        <v>835.95791730885219</v>
      </c>
      <c r="J3" s="220">
        <v>729.79693745029147</v>
      </c>
      <c r="K3" s="220">
        <v>698.91607023680751</v>
      </c>
      <c r="L3" s="220">
        <v>847.61949128854928</v>
      </c>
      <c r="M3" s="220">
        <v>790.82800880999628</v>
      </c>
      <c r="N3" s="220">
        <v>790.21188940759987</v>
      </c>
      <c r="O3" s="220">
        <v>739.32864502412303</v>
      </c>
      <c r="P3" s="220">
        <v>838.41157839874916</v>
      </c>
      <c r="Q3" s="220">
        <v>858.7</v>
      </c>
      <c r="R3" s="220">
        <v>820.83552520570515</v>
      </c>
      <c r="S3" s="220">
        <v>924.25469551467472</v>
      </c>
      <c r="T3" s="220">
        <v>972.8861701831413</v>
      </c>
      <c r="U3" s="220">
        <v>1019.855915962808</v>
      </c>
      <c r="V3" s="220">
        <v>1044.7049439020579</v>
      </c>
      <c r="W3" s="220">
        <v>1153.952332750529</v>
      </c>
      <c r="DA3" s="211" t="s">
        <v>972</v>
      </c>
    </row>
    <row r="5" spans="1:105" x14ac:dyDescent="0.25">
      <c r="A5" s="219" t="s">
        <v>120</v>
      </c>
      <c r="B5" s="220">
        <v>1025.257869548574</v>
      </c>
      <c r="C5" s="220">
        <v>1111.476210948543</v>
      </c>
      <c r="D5" s="220">
        <v>1005.888013019416</v>
      </c>
      <c r="E5" s="220">
        <v>1082.036620971217</v>
      </c>
      <c r="F5" s="220">
        <v>1156.4779123240589</v>
      </c>
      <c r="G5" s="220">
        <v>986.52833782991331</v>
      </c>
      <c r="H5" s="220">
        <v>1053.5603042960231</v>
      </c>
      <c r="I5" s="220">
        <v>1136.4007947772129</v>
      </c>
      <c r="J5" s="220">
        <v>946.68045213037453</v>
      </c>
      <c r="K5" s="220">
        <v>886.59501051183622</v>
      </c>
      <c r="L5" s="220">
        <v>1078.4845806436399</v>
      </c>
      <c r="M5" s="220">
        <v>1153.494307673097</v>
      </c>
      <c r="N5" s="220">
        <v>1111.774040328218</v>
      </c>
      <c r="O5" s="220">
        <v>1172.769530165999</v>
      </c>
      <c r="P5" s="220">
        <v>1183.273673823528</v>
      </c>
      <c r="Q5" s="220">
        <v>1215.5223429683051</v>
      </c>
      <c r="R5" s="220">
        <v>1304.6896509079361</v>
      </c>
      <c r="S5" s="220">
        <v>1551.913871915538</v>
      </c>
      <c r="T5" s="220">
        <v>1334.167961191788</v>
      </c>
      <c r="U5" s="220">
        <v>1467.667055404823</v>
      </c>
      <c r="V5" s="220">
        <v>1420.480693100056</v>
      </c>
      <c r="W5" s="220">
        <v>1384.1811409042309</v>
      </c>
      <c r="DA5" s="211" t="s">
        <v>973</v>
      </c>
    </row>
    <row r="6" spans="1:105" x14ac:dyDescent="0.25">
      <c r="A6" s="221" t="s">
        <v>119</v>
      </c>
      <c r="B6" s="222">
        <v>1281.5723369357181</v>
      </c>
      <c r="C6" s="222">
        <v>1217.4937200889319</v>
      </c>
      <c r="D6" s="222">
        <v>1217.4937200889319</v>
      </c>
      <c r="E6" s="222">
        <v>1153.415103242146</v>
      </c>
      <c r="F6" s="222">
        <v>1217.4937200889319</v>
      </c>
      <c r="G6" s="222">
        <v>1217.4937200889319</v>
      </c>
      <c r="H6" s="222">
        <v>1153.415103242146</v>
      </c>
      <c r="I6" s="222">
        <v>1217.4937200889319</v>
      </c>
      <c r="J6" s="222">
        <v>1217.4937200889319</v>
      </c>
      <c r="K6" s="222">
        <v>1153.415103242146</v>
      </c>
      <c r="L6" s="222">
        <v>1153.415103242146</v>
      </c>
      <c r="M6" s="222">
        <v>1217.4937200889319</v>
      </c>
      <c r="N6" s="222">
        <v>1217.4937200889319</v>
      </c>
      <c r="O6" s="222">
        <v>1281.5723369357181</v>
      </c>
      <c r="P6" s="222">
        <v>1281.5723369357181</v>
      </c>
      <c r="Q6" s="222">
        <v>1281.5723369357181</v>
      </c>
      <c r="R6" s="222">
        <v>1409.7295706292889</v>
      </c>
      <c r="S6" s="222">
        <v>1666.044038016433</v>
      </c>
      <c r="T6" s="222">
        <v>1601.965421169647</v>
      </c>
      <c r="U6" s="222">
        <v>1601.965421169647</v>
      </c>
      <c r="V6" s="222">
        <v>1601.965421169647</v>
      </c>
      <c r="W6" s="222">
        <v>1537.8868043228611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128.15723369357181</v>
      </c>
      <c r="G7" s="226">
        <v>0</v>
      </c>
      <c r="H7" s="226">
        <v>0</v>
      </c>
      <c r="I7" s="226">
        <v>128.15723369357181</v>
      </c>
      <c r="J7" s="226">
        <v>0</v>
      </c>
      <c r="K7" s="226">
        <v>0</v>
      </c>
      <c r="L7" s="226">
        <v>64.078616846785891</v>
      </c>
      <c r="M7" s="226">
        <v>64.078616846785962</v>
      </c>
      <c r="N7" s="226">
        <v>64.078616846785891</v>
      </c>
      <c r="O7" s="226">
        <v>128.15723369357181</v>
      </c>
      <c r="P7" s="226">
        <v>0</v>
      </c>
      <c r="Q7" s="226">
        <v>64.078616846785891</v>
      </c>
      <c r="R7" s="226">
        <v>192.23585054035769</v>
      </c>
      <c r="S7" s="226">
        <v>256.31446738714408</v>
      </c>
      <c r="T7" s="226">
        <v>0</v>
      </c>
      <c r="U7" s="226">
        <v>64.078616846785891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64.07861684678619</v>
      </c>
      <c r="D8" s="228">
        <f t="shared" ref="D8" si="1">IF(C6=0,0,C6+D7-D6)</f>
        <v>0</v>
      </c>
      <c r="E8" s="228">
        <f t="shared" ref="E8" si="2">IF(D6=0,0,D6+E7-E6)</f>
        <v>64.078616846785962</v>
      </c>
      <c r="F8" s="228">
        <f t="shared" ref="F8" si="3">IF(E6=0,0,E6+F7-F6)</f>
        <v>64.078616846785962</v>
      </c>
      <c r="G8" s="228">
        <f t="shared" ref="G8" si="4">IF(F6=0,0,F6+G7-G6)</f>
        <v>0</v>
      </c>
      <c r="H8" s="228">
        <f t="shared" ref="H8" si="5">IF(G6=0,0,G6+H7-H6)</f>
        <v>64.078616846785962</v>
      </c>
      <c r="I8" s="228">
        <f t="shared" ref="I8" si="6">IF(H6=0,0,H6+I7-I6)</f>
        <v>64.078616846785962</v>
      </c>
      <c r="J8" s="228">
        <f t="shared" ref="J8" si="7">IF(I6=0,0,I6+J7-J6)</f>
        <v>0</v>
      </c>
      <c r="K8" s="228">
        <f t="shared" ref="K8" si="8">IF(J6=0,0,J6+K7-K6)</f>
        <v>64.078616846785962</v>
      </c>
      <c r="L8" s="228">
        <f t="shared" ref="L8" si="9">IF(K6=0,0,K6+L7-L6)</f>
        <v>64.078616846785962</v>
      </c>
      <c r="M8" s="228">
        <f t="shared" ref="M8" si="10">IF(L6=0,0,L6+M7-M6)</f>
        <v>0</v>
      </c>
      <c r="N8" s="228">
        <f t="shared" ref="N8" si="11">IF(M6=0,0,M6+N7-N6)</f>
        <v>64.078616846785962</v>
      </c>
      <c r="O8" s="228">
        <f t="shared" ref="O8" si="12">IF(N6=0,0,N6+O7-O6)</f>
        <v>64.078616846785508</v>
      </c>
      <c r="P8" s="228">
        <f t="shared" ref="P8" si="13">IF(O6=0,0,O6+P7-P6)</f>
        <v>0</v>
      </c>
      <c r="Q8" s="228">
        <f t="shared" ref="Q8" si="14">IF(P6=0,0,P6+Q7-Q6)</f>
        <v>64.078616846785962</v>
      </c>
      <c r="R8" s="228">
        <f t="shared" ref="R8" si="15">IF(Q6=0,0,Q6+R7-R6)</f>
        <v>64.078616846786872</v>
      </c>
      <c r="S8" s="228">
        <f t="shared" ref="S8" si="16">IF(R6=0,0,R6+S7-S6)</f>
        <v>0</v>
      </c>
      <c r="T8" s="228">
        <f t="shared" ref="T8" si="17">IF(S6=0,0,S6+T7-T6)</f>
        <v>64.078616846785962</v>
      </c>
      <c r="U8" s="228">
        <f t="shared" ref="U8" si="18">IF(T6=0,0,T6+U7-U6)</f>
        <v>64.078616846785962</v>
      </c>
      <c r="V8" s="228">
        <f t="shared" ref="V8" si="19">IF(U6=0,0,U6+V7-V6)</f>
        <v>0</v>
      </c>
      <c r="W8" s="228">
        <f t="shared" ref="W8" si="20">IF(V6=0,0,V6+W7-W6)</f>
        <v>64.078616846785962</v>
      </c>
      <c r="DA8" s="214" t="s">
        <v>976</v>
      </c>
    </row>
    <row r="9" spans="1:105" x14ac:dyDescent="0.25">
      <c r="A9" s="223" t="s">
        <v>116</v>
      </c>
      <c r="B9" s="224">
        <f>B6-B5</f>
        <v>256.31446738714408</v>
      </c>
      <c r="C9" s="224">
        <f t="shared" ref="C9:W9" si="21">C6-C5</f>
        <v>106.01750914038894</v>
      </c>
      <c r="D9" s="224">
        <f t="shared" si="21"/>
        <v>211.60570706951592</v>
      </c>
      <c r="E9" s="224">
        <f t="shared" si="21"/>
        <v>71.378482270928998</v>
      </c>
      <c r="F9" s="224">
        <f t="shared" si="21"/>
        <v>61.015807764872989</v>
      </c>
      <c r="G9" s="224">
        <f t="shared" si="21"/>
        <v>230.96538225901861</v>
      </c>
      <c r="H9" s="224">
        <f t="shared" si="21"/>
        <v>99.854798946122855</v>
      </c>
      <c r="I9" s="224">
        <f t="shared" si="21"/>
        <v>81.092925311719</v>
      </c>
      <c r="J9" s="224">
        <f t="shared" si="21"/>
        <v>270.81326795855739</v>
      </c>
      <c r="K9" s="224">
        <f t="shared" si="21"/>
        <v>266.82009273030974</v>
      </c>
      <c r="L9" s="224">
        <f t="shared" si="21"/>
        <v>74.930522598506059</v>
      </c>
      <c r="M9" s="224">
        <f t="shared" si="21"/>
        <v>63.999412415834968</v>
      </c>
      <c r="N9" s="224">
        <f t="shared" si="21"/>
        <v>105.71967976071392</v>
      </c>
      <c r="O9" s="224">
        <f t="shared" si="21"/>
        <v>108.80280676971915</v>
      </c>
      <c r="P9" s="224">
        <f t="shared" si="21"/>
        <v>98.29866311219007</v>
      </c>
      <c r="Q9" s="224">
        <f t="shared" si="21"/>
        <v>66.049993967413002</v>
      </c>
      <c r="R9" s="224">
        <f t="shared" si="21"/>
        <v>105.03991972135282</v>
      </c>
      <c r="S9" s="224">
        <f t="shared" si="21"/>
        <v>114.13016610089494</v>
      </c>
      <c r="T9" s="224">
        <f t="shared" si="21"/>
        <v>267.79745997785903</v>
      </c>
      <c r="U9" s="224">
        <f t="shared" si="21"/>
        <v>134.29836576482398</v>
      </c>
      <c r="V9" s="224">
        <f t="shared" si="21"/>
        <v>181.48472806959103</v>
      </c>
      <c r="W9" s="224">
        <f t="shared" si="21"/>
        <v>153.70566341863014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129.6529664660361</v>
      </c>
      <c r="C12" s="230">
        <f t="shared" ref="C12:W12" si="22">SUM(C13,C14,C18,C19,C26,C27)</f>
        <v>135.98693035253652</v>
      </c>
      <c r="D12" s="230">
        <f t="shared" si="22"/>
        <v>128.56311263972481</v>
      </c>
      <c r="E12" s="230">
        <f t="shared" si="22"/>
        <v>146.54333619948409</v>
      </c>
      <c r="F12" s="230">
        <f t="shared" si="22"/>
        <v>155.9436801375752</v>
      </c>
      <c r="G12" s="230">
        <f t="shared" si="22"/>
        <v>152.346173688736</v>
      </c>
      <c r="H12" s="230">
        <f t="shared" si="22"/>
        <v>154.79982803095442</v>
      </c>
      <c r="I12" s="230">
        <f t="shared" si="22"/>
        <v>155.95795356835771</v>
      </c>
      <c r="J12" s="230">
        <f t="shared" si="22"/>
        <v>131.89836629406705</v>
      </c>
      <c r="K12" s="230">
        <f t="shared" si="22"/>
        <v>138.62820292347376</v>
      </c>
      <c r="L12" s="230">
        <f t="shared" si="22"/>
        <v>155.93361994840924</v>
      </c>
      <c r="M12" s="230">
        <f t="shared" si="22"/>
        <v>153.184350816853</v>
      </c>
      <c r="N12" s="230">
        <f t="shared" si="22"/>
        <v>150.13731728288909</v>
      </c>
      <c r="O12" s="230">
        <f t="shared" si="22"/>
        <v>155.91994840928635</v>
      </c>
      <c r="P12" s="230">
        <f t="shared" si="22"/>
        <v>154.01418744625965</v>
      </c>
      <c r="Q12" s="230">
        <f t="shared" si="22"/>
        <v>161.56500429922608</v>
      </c>
      <c r="R12" s="230">
        <f t="shared" si="22"/>
        <v>176.63594153052449</v>
      </c>
      <c r="S12" s="230">
        <f t="shared" si="22"/>
        <v>193.8373172828891</v>
      </c>
      <c r="T12" s="230">
        <f t="shared" si="22"/>
        <v>188.49105760963027</v>
      </c>
      <c r="U12" s="230">
        <f t="shared" si="22"/>
        <v>208.42631126397245</v>
      </c>
      <c r="V12" s="230">
        <f t="shared" si="22"/>
        <v>211.12037833190027</v>
      </c>
      <c r="W12" s="230">
        <f t="shared" si="22"/>
        <v>197.30137575236458</v>
      </c>
      <c r="DA12" s="211" t="s">
        <v>978</v>
      </c>
    </row>
    <row r="13" spans="1:105" x14ac:dyDescent="0.25">
      <c r="A13" s="58" t="s">
        <v>29</v>
      </c>
      <c r="B13" s="59">
        <v>1.359501289767842</v>
      </c>
      <c r="C13" s="59">
        <v>2.0392949269131559</v>
      </c>
      <c r="D13" s="59">
        <v>2.0392949269131559</v>
      </c>
      <c r="E13" s="59">
        <v>1.252536543422184</v>
      </c>
      <c r="F13" s="59">
        <v>1.252536543422184</v>
      </c>
      <c r="G13" s="59">
        <v>1.252536543422184</v>
      </c>
      <c r="H13" s="59">
        <v>1.252536543422184</v>
      </c>
      <c r="I13" s="59">
        <v>1.252536543422184</v>
      </c>
      <c r="J13" s="59">
        <v>1.252536543422184</v>
      </c>
      <c r="K13" s="59">
        <v>0.62622527944969908</v>
      </c>
      <c r="L13" s="59">
        <v>0.62622527944969908</v>
      </c>
      <c r="M13" s="59">
        <v>0.62622527944969908</v>
      </c>
      <c r="N13" s="59">
        <v>1.252536543422184</v>
      </c>
      <c r="O13" s="59">
        <v>0.57463456577815986</v>
      </c>
      <c r="P13" s="59">
        <v>0.57712811693895094</v>
      </c>
      <c r="Q13" s="59">
        <v>0</v>
      </c>
      <c r="R13" s="59">
        <v>0</v>
      </c>
      <c r="S13" s="59">
        <v>2.5881341358555458E-2</v>
      </c>
      <c r="T13" s="59">
        <v>1.788478073946689E-2</v>
      </c>
      <c r="U13" s="59">
        <v>9.5442820292347356E-3</v>
      </c>
      <c r="V13" s="59">
        <v>1.109200343938091E-2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89.072570937231291</v>
      </c>
      <c r="C14" s="55">
        <f t="shared" ref="C14:W14" si="23">SUM(C15:C17)</f>
        <v>94.15588993981082</v>
      </c>
      <c r="D14" s="55">
        <f t="shared" si="23"/>
        <v>86.037059329320698</v>
      </c>
      <c r="E14" s="55">
        <f t="shared" si="23"/>
        <v>101.29535683576955</v>
      </c>
      <c r="F14" s="55">
        <f t="shared" si="23"/>
        <v>103.3249355116079</v>
      </c>
      <c r="G14" s="55">
        <f t="shared" si="23"/>
        <v>104.38495270851244</v>
      </c>
      <c r="H14" s="55">
        <f t="shared" si="23"/>
        <v>108.5797936371453</v>
      </c>
      <c r="I14" s="55">
        <f t="shared" si="23"/>
        <v>108.62493551160792</v>
      </c>
      <c r="J14" s="55">
        <f t="shared" si="23"/>
        <v>98.513929492691304</v>
      </c>
      <c r="K14" s="55">
        <f t="shared" si="23"/>
        <v>99.528718830610472</v>
      </c>
      <c r="L14" s="55">
        <f t="shared" si="23"/>
        <v>106.55993121238176</v>
      </c>
      <c r="M14" s="55">
        <f t="shared" si="23"/>
        <v>112.79260533104041</v>
      </c>
      <c r="N14" s="55">
        <f t="shared" si="23"/>
        <v>101.62914875322441</v>
      </c>
      <c r="O14" s="55">
        <f t="shared" si="23"/>
        <v>102.64402407566639</v>
      </c>
      <c r="P14" s="55">
        <f t="shared" si="23"/>
        <v>103.62347377472054</v>
      </c>
      <c r="Q14" s="55">
        <f t="shared" si="23"/>
        <v>109.78555460017192</v>
      </c>
      <c r="R14" s="55">
        <f t="shared" si="23"/>
        <v>117.93972484952707</v>
      </c>
      <c r="S14" s="55">
        <f t="shared" si="23"/>
        <v>127.72553740326744</v>
      </c>
      <c r="T14" s="55">
        <f t="shared" si="23"/>
        <v>129.29251934651762</v>
      </c>
      <c r="U14" s="55">
        <f t="shared" si="23"/>
        <v>141.35674978503869</v>
      </c>
      <c r="V14" s="55">
        <f t="shared" si="23"/>
        <v>147.16766981943255</v>
      </c>
      <c r="W14" s="55">
        <f t="shared" si="23"/>
        <v>142.21392949269134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1.0877042132416159</v>
      </c>
      <c r="K15" s="55">
        <v>1.0877042132416159</v>
      </c>
      <c r="L15" s="55">
        <v>0</v>
      </c>
      <c r="M15" s="55">
        <v>1.0877042132416159</v>
      </c>
      <c r="N15" s="55">
        <v>1.0877042132416159</v>
      </c>
      <c r="O15" s="55">
        <v>1.0877042132416159</v>
      </c>
      <c r="P15" s="55">
        <v>1.0877042132416159</v>
      </c>
      <c r="Q15" s="55">
        <v>2.1754084264832332</v>
      </c>
      <c r="R15" s="55">
        <v>2.1754084264832332</v>
      </c>
      <c r="S15" s="55">
        <v>2.967239896818572</v>
      </c>
      <c r="T15" s="55">
        <v>1.713155631986242</v>
      </c>
      <c r="U15" s="55">
        <v>2.3320722269991401</v>
      </c>
      <c r="V15" s="55">
        <v>2.4179707652622526</v>
      </c>
      <c r="W15" s="55">
        <v>1.8947549441100597</v>
      </c>
      <c r="DA15" s="10" t="s">
        <v>980</v>
      </c>
    </row>
    <row r="16" spans="1:105" x14ac:dyDescent="0.25">
      <c r="A16" s="61" t="s">
        <v>172</v>
      </c>
      <c r="B16" s="55">
        <v>82.20335339638865</v>
      </c>
      <c r="C16" s="55">
        <v>89.307308684436791</v>
      </c>
      <c r="D16" s="55">
        <v>81.188478073946669</v>
      </c>
      <c r="E16" s="55">
        <v>95.396560619088561</v>
      </c>
      <c r="F16" s="55">
        <v>97.426139294926912</v>
      </c>
      <c r="G16" s="55">
        <v>99.455889939810817</v>
      </c>
      <c r="H16" s="55">
        <v>106.55984522785897</v>
      </c>
      <c r="I16" s="55">
        <v>107.57472055030095</v>
      </c>
      <c r="J16" s="55">
        <v>97.426225279449682</v>
      </c>
      <c r="K16" s="55">
        <v>98.44101461736885</v>
      </c>
      <c r="L16" s="55">
        <v>106.55993121238176</v>
      </c>
      <c r="M16" s="55">
        <v>109.60447119518486</v>
      </c>
      <c r="N16" s="55">
        <v>98.441014617368864</v>
      </c>
      <c r="O16" s="55">
        <v>99.455889939810845</v>
      </c>
      <c r="P16" s="55">
        <v>101.48555460017195</v>
      </c>
      <c r="Q16" s="55">
        <v>106.55993121238173</v>
      </c>
      <c r="R16" s="55">
        <v>113.66388650042991</v>
      </c>
      <c r="S16" s="55">
        <v>124.23568357695618</v>
      </c>
      <c r="T16" s="55">
        <v>124.75021496130697</v>
      </c>
      <c r="U16" s="55">
        <v>137.59527085124677</v>
      </c>
      <c r="V16" s="55">
        <v>143.84668959587279</v>
      </c>
      <c r="W16" s="55">
        <v>139.48280309544285</v>
      </c>
      <c r="DA16" s="10" t="s">
        <v>981</v>
      </c>
    </row>
    <row r="17" spans="1:105" x14ac:dyDescent="0.25">
      <c r="A17" s="61" t="s">
        <v>113</v>
      </c>
      <c r="B17" s="55">
        <v>6.8692175408426479</v>
      </c>
      <c r="C17" s="55">
        <v>4.8485812553740324</v>
      </c>
      <c r="D17" s="55">
        <v>4.8485812553740324</v>
      </c>
      <c r="E17" s="55">
        <v>5.8987962166809975</v>
      </c>
      <c r="F17" s="55">
        <v>5.8987962166809975</v>
      </c>
      <c r="G17" s="55">
        <v>4.9290627687016331</v>
      </c>
      <c r="H17" s="55">
        <v>2.0199484092863287</v>
      </c>
      <c r="I17" s="55">
        <v>1.0502149613069649</v>
      </c>
      <c r="J17" s="55">
        <v>0</v>
      </c>
      <c r="K17" s="55">
        <v>0</v>
      </c>
      <c r="L17" s="55">
        <v>0</v>
      </c>
      <c r="M17" s="55">
        <v>2.1004299226139289</v>
      </c>
      <c r="N17" s="55">
        <v>2.1004299226139289</v>
      </c>
      <c r="O17" s="55">
        <v>2.1004299226139289</v>
      </c>
      <c r="P17" s="55">
        <v>1.0502149613069649</v>
      </c>
      <c r="Q17" s="55">
        <v>1.0502149613069649</v>
      </c>
      <c r="R17" s="55">
        <v>2.1004299226139289</v>
      </c>
      <c r="S17" s="55">
        <v>0.52261392949269125</v>
      </c>
      <c r="T17" s="55">
        <v>2.8291487532244197</v>
      </c>
      <c r="U17" s="55">
        <v>1.4294067067927771</v>
      </c>
      <c r="V17" s="55">
        <v>0.90300945829750645</v>
      </c>
      <c r="W17" s="55">
        <v>0.83637145313843497</v>
      </c>
      <c r="DA17" s="10" t="s">
        <v>982</v>
      </c>
    </row>
    <row r="18" spans="1:105" x14ac:dyDescent="0.25">
      <c r="A18" s="60" t="s">
        <v>153</v>
      </c>
      <c r="B18" s="55">
        <v>12.05932932072227</v>
      </c>
      <c r="C18" s="55">
        <v>14.4883920894239</v>
      </c>
      <c r="D18" s="55">
        <v>15.240756663800511</v>
      </c>
      <c r="E18" s="55">
        <v>17.669819432502148</v>
      </c>
      <c r="F18" s="55">
        <v>21.62510748065348</v>
      </c>
      <c r="G18" s="55">
        <v>17.626827171109198</v>
      </c>
      <c r="H18" s="55">
        <v>16.831470335339642</v>
      </c>
      <c r="I18" s="55">
        <v>15.19776440240757</v>
      </c>
      <c r="J18" s="55">
        <v>11.19948409286328</v>
      </c>
      <c r="K18" s="55">
        <v>5.631986242476354</v>
      </c>
      <c r="L18" s="55">
        <v>15.262252794496989</v>
      </c>
      <c r="M18" s="55">
        <v>12.05932932072227</v>
      </c>
      <c r="N18" s="55">
        <v>16.057609630266551</v>
      </c>
      <c r="O18" s="55">
        <v>15.58469475494411</v>
      </c>
      <c r="P18" s="55">
        <v>14.832330180567499</v>
      </c>
      <c r="Q18" s="55">
        <v>12.274290627687012</v>
      </c>
      <c r="R18" s="55">
        <v>13.134049871023214</v>
      </c>
      <c r="S18" s="55">
        <v>8.0558039552880487</v>
      </c>
      <c r="T18" s="55">
        <v>6.4418744625967319</v>
      </c>
      <c r="U18" s="55">
        <v>5.1713671539122954</v>
      </c>
      <c r="V18" s="55">
        <v>4.8729148753224409</v>
      </c>
      <c r="W18" s="55">
        <v>7.6533963886500418</v>
      </c>
      <c r="DA18" s="10" t="s">
        <v>983</v>
      </c>
    </row>
    <row r="19" spans="1:105" x14ac:dyDescent="0.25">
      <c r="A19" s="60" t="s">
        <v>51</v>
      </c>
      <c r="B19" s="55">
        <f>SUM(B20:B25)</f>
        <v>12.467755803955287</v>
      </c>
      <c r="C19" s="55">
        <f t="shared" ref="C19:W19" si="24">SUM(C20:C25)</f>
        <v>11.536199484092867</v>
      </c>
      <c r="D19" s="55">
        <f t="shared" si="24"/>
        <v>10.365864144453996</v>
      </c>
      <c r="E19" s="55">
        <f t="shared" si="24"/>
        <v>10.318142734307827</v>
      </c>
      <c r="F19" s="55">
        <f t="shared" si="24"/>
        <v>12.969303525365429</v>
      </c>
      <c r="G19" s="55">
        <f t="shared" si="24"/>
        <v>11.966122098022357</v>
      </c>
      <c r="H19" s="55">
        <f t="shared" si="24"/>
        <v>11.464574376612207</v>
      </c>
      <c r="I19" s="55">
        <f t="shared" si="24"/>
        <v>15.930954428202927</v>
      </c>
      <c r="J19" s="55">
        <f t="shared" si="24"/>
        <v>7.2608770421324156</v>
      </c>
      <c r="K19" s="55">
        <f t="shared" si="24"/>
        <v>16.766981943250219</v>
      </c>
      <c r="L19" s="55">
        <f t="shared" si="24"/>
        <v>13.269303525365434</v>
      </c>
      <c r="M19" s="55">
        <f t="shared" si="24"/>
        <v>9.2195184866723991</v>
      </c>
      <c r="N19" s="55">
        <f t="shared" si="24"/>
        <v>12.119002579535683</v>
      </c>
      <c r="O19" s="55">
        <f t="shared" si="24"/>
        <v>18.285984522785895</v>
      </c>
      <c r="P19" s="55">
        <f t="shared" si="24"/>
        <v>14.00584694754944</v>
      </c>
      <c r="Q19" s="55">
        <f t="shared" si="24"/>
        <v>17.588650042992263</v>
      </c>
      <c r="R19" s="55">
        <f t="shared" si="24"/>
        <v>19.69036973344798</v>
      </c>
      <c r="S19" s="55">
        <f t="shared" si="24"/>
        <v>29.962424763542565</v>
      </c>
      <c r="T19" s="55">
        <f t="shared" si="24"/>
        <v>25.051504729148746</v>
      </c>
      <c r="U19" s="55">
        <f t="shared" si="24"/>
        <v>35.580137575236456</v>
      </c>
      <c r="V19" s="55">
        <f t="shared" si="24"/>
        <v>32.619776440240749</v>
      </c>
      <c r="W19" s="55">
        <f t="shared" si="24"/>
        <v>21.711607910576099</v>
      </c>
      <c r="DA19" s="10"/>
    </row>
    <row r="20" spans="1:105" x14ac:dyDescent="0.25">
      <c r="A20" s="61" t="s">
        <v>171</v>
      </c>
      <c r="B20" s="55">
        <v>12.467755803955287</v>
      </c>
      <c r="C20" s="55">
        <v>11.536199484092867</v>
      </c>
      <c r="D20" s="55">
        <v>10.365864144453996</v>
      </c>
      <c r="E20" s="55">
        <v>10.318142734307827</v>
      </c>
      <c r="F20" s="55">
        <v>12.969303525365429</v>
      </c>
      <c r="G20" s="55">
        <v>11.966122098022357</v>
      </c>
      <c r="H20" s="55">
        <v>11.464574376612207</v>
      </c>
      <c r="I20" s="55">
        <v>15.930954428202927</v>
      </c>
      <c r="J20" s="55">
        <v>7.2608770421324156</v>
      </c>
      <c r="K20" s="55">
        <v>16.766981943250219</v>
      </c>
      <c r="L20" s="55">
        <v>13.255975924333619</v>
      </c>
      <c r="M20" s="55">
        <v>8.3118658641444547</v>
      </c>
      <c r="N20" s="55">
        <v>7.165348237317283</v>
      </c>
      <c r="O20" s="55">
        <v>11.082373172828886</v>
      </c>
      <c r="P20" s="55">
        <v>7.8579535683576953</v>
      </c>
      <c r="Q20" s="55">
        <v>11.034651762682717</v>
      </c>
      <c r="R20" s="55">
        <v>13.231986242476356</v>
      </c>
      <c r="S20" s="55">
        <v>24.121926053310403</v>
      </c>
      <c r="T20" s="55">
        <v>18.162252794496986</v>
      </c>
      <c r="U20" s="55">
        <v>28.604385210662084</v>
      </c>
      <c r="V20" s="55">
        <v>24.038521066208077</v>
      </c>
      <c r="W20" s="55">
        <v>15.28641444539983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0.90765262252794487</v>
      </c>
      <c r="N21" s="55">
        <v>3.176612209802236</v>
      </c>
      <c r="O21" s="55">
        <v>4.5380911435941522</v>
      </c>
      <c r="P21" s="55">
        <v>4.3708512467755796</v>
      </c>
      <c r="Q21" s="55">
        <v>4.7769561478933786</v>
      </c>
      <c r="R21" s="55">
        <v>4.6813413585554597</v>
      </c>
      <c r="S21" s="55">
        <v>4.4899398108340502</v>
      </c>
      <c r="T21" s="55">
        <v>5.0020636285468614</v>
      </c>
      <c r="U21" s="55">
        <v>4.9539122957867576</v>
      </c>
      <c r="V21" s="55">
        <v>4.6203783319002572</v>
      </c>
      <c r="W21" s="55">
        <v>3.7649183147033529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1.332760103181427E-2</v>
      </c>
      <c r="M22" s="55">
        <v>0</v>
      </c>
      <c r="N22" s="55">
        <v>1.7770421324161649</v>
      </c>
      <c r="O22" s="55">
        <v>2.6655202063628551</v>
      </c>
      <c r="P22" s="55">
        <v>1.7770421324161649</v>
      </c>
      <c r="Q22" s="55">
        <v>1.7770421324161649</v>
      </c>
      <c r="R22" s="55">
        <v>1.7770421324161649</v>
      </c>
      <c r="S22" s="55">
        <v>1.3505588993981079</v>
      </c>
      <c r="T22" s="55">
        <v>1.8871883061049011</v>
      </c>
      <c r="U22" s="55">
        <v>2.0218400687876179</v>
      </c>
      <c r="V22" s="55">
        <v>3.9608770421324166</v>
      </c>
      <c r="W22" s="55">
        <v>2.660275150472915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1.1942390369733447</v>
      </c>
      <c r="C26" s="55">
        <v>0.95546001719690443</v>
      </c>
      <c r="D26" s="55">
        <v>1.5525365434221836</v>
      </c>
      <c r="E26" s="55">
        <v>2.0779879621668096</v>
      </c>
      <c r="F26" s="55">
        <v>2.8423043852106615</v>
      </c>
      <c r="G26" s="55">
        <v>3.7021496130696465</v>
      </c>
      <c r="H26" s="55">
        <v>2.4840068787618224</v>
      </c>
      <c r="I26" s="55">
        <v>2.4840068787618228</v>
      </c>
      <c r="J26" s="55">
        <v>1.7196904557179711</v>
      </c>
      <c r="K26" s="55">
        <v>4.4663800515907139</v>
      </c>
      <c r="L26" s="55">
        <v>8.2640584694754935</v>
      </c>
      <c r="M26" s="55">
        <v>6.8787618228718834</v>
      </c>
      <c r="N26" s="55">
        <v>6.3533104041272566</v>
      </c>
      <c r="O26" s="55">
        <v>5.5889939810834042</v>
      </c>
      <c r="P26" s="55">
        <v>6.6159931212381773</v>
      </c>
      <c r="Q26" s="55">
        <v>7.643078245915734</v>
      </c>
      <c r="R26" s="55">
        <v>10.22261392949269</v>
      </c>
      <c r="S26" s="55">
        <v>11.349011177987959</v>
      </c>
      <c r="T26" s="55">
        <v>11.338435081685301</v>
      </c>
      <c r="U26" s="55">
        <v>9.8271711092003446</v>
      </c>
      <c r="V26" s="55">
        <v>9.55803955288048</v>
      </c>
      <c r="W26" s="55">
        <v>9.1611349957007722</v>
      </c>
      <c r="DA26" s="10" t="s">
        <v>990</v>
      </c>
    </row>
    <row r="27" spans="1:105" x14ac:dyDescent="0.25">
      <c r="A27" s="62" t="s">
        <v>24</v>
      </c>
      <c r="B27" s="63">
        <v>13.499570077386073</v>
      </c>
      <c r="C27" s="63">
        <v>12.811693895098884</v>
      </c>
      <c r="D27" s="63">
        <v>13.327601031814275</v>
      </c>
      <c r="E27" s="63">
        <v>13.929492691315559</v>
      </c>
      <c r="F27" s="63">
        <v>13.929492691315559</v>
      </c>
      <c r="G27" s="63">
        <v>13.41358555460017</v>
      </c>
      <c r="H27" s="63">
        <v>14.187446259673258</v>
      </c>
      <c r="I27" s="63">
        <v>12.467755803955287</v>
      </c>
      <c r="J27" s="63">
        <v>11.951848667239899</v>
      </c>
      <c r="K27" s="63">
        <v>11.6079105760963</v>
      </c>
      <c r="L27" s="63">
        <v>11.951848667239892</v>
      </c>
      <c r="M27" s="63">
        <v>11.607910576096302</v>
      </c>
      <c r="N27" s="63">
        <v>12.725709372312989</v>
      </c>
      <c r="O27" s="63">
        <v>13.241616509028376</v>
      </c>
      <c r="P27" s="63">
        <v>14.35941530524506</v>
      </c>
      <c r="Q27" s="63">
        <v>14.273430782459156</v>
      </c>
      <c r="R27" s="63">
        <v>15.649183147033535</v>
      </c>
      <c r="S27" s="63">
        <v>16.718658641444542</v>
      </c>
      <c r="T27" s="63">
        <v>16.348839208942387</v>
      </c>
      <c r="U27" s="63">
        <v>16.481341358555465</v>
      </c>
      <c r="V27" s="63">
        <v>16.890885640584688</v>
      </c>
      <c r="W27" s="63">
        <v>16.561306964746343</v>
      </c>
      <c r="DA27" s="11" t="s">
        <v>991</v>
      </c>
    </row>
    <row r="29" spans="1:105" x14ac:dyDescent="0.25">
      <c r="A29" s="219" t="s">
        <v>84</v>
      </c>
      <c r="B29" s="220">
        <v>310.47562644000004</v>
      </c>
      <c r="C29" s="220">
        <v>334.63777440000001</v>
      </c>
      <c r="D29" s="220">
        <v>311.21691167999995</v>
      </c>
      <c r="E29" s="220">
        <v>361.15915577025169</v>
      </c>
      <c r="F29" s="220">
        <v>376.74591881025168</v>
      </c>
      <c r="G29" s="220">
        <v>370.50941345025166</v>
      </c>
      <c r="H29" s="220">
        <v>381.25350077025178</v>
      </c>
      <c r="I29" s="220">
        <v>377.42232713025174</v>
      </c>
      <c r="J29" s="220">
        <v>336.37272989025172</v>
      </c>
      <c r="K29" s="220">
        <v>323.9754954697483</v>
      </c>
      <c r="L29" s="220">
        <v>368.90972094974825</v>
      </c>
      <c r="M29" s="220">
        <v>379.80002046974823</v>
      </c>
      <c r="N29" s="220">
        <v>357.0260688502517</v>
      </c>
      <c r="O29" s="220">
        <v>356.45129710605812</v>
      </c>
      <c r="P29" s="220">
        <v>357.94395441012443</v>
      </c>
      <c r="Q29" s="220">
        <v>368.21762063999984</v>
      </c>
      <c r="R29" s="220">
        <v>395.3236118399999</v>
      </c>
      <c r="S29" s="220">
        <v>413.81275792979261</v>
      </c>
      <c r="T29" s="220">
        <v>415.71128529883151</v>
      </c>
      <c r="U29" s="220">
        <v>449.57625926641998</v>
      </c>
      <c r="V29" s="220">
        <v>466.80987406705412</v>
      </c>
      <c r="W29" s="220">
        <v>458.18286912000008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207.07478976170802</v>
      </c>
      <c r="C31" s="59">
        <f t="shared" si="25"/>
        <v>207.57318534933469</v>
      </c>
      <c r="D31" s="59">
        <f t="shared" si="25"/>
        <v>179.88438315643072</v>
      </c>
      <c r="E31" s="59">
        <f t="shared" si="25"/>
        <v>215.19030656437309</v>
      </c>
      <c r="F31" s="59">
        <f t="shared" si="25"/>
        <v>198.63484736873374</v>
      </c>
      <c r="G31" s="59">
        <f t="shared" si="25"/>
        <v>195.32648563087267</v>
      </c>
      <c r="H31" s="59">
        <f t="shared" si="25"/>
        <v>202.8444588960366</v>
      </c>
      <c r="I31" s="59">
        <f t="shared" si="25"/>
        <v>186.56196722249314</v>
      </c>
      <c r="J31" s="59">
        <f t="shared" si="25"/>
        <v>180.73296765931005</v>
      </c>
      <c r="K31" s="59">
        <f t="shared" si="25"/>
        <v>198.3474251443433</v>
      </c>
      <c r="L31" s="59">
        <f t="shared" si="25"/>
        <v>183.96653398255305</v>
      </c>
      <c r="M31" s="59">
        <f t="shared" si="25"/>
        <v>193.70122088538338</v>
      </c>
      <c r="N31" s="59">
        <f t="shared" si="25"/>
        <v>189.99627732182429</v>
      </c>
      <c r="O31" s="59">
        <f t="shared" si="25"/>
        <v>210.893963677275</v>
      </c>
      <c r="P31" s="59">
        <f t="shared" si="25"/>
        <v>183.69759127182567</v>
      </c>
      <c r="Q31" s="59">
        <f t="shared" si="25"/>
        <v>188.1506979145523</v>
      </c>
      <c r="R31" s="59">
        <f t="shared" si="25"/>
        <v>215.19042013472639</v>
      </c>
      <c r="S31" s="59">
        <f t="shared" si="25"/>
        <v>209.72283746413649</v>
      </c>
      <c r="T31" s="59">
        <f t="shared" si="25"/>
        <v>193.74420501233737</v>
      </c>
      <c r="U31" s="59">
        <f t="shared" si="25"/>
        <v>204.36838969277824</v>
      </c>
      <c r="V31" s="59">
        <f t="shared" si="25"/>
        <v>202.08612925995018</v>
      </c>
      <c r="W31" s="59">
        <f t="shared" si="25"/>
        <v>170.97879189002759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122.34803499436498</v>
      </c>
      <c r="D32" s="55">
        <f t="shared" si="26"/>
        <v>127.81056238438666</v>
      </c>
      <c r="E32" s="55">
        <f t="shared" si="26"/>
        <v>135.4328803289018</v>
      </c>
      <c r="F32" s="55">
        <f t="shared" si="26"/>
        <v>134.84363036747555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137.23851152262935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135.04301399101342</v>
      </c>
      <c r="O32" s="55">
        <f t="shared" si="26"/>
        <v>132.95020410976804</v>
      </c>
      <c r="P32" s="55">
        <f t="shared" si="26"/>
        <v>130.15939664117732</v>
      </c>
      <c r="Q32" s="55">
        <f t="shared" si="26"/>
        <v>132.91816907674803</v>
      </c>
      <c r="R32" s="55">
        <f t="shared" si="26"/>
        <v>135.38540863538176</v>
      </c>
      <c r="S32" s="55">
        <f t="shared" si="26"/>
        <v>124.90211009173747</v>
      </c>
      <c r="T32" s="55">
        <f t="shared" si="26"/>
        <v>141.27985612939966</v>
      </c>
      <c r="U32" s="55">
        <f t="shared" si="26"/>
        <v>142.0119845958406</v>
      </c>
      <c r="V32" s="55">
        <f t="shared" si="26"/>
        <v>148.6260104466125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49.368822430961615</v>
      </c>
      <c r="C33" s="55">
        <f>IF(AGR_ued!C$5=0,"",AGR_ued!C$5/C$5*1000)</f>
        <v>47.767441285137522</v>
      </c>
      <c r="D33" s="55">
        <f>IF(AGR_ued!D$5=0,"",AGR_ued!D$5/D$5*1000)</f>
        <v>50.322795593549472</v>
      </c>
      <c r="E33" s="55">
        <f>IF(AGR_ued!E$5=0,"",AGR_ued!E$5/E$5*1000)</f>
        <v>53.325537410846465</v>
      </c>
      <c r="F33" s="55">
        <f>IF(AGR_ued!F$5=0,"",AGR_ued!F$5/F$5*1000)</f>
        <v>53.092384135432205</v>
      </c>
      <c r="G33" s="55">
        <f>IF(AGR_ued!G$5=0,"",AGR_ued!G$5/G$5*1000)</f>
        <v>60.858618228072253</v>
      </c>
      <c r="H33" s="55">
        <f>IF(AGR_ued!H$5=0,"",AGR_ued!H$5/H$5*1000)</f>
        <v>57.904625613187818</v>
      </c>
      <c r="I33" s="55">
        <f>IF(AGR_ued!I$5=0,"",AGR_ued!I$5/I$5*1000)</f>
        <v>53.52776982421134</v>
      </c>
      <c r="J33" s="55">
        <f>IF(AGR_ued!J$5=0,"",AGR_ued!J$5/J$5*1000)</f>
        <v>54.884471269264843</v>
      </c>
      <c r="K33" s="55">
        <f>IF(AGR_ued!K$5=0,"",AGR_ued!K$5/K$5*1000)</f>
        <v>60.981578026767373</v>
      </c>
      <c r="L33" s="55">
        <f>IF(AGR_ued!L$5=0,"",AGR_ued!L$5/L$5*1000)</f>
        <v>57.608812917720243</v>
      </c>
      <c r="M33" s="55">
        <f>IF(AGR_ued!M$5=0,"",AGR_ued!M$5/M$5*1000)</f>
        <v>52.766326258686725</v>
      </c>
      <c r="N33" s="55">
        <f>IF(AGR_ued!N$5=0,"",AGR_ued!N$5/N$5*1000)</f>
        <v>54.08041925162172</v>
      </c>
      <c r="O33" s="55">
        <f>IF(AGR_ued!O$5=0,"",AGR_ued!O$5/O$5*1000)</f>
        <v>52.920360777880795</v>
      </c>
      <c r="P33" s="55">
        <f>IF(AGR_ued!P$5=0,"",AGR_ued!P$5/P$5*1000)</f>
        <v>52.352088424652266</v>
      </c>
      <c r="Q33" s="55">
        <f>IF(AGR_ued!Q$5=0,"",AGR_ued!Q$5/Q$5*1000)</f>
        <v>53.212545172371826</v>
      </c>
      <c r="R33" s="55">
        <f>IF(AGR_ued!R$5=0,"",AGR_ued!R$5/R$5*1000)</f>
        <v>54.366261943072629</v>
      </c>
      <c r="S33" s="55">
        <f>IF(AGR_ued!S$5=0,"",AGR_ued!S$5/S$5*1000)</f>
        <v>49.522469219827464</v>
      </c>
      <c r="T33" s="55">
        <f>IF(AGR_ued!T$5=0,"",AGR_ued!T$5/T$5*1000)</f>
        <v>56.258131678809484</v>
      </c>
      <c r="U33" s="55">
        <f>IF(AGR_ued!U$5=0,"",AGR_ued!U$5/U$5*1000)</f>
        <v>55.54979269847685</v>
      </c>
      <c r="V33" s="55">
        <f>IF(AGR_ued!V$5=0,"",AGR_ued!V$5/V$5*1000)</f>
        <v>58.357746031626256</v>
      </c>
      <c r="W33" s="55">
        <f>IF(AGR_ued!W$5=0,"",AGR_ued!W$5/W$5*1000)</f>
        <v>56.555521962923706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2.3946665849819353</v>
      </c>
      <c r="C34" s="218">
        <f t="shared" si="27"/>
        <v>2.4608083551299762</v>
      </c>
      <c r="D34" s="218">
        <f t="shared" si="27"/>
        <v>2.4207325514288835</v>
      </c>
      <c r="E34" s="218">
        <f t="shared" si="27"/>
        <v>2.4645211794456414</v>
      </c>
      <c r="F34" s="218">
        <f t="shared" si="27"/>
        <v>2.4159101444693518</v>
      </c>
      <c r="G34" s="218">
        <f t="shared" si="27"/>
        <v>2.4320230989670466</v>
      </c>
      <c r="H34" s="218">
        <f t="shared" si="27"/>
        <v>2.4628806479940968</v>
      </c>
      <c r="I34" s="218">
        <f t="shared" si="27"/>
        <v>2.4200261576580915</v>
      </c>
      <c r="J34" s="218">
        <f t="shared" si="27"/>
        <v>2.5502418213453049</v>
      </c>
      <c r="K34" s="218">
        <f t="shared" si="27"/>
        <v>2.3370099924658971</v>
      </c>
      <c r="L34" s="218">
        <f t="shared" si="27"/>
        <v>2.3658125878935041</v>
      </c>
      <c r="M34" s="218">
        <f t="shared" si="27"/>
        <v>2.4793656691722812</v>
      </c>
      <c r="N34" s="218">
        <f t="shared" si="27"/>
        <v>2.3779968585527764</v>
      </c>
      <c r="O34" s="218">
        <f t="shared" si="27"/>
        <v>2.2861173361241853</v>
      </c>
      <c r="P34" s="218">
        <f t="shared" si="27"/>
        <v>2.3240972818495842</v>
      </c>
      <c r="Q34" s="218">
        <f t="shared" si="27"/>
        <v>2.279067934526485</v>
      </c>
      <c r="R34" s="218">
        <f t="shared" si="27"/>
        <v>2.2380700576257517</v>
      </c>
      <c r="S34" s="218">
        <f t="shared" si="27"/>
        <v>2.134845672290584</v>
      </c>
      <c r="T34" s="218">
        <f t="shared" si="27"/>
        <v>2.2054695356412082</v>
      </c>
      <c r="U34" s="218">
        <f t="shared" si="27"/>
        <v>2.1570033866647025</v>
      </c>
      <c r="V34" s="218">
        <f t="shared" si="27"/>
        <v>2.2111076048432752</v>
      </c>
      <c r="W34" s="218">
        <f t="shared" si="27"/>
        <v>2.3222487292489595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129.6529664660361</v>
      </c>
      <c r="C5" s="80">
        <f t="shared" ref="C5:W5" si="1">SUM(C6:C9,C16:C17,C25:C27)</f>
        <v>135.98693035253646</v>
      </c>
      <c r="D5" s="80">
        <f t="shared" si="1"/>
        <v>128.56311263972481</v>
      </c>
      <c r="E5" s="80">
        <f t="shared" si="1"/>
        <v>146.54333619948409</v>
      </c>
      <c r="F5" s="80">
        <f t="shared" si="1"/>
        <v>155.94368013757517</v>
      </c>
      <c r="G5" s="80">
        <f t="shared" si="1"/>
        <v>152.34617368873597</v>
      </c>
      <c r="H5" s="80">
        <f t="shared" si="1"/>
        <v>154.79982803095439</v>
      </c>
      <c r="I5" s="80">
        <f t="shared" si="1"/>
        <v>155.95795356835762</v>
      </c>
      <c r="J5" s="80">
        <f t="shared" si="1"/>
        <v>131.89836629406699</v>
      </c>
      <c r="K5" s="80">
        <f t="shared" si="1"/>
        <v>138.62820292347371</v>
      </c>
      <c r="L5" s="80">
        <f t="shared" si="1"/>
        <v>155.93361994840922</v>
      </c>
      <c r="M5" s="80">
        <f t="shared" si="1"/>
        <v>153.18435081685286</v>
      </c>
      <c r="N5" s="80">
        <f t="shared" si="1"/>
        <v>150.13731728288906</v>
      </c>
      <c r="O5" s="80">
        <f t="shared" si="1"/>
        <v>155.91994840928629</v>
      </c>
      <c r="P5" s="80">
        <f t="shared" si="1"/>
        <v>154.01418744625954</v>
      </c>
      <c r="Q5" s="80">
        <f t="shared" si="1"/>
        <v>161.56500429922608</v>
      </c>
      <c r="R5" s="80">
        <f t="shared" si="1"/>
        <v>176.63594153052452</v>
      </c>
      <c r="S5" s="80">
        <f t="shared" si="1"/>
        <v>193.83731728288902</v>
      </c>
      <c r="T5" s="80">
        <f t="shared" si="1"/>
        <v>188.4910576096303</v>
      </c>
      <c r="U5" s="80">
        <f t="shared" si="1"/>
        <v>208.42631126397245</v>
      </c>
      <c r="V5" s="80">
        <f t="shared" si="1"/>
        <v>211.1203783319003</v>
      </c>
      <c r="W5" s="80">
        <f t="shared" si="1"/>
        <v>197.30137575236452</v>
      </c>
      <c r="DA5" s="103"/>
    </row>
    <row r="6" spans="1:105" x14ac:dyDescent="0.25">
      <c r="A6" s="239" t="s">
        <v>125</v>
      </c>
      <c r="B6" s="240">
        <v>2.4395594860810861</v>
      </c>
      <c r="C6" s="240">
        <v>2.3614193512617989</v>
      </c>
      <c r="D6" s="240">
        <v>2.4209650641249478</v>
      </c>
      <c r="E6" s="240">
        <v>2.571341160841047</v>
      </c>
      <c r="F6" s="240">
        <v>2.5932924494775111</v>
      </c>
      <c r="G6" s="240">
        <v>2.5051182022567451</v>
      </c>
      <c r="H6" s="240">
        <v>2.6391583464898738</v>
      </c>
      <c r="I6" s="240">
        <v>2.3536966352138671</v>
      </c>
      <c r="J6" s="240">
        <v>2.230047442686649</v>
      </c>
      <c r="K6" s="240">
        <v>2.1783936364558132</v>
      </c>
      <c r="L6" s="240">
        <v>2.2772328113250069</v>
      </c>
      <c r="M6" s="240">
        <v>2.2139282625268799</v>
      </c>
      <c r="N6" s="240">
        <v>2.4003815481486921</v>
      </c>
      <c r="O6" s="240">
        <v>2.492246953532177</v>
      </c>
      <c r="P6" s="240">
        <v>2.6794659275443129</v>
      </c>
      <c r="Q6" s="240">
        <v>2.6776019556385608</v>
      </c>
      <c r="R6" s="240">
        <v>2.9348348317005151</v>
      </c>
      <c r="S6" s="240">
        <v>3.1323768820576321</v>
      </c>
      <c r="T6" s="240">
        <v>3.067534720098843</v>
      </c>
      <c r="U6" s="240">
        <v>3.1118208892052288</v>
      </c>
      <c r="V6" s="240">
        <v>3.1913511322380792</v>
      </c>
      <c r="W6" s="240">
        <v>3.1228981387250259</v>
      </c>
      <c r="DA6" s="268" t="s">
        <v>993</v>
      </c>
    </row>
    <row r="7" spans="1:105" x14ac:dyDescent="0.25">
      <c r="A7" s="241" t="s">
        <v>124</v>
      </c>
      <c r="B7" s="242">
        <v>1.5857136659527049</v>
      </c>
      <c r="C7" s="242">
        <v>1.534922578320169</v>
      </c>
      <c r="D7" s="242">
        <v>1.573627291681216</v>
      </c>
      <c r="E7" s="242">
        <v>1.67137175454668</v>
      </c>
      <c r="F7" s="242">
        <v>1.685640092160382</v>
      </c>
      <c r="G7" s="242">
        <v>1.628326831466884</v>
      </c>
      <c r="H7" s="242">
        <v>1.7154529252184181</v>
      </c>
      <c r="I7" s="242">
        <v>1.5299028128890131</v>
      </c>
      <c r="J7" s="242">
        <v>1.4495308377463221</v>
      </c>
      <c r="K7" s="242">
        <v>1.4159558636962779</v>
      </c>
      <c r="L7" s="242">
        <v>1.480201327361254</v>
      </c>
      <c r="M7" s="242">
        <v>1.439053370642472</v>
      </c>
      <c r="N7" s="242">
        <v>1.5602480062966491</v>
      </c>
      <c r="O7" s="242">
        <v>1.6199605197959139</v>
      </c>
      <c r="P7" s="242">
        <v>1.7416528529038029</v>
      </c>
      <c r="Q7" s="242">
        <v>1.740441271165063</v>
      </c>
      <c r="R7" s="242">
        <v>1.907642640605334</v>
      </c>
      <c r="S7" s="242">
        <v>2.036044973337459</v>
      </c>
      <c r="T7" s="242">
        <v>1.9938975680642479</v>
      </c>
      <c r="U7" s="242">
        <v>2.0226835779833978</v>
      </c>
      <c r="V7" s="242">
        <v>2.0743782359547511</v>
      </c>
      <c r="W7" s="242">
        <v>2.029883790171267</v>
      </c>
      <c r="DA7" s="269" t="s">
        <v>994</v>
      </c>
    </row>
    <row r="8" spans="1:105" x14ac:dyDescent="0.25">
      <c r="A8" s="241" t="s">
        <v>123</v>
      </c>
      <c r="B8" s="242">
        <v>2.195603537472977</v>
      </c>
      <c r="C8" s="242">
        <v>2.1252774161356189</v>
      </c>
      <c r="D8" s="242">
        <v>2.1788685577124531</v>
      </c>
      <c r="E8" s="242">
        <v>2.3142070447569409</v>
      </c>
      <c r="F8" s="242">
        <v>2.33396320452976</v>
      </c>
      <c r="G8" s="242">
        <v>2.2546063820310702</v>
      </c>
      <c r="H8" s="242">
        <v>2.375242511840888</v>
      </c>
      <c r="I8" s="242">
        <v>2.11832697169248</v>
      </c>
      <c r="J8" s="242">
        <v>2.0070426984179841</v>
      </c>
      <c r="K8" s="242">
        <v>1.960554272810231</v>
      </c>
      <c r="L8" s="242">
        <v>2.0495095301925068</v>
      </c>
      <c r="M8" s="242">
        <v>1.9925354362741921</v>
      </c>
      <c r="N8" s="242">
        <v>2.1603433933338221</v>
      </c>
      <c r="O8" s="242">
        <v>2.2430222581789581</v>
      </c>
      <c r="P8" s="242">
        <v>2.4115193347898818</v>
      </c>
      <c r="Q8" s="242">
        <v>2.4098417600747029</v>
      </c>
      <c r="R8" s="242">
        <v>2.6413513485304621</v>
      </c>
      <c r="S8" s="242">
        <v>2.8191391938518682</v>
      </c>
      <c r="T8" s="242">
        <v>2.7607812480889589</v>
      </c>
      <c r="U8" s="242">
        <v>2.8006388002847058</v>
      </c>
      <c r="V8" s="242">
        <v>2.87221601901427</v>
      </c>
      <c r="W8" s="242">
        <v>2.8106083248525229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25.38297583075467</v>
      </c>
      <c r="C9" s="244">
        <f t="shared" ref="C9:W9" si="3">SUM(C10:C15)</f>
        <v>27.106831512274038</v>
      </c>
      <c r="D9" s="244">
        <f t="shared" si="3"/>
        <v>25.718078537355584</v>
      </c>
      <c r="E9" s="244">
        <f t="shared" si="3"/>
        <v>29.805126799017728</v>
      </c>
      <c r="F9" s="244">
        <f t="shared" si="3"/>
        <v>32.093186696504681</v>
      </c>
      <c r="G9" s="244">
        <f t="shared" si="3"/>
        <v>31.654215277605715</v>
      </c>
      <c r="H9" s="244">
        <f t="shared" si="3"/>
        <v>31.881595474723394</v>
      </c>
      <c r="I9" s="244">
        <f t="shared" si="3"/>
        <v>32.138111288078228</v>
      </c>
      <c r="J9" s="244">
        <f t="shared" si="3"/>
        <v>27.168816301543536</v>
      </c>
      <c r="K9" s="244">
        <f t="shared" si="3"/>
        <v>28.696090657057532</v>
      </c>
      <c r="L9" s="244">
        <f t="shared" si="3"/>
        <v>34.563525803826387</v>
      </c>
      <c r="M9" s="244">
        <f t="shared" si="3"/>
        <v>33.579287730613906</v>
      </c>
      <c r="N9" s="244">
        <f t="shared" si="3"/>
        <v>32.768995177967568</v>
      </c>
      <c r="O9" s="244">
        <f t="shared" si="3"/>
        <v>33.477623249040583</v>
      </c>
      <c r="P9" s="244">
        <f t="shared" si="3"/>
        <v>33.476006783497816</v>
      </c>
      <c r="Q9" s="244">
        <f t="shared" si="3"/>
        <v>35.15943789428465</v>
      </c>
      <c r="R9" s="244">
        <f t="shared" si="3"/>
        <v>38.930634936025896</v>
      </c>
      <c r="S9" s="244">
        <f t="shared" si="3"/>
        <v>41.852860147830114</v>
      </c>
      <c r="T9" s="244">
        <f t="shared" si="3"/>
        <v>41.127217020950582</v>
      </c>
      <c r="U9" s="244">
        <f t="shared" si="3"/>
        <v>44.048285380973127</v>
      </c>
      <c r="V9" s="244">
        <f t="shared" si="3"/>
        <v>44.911284852175548</v>
      </c>
      <c r="W9" s="244">
        <f t="shared" si="3"/>
        <v>42.637469892995284</v>
      </c>
      <c r="DA9" s="270"/>
    </row>
    <row r="10" spans="1:105" x14ac:dyDescent="0.25">
      <c r="A10" s="254" t="s">
        <v>173</v>
      </c>
      <c r="B10" s="255">
        <v>17.905953519621779</v>
      </c>
      <c r="C10" s="255">
        <v>19.29498754524586</v>
      </c>
      <c r="D10" s="255">
        <v>16.892874103625431</v>
      </c>
      <c r="E10" s="255">
        <v>19.766223780296151</v>
      </c>
      <c r="F10" s="255">
        <v>19.786176177164741</v>
      </c>
      <c r="G10" s="255">
        <v>20.295215950139731</v>
      </c>
      <c r="H10" s="255">
        <v>22.053940927897639</v>
      </c>
      <c r="I10" s="255">
        <v>23.013309901463661</v>
      </c>
      <c r="J10" s="255">
        <v>20.512599642147251</v>
      </c>
      <c r="K10" s="255">
        <v>21.335733999574231</v>
      </c>
      <c r="L10" s="255">
        <v>20.378111803177831</v>
      </c>
      <c r="M10" s="255">
        <v>21.591362978315971</v>
      </c>
      <c r="N10" s="255">
        <v>18.93162037379156</v>
      </c>
      <c r="O10" s="255">
        <v>19.77393475109621</v>
      </c>
      <c r="P10" s="255">
        <v>19.273751823886531</v>
      </c>
      <c r="Q10" s="255">
        <v>20.630533646855181</v>
      </c>
      <c r="R10" s="255">
        <v>21.5158203341052</v>
      </c>
      <c r="S10" s="255">
        <v>24.79816997865219</v>
      </c>
      <c r="T10" s="255">
        <v>24.68054761611722</v>
      </c>
      <c r="U10" s="255">
        <v>29.36969834331083</v>
      </c>
      <c r="V10" s="255">
        <v>30.852112912064008</v>
      </c>
      <c r="W10" s="255">
        <v>28.47535219420983</v>
      </c>
      <c r="DA10" s="271" t="s">
        <v>996</v>
      </c>
    </row>
    <row r="11" spans="1:105" x14ac:dyDescent="0.25">
      <c r="A11" s="254" t="s">
        <v>176</v>
      </c>
      <c r="B11" s="256">
        <v>4.9810106262144602</v>
      </c>
      <c r="C11" s="256">
        <v>5.8517868101753834</v>
      </c>
      <c r="D11" s="256">
        <v>6.0498921786307287</v>
      </c>
      <c r="E11" s="256">
        <v>6.8881281684921616</v>
      </c>
      <c r="F11" s="256">
        <v>8.5016756895700691</v>
      </c>
      <c r="G11" s="256">
        <v>6.7688551704001156</v>
      </c>
      <c r="H11" s="256">
        <v>6.3519931402451419</v>
      </c>
      <c r="I11" s="256">
        <v>5.9415218794798248</v>
      </c>
      <c r="J11" s="256">
        <v>4.1349147493116334</v>
      </c>
      <c r="K11" s="256">
        <v>2.178034211334797</v>
      </c>
      <c r="L11" s="256">
        <v>5.3556709199217662</v>
      </c>
      <c r="M11" s="256">
        <v>4.5708936653098942</v>
      </c>
      <c r="N11" s="256">
        <v>6.7602627675774194</v>
      </c>
      <c r="O11" s="256">
        <v>7.3343127746085433</v>
      </c>
      <c r="P11" s="256">
        <v>6.6241761702339623</v>
      </c>
      <c r="Q11" s="256">
        <v>6.0004049964519171</v>
      </c>
      <c r="R11" s="256">
        <v>6.2171916830442662</v>
      </c>
      <c r="S11" s="256">
        <v>4.6489047590917476</v>
      </c>
      <c r="T11" s="256">
        <v>4.0970687137555304</v>
      </c>
      <c r="U11" s="256">
        <v>3.9291790152890229</v>
      </c>
      <c r="V11" s="256">
        <v>3.5670024071778692</v>
      </c>
      <c r="W11" s="256">
        <v>4.0541664314074612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1.194239036968342</v>
      </c>
      <c r="C14" s="255">
        <v>0.95546001719270102</v>
      </c>
      <c r="D14" s="255">
        <v>1.552536543418598</v>
      </c>
      <c r="E14" s="255">
        <v>2.0779879621573052</v>
      </c>
      <c r="F14" s="255">
        <v>2.8423043852021079</v>
      </c>
      <c r="G14" s="255">
        <v>3.7021496130570619</v>
      </c>
      <c r="H14" s="255">
        <v>2.4840068787546312</v>
      </c>
      <c r="I14" s="255">
        <v>2.4840068787554821</v>
      </c>
      <c r="J14" s="255">
        <v>1.7196904557123001</v>
      </c>
      <c r="K14" s="255">
        <v>4.4663800515721839</v>
      </c>
      <c r="L14" s="255">
        <v>8.2640584694459154</v>
      </c>
      <c r="M14" s="255">
        <v>6.8787618228459371</v>
      </c>
      <c r="N14" s="255">
        <v>6.3533104040956552</v>
      </c>
      <c r="O14" s="255">
        <v>5.5889939810576861</v>
      </c>
      <c r="P14" s="255">
        <v>6.6159931212177279</v>
      </c>
      <c r="Q14" s="255">
        <v>7.643078245885901</v>
      </c>
      <c r="R14" s="255">
        <v>10.22261392945404</v>
      </c>
      <c r="S14" s="255">
        <v>11.34901117794641</v>
      </c>
      <c r="T14" s="255">
        <v>11.338435081641389</v>
      </c>
      <c r="U14" s="255">
        <v>9.8271711091761347</v>
      </c>
      <c r="V14" s="255">
        <v>9.5580395528562079</v>
      </c>
      <c r="W14" s="255">
        <v>9.1611349956796371</v>
      </c>
      <c r="DA14" s="271" t="s">
        <v>1000</v>
      </c>
    </row>
    <row r="15" spans="1:105" x14ac:dyDescent="0.25">
      <c r="A15" s="254" t="s">
        <v>24</v>
      </c>
      <c r="B15" s="256">
        <v>1.3017726479500911</v>
      </c>
      <c r="C15" s="256">
        <v>1.0045971396600959</v>
      </c>
      <c r="D15" s="256">
        <v>1.222775711680828</v>
      </c>
      <c r="E15" s="256">
        <v>1.0727868880721101</v>
      </c>
      <c r="F15" s="256">
        <v>0.96303044456775699</v>
      </c>
      <c r="G15" s="256">
        <v>0.88799454400880329</v>
      </c>
      <c r="H15" s="256">
        <v>0.99165452782598107</v>
      </c>
      <c r="I15" s="256">
        <v>0.6992726283792603</v>
      </c>
      <c r="J15" s="256">
        <v>0.80161145437235404</v>
      </c>
      <c r="K15" s="256">
        <v>0.71594239457632025</v>
      </c>
      <c r="L15" s="256">
        <v>0.56568461128087255</v>
      </c>
      <c r="M15" s="256">
        <v>0.53826926414209841</v>
      </c>
      <c r="N15" s="256">
        <v>0.72380163250293328</v>
      </c>
      <c r="O15" s="256">
        <v>0.78038174227814316</v>
      </c>
      <c r="P15" s="256">
        <v>0.96208566815959529</v>
      </c>
      <c r="Q15" s="256">
        <v>0.88542100509165322</v>
      </c>
      <c r="R15" s="256">
        <v>0.97500898942239356</v>
      </c>
      <c r="S15" s="256">
        <v>1.056774232139766</v>
      </c>
      <c r="T15" s="256">
        <v>1.0111656094364481</v>
      </c>
      <c r="U15" s="256">
        <v>0.92223691319714074</v>
      </c>
      <c r="V15" s="256">
        <v>0.93412998007746162</v>
      </c>
      <c r="W15" s="256">
        <v>0.94681627169835236</v>
      </c>
      <c r="DA15" s="272" t="s">
        <v>1001</v>
      </c>
    </row>
    <row r="16" spans="1:105" x14ac:dyDescent="0.25">
      <c r="A16" s="257" t="s">
        <v>175</v>
      </c>
      <c r="B16" s="258">
        <v>32.58959069908029</v>
      </c>
      <c r="C16" s="258">
        <v>34.840173827799248</v>
      </c>
      <c r="D16" s="258">
        <v>32.405357841255231</v>
      </c>
      <c r="E16" s="258">
        <v>37.487567045915959</v>
      </c>
      <c r="F16" s="258">
        <v>39.506036727999472</v>
      </c>
      <c r="G16" s="258">
        <v>39.092931354832338</v>
      </c>
      <c r="H16" s="258">
        <v>40.364986638810393</v>
      </c>
      <c r="I16" s="258">
        <v>40.857983821158562</v>
      </c>
      <c r="J16" s="258">
        <v>35.119088745368103</v>
      </c>
      <c r="K16" s="258">
        <v>36.296206476500451</v>
      </c>
      <c r="L16" s="258">
        <v>40.683356594096047</v>
      </c>
      <c r="M16" s="258">
        <v>40.559053435148783</v>
      </c>
      <c r="N16" s="258">
        <v>38.882442864580199</v>
      </c>
      <c r="O16" s="258">
        <v>40.152936350365621</v>
      </c>
      <c r="P16" s="258">
        <v>39.750490458210102</v>
      </c>
      <c r="Q16" s="258">
        <v>41.698776411891423</v>
      </c>
      <c r="R16" s="258">
        <v>45.117536358894853</v>
      </c>
      <c r="S16" s="258">
        <v>49.208886454733857</v>
      </c>
      <c r="T16" s="258">
        <v>48.399328626225753</v>
      </c>
      <c r="U16" s="258">
        <v>53.6279473991694</v>
      </c>
      <c r="V16" s="258">
        <v>55.107715199235898</v>
      </c>
      <c r="W16" s="258">
        <v>51.959515952922622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53.220241060273906</v>
      </c>
      <c r="C17" s="258">
        <f t="shared" ref="C17:W17" si="5">SUM(C18:C24)</f>
        <v>55.53799850670768</v>
      </c>
      <c r="D17" s="258">
        <f t="shared" si="5"/>
        <v>52.10789137394454</v>
      </c>
      <c r="E17" s="258">
        <f t="shared" si="5"/>
        <v>59.190388131389938</v>
      </c>
      <c r="F17" s="258">
        <f t="shared" si="5"/>
        <v>63.786580275944232</v>
      </c>
      <c r="G17" s="258">
        <f t="shared" si="5"/>
        <v>61.561403495435691</v>
      </c>
      <c r="H17" s="258">
        <f t="shared" si="5"/>
        <v>61.600985611617148</v>
      </c>
      <c r="I17" s="258">
        <f t="shared" si="5"/>
        <v>63.342173192606147</v>
      </c>
      <c r="J17" s="258">
        <f t="shared" si="5"/>
        <v>51.711798458464457</v>
      </c>
      <c r="K17" s="258">
        <f t="shared" si="5"/>
        <v>55.769319050566239</v>
      </c>
      <c r="L17" s="258">
        <f t="shared" si="5"/>
        <v>61.482927480391787</v>
      </c>
      <c r="M17" s="258">
        <f t="shared" si="5"/>
        <v>60.182608212885924</v>
      </c>
      <c r="N17" s="258">
        <f t="shared" si="5"/>
        <v>59.012386067574489</v>
      </c>
      <c r="O17" s="258">
        <f t="shared" si="5"/>
        <v>62.112432698958614</v>
      </c>
      <c r="P17" s="258">
        <f t="shared" si="5"/>
        <v>59.751972555620668</v>
      </c>
      <c r="Q17" s="258">
        <f t="shared" si="5"/>
        <v>63.306012821168167</v>
      </c>
      <c r="R17" s="258">
        <f t="shared" si="5"/>
        <v>69.243885468589454</v>
      </c>
      <c r="S17" s="258">
        <f t="shared" si="5"/>
        <v>77.657788644422283</v>
      </c>
      <c r="T17" s="258">
        <f t="shared" si="5"/>
        <v>74.326504019725405</v>
      </c>
      <c r="U17" s="258">
        <f t="shared" si="5"/>
        <v>84.885917024476285</v>
      </c>
      <c r="V17" s="258">
        <f t="shared" si="5"/>
        <v>84.55521589120994</v>
      </c>
      <c r="W17" s="258">
        <f t="shared" si="5"/>
        <v>77.105445206139535</v>
      </c>
      <c r="DA17" s="273"/>
    </row>
    <row r="18" spans="1:105" x14ac:dyDescent="0.25">
      <c r="A18" s="61" t="s">
        <v>29</v>
      </c>
      <c r="B18" s="55">
        <v>1.3595012897547349</v>
      </c>
      <c r="C18" s="55">
        <v>2.0392949268970999</v>
      </c>
      <c r="D18" s="55">
        <v>2.039294926903267</v>
      </c>
      <c r="E18" s="55">
        <v>1.252536543412097</v>
      </c>
      <c r="F18" s="55">
        <v>1.252536543415977</v>
      </c>
      <c r="G18" s="55">
        <v>1.252536543415333</v>
      </c>
      <c r="H18" s="55">
        <v>1.252536543416304</v>
      </c>
      <c r="I18" s="55">
        <v>1.2525365434175351</v>
      </c>
      <c r="J18" s="55">
        <v>1.2525365434157529</v>
      </c>
      <c r="K18" s="55">
        <v>0.62622527944557971</v>
      </c>
      <c r="L18" s="55">
        <v>0.6262252794465909</v>
      </c>
      <c r="M18" s="55">
        <v>0.62622527944648465</v>
      </c>
      <c r="N18" s="55">
        <v>1.252536543412978</v>
      </c>
      <c r="O18" s="55">
        <v>0.57463456577417871</v>
      </c>
      <c r="P18" s="55">
        <v>0.5771281169360658</v>
      </c>
      <c r="Q18" s="55">
        <v>0</v>
      </c>
      <c r="R18" s="55">
        <v>0</v>
      </c>
      <c r="S18" s="55">
        <v>2.5881341358395041E-2</v>
      </c>
      <c r="T18" s="55">
        <v>1.7884780739352929E-2</v>
      </c>
      <c r="U18" s="55">
        <v>9.5442820291982075E-3</v>
      </c>
      <c r="V18" s="55">
        <v>1.109200343933826E-2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1.0877042132360311</v>
      </c>
      <c r="K19" s="55">
        <v>1.087704213234461</v>
      </c>
      <c r="L19" s="55">
        <v>0</v>
      </c>
      <c r="M19" s="55">
        <v>1.0877042132360319</v>
      </c>
      <c r="N19" s="55">
        <v>1.087704213233621</v>
      </c>
      <c r="O19" s="55">
        <v>1.08770421323408</v>
      </c>
      <c r="P19" s="55">
        <v>1.0877042132361781</v>
      </c>
      <c r="Q19" s="55">
        <v>2.1754084264698812</v>
      </c>
      <c r="R19" s="55">
        <v>2.1754084264699491</v>
      </c>
      <c r="S19" s="55">
        <v>2.9672398968001792</v>
      </c>
      <c r="T19" s="55">
        <v>1.7131556319753261</v>
      </c>
      <c r="U19" s="55">
        <v>2.3320722269902152</v>
      </c>
      <c r="V19" s="55">
        <v>2.4179707652529552</v>
      </c>
      <c r="W19" s="55">
        <v>1.894754944103465</v>
      </c>
      <c r="DA19" s="101" t="s">
        <v>1004</v>
      </c>
    </row>
    <row r="20" spans="1:105" x14ac:dyDescent="0.25">
      <c r="A20" s="61" t="s">
        <v>173</v>
      </c>
      <c r="B20" s="55">
        <v>25.445447731488962</v>
      </c>
      <c r="C20" s="55">
        <v>28.477317561317911</v>
      </c>
      <c r="D20" s="55">
        <v>25.663286562175781</v>
      </c>
      <c r="E20" s="55">
        <v>30.939221373227969</v>
      </c>
      <c r="F20" s="55">
        <v>30.542512199582539</v>
      </c>
      <c r="G20" s="55">
        <v>32.555710084762097</v>
      </c>
      <c r="H20" s="55">
        <v>36.384449087338702</v>
      </c>
      <c r="I20" s="55">
        <v>35.852224736863519</v>
      </c>
      <c r="J20" s="55">
        <v>35.046111316215807</v>
      </c>
      <c r="K20" s="55">
        <v>33.834455583636469</v>
      </c>
      <c r="L20" s="55">
        <v>37.694144402170487</v>
      </c>
      <c r="M20" s="55">
        <v>39.660294655618493</v>
      </c>
      <c r="N20" s="55">
        <v>34.932408078698721</v>
      </c>
      <c r="O20" s="55">
        <v>34.47881770079151</v>
      </c>
      <c r="P20" s="55">
        <v>36.599966438802539</v>
      </c>
      <c r="Q20" s="55">
        <v>37.994895891745557</v>
      </c>
      <c r="R20" s="55">
        <v>40.137861330682767</v>
      </c>
      <c r="S20" s="55">
        <v>42.123288416648997</v>
      </c>
      <c r="T20" s="55">
        <v>44.257192682097703</v>
      </c>
      <c r="U20" s="55">
        <v>46.314408163740332</v>
      </c>
      <c r="V20" s="55">
        <v>51.258331798094993</v>
      </c>
      <c r="W20" s="55">
        <v>51.723756091642962</v>
      </c>
      <c r="DA20" s="101" t="s">
        <v>1005</v>
      </c>
    </row>
    <row r="21" spans="1:105" x14ac:dyDescent="0.25">
      <c r="A21" s="61" t="s">
        <v>129</v>
      </c>
      <c r="B21" s="55">
        <v>6.8692175407764227</v>
      </c>
      <c r="C21" s="55">
        <v>4.8485812553358576</v>
      </c>
      <c r="D21" s="55">
        <v>4.8485812553505214</v>
      </c>
      <c r="E21" s="55">
        <v>5.8987962166334951</v>
      </c>
      <c r="F21" s="55">
        <v>5.8987962166517631</v>
      </c>
      <c r="G21" s="55">
        <v>4.9290627686746724</v>
      </c>
      <c r="H21" s="55">
        <v>2.019948409276846</v>
      </c>
      <c r="I21" s="55">
        <v>1.050214961303068</v>
      </c>
      <c r="J21" s="55">
        <v>0</v>
      </c>
      <c r="K21" s="55">
        <v>0</v>
      </c>
      <c r="L21" s="55">
        <v>0</v>
      </c>
      <c r="M21" s="55">
        <v>2.1004299226031469</v>
      </c>
      <c r="N21" s="55">
        <v>2.100429922598491</v>
      </c>
      <c r="O21" s="55">
        <v>2.100429922599377</v>
      </c>
      <c r="P21" s="55">
        <v>1.050214961301714</v>
      </c>
      <c r="Q21" s="55">
        <v>1.0502149613005189</v>
      </c>
      <c r="R21" s="55">
        <v>2.1004299226011018</v>
      </c>
      <c r="S21" s="55">
        <v>0.52261392948945173</v>
      </c>
      <c r="T21" s="55">
        <v>2.8291487532063928</v>
      </c>
      <c r="U21" s="55">
        <v>1.429406706787306</v>
      </c>
      <c r="V21" s="55">
        <v>0.90300945829403412</v>
      </c>
      <c r="W21" s="55">
        <v>0.83637145313552408</v>
      </c>
      <c r="DA21" s="101" t="s">
        <v>1006</v>
      </c>
    </row>
    <row r="22" spans="1:105" x14ac:dyDescent="0.25">
      <c r="A22" s="61" t="s">
        <v>176</v>
      </c>
      <c r="B22" s="55">
        <v>7.0783186944187033</v>
      </c>
      <c r="C22" s="55">
        <v>8.6366052791547734</v>
      </c>
      <c r="D22" s="55">
        <v>9.1908644851112431</v>
      </c>
      <c r="E22" s="55">
        <v>10.78169126389165</v>
      </c>
      <c r="F22" s="55">
        <v>13.12343179099279</v>
      </c>
      <c r="G22" s="55">
        <v>10.857972000626679</v>
      </c>
      <c r="H22" s="55">
        <v>10.479477195026909</v>
      </c>
      <c r="I22" s="55">
        <v>9.2562425228782246</v>
      </c>
      <c r="J22" s="55">
        <v>7.0645693435017352</v>
      </c>
      <c r="K22" s="55">
        <v>3.4539520311098011</v>
      </c>
      <c r="L22" s="55">
        <v>9.9065818745068839</v>
      </c>
      <c r="M22" s="55">
        <v>8.3960882778799792</v>
      </c>
      <c r="N22" s="55">
        <v>12.47395907236606</v>
      </c>
      <c r="O22" s="55">
        <v>12.788473123807369</v>
      </c>
      <c r="P22" s="55">
        <v>12.579005257025759</v>
      </c>
      <c r="Q22" s="55">
        <v>11.050841779037221</v>
      </c>
      <c r="R22" s="55">
        <v>11.598199546440069</v>
      </c>
      <c r="S22" s="55">
        <v>7.8968390069643846</v>
      </c>
      <c r="T22" s="55">
        <v>7.346869377325385</v>
      </c>
      <c r="U22" s="55">
        <v>6.1961004343766373</v>
      </c>
      <c r="V22" s="55">
        <v>5.9262908000129837</v>
      </c>
      <c r="W22" s="55">
        <v>7.3641482719109526</v>
      </c>
      <c r="DA22" s="101" t="s">
        <v>1007</v>
      </c>
    </row>
    <row r="23" spans="1:105" x14ac:dyDescent="0.25">
      <c r="A23" s="61" t="s">
        <v>171</v>
      </c>
      <c r="B23" s="55">
        <v>12.467755803835081</v>
      </c>
      <c r="C23" s="55">
        <v>11.53619948400204</v>
      </c>
      <c r="D23" s="55">
        <v>10.36586414440373</v>
      </c>
      <c r="E23" s="55">
        <v>10.318142734224731</v>
      </c>
      <c r="F23" s="55">
        <v>12.969303525301161</v>
      </c>
      <c r="G23" s="55">
        <v>11.966122097956911</v>
      </c>
      <c r="H23" s="55">
        <v>11.464574376558391</v>
      </c>
      <c r="I23" s="55">
        <v>15.930954428143799</v>
      </c>
      <c r="J23" s="55">
        <v>7.2608770420951316</v>
      </c>
      <c r="K23" s="55">
        <v>16.766981943139928</v>
      </c>
      <c r="L23" s="55">
        <v>13.255975924267821</v>
      </c>
      <c r="M23" s="55">
        <v>8.3118658641017866</v>
      </c>
      <c r="N23" s="55">
        <v>7.1653482372646176</v>
      </c>
      <c r="O23" s="55">
        <v>11.082373172752099</v>
      </c>
      <c r="P23" s="55">
        <v>7.8579535683184112</v>
      </c>
      <c r="Q23" s="55">
        <v>11.03465176261499</v>
      </c>
      <c r="R23" s="55">
        <v>13.231986242395561</v>
      </c>
      <c r="S23" s="55">
        <v>24.12192605316088</v>
      </c>
      <c r="T23" s="55">
        <v>18.16225279438126</v>
      </c>
      <c r="U23" s="55">
        <v>28.6043852105526</v>
      </c>
      <c r="V23" s="55">
        <v>24.038521066115631</v>
      </c>
      <c r="W23" s="55">
        <v>15.28641444534663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6.2623614455218117</v>
      </c>
      <c r="C25" s="258">
        <v>6.6948297494465132</v>
      </c>
      <c r="D25" s="258">
        <v>6.2269595665447159</v>
      </c>
      <c r="E25" s="258">
        <v>7.2035484189552346</v>
      </c>
      <c r="F25" s="258">
        <v>7.5914141897392531</v>
      </c>
      <c r="G25" s="258">
        <v>7.512032549578529</v>
      </c>
      <c r="H25" s="258">
        <v>7.7564685733540966</v>
      </c>
      <c r="I25" s="258">
        <v>7.8512020904453443</v>
      </c>
      <c r="J25" s="258">
        <v>6.748425575257647</v>
      </c>
      <c r="K25" s="258">
        <v>6.9746185570704347</v>
      </c>
      <c r="L25" s="258">
        <v>7.8176460134699592</v>
      </c>
      <c r="M25" s="258">
        <v>7.7937601255698734</v>
      </c>
      <c r="N25" s="258">
        <v>7.4715854320233408</v>
      </c>
      <c r="O25" s="258">
        <v>7.7157213432605989</v>
      </c>
      <c r="P25" s="258">
        <v>7.6383880112094404</v>
      </c>
      <c r="Q25" s="258">
        <v>8.0127673936890709</v>
      </c>
      <c r="R25" s="258">
        <v>8.6697106085117266</v>
      </c>
      <c r="S25" s="258">
        <v>9.455897625614627</v>
      </c>
      <c r="T25" s="258">
        <v>9.3003343422343097</v>
      </c>
      <c r="U25" s="258">
        <v>10.305057013327501</v>
      </c>
      <c r="V25" s="258">
        <v>10.5894067280885</v>
      </c>
      <c r="W25" s="258">
        <v>9.9844540066819825</v>
      </c>
      <c r="DA25" s="273" t="s">
        <v>1010</v>
      </c>
    </row>
    <row r="26" spans="1:105" x14ac:dyDescent="0.25">
      <c r="A26" s="257" t="s">
        <v>177</v>
      </c>
      <c r="B26" s="258">
        <v>2.4395594860810861</v>
      </c>
      <c r="C26" s="258">
        <v>2.3614193512617989</v>
      </c>
      <c r="D26" s="258">
        <v>2.4209650641249478</v>
      </c>
      <c r="E26" s="258">
        <v>2.571341160841047</v>
      </c>
      <c r="F26" s="258">
        <v>2.5932924494775111</v>
      </c>
      <c r="G26" s="258">
        <v>2.5051182022567451</v>
      </c>
      <c r="H26" s="258">
        <v>2.6391583464898738</v>
      </c>
      <c r="I26" s="258">
        <v>2.3536966352138671</v>
      </c>
      <c r="J26" s="258">
        <v>2.230047442686649</v>
      </c>
      <c r="K26" s="258">
        <v>2.1783936364558132</v>
      </c>
      <c r="L26" s="258">
        <v>2.2772328113250069</v>
      </c>
      <c r="M26" s="258">
        <v>2.2139282625268799</v>
      </c>
      <c r="N26" s="258">
        <v>2.4003815481486921</v>
      </c>
      <c r="O26" s="258">
        <v>2.492246953532177</v>
      </c>
      <c r="P26" s="258">
        <v>2.6794659275443129</v>
      </c>
      <c r="Q26" s="258">
        <v>2.6776019556385608</v>
      </c>
      <c r="R26" s="258">
        <v>2.9348348317005151</v>
      </c>
      <c r="S26" s="258">
        <v>3.1323768820576321</v>
      </c>
      <c r="T26" s="258">
        <v>3.067534720098843</v>
      </c>
      <c r="U26" s="258">
        <v>3.1118208892052288</v>
      </c>
      <c r="V26" s="258">
        <v>3.1913511322380792</v>
      </c>
      <c r="W26" s="258">
        <v>3.1228981387250259</v>
      </c>
      <c r="DA26" s="273" t="s">
        <v>1011</v>
      </c>
    </row>
    <row r="27" spans="1:105" x14ac:dyDescent="0.25">
      <c r="A27" s="129" t="s">
        <v>33</v>
      </c>
      <c r="B27" s="259">
        <v>3.537361254817573</v>
      </c>
      <c r="C27" s="259">
        <v>3.4240580593296079</v>
      </c>
      <c r="D27" s="259">
        <v>3.5103993429811751</v>
      </c>
      <c r="E27" s="259">
        <v>3.7284446832195171</v>
      </c>
      <c r="F27" s="259">
        <v>3.7602740517423912</v>
      </c>
      <c r="G27" s="259">
        <v>3.63242139327228</v>
      </c>
      <c r="H27" s="259">
        <v>3.8267796024103178</v>
      </c>
      <c r="I27" s="259">
        <v>3.4128601210601071</v>
      </c>
      <c r="J27" s="259">
        <v>3.2335687918956411</v>
      </c>
      <c r="K27" s="259">
        <v>3.158670772860928</v>
      </c>
      <c r="L27" s="259">
        <v>3.3019875764212618</v>
      </c>
      <c r="M27" s="259">
        <v>3.2101959806639759</v>
      </c>
      <c r="N27" s="259">
        <v>3.480553244815602</v>
      </c>
      <c r="O27" s="259">
        <v>3.613758082621656</v>
      </c>
      <c r="P27" s="259">
        <v>3.8852255949392531</v>
      </c>
      <c r="Q27" s="259">
        <v>3.8825228356759109</v>
      </c>
      <c r="R27" s="259">
        <v>4.2555105059657459</v>
      </c>
      <c r="S27" s="259">
        <v>4.5419464789835651</v>
      </c>
      <c r="T27" s="259">
        <v>4.4479253441433224</v>
      </c>
      <c r="U27" s="259">
        <v>4.512140289347581</v>
      </c>
      <c r="V27" s="259">
        <v>4.6274591417452138</v>
      </c>
      <c r="W27" s="259">
        <v>4.5282023011512891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</v>
      </c>
      <c r="G31" s="236">
        <f t="shared" si="6"/>
        <v>1.0000000000000002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1.0000000000000002</v>
      </c>
      <c r="M31" s="236">
        <f t="shared" si="6"/>
        <v>1.0000000000000002</v>
      </c>
      <c r="N31" s="236">
        <f t="shared" si="6"/>
        <v>1</v>
      </c>
      <c r="O31" s="236">
        <f t="shared" si="6"/>
        <v>1.0000000000000002</v>
      </c>
      <c r="P31" s="236">
        <f t="shared" si="6"/>
        <v>1.0000000000000002</v>
      </c>
      <c r="Q31" s="236">
        <f t="shared" si="6"/>
        <v>1.0000000000000002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1.8816071491277085E-2</v>
      </c>
      <c r="C32" s="245">
        <f t="shared" si="8"/>
        <v>1.7365046369823826E-2</v>
      </c>
      <c r="D32" s="245">
        <f t="shared" si="8"/>
        <v>1.8830946252128094E-2</v>
      </c>
      <c r="E32" s="245">
        <f t="shared" si="8"/>
        <v>1.7546626325886112E-2</v>
      </c>
      <c r="F32" s="245">
        <f t="shared" si="8"/>
        <v>1.6629673271720154E-2</v>
      </c>
      <c r="G32" s="245">
        <f t="shared" si="8"/>
        <v>1.6443591208106373E-2</v>
      </c>
      <c r="H32" s="245">
        <f t="shared" si="8"/>
        <v>1.7048845467464841E-2</v>
      </c>
      <c r="I32" s="245">
        <f t="shared" si="8"/>
        <v>1.5091866630464749E-2</v>
      </c>
      <c r="J32" s="245">
        <f t="shared" si="8"/>
        <v>1.6907316635861626E-2</v>
      </c>
      <c r="K32" s="245">
        <f t="shared" si="8"/>
        <v>1.5713928266518334E-2</v>
      </c>
      <c r="L32" s="245">
        <f t="shared" si="8"/>
        <v>1.4603860361084617E-2</v>
      </c>
      <c r="M32" s="245">
        <f t="shared" si="8"/>
        <v>1.4452705192933523E-2</v>
      </c>
      <c r="N32" s="245">
        <f t="shared" si="8"/>
        <v>1.5987907547501252E-2</v>
      </c>
      <c r="O32" s="245">
        <f t="shared" si="8"/>
        <v>1.59841442930066E-2</v>
      </c>
      <c r="P32" s="245">
        <f t="shared" si="8"/>
        <v>1.7397526630325951E-2</v>
      </c>
      <c r="Q32" s="245">
        <f t="shared" si="8"/>
        <v>1.6572908020845371E-2</v>
      </c>
      <c r="R32" s="245">
        <f t="shared" si="8"/>
        <v>1.6615162272585079E-2</v>
      </c>
      <c r="S32" s="245">
        <f t="shared" si="8"/>
        <v>1.6159823742742968E-2</v>
      </c>
      <c r="T32" s="245">
        <f t="shared" si="8"/>
        <v>1.6274165782717311E-2</v>
      </c>
      <c r="U32" s="245">
        <f t="shared" si="8"/>
        <v>1.4930077063370852E-2</v>
      </c>
      <c r="V32" s="245">
        <f t="shared" si="8"/>
        <v>1.511626285180764E-2</v>
      </c>
      <c r="W32" s="245">
        <f t="shared" si="8"/>
        <v>1.5828060634734829E-2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1.2230446469330098E-2</v>
      </c>
      <c r="C33" s="246">
        <f t="shared" si="9"/>
        <v>1.1287280140385485E-2</v>
      </c>
      <c r="D33" s="246">
        <f t="shared" si="9"/>
        <v>1.2240115063883261E-2</v>
      </c>
      <c r="E33" s="246">
        <f t="shared" si="9"/>
        <v>1.140530711182597E-2</v>
      </c>
      <c r="F33" s="246">
        <f t="shared" si="9"/>
        <v>1.08092876266181E-2</v>
      </c>
      <c r="G33" s="246">
        <f t="shared" si="9"/>
        <v>1.0688334285269139E-2</v>
      </c>
      <c r="H33" s="246">
        <f t="shared" si="9"/>
        <v>1.1081749553852148E-2</v>
      </c>
      <c r="I33" s="246">
        <f t="shared" si="9"/>
        <v>9.8097133098020827E-3</v>
      </c>
      <c r="J33" s="246">
        <f t="shared" si="9"/>
        <v>1.0989755813310059E-2</v>
      </c>
      <c r="K33" s="246">
        <f t="shared" si="9"/>
        <v>1.0214053373236913E-2</v>
      </c>
      <c r="L33" s="246">
        <f t="shared" si="9"/>
        <v>9.4925092347049982E-3</v>
      </c>
      <c r="M33" s="246">
        <f t="shared" si="9"/>
        <v>9.3942583754067898E-3</v>
      </c>
      <c r="N33" s="246">
        <f t="shared" si="9"/>
        <v>1.0392139905875808E-2</v>
      </c>
      <c r="O33" s="246">
        <f t="shared" si="9"/>
        <v>1.0389693790454282E-2</v>
      </c>
      <c r="P33" s="246">
        <f t="shared" si="9"/>
        <v>1.1308392309711864E-2</v>
      </c>
      <c r="Q33" s="246">
        <f t="shared" si="9"/>
        <v>1.0772390213549482E-2</v>
      </c>
      <c r="R33" s="246">
        <f t="shared" si="9"/>
        <v>1.0799855477180298E-2</v>
      </c>
      <c r="S33" s="246">
        <f t="shared" si="9"/>
        <v>1.0503885432782922E-2</v>
      </c>
      <c r="T33" s="246">
        <f t="shared" si="9"/>
        <v>1.0578207758766252E-2</v>
      </c>
      <c r="U33" s="246">
        <f t="shared" si="9"/>
        <v>9.7045500911910488E-3</v>
      </c>
      <c r="V33" s="246">
        <f t="shared" si="9"/>
        <v>9.8255708536749645E-3</v>
      </c>
      <c r="W33" s="246">
        <f t="shared" si="9"/>
        <v>1.028823941257764E-2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1.6934464342149375E-2</v>
      </c>
      <c r="C34" s="246">
        <f t="shared" si="10"/>
        <v>1.5628541732841443E-2</v>
      </c>
      <c r="D34" s="246">
        <f t="shared" si="10"/>
        <v>1.6947851626915287E-2</v>
      </c>
      <c r="E34" s="246">
        <f t="shared" si="10"/>
        <v>1.5791963693297491E-2</v>
      </c>
      <c r="F34" s="246">
        <f t="shared" si="10"/>
        <v>1.496670594454814E-2</v>
      </c>
      <c r="G34" s="246">
        <f t="shared" si="10"/>
        <v>1.4799232087295732E-2</v>
      </c>
      <c r="H34" s="246">
        <f t="shared" si="10"/>
        <v>1.5343960920718368E-2</v>
      </c>
      <c r="I34" s="246">
        <f t="shared" si="10"/>
        <v>1.3582679967418271E-2</v>
      </c>
      <c r="J34" s="246">
        <f t="shared" si="10"/>
        <v>1.5216584972275462E-2</v>
      </c>
      <c r="K34" s="246">
        <f t="shared" si="10"/>
        <v>1.4142535439866495E-2</v>
      </c>
      <c r="L34" s="246">
        <f t="shared" si="10"/>
        <v>1.3143474324976159E-2</v>
      </c>
      <c r="M34" s="246">
        <f t="shared" si="10"/>
        <v>1.3007434673640171E-2</v>
      </c>
      <c r="N34" s="246">
        <f t="shared" si="10"/>
        <v>1.4389116792751122E-2</v>
      </c>
      <c r="O34" s="246">
        <f t="shared" si="10"/>
        <v>1.4385729863705933E-2</v>
      </c>
      <c r="P34" s="246">
        <f t="shared" si="10"/>
        <v>1.5657773967293356E-2</v>
      </c>
      <c r="Q34" s="246">
        <f t="shared" si="10"/>
        <v>1.4915617218760823E-2</v>
      </c>
      <c r="R34" s="246">
        <f t="shared" si="10"/>
        <v>1.4953646045326563E-2</v>
      </c>
      <c r="S34" s="246">
        <f t="shared" si="10"/>
        <v>1.4543841368468669E-2</v>
      </c>
      <c r="T34" s="246">
        <f t="shared" si="10"/>
        <v>1.4646749204445581E-2</v>
      </c>
      <c r="U34" s="246">
        <f t="shared" si="10"/>
        <v>1.3437069357033765E-2</v>
      </c>
      <c r="V34" s="246">
        <f t="shared" si="10"/>
        <v>1.360463656662687E-2</v>
      </c>
      <c r="W34" s="246">
        <f t="shared" si="10"/>
        <v>1.4245254571261344E-2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0.19577628281574255</v>
      </c>
      <c r="C35" s="247">
        <f t="shared" si="11"/>
        <v>0.19933409366621851</v>
      </c>
      <c r="D35" s="247">
        <f t="shared" si="11"/>
        <v>0.20004243837364075</v>
      </c>
      <c r="E35" s="247">
        <f t="shared" si="11"/>
        <v>0.20338780030533152</v>
      </c>
      <c r="F35" s="247">
        <f t="shared" si="11"/>
        <v>0.20579985458975786</v>
      </c>
      <c r="G35" s="247">
        <f t="shared" si="11"/>
        <v>0.20777821005389738</v>
      </c>
      <c r="H35" s="247">
        <f t="shared" si="11"/>
        <v>0.20595368793528779</v>
      </c>
      <c r="I35" s="247">
        <f t="shared" si="11"/>
        <v>0.20606907536775185</v>
      </c>
      <c r="J35" s="247">
        <f t="shared" si="11"/>
        <v>0.20598296298053265</v>
      </c>
      <c r="K35" s="247">
        <f t="shared" si="11"/>
        <v>0.20700037980654271</v>
      </c>
      <c r="L35" s="247">
        <f t="shared" si="11"/>
        <v>0.22165538012432318</v>
      </c>
      <c r="M35" s="247">
        <f t="shared" si="11"/>
        <v>0.21920834309479359</v>
      </c>
      <c r="N35" s="247">
        <f t="shared" si="11"/>
        <v>0.21826016190381339</v>
      </c>
      <c r="O35" s="247">
        <f t="shared" si="11"/>
        <v>0.21471032789956157</v>
      </c>
      <c r="P35" s="247">
        <f t="shared" si="11"/>
        <v>0.21735664316755662</v>
      </c>
      <c r="Q35" s="247">
        <f t="shared" si="11"/>
        <v>0.21761790585025267</v>
      </c>
      <c r="R35" s="247">
        <f t="shared" si="11"/>
        <v>0.22040041567247104</v>
      </c>
      <c r="S35" s="247">
        <f t="shared" si="11"/>
        <v>0.21591745456706582</v>
      </c>
      <c r="T35" s="247">
        <f t="shared" si="11"/>
        <v>0.21819187362259954</v>
      </c>
      <c r="U35" s="247">
        <f t="shared" si="11"/>
        <v>0.21133745117806102</v>
      </c>
      <c r="V35" s="247">
        <f t="shared" si="11"/>
        <v>0.21272832687695808</v>
      </c>
      <c r="W35" s="247">
        <f t="shared" si="11"/>
        <v>0.21610325691043392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0.25136016234242864</v>
      </c>
      <c r="C36" s="260">
        <f t="shared" si="12"/>
        <v>0.25620236987097633</v>
      </c>
      <c r="D36" s="260">
        <f t="shared" si="12"/>
        <v>0.25205797507458821</v>
      </c>
      <c r="E36" s="260">
        <f t="shared" si="12"/>
        <v>0.25581215781033884</v>
      </c>
      <c r="F36" s="260">
        <f t="shared" si="12"/>
        <v>0.2533352854899078</v>
      </c>
      <c r="G36" s="260">
        <f t="shared" si="12"/>
        <v>0.25660592851320657</v>
      </c>
      <c r="H36" s="260">
        <f t="shared" si="12"/>
        <v>0.2607560173176604</v>
      </c>
      <c r="I36" s="260">
        <f t="shared" si="12"/>
        <v>0.26198076395796116</v>
      </c>
      <c r="J36" s="260">
        <f t="shared" si="12"/>
        <v>0.26625870912661803</v>
      </c>
      <c r="K36" s="260">
        <f t="shared" si="12"/>
        <v>0.26182411450963466</v>
      </c>
      <c r="L36" s="260">
        <f t="shared" si="12"/>
        <v>0.26090176453003638</v>
      </c>
      <c r="M36" s="260">
        <f t="shared" si="12"/>
        <v>0.26477282580673772</v>
      </c>
      <c r="N36" s="260">
        <f t="shared" si="12"/>
        <v>0.25897920362675603</v>
      </c>
      <c r="O36" s="260">
        <f t="shared" si="12"/>
        <v>0.25752276575262251</v>
      </c>
      <c r="P36" s="260">
        <f t="shared" si="12"/>
        <v>0.25809629046077537</v>
      </c>
      <c r="Q36" s="260">
        <f t="shared" si="12"/>
        <v>0.2580928747085805</v>
      </c>
      <c r="R36" s="260">
        <f t="shared" si="12"/>
        <v>0.25542670403292794</v>
      </c>
      <c r="S36" s="260">
        <f t="shared" si="12"/>
        <v>0.25386693926906595</v>
      </c>
      <c r="T36" s="260">
        <f t="shared" si="12"/>
        <v>0.25677254528680066</v>
      </c>
      <c r="U36" s="260">
        <f t="shared" si="12"/>
        <v>0.25729931635766212</v>
      </c>
      <c r="V36" s="260">
        <f t="shared" si="12"/>
        <v>0.26102508736793562</v>
      </c>
      <c r="W36" s="260">
        <f t="shared" si="12"/>
        <v>0.26335100682793855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0.41048224742482448</v>
      </c>
      <c r="C37" s="260">
        <f t="shared" si="13"/>
        <v>0.40840688412282977</v>
      </c>
      <c r="D37" s="260">
        <f t="shared" si="13"/>
        <v>0.40530981479864764</v>
      </c>
      <c r="E37" s="260">
        <f t="shared" si="13"/>
        <v>0.40391047226341448</v>
      </c>
      <c r="F37" s="260">
        <f t="shared" si="13"/>
        <v>0.40903600722819311</v>
      </c>
      <c r="G37" s="260">
        <f t="shared" si="13"/>
        <v>0.40408893774525667</v>
      </c>
      <c r="H37" s="260">
        <f t="shared" si="13"/>
        <v>0.39793962561314455</v>
      </c>
      <c r="I37" s="260">
        <f t="shared" si="13"/>
        <v>0.40614904045174433</v>
      </c>
      <c r="J37" s="260">
        <f t="shared" si="13"/>
        <v>0.39205791482794539</v>
      </c>
      <c r="K37" s="260">
        <f t="shared" si="13"/>
        <v>0.40229417877798157</v>
      </c>
      <c r="L37" s="260">
        <f t="shared" si="13"/>
        <v>0.39428910520215893</v>
      </c>
      <c r="M37" s="260">
        <f t="shared" si="13"/>
        <v>0.39287700011106375</v>
      </c>
      <c r="N37" s="260">
        <f t="shared" si="13"/>
        <v>0.39305608449352553</v>
      </c>
      <c r="O37" s="260">
        <f t="shared" si="13"/>
        <v>0.39836103931945194</v>
      </c>
      <c r="P37" s="260">
        <f t="shared" si="13"/>
        <v>0.38796408010443867</v>
      </c>
      <c r="Q37" s="260">
        <f t="shared" si="13"/>
        <v>0.39182998258659046</v>
      </c>
      <c r="R37" s="260">
        <f t="shared" si="13"/>
        <v>0.39201469909578618</v>
      </c>
      <c r="S37" s="260">
        <f t="shared" si="13"/>
        <v>0.40063383941229114</v>
      </c>
      <c r="T37" s="260">
        <f t="shared" si="13"/>
        <v>0.39432376772832084</v>
      </c>
      <c r="U37" s="260">
        <f t="shared" si="13"/>
        <v>0.40727063924749912</v>
      </c>
      <c r="V37" s="260">
        <f t="shared" si="13"/>
        <v>0.40050712564696861</v>
      </c>
      <c r="W37" s="260">
        <f t="shared" si="13"/>
        <v>0.39080034243104095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4.8300949960618914E-2</v>
      </c>
      <c r="C38" s="260">
        <f t="shared" si="14"/>
        <v>4.9231420490856305E-2</v>
      </c>
      <c r="D38" s="260">
        <f t="shared" si="14"/>
        <v>4.8435040492482935E-2</v>
      </c>
      <c r="E38" s="260">
        <f t="shared" si="14"/>
        <v>4.9156437991484697E-2</v>
      </c>
      <c r="F38" s="260">
        <f t="shared" si="14"/>
        <v>4.8680486333540586E-2</v>
      </c>
      <c r="G38" s="260">
        <f t="shared" si="14"/>
        <v>4.9308967647107675E-2</v>
      </c>
      <c r="H38" s="260">
        <f t="shared" si="14"/>
        <v>5.0106441796583148E-2</v>
      </c>
      <c r="I38" s="260">
        <f t="shared" si="14"/>
        <v>5.0341787070218892E-2</v>
      </c>
      <c r="J38" s="260">
        <f t="shared" si="14"/>
        <v>5.1163829885595806E-2</v>
      </c>
      <c r="K38" s="260">
        <f t="shared" si="14"/>
        <v>5.0311685573249491E-2</v>
      </c>
      <c r="L38" s="260">
        <f t="shared" si="14"/>
        <v>5.0134448338058427E-2</v>
      </c>
      <c r="M38" s="260">
        <f t="shared" si="14"/>
        <v>5.0878305022737533E-2</v>
      </c>
      <c r="N38" s="260">
        <f t="shared" si="14"/>
        <v>4.9765012238398819E-2</v>
      </c>
      <c r="O38" s="260">
        <f t="shared" si="14"/>
        <v>4.9485145563331043E-2</v>
      </c>
      <c r="P38" s="260">
        <f t="shared" si="14"/>
        <v>4.9595353115599934E-2</v>
      </c>
      <c r="Q38" s="260">
        <f t="shared" si="14"/>
        <v>4.9594696750349748E-2</v>
      </c>
      <c r="R38" s="260">
        <f t="shared" si="14"/>
        <v>4.9082369835889324E-2</v>
      </c>
      <c r="S38" s="260">
        <f t="shared" si="14"/>
        <v>4.8782648037862343E-2</v>
      </c>
      <c r="T38" s="260">
        <f t="shared" si="14"/>
        <v>4.9340984448692178E-2</v>
      </c>
      <c r="U38" s="260">
        <f t="shared" si="14"/>
        <v>4.9442207899923533E-2</v>
      </c>
      <c r="V38" s="260">
        <f t="shared" si="14"/>
        <v>5.0158145849099403E-2</v>
      </c>
      <c r="W38" s="260">
        <f t="shared" si="14"/>
        <v>5.0605090656912592E-2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1.8816071491277085E-2</v>
      </c>
      <c r="C39" s="260">
        <f t="shared" si="15"/>
        <v>1.7365046369823826E-2</v>
      </c>
      <c r="D39" s="260">
        <f t="shared" si="15"/>
        <v>1.8830946252128094E-2</v>
      </c>
      <c r="E39" s="260">
        <f t="shared" si="15"/>
        <v>1.7546626325886112E-2</v>
      </c>
      <c r="F39" s="260">
        <f t="shared" si="15"/>
        <v>1.6629673271720154E-2</v>
      </c>
      <c r="G39" s="260">
        <f t="shared" si="15"/>
        <v>1.6443591208106373E-2</v>
      </c>
      <c r="H39" s="260">
        <f t="shared" si="15"/>
        <v>1.7048845467464841E-2</v>
      </c>
      <c r="I39" s="260">
        <f t="shared" si="15"/>
        <v>1.5091866630464749E-2</v>
      </c>
      <c r="J39" s="260">
        <f t="shared" si="15"/>
        <v>1.6907316635861626E-2</v>
      </c>
      <c r="K39" s="260">
        <f t="shared" si="15"/>
        <v>1.5713928266518334E-2</v>
      </c>
      <c r="L39" s="260">
        <f t="shared" si="15"/>
        <v>1.4603860361084617E-2</v>
      </c>
      <c r="M39" s="260">
        <f t="shared" si="15"/>
        <v>1.4452705192933523E-2</v>
      </c>
      <c r="N39" s="260">
        <f t="shared" si="15"/>
        <v>1.5987907547501252E-2</v>
      </c>
      <c r="O39" s="260">
        <f t="shared" si="15"/>
        <v>1.59841442930066E-2</v>
      </c>
      <c r="P39" s="260">
        <f t="shared" si="15"/>
        <v>1.7397526630325951E-2</v>
      </c>
      <c r="Q39" s="260">
        <f t="shared" si="15"/>
        <v>1.6572908020845371E-2</v>
      </c>
      <c r="R39" s="260">
        <f t="shared" si="15"/>
        <v>1.6615162272585079E-2</v>
      </c>
      <c r="S39" s="260">
        <f t="shared" si="15"/>
        <v>1.6159823742742968E-2</v>
      </c>
      <c r="T39" s="260">
        <f t="shared" si="15"/>
        <v>1.6274165782717311E-2</v>
      </c>
      <c r="U39" s="260">
        <f t="shared" si="15"/>
        <v>1.4930077063370852E-2</v>
      </c>
      <c r="V39" s="260">
        <f t="shared" si="15"/>
        <v>1.511626285180764E-2</v>
      </c>
      <c r="W39" s="260">
        <f t="shared" si="15"/>
        <v>1.5828060634734829E-2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2.7283303662351762E-2</v>
      </c>
      <c r="C40" s="262">
        <f t="shared" si="16"/>
        <v>2.5179317236244544E-2</v>
      </c>
      <c r="D40" s="262">
        <f t="shared" si="16"/>
        <v>2.7304872065585743E-2</v>
      </c>
      <c r="E40" s="262">
        <f t="shared" si="16"/>
        <v>2.5442608172534856E-2</v>
      </c>
      <c r="F40" s="262">
        <f t="shared" si="16"/>
        <v>2.4113026243994227E-2</v>
      </c>
      <c r="G40" s="262">
        <f t="shared" si="16"/>
        <v>2.3843207251754237E-2</v>
      </c>
      <c r="H40" s="262">
        <f t="shared" si="16"/>
        <v>2.4720825927824028E-2</v>
      </c>
      <c r="I40" s="262">
        <f t="shared" si="16"/>
        <v>2.1883206614173884E-2</v>
      </c>
      <c r="J40" s="262">
        <f t="shared" si="16"/>
        <v>2.4515609121999356E-2</v>
      </c>
      <c r="K40" s="262">
        <f t="shared" si="16"/>
        <v>2.2785195986451578E-2</v>
      </c>
      <c r="L40" s="262">
        <f t="shared" si="16"/>
        <v>2.1175597523572707E-2</v>
      </c>
      <c r="M40" s="262">
        <f t="shared" si="16"/>
        <v>2.0956422529753608E-2</v>
      </c>
      <c r="N40" s="262">
        <f t="shared" si="16"/>
        <v>2.3182465943876806E-2</v>
      </c>
      <c r="O40" s="262">
        <f t="shared" si="16"/>
        <v>2.3177009224859567E-2</v>
      </c>
      <c r="P40" s="262">
        <f t="shared" si="16"/>
        <v>2.5226413613972622E-2</v>
      </c>
      <c r="Q40" s="262">
        <f t="shared" si="16"/>
        <v>2.4030716630225775E-2</v>
      </c>
      <c r="R40" s="262">
        <f t="shared" si="16"/>
        <v>2.409198529524836E-2</v>
      </c>
      <c r="S40" s="262">
        <f t="shared" si="16"/>
        <v>2.3431744426977298E-2</v>
      </c>
      <c r="T40" s="262">
        <f t="shared" si="16"/>
        <v>2.3597540384940101E-2</v>
      </c>
      <c r="U40" s="262">
        <f t="shared" si="16"/>
        <v>2.164861174188773E-2</v>
      </c>
      <c r="V40" s="262">
        <f t="shared" si="16"/>
        <v>2.1918581135121074E-2</v>
      </c>
      <c r="W40" s="262">
        <f t="shared" si="16"/>
        <v>2.295068792036551E-2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122.34803499436494</v>
      </c>
      <c r="D44" s="237">
        <f t="shared" si="17"/>
        <v>127.81056238438667</v>
      </c>
      <c r="E44" s="237">
        <f t="shared" si="17"/>
        <v>135.43288032890177</v>
      </c>
      <c r="F44" s="237">
        <f t="shared" si="17"/>
        <v>134.84363036747553</v>
      </c>
      <c r="G44" s="237">
        <f t="shared" si="17"/>
        <v>154.4265560823676</v>
      </c>
      <c r="H44" s="237">
        <f t="shared" si="17"/>
        <v>146.93020171673027</v>
      </c>
      <c r="I44" s="237">
        <f t="shared" si="17"/>
        <v>137.23851152262932</v>
      </c>
      <c r="J44" s="237">
        <f t="shared" si="17"/>
        <v>139.32723127138394</v>
      </c>
      <c r="K44" s="237">
        <f t="shared" si="17"/>
        <v>156.36023356757093</v>
      </c>
      <c r="L44" s="237">
        <f t="shared" si="17"/>
        <v>144.58585940593417</v>
      </c>
      <c r="M44" s="237">
        <f t="shared" si="17"/>
        <v>132.80026593791024</v>
      </c>
      <c r="N44" s="237">
        <f t="shared" si="17"/>
        <v>135.0430139910134</v>
      </c>
      <c r="O44" s="237">
        <f t="shared" si="17"/>
        <v>132.95020410976804</v>
      </c>
      <c r="P44" s="237">
        <f t="shared" si="17"/>
        <v>130.15939664117727</v>
      </c>
      <c r="Q44" s="237">
        <f t="shared" si="17"/>
        <v>132.91816907674806</v>
      </c>
      <c r="R44" s="237">
        <f t="shared" si="17"/>
        <v>135.38540863538176</v>
      </c>
      <c r="S44" s="237">
        <f t="shared" si="17"/>
        <v>124.90211009173743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142.54014154785796</v>
      </c>
      <c r="DA44" s="281"/>
    </row>
    <row r="45" spans="1:105" x14ac:dyDescent="0.25">
      <c r="A45" s="239" t="s">
        <v>125</v>
      </c>
      <c r="B45" s="248">
        <f>IF(B$6=0,0,B$6/AGR!B$5*1000)</f>
        <v>2.3794594106897575</v>
      </c>
      <c r="C45" s="248">
        <f>IF(C$6=0,0,C$6/AGR!C$5*1000)</f>
        <v>2.1245793009339748</v>
      </c>
      <c r="D45" s="248">
        <f>IF(D$6=0,0,D$6/AGR!D$5*1000)</f>
        <v>2.4067938307146499</v>
      </c>
      <c r="E45" s="248">
        <f>IF(E$6=0,0,E$6/AGR!E$5*1000)</f>
        <v>2.3763901433696915</v>
      </c>
      <c r="F45" s="248">
        <f>IF(F$6=0,0,F$6/AGR!F$5*1000)</f>
        <v>2.2424055157837204</v>
      </c>
      <c r="G45" s="248">
        <f>IF(G$6=0,0,G$6/AGR!G$5*1000)</f>
        <v>2.5393271598941647</v>
      </c>
      <c r="H45" s="248">
        <f>IF(H$6=0,0,H$6/AGR!H$5*1000)</f>
        <v>2.5049903035719718</v>
      </c>
      <c r="I45" s="248">
        <f>IF(I$6=0,0,I$6/AGR!I$5*1000)</f>
        <v>2.0711853124630211</v>
      </c>
      <c r="J45" s="248">
        <f>IF(J$6=0,0,J$6/AGR!J$5*1000)</f>
        <v>2.3556496151032094</v>
      </c>
      <c r="K45" s="248">
        <f>IF(K$6=0,0,K$6/AGR!K$5*1000)</f>
        <v>2.4570334940168617</v>
      </c>
      <c r="L45" s="248">
        <f>IF(L$6=0,0,L$6/AGR!L$5*1000)</f>
        <v>2.111511700951676</v>
      </c>
      <c r="M45" s="248">
        <f>IF(M$6=0,0,M$6/AGR!M$5*1000)</f>
        <v>1.9193230931437872</v>
      </c>
      <c r="N45" s="248">
        <f>IF(N$6=0,0,N$6/AGR!N$5*1000)</f>
        <v>2.1590552226242408</v>
      </c>
      <c r="O45" s="248">
        <f>IF(O$6=0,0,O$6/AGR!O$5*1000)</f>
        <v>2.1250952462752108</v>
      </c>
      <c r="P45" s="248">
        <f>IF(P$6=0,0,P$6/AGR!P$5*1000)</f>
        <v>2.2644515692520386</v>
      </c>
      <c r="Q45" s="248">
        <f>IF(Q$6=0,0,Q$6/AGR!Q$5*1000)</f>
        <v>2.2028405904081185</v>
      </c>
      <c r="R45" s="248">
        <f>IF(R$6=0,0,R$6/AGR!R$5*1000)</f>
        <v>2.2494505338171096</v>
      </c>
      <c r="S45" s="248">
        <f>IF(S$6=0,0,S$6/AGR!S$5*1000)</f>
        <v>2.0183960841791544</v>
      </c>
      <c r="T45" s="248">
        <f>IF(T$6=0,0,T$6/AGR!T$5*1000)</f>
        <v>2.2992118004083011</v>
      </c>
      <c r="U45" s="248">
        <f>IF(U$6=0,0,U$6/AGR!U$5*1000)</f>
        <v>2.1202498739381346</v>
      </c>
      <c r="V45" s="248">
        <f>IF(V$6=0,0,V$6/AGR!V$5*1000)</f>
        <v>2.2466698405265033</v>
      </c>
      <c r="W45" s="248">
        <f>IF(W$6=0,0,W$6/AGR!W$5*1000)</f>
        <v>2.2561340033031803</v>
      </c>
      <c r="DA45" s="282"/>
    </row>
    <row r="46" spans="1:105" x14ac:dyDescent="0.25">
      <c r="A46" s="241" t="s">
        <v>124</v>
      </c>
      <c r="B46" s="249">
        <f>IF(B$7=0,0,B$7/AGR!B$5*1000)</f>
        <v>1.5466486169483413</v>
      </c>
      <c r="C46" s="249">
        <f>IF(C$7=0,0,C$7/AGR!C$5*1000)</f>
        <v>1.3809765456070835</v>
      </c>
      <c r="D46" s="249">
        <f>IF(D$7=0,0,D$7/AGR!D$5*1000)</f>
        <v>1.5644159899645222</v>
      </c>
      <c r="E46" s="249">
        <f>IF(E$7=0,0,E$7/AGR!E$5*1000)</f>
        <v>1.5446535931902989</v>
      </c>
      <c r="F46" s="249">
        <f>IF(F$7=0,0,F$7/AGR!F$5*1000)</f>
        <v>1.4575635852594178</v>
      </c>
      <c r="G46" s="249">
        <f>IF(G$7=0,0,G$7/AGR!G$5*1000)</f>
        <v>1.6505626539312068</v>
      </c>
      <c r="H46" s="249">
        <f>IF(H$7=0,0,H$7/AGR!H$5*1000)</f>
        <v>1.6282436973217815</v>
      </c>
      <c r="I46" s="249">
        <f>IF(I$7=0,0,I$7/AGR!I$5*1000)</f>
        <v>1.346270453100963</v>
      </c>
      <c r="J46" s="249">
        <f>IF(J$7=0,0,J$7/AGR!J$5*1000)</f>
        <v>1.5311722498170863</v>
      </c>
      <c r="K46" s="249">
        <f>IF(K$7=0,0,K$7/AGR!K$5*1000)</f>
        <v>1.5970717711109594</v>
      </c>
      <c r="L46" s="249">
        <f>IF(L$7=0,0,L$7/AGR!L$5*1000)</f>
        <v>1.3724826056185888</v>
      </c>
      <c r="M46" s="249">
        <f>IF(M$7=0,0,M$7/AGR!M$5*1000)</f>
        <v>1.2475600105434617</v>
      </c>
      <c r="N46" s="249">
        <f>IF(N$7=0,0,N$7/AGR!N$5*1000)</f>
        <v>1.4033858947057558</v>
      </c>
      <c r="O46" s="249">
        <f>IF(O$7=0,0,O$7/AGR!O$5*1000)</f>
        <v>1.3813119100788862</v>
      </c>
      <c r="P46" s="249">
        <f>IF(P$7=0,0,P$7/AGR!P$5*1000)</f>
        <v>1.4718935200138248</v>
      </c>
      <c r="Q46" s="249">
        <f>IF(Q$7=0,0,Q$7/AGR!Q$5*1000)</f>
        <v>1.4318463837652757</v>
      </c>
      <c r="R46" s="249">
        <f>IF(R$7=0,0,R$7/AGR!R$5*1000)</f>
        <v>1.4621428469811204</v>
      </c>
      <c r="S46" s="249">
        <f>IF(S$7=0,0,S$7/AGR!S$5*1000)</f>
        <v>1.3119574547164492</v>
      </c>
      <c r="T46" s="249">
        <f>IF(T$7=0,0,T$7/AGR!T$5*1000)</f>
        <v>1.4944876702653955</v>
      </c>
      <c r="U46" s="249">
        <f>IF(U$7=0,0,U$7/AGR!U$5*1000)</f>
        <v>1.3781624180597867</v>
      </c>
      <c r="V46" s="249">
        <f>IF(V$7=0,0,V$7/AGR!V$5*1000)</f>
        <v>1.4603353963422268</v>
      </c>
      <c r="W46" s="249">
        <f>IF(W$7=0,0,W$7/AGR!W$5*1000)</f>
        <v>1.4664871021470673</v>
      </c>
      <c r="DA46" s="283"/>
    </row>
    <row r="47" spans="1:105" x14ac:dyDescent="0.25">
      <c r="A47" s="241" t="s">
        <v>123</v>
      </c>
      <c r="B47" s="249">
        <f>IF(B$8=0,0,B$8/AGR!B$5*1000)</f>
        <v>2.1415134696207812</v>
      </c>
      <c r="C47" s="249">
        <f>IF(C$8=0,0,C$8/AGR!C$5*1000)</f>
        <v>1.9121213708405775</v>
      </c>
      <c r="D47" s="249">
        <f>IF(D$8=0,0,D$8/AGR!D$5*1000)</f>
        <v>2.1661144476431851</v>
      </c>
      <c r="E47" s="249">
        <f>IF(E$8=0,0,E$8/AGR!E$5*1000)</f>
        <v>2.138751129032721</v>
      </c>
      <c r="F47" s="249">
        <f>IF(F$8=0,0,F$8/AGR!F$5*1000)</f>
        <v>2.0181649642053481</v>
      </c>
      <c r="G47" s="249">
        <f>IF(G$8=0,0,G$8/AGR!G$5*1000)</f>
        <v>2.2853944439047482</v>
      </c>
      <c r="H47" s="249">
        <f>IF(H$8=0,0,H$8/AGR!H$5*1000)</f>
        <v>2.2544912732147759</v>
      </c>
      <c r="I47" s="249">
        <f>IF(I$8=0,0,I$8/AGR!I$5*1000)</f>
        <v>1.8640667812167184</v>
      </c>
      <c r="J47" s="249">
        <f>IF(J$8=0,0,J$8/AGR!J$5*1000)</f>
        <v>2.1200846535928886</v>
      </c>
      <c r="K47" s="249">
        <f>IF(K$8=0,0,K$8/AGR!K$5*1000)</f>
        <v>2.2113301446151743</v>
      </c>
      <c r="L47" s="249">
        <f>IF(L$8=0,0,L$8/AGR!L$5*1000)</f>
        <v>1.9003605308565088</v>
      </c>
      <c r="M47" s="249">
        <f>IF(M$8=0,0,M$8/AGR!M$5*1000)</f>
        <v>1.7273907838294087</v>
      </c>
      <c r="N47" s="249">
        <f>IF(N$8=0,0,N$8/AGR!N$5*1000)</f>
        <v>1.9431497003618157</v>
      </c>
      <c r="O47" s="249">
        <f>IF(O$8=0,0,O$8/AGR!O$5*1000)</f>
        <v>1.9125857216476887</v>
      </c>
      <c r="P47" s="249">
        <f>IF(P$8=0,0,P$8/AGR!P$5*1000)</f>
        <v>2.0380064123268347</v>
      </c>
      <c r="Q47" s="249">
        <f>IF(Q$8=0,0,Q$8/AGR!Q$5*1000)</f>
        <v>1.982556531367305</v>
      </c>
      <c r="R47" s="249">
        <f>IF(R$8=0,0,R$8/AGR!R$5*1000)</f>
        <v>2.0245054804353972</v>
      </c>
      <c r="S47" s="249">
        <f>IF(S$8=0,0,S$8/AGR!S$5*1000)</f>
        <v>1.8165564757612387</v>
      </c>
      <c r="T47" s="249">
        <f>IF(T$8=0,0,T$8/AGR!T$5*1000)</f>
        <v>2.0692906203674712</v>
      </c>
      <c r="U47" s="249">
        <f>IF(U$8=0,0,U$8/AGR!U$5*1000)</f>
        <v>1.9082248865443208</v>
      </c>
      <c r="V47" s="249">
        <f>IF(V$8=0,0,V$8/AGR!V$5*1000)</f>
        <v>2.0220028564738515</v>
      </c>
      <c r="W47" s="249">
        <f>IF(W$8=0,0,W$8/AGR!W$5*1000)</f>
        <v>2.030520602972862</v>
      </c>
      <c r="DA47" s="283"/>
    </row>
    <row r="48" spans="1:105" x14ac:dyDescent="0.25">
      <c r="A48" s="243" t="s">
        <v>122</v>
      </c>
      <c r="B48" s="250">
        <f>IF(B$9=0,0,B$9/AGR!B$5*1000)</f>
        <v>24.757650328429975</v>
      </c>
      <c r="C48" s="250">
        <f>IF(C$9=0,0,C$9/AGR!C$5*1000)</f>
        <v>24.388134667444518</v>
      </c>
      <c r="D48" s="250">
        <f>IF(D$9=0,0,D$9/AGR!D$5*1000)</f>
        <v>25.567536549279033</v>
      </c>
      <c r="E48" s="250">
        <f>IF(E$9=0,0,E$9/AGR!E$5*1000)</f>
        <v>27.545395619110536</v>
      </c>
      <c r="F48" s="250">
        <f>IF(F$9=0,0,F$9/AGR!F$5*1000)</f>
        <v>27.75079952198152</v>
      </c>
      <c r="G48" s="250">
        <f>IF(G$9=0,0,G$9/AGR!G$5*1000)</f>
        <v>32.086473407582133</v>
      </c>
      <c r="H48" s="250">
        <f>IF(H$9=0,0,H$9/AGR!H$5*1000)</f>
        <v>30.260816912636347</v>
      </c>
      <c r="I48" s="250">
        <f>IF(I$9=0,0,I$9/AGR!I$5*1000)</f>
        <v>28.280613174314773</v>
      </c>
      <c r="J48" s="250">
        <f>IF(J$9=0,0,J$9/AGR!J$5*1000)</f>
        <v>28.699035921153584</v>
      </c>
      <c r="K48" s="250">
        <f>IF(K$9=0,0,K$9/AGR!K$5*1000)</f>
        <v>32.366627735126904</v>
      </c>
      <c r="L48" s="250">
        <f>IF(L$9=0,0,L$9/AGR!L$5*1000)</f>
        <v>32.048233627224292</v>
      </c>
      <c r="M48" s="250">
        <f>IF(M$9=0,0,M$9/AGR!M$5*1000)</f>
        <v>29.110926258797246</v>
      </c>
      <c r="N48" s="250">
        <f>IF(N$9=0,0,N$9/AGR!N$5*1000)</f>
        <v>29.474510097657525</v>
      </c>
      <c r="O48" s="250">
        <f>IF(O$9=0,0,O$9/AGR!O$5*1000)</f>
        <v>28.545781918721929</v>
      </c>
      <c r="P48" s="250">
        <f>IF(P$9=0,0,P$9/AGR!P$5*1000)</f>
        <v>28.291009530640824</v>
      </c>
      <c r="Q48" s="250">
        <f>IF(Q$9=0,0,Q$9/AGR!Q$5*1000)</f>
        <v>28.925373603931718</v>
      </c>
      <c r="R48" s="250">
        <f>IF(R$9=0,0,R$9/AGR!R$5*1000)</f>
        <v>29.839000339225493</v>
      </c>
      <c r="S48" s="250">
        <f>IF(S$9=0,0,S$9/AGR!S$5*1000)</f>
        <v>26.968545681063368</v>
      </c>
      <c r="T48" s="250">
        <f>IF(T$9=0,0,T$9/AGR!T$5*1000)</f>
        <v>30.826116514005019</v>
      </c>
      <c r="U48" s="250">
        <f>IF(U$9=0,0,U$9/AGR!U$5*1000)</f>
        <v>30.012450861223016</v>
      </c>
      <c r="V48" s="250">
        <f>IF(V$9=0,0,V$9/AGR!V$5*1000)</f>
        <v>31.616962532705177</v>
      </c>
      <c r="W48" s="250">
        <f>IF(W$9=0,0,W$9/AGR!W$5*1000)</f>
        <v>30.803388828966352</v>
      </c>
      <c r="DA48" s="284"/>
    </row>
    <row r="49" spans="1:105" x14ac:dyDescent="0.25">
      <c r="A49" s="128" t="s">
        <v>175</v>
      </c>
      <c r="B49" s="263">
        <f>IF(B$16=0,0,B$16/AGR!B$5*1000)</f>
        <v>31.786725727284242</v>
      </c>
      <c r="C49" s="263">
        <f>IF(C$16=0,0,C$16/AGR!C$5*1000)</f>
        <v>31.345856514613441</v>
      </c>
      <c r="D49" s="263">
        <f>IF(D$16=0,0,D$16/AGR!D$5*1000)</f>
        <v>32.215671547752834</v>
      </c>
      <c r="E49" s="263">
        <f>IF(E$16=0,0,E$16/AGR!E$5*1000)</f>
        <v>34.645377355405749</v>
      </c>
      <c r="F49" s="263">
        <f>IF(F$16=0,0,F$16/AGR!F$5*1000)</f>
        <v>34.160649595640017</v>
      </c>
      <c r="G49" s="263">
        <f>IF(G$16=0,0,G$16/AGR!G$5*1000)</f>
        <v>39.6267698106127</v>
      </c>
      <c r="H49" s="263">
        <f>IF(H$16=0,0,H$16/AGR!H$5*1000)</f>
        <v>38.312934223335049</v>
      </c>
      <c r="I49" s="263">
        <f>IF(I$16=0,0,I$16/AGR!I$5*1000)</f>
        <v>35.953850093151878</v>
      </c>
      <c r="J49" s="263">
        <f>IF(J$16=0,0,J$16/AGR!J$5*1000)</f>
        <v>37.097088744504454</v>
      </c>
      <c r="K49" s="263">
        <f>IF(K$16=0,0,K$16/AGR!K$5*1000)</f>
        <v>40.938879698348913</v>
      </c>
      <c r="L49" s="263">
        <f>IF(L$16=0,0,L$16/AGR!L$5*1000)</f>
        <v>37.722705845099995</v>
      </c>
      <c r="M49" s="263">
        <f>IF(M$16=0,0,M$16/AGR!M$5*1000)</f>
        <v>35.161901680266737</v>
      </c>
      <c r="N49" s="263">
        <f>IF(N$16=0,0,N$16/AGR!N$5*1000)</f>
        <v>34.973332218749519</v>
      </c>
      <c r="O49" s="263">
        <f>IF(O$16=0,0,O$16/AGR!O$5*1000)</f>
        <v>34.237704269723139</v>
      </c>
      <c r="P49" s="263">
        <f>IF(P$16=0,0,P$16/AGR!P$5*1000)</f>
        <v>33.593657441700543</v>
      </c>
      <c r="Q49" s="263">
        <f>IF(Q$16=0,0,Q$16/AGR!Q$5*1000)</f>
        <v>34.30523235801904</v>
      </c>
      <c r="R49" s="263">
        <f>IF(R$16=0,0,R$16/AGR!R$5*1000)</f>
        <v>34.581048701886672</v>
      </c>
      <c r="S49" s="263">
        <f>IF(S$16=0,0,S$16/AGR!S$5*1000)</f>
        <v>31.708516397237297</v>
      </c>
      <c r="T49" s="263">
        <f>IF(T$16=0,0,T$16/AGR!T$5*1000)</f>
        <v>36.276788256098968</v>
      </c>
      <c r="U49" s="263">
        <f>IF(U$16=0,0,U$16/AGR!U$5*1000)</f>
        <v>36.539586551104627</v>
      </c>
      <c r="V49" s="263">
        <f>IF(V$16=0,0,V$16/AGR!V$5*1000)</f>
        <v>38.795117361974746</v>
      </c>
      <c r="W49" s="263">
        <f>IF(W$16=0,0,W$16/AGR!W$5*1000)</f>
        <v>37.538089790025261</v>
      </c>
      <c r="DA49" s="285"/>
    </row>
    <row r="50" spans="1:105" x14ac:dyDescent="0.25">
      <c r="A50" s="128" t="s">
        <v>121</v>
      </c>
      <c r="B50" s="263">
        <f>IF(B$17=0,0,B$17/AGR!B$5*1000)</f>
        <v>51.909127099611567</v>
      </c>
      <c r="C50" s="263">
        <f>IF(C$17=0,0,C$17/AGR!C$5*1000)</f>
        <v>49.967779750599519</v>
      </c>
      <c r="D50" s="263">
        <f>IF(D$17=0,0,D$17/AGR!D$5*1000)</f>
        <v>51.802875369326763</v>
      </c>
      <c r="E50" s="263">
        <f>IF(E$17=0,0,E$17/AGR!E$5*1000)</f>
        <v>54.702758653641212</v>
      </c>
      <c r="F50" s="263">
        <f>IF(F$17=0,0,F$17/AGR!F$5*1000)</f>
        <v>55.155900165666516</v>
      </c>
      <c r="G50" s="263">
        <f>IF(G$17=0,0,G$17/AGR!G$5*1000)</f>
        <v>62.402063006982218</v>
      </c>
      <c r="H50" s="263">
        <f>IF(H$17=0,0,H$17/AGR!H$5*1000)</f>
        <v>58.469349462419444</v>
      </c>
      <c r="I50" s="263">
        <f>IF(I$17=0,0,I$17/AGR!I$5*1000)</f>
        <v>55.73928976794155</v>
      </c>
      <c r="J50" s="263">
        <f>IF(J$17=0,0,J$17/AGR!J$5*1000)</f>
        <v>54.624343771009684</v>
      </c>
      <c r="K50" s="263">
        <f>IF(K$17=0,0,K$17/AGR!K$5*1000)</f>
        <v>62.902811756599327</v>
      </c>
      <c r="L50" s="263">
        <f>IF(L$17=0,0,L$17/AGR!L$5*1000)</f>
        <v>57.008629130050949</v>
      </c>
      <c r="M50" s="263">
        <f>IF(M$17=0,0,M$17/AGR!M$5*1000)</f>
        <v>52.174170095637628</v>
      </c>
      <c r="N50" s="263">
        <f>IF(N$17=0,0,N$17/AGR!N$5*1000)</f>
        <v>53.07947831751212</v>
      </c>
      <c r="O50" s="263">
        <f>IF(O$17=0,0,O$17/AGR!O$5*1000)</f>
        <v>52.962181486900455</v>
      </c>
      <c r="P50" s="263">
        <f>IF(P$17=0,0,P$17/AGR!P$5*1000)</f>
        <v>50.497170584843083</v>
      </c>
      <c r="Q50" s="263">
        <f>IF(Q$17=0,0,Q$17/AGR!Q$5*1000)</f>
        <v>52.081323874783671</v>
      </c>
      <c r="R50" s="263">
        <f>IF(R$17=0,0,R$17/AGR!R$5*1000)</f>
        <v>53.073070228159239</v>
      </c>
      <c r="S50" s="263">
        <f>IF(S$17=0,0,S$17/AGR!S$5*1000)</f>
        <v>50.040011916749435</v>
      </c>
      <c r="T50" s="263">
        <f>IF(T$17=0,0,T$17/AGR!T$5*1000)</f>
        <v>55.71000517305999</v>
      </c>
      <c r="U50" s="263">
        <f>IF(U$17=0,0,U$17/AGR!U$5*1000)</f>
        <v>57.837311747153997</v>
      </c>
      <c r="V50" s="263">
        <f>IF(V$17=0,0,V$17/AGR!V$5*1000)</f>
        <v>59.525776240349103</v>
      </c>
      <c r="W50" s="263">
        <f>IF(W$17=0,0,W$17/AGR!W$5*1000)</f>
        <v>55.704736127071918</v>
      </c>
      <c r="DA50" s="285"/>
    </row>
    <row r="51" spans="1:105" x14ac:dyDescent="0.25">
      <c r="A51" s="128" t="s">
        <v>174</v>
      </c>
      <c r="B51" s="263">
        <f>IF(B$25=0,0,B$25/AGR!B$5*1000)</f>
        <v>6.1080842503351471</v>
      </c>
      <c r="C51" s="263">
        <f>IF(C$25=0,0,C$25/AGR!C$5*1000)</f>
        <v>6.0233675570375818</v>
      </c>
      <c r="D51" s="263">
        <f>IF(D$25=0,0,D$25/AGR!D$5*1000)</f>
        <v>6.1905097644547844</v>
      </c>
      <c r="E51" s="263">
        <f>IF(E$25=0,0,E$25/AGR!E$5*1000)</f>
        <v>6.6573979838958284</v>
      </c>
      <c r="F51" s="263">
        <f>IF(F$25=0,0,F$25/AGR!F$5*1000)</f>
        <v>6.5642535052688906</v>
      </c>
      <c r="G51" s="263">
        <f>IF(G$25=0,0,G$25/AGR!G$5*1000)</f>
        <v>7.6146140577197219</v>
      </c>
      <c r="H51" s="263">
        <f>IF(H$25=0,0,H$25/AGR!H$5*1000)</f>
        <v>7.3621496004795661</v>
      </c>
      <c r="I51" s="263">
        <f>IF(I$25=0,0,I$25/AGR!I$5*1000)</f>
        <v>6.9088319249059857</v>
      </c>
      <c r="J51" s="263">
        <f>IF(J$25=0,0,J$25/AGR!J$5*1000)</f>
        <v>7.1285147592001517</v>
      </c>
      <c r="K51" s="263">
        <f>IF(K$25=0,0,K$25/AGR!K$5*1000)</f>
        <v>7.8667469074114784</v>
      </c>
      <c r="L51" s="263">
        <f>IF(L$25=0,0,L$25/AGR!L$5*1000)</f>
        <v>7.2487322988005873</v>
      </c>
      <c r="M51" s="263">
        <f>IF(M$25=0,0,M$25/AGR!M$5*1000)</f>
        <v>6.7566524374896559</v>
      </c>
      <c r="N51" s="263">
        <f>IF(N$25=0,0,N$25/AGR!N$5*1000)</f>
        <v>6.7204172439730456</v>
      </c>
      <c r="O51" s="263">
        <f>IF(O$25=0,0,O$25/AGR!O$5*1000)</f>
        <v>6.5790602030464429</v>
      </c>
      <c r="P51" s="263">
        <f>IF(P$25=0,0,P$25/AGR!P$5*1000)</f>
        <v>6.4553012377326162</v>
      </c>
      <c r="Q51" s="263">
        <f>IF(Q$25=0,0,Q$25/AGR!Q$5*1000)</f>
        <v>6.5920362879730332</v>
      </c>
      <c r="R51" s="263">
        <f>IF(R$25=0,0,R$25/AGR!R$5*1000)</f>
        <v>6.6450366970248123</v>
      </c>
      <c r="S51" s="263">
        <f>IF(S$25=0,0,S$25/AGR!S$5*1000)</f>
        <v>6.0930556757915619</v>
      </c>
      <c r="T51" s="263">
        <f>IF(T$25=0,0,T$25/AGR!T$5*1000)</f>
        <v>6.9708871841941775</v>
      </c>
      <c r="U51" s="263">
        <f>IF(U$25=0,0,U$25/AGR!U$5*1000)</f>
        <v>7.0213860666682892</v>
      </c>
      <c r="V51" s="263">
        <f>IF(V$25=0,0,V$25/AGR!V$5*1000)</f>
        <v>7.4548051089509615</v>
      </c>
      <c r="W51" s="263">
        <f>IF(W$25=0,0,W$25/AGR!W$5*1000)</f>
        <v>7.2132567852785021</v>
      </c>
      <c r="DA51" s="285"/>
    </row>
    <row r="52" spans="1:105" x14ac:dyDescent="0.25">
      <c r="A52" s="128" t="s">
        <v>177</v>
      </c>
      <c r="B52" s="263">
        <f>IF(B$26=0,0,B$26/AGR!B$5*1000)</f>
        <v>2.3794594106897575</v>
      </c>
      <c r="C52" s="263">
        <f>IF(C$26=0,0,C$26/AGR!C$5*1000)</f>
        <v>2.1245793009339748</v>
      </c>
      <c r="D52" s="263">
        <f>IF(D$26=0,0,D$26/AGR!D$5*1000)</f>
        <v>2.4067938307146499</v>
      </c>
      <c r="E52" s="263">
        <f>IF(E$26=0,0,E$26/AGR!E$5*1000)</f>
        <v>2.3763901433696915</v>
      </c>
      <c r="F52" s="263">
        <f>IF(F$26=0,0,F$26/AGR!F$5*1000)</f>
        <v>2.2424055157837204</v>
      </c>
      <c r="G52" s="263">
        <f>IF(G$26=0,0,G$26/AGR!G$5*1000)</f>
        <v>2.5393271598941647</v>
      </c>
      <c r="H52" s="263">
        <f>IF(H$26=0,0,H$26/AGR!H$5*1000)</f>
        <v>2.5049903035719718</v>
      </c>
      <c r="I52" s="263">
        <f>IF(I$26=0,0,I$26/AGR!I$5*1000)</f>
        <v>2.0711853124630211</v>
      </c>
      <c r="J52" s="263">
        <f>IF(J$26=0,0,J$26/AGR!J$5*1000)</f>
        <v>2.3556496151032094</v>
      </c>
      <c r="K52" s="263">
        <f>IF(K$26=0,0,K$26/AGR!K$5*1000)</f>
        <v>2.4570334940168617</v>
      </c>
      <c r="L52" s="263">
        <f>IF(L$26=0,0,L$26/AGR!L$5*1000)</f>
        <v>2.111511700951676</v>
      </c>
      <c r="M52" s="263">
        <f>IF(M$26=0,0,M$26/AGR!M$5*1000)</f>
        <v>1.9193230931437872</v>
      </c>
      <c r="N52" s="263">
        <f>IF(N$26=0,0,N$26/AGR!N$5*1000)</f>
        <v>2.1590552226242408</v>
      </c>
      <c r="O52" s="263">
        <f>IF(O$26=0,0,O$26/AGR!O$5*1000)</f>
        <v>2.1250952462752108</v>
      </c>
      <c r="P52" s="263">
        <f>IF(P$26=0,0,P$26/AGR!P$5*1000)</f>
        <v>2.2644515692520386</v>
      </c>
      <c r="Q52" s="263">
        <f>IF(Q$26=0,0,Q$26/AGR!Q$5*1000)</f>
        <v>2.2028405904081185</v>
      </c>
      <c r="R52" s="263">
        <f>IF(R$26=0,0,R$26/AGR!R$5*1000)</f>
        <v>2.2494505338171096</v>
      </c>
      <c r="S52" s="263">
        <f>IF(S$26=0,0,S$26/AGR!S$5*1000)</f>
        <v>2.0183960841791544</v>
      </c>
      <c r="T52" s="263">
        <f>IF(T$26=0,0,T$26/AGR!T$5*1000)</f>
        <v>2.2992118004083011</v>
      </c>
      <c r="U52" s="263">
        <f>IF(U$26=0,0,U$26/AGR!U$5*1000)</f>
        <v>2.1202498739381346</v>
      </c>
      <c r="V52" s="263">
        <f>IF(V$26=0,0,V$26/AGR!V$5*1000)</f>
        <v>2.2466698405265033</v>
      </c>
      <c r="W52" s="263">
        <f>IF(W$26=0,0,W$26/AGR!W$5*1000)</f>
        <v>2.2561340033031803</v>
      </c>
      <c r="DA52" s="285"/>
    </row>
    <row r="53" spans="1:105" x14ac:dyDescent="0.25">
      <c r="A53" s="261" t="s">
        <v>33</v>
      </c>
      <c r="B53" s="264">
        <f>IF(B$27=0,0,B$27/AGR!B$5*1000)</f>
        <v>3.4502161455001463</v>
      </c>
      <c r="C53" s="264">
        <f>IF(C$27=0,0,C$27/AGR!C$5*1000)</f>
        <v>3.0806399863542633</v>
      </c>
      <c r="D53" s="264">
        <f>IF(D$27=0,0,D$27/AGR!D$5*1000)</f>
        <v>3.4898510545362433</v>
      </c>
      <c r="E53" s="264">
        <f>IF(E$27=0,0,E$27/AGR!E$5*1000)</f>
        <v>3.4457657078860517</v>
      </c>
      <c r="F53" s="264">
        <f>IF(F$27=0,0,F$27/AGR!F$5*1000)</f>
        <v>3.251487997886394</v>
      </c>
      <c r="G53" s="264">
        <f>IF(G$27=0,0,G$27/AGR!G$5*1000)</f>
        <v>3.6820243818465386</v>
      </c>
      <c r="H53" s="264">
        <f>IF(H$27=0,0,H$27/AGR!H$5*1000)</f>
        <v>3.6322359401793598</v>
      </c>
      <c r="I53" s="264">
        <f>IF(I$27=0,0,I$27/AGR!I$5*1000)</f>
        <v>3.0032187030713802</v>
      </c>
      <c r="J53" s="264">
        <f>IF(J$27=0,0,J$27/AGR!J$5*1000)</f>
        <v>3.4156919418996536</v>
      </c>
      <c r="K53" s="264">
        <f>IF(K$27=0,0,K$27/AGR!K$5*1000)</f>
        <v>3.5626985663244484</v>
      </c>
      <c r="L53" s="264">
        <f>IF(L$27=0,0,L$27/AGR!L$5*1000)</f>
        <v>3.0616919663799318</v>
      </c>
      <c r="M53" s="264">
        <f>IF(M$27=0,0,M$27/AGR!M$5*1000)</f>
        <v>2.7830184850584914</v>
      </c>
      <c r="N53" s="264">
        <f>IF(N$27=0,0,N$27/AGR!N$5*1000)</f>
        <v>3.1306300728051473</v>
      </c>
      <c r="O53" s="264">
        <f>IF(O$27=0,0,O$27/AGR!O$5*1000)</f>
        <v>3.0813881070990554</v>
      </c>
      <c r="P53" s="264">
        <f>IF(P$27=0,0,P$27/AGR!P$5*1000)</f>
        <v>3.2834547754154553</v>
      </c>
      <c r="Q53" s="264">
        <f>IF(Q$27=0,0,Q$27/AGR!Q$5*1000)</f>
        <v>3.1941188560917699</v>
      </c>
      <c r="R53" s="264">
        <f>IF(R$27=0,0,R$27/AGR!R$5*1000)</f>
        <v>3.2617032740348084</v>
      </c>
      <c r="S53" s="264">
        <f>IF(S$27=0,0,S$27/AGR!S$5*1000)</f>
        <v>2.9266743220597733</v>
      </c>
      <c r="T53" s="264">
        <f>IF(T$27=0,0,T$27/AGR!T$5*1000)</f>
        <v>3.3338571105920365</v>
      </c>
      <c r="U53" s="264">
        <f>IF(U$27=0,0,U$27/AGR!U$5*1000)</f>
        <v>3.0743623172102943</v>
      </c>
      <c r="V53" s="264">
        <f>IF(V$27=0,0,V$27/AGR!V$5*1000)</f>
        <v>3.2576712687634282</v>
      </c>
      <c r="W53" s="264">
        <f>IF(W$27=0,0,W$27/AGR!W$5*1000)</f>
        <v>3.2713943047896121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50.615773707689556</v>
      </c>
      <c r="C5" s="80">
        <f t="shared" ref="C5:W5" si="1">SUM(C6:C9,C16:C17,C25:C27)</f>
        <v>53.092374646311654</v>
      </c>
      <c r="D5" s="80">
        <f t="shared" si="1"/>
        <v>50.619096869177703</v>
      </c>
      <c r="E5" s="80">
        <f t="shared" si="1"/>
        <v>57.700184311506533</v>
      </c>
      <c r="F5" s="80">
        <f t="shared" si="1"/>
        <v>61.400169565251623</v>
      </c>
      <c r="G5" s="80">
        <f t="shared" si="1"/>
        <v>60.038751483165385</v>
      </c>
      <c r="H5" s="80">
        <f t="shared" si="1"/>
        <v>61.006014981177451</v>
      </c>
      <c r="I5" s="80">
        <f t="shared" si="1"/>
        <v>60.829000170885479</v>
      </c>
      <c r="J5" s="80">
        <f t="shared" si="1"/>
        <v>51.958056076124194</v>
      </c>
      <c r="K5" s="80">
        <f t="shared" si="1"/>
        <v>54.065962811670182</v>
      </c>
      <c r="L5" s="80">
        <f t="shared" si="1"/>
        <v>62.130216440945418</v>
      </c>
      <c r="M5" s="80">
        <f t="shared" si="1"/>
        <v>60.865656976216606</v>
      </c>
      <c r="N5" s="80">
        <f t="shared" si="1"/>
        <v>60.125206214019428</v>
      </c>
      <c r="O5" s="80">
        <f t="shared" si="1"/>
        <v>62.063386645690414</v>
      </c>
      <c r="P5" s="80">
        <f t="shared" si="1"/>
        <v>61.94684800257248</v>
      </c>
      <c r="Q5" s="80">
        <f t="shared" si="1"/>
        <v>64.681037583228175</v>
      </c>
      <c r="R5" s="80">
        <f t="shared" si="1"/>
        <v>70.931099315676846</v>
      </c>
      <c r="S5" s="80">
        <f t="shared" si="1"/>
        <v>76.854606953760495</v>
      </c>
      <c r="T5" s="80">
        <f t="shared" si="1"/>
        <v>75.057796842376391</v>
      </c>
      <c r="U5" s="80">
        <f t="shared" si="1"/>
        <v>81.528600678121848</v>
      </c>
      <c r="V5" s="80">
        <f t="shared" si="1"/>
        <v>82.896051530761511</v>
      </c>
      <c r="W5" s="80">
        <f t="shared" si="1"/>
        <v>78.283086915074023</v>
      </c>
      <c r="DA5" s="103"/>
    </row>
    <row r="6" spans="1:105" x14ac:dyDescent="0.25">
      <c r="A6" s="239" t="s">
        <v>125</v>
      </c>
      <c r="B6" s="240">
        <v>1.19030317404317</v>
      </c>
      <c r="C6" s="240">
        <v>1.1521772537586961</v>
      </c>
      <c r="D6" s="240">
        <v>1.1812306346768751</v>
      </c>
      <c r="E6" s="240">
        <v>1.2546017273854719</v>
      </c>
      <c r="F6" s="240">
        <v>1.2653121399363441</v>
      </c>
      <c r="G6" s="240">
        <v>1.2222904030471391</v>
      </c>
      <c r="H6" s="240">
        <v>1.2876909026210179</v>
      </c>
      <c r="I6" s="240">
        <v>1.1484092073238641</v>
      </c>
      <c r="J6" s="240">
        <v>1.0880786324095171</v>
      </c>
      <c r="K6" s="240">
        <v>1.062875848932102</v>
      </c>
      <c r="L6" s="240">
        <v>1.1111011880713419</v>
      </c>
      <c r="M6" s="240">
        <v>1.0802138062322431</v>
      </c>
      <c r="N6" s="240">
        <v>1.1711875820113029</v>
      </c>
      <c r="O6" s="240">
        <v>1.2160102986683921</v>
      </c>
      <c r="P6" s="240">
        <v>1.307357667026986</v>
      </c>
      <c r="Q6" s="240">
        <v>1.306448202966608</v>
      </c>
      <c r="R6" s="240">
        <v>1.431956562402702</v>
      </c>
      <c r="S6" s="240">
        <v>1.528340737860868</v>
      </c>
      <c r="T6" s="240">
        <v>1.4967031280252689</v>
      </c>
      <c r="U6" s="240">
        <v>1.5183111142024059</v>
      </c>
      <c r="V6" s="240">
        <v>1.557115292274118</v>
      </c>
      <c r="W6" s="240">
        <v>1.523715895409141</v>
      </c>
      <c r="DA6" s="268" t="s">
        <v>1014</v>
      </c>
    </row>
    <row r="7" spans="1:105" x14ac:dyDescent="0.25">
      <c r="A7" s="241" t="s">
        <v>124</v>
      </c>
      <c r="B7" s="242">
        <v>0.76721960459810967</v>
      </c>
      <c r="C7" s="242">
        <v>0.74264523218319445</v>
      </c>
      <c r="D7" s="242">
        <v>0.7613718254632651</v>
      </c>
      <c r="E7" s="242">
        <v>0.80866376079904356</v>
      </c>
      <c r="F7" s="242">
        <v>0.81556724443376383</v>
      </c>
      <c r="G7" s="242">
        <v>0.78783723355498692</v>
      </c>
      <c r="H7" s="242">
        <v>0.82999165817367659</v>
      </c>
      <c r="I7" s="242">
        <v>0.74021650716684517</v>
      </c>
      <c r="J7" s="242">
        <v>0.70132994377666491</v>
      </c>
      <c r="K7" s="242">
        <v>0.6850852844361085</v>
      </c>
      <c r="L7" s="242">
        <v>0.71616931952301799</v>
      </c>
      <c r="M7" s="242">
        <v>0.69626060601335837</v>
      </c>
      <c r="N7" s="242">
        <v>0.75489849407756016</v>
      </c>
      <c r="O7" s="242">
        <v>0.78378934113281407</v>
      </c>
      <c r="P7" s="242">
        <v>0.84266803133667367</v>
      </c>
      <c r="Q7" s="242">
        <v>0.84208182886992788</v>
      </c>
      <c r="R7" s="242">
        <v>0.92297926407816611</v>
      </c>
      <c r="S7" s="242">
        <v>0.98510446931755546</v>
      </c>
      <c r="T7" s="242">
        <v>0.96471219024293331</v>
      </c>
      <c r="U7" s="242">
        <v>0.97863979370774856</v>
      </c>
      <c r="V7" s="242">
        <v>1.0036513427031259</v>
      </c>
      <c r="W7" s="242">
        <v>0.98212348945081318</v>
      </c>
      <c r="DA7" s="269" t="s">
        <v>1015</v>
      </c>
    </row>
    <row r="8" spans="1:105" x14ac:dyDescent="0.25">
      <c r="A8" s="241" t="s">
        <v>123</v>
      </c>
      <c r="B8" s="242">
        <v>1.5246435276132839</v>
      </c>
      <c r="C8" s="242">
        <v>1.475808542658507</v>
      </c>
      <c r="D8" s="242">
        <v>1.51302263242836</v>
      </c>
      <c r="E8" s="242">
        <v>1.607002690661844</v>
      </c>
      <c r="F8" s="242">
        <v>1.6207215158568471</v>
      </c>
      <c r="G8" s="242">
        <v>1.565615544432772</v>
      </c>
      <c r="H8" s="242">
        <v>1.649386175774779</v>
      </c>
      <c r="I8" s="242">
        <v>1.470982102022296</v>
      </c>
      <c r="J8" s="242">
        <v>1.3937054698447091</v>
      </c>
      <c r="K8" s="242">
        <v>1.361423559198232</v>
      </c>
      <c r="L8" s="242">
        <v>1.4231947556370741</v>
      </c>
      <c r="M8" s="242">
        <v>1.383631518444367</v>
      </c>
      <c r="N8" s="242">
        <v>1.5001586196474559</v>
      </c>
      <c r="O8" s="242">
        <v>1.5575714421380009</v>
      </c>
      <c r="P8" s="242">
        <v>1.6745770731146581</v>
      </c>
      <c r="Q8" s="242">
        <v>1.673412152678007</v>
      </c>
      <c r="R8" s="242">
        <v>1.834174143445128</v>
      </c>
      <c r="S8" s="242">
        <v>1.9576313537434731</v>
      </c>
      <c r="T8" s="242">
        <v>1.9171071594735769</v>
      </c>
      <c r="U8" s="242">
        <v>1.9447845419994301</v>
      </c>
      <c r="V8" s="242">
        <v>1.9944882983461669</v>
      </c>
      <c r="W8" s="242">
        <v>1.9517074544680431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16.629809647324802</v>
      </c>
      <c r="C9" s="244">
        <f t="shared" ref="C9:W9" si="3">SUM(C10:C15)</f>
        <v>17.675499967474806</v>
      </c>
      <c r="D9" s="244">
        <f t="shared" si="3"/>
        <v>16.924919590657101</v>
      </c>
      <c r="E9" s="244">
        <f t="shared" si="3"/>
        <v>19.548177382341802</v>
      </c>
      <c r="F9" s="244">
        <f t="shared" si="3"/>
        <v>21.129965398081136</v>
      </c>
      <c r="G9" s="244">
        <f t="shared" si="3"/>
        <v>20.794060097089599</v>
      </c>
      <c r="H9" s="244">
        <f t="shared" si="3"/>
        <v>20.826095839051412</v>
      </c>
      <c r="I9" s="244">
        <f t="shared" si="3"/>
        <v>20.888513414929523</v>
      </c>
      <c r="J9" s="244">
        <f t="shared" si="3"/>
        <v>17.615015505426943</v>
      </c>
      <c r="K9" s="244">
        <f t="shared" si="3"/>
        <v>18.655678452093976</v>
      </c>
      <c r="L9" s="244">
        <f t="shared" si="3"/>
        <v>22.838189599469906</v>
      </c>
      <c r="M9" s="244">
        <f t="shared" si="3"/>
        <v>22.041414573676107</v>
      </c>
      <c r="N9" s="244">
        <f t="shared" si="3"/>
        <v>21.682958093298389</v>
      </c>
      <c r="O9" s="244">
        <f t="shared" si="3"/>
        <v>22.112138526517885</v>
      </c>
      <c r="P9" s="244">
        <f t="shared" si="3"/>
        <v>22.195703306327225</v>
      </c>
      <c r="Q9" s="244">
        <f t="shared" si="3"/>
        <v>23.277162752192901</v>
      </c>
      <c r="R9" s="244">
        <f t="shared" si="3"/>
        <v>25.897111084748367</v>
      </c>
      <c r="S9" s="244">
        <f t="shared" si="3"/>
        <v>27.735186416457136</v>
      </c>
      <c r="T9" s="244">
        <f t="shared" si="3"/>
        <v>27.231812629012403</v>
      </c>
      <c r="U9" s="244">
        <f t="shared" si="3"/>
        <v>28.893741803309144</v>
      </c>
      <c r="V9" s="244">
        <f t="shared" si="3"/>
        <v>29.387973433735308</v>
      </c>
      <c r="W9" s="244">
        <f t="shared" si="3"/>
        <v>27.967723015720189</v>
      </c>
      <c r="DA9" s="270"/>
    </row>
    <row r="10" spans="1:105" x14ac:dyDescent="0.25">
      <c r="A10" s="254" t="s">
        <v>173</v>
      </c>
      <c r="B10" s="255">
        <v>11.19759373553137</v>
      </c>
      <c r="C10" s="255">
        <v>12.06623436317088</v>
      </c>
      <c r="D10" s="255">
        <v>10.564058542349651</v>
      </c>
      <c r="E10" s="255">
        <v>12.36092472455109</v>
      </c>
      <c r="F10" s="255">
        <v>12.37340207371542</v>
      </c>
      <c r="G10" s="255">
        <v>12.691733100697849</v>
      </c>
      <c r="H10" s="255">
        <v>13.791562147605861</v>
      </c>
      <c r="I10" s="255">
        <v>14.39150919855145</v>
      </c>
      <c r="J10" s="255">
        <v>12.827675275749449</v>
      </c>
      <c r="K10" s="255">
        <v>13.342427205275269</v>
      </c>
      <c r="L10" s="255">
        <v>12.74357251174423</v>
      </c>
      <c r="M10" s="255">
        <v>13.50228629615485</v>
      </c>
      <c r="N10" s="255">
        <v>11.839000557480739</v>
      </c>
      <c r="O10" s="255">
        <v>12.365746825660141</v>
      </c>
      <c r="P10" s="255">
        <v>12.052954479460579</v>
      </c>
      <c r="Q10" s="255">
        <v>12.90142600177901</v>
      </c>
      <c r="R10" s="255">
        <v>13.455045257655961</v>
      </c>
      <c r="S10" s="255">
        <v>15.50768198416854</v>
      </c>
      <c r="T10" s="255">
        <v>15.43412614541152</v>
      </c>
      <c r="U10" s="255">
        <v>18.366514233554771</v>
      </c>
      <c r="V10" s="255">
        <v>19.293550935082049</v>
      </c>
      <c r="W10" s="255">
        <v>17.80722958972969</v>
      </c>
      <c r="DA10" s="271" t="s">
        <v>1017</v>
      </c>
    </row>
    <row r="11" spans="1:105" x14ac:dyDescent="0.25">
      <c r="A11" s="254" t="s">
        <v>176</v>
      </c>
      <c r="B11" s="256">
        <v>3.455730573601008</v>
      </c>
      <c r="C11" s="256">
        <v>4.0598585523369879</v>
      </c>
      <c r="D11" s="256">
        <v>4.1973002945735276</v>
      </c>
      <c r="E11" s="256">
        <v>4.7788525046434636</v>
      </c>
      <c r="F11" s="256">
        <v>5.8983011304306281</v>
      </c>
      <c r="G11" s="256">
        <v>4.6961031637883153</v>
      </c>
      <c r="H11" s="256">
        <v>4.4068922042696954</v>
      </c>
      <c r="I11" s="256">
        <v>4.1221150391807511</v>
      </c>
      <c r="J11" s="256">
        <v>2.8687253231759589</v>
      </c>
      <c r="K11" s="256">
        <v>1.51107877081139</v>
      </c>
      <c r="L11" s="256">
        <v>3.7156627698634881</v>
      </c>
      <c r="M11" s="256">
        <v>3.1711992150266251</v>
      </c>
      <c r="N11" s="256">
        <v>4.6901419178960024</v>
      </c>
      <c r="O11" s="256">
        <v>5.0884069104726146</v>
      </c>
      <c r="P11" s="256">
        <v>4.5957276212024576</v>
      </c>
      <c r="Q11" s="256">
        <v>4.1629670274335906</v>
      </c>
      <c r="R11" s="256">
        <v>4.3133695133998167</v>
      </c>
      <c r="S11" s="256">
        <v>3.2253218303134128</v>
      </c>
      <c r="T11" s="256">
        <v>2.8424684624753391</v>
      </c>
      <c r="U11" s="256">
        <v>2.7259897782240081</v>
      </c>
      <c r="V11" s="256">
        <v>2.4747185259392031</v>
      </c>
      <c r="W11" s="256">
        <v>2.812703673778199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0.85115560861725192</v>
      </c>
      <c r="C14" s="255">
        <v>0.68097351306450504</v>
      </c>
      <c r="D14" s="255">
        <v>1.1065206760185751</v>
      </c>
      <c r="E14" s="255">
        <v>1.4810193385733459</v>
      </c>
      <c r="F14" s="255">
        <v>2.025761379399889</v>
      </c>
      <c r="G14" s="255">
        <v>2.6385885149869202</v>
      </c>
      <c r="H14" s="255">
        <v>1.770396312000547</v>
      </c>
      <c r="I14" s="255">
        <v>1.770396312001153</v>
      </c>
      <c r="J14" s="255">
        <v>1.2256542711757661</v>
      </c>
      <c r="K14" s="255">
        <v>3.183269273094989</v>
      </c>
      <c r="L14" s="255">
        <v>5.8899428828470421</v>
      </c>
      <c r="M14" s="255">
        <v>4.9026170847007373</v>
      </c>
      <c r="N14" s="255">
        <v>4.5281184221377169</v>
      </c>
      <c r="O14" s="255">
        <v>3.983376381316043</v>
      </c>
      <c r="P14" s="255">
        <v>4.7153371120683802</v>
      </c>
      <c r="Q14" s="255">
        <v>5.4473591255238318</v>
      </c>
      <c r="R14" s="255">
        <v>7.2858405322872546</v>
      </c>
      <c r="S14" s="255">
        <v>8.0886440799079633</v>
      </c>
      <c r="T14" s="255">
        <v>8.0811063061385333</v>
      </c>
      <c r="U14" s="255">
        <v>7.0040013326397554</v>
      </c>
      <c r="V14" s="255">
        <v>6.8121864392000688</v>
      </c>
      <c r="W14" s="255">
        <v>6.5293054334140059</v>
      </c>
      <c r="DA14" s="271" t="s">
        <v>1021</v>
      </c>
    </row>
    <row r="15" spans="1:105" x14ac:dyDescent="0.25">
      <c r="A15" s="254" t="s">
        <v>24</v>
      </c>
      <c r="B15" s="256">
        <v>1.125329729575173</v>
      </c>
      <c r="C15" s="256">
        <v>0.86843353890243202</v>
      </c>
      <c r="D15" s="256">
        <v>1.0570400777153459</v>
      </c>
      <c r="E15" s="256">
        <v>0.92738081457389998</v>
      </c>
      <c r="F15" s="256">
        <v>0.83250081453519797</v>
      </c>
      <c r="G15" s="256">
        <v>0.76763531761651149</v>
      </c>
      <c r="H15" s="256">
        <v>0.85724517517531296</v>
      </c>
      <c r="I15" s="256">
        <v>0.60449286519616807</v>
      </c>
      <c r="J15" s="256">
        <v>0.69296063532576768</v>
      </c>
      <c r="K15" s="256">
        <v>0.6189032029123267</v>
      </c>
      <c r="L15" s="256">
        <v>0.48901143501514638</v>
      </c>
      <c r="M15" s="256">
        <v>0.46531197779389671</v>
      </c>
      <c r="N15" s="256">
        <v>0.62569719578393102</v>
      </c>
      <c r="O15" s="256">
        <v>0.67460840906908792</v>
      </c>
      <c r="P15" s="256">
        <v>0.83168409359580819</v>
      </c>
      <c r="Q15" s="256">
        <v>0.76541059745646811</v>
      </c>
      <c r="R15" s="256">
        <v>0.84285578140533379</v>
      </c>
      <c r="S15" s="256">
        <v>0.91353852206721708</v>
      </c>
      <c r="T15" s="256">
        <v>0.87411171498700824</v>
      </c>
      <c r="U15" s="256">
        <v>0.79723645889060779</v>
      </c>
      <c r="V15" s="256">
        <v>0.80751753351398858</v>
      </c>
      <c r="W15" s="256">
        <v>0.81848431879829275</v>
      </c>
      <c r="DA15" s="272" t="s">
        <v>1022</v>
      </c>
    </row>
    <row r="16" spans="1:105" x14ac:dyDescent="0.25">
      <c r="A16" s="257" t="s">
        <v>175</v>
      </c>
      <c r="B16" s="258">
        <v>11.37844994320322</v>
      </c>
      <c r="C16" s="258">
        <v>12.16422684079</v>
      </c>
      <c r="D16" s="258">
        <v>11.314126203454171</v>
      </c>
      <c r="E16" s="258">
        <v>13.088547477107991</v>
      </c>
      <c r="F16" s="258">
        <v>13.793283429502409</v>
      </c>
      <c r="G16" s="258">
        <v>13.649050295270889</v>
      </c>
      <c r="H16" s="258">
        <v>14.09318037064922</v>
      </c>
      <c r="I16" s="258">
        <v>14.265307225916761</v>
      </c>
      <c r="J16" s="258">
        <v>12.261608224228469</v>
      </c>
      <c r="K16" s="258">
        <v>12.67259145211308</v>
      </c>
      <c r="L16" s="258">
        <v>14.20433723153425</v>
      </c>
      <c r="M16" s="258">
        <v>14.16093756797531</v>
      </c>
      <c r="N16" s="258">
        <v>13.575559567140269</v>
      </c>
      <c r="O16" s="258">
        <v>14.01914435053502</v>
      </c>
      <c r="P16" s="258">
        <v>13.878632906834429</v>
      </c>
      <c r="Q16" s="258">
        <v>14.558864653336061</v>
      </c>
      <c r="R16" s="258">
        <v>15.75250311550626</v>
      </c>
      <c r="S16" s="258">
        <v>17.180972183911521</v>
      </c>
      <c r="T16" s="258">
        <v>16.89832017662296</v>
      </c>
      <c r="U16" s="258">
        <v>18.72385942715767</v>
      </c>
      <c r="V16" s="258">
        <v>19.24051101680454</v>
      </c>
      <c r="W16" s="258">
        <v>18.14133711596703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14.615573857164085</v>
      </c>
      <c r="C17" s="258">
        <f t="shared" ref="C17:W17" si="5">SUM(C18:C24)</f>
        <v>15.361973976533989</v>
      </c>
      <c r="D17" s="258">
        <f t="shared" si="5"/>
        <v>14.446012227334995</v>
      </c>
      <c r="E17" s="258">
        <f t="shared" si="5"/>
        <v>16.492455699707786</v>
      </c>
      <c r="F17" s="258">
        <f t="shared" si="5"/>
        <v>17.752982197840019</v>
      </c>
      <c r="G17" s="258">
        <f t="shared" si="5"/>
        <v>17.124641716882387</v>
      </c>
      <c r="H17" s="258">
        <f t="shared" si="5"/>
        <v>17.200980462772325</v>
      </c>
      <c r="I17" s="258">
        <f t="shared" si="5"/>
        <v>17.522341974530129</v>
      </c>
      <c r="J17" s="258">
        <f t="shared" si="5"/>
        <v>14.525611174989532</v>
      </c>
      <c r="K17" s="258">
        <f t="shared" si="5"/>
        <v>15.263400272857297</v>
      </c>
      <c r="L17" s="258">
        <f t="shared" si="5"/>
        <v>17.145575207304312</v>
      </c>
      <c r="M17" s="258">
        <f t="shared" si="5"/>
        <v>16.894696538560769</v>
      </c>
      <c r="N17" s="258">
        <f t="shared" si="5"/>
        <v>16.682979904332242</v>
      </c>
      <c r="O17" s="258">
        <f t="shared" si="5"/>
        <v>17.445413514798894</v>
      </c>
      <c r="P17" s="258">
        <f t="shared" si="5"/>
        <v>16.908853809172435</v>
      </c>
      <c r="Q17" s="258">
        <f t="shared" si="5"/>
        <v>17.794790572820631</v>
      </c>
      <c r="R17" s="258">
        <f t="shared" si="5"/>
        <v>19.389401398316799</v>
      </c>
      <c r="S17" s="258">
        <f t="shared" si="5"/>
        <v>21.331010340821791</v>
      </c>
      <c r="T17" s="258">
        <f t="shared" si="5"/>
        <v>20.529986684095434</v>
      </c>
      <c r="U17" s="258">
        <f t="shared" si="5"/>
        <v>23.150470973488073</v>
      </c>
      <c r="V17" s="258">
        <f t="shared" si="5"/>
        <v>23.226899626438858</v>
      </c>
      <c r="W17" s="258">
        <f t="shared" si="5"/>
        <v>21.462514675905865</v>
      </c>
      <c r="DA17" s="273"/>
    </row>
    <row r="18" spans="1:105" x14ac:dyDescent="0.25">
      <c r="A18" s="61" t="s">
        <v>29</v>
      </c>
      <c r="B18" s="55">
        <v>0.34698381373705173</v>
      </c>
      <c r="C18" s="55">
        <v>0.52048669346759879</v>
      </c>
      <c r="D18" s="55">
        <v>0.52048669346917276</v>
      </c>
      <c r="E18" s="55">
        <v>0.31968333531817461</v>
      </c>
      <c r="F18" s="55">
        <v>0.31968333531916471</v>
      </c>
      <c r="G18" s="55">
        <v>0.31968333531900051</v>
      </c>
      <c r="H18" s="55">
        <v>0.31968333531924842</v>
      </c>
      <c r="I18" s="55">
        <v>0.3196833353195625</v>
      </c>
      <c r="J18" s="55">
        <v>0.31968333531910759</v>
      </c>
      <c r="K18" s="55">
        <v>0.15983069479822201</v>
      </c>
      <c r="L18" s="55">
        <v>0.15983069479848011</v>
      </c>
      <c r="M18" s="55">
        <v>0.15983069479845299</v>
      </c>
      <c r="N18" s="55">
        <v>0.31968333531839938</v>
      </c>
      <c r="O18" s="55">
        <v>0.14666326147688361</v>
      </c>
      <c r="P18" s="55">
        <v>0.14729968742102981</v>
      </c>
      <c r="Q18" s="55">
        <v>0</v>
      </c>
      <c r="R18" s="55">
        <v>0</v>
      </c>
      <c r="S18" s="55">
        <v>6.6056623828481507E-3</v>
      </c>
      <c r="T18" s="55">
        <v>4.5647102180470982E-3</v>
      </c>
      <c r="U18" s="55">
        <v>2.435975164444795E-3</v>
      </c>
      <c r="V18" s="55">
        <v>2.83099816408444E-3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0.32221236790654689</v>
      </c>
      <c r="K19" s="55">
        <v>0.32221236790608199</v>
      </c>
      <c r="L19" s="55">
        <v>0</v>
      </c>
      <c r="M19" s="55">
        <v>0.32221236790654739</v>
      </c>
      <c r="N19" s="55">
        <v>0.32221236790583319</v>
      </c>
      <c r="O19" s="55">
        <v>0.32221236790596908</v>
      </c>
      <c r="P19" s="55">
        <v>0.32221236790659058</v>
      </c>
      <c r="Q19" s="55">
        <v>0.64442473581244786</v>
      </c>
      <c r="R19" s="55">
        <v>0.64442473581246806</v>
      </c>
      <c r="S19" s="55">
        <v>0.87899024538143888</v>
      </c>
      <c r="T19" s="55">
        <v>0.50749084728554161</v>
      </c>
      <c r="U19" s="55">
        <v>0.69083350532591281</v>
      </c>
      <c r="V19" s="55">
        <v>0.71627936742384957</v>
      </c>
      <c r="W19" s="55">
        <v>0.56128630349410413</v>
      </c>
      <c r="DA19" s="101" t="s">
        <v>1025</v>
      </c>
    </row>
    <row r="20" spans="1:105" x14ac:dyDescent="0.25">
      <c r="A20" s="61" t="s">
        <v>173</v>
      </c>
      <c r="B20" s="55">
        <v>7.205471622096459</v>
      </c>
      <c r="C20" s="55">
        <v>8.0640162329538381</v>
      </c>
      <c r="D20" s="55">
        <v>7.2671577645164298</v>
      </c>
      <c r="E20" s="55">
        <v>8.7611616807463157</v>
      </c>
      <c r="F20" s="55">
        <v>8.6488242315062287</v>
      </c>
      <c r="G20" s="55">
        <v>9.2189081374527717</v>
      </c>
      <c r="H20" s="55">
        <v>10.30310482845222</v>
      </c>
      <c r="I20" s="55">
        <v>10.15239309822819</v>
      </c>
      <c r="J20" s="55">
        <v>9.9241232938230564</v>
      </c>
      <c r="K20" s="55">
        <v>9.5810147311842915</v>
      </c>
      <c r="L20" s="55">
        <v>10.673975583967939</v>
      </c>
      <c r="M20" s="55">
        <v>11.23073685637682</v>
      </c>
      <c r="N20" s="55">
        <v>9.8919255718605523</v>
      </c>
      <c r="O20" s="55">
        <v>9.7634808838143723</v>
      </c>
      <c r="P20" s="55">
        <v>10.364133589919851</v>
      </c>
      <c r="Q20" s="55">
        <v>10.759140378327389</v>
      </c>
      <c r="R20" s="55">
        <v>11.36597099181615</v>
      </c>
      <c r="S20" s="55">
        <v>11.928190948667901</v>
      </c>
      <c r="T20" s="55">
        <v>12.532455679680419</v>
      </c>
      <c r="U20" s="55">
        <v>13.115004194052579</v>
      </c>
      <c r="V20" s="55">
        <v>14.514991406895779</v>
      </c>
      <c r="W20" s="55">
        <v>14.646787143987259</v>
      </c>
      <c r="DA20" s="101" t="s">
        <v>1026</v>
      </c>
    </row>
    <row r="21" spans="1:105" x14ac:dyDescent="0.25">
      <c r="A21" s="61" t="s">
        <v>129</v>
      </c>
      <c r="B21" s="55">
        <v>1.813274697286346</v>
      </c>
      <c r="C21" s="55">
        <v>1.279885177001346</v>
      </c>
      <c r="D21" s="55">
        <v>1.279885177005216</v>
      </c>
      <c r="E21" s="55">
        <v>1.5571115429925619</v>
      </c>
      <c r="F21" s="55">
        <v>1.5571115429973841</v>
      </c>
      <c r="G21" s="55">
        <v>1.30112996811042</v>
      </c>
      <c r="H21" s="55">
        <v>0.5332079408787388</v>
      </c>
      <c r="I21" s="55">
        <v>0.27722636599264933</v>
      </c>
      <c r="J21" s="55">
        <v>0</v>
      </c>
      <c r="K21" s="55">
        <v>0</v>
      </c>
      <c r="L21" s="55">
        <v>0</v>
      </c>
      <c r="M21" s="55">
        <v>0.55445273198451006</v>
      </c>
      <c r="N21" s="55">
        <v>0.55445273198328093</v>
      </c>
      <c r="O21" s="55">
        <v>0.55445273198351475</v>
      </c>
      <c r="P21" s="55">
        <v>0.27722636599229222</v>
      </c>
      <c r="Q21" s="55">
        <v>0.27722636599197659</v>
      </c>
      <c r="R21" s="55">
        <v>0.55445273198397027</v>
      </c>
      <c r="S21" s="55">
        <v>0.13795495763051671</v>
      </c>
      <c r="T21" s="55">
        <v>0.74681342068379497</v>
      </c>
      <c r="U21" s="55">
        <v>0.37732201639604279</v>
      </c>
      <c r="V21" s="55">
        <v>0.2383683720037999</v>
      </c>
      <c r="W21" s="55">
        <v>0.2207778665474964</v>
      </c>
      <c r="DA21" s="101" t="s">
        <v>1027</v>
      </c>
    </row>
    <row r="22" spans="1:105" x14ac:dyDescent="0.25">
      <c r="A22" s="61" t="s">
        <v>176</v>
      </c>
      <c r="B22" s="55">
        <v>2.1704601859415948</v>
      </c>
      <c r="C22" s="55">
        <v>2.6482853781194251</v>
      </c>
      <c r="D22" s="55">
        <v>2.8182406444976809</v>
      </c>
      <c r="E22" s="55">
        <v>3.3060437987686471</v>
      </c>
      <c r="F22" s="55">
        <v>4.0241033831564792</v>
      </c>
      <c r="G22" s="55">
        <v>3.3294341417562028</v>
      </c>
      <c r="H22" s="55">
        <v>3.2133743906195709</v>
      </c>
      <c r="I22" s="55">
        <v>2.8382878384902468</v>
      </c>
      <c r="J22" s="55">
        <v>2.166244153853162</v>
      </c>
      <c r="K22" s="55">
        <v>1.059102548404198</v>
      </c>
      <c r="L22" s="55">
        <v>3.0377046394283118</v>
      </c>
      <c r="M22" s="55">
        <v>2.57453444970748</v>
      </c>
      <c r="N22" s="55">
        <v>3.8249523222207671</v>
      </c>
      <c r="O22" s="55">
        <v>3.9213933354109209</v>
      </c>
      <c r="P22" s="55">
        <v>3.8571631580607408</v>
      </c>
      <c r="Q22" s="55">
        <v>3.3885747644356452</v>
      </c>
      <c r="R22" s="55">
        <v>3.5564138082682608</v>
      </c>
      <c r="S22" s="55">
        <v>2.4214471542403948</v>
      </c>
      <c r="T22" s="55">
        <v>2.2528072220556909</v>
      </c>
      <c r="U22" s="55">
        <v>1.8999411981144689</v>
      </c>
      <c r="V22" s="55">
        <v>1.817208123432267</v>
      </c>
      <c r="W22" s="55">
        <v>2.258105535733574</v>
      </c>
      <c r="DA22" s="101" t="s">
        <v>1028</v>
      </c>
    </row>
    <row r="23" spans="1:105" x14ac:dyDescent="0.25">
      <c r="A23" s="61" t="s">
        <v>171</v>
      </c>
      <c r="B23" s="55">
        <v>3.0793835381026331</v>
      </c>
      <c r="C23" s="55">
        <v>2.8493004949917822</v>
      </c>
      <c r="D23" s="55">
        <v>2.5602419478464942</v>
      </c>
      <c r="E23" s="55">
        <v>2.548455341882089</v>
      </c>
      <c r="F23" s="55">
        <v>3.2032597048607618</v>
      </c>
      <c r="G23" s="55">
        <v>2.9554861342439911</v>
      </c>
      <c r="H23" s="55">
        <v>2.8316099675025468</v>
      </c>
      <c r="I23" s="55">
        <v>3.9347513364994811</v>
      </c>
      <c r="J23" s="55">
        <v>1.7933480240876589</v>
      </c>
      <c r="K23" s="55">
        <v>4.1412399305645033</v>
      </c>
      <c r="L23" s="55">
        <v>3.2740642891095808</v>
      </c>
      <c r="M23" s="55">
        <v>2.0529294377869589</v>
      </c>
      <c r="N23" s="55">
        <v>1.769753575043411</v>
      </c>
      <c r="O23" s="55">
        <v>2.7372109342072322</v>
      </c>
      <c r="P23" s="55">
        <v>1.9408186398719289</v>
      </c>
      <c r="Q23" s="55">
        <v>2.7254243282531698</v>
      </c>
      <c r="R23" s="55">
        <v>3.2681391304359519</v>
      </c>
      <c r="S23" s="55">
        <v>5.9578213725186906</v>
      </c>
      <c r="T23" s="55">
        <v>4.4858548041719386</v>
      </c>
      <c r="U23" s="55">
        <v>7.0649340844346229</v>
      </c>
      <c r="V23" s="55">
        <v>5.9372213585190767</v>
      </c>
      <c r="W23" s="55">
        <v>3.7755578261434288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1.530524787023134</v>
      </c>
      <c r="C25" s="258">
        <v>1.6362202925471621</v>
      </c>
      <c r="D25" s="258">
        <v>1.521872547168728</v>
      </c>
      <c r="E25" s="258">
        <v>1.7605514318590429</v>
      </c>
      <c r="F25" s="258">
        <v>1.8553460522888949</v>
      </c>
      <c r="G25" s="258">
        <v>1.8359451331695711</v>
      </c>
      <c r="H25" s="258">
        <v>1.895685439838936</v>
      </c>
      <c r="I25" s="258">
        <v>1.9188383666272359</v>
      </c>
      <c r="J25" s="258">
        <v>1.6493191436113359</v>
      </c>
      <c r="K25" s="258">
        <v>1.7046008401928561</v>
      </c>
      <c r="L25" s="258">
        <v>1.910637241857791</v>
      </c>
      <c r="M25" s="258">
        <v>1.9047995169341869</v>
      </c>
      <c r="N25" s="258">
        <v>1.826059834066287</v>
      </c>
      <c r="O25" s="258">
        <v>1.885726793056383</v>
      </c>
      <c r="P25" s="258">
        <v>1.866826481632802</v>
      </c>
      <c r="Q25" s="258">
        <v>1.958325020901122</v>
      </c>
      <c r="R25" s="258">
        <v>2.1188823254737832</v>
      </c>
      <c r="S25" s="258">
        <v>2.3110268906477121</v>
      </c>
      <c r="T25" s="258">
        <v>2.2730071335264528</v>
      </c>
      <c r="U25" s="258">
        <v>2.518561939899354</v>
      </c>
      <c r="V25" s="258">
        <v>2.5880571759074691</v>
      </c>
      <c r="W25" s="258">
        <v>2.4402063782260481</v>
      </c>
      <c r="DA25" s="273" t="s">
        <v>1031</v>
      </c>
    </row>
    <row r="26" spans="1:105" x14ac:dyDescent="0.25">
      <c r="A26" s="257" t="s">
        <v>177</v>
      </c>
      <c r="B26" s="258">
        <v>1.1803378532278621</v>
      </c>
      <c r="C26" s="258">
        <v>1.1425311264356841</v>
      </c>
      <c r="D26" s="258">
        <v>1.1713412699434851</v>
      </c>
      <c r="E26" s="258">
        <v>1.2440980935369901</v>
      </c>
      <c r="F26" s="258">
        <v>1.2547188375904059</v>
      </c>
      <c r="G26" s="258">
        <v>1.2120572823922879</v>
      </c>
      <c r="H26" s="258">
        <v>1.276910243344118</v>
      </c>
      <c r="I26" s="258">
        <v>1.1387946264105311</v>
      </c>
      <c r="J26" s="258">
        <v>1.0789691442717919</v>
      </c>
      <c r="K26" s="258">
        <v>1.0539773606709371</v>
      </c>
      <c r="L26" s="258">
        <v>1.101798953112336</v>
      </c>
      <c r="M26" s="258">
        <v>1.071170163097475</v>
      </c>
      <c r="N26" s="258">
        <v>1.1613822985808619</v>
      </c>
      <c r="O26" s="258">
        <v>1.205829755588945</v>
      </c>
      <c r="P26" s="258">
        <v>1.2964123559025751</v>
      </c>
      <c r="Q26" s="258">
        <v>1.295510505953736</v>
      </c>
      <c r="R26" s="258">
        <v>1.4199680985817951</v>
      </c>
      <c r="S26" s="258">
        <v>1.5155453374116239</v>
      </c>
      <c r="T26" s="258">
        <v>1.4841726003737441</v>
      </c>
      <c r="U26" s="258">
        <v>1.5055996826273059</v>
      </c>
      <c r="V26" s="258">
        <v>1.54407898877404</v>
      </c>
      <c r="W26" s="258">
        <v>1.510959214539713</v>
      </c>
      <c r="DA26" s="273" t="s">
        <v>1032</v>
      </c>
    </row>
    <row r="27" spans="1:105" x14ac:dyDescent="0.25">
      <c r="A27" s="129" t="s">
        <v>33</v>
      </c>
      <c r="B27" s="259">
        <v>1.7989113134918959</v>
      </c>
      <c r="C27" s="259">
        <v>1.7412914139296181</v>
      </c>
      <c r="D27" s="259">
        <v>1.785199938050722</v>
      </c>
      <c r="E27" s="259">
        <v>1.896086048106556</v>
      </c>
      <c r="F27" s="259">
        <v>1.912272749721811</v>
      </c>
      <c r="G27" s="259">
        <v>1.8472537773257449</v>
      </c>
      <c r="H27" s="259">
        <v>1.946093888951967</v>
      </c>
      <c r="I27" s="259">
        <v>1.7355967459582999</v>
      </c>
      <c r="J27" s="259">
        <v>1.644418837565228</v>
      </c>
      <c r="K27" s="259">
        <v>1.6063297411756019</v>
      </c>
      <c r="L27" s="259">
        <v>1.6792129444353929</v>
      </c>
      <c r="M27" s="259">
        <v>1.6325326852827919</v>
      </c>
      <c r="N27" s="259">
        <v>1.7700218208650611</v>
      </c>
      <c r="O27" s="259">
        <v>1.837762623254078</v>
      </c>
      <c r="P27" s="259">
        <v>1.975816371224699</v>
      </c>
      <c r="Q27" s="259">
        <v>1.9744418935091841</v>
      </c>
      <c r="R27" s="259">
        <v>2.1641233231238628</v>
      </c>
      <c r="S27" s="259">
        <v>2.3097892235888091</v>
      </c>
      <c r="T27" s="259">
        <v>2.2619751410036311</v>
      </c>
      <c r="U27" s="259">
        <v>2.294631401730713</v>
      </c>
      <c r="V27" s="259">
        <v>2.3532763557778802</v>
      </c>
      <c r="W27" s="259">
        <v>2.3027996753871789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0.99999999999999989</v>
      </c>
      <c r="D31" s="236">
        <f t="shared" si="6"/>
        <v>0.99999999999999978</v>
      </c>
      <c r="E31" s="236">
        <f t="shared" si="6"/>
        <v>0.99999999999999989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1.0000000000000002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1.0000000000000002</v>
      </c>
      <c r="S31" s="236">
        <f t="shared" si="7"/>
        <v>0.99999999999999989</v>
      </c>
      <c r="T31" s="236">
        <f t="shared" si="7"/>
        <v>1.0000000000000002</v>
      </c>
      <c r="U31" s="236">
        <f t="shared" si="7"/>
        <v>0.99999999999999989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2.3516447282170835E-2</v>
      </c>
      <c r="C32" s="245">
        <f t="shared" si="8"/>
        <v>2.170136976230989E-2</v>
      </c>
      <c r="D32" s="245">
        <f t="shared" si="8"/>
        <v>2.3335671865693321E-2</v>
      </c>
      <c r="E32" s="245">
        <f t="shared" si="8"/>
        <v>2.1743461348619646E-2</v>
      </c>
      <c r="F32" s="245">
        <f t="shared" si="8"/>
        <v>2.0607632664461334E-2</v>
      </c>
      <c r="G32" s="245">
        <f t="shared" si="8"/>
        <v>2.0358358107927414E-2</v>
      </c>
      <c r="H32" s="245">
        <f t="shared" si="8"/>
        <v>2.1107605586405159E-2</v>
      </c>
      <c r="I32" s="245">
        <f t="shared" si="8"/>
        <v>1.8879304346572607E-2</v>
      </c>
      <c r="J32" s="245">
        <f t="shared" si="8"/>
        <v>2.094148077471112E-2</v>
      </c>
      <c r="K32" s="245">
        <f t="shared" si="8"/>
        <v>1.9658872119496951E-2</v>
      </c>
      <c r="L32" s="245">
        <f t="shared" si="8"/>
        <v>1.7883426965483701E-2</v>
      </c>
      <c r="M32" s="245">
        <f t="shared" si="8"/>
        <v>1.7747509184930659E-2</v>
      </c>
      <c r="N32" s="245">
        <f t="shared" si="8"/>
        <v>1.9479144534529952E-2</v>
      </c>
      <c r="O32" s="245">
        <f t="shared" si="8"/>
        <v>1.9593038092013786E-2</v>
      </c>
      <c r="P32" s="245">
        <f t="shared" si="8"/>
        <v>2.1104506672763965E-2</v>
      </c>
      <c r="Q32" s="245">
        <f t="shared" si="8"/>
        <v>2.0198318576530854E-2</v>
      </c>
      <c r="R32" s="245">
        <f t="shared" si="8"/>
        <v>2.0187993365643749E-2</v>
      </c>
      <c r="S32" s="245">
        <f t="shared" si="8"/>
        <v>1.9886130427814078E-2</v>
      </c>
      <c r="T32" s="245">
        <f t="shared" si="8"/>
        <v>1.9940674933057123E-2</v>
      </c>
      <c r="U32" s="245">
        <f t="shared" si="8"/>
        <v>1.8623048863511817E-2</v>
      </c>
      <c r="V32" s="245">
        <f t="shared" si="8"/>
        <v>1.8783950061798727E-2</v>
      </c>
      <c r="W32" s="245">
        <f t="shared" si="8"/>
        <v>1.9464177454603385E-2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1.515771761247529E-2</v>
      </c>
      <c r="C33" s="246">
        <f t="shared" si="9"/>
        <v>1.3987794615149809E-2</v>
      </c>
      <c r="D33" s="246">
        <f t="shared" si="9"/>
        <v>1.5041197345558912E-2</v>
      </c>
      <c r="E33" s="246">
        <f t="shared" si="9"/>
        <v>1.4014925089897509E-2</v>
      </c>
      <c r="F33" s="246">
        <f t="shared" si="9"/>
        <v>1.3282817461392161E-2</v>
      </c>
      <c r="G33" s="246">
        <f t="shared" si="9"/>
        <v>1.3122145515898897E-2</v>
      </c>
      <c r="H33" s="246">
        <f t="shared" si="9"/>
        <v>1.3605079079985127E-2</v>
      </c>
      <c r="I33" s="246">
        <f t="shared" si="9"/>
        <v>1.2168809368678958E-2</v>
      </c>
      <c r="J33" s="246">
        <f t="shared" si="9"/>
        <v>1.3498001979695707E-2</v>
      </c>
      <c r="K33" s="246">
        <f t="shared" si="9"/>
        <v>1.2671286125477679E-2</v>
      </c>
      <c r="L33" s="246">
        <f t="shared" si="9"/>
        <v>1.1526908492323292E-2</v>
      </c>
      <c r="M33" s="246">
        <f t="shared" si="9"/>
        <v>1.1439301579960334E-2</v>
      </c>
      <c r="N33" s="246">
        <f t="shared" si="9"/>
        <v>1.2555441246894885E-2</v>
      </c>
      <c r="O33" s="246">
        <f t="shared" si="9"/>
        <v>1.2628852266914429E-2</v>
      </c>
      <c r="P33" s="246">
        <f t="shared" si="9"/>
        <v>1.3603081649960302E-2</v>
      </c>
      <c r="Q33" s="246">
        <f t="shared" si="9"/>
        <v>1.3018990732583426E-2</v>
      </c>
      <c r="R33" s="246">
        <f t="shared" si="9"/>
        <v>1.3012335533818151E-2</v>
      </c>
      <c r="S33" s="246">
        <f t="shared" si="9"/>
        <v>1.2817767318883599E-2</v>
      </c>
      <c r="T33" s="246">
        <f t="shared" si="9"/>
        <v>1.2852924423945691E-2</v>
      </c>
      <c r="U33" s="246">
        <f t="shared" si="9"/>
        <v>1.2003637810140485E-2</v>
      </c>
      <c r="V33" s="246">
        <f t="shared" si="9"/>
        <v>1.2107347987867499E-2</v>
      </c>
      <c r="W33" s="246">
        <f t="shared" si="9"/>
        <v>1.2545794093637071E-2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3.0121905009656304E-2</v>
      </c>
      <c r="C34" s="246">
        <f t="shared" si="10"/>
        <v>2.779699631990433E-2</v>
      </c>
      <c r="D34" s="246">
        <f t="shared" si="10"/>
        <v>2.989035217950815E-2</v>
      </c>
      <c r="E34" s="246">
        <f t="shared" si="10"/>
        <v>2.7850910873804202E-2</v>
      </c>
      <c r="F34" s="246">
        <f t="shared" si="10"/>
        <v>2.6396042996826945E-2</v>
      </c>
      <c r="G34" s="246">
        <f t="shared" si="10"/>
        <v>2.6076750527894706E-2</v>
      </c>
      <c r="H34" s="246">
        <f t="shared" si="10"/>
        <v>2.7036451672571533E-2</v>
      </c>
      <c r="I34" s="246">
        <f t="shared" si="10"/>
        <v>2.4182250207793989E-2</v>
      </c>
      <c r="J34" s="246">
        <f t="shared" si="10"/>
        <v>2.6823664607520715E-2</v>
      </c>
      <c r="K34" s="246">
        <f t="shared" si="10"/>
        <v>2.5180788214953745E-2</v>
      </c>
      <c r="L34" s="246">
        <f t="shared" si="10"/>
        <v>2.2906644096271842E-2</v>
      </c>
      <c r="M34" s="246">
        <f t="shared" si="10"/>
        <v>2.273254881624007E-2</v>
      </c>
      <c r="N34" s="246">
        <f t="shared" si="10"/>
        <v>2.4950577538271512E-2</v>
      </c>
      <c r="O34" s="246">
        <f t="shared" si="10"/>
        <v>2.5096462283470254E-2</v>
      </c>
      <c r="P34" s="246">
        <f t="shared" si="10"/>
        <v>2.703248231524415E-2</v>
      </c>
      <c r="Q34" s="246">
        <f t="shared" si="10"/>
        <v>2.5871758017560368E-2</v>
      </c>
      <c r="R34" s="246">
        <f t="shared" si="10"/>
        <v>2.5858532592060755E-2</v>
      </c>
      <c r="S34" s="246">
        <f t="shared" si="10"/>
        <v>2.5471880363935506E-2</v>
      </c>
      <c r="T34" s="246">
        <f t="shared" si="10"/>
        <v>2.554174569631399E-2</v>
      </c>
      <c r="U34" s="246">
        <f t="shared" si="10"/>
        <v>2.3854015962784848E-2</v>
      </c>
      <c r="V34" s="246">
        <f t="shared" si="10"/>
        <v>2.4060112170795511E-2</v>
      </c>
      <c r="W34" s="246">
        <f t="shared" si="10"/>
        <v>2.4931406404366335E-2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0.32854994459559944</v>
      </c>
      <c r="C35" s="247">
        <f t="shared" si="11"/>
        <v>0.33291974761393966</v>
      </c>
      <c r="D35" s="247">
        <f t="shared" si="11"/>
        <v>0.33435838719917571</v>
      </c>
      <c r="E35" s="247">
        <f t="shared" si="11"/>
        <v>0.33878882044478181</v>
      </c>
      <c r="F35" s="247">
        <f t="shared" si="11"/>
        <v>0.34413529388751524</v>
      </c>
      <c r="G35" s="247">
        <f t="shared" si="11"/>
        <v>0.34634397923681287</v>
      </c>
      <c r="H35" s="247">
        <f t="shared" si="11"/>
        <v>0.34137774521868069</v>
      </c>
      <c r="I35" s="247">
        <f t="shared" si="11"/>
        <v>0.34339728347084308</v>
      </c>
      <c r="J35" s="247">
        <f t="shared" si="11"/>
        <v>0.33902375946511609</v>
      </c>
      <c r="K35" s="247">
        <f t="shared" si="11"/>
        <v>0.34505403181439565</v>
      </c>
      <c r="L35" s="247">
        <f t="shared" si="11"/>
        <v>0.36758586896566725</v>
      </c>
      <c r="M35" s="247">
        <f t="shared" si="11"/>
        <v>0.36213220506744614</v>
      </c>
      <c r="N35" s="247">
        <f t="shared" si="11"/>
        <v>0.3606300827662286</v>
      </c>
      <c r="O35" s="247">
        <f t="shared" si="11"/>
        <v>0.35628314408223349</v>
      </c>
      <c r="P35" s="247">
        <f t="shared" si="11"/>
        <v>0.35830238376947765</v>
      </c>
      <c r="Q35" s="247">
        <f t="shared" si="11"/>
        <v>0.35987614951663482</v>
      </c>
      <c r="R35" s="247">
        <f t="shared" si="11"/>
        <v>0.36510235051474399</v>
      </c>
      <c r="S35" s="247">
        <f t="shared" si="11"/>
        <v>0.36087864496065908</v>
      </c>
      <c r="T35" s="247">
        <f t="shared" si="11"/>
        <v>0.36281124379656415</v>
      </c>
      <c r="U35" s="247">
        <f t="shared" si="11"/>
        <v>0.35440007019601361</v>
      </c>
      <c r="V35" s="247">
        <f t="shared" si="11"/>
        <v>0.35451596175035988</v>
      </c>
      <c r="W35" s="247">
        <f t="shared" si="11"/>
        <v>0.35726392657536843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0.22480047443144396</v>
      </c>
      <c r="C36" s="260">
        <f t="shared" si="12"/>
        <v>0.22911438642225157</v>
      </c>
      <c r="D36" s="260">
        <f t="shared" si="12"/>
        <v>0.22351497563646608</v>
      </c>
      <c r="E36" s="260">
        <f t="shared" si="12"/>
        <v>0.22683718662745903</v>
      </c>
      <c r="F36" s="260">
        <f t="shared" si="12"/>
        <v>0.22464568953419442</v>
      </c>
      <c r="G36" s="260">
        <f t="shared" si="12"/>
        <v>0.22733734393357641</v>
      </c>
      <c r="H36" s="260">
        <f t="shared" si="12"/>
        <v>0.23101296445928279</v>
      </c>
      <c r="I36" s="260">
        <f t="shared" si="12"/>
        <v>0.2345149054865536</v>
      </c>
      <c r="J36" s="260">
        <f t="shared" si="12"/>
        <v>0.23599051138987728</v>
      </c>
      <c r="K36" s="260">
        <f t="shared" si="12"/>
        <v>0.23439130264369751</v>
      </c>
      <c r="L36" s="260">
        <f t="shared" si="12"/>
        <v>0.2286220464890128</v>
      </c>
      <c r="M36" s="260">
        <f t="shared" si="12"/>
        <v>0.23265891261978375</v>
      </c>
      <c r="N36" s="260">
        <f t="shared" si="12"/>
        <v>0.22578815811154504</v>
      </c>
      <c r="O36" s="260">
        <f t="shared" si="12"/>
        <v>0.22588429520560957</v>
      </c>
      <c r="P36" s="260">
        <f t="shared" si="12"/>
        <v>0.22404098601204195</v>
      </c>
      <c r="Q36" s="260">
        <f t="shared" si="12"/>
        <v>0.22508706102004741</v>
      </c>
      <c r="R36" s="260">
        <f t="shared" si="12"/>
        <v>0.22208175634498756</v>
      </c>
      <c r="S36" s="260">
        <f t="shared" si="12"/>
        <v>0.22355162383757213</v>
      </c>
      <c r="T36" s="260">
        <f t="shared" si="12"/>
        <v>0.22513743924711693</v>
      </c>
      <c r="U36" s="260">
        <f t="shared" si="12"/>
        <v>0.22966001220946022</v>
      </c>
      <c r="V36" s="260">
        <f t="shared" si="12"/>
        <v>0.23210407083942555</v>
      </c>
      <c r="W36" s="260">
        <f t="shared" si="12"/>
        <v>0.23174018591841927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0.28875531848175001</v>
      </c>
      <c r="C37" s="260">
        <f t="shared" si="13"/>
        <v>0.28934426231397037</v>
      </c>
      <c r="D37" s="260">
        <f t="shared" si="13"/>
        <v>0.28538660546769384</v>
      </c>
      <c r="E37" s="260">
        <f t="shared" si="13"/>
        <v>0.28583020828269473</v>
      </c>
      <c r="F37" s="260">
        <f t="shared" si="13"/>
        <v>0.28913571938874605</v>
      </c>
      <c r="G37" s="260">
        <f t="shared" si="13"/>
        <v>0.28522647946275276</v>
      </c>
      <c r="H37" s="260">
        <f t="shared" si="13"/>
        <v>0.28195548370237666</v>
      </c>
      <c r="I37" s="260">
        <f t="shared" si="13"/>
        <v>0.28805901667469508</v>
      </c>
      <c r="J37" s="260">
        <f t="shared" si="13"/>
        <v>0.27956417679883816</v>
      </c>
      <c r="K37" s="260">
        <f t="shared" si="13"/>
        <v>0.28231070860653718</v>
      </c>
      <c r="L37" s="260">
        <f t="shared" si="13"/>
        <v>0.27596194234412702</v>
      </c>
      <c r="M37" s="260">
        <f t="shared" si="13"/>
        <v>0.27757355096261277</v>
      </c>
      <c r="N37" s="260">
        <f t="shared" si="13"/>
        <v>0.27747064758411194</v>
      </c>
      <c r="O37" s="260">
        <f t="shared" si="13"/>
        <v>0.28109026042023566</v>
      </c>
      <c r="P37" s="260">
        <f t="shared" si="13"/>
        <v>0.27295745230605206</v>
      </c>
      <c r="Q37" s="260">
        <f t="shared" si="13"/>
        <v>0.2751160345862298</v>
      </c>
      <c r="R37" s="260">
        <f t="shared" si="13"/>
        <v>0.27335543344710928</v>
      </c>
      <c r="S37" s="260">
        <f t="shared" si="13"/>
        <v>0.2775501845147107</v>
      </c>
      <c r="T37" s="260">
        <f t="shared" si="13"/>
        <v>0.27352237272843244</v>
      </c>
      <c r="U37" s="260">
        <f t="shared" si="13"/>
        <v>0.28395521057557521</v>
      </c>
      <c r="V37" s="260">
        <f t="shared" si="13"/>
        <v>0.28019307551481742</v>
      </c>
      <c r="W37" s="260">
        <f t="shared" si="13"/>
        <v>0.27416541071240114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3.0238099211167772E-2</v>
      </c>
      <c r="C38" s="260">
        <f t="shared" si="14"/>
        <v>3.0818367109161332E-2</v>
      </c>
      <c r="D38" s="260">
        <f t="shared" si="14"/>
        <v>3.006518569665367E-2</v>
      </c>
      <c r="E38" s="260">
        <f t="shared" si="14"/>
        <v>3.0512059066472599E-2</v>
      </c>
      <c r="F38" s="260">
        <f t="shared" si="14"/>
        <v>3.0217278965608857E-2</v>
      </c>
      <c r="G38" s="260">
        <f t="shared" si="14"/>
        <v>3.0579335642653437E-2</v>
      </c>
      <c r="H38" s="260">
        <f t="shared" si="14"/>
        <v>3.107374642359156E-2</v>
      </c>
      <c r="I38" s="260">
        <f t="shared" si="14"/>
        <v>3.1544795430414579E-2</v>
      </c>
      <c r="J38" s="260">
        <f t="shared" si="14"/>
        <v>3.1743280410547005E-2</v>
      </c>
      <c r="K38" s="260">
        <f t="shared" si="14"/>
        <v>3.152816950898573E-2</v>
      </c>
      <c r="L38" s="260">
        <f t="shared" si="14"/>
        <v>3.0752142054323053E-2</v>
      </c>
      <c r="M38" s="260">
        <f t="shared" si="14"/>
        <v>3.1295144282735526E-2</v>
      </c>
      <c r="N38" s="260">
        <f t="shared" si="14"/>
        <v>3.0370953366318829E-2</v>
      </c>
      <c r="O38" s="260">
        <f t="shared" si="14"/>
        <v>3.0383884846982082E-2</v>
      </c>
      <c r="P38" s="260">
        <f t="shared" si="14"/>
        <v>3.013593979075865E-2</v>
      </c>
      <c r="Q38" s="260">
        <f t="shared" si="14"/>
        <v>3.0276648212101603E-2</v>
      </c>
      <c r="R38" s="260">
        <f t="shared" si="14"/>
        <v>2.9872402175014339E-2</v>
      </c>
      <c r="S38" s="260">
        <f t="shared" si="14"/>
        <v>3.0070115276734671E-2</v>
      </c>
      <c r="T38" s="260">
        <f t="shared" si="14"/>
        <v>3.0283424629420384E-2</v>
      </c>
      <c r="U38" s="260">
        <f t="shared" si="14"/>
        <v>3.0891759688636587E-2</v>
      </c>
      <c r="V38" s="260">
        <f t="shared" si="14"/>
        <v>3.1220512052339174E-2</v>
      </c>
      <c r="W38" s="260">
        <f t="shared" si="14"/>
        <v>3.1171565588277373E-2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2.3319565557654312E-2</v>
      </c>
      <c r="C39" s="260">
        <f t="shared" si="15"/>
        <v>2.1519684023307405E-2</v>
      </c>
      <c r="D39" s="260">
        <f t="shared" si="15"/>
        <v>2.3140303608552178E-2</v>
      </c>
      <c r="E39" s="260">
        <f t="shared" si="15"/>
        <v>2.1561423215226937E-2</v>
      </c>
      <c r="F39" s="260">
        <f t="shared" si="15"/>
        <v>2.0435103786757173E-2</v>
      </c>
      <c r="G39" s="260">
        <f t="shared" si="15"/>
        <v>2.0187916178306002E-2</v>
      </c>
      <c r="H39" s="260">
        <f t="shared" si="15"/>
        <v>2.0930890892284813E-2</v>
      </c>
      <c r="I39" s="260">
        <f t="shared" si="15"/>
        <v>1.8721245182583012E-2</v>
      </c>
      <c r="J39" s="260">
        <f t="shared" si="15"/>
        <v>2.0766156891839544E-2</v>
      </c>
      <c r="K39" s="260">
        <f t="shared" si="15"/>
        <v>1.9494286346888753E-2</v>
      </c>
      <c r="L39" s="260">
        <f t="shared" si="15"/>
        <v>1.7733705372805074E-2</v>
      </c>
      <c r="M39" s="260">
        <f t="shared" si="15"/>
        <v>1.7598925507631293E-2</v>
      </c>
      <c r="N39" s="260">
        <f t="shared" si="15"/>
        <v>1.9316063456761363E-2</v>
      </c>
      <c r="O39" s="260">
        <f t="shared" si="15"/>
        <v>1.9429003487560666E-2</v>
      </c>
      <c r="P39" s="260">
        <f t="shared" si="15"/>
        <v>2.0927817923015853E-2</v>
      </c>
      <c r="Q39" s="260">
        <f t="shared" si="15"/>
        <v>2.0029216511666822E-2</v>
      </c>
      <c r="R39" s="260">
        <f t="shared" si="15"/>
        <v>2.0018977744335632E-2</v>
      </c>
      <c r="S39" s="260">
        <f t="shared" si="15"/>
        <v>1.9719642029051691E-2</v>
      </c>
      <c r="T39" s="260">
        <f t="shared" si="15"/>
        <v>1.977372988299338E-2</v>
      </c>
      <c r="U39" s="260">
        <f t="shared" si="15"/>
        <v>1.8467135092523828E-2</v>
      </c>
      <c r="V39" s="260">
        <f t="shared" si="15"/>
        <v>1.8626689212103847E-2</v>
      </c>
      <c r="W39" s="260">
        <f t="shared" si="15"/>
        <v>1.9301221682518577E-2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3.5540527818082229E-2</v>
      </c>
      <c r="C40" s="262">
        <f t="shared" si="16"/>
        <v>3.2797391820005663E-2</v>
      </c>
      <c r="D40" s="262">
        <f t="shared" si="16"/>
        <v>3.5267321000698092E-2</v>
      </c>
      <c r="E40" s="262">
        <f t="shared" si="16"/>
        <v>3.2861005051043481E-2</v>
      </c>
      <c r="F40" s="262">
        <f t="shared" si="16"/>
        <v>3.1144421314497951E-2</v>
      </c>
      <c r="G40" s="262">
        <f t="shared" si="16"/>
        <v>3.076769139417743E-2</v>
      </c>
      <c r="H40" s="262">
        <f t="shared" si="16"/>
        <v>3.1900032964821697E-2</v>
      </c>
      <c r="I40" s="262">
        <f t="shared" si="16"/>
        <v>2.853238983186521E-2</v>
      </c>
      <c r="J40" s="262">
        <f t="shared" si="16"/>
        <v>3.1648967681854295E-2</v>
      </c>
      <c r="K40" s="262">
        <f t="shared" si="16"/>
        <v>2.971055461956694E-2</v>
      </c>
      <c r="L40" s="262">
        <f t="shared" si="16"/>
        <v>2.7027315219986071E-2</v>
      </c>
      <c r="M40" s="262">
        <f t="shared" si="16"/>
        <v>2.6821901978659458E-2</v>
      </c>
      <c r="N40" s="262">
        <f t="shared" si="16"/>
        <v>2.9438931395337885E-2</v>
      </c>
      <c r="O40" s="262">
        <f t="shared" si="16"/>
        <v>2.9611059314980023E-2</v>
      </c>
      <c r="P40" s="262">
        <f t="shared" si="16"/>
        <v>3.189534956068546E-2</v>
      </c>
      <c r="Q40" s="262">
        <f t="shared" si="16"/>
        <v>3.0525822826644913E-2</v>
      </c>
      <c r="R40" s="262">
        <f t="shared" si="16"/>
        <v>3.0510218282286776E-2</v>
      </c>
      <c r="S40" s="262">
        <f t="shared" si="16"/>
        <v>3.0054011270638489E-2</v>
      </c>
      <c r="T40" s="262">
        <f t="shared" si="16"/>
        <v>3.0136444662156103E-2</v>
      </c>
      <c r="U40" s="262">
        <f t="shared" si="16"/>
        <v>2.8145109601353382E-2</v>
      </c>
      <c r="V40" s="262">
        <f t="shared" si="16"/>
        <v>2.8388280410492336E-2</v>
      </c>
      <c r="W40" s="262">
        <f t="shared" si="16"/>
        <v>2.9416311570408405E-2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0.39039425851431531</v>
      </c>
      <c r="C44" s="238">
        <f>IF(C$5=0,0,C$5/AGR_fec!C$5)</f>
        <v>0.39042262744422163</v>
      </c>
      <c r="D44" s="238">
        <f>IF(D$5=0,0,D$5/AGR_fec!D$5)</f>
        <v>0.39372955297861134</v>
      </c>
      <c r="E44" s="238">
        <f>IF(E$5=0,0,E$5/AGR_fec!E$5)</f>
        <v>0.39374144064088579</v>
      </c>
      <c r="F44" s="238">
        <f>IF(F$5=0,0,F$5/AGR_fec!F$5)</f>
        <v>0.39373297789999401</v>
      </c>
      <c r="G44" s="238">
        <f>IF(G$5=0,0,G$5/AGR_fec!G$5)</f>
        <v>0.39409425277613302</v>
      </c>
      <c r="H44" s="238">
        <f>IF(H$5=0,0,H$5/AGR_fec!H$5)</f>
        <v>0.39409614181857133</v>
      </c>
      <c r="I44" s="238">
        <f>IF(I$5=0,0,I$5/AGR_fec!I$5)</f>
        <v>0.39003461368338382</v>
      </c>
      <c r="J44" s="238">
        <f>IF(J$5=0,0,J$5/AGR_fec!J$5)</f>
        <v>0.39392494036115561</v>
      </c>
      <c r="K44" s="238">
        <f>IF(K$5=0,0,K$5/AGR_fec!K$5)</f>
        <v>0.39000695148241926</v>
      </c>
      <c r="L44" s="238">
        <f>IF(L$5=0,0,L$5/AGR_fec!L$5)</f>
        <v>0.39844015973913294</v>
      </c>
      <c r="M44" s="238">
        <f>IF(M$5=0,0,M$5/AGR_fec!M$5)</f>
        <v>0.3973359984335969</v>
      </c>
      <c r="N44" s="238">
        <f>IF(N$5=0,0,N$5/AGR_fec!N$5)</f>
        <v>0.40046810015081985</v>
      </c>
      <c r="O44" s="238">
        <f>IF(O$5=0,0,O$5/AGR_fec!O$5)</f>
        <v>0.39804648012565685</v>
      </c>
      <c r="P44" s="238">
        <f>IF(P$5=0,0,P$5/AGR_fec!P$5)</f>
        <v>0.40221520516859988</v>
      </c>
      <c r="Q44" s="238">
        <f>IF(Q$5=0,0,Q$5/AGR_fec!Q$5)</f>
        <v>0.40034064223113452</v>
      </c>
      <c r="R44" s="238">
        <f>IF(R$5=0,0,R$5/AGR_fec!R$5)</f>
        <v>0.40156662738664212</v>
      </c>
      <c r="S44" s="238">
        <f>IF(S$5=0,0,S$5/AGR_fec!S$5)</f>
        <v>0.39649025291449819</v>
      </c>
      <c r="T44" s="238">
        <f>IF(T$5=0,0,T$5/AGR_fec!T$5)</f>
        <v>0.39820348930198568</v>
      </c>
      <c r="U44" s="238">
        <f>IF(U$5=0,0,U$5/AGR_fec!U$5)</f>
        <v>0.39116270965840616</v>
      </c>
      <c r="V44" s="238">
        <f>IF(V$5=0,0,V$5/AGR_fec!V$5)</f>
        <v>0.39264827102782768</v>
      </c>
      <c r="W44" s="238">
        <f>IF(W$5=0,0,W$5/AGR_fec!W$5)</f>
        <v>0.39676908798308697</v>
      </c>
      <c r="DA44" s="287"/>
    </row>
    <row r="45" spans="1:105" x14ac:dyDescent="0.25">
      <c r="A45" s="239" t="s">
        <v>125</v>
      </c>
      <c r="B45" s="251">
        <f>IF(B$6=0,0,B$6/AGR_fec!B$6)</f>
        <v>0.48791725753540682</v>
      </c>
      <c r="C45" s="251">
        <f>IF(C$6=0,0,C$6/AGR_fec!C$6)</f>
        <v>0.48791725753540666</v>
      </c>
      <c r="D45" s="251">
        <f>IF(D$6=0,0,D$6/AGR_fec!D$6)</f>
        <v>0.48791725753540688</v>
      </c>
      <c r="E45" s="251">
        <f>IF(E$6=0,0,E$6/AGR_fec!E$6)</f>
        <v>0.48791725753540638</v>
      </c>
      <c r="F45" s="251">
        <f>IF(F$6=0,0,F$6/AGR_fec!F$6)</f>
        <v>0.48791725753540655</v>
      </c>
      <c r="G45" s="251">
        <f>IF(G$6=0,0,G$6/AGR_fec!G$6)</f>
        <v>0.4879172575354066</v>
      </c>
      <c r="H45" s="251">
        <f>IF(H$6=0,0,H$6/AGR_fec!H$6)</f>
        <v>0.48791725753540671</v>
      </c>
      <c r="I45" s="251">
        <f>IF(I$6=0,0,I$6/AGR_fec!I$6)</f>
        <v>0.48791725753540649</v>
      </c>
      <c r="J45" s="251">
        <f>IF(J$6=0,0,J$6/AGR_fec!J$6)</f>
        <v>0.48791725753540682</v>
      </c>
      <c r="K45" s="251">
        <f>IF(K$6=0,0,K$6/AGR_fec!K$6)</f>
        <v>0.4879172575354066</v>
      </c>
      <c r="L45" s="251">
        <f>IF(L$6=0,0,L$6/AGR_fec!L$6)</f>
        <v>0.48791725753540688</v>
      </c>
      <c r="M45" s="251">
        <f>IF(M$6=0,0,M$6/AGR_fec!M$6)</f>
        <v>0.48791725753540666</v>
      </c>
      <c r="N45" s="251">
        <f>IF(N$6=0,0,N$6/AGR_fec!N$6)</f>
        <v>0.48791725753540638</v>
      </c>
      <c r="O45" s="251">
        <f>IF(O$6=0,0,O$6/AGR_fec!O$6)</f>
        <v>0.48791725753540671</v>
      </c>
      <c r="P45" s="251">
        <f>IF(P$6=0,0,P$6/AGR_fec!P$6)</f>
        <v>0.48791725753540671</v>
      </c>
      <c r="Q45" s="251">
        <f>IF(Q$6=0,0,Q$6/AGR_fec!Q$6)</f>
        <v>0.4879172575354066</v>
      </c>
      <c r="R45" s="251">
        <f>IF(R$6=0,0,R$6/AGR_fec!R$6)</f>
        <v>0.4879172575354066</v>
      </c>
      <c r="S45" s="251">
        <f>IF(S$6=0,0,S$6/AGR_fec!S$6)</f>
        <v>0.48791725753540671</v>
      </c>
      <c r="T45" s="251">
        <f>IF(T$6=0,0,T$6/AGR_fec!T$6)</f>
        <v>0.48791725753540671</v>
      </c>
      <c r="U45" s="251">
        <f>IF(U$6=0,0,U$6/AGR_fec!U$6)</f>
        <v>0.48791725753540671</v>
      </c>
      <c r="V45" s="251">
        <f>IF(V$6=0,0,V$6/AGR_fec!V$6)</f>
        <v>0.48791725753540649</v>
      </c>
      <c r="W45" s="251">
        <f>IF(W$6=0,0,W$6/AGR_fec!W$6)</f>
        <v>0.48791725753540682</v>
      </c>
      <c r="DA45" s="288"/>
    </row>
    <row r="46" spans="1:105" x14ac:dyDescent="0.25">
      <c r="A46" s="241" t="s">
        <v>124</v>
      </c>
      <c r="B46" s="252">
        <f>IF(B$7=0,0,B$7/AGR_fec!B$7)</f>
        <v>0.48383237218124131</v>
      </c>
      <c r="C46" s="252">
        <f>IF(C$7=0,0,C$7/AGR_fec!C$7)</f>
        <v>0.48383237218124125</v>
      </c>
      <c r="D46" s="252">
        <f>IF(D$7=0,0,D$7/AGR_fec!D$7)</f>
        <v>0.48383237218124148</v>
      </c>
      <c r="E46" s="252">
        <f>IF(E$7=0,0,E$7/AGR_fec!E$7)</f>
        <v>0.48383237218124131</v>
      </c>
      <c r="F46" s="252">
        <f>IF(F$7=0,0,F$7/AGR_fec!F$7)</f>
        <v>0.48383237218124131</v>
      </c>
      <c r="G46" s="252">
        <f>IF(G$7=0,0,G$7/AGR_fec!G$7)</f>
        <v>0.48383237218124137</v>
      </c>
      <c r="H46" s="252">
        <f>IF(H$7=0,0,H$7/AGR_fec!H$7)</f>
        <v>0.4838323721812412</v>
      </c>
      <c r="I46" s="252">
        <f>IF(I$7=0,0,I$7/AGR_fec!I$7)</f>
        <v>0.48383237218124142</v>
      </c>
      <c r="J46" s="252">
        <f>IF(J$7=0,0,J$7/AGR_fec!J$7)</f>
        <v>0.48383237218124125</v>
      </c>
      <c r="K46" s="252">
        <f>IF(K$7=0,0,K$7/AGR_fec!K$7)</f>
        <v>0.48383237218124131</v>
      </c>
      <c r="L46" s="252">
        <f>IF(L$7=0,0,L$7/AGR_fec!L$7)</f>
        <v>0.48383237218124153</v>
      </c>
      <c r="M46" s="252">
        <f>IF(M$7=0,0,M$7/AGR_fec!M$7)</f>
        <v>0.48383237218124137</v>
      </c>
      <c r="N46" s="252">
        <f>IF(N$7=0,0,N$7/AGR_fec!N$7)</f>
        <v>0.48383237218124137</v>
      </c>
      <c r="O46" s="252">
        <f>IF(O$7=0,0,O$7/AGR_fec!O$7)</f>
        <v>0.48383237218124148</v>
      </c>
      <c r="P46" s="252">
        <f>IF(P$7=0,0,P$7/AGR_fec!P$7)</f>
        <v>0.48383237218124142</v>
      </c>
      <c r="Q46" s="252">
        <f>IF(Q$7=0,0,Q$7/AGR_fec!Q$7)</f>
        <v>0.48383237218124153</v>
      </c>
      <c r="R46" s="252">
        <f>IF(R$7=0,0,R$7/AGR_fec!R$7)</f>
        <v>0.48383237218124142</v>
      </c>
      <c r="S46" s="252">
        <f>IF(S$7=0,0,S$7/AGR_fec!S$7)</f>
        <v>0.48383237218124153</v>
      </c>
      <c r="T46" s="252">
        <f>IF(T$7=0,0,T$7/AGR_fec!T$7)</f>
        <v>0.48383237218124142</v>
      </c>
      <c r="U46" s="252">
        <f>IF(U$7=0,0,U$7/AGR_fec!U$7)</f>
        <v>0.48383237218124153</v>
      </c>
      <c r="V46" s="252">
        <f>IF(V$7=0,0,V$7/AGR_fec!V$7)</f>
        <v>0.48383237218124131</v>
      </c>
      <c r="W46" s="252">
        <f>IF(W$7=0,0,W$7/AGR_fec!W$7)</f>
        <v>0.48383237218124131</v>
      </c>
      <c r="DA46" s="289"/>
    </row>
    <row r="47" spans="1:105" x14ac:dyDescent="0.25">
      <c r="A47" s="241" t="s">
        <v>123</v>
      </c>
      <c r="B47" s="252">
        <f>IF(B$8=0,0,B$8/AGR_fec!B$8)</f>
        <v>0.6944074836789832</v>
      </c>
      <c r="C47" s="252">
        <f>IF(C$8=0,0,C$8/AGR_fec!C$8)</f>
        <v>0.69440748367898353</v>
      </c>
      <c r="D47" s="252">
        <f>IF(D$8=0,0,D$8/AGR_fec!D$8)</f>
        <v>0.6944074836789832</v>
      </c>
      <c r="E47" s="252">
        <f>IF(E$8=0,0,E$8/AGR_fec!E$8)</f>
        <v>0.69440748367898342</v>
      </c>
      <c r="F47" s="252">
        <f>IF(F$8=0,0,F$8/AGR_fec!F$8)</f>
        <v>0.69440748367898342</v>
      </c>
      <c r="G47" s="252">
        <f>IF(G$8=0,0,G$8/AGR_fec!G$8)</f>
        <v>0.69440748367898331</v>
      </c>
      <c r="H47" s="252">
        <f>IF(H$8=0,0,H$8/AGR_fec!H$8)</f>
        <v>0.69440748367898342</v>
      </c>
      <c r="I47" s="252">
        <f>IF(I$8=0,0,I$8/AGR_fec!I$8)</f>
        <v>0.69440748367898331</v>
      </c>
      <c r="J47" s="252">
        <f>IF(J$8=0,0,J$8/AGR_fec!J$8)</f>
        <v>0.69440748367898342</v>
      </c>
      <c r="K47" s="252">
        <f>IF(K$8=0,0,K$8/AGR_fec!K$8)</f>
        <v>0.69440748367898353</v>
      </c>
      <c r="L47" s="252">
        <f>IF(L$8=0,0,L$8/AGR_fec!L$8)</f>
        <v>0.69440748367898342</v>
      </c>
      <c r="M47" s="252">
        <f>IF(M$8=0,0,M$8/AGR_fec!M$8)</f>
        <v>0.69440748367898342</v>
      </c>
      <c r="N47" s="252">
        <f>IF(N$8=0,0,N$8/AGR_fec!N$8)</f>
        <v>0.69440748367898353</v>
      </c>
      <c r="O47" s="252">
        <f>IF(O$8=0,0,O$8/AGR_fec!O$8)</f>
        <v>0.6944074836789832</v>
      </c>
      <c r="P47" s="252">
        <f>IF(P$8=0,0,P$8/AGR_fec!P$8)</f>
        <v>0.69440748367898353</v>
      </c>
      <c r="Q47" s="252">
        <f>IF(Q$8=0,0,Q$8/AGR_fec!Q$8)</f>
        <v>0.69440748367898342</v>
      </c>
      <c r="R47" s="252">
        <f>IF(R$8=0,0,R$8/AGR_fec!R$8)</f>
        <v>0.69440748367898353</v>
      </c>
      <c r="S47" s="252">
        <f>IF(S$8=0,0,S$8/AGR_fec!S$8)</f>
        <v>0.6944074836789832</v>
      </c>
      <c r="T47" s="252">
        <f>IF(T$8=0,0,T$8/AGR_fec!T$8)</f>
        <v>0.69440748367898331</v>
      </c>
      <c r="U47" s="252">
        <f>IF(U$8=0,0,U$8/AGR_fec!U$8)</f>
        <v>0.69440748367898364</v>
      </c>
      <c r="V47" s="252">
        <f>IF(V$8=0,0,V$8/AGR_fec!V$8)</f>
        <v>0.69440748367898353</v>
      </c>
      <c r="W47" s="252">
        <f>IF(W$8=0,0,W$8/AGR_fec!W$8)</f>
        <v>0.69440748367898342</v>
      </c>
      <c r="DA47" s="289"/>
    </row>
    <row r="48" spans="1:105" x14ac:dyDescent="0.25">
      <c r="A48" s="243" t="s">
        <v>122</v>
      </c>
      <c r="B48" s="253">
        <f>IF(B$9=0,0,B$9/AGR_fec!B$9)</f>
        <v>0.65515602891508462</v>
      </c>
      <c r="C48" s="253">
        <f>IF(C$9=0,0,C$9/AGR_fec!C$9)</f>
        <v>0.65206809432785595</v>
      </c>
      <c r="D48" s="253">
        <f>IF(D$9=0,0,D$9/AGR_fec!D$9)</f>
        <v>0.65809424938467331</v>
      </c>
      <c r="E48" s="253">
        <f>IF(E$9=0,0,E$9/AGR_fec!E$9)</f>
        <v>0.65586627140220854</v>
      </c>
      <c r="F48" s="253">
        <f>IF(F$9=0,0,F$9/AGR_fec!F$9)</f>
        <v>0.65839411953386462</v>
      </c>
      <c r="G48" s="253">
        <f>IF(G$9=0,0,G$9/AGR_fec!G$9)</f>
        <v>0.65691282866205469</v>
      </c>
      <c r="H48" s="253">
        <f>IF(H$9=0,0,H$9/AGR_fec!H$9)</f>
        <v>0.65323254777393158</v>
      </c>
      <c r="I48" s="253">
        <f>IF(I$9=0,0,I$9/AGR_fec!I$9)</f>
        <v>0.64996082774404385</v>
      </c>
      <c r="J48" s="253">
        <f>IF(J$9=0,0,J$9/AGR_fec!J$9)</f>
        <v>0.64835417597586631</v>
      </c>
      <c r="K48" s="253">
        <f>IF(K$9=0,0,K$9/AGR_fec!K$9)</f>
        <v>0.65011219385403596</v>
      </c>
      <c r="L48" s="253">
        <f>IF(L$9=0,0,L$9/AGR_fec!L$9)</f>
        <v>0.66075983477766564</v>
      </c>
      <c r="M48" s="253">
        <f>IF(M$9=0,0,M$9/AGR_fec!M$9)</f>
        <v>0.65639910978758387</v>
      </c>
      <c r="N48" s="253">
        <f>IF(N$9=0,0,N$9/AGR_fec!N$9)</f>
        <v>0.66169127175059239</v>
      </c>
      <c r="O48" s="253">
        <f>IF(O$9=0,0,O$9/AGR_fec!O$9)</f>
        <v>0.66050502934528321</v>
      </c>
      <c r="P48" s="253">
        <f>IF(P$9=0,0,P$9/AGR_fec!P$9)</f>
        <v>0.66303318223930818</v>
      </c>
      <c r="Q48" s="253">
        <f>IF(Q$9=0,0,Q$9/AGR_fec!Q$9)</f>
        <v>0.66204592980642407</v>
      </c>
      <c r="R48" s="253">
        <f>IF(R$9=0,0,R$9/AGR_fec!R$9)</f>
        <v>0.66521162902440933</v>
      </c>
      <c r="S48" s="253">
        <f>IF(S$9=0,0,S$9/AGR_fec!S$9)</f>
        <v>0.66268317908244756</v>
      </c>
      <c r="T48" s="253">
        <f>IF(T$9=0,0,T$9/AGR_fec!T$9)</f>
        <v>0.66213604035352713</v>
      </c>
      <c r="U48" s="253">
        <f>IF(U$9=0,0,U$9/AGR_fec!U$9)</f>
        <v>0.65595610710854002</v>
      </c>
      <c r="V48" s="253">
        <f>IF(V$9=0,0,V$9/AGR_fec!V$9)</f>
        <v>0.65435610516299281</v>
      </c>
      <c r="W48" s="253">
        <f>IF(W$9=0,0,W$9/AGR_fec!W$9)</f>
        <v>0.65594236913937709</v>
      </c>
      <c r="DA48" s="290"/>
    </row>
    <row r="49" spans="1:105" x14ac:dyDescent="0.25">
      <c r="A49" s="128" t="s">
        <v>175</v>
      </c>
      <c r="B49" s="265">
        <f>IF(B$16=0,0,B$16/AGR_fec!B$16)</f>
        <v>0.34914368972189425</v>
      </c>
      <c r="C49" s="265">
        <f>IF(C$16=0,0,C$16/AGR_fec!C$16)</f>
        <v>0.34914368972189425</v>
      </c>
      <c r="D49" s="265">
        <f>IF(D$16=0,0,D$16/AGR_fec!D$16)</f>
        <v>0.3491436897218943</v>
      </c>
      <c r="E49" s="265">
        <f>IF(E$16=0,0,E$16/AGR_fec!E$16)</f>
        <v>0.3491436897218943</v>
      </c>
      <c r="F49" s="265">
        <f>IF(F$16=0,0,F$16/AGR_fec!F$16)</f>
        <v>0.34914368972189436</v>
      </c>
      <c r="G49" s="265">
        <f>IF(G$16=0,0,G$16/AGR_fec!G$16)</f>
        <v>0.34914368972189419</v>
      </c>
      <c r="H49" s="265">
        <f>IF(H$16=0,0,H$16/AGR_fec!H$16)</f>
        <v>0.34914368972189419</v>
      </c>
      <c r="I49" s="265">
        <f>IF(I$16=0,0,I$16/AGR_fec!I$16)</f>
        <v>0.34914368972189425</v>
      </c>
      <c r="J49" s="265">
        <f>IF(J$16=0,0,J$16/AGR_fec!J$16)</f>
        <v>0.34914368972189425</v>
      </c>
      <c r="K49" s="265">
        <f>IF(K$16=0,0,K$16/AGR_fec!K$16)</f>
        <v>0.34914368972189419</v>
      </c>
      <c r="L49" s="265">
        <f>IF(L$16=0,0,L$16/AGR_fec!L$16)</f>
        <v>0.34914368972189425</v>
      </c>
      <c r="M49" s="265">
        <f>IF(M$16=0,0,M$16/AGR_fec!M$16)</f>
        <v>0.34914368972189408</v>
      </c>
      <c r="N49" s="265">
        <f>IF(N$16=0,0,N$16/AGR_fec!N$16)</f>
        <v>0.34914368972189425</v>
      </c>
      <c r="O49" s="265">
        <f>IF(O$16=0,0,O$16/AGR_fec!O$16)</f>
        <v>0.34914368972189419</v>
      </c>
      <c r="P49" s="265">
        <f>IF(P$16=0,0,P$16/AGR_fec!P$16)</f>
        <v>0.34914368972189436</v>
      </c>
      <c r="Q49" s="265">
        <f>IF(Q$16=0,0,Q$16/AGR_fec!Q$16)</f>
        <v>0.34914368972189425</v>
      </c>
      <c r="R49" s="265">
        <f>IF(R$16=0,0,R$16/AGR_fec!R$16)</f>
        <v>0.34914368972189408</v>
      </c>
      <c r="S49" s="265">
        <f>IF(S$16=0,0,S$16/AGR_fec!S$16)</f>
        <v>0.34914368972189425</v>
      </c>
      <c r="T49" s="265">
        <f>IF(T$16=0,0,T$16/AGR_fec!T$16)</f>
        <v>0.3491436897218943</v>
      </c>
      <c r="U49" s="265">
        <f>IF(U$16=0,0,U$16/AGR_fec!U$16)</f>
        <v>0.3491436897218943</v>
      </c>
      <c r="V49" s="265">
        <f>IF(V$16=0,0,V$16/AGR_fec!V$16)</f>
        <v>0.34914368972189436</v>
      </c>
      <c r="W49" s="265">
        <f>IF(W$16=0,0,W$16/AGR_fec!W$16)</f>
        <v>0.34914368972189425</v>
      </c>
      <c r="DA49" s="291"/>
    </row>
    <row r="50" spans="1:105" x14ac:dyDescent="0.25">
      <c r="A50" s="128" t="s">
        <v>121</v>
      </c>
      <c r="B50" s="265">
        <f>IF(B$17=0,0,B$17/AGR_fec!B$17)</f>
        <v>0.2746243452864372</v>
      </c>
      <c r="C50" s="265">
        <f>IF(C$17=0,0,C$17/AGR_fec!C$17)</f>
        <v>0.27660294554328646</v>
      </c>
      <c r="D50" s="265">
        <f>IF(D$17=0,0,D$17/AGR_fec!D$17)</f>
        <v>0.27723271555291568</v>
      </c>
      <c r="E50" s="265">
        <f>IF(E$17=0,0,E$17/AGR_fec!E$17)</f>
        <v>0.27863401846762825</v>
      </c>
      <c r="F50" s="265">
        <f>IF(F$17=0,0,F$17/AGR_fec!F$17)</f>
        <v>0.27831845069981254</v>
      </c>
      <c r="G50" s="265">
        <f>IF(G$17=0,0,G$17/AGR_fec!G$17)</f>
        <v>0.27817172358898623</v>
      </c>
      <c r="H50" s="265">
        <f>IF(H$17=0,0,H$17/AGR_fec!H$17)</f>
        <v>0.27923222805591674</v>
      </c>
      <c r="I50" s="265">
        <f>IF(I$17=0,0,I$17/AGR_fec!I$17)</f>
        <v>0.27662994639052724</v>
      </c>
      <c r="J50" s="265">
        <f>IF(J$17=0,0,J$17/AGR_fec!J$17)</f>
        <v>0.28089549402650688</v>
      </c>
      <c r="K50" s="265">
        <f>IF(K$17=0,0,K$17/AGR_fec!K$17)</f>
        <v>0.27368812337511095</v>
      </c>
      <c r="L50" s="265">
        <f>IF(L$17=0,0,L$17/AGR_fec!L$17)</f>
        <v>0.27886725486148006</v>
      </c>
      <c r="M50" s="265">
        <f>IF(M$17=0,0,M$17/AGR_fec!M$17)</f>
        <v>0.28072390081198545</v>
      </c>
      <c r="N50" s="265">
        <f>IF(N$17=0,0,N$17/AGR_fec!N$17)</f>
        <v>0.28270302246766854</v>
      </c>
      <c r="O50" s="265">
        <f>IF(O$17=0,0,O$17/AGR_fec!O$17)</f>
        <v>0.28086830215380354</v>
      </c>
      <c r="P50" s="265">
        <f>IF(P$17=0,0,P$17/AGR_fec!P$17)</f>
        <v>0.28298402690275493</v>
      </c>
      <c r="Q50" s="265">
        <f>IF(Q$17=0,0,Q$17/AGR_fec!Q$17)</f>
        <v>0.28109163379296631</v>
      </c>
      <c r="R50" s="265">
        <f>IF(R$17=0,0,R$17/AGR_fec!R$17)</f>
        <v>0.28001608036730202</v>
      </c>
      <c r="S50" s="265">
        <f>IF(S$17=0,0,S$17/AGR_fec!S$17)</f>
        <v>0.2746796002457878</v>
      </c>
      <c r="T50" s="265">
        <f>IF(T$17=0,0,T$17/AGR_fec!T$17)</f>
        <v>0.27621353856017511</v>
      </c>
      <c r="U50" s="265">
        <f>IF(U$17=0,0,U$17/AGR_fec!U$17)</f>
        <v>0.27272451997912434</v>
      </c>
      <c r="V50" s="265">
        <f>IF(V$17=0,0,V$17/AGR_fec!V$17)</f>
        <v>0.27469505436924141</v>
      </c>
      <c r="W50" s="265">
        <f>IF(W$17=0,0,W$17/AGR_fec!W$17)</f>
        <v>0.27835277545608295</v>
      </c>
      <c r="DA50" s="291"/>
    </row>
    <row r="51" spans="1:105" x14ac:dyDescent="0.25">
      <c r="A51" s="128" t="s">
        <v>174</v>
      </c>
      <c r="B51" s="265">
        <f>IF(B$25=0,0,B$25/AGR_fec!B$25)</f>
        <v>0.24440058280532589</v>
      </c>
      <c r="C51" s="265">
        <f>IF(C$25=0,0,C$25/AGR_fec!C$25)</f>
        <v>0.24440058280532595</v>
      </c>
      <c r="D51" s="265">
        <f>IF(D$25=0,0,D$25/AGR_fec!D$25)</f>
        <v>0.24440058280532587</v>
      </c>
      <c r="E51" s="265">
        <f>IF(E$25=0,0,E$25/AGR_fec!E$25)</f>
        <v>0.24440058280532587</v>
      </c>
      <c r="F51" s="265">
        <f>IF(F$25=0,0,F$25/AGR_fec!F$25)</f>
        <v>0.24440058280532598</v>
      </c>
      <c r="G51" s="265">
        <f>IF(G$25=0,0,G$25/AGR_fec!G$25)</f>
        <v>0.24440058280532595</v>
      </c>
      <c r="H51" s="265">
        <f>IF(H$25=0,0,H$25/AGR_fec!H$25)</f>
        <v>0.24440058280532592</v>
      </c>
      <c r="I51" s="265">
        <f>IF(I$25=0,0,I$25/AGR_fec!I$25)</f>
        <v>0.24440058280532601</v>
      </c>
      <c r="J51" s="265">
        <f>IF(J$25=0,0,J$25/AGR_fec!J$25)</f>
        <v>0.24440058280532595</v>
      </c>
      <c r="K51" s="265">
        <f>IF(K$25=0,0,K$25/AGR_fec!K$25)</f>
        <v>0.24440058280532601</v>
      </c>
      <c r="L51" s="265">
        <f>IF(L$25=0,0,L$25/AGR_fec!L$25)</f>
        <v>0.24440058280532595</v>
      </c>
      <c r="M51" s="265">
        <f>IF(M$25=0,0,M$25/AGR_fec!M$25)</f>
        <v>0.24440058280532589</v>
      </c>
      <c r="N51" s="265">
        <f>IF(N$25=0,0,N$25/AGR_fec!N$25)</f>
        <v>0.24440058280532587</v>
      </c>
      <c r="O51" s="265">
        <f>IF(O$25=0,0,O$25/AGR_fec!O$25)</f>
        <v>0.24440058280532598</v>
      </c>
      <c r="P51" s="265">
        <f>IF(P$25=0,0,P$25/AGR_fec!P$25)</f>
        <v>0.24440058280532598</v>
      </c>
      <c r="Q51" s="265">
        <f>IF(Q$25=0,0,Q$25/AGR_fec!Q$25)</f>
        <v>0.24440058280532601</v>
      </c>
      <c r="R51" s="265">
        <f>IF(R$25=0,0,R$25/AGR_fec!R$25)</f>
        <v>0.24440058280532598</v>
      </c>
      <c r="S51" s="265">
        <f>IF(S$25=0,0,S$25/AGR_fec!S$25)</f>
        <v>0.24440058280532589</v>
      </c>
      <c r="T51" s="265">
        <f>IF(T$25=0,0,T$25/AGR_fec!T$25)</f>
        <v>0.24440058280532592</v>
      </c>
      <c r="U51" s="265">
        <f>IF(U$25=0,0,U$25/AGR_fec!U$25)</f>
        <v>0.24440058280532606</v>
      </c>
      <c r="V51" s="265">
        <f>IF(V$25=0,0,V$25/AGR_fec!V$25)</f>
        <v>0.24440058280532595</v>
      </c>
      <c r="W51" s="265">
        <f>IF(W$25=0,0,W$25/AGR_fec!W$25)</f>
        <v>0.24440058280532592</v>
      </c>
      <c r="DA51" s="291"/>
    </row>
    <row r="52" spans="1:105" x14ac:dyDescent="0.25">
      <c r="A52" s="128" t="s">
        <v>177</v>
      </c>
      <c r="B52" s="265">
        <f>IF(B$26=0,0,B$26/AGR_fec!B$26)</f>
        <v>0.48383237218124142</v>
      </c>
      <c r="C52" s="265">
        <f>IF(C$26=0,0,C$26/AGR_fec!C$26)</f>
        <v>0.48383237218124131</v>
      </c>
      <c r="D52" s="265">
        <f>IF(D$26=0,0,D$26/AGR_fec!D$26)</f>
        <v>0.48383237218124153</v>
      </c>
      <c r="E52" s="265">
        <f>IF(E$26=0,0,E$26/AGR_fec!E$26)</f>
        <v>0.48383237218124114</v>
      </c>
      <c r="F52" s="265">
        <f>IF(F$26=0,0,F$26/AGR_fec!F$26)</f>
        <v>0.48383237218124125</v>
      </c>
      <c r="G52" s="265">
        <f>IF(G$26=0,0,G$26/AGR_fec!G$26)</f>
        <v>0.48383237218124142</v>
      </c>
      <c r="H52" s="265">
        <f>IF(H$26=0,0,H$26/AGR_fec!H$26)</f>
        <v>0.48383237218124131</v>
      </c>
      <c r="I52" s="265">
        <f>IF(I$26=0,0,I$26/AGR_fec!I$26)</f>
        <v>0.48383237218124131</v>
      </c>
      <c r="J52" s="265">
        <f>IF(J$26=0,0,J$26/AGR_fec!J$26)</f>
        <v>0.4838323721812412</v>
      </c>
      <c r="K52" s="265">
        <f>IF(K$26=0,0,K$26/AGR_fec!K$26)</f>
        <v>0.48383237218124148</v>
      </c>
      <c r="L52" s="265">
        <f>IF(L$26=0,0,L$26/AGR_fec!L$26)</f>
        <v>0.48383237218124164</v>
      </c>
      <c r="M52" s="265">
        <f>IF(M$26=0,0,M$26/AGR_fec!M$26)</f>
        <v>0.48383237218124164</v>
      </c>
      <c r="N52" s="265">
        <f>IF(N$26=0,0,N$26/AGR_fec!N$26)</f>
        <v>0.4838323721812412</v>
      </c>
      <c r="O52" s="265">
        <f>IF(O$26=0,0,O$26/AGR_fec!O$26)</f>
        <v>0.48383237218124131</v>
      </c>
      <c r="P52" s="265">
        <f>IF(P$26=0,0,P$26/AGR_fec!P$26)</f>
        <v>0.48383237218124137</v>
      </c>
      <c r="Q52" s="265">
        <f>IF(Q$26=0,0,Q$26/AGR_fec!Q$26)</f>
        <v>0.48383237218124137</v>
      </c>
      <c r="R52" s="265">
        <f>IF(R$26=0,0,R$26/AGR_fec!R$26)</f>
        <v>0.48383237218124159</v>
      </c>
      <c r="S52" s="265">
        <f>IF(S$26=0,0,S$26/AGR_fec!S$26)</f>
        <v>0.48383237218124114</v>
      </c>
      <c r="T52" s="265">
        <f>IF(T$26=0,0,T$26/AGR_fec!T$26)</f>
        <v>0.48383237218124159</v>
      </c>
      <c r="U52" s="265">
        <f>IF(U$26=0,0,U$26/AGR_fec!U$26)</f>
        <v>0.48383237218124142</v>
      </c>
      <c r="V52" s="265">
        <f>IF(V$26=0,0,V$26/AGR_fec!V$26)</f>
        <v>0.48383237218124125</v>
      </c>
      <c r="W52" s="265">
        <f>IF(W$26=0,0,W$26/AGR_fec!W$26)</f>
        <v>0.48383237218124148</v>
      </c>
      <c r="DA52" s="291"/>
    </row>
    <row r="53" spans="1:105" x14ac:dyDescent="0.25">
      <c r="A53" s="261" t="s">
        <v>33</v>
      </c>
      <c r="B53" s="266">
        <f>IF(B$27=0,0,B$27/AGR_fec!B$27)</f>
        <v>0.50854611217385215</v>
      </c>
      <c r="C53" s="266">
        <f>IF(C$27=0,0,C$27/AGR_fec!C$27)</f>
        <v>0.50854611217385237</v>
      </c>
      <c r="D53" s="266">
        <f>IF(D$27=0,0,D$27/AGR_fec!D$27)</f>
        <v>0.50854611217385226</v>
      </c>
      <c r="E53" s="266">
        <f>IF(E$27=0,0,E$27/AGR_fec!E$27)</f>
        <v>0.50854611217385237</v>
      </c>
      <c r="F53" s="266">
        <f>IF(F$27=0,0,F$27/AGR_fec!F$27)</f>
        <v>0.50854611217385204</v>
      </c>
      <c r="G53" s="266">
        <f>IF(G$27=0,0,G$27/AGR_fec!G$27)</f>
        <v>0.50854611217385204</v>
      </c>
      <c r="H53" s="266">
        <f>IF(H$27=0,0,H$27/AGR_fec!H$27)</f>
        <v>0.50854611217385215</v>
      </c>
      <c r="I53" s="266">
        <f>IF(I$27=0,0,I$27/AGR_fec!I$27)</f>
        <v>0.50854611217385215</v>
      </c>
      <c r="J53" s="266">
        <f>IF(J$27=0,0,J$27/AGR_fec!J$27)</f>
        <v>0.50854611217385204</v>
      </c>
      <c r="K53" s="266">
        <f>IF(K$27=0,0,K$27/AGR_fec!K$27)</f>
        <v>0.50854611217385215</v>
      </c>
      <c r="L53" s="266">
        <f>IF(L$27=0,0,L$27/AGR_fec!L$27)</f>
        <v>0.50854611217385204</v>
      </c>
      <c r="M53" s="266">
        <f>IF(M$27=0,0,M$27/AGR_fec!M$27)</f>
        <v>0.50854611217385226</v>
      </c>
      <c r="N53" s="266">
        <f>IF(N$27=0,0,N$27/AGR_fec!N$27)</f>
        <v>0.50854611217385237</v>
      </c>
      <c r="O53" s="266">
        <f>IF(O$27=0,0,O$27/AGR_fec!O$27)</f>
        <v>0.50854611217385226</v>
      </c>
      <c r="P53" s="266">
        <f>IF(P$27=0,0,P$27/AGR_fec!P$27)</f>
        <v>0.50854611217385215</v>
      </c>
      <c r="Q53" s="266">
        <f>IF(Q$27=0,0,Q$27/AGR_fec!Q$27)</f>
        <v>0.50854611217385204</v>
      </c>
      <c r="R53" s="266">
        <f>IF(R$27=0,0,R$27/AGR_fec!R$27)</f>
        <v>0.50854611217385226</v>
      </c>
      <c r="S53" s="266">
        <f>IF(S$27=0,0,S$27/AGR_fec!S$27)</f>
        <v>0.50854611217385215</v>
      </c>
      <c r="T53" s="266">
        <f>IF(T$27=0,0,T$27/AGR_fec!T$27)</f>
        <v>0.50854611217385237</v>
      </c>
      <c r="U53" s="266">
        <f>IF(U$27=0,0,U$27/AGR_fec!U$27)</f>
        <v>0.50854611217385226</v>
      </c>
      <c r="V53" s="266">
        <f>IF(V$27=0,0,V$27/AGR_fec!V$27)</f>
        <v>0.50854611217385237</v>
      </c>
      <c r="W53" s="266">
        <f>IF(W$27=0,0,W$27/AGR_fec!W$27)</f>
        <v>0.50854611217385215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310.4756264374326</v>
      </c>
      <c r="C5" s="80">
        <f t="shared" ref="C5:W5" si="0">SUM(C6:C9,C16:C17,C25:C27)</f>
        <v>334.63777439764851</v>
      </c>
      <c r="D5" s="80">
        <f t="shared" si="0"/>
        <v>311.21691167867647</v>
      </c>
      <c r="E5" s="80">
        <f t="shared" si="0"/>
        <v>361.15915576763217</v>
      </c>
      <c r="F5" s="80">
        <f t="shared" si="0"/>
        <v>376.7459188085536</v>
      </c>
      <c r="G5" s="80">
        <f t="shared" si="0"/>
        <v>370.50941344840027</v>
      </c>
      <c r="H5" s="80">
        <f t="shared" si="0"/>
        <v>381.2535007686194</v>
      </c>
      <c r="I5" s="80">
        <f t="shared" si="0"/>
        <v>377.42232712895833</v>
      </c>
      <c r="J5" s="80">
        <f t="shared" si="0"/>
        <v>336.37272988866454</v>
      </c>
      <c r="K5" s="80">
        <f t="shared" si="0"/>
        <v>323.97549546781664</v>
      </c>
      <c r="L5" s="80">
        <f t="shared" si="0"/>
        <v>368.90972094802675</v>
      </c>
      <c r="M5" s="80">
        <f t="shared" si="0"/>
        <v>379.80002046790798</v>
      </c>
      <c r="N5" s="80">
        <f t="shared" si="0"/>
        <v>357.02606884779738</v>
      </c>
      <c r="O5" s="80">
        <f t="shared" si="0"/>
        <v>356.45129710376398</v>
      </c>
      <c r="P5" s="80">
        <f t="shared" si="0"/>
        <v>357.94395440846989</v>
      </c>
      <c r="Q5" s="80">
        <f t="shared" si="0"/>
        <v>368.21762063790976</v>
      </c>
      <c r="R5" s="80">
        <f t="shared" si="0"/>
        <v>395.32361183777408</v>
      </c>
      <c r="S5" s="80">
        <f t="shared" si="0"/>
        <v>413.81275792747203</v>
      </c>
      <c r="T5" s="80">
        <f t="shared" si="0"/>
        <v>415.71128529641021</v>
      </c>
      <c r="U5" s="80">
        <f t="shared" si="0"/>
        <v>449.57625926485275</v>
      </c>
      <c r="V5" s="80">
        <f t="shared" si="0"/>
        <v>466.80987406540515</v>
      </c>
      <c r="W5" s="80">
        <f t="shared" si="0"/>
        <v>458.18286911852351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67.251138688798051</v>
      </c>
      <c r="C9" s="244">
        <f t="shared" ref="C9:W9" si="1">SUM(C10:C15)</f>
        <v>73.605778536585134</v>
      </c>
      <c r="D9" s="244">
        <f t="shared" si="1"/>
        <v>66.618725494849215</v>
      </c>
      <c r="E9" s="244">
        <f t="shared" si="1"/>
        <v>77.501903884885749</v>
      </c>
      <c r="F9" s="244">
        <f t="shared" si="1"/>
        <v>81.353696603096623</v>
      </c>
      <c r="G9" s="244">
        <f t="shared" si="1"/>
        <v>78.862911339962267</v>
      </c>
      <c r="H9" s="244">
        <f t="shared" si="1"/>
        <v>83.340089406242541</v>
      </c>
      <c r="I9" s="244">
        <f t="shared" si="1"/>
        <v>85.352340983135434</v>
      </c>
      <c r="J9" s="244">
        <f t="shared" si="1"/>
        <v>73.350741028297378</v>
      </c>
      <c r="K9" s="244">
        <f t="shared" si="1"/>
        <v>71.308137701883567</v>
      </c>
      <c r="L9" s="244">
        <f t="shared" si="1"/>
        <v>75.792902968345771</v>
      </c>
      <c r="M9" s="244">
        <f t="shared" si="1"/>
        <v>76.970045205304771</v>
      </c>
      <c r="N9" s="244">
        <f t="shared" si="1"/>
        <v>70.948435560136829</v>
      </c>
      <c r="O9" s="244">
        <f t="shared" si="1"/>
        <v>73.087586906598659</v>
      </c>
      <c r="P9" s="244">
        <f t="shared" si="1"/>
        <v>70.783708673725982</v>
      </c>
      <c r="Q9" s="244">
        <f t="shared" si="1"/>
        <v>73.100017755810896</v>
      </c>
      <c r="R9" s="244">
        <f t="shared" si="1"/>
        <v>76.489260262585603</v>
      </c>
      <c r="S9" s="244">
        <f t="shared" si="1"/>
        <v>83.118410276490749</v>
      </c>
      <c r="T9" s="244">
        <f t="shared" si="1"/>
        <v>80.845288167831356</v>
      </c>
      <c r="U9" s="244">
        <f t="shared" si="1"/>
        <v>94.511127178601157</v>
      </c>
      <c r="V9" s="244">
        <f t="shared" si="1"/>
        <v>97.45173290200961</v>
      </c>
      <c r="W9" s="244">
        <f t="shared" si="1"/>
        <v>93.071714722137344</v>
      </c>
      <c r="DA9" s="270"/>
    </row>
    <row r="10" spans="1:105" x14ac:dyDescent="0.25">
      <c r="A10" s="254" t="s">
        <v>173</v>
      </c>
      <c r="B10" s="255">
        <v>55.551766831200773</v>
      </c>
      <c r="C10" s="255">
        <v>59.861132106136608</v>
      </c>
      <c r="D10" s="255">
        <v>52.408770205120682</v>
      </c>
      <c r="E10" s="255">
        <v>61.32310426099783</v>
      </c>
      <c r="F10" s="255">
        <v>61.385004952148023</v>
      </c>
      <c r="G10" s="255">
        <v>62.964259513773357</v>
      </c>
      <c r="H10" s="255">
        <v>68.420560948799078</v>
      </c>
      <c r="I10" s="255">
        <v>71.396925288526987</v>
      </c>
      <c r="J10" s="255">
        <v>63.638674766670903</v>
      </c>
      <c r="K10" s="255">
        <v>66.192382272078291</v>
      </c>
      <c r="L10" s="255">
        <v>63.213530961122309</v>
      </c>
      <c r="M10" s="255">
        <v>66.985450421551448</v>
      </c>
      <c r="N10" s="255">
        <v>57.692361284302187</v>
      </c>
      <c r="O10" s="255">
        <v>59.745778568209403</v>
      </c>
      <c r="P10" s="255">
        <v>58.766235802921713</v>
      </c>
      <c r="Q10" s="255">
        <v>62.954694176868607</v>
      </c>
      <c r="R10" s="255">
        <v>65.723551396617992</v>
      </c>
      <c r="S10" s="255">
        <v>76.106954466363902</v>
      </c>
      <c r="T10" s="255">
        <v>75.428334987051926</v>
      </c>
      <c r="U10" s="255">
        <v>89.797608340637979</v>
      </c>
      <c r="V10" s="255">
        <v>93.151218470697415</v>
      </c>
      <c r="W10" s="255">
        <v>86.689096780715872</v>
      </c>
      <c r="DA10" s="271" t="s">
        <v>1038</v>
      </c>
    </row>
    <row r="11" spans="1:105" x14ac:dyDescent="0.25">
      <c r="A11" s="254" t="s">
        <v>176</v>
      </c>
      <c r="B11" s="256">
        <v>11.699371857597271</v>
      </c>
      <c r="C11" s="256">
        <v>13.74464643044853</v>
      </c>
      <c r="D11" s="256">
        <v>14.20995528972853</v>
      </c>
      <c r="E11" s="256">
        <v>16.178799623887919</v>
      </c>
      <c r="F11" s="256">
        <v>19.9686916509486</v>
      </c>
      <c r="G11" s="256">
        <v>15.89865182618891</v>
      </c>
      <c r="H11" s="256">
        <v>14.919528457443461</v>
      </c>
      <c r="I11" s="256">
        <v>13.95541569460844</v>
      </c>
      <c r="J11" s="256">
        <v>9.7120662616264699</v>
      </c>
      <c r="K11" s="256">
        <v>5.1157554298052723</v>
      </c>
      <c r="L11" s="256">
        <v>12.57937200722346</v>
      </c>
      <c r="M11" s="256">
        <v>9.9845947837533213</v>
      </c>
      <c r="N11" s="256">
        <v>13.256074275834649</v>
      </c>
      <c r="O11" s="256">
        <v>13.341808338389249</v>
      </c>
      <c r="P11" s="256">
        <v>12.017472870804269</v>
      </c>
      <c r="Q11" s="256">
        <v>10.145323578942291</v>
      </c>
      <c r="R11" s="256">
        <v>10.765708865967611</v>
      </c>
      <c r="S11" s="256">
        <v>7.011455810126848</v>
      </c>
      <c r="T11" s="256">
        <v>5.4169531807794309</v>
      </c>
      <c r="U11" s="256">
        <v>4.7135188379631794</v>
      </c>
      <c r="V11" s="256">
        <v>4.3005144313121919</v>
      </c>
      <c r="W11" s="256">
        <v>6.3826179414214668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101.1065588691318</v>
      </c>
      <c r="C16" s="258">
        <v>108.08881027863239</v>
      </c>
      <c r="D16" s="258">
        <v>100.5349913874377</v>
      </c>
      <c r="E16" s="258">
        <v>116.3021327695101</v>
      </c>
      <c r="F16" s="258">
        <v>122.56427105843601</v>
      </c>
      <c r="G16" s="258">
        <v>121.2826451823413</v>
      </c>
      <c r="H16" s="258">
        <v>125.22909340999421</v>
      </c>
      <c r="I16" s="258">
        <v>126.75857713685819</v>
      </c>
      <c r="J16" s="258">
        <v>108.9541211624984</v>
      </c>
      <c r="K16" s="258">
        <v>112.6060333413768</v>
      </c>
      <c r="L16" s="258">
        <v>126.201026204117</v>
      </c>
      <c r="M16" s="258">
        <v>125.8311698874101</v>
      </c>
      <c r="N16" s="258">
        <v>118.49064671004361</v>
      </c>
      <c r="O16" s="258">
        <v>121.3197309614547</v>
      </c>
      <c r="P16" s="258">
        <v>121.20041374891559</v>
      </c>
      <c r="Q16" s="258">
        <v>127.24507089812521</v>
      </c>
      <c r="R16" s="258">
        <v>137.81880838037429</v>
      </c>
      <c r="S16" s="258">
        <v>151.02479271554921</v>
      </c>
      <c r="T16" s="258">
        <v>147.91733269254331</v>
      </c>
      <c r="U16" s="258">
        <v>163.96700301008551</v>
      </c>
      <c r="V16" s="258">
        <v>166.38571343804841</v>
      </c>
      <c r="W16" s="258">
        <v>158.183241295887</v>
      </c>
      <c r="DA16" s="273" t="s">
        <v>1044</v>
      </c>
    </row>
    <row r="17" spans="1:105" x14ac:dyDescent="0.25">
      <c r="A17" s="257" t="s">
        <v>121</v>
      </c>
      <c r="B17" s="258">
        <f>SUM(B18:B24)</f>
        <v>122.68946099852067</v>
      </c>
      <c r="C17" s="258">
        <f t="shared" ref="C17:W17" si="2">SUM(C18:C24)</f>
        <v>132.1730199049488</v>
      </c>
      <c r="D17" s="258">
        <f t="shared" si="2"/>
        <v>124.74455837030135</v>
      </c>
      <c r="E17" s="258">
        <f t="shared" si="2"/>
        <v>145.00669507155931</v>
      </c>
      <c r="F17" s="258">
        <f t="shared" si="2"/>
        <v>149.2762050461871</v>
      </c>
      <c r="G17" s="258">
        <f t="shared" si="2"/>
        <v>147.05838591807233</v>
      </c>
      <c r="H17" s="258">
        <f t="shared" si="2"/>
        <v>148.6205040287997</v>
      </c>
      <c r="I17" s="258">
        <f t="shared" si="2"/>
        <v>140.95369204096775</v>
      </c>
      <c r="J17" s="258">
        <f t="shared" si="2"/>
        <v>133.1314253227886</v>
      </c>
      <c r="K17" s="258">
        <f t="shared" si="2"/>
        <v>118.42313669027209</v>
      </c>
      <c r="L17" s="258">
        <f t="shared" si="2"/>
        <v>142.66521286576955</v>
      </c>
      <c r="M17" s="258">
        <f t="shared" si="2"/>
        <v>152.81929743893477</v>
      </c>
      <c r="N17" s="258">
        <f t="shared" si="2"/>
        <v>144.81802134379265</v>
      </c>
      <c r="O17" s="258">
        <f t="shared" si="2"/>
        <v>138.73138188616693</v>
      </c>
      <c r="P17" s="258">
        <f t="shared" si="2"/>
        <v>142.6701624330309</v>
      </c>
      <c r="Q17" s="258">
        <f t="shared" si="2"/>
        <v>143.42133118544393</v>
      </c>
      <c r="R17" s="258">
        <f t="shared" si="2"/>
        <v>154.53251062044774</v>
      </c>
      <c r="S17" s="258">
        <f t="shared" si="2"/>
        <v>150.64888241601716</v>
      </c>
      <c r="T17" s="258">
        <f t="shared" si="2"/>
        <v>158.52511625675911</v>
      </c>
      <c r="U17" s="258">
        <f t="shared" si="2"/>
        <v>159.59050299183184</v>
      </c>
      <c r="V17" s="258">
        <f t="shared" si="2"/>
        <v>171.00002627541176</v>
      </c>
      <c r="W17" s="258">
        <f t="shared" si="2"/>
        <v>176.53168502982896</v>
      </c>
      <c r="DA17" s="273"/>
    </row>
    <row r="18" spans="1:105" x14ac:dyDescent="0.25">
      <c r="A18" s="61" t="s">
        <v>29</v>
      </c>
      <c r="B18" s="55">
        <v>5.2176299999496978</v>
      </c>
      <c r="C18" s="55">
        <v>7.8266099999383796</v>
      </c>
      <c r="D18" s="55">
        <v>7.8266099999620486</v>
      </c>
      <c r="E18" s="55">
        <v>4.936912970211961</v>
      </c>
      <c r="F18" s="55">
        <v>4.9369129702272518</v>
      </c>
      <c r="G18" s="55">
        <v>4.9369129702247152</v>
      </c>
      <c r="H18" s="55">
        <v>4.9369129702285433</v>
      </c>
      <c r="I18" s="55">
        <v>4.9369129702333936</v>
      </c>
      <c r="J18" s="55">
        <v>4.9369129702263681</v>
      </c>
      <c r="K18" s="55">
        <v>2.4682870297320481</v>
      </c>
      <c r="L18" s="55">
        <v>2.4682870297360329</v>
      </c>
      <c r="M18" s="55">
        <v>2.468287029735615</v>
      </c>
      <c r="N18" s="55">
        <v>4.936912970215432</v>
      </c>
      <c r="O18" s="55">
        <v>2.3243529460419881</v>
      </c>
      <c r="P18" s="55">
        <v>2.3344391701128111</v>
      </c>
      <c r="Q18" s="55">
        <v>0</v>
      </c>
      <c r="R18" s="55">
        <v>0</v>
      </c>
      <c r="S18" s="55">
        <v>0.1046880497918822</v>
      </c>
      <c r="T18" s="55">
        <v>7.7278778830958905E-2</v>
      </c>
      <c r="U18" s="55">
        <v>3.8787986419923259E-2</v>
      </c>
      <c r="V18" s="55">
        <v>4.4866307053769379E-2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2.873573999985243</v>
      </c>
      <c r="K19" s="55">
        <v>2.873573999981097</v>
      </c>
      <c r="L19" s="55">
        <v>0</v>
      </c>
      <c r="M19" s="55">
        <v>2.8735739999852479</v>
      </c>
      <c r="N19" s="55">
        <v>2.8735739999788779</v>
      </c>
      <c r="O19" s="55">
        <v>2.8735739999800902</v>
      </c>
      <c r="P19" s="55">
        <v>2.8735739999856329</v>
      </c>
      <c r="Q19" s="55">
        <v>5.7471479999647261</v>
      </c>
      <c r="R19" s="55">
        <v>5.7471479999649064</v>
      </c>
      <c r="S19" s="55">
        <v>7.8390644399514056</v>
      </c>
      <c r="T19" s="55">
        <v>4.5259358399711616</v>
      </c>
      <c r="U19" s="55">
        <v>6.1610335199764217</v>
      </c>
      <c r="V19" s="55">
        <v>6.3879663599754366</v>
      </c>
      <c r="W19" s="55">
        <v>5.0056977599825769</v>
      </c>
      <c r="DA19" s="101" t="s">
        <v>1046</v>
      </c>
    </row>
    <row r="20" spans="1:105" x14ac:dyDescent="0.25">
      <c r="A20" s="61" t="s">
        <v>173</v>
      </c>
      <c r="B20" s="55">
        <v>78.942435416588708</v>
      </c>
      <c r="C20" s="55">
        <v>88.348565375802849</v>
      </c>
      <c r="D20" s="55">
        <v>79.61826270028152</v>
      </c>
      <c r="E20" s="55">
        <v>95.986422045664256</v>
      </c>
      <c r="F20" s="55">
        <v>94.755664047214239</v>
      </c>
      <c r="G20" s="55">
        <v>101.0014470143155</v>
      </c>
      <c r="H20" s="55">
        <v>112.8797988762024</v>
      </c>
      <c r="I20" s="55">
        <v>111.2286160454704</v>
      </c>
      <c r="J20" s="55">
        <v>108.7277146143207</v>
      </c>
      <c r="K20" s="55">
        <v>104.9686510904388</v>
      </c>
      <c r="L20" s="55">
        <v>116.9283978434175</v>
      </c>
      <c r="M20" s="55">
        <v>123.0428437531303</v>
      </c>
      <c r="N20" s="55">
        <v>106.4532812097235</v>
      </c>
      <c r="O20" s="55">
        <v>104.17571583879889</v>
      </c>
      <c r="P20" s="55">
        <v>111.5943734139032</v>
      </c>
      <c r="Q20" s="55">
        <v>115.94256804459449</v>
      </c>
      <c r="R20" s="55">
        <v>122.607586006651</v>
      </c>
      <c r="S20" s="55">
        <v>129.27870065650961</v>
      </c>
      <c r="T20" s="55">
        <v>135.2581963388763</v>
      </c>
      <c r="U20" s="55">
        <v>141.6059176434554</v>
      </c>
      <c r="V20" s="55">
        <v>154.76334075974339</v>
      </c>
      <c r="W20" s="55">
        <v>157.4655044513315</v>
      </c>
      <c r="DA20" s="101" t="s">
        <v>1047</v>
      </c>
    </row>
    <row r="21" spans="1:105" x14ac:dyDescent="0.25">
      <c r="A21" s="61" t="s">
        <v>129</v>
      </c>
      <c r="B21" s="55">
        <v>21.903877439788829</v>
      </c>
      <c r="C21" s="55">
        <v>15.71223095987629</v>
      </c>
      <c r="D21" s="55">
        <v>15.71223095992381</v>
      </c>
      <c r="E21" s="55">
        <v>18.75937967984893</v>
      </c>
      <c r="F21" s="55">
        <v>18.759379679907031</v>
      </c>
      <c r="G21" s="55">
        <v>15.61687775991458</v>
      </c>
      <c r="H21" s="55">
        <v>6.189650639970945</v>
      </c>
      <c r="I21" s="55">
        <v>3.0471487199886931</v>
      </c>
      <c r="J21" s="55">
        <v>0</v>
      </c>
      <c r="K21" s="55">
        <v>0</v>
      </c>
      <c r="L21" s="55">
        <v>0</v>
      </c>
      <c r="M21" s="55">
        <v>6.0942974399687166</v>
      </c>
      <c r="N21" s="55">
        <v>6.0942974399552066</v>
      </c>
      <c r="O21" s="55">
        <v>6.094297439957777</v>
      </c>
      <c r="P21" s="55">
        <v>3.047148719984766</v>
      </c>
      <c r="Q21" s="55">
        <v>3.0471487199812972</v>
      </c>
      <c r="R21" s="55">
        <v>6.0942974399627827</v>
      </c>
      <c r="S21" s="55">
        <v>1.5164546399906</v>
      </c>
      <c r="T21" s="55">
        <v>8.9500172399429729</v>
      </c>
      <c r="U21" s="55">
        <v>4.3518023999833444</v>
      </c>
      <c r="V21" s="55">
        <v>2.6588901599897761</v>
      </c>
      <c r="W21" s="55">
        <v>2.466843119991414</v>
      </c>
      <c r="DA21" s="101" t="s">
        <v>1048</v>
      </c>
    </row>
    <row r="22" spans="1:105" x14ac:dyDescent="0.25">
      <c r="A22" s="61" t="s">
        <v>176</v>
      </c>
      <c r="B22" s="55">
        <v>16.625518142193439</v>
      </c>
      <c r="C22" s="55">
        <v>20.285613569331279</v>
      </c>
      <c r="D22" s="55">
        <v>21.587454710133969</v>
      </c>
      <c r="E22" s="55">
        <v>25.32398037583414</v>
      </c>
      <c r="F22" s="55">
        <v>30.824248348838569</v>
      </c>
      <c r="G22" s="55">
        <v>25.50314817361755</v>
      </c>
      <c r="H22" s="55">
        <v>24.61414154239781</v>
      </c>
      <c r="I22" s="55">
        <v>21.741014305275261</v>
      </c>
      <c r="J22" s="55">
        <v>16.593223738256292</v>
      </c>
      <c r="K22" s="55">
        <v>8.1126245701201398</v>
      </c>
      <c r="L22" s="55">
        <v>23.268527992616029</v>
      </c>
      <c r="M22" s="55">
        <v>18.340295216114871</v>
      </c>
      <c r="N22" s="55">
        <v>24.459955723919631</v>
      </c>
      <c r="O22" s="55">
        <v>23.263441661388189</v>
      </c>
      <c r="P22" s="55">
        <v>22.82062712904451</v>
      </c>
      <c r="Q22" s="55">
        <v>18.684466420903419</v>
      </c>
      <c r="R22" s="55">
        <v>20.083479173869051</v>
      </c>
      <c r="S22" s="55">
        <v>11.909974629773661</v>
      </c>
      <c r="T22" s="55">
        <v>9.7136880591377004</v>
      </c>
      <c r="U22" s="55">
        <v>7.4329614419967633</v>
      </c>
      <c r="V22" s="55">
        <v>7.1449626886494126</v>
      </c>
      <c r="W22" s="55">
        <v>11.593639698523461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19.428467880982041</v>
      </c>
      <c r="C25" s="258">
        <v>20.770165677482151</v>
      </c>
      <c r="D25" s="258">
        <v>19.31863642608818</v>
      </c>
      <c r="E25" s="258">
        <v>22.348424041676989</v>
      </c>
      <c r="F25" s="258">
        <v>23.551746100833832</v>
      </c>
      <c r="G25" s="258">
        <v>23.305471008024359</v>
      </c>
      <c r="H25" s="258">
        <v>24.063813923582931</v>
      </c>
      <c r="I25" s="258">
        <v>24.357716967996939</v>
      </c>
      <c r="J25" s="258">
        <v>20.936442375080141</v>
      </c>
      <c r="K25" s="258">
        <v>21.638187734284191</v>
      </c>
      <c r="L25" s="258">
        <v>24.250578909794459</v>
      </c>
      <c r="M25" s="258">
        <v>24.179507936258329</v>
      </c>
      <c r="N25" s="258">
        <v>22.768965233824289</v>
      </c>
      <c r="O25" s="258">
        <v>23.312597349543669</v>
      </c>
      <c r="P25" s="258">
        <v>23.289669552797431</v>
      </c>
      <c r="Q25" s="258">
        <v>24.451200798529729</v>
      </c>
      <c r="R25" s="258">
        <v>26.483032574366469</v>
      </c>
      <c r="S25" s="258">
        <v>29.020672519414891</v>
      </c>
      <c r="T25" s="258">
        <v>28.423548179276391</v>
      </c>
      <c r="U25" s="258">
        <v>31.50762608433422</v>
      </c>
      <c r="V25" s="258">
        <v>31.972401449935369</v>
      </c>
      <c r="W25" s="258">
        <v>30.39622807067019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0.99999999999999989</v>
      </c>
      <c r="D31" s="236">
        <f t="shared" si="3"/>
        <v>0.99999999999999989</v>
      </c>
      <c r="E31" s="236">
        <f t="shared" si="3"/>
        <v>0.99999999999999989</v>
      </c>
      <c r="F31" s="236">
        <f t="shared" si="3"/>
        <v>0.99999999999999989</v>
      </c>
      <c r="G31" s="236">
        <f t="shared" si="3"/>
        <v>0.99999999999999989</v>
      </c>
      <c r="H31" s="236">
        <f t="shared" si="3"/>
        <v>0.99999999999999989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0.99999999999999989</v>
      </c>
      <c r="R31" s="236">
        <f t="shared" ref="R31:W31" si="4">SUM(R32:R40)</f>
        <v>1</v>
      </c>
      <c r="S31" s="236">
        <f t="shared" si="4"/>
        <v>0.99999999999999989</v>
      </c>
      <c r="T31" s="236">
        <f t="shared" si="4"/>
        <v>0.99999999999999989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0.21660682179942578</v>
      </c>
      <c r="C35" s="247">
        <f t="shared" si="8"/>
        <v>0.21995657444553685</v>
      </c>
      <c r="D35" s="247">
        <f t="shared" si="8"/>
        <v>0.21405882198211437</v>
      </c>
      <c r="E35" s="247">
        <f t="shared" si="8"/>
        <v>0.21459210613159715</v>
      </c>
      <c r="F35" s="247">
        <f t="shared" si="8"/>
        <v>0.2159378311525576</v>
      </c>
      <c r="G35" s="247">
        <f t="shared" si="8"/>
        <v>0.21284995327371153</v>
      </c>
      <c r="H35" s="247">
        <f t="shared" si="8"/>
        <v>0.21859494860565534</v>
      </c>
      <c r="I35" s="247">
        <f t="shared" si="8"/>
        <v>0.226145447282911</v>
      </c>
      <c r="J35" s="247">
        <f t="shared" si="8"/>
        <v>0.21806387531050933</v>
      </c>
      <c r="K35" s="247">
        <f t="shared" si="8"/>
        <v>0.22010349146596872</v>
      </c>
      <c r="L35" s="247">
        <f t="shared" si="8"/>
        <v>0.20545108644351429</v>
      </c>
      <c r="M35" s="247">
        <f t="shared" si="8"/>
        <v>0.20265940246785352</v>
      </c>
      <c r="N35" s="247">
        <f t="shared" si="8"/>
        <v>0.19872060264143521</v>
      </c>
      <c r="O35" s="247">
        <f t="shared" si="8"/>
        <v>0.20504228067186037</v>
      </c>
      <c r="P35" s="247">
        <f t="shared" si="8"/>
        <v>0.19775081490257754</v>
      </c>
      <c r="Q35" s="247">
        <f t="shared" si="8"/>
        <v>0.19852395338705012</v>
      </c>
      <c r="R35" s="247">
        <f t="shared" si="8"/>
        <v>0.19348518017176752</v>
      </c>
      <c r="S35" s="247">
        <f t="shared" si="8"/>
        <v>0.20085995099034309</v>
      </c>
      <c r="T35" s="247">
        <f t="shared" si="8"/>
        <v>0.19447460539876155</v>
      </c>
      <c r="U35" s="247">
        <f t="shared" si="8"/>
        <v>0.21022268242799516</v>
      </c>
      <c r="V35" s="247">
        <f t="shared" si="8"/>
        <v>0.20876107879490904</v>
      </c>
      <c r="W35" s="247">
        <f t="shared" si="8"/>
        <v>0.20313224477640041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0.32565055115367297</v>
      </c>
      <c r="C36" s="260">
        <f t="shared" si="9"/>
        <v>0.32300241798222984</v>
      </c>
      <c r="D36" s="260">
        <f t="shared" si="9"/>
        <v>0.32303832990681919</v>
      </c>
      <c r="E36" s="260">
        <f t="shared" si="9"/>
        <v>0.32202460026885832</v>
      </c>
      <c r="F36" s="260">
        <f t="shared" si="9"/>
        <v>0.32532342074478582</v>
      </c>
      <c r="G36" s="260">
        <f t="shared" si="9"/>
        <v>0.32734025312215709</v>
      </c>
      <c r="H36" s="260">
        <f t="shared" si="9"/>
        <v>0.32846673711199581</v>
      </c>
      <c r="I36" s="260">
        <f t="shared" si="9"/>
        <v>0.33585341413452496</v>
      </c>
      <c r="J36" s="260">
        <f t="shared" si="9"/>
        <v>0.32390890069644157</v>
      </c>
      <c r="K36" s="260">
        <f t="shared" si="9"/>
        <v>0.34757577321943767</v>
      </c>
      <c r="L36" s="260">
        <f t="shared" si="9"/>
        <v>0.34209189684621139</v>
      </c>
      <c r="M36" s="260">
        <f t="shared" si="9"/>
        <v>0.33130901291787179</v>
      </c>
      <c r="N36" s="260">
        <f t="shared" si="9"/>
        <v>0.33188233871111794</v>
      </c>
      <c r="O36" s="260">
        <f t="shared" si="9"/>
        <v>0.34035429790044552</v>
      </c>
      <c r="P36" s="260">
        <f t="shared" si="9"/>
        <v>0.33860165049919244</v>
      </c>
      <c r="Q36" s="260">
        <f t="shared" si="9"/>
        <v>0.34557029258318095</v>
      </c>
      <c r="R36" s="260">
        <f t="shared" si="9"/>
        <v>0.34862275931276765</v>
      </c>
      <c r="S36" s="260">
        <f t="shared" si="9"/>
        <v>0.36495924744306446</v>
      </c>
      <c r="T36" s="260">
        <f t="shared" si="9"/>
        <v>0.35581745775093737</v>
      </c>
      <c r="U36" s="260">
        <f t="shared" si="9"/>
        <v>0.36471454982566115</v>
      </c>
      <c r="V36" s="260">
        <f t="shared" si="9"/>
        <v>0.35643143532721411</v>
      </c>
      <c r="W36" s="260">
        <f t="shared" si="9"/>
        <v>0.3452404093592768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0.39516615976051567</v>
      </c>
      <c r="C37" s="260">
        <f t="shared" si="10"/>
        <v>0.39497340114355473</v>
      </c>
      <c r="D37" s="260">
        <f t="shared" si="10"/>
        <v>0.40082834090679792</v>
      </c>
      <c r="E37" s="260">
        <f t="shared" si="10"/>
        <v>0.40150358299335437</v>
      </c>
      <c r="F37" s="260">
        <f t="shared" si="10"/>
        <v>0.39622514165055356</v>
      </c>
      <c r="G37" s="260">
        <f t="shared" si="10"/>
        <v>0.39690863600298976</v>
      </c>
      <c r="H37" s="260">
        <f t="shared" si="10"/>
        <v>0.38982069339475167</v>
      </c>
      <c r="I37" s="260">
        <f t="shared" si="10"/>
        <v>0.37346410614655146</v>
      </c>
      <c r="J37" s="260">
        <f t="shared" si="10"/>
        <v>0.39578542935645694</v>
      </c>
      <c r="K37" s="260">
        <f t="shared" si="10"/>
        <v>0.36553115388949564</v>
      </c>
      <c r="L37" s="260">
        <f t="shared" si="10"/>
        <v>0.38672120783141062</v>
      </c>
      <c r="M37" s="260">
        <f t="shared" si="10"/>
        <v>0.40236779674383288</v>
      </c>
      <c r="N37" s="260">
        <f t="shared" si="10"/>
        <v>0.40562310144789332</v>
      </c>
      <c r="O37" s="260">
        <f t="shared" si="10"/>
        <v>0.38920150666693137</v>
      </c>
      <c r="P37" s="260">
        <f t="shared" si="10"/>
        <v>0.39858240564169994</v>
      </c>
      <c r="Q37" s="260">
        <f t="shared" si="10"/>
        <v>0.3895015424220522</v>
      </c>
      <c r="R37" s="260">
        <f t="shared" si="10"/>
        <v>0.39090129198723922</v>
      </c>
      <c r="S37" s="260">
        <f t="shared" si="10"/>
        <v>0.36405084070032712</v>
      </c>
      <c r="T37" s="260">
        <f t="shared" si="10"/>
        <v>0.3813346470585412</v>
      </c>
      <c r="U37" s="260">
        <f t="shared" si="10"/>
        <v>0.35497982756650515</v>
      </c>
      <c r="V37" s="260">
        <f t="shared" si="10"/>
        <v>0.36631621517811508</v>
      </c>
      <c r="W37" s="260">
        <f t="shared" si="10"/>
        <v>0.38528652406723535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6.2576467286385482E-2</v>
      </c>
      <c r="C38" s="260">
        <f t="shared" si="11"/>
        <v>6.2067606428678486E-2</v>
      </c>
      <c r="D38" s="260">
        <f t="shared" si="11"/>
        <v>6.207450720426845E-2</v>
      </c>
      <c r="E38" s="260">
        <f t="shared" si="11"/>
        <v>6.187971060619004E-2</v>
      </c>
      <c r="F38" s="260">
        <f t="shared" si="11"/>
        <v>6.2513606452102896E-2</v>
      </c>
      <c r="G38" s="260">
        <f t="shared" si="11"/>
        <v>6.2901157601141608E-2</v>
      </c>
      <c r="H38" s="260">
        <f t="shared" si="11"/>
        <v>6.3117620887597106E-2</v>
      </c>
      <c r="I38" s="260">
        <f t="shared" si="11"/>
        <v>6.4537032436012595E-2</v>
      </c>
      <c r="J38" s="260">
        <f t="shared" si="11"/>
        <v>6.224179463659215E-2</v>
      </c>
      <c r="K38" s="260">
        <f t="shared" si="11"/>
        <v>6.6789581425097944E-2</v>
      </c>
      <c r="L38" s="260">
        <f t="shared" si="11"/>
        <v>6.5735808878863794E-2</v>
      </c>
      <c r="M38" s="260">
        <f t="shared" si="11"/>
        <v>6.3663787870441746E-2</v>
      </c>
      <c r="N38" s="260">
        <f t="shared" si="11"/>
        <v>6.3773957199553546E-2</v>
      </c>
      <c r="O38" s="260">
        <f t="shared" si="11"/>
        <v>6.5401914760762694E-2</v>
      </c>
      <c r="P38" s="260">
        <f t="shared" si="11"/>
        <v>6.5065128956530119E-2</v>
      </c>
      <c r="Q38" s="260">
        <f t="shared" si="11"/>
        <v>6.6404211607716743E-2</v>
      </c>
      <c r="R38" s="260">
        <f t="shared" si="11"/>
        <v>6.6990768528225705E-2</v>
      </c>
      <c r="S38" s="260">
        <f t="shared" si="11"/>
        <v>7.0129960866265204E-2</v>
      </c>
      <c r="T38" s="260">
        <f t="shared" si="11"/>
        <v>6.83732897917598E-2</v>
      </c>
      <c r="U38" s="260">
        <f t="shared" si="11"/>
        <v>7.008294017983846E-2</v>
      </c>
      <c r="V38" s="260">
        <f t="shared" si="11"/>
        <v>6.8491270699761769E-2</v>
      </c>
      <c r="W38" s="260">
        <f t="shared" si="11"/>
        <v>6.6340821797087404E-2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2.3946665849621329</v>
      </c>
      <c r="C44" s="238">
        <f>IF(C$5=0,0,C$5/AGR_fec!C$5)</f>
        <v>2.4608083551126851</v>
      </c>
      <c r="D44" s="238">
        <f>IF(D$5=0,0,D$5/AGR_fec!D$5)</f>
        <v>2.4207325514185891</v>
      </c>
      <c r="E44" s="238">
        <f>IF(E$5=0,0,E$5/AGR_fec!E$5)</f>
        <v>2.4645211794277659</v>
      </c>
      <c r="F44" s="238">
        <f>IF(F$5=0,0,F$5/AGR_fec!F$5)</f>
        <v>2.4159101444584632</v>
      </c>
      <c r="G44" s="238">
        <f>IF(G$5=0,0,G$5/AGR_fec!G$5)</f>
        <v>2.4320230989548945</v>
      </c>
      <c r="H44" s="238">
        <f>IF(H$5=0,0,H$5/AGR_fec!H$5)</f>
        <v>2.4628806479835523</v>
      </c>
      <c r="I44" s="238">
        <f>IF(I$5=0,0,I$5/AGR_fec!I$5)</f>
        <v>2.4200261576497994</v>
      </c>
      <c r="J44" s="238">
        <f>IF(J$5=0,0,J$5/AGR_fec!J$5)</f>
        <v>2.5502418213332727</v>
      </c>
      <c r="K44" s="238">
        <f>IF(K$5=0,0,K$5/AGR_fec!K$5)</f>
        <v>2.3370099924519643</v>
      </c>
      <c r="L44" s="238">
        <f>IF(L$5=0,0,L$5/AGR_fec!L$5)</f>
        <v>2.365812587882465</v>
      </c>
      <c r="M44" s="238">
        <f>IF(M$5=0,0,M$5/AGR_fec!M$5)</f>
        <v>2.4793656691602703</v>
      </c>
      <c r="N44" s="238">
        <f>IF(N$5=0,0,N$5/AGR_fec!N$5)</f>
        <v>2.3779968585364295</v>
      </c>
      <c r="O44" s="238">
        <f>IF(O$5=0,0,O$5/AGR_fec!O$5)</f>
        <v>2.2861173361094727</v>
      </c>
      <c r="P44" s="238">
        <f>IF(P$5=0,0,P$5/AGR_fec!P$5)</f>
        <v>2.3240972818388435</v>
      </c>
      <c r="Q44" s="238">
        <f>IF(Q$5=0,0,Q$5/AGR_fec!Q$5)</f>
        <v>2.2790679345135487</v>
      </c>
      <c r="R44" s="238">
        <f>IF(R$5=0,0,R$5/AGR_fec!R$5)</f>
        <v>2.2380700576131503</v>
      </c>
      <c r="S44" s="238">
        <f>IF(S$5=0,0,S$5/AGR_fec!S$5)</f>
        <v>2.1348456722786131</v>
      </c>
      <c r="T44" s="238">
        <f>IF(T$5=0,0,T$5/AGR_fec!T$5)</f>
        <v>2.205469535628362</v>
      </c>
      <c r="U44" s="238">
        <f>IF(U$5=0,0,U$5/AGR_fec!U$5)</f>
        <v>2.1570033866571832</v>
      </c>
      <c r="V44" s="238">
        <f>IF(V$5=0,0,V$5/AGR_fec!V$5)</f>
        <v>2.2111076048354645</v>
      </c>
      <c r="W44" s="238">
        <f>IF(W$5=0,0,W$5/AGR_fec!W$5)</f>
        <v>2.3222487292414762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2.6494584061855675</v>
      </c>
      <c r="C48" s="253">
        <f>IF(C$9=0,0,C$9/AGR_fec!C$9)</f>
        <v>2.7153958773549856</v>
      </c>
      <c r="D48" s="253">
        <f>IF(D$9=0,0,D$9/AGR_fec!D$9)</f>
        <v>2.5903461410651389</v>
      </c>
      <c r="E48" s="253">
        <f>IF(E$9=0,0,E$9/AGR_fec!E$9)</f>
        <v>2.6002876755900912</v>
      </c>
      <c r="F48" s="253">
        <f>IF(F$9=0,0,F$9/AGR_fec!F$9)</f>
        <v>2.5349211149529438</v>
      </c>
      <c r="G48" s="253">
        <f>IF(G$9=0,0,G$9/AGR_fec!G$9)</f>
        <v>2.4913873444133396</v>
      </c>
      <c r="H48" s="253">
        <f>IF(H$9=0,0,H$9/AGR_fec!H$9)</f>
        <v>2.6140501491626056</v>
      </c>
      <c r="I48" s="253">
        <f>IF(I$9=0,0,I$9/AGR_fec!I$9)</f>
        <v>2.6557982893909902</v>
      </c>
      <c r="J48" s="253">
        <f>IF(J$9=0,0,J$9/AGR_fec!J$9)</f>
        <v>2.6998136471676211</v>
      </c>
      <c r="K48" s="253">
        <f>IF(K$9=0,0,K$9/AGR_fec!K$9)</f>
        <v>2.4849425851791418</v>
      </c>
      <c r="L48" s="253">
        <f>IF(L$9=0,0,L$9/AGR_fec!L$9)</f>
        <v>2.1928579682098013</v>
      </c>
      <c r="M48" s="253">
        <f>IF(M$9=0,0,M$9/AGR_fec!M$9)</f>
        <v>2.2921881435600535</v>
      </c>
      <c r="N48" s="253">
        <f>IF(N$9=0,0,N$9/AGR_fec!N$9)</f>
        <v>2.1651086697903827</v>
      </c>
      <c r="O48" s="253">
        <f>IF(O$9=0,0,O$9/AGR_fec!O$9)</f>
        <v>2.1831772931697961</v>
      </c>
      <c r="P48" s="253">
        <f>IF(P$9=0,0,P$9/AGR_fec!P$9)</f>
        <v>2.1144609370977667</v>
      </c>
      <c r="Q48" s="253">
        <f>IF(Q$9=0,0,Q$9/AGR_fec!Q$9)</f>
        <v>2.0791008654803802</v>
      </c>
      <c r="R48" s="253">
        <f>IF(R$9=0,0,R$9/AGR_fec!R$9)</f>
        <v>1.964757584567506</v>
      </c>
      <c r="S48" s="253">
        <f>IF(S$9=0,0,S$9/AGR_fec!S$9)</f>
        <v>1.9859672668225059</v>
      </c>
      <c r="T48" s="253">
        <f>IF(T$9=0,0,T$9/AGR_fec!T$9)</f>
        <v>1.965736901834326</v>
      </c>
      <c r="U48" s="253">
        <f>IF(U$9=0,0,U$9/AGR_fec!U$9)</f>
        <v>2.1456255643363975</v>
      </c>
      <c r="V48" s="253">
        <f>IF(V$9=0,0,V$9/AGR_fec!V$9)</f>
        <v>2.1698718534277015</v>
      </c>
      <c r="W48" s="253">
        <f>IF(W$9=0,0,W$9/AGR_fec!W$9)</f>
        <v>2.1828620449504599</v>
      </c>
      <c r="DA48" s="290"/>
    </row>
    <row r="49" spans="1:105" x14ac:dyDescent="0.25">
      <c r="A49" s="128" t="s">
        <v>175</v>
      </c>
      <c r="B49" s="265">
        <f>IF(B$16=0,0,B$16/AGR_fec!B$16)</f>
        <v>3.1024187999999988</v>
      </c>
      <c r="C49" s="265">
        <f>IF(C$16=0,0,C$16/AGR_fec!C$16)</f>
        <v>3.1024188000000015</v>
      </c>
      <c r="D49" s="265">
        <f>IF(D$16=0,0,D$16/AGR_fec!D$16)</f>
        <v>3.1024188000000015</v>
      </c>
      <c r="E49" s="265">
        <f>IF(E$16=0,0,E$16/AGR_fec!E$16)</f>
        <v>3.1024187999999988</v>
      </c>
      <c r="F49" s="265">
        <f>IF(F$16=0,0,F$16/AGR_fec!F$16)</f>
        <v>3.1024187999999988</v>
      </c>
      <c r="G49" s="265">
        <f>IF(G$16=0,0,G$16/AGR_fec!G$16)</f>
        <v>3.1024187999999997</v>
      </c>
      <c r="H49" s="265">
        <f>IF(H$16=0,0,H$16/AGR_fec!H$16)</f>
        <v>3.102418800000001</v>
      </c>
      <c r="I49" s="265">
        <f>IF(I$16=0,0,I$16/AGR_fec!I$16)</f>
        <v>3.1024188000000006</v>
      </c>
      <c r="J49" s="265">
        <f>IF(J$16=0,0,J$16/AGR_fec!J$16)</f>
        <v>3.1024187999999993</v>
      </c>
      <c r="K49" s="265">
        <f>IF(K$16=0,0,K$16/AGR_fec!K$16)</f>
        <v>3.102418800000001</v>
      </c>
      <c r="L49" s="265">
        <f>IF(L$16=0,0,L$16/AGR_fec!L$16)</f>
        <v>3.1020308246254991</v>
      </c>
      <c r="M49" s="265">
        <f>IF(M$16=0,0,M$16/AGR_fec!M$16)</f>
        <v>3.1024187999999984</v>
      </c>
      <c r="N49" s="265">
        <f>IF(N$16=0,0,N$16/AGR_fec!N$16)</f>
        <v>3.0474074667253528</v>
      </c>
      <c r="O49" s="265">
        <f>IF(O$16=0,0,O$16/AGR_fec!O$16)</f>
        <v>3.0214410697849248</v>
      </c>
      <c r="P49" s="265">
        <f>IF(P$16=0,0,P$16/AGR_fec!P$16)</f>
        <v>3.0490293918847171</v>
      </c>
      <c r="Q49" s="265">
        <f>IF(Q$16=0,0,Q$16/AGR_fec!Q$16)</f>
        <v>3.051530089066071</v>
      </c>
      <c r="R49" s="265">
        <f>IF(R$16=0,0,R$16/AGR_fec!R$16)</f>
        <v>3.0546616571452825</v>
      </c>
      <c r="S49" s="265">
        <f>IF(S$16=0,0,S$16/AGR_fec!S$16)</f>
        <v>3.069055278348424</v>
      </c>
      <c r="T49" s="265">
        <f>IF(T$16=0,0,T$16/AGR_fec!T$16)</f>
        <v>3.0561856308972133</v>
      </c>
      <c r="U49" s="265">
        <f>IF(U$16=0,0,U$16/AGR_fec!U$16)</f>
        <v>3.0574916804036594</v>
      </c>
      <c r="V49" s="265">
        <f>IF(V$16=0,0,V$16/AGR_fec!V$16)</f>
        <v>3.0192816529681754</v>
      </c>
      <c r="W49" s="265">
        <f>IF(W$16=0,0,W$16/AGR_fec!W$16)</f>
        <v>3.0443555601866512</v>
      </c>
      <c r="DA49" s="291"/>
    </row>
    <row r="50" spans="1:105" x14ac:dyDescent="0.25">
      <c r="A50" s="128" t="s">
        <v>121</v>
      </c>
      <c r="B50" s="265">
        <f>IF(B$17=0,0,B$17/AGR_fec!B$17)</f>
        <v>2.3053157699825202</v>
      </c>
      <c r="C50" s="265">
        <f>IF(C$17=0,0,C$17/AGR_fec!C$17)</f>
        <v>2.3798664600595107</v>
      </c>
      <c r="D50" s="265">
        <f>IF(D$17=0,0,D$17/AGR_fec!D$17)</f>
        <v>2.3939667309715253</v>
      </c>
      <c r="E50" s="265">
        <f>IF(E$17=0,0,E$17/AGR_fec!E$17)</f>
        <v>2.4498351784697814</v>
      </c>
      <c r="F50" s="265">
        <f>IF(F$17=0,0,F$17/AGR_fec!F$17)</f>
        <v>2.3402446784325179</v>
      </c>
      <c r="G50" s="265">
        <f>IF(G$17=0,0,G$17/AGR_fec!G$17)</f>
        <v>2.388808207223144</v>
      </c>
      <c r="H50" s="265">
        <f>IF(H$17=0,0,H$17/AGR_fec!H$17)</f>
        <v>2.4126319173823707</v>
      </c>
      <c r="I50" s="265">
        <f>IF(I$17=0,0,I$17/AGR_fec!I$17)</f>
        <v>2.2252740147131722</v>
      </c>
      <c r="J50" s="265">
        <f>IF(J$17=0,0,J$17/AGR_fec!J$17)</f>
        <v>2.5744884009346798</v>
      </c>
      <c r="K50" s="265">
        <f>IF(K$17=0,0,K$17/AGR_fec!K$17)</f>
        <v>2.1234459861863728</v>
      </c>
      <c r="L50" s="265">
        <f>IF(L$17=0,0,L$17/AGR_fec!L$17)</f>
        <v>2.3204037073750028</v>
      </c>
      <c r="M50" s="265">
        <f>IF(M$17=0,0,M$17/AGR_fec!M$17)</f>
        <v>2.5392601280815552</v>
      </c>
      <c r="N50" s="265">
        <f>IF(N$17=0,0,N$17/AGR_fec!N$17)</f>
        <v>2.4540275524186228</v>
      </c>
      <c r="O50" s="265">
        <f>IF(O$17=0,0,O$17/AGR_fec!O$17)</f>
        <v>2.2335525410598338</v>
      </c>
      <c r="P50" s="265">
        <f>IF(P$17=0,0,P$17/AGR_fec!P$17)</f>
        <v>2.3877063188202712</v>
      </c>
      <c r="Q50" s="265">
        <f>IF(Q$17=0,0,Q$17/AGR_fec!Q$17)</f>
        <v>2.265524628609795</v>
      </c>
      <c r="R50" s="265">
        <f>IF(R$17=0,0,R$17/AGR_fec!R$17)</f>
        <v>2.2317134512988455</v>
      </c>
      <c r="S50" s="265">
        <f>IF(S$17=0,0,S$17/AGR_fec!S$17)</f>
        <v>1.9399069307240364</v>
      </c>
      <c r="T50" s="265">
        <f>IF(T$17=0,0,T$17/AGR_fec!T$17)</f>
        <v>2.1328208335305043</v>
      </c>
      <c r="U50" s="265">
        <f>IF(U$17=0,0,U$17/AGR_fec!U$17)</f>
        <v>1.8800586550277236</v>
      </c>
      <c r="V50" s="265">
        <f>IF(V$17=0,0,V$17/AGR_fec!V$17)</f>
        <v>2.0223474622242472</v>
      </c>
      <c r="W50" s="265">
        <f>IF(W$17=0,0,W$17/AGR_fec!W$17)</f>
        <v>2.2894840248684876</v>
      </c>
      <c r="DA50" s="291"/>
    </row>
    <row r="51" spans="1:105" x14ac:dyDescent="0.25">
      <c r="A51" s="128" t="s">
        <v>174</v>
      </c>
      <c r="B51" s="265">
        <f>IF(B$25=0,0,B$25/AGR_fec!B$25)</f>
        <v>3.1024187999999993</v>
      </c>
      <c r="C51" s="265">
        <f>IF(C$25=0,0,C$25/AGR_fec!C$25)</f>
        <v>3.1024187999999997</v>
      </c>
      <c r="D51" s="265">
        <f>IF(D$25=0,0,D$25/AGR_fec!D$25)</f>
        <v>3.1024188000000001</v>
      </c>
      <c r="E51" s="265">
        <f>IF(E$25=0,0,E$25/AGR_fec!E$25)</f>
        <v>3.1024187999999988</v>
      </c>
      <c r="F51" s="265">
        <f>IF(F$25=0,0,F$25/AGR_fec!F$25)</f>
        <v>3.1024188000000006</v>
      </c>
      <c r="G51" s="265">
        <f>IF(G$25=0,0,G$25/AGR_fec!G$25)</f>
        <v>3.1024187999999997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3.1024188000000001</v>
      </c>
      <c r="K51" s="265">
        <f>IF(K$25=0,0,K$25/AGR_fec!K$25)</f>
        <v>3.1024188000000001</v>
      </c>
      <c r="L51" s="265">
        <f>IF(L$25=0,0,L$25/AGR_fec!L$25)</f>
        <v>3.1020308246254986</v>
      </c>
      <c r="M51" s="265">
        <f>IF(M$25=0,0,M$25/AGR_fec!M$25)</f>
        <v>3.1024187999999993</v>
      </c>
      <c r="N51" s="265">
        <f>IF(N$25=0,0,N$25/AGR_fec!N$25)</f>
        <v>3.0474074667253515</v>
      </c>
      <c r="O51" s="265">
        <f>IF(O$25=0,0,O$25/AGR_fec!O$25)</f>
        <v>3.0214410697849234</v>
      </c>
      <c r="P51" s="265">
        <f>IF(P$25=0,0,P$25/AGR_fec!P$25)</f>
        <v>3.0490293918847167</v>
      </c>
      <c r="Q51" s="265">
        <f>IF(Q$25=0,0,Q$25/AGR_fec!Q$25)</f>
        <v>3.0515300890660724</v>
      </c>
      <c r="R51" s="265">
        <f>IF(R$25=0,0,R$25/AGR_fec!R$25)</f>
        <v>3.0546616571452829</v>
      </c>
      <c r="S51" s="265">
        <f>IF(S$25=0,0,S$25/AGR_fec!S$25)</f>
        <v>3.0690552783484231</v>
      </c>
      <c r="T51" s="265">
        <f>IF(T$25=0,0,T$25/AGR_fec!T$25)</f>
        <v>3.0561856308972142</v>
      </c>
      <c r="U51" s="265">
        <f>IF(U$25=0,0,U$25/AGR_fec!U$25)</f>
        <v>3.0574916804036598</v>
      </c>
      <c r="V51" s="265">
        <f>IF(V$25=0,0,V$25/AGR_fec!V$25)</f>
        <v>3.0192816529681759</v>
      </c>
      <c r="W51" s="265">
        <f>IF(W$25=0,0,W$25/AGR_fec!W$25)</f>
        <v>3.0443555601866521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081341-8FFC-4E7F-B479-306FB642A2B5}"/>
</file>

<file path=customXml/itemProps2.xml><?xml version="1.0" encoding="utf-8"?>
<ds:datastoreItem xmlns:ds="http://schemas.openxmlformats.org/officeDocument/2006/customXml" ds:itemID="{72EF106A-3802-418D-8F74-DCC9CB65F081}"/>
</file>

<file path=customXml/itemProps3.xml><?xml version="1.0" encoding="utf-8"?>
<ds:datastoreItem xmlns:ds="http://schemas.openxmlformats.org/officeDocument/2006/customXml" ds:itemID="{2689556C-50E5-4382-89E5-ECC8B425A6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2024-05-20T16:53:29Z</dcterms:created>
  <dcterms:modified xsi:type="dcterms:W3CDTF">2024-05-20T16:53:29Z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