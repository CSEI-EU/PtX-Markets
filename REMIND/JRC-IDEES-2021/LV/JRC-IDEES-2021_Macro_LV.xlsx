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V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Y93" i="59"/>
  <c r="W20" i="59"/>
  <c r="V20" i="59"/>
  <c r="X122" i="59"/>
  <c r="T90" i="59"/>
  <c r="Y89" i="59"/>
  <c r="U121" i="59"/>
  <c r="T119" i="59"/>
  <c r="Y118" i="59"/>
  <c r="W117" i="59"/>
  <c r="W84" i="59"/>
  <c r="U116" i="59"/>
  <c r="V115" i="59"/>
  <c r="U113" i="59"/>
  <c r="Y80" i="59"/>
  <c r="X112" i="59"/>
  <c r="W80" i="59"/>
  <c r="W111" i="59"/>
  <c r="U110" i="59"/>
  <c r="Y75" i="59"/>
  <c r="Y107" i="59"/>
  <c r="W75" i="59"/>
  <c r="T106" i="59"/>
  <c r="O106" i="59"/>
  <c r="M106" i="59"/>
  <c r="L106" i="59"/>
  <c r="G106" i="59"/>
  <c r="Y73" i="59"/>
  <c r="Y105" i="59"/>
  <c r="W72" i="59"/>
  <c r="W104" i="59"/>
  <c r="U104" i="59"/>
  <c r="Y71" i="59"/>
  <c r="V103" i="59"/>
  <c r="U103" i="59"/>
  <c r="X102" i="59"/>
  <c r="V101" i="59"/>
  <c r="U101" i="59"/>
  <c r="Y68" i="59"/>
  <c r="U100" i="59"/>
  <c r="T98" i="59"/>
  <c r="Y82" i="59"/>
  <c r="Y97" i="59"/>
  <c r="W78" i="59"/>
  <c r="U115" i="59"/>
  <c r="V113" i="59"/>
  <c r="T112" i="59"/>
  <c r="V111" i="59"/>
  <c r="X110" i="59"/>
  <c r="T80" i="59"/>
  <c r="Y122" i="59"/>
  <c r="W122" i="59"/>
  <c r="Y120" i="59"/>
  <c r="T118" i="59"/>
  <c r="W85" i="59"/>
  <c r="Y84" i="59"/>
  <c r="T83" i="59"/>
  <c r="Y114" i="59"/>
  <c r="W81" i="59"/>
  <c r="W113" i="59"/>
  <c r="Y111" i="59"/>
  <c r="W110" i="59"/>
  <c r="Y77" i="59"/>
  <c r="U109" i="59"/>
  <c r="U108" i="59"/>
  <c r="W105" i="59"/>
  <c r="Y72" i="59"/>
  <c r="Y102" i="59"/>
  <c r="W69" i="59"/>
  <c r="W101" i="59"/>
  <c r="Y99" i="59"/>
  <c r="W98" i="59"/>
  <c r="Y65" i="59"/>
  <c r="X20" i="59"/>
  <c r="U20" i="59"/>
  <c r="Y13" i="59"/>
  <c r="V10" i="59"/>
  <c r="W5" i="59"/>
  <c r="T5" i="59"/>
  <c r="Y5" i="59"/>
  <c r="U5" i="59"/>
  <c r="Y70" i="59" l="1"/>
  <c r="Y67" i="59"/>
  <c r="T71" i="59"/>
  <c r="W74" i="59"/>
  <c r="U71" i="59"/>
  <c r="Y69" i="59"/>
  <c r="V94" i="59"/>
  <c r="W67" i="59"/>
  <c r="W73" i="59"/>
  <c r="W87" i="59"/>
  <c r="W90" i="59"/>
  <c r="W65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4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F95" i="59" l="1"/>
  <c r="N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<sst xmlns="http://schemas.openxmlformats.org/spreadsheetml/2006/main" count="722" uniqueCount="281">
  <si>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</si>
  <si>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</si>
  <si>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</si>
  <si>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</si>
  <si>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</si>
  <si>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</si>
  <si>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</si>
  <si>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</si>
  <si>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</si>
  <si>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</si>
  <si>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</si>
  <si>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</si>
  <si>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</si>
  <si>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</si>
  <si>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</si>
  <si>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</si>
  <si>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</si>
  <si>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</si>
  <si>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</si>
  <si>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</si>
  <si>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</si>
  <si>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</si>
  <si>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</si>
  <si>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</si>
  <si>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</si>
  <si>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</si>
  <si>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</si>
  <si>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</si>
  <si>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</si>
  <si>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</si>
  <si>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</si>
  <si>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</si>
  <si>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</si>
  <si>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</si>
  <si>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</si>
  <si>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</si>
  <si>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</si>
  <si>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</si>
  <si>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</si>
  <si>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</si>
  <si>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</si>
  <si>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</si>
  <si>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</si>
  <si>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</si>
  <si>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</si>
  <si>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</si>
  <si>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</si>
  <si>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</si>
  <si>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</si>
  <si>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</si>
  <si>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</si>
  <si>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</si>
  <si>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</si>
  <si>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</si>
  <si>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</si>
  <si>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</si>
  <si>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</si>
  <si>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</si>
  <si>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</si>
  <si>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</si>
  <si>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</si>
  <si>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</si>
  <si>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</si>
  <si>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</si>
  <si>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</si>
  <si>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</si>
  <si>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</si>
  <si>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</si>
  <si>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</si>
  <si>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</si>
  <si>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</si>
  <si>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</si>
  <si>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</si>
  <si>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</si>
  <si>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</si>
  <si>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</si>
  <si>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</si>
  <si>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</si>
  <si>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</si>
  <si>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</si>
  <si>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</si>
  <si>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</si>
  <si>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</si>
  <si>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</si>
  <si>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</si>
  <si>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</si>
  <si>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</si>
  <si>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</si>
  <si>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</si>
  <si>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</si>
  <si>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</si>
  <si>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</si>
  <si>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</si>
  <si>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</si>
  <si>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</si>
  <si>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</si>
  <si>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</si>
  <si>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</si>
  <si>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</si>
  <si>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</si>
  <si>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</si>
  <si>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</si>
  <si>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</si>
  <si>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</si>
  <si>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</si>
  <si>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</si>
  <si>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</si>
  <si>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</si>
  <si>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</si>
  <si>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</si>
  <si>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</si>
  <si>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</si>
  <si>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</si>
  <si>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</si>
  <si>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</si>
  <si>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</si>
  <si>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</si>
  <si>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</si>
  <si>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</si>
  <si>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</si>
  <si>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</si>
  <si>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</si>
  <si>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</si>
  <si>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</si>
  <si>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</si>
  <si>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</si>
  <si>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</si>
  <si>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</si>
  <si>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</si>
  <si>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</si>
  <si>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</si>
  <si>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</si>
  <si>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</si>
  <si>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</si>
  <si>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</si>
  <si>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</si>
  <si>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</si>
  <si>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</si>
  <si>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</si>
  <si>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</si>
  <si>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</si>
  <si>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</si>
  <si>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</si>
  <si>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</si>
  <si>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</si>
  <si>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</si>
  <si>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</si>
  <si>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</si>
  <si>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</si>
  <si>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</si>
  <si>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</si>
  <si>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</si>
  <si>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</si>
  <si>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</si>
  <si>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</si>
  <si>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</si>
  <si>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</si>
  <si>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</si>
  <si>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</si>
  <si>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</si>
  <si>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</si>
  <si>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</si>
  <si>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</si>
  <si>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</si>
  <si>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</si>
  <si>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</si>
  <si>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</si>
  <si>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</si>
  <si>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</si>
  <si>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</si>
  <si>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</si>
  <si>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</si>
  <si>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</si>
  <si>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</si>
  <si>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</si>
  <si>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</si>
  <si>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</si>
  <si>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</si>
  <si>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</si>
  <si>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</si>
  <si>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</si>
  <si>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</si>
  <si>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</si>
  <si>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</si>
  <si>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</si>
  <si>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</si>
  <si>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</si>
  <si>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</si>
  <si>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</si>
  <si>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</si>
  <si>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</si>
  <si>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</si>
  <si>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</si>
  <si>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</si>
  <si>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</si>
  <si>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</si>
  <si>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</si>
  <si>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</si>
  <si>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</si>
  <si>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</si>
  <si>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</si>
  <si>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</si>
  <si>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</si>
  <si>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</si>
  <si>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</si>
  <si>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</si>
  <si>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</si>
  <si>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</si>
  <si>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</si>
  <si>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</si>
  <si>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</si>
  <si>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</si>
  <si>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</si>
  <si>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</si>
  <si>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</si>
  <si>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</si>
  <si>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</si>
  <si>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</si>
  <si>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</si>
  <si>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</si>
  <si>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</si>
  <si>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</si>
  <si>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</si>
  <si>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</si>
  <si>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</si>
  <si>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</si>
  <si>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</si>
  <si>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</si>
  <si>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</si>
  <si>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</si>
  <si>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</si>
  <si>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</si>
  <si>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</si>
  <si>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</si>
  <si>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</si>
  <si>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</si>
  <si>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</si>
  <si>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</si>
  <si>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</si>
  <si>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</si>
  <si>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</si>
  <si>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</si>
  <si>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</si>
  <si>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</si>
  <si>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</si>
  <si>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</si>
  <si>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</si>
  <si>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</si>
  <si>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</si>
  <si>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</si>
  <si>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</si>
  <si>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</si>
  <si>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</si>
  <si>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</si>
  <si>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</si>
  <si>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</si>
  <si>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</si>
  <si>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</si>
  <si>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</si>
  <si>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</si>
  <si>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</si>
  <si>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</si>
  <si>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</si>
  <si>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</si>
  <si>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</si>
  <si>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</si>
  <si>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</si>
  <si>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</si>
  <si>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</si>
  <si>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</si>
  <si>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</si>
  <si>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</si>
  <si>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</si>
  <si>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</si>
  <si>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</si>
  <si>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</si>
  <si>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</si>
  <si>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</si>
  <si>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</si>
  <si>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LV</t>
  </si>
  <si>
    <t>Latvia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</si>
</sst>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45432.786990740744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9973.3833139380222</v>
      </c>
      <c r="E2" s="19">
        <v>10830.805612161854</v>
      </c>
      <c r="F2" s="19">
        <v>11748.613232741998</v>
      </c>
      <c r="G2" s="19">
        <v>12130.922311651057</v>
      </c>
      <c r="H2" s="19">
        <v>13545.503747095592</v>
      </c>
      <c r="I2" s="19">
        <v>15934.644520421361</v>
      </c>
      <c r="J2" s="19">
        <v>20060.85554140127</v>
      </c>
      <c r="K2" s="19">
        <v>26332.439986691756</v>
      </c>
      <c r="L2" s="19">
        <v>28342.687570254417</v>
      </c>
      <c r="M2" s="19">
        <v>21861.725182264207</v>
      </c>
      <c r="N2" s="19">
        <v>20724.296096033646</v>
      </c>
      <c r="O2" s="19">
        <v>22721.381118125217</v>
      </c>
      <c r="P2" s="19">
        <v>25530.494712290965</v>
      </c>
      <c r="Q2" s="19">
        <v>26332.239224353038</v>
      </c>
      <c r="R2" s="19">
        <v>27296.545967322094</v>
      </c>
      <c r="S2" s="19">
        <v>28389.621456000001</v>
      </c>
      <c r="T2" s="19">
        <v>29313.217673477884</v>
      </c>
      <c r="U2" s="19">
        <v>31176.666155609269</v>
      </c>
      <c r="V2" s="19">
        <v>33682.881287368255</v>
      </c>
      <c r="W2" s="19">
        <v>35322.613538721438</v>
      </c>
      <c r="X2" s="19">
        <v>34787.266639953305</v>
      </c>
      <c r="Y2" s="19">
        <v>38529.931311749249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6042.0761517615174</v>
      </c>
      <c r="E3" s="23">
        <v>6496.7991419281034</v>
      </c>
      <c r="F3" s="23">
        <v>7010.6464399952602</v>
      </c>
      <c r="G3" s="23">
        <v>7236.7656862897111</v>
      </c>
      <c r="H3" s="23">
        <v>8182.5242729746069</v>
      </c>
      <c r="I3" s="23">
        <v>9465.1334996610967</v>
      </c>
      <c r="J3" s="23">
        <v>12348.200992367412</v>
      </c>
      <c r="K3" s="23">
        <v>15258.26450696254</v>
      </c>
      <c r="L3" s="23">
        <v>15823.463769778768</v>
      </c>
      <c r="M3" s="23">
        <v>12803.007774312387</v>
      </c>
      <c r="N3" s="23">
        <v>12704.358911278599</v>
      </c>
      <c r="O3" s="23">
        <v>13533.649388958242</v>
      </c>
      <c r="P3" s="23">
        <v>14950.87727569086</v>
      </c>
      <c r="Q3" s="23">
        <v>15896.741115833258</v>
      </c>
      <c r="R3" s="23">
        <v>16187.870518490541</v>
      </c>
      <c r="S3" s="23">
        <v>16449.198575999999</v>
      </c>
      <c r="T3" s="23">
        <v>17218.806586518498</v>
      </c>
      <c r="U3" s="23">
        <v>18304.069469572962</v>
      </c>
      <c r="V3" s="23">
        <v>19430.008747804917</v>
      </c>
      <c r="W3" s="23">
        <v>20075.111803700405</v>
      </c>
      <c r="X3" s="23">
        <v>19197.236666516677</v>
      </c>
      <c r="Y3" s="23">
        <v>21295.32869527374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7726.1</v>
      </c>
      <c r="E4" s="27">
        <v>8432.9</v>
      </c>
      <c r="F4" s="27">
        <v>9168.2000000000007</v>
      </c>
      <c r="G4" s="27">
        <v>9416.4</v>
      </c>
      <c r="H4" s="27">
        <v>10528.5</v>
      </c>
      <c r="I4" s="27">
        <v>12265</v>
      </c>
      <c r="J4" s="27">
        <v>15373.6</v>
      </c>
      <c r="K4" s="27">
        <v>20259.599999999999</v>
      </c>
      <c r="L4" s="27">
        <v>22091.599999999999</v>
      </c>
      <c r="M4" s="27">
        <v>17033.8</v>
      </c>
      <c r="N4" s="27">
        <v>15962.8</v>
      </c>
      <c r="O4" s="27">
        <v>17412.3</v>
      </c>
      <c r="P4" s="27">
        <v>19555.8</v>
      </c>
      <c r="Q4" s="27">
        <v>20072.199999999997</v>
      </c>
      <c r="R4" s="27">
        <v>20802.900000000001</v>
      </c>
      <c r="S4" s="27">
        <v>21613.4</v>
      </c>
      <c r="T4" s="27">
        <v>22166.9</v>
      </c>
      <c r="U4" s="27">
        <v>23574.400000000001</v>
      </c>
      <c r="V4" s="27">
        <v>25307.4</v>
      </c>
      <c r="W4" s="27">
        <v>26617.200000000001</v>
      </c>
      <c r="X4" s="27">
        <v>26281</v>
      </c>
      <c r="Y4" s="27">
        <v>29147.1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385.5</v>
      </c>
      <c r="E6" s="19">
        <v>413.7</v>
      </c>
      <c r="F6" s="19">
        <v>457.5</v>
      </c>
      <c r="G6" s="19">
        <v>413.2</v>
      </c>
      <c r="H6" s="19">
        <v>492</v>
      </c>
      <c r="I6" s="19">
        <v>513.5</v>
      </c>
      <c r="J6" s="19">
        <v>565.29999999999995</v>
      </c>
      <c r="K6" s="19">
        <v>748.5</v>
      </c>
      <c r="L6" s="19">
        <v>724.9</v>
      </c>
      <c r="M6" s="19">
        <v>607.4</v>
      </c>
      <c r="N6" s="19">
        <v>727.8</v>
      </c>
      <c r="O6" s="19">
        <v>725.3</v>
      </c>
      <c r="P6" s="19">
        <v>763.4</v>
      </c>
      <c r="Q6" s="19">
        <v>723.3</v>
      </c>
      <c r="R6" s="19">
        <v>836.5</v>
      </c>
      <c r="S6" s="19">
        <v>858.7</v>
      </c>
      <c r="T6" s="19">
        <v>827</v>
      </c>
      <c r="U6" s="19">
        <v>958.6</v>
      </c>
      <c r="V6" s="19">
        <v>1048.0999999999999</v>
      </c>
      <c r="W6" s="19">
        <v>1149.5</v>
      </c>
      <c r="X6" s="19">
        <v>1204.9000000000001</v>
      </c>
      <c r="Y6" s="19">
        <v>1379.4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1500.0000000000011</v>
      </c>
      <c r="E7" s="23">
        <v>1615.3999999999996</v>
      </c>
      <c r="F7" s="23">
        <v>1721.700000000001</v>
      </c>
      <c r="G7" s="23">
        <v>1654.8000000000015</v>
      </c>
      <c r="H7" s="23">
        <v>1824.5</v>
      </c>
      <c r="I7" s="23">
        <v>1956.2999999999995</v>
      </c>
      <c r="J7" s="23">
        <v>2290.2999999999997</v>
      </c>
      <c r="K7" s="23">
        <v>2869.9999999999995</v>
      </c>
      <c r="L7" s="23">
        <v>3095.4</v>
      </c>
      <c r="M7" s="23">
        <v>2630.4999999999982</v>
      </c>
      <c r="N7" s="23">
        <v>2890.8000000000006</v>
      </c>
      <c r="O7" s="23">
        <v>3090.1999999999989</v>
      </c>
      <c r="P7" s="23">
        <v>3373.8999999999965</v>
      </c>
      <c r="Q7" s="23">
        <v>3330.2999999999988</v>
      </c>
      <c r="R7" s="23">
        <v>3174.1000000000045</v>
      </c>
      <c r="S7" s="23">
        <v>3385.6000000000022</v>
      </c>
      <c r="T7" s="23">
        <v>3514.7999999999975</v>
      </c>
      <c r="U7" s="23">
        <v>3760.6999999999957</v>
      </c>
      <c r="V7" s="23">
        <v>3831.3999999999983</v>
      </c>
      <c r="W7" s="23">
        <v>4052.1999999999971</v>
      </c>
      <c r="X7" s="23">
        <v>4235.7000000000025</v>
      </c>
      <c r="Y7" s="23">
        <v>5234.5000000000027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538.9</v>
      </c>
      <c r="E8" s="23">
        <v>519.6</v>
      </c>
      <c r="F8" s="23">
        <v>577</v>
      </c>
      <c r="G8" s="23">
        <v>583.5</v>
      </c>
      <c r="H8" s="23">
        <v>688.5</v>
      </c>
      <c r="I8" s="23">
        <v>831.1</v>
      </c>
      <c r="J8" s="23">
        <v>1313.1</v>
      </c>
      <c r="K8" s="23">
        <v>2048.6999999999998</v>
      </c>
      <c r="L8" s="23">
        <v>2245.1999999999994</v>
      </c>
      <c r="M8" s="23">
        <v>1333.5</v>
      </c>
      <c r="N8" s="23">
        <v>776.6</v>
      </c>
      <c r="O8" s="23">
        <v>985.2</v>
      </c>
      <c r="P8" s="23">
        <v>1183.0000000000002</v>
      </c>
      <c r="Q8" s="23">
        <v>1250.8</v>
      </c>
      <c r="R8" s="23">
        <v>1300.3</v>
      </c>
      <c r="S8" s="23">
        <v>1308.5</v>
      </c>
      <c r="T8" s="23">
        <v>1184</v>
      </c>
      <c r="U8" s="23">
        <v>1378.9</v>
      </c>
      <c r="V8" s="23">
        <v>1608.6</v>
      </c>
      <c r="W8" s="23">
        <v>1731.8</v>
      </c>
      <c r="X8" s="23">
        <v>1679.8</v>
      </c>
      <c r="Y8" s="23">
        <v>1552.3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2123.6999999999998</v>
      </c>
      <c r="E9" s="23">
        <v>2432.6</v>
      </c>
      <c r="F9" s="23">
        <v>2673.2</v>
      </c>
      <c r="G9" s="23">
        <v>2785.8</v>
      </c>
      <c r="H9" s="23">
        <v>3143</v>
      </c>
      <c r="I9" s="23">
        <v>3745.8</v>
      </c>
      <c r="J9" s="23">
        <v>4356.3</v>
      </c>
      <c r="K9" s="23">
        <v>5258.8</v>
      </c>
      <c r="L9" s="23">
        <v>5561.4</v>
      </c>
      <c r="M9" s="23">
        <v>4668.3</v>
      </c>
      <c r="N9" s="23">
        <v>4480.1000000000013</v>
      </c>
      <c r="O9" s="23">
        <v>4640.8999999999996</v>
      </c>
      <c r="P9" s="23">
        <v>5196.1000000000013</v>
      </c>
      <c r="Q9" s="23">
        <v>5241.2999999999993</v>
      </c>
      <c r="R9" s="23">
        <v>5390.9</v>
      </c>
      <c r="S9" s="23">
        <v>5615</v>
      </c>
      <c r="T9" s="23">
        <v>5689.7</v>
      </c>
      <c r="U9" s="23">
        <v>5993.6</v>
      </c>
      <c r="V9" s="23">
        <v>6374</v>
      </c>
      <c r="W9" s="23">
        <v>6637.9</v>
      </c>
      <c r="X9" s="23">
        <v>6021</v>
      </c>
      <c r="Y9" s="23">
        <v>6327.1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432.8</v>
      </c>
      <c r="E10" s="23">
        <v>520.4</v>
      </c>
      <c r="F10" s="23">
        <v>531.5</v>
      </c>
      <c r="G10" s="23">
        <v>508.5</v>
      </c>
      <c r="H10" s="23">
        <v>519.20000000000005</v>
      </c>
      <c r="I10" s="23">
        <v>560.1</v>
      </c>
      <c r="J10" s="23">
        <v>628</v>
      </c>
      <c r="K10" s="23">
        <v>725</v>
      </c>
      <c r="L10" s="23">
        <v>854.7</v>
      </c>
      <c r="M10" s="23">
        <v>715</v>
      </c>
      <c r="N10" s="23">
        <v>741.7</v>
      </c>
      <c r="O10" s="23">
        <v>748</v>
      </c>
      <c r="P10" s="23">
        <v>833.3</v>
      </c>
      <c r="Q10" s="23">
        <v>894.4</v>
      </c>
      <c r="R10" s="23">
        <v>925.5</v>
      </c>
      <c r="S10" s="23">
        <v>984.1</v>
      </c>
      <c r="T10" s="23">
        <v>1077.7</v>
      </c>
      <c r="U10" s="23">
        <v>1222.2</v>
      </c>
      <c r="V10" s="23">
        <v>1398.8</v>
      </c>
      <c r="W10" s="23">
        <v>1529.8</v>
      </c>
      <c r="X10" s="23">
        <v>1598</v>
      </c>
      <c r="Y10" s="23">
        <v>1815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255.1</v>
      </c>
      <c r="E11" s="23">
        <v>317.5</v>
      </c>
      <c r="F11" s="23">
        <v>333.3</v>
      </c>
      <c r="G11" s="23">
        <v>335.3</v>
      </c>
      <c r="H11" s="23">
        <v>396.9</v>
      </c>
      <c r="I11" s="23">
        <v>535.9</v>
      </c>
      <c r="J11" s="23">
        <v>789.8</v>
      </c>
      <c r="K11" s="23">
        <v>1044.8</v>
      </c>
      <c r="L11" s="23">
        <v>1224.5000000000002</v>
      </c>
      <c r="M11" s="23">
        <v>605.20000000000005</v>
      </c>
      <c r="N11" s="23">
        <v>532.20000000000005</v>
      </c>
      <c r="O11" s="23">
        <v>695.2</v>
      </c>
      <c r="P11" s="23">
        <v>814.3</v>
      </c>
      <c r="Q11" s="23">
        <v>860.9</v>
      </c>
      <c r="R11" s="23">
        <v>899.9</v>
      </c>
      <c r="S11" s="23">
        <v>1033.9000000000001</v>
      </c>
      <c r="T11" s="23">
        <v>1041.3</v>
      </c>
      <c r="U11" s="23">
        <v>901.6</v>
      </c>
      <c r="V11" s="23">
        <v>906.5</v>
      </c>
      <c r="W11" s="23">
        <v>813.8</v>
      </c>
      <c r="X11" s="23">
        <v>783.9</v>
      </c>
      <c r="Y11" s="23">
        <v>930.5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508</v>
      </c>
      <c r="E12" s="23">
        <v>560.5</v>
      </c>
      <c r="F12" s="23">
        <v>691.6</v>
      </c>
      <c r="G12" s="23">
        <v>851</v>
      </c>
      <c r="H12" s="23">
        <v>986.2</v>
      </c>
      <c r="I12" s="23">
        <v>1166.7</v>
      </c>
      <c r="J12" s="23">
        <v>1738.5</v>
      </c>
      <c r="K12" s="23">
        <v>2484.3000000000002</v>
      </c>
      <c r="L12" s="23">
        <v>2464</v>
      </c>
      <c r="M12" s="23">
        <v>1907.5</v>
      </c>
      <c r="N12" s="23">
        <v>1612.4</v>
      </c>
      <c r="O12" s="23">
        <v>2029.9</v>
      </c>
      <c r="P12" s="23">
        <v>2411.3000000000002</v>
      </c>
      <c r="Q12" s="23">
        <v>2597.5</v>
      </c>
      <c r="R12" s="23">
        <v>2888.5</v>
      </c>
      <c r="S12" s="23">
        <v>2695.5</v>
      </c>
      <c r="T12" s="23">
        <v>2839.2</v>
      </c>
      <c r="U12" s="23">
        <v>2921.3</v>
      </c>
      <c r="V12" s="23">
        <v>3147.7</v>
      </c>
      <c r="W12" s="23">
        <v>3246.3</v>
      </c>
      <c r="X12" s="23">
        <v>3262.8</v>
      </c>
      <c r="Y12" s="23">
        <v>3556.7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439.3</v>
      </c>
      <c r="E13" s="23">
        <v>439.9</v>
      </c>
      <c r="F13" s="23">
        <v>515.5</v>
      </c>
      <c r="G13" s="23">
        <v>513.5</v>
      </c>
      <c r="H13" s="23">
        <v>541.29999999999995</v>
      </c>
      <c r="I13" s="23">
        <v>732.5</v>
      </c>
      <c r="J13" s="23">
        <v>878.1</v>
      </c>
      <c r="K13" s="23">
        <v>1285.8</v>
      </c>
      <c r="L13" s="23">
        <v>1525.5</v>
      </c>
      <c r="M13" s="23">
        <v>1174.9000000000001</v>
      </c>
      <c r="N13" s="23">
        <v>1168.8</v>
      </c>
      <c r="O13" s="23">
        <v>1206.6999999999998</v>
      </c>
      <c r="P13" s="23">
        <v>1379.9</v>
      </c>
      <c r="Q13" s="23">
        <v>1440</v>
      </c>
      <c r="R13" s="23">
        <v>1489</v>
      </c>
      <c r="S13" s="23">
        <v>1573.2</v>
      </c>
      <c r="T13" s="23">
        <v>1678.2</v>
      </c>
      <c r="U13" s="23">
        <v>1809</v>
      </c>
      <c r="V13" s="23">
        <v>1962.8</v>
      </c>
      <c r="W13" s="23">
        <v>2039</v>
      </c>
      <c r="X13" s="23">
        <v>2064.3000000000002</v>
      </c>
      <c r="Y13" s="23">
        <v>2243.6999999999998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1336.8</v>
      </c>
      <c r="E14" s="23">
        <v>1388</v>
      </c>
      <c r="F14" s="23">
        <v>1418.5</v>
      </c>
      <c r="G14" s="23">
        <v>1527.5</v>
      </c>
      <c r="H14" s="23">
        <v>1647.9</v>
      </c>
      <c r="I14" s="23">
        <v>1869.2</v>
      </c>
      <c r="J14" s="23">
        <v>2361.1999999999998</v>
      </c>
      <c r="K14" s="23">
        <v>3179.9</v>
      </c>
      <c r="L14" s="23">
        <v>3765.9</v>
      </c>
      <c r="M14" s="23">
        <v>2927.9</v>
      </c>
      <c r="N14" s="23">
        <v>2567.3000000000006</v>
      </c>
      <c r="O14" s="23">
        <v>2805.7</v>
      </c>
      <c r="P14" s="23">
        <v>3025.5</v>
      </c>
      <c r="Q14" s="23">
        <v>3127.5</v>
      </c>
      <c r="R14" s="23">
        <v>3283.5</v>
      </c>
      <c r="S14" s="23">
        <v>3486.1</v>
      </c>
      <c r="T14" s="23">
        <v>3596</v>
      </c>
      <c r="U14" s="23">
        <v>3852.9</v>
      </c>
      <c r="V14" s="23">
        <v>4186.3999999999996</v>
      </c>
      <c r="W14" s="23">
        <v>4548.7</v>
      </c>
      <c r="X14" s="23">
        <v>4738.3999999999996</v>
      </c>
      <c r="Y14" s="23">
        <v>5401.2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206</v>
      </c>
      <c r="E15" s="23">
        <v>225.3</v>
      </c>
      <c r="F15" s="23">
        <v>248.4</v>
      </c>
      <c r="G15" s="23">
        <v>243.3</v>
      </c>
      <c r="H15" s="23">
        <v>289</v>
      </c>
      <c r="I15" s="23">
        <v>353.9</v>
      </c>
      <c r="J15" s="23">
        <v>453</v>
      </c>
      <c r="K15" s="23">
        <v>613.79999999999995</v>
      </c>
      <c r="L15" s="23">
        <v>630.1</v>
      </c>
      <c r="M15" s="23">
        <v>463.6</v>
      </c>
      <c r="N15" s="23">
        <v>465.1</v>
      </c>
      <c r="O15" s="23">
        <v>485.2</v>
      </c>
      <c r="P15" s="23">
        <v>575.1</v>
      </c>
      <c r="Q15" s="23">
        <v>606.20000000000005</v>
      </c>
      <c r="R15" s="23">
        <v>614.70000000000005</v>
      </c>
      <c r="S15" s="23">
        <v>672.8</v>
      </c>
      <c r="T15" s="23">
        <v>719</v>
      </c>
      <c r="U15" s="23">
        <v>775.6</v>
      </c>
      <c r="V15" s="23">
        <v>843.1</v>
      </c>
      <c r="W15" s="23">
        <v>868.2</v>
      </c>
      <c r="X15" s="23">
        <v>692.2</v>
      </c>
      <c r="Y15" s="23">
        <v>706.7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7726.1000000000013</v>
      </c>
      <c r="E16" s="30">
        <f t="shared" ref="E16:S16" si="0">SUM(E6:E15)</f>
        <v>8432.8999999999978</v>
      </c>
      <c r="F16" s="30">
        <f t="shared" si="0"/>
        <v>9168.2000000000007</v>
      </c>
      <c r="G16" s="30">
        <f t="shared" si="0"/>
        <v>9416.4000000000015</v>
      </c>
      <c r="H16" s="30">
        <f t="shared" si="0"/>
        <v>10528.499999999998</v>
      </c>
      <c r="I16" s="30">
        <f t="shared" si="0"/>
        <v>12265</v>
      </c>
      <c r="J16" s="30">
        <f t="shared" si="0"/>
        <v>15373.599999999999</v>
      </c>
      <c r="K16" s="30">
        <f t="shared" si="0"/>
        <v>20259.599999999999</v>
      </c>
      <c r="L16" s="30">
        <f t="shared" si="0"/>
        <v>22091.599999999999</v>
      </c>
      <c r="M16" s="30">
        <f t="shared" si="0"/>
        <v>17033.799999999996</v>
      </c>
      <c r="N16" s="30">
        <f t="shared" si="0"/>
        <v>15962.800000000005</v>
      </c>
      <c r="O16" s="30">
        <f t="shared" si="0"/>
        <v>17412.3</v>
      </c>
      <c r="P16" s="30">
        <f t="shared" si="0"/>
        <v>19555.799999999996</v>
      </c>
      <c r="Q16" s="30">
        <f t="shared" si="0"/>
        <v>20072.199999999997</v>
      </c>
      <c r="R16" s="30">
        <f t="shared" si="0"/>
        <v>20802.900000000005</v>
      </c>
      <c r="S16" s="30">
        <f t="shared" si="0"/>
        <v>21613.4</v>
      </c>
      <c r="T16" s="30">
        <f t="shared" ref="T16:Y16" si="1">SUM(T6:T15)</f>
        <v>22166.899999999998</v>
      </c>
      <c r="U16" s="30">
        <f t="shared" si="1"/>
        <v>23574.399999999998</v>
      </c>
      <c r="V16" s="30">
        <f t="shared" si="1"/>
        <v>25307.399999999994</v>
      </c>
      <c r="W16" s="30">
        <f t="shared" si="1"/>
        <v>26617.199999999997</v>
      </c>
      <c r="X16" s="30">
        <f t="shared" si="1"/>
        <v>26281.000000000004</v>
      </c>
      <c r="Y16" s="30">
        <f t="shared" si="1"/>
        <v>29147.100000000006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385.5</v>
      </c>
      <c r="E18" s="19">
        <v>413.7</v>
      </c>
      <c r="F18" s="19">
        <v>457.5</v>
      </c>
      <c r="G18" s="19">
        <v>413.2</v>
      </c>
      <c r="H18" s="19">
        <v>492</v>
      </c>
      <c r="I18" s="19">
        <v>513.5</v>
      </c>
      <c r="J18" s="19">
        <v>565.29999999999995</v>
      </c>
      <c r="K18" s="19">
        <v>748.5</v>
      </c>
      <c r="L18" s="19">
        <v>724.9</v>
      </c>
      <c r="M18" s="19">
        <v>607.4</v>
      </c>
      <c r="N18" s="19">
        <v>727.8</v>
      </c>
      <c r="O18" s="19">
        <v>725.3</v>
      </c>
      <c r="P18" s="19">
        <v>763.4</v>
      </c>
      <c r="Q18" s="19">
        <v>723.3</v>
      </c>
      <c r="R18" s="19">
        <v>836.5</v>
      </c>
      <c r="S18" s="19">
        <v>858.7</v>
      </c>
      <c r="T18" s="19">
        <v>827</v>
      </c>
      <c r="U18" s="19">
        <v>958.6</v>
      </c>
      <c r="V18" s="19">
        <v>1048.0999999999999</v>
      </c>
      <c r="W18" s="19">
        <v>1149.5</v>
      </c>
      <c r="X18" s="19">
        <v>1204.9000000000001</v>
      </c>
      <c r="Y18" s="19">
        <v>1379.4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9.3000000000000007</v>
      </c>
      <c r="E19" s="23">
        <v>13.7</v>
      </c>
      <c r="F19" s="23">
        <v>18.2</v>
      </c>
      <c r="G19" s="23">
        <v>23</v>
      </c>
      <c r="H19" s="23">
        <v>24.1</v>
      </c>
      <c r="I19" s="23">
        <v>34.4</v>
      </c>
      <c r="J19" s="23">
        <v>46.2</v>
      </c>
      <c r="K19" s="23">
        <v>65.900000000000006</v>
      </c>
      <c r="L19" s="23">
        <v>72</v>
      </c>
      <c r="M19" s="23">
        <v>78.5</v>
      </c>
      <c r="N19" s="23">
        <v>80</v>
      </c>
      <c r="O19" s="23">
        <v>83</v>
      </c>
      <c r="P19" s="23">
        <v>95.6</v>
      </c>
      <c r="Q19" s="23">
        <v>105.4</v>
      </c>
      <c r="R19" s="23">
        <v>91.4</v>
      </c>
      <c r="S19" s="23">
        <v>108.5</v>
      </c>
      <c r="T19" s="23">
        <v>107.8</v>
      </c>
      <c r="U19" s="23">
        <v>118.4</v>
      </c>
      <c r="V19" s="23">
        <v>131.1</v>
      </c>
      <c r="W19" s="23">
        <v>127.2</v>
      </c>
      <c r="X19" s="23">
        <v>138.30000000000001</v>
      </c>
      <c r="Y19" s="23">
        <v>137.19999999999999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1174.5000000000011</v>
      </c>
      <c r="E20" s="23">
        <v>1275.3999999999999</v>
      </c>
      <c r="F20" s="23">
        <v>1377.200000000001</v>
      </c>
      <c r="G20" s="23">
        <v>1297.5000000000016</v>
      </c>
      <c r="H20" s="23">
        <v>1436.8</v>
      </c>
      <c r="I20" s="23">
        <v>1572.6999999999994</v>
      </c>
      <c r="J20" s="23">
        <v>1833.2999999999995</v>
      </c>
      <c r="K20" s="23">
        <v>2283.7999999999997</v>
      </c>
      <c r="L20" s="23">
        <v>2355.7999999999993</v>
      </c>
      <c r="M20" s="23">
        <v>1838.8999999999985</v>
      </c>
      <c r="N20" s="23">
        <v>2130.5000000000005</v>
      </c>
      <c r="O20" s="23">
        <v>2311.099999999999</v>
      </c>
      <c r="P20" s="23">
        <v>2509.3999999999969</v>
      </c>
      <c r="Q20" s="23">
        <v>2527.599999999999</v>
      </c>
      <c r="R20" s="23">
        <v>2481.2000000000048</v>
      </c>
      <c r="S20" s="23">
        <v>2572.1000000000022</v>
      </c>
      <c r="T20" s="23">
        <v>2579.5999999999972</v>
      </c>
      <c r="U20" s="23">
        <v>2825.2999999999961</v>
      </c>
      <c r="V20" s="23">
        <v>3077.7999999999984</v>
      </c>
      <c r="W20" s="23">
        <v>3253.3999999999978</v>
      </c>
      <c r="X20" s="23">
        <v>3332.9000000000028</v>
      </c>
      <c r="Y20" s="23">
        <v>4129.1000000000022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254.5</v>
      </c>
      <c r="E21" s="23">
        <v>262.3</v>
      </c>
      <c r="F21" s="23">
        <v>262.60000000000002</v>
      </c>
      <c r="G21" s="23">
        <v>261.3</v>
      </c>
      <c r="H21" s="23">
        <v>285.7</v>
      </c>
      <c r="I21" s="23">
        <v>269.8</v>
      </c>
      <c r="J21" s="23">
        <v>314</v>
      </c>
      <c r="K21" s="23">
        <v>385</v>
      </c>
      <c r="L21" s="23">
        <v>487.4</v>
      </c>
      <c r="M21" s="23">
        <v>508.80000000000007</v>
      </c>
      <c r="N21" s="23">
        <v>523.70000000000005</v>
      </c>
      <c r="O21" s="23">
        <v>531.4</v>
      </c>
      <c r="P21" s="23">
        <v>595.9</v>
      </c>
      <c r="Q21" s="23">
        <v>526.1</v>
      </c>
      <c r="R21" s="23">
        <v>424.9</v>
      </c>
      <c r="S21" s="23">
        <v>511.2</v>
      </c>
      <c r="T21" s="23">
        <v>639.1</v>
      </c>
      <c r="U21" s="23">
        <v>626.20000000000005</v>
      </c>
      <c r="V21" s="23">
        <v>406.1</v>
      </c>
      <c r="W21" s="23">
        <v>442.7</v>
      </c>
      <c r="X21" s="23">
        <v>527.20000000000005</v>
      </c>
      <c r="Y21" s="23">
        <v>724.6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61.7</v>
      </c>
      <c r="E22" s="23">
        <v>64</v>
      </c>
      <c r="F22" s="23">
        <v>63.7</v>
      </c>
      <c r="G22" s="23">
        <v>73</v>
      </c>
      <c r="H22" s="23">
        <v>77.900000000000006</v>
      </c>
      <c r="I22" s="23">
        <v>79.400000000000006</v>
      </c>
      <c r="J22" s="23">
        <v>96.8</v>
      </c>
      <c r="K22" s="23">
        <v>135.30000000000001</v>
      </c>
      <c r="L22" s="23">
        <v>180.2</v>
      </c>
      <c r="M22" s="23">
        <v>204.3</v>
      </c>
      <c r="N22" s="23">
        <v>156.6</v>
      </c>
      <c r="O22" s="23">
        <v>164.7</v>
      </c>
      <c r="P22" s="23">
        <v>173</v>
      </c>
      <c r="Q22" s="23">
        <v>171.2</v>
      </c>
      <c r="R22" s="23">
        <v>176.6</v>
      </c>
      <c r="S22" s="23">
        <v>193.8</v>
      </c>
      <c r="T22" s="23">
        <v>188.3</v>
      </c>
      <c r="U22" s="23">
        <v>190.8</v>
      </c>
      <c r="V22" s="23">
        <v>216.4</v>
      </c>
      <c r="W22" s="23">
        <v>228.9</v>
      </c>
      <c r="X22" s="23">
        <v>237.3</v>
      </c>
      <c r="Y22" s="23">
        <v>243.6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538.9</v>
      </c>
      <c r="E23" s="23">
        <v>519.6</v>
      </c>
      <c r="F23" s="23">
        <v>577</v>
      </c>
      <c r="G23" s="23">
        <v>583.5</v>
      </c>
      <c r="H23" s="23">
        <v>688.5</v>
      </c>
      <c r="I23" s="23">
        <v>831.1</v>
      </c>
      <c r="J23" s="23">
        <v>1313.1</v>
      </c>
      <c r="K23" s="23">
        <v>2048.6999999999998</v>
      </c>
      <c r="L23" s="23">
        <v>2245.1999999999994</v>
      </c>
      <c r="M23" s="23">
        <v>1333.5</v>
      </c>
      <c r="N23" s="23">
        <v>776.6</v>
      </c>
      <c r="O23" s="23">
        <v>985.2</v>
      </c>
      <c r="P23" s="23">
        <v>1183.0000000000002</v>
      </c>
      <c r="Q23" s="23">
        <v>1250.8</v>
      </c>
      <c r="R23" s="23">
        <v>1300.3</v>
      </c>
      <c r="S23" s="23">
        <v>1308.5</v>
      </c>
      <c r="T23" s="23">
        <v>1184</v>
      </c>
      <c r="U23" s="23">
        <v>1378.9</v>
      </c>
      <c r="V23" s="23">
        <v>1608.6</v>
      </c>
      <c r="W23" s="23">
        <v>1731.8</v>
      </c>
      <c r="X23" s="23">
        <v>1679.8</v>
      </c>
      <c r="Y23" s="23">
        <v>1552.3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1120.9999999999995</v>
      </c>
      <c r="E24" s="23">
        <v>1228.0999999999999</v>
      </c>
      <c r="F24" s="23">
        <v>1361.8999999999996</v>
      </c>
      <c r="G24" s="23">
        <v>1425.4</v>
      </c>
      <c r="H24" s="23">
        <v>1618.3999999999996</v>
      </c>
      <c r="I24" s="23">
        <v>2062.2999999999997</v>
      </c>
      <c r="J24" s="23">
        <v>2620.3000000000002</v>
      </c>
      <c r="K24" s="23">
        <v>3229</v>
      </c>
      <c r="L24" s="23">
        <v>3161.4000000000005</v>
      </c>
      <c r="M24" s="23">
        <v>2633.5000000000005</v>
      </c>
      <c r="N24" s="23">
        <v>2549.0000000000005</v>
      </c>
      <c r="O24" s="23">
        <v>2576.8999999999996</v>
      </c>
      <c r="P24" s="23">
        <v>2874.0000000000005</v>
      </c>
      <c r="Q24" s="23">
        <v>2886.0999999999995</v>
      </c>
      <c r="R24" s="23">
        <v>3031.4</v>
      </c>
      <c r="S24" s="23">
        <v>3188</v>
      </c>
      <c r="T24" s="23">
        <v>3270.9</v>
      </c>
      <c r="U24" s="23">
        <v>3440.1999999999994</v>
      </c>
      <c r="V24" s="23">
        <v>3624.8</v>
      </c>
      <c r="W24" s="23">
        <v>3925.8999999999996</v>
      </c>
      <c r="X24" s="23">
        <v>3922.4999999999995</v>
      </c>
      <c r="Y24" s="23">
        <v>4120.7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918.4</v>
      </c>
      <c r="E25" s="23">
        <v>1111.4000000000001</v>
      </c>
      <c r="F25" s="23">
        <v>1209.2</v>
      </c>
      <c r="G25" s="23">
        <v>1245.8</v>
      </c>
      <c r="H25" s="23">
        <v>1379.4</v>
      </c>
      <c r="I25" s="23">
        <v>1502.1</v>
      </c>
      <c r="J25" s="23">
        <v>1505.5</v>
      </c>
      <c r="K25" s="23">
        <v>1700.1</v>
      </c>
      <c r="L25" s="23">
        <v>2041.8</v>
      </c>
      <c r="M25" s="23">
        <v>1770.5</v>
      </c>
      <c r="N25" s="23">
        <v>1655.7</v>
      </c>
      <c r="O25" s="23">
        <v>1764.6</v>
      </c>
      <c r="P25" s="23">
        <v>2010.7000000000003</v>
      </c>
      <c r="Q25" s="23">
        <v>2012.2</v>
      </c>
      <c r="R25" s="23">
        <v>2010.3</v>
      </c>
      <c r="S25" s="23">
        <v>2039.2</v>
      </c>
      <c r="T25" s="23">
        <v>2009.6</v>
      </c>
      <c r="U25" s="23">
        <v>2095.1</v>
      </c>
      <c r="V25" s="23">
        <v>2240.9</v>
      </c>
      <c r="W25" s="23">
        <v>2207.6</v>
      </c>
      <c r="X25" s="23">
        <v>1748.8</v>
      </c>
      <c r="Y25" s="23">
        <v>1869.9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84.3</v>
      </c>
      <c r="E26" s="23">
        <v>93.1</v>
      </c>
      <c r="F26" s="23">
        <v>102.1</v>
      </c>
      <c r="G26" s="23">
        <v>114.6</v>
      </c>
      <c r="H26" s="23">
        <v>145.19999999999999</v>
      </c>
      <c r="I26" s="23">
        <v>181.4</v>
      </c>
      <c r="J26" s="23">
        <v>230.5</v>
      </c>
      <c r="K26" s="23">
        <v>329.7</v>
      </c>
      <c r="L26" s="23">
        <v>358.2</v>
      </c>
      <c r="M26" s="23">
        <v>264.29999999999995</v>
      </c>
      <c r="N26" s="23">
        <v>275.39999999999998</v>
      </c>
      <c r="O26" s="23">
        <v>299.39999999999998</v>
      </c>
      <c r="P26" s="23">
        <v>311.39999999999998</v>
      </c>
      <c r="Q26" s="23">
        <v>343</v>
      </c>
      <c r="R26" s="23">
        <v>349.2</v>
      </c>
      <c r="S26" s="23">
        <v>387.8</v>
      </c>
      <c r="T26" s="23">
        <v>409.2</v>
      </c>
      <c r="U26" s="23">
        <v>458.3</v>
      </c>
      <c r="V26" s="23">
        <v>508.3</v>
      </c>
      <c r="W26" s="23">
        <v>504.4</v>
      </c>
      <c r="X26" s="23">
        <v>349.7</v>
      </c>
      <c r="Y26" s="23">
        <v>336.5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432.8</v>
      </c>
      <c r="E27" s="23">
        <v>520.4</v>
      </c>
      <c r="F27" s="23">
        <v>531.5</v>
      </c>
      <c r="G27" s="23">
        <v>508.5</v>
      </c>
      <c r="H27" s="23">
        <v>519.20000000000005</v>
      </c>
      <c r="I27" s="23">
        <v>560.1</v>
      </c>
      <c r="J27" s="23">
        <v>628</v>
      </c>
      <c r="K27" s="23">
        <v>725</v>
      </c>
      <c r="L27" s="23">
        <v>854.7</v>
      </c>
      <c r="M27" s="23">
        <v>715</v>
      </c>
      <c r="N27" s="23">
        <v>741.7</v>
      </c>
      <c r="O27" s="23">
        <v>748</v>
      </c>
      <c r="P27" s="23">
        <v>833.3</v>
      </c>
      <c r="Q27" s="23">
        <v>894.4</v>
      </c>
      <c r="R27" s="23">
        <v>925.5</v>
      </c>
      <c r="S27" s="23">
        <v>984.1</v>
      </c>
      <c r="T27" s="23">
        <v>1077.7</v>
      </c>
      <c r="U27" s="23">
        <v>1222.2</v>
      </c>
      <c r="V27" s="23">
        <v>1398.8</v>
      </c>
      <c r="W27" s="23">
        <v>1529.8</v>
      </c>
      <c r="X27" s="23">
        <v>1598</v>
      </c>
      <c r="Y27" s="23">
        <v>1815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255.1</v>
      </c>
      <c r="E28" s="23">
        <v>317.5</v>
      </c>
      <c r="F28" s="23">
        <v>333.3</v>
      </c>
      <c r="G28" s="23">
        <v>335.3</v>
      </c>
      <c r="H28" s="23">
        <v>396.9</v>
      </c>
      <c r="I28" s="23">
        <v>535.9</v>
      </c>
      <c r="J28" s="23">
        <v>789.8</v>
      </c>
      <c r="K28" s="23">
        <v>1044.8</v>
      </c>
      <c r="L28" s="23">
        <v>1224.5000000000002</v>
      </c>
      <c r="M28" s="23">
        <v>605.20000000000005</v>
      </c>
      <c r="N28" s="23">
        <v>532.20000000000005</v>
      </c>
      <c r="O28" s="23">
        <v>695.2</v>
      </c>
      <c r="P28" s="23">
        <v>814.3</v>
      </c>
      <c r="Q28" s="23">
        <v>860.9</v>
      </c>
      <c r="R28" s="23">
        <v>899.9</v>
      </c>
      <c r="S28" s="23">
        <v>1033.9000000000001</v>
      </c>
      <c r="T28" s="23">
        <v>1041.3</v>
      </c>
      <c r="U28" s="23">
        <v>901.6</v>
      </c>
      <c r="V28" s="23">
        <v>906.5</v>
      </c>
      <c r="W28" s="23">
        <v>813.8</v>
      </c>
      <c r="X28" s="23">
        <v>783.9</v>
      </c>
      <c r="Y28" s="23">
        <v>930.5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508</v>
      </c>
      <c r="E29" s="23">
        <v>560.5</v>
      </c>
      <c r="F29" s="23">
        <v>691.6</v>
      </c>
      <c r="G29" s="23">
        <v>851</v>
      </c>
      <c r="H29" s="23">
        <v>986.2</v>
      </c>
      <c r="I29" s="23">
        <v>1166.7</v>
      </c>
      <c r="J29" s="23">
        <v>1738.5</v>
      </c>
      <c r="K29" s="23">
        <v>2484.3000000000002</v>
      </c>
      <c r="L29" s="23">
        <v>2464</v>
      </c>
      <c r="M29" s="23">
        <v>1907.5</v>
      </c>
      <c r="N29" s="23">
        <v>1612.4</v>
      </c>
      <c r="O29" s="23">
        <v>2029.9</v>
      </c>
      <c r="P29" s="23">
        <v>2411.3000000000002</v>
      </c>
      <c r="Q29" s="23">
        <v>2597.5</v>
      </c>
      <c r="R29" s="23">
        <v>2888.5</v>
      </c>
      <c r="S29" s="23">
        <v>2695.5</v>
      </c>
      <c r="T29" s="23">
        <v>2839.2</v>
      </c>
      <c r="U29" s="23">
        <v>2921.3</v>
      </c>
      <c r="V29" s="23">
        <v>3147.7</v>
      </c>
      <c r="W29" s="23">
        <v>3246.3</v>
      </c>
      <c r="X29" s="23">
        <v>3262.8</v>
      </c>
      <c r="Y29" s="23">
        <v>3556.7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279.8</v>
      </c>
      <c r="E30" s="23">
        <v>279.70000000000005</v>
      </c>
      <c r="F30" s="23">
        <v>322.70000000000005</v>
      </c>
      <c r="G30" s="23">
        <v>314.09999999999997</v>
      </c>
      <c r="H30" s="23">
        <v>320.39999999999992</v>
      </c>
      <c r="I30" s="23">
        <v>453.2</v>
      </c>
      <c r="J30" s="23">
        <v>541</v>
      </c>
      <c r="K30" s="23">
        <v>811.09999999999991</v>
      </c>
      <c r="L30" s="23">
        <v>977</v>
      </c>
      <c r="M30" s="23">
        <v>763.8</v>
      </c>
      <c r="N30" s="23">
        <v>713.5</v>
      </c>
      <c r="O30" s="23">
        <v>723.6</v>
      </c>
      <c r="P30" s="23">
        <v>841.8</v>
      </c>
      <c r="Q30" s="23">
        <v>848</v>
      </c>
      <c r="R30" s="23">
        <v>898.29999999999984</v>
      </c>
      <c r="S30" s="23">
        <v>961.2</v>
      </c>
      <c r="T30" s="23">
        <v>1031.4000000000001</v>
      </c>
      <c r="U30" s="23">
        <v>1101.7</v>
      </c>
      <c r="V30" s="23">
        <v>1162.4999999999998</v>
      </c>
      <c r="W30" s="23">
        <v>1218.0999999999997</v>
      </c>
      <c r="X30" s="23">
        <v>1291.7000000000003</v>
      </c>
      <c r="Y30" s="23">
        <v>1440.2999999999997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159.49999999999997</v>
      </c>
      <c r="E31" s="23">
        <v>160.19999999999999</v>
      </c>
      <c r="F31" s="23">
        <v>192.8</v>
      </c>
      <c r="G31" s="23">
        <v>199.4</v>
      </c>
      <c r="H31" s="23">
        <v>220.9</v>
      </c>
      <c r="I31" s="23">
        <v>279.3</v>
      </c>
      <c r="J31" s="23">
        <v>337.1</v>
      </c>
      <c r="K31" s="23">
        <v>474.7</v>
      </c>
      <c r="L31" s="23">
        <v>548.5</v>
      </c>
      <c r="M31" s="23">
        <v>411.1</v>
      </c>
      <c r="N31" s="23">
        <v>455.29999999999995</v>
      </c>
      <c r="O31" s="23">
        <v>483.1</v>
      </c>
      <c r="P31" s="23">
        <v>538.1</v>
      </c>
      <c r="Q31" s="23">
        <v>592.00000000000011</v>
      </c>
      <c r="R31" s="23">
        <v>590.70000000000005</v>
      </c>
      <c r="S31" s="23">
        <v>612</v>
      </c>
      <c r="T31" s="23">
        <v>646.79999999999995</v>
      </c>
      <c r="U31" s="23">
        <v>707.3</v>
      </c>
      <c r="V31" s="23">
        <v>800.3</v>
      </c>
      <c r="W31" s="23">
        <v>820.9</v>
      </c>
      <c r="X31" s="23">
        <v>772.6</v>
      </c>
      <c r="Y31" s="23">
        <v>803.4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695.70000000000016</v>
      </c>
      <c r="E32" s="23">
        <v>678.19999999999982</v>
      </c>
      <c r="F32" s="23">
        <v>694.8</v>
      </c>
      <c r="G32" s="23">
        <v>739.09999999999991</v>
      </c>
      <c r="H32" s="23">
        <v>799.29999999999984</v>
      </c>
      <c r="I32" s="23">
        <v>920.20000000000016</v>
      </c>
      <c r="J32" s="23">
        <v>1243.9999999999998</v>
      </c>
      <c r="K32" s="23">
        <v>1727.8000000000002</v>
      </c>
      <c r="L32" s="23">
        <v>1934.3999999999996</v>
      </c>
      <c r="M32" s="23">
        <v>1357.2999999999997</v>
      </c>
      <c r="N32" s="23">
        <v>1211.4000000000003</v>
      </c>
      <c r="O32" s="23">
        <v>1385.7</v>
      </c>
      <c r="P32" s="23">
        <v>1491.0999999999997</v>
      </c>
      <c r="Q32" s="23">
        <v>1514.5</v>
      </c>
      <c r="R32" s="23">
        <v>1573.0999999999997</v>
      </c>
      <c r="S32" s="23">
        <v>1658.3</v>
      </c>
      <c r="T32" s="23">
        <v>1710.6</v>
      </c>
      <c r="U32" s="23">
        <v>1823.0999999999997</v>
      </c>
      <c r="V32" s="23">
        <v>1936.8999999999994</v>
      </c>
      <c r="W32" s="23">
        <v>2082.3000000000002</v>
      </c>
      <c r="X32" s="23">
        <v>2146.4999999999995</v>
      </c>
      <c r="Y32" s="23">
        <v>2303.3999999999996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429.6</v>
      </c>
      <c r="E33" s="23">
        <v>492.8</v>
      </c>
      <c r="F33" s="23">
        <v>500.9</v>
      </c>
      <c r="G33" s="23">
        <v>528.70000000000005</v>
      </c>
      <c r="H33" s="23">
        <v>569.70000000000005</v>
      </c>
      <c r="I33" s="23">
        <v>597.79999999999995</v>
      </c>
      <c r="J33" s="23">
        <v>694.2</v>
      </c>
      <c r="K33" s="23">
        <v>926.6</v>
      </c>
      <c r="L33" s="23">
        <v>1175.2</v>
      </c>
      <c r="M33" s="23">
        <v>1000.9</v>
      </c>
      <c r="N33" s="23">
        <v>833.4</v>
      </c>
      <c r="O33" s="23">
        <v>877.7</v>
      </c>
      <c r="P33" s="23">
        <v>927.4</v>
      </c>
      <c r="Q33" s="23">
        <v>970.9</v>
      </c>
      <c r="R33" s="23">
        <v>993.4</v>
      </c>
      <c r="S33" s="23">
        <v>1055.0999999999999</v>
      </c>
      <c r="T33" s="23">
        <v>1085.5</v>
      </c>
      <c r="U33" s="23">
        <v>1175.7</v>
      </c>
      <c r="V33" s="23">
        <v>1249.4000000000001</v>
      </c>
      <c r="W33" s="23">
        <v>1315.4</v>
      </c>
      <c r="X33" s="23">
        <v>1359</v>
      </c>
      <c r="Y33" s="23">
        <v>1457.2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211.5</v>
      </c>
      <c r="E34" s="23">
        <v>217</v>
      </c>
      <c r="F34" s="23">
        <v>222.8</v>
      </c>
      <c r="G34" s="23">
        <v>259.7</v>
      </c>
      <c r="H34" s="23">
        <v>278.89999999999998</v>
      </c>
      <c r="I34" s="23">
        <v>351.2</v>
      </c>
      <c r="J34" s="23">
        <v>423</v>
      </c>
      <c r="K34" s="23">
        <v>525.49999999999989</v>
      </c>
      <c r="L34" s="23">
        <v>656.3</v>
      </c>
      <c r="M34" s="23">
        <v>569.70000000000005</v>
      </c>
      <c r="N34" s="23">
        <v>522.5</v>
      </c>
      <c r="O34" s="23">
        <v>542.29999999999995</v>
      </c>
      <c r="P34" s="23">
        <v>607.00000000000011</v>
      </c>
      <c r="Q34" s="23">
        <v>642.09999999999991</v>
      </c>
      <c r="R34" s="23">
        <v>717</v>
      </c>
      <c r="S34" s="23">
        <v>772.7</v>
      </c>
      <c r="T34" s="23">
        <v>799.9</v>
      </c>
      <c r="U34" s="23">
        <v>854.1</v>
      </c>
      <c r="V34" s="23">
        <v>1000.1</v>
      </c>
      <c r="W34" s="23">
        <v>1151</v>
      </c>
      <c r="X34" s="23">
        <v>1232.9000000000001</v>
      </c>
      <c r="Y34" s="23">
        <v>1640.6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146.79999999999998</v>
      </c>
      <c r="E35" s="23">
        <v>153.89999999999998</v>
      </c>
      <c r="F35" s="23">
        <v>184.10000000000002</v>
      </c>
      <c r="G35" s="23">
        <v>160.00000000000003</v>
      </c>
      <c r="H35" s="23">
        <v>183.2</v>
      </c>
      <c r="I35" s="23">
        <v>244.6</v>
      </c>
      <c r="J35" s="23">
        <v>327.7</v>
      </c>
      <c r="K35" s="23">
        <v>422.99999999999994</v>
      </c>
      <c r="L35" s="23">
        <v>432.29999999999995</v>
      </c>
      <c r="M35" s="23">
        <v>286.10000000000002</v>
      </c>
      <c r="N35" s="23">
        <v>294.70000000000005</v>
      </c>
      <c r="O35" s="23">
        <v>306.50000000000006</v>
      </c>
      <c r="P35" s="23">
        <v>367.79999999999995</v>
      </c>
      <c r="Q35" s="23">
        <v>399.00000000000017</v>
      </c>
      <c r="R35" s="23">
        <v>379.8</v>
      </c>
      <c r="S35" s="23">
        <v>422.79999999999995</v>
      </c>
      <c r="T35" s="23">
        <v>451.29999999999995</v>
      </c>
      <c r="U35" s="23">
        <v>489.40000000000009</v>
      </c>
      <c r="V35" s="23">
        <v>537.30000000000007</v>
      </c>
      <c r="W35" s="23">
        <v>566.4</v>
      </c>
      <c r="X35" s="23">
        <v>404.9</v>
      </c>
      <c r="Y35" s="23">
        <v>440.1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56.7</v>
      </c>
      <c r="E36" s="23">
        <v>61.9</v>
      </c>
      <c r="F36" s="23">
        <v>54.2</v>
      </c>
      <c r="G36" s="23">
        <v>72.5</v>
      </c>
      <c r="H36" s="23">
        <v>93.6</v>
      </c>
      <c r="I36" s="23">
        <v>97.4</v>
      </c>
      <c r="J36" s="23">
        <v>111.9</v>
      </c>
      <c r="K36" s="23">
        <v>172.6</v>
      </c>
      <c r="L36" s="23">
        <v>172.8</v>
      </c>
      <c r="M36" s="23">
        <v>148.69999999999999</v>
      </c>
      <c r="N36" s="23">
        <v>140.9</v>
      </c>
      <c r="O36" s="23">
        <v>146.19999999999999</v>
      </c>
      <c r="P36" s="23">
        <v>175.4</v>
      </c>
      <c r="Q36" s="23">
        <v>177.1</v>
      </c>
      <c r="R36" s="23">
        <v>202.3</v>
      </c>
      <c r="S36" s="23">
        <v>213.3</v>
      </c>
      <c r="T36" s="23">
        <v>228.5</v>
      </c>
      <c r="U36" s="23">
        <v>244.3</v>
      </c>
      <c r="V36" s="23">
        <v>257.3</v>
      </c>
      <c r="W36" s="23">
        <v>253.3</v>
      </c>
      <c r="X36" s="23">
        <v>237.2</v>
      </c>
      <c r="Y36" s="23">
        <v>216.6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2.5</v>
      </c>
      <c r="E37" s="23">
        <v>9.5</v>
      </c>
      <c r="F37" s="23">
        <v>10.1</v>
      </c>
      <c r="G37" s="23">
        <v>10.8</v>
      </c>
      <c r="H37" s="23">
        <v>12.2</v>
      </c>
      <c r="I37" s="23">
        <v>11.9</v>
      </c>
      <c r="J37" s="23">
        <v>13.4</v>
      </c>
      <c r="K37" s="23">
        <v>18.2</v>
      </c>
      <c r="L37" s="23">
        <v>25</v>
      </c>
      <c r="M37" s="23">
        <v>28.8</v>
      </c>
      <c r="N37" s="23">
        <v>29.500000000000004</v>
      </c>
      <c r="O37" s="23">
        <v>32.5</v>
      </c>
      <c r="P37" s="23">
        <v>31.900000000000006</v>
      </c>
      <c r="Q37" s="23">
        <v>30.1</v>
      </c>
      <c r="R37" s="23">
        <v>32.6</v>
      </c>
      <c r="S37" s="23">
        <v>36.700000000000003</v>
      </c>
      <c r="T37" s="23">
        <v>39.200000000000003</v>
      </c>
      <c r="U37" s="23">
        <v>41.9</v>
      </c>
      <c r="V37" s="23">
        <v>48.5</v>
      </c>
      <c r="W37" s="23">
        <v>48.5</v>
      </c>
      <c r="X37" s="23">
        <v>50.1</v>
      </c>
      <c r="Y37" s="23">
        <v>50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7726.1000000000013</v>
      </c>
      <c r="E39" s="30">
        <f t="shared" ref="E39:S39" si="2">SUM(E18:E38)</f>
        <v>8432.8999999999978</v>
      </c>
      <c r="F39" s="30">
        <f t="shared" si="2"/>
        <v>9168.2000000000007</v>
      </c>
      <c r="G39" s="30">
        <f t="shared" si="2"/>
        <v>9416.4000000000033</v>
      </c>
      <c r="H39" s="30">
        <f t="shared" si="2"/>
        <v>10528.5</v>
      </c>
      <c r="I39" s="30">
        <f t="shared" si="2"/>
        <v>12265</v>
      </c>
      <c r="J39" s="30">
        <f t="shared" si="2"/>
        <v>15373.6</v>
      </c>
      <c r="K39" s="30">
        <f t="shared" si="2"/>
        <v>20259.599999999999</v>
      </c>
      <c r="L39" s="30">
        <f t="shared" si="2"/>
        <v>22091.599999999999</v>
      </c>
      <c r="M39" s="30">
        <f t="shared" si="2"/>
        <v>17033.799999999996</v>
      </c>
      <c r="N39" s="30">
        <f t="shared" si="2"/>
        <v>15962.800000000001</v>
      </c>
      <c r="O39" s="30">
        <f t="shared" si="2"/>
        <v>17412.3</v>
      </c>
      <c r="P39" s="30">
        <f t="shared" si="2"/>
        <v>19555.8</v>
      </c>
      <c r="Q39" s="30">
        <f t="shared" si="2"/>
        <v>20072.199999999997</v>
      </c>
      <c r="R39" s="30">
        <f t="shared" si="2"/>
        <v>20802.900000000001</v>
      </c>
      <c r="S39" s="30">
        <f t="shared" si="2"/>
        <v>21613.4</v>
      </c>
      <c r="T39" s="30">
        <f t="shared" ref="T39:Y39" si="3">SUM(T18:T38)</f>
        <v>22166.899999999998</v>
      </c>
      <c r="U39" s="30">
        <f t="shared" si="3"/>
        <v>23574.399999999998</v>
      </c>
      <c r="V39" s="30">
        <f t="shared" si="3"/>
        <v>25307.399999999991</v>
      </c>
      <c r="W39" s="30">
        <f t="shared" si="3"/>
        <v>26617.199999999997</v>
      </c>
      <c r="X39" s="30">
        <f t="shared" si="3"/>
        <v>26281.000000000004</v>
      </c>
      <c r="Y39" s="30">
        <f t="shared" si="3"/>
        <v>29147.100000000002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380.4</v>
      </c>
      <c r="E41" s="19">
        <v>392.4</v>
      </c>
      <c r="F41" s="19">
        <v>426.4</v>
      </c>
      <c r="G41" s="19">
        <v>333.2</v>
      </c>
      <c r="H41" s="19">
        <v>373.9</v>
      </c>
      <c r="I41" s="19">
        <v>399.9</v>
      </c>
      <c r="J41" s="19">
        <v>448.2</v>
      </c>
      <c r="K41" s="19">
        <v>528.4</v>
      </c>
      <c r="L41" s="19">
        <v>558.20000000000005</v>
      </c>
      <c r="M41" s="19">
        <v>505.7</v>
      </c>
      <c r="N41" s="19">
        <v>502.3</v>
      </c>
      <c r="O41" s="19">
        <v>470.8</v>
      </c>
      <c r="P41" s="19">
        <v>533.1</v>
      </c>
      <c r="Q41" s="19">
        <v>557.79999999999995</v>
      </c>
      <c r="R41" s="19">
        <v>539.9</v>
      </c>
      <c r="S41" s="19">
        <v>534.9</v>
      </c>
      <c r="T41" s="19">
        <v>523.40000000000009</v>
      </c>
      <c r="U41" s="19">
        <v>544.29999999999995</v>
      </c>
      <c r="V41" s="19">
        <v>598.99999999999989</v>
      </c>
      <c r="W41" s="19">
        <v>611.70000000000005</v>
      </c>
      <c r="X41" s="19">
        <v>630.70000000000005</v>
      </c>
      <c r="Y41" s="19">
        <v>614.70000000000005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144.1</v>
      </c>
      <c r="E42" s="23">
        <v>158.5</v>
      </c>
      <c r="F42" s="23">
        <v>152.6</v>
      </c>
      <c r="G42" s="23">
        <v>139.1</v>
      </c>
      <c r="H42" s="23">
        <v>144.30000000000001</v>
      </c>
      <c r="I42" s="23">
        <v>162.6</v>
      </c>
      <c r="J42" s="23">
        <v>178.7</v>
      </c>
      <c r="K42" s="23">
        <v>154.10000000000002</v>
      </c>
      <c r="L42" s="23">
        <v>152.6</v>
      </c>
      <c r="M42" s="23">
        <v>107.7</v>
      </c>
      <c r="N42" s="23">
        <v>126.4</v>
      </c>
      <c r="O42" s="23">
        <v>141.49999999999997</v>
      </c>
      <c r="P42" s="23">
        <v>130.69999999999999</v>
      </c>
      <c r="Q42" s="23">
        <v>134.6</v>
      </c>
      <c r="R42" s="23">
        <v>128</v>
      </c>
      <c r="S42" s="23">
        <v>115.2</v>
      </c>
      <c r="T42" s="23">
        <v>121.5</v>
      </c>
      <c r="U42" s="23">
        <v>136.4</v>
      </c>
      <c r="V42" s="23">
        <v>148.1</v>
      </c>
      <c r="W42" s="23">
        <v>138.80000000000001</v>
      </c>
      <c r="X42" s="23">
        <v>139.1</v>
      </c>
      <c r="Y42" s="23">
        <v>139.30000000000001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294.10000000000002</v>
      </c>
      <c r="E43" s="23">
        <v>302.3</v>
      </c>
      <c r="F43" s="23">
        <v>366.7</v>
      </c>
      <c r="G43" s="23">
        <v>340.8</v>
      </c>
      <c r="H43" s="23">
        <v>365.4</v>
      </c>
      <c r="I43" s="23">
        <v>404.2</v>
      </c>
      <c r="J43" s="23">
        <v>425.1</v>
      </c>
      <c r="K43" s="23">
        <v>582.5</v>
      </c>
      <c r="L43" s="23">
        <v>498.4</v>
      </c>
      <c r="M43" s="23">
        <v>381.9</v>
      </c>
      <c r="N43" s="23">
        <v>545.90000000000009</v>
      </c>
      <c r="O43" s="23">
        <v>589.79999999999995</v>
      </c>
      <c r="P43" s="23">
        <v>630.79999999999995</v>
      </c>
      <c r="Q43" s="23">
        <v>631.6</v>
      </c>
      <c r="R43" s="23">
        <v>674.9</v>
      </c>
      <c r="S43" s="23">
        <v>678.7</v>
      </c>
      <c r="T43" s="23">
        <v>679</v>
      </c>
      <c r="U43" s="23">
        <v>756.5</v>
      </c>
      <c r="V43" s="23">
        <v>877.6</v>
      </c>
      <c r="W43" s="23">
        <v>914.5</v>
      </c>
      <c r="X43" s="23">
        <v>930.5</v>
      </c>
      <c r="Y43" s="23">
        <v>1421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0.1</v>
      </c>
      <c r="E44" s="23">
        <v>0.1</v>
      </c>
      <c r="F44" s="23">
        <v>0.4</v>
      </c>
      <c r="G44" s="23">
        <v>0.7</v>
      </c>
      <c r="H44" s="23">
        <v>0.6</v>
      </c>
      <c r="I44" s="23">
        <v>1.2</v>
      </c>
      <c r="J44" s="23">
        <v>0</v>
      </c>
      <c r="K44" s="23">
        <v>0.4</v>
      </c>
      <c r="L44" s="23">
        <v>0.1</v>
      </c>
      <c r="M44" s="23">
        <v>0.2</v>
      </c>
      <c r="N44" s="23">
        <v>0.2</v>
      </c>
      <c r="O44" s="23">
        <v>0.4</v>
      </c>
      <c r="P44" s="23">
        <v>0</v>
      </c>
      <c r="Q44" s="23">
        <v>1.5</v>
      </c>
      <c r="R44" s="23">
        <v>1.5</v>
      </c>
      <c r="S44" s="23">
        <v>1.5</v>
      </c>
      <c r="T44" s="23">
        <v>0.2</v>
      </c>
      <c r="U44" s="23">
        <v>1</v>
      </c>
      <c r="V44" s="23">
        <v>0.9</v>
      </c>
      <c r="W44" s="23">
        <v>1</v>
      </c>
      <c r="X44" s="23">
        <v>-0.1</v>
      </c>
      <c r="Y44" s="23">
        <v>0.3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20.3</v>
      </c>
      <c r="E45" s="23">
        <v>27.2</v>
      </c>
      <c r="F45" s="23">
        <v>26.6</v>
      </c>
      <c r="G45" s="23">
        <v>25.3</v>
      </c>
      <c r="H45" s="23">
        <v>27.6</v>
      </c>
      <c r="I45" s="23">
        <v>34.4</v>
      </c>
      <c r="J45" s="23">
        <v>48.6</v>
      </c>
      <c r="K45" s="23">
        <v>47.6</v>
      </c>
      <c r="L45" s="23">
        <v>73.8</v>
      </c>
      <c r="M45" s="23">
        <v>58.2</v>
      </c>
      <c r="N45" s="23">
        <v>94.4</v>
      </c>
      <c r="O45" s="23">
        <v>75.3</v>
      </c>
      <c r="P45" s="23">
        <v>78.900000000000006</v>
      </c>
      <c r="Q45" s="23">
        <v>70.2</v>
      </c>
      <c r="R45" s="23">
        <v>61.3</v>
      </c>
      <c r="S45" s="23">
        <v>62.7</v>
      </c>
      <c r="T45" s="23">
        <v>60.7</v>
      </c>
      <c r="U45" s="23">
        <v>66.500000000000014</v>
      </c>
      <c r="V45" s="23">
        <v>96.8</v>
      </c>
      <c r="W45" s="23">
        <v>86.8</v>
      </c>
      <c r="X45" s="23">
        <v>97.4</v>
      </c>
      <c r="Y45" s="23">
        <v>133.1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19.2</v>
      </c>
      <c r="E46" s="23">
        <v>25.9</v>
      </c>
      <c r="F46" s="23">
        <v>26.4</v>
      </c>
      <c r="G46" s="23">
        <v>25.2</v>
      </c>
      <c r="H46" s="23">
        <v>28</v>
      </c>
      <c r="I46" s="23">
        <v>35.799999999999997</v>
      </c>
      <c r="J46" s="23">
        <v>49.2</v>
      </c>
      <c r="K46" s="23">
        <v>48.1</v>
      </c>
      <c r="L46" s="23">
        <v>64.2</v>
      </c>
      <c r="M46" s="23">
        <v>53.6</v>
      </c>
      <c r="N46" s="23">
        <v>67.8</v>
      </c>
      <c r="O46" s="23">
        <v>79.599999999999994</v>
      </c>
      <c r="P46" s="23">
        <v>86.3</v>
      </c>
      <c r="Q46" s="23">
        <v>105.8</v>
      </c>
      <c r="R46" s="23">
        <v>72.2</v>
      </c>
      <c r="S46" s="23">
        <v>78.900000000000006</v>
      </c>
      <c r="T46" s="23">
        <v>83.4</v>
      </c>
      <c r="U46" s="23">
        <v>93.3</v>
      </c>
      <c r="V46" s="23">
        <v>87.2</v>
      </c>
      <c r="W46" s="23">
        <v>143.6</v>
      </c>
      <c r="X46" s="23">
        <v>133.4</v>
      </c>
      <c r="Y46" s="23">
        <v>160.80000000000004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41.8</v>
      </c>
      <c r="E47" s="23">
        <v>56.4</v>
      </c>
      <c r="F47" s="23">
        <v>54.1</v>
      </c>
      <c r="G47" s="23">
        <v>74.5</v>
      </c>
      <c r="H47" s="23">
        <v>81.5</v>
      </c>
      <c r="I47" s="23">
        <v>101.2</v>
      </c>
      <c r="J47" s="23">
        <v>130</v>
      </c>
      <c r="K47" s="23">
        <v>203.7</v>
      </c>
      <c r="L47" s="23">
        <v>214.4</v>
      </c>
      <c r="M47" s="23">
        <v>152.30000000000001</v>
      </c>
      <c r="N47" s="23">
        <v>176.9</v>
      </c>
      <c r="O47" s="23">
        <v>217.6</v>
      </c>
      <c r="P47" s="23">
        <v>237.6</v>
      </c>
      <c r="Q47" s="23">
        <v>265.10000000000002</v>
      </c>
      <c r="R47" s="23">
        <v>256</v>
      </c>
      <c r="S47" s="23">
        <v>239.6</v>
      </c>
      <c r="T47" s="23">
        <v>254.5</v>
      </c>
      <c r="U47" s="23">
        <v>279.60000000000008</v>
      </c>
      <c r="V47" s="23">
        <v>298.89999999999992</v>
      </c>
      <c r="W47" s="23">
        <v>324.60000000000002</v>
      </c>
      <c r="X47" s="23">
        <v>312.10000000000002</v>
      </c>
      <c r="Y47" s="23">
        <v>351.1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100.6</v>
      </c>
      <c r="E48" s="23">
        <v>100.6</v>
      </c>
      <c r="F48" s="23">
        <v>99.9</v>
      </c>
      <c r="G48" s="23">
        <v>123.8</v>
      </c>
      <c r="H48" s="23">
        <v>155.6</v>
      </c>
      <c r="I48" s="23">
        <v>141.89999999999998</v>
      </c>
      <c r="J48" s="23">
        <v>212.6</v>
      </c>
      <c r="K48" s="23">
        <v>239.7</v>
      </c>
      <c r="L48" s="23">
        <v>269.3</v>
      </c>
      <c r="M48" s="23">
        <v>180.6</v>
      </c>
      <c r="N48" s="23">
        <v>219</v>
      </c>
      <c r="O48" s="23">
        <v>268.2</v>
      </c>
      <c r="P48" s="23">
        <v>261.60000000000002</v>
      </c>
      <c r="Q48" s="23">
        <v>180.2</v>
      </c>
      <c r="R48" s="23">
        <v>214</v>
      </c>
      <c r="S48" s="23">
        <v>233.9</v>
      </c>
      <c r="T48" s="23">
        <v>230.4</v>
      </c>
      <c r="U48" s="23">
        <v>257.60000000000002</v>
      </c>
      <c r="V48" s="23">
        <v>280.3</v>
      </c>
      <c r="W48" s="23">
        <v>343.3</v>
      </c>
      <c r="X48" s="23">
        <v>333.9</v>
      </c>
      <c r="Y48" s="23">
        <v>365.1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15.5</v>
      </c>
      <c r="E49" s="23">
        <v>16.7</v>
      </c>
      <c r="F49" s="23">
        <v>18.8</v>
      </c>
      <c r="G49" s="23">
        <v>23.3</v>
      </c>
      <c r="H49" s="23">
        <v>29.5</v>
      </c>
      <c r="I49" s="23">
        <v>33.5</v>
      </c>
      <c r="J49" s="23">
        <v>26.3</v>
      </c>
      <c r="K49" s="23">
        <v>42.7</v>
      </c>
      <c r="L49" s="23">
        <v>59.7</v>
      </c>
      <c r="M49" s="23">
        <v>39.4</v>
      </c>
      <c r="N49" s="23">
        <v>40.9</v>
      </c>
      <c r="O49" s="23">
        <v>65.3</v>
      </c>
      <c r="P49" s="23">
        <v>59.9</v>
      </c>
      <c r="Q49" s="23">
        <v>93.5</v>
      </c>
      <c r="R49" s="23">
        <v>57.3</v>
      </c>
      <c r="S49" s="23">
        <v>145.1</v>
      </c>
      <c r="T49" s="23">
        <v>133.69999999999999</v>
      </c>
      <c r="U49" s="23">
        <v>148.80000000000001</v>
      </c>
      <c r="V49" s="23">
        <v>112.1</v>
      </c>
      <c r="W49" s="23">
        <v>105</v>
      </c>
      <c r="X49" s="23">
        <v>152.5</v>
      </c>
      <c r="Y49" s="23">
        <v>217.6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17.399999999999999</v>
      </c>
      <c r="E50" s="23">
        <v>22.5</v>
      </c>
      <c r="F50" s="23">
        <v>23.9</v>
      </c>
      <c r="G50" s="23">
        <v>21.6</v>
      </c>
      <c r="H50" s="23">
        <v>16.8</v>
      </c>
      <c r="I50" s="23">
        <v>19.8</v>
      </c>
      <c r="J50" s="23">
        <v>27.7</v>
      </c>
      <c r="K50" s="23">
        <v>57.2</v>
      </c>
      <c r="L50" s="23">
        <v>56.5</v>
      </c>
      <c r="M50" s="23">
        <v>30.9</v>
      </c>
      <c r="N50" s="23">
        <v>36.799999999999997</v>
      </c>
      <c r="O50" s="23">
        <v>53.1</v>
      </c>
      <c r="P50" s="23">
        <v>64.2</v>
      </c>
      <c r="Q50" s="23">
        <v>76.2</v>
      </c>
      <c r="R50" s="23">
        <v>72.099999999999994</v>
      </c>
      <c r="S50" s="23">
        <v>71.900000000000006</v>
      </c>
      <c r="T50" s="23">
        <v>73.400000000000006</v>
      </c>
      <c r="U50" s="23">
        <v>88.6</v>
      </c>
      <c r="V50" s="23">
        <v>101.5</v>
      </c>
      <c r="W50" s="23">
        <v>118.2</v>
      </c>
      <c r="X50" s="23">
        <v>132.6</v>
      </c>
      <c r="Y50" s="23">
        <v>153.1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30.2</v>
      </c>
      <c r="E51" s="23">
        <v>31.4</v>
      </c>
      <c r="F51" s="23">
        <v>29.7</v>
      </c>
      <c r="G51" s="23">
        <v>38</v>
      </c>
      <c r="H51" s="23">
        <v>39.6</v>
      </c>
      <c r="I51" s="23">
        <v>46.7</v>
      </c>
      <c r="J51" s="23">
        <v>47.3</v>
      </c>
      <c r="K51" s="23">
        <v>80.999999999999986</v>
      </c>
      <c r="L51" s="23">
        <v>71.900000000000006</v>
      </c>
      <c r="M51" s="23">
        <v>47.9</v>
      </c>
      <c r="N51" s="23">
        <v>42.8</v>
      </c>
      <c r="O51" s="23">
        <v>58.8</v>
      </c>
      <c r="P51" s="23">
        <v>65.599999999999994</v>
      </c>
      <c r="Q51" s="23">
        <v>74.2</v>
      </c>
      <c r="R51" s="23">
        <v>70.2</v>
      </c>
      <c r="S51" s="23">
        <v>70.900000000000006</v>
      </c>
      <c r="T51" s="23">
        <v>72.90000000000002</v>
      </c>
      <c r="U51" s="23">
        <v>83.4</v>
      </c>
      <c r="V51" s="23">
        <v>104.7</v>
      </c>
      <c r="W51" s="23">
        <v>97.1</v>
      </c>
      <c r="X51" s="23">
        <v>90.2</v>
      </c>
      <c r="Y51" s="23">
        <v>106.7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23.8</v>
      </c>
      <c r="E52" s="23">
        <v>30.4</v>
      </c>
      <c r="F52" s="23">
        <v>30.1</v>
      </c>
      <c r="G52" s="23">
        <v>26.1</v>
      </c>
      <c r="H52" s="23">
        <v>28.2</v>
      </c>
      <c r="I52" s="23">
        <v>31.5</v>
      </c>
      <c r="J52" s="23">
        <v>51</v>
      </c>
      <c r="K52" s="23">
        <v>55.2</v>
      </c>
      <c r="L52" s="23">
        <v>72.2</v>
      </c>
      <c r="M52" s="23">
        <v>38.70000000000001</v>
      </c>
      <c r="N52" s="23">
        <v>48.9</v>
      </c>
      <c r="O52" s="23">
        <v>65.400000000000006</v>
      </c>
      <c r="P52" s="23">
        <v>73.900000000000006</v>
      </c>
      <c r="Q52" s="23">
        <v>76</v>
      </c>
      <c r="R52" s="23">
        <v>88.3</v>
      </c>
      <c r="S52" s="23">
        <v>81.400000000000006</v>
      </c>
      <c r="T52" s="23">
        <v>90.9</v>
      </c>
      <c r="U52" s="23">
        <v>97.3</v>
      </c>
      <c r="V52" s="23">
        <v>104.6</v>
      </c>
      <c r="W52" s="23">
        <v>94.2</v>
      </c>
      <c r="X52" s="23">
        <v>96.5</v>
      </c>
      <c r="Y52" s="23">
        <v>112.6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87.000000000000981</v>
      </c>
      <c r="E53" s="23">
        <v>110.99999999999982</v>
      </c>
      <c r="F53" s="23">
        <v>121.600000000001</v>
      </c>
      <c r="G53" s="23">
        <v>125.9000000000019</v>
      </c>
      <c r="H53" s="23">
        <v>145.79999999999987</v>
      </c>
      <c r="I53" s="23">
        <v>159.99999999999912</v>
      </c>
      <c r="J53" s="23">
        <v>188.5999999999996</v>
      </c>
      <c r="K53" s="23">
        <v>243.19999999999939</v>
      </c>
      <c r="L53" s="23">
        <v>264.49999999999943</v>
      </c>
      <c r="M53" s="23">
        <v>241.79999999999848</v>
      </c>
      <c r="N53" s="23">
        <v>228.19999999999993</v>
      </c>
      <c r="O53" s="23">
        <v>225.29999999999905</v>
      </c>
      <c r="P53" s="23">
        <v>286.79999999999694</v>
      </c>
      <c r="Q53" s="23">
        <v>260.8999999999989</v>
      </c>
      <c r="R53" s="23">
        <v>245.50000000000466</v>
      </c>
      <c r="S53" s="23">
        <v>257.40000000000146</v>
      </c>
      <c r="T53" s="23">
        <v>255.59999999999715</v>
      </c>
      <c r="U53" s="23">
        <v>271.999999999995</v>
      </c>
      <c r="V53" s="23">
        <v>266.09999999999786</v>
      </c>
      <c r="W53" s="23">
        <v>274.59999999999724</v>
      </c>
      <c r="X53" s="23">
        <v>284.10000000000218</v>
      </c>
      <c r="Y53" s="23">
        <v>353.70000000000186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1174.5000000000009</v>
      </c>
      <c r="E54" s="30">
        <f t="shared" ref="E54:S54" si="4">SUM(E41:E53)</f>
        <v>1275.4000000000001</v>
      </c>
      <c r="F54" s="30">
        <f t="shared" si="4"/>
        <v>1377.2000000000012</v>
      </c>
      <c r="G54" s="30">
        <f t="shared" si="4"/>
        <v>1297.5000000000016</v>
      </c>
      <c r="H54" s="30">
        <f t="shared" si="4"/>
        <v>1436.8</v>
      </c>
      <c r="I54" s="30">
        <f t="shared" si="4"/>
        <v>1572.6999999999994</v>
      </c>
      <c r="J54" s="30">
        <f t="shared" si="4"/>
        <v>1833.2999999999995</v>
      </c>
      <c r="K54" s="30">
        <f t="shared" si="4"/>
        <v>2283.7999999999997</v>
      </c>
      <c r="L54" s="30">
        <f t="shared" si="4"/>
        <v>2355.7999999999997</v>
      </c>
      <c r="M54" s="30">
        <f t="shared" si="4"/>
        <v>1838.8999999999987</v>
      </c>
      <c r="N54" s="30">
        <f t="shared" si="4"/>
        <v>2130.5000000000005</v>
      </c>
      <c r="O54" s="30">
        <f t="shared" si="4"/>
        <v>2311.0999999999985</v>
      </c>
      <c r="P54" s="30">
        <f t="shared" si="4"/>
        <v>2509.3999999999969</v>
      </c>
      <c r="Q54" s="30">
        <f t="shared" si="4"/>
        <v>2527.5999999999985</v>
      </c>
      <c r="R54" s="30">
        <f t="shared" si="4"/>
        <v>2481.2000000000044</v>
      </c>
      <c r="S54" s="30">
        <f t="shared" si="4"/>
        <v>2572.1000000000022</v>
      </c>
      <c r="T54" s="30">
        <f t="shared" ref="T54:Y54" si="5">SUM(T41:T53)</f>
        <v>2579.5999999999976</v>
      </c>
      <c r="U54" s="30">
        <f t="shared" si="5"/>
        <v>2825.2999999999952</v>
      </c>
      <c r="V54" s="30">
        <f t="shared" si="5"/>
        <v>3077.7999999999975</v>
      </c>
      <c r="W54" s="30">
        <f t="shared" si="5"/>
        <v>3253.3999999999969</v>
      </c>
      <c r="X54" s="30">
        <f t="shared" si="5"/>
        <v>3332.9000000000024</v>
      </c>
      <c r="Y54" s="30">
        <f t="shared" si="5"/>
        <v>4129.1000000000013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380.4</v>
      </c>
      <c r="E56" s="19">
        <v>392.4</v>
      </c>
      <c r="F56" s="19">
        <v>426.4</v>
      </c>
      <c r="G56" s="19">
        <v>333.2</v>
      </c>
      <c r="H56" s="19">
        <v>373.9</v>
      </c>
      <c r="I56" s="19">
        <v>399.9</v>
      </c>
      <c r="J56" s="19">
        <v>448.2</v>
      </c>
      <c r="K56" s="19">
        <v>528.4</v>
      </c>
      <c r="L56" s="19">
        <v>558.20000000000005</v>
      </c>
      <c r="M56" s="19">
        <v>505.7</v>
      </c>
      <c r="N56" s="19">
        <v>502.3</v>
      </c>
      <c r="O56" s="19">
        <v>470.8</v>
      </c>
      <c r="P56" s="19">
        <v>533.1</v>
      </c>
      <c r="Q56" s="19">
        <v>557.79999999999995</v>
      </c>
      <c r="R56" s="19">
        <v>539.9</v>
      </c>
      <c r="S56" s="19">
        <v>534.9</v>
      </c>
      <c r="T56" s="19">
        <v>523.40000000000009</v>
      </c>
      <c r="U56" s="19">
        <v>544.29999999999995</v>
      </c>
      <c r="V56" s="19">
        <v>598.99999999999989</v>
      </c>
      <c r="W56" s="19">
        <v>611.70000000000005</v>
      </c>
      <c r="X56" s="19">
        <v>630.70000000000005</v>
      </c>
      <c r="Y56" s="19">
        <v>614.70000000000005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144.1</v>
      </c>
      <c r="E57" s="23">
        <v>158.5</v>
      </c>
      <c r="F57" s="23">
        <v>152.6</v>
      </c>
      <c r="G57" s="23">
        <v>139.1</v>
      </c>
      <c r="H57" s="23">
        <v>144.30000000000001</v>
      </c>
      <c r="I57" s="23">
        <v>162.6</v>
      </c>
      <c r="J57" s="23">
        <v>178.7</v>
      </c>
      <c r="K57" s="23">
        <v>154.10000000000002</v>
      </c>
      <c r="L57" s="23">
        <v>152.6</v>
      </c>
      <c r="M57" s="23">
        <v>107.7</v>
      </c>
      <c r="N57" s="23">
        <v>126.4</v>
      </c>
      <c r="O57" s="23">
        <v>141.49999999999997</v>
      </c>
      <c r="P57" s="23">
        <v>130.69999999999999</v>
      </c>
      <c r="Q57" s="23">
        <v>134.6</v>
      </c>
      <c r="R57" s="23">
        <v>128</v>
      </c>
      <c r="S57" s="23">
        <v>115.2</v>
      </c>
      <c r="T57" s="23">
        <v>121.5</v>
      </c>
      <c r="U57" s="23">
        <v>136.4</v>
      </c>
      <c r="V57" s="23">
        <v>148.1</v>
      </c>
      <c r="W57" s="23">
        <v>138.80000000000001</v>
      </c>
      <c r="X57" s="23">
        <v>139.1</v>
      </c>
      <c r="Y57" s="23">
        <v>139.30000000000001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232</v>
      </c>
      <c r="E58" s="23">
        <v>244.2</v>
      </c>
      <c r="F58" s="23">
        <v>299</v>
      </c>
      <c r="G58" s="23">
        <v>269.39999999999998</v>
      </c>
      <c r="H58" s="23">
        <v>294.39999999999998</v>
      </c>
      <c r="I58" s="23">
        <v>323.60000000000002</v>
      </c>
      <c r="J58" s="23">
        <v>318.2</v>
      </c>
      <c r="K58" s="23">
        <v>478</v>
      </c>
      <c r="L58" s="23">
        <v>382.2</v>
      </c>
      <c r="M58" s="23">
        <v>301.89999999999998</v>
      </c>
      <c r="N58" s="23">
        <v>462</v>
      </c>
      <c r="O58" s="23">
        <v>503.70000000000005</v>
      </c>
      <c r="P58" s="23">
        <v>533.4</v>
      </c>
      <c r="Q58" s="23">
        <v>521.00000000000011</v>
      </c>
      <c r="R58" s="23">
        <v>565.4</v>
      </c>
      <c r="S58" s="23">
        <v>569.79999999999995</v>
      </c>
      <c r="T58" s="23">
        <v>573.29999999999995</v>
      </c>
      <c r="U58" s="23">
        <v>639.4</v>
      </c>
      <c r="V58" s="23">
        <v>754.5</v>
      </c>
      <c r="W58" s="23">
        <v>773.5</v>
      </c>
      <c r="X58" s="23">
        <v>777.1</v>
      </c>
      <c r="Y58" s="23">
        <v>1256.7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27.1</v>
      </c>
      <c r="E59" s="23">
        <v>24</v>
      </c>
      <c r="F59" s="23">
        <v>29.2</v>
      </c>
      <c r="G59" s="23">
        <v>29.5</v>
      </c>
      <c r="H59" s="23">
        <v>27.7</v>
      </c>
      <c r="I59" s="23">
        <v>31.3</v>
      </c>
      <c r="J59" s="23">
        <v>33.500000000000007</v>
      </c>
      <c r="K59" s="23">
        <v>28.9</v>
      </c>
      <c r="L59" s="23">
        <v>36.5</v>
      </c>
      <c r="M59" s="23">
        <v>29.1</v>
      </c>
      <c r="N59" s="23">
        <v>35</v>
      </c>
      <c r="O59" s="23">
        <v>36.499999999999993</v>
      </c>
      <c r="P59" s="23">
        <v>41.6</v>
      </c>
      <c r="Q59" s="23">
        <v>41.3</v>
      </c>
      <c r="R59" s="23">
        <v>40.5</v>
      </c>
      <c r="S59" s="23">
        <v>36.299999999999997</v>
      </c>
      <c r="T59" s="23">
        <v>36.299999999999997</v>
      </c>
      <c r="U59" s="23">
        <v>36.299999999999997</v>
      </c>
      <c r="V59" s="23">
        <v>38.299999999999997</v>
      </c>
      <c r="W59" s="23">
        <v>39.29999999999999</v>
      </c>
      <c r="X59" s="23">
        <v>41.7</v>
      </c>
      <c r="Y59" s="23">
        <v>45.1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35.000000000000057</v>
      </c>
      <c r="E60" s="23">
        <v>34.100000000000023</v>
      </c>
      <c r="F60" s="23">
        <v>38.499999999999979</v>
      </c>
      <c r="G60" s="23">
        <v>41.900000000000055</v>
      </c>
      <c r="H60" s="23">
        <v>43.300000000000047</v>
      </c>
      <c r="I60" s="23">
        <v>49.299999999999976</v>
      </c>
      <c r="J60" s="23">
        <v>73.400000000000006</v>
      </c>
      <c r="K60" s="23">
        <v>75.600000000000023</v>
      </c>
      <c r="L60" s="23">
        <v>79.699999999999989</v>
      </c>
      <c r="M60" s="23">
        <v>50.900000000000006</v>
      </c>
      <c r="N60" s="23">
        <v>48.900000000000063</v>
      </c>
      <c r="O60" s="23">
        <v>49.599999999999902</v>
      </c>
      <c r="P60" s="23">
        <v>55.799999999999976</v>
      </c>
      <c r="Q60" s="23">
        <v>69.299999999999912</v>
      </c>
      <c r="R60" s="23">
        <v>68.999999999999986</v>
      </c>
      <c r="S60" s="23">
        <v>72.600000000000094</v>
      </c>
      <c r="T60" s="23">
        <v>69.400000000000048</v>
      </c>
      <c r="U60" s="23">
        <v>80.800000000000054</v>
      </c>
      <c r="V60" s="23">
        <v>84.800000000000097</v>
      </c>
      <c r="W60" s="23">
        <v>101.6999999999999</v>
      </c>
      <c r="X60" s="23">
        <v>111.69999999999999</v>
      </c>
      <c r="Y60" s="23">
        <v>119.19999999999983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0.1</v>
      </c>
      <c r="E61" s="23">
        <v>0.1</v>
      </c>
      <c r="F61" s="23">
        <v>0.4</v>
      </c>
      <c r="G61" s="23">
        <v>0.7</v>
      </c>
      <c r="H61" s="23">
        <v>0.6</v>
      </c>
      <c r="I61" s="23">
        <v>1.2</v>
      </c>
      <c r="J61" s="23">
        <v>0</v>
      </c>
      <c r="K61" s="23">
        <v>0.4</v>
      </c>
      <c r="L61" s="23">
        <v>0.1</v>
      </c>
      <c r="M61" s="23">
        <v>0.2</v>
      </c>
      <c r="N61" s="23">
        <v>0.2</v>
      </c>
      <c r="O61" s="23">
        <v>0.4</v>
      </c>
      <c r="P61" s="23">
        <v>0</v>
      </c>
      <c r="Q61" s="23">
        <v>1.5</v>
      </c>
      <c r="R61" s="23">
        <v>1.5</v>
      </c>
      <c r="S61" s="23">
        <v>1.5</v>
      </c>
      <c r="T61" s="23">
        <v>0.2</v>
      </c>
      <c r="U61" s="23">
        <v>1</v>
      </c>
      <c r="V61" s="23">
        <v>0.9</v>
      </c>
      <c r="W61" s="23">
        <v>1</v>
      </c>
      <c r="X61" s="23">
        <v>-0.1</v>
      </c>
      <c r="Y61" s="23">
        <v>0.3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20.3</v>
      </c>
      <c r="E62" s="23">
        <v>27.2</v>
      </c>
      <c r="F62" s="23">
        <v>26.6</v>
      </c>
      <c r="G62" s="23">
        <v>25.3</v>
      </c>
      <c r="H62" s="23">
        <v>27.6</v>
      </c>
      <c r="I62" s="23">
        <v>34.4</v>
      </c>
      <c r="J62" s="23">
        <v>48.6</v>
      </c>
      <c r="K62" s="23">
        <v>47.6</v>
      </c>
      <c r="L62" s="23">
        <v>73.8</v>
      </c>
      <c r="M62" s="23">
        <v>58.2</v>
      </c>
      <c r="N62" s="23">
        <v>94.4</v>
      </c>
      <c r="O62" s="23">
        <v>75.3</v>
      </c>
      <c r="P62" s="23">
        <v>78.900000000000006</v>
      </c>
      <c r="Q62" s="23">
        <v>70.2</v>
      </c>
      <c r="R62" s="23">
        <v>61.3</v>
      </c>
      <c r="S62" s="23">
        <v>62.7</v>
      </c>
      <c r="T62" s="23">
        <v>60.7</v>
      </c>
      <c r="U62" s="23">
        <v>66.500000000000014</v>
      </c>
      <c r="V62" s="23">
        <v>96.8</v>
      </c>
      <c r="W62" s="23">
        <v>86.8</v>
      </c>
      <c r="X62" s="23">
        <v>97.4</v>
      </c>
      <c r="Y62" s="23">
        <v>133.1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19.2</v>
      </c>
      <c r="E63" s="23">
        <v>25.9</v>
      </c>
      <c r="F63" s="23">
        <v>26.4</v>
      </c>
      <c r="G63" s="23">
        <v>25.2</v>
      </c>
      <c r="H63" s="23">
        <v>28</v>
      </c>
      <c r="I63" s="23">
        <v>35.799999999999997</v>
      </c>
      <c r="J63" s="23">
        <v>49.2</v>
      </c>
      <c r="K63" s="23">
        <v>48.1</v>
      </c>
      <c r="L63" s="23">
        <v>64.2</v>
      </c>
      <c r="M63" s="23">
        <v>53.6</v>
      </c>
      <c r="N63" s="23">
        <v>67.8</v>
      </c>
      <c r="O63" s="23">
        <v>79.599999999999994</v>
      </c>
      <c r="P63" s="23">
        <v>86.3</v>
      </c>
      <c r="Q63" s="23">
        <v>105.8</v>
      </c>
      <c r="R63" s="23">
        <v>72.2</v>
      </c>
      <c r="S63" s="23">
        <v>78.900000000000006</v>
      </c>
      <c r="T63" s="23">
        <v>83.4</v>
      </c>
      <c r="U63" s="23">
        <v>93.3</v>
      </c>
      <c r="V63" s="23">
        <v>87.2</v>
      </c>
      <c r="W63" s="23">
        <v>143.6</v>
      </c>
      <c r="X63" s="23">
        <v>133.4</v>
      </c>
      <c r="Y63" s="23">
        <v>160.80000000000004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17.100000000000001</v>
      </c>
      <c r="E64" s="23">
        <v>20.6</v>
      </c>
      <c r="F64" s="23">
        <v>23.4</v>
      </c>
      <c r="G64" s="23">
        <v>32.9</v>
      </c>
      <c r="H64" s="23">
        <v>36.299999999999997</v>
      </c>
      <c r="I64" s="23">
        <v>46.6</v>
      </c>
      <c r="J64" s="23">
        <v>50.4</v>
      </c>
      <c r="K64" s="23">
        <v>71</v>
      </c>
      <c r="L64" s="23">
        <v>68.2</v>
      </c>
      <c r="M64" s="23">
        <v>44</v>
      </c>
      <c r="N64" s="23">
        <v>50.8</v>
      </c>
      <c r="O64" s="23">
        <v>53.9</v>
      </c>
      <c r="P64" s="23">
        <v>63.400000000000006</v>
      </c>
      <c r="Q64" s="23">
        <v>66.3</v>
      </c>
      <c r="R64" s="23">
        <v>61.8</v>
      </c>
      <c r="S64" s="23">
        <v>66.2</v>
      </c>
      <c r="T64" s="23">
        <v>68.8</v>
      </c>
      <c r="U64" s="23">
        <v>75.8</v>
      </c>
      <c r="V64" s="23">
        <v>78.2</v>
      </c>
      <c r="W64" s="23">
        <v>82.3</v>
      </c>
      <c r="X64" s="23">
        <v>90</v>
      </c>
      <c r="Y64" s="23">
        <v>105.2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24.7</v>
      </c>
      <c r="E65" s="23">
        <v>35.799999999999997</v>
      </c>
      <c r="F65" s="23">
        <v>30.699999999999996</v>
      </c>
      <c r="G65" s="23">
        <v>41.6</v>
      </c>
      <c r="H65" s="23">
        <v>45.20000000000001</v>
      </c>
      <c r="I65" s="23">
        <v>54.6</v>
      </c>
      <c r="J65" s="23">
        <v>79.599999999999994</v>
      </c>
      <c r="K65" s="23">
        <v>132.69999999999999</v>
      </c>
      <c r="L65" s="23">
        <v>146.19999999999999</v>
      </c>
      <c r="M65" s="23">
        <v>108.30000000000001</v>
      </c>
      <c r="N65" s="23">
        <v>126.09999999999998</v>
      </c>
      <c r="O65" s="23">
        <v>163.69999999999999</v>
      </c>
      <c r="P65" s="23">
        <v>174.2</v>
      </c>
      <c r="Q65" s="23">
        <v>198.80000000000004</v>
      </c>
      <c r="R65" s="23">
        <v>194.2</v>
      </c>
      <c r="S65" s="23">
        <v>173.39999999999998</v>
      </c>
      <c r="T65" s="23">
        <v>185.69999999999996</v>
      </c>
      <c r="U65" s="23">
        <v>203.80000000000007</v>
      </c>
      <c r="V65" s="23">
        <v>220.69999999999993</v>
      </c>
      <c r="W65" s="23">
        <v>242.30000000000004</v>
      </c>
      <c r="X65" s="23">
        <v>222.10000000000002</v>
      </c>
      <c r="Y65" s="23">
        <v>245.9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55.8</v>
      </c>
      <c r="E66" s="23">
        <v>51.7</v>
      </c>
      <c r="F66" s="23">
        <v>52</v>
      </c>
      <c r="G66" s="23">
        <v>71.900000000000006</v>
      </c>
      <c r="H66" s="23">
        <v>95.9</v>
      </c>
      <c r="I66" s="23">
        <v>66.5</v>
      </c>
      <c r="J66" s="23">
        <v>89.2</v>
      </c>
      <c r="K66" s="23">
        <v>74.3</v>
      </c>
      <c r="L66" s="23">
        <v>83.1</v>
      </c>
      <c r="M66" s="23">
        <v>46.9</v>
      </c>
      <c r="N66" s="23">
        <v>86.5</v>
      </c>
      <c r="O66" s="23">
        <v>96.6</v>
      </c>
      <c r="P66" s="23">
        <v>57.1</v>
      </c>
      <c r="Q66" s="23">
        <v>20.199199999999998</v>
      </c>
      <c r="R66" s="23">
        <v>1.89316</v>
      </c>
      <c r="S66" s="23">
        <v>22.4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44.79999999999999</v>
      </c>
      <c r="E67" s="23">
        <v>48.899999999999991</v>
      </c>
      <c r="F67" s="23">
        <v>47.9</v>
      </c>
      <c r="G67" s="23">
        <v>51.9</v>
      </c>
      <c r="H67" s="23">
        <v>59.7</v>
      </c>
      <c r="I67" s="23">
        <v>75.399999999999991</v>
      </c>
      <c r="J67" s="23">
        <v>123.40000000000002</v>
      </c>
      <c r="K67" s="23">
        <v>165.4</v>
      </c>
      <c r="L67" s="23">
        <v>186.20000000000005</v>
      </c>
      <c r="M67" s="23">
        <v>133.69999999999999</v>
      </c>
      <c r="N67" s="23">
        <v>132.5</v>
      </c>
      <c r="O67" s="23">
        <v>171.6</v>
      </c>
      <c r="P67" s="23">
        <v>204.50000000000003</v>
      </c>
      <c r="Q67" s="23">
        <v>160.00080000000003</v>
      </c>
      <c r="R67" s="23">
        <v>212.10684000000001</v>
      </c>
      <c r="S67" s="23">
        <v>211.5</v>
      </c>
      <c r="T67" s="23">
        <v>230.4</v>
      </c>
      <c r="U67" s="23">
        <v>257.60000000000002</v>
      </c>
      <c r="V67" s="23">
        <v>280.3</v>
      </c>
      <c r="W67" s="23">
        <v>343.3</v>
      </c>
      <c r="X67" s="23">
        <v>333.9</v>
      </c>
      <c r="Y67" s="23">
        <v>365.1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15.5</v>
      </c>
      <c r="E68" s="23">
        <v>16.7</v>
      </c>
      <c r="F68" s="23">
        <v>18.8</v>
      </c>
      <c r="G68" s="23">
        <v>23.3</v>
      </c>
      <c r="H68" s="23">
        <v>29.5</v>
      </c>
      <c r="I68" s="23">
        <v>33.5</v>
      </c>
      <c r="J68" s="23">
        <v>26.3</v>
      </c>
      <c r="K68" s="23">
        <v>42.7</v>
      </c>
      <c r="L68" s="23">
        <v>59.7</v>
      </c>
      <c r="M68" s="23">
        <v>39.4</v>
      </c>
      <c r="N68" s="23">
        <v>40.9</v>
      </c>
      <c r="O68" s="23">
        <v>65.3</v>
      </c>
      <c r="P68" s="23">
        <v>59.9</v>
      </c>
      <c r="Q68" s="23">
        <v>93.5</v>
      </c>
      <c r="R68" s="23">
        <v>57.3</v>
      </c>
      <c r="S68" s="23">
        <v>145.1</v>
      </c>
      <c r="T68" s="23">
        <v>133.69999999999999</v>
      </c>
      <c r="U68" s="23">
        <v>148.80000000000001</v>
      </c>
      <c r="V68" s="23">
        <v>112.1</v>
      </c>
      <c r="W68" s="23">
        <v>105</v>
      </c>
      <c r="X68" s="23">
        <v>152.5</v>
      </c>
      <c r="Y68" s="23">
        <v>217.6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17.399999999999999</v>
      </c>
      <c r="E69" s="23">
        <v>22.5</v>
      </c>
      <c r="F69" s="23">
        <v>23.9</v>
      </c>
      <c r="G69" s="23">
        <v>21.6</v>
      </c>
      <c r="H69" s="23">
        <v>16.8</v>
      </c>
      <c r="I69" s="23">
        <v>19.8</v>
      </c>
      <c r="J69" s="23">
        <v>27.7</v>
      </c>
      <c r="K69" s="23">
        <v>57.2</v>
      </c>
      <c r="L69" s="23">
        <v>56.5</v>
      </c>
      <c r="M69" s="23">
        <v>30.9</v>
      </c>
      <c r="N69" s="23">
        <v>36.799999999999997</v>
      </c>
      <c r="O69" s="23">
        <v>53.1</v>
      </c>
      <c r="P69" s="23">
        <v>64.2</v>
      </c>
      <c r="Q69" s="23">
        <v>76.2</v>
      </c>
      <c r="R69" s="23">
        <v>72.099999999999994</v>
      </c>
      <c r="S69" s="23">
        <v>71.900000000000006</v>
      </c>
      <c r="T69" s="23">
        <v>73.400000000000006</v>
      </c>
      <c r="U69" s="23">
        <v>88.6</v>
      </c>
      <c r="V69" s="23">
        <v>101.5</v>
      </c>
      <c r="W69" s="23">
        <v>118.2</v>
      </c>
      <c r="X69" s="23">
        <v>132.6</v>
      </c>
      <c r="Y69" s="23">
        <v>153.1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30.2</v>
      </c>
      <c r="E70" s="23">
        <v>31.4</v>
      </c>
      <c r="F70" s="23">
        <v>29.7</v>
      </c>
      <c r="G70" s="23">
        <v>38</v>
      </c>
      <c r="H70" s="23">
        <v>39.6</v>
      </c>
      <c r="I70" s="23">
        <v>46.7</v>
      </c>
      <c r="J70" s="23">
        <v>47.3</v>
      </c>
      <c r="K70" s="23">
        <v>80.999999999999986</v>
      </c>
      <c r="L70" s="23">
        <v>71.900000000000006</v>
      </c>
      <c r="M70" s="23">
        <v>47.9</v>
      </c>
      <c r="N70" s="23">
        <v>42.8</v>
      </c>
      <c r="O70" s="23">
        <v>58.8</v>
      </c>
      <c r="P70" s="23">
        <v>65.599999999999994</v>
      </c>
      <c r="Q70" s="23">
        <v>74.2</v>
      </c>
      <c r="R70" s="23">
        <v>70.2</v>
      </c>
      <c r="S70" s="23">
        <v>70.900000000000006</v>
      </c>
      <c r="T70" s="23">
        <v>72.90000000000002</v>
      </c>
      <c r="U70" s="23">
        <v>83.4</v>
      </c>
      <c r="V70" s="23">
        <v>104.7</v>
      </c>
      <c r="W70" s="23">
        <v>97.1</v>
      </c>
      <c r="X70" s="23">
        <v>90.2</v>
      </c>
      <c r="Y70" s="23">
        <v>106.7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4.9000000000000004</v>
      </c>
      <c r="E71" s="23">
        <v>4.2</v>
      </c>
      <c r="F71" s="23">
        <v>5.8</v>
      </c>
      <c r="G71" s="23">
        <v>5.0999999999999988</v>
      </c>
      <c r="H71" s="23">
        <v>6.2</v>
      </c>
      <c r="I71" s="23">
        <v>10.6</v>
      </c>
      <c r="J71" s="23">
        <v>18.399999999999999</v>
      </c>
      <c r="K71" s="23">
        <v>24.7</v>
      </c>
      <c r="L71" s="23">
        <v>28</v>
      </c>
      <c r="M71" s="23">
        <v>14.799999999999997</v>
      </c>
      <c r="N71" s="23">
        <v>25.8</v>
      </c>
      <c r="O71" s="23">
        <v>34.200000000000003</v>
      </c>
      <c r="P71" s="23">
        <v>41.9</v>
      </c>
      <c r="Q71" s="23">
        <v>48.6</v>
      </c>
      <c r="R71" s="23">
        <v>48.7</v>
      </c>
      <c r="S71" s="23">
        <v>49.3</v>
      </c>
      <c r="T71" s="23">
        <v>58.8</v>
      </c>
      <c r="U71" s="23">
        <v>66.2</v>
      </c>
      <c r="V71" s="23">
        <v>81.2</v>
      </c>
      <c r="W71" s="23">
        <v>59.2</v>
      </c>
      <c r="X71" s="23">
        <v>60.6</v>
      </c>
      <c r="Y71" s="23">
        <v>73.400000000000006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18.899999999999999</v>
      </c>
      <c r="E72" s="23">
        <v>26.2</v>
      </c>
      <c r="F72" s="23">
        <v>24.299999999999997</v>
      </c>
      <c r="G72" s="23">
        <v>21</v>
      </c>
      <c r="H72" s="23">
        <v>22</v>
      </c>
      <c r="I72" s="23">
        <v>20.9</v>
      </c>
      <c r="J72" s="23">
        <v>32.600000000000009</v>
      </c>
      <c r="K72" s="23">
        <v>30.5</v>
      </c>
      <c r="L72" s="23">
        <v>44.199999999999989</v>
      </c>
      <c r="M72" s="23">
        <v>23.900000000000009</v>
      </c>
      <c r="N72" s="23">
        <v>23.100000000000005</v>
      </c>
      <c r="O72" s="23">
        <v>31.2</v>
      </c>
      <c r="P72" s="23">
        <v>32</v>
      </c>
      <c r="Q72" s="23">
        <v>27.399999999999995</v>
      </c>
      <c r="R72" s="23">
        <v>39.6</v>
      </c>
      <c r="S72" s="23">
        <v>32.100000000000009</v>
      </c>
      <c r="T72" s="23">
        <v>32.099999999999994</v>
      </c>
      <c r="U72" s="23">
        <v>31.1</v>
      </c>
      <c r="V72" s="23">
        <v>23.399999999999995</v>
      </c>
      <c r="W72" s="23">
        <v>34.999999999999993</v>
      </c>
      <c r="X72" s="23">
        <v>35.899999999999991</v>
      </c>
      <c r="Y72" s="23">
        <v>39.199999999999989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54.8</v>
      </c>
      <c r="E73" s="23">
        <v>56.4</v>
      </c>
      <c r="F73" s="23">
        <v>67</v>
      </c>
      <c r="G73" s="23">
        <v>73.400000000000006</v>
      </c>
      <c r="H73" s="23">
        <v>93.4</v>
      </c>
      <c r="I73" s="23">
        <v>102</v>
      </c>
      <c r="J73" s="23">
        <v>111.3</v>
      </c>
      <c r="K73" s="23">
        <v>129.69999999999999</v>
      </c>
      <c r="L73" s="23">
        <v>122</v>
      </c>
      <c r="M73" s="23">
        <v>114.4</v>
      </c>
      <c r="N73" s="23">
        <v>99.6</v>
      </c>
      <c r="O73" s="23">
        <v>97.2</v>
      </c>
      <c r="P73" s="23">
        <v>110.8</v>
      </c>
      <c r="Q73" s="23">
        <v>119.5</v>
      </c>
      <c r="R73" s="23">
        <v>121.1</v>
      </c>
      <c r="S73" s="23">
        <v>128.9</v>
      </c>
      <c r="T73" s="23">
        <v>133.69999999999999</v>
      </c>
      <c r="U73" s="23">
        <v>140.19999999999999</v>
      </c>
      <c r="V73" s="23">
        <v>152.30000000000001</v>
      </c>
      <c r="W73" s="23">
        <v>160.60000000000002</v>
      </c>
      <c r="X73" s="23">
        <v>174</v>
      </c>
      <c r="Y73" s="23">
        <v>238.7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32.20000000000099</v>
      </c>
      <c r="E74" s="23">
        <v>54.599999999999817</v>
      </c>
      <c r="F74" s="23">
        <v>54.600000000001003</v>
      </c>
      <c r="G74" s="23">
        <v>52.500000000001876</v>
      </c>
      <c r="H74" s="23">
        <v>52.399999999999864</v>
      </c>
      <c r="I74" s="23">
        <v>57.999999999999112</v>
      </c>
      <c r="J74" s="23">
        <v>77.299999999999571</v>
      </c>
      <c r="K74" s="23">
        <v>113.4999999999994</v>
      </c>
      <c r="L74" s="23">
        <v>142.49999999999946</v>
      </c>
      <c r="M74" s="23">
        <v>127.39999999999846</v>
      </c>
      <c r="N74" s="23">
        <v>128.59999999999994</v>
      </c>
      <c r="O74" s="23">
        <v>128.09999999999906</v>
      </c>
      <c r="P74" s="23">
        <v>175.9999999999969</v>
      </c>
      <c r="Q74" s="23">
        <v>141.3999999999989</v>
      </c>
      <c r="R74" s="23">
        <v>124.40000000000464</v>
      </c>
      <c r="S74" s="23">
        <v>128.50000000000145</v>
      </c>
      <c r="T74" s="23">
        <v>121.89999999999719</v>
      </c>
      <c r="U74" s="23">
        <v>131.79999999999507</v>
      </c>
      <c r="V74" s="23">
        <v>113.79999999999787</v>
      </c>
      <c r="W74" s="23">
        <v>113.99999999999721</v>
      </c>
      <c r="X74" s="23">
        <v>110.1000000000022</v>
      </c>
      <c r="Y74" s="23">
        <v>115.00000000000193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1174.5000000000014</v>
      </c>
      <c r="E75" s="30">
        <f t="shared" ref="E75:S75" si="6">SUM(E56:E74)</f>
        <v>1275.4000000000003</v>
      </c>
      <c r="F75" s="30">
        <f t="shared" si="6"/>
        <v>1377.2000000000012</v>
      </c>
      <c r="G75" s="30">
        <f t="shared" si="6"/>
        <v>1297.5000000000018</v>
      </c>
      <c r="H75" s="30">
        <f t="shared" si="6"/>
        <v>1436.8000000000002</v>
      </c>
      <c r="I75" s="30">
        <f t="shared" si="6"/>
        <v>1572.6999999999989</v>
      </c>
      <c r="J75" s="30">
        <f t="shared" si="6"/>
        <v>1833.2999999999995</v>
      </c>
      <c r="K75" s="30">
        <f t="shared" si="6"/>
        <v>2283.7999999999997</v>
      </c>
      <c r="L75" s="30">
        <f t="shared" si="6"/>
        <v>2355.7999999999997</v>
      </c>
      <c r="M75" s="30">
        <f t="shared" si="6"/>
        <v>1838.899999999999</v>
      </c>
      <c r="N75" s="30">
        <f t="shared" si="6"/>
        <v>2130.5</v>
      </c>
      <c r="O75" s="30">
        <f t="shared" si="6"/>
        <v>2311.0999999999981</v>
      </c>
      <c r="P75" s="30">
        <f t="shared" si="6"/>
        <v>2509.3999999999969</v>
      </c>
      <c r="Q75" s="30">
        <f t="shared" si="6"/>
        <v>2527.5999999999985</v>
      </c>
      <c r="R75" s="30">
        <f t="shared" si="6"/>
        <v>2481.2000000000039</v>
      </c>
      <c r="S75" s="30">
        <f t="shared" si="6"/>
        <v>2572.1000000000022</v>
      </c>
      <c r="T75" s="30">
        <f t="shared" ref="T75:Y75" si="7">SUM(T56:T74)</f>
        <v>2579.5999999999976</v>
      </c>
      <c r="U75" s="30">
        <f t="shared" si="7"/>
        <v>2825.2999999999947</v>
      </c>
      <c r="V75" s="30">
        <f t="shared" si="7"/>
        <v>3077.7999999999979</v>
      </c>
      <c r="W75" s="30">
        <f t="shared" si="7"/>
        <v>3253.3999999999965</v>
      </c>
      <c r="X75" s="30">
        <f t="shared" si="7"/>
        <v>3332.9000000000024</v>
      </c>
      <c r="Y75" s="30">
        <f t="shared" si="7"/>
        <v>4129.1000000000013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14350.811278095489</v>
      </c>
      <c r="E2" s="19">
        <v>15258.30918975227</v>
      </c>
      <c r="F2" s="19">
        <v>16339.985859364959</v>
      </c>
      <c r="G2" s="19">
        <v>17716.358727748247</v>
      </c>
      <c r="H2" s="19">
        <v>19183.820401217399</v>
      </c>
      <c r="I2" s="19">
        <v>21240.528552947697</v>
      </c>
      <c r="J2" s="19">
        <v>23783.439490445857</v>
      </c>
      <c r="K2" s="19">
        <v>26147.83626267725</v>
      </c>
      <c r="L2" s="19">
        <v>25298.291206468049</v>
      </c>
      <c r="M2" s="19">
        <v>21690.586455133202</v>
      </c>
      <c r="N2" s="19">
        <v>20724.296096033646</v>
      </c>
      <c r="O2" s="19">
        <v>21257.782774126601</v>
      </c>
      <c r="P2" s="19">
        <v>22754.654419639181</v>
      </c>
      <c r="Q2" s="19">
        <v>23211.663220931063</v>
      </c>
      <c r="R2" s="19">
        <v>23653.237755796723</v>
      </c>
      <c r="S2" s="19">
        <v>24572.1</v>
      </c>
      <c r="T2" s="19">
        <v>25154.219089259688</v>
      </c>
      <c r="U2" s="19">
        <v>25987.26850737213</v>
      </c>
      <c r="V2" s="19">
        <v>27024.3513566125</v>
      </c>
      <c r="W2" s="19">
        <v>27183.159953765447</v>
      </c>
      <c r="X2" s="19">
        <v>26228.015923483654</v>
      </c>
      <c r="Y2" s="19">
        <v>27993.469374050415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8319.7831978319773</v>
      </c>
      <c r="E3" s="23">
        <v>8746.0107183717719</v>
      </c>
      <c r="F3" s="23">
        <v>9284.1487975358359</v>
      </c>
      <c r="G3" s="23">
        <v>10033.643932464071</v>
      </c>
      <c r="H3" s="23">
        <v>11060.006045949214</v>
      </c>
      <c r="I3" s="23">
        <v>12206.775212356326</v>
      </c>
      <c r="J3" s="23">
        <v>14456.881766885303</v>
      </c>
      <c r="K3" s="23">
        <v>16088.596998030915</v>
      </c>
      <c r="L3" s="23">
        <v>14759.317013131955</v>
      </c>
      <c r="M3" s="23">
        <v>12441.942600058683</v>
      </c>
      <c r="N3" s="23">
        <v>12704.358911278599</v>
      </c>
      <c r="O3" s="23">
        <v>12695.612038309435</v>
      </c>
      <c r="P3" s="23">
        <v>13410.903254927531</v>
      </c>
      <c r="Q3" s="23">
        <v>14282.78626759502</v>
      </c>
      <c r="R3" s="23">
        <v>14387.044196424134</v>
      </c>
      <c r="S3" s="23">
        <v>14709.9</v>
      </c>
      <c r="T3" s="23">
        <v>15223.735985604966</v>
      </c>
      <c r="U3" s="23">
        <v>15669.280032164499</v>
      </c>
      <c r="V3" s="23">
        <v>16144.18315106804</v>
      </c>
      <c r="W3" s="23">
        <v>16147.674429063565</v>
      </c>
      <c r="X3" s="23">
        <v>15450.119245826399</v>
      </c>
      <c r="Y3" s="23">
        <v>16575.59404647924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12548.481403280819</v>
      </c>
      <c r="E4" s="27">
        <v>13354.183822132134</v>
      </c>
      <c r="F4" s="27">
        <v>14322.40326183744</v>
      </c>
      <c r="G4" s="27">
        <v>15519.150899861559</v>
      </c>
      <c r="H4" s="27">
        <v>16800.172334008839</v>
      </c>
      <c r="I4" s="27">
        <v>18629.342163221289</v>
      </c>
      <c r="J4" s="27">
        <v>20754.100573742828</v>
      </c>
      <c r="K4" s="27">
        <v>22626.817664008577</v>
      </c>
      <c r="L4" s="27">
        <v>22240.836009624581</v>
      </c>
      <c r="M4" s="27">
        <v>19600.257749752604</v>
      </c>
      <c r="N4" s="27">
        <v>18590.79474517842</v>
      </c>
      <c r="O4" s="27">
        <v>18985.432976426717</v>
      </c>
      <c r="P4" s="27">
        <v>20242.632521452895</v>
      </c>
      <c r="Q4" s="27">
        <v>20517.008749693352</v>
      </c>
      <c r="R4" s="27">
        <v>20850.439000922102</v>
      </c>
      <c r="S4" s="27">
        <v>21613.4</v>
      </c>
      <c r="T4" s="27">
        <v>22001.667477245883</v>
      </c>
      <c r="U4" s="27">
        <v>22729.762042500675</v>
      </c>
      <c r="V4" s="27">
        <v>23491.288487065005</v>
      </c>
      <c r="W4" s="27">
        <v>23615.231741074596</v>
      </c>
      <c r="X4" s="27">
        <v>22786.862503684948</v>
      </c>
      <c r="Y4" s="27">
        <v>24383.329011101163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626.11661523469218</v>
      </c>
      <c r="E6" s="19">
        <v>655.12763666307717</v>
      </c>
      <c r="F6" s="19">
        <v>714.69857685157695</v>
      </c>
      <c r="G6" s="19">
        <v>680.99413277078247</v>
      </c>
      <c r="H6" s="19">
        <v>785.07715138266133</v>
      </c>
      <c r="I6" s="19">
        <v>779.95655938150276</v>
      </c>
      <c r="J6" s="19">
        <v>763.14546068174138</v>
      </c>
      <c r="K6" s="19">
        <v>835.95791730885219</v>
      </c>
      <c r="L6" s="19">
        <v>729.79693745029147</v>
      </c>
      <c r="M6" s="19">
        <v>698.91607023680751</v>
      </c>
      <c r="N6" s="19">
        <v>847.61949128854928</v>
      </c>
      <c r="O6" s="19">
        <v>790.82800880999628</v>
      </c>
      <c r="P6" s="19">
        <v>790.21188940759987</v>
      </c>
      <c r="Q6" s="19">
        <v>739.32864502412303</v>
      </c>
      <c r="R6" s="19">
        <v>838.41157839874916</v>
      </c>
      <c r="S6" s="19">
        <v>858.7</v>
      </c>
      <c r="T6" s="19">
        <v>820.83552520570515</v>
      </c>
      <c r="U6" s="19">
        <v>924.25469551467472</v>
      </c>
      <c r="V6" s="19">
        <v>972.8861701831413</v>
      </c>
      <c r="W6" s="19">
        <v>1019.8559159628078</v>
      </c>
      <c r="X6" s="19">
        <v>1044.7049439020584</v>
      </c>
      <c r="Y6" s="19">
        <v>1153.952332750529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2436.2514211466641</v>
      </c>
      <c r="E7" s="23">
        <v>2558.1174383986818</v>
      </c>
      <c r="F7" s="23">
        <v>2689.6099229843949</v>
      </c>
      <c r="G7" s="23">
        <v>2727.2727272727298</v>
      </c>
      <c r="H7" s="23">
        <v>2911.3277697107023</v>
      </c>
      <c r="I7" s="23">
        <v>2971.4294393729961</v>
      </c>
      <c r="J7" s="23">
        <v>3091.8663516706038</v>
      </c>
      <c r="K7" s="23">
        <v>3205.342982867609</v>
      </c>
      <c r="L7" s="23">
        <v>3116.31044307302</v>
      </c>
      <c r="M7" s="23">
        <v>3026.8335903159714</v>
      </c>
      <c r="N7" s="23">
        <v>3366.7194633373711</v>
      </c>
      <c r="O7" s="23">
        <v>3369.3874435745893</v>
      </c>
      <c r="P7" s="23">
        <v>3492.3970312710226</v>
      </c>
      <c r="Q7" s="23">
        <v>3404.1009076784685</v>
      </c>
      <c r="R7" s="23">
        <v>3181.353485947966</v>
      </c>
      <c r="S7" s="23">
        <v>3385.6000000000022</v>
      </c>
      <c r="T7" s="23">
        <v>3488.6006094232289</v>
      </c>
      <c r="U7" s="23">
        <v>3625.9593505341472</v>
      </c>
      <c r="V7" s="23">
        <v>3556.4507894663548</v>
      </c>
      <c r="W7" s="23">
        <v>3595.180637376674</v>
      </c>
      <c r="X7" s="23">
        <v>3672.551025716617</v>
      </c>
      <c r="Y7" s="23">
        <v>4378.9788935643373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875.26392723729089</v>
      </c>
      <c r="E8" s="23">
        <v>822.82890986254506</v>
      </c>
      <c r="F8" s="23">
        <v>901.37940730789046</v>
      </c>
      <c r="G8" s="23">
        <v>961.66523831498444</v>
      </c>
      <c r="H8" s="23">
        <v>1098.6293063556145</v>
      </c>
      <c r="I8" s="23">
        <v>1262.3600710846483</v>
      </c>
      <c r="J8" s="23">
        <v>1772.6628417144784</v>
      </c>
      <c r="K8" s="23">
        <v>2288.07880452992</v>
      </c>
      <c r="L8" s="23">
        <v>2260.3670629926805</v>
      </c>
      <c r="M8" s="23">
        <v>1534.4164959841667</v>
      </c>
      <c r="N8" s="23">
        <v>904.45355445821292</v>
      </c>
      <c r="O8" s="23">
        <v>1074.2089539219749</v>
      </c>
      <c r="P8" s="23">
        <v>1224.5489457285705</v>
      </c>
      <c r="Q8" s="23">
        <v>1278.518276228637</v>
      </c>
      <c r="R8" s="23">
        <v>1303.2714589263519</v>
      </c>
      <c r="S8" s="23">
        <v>1308.5</v>
      </c>
      <c r="T8" s="23">
        <v>1175.1744399559309</v>
      </c>
      <c r="U8" s="23">
        <v>1329.4959311967295</v>
      </c>
      <c r="V8" s="23">
        <v>1493.1635276754139</v>
      </c>
      <c r="W8" s="23">
        <v>1536.4823621264816</v>
      </c>
      <c r="X8" s="23">
        <v>1456.4655695631816</v>
      </c>
      <c r="Y8" s="23">
        <v>1298.5937408501134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3449.2447620594439</v>
      </c>
      <c r="E9" s="23">
        <v>3852.2201811617151</v>
      </c>
      <c r="F9" s="23">
        <v>4176.026744567509</v>
      </c>
      <c r="G9" s="23">
        <v>4591.2716724899465</v>
      </c>
      <c r="H9" s="23">
        <v>5015.2387943002122</v>
      </c>
      <c r="I9" s="23">
        <v>5689.5059009371626</v>
      </c>
      <c r="J9" s="23">
        <v>5880.9314883563957</v>
      </c>
      <c r="K9" s="23">
        <v>5873.2605150885656</v>
      </c>
      <c r="L9" s="23">
        <v>5598.9690825438702</v>
      </c>
      <c r="M9" s="23">
        <v>5371.6659379099256</v>
      </c>
      <c r="N9" s="23">
        <v>5217.6698034100446</v>
      </c>
      <c r="O9" s="23">
        <v>5060.1871033866146</v>
      </c>
      <c r="P9" s="23">
        <v>5378.5957539308756</v>
      </c>
      <c r="Q9" s="23">
        <v>5357.4495052743478</v>
      </c>
      <c r="R9" s="23">
        <v>5403.2193400954175</v>
      </c>
      <c r="S9" s="23">
        <v>5615</v>
      </c>
      <c r="T9" s="23">
        <v>5647.2888606564693</v>
      </c>
      <c r="U9" s="23">
        <v>5778.8576497358172</v>
      </c>
      <c r="V9" s="23">
        <v>5916.5885399745666</v>
      </c>
      <c r="W9" s="23">
        <v>5889.2575768329898</v>
      </c>
      <c r="X9" s="23">
        <v>5220.49005497078</v>
      </c>
      <c r="Y9" s="23">
        <v>5293.0055129374168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702.93974338151702</v>
      </c>
      <c r="E10" s="23">
        <v>824.09577500475075</v>
      </c>
      <c r="F10" s="23">
        <v>830.3000952931435</v>
      </c>
      <c r="G10" s="23">
        <v>838.0578812050893</v>
      </c>
      <c r="H10" s="23">
        <v>828.47979064609308</v>
      </c>
      <c r="I10" s="23">
        <v>850.73742728253103</v>
      </c>
      <c r="J10" s="23">
        <v>847.78940263246704</v>
      </c>
      <c r="K10" s="23">
        <v>809.71207755366436</v>
      </c>
      <c r="L10" s="23">
        <v>860.47377905747567</v>
      </c>
      <c r="M10" s="23">
        <v>822.72800497088804</v>
      </c>
      <c r="N10" s="23">
        <v>863.80788223236743</v>
      </c>
      <c r="O10" s="23">
        <v>815.57886473166582</v>
      </c>
      <c r="P10" s="23">
        <v>862.56689473847655</v>
      </c>
      <c r="Q10" s="23">
        <v>914.22029601766303</v>
      </c>
      <c r="R10" s="23">
        <v>927.61496211361896</v>
      </c>
      <c r="S10" s="23">
        <v>984.1</v>
      </c>
      <c r="T10" s="23">
        <v>1069.6668023146171</v>
      </c>
      <c r="U10" s="23">
        <v>1178.4102742103437</v>
      </c>
      <c r="V10" s="23">
        <v>1298.4192108121154</v>
      </c>
      <c r="W10" s="23">
        <v>1357.264532614096</v>
      </c>
      <c r="X10" s="23">
        <v>1385.5411240397455</v>
      </c>
      <c r="Y10" s="23">
        <v>1518.3583325664856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414.3251583563424</v>
      </c>
      <c r="E11" s="23">
        <v>502.78710331285231</v>
      </c>
      <c r="F11" s="23">
        <v>520.67548779154231</v>
      </c>
      <c r="G11" s="23">
        <v>552.60729118597135</v>
      </c>
      <c r="H11" s="23">
        <v>633.32748248735425</v>
      </c>
      <c r="I11" s="23">
        <v>813.97998086182542</v>
      </c>
      <c r="J11" s="23">
        <v>1066.2166722915963</v>
      </c>
      <c r="K11" s="23">
        <v>1166.8788670731981</v>
      </c>
      <c r="L11" s="23">
        <v>1232.771899445278</v>
      </c>
      <c r="M11" s="23">
        <v>696.3845994522818</v>
      </c>
      <c r="N11" s="23">
        <v>619.8173856330942</v>
      </c>
      <c r="O11" s="23">
        <v>758.00859192707765</v>
      </c>
      <c r="P11" s="23">
        <v>842.89958284596355</v>
      </c>
      <c r="Q11" s="23">
        <v>879.97792133453277</v>
      </c>
      <c r="R11" s="23">
        <v>901.95646073046544</v>
      </c>
      <c r="S11" s="23">
        <v>1033.9000000000001</v>
      </c>
      <c r="T11" s="23">
        <v>1033.5381286538097</v>
      </c>
      <c r="U11" s="23">
        <v>869.29692622160519</v>
      </c>
      <c r="V11" s="23">
        <v>841.44767986930412</v>
      </c>
      <c r="W11" s="23">
        <v>722.01717652068987</v>
      </c>
      <c r="X11" s="23">
        <v>679.67815214940947</v>
      </c>
      <c r="Y11" s="23">
        <v>778.42007077306607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825.07714796166965</v>
      </c>
      <c r="E12" s="23">
        <v>887.59739025780698</v>
      </c>
      <c r="F12" s="23">
        <v>1080.4055426241544</v>
      </c>
      <c r="G12" s="23">
        <v>1402.5314786736105</v>
      </c>
      <c r="H12" s="23">
        <v>1573.6648103528062</v>
      </c>
      <c r="I12" s="23">
        <v>1772.1038321916246</v>
      </c>
      <c r="J12" s="23">
        <v>2346.94566317921</v>
      </c>
      <c r="K12" s="23">
        <v>2774.5761576090604</v>
      </c>
      <c r="L12" s="23">
        <v>2480.6451288143444</v>
      </c>
      <c r="M12" s="23">
        <v>2194.9002370377189</v>
      </c>
      <c r="N12" s="23">
        <v>1877.853349482903</v>
      </c>
      <c r="O12" s="23">
        <v>2213.293499356696</v>
      </c>
      <c r="P12" s="23">
        <v>2495.9889034956063</v>
      </c>
      <c r="Q12" s="23">
        <v>2655.0617384904735</v>
      </c>
      <c r="R12" s="23">
        <v>2895.1008298921538</v>
      </c>
      <c r="S12" s="23">
        <v>2695.5</v>
      </c>
      <c r="T12" s="23">
        <v>2818.0365455429724</v>
      </c>
      <c r="U12" s="23">
        <v>2816.6338848393693</v>
      </c>
      <c r="V12" s="23">
        <v>2921.8145194976378</v>
      </c>
      <c r="W12" s="23">
        <v>2880.1724749804812</v>
      </c>
      <c r="X12" s="23">
        <v>2829.0009884335927</v>
      </c>
      <c r="Y12" s="23">
        <v>2975.3967390849693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713.49683287315247</v>
      </c>
      <c r="E13" s="23">
        <v>696.61747007031101</v>
      </c>
      <c r="F13" s="23">
        <v>805.30517238685889</v>
      </c>
      <c r="G13" s="23">
        <v>846.29837167908227</v>
      </c>
      <c r="H13" s="23">
        <v>863.7444350476311</v>
      </c>
      <c r="I13" s="23">
        <v>1112.5962604614426</v>
      </c>
      <c r="J13" s="23">
        <v>1185.4201822477219</v>
      </c>
      <c r="K13" s="23">
        <v>1436.038330094485</v>
      </c>
      <c r="L13" s="23">
        <v>1535.805253249303</v>
      </c>
      <c r="M13" s="23">
        <v>1351.9204657906243</v>
      </c>
      <c r="N13" s="23">
        <v>1361.2223982111245</v>
      </c>
      <c r="O13" s="23">
        <v>1315.7206097215255</v>
      </c>
      <c r="P13" s="23">
        <v>1428.364404235718</v>
      </c>
      <c r="Q13" s="23">
        <v>1471.9110311554502</v>
      </c>
      <c r="R13" s="23">
        <v>1492.4026781060818</v>
      </c>
      <c r="S13" s="23">
        <v>1573.2</v>
      </c>
      <c r="T13" s="23">
        <v>1665.690663119969</v>
      </c>
      <c r="U13" s="23">
        <v>1744.1860465116281</v>
      </c>
      <c r="V13" s="23">
        <v>1821.9454010451959</v>
      </c>
      <c r="W13" s="23">
        <v>1809.035417701753</v>
      </c>
      <c r="X13" s="23">
        <v>1789.845145403784</v>
      </c>
      <c r="Y13" s="23">
        <v>1876.992061035495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2171.1872665259057</v>
      </c>
      <c r="E14" s="23">
        <v>2198.011021726737</v>
      </c>
      <c r="F14" s="23">
        <v>2215.9561339102993</v>
      </c>
      <c r="G14" s="23">
        <v>2517.4698398048649</v>
      </c>
      <c r="H14" s="23">
        <v>2629.5297515518041</v>
      </c>
      <c r="I14" s="23">
        <v>2839.1330103133496</v>
      </c>
      <c r="J14" s="23">
        <v>3187.5801552480589</v>
      </c>
      <c r="K14" s="23">
        <v>3551.4530143626171</v>
      </c>
      <c r="L14" s="23">
        <v>3791.3398906663715</v>
      </c>
      <c r="M14" s="23">
        <v>3369.0424136423258</v>
      </c>
      <c r="N14" s="23">
        <v>2989.9608683499491</v>
      </c>
      <c r="O14" s="23">
        <v>3059.1839849968383</v>
      </c>
      <c r="P14" s="23">
        <v>3131.7606384630512</v>
      </c>
      <c r="Q14" s="23">
        <v>3196.8067707907435</v>
      </c>
      <c r="R14" s="23">
        <v>3291.0034879525315</v>
      </c>
      <c r="S14" s="23">
        <v>3486.1</v>
      </c>
      <c r="T14" s="23">
        <v>3569.195342974263</v>
      </c>
      <c r="U14" s="23">
        <v>3714.8559527941688</v>
      </c>
      <c r="V14" s="23">
        <v>3885.9752531768941</v>
      </c>
      <c r="W14" s="23">
        <v>4035.6838668464757</v>
      </c>
      <c r="X14" s="23">
        <v>4108.4155582915701</v>
      </c>
      <c r="Y14" s="23">
        <v>4518.4336230623148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334.57852850414162</v>
      </c>
      <c r="E15" s="23">
        <v>356.78089567365549</v>
      </c>
      <c r="F15" s="23">
        <v>388.04617812006933</v>
      </c>
      <c r="G15" s="23">
        <v>400.98226646449996</v>
      </c>
      <c r="H15" s="23">
        <v>461.15304217396164</v>
      </c>
      <c r="I15" s="23">
        <v>537.53968133420415</v>
      </c>
      <c r="J15" s="23">
        <v>611.54235572055347</v>
      </c>
      <c r="K15" s="23">
        <v>685.51899752060569</v>
      </c>
      <c r="L15" s="23">
        <v>634.35653233194739</v>
      </c>
      <c r="M15" s="23">
        <v>533.44993441189331</v>
      </c>
      <c r="N15" s="23">
        <v>541.67054877480666</v>
      </c>
      <c r="O15" s="23">
        <v>529.03591599973834</v>
      </c>
      <c r="P15" s="23">
        <v>595.29847733601082</v>
      </c>
      <c r="Q15" s="23">
        <v>619.63365769891254</v>
      </c>
      <c r="R15" s="23">
        <v>616.10471875876999</v>
      </c>
      <c r="S15" s="23">
        <v>672.8</v>
      </c>
      <c r="T15" s="23">
        <v>713.64055939891409</v>
      </c>
      <c r="U15" s="23">
        <v>747.81133094218831</v>
      </c>
      <c r="V15" s="23">
        <v>782.59739536437985</v>
      </c>
      <c r="W15" s="23">
        <v>770.28178011214425</v>
      </c>
      <c r="X15" s="23">
        <v>600.1699412142126</v>
      </c>
      <c r="Y15" s="23">
        <v>591.19770447643828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12548.481403280819</v>
      </c>
      <c r="E16" s="30">
        <f t="shared" ref="E16:S16" si="0">SUM(E6:E15)</f>
        <v>13354.183822132132</v>
      </c>
      <c r="F16" s="30">
        <f t="shared" si="0"/>
        <v>14322.403261837442</v>
      </c>
      <c r="G16" s="30">
        <f t="shared" si="0"/>
        <v>15519.150899861561</v>
      </c>
      <c r="H16" s="30">
        <f t="shared" si="0"/>
        <v>16800.172334008843</v>
      </c>
      <c r="I16" s="30">
        <f t="shared" si="0"/>
        <v>18629.342163221289</v>
      </c>
      <c r="J16" s="30">
        <f t="shared" si="0"/>
        <v>20754.100573742828</v>
      </c>
      <c r="K16" s="30">
        <f t="shared" si="0"/>
        <v>22626.817664008577</v>
      </c>
      <c r="L16" s="30">
        <f t="shared" si="0"/>
        <v>22240.836009624581</v>
      </c>
      <c r="M16" s="30">
        <f t="shared" si="0"/>
        <v>19600.257749752604</v>
      </c>
      <c r="N16" s="30">
        <f t="shared" si="0"/>
        <v>18590.794745178424</v>
      </c>
      <c r="O16" s="30">
        <f t="shared" si="0"/>
        <v>18985.432976426717</v>
      </c>
      <c r="P16" s="30">
        <f t="shared" si="0"/>
        <v>20242.632521452899</v>
      </c>
      <c r="Q16" s="30">
        <f t="shared" si="0"/>
        <v>20517.008749693352</v>
      </c>
      <c r="R16" s="30">
        <f t="shared" si="0"/>
        <v>20850.439000922102</v>
      </c>
      <c r="S16" s="30">
        <f t="shared" si="0"/>
        <v>21613.4</v>
      </c>
      <c r="T16" s="30">
        <f t="shared" ref="T16:Y16" si="1">SUM(T6:T15)</f>
        <v>22001.667477245883</v>
      </c>
      <c r="U16" s="30">
        <f t="shared" si="1"/>
        <v>22729.762042500675</v>
      </c>
      <c r="V16" s="30">
        <f t="shared" si="1"/>
        <v>23491.288487065005</v>
      </c>
      <c r="W16" s="30">
        <f t="shared" si="1"/>
        <v>23615.231741074596</v>
      </c>
      <c r="X16" s="30">
        <f t="shared" si="1"/>
        <v>22786.862503684948</v>
      </c>
      <c r="Y16" s="30">
        <f t="shared" si="1"/>
        <v>24383.329011101167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626.11661523469218</v>
      </c>
      <c r="E18" s="19">
        <v>655.12763666307717</v>
      </c>
      <c r="F18" s="19">
        <v>714.69857685157695</v>
      </c>
      <c r="G18" s="19">
        <v>680.99413277078247</v>
      </c>
      <c r="H18" s="19">
        <v>785.07715138266133</v>
      </c>
      <c r="I18" s="19">
        <v>779.95655938150276</v>
      </c>
      <c r="J18" s="19">
        <v>763.14546068174138</v>
      </c>
      <c r="K18" s="19">
        <v>835.95791730885219</v>
      </c>
      <c r="L18" s="19">
        <v>729.79693745029147</v>
      </c>
      <c r="M18" s="19">
        <v>698.91607023680751</v>
      </c>
      <c r="N18" s="19">
        <v>847.61949128854928</v>
      </c>
      <c r="O18" s="19">
        <v>790.82800880999628</v>
      </c>
      <c r="P18" s="19">
        <v>790.21188940759987</v>
      </c>
      <c r="Q18" s="19">
        <v>739.32864502412303</v>
      </c>
      <c r="R18" s="19">
        <v>838.41157839874916</v>
      </c>
      <c r="S18" s="19">
        <v>858.7</v>
      </c>
      <c r="T18" s="19">
        <v>820.83552520570515</v>
      </c>
      <c r="U18" s="19">
        <v>924.25469551467472</v>
      </c>
      <c r="V18" s="19">
        <v>972.8861701831413</v>
      </c>
      <c r="W18" s="19">
        <v>1019.8559159628078</v>
      </c>
      <c r="X18" s="19">
        <v>1044.7049439020584</v>
      </c>
      <c r="Y18" s="19">
        <v>1153.952332750529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15.104758811109308</v>
      </c>
      <c r="E19" s="23">
        <v>21.695065560271107</v>
      </c>
      <c r="F19" s="23">
        <v>28.431724805898799</v>
      </c>
      <c r="G19" s="23">
        <v>37.906256180367855</v>
      </c>
      <c r="H19" s="23">
        <v>38.4560149356141</v>
      </c>
      <c r="I19" s="23">
        <v>52.250254416209728</v>
      </c>
      <c r="J19" s="23">
        <v>62.369220384745191</v>
      </c>
      <c r="K19" s="23">
        <v>73.600035739015851</v>
      </c>
      <c r="L19" s="23">
        <v>72.486383634185387</v>
      </c>
      <c r="M19" s="23">
        <v>90.327480266034556</v>
      </c>
      <c r="N19" s="23">
        <v>93.170595360104343</v>
      </c>
      <c r="O19" s="23">
        <v>90.498724295091264</v>
      </c>
      <c r="P19" s="23">
        <v>98.957632469696819</v>
      </c>
      <c r="Q19" s="23">
        <v>107.73571019707254</v>
      </c>
      <c r="R19" s="23">
        <v>91.608868219540554</v>
      </c>
      <c r="S19" s="23">
        <v>108.5</v>
      </c>
      <c r="T19" s="23">
        <v>106.99645661085249</v>
      </c>
      <c r="U19" s="23">
        <v>114.1578927070076</v>
      </c>
      <c r="V19" s="23">
        <v>121.69199209141287</v>
      </c>
      <c r="W19" s="23">
        <v>112.85399957413584</v>
      </c>
      <c r="X19" s="23">
        <v>119.91260166126209</v>
      </c>
      <c r="Y19" s="23">
        <v>114.77617808711945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1907.5848627578384</v>
      </c>
      <c r="E20" s="23">
        <v>2019.699752961297</v>
      </c>
      <c r="F20" s="23">
        <v>2151.4379891584535</v>
      </c>
      <c r="G20" s="23">
        <v>2138.4072780011893</v>
      </c>
      <c r="H20" s="23">
        <v>2292.6805916800972</v>
      </c>
      <c r="I20" s="23">
        <v>2388.7783465224711</v>
      </c>
      <c r="J20" s="23">
        <v>2474.9240634492062</v>
      </c>
      <c r="K20" s="23">
        <v>2550.6488865062875</v>
      </c>
      <c r="L20" s="23">
        <v>2371.7142022974153</v>
      </c>
      <c r="M20" s="23">
        <v>2115.9643753020487</v>
      </c>
      <c r="N20" s="23">
        <v>2481.2494176837795</v>
      </c>
      <c r="O20" s="23">
        <v>2519.8988158841603</v>
      </c>
      <c r="P20" s="23">
        <v>2597.5343401616828</v>
      </c>
      <c r="Q20" s="23">
        <v>2583.6127238531353</v>
      </c>
      <c r="R20" s="23">
        <v>2486.8700637453439</v>
      </c>
      <c r="S20" s="23">
        <v>2572.1000000000022</v>
      </c>
      <c r="T20" s="23">
        <v>2560.3716092147943</v>
      </c>
      <c r="U20" s="23">
        <v>2724.0734312931427</v>
      </c>
      <c r="V20" s="23">
        <v>2856.9306884740681</v>
      </c>
      <c r="W20" s="23">
        <v>2886.4717155227459</v>
      </c>
      <c r="X20" s="23">
        <v>2889.7809839249508</v>
      </c>
      <c r="Y20" s="23">
        <v>3454.2442925621367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413.35065778788373</v>
      </c>
      <c r="E21" s="23">
        <v>415.37340850066511</v>
      </c>
      <c r="F21" s="23">
        <v>410.229172199397</v>
      </c>
      <c r="G21" s="23">
        <v>430.64803217087479</v>
      </c>
      <c r="H21" s="23">
        <v>455.88728079273648</v>
      </c>
      <c r="I21" s="23">
        <v>409.79996050852861</v>
      </c>
      <c r="J21" s="23">
        <v>423.89470131623352</v>
      </c>
      <c r="K21" s="23">
        <v>429.98503428711831</v>
      </c>
      <c r="L21" s="23">
        <v>490.692546990305</v>
      </c>
      <c r="M21" s="23">
        <v>585.4601523485145</v>
      </c>
      <c r="N21" s="23">
        <v>609.91800987608315</v>
      </c>
      <c r="O21" s="23">
        <v>579.409904703753</v>
      </c>
      <c r="P21" s="23">
        <v>616.82900824991975</v>
      </c>
      <c r="Q21" s="23">
        <v>537.75860659089051</v>
      </c>
      <c r="R21" s="23">
        <v>425.87098584773281</v>
      </c>
      <c r="S21" s="23">
        <v>511.2</v>
      </c>
      <c r="T21" s="23">
        <v>634.33613562148264</v>
      </c>
      <c r="U21" s="23">
        <v>603.76412511087983</v>
      </c>
      <c r="V21" s="23">
        <v>376.95742172633692</v>
      </c>
      <c r="W21" s="23">
        <v>392.77095606501524</v>
      </c>
      <c r="X21" s="23">
        <v>457.10718435153558</v>
      </c>
      <c r="Y21" s="23">
        <v>606.1721475359094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100.21114178983271</v>
      </c>
      <c r="E22" s="23">
        <v>101.34921137644898</v>
      </c>
      <c r="F22" s="23">
        <v>99.511036820645799</v>
      </c>
      <c r="G22" s="23">
        <v>120.31116092029798</v>
      </c>
      <c r="H22" s="23">
        <v>124.30388230225472</v>
      </c>
      <c r="I22" s="23">
        <v>120.60087792578642</v>
      </c>
      <c r="J22" s="23">
        <v>130.67836652041848</v>
      </c>
      <c r="K22" s="23">
        <v>151.10902633518731</v>
      </c>
      <c r="L22" s="23">
        <v>181.41731015111398</v>
      </c>
      <c r="M22" s="23">
        <v>235.08158239937401</v>
      </c>
      <c r="N22" s="23">
        <v>182.38144041740426</v>
      </c>
      <c r="O22" s="23">
        <v>179.57999869158471</v>
      </c>
      <c r="P22" s="23">
        <v>179.07605038972332</v>
      </c>
      <c r="Q22" s="23">
        <v>174.99386703737019</v>
      </c>
      <c r="R22" s="23">
        <v>177.00356813534859</v>
      </c>
      <c r="S22" s="23">
        <v>193.8</v>
      </c>
      <c r="T22" s="23">
        <v>186.89640797609948</v>
      </c>
      <c r="U22" s="23">
        <v>183.96390142311699</v>
      </c>
      <c r="V22" s="23">
        <v>200.87068717453658</v>
      </c>
      <c r="W22" s="23">
        <v>203.08396621477749</v>
      </c>
      <c r="X22" s="23">
        <v>205.75025577886834</v>
      </c>
      <c r="Y22" s="23">
        <v>203.78627537917129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875.26392723729089</v>
      </c>
      <c r="E23" s="23">
        <v>822.82890986254506</v>
      </c>
      <c r="F23" s="23">
        <v>901.37940730789046</v>
      </c>
      <c r="G23" s="23">
        <v>961.66523831498444</v>
      </c>
      <c r="H23" s="23">
        <v>1098.6293063556145</v>
      </c>
      <c r="I23" s="23">
        <v>1262.3600710846483</v>
      </c>
      <c r="J23" s="23">
        <v>1772.6628417144784</v>
      </c>
      <c r="K23" s="23">
        <v>2288.07880452992</v>
      </c>
      <c r="L23" s="23">
        <v>2260.3670629926805</v>
      </c>
      <c r="M23" s="23">
        <v>1534.4164959841667</v>
      </c>
      <c r="N23" s="23">
        <v>904.45355445821292</v>
      </c>
      <c r="O23" s="23">
        <v>1074.2089539219749</v>
      </c>
      <c r="P23" s="23">
        <v>1224.5489457285705</v>
      </c>
      <c r="Q23" s="23">
        <v>1278.518276228637</v>
      </c>
      <c r="R23" s="23">
        <v>1303.2714589263519</v>
      </c>
      <c r="S23" s="23">
        <v>1308.5</v>
      </c>
      <c r="T23" s="23">
        <v>1175.1744399559309</v>
      </c>
      <c r="U23" s="23">
        <v>1329.4959311967295</v>
      </c>
      <c r="V23" s="23">
        <v>1493.1635276754139</v>
      </c>
      <c r="W23" s="23">
        <v>1536.4823621264816</v>
      </c>
      <c r="X23" s="23">
        <v>1456.4655695631816</v>
      </c>
      <c r="Y23" s="23">
        <v>1298.5937408501134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1820.691895403605</v>
      </c>
      <c r="E24" s="23">
        <v>1944.7963514283902</v>
      </c>
      <c r="F24" s="23">
        <v>2127.5365941293167</v>
      </c>
      <c r="G24" s="23">
        <v>2349.1990243259279</v>
      </c>
      <c r="H24" s="23">
        <v>2582.4570361741849</v>
      </c>
      <c r="I24" s="23">
        <v>3132.433130306666</v>
      </c>
      <c r="J24" s="23">
        <v>3537.360782990213</v>
      </c>
      <c r="K24" s="23">
        <v>3606.2900667872859</v>
      </c>
      <c r="L24" s="23">
        <v>3182.7562947376905</v>
      </c>
      <c r="M24" s="23">
        <v>3030.2855959312365</v>
      </c>
      <c r="N24" s="23">
        <v>2968.6480946613256</v>
      </c>
      <c r="O24" s="23">
        <v>2809.7128028436223</v>
      </c>
      <c r="P24" s="23">
        <v>2974.9397041622251</v>
      </c>
      <c r="Q24" s="23">
        <v>2950.0572409845445</v>
      </c>
      <c r="R24" s="23">
        <v>3038.3273864410858</v>
      </c>
      <c r="S24" s="23">
        <v>3188</v>
      </c>
      <c r="T24" s="23">
        <v>3246.5186449762282</v>
      </c>
      <c r="U24" s="23">
        <v>3316.942419684523</v>
      </c>
      <c r="V24" s="23">
        <v>3364.6768339660825</v>
      </c>
      <c r="W24" s="23">
        <v>3483.1251330825462</v>
      </c>
      <c r="X24" s="23">
        <v>3400.9919017809138</v>
      </c>
      <c r="Y24" s="23">
        <v>3447.217179618026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1491.6355367873964</v>
      </c>
      <c r="E25" s="23">
        <v>1759.9923988091468</v>
      </c>
      <c r="F25" s="23">
        <v>1888.9912986424631</v>
      </c>
      <c r="G25" s="23">
        <v>2053.2006065000987</v>
      </c>
      <c r="H25" s="23">
        <v>2201.0882573521199</v>
      </c>
      <c r="I25" s="23">
        <v>2281.5438127496695</v>
      </c>
      <c r="J25" s="23">
        <v>2032.3995950050623</v>
      </c>
      <c r="K25" s="23">
        <v>1898.7469007572204</v>
      </c>
      <c r="L25" s="23">
        <v>2055.5930292261073</v>
      </c>
      <c r="M25" s="23">
        <v>2037.2586472740661</v>
      </c>
      <c r="N25" s="23">
        <v>1928.2819342215596</v>
      </c>
      <c r="O25" s="23">
        <v>1924.0246854351572</v>
      </c>
      <c r="P25" s="23">
        <v>2081.3191590671486</v>
      </c>
      <c r="Q25" s="23">
        <v>2056.7912339520813</v>
      </c>
      <c r="R25" s="23">
        <v>2014.8939582247524</v>
      </c>
      <c r="S25" s="23">
        <v>2039.2</v>
      </c>
      <c r="T25" s="23">
        <v>1994.6204007900665</v>
      </c>
      <c r="U25" s="23">
        <v>2020.0354815071928</v>
      </c>
      <c r="V25" s="23">
        <v>2080.08836825055</v>
      </c>
      <c r="W25" s="23">
        <v>1958.6202001561501</v>
      </c>
      <c r="X25" s="23">
        <v>1516.2918133421194</v>
      </c>
      <c r="Y25" s="23">
        <v>1564.2855350226289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136.91732986844244</v>
      </c>
      <c r="E26" s="23">
        <v>147.4314309241781</v>
      </c>
      <c r="F26" s="23">
        <v>159.49885179572897</v>
      </c>
      <c r="G26" s="23">
        <v>188.87204166391982</v>
      </c>
      <c r="H26" s="23">
        <v>231.69350077390735</v>
      </c>
      <c r="I26" s="23">
        <v>275.52895788082685</v>
      </c>
      <c r="J26" s="23">
        <v>311.1711103611205</v>
      </c>
      <c r="K26" s="23">
        <v>368.2235475440595</v>
      </c>
      <c r="L26" s="23">
        <v>360.6197585800723</v>
      </c>
      <c r="M26" s="23">
        <v>304.12169470462334</v>
      </c>
      <c r="N26" s="23">
        <v>320.73977452715917</v>
      </c>
      <c r="O26" s="23">
        <v>326.4496151078352</v>
      </c>
      <c r="P26" s="23">
        <v>322.33689070150194</v>
      </c>
      <c r="Q26" s="23">
        <v>350.60103033772185</v>
      </c>
      <c r="R26" s="23">
        <v>349.99799542957942</v>
      </c>
      <c r="S26" s="23">
        <v>387.8</v>
      </c>
      <c r="T26" s="23">
        <v>406.14981489017475</v>
      </c>
      <c r="U26" s="23">
        <v>441.87974854410123</v>
      </c>
      <c r="V26" s="23">
        <v>471.82333775793415</v>
      </c>
      <c r="W26" s="23">
        <v>447.51224359429341</v>
      </c>
      <c r="X26" s="23">
        <v>303.20633984774656</v>
      </c>
      <c r="Y26" s="23">
        <v>281.50279829676168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702.93974338151702</v>
      </c>
      <c r="E27" s="23">
        <v>824.09577500475075</v>
      </c>
      <c r="F27" s="23">
        <v>830.3000952931435</v>
      </c>
      <c r="G27" s="23">
        <v>838.0578812050893</v>
      </c>
      <c r="H27" s="23">
        <v>828.47979064609308</v>
      </c>
      <c r="I27" s="23">
        <v>850.73742728253103</v>
      </c>
      <c r="J27" s="23">
        <v>847.78940263246704</v>
      </c>
      <c r="K27" s="23">
        <v>809.71207755366436</v>
      </c>
      <c r="L27" s="23">
        <v>860.47377905747567</v>
      </c>
      <c r="M27" s="23">
        <v>822.72800497088804</v>
      </c>
      <c r="N27" s="23">
        <v>863.80788223236743</v>
      </c>
      <c r="O27" s="23">
        <v>815.57886473166582</v>
      </c>
      <c r="P27" s="23">
        <v>862.56689473847655</v>
      </c>
      <c r="Q27" s="23">
        <v>914.22029601766303</v>
      </c>
      <c r="R27" s="23">
        <v>927.61496211361896</v>
      </c>
      <c r="S27" s="23">
        <v>984.1</v>
      </c>
      <c r="T27" s="23">
        <v>1069.6668023146171</v>
      </c>
      <c r="U27" s="23">
        <v>1178.4102742103437</v>
      </c>
      <c r="V27" s="23">
        <v>1298.4192108121154</v>
      </c>
      <c r="W27" s="23">
        <v>1357.264532614096</v>
      </c>
      <c r="X27" s="23">
        <v>1385.5411240397455</v>
      </c>
      <c r="Y27" s="23">
        <v>1518.3583325664856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414.3251583563424</v>
      </c>
      <c r="E28" s="23">
        <v>502.78710331285231</v>
      </c>
      <c r="F28" s="23">
        <v>520.67548779154231</v>
      </c>
      <c r="G28" s="23">
        <v>552.60729118597135</v>
      </c>
      <c r="H28" s="23">
        <v>633.32748248735425</v>
      </c>
      <c r="I28" s="23">
        <v>813.97998086182542</v>
      </c>
      <c r="J28" s="23">
        <v>1066.2166722915963</v>
      </c>
      <c r="K28" s="23">
        <v>1166.8788670731981</v>
      </c>
      <c r="L28" s="23">
        <v>1232.771899445278</v>
      </c>
      <c r="M28" s="23">
        <v>696.3845994522818</v>
      </c>
      <c r="N28" s="23">
        <v>619.8173856330942</v>
      </c>
      <c r="O28" s="23">
        <v>758.00859192707765</v>
      </c>
      <c r="P28" s="23">
        <v>842.89958284596355</v>
      </c>
      <c r="Q28" s="23">
        <v>879.97792133453277</v>
      </c>
      <c r="R28" s="23">
        <v>901.95646073046544</v>
      </c>
      <c r="S28" s="23">
        <v>1033.9000000000001</v>
      </c>
      <c r="T28" s="23">
        <v>1033.5381286538097</v>
      </c>
      <c r="U28" s="23">
        <v>869.29692622160519</v>
      </c>
      <c r="V28" s="23">
        <v>841.44767986930412</v>
      </c>
      <c r="W28" s="23">
        <v>722.01717652068987</v>
      </c>
      <c r="X28" s="23">
        <v>679.67815214940947</v>
      </c>
      <c r="Y28" s="23">
        <v>778.42007077306607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825.07714796166965</v>
      </c>
      <c r="E29" s="23">
        <v>887.59739025780698</v>
      </c>
      <c r="F29" s="23">
        <v>1080.4055426241544</v>
      </c>
      <c r="G29" s="23">
        <v>1402.5314786736105</v>
      </c>
      <c r="H29" s="23">
        <v>1573.6648103528062</v>
      </c>
      <c r="I29" s="23">
        <v>1772.1038321916246</v>
      </c>
      <c r="J29" s="23">
        <v>2346.94566317921</v>
      </c>
      <c r="K29" s="23">
        <v>2774.5761576090604</v>
      </c>
      <c r="L29" s="23">
        <v>2480.6451288143444</v>
      </c>
      <c r="M29" s="23">
        <v>2194.9002370377189</v>
      </c>
      <c r="N29" s="23">
        <v>1877.853349482903</v>
      </c>
      <c r="O29" s="23">
        <v>2213.293499356696</v>
      </c>
      <c r="P29" s="23">
        <v>2495.9889034956063</v>
      </c>
      <c r="Q29" s="23">
        <v>2655.0617384904735</v>
      </c>
      <c r="R29" s="23">
        <v>2895.1008298921538</v>
      </c>
      <c r="S29" s="23">
        <v>2695.5</v>
      </c>
      <c r="T29" s="23">
        <v>2818.0365455429724</v>
      </c>
      <c r="U29" s="23">
        <v>2816.6338848393693</v>
      </c>
      <c r="V29" s="23">
        <v>2921.8145194976378</v>
      </c>
      <c r="W29" s="23">
        <v>2880.1724749804812</v>
      </c>
      <c r="X29" s="23">
        <v>2829.0009884335927</v>
      </c>
      <c r="Y29" s="23">
        <v>2975.3967390849693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454.4420984245574</v>
      </c>
      <c r="E30" s="23">
        <v>442.92772534363723</v>
      </c>
      <c r="F30" s="23">
        <v>504.11635136612875</v>
      </c>
      <c r="G30" s="23">
        <v>517.66761157624092</v>
      </c>
      <c r="H30" s="23">
        <v>511.25755955895249</v>
      </c>
      <c r="I30" s="23">
        <v>688.36672387866997</v>
      </c>
      <c r="J30" s="23">
        <v>730.34087073911576</v>
      </c>
      <c r="K30" s="23">
        <v>905.87236703969256</v>
      </c>
      <c r="L30" s="23">
        <v>983.59995570276567</v>
      </c>
      <c r="M30" s="23">
        <v>878.88062964582423</v>
      </c>
      <c r="N30" s="23">
        <v>830.96524736793071</v>
      </c>
      <c r="O30" s="23">
        <v>788.97442048106063</v>
      </c>
      <c r="P30" s="23">
        <v>871.36542900617974</v>
      </c>
      <c r="Q30" s="23">
        <v>866.79205168043177</v>
      </c>
      <c r="R30" s="23">
        <v>900.35280439401822</v>
      </c>
      <c r="S30" s="23">
        <v>961.2</v>
      </c>
      <c r="T30" s="23">
        <v>1023.7119234548542</v>
      </c>
      <c r="U30" s="23">
        <v>1062.2276215820125</v>
      </c>
      <c r="V30" s="23">
        <v>1079.0765889112697</v>
      </c>
      <c r="W30" s="23">
        <v>1080.7190006387959</v>
      </c>
      <c r="X30" s="23">
        <v>1119.9646244819396</v>
      </c>
      <c r="Y30" s="23">
        <v>1204.8989015953216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259.05473444859507</v>
      </c>
      <c r="E31" s="23">
        <v>253.68974472667381</v>
      </c>
      <c r="F31" s="23">
        <v>301.18882102073013</v>
      </c>
      <c r="G31" s="23">
        <v>328.63076010284129</v>
      </c>
      <c r="H31" s="23">
        <v>352.48687548867861</v>
      </c>
      <c r="I31" s="23">
        <v>424.2295365827726</v>
      </c>
      <c r="J31" s="23">
        <v>455.07931150860611</v>
      </c>
      <c r="K31" s="23">
        <v>530.16596305479243</v>
      </c>
      <c r="L31" s="23">
        <v>552.20529754653728</v>
      </c>
      <c r="M31" s="23">
        <v>473.03983614480012</v>
      </c>
      <c r="N31" s="23">
        <v>530.25715084319381</v>
      </c>
      <c r="O31" s="23">
        <v>526.7461892404649</v>
      </c>
      <c r="P31" s="23">
        <v>556.99897522953825</v>
      </c>
      <c r="Q31" s="23">
        <v>605.11897947501848</v>
      </c>
      <c r="R31" s="23">
        <v>592.04987371206357</v>
      </c>
      <c r="S31" s="23">
        <v>612</v>
      </c>
      <c r="T31" s="23">
        <v>641.97873966511486</v>
      </c>
      <c r="U31" s="23">
        <v>681.95842492961549</v>
      </c>
      <c r="V31" s="23">
        <v>742.86881213392621</v>
      </c>
      <c r="W31" s="23">
        <v>728.31641706295693</v>
      </c>
      <c r="X31" s="23">
        <v>669.88052092184432</v>
      </c>
      <c r="Y31" s="23">
        <v>672.09315944017328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1129.9334091278222</v>
      </c>
      <c r="E32" s="23">
        <v>1073.9849243048075</v>
      </c>
      <c r="F32" s="23">
        <v>1085.4045272054113</v>
      </c>
      <c r="G32" s="23">
        <v>1218.1093018656468</v>
      </c>
      <c r="H32" s="23">
        <v>1275.4312339434168</v>
      </c>
      <c r="I32" s="23">
        <v>1397.6943056336104</v>
      </c>
      <c r="J32" s="23">
        <v>1679.3790077624026</v>
      </c>
      <c r="K32" s="23">
        <v>1929.6834863409952</v>
      </c>
      <c r="L32" s="23">
        <v>1947.4675069717805</v>
      </c>
      <c r="M32" s="23">
        <v>1561.8024071985819</v>
      </c>
      <c r="N32" s="23">
        <v>1410.8357402403803</v>
      </c>
      <c r="O32" s="23">
        <v>1510.8925572976864</v>
      </c>
      <c r="P32" s="23">
        <v>1543.4699348908462</v>
      </c>
      <c r="Q32" s="23">
        <v>1548.0619838089788</v>
      </c>
      <c r="R32" s="23">
        <v>1576.6948642905822</v>
      </c>
      <c r="S32" s="23">
        <v>1658.3</v>
      </c>
      <c r="T32" s="23">
        <v>1697.8491528620061</v>
      </c>
      <c r="U32" s="23">
        <v>1757.7808631262292</v>
      </c>
      <c r="V32" s="23">
        <v>1797.9040387632153</v>
      </c>
      <c r="W32" s="23">
        <v>1847.4519128398042</v>
      </c>
      <c r="X32" s="23">
        <v>1861.1164097317353</v>
      </c>
      <c r="Y32" s="23">
        <v>1926.9347566025579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697.74240701640406</v>
      </c>
      <c r="E33" s="23">
        <v>780.38892759865712</v>
      </c>
      <c r="F33" s="23">
        <v>782.49730523487415</v>
      </c>
      <c r="G33" s="23">
        <v>871.34946272002117</v>
      </c>
      <c r="H33" s="23">
        <v>909.0618966315086</v>
      </c>
      <c r="I33" s="23">
        <v>908.00006075610963</v>
      </c>
      <c r="J33" s="23">
        <v>937.15828552143091</v>
      </c>
      <c r="K33" s="23">
        <v>1034.8678773258282</v>
      </c>
      <c r="L33" s="23">
        <v>1183.1388617624259</v>
      </c>
      <c r="M33" s="23">
        <v>1151.7041401054012</v>
      </c>
      <c r="N33" s="23">
        <v>970.604677163887</v>
      </c>
      <c r="O33" s="23">
        <v>956.99675076869403</v>
      </c>
      <c r="P33" s="23">
        <v>959.97184469034335</v>
      </c>
      <c r="Q33" s="23">
        <v>992.41556954779628</v>
      </c>
      <c r="R33" s="23">
        <v>995.67012789159276</v>
      </c>
      <c r="S33" s="23">
        <v>1055.0999999999999</v>
      </c>
      <c r="T33" s="23">
        <v>1077.4086609562187</v>
      </c>
      <c r="U33" s="23">
        <v>1133.5763045238923</v>
      </c>
      <c r="V33" s="23">
        <v>1159.740464675906</v>
      </c>
      <c r="W33" s="23">
        <v>1167.0452125771878</v>
      </c>
      <c r="X33" s="23">
        <v>1178.3168883416859</v>
      </c>
      <c r="Y33" s="23">
        <v>1219.0367835900181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343.51145038167937</v>
      </c>
      <c r="E34" s="23">
        <v>343.6371698232723</v>
      </c>
      <c r="F34" s="23">
        <v>348.05430147001385</v>
      </c>
      <c r="G34" s="23">
        <v>428.01107521919704</v>
      </c>
      <c r="H34" s="23">
        <v>445.03662097687851</v>
      </c>
      <c r="I34" s="23">
        <v>533.43864392362957</v>
      </c>
      <c r="J34" s="23">
        <v>571.04286196422538</v>
      </c>
      <c r="K34" s="23">
        <v>586.90165069579393</v>
      </c>
      <c r="L34" s="23">
        <v>660.73352193216488</v>
      </c>
      <c r="M34" s="23">
        <v>655.53586633834266</v>
      </c>
      <c r="N34" s="23">
        <v>608.52045094568155</v>
      </c>
      <c r="O34" s="23">
        <v>591.29467693045763</v>
      </c>
      <c r="P34" s="23">
        <v>628.31885888186162</v>
      </c>
      <c r="Q34" s="23">
        <v>656.32921743396844</v>
      </c>
      <c r="R34" s="23">
        <v>718.63849577035637</v>
      </c>
      <c r="S34" s="23">
        <v>772.7</v>
      </c>
      <c r="T34" s="23">
        <v>793.93752915603807</v>
      </c>
      <c r="U34" s="23">
        <v>823.49878514404725</v>
      </c>
      <c r="V34" s="23">
        <v>928.33074973777286</v>
      </c>
      <c r="W34" s="23">
        <v>1021.186741429484</v>
      </c>
      <c r="X34" s="23">
        <v>1068.9822602181491</v>
      </c>
      <c r="Y34" s="23">
        <v>1372.4620828697391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238.42780574955333</v>
      </c>
      <c r="E35" s="23">
        <v>243.71318173180461</v>
      </c>
      <c r="F35" s="23">
        <v>287.59783169043789</v>
      </c>
      <c r="G35" s="23">
        <v>263.69569516777642</v>
      </c>
      <c r="H35" s="23">
        <v>292.32954092134867</v>
      </c>
      <c r="I35" s="23">
        <v>371.52361134316567</v>
      </c>
      <c r="J35" s="23">
        <v>442.38947013162334</v>
      </c>
      <c r="K35" s="23">
        <v>472.4251155933793</v>
      </c>
      <c r="L35" s="23">
        <v>435.22032840358804</v>
      </c>
      <c r="M35" s="23">
        <v>329.20626884219735</v>
      </c>
      <c r="N35" s="23">
        <v>343.21718065778441</v>
      </c>
      <c r="O35" s="23">
        <v>334.19107224633103</v>
      </c>
      <c r="P35" s="23">
        <v>380.71775337190883</v>
      </c>
      <c r="Q35" s="23">
        <v>407.84201488265614</v>
      </c>
      <c r="R35" s="23">
        <v>380.66792286413022</v>
      </c>
      <c r="S35" s="23">
        <v>422.79999999999995</v>
      </c>
      <c r="T35" s="23">
        <v>447.93600063522933</v>
      </c>
      <c r="U35" s="23">
        <v>471.86547880751289</v>
      </c>
      <c r="V35" s="23">
        <v>498.74223761034438</v>
      </c>
      <c r="W35" s="23">
        <v>502.51969621690682</v>
      </c>
      <c r="X35" s="23">
        <v>351.06733487089667</v>
      </c>
      <c r="Y35" s="23">
        <v>368.17052460744372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92.090303719343837</v>
      </c>
      <c r="E36" s="23">
        <v>98.023690378159245</v>
      </c>
      <c r="F36" s="23">
        <v>84.670301345039277</v>
      </c>
      <c r="G36" s="23">
        <v>119.48711187289867</v>
      </c>
      <c r="H36" s="23">
        <v>149.35614099475021</v>
      </c>
      <c r="I36" s="23">
        <v>147.94112732961707</v>
      </c>
      <c r="J36" s="23">
        <v>151.0631117111036</v>
      </c>
      <c r="K36" s="23">
        <v>192.76731667001721</v>
      </c>
      <c r="L36" s="23">
        <v>173.96732072204495</v>
      </c>
      <c r="M36" s="23">
        <v>171.10441166317628</v>
      </c>
      <c r="N36" s="23">
        <v>164.09671107798377</v>
      </c>
      <c r="O36" s="23">
        <v>159.40859628846195</v>
      </c>
      <c r="P36" s="23">
        <v>181.56034241825125</v>
      </c>
      <c r="Q36" s="23">
        <v>181.02461362335433</v>
      </c>
      <c r="R36" s="23">
        <v>202.76229803953012</v>
      </c>
      <c r="S36" s="23">
        <v>213.3</v>
      </c>
      <c r="T36" s="23">
        <v>226.79675635973837</v>
      </c>
      <c r="U36" s="23">
        <v>235.54707084731382</v>
      </c>
      <c r="V36" s="23">
        <v>238.83561834569437</v>
      </c>
      <c r="W36" s="23">
        <v>224.73206047270921</v>
      </c>
      <c r="X36" s="23">
        <v>205.66355107773944</v>
      </c>
      <c r="Y36" s="23">
        <v>181.19912663024837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4.0604190352444371</v>
      </c>
      <c r="E37" s="23">
        <v>15.044023563691644</v>
      </c>
      <c r="F37" s="23">
        <v>15.778045084592192</v>
      </c>
      <c r="G37" s="23">
        <v>17.799459423824906</v>
      </c>
      <c r="H37" s="23">
        <v>19.46736025786274</v>
      </c>
      <c r="I37" s="23">
        <v>18.074942661421389</v>
      </c>
      <c r="J37" s="23">
        <v>18.089773877826527</v>
      </c>
      <c r="K37" s="23">
        <v>20.326565257209229</v>
      </c>
      <c r="L37" s="23">
        <v>25.168883206314373</v>
      </c>
      <c r="M37" s="23">
        <v>33.139253906519684</v>
      </c>
      <c r="N37" s="23">
        <v>34.356657039038481</v>
      </c>
      <c r="O37" s="23">
        <v>35.436247464945374</v>
      </c>
      <c r="P37" s="23">
        <v>33.020381545850718</v>
      </c>
      <c r="Q37" s="23">
        <v>30.767029192902118</v>
      </c>
      <c r="R37" s="23">
        <v>32.674497855109649</v>
      </c>
      <c r="S37" s="23">
        <v>36.700000000000003</v>
      </c>
      <c r="T37" s="23">
        <v>38.907802403946363</v>
      </c>
      <c r="U37" s="23">
        <v>40.398781287361643</v>
      </c>
      <c r="V37" s="23">
        <v>45.019539408341146</v>
      </c>
      <c r="W37" s="23">
        <v>43.03002342252821</v>
      </c>
      <c r="X37" s="23">
        <v>43.439055265576499</v>
      </c>
      <c r="Y37" s="23">
        <v>41.828053238746158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12548.481403280817</v>
      </c>
      <c r="E39" s="30">
        <f t="shared" ref="E39:S39" si="2">SUM(E18:E38)</f>
        <v>13354.183822132132</v>
      </c>
      <c r="F39" s="30">
        <f t="shared" si="2"/>
        <v>14322.40326183744</v>
      </c>
      <c r="G39" s="30">
        <f t="shared" si="2"/>
        <v>15519.150899861563</v>
      </c>
      <c r="H39" s="30">
        <f t="shared" si="2"/>
        <v>16800.172334008843</v>
      </c>
      <c r="I39" s="30">
        <f t="shared" si="2"/>
        <v>18629.342163221285</v>
      </c>
      <c r="J39" s="30">
        <f t="shared" si="2"/>
        <v>20754.100573742824</v>
      </c>
      <c r="K39" s="30">
        <f t="shared" si="2"/>
        <v>22626.817664008577</v>
      </c>
      <c r="L39" s="30">
        <f t="shared" si="2"/>
        <v>22240.836009624581</v>
      </c>
      <c r="M39" s="30">
        <f t="shared" si="2"/>
        <v>19600.2577497526</v>
      </c>
      <c r="N39" s="30">
        <f t="shared" si="2"/>
        <v>18590.79474517842</v>
      </c>
      <c r="O39" s="30">
        <f t="shared" si="2"/>
        <v>18985.43297642672</v>
      </c>
      <c r="P39" s="30">
        <f t="shared" si="2"/>
        <v>20242.632521452899</v>
      </c>
      <c r="Q39" s="30">
        <f t="shared" si="2"/>
        <v>20517.008749693352</v>
      </c>
      <c r="R39" s="30">
        <f t="shared" si="2"/>
        <v>20850.43900092211</v>
      </c>
      <c r="S39" s="30">
        <f t="shared" si="2"/>
        <v>21613.4</v>
      </c>
      <c r="T39" s="30">
        <f t="shared" ref="T39:Y39" si="3">SUM(T18:T38)</f>
        <v>22001.667477245886</v>
      </c>
      <c r="U39" s="30">
        <f t="shared" si="3"/>
        <v>22729.762042500675</v>
      </c>
      <c r="V39" s="30">
        <f t="shared" si="3"/>
        <v>23491.288487065005</v>
      </c>
      <c r="W39" s="30">
        <f t="shared" si="3"/>
        <v>23615.231741074596</v>
      </c>
      <c r="X39" s="30">
        <f t="shared" si="3"/>
        <v>22786.862503684948</v>
      </c>
      <c r="Y39" s="30">
        <f t="shared" si="3"/>
        <v>24383.329011101167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617.83336040279357</v>
      </c>
      <c r="E41" s="19">
        <v>621.39735225185279</v>
      </c>
      <c r="F41" s="19">
        <v>666.1146954524861</v>
      </c>
      <c r="G41" s="19">
        <v>549.14628518689426</v>
      </c>
      <c r="H41" s="19">
        <v>596.62672134548188</v>
      </c>
      <c r="I41" s="19">
        <v>607.40920758843811</v>
      </c>
      <c r="J41" s="19">
        <v>605.06243671954098</v>
      </c>
      <c r="K41" s="19">
        <v>590.14049900600867</v>
      </c>
      <c r="L41" s="19">
        <v>561.97082423058737</v>
      </c>
      <c r="M41" s="19">
        <v>581.89307987940992</v>
      </c>
      <c r="N41" s="19">
        <v>584.99487561725516</v>
      </c>
      <c r="O41" s="19">
        <v>513.33493250757795</v>
      </c>
      <c r="P41" s="19">
        <v>551.8233668367717</v>
      </c>
      <c r="Q41" s="19">
        <v>570.16109248507644</v>
      </c>
      <c r="R41" s="19">
        <v>541.13378502986802</v>
      </c>
      <c r="S41" s="19">
        <v>534.9</v>
      </c>
      <c r="T41" s="19">
        <v>519.49856577105936</v>
      </c>
      <c r="U41" s="19">
        <v>524.7984881792587</v>
      </c>
      <c r="V41" s="19">
        <v>556.01451764116177</v>
      </c>
      <c r="W41" s="19">
        <v>542.71062531052598</v>
      </c>
      <c r="X41" s="19">
        <v>546.84655001994213</v>
      </c>
      <c r="Y41" s="19">
        <v>514.23408651714533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234.04255319148936</v>
      </c>
      <c r="E42" s="23">
        <v>250.99765629948692</v>
      </c>
      <c r="F42" s="23">
        <v>238.38907721868995</v>
      </c>
      <c r="G42" s="23">
        <v>229.25044498648558</v>
      </c>
      <c r="H42" s="23">
        <v>230.25738403357326</v>
      </c>
      <c r="I42" s="23">
        <v>246.9735862812704</v>
      </c>
      <c r="J42" s="23">
        <v>241.24198447519404</v>
      </c>
      <c r="K42" s="23">
        <v>172.10569813933751</v>
      </c>
      <c r="L42" s="23">
        <v>153.63086309134292</v>
      </c>
      <c r="M42" s="23">
        <v>123.92700158792258</v>
      </c>
      <c r="N42" s="23">
        <v>147.20954066896488</v>
      </c>
      <c r="O42" s="23">
        <v>154.28396973199293</v>
      </c>
      <c r="P42" s="23">
        <v>135.29040338691811</v>
      </c>
      <c r="Q42" s="23">
        <v>137.5827949955025</v>
      </c>
      <c r="R42" s="23">
        <v>128.29250691576794</v>
      </c>
      <c r="S42" s="23">
        <v>115.2</v>
      </c>
      <c r="T42" s="23">
        <v>120.59433653263987</v>
      </c>
      <c r="U42" s="23">
        <v>131.51297774692429</v>
      </c>
      <c r="V42" s="23">
        <v>137.47203683248091</v>
      </c>
      <c r="W42" s="23">
        <v>123.14571651643126</v>
      </c>
      <c r="X42" s="23">
        <v>120.60623927029323</v>
      </c>
      <c r="Y42" s="23">
        <v>116.53295632314682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477.66769530615568</v>
      </c>
      <c r="E43" s="23">
        <v>478.71666561094571</v>
      </c>
      <c r="F43" s="23">
        <v>572.85238935841153</v>
      </c>
      <c r="G43" s="23">
        <v>561.67183070736371</v>
      </c>
      <c r="H43" s="23">
        <v>583.06339657565945</v>
      </c>
      <c r="I43" s="23">
        <v>613.94048939046434</v>
      </c>
      <c r="J43" s="23">
        <v>573.87782652716839</v>
      </c>
      <c r="K43" s="23">
        <v>650.56177265518556</v>
      </c>
      <c r="L43" s="23">
        <v>501.76685560108331</v>
      </c>
      <c r="M43" s="23">
        <v>439.44031482291206</v>
      </c>
      <c r="N43" s="23">
        <v>635.77285008851209</v>
      </c>
      <c r="O43" s="23">
        <v>643.08611553307014</v>
      </c>
      <c r="P43" s="23">
        <v>652.95475483143036</v>
      </c>
      <c r="Q43" s="23">
        <v>645.5965328317933</v>
      </c>
      <c r="R43" s="23">
        <v>676.44228841759207</v>
      </c>
      <c r="S43" s="23">
        <v>678.7</v>
      </c>
      <c r="T43" s="23">
        <v>673.93872021121376</v>
      </c>
      <c r="U43" s="23">
        <v>729.39565737205453</v>
      </c>
      <c r="V43" s="23">
        <v>814.62160380948853</v>
      </c>
      <c r="W43" s="23">
        <v>811.35992618354737</v>
      </c>
      <c r="X43" s="23">
        <v>806.78724400436988</v>
      </c>
      <c r="Y43" s="23">
        <v>1188.7532730451658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0.16241676140977748</v>
      </c>
      <c r="E44" s="23">
        <v>0.15835814277570151</v>
      </c>
      <c r="F44" s="23">
        <v>0.62487307265711645</v>
      </c>
      <c r="G44" s="23">
        <v>1.1536686663590217</v>
      </c>
      <c r="H44" s="23">
        <v>0.95741116022275774</v>
      </c>
      <c r="I44" s="23">
        <v>1.8226832935887114</v>
      </c>
      <c r="J44" s="23">
        <v>0</v>
      </c>
      <c r="K44" s="23">
        <v>0.44673769796064244</v>
      </c>
      <c r="L44" s="23">
        <v>0.10067553282525749</v>
      </c>
      <c r="M44" s="23">
        <v>0.2301337076841645</v>
      </c>
      <c r="N44" s="23">
        <v>0.23292648840026087</v>
      </c>
      <c r="O44" s="23">
        <v>0.43613843033778921</v>
      </c>
      <c r="P44" s="23">
        <v>0</v>
      </c>
      <c r="Q44" s="23">
        <v>1.5332406574535939</v>
      </c>
      <c r="R44" s="23">
        <v>1.5034278154191556</v>
      </c>
      <c r="S44" s="23">
        <v>1.5</v>
      </c>
      <c r="T44" s="23">
        <v>0.19850919593850183</v>
      </c>
      <c r="U44" s="23">
        <v>0.9641713911064832</v>
      </c>
      <c r="V44" s="23">
        <v>0.8354141333506605</v>
      </c>
      <c r="W44" s="23">
        <v>0.88721697778408681</v>
      </c>
      <c r="X44" s="23">
        <v>-8.6704701128895209E-2</v>
      </c>
      <c r="Y44" s="23">
        <v>0.25096831943247694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32.97060256618483</v>
      </c>
      <c r="E45" s="23">
        <v>43.073414834990814</v>
      </c>
      <c r="F45" s="23">
        <v>41.554059331698248</v>
      </c>
      <c r="G45" s="23">
        <v>41.69688179840464</v>
      </c>
      <c r="H45" s="23">
        <v>44.040913370246855</v>
      </c>
      <c r="I45" s="23">
        <v>52.250254416209728</v>
      </c>
      <c r="J45" s="23">
        <v>65.609179885251436</v>
      </c>
      <c r="K45" s="23">
        <v>53.161786057316448</v>
      </c>
      <c r="L45" s="23">
        <v>74.298543225040021</v>
      </c>
      <c r="M45" s="23">
        <v>66.968908936091864</v>
      </c>
      <c r="N45" s="23">
        <v>109.94130252492313</v>
      </c>
      <c r="O45" s="23">
        <v>82.103059511088816</v>
      </c>
      <c r="P45" s="23">
        <v>81.671100437856481</v>
      </c>
      <c r="Q45" s="23">
        <v>71.755662768828202</v>
      </c>
      <c r="R45" s="23">
        <v>61.440083390129494</v>
      </c>
      <c r="S45" s="23">
        <v>62.7</v>
      </c>
      <c r="T45" s="23">
        <v>60.247540967335311</v>
      </c>
      <c r="U45" s="23">
        <v>64.117397508581135</v>
      </c>
      <c r="V45" s="23">
        <v>89.853431231493261</v>
      </c>
      <c r="W45" s="23">
        <v>77.010433671658745</v>
      </c>
      <c r="X45" s="23">
        <v>84.450378899543935</v>
      </c>
      <c r="Y45" s="23">
        <v>111.34627772154228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31.184018190677278</v>
      </c>
      <c r="E46" s="23">
        <v>41.014758978906691</v>
      </c>
      <c r="F46" s="23">
        <v>41.241622795369686</v>
      </c>
      <c r="G46" s="23">
        <v>41.532071988924777</v>
      </c>
      <c r="H46" s="23">
        <v>44.67918747706203</v>
      </c>
      <c r="I46" s="23">
        <v>54.376718258729881</v>
      </c>
      <c r="J46" s="23">
        <v>66.419169760377997</v>
      </c>
      <c r="K46" s="23">
        <v>53.720208179767255</v>
      </c>
      <c r="L46" s="23">
        <v>64.633692073815311</v>
      </c>
      <c r="M46" s="23">
        <v>61.67583365935608</v>
      </c>
      <c r="N46" s="23">
        <v>78.962079567688434</v>
      </c>
      <c r="O46" s="23">
        <v>86.791547637220049</v>
      </c>
      <c r="P46" s="23">
        <v>89.33100085915099</v>
      </c>
      <c r="Q46" s="23">
        <v>108.14457437239349</v>
      </c>
      <c r="R46" s="23">
        <v>72.364992182175357</v>
      </c>
      <c r="S46" s="23">
        <v>78.900000000000006</v>
      </c>
      <c r="T46" s="23">
        <v>82.778334706355267</v>
      </c>
      <c r="U46" s="23">
        <v>89.957190790234876</v>
      </c>
      <c r="V46" s="23">
        <v>80.94234714241955</v>
      </c>
      <c r="W46" s="23">
        <v>127.40435800979488</v>
      </c>
      <c r="X46" s="23">
        <v>115.66407130594621</v>
      </c>
      <c r="Y46" s="23">
        <v>134.51901921580767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67.890206269286992</v>
      </c>
      <c r="E47" s="23">
        <v>89.313992525495649</v>
      </c>
      <c r="F47" s="23">
        <v>84.514083076874996</v>
      </c>
      <c r="G47" s="23">
        <v>122.78330806249588</v>
      </c>
      <c r="H47" s="23">
        <v>130.04834926359126</v>
      </c>
      <c r="I47" s="23">
        <v>153.71295775931466</v>
      </c>
      <c r="J47" s="23">
        <v>175.49780627742152</v>
      </c>
      <c r="K47" s="23">
        <v>227.50117268645715</v>
      </c>
      <c r="L47" s="23">
        <v>215.84834237735205</v>
      </c>
      <c r="M47" s="23">
        <v>175.24681840149128</v>
      </c>
      <c r="N47" s="23">
        <v>206.02347899003072</v>
      </c>
      <c r="O47" s="23">
        <v>237.25930610375732</v>
      </c>
      <c r="P47" s="23">
        <v>245.9449108242674</v>
      </c>
      <c r="Q47" s="23">
        <v>270.97473219396522</v>
      </c>
      <c r="R47" s="23">
        <v>256.58501383153589</v>
      </c>
      <c r="S47" s="23">
        <v>239.6</v>
      </c>
      <c r="T47" s="23">
        <v>252.60295183174358</v>
      </c>
      <c r="U47" s="23">
        <v>269.58232095337274</v>
      </c>
      <c r="V47" s="23">
        <v>277.45031606501374</v>
      </c>
      <c r="W47" s="23">
        <v>287.9906309887146</v>
      </c>
      <c r="X47" s="23">
        <v>270.60537222328196</v>
      </c>
      <c r="Y47" s="23">
        <v>293.71658984247551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163.39126197823614</v>
      </c>
      <c r="E48" s="23">
        <v>159.30829163235572</v>
      </c>
      <c r="F48" s="23">
        <v>156.06204989611484</v>
      </c>
      <c r="G48" s="23">
        <v>204.03454413606698</v>
      </c>
      <c r="H48" s="23">
        <v>248.28862755110183</v>
      </c>
      <c r="I48" s="23">
        <v>215.53229946686511</v>
      </c>
      <c r="J48" s="23">
        <v>287.00641241984476</v>
      </c>
      <c r="K48" s="23">
        <v>267.70756550291497</v>
      </c>
      <c r="L48" s="23">
        <v>271.11920989841843</v>
      </c>
      <c r="M48" s="23">
        <v>207.81073803880054</v>
      </c>
      <c r="N48" s="23">
        <v>255.05450479828565</v>
      </c>
      <c r="O48" s="23">
        <v>292.43081754148767</v>
      </c>
      <c r="P48" s="23">
        <v>270.78783110954697</v>
      </c>
      <c r="Q48" s="23">
        <v>184.19331098209176</v>
      </c>
      <c r="R48" s="23">
        <v>214.48903499979954</v>
      </c>
      <c r="S48" s="23">
        <v>233.9</v>
      </c>
      <c r="T48" s="23">
        <v>228.68259372115412</v>
      </c>
      <c r="U48" s="23">
        <v>248.37055034903008</v>
      </c>
      <c r="V48" s="23">
        <v>260.18509064243347</v>
      </c>
      <c r="W48" s="23">
        <v>304.58158847327701</v>
      </c>
      <c r="X48" s="23">
        <v>289.5069970693811</v>
      </c>
      <c r="Y48" s="23">
        <v>305.42844474932446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25.17459801851551</v>
      </c>
      <c r="E49" s="23">
        <v>26.445809843542154</v>
      </c>
      <c r="F49" s="23">
        <v>29.369034414884474</v>
      </c>
      <c r="G49" s="23">
        <v>38.400685608807436</v>
      </c>
      <c r="H49" s="23">
        <v>47.07271537761892</v>
      </c>
      <c r="I49" s="23">
        <v>50.883241946018195</v>
      </c>
      <c r="J49" s="23">
        <v>35.504556193047584</v>
      </c>
      <c r="K49" s="23">
        <v>47.689249257298577</v>
      </c>
      <c r="L49" s="23">
        <v>60.103293096678719</v>
      </c>
      <c r="M49" s="23">
        <v>45.336340413780405</v>
      </c>
      <c r="N49" s="23">
        <v>47.633466877853344</v>
      </c>
      <c r="O49" s="23">
        <v>71.199598752644093</v>
      </c>
      <c r="P49" s="23">
        <v>62.003788545343504</v>
      </c>
      <c r="Q49" s="23">
        <v>95.57200098127403</v>
      </c>
      <c r="R49" s="23">
        <v>57.430942549011746</v>
      </c>
      <c r="S49" s="23">
        <v>145.1</v>
      </c>
      <c r="T49" s="23">
        <v>132.70339748488846</v>
      </c>
      <c r="U49" s="23">
        <v>143.46870299664471</v>
      </c>
      <c r="V49" s="23">
        <v>104.05547149845449</v>
      </c>
      <c r="W49" s="23">
        <v>93.157782667329116</v>
      </c>
      <c r="X49" s="23">
        <v>132.22466922156519</v>
      </c>
      <c r="Y49" s="23">
        <v>182.03568769502328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28.260516485301281</v>
      </c>
      <c r="E50" s="23">
        <v>35.630582124532843</v>
      </c>
      <c r="F50" s="23">
        <v>37.336166091262712</v>
      </c>
      <c r="G50" s="23">
        <v>35.598918847649813</v>
      </c>
      <c r="H50" s="23">
        <v>26.807512486237215</v>
      </c>
      <c r="I50" s="23">
        <v>30.074274344213737</v>
      </c>
      <c r="J50" s="23">
        <v>37.394532568342896</v>
      </c>
      <c r="K50" s="23">
        <v>63.883490808371867</v>
      </c>
      <c r="L50" s="23">
        <v>56.881676046270478</v>
      </c>
      <c r="M50" s="23">
        <v>35.555657837203412</v>
      </c>
      <c r="N50" s="23">
        <v>42.858473865647994</v>
      </c>
      <c r="O50" s="23">
        <v>57.897376627341522</v>
      </c>
      <c r="P50" s="23">
        <v>66.454811763122763</v>
      </c>
      <c r="Q50" s="23">
        <v>77.888625398642574</v>
      </c>
      <c r="R50" s="23">
        <v>72.264763661147398</v>
      </c>
      <c r="S50" s="23">
        <v>71.900000000000006</v>
      </c>
      <c r="T50" s="23">
        <v>72.852874909430184</v>
      </c>
      <c r="U50" s="23">
        <v>85.425585252034409</v>
      </c>
      <c r="V50" s="23">
        <v>94.216149483435601</v>
      </c>
      <c r="W50" s="23">
        <v>104.86904677407907</v>
      </c>
      <c r="X50" s="23">
        <v>114.97043369691504</v>
      </c>
      <c r="Y50" s="23">
        <v>128.07749901704074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49.049861945752802</v>
      </c>
      <c r="E51" s="23">
        <v>49.724456831570279</v>
      </c>
      <c r="F51" s="23">
        <v>46.396825644790901</v>
      </c>
      <c r="G51" s="23">
        <v>62.627727602346887</v>
      </c>
      <c r="H51" s="23">
        <v>63.189136574702012</v>
      </c>
      <c r="I51" s="23">
        <v>70.932758175494016</v>
      </c>
      <c r="J51" s="23">
        <v>63.854201822477215</v>
      </c>
      <c r="K51" s="23">
        <v>90.464383837030084</v>
      </c>
      <c r="L51" s="23">
        <v>72.385708101360137</v>
      </c>
      <c r="M51" s="23">
        <v>55.117022990357391</v>
      </c>
      <c r="N51" s="23">
        <v>49.846268517655822</v>
      </c>
      <c r="O51" s="23">
        <v>64.112349259655019</v>
      </c>
      <c r="P51" s="23">
        <v>67.903982113097385</v>
      </c>
      <c r="Q51" s="23">
        <v>75.844304522037788</v>
      </c>
      <c r="R51" s="23">
        <v>70.360421761616479</v>
      </c>
      <c r="S51" s="23">
        <v>70.900000000000006</v>
      </c>
      <c r="T51" s="23">
        <v>72.356601919583937</v>
      </c>
      <c r="U51" s="23">
        <v>80.411894018280691</v>
      </c>
      <c r="V51" s="23">
        <v>97.186510846460166</v>
      </c>
      <c r="W51" s="23">
        <v>86.14876854283483</v>
      </c>
      <c r="X51" s="23">
        <v>78.20764041826348</v>
      </c>
      <c r="Y51" s="23">
        <v>89.261065611484312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38.655189215527045</v>
      </c>
      <c r="E52" s="23">
        <v>48.140875403813261</v>
      </c>
      <c r="F52" s="23">
        <v>47.021698717448011</v>
      </c>
      <c r="G52" s="23">
        <v>43.01536027424352</v>
      </c>
      <c r="H52" s="23">
        <v>44.99832453046961</v>
      </c>
      <c r="I52" s="23">
        <v>47.845436456703673</v>
      </c>
      <c r="J52" s="23">
        <v>68.849139385757681</v>
      </c>
      <c r="K52" s="23">
        <v>61.649802318568653</v>
      </c>
      <c r="L52" s="23">
        <v>72.6877346998359</v>
      </c>
      <c r="M52" s="23">
        <v>44.530872436885836</v>
      </c>
      <c r="N52" s="23">
        <v>56.950526413863784</v>
      </c>
      <c r="O52" s="23">
        <v>71.308633360228541</v>
      </c>
      <c r="P52" s="23">
        <v>76.495492045089904</v>
      </c>
      <c r="Q52" s="23">
        <v>77.684193310982096</v>
      </c>
      <c r="R52" s="23">
        <v>88.501784067674294</v>
      </c>
      <c r="S52" s="23">
        <v>81.400000000000006</v>
      </c>
      <c r="T52" s="23">
        <v>90.222429554049086</v>
      </c>
      <c r="U52" s="23">
        <v>93.813876354660806</v>
      </c>
      <c r="V52" s="23">
        <v>97.093687053865651</v>
      </c>
      <c r="W52" s="23">
        <v>83.575839307260978</v>
      </c>
      <c r="X52" s="23">
        <v>83.670036589383869</v>
      </c>
      <c r="Y52" s="23">
        <v>94.196775893656351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141.30258242650802</v>
      </c>
      <c r="E53" s="23">
        <v>175.77753848102839</v>
      </c>
      <c r="F53" s="23">
        <v>189.96141408776498</v>
      </c>
      <c r="G53" s="23">
        <v>207.49555013514714</v>
      </c>
      <c r="H53" s="23">
        <v>232.65091193412991</v>
      </c>
      <c r="I53" s="23">
        <v>243.02443914516016</v>
      </c>
      <c r="J53" s="23">
        <v>254.60681741478174</v>
      </c>
      <c r="K53" s="23">
        <v>271.6165203600699</v>
      </c>
      <c r="L53" s="23">
        <v>266.28678432280549</v>
      </c>
      <c r="M53" s="23">
        <v>278.23165259015309</v>
      </c>
      <c r="N53" s="23">
        <v>265.76912326469755</v>
      </c>
      <c r="O53" s="23">
        <v>245.65497088775874</v>
      </c>
      <c r="P53" s="23">
        <v>296.87289740908727</v>
      </c>
      <c r="Q53" s="23">
        <v>266.68165835309401</v>
      </c>
      <c r="R53" s="23">
        <v>246.06101912360646</v>
      </c>
      <c r="S53" s="23">
        <v>257.40000000000146</v>
      </c>
      <c r="T53" s="23">
        <v>253.69475240940255</v>
      </c>
      <c r="U53" s="23">
        <v>262.25461838095862</v>
      </c>
      <c r="V53" s="23">
        <v>247.00411209401</v>
      </c>
      <c r="W53" s="23">
        <v>243.62978209950779</v>
      </c>
      <c r="X53" s="23">
        <v>246.32805590719317</v>
      </c>
      <c r="Y53" s="23">
        <v>295.89164861089193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1907.5848627578384</v>
      </c>
      <c r="E54" s="30">
        <f t="shared" ref="E54:S54" si="4">SUM(E41:E53)</f>
        <v>2019.699752961297</v>
      </c>
      <c r="F54" s="30">
        <f t="shared" si="4"/>
        <v>2151.4379891584535</v>
      </c>
      <c r="G54" s="30">
        <f t="shared" si="4"/>
        <v>2138.4072780011893</v>
      </c>
      <c r="H54" s="30">
        <f t="shared" si="4"/>
        <v>2292.6805916800972</v>
      </c>
      <c r="I54" s="30">
        <f t="shared" si="4"/>
        <v>2388.7783465224711</v>
      </c>
      <c r="J54" s="30">
        <f t="shared" si="4"/>
        <v>2474.9240634492062</v>
      </c>
      <c r="K54" s="30">
        <f t="shared" si="4"/>
        <v>2550.6488865062875</v>
      </c>
      <c r="L54" s="30">
        <f t="shared" si="4"/>
        <v>2371.7142022974153</v>
      </c>
      <c r="M54" s="30">
        <f t="shared" si="4"/>
        <v>2115.9643753020487</v>
      </c>
      <c r="N54" s="30">
        <f t="shared" si="4"/>
        <v>2481.2494176837795</v>
      </c>
      <c r="O54" s="30">
        <f t="shared" si="4"/>
        <v>2519.8988158841603</v>
      </c>
      <c r="P54" s="30">
        <f t="shared" si="4"/>
        <v>2597.5343401616828</v>
      </c>
      <c r="Q54" s="30">
        <f t="shared" si="4"/>
        <v>2583.6127238531353</v>
      </c>
      <c r="R54" s="30">
        <f t="shared" si="4"/>
        <v>2486.8700637453439</v>
      </c>
      <c r="S54" s="30">
        <f t="shared" si="4"/>
        <v>2572.1000000000022</v>
      </c>
      <c r="T54" s="30">
        <f t="shared" ref="T54:Y54" si="5">SUM(T41:T53)</f>
        <v>2560.3716092147943</v>
      </c>
      <c r="U54" s="30">
        <f t="shared" si="5"/>
        <v>2724.0734312931427</v>
      </c>
      <c r="V54" s="30">
        <f t="shared" si="5"/>
        <v>2856.9306884740681</v>
      </c>
      <c r="W54" s="30">
        <f t="shared" si="5"/>
        <v>2886.4717155227459</v>
      </c>
      <c r="X54" s="30">
        <f t="shared" si="5"/>
        <v>2889.7809839249508</v>
      </c>
      <c r="Y54" s="30">
        <f t="shared" si="5"/>
        <v>3454.2442925621367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617.83336040279357</v>
      </c>
      <c r="E56" s="19">
        <v>621.39735225185279</v>
      </c>
      <c r="F56" s="19">
        <v>666.1146954524861</v>
      </c>
      <c r="G56" s="19">
        <v>549.14628518689426</v>
      </c>
      <c r="H56" s="19">
        <v>596.62672134548188</v>
      </c>
      <c r="I56" s="19">
        <v>607.40920758843811</v>
      </c>
      <c r="J56" s="19">
        <v>605.06243671954098</v>
      </c>
      <c r="K56" s="19">
        <v>590.14049900600867</v>
      </c>
      <c r="L56" s="19">
        <v>561.97082423058737</v>
      </c>
      <c r="M56" s="19">
        <v>581.89307987940992</v>
      </c>
      <c r="N56" s="19">
        <v>584.99487561725516</v>
      </c>
      <c r="O56" s="19">
        <v>513.33493250757795</v>
      </c>
      <c r="P56" s="19">
        <v>551.8233668367717</v>
      </c>
      <c r="Q56" s="19">
        <v>570.16109248507644</v>
      </c>
      <c r="R56" s="19">
        <v>541.13378502986802</v>
      </c>
      <c r="S56" s="19">
        <v>534.9</v>
      </c>
      <c r="T56" s="19">
        <v>519.49856577105936</v>
      </c>
      <c r="U56" s="19">
        <v>524.7984881792587</v>
      </c>
      <c r="V56" s="19">
        <v>556.01451764116177</v>
      </c>
      <c r="W56" s="19">
        <v>542.71062531052598</v>
      </c>
      <c r="X56" s="19">
        <v>546.84655001994213</v>
      </c>
      <c r="Y56" s="19">
        <v>514.23408651714533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234.04255319148936</v>
      </c>
      <c r="E57" s="23">
        <v>250.99765629948692</v>
      </c>
      <c r="F57" s="23">
        <v>238.38907721868995</v>
      </c>
      <c r="G57" s="23">
        <v>229.25044498648558</v>
      </c>
      <c r="H57" s="23">
        <v>230.25738403357326</v>
      </c>
      <c r="I57" s="23">
        <v>246.9735862812704</v>
      </c>
      <c r="J57" s="23">
        <v>241.24198447519404</v>
      </c>
      <c r="K57" s="23">
        <v>172.10569813933751</v>
      </c>
      <c r="L57" s="23">
        <v>153.63086309134292</v>
      </c>
      <c r="M57" s="23">
        <v>123.92700158792258</v>
      </c>
      <c r="N57" s="23">
        <v>147.20954066896488</v>
      </c>
      <c r="O57" s="23">
        <v>154.28396973199293</v>
      </c>
      <c r="P57" s="23">
        <v>135.29040338691811</v>
      </c>
      <c r="Q57" s="23">
        <v>137.5827949955025</v>
      </c>
      <c r="R57" s="23">
        <v>128.29250691576794</v>
      </c>
      <c r="S57" s="23">
        <v>115.2</v>
      </c>
      <c r="T57" s="23">
        <v>120.59433653263987</v>
      </c>
      <c r="U57" s="23">
        <v>131.51297774692429</v>
      </c>
      <c r="V57" s="23">
        <v>137.47203683248091</v>
      </c>
      <c r="W57" s="23">
        <v>123.14571651643126</v>
      </c>
      <c r="X57" s="23">
        <v>120.60623927029323</v>
      </c>
      <c r="Y57" s="23">
        <v>116.53295632314682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376.80688647068376</v>
      </c>
      <c r="E58" s="23">
        <v>386.71058465826309</v>
      </c>
      <c r="F58" s="23">
        <v>467.09262181119459</v>
      </c>
      <c r="G58" s="23">
        <v>443.99762673874341</v>
      </c>
      <c r="H58" s="23">
        <v>469.76974261596638</v>
      </c>
      <c r="I58" s="23">
        <v>491.51692817108926</v>
      </c>
      <c r="J58" s="23">
        <v>429.56463044211944</v>
      </c>
      <c r="K58" s="23">
        <v>533.85154906296771</v>
      </c>
      <c r="L58" s="23">
        <v>384.78188645813412</v>
      </c>
      <c r="M58" s="23">
        <v>347.38683174924626</v>
      </c>
      <c r="N58" s="23">
        <v>538.06018820460258</v>
      </c>
      <c r="O58" s="23">
        <v>549.20731840286112</v>
      </c>
      <c r="P58" s="23">
        <v>552.13390334033761</v>
      </c>
      <c r="Q58" s="23">
        <v>532.54558835554838</v>
      </c>
      <c r="R58" s="23">
        <v>566.69205789199373</v>
      </c>
      <c r="S58" s="23">
        <v>569.79999999999995</v>
      </c>
      <c r="T58" s="23">
        <v>569.02661015771548</v>
      </c>
      <c r="U58" s="23">
        <v>616.4911874734853</v>
      </c>
      <c r="V58" s="23">
        <v>700.355515125637</v>
      </c>
      <c r="W58" s="23">
        <v>686.26233231599122</v>
      </c>
      <c r="X58" s="23">
        <v>673.78223247264464</v>
      </c>
      <c r="Y58" s="23">
        <v>1051.306290102646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44.0149423420497</v>
      </c>
      <c r="E59" s="23">
        <v>38.005954266168366</v>
      </c>
      <c r="F59" s="23">
        <v>45.615734303969504</v>
      </c>
      <c r="G59" s="23">
        <v>48.618893796558773</v>
      </c>
      <c r="H59" s="23">
        <v>44.200481896950649</v>
      </c>
      <c r="I59" s="23">
        <v>47.541655907772224</v>
      </c>
      <c r="J59" s="23">
        <v>45.22443469456632</v>
      </c>
      <c r="K59" s="23">
        <v>32.276798677656416</v>
      </c>
      <c r="L59" s="23">
        <v>36.746569481218984</v>
      </c>
      <c r="M59" s="23">
        <v>33.484454468045932</v>
      </c>
      <c r="N59" s="23">
        <v>40.762135470045649</v>
      </c>
      <c r="O59" s="23">
        <v>39.797631768323264</v>
      </c>
      <c r="P59" s="23">
        <v>43.061061827817859</v>
      </c>
      <c r="Q59" s="23">
        <v>42.215226101888952</v>
      </c>
      <c r="R59" s="23">
        <v>40.592551016317202</v>
      </c>
      <c r="S59" s="23">
        <v>36.299999999999997</v>
      </c>
      <c r="T59" s="23">
        <v>36.02941906283808</v>
      </c>
      <c r="U59" s="23">
        <v>34.999421497165336</v>
      </c>
      <c r="V59" s="23">
        <v>35.551512563700328</v>
      </c>
      <c r="W59" s="23">
        <v>34.867627226914607</v>
      </c>
      <c r="X59" s="23">
        <v>36.155860370749302</v>
      </c>
      <c r="Y59" s="23">
        <v>37.728904021349038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56.845866493422214</v>
      </c>
      <c r="E60" s="23">
        <v>54.000126686514257</v>
      </c>
      <c r="F60" s="23">
        <v>60.144033243247435</v>
      </c>
      <c r="G60" s="23">
        <v>69.055310172061525</v>
      </c>
      <c r="H60" s="23">
        <v>69.093172062742426</v>
      </c>
      <c r="I60" s="23">
        <v>74.88190531160285</v>
      </c>
      <c r="J60" s="23">
        <v>99.088761390482631</v>
      </c>
      <c r="K60" s="23">
        <v>84.433424914561442</v>
      </c>
      <c r="L60" s="23">
        <v>80.238399661730199</v>
      </c>
      <c r="M60" s="23">
        <v>58.56902860561987</v>
      </c>
      <c r="N60" s="23">
        <v>56.950526413863855</v>
      </c>
      <c r="O60" s="23">
        <v>54.081165361885759</v>
      </c>
      <c r="P60" s="23">
        <v>57.759789663274894</v>
      </c>
      <c r="Q60" s="23">
        <v>70.835718374355963</v>
      </c>
      <c r="R60" s="23">
        <v>69.157679509281138</v>
      </c>
      <c r="S60" s="23">
        <v>72.600000000000094</v>
      </c>
      <c r="T60" s="23">
        <v>68.882690990660194</v>
      </c>
      <c r="U60" s="23">
        <v>77.905048401403889</v>
      </c>
      <c r="V60" s="23">
        <v>78.714576120151207</v>
      </c>
      <c r="W60" s="23">
        <v>90.22996664064155</v>
      </c>
      <c r="X60" s="23">
        <v>96.849151160975936</v>
      </c>
      <c r="Y60" s="23">
        <v>99.718078921170715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0.16241676140977748</v>
      </c>
      <c r="E61" s="23">
        <v>0.15835814277570151</v>
      </c>
      <c r="F61" s="23">
        <v>0.62487307265711645</v>
      </c>
      <c r="G61" s="23">
        <v>1.1536686663590217</v>
      </c>
      <c r="H61" s="23">
        <v>0.95741116022275774</v>
      </c>
      <c r="I61" s="23">
        <v>1.8226832935887114</v>
      </c>
      <c r="J61" s="23">
        <v>0</v>
      </c>
      <c r="K61" s="23">
        <v>0.44673769796064244</v>
      </c>
      <c r="L61" s="23">
        <v>0.10067553282525749</v>
      </c>
      <c r="M61" s="23">
        <v>0.2301337076841645</v>
      </c>
      <c r="N61" s="23">
        <v>0.23292648840026087</v>
      </c>
      <c r="O61" s="23">
        <v>0.43613843033778921</v>
      </c>
      <c r="P61" s="23">
        <v>0</v>
      </c>
      <c r="Q61" s="23">
        <v>1.5332406574535939</v>
      </c>
      <c r="R61" s="23">
        <v>1.5034278154191556</v>
      </c>
      <c r="S61" s="23">
        <v>1.5</v>
      </c>
      <c r="T61" s="23">
        <v>0.19850919593850183</v>
      </c>
      <c r="U61" s="23">
        <v>0.9641713911064832</v>
      </c>
      <c r="V61" s="23">
        <v>0.8354141333506605</v>
      </c>
      <c r="W61" s="23">
        <v>0.88721697778408681</v>
      </c>
      <c r="X61" s="23">
        <v>-8.6704701128895209E-2</v>
      </c>
      <c r="Y61" s="23">
        <v>0.25096831943247694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32.97060256618483</v>
      </c>
      <c r="E62" s="23">
        <v>43.073414834990814</v>
      </c>
      <c r="F62" s="23">
        <v>41.554059331698248</v>
      </c>
      <c r="G62" s="23">
        <v>41.69688179840464</v>
      </c>
      <c r="H62" s="23">
        <v>44.040913370246855</v>
      </c>
      <c r="I62" s="23">
        <v>52.250254416209728</v>
      </c>
      <c r="J62" s="23">
        <v>65.609179885251436</v>
      </c>
      <c r="K62" s="23">
        <v>53.161786057316448</v>
      </c>
      <c r="L62" s="23">
        <v>74.298543225040021</v>
      </c>
      <c r="M62" s="23">
        <v>66.968908936091864</v>
      </c>
      <c r="N62" s="23">
        <v>109.94130252492313</v>
      </c>
      <c r="O62" s="23">
        <v>82.103059511088816</v>
      </c>
      <c r="P62" s="23">
        <v>81.671100437856481</v>
      </c>
      <c r="Q62" s="23">
        <v>71.755662768828202</v>
      </c>
      <c r="R62" s="23">
        <v>61.440083390129494</v>
      </c>
      <c r="S62" s="23">
        <v>62.7</v>
      </c>
      <c r="T62" s="23">
        <v>60.247540967335311</v>
      </c>
      <c r="U62" s="23">
        <v>64.117397508581135</v>
      </c>
      <c r="V62" s="23">
        <v>89.853431231493261</v>
      </c>
      <c r="W62" s="23">
        <v>77.010433671658745</v>
      </c>
      <c r="X62" s="23">
        <v>84.450378899543935</v>
      </c>
      <c r="Y62" s="23">
        <v>111.34627772154228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31.184018190677278</v>
      </c>
      <c r="E63" s="23">
        <v>41.014758978906691</v>
      </c>
      <c r="F63" s="23">
        <v>41.241622795369686</v>
      </c>
      <c r="G63" s="23">
        <v>41.532071988924777</v>
      </c>
      <c r="H63" s="23">
        <v>44.67918747706203</v>
      </c>
      <c r="I63" s="23">
        <v>54.376718258729881</v>
      </c>
      <c r="J63" s="23">
        <v>66.419169760377997</v>
      </c>
      <c r="K63" s="23">
        <v>53.720208179767255</v>
      </c>
      <c r="L63" s="23">
        <v>64.633692073815311</v>
      </c>
      <c r="M63" s="23">
        <v>61.67583365935608</v>
      </c>
      <c r="N63" s="23">
        <v>78.962079567688434</v>
      </c>
      <c r="O63" s="23">
        <v>86.791547637220049</v>
      </c>
      <c r="P63" s="23">
        <v>89.33100085915099</v>
      </c>
      <c r="Q63" s="23">
        <v>108.14457437239349</v>
      </c>
      <c r="R63" s="23">
        <v>72.364992182175357</v>
      </c>
      <c r="S63" s="23">
        <v>78.900000000000006</v>
      </c>
      <c r="T63" s="23">
        <v>82.778334706355267</v>
      </c>
      <c r="U63" s="23">
        <v>89.957190790234876</v>
      </c>
      <c r="V63" s="23">
        <v>80.94234714241955</v>
      </c>
      <c r="W63" s="23">
        <v>127.40435800979488</v>
      </c>
      <c r="X63" s="23">
        <v>115.66407130594621</v>
      </c>
      <c r="Y63" s="23">
        <v>134.51901921580767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27.773266201071955</v>
      </c>
      <c r="E64" s="23">
        <v>32.621777411794511</v>
      </c>
      <c r="F64" s="23">
        <v>36.555074750441314</v>
      </c>
      <c r="G64" s="23">
        <v>54.222427318874018</v>
      </c>
      <c r="H64" s="23">
        <v>57.923375193476836</v>
      </c>
      <c r="I64" s="23">
        <v>70.780867901028287</v>
      </c>
      <c r="J64" s="23">
        <v>68.03914951063112</v>
      </c>
      <c r="K64" s="23">
        <v>79.295941388014029</v>
      </c>
      <c r="L64" s="23">
        <v>68.660713386825606</v>
      </c>
      <c r="M64" s="23">
        <v>50.62941569051619</v>
      </c>
      <c r="N64" s="23">
        <v>59.163328053666262</v>
      </c>
      <c r="O64" s="23">
        <v>58.769653488017099</v>
      </c>
      <c r="P64" s="23">
        <v>65.626714420280109</v>
      </c>
      <c r="Q64" s="23">
        <v>67.769237059448855</v>
      </c>
      <c r="R64" s="23">
        <v>61.941225995269207</v>
      </c>
      <c r="S64" s="23">
        <v>66.2</v>
      </c>
      <c r="T64" s="23">
        <v>68.287163402844627</v>
      </c>
      <c r="U64" s="23">
        <v>73.084191445871426</v>
      </c>
      <c r="V64" s="23">
        <v>72.588205808912946</v>
      </c>
      <c r="W64" s="23">
        <v>73.017957271630351</v>
      </c>
      <c r="X64" s="23">
        <v>78.034231016005691</v>
      </c>
      <c r="Y64" s="23">
        <v>88.006224014321916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40.116940068215037</v>
      </c>
      <c r="E65" s="23">
        <v>56.692215113701138</v>
      </c>
      <c r="F65" s="23">
        <v>47.959008326433683</v>
      </c>
      <c r="G65" s="23">
        <v>68.560880743621851</v>
      </c>
      <c r="H65" s="23">
        <v>72.124974070114433</v>
      </c>
      <c r="I65" s="23">
        <v>82.932089858286375</v>
      </c>
      <c r="J65" s="23">
        <v>107.4586567667904</v>
      </c>
      <c r="K65" s="23">
        <v>148.20523129844312</v>
      </c>
      <c r="L65" s="23">
        <v>147.18762899052643</v>
      </c>
      <c r="M65" s="23">
        <v>124.61740271097509</v>
      </c>
      <c r="N65" s="23">
        <v>146.86015093636445</v>
      </c>
      <c r="O65" s="23">
        <v>178.48965261574023</v>
      </c>
      <c r="P65" s="23">
        <v>180.31819640398729</v>
      </c>
      <c r="Q65" s="23">
        <v>203.20549513451635</v>
      </c>
      <c r="R65" s="23">
        <v>194.64378783626668</v>
      </c>
      <c r="S65" s="23">
        <v>173.39999999999998</v>
      </c>
      <c r="T65" s="23">
        <v>184.31578842889894</v>
      </c>
      <c r="U65" s="23">
        <v>196.49812950750132</v>
      </c>
      <c r="V65" s="23">
        <v>204.86211025610078</v>
      </c>
      <c r="W65" s="23">
        <v>214.97267371708426</v>
      </c>
      <c r="X65" s="23">
        <v>192.57114120727627</v>
      </c>
      <c r="Y65" s="23">
        <v>205.71036582815361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90.628552866655838</v>
      </c>
      <c r="E66" s="23">
        <v>81.871159815037686</v>
      </c>
      <c r="F66" s="23">
        <v>81.233499445425139</v>
      </c>
      <c r="G66" s="23">
        <v>118.49825301601952</v>
      </c>
      <c r="H66" s="23">
        <v>153.02621710893743</v>
      </c>
      <c r="I66" s="23">
        <v>101.00703251970776</v>
      </c>
      <c r="J66" s="23">
        <v>120.41849476881538</v>
      </c>
      <c r="K66" s="23">
        <v>82.981527396189335</v>
      </c>
      <c r="L66" s="23">
        <v>83.661367777788968</v>
      </c>
      <c r="M66" s="23">
        <v>53.966354451936574</v>
      </c>
      <c r="N66" s="23">
        <v>100.74070623311283</v>
      </c>
      <c r="O66" s="23">
        <v>105.3274309265761</v>
      </c>
      <c r="P66" s="23">
        <v>59.105447845394224</v>
      </c>
      <c r="Q66" s="23">
        <v>20.646823125357756</v>
      </c>
      <c r="R66" s="23">
        <v>1.897486268692619</v>
      </c>
      <c r="S66" s="23">
        <v>22.4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72.762709111580307</v>
      </c>
      <c r="E67" s="23">
        <v>77.437131817318033</v>
      </c>
      <c r="F67" s="23">
        <v>74.828550450689704</v>
      </c>
      <c r="G67" s="23">
        <v>85.536291120047466</v>
      </c>
      <c r="H67" s="23">
        <v>95.262410442164395</v>
      </c>
      <c r="I67" s="23">
        <v>114.52526694715735</v>
      </c>
      <c r="J67" s="23">
        <v>166.58791765102939</v>
      </c>
      <c r="K67" s="23">
        <v>184.72603810672564</v>
      </c>
      <c r="L67" s="23">
        <v>187.45784212062946</v>
      </c>
      <c r="M67" s="23">
        <v>153.84438358686396</v>
      </c>
      <c r="N67" s="23">
        <v>154.31379856517282</v>
      </c>
      <c r="O67" s="23">
        <v>187.10338661491159</v>
      </c>
      <c r="P67" s="23">
        <v>211.68238326415275</v>
      </c>
      <c r="Q67" s="23">
        <v>163.54648785673402</v>
      </c>
      <c r="R67" s="23">
        <v>212.59154873110691</v>
      </c>
      <c r="S67" s="23">
        <v>211.5</v>
      </c>
      <c r="T67" s="23">
        <v>228.68259372115412</v>
      </c>
      <c r="U67" s="23">
        <v>248.37055034903008</v>
      </c>
      <c r="V67" s="23">
        <v>260.18509064243347</v>
      </c>
      <c r="W67" s="23">
        <v>304.58158847327701</v>
      </c>
      <c r="X67" s="23">
        <v>289.5069970693811</v>
      </c>
      <c r="Y67" s="23">
        <v>305.42844474932446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25.17459801851551</v>
      </c>
      <c r="E68" s="23">
        <v>26.445809843542154</v>
      </c>
      <c r="F68" s="23">
        <v>29.369034414884474</v>
      </c>
      <c r="G68" s="23">
        <v>38.400685608807436</v>
      </c>
      <c r="H68" s="23">
        <v>47.07271537761892</v>
      </c>
      <c r="I68" s="23">
        <v>50.883241946018195</v>
      </c>
      <c r="J68" s="23">
        <v>35.504556193047584</v>
      </c>
      <c r="K68" s="23">
        <v>47.689249257298577</v>
      </c>
      <c r="L68" s="23">
        <v>60.103293096678719</v>
      </c>
      <c r="M68" s="23">
        <v>45.336340413780405</v>
      </c>
      <c r="N68" s="23">
        <v>47.633466877853344</v>
      </c>
      <c r="O68" s="23">
        <v>71.199598752644093</v>
      </c>
      <c r="P68" s="23">
        <v>62.003788545343504</v>
      </c>
      <c r="Q68" s="23">
        <v>95.57200098127403</v>
      </c>
      <c r="R68" s="23">
        <v>57.430942549011746</v>
      </c>
      <c r="S68" s="23">
        <v>145.1</v>
      </c>
      <c r="T68" s="23">
        <v>132.70339748488846</v>
      </c>
      <c r="U68" s="23">
        <v>143.46870299664471</v>
      </c>
      <c r="V68" s="23">
        <v>104.05547149845449</v>
      </c>
      <c r="W68" s="23">
        <v>93.157782667329116</v>
      </c>
      <c r="X68" s="23">
        <v>132.22466922156519</v>
      </c>
      <c r="Y68" s="23">
        <v>182.03568769502328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28.260516485301281</v>
      </c>
      <c r="E69" s="23">
        <v>35.630582124532843</v>
      </c>
      <c r="F69" s="23">
        <v>37.336166091262712</v>
      </c>
      <c r="G69" s="23">
        <v>35.598918847649813</v>
      </c>
      <c r="H69" s="23">
        <v>26.807512486237215</v>
      </c>
      <c r="I69" s="23">
        <v>30.074274344213737</v>
      </c>
      <c r="J69" s="23">
        <v>37.394532568342896</v>
      </c>
      <c r="K69" s="23">
        <v>63.883490808371867</v>
      </c>
      <c r="L69" s="23">
        <v>56.881676046270478</v>
      </c>
      <c r="M69" s="23">
        <v>35.555657837203412</v>
      </c>
      <c r="N69" s="23">
        <v>42.858473865647994</v>
      </c>
      <c r="O69" s="23">
        <v>57.897376627341522</v>
      </c>
      <c r="P69" s="23">
        <v>66.454811763122763</v>
      </c>
      <c r="Q69" s="23">
        <v>77.888625398642574</v>
      </c>
      <c r="R69" s="23">
        <v>72.264763661147398</v>
      </c>
      <c r="S69" s="23">
        <v>71.900000000000006</v>
      </c>
      <c r="T69" s="23">
        <v>72.852874909430184</v>
      </c>
      <c r="U69" s="23">
        <v>85.425585252034409</v>
      </c>
      <c r="V69" s="23">
        <v>94.216149483435601</v>
      </c>
      <c r="W69" s="23">
        <v>104.86904677407907</v>
      </c>
      <c r="X69" s="23">
        <v>114.97043369691504</v>
      </c>
      <c r="Y69" s="23">
        <v>128.07749901704074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49.049861945752802</v>
      </c>
      <c r="E70" s="23">
        <v>49.724456831570279</v>
      </c>
      <c r="F70" s="23">
        <v>46.396825644790901</v>
      </c>
      <c r="G70" s="23">
        <v>62.627727602346887</v>
      </c>
      <c r="H70" s="23">
        <v>63.189136574702012</v>
      </c>
      <c r="I70" s="23">
        <v>70.932758175494016</v>
      </c>
      <c r="J70" s="23">
        <v>63.854201822477215</v>
      </c>
      <c r="K70" s="23">
        <v>90.464383837030084</v>
      </c>
      <c r="L70" s="23">
        <v>72.385708101360137</v>
      </c>
      <c r="M70" s="23">
        <v>55.117022990357391</v>
      </c>
      <c r="N70" s="23">
        <v>49.846268517655822</v>
      </c>
      <c r="O70" s="23">
        <v>64.112349259655019</v>
      </c>
      <c r="P70" s="23">
        <v>67.903982113097385</v>
      </c>
      <c r="Q70" s="23">
        <v>75.844304522037788</v>
      </c>
      <c r="R70" s="23">
        <v>70.360421761616479</v>
      </c>
      <c r="S70" s="23">
        <v>70.900000000000006</v>
      </c>
      <c r="T70" s="23">
        <v>72.356601919583937</v>
      </c>
      <c r="U70" s="23">
        <v>80.411894018280691</v>
      </c>
      <c r="V70" s="23">
        <v>97.186510846460166</v>
      </c>
      <c r="W70" s="23">
        <v>86.14876854283483</v>
      </c>
      <c r="X70" s="23">
        <v>78.20764041826348</v>
      </c>
      <c r="Y70" s="23">
        <v>89.261065611484312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7.9584213090790978</v>
      </c>
      <c r="E71" s="23">
        <v>6.6510419965794636</v>
      </c>
      <c r="F71" s="23">
        <v>9.060659553528188</v>
      </c>
      <c r="G71" s="23">
        <v>8.4053002834728705</v>
      </c>
      <c r="H71" s="23">
        <v>9.8932486556351638</v>
      </c>
      <c r="I71" s="23">
        <v>16.10036909336695</v>
      </c>
      <c r="J71" s="23">
        <v>24.839689503881196</v>
      </c>
      <c r="K71" s="23">
        <v>27.58605284906967</v>
      </c>
      <c r="L71" s="23">
        <v>28.189149191072097</v>
      </c>
      <c r="M71" s="23">
        <v>17.02989436862817</v>
      </c>
      <c r="N71" s="23">
        <v>30.047517003633651</v>
      </c>
      <c r="O71" s="23">
        <v>37.289835793880982</v>
      </c>
      <c r="P71" s="23">
        <v>43.371598331383858</v>
      </c>
      <c r="Q71" s="23">
        <v>49.676997301496449</v>
      </c>
      <c r="R71" s="23">
        <v>48.811289740608586</v>
      </c>
      <c r="S71" s="23">
        <v>49.3</v>
      </c>
      <c r="T71" s="23">
        <v>58.361703605919544</v>
      </c>
      <c r="U71" s="23">
        <v>63.828146091249181</v>
      </c>
      <c r="V71" s="23">
        <v>75.37291958674848</v>
      </c>
      <c r="W71" s="23">
        <v>52.523245084817944</v>
      </c>
      <c r="X71" s="23">
        <v>52.543048884110497</v>
      </c>
      <c r="Y71" s="23">
        <v>61.403582154479373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30.696767906447946</v>
      </c>
      <c r="E72" s="23">
        <v>41.489833407233796</v>
      </c>
      <c r="F72" s="23">
        <v>37.961039163919821</v>
      </c>
      <c r="G72" s="23">
        <v>34.610059990770651</v>
      </c>
      <c r="H72" s="23">
        <v>35.105075874834448</v>
      </c>
      <c r="I72" s="23">
        <v>31.745067363336723</v>
      </c>
      <c r="J72" s="23">
        <v>44.009449881876485</v>
      </c>
      <c r="K72" s="23">
        <v>34.063749469498987</v>
      </c>
      <c r="L72" s="23">
        <v>44.498585508763803</v>
      </c>
      <c r="M72" s="23">
        <v>27.500978068257666</v>
      </c>
      <c r="N72" s="23">
        <v>26.903009410230133</v>
      </c>
      <c r="O72" s="23">
        <v>34.018797566347558</v>
      </c>
      <c r="P72" s="23">
        <v>33.123893713706046</v>
      </c>
      <c r="Q72" s="23">
        <v>28.007196009485646</v>
      </c>
      <c r="R72" s="23">
        <v>39.690494327065707</v>
      </c>
      <c r="S72" s="23">
        <v>32.100000000000009</v>
      </c>
      <c r="T72" s="23">
        <v>31.860725948129542</v>
      </c>
      <c r="U72" s="23">
        <v>29.985730263411625</v>
      </c>
      <c r="V72" s="23">
        <v>21.72076746711717</v>
      </c>
      <c r="W72" s="23">
        <v>31.052594222443034</v>
      </c>
      <c r="X72" s="23">
        <v>31.126987705273372</v>
      </c>
      <c r="Y72" s="23">
        <v>32.793193739176978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89.004385252558066</v>
      </c>
      <c r="E73" s="23">
        <v>89.313992525495649</v>
      </c>
      <c r="F73" s="23">
        <v>104.66623967006701</v>
      </c>
      <c r="G73" s="23">
        <v>120.97040015821743</v>
      </c>
      <c r="H73" s="23">
        <v>149.03700394134262</v>
      </c>
      <c r="I73" s="23">
        <v>154.92807995504046</v>
      </c>
      <c r="J73" s="23">
        <v>150.25312183597705</v>
      </c>
      <c r="K73" s="23">
        <v>144.85469856373828</v>
      </c>
      <c r="L73" s="23">
        <v>122.82415004681413</v>
      </c>
      <c r="M73" s="23">
        <v>131.6364807953421</v>
      </c>
      <c r="N73" s="23">
        <v>115.99739122332991</v>
      </c>
      <c r="O73" s="23">
        <v>105.98163857208279</v>
      </c>
      <c r="P73" s="23">
        <v>114.69148198370719</v>
      </c>
      <c r="Q73" s="23">
        <v>122.14817237713632</v>
      </c>
      <c r="R73" s="23">
        <v>121.37673896483983</v>
      </c>
      <c r="S73" s="23">
        <v>128.9</v>
      </c>
      <c r="T73" s="23">
        <v>132.70339748488846</v>
      </c>
      <c r="U73" s="23">
        <v>135.17682903312891</v>
      </c>
      <c r="V73" s="23">
        <v>141.37063612145067</v>
      </c>
      <c r="W73" s="23">
        <v>142.48704663212436</v>
      </c>
      <c r="X73" s="23">
        <v>150.86617996427765</v>
      </c>
      <c r="Y73" s="23">
        <v>199.68712616177416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52.298197173949958</v>
      </c>
      <c r="E74" s="23">
        <v>86.463545955532737</v>
      </c>
      <c r="F74" s="23">
        <v>85.295174417697964</v>
      </c>
      <c r="G74" s="23">
        <v>86.525149976929711</v>
      </c>
      <c r="H74" s="23">
        <v>83.61390799278729</v>
      </c>
      <c r="I74" s="23">
        <v>88.096359190119699</v>
      </c>
      <c r="J74" s="23">
        <v>104.35369557880469</v>
      </c>
      <c r="K74" s="23">
        <v>126.76182179633162</v>
      </c>
      <c r="L74" s="23">
        <v>143.46263427599138</v>
      </c>
      <c r="M74" s="23">
        <v>146.59517179481099</v>
      </c>
      <c r="N74" s="23">
        <v>149.77173204136764</v>
      </c>
      <c r="O74" s="23">
        <v>139.67333231567596</v>
      </c>
      <c r="P74" s="23">
        <v>182.18141542538007</v>
      </c>
      <c r="Q74" s="23">
        <v>144.53348597595769</v>
      </c>
      <c r="R74" s="23">
        <v>124.68428015876663</v>
      </c>
      <c r="S74" s="23">
        <v>128.50000000000145</v>
      </c>
      <c r="T74" s="23">
        <v>120.9913549245141</v>
      </c>
      <c r="U74" s="23">
        <v>127.07778934782971</v>
      </c>
      <c r="V74" s="23">
        <v>105.63347597255932</v>
      </c>
      <c r="W74" s="23">
        <v>101.14273546738343</v>
      </c>
      <c r="X74" s="23">
        <v>95.461875942915526</v>
      </c>
      <c r="Y74" s="23">
        <v>96.204522449117775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1907.584862757838</v>
      </c>
      <c r="E75" s="30">
        <f t="shared" ref="E75:S75" si="6">SUM(E56:E74)</f>
        <v>2019.6997529612968</v>
      </c>
      <c r="F75" s="30">
        <f t="shared" si="6"/>
        <v>2151.4379891584535</v>
      </c>
      <c r="G75" s="30">
        <f t="shared" si="6"/>
        <v>2138.4072780011893</v>
      </c>
      <c r="H75" s="30">
        <f t="shared" si="6"/>
        <v>2292.6805916800968</v>
      </c>
      <c r="I75" s="30">
        <f t="shared" si="6"/>
        <v>2388.7783465224711</v>
      </c>
      <c r="J75" s="30">
        <f t="shared" si="6"/>
        <v>2474.9240634492066</v>
      </c>
      <c r="K75" s="30">
        <f t="shared" si="6"/>
        <v>2550.648886506287</v>
      </c>
      <c r="L75" s="30">
        <f t="shared" si="6"/>
        <v>2371.7142022974158</v>
      </c>
      <c r="M75" s="30">
        <f t="shared" si="6"/>
        <v>2115.9643753020487</v>
      </c>
      <c r="N75" s="30">
        <f t="shared" si="6"/>
        <v>2481.2494176837795</v>
      </c>
      <c r="O75" s="30">
        <f t="shared" si="6"/>
        <v>2519.8988158841607</v>
      </c>
      <c r="P75" s="30">
        <f t="shared" si="6"/>
        <v>2597.5343401616828</v>
      </c>
      <c r="Q75" s="30">
        <f t="shared" si="6"/>
        <v>2583.6127238531353</v>
      </c>
      <c r="R75" s="30">
        <f t="shared" si="6"/>
        <v>2486.8700637453439</v>
      </c>
      <c r="S75" s="30">
        <f t="shared" si="6"/>
        <v>2572.1000000000022</v>
      </c>
      <c r="T75" s="30">
        <f t="shared" ref="T75:Y75" si="7">SUM(T56:T74)</f>
        <v>2560.3716092147934</v>
      </c>
      <c r="U75" s="30">
        <f t="shared" si="7"/>
        <v>2724.0734312931427</v>
      </c>
      <c r="V75" s="30">
        <f t="shared" si="7"/>
        <v>2856.9306884740677</v>
      </c>
      <c r="W75" s="30">
        <f t="shared" si="7"/>
        <v>2886.4717155227459</v>
      </c>
      <c r="X75" s="30">
        <f t="shared" si="7"/>
        <v>2889.7809839249503</v>
      </c>
      <c r="Y75" s="30">
        <f t="shared" si="7"/>
        <v>3454.2442925621367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2381715</v>
      </c>
      <c r="E3" s="42">
        <v>2353384</v>
      </c>
      <c r="F3" s="42">
        <v>2320956</v>
      </c>
      <c r="G3" s="42">
        <v>2299390</v>
      </c>
      <c r="H3" s="42">
        <v>2276520</v>
      </c>
      <c r="I3" s="42">
        <v>2249724</v>
      </c>
      <c r="J3" s="42">
        <v>2227874</v>
      </c>
      <c r="K3" s="42">
        <v>2208840</v>
      </c>
      <c r="L3" s="42">
        <v>2191810</v>
      </c>
      <c r="M3" s="42">
        <v>2162834</v>
      </c>
      <c r="N3" s="42">
        <v>2120504</v>
      </c>
      <c r="O3" s="42">
        <v>2074605</v>
      </c>
      <c r="P3" s="42">
        <v>2044813</v>
      </c>
      <c r="Q3" s="42">
        <v>2023825</v>
      </c>
      <c r="R3" s="42">
        <v>2001468</v>
      </c>
      <c r="S3" s="42">
        <v>1986096</v>
      </c>
      <c r="T3" s="42">
        <v>1968957</v>
      </c>
      <c r="U3" s="42">
        <v>1950116</v>
      </c>
      <c r="V3" s="42">
        <v>1934379</v>
      </c>
      <c r="W3" s="42">
        <v>1919968</v>
      </c>
      <c r="X3" s="42">
        <v>1907675</v>
      </c>
      <c r="Y3" s="42">
        <v>1893223</v>
      </c>
    </row>
    <row r="4" spans="1:25" x14ac:dyDescent="0.25">
      <c r="A4" s="43" t="s">
        <v>239</v>
      </c>
      <c r="B4" s="44"/>
      <c r="C4" s="44"/>
      <c r="D4" s="45">
        <v>873917</v>
      </c>
      <c r="E4" s="45">
        <v>874452</v>
      </c>
      <c r="F4" s="45">
        <v>873459</v>
      </c>
      <c r="G4" s="45">
        <v>876581</v>
      </c>
      <c r="H4" s="45">
        <v>879282</v>
      </c>
      <c r="I4" s="45">
        <v>880518</v>
      </c>
      <c r="J4" s="45">
        <v>865194</v>
      </c>
      <c r="K4" s="45">
        <v>858802</v>
      </c>
      <c r="L4" s="45">
        <v>861899</v>
      </c>
      <c r="M4" s="45">
        <v>873872</v>
      </c>
      <c r="N4" s="45">
        <v>860944</v>
      </c>
      <c r="O4" s="45">
        <v>859050</v>
      </c>
      <c r="P4" s="45">
        <v>853428</v>
      </c>
      <c r="Q4" s="45">
        <v>848208</v>
      </c>
      <c r="R4" s="45">
        <v>849520</v>
      </c>
      <c r="S4" s="45">
        <v>830308</v>
      </c>
      <c r="T4" s="45">
        <v>827293</v>
      </c>
      <c r="U4" s="45">
        <v>843111</v>
      </c>
      <c r="V4" s="45">
        <v>851025</v>
      </c>
      <c r="W4" s="45">
        <v>856364</v>
      </c>
      <c r="X4" s="45">
        <v>837067</v>
      </c>
      <c r="Y4" s="45">
        <v>836969</v>
      </c>
    </row>
    <row r="5" spans="1:25" x14ac:dyDescent="0.25">
      <c r="A5" s="46" t="s">
        <v>240</v>
      </c>
      <c r="B5" s="47"/>
      <c r="C5" s="47"/>
      <c r="D5" s="48">
        <f>D3/D4</f>
        <v>2.7253331838149388</v>
      </c>
      <c r="E5" s="48">
        <f t="shared" ref="E5:S5" si="0">E3/E4</f>
        <v>2.6912672164967315</v>
      </c>
      <c r="F5" s="48">
        <f t="shared" si="0"/>
        <v>2.6572008531596789</v>
      </c>
      <c r="G5" s="48">
        <f t="shared" si="0"/>
        <v>2.6231346561241917</v>
      </c>
      <c r="H5" s="48">
        <f t="shared" si="0"/>
        <v>2.5890669887476374</v>
      </c>
      <c r="I5" s="48">
        <f t="shared" si="0"/>
        <v>2.5550005792045138</v>
      </c>
      <c r="J5" s="48">
        <f t="shared" si="0"/>
        <v>2.5749993643044218</v>
      </c>
      <c r="K5" s="48">
        <f t="shared" si="0"/>
        <v>2.5720014625024161</v>
      </c>
      <c r="L5" s="48">
        <f t="shared" si="0"/>
        <v>2.5430009780728366</v>
      </c>
      <c r="M5" s="48">
        <f t="shared" si="0"/>
        <v>2.4750009154658805</v>
      </c>
      <c r="N5" s="48">
        <f t="shared" si="0"/>
        <v>2.462998754855136</v>
      </c>
      <c r="O5" s="48">
        <f t="shared" si="0"/>
        <v>2.4149991269425528</v>
      </c>
      <c r="P5" s="48">
        <f t="shared" si="0"/>
        <v>2.3959994281884351</v>
      </c>
      <c r="Q5" s="48">
        <f t="shared" si="0"/>
        <v>2.3860008394167469</v>
      </c>
      <c r="R5" s="48">
        <f t="shared" si="0"/>
        <v>2.3559986816084377</v>
      </c>
      <c r="S5" s="48">
        <f t="shared" si="0"/>
        <v>2.3919991135819481</v>
      </c>
      <c r="T5" s="48">
        <f t="shared" ref="T5:Y5" si="1">T3/T4</f>
        <v>2.3799995890210601</v>
      </c>
      <c r="U5" s="48">
        <f t="shared" si="1"/>
        <v>2.3130003048234458</v>
      </c>
      <c r="V5" s="48">
        <f t="shared" si="1"/>
        <v>2.2729990305807704</v>
      </c>
      <c r="W5" s="48">
        <f t="shared" si="1"/>
        <v>2.2419998972399586</v>
      </c>
      <c r="X5" s="48">
        <f t="shared" si="1"/>
        <v>2.2789991721092817</v>
      </c>
      <c r="Y5" s="48">
        <f t="shared" si="1"/>
        <v>2.2619989509766789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3732.08</v>
      </c>
      <c r="E8" s="42">
        <v>4180.03</v>
      </c>
      <c r="F8" s="42">
        <v>4057.45</v>
      </c>
      <c r="G8" s="42">
        <v>4244.78</v>
      </c>
      <c r="H8" s="42">
        <v>4206.53</v>
      </c>
      <c r="I8" s="42">
        <v>4181.3</v>
      </c>
      <c r="J8" s="42">
        <v>4013.78</v>
      </c>
      <c r="K8" s="42">
        <v>3900.67</v>
      </c>
      <c r="L8" s="42">
        <v>3727.95</v>
      </c>
      <c r="M8" s="42">
        <v>4150.4399999999996</v>
      </c>
      <c r="N8" s="42">
        <v>4635.9799999999996</v>
      </c>
      <c r="O8" s="42">
        <v>3937.92</v>
      </c>
      <c r="P8" s="42">
        <v>4322.0200000000004</v>
      </c>
      <c r="Q8" s="42">
        <v>4036.79</v>
      </c>
      <c r="R8" s="42">
        <v>3939.85</v>
      </c>
      <c r="S8" s="42">
        <v>3657.39</v>
      </c>
      <c r="T8" s="42">
        <v>4002.81</v>
      </c>
      <c r="U8" s="42">
        <v>3997.38</v>
      </c>
      <c r="V8" s="42">
        <v>3862.19</v>
      </c>
      <c r="W8" s="42">
        <v>3622.92</v>
      </c>
      <c r="X8" s="42">
        <v>3403.51</v>
      </c>
      <c r="Y8" s="42">
        <v>4143.7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3991.1319047619045</v>
      </c>
      <c r="E9" s="45">
        <f t="shared" si="2"/>
        <v>3991.1319047619045</v>
      </c>
      <c r="F9" s="45">
        <f t="shared" si="2"/>
        <v>3991.1319047619045</v>
      </c>
      <c r="G9" s="45">
        <f t="shared" si="2"/>
        <v>3991.1319047619045</v>
      </c>
      <c r="H9" s="45">
        <f t="shared" si="2"/>
        <v>3991.1319047619045</v>
      </c>
      <c r="I9" s="45">
        <f t="shared" si="2"/>
        <v>3991.1319047619045</v>
      </c>
      <c r="J9" s="45">
        <f t="shared" si="2"/>
        <v>3991.1319047619045</v>
      </c>
      <c r="K9" s="45">
        <f t="shared" si="2"/>
        <v>3991.1319047619045</v>
      </c>
      <c r="L9" s="45">
        <f t="shared" si="2"/>
        <v>3991.1319047619045</v>
      </c>
      <c r="M9" s="45">
        <f t="shared" si="2"/>
        <v>3991.1319047619045</v>
      </c>
      <c r="N9" s="45">
        <f t="shared" si="2"/>
        <v>3991.1319047619045</v>
      </c>
      <c r="O9" s="45">
        <f t="shared" si="2"/>
        <v>3991.1319047619045</v>
      </c>
      <c r="P9" s="45">
        <f t="shared" si="2"/>
        <v>3991.1319047619045</v>
      </c>
      <c r="Q9" s="45">
        <f t="shared" si="2"/>
        <v>3991.1319047619045</v>
      </c>
      <c r="R9" s="45">
        <f t="shared" si="2"/>
        <v>3991.1319047619045</v>
      </c>
      <c r="S9" s="45">
        <f t="shared" si="2"/>
        <v>3991.1319047619045</v>
      </c>
      <c r="T9" s="45">
        <f t="shared" si="2"/>
        <v>3991.1319047619045</v>
      </c>
      <c r="U9" s="45">
        <f t="shared" si="2"/>
        <v>3991.1319047619045</v>
      </c>
      <c r="V9" s="45">
        <f t="shared" si="2"/>
        <v>3991.1319047619045</v>
      </c>
      <c r="W9" s="45">
        <f t="shared" si="2"/>
        <v>3991.1319047619045</v>
      </c>
      <c r="X9" s="45">
        <f>AVERAGE($D8:$X8)</f>
        <v>3991.1319047619045</v>
      </c>
      <c r="Y9" s="45">
        <f t="shared" ref="Y9" si="3">AVERAGE($D8:$X8)</f>
        <v>3991.1319047619045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0.935093123719408</v>
      </c>
      <c r="E10" s="53">
        <f t="shared" si="4"/>
        <v>1.04732945433668</v>
      </c>
      <c r="F10" s="53">
        <f t="shared" si="4"/>
        <v>1.0166163626812157</v>
      </c>
      <c r="G10" s="53">
        <f t="shared" si="4"/>
        <v>1.0635529221510975</v>
      </c>
      <c r="H10" s="53">
        <f t="shared" si="4"/>
        <v>1.0539691747549358</v>
      </c>
      <c r="I10" s="53">
        <f t="shared" si="4"/>
        <v>1.0476476598057813</v>
      </c>
      <c r="J10" s="53">
        <f t="shared" si="4"/>
        <v>1.0056746045429052</v>
      </c>
      <c r="K10" s="53">
        <f t="shared" si="4"/>
        <v>0.97733427335388934</v>
      </c>
      <c r="L10" s="53">
        <f t="shared" si="4"/>
        <v>0.9340583295561099</v>
      </c>
      <c r="M10" s="53">
        <f t="shared" si="4"/>
        <v>1.0399155174621066</v>
      </c>
      <c r="N10" s="53">
        <f t="shared" si="4"/>
        <v>1.1615702288538028</v>
      </c>
      <c r="O10" s="53">
        <f t="shared" si="4"/>
        <v>0.98666746526256977</v>
      </c>
      <c r="P10" s="53">
        <f t="shared" si="4"/>
        <v>1.0829058280041575</v>
      </c>
      <c r="Q10" s="53">
        <f t="shared" si="4"/>
        <v>1.011439886309851</v>
      </c>
      <c r="R10" s="53">
        <f t="shared" si="4"/>
        <v>0.9871510373534087</v>
      </c>
      <c r="S10" s="53">
        <f t="shared" si="4"/>
        <v>0.91637913435942575</v>
      </c>
      <c r="T10" s="53">
        <f t="shared" ref="T10:Y10" si="5">IF(T8=0,0,T8/T9)</f>
        <v>1.0029260108452347</v>
      </c>
      <c r="U10" s="53">
        <f t="shared" si="5"/>
        <v>1.0015654945482109</v>
      </c>
      <c r="V10" s="53">
        <f t="shared" si="5"/>
        <v>0.96769289819560689</v>
      </c>
      <c r="W10" s="53">
        <f t="shared" si="5"/>
        <v>0.90774248670594349</v>
      </c>
      <c r="X10" s="53">
        <f t="shared" si="5"/>
        <v>0.85276810719765983</v>
      </c>
      <c r="Y10" s="53">
        <f t="shared" si="5"/>
        <v>1.0382267734764825</v>
      </c>
    </row>
    <row r="11" spans="1:25" x14ac:dyDescent="0.25">
      <c r="A11" s="43" t="s">
        <v>251</v>
      </c>
      <c r="B11" s="44"/>
      <c r="C11" s="44"/>
      <c r="D11" s="45">
        <v>0</v>
      </c>
      <c r="E11" s="45">
        <v>11.51</v>
      </c>
      <c r="F11" s="45">
        <v>15.44</v>
      </c>
      <c r="G11" s="45">
        <v>9.93</v>
      </c>
      <c r="H11" s="45">
        <v>0</v>
      </c>
      <c r="I11" s="45">
        <v>0.16</v>
      </c>
      <c r="J11" s="45">
        <v>14.81</v>
      </c>
      <c r="K11" s="45">
        <v>3.17</v>
      </c>
      <c r="L11" s="45">
        <v>1.21</v>
      </c>
      <c r="M11" s="45">
        <v>0.26</v>
      </c>
      <c r="N11" s="45">
        <v>49</v>
      </c>
      <c r="O11" s="45">
        <v>8.14</v>
      </c>
      <c r="P11" s="45">
        <v>9.4700000000000006</v>
      </c>
      <c r="Q11" s="45">
        <v>5.04</v>
      </c>
      <c r="R11" s="45">
        <v>14.85</v>
      </c>
      <c r="S11" s="45">
        <v>4.0999999999999996</v>
      </c>
      <c r="T11" s="45">
        <v>5.09</v>
      </c>
      <c r="U11" s="45">
        <v>0.91</v>
      </c>
      <c r="V11" s="45">
        <v>24.09</v>
      </c>
      <c r="W11" s="45">
        <v>3.23</v>
      </c>
      <c r="X11" s="45">
        <v>1.68</v>
      </c>
      <c r="Y11" s="45">
        <v>42.46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8.6709523809523805</v>
      </c>
      <c r="E12" s="45">
        <f t="shared" ref="E12" si="7">AVERAGE($D11:$X11)</f>
        <v>8.6709523809523805</v>
      </c>
      <c r="F12" s="45">
        <f t="shared" ref="F12" si="8">AVERAGE($D11:$X11)</f>
        <v>8.6709523809523805</v>
      </c>
      <c r="G12" s="45">
        <f t="shared" ref="G12" si="9">AVERAGE($D11:$X11)</f>
        <v>8.6709523809523805</v>
      </c>
      <c r="H12" s="45">
        <f t="shared" ref="H12" si="10">AVERAGE($D11:$X11)</f>
        <v>8.6709523809523805</v>
      </c>
      <c r="I12" s="45">
        <f t="shared" ref="I12" si="11">AVERAGE($D11:$X11)</f>
        <v>8.6709523809523805</v>
      </c>
      <c r="J12" s="45">
        <f t="shared" ref="J12" si="12">AVERAGE($D11:$X11)</f>
        <v>8.6709523809523805</v>
      </c>
      <c r="K12" s="45">
        <f t="shared" ref="K12" si="13">AVERAGE($D11:$X11)</f>
        <v>8.6709523809523805</v>
      </c>
      <c r="L12" s="45">
        <f t="shared" ref="L12" si="14">AVERAGE($D11:$X11)</f>
        <v>8.6709523809523805</v>
      </c>
      <c r="M12" s="45">
        <f t="shared" ref="M12" si="15">AVERAGE($D11:$X11)</f>
        <v>8.6709523809523805</v>
      </c>
      <c r="N12" s="45">
        <f t="shared" ref="N12" si="16">AVERAGE($D11:$X11)</f>
        <v>8.6709523809523805</v>
      </c>
      <c r="O12" s="45">
        <f t="shared" ref="O12" si="17">AVERAGE($D11:$X11)</f>
        <v>8.6709523809523805</v>
      </c>
      <c r="P12" s="45">
        <f t="shared" ref="P12" si="18">AVERAGE($D11:$X11)</f>
        <v>8.6709523809523805</v>
      </c>
      <c r="Q12" s="45">
        <f t="shared" ref="Q12" si="19">AVERAGE($D11:$X11)</f>
        <v>8.6709523809523805</v>
      </c>
      <c r="R12" s="45">
        <f t="shared" ref="R12" si="20">AVERAGE($D11:$X11)</f>
        <v>8.6709523809523805</v>
      </c>
      <c r="S12" s="45">
        <f t="shared" ref="S12" si="21">AVERAGE($D11:$X11)</f>
        <v>8.6709523809523805</v>
      </c>
      <c r="T12" s="45">
        <f t="shared" ref="T12" si="22">AVERAGE($D11:$X11)</f>
        <v>8.6709523809523805</v>
      </c>
      <c r="U12" s="45">
        <f t="shared" ref="U12" si="23">AVERAGE($D11:$X11)</f>
        <v>8.6709523809523805</v>
      </c>
      <c r="V12" s="45">
        <f t="shared" ref="V12" si="24">AVERAGE($D11:$X11)</f>
        <v>8.6709523809523805</v>
      </c>
      <c r="W12" s="45">
        <f t="shared" ref="W12" si="25">AVERAGE($D11:$X11)</f>
        <v>8.6709523809523805</v>
      </c>
      <c r="X12" s="45">
        <f>AVERAGE($D11:$X11)</f>
        <v>8.6709523809523805</v>
      </c>
      <c r="Y12" s="45">
        <f t="shared" ref="Y12" si="26">AVERAGE($D11:$X11)</f>
        <v>8.6709523809523805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</v>
      </c>
      <c r="E13" s="55">
        <f t="shared" si="27"/>
        <v>1.3274205063430173</v>
      </c>
      <c r="F13" s="55">
        <f t="shared" ref="F13" si="28">IF(F11=0,0,F11/F12)</f>
        <v>1.7806579164149596</v>
      </c>
      <c r="G13" s="55">
        <f t="shared" ref="G13" si="29">IF(G11=0,0,G11/G12)</f>
        <v>1.14520292163216</v>
      </c>
      <c r="H13" s="55">
        <f t="shared" ref="H13" si="30">IF(H11=0,0,H11/H12)</f>
        <v>0</v>
      </c>
      <c r="I13" s="55">
        <f t="shared" ref="I13" si="31">IF(I11=0,0,I11/I12)</f>
        <v>1.8452413641605801E-2</v>
      </c>
      <c r="J13" s="55">
        <f t="shared" ref="J13" si="32">IF(J11=0,0,J11/J12)</f>
        <v>1.7080015377011371</v>
      </c>
      <c r="K13" s="55">
        <f t="shared" ref="K13" si="33">IF(K11=0,0,K11/K12)</f>
        <v>0.36558844527431489</v>
      </c>
      <c r="L13" s="55">
        <f t="shared" ref="L13" si="34">IF(L11=0,0,L11/L12)</f>
        <v>0.13954637816464385</v>
      </c>
      <c r="M13" s="55">
        <f t="shared" ref="M13" si="35">IF(M11=0,0,M11/M12)</f>
        <v>2.9985172167609427E-2</v>
      </c>
      <c r="N13" s="55">
        <f t="shared" ref="N13" si="36">IF(N11=0,0,N11/N12)</f>
        <v>5.6510516777417763</v>
      </c>
      <c r="O13" s="55">
        <f t="shared" ref="O13" si="37">IF(O11=0,0,O11/O12)</f>
        <v>0.93876654401669513</v>
      </c>
      <c r="P13" s="55">
        <f t="shared" ref="P13" si="38">IF(P11=0,0,P11/P12)</f>
        <v>1.0921522324125434</v>
      </c>
      <c r="Q13" s="55">
        <f t="shared" ref="Q13" si="39">IF(Q11=0,0,Q11/Q12)</f>
        <v>0.58125102971058273</v>
      </c>
      <c r="R13" s="55">
        <f t="shared" ref="R13" si="40">IF(R11=0,0,R11/R12)</f>
        <v>1.7126146411115384</v>
      </c>
      <c r="S13" s="55">
        <f t="shared" ref="S13:Y13" si="41">IF(S11=0,0,S11/S12)</f>
        <v>0.47284309956614862</v>
      </c>
      <c r="T13" s="55">
        <f t="shared" si="41"/>
        <v>0.58701740897358445</v>
      </c>
      <c r="U13" s="55">
        <f t="shared" si="41"/>
        <v>0.10494810258663299</v>
      </c>
      <c r="V13" s="55">
        <f t="shared" si="41"/>
        <v>2.7782415289142732</v>
      </c>
      <c r="W13" s="55">
        <f t="shared" si="41"/>
        <v>0.37250810038991711</v>
      </c>
      <c r="X13" s="55">
        <f t="shared" si="41"/>
        <v>0.19375034323686088</v>
      </c>
      <c r="Y13" s="55">
        <f t="shared" si="41"/>
        <v>4.896809270141139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14350.811278095489</v>
      </c>
      <c r="E16" s="42">
        <v>15258.30918975227</v>
      </c>
      <c r="F16" s="42">
        <v>16339.985859364959</v>
      </c>
      <c r="G16" s="42">
        <v>17716.358727748247</v>
      </c>
      <c r="H16" s="42">
        <v>19183.820401217399</v>
      </c>
      <c r="I16" s="42">
        <v>21240.528552947697</v>
      </c>
      <c r="J16" s="42">
        <v>23783.439490445857</v>
      </c>
      <c r="K16" s="42">
        <v>26147.83626267725</v>
      </c>
      <c r="L16" s="42">
        <v>25298.291206468049</v>
      </c>
      <c r="M16" s="42">
        <v>21690.586455133202</v>
      </c>
      <c r="N16" s="42">
        <v>20724.296096033646</v>
      </c>
      <c r="O16" s="42">
        <v>21257.782774126601</v>
      </c>
      <c r="P16" s="42">
        <v>22754.654419639181</v>
      </c>
      <c r="Q16" s="42">
        <v>23211.663220931063</v>
      </c>
      <c r="R16" s="42">
        <v>23653.237755796723</v>
      </c>
      <c r="S16" s="42">
        <v>24572.1</v>
      </c>
      <c r="T16" s="42">
        <v>25154.219089259688</v>
      </c>
      <c r="U16" s="42">
        <v>25987.26850737213</v>
      </c>
      <c r="V16" s="42">
        <v>27024.3513566125</v>
      </c>
      <c r="W16" s="42">
        <v>27183.159953765447</v>
      </c>
      <c r="X16" s="42">
        <v>26228.015923483654</v>
      </c>
      <c r="Y16" s="42">
        <v>27993.469374050415</v>
      </c>
    </row>
    <row r="17" spans="1:25" x14ac:dyDescent="0.25">
      <c r="A17" s="46" t="s">
        <v>141</v>
      </c>
      <c r="B17" s="47"/>
      <c r="C17" s="47"/>
      <c r="D17" s="57">
        <v>8319.7831978319773</v>
      </c>
      <c r="E17" s="57">
        <v>8746.0107183717719</v>
      </c>
      <c r="F17" s="57">
        <v>9284.1487975358359</v>
      </c>
      <c r="G17" s="57">
        <v>10033.643932464071</v>
      </c>
      <c r="H17" s="57">
        <v>11060.006045949214</v>
      </c>
      <c r="I17" s="57">
        <v>12206.775212356326</v>
      </c>
      <c r="J17" s="57">
        <v>14456.881766885303</v>
      </c>
      <c r="K17" s="57">
        <v>16088.596998030915</v>
      </c>
      <c r="L17" s="57">
        <v>14759.317013131955</v>
      </c>
      <c r="M17" s="57">
        <v>12441.942600058683</v>
      </c>
      <c r="N17" s="57">
        <v>12704.358911278599</v>
      </c>
      <c r="O17" s="57">
        <v>12695.612038309435</v>
      </c>
      <c r="P17" s="57">
        <v>13410.903254927531</v>
      </c>
      <c r="Q17" s="57">
        <v>14282.78626759502</v>
      </c>
      <c r="R17" s="57">
        <v>14387.044196424134</v>
      </c>
      <c r="S17" s="57">
        <v>14709.9</v>
      </c>
      <c r="T17" s="57">
        <v>15223.735985604966</v>
      </c>
      <c r="U17" s="57">
        <v>15669.280032164499</v>
      </c>
      <c r="V17" s="57">
        <v>16144.18315106804</v>
      </c>
      <c r="W17" s="57">
        <v>16147.674429063565</v>
      </c>
      <c r="X17" s="57">
        <v>15450.119245826399</v>
      </c>
      <c r="Y17" s="57">
        <v>16575.59404647924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6025.4107977215954</v>
      </c>
      <c r="E20" s="42">
        <f t="shared" ref="E20:S20" si="42">1000000*E16/E$3</f>
        <v>6483.5611994269821</v>
      </c>
      <c r="F20" s="42">
        <f t="shared" si="42"/>
        <v>7040.1963067653833</v>
      </c>
      <c r="G20" s="42">
        <f t="shared" si="42"/>
        <v>7704.8081133466912</v>
      </c>
      <c r="H20" s="42">
        <f t="shared" si="42"/>
        <v>8426.8183021530222</v>
      </c>
      <c r="I20" s="42">
        <f t="shared" si="42"/>
        <v>9441.393056636145</v>
      </c>
      <c r="J20" s="42">
        <f t="shared" si="42"/>
        <v>10675.397033425525</v>
      </c>
      <c r="K20" s="42">
        <f t="shared" si="42"/>
        <v>11837.813631896041</v>
      </c>
      <c r="L20" s="42">
        <f t="shared" si="42"/>
        <v>11542.19170752394</v>
      </c>
      <c r="M20" s="42">
        <f t="shared" si="42"/>
        <v>10028.780042820301</v>
      </c>
      <c r="N20" s="42">
        <f t="shared" si="42"/>
        <v>9773.2879051553991</v>
      </c>
      <c r="O20" s="42">
        <f t="shared" si="42"/>
        <v>10246.665159934832</v>
      </c>
      <c r="P20" s="42">
        <f t="shared" si="42"/>
        <v>11127.987947865737</v>
      </c>
      <c r="Q20" s="42">
        <f t="shared" si="42"/>
        <v>11469.20470936522</v>
      </c>
      <c r="R20" s="42">
        <f t="shared" si="42"/>
        <v>11817.944506630494</v>
      </c>
      <c r="S20" s="42">
        <f t="shared" si="42"/>
        <v>12372.060565048216</v>
      </c>
      <c r="T20" s="42">
        <f t="shared" ref="T20:Y20" si="43">1000000*T16/T$3</f>
        <v>12775.402961699869</v>
      </c>
      <c r="U20" s="42">
        <f t="shared" si="43"/>
        <v>13326.011635908906</v>
      </c>
      <c r="V20" s="42">
        <f t="shared" si="43"/>
        <v>13970.556626500029</v>
      </c>
      <c r="W20" s="42">
        <f t="shared" si="43"/>
        <v>14158.131778115805</v>
      </c>
      <c r="X20" s="42">
        <f t="shared" si="43"/>
        <v>13748.681470105575</v>
      </c>
      <c r="Y20" s="42">
        <f t="shared" si="43"/>
        <v>14786.144777477568</v>
      </c>
    </row>
    <row r="21" spans="1:25" x14ac:dyDescent="0.25">
      <c r="A21" s="46" t="s">
        <v>141</v>
      </c>
      <c r="B21" s="47"/>
      <c r="C21" s="47"/>
      <c r="D21" s="57">
        <f>1000000*D17/D$3</f>
        <v>3493.1900743086294</v>
      </c>
      <c r="E21" s="57">
        <f t="shared" ref="E21:S21" si="44">1000000*E17/E$3</f>
        <v>3716.355137271169</v>
      </c>
      <c r="F21" s="57">
        <f t="shared" si="44"/>
        <v>4000.1399412724045</v>
      </c>
      <c r="G21" s="57">
        <f t="shared" si="44"/>
        <v>4363.6111892563122</v>
      </c>
      <c r="H21" s="57">
        <f t="shared" si="44"/>
        <v>4858.2951372925409</v>
      </c>
      <c r="I21" s="57">
        <f t="shared" si="44"/>
        <v>5425.8990046584941</v>
      </c>
      <c r="J21" s="57">
        <f t="shared" si="44"/>
        <v>6489.0930846561805</v>
      </c>
      <c r="K21" s="57">
        <f t="shared" si="44"/>
        <v>7283.7312788752988</v>
      </c>
      <c r="L21" s="57">
        <f t="shared" si="44"/>
        <v>6733.8487428800645</v>
      </c>
      <c r="M21" s="57">
        <f t="shared" si="44"/>
        <v>5752.6109724827165</v>
      </c>
      <c r="N21" s="57">
        <f t="shared" si="44"/>
        <v>5991.1978054644551</v>
      </c>
      <c r="O21" s="57">
        <f t="shared" si="44"/>
        <v>6119.532170369509</v>
      </c>
      <c r="P21" s="57">
        <f t="shared" si="44"/>
        <v>6558.4986279564591</v>
      </c>
      <c r="Q21" s="57">
        <f t="shared" si="44"/>
        <v>7057.3227762257211</v>
      </c>
      <c r="R21" s="57">
        <f t="shared" si="44"/>
        <v>7188.2459257026021</v>
      </c>
      <c r="S21" s="57">
        <f t="shared" si="44"/>
        <v>7406.4395678758729</v>
      </c>
      <c r="T21" s="57">
        <f t="shared" ref="T21:Y21" si="45">1000000*T17/T$3</f>
        <v>7731.8783424955272</v>
      </c>
      <c r="U21" s="57">
        <f t="shared" si="45"/>
        <v>8035.0502391470554</v>
      </c>
      <c r="V21" s="57">
        <f t="shared" si="45"/>
        <v>8345.9255663280255</v>
      </c>
      <c r="W21" s="57">
        <f t="shared" si="45"/>
        <v>8410.3872715917987</v>
      </c>
      <c r="X21" s="57">
        <f t="shared" si="45"/>
        <v>8098.9263086355895</v>
      </c>
      <c r="Y21" s="57">
        <f t="shared" si="45"/>
        <v>8755.2253730697539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12548.481403280819</v>
      </c>
      <c r="E23" s="60">
        <v>13354.183822132134</v>
      </c>
      <c r="F23" s="60">
        <v>14322.40326183744</v>
      </c>
      <c r="G23" s="60">
        <v>15519.150899861559</v>
      </c>
      <c r="H23" s="60">
        <v>16800.172334008839</v>
      </c>
      <c r="I23" s="60">
        <v>18629.342163221289</v>
      </c>
      <c r="J23" s="60">
        <v>20754.100573742828</v>
      </c>
      <c r="K23" s="60">
        <v>22626.817664008577</v>
      </c>
      <c r="L23" s="60">
        <v>22240.836009624581</v>
      </c>
      <c r="M23" s="60">
        <v>19600.257749752604</v>
      </c>
      <c r="N23" s="60">
        <v>18590.79474517842</v>
      </c>
      <c r="O23" s="60">
        <v>18985.432976426717</v>
      </c>
      <c r="P23" s="60">
        <v>20242.632521452895</v>
      </c>
      <c r="Q23" s="60">
        <v>20517.008749693352</v>
      </c>
      <c r="R23" s="60">
        <v>20850.439000922102</v>
      </c>
      <c r="S23" s="60">
        <v>21613.4</v>
      </c>
      <c r="T23" s="60">
        <v>22001.667477245883</v>
      </c>
      <c r="U23" s="60">
        <v>22729.762042500675</v>
      </c>
      <c r="V23" s="60">
        <v>23491.288487065005</v>
      </c>
      <c r="W23" s="60">
        <v>23615.231741074596</v>
      </c>
      <c r="X23" s="60">
        <v>22786.862503684948</v>
      </c>
      <c r="Y23" s="60">
        <v>24383.329011101163</v>
      </c>
    </row>
    <row r="24" spans="1:25" x14ac:dyDescent="0.25">
      <c r="A24" s="61" t="s">
        <v>33</v>
      </c>
      <c r="B24" s="62"/>
      <c r="C24" s="62"/>
      <c r="D24" s="63">
        <v>626.11661523469218</v>
      </c>
      <c r="E24" s="63">
        <v>655.12763666307717</v>
      </c>
      <c r="F24" s="63">
        <v>714.69857685157695</v>
      </c>
      <c r="G24" s="63">
        <v>680.99413277078247</v>
      </c>
      <c r="H24" s="63">
        <v>785.07715138266133</v>
      </c>
      <c r="I24" s="63">
        <v>779.95655938150276</v>
      </c>
      <c r="J24" s="63">
        <v>763.14546068174138</v>
      </c>
      <c r="K24" s="63">
        <v>835.95791730885219</v>
      </c>
      <c r="L24" s="63">
        <v>729.79693745029147</v>
      </c>
      <c r="M24" s="63">
        <v>698.91607023680751</v>
      </c>
      <c r="N24" s="63">
        <v>847.61949128854928</v>
      </c>
      <c r="O24" s="63">
        <v>790.82800880999628</v>
      </c>
      <c r="P24" s="63">
        <v>790.21188940759987</v>
      </c>
      <c r="Q24" s="63">
        <v>739.32864502412303</v>
      </c>
      <c r="R24" s="63">
        <v>838.41157839874916</v>
      </c>
      <c r="S24" s="63">
        <v>858.7</v>
      </c>
      <c r="T24" s="63">
        <v>820.83552520570515</v>
      </c>
      <c r="U24" s="63">
        <v>924.25469551467472</v>
      </c>
      <c r="V24" s="63">
        <v>972.8861701831413</v>
      </c>
      <c r="W24" s="63">
        <v>1019.8559159628078</v>
      </c>
      <c r="X24" s="63">
        <v>1044.7049439020584</v>
      </c>
      <c r="Y24" s="63">
        <v>1153.952332750529</v>
      </c>
    </row>
    <row r="25" spans="1:25" x14ac:dyDescent="0.25">
      <c r="A25" s="64" t="s">
        <v>56</v>
      </c>
      <c r="B25" s="65"/>
      <c r="C25" s="65"/>
      <c r="D25" s="66">
        <v>15.104758811109308</v>
      </c>
      <c r="E25" s="66">
        <v>21.695065560271107</v>
      </c>
      <c r="F25" s="66">
        <v>28.431724805898799</v>
      </c>
      <c r="G25" s="66">
        <v>37.906256180367855</v>
      </c>
      <c r="H25" s="66">
        <v>38.4560149356141</v>
      </c>
      <c r="I25" s="66">
        <v>52.250254416209728</v>
      </c>
      <c r="J25" s="66">
        <v>62.369220384745191</v>
      </c>
      <c r="K25" s="66">
        <v>73.600035739015851</v>
      </c>
      <c r="L25" s="66">
        <v>72.486383634185387</v>
      </c>
      <c r="M25" s="66">
        <v>90.327480266034556</v>
      </c>
      <c r="N25" s="66">
        <v>93.170595360104343</v>
      </c>
      <c r="O25" s="66">
        <v>90.498724295091264</v>
      </c>
      <c r="P25" s="66">
        <v>98.957632469696819</v>
      </c>
      <c r="Q25" s="66">
        <v>107.73571019707254</v>
      </c>
      <c r="R25" s="66">
        <v>91.608868219540554</v>
      </c>
      <c r="S25" s="66">
        <v>108.5</v>
      </c>
      <c r="T25" s="66">
        <v>106.99645661085249</v>
      </c>
      <c r="U25" s="66">
        <v>114.1578927070076</v>
      </c>
      <c r="V25" s="66">
        <v>121.69199209141287</v>
      </c>
      <c r="W25" s="66">
        <v>112.85399957413584</v>
      </c>
      <c r="X25" s="66">
        <v>119.91260166126209</v>
      </c>
      <c r="Y25" s="66">
        <v>114.77617808711945</v>
      </c>
    </row>
    <row r="26" spans="1:25" x14ac:dyDescent="0.25">
      <c r="A26" s="67" t="s">
        <v>146</v>
      </c>
      <c r="B26" s="44"/>
      <c r="C26" s="44"/>
      <c r="D26" s="45">
        <v>8763.3587786259541</v>
      </c>
      <c r="E26" s="45">
        <v>9505.9225945398102</v>
      </c>
      <c r="F26" s="45">
        <v>10201.521565931922</v>
      </c>
      <c r="G26" s="45">
        <v>11356.05511240029</v>
      </c>
      <c r="H26" s="45">
        <v>12213.055896854905</v>
      </c>
      <c r="I26" s="45">
        <v>13824.293330498047</v>
      </c>
      <c r="J26" s="45">
        <v>15361.457981775227</v>
      </c>
      <c r="K26" s="45">
        <v>16575.308807433714</v>
      </c>
      <c r="L26" s="45">
        <v>16459.241510535692</v>
      </c>
      <c r="M26" s="45">
        <v>14721.768347409845</v>
      </c>
      <c r="N26" s="45">
        <v>13804.155408553061</v>
      </c>
      <c r="O26" s="45">
        <v>14070.261901127418</v>
      </c>
      <c r="P26" s="45">
        <v>15096.732120860806</v>
      </c>
      <c r="Q26" s="45">
        <v>15414.588273775451</v>
      </c>
      <c r="R26" s="45">
        <v>15829.090325943156</v>
      </c>
      <c r="S26" s="45">
        <v>16382.900000000001</v>
      </c>
      <c r="T26" s="45">
        <v>16824.944665561627</v>
      </c>
      <c r="U26" s="45">
        <v>17161.093756026068</v>
      </c>
      <c r="V26" s="45">
        <v>17775.292162887188</v>
      </c>
      <c r="W26" s="45">
        <v>17767.93952729079</v>
      </c>
      <c r="X26" s="45">
        <v>16914.353096224877</v>
      </c>
      <c r="Y26" s="45">
        <v>17851.794841764477</v>
      </c>
    </row>
    <row r="27" spans="1:25" x14ac:dyDescent="0.25">
      <c r="A27" s="68" t="s">
        <v>148</v>
      </c>
      <c r="B27" s="69"/>
      <c r="C27" s="69"/>
      <c r="D27" s="70">
        <v>4038.1679389312981</v>
      </c>
      <c r="E27" s="70">
        <v>4349.1480331918665</v>
      </c>
      <c r="F27" s="70">
        <v>4552.0441160389291</v>
      </c>
      <c r="G27" s="70">
        <v>5023.2381831366592</v>
      </c>
      <c r="H27" s="70">
        <v>5354.6410505991798</v>
      </c>
      <c r="I27" s="70">
        <v>5767.7293922870122</v>
      </c>
      <c r="J27" s="70">
        <v>5973.5403307458646</v>
      </c>
      <c r="K27" s="70">
        <v>6290.8485782572761</v>
      </c>
      <c r="L27" s="70">
        <v>6642.7730068761384</v>
      </c>
      <c r="M27" s="70">
        <v>6039.6290244632128</v>
      </c>
      <c r="N27" s="70">
        <v>5582.1997577564525</v>
      </c>
      <c r="O27" s="70">
        <v>5643.8493577861609</v>
      </c>
      <c r="P27" s="70">
        <v>5916.1344416036109</v>
      </c>
      <c r="Q27" s="70">
        <v>6012.0410499632035</v>
      </c>
      <c r="R27" s="70">
        <v>6036.5633644709942</v>
      </c>
      <c r="S27" s="70">
        <v>6335.9</v>
      </c>
      <c r="T27" s="70">
        <v>6417.9015592897331</v>
      </c>
      <c r="U27" s="70">
        <v>6648.6366616529758</v>
      </c>
      <c r="V27" s="70">
        <v>6936.6291967957222</v>
      </c>
      <c r="W27" s="70">
        <v>6944.3360068138263</v>
      </c>
      <c r="X27" s="70">
        <v>6278.9810463523336</v>
      </c>
      <c r="Y27" s="70">
        <v>6732.3924809891487</v>
      </c>
    </row>
    <row r="28" spans="1:25" x14ac:dyDescent="0.25">
      <c r="A28" s="68" t="s">
        <v>150</v>
      </c>
      <c r="B28" s="71"/>
      <c r="C28" s="71"/>
      <c r="D28" s="70">
        <v>2751.9896053272701</v>
      </c>
      <c r="E28" s="70">
        <v>3024.165452587572</v>
      </c>
      <c r="F28" s="70">
        <v>3337.1346445253303</v>
      </c>
      <c r="G28" s="70">
        <v>3776.7815940404766</v>
      </c>
      <c r="H28" s="70">
        <v>4068.0400197864974</v>
      </c>
      <c r="I28" s="70">
        <v>4715.433570788462</v>
      </c>
      <c r="J28" s="70">
        <v>5615.5248059399246</v>
      </c>
      <c r="K28" s="70">
        <v>6400.2993142576333</v>
      </c>
      <c r="L28" s="70">
        <v>6308.8322644947602</v>
      </c>
      <c r="M28" s="70">
        <v>5270.1769728212093</v>
      </c>
      <c r="N28" s="70">
        <v>4921.1543836765113</v>
      </c>
      <c r="O28" s="70">
        <v>5297.4464094903715</v>
      </c>
      <c r="P28" s="70">
        <v>5844.4005092798652</v>
      </c>
      <c r="Q28" s="70">
        <v>6132.9626298143758</v>
      </c>
      <c r="R28" s="70">
        <v>6452.5117267369596</v>
      </c>
      <c r="S28" s="70">
        <v>6536.7</v>
      </c>
      <c r="T28" s="70">
        <v>6852.6366983950529</v>
      </c>
      <c r="U28" s="70">
        <v>6884.4729839176234</v>
      </c>
      <c r="V28" s="70">
        <v>7167.4819689782889</v>
      </c>
      <c r="W28" s="70">
        <v>7036.2516857122573</v>
      </c>
      <c r="X28" s="70">
        <v>6933.1680163698475</v>
      </c>
      <c r="Y28" s="70">
        <v>7372.1943833290106</v>
      </c>
    </row>
    <row r="29" spans="1:25" x14ac:dyDescent="0.25">
      <c r="A29" s="68" t="s">
        <v>152</v>
      </c>
      <c r="B29" s="71"/>
      <c r="C29" s="71"/>
      <c r="D29" s="70">
        <v>1973.2012343673878</v>
      </c>
      <c r="E29" s="70">
        <v>2132.6091087603718</v>
      </c>
      <c r="F29" s="70">
        <v>2312.3428053676603</v>
      </c>
      <c r="G29" s="70">
        <v>2556.0353352231555</v>
      </c>
      <c r="H29" s="70">
        <v>2790.3748264692267</v>
      </c>
      <c r="I29" s="70">
        <v>3341.1303674225719</v>
      </c>
      <c r="J29" s="70">
        <v>3772.3928450894359</v>
      </c>
      <c r="K29" s="70">
        <v>3884.1609149188052</v>
      </c>
      <c r="L29" s="70">
        <v>3507.6362391647963</v>
      </c>
      <c r="M29" s="70">
        <v>3411.9623501254214</v>
      </c>
      <c r="N29" s="70">
        <v>3300.8012671200972</v>
      </c>
      <c r="O29" s="70">
        <v>3128.9661338508831</v>
      </c>
      <c r="P29" s="70">
        <v>3336.1971699773285</v>
      </c>
      <c r="Q29" s="70">
        <v>3269.5845939978726</v>
      </c>
      <c r="R29" s="70">
        <v>3340.0152347352009</v>
      </c>
      <c r="S29" s="70">
        <v>3510.3000000000015</v>
      </c>
      <c r="T29" s="70">
        <v>3554.4064078768415</v>
      </c>
      <c r="U29" s="70">
        <v>3627.9841104554698</v>
      </c>
      <c r="V29" s="70">
        <v>3671.1809971131784</v>
      </c>
      <c r="W29" s="70">
        <v>3787.3518347647068</v>
      </c>
      <c r="X29" s="70">
        <v>3702.2040335026977</v>
      </c>
      <c r="Y29" s="70">
        <v>3747.207977446315</v>
      </c>
    </row>
    <row r="30" spans="1:25" x14ac:dyDescent="0.25">
      <c r="A30" s="64" t="s">
        <v>154</v>
      </c>
      <c r="B30" s="65"/>
      <c r="C30" s="65"/>
      <c r="D30" s="66">
        <v>413.51307454929349</v>
      </c>
      <c r="E30" s="66">
        <v>415.53176664344079</v>
      </c>
      <c r="F30" s="66">
        <v>410.85404527205412</v>
      </c>
      <c r="G30" s="66">
        <v>431.8017008372338</v>
      </c>
      <c r="H30" s="66">
        <v>456.84469195295924</v>
      </c>
      <c r="I30" s="66">
        <v>411.62264380211735</v>
      </c>
      <c r="J30" s="66">
        <v>423.89470131623352</v>
      </c>
      <c r="K30" s="66">
        <v>430.43177198507897</v>
      </c>
      <c r="L30" s="66">
        <v>490.79322252313028</v>
      </c>
      <c r="M30" s="66">
        <v>585.69028605619872</v>
      </c>
      <c r="N30" s="66">
        <v>610.15093636448341</v>
      </c>
      <c r="O30" s="66">
        <v>579.84604313409079</v>
      </c>
      <c r="P30" s="66">
        <v>616.82900824991975</v>
      </c>
      <c r="Q30" s="66">
        <v>539.29184724834408</v>
      </c>
      <c r="R30" s="66">
        <v>427.37441366315198</v>
      </c>
      <c r="S30" s="66">
        <v>512.70000000000005</v>
      </c>
      <c r="T30" s="66">
        <v>634.53464481742117</v>
      </c>
      <c r="U30" s="66">
        <v>604.72829650198628</v>
      </c>
      <c r="V30" s="66">
        <v>377.79283585968756</v>
      </c>
      <c r="W30" s="66">
        <v>393.65817304279932</v>
      </c>
      <c r="X30" s="66">
        <v>457.02047965040668</v>
      </c>
      <c r="Y30" s="66">
        <v>606.42311585534185</v>
      </c>
    </row>
    <row r="31" spans="1:25" x14ac:dyDescent="0.25">
      <c r="A31" s="64" t="s">
        <v>37</v>
      </c>
      <c r="B31" s="65"/>
      <c r="C31" s="65"/>
      <c r="D31" s="66">
        <v>875.26392723729089</v>
      </c>
      <c r="E31" s="66">
        <v>822.82890986254506</v>
      </c>
      <c r="F31" s="66">
        <v>901.37940730789046</v>
      </c>
      <c r="G31" s="66">
        <v>961.66523831498444</v>
      </c>
      <c r="H31" s="66">
        <v>1098.6293063556145</v>
      </c>
      <c r="I31" s="66">
        <v>1262.3600710846483</v>
      </c>
      <c r="J31" s="66">
        <v>1772.6628417144784</v>
      </c>
      <c r="K31" s="66">
        <v>2288.07880452992</v>
      </c>
      <c r="L31" s="66">
        <v>2260.3670629926805</v>
      </c>
      <c r="M31" s="66">
        <v>1534.4164959841667</v>
      </c>
      <c r="N31" s="66">
        <v>904.45355445821292</v>
      </c>
      <c r="O31" s="66">
        <v>1074.2089539219749</v>
      </c>
      <c r="P31" s="66">
        <v>1224.5489457285705</v>
      </c>
      <c r="Q31" s="66">
        <v>1278.518276228637</v>
      </c>
      <c r="R31" s="66">
        <v>1303.2714589263519</v>
      </c>
      <c r="S31" s="66">
        <v>1308.5</v>
      </c>
      <c r="T31" s="66">
        <v>1175.1744399559309</v>
      </c>
      <c r="U31" s="66">
        <v>1329.4959311967295</v>
      </c>
      <c r="V31" s="66">
        <v>1493.1635276754139</v>
      </c>
      <c r="W31" s="66">
        <v>1536.4823621264816</v>
      </c>
      <c r="X31" s="66">
        <v>1456.4655695631816</v>
      </c>
      <c r="Y31" s="66">
        <v>1298.5937408501134</v>
      </c>
    </row>
    <row r="32" spans="1:25" x14ac:dyDescent="0.25">
      <c r="A32" s="64" t="s">
        <v>58</v>
      </c>
      <c r="B32" s="65"/>
      <c r="C32" s="65"/>
      <c r="D32" s="66">
        <v>1855.1242488224786</v>
      </c>
      <c r="E32" s="66">
        <v>1933.0778488629885</v>
      </c>
      <c r="F32" s="66">
        <v>2065.5179416680985</v>
      </c>
      <c r="G32" s="66">
        <v>2050.7284593579006</v>
      </c>
      <c r="H32" s="66">
        <v>2208.1092725270869</v>
      </c>
      <c r="I32" s="66">
        <v>2298.8593040387627</v>
      </c>
      <c r="J32" s="66">
        <v>2370.5703678704017</v>
      </c>
      <c r="K32" s="66">
        <v>2423.4403270119951</v>
      </c>
      <c r="L32" s="66">
        <v>2228.1508924885984</v>
      </c>
      <c r="M32" s="66">
        <v>1969.1390697995535</v>
      </c>
      <c r="N32" s="66">
        <v>2331.2447591540117</v>
      </c>
      <c r="O32" s="66">
        <v>2379.7893451381465</v>
      </c>
      <c r="P32" s="66">
        <v>2415.3529247363026</v>
      </c>
      <c r="Q32" s="66">
        <v>2437.5459972197241</v>
      </c>
      <c r="R32" s="66">
        <v>2360.6823557711582</v>
      </c>
      <c r="S32" s="66">
        <v>2442.1000000000008</v>
      </c>
      <c r="T32" s="66">
        <v>2439.1817450943417</v>
      </c>
      <c r="U32" s="66">
        <v>2596.0314705542064</v>
      </c>
      <c r="V32" s="66">
        <v>2750.4617983681583</v>
      </c>
      <c r="W32" s="66">
        <v>2784.4417630775783</v>
      </c>
      <c r="X32" s="66">
        <v>2794.4058126831642</v>
      </c>
      <c r="Y32" s="66">
        <v>3357.7888017935866</v>
      </c>
    </row>
    <row r="33" spans="1:25" x14ac:dyDescent="0.25">
      <c r="A33" s="72" t="s">
        <v>158</v>
      </c>
      <c r="B33" s="65"/>
      <c r="C33" s="65"/>
      <c r="D33" s="66">
        <v>90.628552866655838</v>
      </c>
      <c r="E33" s="66">
        <v>81.871159815037686</v>
      </c>
      <c r="F33" s="66">
        <v>81.233499445425139</v>
      </c>
      <c r="G33" s="66">
        <v>118.49825301601952</v>
      </c>
      <c r="H33" s="66">
        <v>153.02621710893743</v>
      </c>
      <c r="I33" s="66">
        <v>101.00703251970776</v>
      </c>
      <c r="J33" s="66">
        <v>120.41849476881538</v>
      </c>
      <c r="K33" s="66">
        <v>82.981527396189335</v>
      </c>
      <c r="L33" s="66">
        <v>83.661367777788968</v>
      </c>
      <c r="M33" s="66">
        <v>53.966354451936574</v>
      </c>
      <c r="N33" s="66">
        <v>100.74070623311283</v>
      </c>
      <c r="O33" s="66">
        <v>105.3274309265761</v>
      </c>
      <c r="P33" s="66">
        <v>59.105447845394224</v>
      </c>
      <c r="Q33" s="66">
        <v>20.646823125357756</v>
      </c>
      <c r="R33" s="66">
        <v>1.897486268692619</v>
      </c>
      <c r="S33" s="66">
        <v>22.4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</row>
    <row r="34" spans="1:25" x14ac:dyDescent="0.25">
      <c r="A34" s="73" t="s">
        <v>5</v>
      </c>
      <c r="B34" s="65"/>
      <c r="C34" s="65"/>
      <c r="D34" s="66">
        <v>90.628552866655809</v>
      </c>
      <c r="E34" s="66">
        <v>81.871159815037657</v>
      </c>
      <c r="F34" s="66">
        <v>81.23349944542511</v>
      </c>
      <c r="G34" s="66">
        <v>118.49825301601949</v>
      </c>
      <c r="H34" s="66">
        <v>153.0262171089374</v>
      </c>
      <c r="I34" s="66">
        <v>101.00703251970775</v>
      </c>
      <c r="J34" s="66">
        <v>120.41849476881538</v>
      </c>
      <c r="K34" s="66">
        <v>82.981527396189335</v>
      </c>
      <c r="L34" s="66">
        <v>83.661367777788968</v>
      </c>
      <c r="M34" s="66">
        <v>53.966354451936574</v>
      </c>
      <c r="N34" s="66">
        <v>100.74070623311282</v>
      </c>
      <c r="O34" s="66">
        <v>105.32743092657611</v>
      </c>
      <c r="P34" s="66">
        <v>59.105447845394224</v>
      </c>
      <c r="Q34" s="66">
        <v>20.646823125357756</v>
      </c>
      <c r="R34" s="66">
        <v>1.897486268692619</v>
      </c>
      <c r="S34" s="66">
        <v>22.4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90.628552866655809</v>
      </c>
      <c r="E36" s="45">
        <v>81.871159815037657</v>
      </c>
      <c r="F36" s="45">
        <v>81.23349944542511</v>
      </c>
      <c r="G36" s="45">
        <v>118.49825301601949</v>
      </c>
      <c r="H36" s="45">
        <v>153.0262171089374</v>
      </c>
      <c r="I36" s="45">
        <v>101.00703251970775</v>
      </c>
      <c r="J36" s="45">
        <v>120.41849476881538</v>
      </c>
      <c r="K36" s="45">
        <v>82.981527396189335</v>
      </c>
      <c r="L36" s="45">
        <v>83.661367777788968</v>
      </c>
      <c r="M36" s="45">
        <v>53.966354451936574</v>
      </c>
      <c r="N36" s="45">
        <v>100.74070623311282</v>
      </c>
      <c r="O36" s="45">
        <v>105.32743092657611</v>
      </c>
      <c r="P36" s="45">
        <v>59.105447845394224</v>
      </c>
      <c r="Q36" s="45">
        <v>20.646823125357756</v>
      </c>
      <c r="R36" s="45">
        <v>1.897486268692619</v>
      </c>
      <c r="S36" s="45">
        <v>22.4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</row>
    <row r="37" spans="1:25" x14ac:dyDescent="0.25">
      <c r="A37" s="73" t="s">
        <v>269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</row>
    <row r="43" spans="1:25" x14ac:dyDescent="0.25">
      <c r="A43" s="72" t="s">
        <v>271</v>
      </c>
      <c r="B43" s="65"/>
      <c r="C43" s="65"/>
      <c r="D43" s="66">
        <v>64.154620756862101</v>
      </c>
      <c r="E43" s="66">
        <v>84.088173813897498</v>
      </c>
      <c r="F43" s="66">
        <v>82.795682127067934</v>
      </c>
      <c r="G43" s="66">
        <v>83.228953787329417</v>
      </c>
      <c r="H43" s="66">
        <v>88.720100847308885</v>
      </c>
      <c r="I43" s="66">
        <v>106.62697267493961</v>
      </c>
      <c r="J43" s="66">
        <v>132.02834964562942</v>
      </c>
      <c r="K43" s="66">
        <v>106.8819942370837</v>
      </c>
      <c r="L43" s="66">
        <v>138.93223529885535</v>
      </c>
      <c r="M43" s="66">
        <v>128.64474259544795</v>
      </c>
      <c r="N43" s="66">
        <v>188.90338209261157</v>
      </c>
      <c r="O43" s="66">
        <v>168.89460714830886</v>
      </c>
      <c r="P43" s="66">
        <v>171.00210129700747</v>
      </c>
      <c r="Q43" s="66">
        <v>179.90023714122168</v>
      </c>
      <c r="R43" s="66">
        <v>133.80507557230484</v>
      </c>
      <c r="S43" s="66">
        <v>141.60000000000002</v>
      </c>
      <c r="T43" s="66">
        <v>143.02587567369056</v>
      </c>
      <c r="U43" s="66">
        <v>154.07458829881602</v>
      </c>
      <c r="V43" s="66">
        <v>170.79577837391281</v>
      </c>
      <c r="W43" s="66">
        <v>204.41479168145361</v>
      </c>
      <c r="X43" s="66">
        <v>200.11445020549013</v>
      </c>
      <c r="Y43" s="66">
        <v>245.86529693734997</v>
      </c>
    </row>
    <row r="44" spans="1:25" x14ac:dyDescent="0.25">
      <c r="A44" s="73" t="s">
        <v>272</v>
      </c>
      <c r="B44" s="65"/>
      <c r="C44" s="65"/>
      <c r="D44" s="66">
        <v>32.97060256618483</v>
      </c>
      <c r="E44" s="66">
        <v>43.073414834990814</v>
      </c>
      <c r="F44" s="66">
        <v>41.554059331698248</v>
      </c>
      <c r="G44" s="66">
        <v>41.69688179840464</v>
      </c>
      <c r="H44" s="66">
        <v>44.040913370246855</v>
      </c>
      <c r="I44" s="66">
        <v>52.250254416209728</v>
      </c>
      <c r="J44" s="66">
        <v>65.609179885251436</v>
      </c>
      <c r="K44" s="66">
        <v>53.161786057316448</v>
      </c>
      <c r="L44" s="66">
        <v>74.298543225040021</v>
      </c>
      <c r="M44" s="66">
        <v>66.968908936091864</v>
      </c>
      <c r="N44" s="66">
        <v>109.94130252492313</v>
      </c>
      <c r="O44" s="66">
        <v>82.103059511088816</v>
      </c>
      <c r="P44" s="66">
        <v>81.671100437856481</v>
      </c>
      <c r="Q44" s="66">
        <v>71.755662768828202</v>
      </c>
      <c r="R44" s="66">
        <v>61.440083390129494</v>
      </c>
      <c r="S44" s="66">
        <v>62.7</v>
      </c>
      <c r="T44" s="66">
        <v>60.247540967335311</v>
      </c>
      <c r="U44" s="66">
        <v>64.117397508581135</v>
      </c>
      <c r="V44" s="66">
        <v>89.853431231493261</v>
      </c>
      <c r="W44" s="66">
        <v>77.010433671658745</v>
      </c>
      <c r="X44" s="66">
        <v>84.450378899543935</v>
      </c>
      <c r="Y44" s="66">
        <v>111.34627772154228</v>
      </c>
    </row>
    <row r="45" spans="1:25" x14ac:dyDescent="0.25">
      <c r="A45" s="74" t="s">
        <v>20</v>
      </c>
      <c r="B45" s="44"/>
      <c r="C45" s="44"/>
      <c r="D45" s="45">
        <v>11.32120134407708</v>
      </c>
      <c r="E45" s="45">
        <v>12.939983541975453</v>
      </c>
      <c r="F45" s="45">
        <v>12.709714640950182</v>
      </c>
      <c r="G45" s="45">
        <v>12.731537728135091</v>
      </c>
      <c r="H45" s="45">
        <v>13.0845029888971</v>
      </c>
      <c r="I45" s="45">
        <v>14.251916749571196</v>
      </c>
      <c r="J45" s="45">
        <v>15.970237569572728</v>
      </c>
      <c r="K45" s="45">
        <v>14.375695123240746</v>
      </c>
      <c r="L45" s="45">
        <v>15.449930717356455</v>
      </c>
      <c r="M45" s="45">
        <v>22.203595476137416</v>
      </c>
      <c r="N45" s="45">
        <v>32.424413418541818</v>
      </c>
      <c r="O45" s="45">
        <v>23.689815590156066</v>
      </c>
      <c r="P45" s="45">
        <v>36.796869428045227</v>
      </c>
      <c r="Q45" s="45">
        <v>29.31951812059647</v>
      </c>
      <c r="R45" s="45">
        <v>28.902708079035285</v>
      </c>
      <c r="S45" s="45">
        <v>28.270379146919431</v>
      </c>
      <c r="T45" s="45">
        <v>40.724833773899803</v>
      </c>
      <c r="U45" s="45">
        <v>30.648492064219141</v>
      </c>
      <c r="V45" s="45">
        <v>34.593571024124913</v>
      </c>
      <c r="W45" s="45">
        <v>27.143021703945294</v>
      </c>
      <c r="X45" s="45">
        <v>24.578841620016519</v>
      </c>
      <c r="Y45" s="45">
        <v>30.945152478779406</v>
      </c>
    </row>
    <row r="46" spans="1:25" x14ac:dyDescent="0.25">
      <c r="A46" s="74" t="s">
        <v>12</v>
      </c>
      <c r="B46" s="44"/>
      <c r="C46" s="44"/>
      <c r="D46" s="45">
        <v>21.649401222107748</v>
      </c>
      <c r="E46" s="45">
        <v>30.133431293015363</v>
      </c>
      <c r="F46" s="45">
        <v>28.844344690748066</v>
      </c>
      <c r="G46" s="45">
        <v>28.965344070269548</v>
      </c>
      <c r="H46" s="45">
        <v>30.956410381349755</v>
      </c>
      <c r="I46" s="45">
        <v>37.998337666638534</v>
      </c>
      <c r="J46" s="45">
        <v>49.638942315678705</v>
      </c>
      <c r="K46" s="45">
        <v>38.786090934075702</v>
      </c>
      <c r="L46" s="45">
        <v>58.848612507683569</v>
      </c>
      <c r="M46" s="45">
        <v>44.765313459954449</v>
      </c>
      <c r="N46" s="45">
        <v>77.516889106381313</v>
      </c>
      <c r="O46" s="45">
        <v>58.41324392093275</v>
      </c>
      <c r="P46" s="45">
        <v>44.874231009811254</v>
      </c>
      <c r="Q46" s="45">
        <v>42.436144648231732</v>
      </c>
      <c r="R46" s="45">
        <v>32.537375311094209</v>
      </c>
      <c r="S46" s="45">
        <v>34.429620853080571</v>
      </c>
      <c r="T46" s="45">
        <v>19.522707193435508</v>
      </c>
      <c r="U46" s="45">
        <v>33.468905444361994</v>
      </c>
      <c r="V46" s="45">
        <v>55.259860207368348</v>
      </c>
      <c r="W46" s="45">
        <v>49.867411967713451</v>
      </c>
      <c r="X46" s="45">
        <v>59.871537279527416</v>
      </c>
      <c r="Y46" s="45">
        <v>80.401125242762873</v>
      </c>
    </row>
    <row r="47" spans="1:25" x14ac:dyDescent="0.25">
      <c r="A47" s="73" t="s">
        <v>11</v>
      </c>
      <c r="B47" s="65"/>
      <c r="C47" s="65"/>
      <c r="D47" s="66">
        <v>31.184018190677278</v>
      </c>
      <c r="E47" s="66">
        <v>41.014758978906691</v>
      </c>
      <c r="F47" s="66">
        <v>41.241622795369686</v>
      </c>
      <c r="G47" s="66">
        <v>41.532071988924777</v>
      </c>
      <c r="H47" s="66">
        <v>44.67918747706203</v>
      </c>
      <c r="I47" s="66">
        <v>54.376718258729881</v>
      </c>
      <c r="J47" s="66">
        <v>66.419169760377997</v>
      </c>
      <c r="K47" s="66">
        <v>53.720208179767255</v>
      </c>
      <c r="L47" s="66">
        <v>64.633692073815311</v>
      </c>
      <c r="M47" s="66">
        <v>61.67583365935608</v>
      </c>
      <c r="N47" s="66">
        <v>78.962079567688434</v>
      </c>
      <c r="O47" s="66">
        <v>86.791547637220049</v>
      </c>
      <c r="P47" s="66">
        <v>89.33100085915099</v>
      </c>
      <c r="Q47" s="66">
        <v>108.14457437239349</v>
      </c>
      <c r="R47" s="66">
        <v>72.364992182175357</v>
      </c>
      <c r="S47" s="66">
        <v>78.900000000000006</v>
      </c>
      <c r="T47" s="66">
        <v>82.778334706355267</v>
      </c>
      <c r="U47" s="66">
        <v>89.957190790234876</v>
      </c>
      <c r="V47" s="66">
        <v>80.94234714241955</v>
      </c>
      <c r="W47" s="66">
        <v>127.40435800979488</v>
      </c>
      <c r="X47" s="66">
        <v>115.66407130594621</v>
      </c>
      <c r="Y47" s="66">
        <v>134.51901921580767</v>
      </c>
    </row>
    <row r="48" spans="1:25" x14ac:dyDescent="0.25">
      <c r="A48" s="72" t="s">
        <v>4</v>
      </c>
      <c r="B48" s="65"/>
      <c r="C48" s="65"/>
      <c r="D48" s="66">
        <v>40.116940068215037</v>
      </c>
      <c r="E48" s="66">
        <v>56.692215113701138</v>
      </c>
      <c r="F48" s="66">
        <v>47.959008326433683</v>
      </c>
      <c r="G48" s="66">
        <v>68.560880743621851</v>
      </c>
      <c r="H48" s="66">
        <v>72.124974070114433</v>
      </c>
      <c r="I48" s="66">
        <v>82.932089858286375</v>
      </c>
      <c r="J48" s="66">
        <v>107.4586567667904</v>
      </c>
      <c r="K48" s="66">
        <v>148.20523129844312</v>
      </c>
      <c r="L48" s="66">
        <v>147.18762899052643</v>
      </c>
      <c r="M48" s="66">
        <v>124.61740271097509</v>
      </c>
      <c r="N48" s="66">
        <v>146.86015093636445</v>
      </c>
      <c r="O48" s="66">
        <v>178.48965261574023</v>
      </c>
      <c r="P48" s="66">
        <v>180.31819640398729</v>
      </c>
      <c r="Q48" s="66">
        <v>203.20549513451635</v>
      </c>
      <c r="R48" s="66">
        <v>194.64378783626668</v>
      </c>
      <c r="S48" s="66">
        <v>173.39999999999998</v>
      </c>
      <c r="T48" s="66">
        <v>184.31578842889894</v>
      </c>
      <c r="U48" s="66">
        <v>196.49812950750132</v>
      </c>
      <c r="V48" s="66">
        <v>204.86211025610078</v>
      </c>
      <c r="W48" s="66">
        <v>214.97267371708426</v>
      </c>
      <c r="X48" s="66">
        <v>192.57114120727627</v>
      </c>
      <c r="Y48" s="66">
        <v>205.71036582815361</v>
      </c>
    </row>
    <row r="49" spans="1:25" x14ac:dyDescent="0.25">
      <c r="A49" s="77" t="s">
        <v>10</v>
      </c>
      <c r="B49" s="44"/>
      <c r="C49" s="44"/>
      <c r="D49" s="45">
        <v>18.210284290828884</v>
      </c>
      <c r="E49" s="45">
        <v>28.987077001593587</v>
      </c>
      <c r="F49" s="45">
        <v>13.188780260245487</v>
      </c>
      <c r="G49" s="45">
        <v>18.884622455474183</v>
      </c>
      <c r="H49" s="45">
        <v>20.076086515499124</v>
      </c>
      <c r="I49" s="45">
        <v>19.629926564318982</v>
      </c>
      <c r="J49" s="45">
        <v>25.342574168287747</v>
      </c>
      <c r="K49" s="45">
        <v>34.231118593187475</v>
      </c>
      <c r="L49" s="45">
        <v>35.352426975224787</v>
      </c>
      <c r="M49" s="45">
        <v>38.923596898536871</v>
      </c>
      <c r="N49" s="45">
        <v>74.990613418372334</v>
      </c>
      <c r="O49" s="45">
        <v>86.479163989647233</v>
      </c>
      <c r="P49" s="45">
        <v>99.821002321229997</v>
      </c>
      <c r="Q49" s="45">
        <v>109.13436978416364</v>
      </c>
      <c r="R49" s="45">
        <v>83.672492036603614</v>
      </c>
      <c r="S49" s="45">
        <v>66.685536580361898</v>
      </c>
      <c r="T49" s="45">
        <v>101.87431048110255</v>
      </c>
      <c r="U49" s="45">
        <v>73.45147521578474</v>
      </c>
      <c r="V49" s="45">
        <v>90.193762605673015</v>
      </c>
      <c r="W49" s="45">
        <v>98.260060663097335</v>
      </c>
      <c r="X49" s="45">
        <v>88.402164613359986</v>
      </c>
      <c r="Y49" s="45">
        <v>89.129737903933147</v>
      </c>
    </row>
    <row r="50" spans="1:25" x14ac:dyDescent="0.25">
      <c r="A50" s="77" t="s">
        <v>18</v>
      </c>
      <c r="B50" s="44"/>
      <c r="C50" s="44"/>
      <c r="D50" s="45">
        <v>12.972388245631679</v>
      </c>
      <c r="E50" s="45">
        <v>22.091303298747665</v>
      </c>
      <c r="F50" s="45">
        <v>18.402142029635066</v>
      </c>
      <c r="G50" s="45">
        <v>21.693960794237988</v>
      </c>
      <c r="H50" s="45">
        <v>25.374504165234192</v>
      </c>
      <c r="I50" s="45">
        <v>23.243409831047558</v>
      </c>
      <c r="J50" s="45">
        <v>27.483387578887083</v>
      </c>
      <c r="K50" s="45">
        <v>34.647938830295395</v>
      </c>
      <c r="L50" s="45">
        <v>34.62861385968165</v>
      </c>
      <c r="M50" s="45">
        <v>37.128545077323871</v>
      </c>
      <c r="N50" s="45">
        <v>42.913659879393748</v>
      </c>
      <c r="O50" s="45">
        <v>46.32636020811421</v>
      </c>
      <c r="P50" s="45">
        <v>50.826988080594276</v>
      </c>
      <c r="Q50" s="45">
        <v>58.563550627607114</v>
      </c>
      <c r="R50" s="45">
        <v>70.477493816993089</v>
      </c>
      <c r="S50" s="45">
        <v>76.909892905502431</v>
      </c>
      <c r="T50" s="45">
        <v>72.232594684293844</v>
      </c>
      <c r="U50" s="45">
        <v>93.631471753604572</v>
      </c>
      <c r="V50" s="45">
        <v>86.009040684244923</v>
      </c>
      <c r="W50" s="45">
        <v>89.611706946334422</v>
      </c>
      <c r="X50" s="45">
        <v>77.655918459971687</v>
      </c>
      <c r="Y50" s="45">
        <v>80.11445649193378</v>
      </c>
    </row>
    <row r="51" spans="1:25" x14ac:dyDescent="0.25">
      <c r="A51" s="77" t="s">
        <v>9</v>
      </c>
      <c r="B51" s="44"/>
      <c r="C51" s="44"/>
      <c r="D51" s="45">
        <v>8.9342675317544735</v>
      </c>
      <c r="E51" s="45">
        <v>5.6138348133598868</v>
      </c>
      <c r="F51" s="45">
        <v>16.36808603655313</v>
      </c>
      <c r="G51" s="45">
        <v>27.982297493909677</v>
      </c>
      <c r="H51" s="45">
        <v>26.674383389381113</v>
      </c>
      <c r="I51" s="45">
        <v>40.058753462919839</v>
      </c>
      <c r="J51" s="45">
        <v>54.632695019615575</v>
      </c>
      <c r="K51" s="45">
        <v>79.326173874960261</v>
      </c>
      <c r="L51" s="45">
        <v>77.206588155619997</v>
      </c>
      <c r="M51" s="45">
        <v>48.565260735114343</v>
      </c>
      <c r="N51" s="45">
        <v>28.955877638598366</v>
      </c>
      <c r="O51" s="45">
        <v>45.684128417978783</v>
      </c>
      <c r="P51" s="45">
        <v>29.670206002163013</v>
      </c>
      <c r="Q51" s="45">
        <v>35.507574722745602</v>
      </c>
      <c r="R51" s="45">
        <v>40.493801982669979</v>
      </c>
      <c r="S51" s="45">
        <v>29.804570514135648</v>
      </c>
      <c r="T51" s="45">
        <v>10.208883263502543</v>
      </c>
      <c r="U51" s="45">
        <v>29.415182538112006</v>
      </c>
      <c r="V51" s="45">
        <v>28.659306966182839</v>
      </c>
      <c r="W51" s="45">
        <v>27.100906107652506</v>
      </c>
      <c r="X51" s="45">
        <v>26.513058133944597</v>
      </c>
      <c r="Y51" s="45">
        <v>36.466171432286686</v>
      </c>
    </row>
    <row r="52" spans="1:25" x14ac:dyDescent="0.25">
      <c r="A52" s="72" t="s">
        <v>3</v>
      </c>
      <c r="B52" s="65"/>
      <c r="C52" s="65"/>
      <c r="D52" s="66">
        <v>100.86080883547191</v>
      </c>
      <c r="E52" s="66">
        <v>92.006080952682623</v>
      </c>
      <c r="F52" s="66">
        <v>105.75976754721694</v>
      </c>
      <c r="G52" s="66">
        <v>117.6742039686203</v>
      </c>
      <c r="H52" s="66">
        <v>113.29365395969307</v>
      </c>
      <c r="I52" s="66">
        <v>122.42356121937507</v>
      </c>
      <c r="J52" s="66">
        <v>144.31319608504896</v>
      </c>
      <c r="K52" s="66">
        <v>116.71022359221786</v>
      </c>
      <c r="L52" s="66">
        <v>116.98496914294918</v>
      </c>
      <c r="M52" s="66">
        <v>92.053483073665802</v>
      </c>
      <c r="N52" s="66">
        <v>97.712661883909504</v>
      </c>
      <c r="O52" s="66">
        <v>93.878797130209023</v>
      </c>
      <c r="P52" s="66">
        <v>100.82085149109275</v>
      </c>
      <c r="Q52" s="66">
        <v>113.05094447624492</v>
      </c>
      <c r="R52" s="66">
        <v>109.75023052559834</v>
      </c>
      <c r="S52" s="66">
        <v>108.90000000000009</v>
      </c>
      <c r="T52" s="66">
        <v>104.91211005349828</v>
      </c>
      <c r="U52" s="66">
        <v>112.90446989856923</v>
      </c>
      <c r="V52" s="66">
        <v>114.26608868385154</v>
      </c>
      <c r="W52" s="66">
        <v>125.09759386755616</v>
      </c>
      <c r="X52" s="66">
        <v>133.00501153172524</v>
      </c>
      <c r="Y52" s="66">
        <v>137.44698294251975</v>
      </c>
    </row>
    <row r="53" spans="1:25" x14ac:dyDescent="0.25">
      <c r="A53" s="73" t="s">
        <v>21</v>
      </c>
      <c r="B53" s="65"/>
      <c r="C53" s="65"/>
      <c r="D53" s="66">
        <v>44.0149423420497</v>
      </c>
      <c r="E53" s="66">
        <v>38.005954266168366</v>
      </c>
      <c r="F53" s="66">
        <v>45.615734303969504</v>
      </c>
      <c r="G53" s="66">
        <v>48.618893796558773</v>
      </c>
      <c r="H53" s="66">
        <v>44.200481896950649</v>
      </c>
      <c r="I53" s="66">
        <v>47.541655907772224</v>
      </c>
      <c r="J53" s="66">
        <v>45.22443469456632</v>
      </c>
      <c r="K53" s="66">
        <v>32.276798677656416</v>
      </c>
      <c r="L53" s="66">
        <v>36.746569481218984</v>
      </c>
      <c r="M53" s="66">
        <v>33.484454468045932</v>
      </c>
      <c r="N53" s="66">
        <v>40.762135470045649</v>
      </c>
      <c r="O53" s="66">
        <v>39.797631768323264</v>
      </c>
      <c r="P53" s="66">
        <v>43.061061827817859</v>
      </c>
      <c r="Q53" s="66">
        <v>42.215226101888952</v>
      </c>
      <c r="R53" s="66">
        <v>40.592551016317202</v>
      </c>
      <c r="S53" s="66">
        <v>36.299999999999997</v>
      </c>
      <c r="T53" s="66">
        <v>36.02941906283808</v>
      </c>
      <c r="U53" s="66">
        <v>34.999421497165336</v>
      </c>
      <c r="V53" s="66">
        <v>35.551512563700328</v>
      </c>
      <c r="W53" s="66">
        <v>34.867627226914607</v>
      </c>
      <c r="X53" s="66">
        <v>36.155860370749302</v>
      </c>
      <c r="Y53" s="66">
        <v>37.728904021349038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44.0149423420497</v>
      </c>
      <c r="E55" s="45">
        <v>38.005954266168366</v>
      </c>
      <c r="F55" s="45">
        <v>45.615734303969504</v>
      </c>
      <c r="G55" s="45">
        <v>48.618893796558773</v>
      </c>
      <c r="H55" s="45">
        <v>44.200481896950649</v>
      </c>
      <c r="I55" s="45">
        <v>47.541655907772224</v>
      </c>
      <c r="J55" s="45">
        <v>45.22443469456632</v>
      </c>
      <c r="K55" s="45">
        <v>32.276798677656416</v>
      </c>
      <c r="L55" s="45">
        <v>36.746569481218984</v>
      </c>
      <c r="M55" s="45">
        <v>33.484454468045932</v>
      </c>
      <c r="N55" s="45">
        <v>40.762135470045649</v>
      </c>
      <c r="O55" s="45">
        <v>39.797631768323264</v>
      </c>
      <c r="P55" s="45">
        <v>43.061061827817859</v>
      </c>
      <c r="Q55" s="45">
        <v>42.215226101888952</v>
      </c>
      <c r="R55" s="45">
        <v>40.592551016317202</v>
      </c>
      <c r="S55" s="45">
        <v>36.299999999999997</v>
      </c>
      <c r="T55" s="45">
        <v>36.02941906283808</v>
      </c>
      <c r="U55" s="45">
        <v>34.999421497165336</v>
      </c>
      <c r="V55" s="45">
        <v>35.551512563700328</v>
      </c>
      <c r="W55" s="45">
        <v>34.867627226914607</v>
      </c>
      <c r="X55" s="45">
        <v>36.155860370749302</v>
      </c>
      <c r="Y55" s="45">
        <v>37.728904021349038</v>
      </c>
    </row>
    <row r="56" spans="1:25" x14ac:dyDescent="0.25">
      <c r="A56" s="73" t="s">
        <v>16</v>
      </c>
      <c r="B56" s="65"/>
      <c r="C56" s="65"/>
      <c r="D56" s="66">
        <v>56.845866493422214</v>
      </c>
      <c r="E56" s="66">
        <v>54.000126686514257</v>
      </c>
      <c r="F56" s="66">
        <v>60.144033243247435</v>
      </c>
      <c r="G56" s="66">
        <v>69.055310172061525</v>
      </c>
      <c r="H56" s="66">
        <v>69.093172062742426</v>
      </c>
      <c r="I56" s="66">
        <v>74.88190531160285</v>
      </c>
      <c r="J56" s="66">
        <v>99.088761390482631</v>
      </c>
      <c r="K56" s="66">
        <v>84.433424914561442</v>
      </c>
      <c r="L56" s="66">
        <v>80.238399661730199</v>
      </c>
      <c r="M56" s="66">
        <v>58.56902860561987</v>
      </c>
      <c r="N56" s="66">
        <v>56.950526413863855</v>
      </c>
      <c r="O56" s="66">
        <v>54.081165361885759</v>
      </c>
      <c r="P56" s="66">
        <v>57.759789663274894</v>
      </c>
      <c r="Q56" s="66">
        <v>70.835718374355963</v>
      </c>
      <c r="R56" s="66">
        <v>69.157679509281138</v>
      </c>
      <c r="S56" s="66">
        <v>72.600000000000094</v>
      </c>
      <c r="T56" s="66">
        <v>68.882690990660194</v>
      </c>
      <c r="U56" s="66">
        <v>77.905048401403889</v>
      </c>
      <c r="V56" s="66">
        <v>78.714576120151207</v>
      </c>
      <c r="W56" s="66">
        <v>90.22996664064155</v>
      </c>
      <c r="X56" s="66">
        <v>96.849151160975936</v>
      </c>
      <c r="Y56" s="66">
        <v>99.718078921170715</v>
      </c>
    </row>
    <row r="57" spans="1:25" x14ac:dyDescent="0.25">
      <c r="A57" s="72" t="s">
        <v>2</v>
      </c>
      <c r="B57" s="65"/>
      <c r="C57" s="65"/>
      <c r="D57" s="66">
        <v>617.83336040279357</v>
      </c>
      <c r="E57" s="66">
        <v>621.39735225185279</v>
      </c>
      <c r="F57" s="66">
        <v>666.1146954524861</v>
      </c>
      <c r="G57" s="66">
        <v>549.14628518689426</v>
      </c>
      <c r="H57" s="66">
        <v>596.62672134548188</v>
      </c>
      <c r="I57" s="66">
        <v>607.40920758843811</v>
      </c>
      <c r="J57" s="66">
        <v>605.06243671954098</v>
      </c>
      <c r="K57" s="66">
        <v>590.14049900600867</v>
      </c>
      <c r="L57" s="66">
        <v>561.97082423058737</v>
      </c>
      <c r="M57" s="66">
        <v>581.89307987940992</v>
      </c>
      <c r="N57" s="66">
        <v>584.99487561725516</v>
      </c>
      <c r="O57" s="66">
        <v>513.33493250757795</v>
      </c>
      <c r="P57" s="66">
        <v>551.8233668367717</v>
      </c>
      <c r="Q57" s="66">
        <v>570.16109248507644</v>
      </c>
      <c r="R57" s="66">
        <v>541.13378502986802</v>
      </c>
      <c r="S57" s="66">
        <v>534.9</v>
      </c>
      <c r="T57" s="66">
        <v>519.49856577105936</v>
      </c>
      <c r="U57" s="66">
        <v>524.7984881792587</v>
      </c>
      <c r="V57" s="66">
        <v>556.01451764116177</v>
      </c>
      <c r="W57" s="66">
        <v>542.71062531052598</v>
      </c>
      <c r="X57" s="66">
        <v>546.84655001994213</v>
      </c>
      <c r="Y57" s="66">
        <v>514.23408651714533</v>
      </c>
    </row>
    <row r="58" spans="1:25" x14ac:dyDescent="0.25">
      <c r="A58" s="72" t="s">
        <v>275</v>
      </c>
      <c r="B58" s="65"/>
      <c r="C58" s="65"/>
      <c r="D58" s="66">
        <v>38.655189215527045</v>
      </c>
      <c r="E58" s="66">
        <v>48.140875403813261</v>
      </c>
      <c r="F58" s="66">
        <v>47.021698717448011</v>
      </c>
      <c r="G58" s="66">
        <v>43.01536027424352</v>
      </c>
      <c r="H58" s="66">
        <v>44.99832453046961</v>
      </c>
      <c r="I58" s="66">
        <v>47.845436456703673</v>
      </c>
      <c r="J58" s="66">
        <v>68.849139385757681</v>
      </c>
      <c r="K58" s="66">
        <v>61.649802318568653</v>
      </c>
      <c r="L58" s="66">
        <v>72.6877346998359</v>
      </c>
      <c r="M58" s="66">
        <v>44.530872436885836</v>
      </c>
      <c r="N58" s="66">
        <v>56.950526413863784</v>
      </c>
      <c r="O58" s="66">
        <v>71.308633360228541</v>
      </c>
      <c r="P58" s="66">
        <v>76.495492045089904</v>
      </c>
      <c r="Q58" s="66">
        <v>77.684193310982096</v>
      </c>
      <c r="R58" s="66">
        <v>88.501784067674294</v>
      </c>
      <c r="S58" s="66">
        <v>81.400000000000006</v>
      </c>
      <c r="T58" s="66">
        <v>90.222429554049086</v>
      </c>
      <c r="U58" s="66">
        <v>93.813876354660806</v>
      </c>
      <c r="V58" s="66">
        <v>97.093687053865651</v>
      </c>
      <c r="W58" s="66">
        <v>83.575839307260978</v>
      </c>
      <c r="X58" s="66">
        <v>83.670036589383869</v>
      </c>
      <c r="Y58" s="66">
        <v>94.196775893656351</v>
      </c>
    </row>
    <row r="59" spans="1:25" x14ac:dyDescent="0.25">
      <c r="A59" s="72" t="s">
        <v>276</v>
      </c>
      <c r="B59" s="65"/>
      <c r="C59" s="65"/>
      <c r="D59" s="66">
        <v>175.24768556114989</v>
      </c>
      <c r="E59" s="66">
        <v>189.23798061696331</v>
      </c>
      <c r="F59" s="66">
        <v>187.93057660162779</v>
      </c>
      <c r="G59" s="66">
        <v>222.16362317885159</v>
      </c>
      <c r="H59" s="66">
        <v>232.33177488072255</v>
      </c>
      <c r="I59" s="66">
        <v>266.41554141288327</v>
      </c>
      <c r="J59" s="66">
        <v>303.34120823489707</v>
      </c>
      <c r="K59" s="66">
        <v>386.7631620094262</v>
      </c>
      <c r="L59" s="66">
        <v>376.82851936493876</v>
      </c>
      <c r="M59" s="66">
        <v>289.85340482820516</v>
      </c>
      <c r="N59" s="66">
        <v>294.65200782632996</v>
      </c>
      <c r="O59" s="66">
        <v>380.31271125455226</v>
      </c>
      <c r="P59" s="66">
        <v>408.04496568571642</v>
      </c>
      <c r="Q59" s="66">
        <v>412.8514187586884</v>
      </c>
      <c r="R59" s="66">
        <v>412.64767670288251</v>
      </c>
      <c r="S59" s="66">
        <v>499.4</v>
      </c>
      <c r="T59" s="66">
        <v>506.59546803505668</v>
      </c>
      <c r="U59" s="66">
        <v>557.67673261598986</v>
      </c>
      <c r="V59" s="66">
        <v>555.64322247078371</v>
      </c>
      <c r="W59" s="66">
        <v>588.75718645751999</v>
      </c>
      <c r="X59" s="66">
        <v>614.9097404061248</v>
      </c>
      <c r="Y59" s="66">
        <v>704.80269707287277</v>
      </c>
    </row>
    <row r="60" spans="1:25" x14ac:dyDescent="0.25">
      <c r="A60" s="72" t="s">
        <v>1</v>
      </c>
      <c r="B60" s="65"/>
      <c r="C60" s="65"/>
      <c r="D60" s="66">
        <v>234.04255319148936</v>
      </c>
      <c r="E60" s="66">
        <v>250.99765629948692</v>
      </c>
      <c r="F60" s="66">
        <v>238.38907721868995</v>
      </c>
      <c r="G60" s="66">
        <v>229.25044498648558</v>
      </c>
      <c r="H60" s="66">
        <v>230.25738403357326</v>
      </c>
      <c r="I60" s="66">
        <v>246.9735862812704</v>
      </c>
      <c r="J60" s="66">
        <v>241.24198447519404</v>
      </c>
      <c r="K60" s="66">
        <v>172.10569813933751</v>
      </c>
      <c r="L60" s="66">
        <v>153.63086309134292</v>
      </c>
      <c r="M60" s="66">
        <v>123.92700158792258</v>
      </c>
      <c r="N60" s="66">
        <v>147.20954066896488</v>
      </c>
      <c r="O60" s="66">
        <v>154.28396973199293</v>
      </c>
      <c r="P60" s="66">
        <v>135.29040338691811</v>
      </c>
      <c r="Q60" s="66">
        <v>137.5827949955025</v>
      </c>
      <c r="R60" s="66">
        <v>128.29250691576794</v>
      </c>
      <c r="S60" s="66">
        <v>115.2</v>
      </c>
      <c r="T60" s="66">
        <v>120.59433653263987</v>
      </c>
      <c r="U60" s="66">
        <v>131.51297774692429</v>
      </c>
      <c r="V60" s="66">
        <v>137.47203683248091</v>
      </c>
      <c r="W60" s="66">
        <v>123.14571651643126</v>
      </c>
      <c r="X60" s="66">
        <v>120.60623927029323</v>
      </c>
      <c r="Y60" s="66">
        <v>116.53295632314682</v>
      </c>
    </row>
    <row r="61" spans="1:25" x14ac:dyDescent="0.25">
      <c r="A61" s="72" t="s">
        <v>0</v>
      </c>
      <c r="B61" s="65"/>
      <c r="C61" s="65"/>
      <c r="D61" s="66">
        <v>376.80688647068376</v>
      </c>
      <c r="E61" s="66">
        <v>386.71058465826309</v>
      </c>
      <c r="F61" s="66">
        <v>467.09262181119459</v>
      </c>
      <c r="G61" s="66">
        <v>443.99762673874341</v>
      </c>
      <c r="H61" s="66">
        <v>469.76974261596638</v>
      </c>
      <c r="I61" s="66">
        <v>491.51692817108926</v>
      </c>
      <c r="J61" s="66">
        <v>429.56463044211944</v>
      </c>
      <c r="K61" s="66">
        <v>533.85154906296771</v>
      </c>
      <c r="L61" s="66">
        <v>384.78188645813412</v>
      </c>
      <c r="M61" s="66">
        <v>347.38683174924626</v>
      </c>
      <c r="N61" s="66">
        <v>538.06018820460258</v>
      </c>
      <c r="O61" s="66">
        <v>549.20731840286112</v>
      </c>
      <c r="P61" s="66">
        <v>552.13390334033761</v>
      </c>
      <c r="Q61" s="66">
        <v>532.54558835554838</v>
      </c>
      <c r="R61" s="66">
        <v>566.69205789199373</v>
      </c>
      <c r="S61" s="66">
        <v>569.79999999999995</v>
      </c>
      <c r="T61" s="66">
        <v>569.02661015771548</v>
      </c>
      <c r="U61" s="66">
        <v>616.4911874734853</v>
      </c>
      <c r="V61" s="66">
        <v>700.355515125637</v>
      </c>
      <c r="W61" s="66">
        <v>686.26233231599122</v>
      </c>
      <c r="X61" s="66">
        <v>673.78223247264464</v>
      </c>
      <c r="Y61" s="66">
        <v>1051.306290102646</v>
      </c>
    </row>
    <row r="62" spans="1:25" x14ac:dyDescent="0.25">
      <c r="A62" s="78" t="s">
        <v>277</v>
      </c>
      <c r="B62" s="79"/>
      <c r="C62" s="79"/>
      <c r="D62" s="80">
        <v>116.77765145363003</v>
      </c>
      <c r="E62" s="80">
        <v>121.93576993729016</v>
      </c>
      <c r="F62" s="80">
        <v>141.22131442050832</v>
      </c>
      <c r="G62" s="80">
        <v>175.19282747709144</v>
      </c>
      <c r="H62" s="80">
        <v>206.96037913481945</v>
      </c>
      <c r="I62" s="80">
        <v>225.70894785606873</v>
      </c>
      <c r="J62" s="80">
        <v>218.29227134660817</v>
      </c>
      <c r="K62" s="80">
        <v>224.15063995175231</v>
      </c>
      <c r="L62" s="80">
        <v>191.48486343363973</v>
      </c>
      <c r="M62" s="80">
        <v>182.26589648585829</v>
      </c>
      <c r="N62" s="80">
        <v>175.16071927699619</v>
      </c>
      <c r="O62" s="80">
        <v>164.7512920600999</v>
      </c>
      <c r="P62" s="80">
        <v>180.31819640398732</v>
      </c>
      <c r="Q62" s="80">
        <v>189.91740943658516</v>
      </c>
      <c r="R62" s="80">
        <v>183.31796496010904</v>
      </c>
      <c r="S62" s="80">
        <v>195.10000000000002</v>
      </c>
      <c r="T62" s="80">
        <v>200.99056088773307</v>
      </c>
      <c r="U62" s="80">
        <v>208.26102047900034</v>
      </c>
      <c r="V62" s="80">
        <v>213.95884193036363</v>
      </c>
      <c r="W62" s="80">
        <v>215.5050039037547</v>
      </c>
      <c r="X62" s="80">
        <v>228.90041098028334</v>
      </c>
      <c r="Y62" s="80">
        <v>287.69335017609609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4.9895807716700533E-2</v>
      </c>
      <c r="E66" s="83">
        <f t="shared" ref="E66:S66" si="49">E24/E$23</f>
        <v>4.9057856727816047E-2</v>
      </c>
      <c r="F66" s="83">
        <f t="shared" si="49"/>
        <v>4.9900743875569899E-2</v>
      </c>
      <c r="G66" s="83">
        <f t="shared" si="49"/>
        <v>4.3880888662333799E-2</v>
      </c>
      <c r="H66" s="83">
        <f t="shared" si="49"/>
        <v>4.6730303462031636E-2</v>
      </c>
      <c r="I66" s="83">
        <f t="shared" si="49"/>
        <v>4.186710150835711E-2</v>
      </c>
      <c r="J66" s="83">
        <f t="shared" si="49"/>
        <v>3.6770827912785548E-2</v>
      </c>
      <c r="K66" s="83">
        <f t="shared" si="49"/>
        <v>3.6945448083871353E-2</v>
      </c>
      <c r="L66" s="83">
        <f t="shared" si="49"/>
        <v>3.2813377030183416E-2</v>
      </c>
      <c r="M66" s="83">
        <f t="shared" si="49"/>
        <v>3.5658514248141933E-2</v>
      </c>
      <c r="N66" s="83">
        <f t="shared" si="49"/>
        <v>4.5593504898889921E-2</v>
      </c>
      <c r="O66" s="83">
        <f t="shared" si="49"/>
        <v>4.1654462649965827E-2</v>
      </c>
      <c r="P66" s="83">
        <f t="shared" si="49"/>
        <v>3.9037012037349536E-2</v>
      </c>
      <c r="Q66" s="83">
        <f t="shared" si="49"/>
        <v>3.6034913960602231E-2</v>
      </c>
      <c r="R66" s="83">
        <f t="shared" si="49"/>
        <v>4.0210739848771083E-2</v>
      </c>
      <c r="S66" s="83">
        <f t="shared" si="49"/>
        <v>3.972998232577938E-2</v>
      </c>
      <c r="T66" s="83">
        <f t="shared" ref="T66:Y66" si="50">T24/T$23</f>
        <v>3.7307877962186868E-2</v>
      </c>
      <c r="U66" s="83">
        <f t="shared" si="50"/>
        <v>4.0662752816614633E-2</v>
      </c>
      <c r="V66" s="83">
        <f t="shared" si="50"/>
        <v>4.1414764061104656E-2</v>
      </c>
      <c r="W66" s="83">
        <f t="shared" si="50"/>
        <v>4.3186360699096822E-2</v>
      </c>
      <c r="X66" s="83">
        <f t="shared" si="50"/>
        <v>4.5846809482135389E-2</v>
      </c>
      <c r="Y66" s="83">
        <f t="shared" si="50"/>
        <v>4.7325462910546845E-2</v>
      </c>
    </row>
    <row r="67" spans="1:25" x14ac:dyDescent="0.25">
      <c r="A67" s="64" t="s">
        <v>56</v>
      </c>
      <c r="B67" s="65"/>
      <c r="C67" s="65"/>
      <c r="D67" s="83">
        <f t="shared" si="46"/>
        <v>1.2037120927764332E-3</v>
      </c>
      <c r="E67" s="83">
        <f t="shared" ref="E67:S67" si="51">E25/E$23</f>
        <v>1.6245894057797434E-3</v>
      </c>
      <c r="F67" s="83">
        <f t="shared" si="51"/>
        <v>1.9851224886019061E-3</v>
      </c>
      <c r="G67" s="83">
        <f t="shared" si="51"/>
        <v>2.4425470455800521E-3</v>
      </c>
      <c r="H67" s="83">
        <f t="shared" si="51"/>
        <v>2.289025027306834E-3</v>
      </c>
      <c r="I67" s="83">
        <f t="shared" si="51"/>
        <v>2.8047289033836117E-3</v>
      </c>
      <c r="J67" s="83">
        <f t="shared" si="51"/>
        <v>3.0051516886090441E-3</v>
      </c>
      <c r="K67" s="83">
        <f t="shared" si="51"/>
        <v>3.2527789294951536E-3</v>
      </c>
      <c r="L67" s="83">
        <f t="shared" si="51"/>
        <v>3.2591573267667347E-3</v>
      </c>
      <c r="M67" s="83">
        <f t="shared" si="51"/>
        <v>4.6084843076706315E-3</v>
      </c>
      <c r="N67" s="83">
        <f t="shared" si="51"/>
        <v>5.0116520911118352E-3</v>
      </c>
      <c r="O67" s="83">
        <f t="shared" si="51"/>
        <v>4.7667453466802203E-3</v>
      </c>
      <c r="P67" s="83">
        <f t="shared" si="51"/>
        <v>4.888575256445659E-3</v>
      </c>
      <c r="Q67" s="83">
        <f t="shared" si="51"/>
        <v>5.2510437321270217E-3</v>
      </c>
      <c r="R67" s="83">
        <f t="shared" si="51"/>
        <v>4.3936181974628535E-3</v>
      </c>
      <c r="S67" s="83">
        <f t="shared" si="51"/>
        <v>5.0200338678782607E-3</v>
      </c>
      <c r="T67" s="83">
        <f t="shared" ref="T67:Y67" si="52">T25/T$23</f>
        <v>4.8631067041399563E-3</v>
      </c>
      <c r="U67" s="83">
        <f t="shared" si="52"/>
        <v>5.0223971765983441E-3</v>
      </c>
      <c r="V67" s="83">
        <f t="shared" si="52"/>
        <v>5.18030299438109E-3</v>
      </c>
      <c r="W67" s="83">
        <f t="shared" si="52"/>
        <v>4.7788647941932284E-3</v>
      </c>
      <c r="X67" s="83">
        <f t="shared" si="52"/>
        <v>5.2623568357368453E-3</v>
      </c>
      <c r="Y67" s="83">
        <f t="shared" si="52"/>
        <v>4.7071578304531151E-3</v>
      </c>
    </row>
    <row r="68" spans="1:25" x14ac:dyDescent="0.25">
      <c r="A68" s="64" t="s">
        <v>146</v>
      </c>
      <c r="B68" s="65"/>
      <c r="C68" s="65"/>
      <c r="D68" s="83">
        <f t="shared" si="46"/>
        <v>0.69836010406285187</v>
      </c>
      <c r="E68" s="83">
        <f t="shared" ref="E68:S68" si="53">E26/E$23</f>
        <v>0.71183104270179887</v>
      </c>
      <c r="F68" s="83">
        <f t="shared" si="53"/>
        <v>0.7122772190833534</v>
      </c>
      <c r="G68" s="83">
        <f t="shared" si="53"/>
        <v>0.73174461577673</v>
      </c>
      <c r="H68" s="83">
        <f t="shared" si="53"/>
        <v>0.72696015576767825</v>
      </c>
      <c r="I68" s="83">
        <f t="shared" si="53"/>
        <v>0.74207093355075415</v>
      </c>
      <c r="J68" s="83">
        <f t="shared" si="53"/>
        <v>0.74016495811000671</v>
      </c>
      <c r="K68" s="83">
        <f t="shared" si="53"/>
        <v>0.73255148176666862</v>
      </c>
      <c r="L68" s="83">
        <f t="shared" si="53"/>
        <v>0.74004599033116647</v>
      </c>
      <c r="M68" s="83">
        <f t="shared" si="53"/>
        <v>0.75110075262125897</v>
      </c>
      <c r="N68" s="83">
        <f t="shared" si="53"/>
        <v>0.74252637381912956</v>
      </c>
      <c r="O68" s="83">
        <f t="shared" si="53"/>
        <v>0.74110829700843661</v>
      </c>
      <c r="P68" s="83">
        <f t="shared" si="53"/>
        <v>0.74578897309238179</v>
      </c>
      <c r="Q68" s="83">
        <f t="shared" si="53"/>
        <v>0.75130777891810563</v>
      </c>
      <c r="R68" s="83">
        <f t="shared" si="53"/>
        <v>0.75917299991828091</v>
      </c>
      <c r="S68" s="83">
        <f t="shared" si="53"/>
        <v>0.75799735349366604</v>
      </c>
      <c r="T68" s="83">
        <f t="shared" ref="T68:Y68" si="54">T26/T$23</f>
        <v>0.7647122511492358</v>
      </c>
      <c r="U68" s="83">
        <f t="shared" si="54"/>
        <v>0.7550054296185692</v>
      </c>
      <c r="V68" s="83">
        <f t="shared" si="54"/>
        <v>0.75667591297407066</v>
      </c>
      <c r="W68" s="83">
        <f t="shared" si="54"/>
        <v>0.75239318936627431</v>
      </c>
      <c r="X68" s="83">
        <f t="shared" si="54"/>
        <v>0.74228530116814428</v>
      </c>
      <c r="Y68" s="83">
        <f t="shared" si="54"/>
        <v>0.73213115541511864</v>
      </c>
    </row>
    <row r="69" spans="1:25" x14ac:dyDescent="0.25">
      <c r="A69" s="68" t="s">
        <v>148</v>
      </c>
      <c r="B69" s="69"/>
      <c r="C69" s="69"/>
      <c r="D69" s="84">
        <f t="shared" si="46"/>
        <v>0.32180530927634904</v>
      </c>
      <c r="E69" s="84">
        <f t="shared" ref="E69:S69" si="55">E27/E$23</f>
        <v>0.32567681343310129</v>
      </c>
      <c r="F69" s="84">
        <f t="shared" si="55"/>
        <v>0.31782683623830188</v>
      </c>
      <c r="G69" s="84">
        <f t="shared" si="55"/>
        <v>0.32367996261841037</v>
      </c>
      <c r="H69" s="84">
        <f t="shared" si="55"/>
        <v>0.318725364486869</v>
      </c>
      <c r="I69" s="84">
        <f t="shared" si="55"/>
        <v>0.3096045658377497</v>
      </c>
      <c r="J69" s="84">
        <f t="shared" si="55"/>
        <v>0.28782458240099906</v>
      </c>
      <c r="K69" s="84">
        <f t="shared" si="55"/>
        <v>0.27802621966870028</v>
      </c>
      <c r="L69" s="84">
        <f t="shared" si="55"/>
        <v>0.29867460935378148</v>
      </c>
      <c r="M69" s="84">
        <f t="shared" si="55"/>
        <v>0.3081402857847339</v>
      </c>
      <c r="N69" s="84">
        <f t="shared" si="55"/>
        <v>0.30026687047385175</v>
      </c>
      <c r="O69" s="84">
        <f t="shared" si="55"/>
        <v>0.29727261763236335</v>
      </c>
      <c r="P69" s="84">
        <f t="shared" si="55"/>
        <v>0.29226111946327948</v>
      </c>
      <c r="Q69" s="84">
        <f t="shared" si="55"/>
        <v>0.29302717190940708</v>
      </c>
      <c r="R69" s="84">
        <f t="shared" si="55"/>
        <v>0.28951732691115184</v>
      </c>
      <c r="S69" s="84">
        <f t="shared" si="55"/>
        <v>0.29314684408746422</v>
      </c>
      <c r="T69" s="84">
        <f t="shared" ref="T69:Y69" si="56">T27/T$23</f>
        <v>0.29170068886492923</v>
      </c>
      <c r="U69" s="84">
        <f t="shared" si="56"/>
        <v>0.29250797475227369</v>
      </c>
      <c r="V69" s="84">
        <f t="shared" si="56"/>
        <v>0.29528517350656325</v>
      </c>
      <c r="W69" s="84">
        <f t="shared" si="56"/>
        <v>0.29406173451753004</v>
      </c>
      <c r="X69" s="84">
        <f t="shared" si="56"/>
        <v>0.27555268064381117</v>
      </c>
      <c r="Y69" s="84">
        <f t="shared" si="56"/>
        <v>0.27610637078817446</v>
      </c>
    </row>
    <row r="70" spans="1:25" x14ac:dyDescent="0.25">
      <c r="A70" s="68" t="s">
        <v>150</v>
      </c>
      <c r="B70" s="71"/>
      <c r="C70" s="71"/>
      <c r="D70" s="84">
        <f t="shared" si="46"/>
        <v>0.21930857741939661</v>
      </c>
      <c r="E70" s="84">
        <f t="shared" ref="E70:S70" si="57">E28/E$23</f>
        <v>0.22645827651223185</v>
      </c>
      <c r="F70" s="84">
        <f t="shared" si="57"/>
        <v>0.23300102528304351</v>
      </c>
      <c r="G70" s="84">
        <f t="shared" si="57"/>
        <v>0.24336264389788026</v>
      </c>
      <c r="H70" s="84">
        <f t="shared" si="57"/>
        <v>0.24214275537825902</v>
      </c>
      <c r="I70" s="84">
        <f t="shared" si="57"/>
        <v>0.25311863024867509</v>
      </c>
      <c r="J70" s="84">
        <f t="shared" si="57"/>
        <v>0.27057423114950302</v>
      </c>
      <c r="K70" s="84">
        <f t="shared" si="57"/>
        <v>0.28286343264427727</v>
      </c>
      <c r="L70" s="84">
        <f t="shared" si="57"/>
        <v>0.28365985261366311</v>
      </c>
      <c r="M70" s="84">
        <f t="shared" si="57"/>
        <v>0.26888304430015619</v>
      </c>
      <c r="N70" s="84">
        <f t="shared" si="57"/>
        <v>0.26470919888741323</v>
      </c>
      <c r="O70" s="84">
        <f t="shared" si="57"/>
        <v>0.27902689478127529</v>
      </c>
      <c r="P70" s="84">
        <f t="shared" si="57"/>
        <v>0.28871741375960075</v>
      </c>
      <c r="Q70" s="84">
        <f t="shared" si="57"/>
        <v>0.29892089556700313</v>
      </c>
      <c r="R70" s="84">
        <f t="shared" si="57"/>
        <v>0.30946646861735622</v>
      </c>
      <c r="S70" s="84">
        <f t="shared" si="57"/>
        <v>0.30243737681253291</v>
      </c>
      <c r="T70" s="84">
        <f t="shared" ref="T70:Y70" si="58">T28/T$23</f>
        <v>0.31145987936969083</v>
      </c>
      <c r="U70" s="84">
        <f t="shared" si="58"/>
        <v>0.30288363648703687</v>
      </c>
      <c r="V70" s="84">
        <f t="shared" si="58"/>
        <v>0.30511233868354709</v>
      </c>
      <c r="W70" s="84">
        <f t="shared" si="58"/>
        <v>0.29795395458575658</v>
      </c>
      <c r="X70" s="84">
        <f t="shared" si="58"/>
        <v>0.30426163387998939</v>
      </c>
      <c r="Y70" s="84">
        <f t="shared" si="58"/>
        <v>0.30234568790720173</v>
      </c>
    </row>
    <row r="71" spans="1:25" x14ac:dyDescent="0.25">
      <c r="A71" s="68" t="s">
        <v>152</v>
      </c>
      <c r="B71" s="71"/>
      <c r="C71" s="71"/>
      <c r="D71" s="84">
        <f t="shared" si="46"/>
        <v>0.15724621736710639</v>
      </c>
      <c r="E71" s="84">
        <f t="shared" ref="E71:S71" si="59">E29/E$23</f>
        <v>0.1596959527564657</v>
      </c>
      <c r="F71" s="84">
        <f t="shared" si="59"/>
        <v>0.16144935756200784</v>
      </c>
      <c r="G71" s="84">
        <f t="shared" si="59"/>
        <v>0.16470200926043943</v>
      </c>
      <c r="H71" s="84">
        <f t="shared" si="59"/>
        <v>0.1660920359025502</v>
      </c>
      <c r="I71" s="84">
        <f t="shared" si="59"/>
        <v>0.17934773746432928</v>
      </c>
      <c r="J71" s="84">
        <f t="shared" si="59"/>
        <v>0.1817661445595046</v>
      </c>
      <c r="K71" s="84">
        <f t="shared" si="59"/>
        <v>0.1716618294536911</v>
      </c>
      <c r="L71" s="84">
        <f t="shared" si="59"/>
        <v>0.15771152836372199</v>
      </c>
      <c r="M71" s="84">
        <f t="shared" si="59"/>
        <v>0.17407742253636882</v>
      </c>
      <c r="N71" s="84">
        <f t="shared" si="59"/>
        <v>0.17755030445786457</v>
      </c>
      <c r="O71" s="84">
        <f t="shared" si="59"/>
        <v>0.16480878459479789</v>
      </c>
      <c r="P71" s="84">
        <f t="shared" si="59"/>
        <v>0.16481043986950153</v>
      </c>
      <c r="Q71" s="84">
        <f t="shared" si="59"/>
        <v>0.15935971144169542</v>
      </c>
      <c r="R71" s="84">
        <f t="shared" si="59"/>
        <v>0.1601892043897728</v>
      </c>
      <c r="S71" s="84">
        <f t="shared" si="59"/>
        <v>0.1624131325936688</v>
      </c>
      <c r="T71" s="84">
        <f t="shared" ref="T71:Y71" si="60">T29/T$23</f>
        <v>0.16155168291461577</v>
      </c>
      <c r="U71" s="84">
        <f t="shared" si="60"/>
        <v>0.15961381837925864</v>
      </c>
      <c r="V71" s="84">
        <f t="shared" si="60"/>
        <v>0.15627840078396035</v>
      </c>
      <c r="W71" s="84">
        <f t="shared" si="60"/>
        <v>0.16037750026298772</v>
      </c>
      <c r="X71" s="84">
        <f t="shared" si="60"/>
        <v>0.1624709866443439</v>
      </c>
      <c r="Y71" s="84">
        <f t="shared" si="60"/>
        <v>0.15367909671974234</v>
      </c>
    </row>
    <row r="72" spans="1:25" x14ac:dyDescent="0.25">
      <c r="A72" s="64" t="s">
        <v>154</v>
      </c>
      <c r="B72" s="65"/>
      <c r="C72" s="65"/>
      <c r="D72" s="83">
        <f t="shared" si="46"/>
        <v>3.2953236432352671E-2</v>
      </c>
      <c r="E72" s="83">
        <f t="shared" ref="E72:S72" si="61">E30/E$23</f>
        <v>3.111622336325582E-2</v>
      </c>
      <c r="F72" s="83">
        <f t="shared" si="61"/>
        <v>2.8686110686939638E-2</v>
      </c>
      <c r="G72" s="83">
        <f t="shared" si="61"/>
        <v>2.7823796780085806E-2</v>
      </c>
      <c r="H72" s="83">
        <f t="shared" si="61"/>
        <v>2.7192857482072473E-2</v>
      </c>
      <c r="I72" s="83">
        <f t="shared" si="61"/>
        <v>2.2095393395841826E-2</v>
      </c>
      <c r="J72" s="83">
        <f t="shared" si="61"/>
        <v>2.0424624030806058E-2</v>
      </c>
      <c r="K72" s="83">
        <f t="shared" si="61"/>
        <v>1.9023080416197755E-2</v>
      </c>
      <c r="L72" s="83">
        <f t="shared" si="61"/>
        <v>2.2067211066649769E-2</v>
      </c>
      <c r="M72" s="83">
        <f t="shared" si="61"/>
        <v>2.9881764491775185E-2</v>
      </c>
      <c r="N72" s="83">
        <f t="shared" si="61"/>
        <v>3.2820056631668634E-2</v>
      </c>
      <c r="O72" s="83">
        <f t="shared" si="61"/>
        <v>3.0541628618849896E-2</v>
      </c>
      <c r="P72" s="83">
        <f t="shared" si="61"/>
        <v>3.0471778193681669E-2</v>
      </c>
      <c r="Q72" s="83">
        <f t="shared" si="61"/>
        <v>2.6285110750191805E-2</v>
      </c>
      <c r="R72" s="83">
        <f t="shared" si="61"/>
        <v>2.0497142225362811E-2</v>
      </c>
      <c r="S72" s="83">
        <f t="shared" si="61"/>
        <v>2.3721395060471745E-2</v>
      </c>
      <c r="T72" s="83">
        <f t="shared" ref="T72:Y72" si="62">T30/T$23</f>
        <v>2.8840297921676014E-2</v>
      </c>
      <c r="U72" s="83">
        <f t="shared" si="62"/>
        <v>2.6605130989547986E-2</v>
      </c>
      <c r="V72" s="83">
        <f t="shared" si="62"/>
        <v>1.6082252621762803E-2</v>
      </c>
      <c r="W72" s="83">
        <f t="shared" si="62"/>
        <v>1.6669672242008927E-2</v>
      </c>
      <c r="X72" s="83">
        <f t="shared" si="62"/>
        <v>2.0056314447699862E-2</v>
      </c>
      <c r="Y72" s="83">
        <f t="shared" si="62"/>
        <v>2.4870398770375099E-2</v>
      </c>
    </row>
    <row r="73" spans="1:25" x14ac:dyDescent="0.25">
      <c r="A73" s="64" t="s">
        <v>37</v>
      </c>
      <c r="B73" s="65"/>
      <c r="C73" s="65"/>
      <c r="D73" s="83">
        <f t="shared" si="46"/>
        <v>6.9750585677120405E-2</v>
      </c>
      <c r="E73" s="83">
        <f t="shared" ref="E73:S73" si="63">E31/E$23</f>
        <v>6.161581425132516E-2</v>
      </c>
      <c r="F73" s="83">
        <f t="shared" si="63"/>
        <v>6.293492724853296E-2</v>
      </c>
      <c r="G73" s="83">
        <f t="shared" si="63"/>
        <v>6.196635656938957E-2</v>
      </c>
      <c r="H73" s="83">
        <f t="shared" si="63"/>
        <v>6.5393930759367447E-2</v>
      </c>
      <c r="I73" s="83">
        <f t="shared" si="63"/>
        <v>6.7761924174480223E-2</v>
      </c>
      <c r="J73" s="83">
        <f t="shared" si="63"/>
        <v>8.54126554613103E-2</v>
      </c>
      <c r="K73" s="83">
        <f t="shared" si="63"/>
        <v>0.10112243084759817</v>
      </c>
      <c r="L73" s="83">
        <f t="shared" si="63"/>
        <v>0.10163138930634266</v>
      </c>
      <c r="M73" s="83">
        <f t="shared" si="63"/>
        <v>7.8285526423933591E-2</v>
      </c>
      <c r="N73" s="83">
        <f t="shared" si="63"/>
        <v>4.8650612674468137E-2</v>
      </c>
      <c r="O73" s="83">
        <f t="shared" si="63"/>
        <v>5.6580692958425945E-2</v>
      </c>
      <c r="P73" s="83">
        <f t="shared" si="63"/>
        <v>6.0493562012293042E-2</v>
      </c>
      <c r="Q73" s="83">
        <f t="shared" si="63"/>
        <v>6.231504269586792E-2</v>
      </c>
      <c r="R73" s="83">
        <f t="shared" si="63"/>
        <v>6.2505708338741223E-2</v>
      </c>
      <c r="S73" s="83">
        <f t="shared" si="63"/>
        <v>6.0541145770679296E-2</v>
      </c>
      <c r="T73" s="83">
        <f t="shared" ref="T73:Y73" si="64">T31/T$23</f>
        <v>5.3412971592780224E-2</v>
      </c>
      <c r="U73" s="83">
        <f t="shared" si="64"/>
        <v>5.8491414415637301E-2</v>
      </c>
      <c r="V73" s="83">
        <f t="shared" si="64"/>
        <v>6.3562436283458604E-2</v>
      </c>
      <c r="W73" s="83">
        <f t="shared" si="64"/>
        <v>6.5063192221571017E-2</v>
      </c>
      <c r="X73" s="83">
        <f t="shared" si="64"/>
        <v>6.3916898139340206E-2</v>
      </c>
      <c r="Y73" s="83">
        <f t="shared" si="64"/>
        <v>5.3257442421372973E-2</v>
      </c>
    </row>
    <row r="74" spans="1:25" x14ac:dyDescent="0.25">
      <c r="A74" s="64" t="s">
        <v>58</v>
      </c>
      <c r="B74" s="65"/>
      <c r="C74" s="65"/>
      <c r="D74" s="83">
        <f t="shared" si="46"/>
        <v>0.14783655401819806</v>
      </c>
      <c r="E74" s="83">
        <f t="shared" ref="E74:S74" si="65">E32/E$23</f>
        <v>0.1447544735500243</v>
      </c>
      <c r="F74" s="83">
        <f t="shared" si="65"/>
        <v>0.14421587661700222</v>
      </c>
      <c r="G74" s="83">
        <f t="shared" si="65"/>
        <v>0.13214179516588079</v>
      </c>
      <c r="H74" s="83">
        <f t="shared" si="65"/>
        <v>0.13143372750154345</v>
      </c>
      <c r="I74" s="83">
        <f t="shared" si="65"/>
        <v>0.12339991846718307</v>
      </c>
      <c r="J74" s="83">
        <f t="shared" si="65"/>
        <v>0.11422178279648229</v>
      </c>
      <c r="K74" s="83">
        <f t="shared" si="65"/>
        <v>0.10710477995616895</v>
      </c>
      <c r="L74" s="83">
        <f t="shared" si="65"/>
        <v>0.10018287493889079</v>
      </c>
      <c r="M74" s="83">
        <f t="shared" si="65"/>
        <v>0.10046495790721978</v>
      </c>
      <c r="N74" s="83">
        <f t="shared" si="65"/>
        <v>0.12539779988473204</v>
      </c>
      <c r="O74" s="83">
        <f t="shared" si="65"/>
        <v>0.12534817341764154</v>
      </c>
      <c r="P74" s="83">
        <f t="shared" si="65"/>
        <v>0.11932009940784831</v>
      </c>
      <c r="Q74" s="83">
        <f t="shared" si="65"/>
        <v>0.11880610994310541</v>
      </c>
      <c r="R74" s="83">
        <f t="shared" si="65"/>
        <v>0.11321979147138139</v>
      </c>
      <c r="S74" s="83">
        <f t="shared" si="65"/>
        <v>0.11299008948152538</v>
      </c>
      <c r="T74" s="83">
        <f t="shared" ref="T74:Y74" si="66">T32/T$23</f>
        <v>0.11086349466998094</v>
      </c>
      <c r="U74" s="83">
        <f t="shared" si="66"/>
        <v>0.11421287498303247</v>
      </c>
      <c r="V74" s="83">
        <f t="shared" si="66"/>
        <v>0.11708433106522205</v>
      </c>
      <c r="W74" s="83">
        <f t="shared" si="66"/>
        <v>0.11790872067685558</v>
      </c>
      <c r="X74" s="83">
        <f t="shared" si="66"/>
        <v>0.12263231992694346</v>
      </c>
      <c r="Y74" s="83">
        <f t="shared" si="66"/>
        <v>0.13770838265213348</v>
      </c>
    </row>
    <row r="75" spans="1:25" x14ac:dyDescent="0.25">
      <c r="A75" s="85" t="s">
        <v>158</v>
      </c>
      <c r="B75" s="86"/>
      <c r="C75" s="86"/>
      <c r="D75" s="87">
        <f t="shared" si="46"/>
        <v>7.2222725566585986E-3</v>
      </c>
      <c r="E75" s="87">
        <f t="shared" ref="E75:S75" si="67">E33/E$23</f>
        <v>6.1307498013731931E-3</v>
      </c>
      <c r="F75" s="87">
        <f t="shared" si="67"/>
        <v>5.6717785388625888E-3</v>
      </c>
      <c r="G75" s="87">
        <f t="shared" si="67"/>
        <v>7.63561445987851E-3</v>
      </c>
      <c r="H75" s="87">
        <f t="shared" si="67"/>
        <v>9.1086099634325873E-3</v>
      </c>
      <c r="I75" s="87">
        <f t="shared" si="67"/>
        <v>5.4219323277619243E-3</v>
      </c>
      <c r="J75" s="87">
        <f t="shared" si="67"/>
        <v>5.8021543425092366E-3</v>
      </c>
      <c r="K75" s="87">
        <f t="shared" si="67"/>
        <v>3.6673971845446116E-3</v>
      </c>
      <c r="L75" s="87">
        <f t="shared" si="67"/>
        <v>3.7616107479766067E-3</v>
      </c>
      <c r="M75" s="87">
        <f t="shared" si="67"/>
        <v>2.7533492233089507E-3</v>
      </c>
      <c r="N75" s="87">
        <f t="shared" si="67"/>
        <v>5.4188488235146718E-3</v>
      </c>
      <c r="O75" s="87">
        <f t="shared" si="67"/>
        <v>5.547802415533847E-3</v>
      </c>
      <c r="P75" s="87">
        <f t="shared" si="67"/>
        <v>2.9198498655130449E-3</v>
      </c>
      <c r="Q75" s="87">
        <f t="shared" si="67"/>
        <v>1.0063271589561681E-3</v>
      </c>
      <c r="R75" s="87">
        <f t="shared" si="67"/>
        <v>9.1004619548236063E-5</v>
      </c>
      <c r="S75" s="87">
        <f t="shared" si="67"/>
        <v>1.0363940888522859E-3</v>
      </c>
      <c r="T75" s="87">
        <f t="shared" ref="T75:Y75" si="68">T33/T$23</f>
        <v>0</v>
      </c>
      <c r="U75" s="87">
        <f t="shared" si="68"/>
        <v>0</v>
      </c>
      <c r="V75" s="87">
        <f t="shared" si="68"/>
        <v>0</v>
      </c>
      <c r="W75" s="87">
        <f t="shared" si="68"/>
        <v>0</v>
      </c>
      <c r="X75" s="87">
        <f t="shared" si="68"/>
        <v>0</v>
      </c>
      <c r="Y75" s="87">
        <f t="shared" si="68"/>
        <v>0</v>
      </c>
    </row>
    <row r="76" spans="1:25" x14ac:dyDescent="0.25">
      <c r="A76" s="88" t="s">
        <v>5</v>
      </c>
      <c r="B76" s="44"/>
      <c r="C76" s="44"/>
      <c r="D76" s="89">
        <f t="shared" si="46"/>
        <v>7.222272556658596E-3</v>
      </c>
      <c r="E76" s="89">
        <f t="shared" ref="E76:S76" si="69">E34/E$23</f>
        <v>6.1307498013731905E-3</v>
      </c>
      <c r="F76" s="89">
        <f t="shared" si="69"/>
        <v>5.6717785388625871E-3</v>
      </c>
      <c r="G76" s="89">
        <f t="shared" si="69"/>
        <v>7.6356144598785083E-3</v>
      </c>
      <c r="H76" s="89">
        <f t="shared" si="69"/>
        <v>9.1086099634325856E-3</v>
      </c>
      <c r="I76" s="89">
        <f t="shared" si="69"/>
        <v>5.4219323277619235E-3</v>
      </c>
      <c r="J76" s="89">
        <f t="shared" si="69"/>
        <v>5.8021543425092366E-3</v>
      </c>
      <c r="K76" s="89">
        <f t="shared" si="69"/>
        <v>3.6673971845446116E-3</v>
      </c>
      <c r="L76" s="89">
        <f t="shared" si="69"/>
        <v>3.7616107479766067E-3</v>
      </c>
      <c r="M76" s="89">
        <f t="shared" si="69"/>
        <v>2.7533492233089507E-3</v>
      </c>
      <c r="N76" s="89">
        <f t="shared" si="69"/>
        <v>5.4188488235146718E-3</v>
      </c>
      <c r="O76" s="89">
        <f t="shared" si="69"/>
        <v>5.5478024155338479E-3</v>
      </c>
      <c r="P76" s="89">
        <f t="shared" si="69"/>
        <v>2.9198498655130449E-3</v>
      </c>
      <c r="Q76" s="89">
        <f t="shared" si="69"/>
        <v>1.0063271589561681E-3</v>
      </c>
      <c r="R76" s="89">
        <f t="shared" si="69"/>
        <v>9.1004619548236063E-5</v>
      </c>
      <c r="S76" s="89">
        <f t="shared" si="69"/>
        <v>1.0363940888522859E-3</v>
      </c>
      <c r="T76" s="89">
        <f t="shared" ref="T76:Y76" si="70">T34/T$23</f>
        <v>0</v>
      </c>
      <c r="U76" s="89">
        <f t="shared" si="70"/>
        <v>0</v>
      </c>
      <c r="V76" s="89">
        <f t="shared" si="70"/>
        <v>0</v>
      </c>
      <c r="W76" s="89">
        <f t="shared" si="70"/>
        <v>0</v>
      </c>
      <c r="X76" s="89">
        <f t="shared" si="70"/>
        <v>0</v>
      </c>
      <c r="Y76" s="89">
        <f t="shared" si="70"/>
        <v>0</v>
      </c>
    </row>
    <row r="77" spans="1:25" x14ac:dyDescent="0.25">
      <c r="A77" s="88" t="s">
        <v>269</v>
      </c>
      <c r="B77" s="44"/>
      <c r="C77" s="44"/>
      <c r="D77" s="89">
        <f>D37/D$23</f>
        <v>0</v>
      </c>
      <c r="E77" s="89">
        <f t="shared" ref="E77:S77" si="71">E37/E$23</f>
        <v>0</v>
      </c>
      <c r="F77" s="89">
        <f t="shared" si="71"/>
        <v>0</v>
      </c>
      <c r="G77" s="89">
        <f t="shared" si="71"/>
        <v>0</v>
      </c>
      <c r="H77" s="89">
        <f t="shared" si="71"/>
        <v>0</v>
      </c>
      <c r="I77" s="89">
        <f t="shared" si="71"/>
        <v>0</v>
      </c>
      <c r="J77" s="89">
        <f t="shared" si="71"/>
        <v>0</v>
      </c>
      <c r="K77" s="89">
        <f t="shared" si="71"/>
        <v>0</v>
      </c>
      <c r="L77" s="89">
        <f t="shared" si="71"/>
        <v>0</v>
      </c>
      <c r="M77" s="89">
        <f t="shared" si="71"/>
        <v>0</v>
      </c>
      <c r="N77" s="89">
        <f t="shared" si="71"/>
        <v>0</v>
      </c>
      <c r="O77" s="89">
        <f t="shared" si="71"/>
        <v>0</v>
      </c>
      <c r="P77" s="89">
        <f t="shared" si="71"/>
        <v>0</v>
      </c>
      <c r="Q77" s="89">
        <f t="shared" si="71"/>
        <v>0</v>
      </c>
      <c r="R77" s="89">
        <f t="shared" si="71"/>
        <v>0</v>
      </c>
      <c r="S77" s="89">
        <f t="shared" si="71"/>
        <v>0</v>
      </c>
      <c r="T77" s="89">
        <f t="shared" ref="T77:Y77" si="72">T37/T$23</f>
        <v>0</v>
      </c>
      <c r="U77" s="89">
        <f t="shared" si="72"/>
        <v>0</v>
      </c>
      <c r="V77" s="89">
        <f t="shared" si="72"/>
        <v>0</v>
      </c>
      <c r="W77" s="89">
        <f t="shared" si="72"/>
        <v>0</v>
      </c>
      <c r="X77" s="89">
        <f t="shared" si="72"/>
        <v>0</v>
      </c>
      <c r="Y77" s="89">
        <f t="shared" si="72"/>
        <v>0</v>
      </c>
    </row>
    <row r="78" spans="1:25" x14ac:dyDescent="0.25">
      <c r="A78" s="68" t="s">
        <v>271</v>
      </c>
      <c r="B78" s="44"/>
      <c r="C78" s="44"/>
      <c r="D78" s="89">
        <f>D43/D$23</f>
        <v>5.1125406091042042E-3</v>
      </c>
      <c r="E78" s="89">
        <f t="shared" ref="E78:S78" si="73">E43/E$23</f>
        <v>6.2967662370003192E-3</v>
      </c>
      <c r="F78" s="89">
        <f t="shared" si="73"/>
        <v>5.780851203071485E-3</v>
      </c>
      <c r="G78" s="89">
        <f t="shared" si="73"/>
        <v>5.3629837305127223E-3</v>
      </c>
      <c r="H78" s="89">
        <f t="shared" si="73"/>
        <v>5.2809042123759331E-3</v>
      </c>
      <c r="I78" s="89">
        <f t="shared" si="73"/>
        <v>5.7236037505095797E-3</v>
      </c>
      <c r="J78" s="89">
        <f t="shared" si="73"/>
        <v>6.3615548732892744E-3</v>
      </c>
      <c r="K78" s="89">
        <f t="shared" si="73"/>
        <v>4.723686548599183E-3</v>
      </c>
      <c r="L78" s="89">
        <f t="shared" si="73"/>
        <v>6.2467182096362425E-3</v>
      </c>
      <c r="M78" s="89">
        <f t="shared" si="73"/>
        <v>6.5634209630264541E-3</v>
      </c>
      <c r="N78" s="89">
        <f t="shared" si="73"/>
        <v>1.0161124614729245E-2</v>
      </c>
      <c r="O78" s="89">
        <f t="shared" si="73"/>
        <v>8.8960102915754957E-3</v>
      </c>
      <c r="P78" s="89">
        <f t="shared" si="73"/>
        <v>8.4476216774563052E-3</v>
      </c>
      <c r="Q78" s="89">
        <f t="shared" si="73"/>
        <v>8.7683462699654248E-3</v>
      </c>
      <c r="R78" s="89">
        <f t="shared" si="73"/>
        <v>6.4173745006705788E-3</v>
      </c>
      <c r="S78" s="89">
        <f t="shared" si="73"/>
        <v>6.5514912045305232E-3</v>
      </c>
      <c r="T78" s="89">
        <f t="shared" ref="T78:Y78" si="74">T43/T$23</f>
        <v>6.5006834514523904E-3</v>
      </c>
      <c r="U78" s="89">
        <f t="shared" si="74"/>
        <v>6.7785394326048609E-3</v>
      </c>
      <c r="V78" s="89">
        <f t="shared" si="74"/>
        <v>7.2706006938681967E-3</v>
      </c>
      <c r="W78" s="89">
        <f t="shared" si="74"/>
        <v>8.6560569857084893E-3</v>
      </c>
      <c r="X78" s="89">
        <f t="shared" si="74"/>
        <v>8.7820098169780446E-3</v>
      </c>
      <c r="Y78" s="89">
        <f t="shared" si="74"/>
        <v>1.0083335906488126E-2</v>
      </c>
    </row>
    <row r="79" spans="1:25" x14ac:dyDescent="0.25">
      <c r="A79" s="88" t="s">
        <v>272</v>
      </c>
      <c r="B79" s="44"/>
      <c r="C79" s="44"/>
      <c r="D79" s="89">
        <f>D44/D$23</f>
        <v>2.6274575788560852E-3</v>
      </c>
      <c r="E79" s="89">
        <f t="shared" ref="E79:S79" si="75">E44/E$23</f>
        <v>3.2254621778984691E-3</v>
      </c>
      <c r="F79" s="89">
        <f t="shared" si="75"/>
        <v>2.9013328679566323E-3</v>
      </c>
      <c r="G79" s="89">
        <f t="shared" si="75"/>
        <v>2.6868017501380571E-3</v>
      </c>
      <c r="H79" s="89">
        <f t="shared" si="75"/>
        <v>2.6214560478700672E-3</v>
      </c>
      <c r="I79" s="89">
        <f t="shared" si="75"/>
        <v>2.8047289033836117E-3</v>
      </c>
      <c r="J79" s="89">
        <f t="shared" si="75"/>
        <v>3.1612634646406828E-3</v>
      </c>
      <c r="K79" s="89">
        <f t="shared" si="75"/>
        <v>2.3495034452802625E-3</v>
      </c>
      <c r="L79" s="89">
        <f t="shared" si="75"/>
        <v>3.3406362599359032E-3</v>
      </c>
      <c r="M79" s="89">
        <f t="shared" si="75"/>
        <v>3.416736136387653E-3</v>
      </c>
      <c r="N79" s="89">
        <f t="shared" si="75"/>
        <v>5.9137494675119652E-3</v>
      </c>
      <c r="O79" s="89">
        <f t="shared" si="75"/>
        <v>4.3245292121086819E-3</v>
      </c>
      <c r="P79" s="89">
        <f t="shared" si="75"/>
        <v>4.0346086583008629E-3</v>
      </c>
      <c r="Q79" s="89">
        <f t="shared" si="75"/>
        <v>3.4973744781339367E-3</v>
      </c>
      <c r="R79" s="89">
        <f t="shared" si="75"/>
        <v>2.946704546000798E-3</v>
      </c>
      <c r="S79" s="89">
        <f t="shared" si="75"/>
        <v>2.9009780969213544E-3</v>
      </c>
      <c r="T79" s="89">
        <f t="shared" ref="T79:Y79" si="76">T44/T$23</f>
        <v>2.7383170402717565E-3</v>
      </c>
      <c r="U79" s="89">
        <f t="shared" si="76"/>
        <v>2.8208565223293066E-3</v>
      </c>
      <c r="V79" s="89">
        <f t="shared" si="76"/>
        <v>3.8249681911219644E-3</v>
      </c>
      <c r="W79" s="89">
        <f t="shared" si="76"/>
        <v>3.2610492463519833E-3</v>
      </c>
      <c r="X79" s="89">
        <f t="shared" si="76"/>
        <v>3.706099463490735E-3</v>
      </c>
      <c r="Y79" s="89">
        <f t="shared" si="76"/>
        <v>4.566492035228205E-3</v>
      </c>
    </row>
    <row r="80" spans="1:25" x14ac:dyDescent="0.25">
      <c r="A80" s="88" t="s">
        <v>11</v>
      </c>
      <c r="B80" s="44"/>
      <c r="C80" s="44"/>
      <c r="D80" s="89">
        <f>D47/D$23</f>
        <v>2.4850830302481199E-3</v>
      </c>
      <c r="E80" s="89">
        <f t="shared" ref="E80:S80" si="77">E47/E$23</f>
        <v>3.071304059101851E-3</v>
      </c>
      <c r="F80" s="89">
        <f t="shared" si="77"/>
        <v>2.8795183351148531E-3</v>
      </c>
      <c r="G80" s="89">
        <f t="shared" si="77"/>
        <v>2.6761819803746653E-3</v>
      </c>
      <c r="H80" s="89">
        <f t="shared" si="77"/>
        <v>2.6594481645058655E-3</v>
      </c>
      <c r="I80" s="89">
        <f t="shared" si="77"/>
        <v>2.9188748471259676E-3</v>
      </c>
      <c r="J80" s="89">
        <f t="shared" si="77"/>
        <v>3.2002914086485925E-3</v>
      </c>
      <c r="K80" s="89">
        <f t="shared" si="77"/>
        <v>2.3741831033189209E-3</v>
      </c>
      <c r="L80" s="89">
        <f t="shared" si="77"/>
        <v>2.9060819497003388E-3</v>
      </c>
      <c r="M80" s="89">
        <f t="shared" si="77"/>
        <v>3.1466848266388007E-3</v>
      </c>
      <c r="N80" s="89">
        <f t="shared" si="77"/>
        <v>4.2473751472172803E-3</v>
      </c>
      <c r="O80" s="89">
        <f t="shared" si="77"/>
        <v>4.5714810794668138E-3</v>
      </c>
      <c r="P80" s="89">
        <f t="shared" si="77"/>
        <v>4.4130130191554423E-3</v>
      </c>
      <c r="Q80" s="89">
        <f t="shared" si="77"/>
        <v>5.2709717918314886E-3</v>
      </c>
      <c r="R80" s="89">
        <f t="shared" si="77"/>
        <v>3.4706699546697816E-3</v>
      </c>
      <c r="S80" s="89">
        <f t="shared" si="77"/>
        <v>3.6505131076091683E-3</v>
      </c>
      <c r="T80" s="89">
        <f t="shared" ref="T80:Y80" si="78">T47/T$23</f>
        <v>3.7623664111806339E-3</v>
      </c>
      <c r="U80" s="89">
        <f t="shared" si="78"/>
        <v>3.9576829102755534E-3</v>
      </c>
      <c r="V80" s="89">
        <f t="shared" si="78"/>
        <v>3.4456325027462324E-3</v>
      </c>
      <c r="W80" s="89">
        <f t="shared" si="78"/>
        <v>5.3950077393565068E-3</v>
      </c>
      <c r="X80" s="89">
        <f t="shared" si="78"/>
        <v>5.0759103534873109E-3</v>
      </c>
      <c r="Y80" s="89">
        <f t="shared" si="78"/>
        <v>5.5168438712599206E-3</v>
      </c>
    </row>
    <row r="81" spans="1:25" x14ac:dyDescent="0.25">
      <c r="A81" s="68" t="s">
        <v>4</v>
      </c>
      <c r="B81" s="44"/>
      <c r="C81" s="44"/>
      <c r="D81" s="89">
        <f>D48/D$23</f>
        <v>3.1969557732879459E-3</v>
      </c>
      <c r="E81" s="89">
        <f t="shared" ref="E81:S81" si="79">E48/E$23</f>
        <v>4.2452774253222492E-3</v>
      </c>
      <c r="F81" s="89">
        <f t="shared" si="79"/>
        <v>3.3485307912131052E-3</v>
      </c>
      <c r="G81" s="89">
        <f t="shared" si="79"/>
        <v>4.4178242215708761E-3</v>
      </c>
      <c r="H81" s="89">
        <f t="shared" si="79"/>
        <v>4.2931091798451837E-3</v>
      </c>
      <c r="I81" s="89">
        <f t="shared" si="79"/>
        <v>4.4516918059518962E-3</v>
      </c>
      <c r="J81" s="89">
        <f t="shared" si="79"/>
        <v>5.1777072383826809E-3</v>
      </c>
      <c r="K81" s="89">
        <f t="shared" si="79"/>
        <v>6.549981243459891E-3</v>
      </c>
      <c r="L81" s="89">
        <f t="shared" si="79"/>
        <v>6.6179000162957862E-3</v>
      </c>
      <c r="M81" s="89">
        <f t="shared" si="79"/>
        <v>6.3579471403914581E-3</v>
      </c>
      <c r="N81" s="89">
        <f t="shared" si="79"/>
        <v>7.8996166086150281E-3</v>
      </c>
      <c r="O81" s="89">
        <f t="shared" si="79"/>
        <v>9.4014001596572534E-3</v>
      </c>
      <c r="P81" s="89">
        <f t="shared" si="79"/>
        <v>8.9078431974145781E-3</v>
      </c>
      <c r="Q81" s="89">
        <f t="shared" si="79"/>
        <v>9.9042456731200379E-3</v>
      </c>
      <c r="R81" s="89">
        <f t="shared" si="79"/>
        <v>9.3352369140840934E-3</v>
      </c>
      <c r="S81" s="89">
        <f t="shared" si="79"/>
        <v>8.022800669954748E-3</v>
      </c>
      <c r="T81" s="89">
        <f t="shared" ref="T81:Y81" si="80">T48/T$23</f>
        <v>8.3773554263338566E-3</v>
      </c>
      <c r="U81" s="89">
        <f t="shared" si="80"/>
        <v>8.6449708158001931E-3</v>
      </c>
      <c r="V81" s="89">
        <f t="shared" si="80"/>
        <v>8.7207694192212529E-3</v>
      </c>
      <c r="W81" s="89">
        <f t="shared" si="80"/>
        <v>9.1031363178696485E-3</v>
      </c>
      <c r="X81" s="89">
        <f t="shared" si="80"/>
        <v>8.4509721852288732E-3</v>
      </c>
      <c r="Y81" s="89">
        <f t="shared" si="80"/>
        <v>8.4365168404403872E-3</v>
      </c>
    </row>
    <row r="82" spans="1:25" x14ac:dyDescent="0.25">
      <c r="A82" s="68" t="s">
        <v>3</v>
      </c>
      <c r="B82" s="44"/>
      <c r="C82" s="44"/>
      <c r="D82" s="89">
        <f>D52/D$23</f>
        <v>8.0376904259587701E-3</v>
      </c>
      <c r="E82" s="89">
        <f t="shared" ref="E82:S82" si="81">E52/E$23</f>
        <v>6.8896820785257764E-3</v>
      </c>
      <c r="F82" s="89">
        <f t="shared" si="81"/>
        <v>7.3842193669422544E-3</v>
      </c>
      <c r="G82" s="89">
        <f t="shared" si="81"/>
        <v>7.5825156110615587E-3</v>
      </c>
      <c r="H82" s="89">
        <f t="shared" si="81"/>
        <v>6.7436007028541635E-3</v>
      </c>
      <c r="I82" s="89">
        <f t="shared" si="81"/>
        <v>6.5715450468813675E-3</v>
      </c>
      <c r="J82" s="89">
        <f t="shared" si="81"/>
        <v>6.9534786907425724E-3</v>
      </c>
      <c r="K82" s="89">
        <f t="shared" si="81"/>
        <v>5.1580485300795689E-3</v>
      </c>
      <c r="L82" s="89">
        <f t="shared" si="81"/>
        <v>5.2599177968096463E-3</v>
      </c>
      <c r="M82" s="89">
        <f t="shared" si="81"/>
        <v>4.696544517371345E-3</v>
      </c>
      <c r="N82" s="89">
        <f t="shared" si="81"/>
        <v>5.2559701305535406E-3</v>
      </c>
      <c r="O82" s="89">
        <f t="shared" si="81"/>
        <v>4.94478041384538E-3</v>
      </c>
      <c r="P82" s="89">
        <f t="shared" si="81"/>
        <v>4.9806195604373115E-3</v>
      </c>
      <c r="Q82" s="89">
        <f t="shared" si="81"/>
        <v>5.5101085082850873E-3</v>
      </c>
      <c r="R82" s="89">
        <f t="shared" si="81"/>
        <v>5.2636891971792384E-3</v>
      </c>
      <c r="S82" s="89">
        <f t="shared" si="81"/>
        <v>5.0385409051791983E-3</v>
      </c>
      <c r="T82" s="89">
        <f t="shared" ref="T82:Y82" si="82">T52/T$23</f>
        <v>4.7683708592541158E-3</v>
      </c>
      <c r="U82" s="89">
        <f t="shared" si="82"/>
        <v>4.9672526130039394E-3</v>
      </c>
      <c r="V82" s="89">
        <f t="shared" si="82"/>
        <v>4.8641899207346505E-3</v>
      </c>
      <c r="W82" s="89">
        <f t="shared" si="82"/>
        <v>5.2973265407330562E-3</v>
      </c>
      <c r="X82" s="89">
        <f t="shared" si="82"/>
        <v>5.8369164034854076E-3</v>
      </c>
      <c r="Y82" s="89">
        <f t="shared" si="82"/>
        <v>5.6369244281592283E-3</v>
      </c>
    </row>
    <row r="83" spans="1:25" x14ac:dyDescent="0.25">
      <c r="A83" s="88" t="s">
        <v>21</v>
      </c>
      <c r="B83" s="44"/>
      <c r="C83" s="44"/>
      <c r="D83" s="89">
        <f>D53/D$23</f>
        <v>3.5075911520689612E-3</v>
      </c>
      <c r="E83" s="89">
        <f t="shared" ref="E83:S83" si="83">E53/E$23</f>
        <v>2.8459960393221787E-3</v>
      </c>
      <c r="F83" s="89">
        <f t="shared" si="83"/>
        <v>3.1849217948997617E-3</v>
      </c>
      <c r="G83" s="89">
        <f t="shared" si="83"/>
        <v>3.1328320802005015E-3</v>
      </c>
      <c r="H83" s="89">
        <f t="shared" si="83"/>
        <v>2.6309540770290169E-3</v>
      </c>
      <c r="I83" s="89">
        <f t="shared" si="83"/>
        <v>2.5519771708112514E-3</v>
      </c>
      <c r="J83" s="89">
        <f t="shared" si="83"/>
        <v>2.1790602071082897E-3</v>
      </c>
      <c r="K83" s="89">
        <f t="shared" si="83"/>
        <v>1.4264842346344451E-3</v>
      </c>
      <c r="L83" s="89">
        <f t="shared" si="83"/>
        <v>1.6522117003748033E-3</v>
      </c>
      <c r="M83" s="89">
        <f t="shared" si="83"/>
        <v>1.7083680681938265E-3</v>
      </c>
      <c r="N83" s="89">
        <f t="shared" si="83"/>
        <v>2.1925977898614277E-3</v>
      </c>
      <c r="O83" s="89">
        <f t="shared" si="83"/>
        <v>2.0962193392027473E-3</v>
      </c>
      <c r="P83" s="89">
        <f t="shared" si="83"/>
        <v>2.1272461366960188E-3</v>
      </c>
      <c r="Q83" s="89">
        <f t="shared" si="83"/>
        <v>2.0575721644862047E-3</v>
      </c>
      <c r="R83" s="89">
        <f t="shared" si="83"/>
        <v>1.9468439496416363E-3</v>
      </c>
      <c r="S83" s="89">
        <f t="shared" si="83"/>
        <v>1.6795136350597312E-3</v>
      </c>
      <c r="T83" s="89">
        <f t="shared" ref="T83:Y83" si="84">T53/T$23</f>
        <v>1.6375767473124341E-3</v>
      </c>
      <c r="U83" s="89">
        <f t="shared" si="84"/>
        <v>1.5398058911361477E-3</v>
      </c>
      <c r="V83" s="89">
        <f t="shared" si="84"/>
        <v>1.5133913400823475E-3</v>
      </c>
      <c r="W83" s="89">
        <f t="shared" si="84"/>
        <v>1.4764888868851718E-3</v>
      </c>
      <c r="X83" s="89">
        <f t="shared" si="84"/>
        <v>1.5866976142460334E-3</v>
      </c>
      <c r="Y83" s="89">
        <f t="shared" si="84"/>
        <v>1.5473237474740199E-3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4.5300992738898094E-3</v>
      </c>
      <c r="E84" s="89">
        <f t="shared" ref="E84:S84" si="86">E56/E$23</f>
        <v>4.0436860392035982E-3</v>
      </c>
      <c r="F84" s="89">
        <f t="shared" si="86"/>
        <v>4.1992975720424926E-3</v>
      </c>
      <c r="G84" s="89">
        <f t="shared" si="86"/>
        <v>4.4496835308610568E-3</v>
      </c>
      <c r="H84" s="89">
        <f t="shared" si="86"/>
        <v>4.1126466258251462E-3</v>
      </c>
      <c r="I84" s="89">
        <f t="shared" si="86"/>
        <v>4.0195678760701157E-3</v>
      </c>
      <c r="J84" s="89">
        <f t="shared" si="86"/>
        <v>4.7744184836342827E-3</v>
      </c>
      <c r="K84" s="89">
        <f t="shared" si="86"/>
        <v>3.7315642954451238E-3</v>
      </c>
      <c r="L84" s="89">
        <f t="shared" si="86"/>
        <v>3.6077060964348436E-3</v>
      </c>
      <c r="M84" s="89">
        <f t="shared" si="86"/>
        <v>2.9881764491775185E-3</v>
      </c>
      <c r="N84" s="89">
        <f t="shared" si="86"/>
        <v>3.0633723406921134E-3</v>
      </c>
      <c r="O84" s="89">
        <f t="shared" si="86"/>
        <v>2.8485610746426322E-3</v>
      </c>
      <c r="P84" s="89">
        <f t="shared" si="86"/>
        <v>2.8533734237412931E-3</v>
      </c>
      <c r="Q84" s="89">
        <f t="shared" si="86"/>
        <v>3.4525363437988821E-3</v>
      </c>
      <c r="R84" s="89">
        <f t="shared" si="86"/>
        <v>3.3168452475376017E-3</v>
      </c>
      <c r="S84" s="89">
        <f t="shared" si="86"/>
        <v>3.3590272701194668E-3</v>
      </c>
      <c r="T84" s="89">
        <f t="shared" ref="T84:Y84" si="87">T56/T$23</f>
        <v>3.1307941119416813E-3</v>
      </c>
      <c r="U84" s="89">
        <f t="shared" si="87"/>
        <v>3.427446721867791E-3</v>
      </c>
      <c r="V84" s="89">
        <f t="shared" si="87"/>
        <v>3.350798580652303E-3</v>
      </c>
      <c r="W84" s="89">
        <f t="shared" si="87"/>
        <v>3.8208376538478844E-3</v>
      </c>
      <c r="X84" s="89">
        <f t="shared" si="87"/>
        <v>4.2502187892393744E-3</v>
      </c>
      <c r="Y84" s="89">
        <f t="shared" si="87"/>
        <v>4.0896006806852084E-3</v>
      </c>
    </row>
    <row r="85" spans="1:25" x14ac:dyDescent="0.25">
      <c r="A85" s="68" t="s">
        <v>2</v>
      </c>
      <c r="B85" s="44"/>
      <c r="C85" s="44"/>
      <c r="D85" s="89">
        <f t="shared" si="85"/>
        <v>4.9235707536790879E-2</v>
      </c>
      <c r="E85" s="89">
        <f t="shared" ref="E85:S85" si="88">E57/E$23</f>
        <v>4.6532035242917623E-2</v>
      </c>
      <c r="F85" s="89">
        <f t="shared" si="88"/>
        <v>4.6508584018673228E-2</v>
      </c>
      <c r="G85" s="89">
        <f t="shared" si="88"/>
        <v>3.5385072851620576E-2</v>
      </c>
      <c r="H85" s="89">
        <f t="shared" si="88"/>
        <v>3.5513131025312256E-2</v>
      </c>
      <c r="I85" s="89">
        <f t="shared" si="88"/>
        <v>3.2604973501834486E-2</v>
      </c>
      <c r="J85" s="89">
        <f t="shared" si="88"/>
        <v>2.9153874173908519E-2</v>
      </c>
      <c r="K85" s="89">
        <f t="shared" si="88"/>
        <v>2.6081462615254007E-2</v>
      </c>
      <c r="L85" s="89">
        <f t="shared" si="88"/>
        <v>2.5267522497238775E-2</v>
      </c>
      <c r="M85" s="89">
        <f t="shared" si="88"/>
        <v>2.9688032030433614E-2</v>
      </c>
      <c r="N85" s="89">
        <f t="shared" si="88"/>
        <v>3.1466910567068435E-2</v>
      </c>
      <c r="O85" s="89">
        <f t="shared" si="88"/>
        <v>2.7038357942374074E-2</v>
      </c>
      <c r="P85" s="89">
        <f t="shared" si="88"/>
        <v>2.7260454698861722E-2</v>
      </c>
      <c r="Q85" s="89">
        <f t="shared" si="88"/>
        <v>2.7789679257879056E-2</v>
      </c>
      <c r="R85" s="89">
        <f t="shared" si="88"/>
        <v>2.595311230645727E-2</v>
      </c>
      <c r="S85" s="89">
        <f t="shared" si="88"/>
        <v>2.4748535630673561E-2</v>
      </c>
      <c r="T85" s="89">
        <f t="shared" ref="T85:Y85" si="89">T57/T$23</f>
        <v>2.3611781530119232E-2</v>
      </c>
      <c r="U85" s="89">
        <f t="shared" si="89"/>
        <v>2.3088604588027688E-2</v>
      </c>
      <c r="V85" s="89">
        <f t="shared" si="89"/>
        <v>2.3668966389277443E-2</v>
      </c>
      <c r="W85" s="89">
        <f t="shared" si="89"/>
        <v>2.2981380460754701E-2</v>
      </c>
      <c r="X85" s="89">
        <f t="shared" si="89"/>
        <v>2.3998325786690009E-2</v>
      </c>
      <c r="Y85" s="89">
        <f t="shared" si="89"/>
        <v>2.1089576664573836E-2</v>
      </c>
    </row>
    <row r="86" spans="1:25" x14ac:dyDescent="0.25">
      <c r="A86" s="68" t="s">
        <v>275</v>
      </c>
      <c r="B86" s="44"/>
      <c r="C86" s="44"/>
      <c r="D86" s="89">
        <f t="shared" si="85"/>
        <v>3.0804675062450653E-3</v>
      </c>
      <c r="E86" s="89">
        <f t="shared" ref="E86:S86" si="90">E58/E$23</f>
        <v>3.6049283164747595E-3</v>
      </c>
      <c r="F86" s="89">
        <f t="shared" si="90"/>
        <v>3.2830871926877677E-3</v>
      </c>
      <c r="G86" s="89">
        <f t="shared" si="90"/>
        <v>2.7717599082451891E-3</v>
      </c>
      <c r="H86" s="89">
        <f t="shared" si="90"/>
        <v>2.6784442228237641E-3</v>
      </c>
      <c r="I86" s="89">
        <f t="shared" si="90"/>
        <v>2.5682837342030167E-3</v>
      </c>
      <c r="J86" s="89">
        <f t="shared" si="90"/>
        <v>3.3173752406723215E-3</v>
      </c>
      <c r="K86" s="89">
        <f t="shared" si="90"/>
        <v>2.724634247467867E-3</v>
      </c>
      <c r="L86" s="89">
        <f t="shared" si="90"/>
        <v>3.2682105415633091E-3</v>
      </c>
      <c r="M86" s="89">
        <f t="shared" si="90"/>
        <v>2.2719534102783883E-3</v>
      </c>
      <c r="N86" s="89">
        <f t="shared" si="90"/>
        <v>3.0633723406921095E-3</v>
      </c>
      <c r="O86" s="89">
        <f t="shared" si="90"/>
        <v>3.755965610516704E-3</v>
      </c>
      <c r="P86" s="89">
        <f t="shared" si="90"/>
        <v>3.7789300361018218E-3</v>
      </c>
      <c r="Q86" s="89">
        <f t="shared" si="90"/>
        <v>3.7863313438487064E-3</v>
      </c>
      <c r="R86" s="89">
        <f t="shared" si="90"/>
        <v>4.2446005124285556E-3</v>
      </c>
      <c r="S86" s="89">
        <f t="shared" si="90"/>
        <v>3.7661820907400039E-3</v>
      </c>
      <c r="T86" s="89">
        <f t="shared" ref="T86:Y86" si="91">T58/T$23</f>
        <v>4.1007087143443604E-3</v>
      </c>
      <c r="U86" s="89">
        <f t="shared" si="91"/>
        <v>4.1273584905660377E-3</v>
      </c>
      <c r="V86" s="89">
        <f t="shared" si="91"/>
        <v>4.1331784379272469E-3</v>
      </c>
      <c r="W86" s="89">
        <f t="shared" si="91"/>
        <v>3.5390649655110229E-3</v>
      </c>
      <c r="X86" s="89">
        <f t="shared" si="91"/>
        <v>3.6718541912408205E-3</v>
      </c>
      <c r="Y86" s="89">
        <f t="shared" si="91"/>
        <v>3.8631630591036501E-3</v>
      </c>
    </row>
    <row r="87" spans="1:25" x14ac:dyDescent="0.25">
      <c r="A87" s="68" t="s">
        <v>276</v>
      </c>
      <c r="B87" s="44"/>
      <c r="C87" s="44"/>
      <c r="D87" s="89">
        <f t="shared" si="85"/>
        <v>1.396564890436313E-2</v>
      </c>
      <c r="E87" s="89">
        <f t="shared" ref="E87:S87" si="92">E59/E$23</f>
        <v>1.4170688612458347E-2</v>
      </c>
      <c r="F87" s="89">
        <f t="shared" si="92"/>
        <v>1.3121441504330183E-2</v>
      </c>
      <c r="G87" s="89">
        <f t="shared" si="92"/>
        <v>1.4315449641051782E-2</v>
      </c>
      <c r="H87" s="89">
        <f t="shared" si="92"/>
        <v>1.3829130455430501E-2</v>
      </c>
      <c r="I87" s="89">
        <f t="shared" si="92"/>
        <v>1.4300856094578065E-2</v>
      </c>
      <c r="J87" s="89">
        <f t="shared" si="92"/>
        <v>1.461596503096217E-2</v>
      </c>
      <c r="K87" s="89">
        <f t="shared" si="92"/>
        <v>1.7093131157574683E-2</v>
      </c>
      <c r="L87" s="89">
        <f t="shared" si="92"/>
        <v>1.6943091491788735E-2</v>
      </c>
      <c r="M87" s="89">
        <f t="shared" si="92"/>
        <v>1.478824454907302E-2</v>
      </c>
      <c r="N87" s="89">
        <f t="shared" si="92"/>
        <v>1.5849349738141175E-2</v>
      </c>
      <c r="O87" s="89">
        <f t="shared" si="92"/>
        <v>2.0031816589422425E-2</v>
      </c>
      <c r="P87" s="89">
        <f t="shared" si="92"/>
        <v>2.0157702574172372E-2</v>
      </c>
      <c r="Q87" s="89">
        <f t="shared" si="92"/>
        <v>2.0122398142704837E-2</v>
      </c>
      <c r="R87" s="89">
        <f t="shared" si="92"/>
        <v>1.9790838777285855E-2</v>
      </c>
      <c r="S87" s="89">
        <f t="shared" si="92"/>
        <v>2.3106036070215698E-2</v>
      </c>
      <c r="T87" s="89">
        <f t="shared" ref="T87:Y87" si="93">T59/T$23</f>
        <v>2.3025321537968772E-2</v>
      </c>
      <c r="U87" s="89">
        <f t="shared" si="93"/>
        <v>2.4535088910004072E-2</v>
      </c>
      <c r="V87" s="89">
        <f t="shared" si="93"/>
        <v>2.3653160735595122E-2</v>
      </c>
      <c r="W87" s="89">
        <f t="shared" si="93"/>
        <v>2.4931247464045802E-2</v>
      </c>
      <c r="X87" s="89">
        <f t="shared" si="93"/>
        <v>2.6985274532932538E-2</v>
      </c>
      <c r="Y87" s="89">
        <f t="shared" si="93"/>
        <v>2.8905105482192054E-2</v>
      </c>
    </row>
    <row r="88" spans="1:25" x14ac:dyDescent="0.25">
      <c r="A88" s="68" t="s">
        <v>1</v>
      </c>
      <c r="B88" s="44"/>
      <c r="C88" s="44"/>
      <c r="D88" s="89">
        <f t="shared" si="85"/>
        <v>1.8651065867643441E-2</v>
      </c>
      <c r="E88" s="89">
        <f t="shared" ref="E88:S88" si="94">E60/E$23</f>
        <v>1.8795432176356888E-2</v>
      </c>
      <c r="F88" s="89">
        <f t="shared" si="94"/>
        <v>1.6644488558277524E-2</v>
      </c>
      <c r="G88" s="89">
        <f t="shared" si="94"/>
        <v>1.4772099740877617E-2</v>
      </c>
      <c r="H88" s="89">
        <f t="shared" si="94"/>
        <v>1.3705656076364158E-2</v>
      </c>
      <c r="I88" s="89">
        <f t="shared" si="94"/>
        <v>1.3257236037505095E-2</v>
      </c>
      <c r="J88" s="89">
        <f t="shared" si="94"/>
        <v>1.1623822657022428E-2</v>
      </c>
      <c r="K88" s="89">
        <f t="shared" si="94"/>
        <v>7.6062706075144633E-3</v>
      </c>
      <c r="L88" s="89">
        <f t="shared" si="94"/>
        <v>6.9076028897861628E-3</v>
      </c>
      <c r="M88" s="89">
        <f t="shared" si="94"/>
        <v>6.3227230565111722E-3</v>
      </c>
      <c r="N88" s="89">
        <f t="shared" si="94"/>
        <v>7.9184103039567008E-3</v>
      </c>
      <c r="O88" s="89">
        <f t="shared" si="94"/>
        <v>8.1264393560873636E-3</v>
      </c>
      <c r="P88" s="89">
        <f t="shared" si="94"/>
        <v>6.6834391842829233E-3</v>
      </c>
      <c r="Q88" s="89">
        <f t="shared" si="94"/>
        <v>6.7057920905531036E-3</v>
      </c>
      <c r="R88" s="89">
        <f t="shared" si="94"/>
        <v>6.1529882852871471E-3</v>
      </c>
      <c r="S88" s="89">
        <f t="shared" si="94"/>
        <v>5.3300267426688993E-3</v>
      </c>
      <c r="T88" s="89">
        <f t="shared" ref="T88:Y88" si="95">T60/T$23</f>
        <v>5.4811453112523631E-3</v>
      </c>
      <c r="U88" s="89">
        <f t="shared" si="95"/>
        <v>5.7859372879055246E-3</v>
      </c>
      <c r="V88" s="89">
        <f t="shared" si="95"/>
        <v>5.852043275879782E-3</v>
      </c>
      <c r="W88" s="89">
        <f t="shared" si="95"/>
        <v>5.2146732188209132E-3</v>
      </c>
      <c r="X88" s="89">
        <f t="shared" si="95"/>
        <v>5.2927970777367685E-3</v>
      </c>
      <c r="Y88" s="89">
        <f t="shared" si="95"/>
        <v>4.7792061645927052E-3</v>
      </c>
    </row>
    <row r="89" spans="1:25" x14ac:dyDescent="0.25">
      <c r="A89" s="68" t="s">
        <v>0</v>
      </c>
      <c r="B89" s="44"/>
      <c r="C89" s="44"/>
      <c r="D89" s="89">
        <f t="shared" si="85"/>
        <v>3.0028086615498113E-2</v>
      </c>
      <c r="E89" s="89">
        <f t="shared" ref="E89:S89" si="96">E61/E$23</f>
        <v>2.8958009700103163E-2</v>
      </c>
      <c r="F89" s="89">
        <f t="shared" si="96"/>
        <v>3.2612726598459887E-2</v>
      </c>
      <c r="G89" s="89">
        <f t="shared" si="96"/>
        <v>2.8609659742576777E-2</v>
      </c>
      <c r="H89" s="89">
        <f t="shared" si="96"/>
        <v>2.7962197843947378E-2</v>
      </c>
      <c r="I89" s="89">
        <f t="shared" si="96"/>
        <v>2.6384019567876074E-2</v>
      </c>
      <c r="J89" s="89">
        <f t="shared" si="96"/>
        <v>2.0697819638861425E-2</v>
      </c>
      <c r="K89" s="89">
        <f t="shared" si="96"/>
        <v>2.3593753084957255E-2</v>
      </c>
      <c r="L89" s="89">
        <f t="shared" si="96"/>
        <v>1.7300693476253418E-2</v>
      </c>
      <c r="M89" s="89">
        <f t="shared" si="96"/>
        <v>1.7723584872430108E-2</v>
      </c>
      <c r="N89" s="89">
        <f t="shared" si="96"/>
        <v>2.8942290826170846E-2</v>
      </c>
      <c r="O89" s="89">
        <f t="shared" si="96"/>
        <v>2.8927826880997921E-2</v>
      </c>
      <c r="P89" s="89">
        <f t="shared" si="96"/>
        <v>2.7275795416193661E-2</v>
      </c>
      <c r="Q89" s="89">
        <f t="shared" si="96"/>
        <v>2.5956297765068109E-2</v>
      </c>
      <c r="R89" s="89">
        <f t="shared" si="96"/>
        <v>2.7178902941416821E-2</v>
      </c>
      <c r="S89" s="89">
        <f t="shared" si="96"/>
        <v>2.6363274635180022E-2</v>
      </c>
      <c r="T89" s="89">
        <f t="shared" ref="T89:Y89" si="97">T61/T$23</f>
        <v>2.5862885653835221E-2</v>
      </c>
      <c r="U89" s="89">
        <f t="shared" si="97"/>
        <v>2.7122641509433963E-2</v>
      </c>
      <c r="V89" s="89">
        <f t="shared" si="97"/>
        <v>2.9813414258280185E-2</v>
      </c>
      <c r="W89" s="89">
        <f t="shared" si="97"/>
        <v>2.9060156590475332E-2</v>
      </c>
      <c r="X89" s="89">
        <f t="shared" si="97"/>
        <v>2.9568890072676077E-2</v>
      </c>
      <c r="Y89" s="89">
        <f t="shared" si="97"/>
        <v>4.3115781672962324E-2</v>
      </c>
    </row>
    <row r="90" spans="1:25" x14ac:dyDescent="0.25">
      <c r="A90" s="90" t="s">
        <v>278</v>
      </c>
      <c r="B90" s="47"/>
      <c r="C90" s="47"/>
      <c r="D90" s="91">
        <f t="shared" si="85"/>
        <v>9.3061182226479092E-3</v>
      </c>
      <c r="E90" s="91">
        <f t="shared" ref="E90:S90" si="98">E62/E$23</f>
        <v>9.1309039594919886E-3</v>
      </c>
      <c r="F90" s="91">
        <f t="shared" si="98"/>
        <v>9.8601688444841934E-3</v>
      </c>
      <c r="G90" s="91">
        <f t="shared" si="98"/>
        <v>1.1288815258485197E-2</v>
      </c>
      <c r="H90" s="91">
        <f t="shared" si="98"/>
        <v>1.2318943819157525E-2</v>
      </c>
      <c r="I90" s="91">
        <f t="shared" si="98"/>
        <v>1.2115776600081531E-2</v>
      </c>
      <c r="J90" s="91">
        <f t="shared" si="98"/>
        <v>1.0518030910131655E-2</v>
      </c>
      <c r="K90" s="91">
        <f t="shared" si="98"/>
        <v>9.9064147367174081E-3</v>
      </c>
      <c r="L90" s="91">
        <f t="shared" si="98"/>
        <v>8.6096072715421256E-3</v>
      </c>
      <c r="M90" s="91">
        <f t="shared" si="98"/>
        <v>9.2991581443952632E-3</v>
      </c>
      <c r="N90" s="91">
        <f t="shared" si="98"/>
        <v>9.421905931290251E-3</v>
      </c>
      <c r="O90" s="91">
        <f t="shared" si="98"/>
        <v>8.6777737576311017E-3</v>
      </c>
      <c r="P90" s="91">
        <f t="shared" si="98"/>
        <v>8.9078431974145798E-3</v>
      </c>
      <c r="Q90" s="91">
        <f t="shared" si="98"/>
        <v>9.2565837327248622E-3</v>
      </c>
      <c r="R90" s="91">
        <f t="shared" si="98"/>
        <v>8.7920434170235869E-3</v>
      </c>
      <c r="S90" s="91">
        <f t="shared" si="98"/>
        <v>9.0268074435304029E-3</v>
      </c>
      <c r="T90" s="91">
        <f t="shared" ref="T90:Y90" si="99">T62/T$23</f>
        <v>9.1352421854206025E-3</v>
      </c>
      <c r="U90" s="91">
        <f t="shared" si="99"/>
        <v>9.1624813356861682E-3</v>
      </c>
      <c r="V90" s="91">
        <f t="shared" si="99"/>
        <v>9.1080079344381497E-3</v>
      </c>
      <c r="W90" s="91">
        <f t="shared" si="99"/>
        <v>9.1256781329365974E-3</v>
      </c>
      <c r="X90" s="91">
        <f t="shared" si="99"/>
        <v>1.0045279859974887E-2</v>
      </c>
      <c r="Y90" s="91">
        <f t="shared" si="99"/>
        <v>1.1798772433621185E-2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6.3236697498903816E-2</v>
      </c>
      <c r="F93" s="92">
        <f t="shared" ref="F93:F94" si="101">IF(E16=0,"",F16/E16-1)</f>
        <v>7.0890991666308745E-2</v>
      </c>
      <c r="G93" s="92">
        <f t="shared" ref="G93:G94" si="102">IF(F16=0,"",G16/F16-1)</f>
        <v>8.4233418573887331E-2</v>
      </c>
      <c r="H93" s="92">
        <f t="shared" ref="H93:H94" si="103">IF(G16=0,"",H16/G16-1)</f>
        <v>8.2830885060525494E-2</v>
      </c>
      <c r="I93" s="92">
        <f t="shared" ref="I93:I94" si="104">IF(H16=0,"",I16/H16-1)</f>
        <v>0.10721056122897088</v>
      </c>
      <c r="J93" s="92">
        <f t="shared" ref="J93:J94" si="105">IF(I16=0,"",J16/I16-1)</f>
        <v>0.11971975796926504</v>
      </c>
      <c r="K93" s="92">
        <f t="shared" ref="K93:K94" si="106">IF(J16=0,"",K16/J16-1)</f>
        <v>9.9413576122209024E-2</v>
      </c>
      <c r="L93" s="92">
        <f t="shared" ref="L93:L94" si="107">IF(K16=0,"",L16/K16-1)</f>
        <v>-3.2490070982348129E-2</v>
      </c>
      <c r="M93" s="92">
        <f t="shared" ref="M93:M94" si="108">IF(L16=0,"",M16/L16-1)</f>
        <v>-0.1426066575758469</v>
      </c>
      <c r="N93" s="92">
        <f t="shared" ref="N93:N94" si="109">IF(M16=0,"",N16/M16-1)</f>
        <v>-4.4548835094814998E-2</v>
      </c>
      <c r="O93" s="92">
        <f t="shared" ref="O93:O94" si="110">IF(N16=0,"",O16/N16-1)</f>
        <v>2.5742089170162741E-2</v>
      </c>
      <c r="P93" s="92">
        <f t="shared" ref="P93:P94" si="111">IF(O16=0,"",P16/O16-1)</f>
        <v>7.0415229161832515E-2</v>
      </c>
      <c r="Q93" s="92">
        <f t="shared" ref="Q93:Q94" si="112">IF(P16=0,"",Q16/P16-1)</f>
        <v>2.0084189935991592E-2</v>
      </c>
      <c r="R93" s="92">
        <f t="shared" ref="R93:R94" si="113">IF(Q16=0,"",R16/Q16-1)</f>
        <v>1.9023821372156968E-2</v>
      </c>
      <c r="S93" s="92">
        <f t="shared" ref="S93:S94" si="114">IF(R16=0,"",S16/R16-1)</f>
        <v>3.8847207882907631E-2</v>
      </c>
      <c r="T93" s="92">
        <f t="shared" ref="T93:T94" si="115">IF(S16=0,"",T16/S16-1)</f>
        <v>2.3690245817805211E-2</v>
      </c>
      <c r="U93" s="92">
        <f t="shared" ref="U93:U94" si="116">IF(T16=0,"",U16/T16-1)</f>
        <v>3.3117681576850577E-2</v>
      </c>
      <c r="V93" s="92">
        <f t="shared" ref="V93:V94" si="117">IF(U16=0,"",V16/U16-1)</f>
        <v>3.9907343434196108E-2</v>
      </c>
      <c r="W93" s="92">
        <f t="shared" ref="W93:W94" si="118">IF(V16=0,"",W16/V16-1)</f>
        <v>5.8764998670020052E-3</v>
      </c>
      <c r="X93" s="92">
        <f t="shared" ref="X93:X94" si="119">IF(W16=0,"",X16/W16-1)</f>
        <v>-3.5137343557789191E-2</v>
      </c>
      <c r="Y93" s="92">
        <f t="shared" ref="Y93:Y94" si="120">IF(X16=0,"",Y16/X16-1)</f>
        <v>6.7311742364241756E-2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5.1230604260320556E-2</v>
      </c>
      <c r="F94" s="93">
        <f t="shared" si="101"/>
        <v>6.1529547183569955E-2</v>
      </c>
      <c r="G94" s="93">
        <f t="shared" si="102"/>
        <v>8.072847078098988E-2</v>
      </c>
      <c r="H94" s="93">
        <f t="shared" si="103"/>
        <v>0.10229206063056773</v>
      </c>
      <c r="I94" s="93">
        <f t="shared" si="104"/>
        <v>0.10368612473110916</v>
      </c>
      <c r="J94" s="93">
        <f t="shared" si="105"/>
        <v>0.1843325952501611</v>
      </c>
      <c r="K94" s="93">
        <f t="shared" si="106"/>
        <v>0.11286771638979531</v>
      </c>
      <c r="L94" s="93">
        <f t="shared" si="107"/>
        <v>-8.2622492505819545E-2</v>
      </c>
      <c r="M94" s="93">
        <f t="shared" si="108"/>
        <v>-0.15701095186256997</v>
      </c>
      <c r="N94" s="93">
        <f t="shared" si="109"/>
        <v>2.1091265219201238E-2</v>
      </c>
      <c r="O94" s="93">
        <f t="shared" si="110"/>
        <v>-6.8849384925662171E-4</v>
      </c>
      <c r="P94" s="93">
        <f t="shared" si="111"/>
        <v>5.6341609562396977E-2</v>
      </c>
      <c r="Q94" s="93">
        <f t="shared" si="112"/>
        <v>6.501299696924856E-2</v>
      </c>
      <c r="R94" s="93">
        <f t="shared" si="113"/>
        <v>7.2995511432987215E-3</v>
      </c>
      <c r="S94" s="93">
        <f t="shared" si="114"/>
        <v>2.24407320341804E-2</v>
      </c>
      <c r="T94" s="93">
        <f t="shared" si="115"/>
        <v>3.4931303788942492E-2</v>
      </c>
      <c r="U94" s="93">
        <f t="shared" si="116"/>
        <v>2.9266406549668389E-2</v>
      </c>
      <c r="V94" s="93">
        <f t="shared" si="117"/>
        <v>3.0307909356952045E-2</v>
      </c>
      <c r="W94" s="93">
        <f t="shared" si="118"/>
        <v>2.1625609439968052E-4</v>
      </c>
      <c r="X94" s="93">
        <f t="shared" si="119"/>
        <v>-4.3198491912969428E-2</v>
      </c>
      <c r="Y94" s="93">
        <f t="shared" si="120"/>
        <v>7.2845703178431531E-2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7.6036376122044391E-2</v>
      </c>
      <c r="F95" s="92">
        <f t="shared" ref="F95:F96" si="122">IF(E20=0,"",F20/E20-1)</f>
        <v>8.5853297318701394E-2</v>
      </c>
      <c r="G95" s="92">
        <f t="shared" ref="G95:G96" si="123">IF(F20=0,"",G20/F20-1)</f>
        <v>9.4402453798431596E-2</v>
      </c>
      <c r="H95" s="92">
        <f t="shared" ref="H95:H96" si="124">IF(G20=0,"",H20/G20-1)</f>
        <v>9.3709042222041239E-2</v>
      </c>
      <c r="I95" s="92">
        <f t="shared" ref="I95:I96" si="125">IF(H20=0,"",I20/H20-1)</f>
        <v>0.12039831857106753</v>
      </c>
      <c r="J95" s="92">
        <f t="shared" ref="J95:J96" si="126">IF(I20=0,"",J20/I20-1)</f>
        <v>0.13070147269443733</v>
      </c>
      <c r="K95" s="92">
        <f t="shared" ref="K95:K96" si="127">IF(J20=0,"",K20/J20-1)</f>
        <v>0.10888743480274288</v>
      </c>
      <c r="L95" s="92">
        <f t="shared" ref="L95:L96" si="128">IF(K20=0,"",L20/K20-1)</f>
        <v>-2.4972679378527429E-2</v>
      </c>
      <c r="M95" s="92">
        <f t="shared" ref="M95:M96" si="129">IF(L20=0,"",M20/L20-1)</f>
        <v>-0.13111995564214207</v>
      </c>
      <c r="N95" s="92">
        <f t="shared" ref="N95:N96" si="130">IF(M20=0,"",N20/M20-1)</f>
        <v>-2.5475894034370672E-2</v>
      </c>
      <c r="O95" s="92">
        <f t="shared" ref="O95:O96" si="131">IF(N20=0,"",O20/N20-1)</f>
        <v>4.8435824194816401E-2</v>
      </c>
      <c r="P95" s="92">
        <f t="shared" ref="P95:P96" si="132">IF(O20=0,"",P20/O20-1)</f>
        <v>8.6010694618668504E-2</v>
      </c>
      <c r="Q95" s="92">
        <f t="shared" ref="Q95:Q96" si="133">IF(P20=0,"",Q20/P20-1)</f>
        <v>3.066293413491028E-2</v>
      </c>
      <c r="R95" s="92">
        <f t="shared" ref="R95:R96" si="134">IF(Q20=0,"",R20/Q20-1)</f>
        <v>3.0406624182103048E-2</v>
      </c>
      <c r="S95" s="92">
        <f t="shared" ref="S95:S96" si="135">IF(R20=0,"",S20/R20-1)</f>
        <v>4.6887684919051154E-2</v>
      </c>
      <c r="T95" s="92">
        <f t="shared" ref="T95:T96" si="136">IF(S20=0,"",T20/S20-1)</f>
        <v>3.2601068716970216E-2</v>
      </c>
      <c r="U95" s="92">
        <f t="shared" ref="U95:U96" si="137">IF(T20=0,"",U20/T20-1)</f>
        <v>4.309912382879344E-2</v>
      </c>
      <c r="V95" s="92">
        <f t="shared" ref="V95:V96" si="138">IF(U20=0,"",V20/U20-1)</f>
        <v>4.8367434173200108E-2</v>
      </c>
      <c r="W95" s="92">
        <f t="shared" ref="W95:W96" si="139">IF(V20=0,"",W20/V20-1)</f>
        <v>1.3426462282825291E-2</v>
      </c>
      <c r="X95" s="92">
        <f t="shared" ref="X95:X96" si="140">IF(W20=0,"",X20/W20-1)</f>
        <v>-2.8919797783145129E-2</v>
      </c>
      <c r="Y95" s="92">
        <f t="shared" ref="Y95:Y96" si="141">IF(X20=0,"",Y20/X20-1)</f>
        <v>7.5459112906775871E-2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6.388574861810481E-2</v>
      </c>
      <c r="F96" s="93">
        <f t="shared" si="122"/>
        <v>7.6361056335862321E-2</v>
      </c>
      <c r="G96" s="93">
        <f t="shared" si="123"/>
        <v>9.0864633067884837E-2</v>
      </c>
      <c r="H96" s="93">
        <f t="shared" si="124"/>
        <v>0.11336572544643642</v>
      </c>
      <c r="I96" s="93">
        <f t="shared" si="125"/>
        <v>0.11683190323473647</v>
      </c>
      <c r="J96" s="93">
        <f t="shared" si="126"/>
        <v>0.19594800402382417</v>
      </c>
      <c r="K96" s="93">
        <f t="shared" si="127"/>
        <v>0.12245751199009369</v>
      </c>
      <c r="L96" s="93">
        <f t="shared" si="128"/>
        <v>-7.5494621498466863E-2</v>
      </c>
      <c r="M96" s="93">
        <f t="shared" si="129"/>
        <v>-0.14571722767530904</v>
      </c>
      <c r="N96" s="93">
        <f t="shared" si="130"/>
        <v>4.1474529413340289E-2</v>
      </c>
      <c r="O96" s="93">
        <f t="shared" si="131"/>
        <v>2.1420485364045616E-2</v>
      </c>
      <c r="P96" s="93">
        <f t="shared" si="132"/>
        <v>7.1732028750891352E-2</v>
      </c>
      <c r="Q96" s="93">
        <f t="shared" si="133"/>
        <v>7.6057673648502133E-2</v>
      </c>
      <c r="R96" s="93">
        <f t="shared" si="134"/>
        <v>1.8551390325794115E-2</v>
      </c>
      <c r="S96" s="93">
        <f t="shared" si="135"/>
        <v>3.0354226111420024E-2</v>
      </c>
      <c r="T96" s="93">
        <f t="shared" si="136"/>
        <v>4.3939975697795175E-2</v>
      </c>
      <c r="U96" s="93">
        <f t="shared" si="137"/>
        <v>3.9210639798255897E-2</v>
      </c>
      <c r="V96" s="93">
        <f t="shared" si="138"/>
        <v>3.8689904596535651E-2</v>
      </c>
      <c r="W96" s="93">
        <f t="shared" si="139"/>
        <v>7.7237335453657074E-3</v>
      </c>
      <c r="X96" s="93">
        <f t="shared" si="140"/>
        <v>-3.7032891934506651E-2</v>
      </c>
      <c r="Y96" s="93">
        <f t="shared" si="141"/>
        <v>8.1035317451200406E-2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6.4207165230420804E-2</v>
      </c>
      <c r="F97" s="89">
        <f t="shared" ref="F97:F106" si="143">IF(E23=0,"",F23/E23-1)</f>
        <v>7.2503078630732798E-2</v>
      </c>
      <c r="G97" s="89">
        <f t="shared" ref="G97:G106" si="144">IF(F23=0,"",G23/F23-1)</f>
        <v>8.3557739308520729E-2</v>
      </c>
      <c r="H97" s="89">
        <f t="shared" ref="H97:H106" si="145">IF(G23=0,"",H23/G23-1)</f>
        <v>8.2544556877703235E-2</v>
      </c>
      <c r="I97" s="89">
        <f t="shared" ref="I97:I106" si="146">IF(H23=0,"",I23/H23-1)</f>
        <v>0.10887803963234544</v>
      </c>
      <c r="J97" s="89">
        <f t="shared" ref="J97:J106" si="147">IF(I23=0,"",J23/I23-1)</f>
        <v>0.11405439826621011</v>
      </c>
      <c r="K97" s="89">
        <f t="shared" ref="K97:K106" si="148">IF(J23=0,"",K23/J23-1)</f>
        <v>9.0233594253418481E-2</v>
      </c>
      <c r="L97" s="89">
        <f t="shared" ref="L97:L106" si="149">IF(K23=0,"",L23/K23-1)</f>
        <v>-1.7058592158894603E-2</v>
      </c>
      <c r="M97" s="89">
        <f t="shared" ref="M97:M106" si="150">IF(L23=0,"",M23/L23-1)</f>
        <v>-0.11872657388999608</v>
      </c>
      <c r="N97" s="89">
        <f t="shared" ref="N97:N106" si="151">IF(M23=0,"",N23/M23-1)</f>
        <v>-5.1502537235099566E-2</v>
      </c>
      <c r="O97" s="89">
        <f t="shared" ref="O97:O106" si="152">IF(N23=0,"",O23/N23-1)</f>
        <v>2.1227614884546497E-2</v>
      </c>
      <c r="P97" s="89">
        <f t="shared" ref="P97:P106" si="153">IF(O23=0,"",P23/O23-1)</f>
        <v>6.6219166378095329E-2</v>
      </c>
      <c r="Q97" s="89">
        <f t="shared" ref="Q97:Q106" si="154">IF(P23=0,"",Q23/P23-1)</f>
        <v>1.3554374805237135E-2</v>
      </c>
      <c r="R97" s="89">
        <f t="shared" ref="R97:R106" si="155">IF(Q23=0,"",R23/Q23-1)</f>
        <v>1.6251406591310857E-2</v>
      </c>
      <c r="S97" s="89">
        <f t="shared" ref="S97:S106" si="156">IF(R23=0,"",S23/R23-1)</f>
        <v>3.6592083219166627E-2</v>
      </c>
      <c r="T97" s="89">
        <f t="shared" ref="T97:T106" si="157">IF(S23=0,"",T23/S23-1)</f>
        <v>1.7964201710322314E-2</v>
      </c>
      <c r="U97" s="89">
        <f t="shared" ref="U97:U106" si="158">IF(T23=0,"",U23/T23-1)</f>
        <v>3.3092699269625214E-2</v>
      </c>
      <c r="V97" s="89">
        <f t="shared" ref="V97:V106" si="159">IF(U23=0,"",V23/U23-1)</f>
        <v>3.3503493927495187E-2</v>
      </c>
      <c r="W97" s="89">
        <f t="shared" ref="W97:W106" si="160">IF(V23=0,"",W23/V23-1)</f>
        <v>5.2761368997633618E-3</v>
      </c>
      <c r="X97" s="89">
        <f t="shared" ref="X97:X106" si="161">IF(W23=0,"",X23/W23-1)</f>
        <v>-3.5077751786311895E-2</v>
      </c>
      <c r="Y97" s="89">
        <f t="shared" ref="Y97:Y106" si="162">IF(X23=0,"",Y23/X23-1)</f>
        <v>7.0060830320894052E-2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4.6334853160717726E-2</v>
      </c>
      <c r="F98" s="83">
        <f t="shared" si="143"/>
        <v>9.0930281146323066E-2</v>
      </c>
      <c r="G98" s="83">
        <f t="shared" si="144"/>
        <v>-4.7158963474183579E-2</v>
      </c>
      <c r="H98" s="83">
        <f t="shared" si="145"/>
        <v>0.152839816972274</v>
      </c>
      <c r="I98" s="83">
        <f t="shared" si="146"/>
        <v>-6.5224061000123124E-3</v>
      </c>
      <c r="J98" s="83">
        <f t="shared" si="147"/>
        <v>-2.1553891043742723E-2</v>
      </c>
      <c r="K98" s="83">
        <f t="shared" si="148"/>
        <v>9.5410980446722693E-2</v>
      </c>
      <c r="L98" s="83">
        <f t="shared" si="149"/>
        <v>-0.12699321061557522</v>
      </c>
      <c r="M98" s="83">
        <f t="shared" si="150"/>
        <v>-4.2314328313534988E-2</v>
      </c>
      <c r="N98" s="83">
        <f t="shared" si="151"/>
        <v>0.21276291586965224</v>
      </c>
      <c r="O98" s="83">
        <f t="shared" si="152"/>
        <v>-6.7001152123364549E-2</v>
      </c>
      <c r="P98" s="83">
        <f t="shared" si="153"/>
        <v>-7.7908141281379795E-4</v>
      </c>
      <c r="Q98" s="83">
        <f t="shared" si="154"/>
        <v>-6.4391899268464114E-2</v>
      </c>
      <c r="R98" s="83">
        <f t="shared" si="155"/>
        <v>0.13401744141996996</v>
      </c>
      <c r="S98" s="83">
        <f t="shared" si="156"/>
        <v>2.4198641960549994E-2</v>
      </c>
      <c r="T98" s="83">
        <f t="shared" si="157"/>
        <v>-4.4095114468725827E-2</v>
      </c>
      <c r="U98" s="83">
        <f t="shared" si="158"/>
        <v>0.12599256140022974</v>
      </c>
      <c r="V98" s="83">
        <f t="shared" si="159"/>
        <v>5.2616962515279253E-2</v>
      </c>
      <c r="W98" s="83">
        <f t="shared" si="160"/>
        <v>4.8278768081187362E-2</v>
      </c>
      <c r="X98" s="83">
        <f t="shared" si="161"/>
        <v>2.4365233902469141E-2</v>
      </c>
      <c r="Y98" s="83">
        <f t="shared" si="162"/>
        <v>0.10457248191094282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0.43630665219988374</v>
      </c>
      <c r="F99" s="83">
        <f t="shared" si="143"/>
        <v>0.3105157357977355</v>
      </c>
      <c r="G99" s="83">
        <f t="shared" si="144"/>
        <v>0.33323800927136693</v>
      </c>
      <c r="H99" s="83">
        <f t="shared" si="145"/>
        <v>1.4503114014487561E-2</v>
      </c>
      <c r="I99" s="83">
        <f t="shared" si="146"/>
        <v>0.35870174025288271</v>
      </c>
      <c r="J99" s="83">
        <f t="shared" si="147"/>
        <v>0.1936634774623458</v>
      </c>
      <c r="K99" s="83">
        <f t="shared" si="148"/>
        <v>0.18006983709255397</v>
      </c>
      <c r="L99" s="83">
        <f t="shared" si="149"/>
        <v>-1.5131135381230676E-2</v>
      </c>
      <c r="M99" s="83">
        <f t="shared" si="150"/>
        <v>0.24613031768679816</v>
      </c>
      <c r="N99" s="83">
        <f t="shared" si="151"/>
        <v>3.1475638263086525E-2</v>
      </c>
      <c r="O99" s="83">
        <f t="shared" si="152"/>
        <v>-2.8677192140785346E-2</v>
      </c>
      <c r="P99" s="83">
        <f t="shared" si="153"/>
        <v>9.3469916183828161E-2</v>
      </c>
      <c r="Q99" s="83">
        <f t="shared" si="154"/>
        <v>8.8705413703827007E-2</v>
      </c>
      <c r="R99" s="83">
        <f t="shared" si="155"/>
        <v>-0.14968891881839741</v>
      </c>
      <c r="S99" s="83">
        <f t="shared" si="156"/>
        <v>0.18438315098468272</v>
      </c>
      <c r="T99" s="83">
        <f t="shared" si="157"/>
        <v>-1.3857542757119923E-2</v>
      </c>
      <c r="U99" s="83">
        <f t="shared" si="158"/>
        <v>6.6931525799974301E-2</v>
      </c>
      <c r="V99" s="83">
        <f t="shared" si="159"/>
        <v>6.599718342508254E-2</v>
      </c>
      <c r="W99" s="83">
        <f t="shared" si="160"/>
        <v>-7.2625917000669116E-2</v>
      </c>
      <c r="X99" s="83">
        <f t="shared" si="161"/>
        <v>6.2546317487749414E-2</v>
      </c>
      <c r="Y99" s="83">
        <f t="shared" si="162"/>
        <v>-4.283472715113279E-2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8.4735069585988754E-2</v>
      </c>
      <c r="F100" s="83">
        <f t="shared" si="143"/>
        <v>7.3175324590972757E-2</v>
      </c>
      <c r="G100" s="83">
        <f t="shared" si="144"/>
        <v>0.11317268105612244</v>
      </c>
      <c r="H100" s="83">
        <f t="shared" si="145"/>
        <v>7.5466416459956109E-2</v>
      </c>
      <c r="I100" s="83">
        <f t="shared" si="146"/>
        <v>0.13192745920847426</v>
      </c>
      <c r="J100" s="83">
        <f t="shared" si="147"/>
        <v>0.11119300021549816</v>
      </c>
      <c r="K100" s="83">
        <f t="shared" si="148"/>
        <v>7.9019245900916024E-2</v>
      </c>
      <c r="L100" s="83">
        <f t="shared" si="149"/>
        <v>-7.0024213875259367E-3</v>
      </c>
      <c r="M100" s="83">
        <f t="shared" si="150"/>
        <v>-0.10556216469718105</v>
      </c>
      <c r="N100" s="83">
        <f t="shared" si="151"/>
        <v>-6.233034763233658E-2</v>
      </c>
      <c r="O100" s="83">
        <f t="shared" si="152"/>
        <v>1.9277274465446581E-2</v>
      </c>
      <c r="P100" s="83">
        <f t="shared" si="153"/>
        <v>7.2953170804243461E-2</v>
      </c>
      <c r="Q100" s="83">
        <f t="shared" si="154"/>
        <v>2.1054632907967497E-2</v>
      </c>
      <c r="R100" s="83">
        <f t="shared" si="155"/>
        <v>2.6890244799654406E-2</v>
      </c>
      <c r="S100" s="83">
        <f t="shared" si="156"/>
        <v>3.4986828848223572E-2</v>
      </c>
      <c r="T100" s="83">
        <f t="shared" si="157"/>
        <v>2.6982076772831709E-2</v>
      </c>
      <c r="U100" s="83">
        <f t="shared" si="158"/>
        <v>1.9979209272081189E-2</v>
      </c>
      <c r="V100" s="83">
        <f t="shared" si="159"/>
        <v>3.5790166733716822E-2</v>
      </c>
      <c r="W100" s="83">
        <f t="shared" si="160"/>
        <v>-4.1364358622186792E-4</v>
      </c>
      <c r="X100" s="83">
        <f t="shared" si="161"/>
        <v>-4.8040822615072587E-2</v>
      </c>
      <c r="Y100" s="83">
        <f t="shared" si="162"/>
        <v>5.5422855382440073E-2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7.7010193474734256E-2</v>
      </c>
      <c r="F101" s="84">
        <f t="shared" si="143"/>
        <v>4.6651914650547299E-2</v>
      </c>
      <c r="G101" s="84">
        <f t="shared" si="144"/>
        <v>0.10351263192672011</v>
      </c>
      <c r="H101" s="84">
        <f t="shared" si="145"/>
        <v>6.5973950543508408E-2</v>
      </c>
      <c r="I101" s="84">
        <f t="shared" si="146"/>
        <v>7.7145851194191373E-2</v>
      </c>
      <c r="J101" s="84">
        <f t="shared" si="147"/>
        <v>3.5683182143405823E-2</v>
      </c>
      <c r="K101" s="84">
        <f t="shared" si="148"/>
        <v>5.3118959602268534E-2</v>
      </c>
      <c r="L101" s="84">
        <f t="shared" si="149"/>
        <v>5.5942282545982769E-2</v>
      </c>
      <c r="M101" s="84">
        <f t="shared" si="150"/>
        <v>-9.0797018321805201E-2</v>
      </c>
      <c r="N101" s="84">
        <f t="shared" si="151"/>
        <v>-7.5737974112973894E-2</v>
      </c>
      <c r="O101" s="84">
        <f t="shared" si="152"/>
        <v>1.1043961646848288E-2</v>
      </c>
      <c r="P101" s="84">
        <f t="shared" si="153"/>
        <v>4.8244569717618369E-2</v>
      </c>
      <c r="Q101" s="84">
        <f t="shared" si="154"/>
        <v>1.6211025849101057E-2</v>
      </c>
      <c r="R101" s="84">
        <f t="shared" si="155"/>
        <v>4.0788667781868071E-3</v>
      </c>
      <c r="S101" s="84">
        <f t="shared" si="156"/>
        <v>4.9587259746297185E-2</v>
      </c>
      <c r="T101" s="84">
        <f t="shared" si="157"/>
        <v>1.2942369559136635E-2</v>
      </c>
      <c r="U101" s="84">
        <f t="shared" si="158"/>
        <v>3.5951798299127979E-2</v>
      </c>
      <c r="V101" s="84">
        <f t="shared" si="159"/>
        <v>4.3316028503074477E-2</v>
      </c>
      <c r="W101" s="84">
        <f t="shared" si="160"/>
        <v>1.1110309920652206E-3</v>
      </c>
      <c r="X101" s="84">
        <f t="shared" si="161"/>
        <v>-9.581261042216882E-2</v>
      </c>
      <c r="Y101" s="84">
        <f t="shared" si="162"/>
        <v>7.2210989536306558E-2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9.890148085349848E-2</v>
      </c>
      <c r="F102" s="84">
        <f t="shared" si="143"/>
        <v>0.10348944091996426</v>
      </c>
      <c r="G102" s="84">
        <f t="shared" si="144"/>
        <v>0.13174384504874581</v>
      </c>
      <c r="H102" s="84">
        <f t="shared" si="145"/>
        <v>7.7118154305138686E-2</v>
      </c>
      <c r="I102" s="84">
        <f t="shared" si="146"/>
        <v>0.15914139188727594</v>
      </c>
      <c r="J102" s="84">
        <f t="shared" si="147"/>
        <v>0.19088196697911686</v>
      </c>
      <c r="K102" s="84">
        <f t="shared" si="148"/>
        <v>0.13975087555264643</v>
      </c>
      <c r="L102" s="84">
        <f t="shared" si="149"/>
        <v>-1.4291058163344972E-2</v>
      </c>
      <c r="M102" s="84">
        <f t="shared" si="150"/>
        <v>-0.16463510965713257</v>
      </c>
      <c r="N102" s="84">
        <f t="shared" si="151"/>
        <v>-6.6225971337326994E-2</v>
      </c>
      <c r="O102" s="84">
        <f t="shared" si="152"/>
        <v>7.6464178214368239E-2</v>
      </c>
      <c r="P102" s="84">
        <f t="shared" si="153"/>
        <v>0.10324863292805109</v>
      </c>
      <c r="Q102" s="84">
        <f t="shared" si="154"/>
        <v>4.9374118025677038E-2</v>
      </c>
      <c r="R102" s="84">
        <f t="shared" si="155"/>
        <v>5.2103545416883668E-2</v>
      </c>
      <c r="S102" s="84">
        <f t="shared" si="156"/>
        <v>1.3047364627667868E-2</v>
      </c>
      <c r="T102" s="84">
        <f t="shared" si="157"/>
        <v>4.8332751754716075E-2</v>
      </c>
      <c r="U102" s="84">
        <f t="shared" si="158"/>
        <v>4.6458446469264114E-3</v>
      </c>
      <c r="V102" s="84">
        <f t="shared" si="159"/>
        <v>4.1108300623996064E-2</v>
      </c>
      <c r="W102" s="84">
        <f t="shared" si="160"/>
        <v>-1.8309119413765118E-2</v>
      </c>
      <c r="X102" s="84">
        <f t="shared" si="161"/>
        <v>-1.4650366977595586E-2</v>
      </c>
      <c r="Y102" s="84">
        <f t="shared" si="162"/>
        <v>6.3322620470552815E-2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8.0786425437287201E-2</v>
      </c>
      <c r="F103" s="84">
        <f t="shared" si="143"/>
        <v>8.4278781267966618E-2</v>
      </c>
      <c r="G103" s="84">
        <f t="shared" si="144"/>
        <v>0.10538771729252683</v>
      </c>
      <c r="H103" s="84">
        <f t="shared" si="145"/>
        <v>9.1680849641154083E-2</v>
      </c>
      <c r="I103" s="84">
        <f t="shared" si="146"/>
        <v>0.1973769028192669</v>
      </c>
      <c r="J103" s="84">
        <f t="shared" si="147"/>
        <v>0.12907681839411445</v>
      </c>
      <c r="K103" s="84">
        <f t="shared" si="148"/>
        <v>2.9627897840718953E-2</v>
      </c>
      <c r="L103" s="84">
        <f t="shared" si="149"/>
        <v>-9.6938485300081867E-2</v>
      </c>
      <c r="M103" s="84">
        <f t="shared" si="150"/>
        <v>-2.7275886812640482E-2</v>
      </c>
      <c r="N103" s="84">
        <f t="shared" si="151"/>
        <v>-3.2579809387767167E-2</v>
      </c>
      <c r="O103" s="84">
        <f t="shared" si="152"/>
        <v>-5.2058612246940195E-2</v>
      </c>
      <c r="P103" s="84">
        <f t="shared" si="153"/>
        <v>6.6229875064643728E-2</v>
      </c>
      <c r="Q103" s="84">
        <f t="shared" si="154"/>
        <v>-1.9966618453761353E-2</v>
      </c>
      <c r="R103" s="84">
        <f t="shared" si="155"/>
        <v>2.1541158735155941E-2</v>
      </c>
      <c r="S103" s="84">
        <f t="shared" si="156"/>
        <v>5.0983230104428179E-2</v>
      </c>
      <c r="T103" s="84">
        <f t="shared" si="157"/>
        <v>1.256485425087317E-2</v>
      </c>
      <c r="U103" s="84">
        <f t="shared" si="158"/>
        <v>2.0700419179859209E-2</v>
      </c>
      <c r="V103" s="84">
        <f t="shared" si="159"/>
        <v>1.1906580994448079E-2</v>
      </c>
      <c r="W103" s="84">
        <f t="shared" si="160"/>
        <v>3.1643996235238392E-2</v>
      </c>
      <c r="X103" s="84">
        <f t="shared" si="161"/>
        <v>-2.2482147151057896E-2</v>
      </c>
      <c r="Y103" s="84">
        <f t="shared" si="162"/>
        <v>1.2155986957055553E-2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4.8818095929554772E-3</v>
      </c>
      <c r="F104" s="83">
        <f t="shared" si="143"/>
        <v>-1.125719318446361E-2</v>
      </c>
      <c r="G104" s="83">
        <f t="shared" si="144"/>
        <v>5.0985637859081612E-2</v>
      </c>
      <c r="H104" s="83">
        <f t="shared" si="145"/>
        <v>5.7996508738082264E-2</v>
      </c>
      <c r="I104" s="83">
        <f t="shared" si="146"/>
        <v>-9.8987793767555399E-2</v>
      </c>
      <c r="J104" s="83">
        <f t="shared" si="147"/>
        <v>2.9813854264091111E-2</v>
      </c>
      <c r="K104" s="83">
        <f t="shared" si="148"/>
        <v>1.5421449356519901E-2</v>
      </c>
      <c r="L104" s="83">
        <f t="shared" si="149"/>
        <v>0.14023465382138145</v>
      </c>
      <c r="M104" s="83">
        <f t="shared" si="150"/>
        <v>0.19335447022925445</v>
      </c>
      <c r="N104" s="83">
        <f t="shared" si="151"/>
        <v>4.1763797164868111E-2</v>
      </c>
      <c r="O104" s="83">
        <f t="shared" si="152"/>
        <v>-4.9667863186379724E-2</v>
      </c>
      <c r="P104" s="83">
        <f t="shared" si="153"/>
        <v>6.3780663080728495E-2</v>
      </c>
      <c r="Q104" s="83">
        <f t="shared" si="154"/>
        <v>-0.12570284465311665</v>
      </c>
      <c r="R104" s="83">
        <f t="shared" si="155"/>
        <v>-0.20752665584735619</v>
      </c>
      <c r="S104" s="83">
        <f t="shared" si="156"/>
        <v>0.19965066604127601</v>
      </c>
      <c r="T104" s="83">
        <f t="shared" si="157"/>
        <v>0.23763340124326326</v>
      </c>
      <c r="U104" s="83">
        <f t="shared" si="158"/>
        <v>-4.6973555437640813E-2</v>
      </c>
      <c r="V104" s="83">
        <f t="shared" si="159"/>
        <v>-0.37526846677258696</v>
      </c>
      <c r="W104" s="83">
        <f t="shared" si="160"/>
        <v>4.1994806881420432E-2</v>
      </c>
      <c r="X104" s="83">
        <f t="shared" si="161"/>
        <v>0.16095768091856311</v>
      </c>
      <c r="Y104" s="83">
        <f t="shared" si="162"/>
        <v>0.32690577962549794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-5.990766412624049E-2</v>
      </c>
      <c r="F105" s="83">
        <f t="shared" si="143"/>
        <v>9.546394943569414E-2</v>
      </c>
      <c r="G105" s="83">
        <f t="shared" si="144"/>
        <v>6.6881748704629151E-2</v>
      </c>
      <c r="H105" s="83">
        <f t="shared" si="145"/>
        <v>0.1424238524838608</v>
      </c>
      <c r="I105" s="83">
        <f t="shared" si="146"/>
        <v>0.1490318561336792</v>
      </c>
      <c r="J105" s="83">
        <f t="shared" si="147"/>
        <v>0.40424501876977659</v>
      </c>
      <c r="K105" s="83">
        <f t="shared" si="148"/>
        <v>0.29075803400772093</v>
      </c>
      <c r="L105" s="83">
        <f t="shared" si="149"/>
        <v>-1.2111358001470895E-2</v>
      </c>
      <c r="M105" s="83">
        <f t="shared" si="150"/>
        <v>-0.32116490232669115</v>
      </c>
      <c r="N105" s="83">
        <f t="shared" si="151"/>
        <v>-0.41055537604990278</v>
      </c>
      <c r="O105" s="83">
        <f t="shared" si="152"/>
        <v>0.18768835461700295</v>
      </c>
      <c r="P105" s="83">
        <f t="shared" si="153"/>
        <v>0.13995414137789397</v>
      </c>
      <c r="Q105" s="83">
        <f t="shared" si="154"/>
        <v>4.4072824274048461E-2</v>
      </c>
      <c r="R105" s="83">
        <f t="shared" si="155"/>
        <v>1.9360836022408456E-2</v>
      </c>
      <c r="S105" s="83">
        <f t="shared" si="156"/>
        <v>4.0118588018152046E-3</v>
      </c>
      <c r="T105" s="83">
        <f t="shared" si="157"/>
        <v>-0.10189190679714877</v>
      </c>
      <c r="U105" s="83">
        <f t="shared" si="158"/>
        <v>0.13131794395271701</v>
      </c>
      <c r="V105" s="83">
        <f t="shared" si="159"/>
        <v>0.12310499990124901</v>
      </c>
      <c r="W105" s="83">
        <f t="shared" si="160"/>
        <v>2.9011446936764829E-2</v>
      </c>
      <c r="X105" s="83">
        <f t="shared" si="161"/>
        <v>-5.2077911556730916E-2</v>
      </c>
      <c r="Y105" s="83">
        <f t="shared" si="162"/>
        <v>-0.10839379386113235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4.2020689498285746E-2</v>
      </c>
      <c r="F106" s="83">
        <f t="shared" si="143"/>
        <v>6.8512550016032403E-2</v>
      </c>
      <c r="G106" s="83">
        <f t="shared" si="144"/>
        <v>-7.1601809947261508E-3</v>
      </c>
      <c r="H106" s="83">
        <f t="shared" si="145"/>
        <v>7.674385775016912E-2</v>
      </c>
      <c r="I106" s="83">
        <f t="shared" si="146"/>
        <v>4.1098523809836696E-2</v>
      </c>
      <c r="J106" s="83">
        <f t="shared" si="147"/>
        <v>3.1194194314394519E-2</v>
      </c>
      <c r="K106" s="83">
        <f t="shared" si="148"/>
        <v>2.2302632251785415E-2</v>
      </c>
      <c r="L106" s="83">
        <f t="shared" si="149"/>
        <v>-8.0583554027171322E-2</v>
      </c>
      <c r="M106" s="83">
        <f t="shared" si="150"/>
        <v>-0.11624518948075246</v>
      </c>
      <c r="N106" s="83">
        <f t="shared" si="151"/>
        <v>0.18389035843533308</v>
      </c>
      <c r="O106" s="83">
        <f t="shared" si="152"/>
        <v>2.0823461712253355E-2</v>
      </c>
      <c r="P106" s="83">
        <f t="shared" si="153"/>
        <v>1.4944003203817946E-2</v>
      </c>
      <c r="Q106" s="83">
        <f t="shared" si="154"/>
        <v>9.1883352764459136E-3</v>
      </c>
      <c r="R106" s="83">
        <f t="shared" si="155"/>
        <v>-3.1533206567686101E-2</v>
      </c>
      <c r="S106" s="83">
        <f t="shared" si="156"/>
        <v>3.4489029847578179E-2</v>
      </c>
      <c r="T106" s="83">
        <f t="shared" si="157"/>
        <v>-1.1949776445104865E-3</v>
      </c>
      <c r="U106" s="83">
        <f t="shared" si="158"/>
        <v>6.4304238819152815E-2</v>
      </c>
      <c r="V106" s="83">
        <f t="shared" si="159"/>
        <v>5.9487078475587207E-2</v>
      </c>
      <c r="W106" s="83">
        <f t="shared" si="160"/>
        <v>1.2354276190849278E-2</v>
      </c>
      <c r="X106" s="83">
        <f t="shared" si="161"/>
        <v>3.5784729771373147E-3</v>
      </c>
      <c r="Y106" s="83">
        <f t="shared" si="162"/>
        <v>0.20161101388830382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-9.6629514370632497E-2</v>
      </c>
      <c r="F107" s="87">
        <f t="shared" ref="F107:F108" si="164">IF(E33=0,"",F33/E33-1)</f>
        <v>-7.7885835629193378E-3</v>
      </c>
      <c r="G107" s="87">
        <f t="shared" ref="G107:G108" si="165">IF(F33=0,"",G33/F33-1)</f>
        <v>0.45873628275278033</v>
      </c>
      <c r="H107" s="87">
        <f t="shared" ref="H107:H108" si="166">IF(G33=0,"",H33/G33-1)</f>
        <v>0.2913795200698035</v>
      </c>
      <c r="I107" s="87">
        <f t="shared" ref="I107:I108" si="167">IF(H33=0,"",I33/H33-1)</f>
        <v>-0.33993642117022249</v>
      </c>
      <c r="J107" s="87">
        <f t="shared" ref="J107:J108" si="168">IF(I33=0,"",J33/I33-1)</f>
        <v>0.19217931429992441</v>
      </c>
      <c r="K107" s="87">
        <f t="shared" ref="K107:K108" si="169">IF(J33=0,"",K33/J33-1)</f>
        <v>-0.31089051100081555</v>
      </c>
      <c r="L107" s="87">
        <f t="shared" ref="L107:L108" si="170">IF(K33=0,"",L33/K33-1)</f>
        <v>8.1926713442352916E-3</v>
      </c>
      <c r="M107" s="87">
        <f t="shared" ref="M107:M108" si="171">IF(L33=0,"",M33/L33-1)</f>
        <v>-0.35494295771884388</v>
      </c>
      <c r="N107" s="87">
        <f t="shared" ref="N107:N108" si="172">IF(M33=0,"",N33/M33-1)</f>
        <v>0.86673173046799645</v>
      </c>
      <c r="O107" s="87">
        <f t="shared" ref="O107:O108" si="173">IF(N33=0,"",O33/N33-1)</f>
        <v>4.5530003361795357E-2</v>
      </c>
      <c r="P107" s="87">
        <f t="shared" ref="P107:P108" si="174">IF(O33=0,"",P33/O33-1)</f>
        <v>-0.43884088574611946</v>
      </c>
      <c r="Q107" s="87">
        <f t="shared" ref="Q107:Q108" si="175">IF(P33=0,"",Q33/P33-1)</f>
        <v>-0.65067817133600059</v>
      </c>
      <c r="R107" s="87">
        <f t="shared" ref="R107:R108" si="176">IF(Q33=0,"",R33/Q33-1)</f>
        <v>-0.90809790653157729</v>
      </c>
      <c r="S107" s="87">
        <f t="shared" ref="S107:S108" si="177">IF(R33=0,"",S33/R33-1)</f>
        <v>10.805092015466204</v>
      </c>
      <c r="T107" s="87">
        <f t="shared" ref="T107:T108" si="178">IF(S33=0,"",T33/S33-1)</f>
        <v>-1</v>
      </c>
      <c r="U107" s="87" t="str">
        <f t="shared" ref="U107:U108" si="179">IF(T33=0,"",U33/T33-1)</f>
        <v/>
      </c>
      <c r="V107" s="87" t="str">
        <f t="shared" ref="V107:V108" si="180">IF(U33=0,"",V33/U33-1)</f>
        <v/>
      </c>
      <c r="W107" s="87" t="str">
        <f t="shared" ref="W107:W108" si="181">IF(V33=0,"",W33/V33-1)</f>
        <v/>
      </c>
      <c r="X107" s="87" t="str">
        <f t="shared" ref="X107:X108" si="182">IF(W33=0,"",X33/W33-1)</f>
        <v/>
      </c>
      <c r="Y107" s="87" t="str">
        <f t="shared" ref="Y107:Y108" si="183">IF(X33=0,"",Y33/X33-1)</f>
        <v/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-9.6629514370632608E-2</v>
      </c>
      <c r="F108" s="89">
        <f t="shared" si="164"/>
        <v>-7.7885835629193378E-3</v>
      </c>
      <c r="G108" s="89">
        <f t="shared" si="165"/>
        <v>0.45873628275278056</v>
      </c>
      <c r="H108" s="89">
        <f t="shared" si="166"/>
        <v>0.2913795200698035</v>
      </c>
      <c r="I108" s="89">
        <f t="shared" si="167"/>
        <v>-0.33993642117022249</v>
      </c>
      <c r="J108" s="89">
        <f t="shared" si="168"/>
        <v>0.19217931429992463</v>
      </c>
      <c r="K108" s="89">
        <f t="shared" si="169"/>
        <v>-0.31089051100081555</v>
      </c>
      <c r="L108" s="89">
        <f t="shared" si="170"/>
        <v>8.1926713442352916E-3</v>
      </c>
      <c r="M108" s="89">
        <f t="shared" si="171"/>
        <v>-0.35494295771884388</v>
      </c>
      <c r="N108" s="89">
        <f t="shared" si="172"/>
        <v>0.86673173046799623</v>
      </c>
      <c r="O108" s="89">
        <f t="shared" si="173"/>
        <v>4.5530003361795579E-2</v>
      </c>
      <c r="P108" s="89">
        <f t="shared" si="174"/>
        <v>-0.43884088574611957</v>
      </c>
      <c r="Q108" s="89">
        <f t="shared" si="175"/>
        <v>-0.65067817133600059</v>
      </c>
      <c r="R108" s="89">
        <f t="shared" si="176"/>
        <v>-0.90809790653157729</v>
      </c>
      <c r="S108" s="89">
        <f t="shared" si="177"/>
        <v>10.805092015466204</v>
      </c>
      <c r="T108" s="89">
        <f t="shared" si="178"/>
        <v>-1</v>
      </c>
      <c r="U108" s="89" t="str">
        <f t="shared" si="179"/>
        <v/>
      </c>
      <c r="V108" s="89" t="str">
        <f t="shared" si="180"/>
        <v/>
      </c>
      <c r="W108" s="89" t="str">
        <f t="shared" si="181"/>
        <v/>
      </c>
      <c r="X108" s="89" t="str">
        <f t="shared" si="182"/>
        <v/>
      </c>
      <c r="Y108" s="89" t="str">
        <f t="shared" si="183"/>
        <v/>
      </c>
    </row>
    <row r="109" spans="1:25" x14ac:dyDescent="0.25">
      <c r="A109" s="88" t="s">
        <v>269</v>
      </c>
      <c r="B109" s="44"/>
      <c r="C109" s="44"/>
      <c r="D109" s="89"/>
      <c r="E109" s="89" t="str">
        <f t="shared" ref="E109" si="184">IF(D37=0,"",E37/D37-1)</f>
        <v/>
      </c>
      <c r="F109" s="89" t="str">
        <f t="shared" ref="F109" si="185">IF(E37=0,"",F37/E37-1)</f>
        <v/>
      </c>
      <c r="G109" s="89" t="str">
        <f t="shared" ref="G109" si="186">IF(F37=0,"",G37/F37-1)</f>
        <v/>
      </c>
      <c r="H109" s="89" t="str">
        <f t="shared" ref="H109" si="187">IF(G37=0,"",H37/G37-1)</f>
        <v/>
      </c>
      <c r="I109" s="89" t="str">
        <f t="shared" ref="I109" si="188">IF(H37=0,"",I37/H37-1)</f>
        <v/>
      </c>
      <c r="J109" s="89" t="str">
        <f t="shared" ref="J109" si="189">IF(I37=0,"",J37/I37-1)</f>
        <v/>
      </c>
      <c r="K109" s="89" t="str">
        <f t="shared" ref="K109" si="190">IF(J37=0,"",K37/J37-1)</f>
        <v/>
      </c>
      <c r="L109" s="89" t="str">
        <f t="shared" ref="L109" si="191">IF(K37=0,"",L37/K37-1)</f>
        <v/>
      </c>
      <c r="M109" s="89" t="str">
        <f t="shared" ref="M109" si="192">IF(L37=0,"",M37/L37-1)</f>
        <v/>
      </c>
      <c r="N109" s="89" t="str">
        <f t="shared" ref="N109" si="193">IF(M37=0,"",N37/M37-1)</f>
        <v/>
      </c>
      <c r="O109" s="89" t="str">
        <f t="shared" ref="O109" si="194">IF(N37=0,"",O37/N37-1)</f>
        <v/>
      </c>
      <c r="P109" s="89" t="str">
        <f t="shared" ref="P109" si="195">IF(O37=0,"",P37/O37-1)</f>
        <v/>
      </c>
      <c r="Q109" s="89" t="str">
        <f t="shared" ref="Q109" si="196">IF(P37=0,"",Q37/P37-1)</f>
        <v/>
      </c>
      <c r="R109" s="89" t="str">
        <f t="shared" ref="R109" si="197">IF(Q37=0,"",R37/Q37-1)</f>
        <v/>
      </c>
      <c r="S109" s="89" t="str">
        <f t="shared" ref="S109" si="198">IF(R37=0,"",S37/R37-1)</f>
        <v/>
      </c>
      <c r="T109" s="89" t="str">
        <f t="shared" ref="T109" si="199">IF(S37=0,"",T37/S37-1)</f>
        <v/>
      </c>
      <c r="U109" s="89" t="str">
        <f t="shared" ref="U109" si="200">IF(T37=0,"",U37/T37-1)</f>
        <v/>
      </c>
      <c r="V109" s="89" t="str">
        <f t="shared" ref="V109" si="201">IF(U37=0,"",V37/U37-1)</f>
        <v/>
      </c>
      <c r="W109" s="89" t="str">
        <f t="shared" ref="W109" si="202">IF(V37=0,"",W37/V37-1)</f>
        <v/>
      </c>
      <c r="X109" s="89" t="str">
        <f t="shared" ref="X109" si="203">IF(W37=0,"",X37/W37-1)</f>
        <v/>
      </c>
      <c r="Y109" s="89" t="str">
        <f t="shared" ref="Y109" si="204">IF(X37=0,"",Y37/X37-1)</f>
        <v/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0.31071110423333415</v>
      </c>
      <c r="F110" s="89">
        <f t="shared" ref="F110:F111" si="206">IF(E43=0,"",F43/E43-1)</f>
        <v>-1.5370671382281209E-2</v>
      </c>
      <c r="G110" s="89">
        <f t="shared" ref="G110:G111" si="207">IF(F43=0,"",G43/F43-1)</f>
        <v>5.2330224128902536E-3</v>
      </c>
      <c r="H110" s="89">
        <f t="shared" ref="H110:H111" si="208">IF(G43=0,"",H43/G43-1)</f>
        <v>6.5976403764616665E-2</v>
      </c>
      <c r="I110" s="89">
        <f t="shared" ref="I110:I111" si="209">IF(H43=0,"",I43/H43-1)</f>
        <v>0.20183556664852342</v>
      </c>
      <c r="J110" s="89">
        <f t="shared" ref="J110:J111" si="210">IF(I43=0,"",J43/I43-1)</f>
        <v>0.23822656062953063</v>
      </c>
      <c r="K110" s="89">
        <f t="shared" ref="K110:K111" si="211">IF(J43=0,"",K43/J43-1)</f>
        <v>-0.19046178700286542</v>
      </c>
      <c r="L110" s="89">
        <f t="shared" ref="L110:L111" si="212">IF(K43=0,"",L43/K43-1)</f>
        <v>0.2998656723290396</v>
      </c>
      <c r="M110" s="89">
        <f t="shared" ref="M110:M111" si="213">IF(L43=0,"",M43/L43-1)</f>
        <v>-7.4046837879474858E-2</v>
      </c>
      <c r="N110" s="89">
        <f t="shared" ref="N110:N111" si="214">IF(M43=0,"",N43/M43-1)</f>
        <v>0.46841120967267447</v>
      </c>
      <c r="O110" s="89">
        <f t="shared" ref="O110:O111" si="215">IF(N43=0,"",O43/N43-1)</f>
        <v>-0.10592068136976618</v>
      </c>
      <c r="P110" s="89">
        <f t="shared" ref="P110:P111" si="216">IF(O43=0,"",P43/O43-1)</f>
        <v>1.2478161288169476E-2</v>
      </c>
      <c r="Q110" s="89">
        <f t="shared" ref="Q110:Q111" si="217">IF(P43=0,"",Q43/P43-1)</f>
        <v>5.2035242705932294E-2</v>
      </c>
      <c r="R110" s="89">
        <f t="shared" ref="R110:R111" si="218">IF(Q43=0,"",R43/Q43-1)</f>
        <v>-0.25622624128467453</v>
      </c>
      <c r="S110" s="89">
        <f t="shared" ref="S110:S111" si="219">IF(R43=0,"",S43/R43-1)</f>
        <v>5.8255820224719423E-2</v>
      </c>
      <c r="T110" s="89">
        <f t="shared" ref="T110:T111" si="220">IF(S43=0,"",T43/S43-1)</f>
        <v>1.0069743458266611E-2</v>
      </c>
      <c r="U110" s="89">
        <f t="shared" ref="U110:U111" si="221">IF(T43=0,"",U43/T43-1)</f>
        <v>7.724974640485871E-2</v>
      </c>
      <c r="V110" s="89">
        <f t="shared" ref="V110:V111" si="222">IF(U43=0,"",V43/U43-1)</f>
        <v>0.10852659260505249</v>
      </c>
      <c r="W110" s="89">
        <f t="shared" ref="W110:W111" si="223">IF(V43=0,"",W43/V43-1)</f>
        <v>0.19683749579536292</v>
      </c>
      <c r="X110" s="89">
        <f t="shared" ref="X110:X111" si="224">IF(W43=0,"",X43/W43-1)</f>
        <v>-2.1037330227378304E-2</v>
      </c>
      <c r="Y110" s="89">
        <f t="shared" ref="Y110:Y111" si="225">IF(X43=0,"",Y43/X43-1)</f>
        <v>0.22862340368164302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0.30641879378836667</v>
      </c>
      <c r="F111" s="89">
        <f t="shared" si="206"/>
        <v>-3.527362548599966E-2</v>
      </c>
      <c r="G111" s="89">
        <f t="shared" si="207"/>
        <v>3.4370280305549006E-3</v>
      </c>
      <c r="H111" s="89">
        <f t="shared" si="208"/>
        <v>5.6215991957746292E-2</v>
      </c>
      <c r="I111" s="89">
        <f t="shared" si="209"/>
        <v>0.18640260652516205</v>
      </c>
      <c r="J111" s="89">
        <f t="shared" si="210"/>
        <v>0.25567196979805207</v>
      </c>
      <c r="K111" s="89">
        <f t="shared" si="211"/>
        <v>-0.18972030819018193</v>
      </c>
      <c r="L111" s="89">
        <f t="shared" si="212"/>
        <v>0.39759305951336832</v>
      </c>
      <c r="M111" s="89">
        <f t="shared" si="213"/>
        <v>-9.8651117112050324E-2</v>
      </c>
      <c r="N111" s="89">
        <f t="shared" si="214"/>
        <v>0.64167677615652408</v>
      </c>
      <c r="O111" s="89">
        <f t="shared" si="215"/>
        <v>-0.25321005276905395</v>
      </c>
      <c r="P111" s="89">
        <f t="shared" si="216"/>
        <v>-5.2611812008539482E-3</v>
      </c>
      <c r="Q111" s="89">
        <f t="shared" si="217"/>
        <v>-0.12140693116499557</v>
      </c>
      <c r="R111" s="89">
        <f t="shared" si="218"/>
        <v>-0.14375979512490766</v>
      </c>
      <c r="S111" s="89">
        <f t="shared" si="219"/>
        <v>2.0506427406199013E-2</v>
      </c>
      <c r="T111" s="89">
        <f t="shared" si="220"/>
        <v>-3.9114179149357109E-2</v>
      </c>
      <c r="U111" s="89">
        <f t="shared" si="221"/>
        <v>6.4232605665083709E-2</v>
      </c>
      <c r="V111" s="89">
        <f t="shared" si="222"/>
        <v>0.40138924415121102</v>
      </c>
      <c r="W111" s="89">
        <f t="shared" si="223"/>
        <v>-0.14293274484695584</v>
      </c>
      <c r="X111" s="89">
        <f t="shared" si="224"/>
        <v>9.6609574484492589E-2</v>
      </c>
      <c r="Y111" s="89">
        <f t="shared" si="225"/>
        <v>0.318481683237819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0.31524932829754415</v>
      </c>
      <c r="F112" s="89">
        <f t="shared" ref="F112:F113" si="227">IF(E47=0,"",F47/E47-1)</f>
        <v>5.5312726957548186E-3</v>
      </c>
      <c r="G112" s="89">
        <f t="shared" ref="G112:G113" si="228">IF(F47=0,"",G47/F47-1)</f>
        <v>7.0426228132733915E-3</v>
      </c>
      <c r="H112" s="89">
        <f t="shared" ref="H112:H113" si="229">IF(G47=0,"",H47/G47-1)</f>
        <v>7.577554736437131E-2</v>
      </c>
      <c r="I112" s="89">
        <f t="shared" ref="I112:I113" si="230">IF(H47=0,"",I47/H47-1)</f>
        <v>0.21704805591297949</v>
      </c>
      <c r="J112" s="89">
        <f t="shared" ref="J112:J113" si="231">IF(I47=0,"",J47/I47-1)</f>
        <v>0.22146337416592377</v>
      </c>
      <c r="K112" s="89">
        <f t="shared" ref="K112:K113" si="232">IF(J47=0,"",K47/J47-1)</f>
        <v>-0.19119422339100423</v>
      </c>
      <c r="L112" s="89">
        <f t="shared" ref="L112:L113" si="233">IF(K47=0,"",L47/K47-1)</f>
        <v>0.20315416235036898</v>
      </c>
      <c r="M112" s="89">
        <f t="shared" ref="M112:M113" si="234">IF(L47=0,"",M47/L47-1)</f>
        <v>-4.5763414088757171E-2</v>
      </c>
      <c r="N112" s="89">
        <f t="shared" ref="N112:N113" si="235">IF(M47=0,"",N47/M47-1)</f>
        <v>0.28027583710998716</v>
      </c>
      <c r="O112" s="89">
        <f t="shared" ref="O112:O113" si="236">IF(N47=0,"",O47/N47-1)</f>
        <v>9.9154785593253969E-2</v>
      </c>
      <c r="P112" s="89">
        <f t="shared" ref="P112:P113" si="237">IF(O47=0,"",P47/O47-1)</f>
        <v>2.925922271308723E-2</v>
      </c>
      <c r="Q112" s="89">
        <f t="shared" ref="Q112:Q113" si="238">IF(P47=0,"",Q47/P47-1)</f>
        <v>0.21060520236313085</v>
      </c>
      <c r="R112" s="89">
        <f t="shared" ref="R112:R113" si="239">IF(Q47=0,"",R47/Q47-1)</f>
        <v>-0.33084953542848972</v>
      </c>
      <c r="S112" s="89">
        <f t="shared" ref="S112:S113" si="240">IF(R47=0,"",S47/R47-1)</f>
        <v>9.0306204986149607E-2</v>
      </c>
      <c r="T112" s="89">
        <f t="shared" ref="T112:T113" si="241">IF(S47=0,"",T47/S47-1)</f>
        <v>4.9155065986758784E-2</v>
      </c>
      <c r="U112" s="89">
        <f t="shared" ref="U112:U113" si="242">IF(T47=0,"",U47/T47-1)</f>
        <v>8.6723852434886561E-2</v>
      </c>
      <c r="V112" s="89">
        <f t="shared" ref="V112:V113" si="243">IF(U47=0,"",V47/U47-1)</f>
        <v>-0.10021259633192003</v>
      </c>
      <c r="W112" s="89">
        <f t="shared" ref="W112:W113" si="244">IF(V47=0,"",W47/V47-1)</f>
        <v>0.57401363449004705</v>
      </c>
      <c r="X112" s="89">
        <f t="shared" ref="X112:X113" si="245">IF(W47=0,"",X47/W47-1)</f>
        <v>-9.2149804663244517E-2</v>
      </c>
      <c r="Y112" s="89">
        <f t="shared" ref="Y112:Y113" si="246">IF(X47=0,"",Y47/X47-1)</f>
        <v>0.16301473480029705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0.41317396135650997</v>
      </c>
      <c r="F113" s="89">
        <f t="shared" si="227"/>
        <v>-0.1540459615090406</v>
      </c>
      <c r="G113" s="89">
        <f t="shared" si="228"/>
        <v>0.42957252737507057</v>
      </c>
      <c r="H113" s="89">
        <f t="shared" si="229"/>
        <v>5.1984357374582624E-2</v>
      </c>
      <c r="I113" s="89">
        <f t="shared" si="230"/>
        <v>0.14983874763914762</v>
      </c>
      <c r="J113" s="89">
        <f t="shared" si="231"/>
        <v>0.29574278123721243</v>
      </c>
      <c r="K113" s="89">
        <f t="shared" si="232"/>
        <v>0.37918373221509749</v>
      </c>
      <c r="L113" s="89">
        <f t="shared" si="233"/>
        <v>-6.8661699658059128E-3</v>
      </c>
      <c r="M113" s="89">
        <f t="shared" si="234"/>
        <v>-0.15334322887288343</v>
      </c>
      <c r="N113" s="89">
        <f t="shared" si="235"/>
        <v>0.17848829891742279</v>
      </c>
      <c r="O113" s="89">
        <f t="shared" si="236"/>
        <v>0.21537157273575902</v>
      </c>
      <c r="P113" s="89">
        <f t="shared" si="237"/>
        <v>1.0244536652125324E-2</v>
      </c>
      <c r="Q113" s="89">
        <f t="shared" si="238"/>
        <v>0.12692728291964528</v>
      </c>
      <c r="R113" s="89">
        <f t="shared" si="239"/>
        <v>-4.2133246901527199E-2</v>
      </c>
      <c r="S113" s="89">
        <f t="shared" si="240"/>
        <v>-0.10914187435633371</v>
      </c>
      <c r="T113" s="89">
        <f t="shared" si="241"/>
        <v>6.295149036273906E-2</v>
      </c>
      <c r="U113" s="89">
        <f t="shared" si="242"/>
        <v>6.6094940549825898E-2</v>
      </c>
      <c r="V113" s="89">
        <f t="shared" si="243"/>
        <v>4.2565192704697719E-2</v>
      </c>
      <c r="W113" s="89">
        <f t="shared" si="244"/>
        <v>4.9353018224522538E-2</v>
      </c>
      <c r="X113" s="89">
        <f t="shared" si="245"/>
        <v>-0.10420641899486083</v>
      </c>
      <c r="Y113" s="89">
        <f t="shared" si="246"/>
        <v>6.8230496732294865E-2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-8.7791561311326261E-2</v>
      </c>
      <c r="F114" s="89">
        <f t="shared" ref="F114:F115" si="248">IF(E52=0,"",F52/E52-1)</f>
        <v>0.14948671274899361</v>
      </c>
      <c r="G114" s="89">
        <f t="shared" ref="G114:G115" si="249">IF(F52=0,"",G52/F52-1)</f>
        <v>0.11265566006547911</v>
      </c>
      <c r="H114" s="89">
        <f t="shared" ref="H114:H115" si="250">IF(G52=0,"",H52/G52-1)</f>
        <v>-3.7226085762138483E-2</v>
      </c>
      <c r="I114" s="89">
        <f t="shared" ref="I114:I115" si="251">IF(H52=0,"",I52/H52-1)</f>
        <v>8.0586219444649387E-2</v>
      </c>
      <c r="J114" s="89">
        <f t="shared" ref="J114:J115" si="252">IF(I52=0,"",J52/I52-1)</f>
        <v>0.17880246782275089</v>
      </c>
      <c r="K114" s="89">
        <f t="shared" ref="K114:K115" si="253">IF(J52=0,"",K52/J52-1)</f>
        <v>-0.19127129910256913</v>
      </c>
      <c r="L114" s="89">
        <f t="shared" ref="L114:L115" si="254">IF(K52=0,"",L52/K52-1)</f>
        <v>2.3540829781225625E-3</v>
      </c>
      <c r="M114" s="89">
        <f t="shared" ref="M114:M115" si="255">IF(L52=0,"",M52/L52-1)</f>
        <v>-0.21311700342305073</v>
      </c>
      <c r="N114" s="89">
        <f t="shared" ref="N114:N115" si="256">IF(M52=0,"",N52/M52-1)</f>
        <v>6.1477074210379845E-2</v>
      </c>
      <c r="O114" s="89">
        <f t="shared" ref="O114:O115" si="257">IF(N52=0,"",O52/N52-1)</f>
        <v>-3.923611003715588E-2</v>
      </c>
      <c r="P114" s="89">
        <f t="shared" ref="P114:P115" si="258">IF(O52=0,"",P52/O52-1)</f>
        <v>7.3946988809999059E-2</v>
      </c>
      <c r="Q114" s="89">
        <f t="shared" ref="Q114:Q115" si="259">IF(P52=0,"",Q52/P52-1)</f>
        <v>0.12130519435488663</v>
      </c>
      <c r="R114" s="89">
        <f t="shared" ref="R114:R115" si="260">IF(Q52=0,"",R52/Q52-1)</f>
        <v>-2.9196695046985188E-2</v>
      </c>
      <c r="S114" s="89">
        <f t="shared" ref="S114:S115" si="261">IF(R52=0,"",S52/R52-1)</f>
        <v>-7.7469589041085918E-3</v>
      </c>
      <c r="T114" s="89">
        <f t="shared" ref="T114:T115" si="262">IF(S52=0,"",T52/S52-1)</f>
        <v>-3.6619742392119403E-2</v>
      </c>
      <c r="U114" s="89">
        <f t="shared" ref="U114:U115" si="263">IF(T52=0,"",U52/T52-1)</f>
        <v>7.6181480298083581E-2</v>
      </c>
      <c r="V114" s="89">
        <f t="shared" ref="V114:V115" si="264">IF(U52=0,"",V52/U52-1)</f>
        <v>1.2059919208739389E-2</v>
      </c>
      <c r="W114" s="89">
        <f t="shared" ref="W114:W115" si="265">IF(V52=0,"",W52/V52-1)</f>
        <v>9.4791948411509397E-2</v>
      </c>
      <c r="X114" s="89">
        <f t="shared" ref="X114:X115" si="266">IF(W52=0,"",X52/W52-1)</f>
        <v>6.3209990054172049E-2</v>
      </c>
      <c r="Y114" s="89">
        <f t="shared" ref="Y114:Y115" si="267">IF(X52=0,"",Y52/X52-1)</f>
        <v>3.3397022861315184E-2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-0.13652154827749585</v>
      </c>
      <c r="F115" s="89">
        <f t="shared" si="248"/>
        <v>0.20022599576127753</v>
      </c>
      <c r="G115" s="89">
        <f t="shared" si="249"/>
        <v>6.5836044040793462E-2</v>
      </c>
      <c r="H115" s="89">
        <f t="shared" si="250"/>
        <v>-9.0878495057838182E-2</v>
      </c>
      <c r="I115" s="89">
        <f t="shared" si="251"/>
        <v>7.5591348044829365E-2</v>
      </c>
      <c r="J115" s="89">
        <f t="shared" si="252"/>
        <v>-4.8740860387807339E-2</v>
      </c>
      <c r="K115" s="89">
        <f t="shared" si="253"/>
        <v>-0.28629735461271677</v>
      </c>
      <c r="L115" s="89">
        <f t="shared" si="254"/>
        <v>0.13848246996864533</v>
      </c>
      <c r="M115" s="89">
        <f t="shared" si="255"/>
        <v>-8.8773321135196204E-2</v>
      </c>
      <c r="N115" s="89">
        <f t="shared" si="256"/>
        <v>0.21734506706521906</v>
      </c>
      <c r="O115" s="89">
        <f t="shared" si="257"/>
        <v>-2.3661755955626029E-2</v>
      </c>
      <c r="P115" s="89">
        <f t="shared" si="258"/>
        <v>8.2000609445612938E-2</v>
      </c>
      <c r="Q115" s="89">
        <f t="shared" si="259"/>
        <v>-1.9642704801637989E-2</v>
      </c>
      <c r="R115" s="89">
        <f t="shared" si="260"/>
        <v>-3.8438147450764015E-2</v>
      </c>
      <c r="S115" s="89">
        <f t="shared" si="261"/>
        <v>-0.10574725925925932</v>
      </c>
      <c r="T115" s="89">
        <f t="shared" si="262"/>
        <v>-7.4540203074908717E-3</v>
      </c>
      <c r="U115" s="89">
        <f t="shared" si="263"/>
        <v>-2.8587681746307103E-2</v>
      </c>
      <c r="V115" s="89">
        <f t="shared" si="264"/>
        <v>1.5774291200204793E-2</v>
      </c>
      <c r="W115" s="89">
        <f t="shared" si="265"/>
        <v>-1.9236462458815273E-2</v>
      </c>
      <c r="X115" s="89">
        <f t="shared" si="266"/>
        <v>3.6946395447301938E-2</v>
      </c>
      <c r="Y115" s="89">
        <f t="shared" si="267"/>
        <v>4.3507294100304517E-2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-5.0060628546092167E-2</v>
      </c>
      <c r="F116" s="89">
        <f t="shared" ref="F116:F122" si="269">IF(E56=0,"",F56/E56-1)</f>
        <v>0.11377578042363234</v>
      </c>
      <c r="G116" s="89">
        <f t="shared" ref="G116:G122" si="270">IF(F56=0,"",G56/F56-1)</f>
        <v>0.14816560260887712</v>
      </c>
      <c r="H116" s="89">
        <f t="shared" ref="H116:H122" si="271">IF(G56=0,"",H56/G56-1)</f>
        <v>5.4828355106306681E-4</v>
      </c>
      <c r="I116" s="89">
        <f t="shared" ref="I116:I122" si="272">IF(H56=0,"",I56/H56-1)</f>
        <v>8.3781552880562105E-2</v>
      </c>
      <c r="J116" s="89">
        <f t="shared" ref="J116:J122" si="273">IF(I56=0,"",J56/I56-1)</f>
        <v>0.32326709607813564</v>
      </c>
      <c r="K116" s="89">
        <f t="shared" ref="K116:K122" si="274">IF(J56=0,"",K56/J56-1)</f>
        <v>-0.1479010966558395</v>
      </c>
      <c r="L116" s="89">
        <f t="shared" ref="L116:L122" si="275">IF(K56=0,"",L56/K56-1)</f>
        <v>-4.9684414165079849E-2</v>
      </c>
      <c r="M116" s="89">
        <f t="shared" ref="M116:M122" si="276">IF(L56=0,"",M56/L56-1)</f>
        <v>-0.27006235352978458</v>
      </c>
      <c r="N116" s="89">
        <f t="shared" ref="N116:N122" si="277">IF(M56=0,"",N56/M56-1)</f>
        <v>-2.7634096557317966E-2</v>
      </c>
      <c r="O116" s="89">
        <f t="shared" ref="O116:O122" si="278">IF(N56=0,"",O56/N56-1)</f>
        <v>-5.0383398234569943E-2</v>
      </c>
      <c r="P116" s="89">
        <f t="shared" ref="P116:P122" si="279">IF(O56=0,"",P56/O56-1)</f>
        <v>6.8020433301936301E-2</v>
      </c>
      <c r="Q116" s="89">
        <f t="shared" ref="Q116:Q122" si="280">IF(P56=0,"",Q56/P56-1)</f>
        <v>0.22638463171889067</v>
      </c>
      <c r="R116" s="89">
        <f t="shared" ref="R116:R122" si="281">IF(Q56=0,"",R56/Q56-1)</f>
        <v>-2.3689162806349251E-2</v>
      </c>
      <c r="S116" s="89">
        <f t="shared" ref="S116:S122" si="282">IF(R56=0,"",S56/R56-1)</f>
        <v>4.977495652174091E-2</v>
      </c>
      <c r="T116" s="89">
        <f t="shared" ref="T116:T122" si="283">IF(S56=0,"",T56/S56-1)</f>
        <v>-5.1202603434433835E-2</v>
      </c>
      <c r="U116" s="89">
        <f t="shared" ref="U116:U122" si="284">IF(T56=0,"",U56/T56-1)</f>
        <v>0.13098148868729642</v>
      </c>
      <c r="V116" s="89">
        <f t="shared" ref="V116:V122" si="285">IF(U56=0,"",V56/U56-1)</f>
        <v>1.0391210009603524E-2</v>
      </c>
      <c r="W116" s="89">
        <f t="shared" ref="W116:W122" si="286">IF(V56=0,"",W56/V56-1)</f>
        <v>0.14629298775506405</v>
      </c>
      <c r="X116" s="89">
        <f t="shared" ref="X116:X122" si="287">IF(W56=0,"",X56/W56-1)</f>
        <v>7.3359048737063004E-2</v>
      </c>
      <c r="Y116" s="89">
        <f t="shared" ref="Y116:Y122" si="288">IF(X56=0,"",Y56/X56-1)</f>
        <v>2.9622642282390643E-2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5.7685325485430372E-3</v>
      </c>
      <c r="F117" s="89">
        <f t="shared" si="269"/>
        <v>7.1962558318898973E-2</v>
      </c>
      <c r="G117" s="89">
        <f t="shared" si="270"/>
        <v>-0.17559800296274231</v>
      </c>
      <c r="H117" s="89">
        <f t="shared" si="271"/>
        <v>8.6462273240049958E-2</v>
      </c>
      <c r="I117" s="89">
        <f t="shared" si="272"/>
        <v>1.8072415896224214E-2</v>
      </c>
      <c r="J117" s="89">
        <f t="shared" si="273"/>
        <v>-3.8635747360735717E-3</v>
      </c>
      <c r="K117" s="89">
        <f t="shared" si="274"/>
        <v>-2.4661814728467291E-2</v>
      </c>
      <c r="L117" s="89">
        <f t="shared" si="275"/>
        <v>-4.7733844436821937E-2</v>
      </c>
      <c r="M117" s="89">
        <f t="shared" si="276"/>
        <v>3.5450693861373894E-2</v>
      </c>
      <c r="N117" s="89">
        <f t="shared" si="277"/>
        <v>5.3305252203514897E-3</v>
      </c>
      <c r="O117" s="89">
        <f t="shared" si="278"/>
        <v>-0.12249670227293097</v>
      </c>
      <c r="P117" s="89">
        <f t="shared" si="279"/>
        <v>7.4977235897784045E-2</v>
      </c>
      <c r="Q117" s="89">
        <f t="shared" si="280"/>
        <v>3.3231151035561401E-2</v>
      </c>
      <c r="R117" s="89">
        <f t="shared" si="281"/>
        <v>-5.0910712494764199E-2</v>
      </c>
      <c r="S117" s="89">
        <f t="shared" si="282"/>
        <v>-1.151985923319121E-2</v>
      </c>
      <c r="T117" s="89">
        <f t="shared" si="283"/>
        <v>-2.8793109420341412E-2</v>
      </c>
      <c r="U117" s="89">
        <f t="shared" si="284"/>
        <v>1.0201996227521715E-2</v>
      </c>
      <c r="V117" s="89">
        <f t="shared" si="285"/>
        <v>5.9481934809309855E-2</v>
      </c>
      <c r="W117" s="89">
        <f t="shared" si="286"/>
        <v>-2.3927239143100576E-2</v>
      </c>
      <c r="X117" s="89">
        <f t="shared" si="287"/>
        <v>7.6208655525209501E-3</v>
      </c>
      <c r="Y117" s="89">
        <f t="shared" si="288"/>
        <v>-5.9637321478223648E-2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0.24539231034150522</v>
      </c>
      <c r="F118" s="89">
        <f t="shared" si="269"/>
        <v>-2.3247950457431887E-2</v>
      </c>
      <c r="G118" s="89">
        <f t="shared" si="270"/>
        <v>-8.520190789529869E-2</v>
      </c>
      <c r="H118" s="89">
        <f t="shared" si="271"/>
        <v>4.6098980540526524E-2</v>
      </c>
      <c r="I118" s="89">
        <f t="shared" si="272"/>
        <v>6.3271509682681693E-2</v>
      </c>
      <c r="J118" s="89">
        <f t="shared" si="273"/>
        <v>0.43899072690162821</v>
      </c>
      <c r="K118" s="89">
        <f t="shared" si="274"/>
        <v>-0.10456684181412301</v>
      </c>
      <c r="L118" s="89">
        <f t="shared" si="275"/>
        <v>0.17904246187570783</v>
      </c>
      <c r="M118" s="89">
        <f t="shared" si="276"/>
        <v>-0.3873674476061727</v>
      </c>
      <c r="N118" s="89">
        <f t="shared" si="277"/>
        <v>0.27889985749954671</v>
      </c>
      <c r="O118" s="89">
        <f t="shared" si="278"/>
        <v>0.25211543861813168</v>
      </c>
      <c r="P118" s="89">
        <f t="shared" si="279"/>
        <v>7.2738158627427385E-2</v>
      </c>
      <c r="Q118" s="89">
        <f t="shared" si="280"/>
        <v>1.5539494342902138E-2</v>
      </c>
      <c r="R118" s="89">
        <f t="shared" si="281"/>
        <v>0.13925086038272516</v>
      </c>
      <c r="S118" s="89">
        <f t="shared" si="282"/>
        <v>-8.0244530011324922E-2</v>
      </c>
      <c r="T118" s="89">
        <f t="shared" si="283"/>
        <v>0.1083836554551485</v>
      </c>
      <c r="U118" s="89">
        <f t="shared" si="284"/>
        <v>3.9806584885416108E-2</v>
      </c>
      <c r="V118" s="89">
        <f t="shared" si="285"/>
        <v>3.4960826976231152E-2</v>
      </c>
      <c r="W118" s="89">
        <f t="shared" si="286"/>
        <v>-0.13922478542920347</v>
      </c>
      <c r="X118" s="89">
        <f t="shared" si="287"/>
        <v>1.1270874801099229E-3</v>
      </c>
      <c r="Y118" s="89">
        <f t="shared" si="288"/>
        <v>0.12581253377398571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7.9831553900503449E-2</v>
      </c>
      <c r="F119" s="89">
        <f t="shared" si="269"/>
        <v>-6.9087823230467027E-3</v>
      </c>
      <c r="G119" s="89">
        <f t="shared" si="270"/>
        <v>0.18215793936390923</v>
      </c>
      <c r="H119" s="89">
        <f t="shared" si="271"/>
        <v>4.5768751681210862E-2</v>
      </c>
      <c r="I119" s="89">
        <f t="shared" si="272"/>
        <v>0.14670299208818549</v>
      </c>
      <c r="J119" s="89">
        <f t="shared" si="273"/>
        <v>0.1386017746043855</v>
      </c>
      <c r="K119" s="89">
        <f t="shared" si="274"/>
        <v>0.27501029042493297</v>
      </c>
      <c r="L119" s="89">
        <f t="shared" si="275"/>
        <v>-2.5686631045397479E-2</v>
      </c>
      <c r="M119" s="89">
        <f t="shared" si="276"/>
        <v>-0.23080820603310748</v>
      </c>
      <c r="N119" s="89">
        <f t="shared" si="277"/>
        <v>1.6555275591704444E-2</v>
      </c>
      <c r="O119" s="89">
        <f t="shared" si="278"/>
        <v>0.29071820708145779</v>
      </c>
      <c r="P119" s="89">
        <f t="shared" si="279"/>
        <v>7.2919609601484803E-2</v>
      </c>
      <c r="Q119" s="89">
        <f t="shared" si="280"/>
        <v>1.1779224049228931E-2</v>
      </c>
      <c r="R119" s="89">
        <f t="shared" si="281"/>
        <v>-4.9349971090928424E-4</v>
      </c>
      <c r="S119" s="89">
        <f t="shared" si="282"/>
        <v>0.21023339811405628</v>
      </c>
      <c r="T119" s="89">
        <f t="shared" si="283"/>
        <v>1.4408225941242803E-2</v>
      </c>
      <c r="U119" s="89">
        <f t="shared" si="284"/>
        <v>0.1008324546981505</v>
      </c>
      <c r="V119" s="89">
        <f t="shared" si="285"/>
        <v>-3.6463958890076142E-3</v>
      </c>
      <c r="W119" s="89">
        <f t="shared" si="286"/>
        <v>5.9595730943118763E-2</v>
      </c>
      <c r="X119" s="89">
        <f t="shared" si="287"/>
        <v>4.4419931595164996E-2</v>
      </c>
      <c r="Y119" s="89">
        <f t="shared" si="288"/>
        <v>0.14618886441346191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7.2444531461444139E-2</v>
      </c>
      <c r="F120" s="89">
        <f t="shared" si="269"/>
        <v>-5.0233851848212385E-2</v>
      </c>
      <c r="G120" s="89">
        <f t="shared" si="270"/>
        <v>-3.8334945287031408E-2</v>
      </c>
      <c r="H120" s="89">
        <f t="shared" si="271"/>
        <v>4.3923101093523709E-3</v>
      </c>
      <c r="I120" s="89">
        <f t="shared" si="272"/>
        <v>7.2597898729101384E-2</v>
      </c>
      <c r="J120" s="89">
        <f t="shared" si="273"/>
        <v>-2.320734736203256E-2</v>
      </c>
      <c r="K120" s="89">
        <f t="shared" si="274"/>
        <v>-0.28658480192101699</v>
      </c>
      <c r="L120" s="89">
        <f t="shared" si="275"/>
        <v>-0.10734586505693311</v>
      </c>
      <c r="M120" s="89">
        <f t="shared" si="276"/>
        <v>-0.19334566574529743</v>
      </c>
      <c r="N120" s="89">
        <f t="shared" si="277"/>
        <v>0.18787301219842734</v>
      </c>
      <c r="O120" s="89">
        <f t="shared" si="278"/>
        <v>4.8056865274354488E-2</v>
      </c>
      <c r="P120" s="89">
        <f t="shared" si="279"/>
        <v>-0.12310784054927149</v>
      </c>
      <c r="Q120" s="89">
        <f t="shared" si="280"/>
        <v>1.6944229237223496E-2</v>
      </c>
      <c r="R120" s="89">
        <f t="shared" si="281"/>
        <v>-6.7525071576269746E-2</v>
      </c>
      <c r="S120" s="89">
        <f t="shared" si="282"/>
        <v>-0.10205199999999992</v>
      </c>
      <c r="T120" s="89">
        <f t="shared" si="283"/>
        <v>4.6825837956943284E-2</v>
      </c>
      <c r="U120" s="89">
        <f t="shared" si="284"/>
        <v>9.05402486403597E-2</v>
      </c>
      <c r="V120" s="89">
        <f t="shared" si="285"/>
        <v>4.5311566870791076E-2</v>
      </c>
      <c r="W120" s="89">
        <f t="shared" si="286"/>
        <v>-0.10421261404242699</v>
      </c>
      <c r="X120" s="89">
        <f t="shared" si="287"/>
        <v>-2.0621726179157807E-2</v>
      </c>
      <c r="Y120" s="89">
        <f t="shared" si="288"/>
        <v>-3.3773401540343917E-2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2.6283219715916406E-2</v>
      </c>
      <c r="F121" s="89">
        <f t="shared" si="269"/>
        <v>0.20786096978432922</v>
      </c>
      <c r="G121" s="89">
        <f t="shared" si="270"/>
        <v>-4.9444144467318263E-2</v>
      </c>
      <c r="H121" s="89">
        <f t="shared" si="271"/>
        <v>5.8045616294223557E-2</v>
      </c>
      <c r="I121" s="89">
        <f t="shared" si="272"/>
        <v>4.6293287077241674E-2</v>
      </c>
      <c r="J121" s="89">
        <f t="shared" si="273"/>
        <v>-0.12604306012305888</v>
      </c>
      <c r="K121" s="89">
        <f t="shared" si="274"/>
        <v>0.24277352284221676</v>
      </c>
      <c r="L121" s="89">
        <f t="shared" si="275"/>
        <v>-0.2792342981236734</v>
      </c>
      <c r="M121" s="89">
        <f t="shared" si="276"/>
        <v>-9.7185070360521264E-2</v>
      </c>
      <c r="N121" s="89">
        <f t="shared" si="277"/>
        <v>0.54887905651239488</v>
      </c>
      <c r="O121" s="89">
        <f t="shared" si="278"/>
        <v>2.0717255137300272E-2</v>
      </c>
      <c r="P121" s="89">
        <f t="shared" si="279"/>
        <v>5.3287435170878972E-3</v>
      </c>
      <c r="Q121" s="89">
        <f t="shared" si="280"/>
        <v>-3.5477471798566418E-2</v>
      </c>
      <c r="R121" s="89">
        <f t="shared" si="281"/>
        <v>6.4119336040106001E-2</v>
      </c>
      <c r="S121" s="89">
        <f t="shared" si="282"/>
        <v>5.4843579766536976E-3</v>
      </c>
      <c r="T121" s="89">
        <f t="shared" si="283"/>
        <v>-1.357300530509753E-3</v>
      </c>
      <c r="U121" s="89">
        <f t="shared" si="284"/>
        <v>8.3413633859081182E-2</v>
      </c>
      <c r="V121" s="89">
        <f t="shared" si="285"/>
        <v>0.13603491721567984</v>
      </c>
      <c r="W121" s="89">
        <f t="shared" si="286"/>
        <v>-2.0122898307037063E-2</v>
      </c>
      <c r="X121" s="89">
        <f t="shared" si="287"/>
        <v>-1.8185611034819416E-2</v>
      </c>
      <c r="Y121" s="89">
        <f t="shared" si="288"/>
        <v>0.5603057478149347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4.4170424901106342E-2</v>
      </c>
      <c r="F122" s="91">
        <f t="shared" si="269"/>
        <v>0.15816150169172216</v>
      </c>
      <c r="G122" s="91">
        <f t="shared" si="270"/>
        <v>0.24055513996582478</v>
      </c>
      <c r="H122" s="91">
        <f t="shared" si="271"/>
        <v>0.18132906532307658</v>
      </c>
      <c r="I122" s="91">
        <f t="shared" si="272"/>
        <v>9.0590135172858188E-2</v>
      </c>
      <c r="J122" s="91">
        <f t="shared" si="273"/>
        <v>-3.2859470481383268E-2</v>
      </c>
      <c r="K122" s="91">
        <f t="shared" si="274"/>
        <v>2.6837269908846828E-2</v>
      </c>
      <c r="L122" s="91">
        <f t="shared" si="275"/>
        <v>-0.14573135515091007</v>
      </c>
      <c r="M122" s="91">
        <f t="shared" si="276"/>
        <v>-4.8144625023984311E-2</v>
      </c>
      <c r="N122" s="91">
        <f t="shared" si="277"/>
        <v>-3.8982482986955169E-2</v>
      </c>
      <c r="O122" s="91">
        <f t="shared" si="278"/>
        <v>-5.9427862935610531E-2</v>
      </c>
      <c r="P122" s="91">
        <f t="shared" si="279"/>
        <v>9.448729748479745E-2</v>
      </c>
      <c r="Q122" s="91">
        <f t="shared" si="280"/>
        <v>5.3234854962122879E-2</v>
      </c>
      <c r="R122" s="91">
        <f t="shared" si="281"/>
        <v>-3.4749023252024336E-2</v>
      </c>
      <c r="S122" s="91">
        <f t="shared" si="282"/>
        <v>6.4271033351558371E-2</v>
      </c>
      <c r="T122" s="91">
        <f t="shared" si="283"/>
        <v>3.0192521208267875E-2</v>
      </c>
      <c r="U122" s="91">
        <f t="shared" si="284"/>
        <v>3.6173139470605964E-2</v>
      </c>
      <c r="V122" s="91">
        <f t="shared" si="285"/>
        <v>2.7359039335629332E-2</v>
      </c>
      <c r="W122" s="91">
        <f t="shared" si="286"/>
        <v>7.2264457941602078E-3</v>
      </c>
      <c r="X122" s="91">
        <f t="shared" si="287"/>
        <v>6.2158218295994105E-2</v>
      </c>
      <c r="Y122" s="91">
        <f t="shared" si="288"/>
        <v>0.25684942610643446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A28D20-42C7-4F38-921D-0D699820CE15}"/>
</file>

<file path=customXml/itemProps2.xml><?xml version="1.0" encoding="utf-8"?>
<ds:datastoreItem xmlns:ds="http://schemas.openxmlformats.org/officeDocument/2006/customXml" ds:itemID="{B142F93F-C92A-4072-8D2A-2052058D6CC1}"/>
</file>

<file path=customXml/itemProps3.xml><?xml version="1.0" encoding="utf-8"?>
<ds:datastoreItem xmlns:ds="http://schemas.openxmlformats.org/officeDocument/2006/customXml" ds:itemID="{F9B497B6-8A2F-460E-BB2D-A34FFE029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2024-05-20T16:53:16Z</dcterms:created>
  <dcterms:modified xsi:type="dcterms:W3CDTF">2024-05-20T16:53:16Z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